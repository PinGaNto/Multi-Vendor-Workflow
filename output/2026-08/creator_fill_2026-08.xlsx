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vmlDrawing1.vml" ContentType="application/vnd.openxmlformats-officedocument.vmlDrawing"/>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Leaderboard" sheetId="2" state="visible" r:id="rId4"/>
    <sheet name="Instagram" sheetId="3" state="visible" r:id="rId5"/>
    <sheet name="TikTok" sheetId="4" state="visible" r:id="rId6"/>
    <sheet name="YouTube" sheetId="5" state="visible" r:id="rId7"/>
    <sheet name="Channels" sheetId="6" state="visible" r:id="rId8"/>
    <sheet name="Creators" sheetId="7" state="visible" r:id="rId9"/>
    <sheet name="Metric Definitions" sheetId="8" state="visible" r:id="rId10"/>
    <sheet name="Vendor QA" sheetId="9" state="visible" r:id="rId11"/>
    <sheet name="Vendor History" sheetId="10" state="visible" r:id="rId12"/>
    <sheet name="Creator History" sheetId="11" state="visible" r:id="rId13"/>
    <sheet name="Waterfall" sheetId="12" state="visible" r:id="rId14"/>
    <sheet name="Gaps" sheetId="13" state="visible" r:id="rId15"/>
    <sheet name="Decision Log" sheetId="14" state="visible" r:id="rId16"/>
    <sheet name="Blocked — review" sheetId="15" state="visible" r:id="rId17"/>
    <sheet name="Warnings" sheetId="16" state="visible" r:id="rId18"/>
    <sheet name="Reason codes" sheetId="17" state="visible" r:id="rId19"/>
    <sheet name="Review Audit" sheetId="18" state="visible" r:id="rId20"/>
  </sheets>
  <definedNames>
    <definedName function="false" hidden="true" localSheetId="14" name="_xlnm._FilterDatabase" vbProcedure="false">'Blocked — review'!$A$4:$V$35</definedName>
    <definedName function="false" hidden="true" localSheetId="5" name="_xlnm._FilterDatabase" vbProcedure="false">Channels!$A$4:$Q$1893</definedName>
    <definedName function="false" hidden="true" localSheetId="10" name="_xlnm._FilterDatabase" vbProcedure="false">'Creator History'!$A$4:$H$5286</definedName>
    <definedName function="false" hidden="true" localSheetId="6" name="_xlnm._FilterDatabase" vbProcedure="false">Creators!$A$4:$L$804</definedName>
    <definedName function="false" hidden="true" localSheetId="12" name="_xlnm._FilterDatabase" vbProcedure="false">Gaps!$A$4:$E$577</definedName>
    <definedName function="false" hidden="true" localSheetId="2" name="_xlnm._FilterDatabase" vbProcedure="false">Instagram!$A$4:$S$430</definedName>
    <definedName function="false" hidden="true" localSheetId="1" name="_xlnm._FilterDatabase" vbProcedure="false">Leaderboard!$A$4:$O$359</definedName>
    <definedName function="false" hidden="true" localSheetId="3" name="_xlnm._FilterDatabase" vbProcedure="false">TikTok!$A$4:$S$389</definedName>
    <definedName function="false" hidden="true" localSheetId="15" name="_xlnm._FilterDatabase" vbProcedure="false">Warnings!$A$4:$I$766</definedName>
    <definedName function="false" hidden="true" localSheetId="4" name="_xlnm._FilterDatabase" vbProcedure="false">YouTube!$A$4:$S$525</definedName>
  </definedName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Source: config.yaml → qa.weights</t>
        </r>
      </text>
    </comment>
  </commentList>
</comments>
</file>

<file path=xl/sharedStrings.xml><?xml version="1.0" encoding="utf-8"?>
<sst xmlns="http://schemas.openxmlformats.org/spreadsheetml/2006/main" count="71898" uniqueCount="5653">
  <si>
    <t xml:space="preserve">Creator vendor fill — 2026-08</t>
  </si>
  <si>
    <t xml:space="preserve">Monthly run · freshness measured at 2026-08-31</t>
  </si>
  <si>
    <t xml:space="preserve">Creators requested</t>
  </si>
  <si>
    <t xml:space="preserve">Channels requested</t>
  </si>
  <si>
    <t xml:space="preserve">Creators complete (on leaderboard)</t>
  </si>
  <si>
    <t xml:space="preserve">Share of creators complete</t>
  </si>
  <si>
    <t xml:space="preserve">Requested channels complete</t>
  </si>
  <si>
    <t xml:space="preserve">Share of channels complete</t>
  </si>
  <si>
    <t xml:space="preserve">Missing items (see Gaps)</t>
  </si>
  <si>
    <t xml:space="preserve">Tier order used</t>
  </si>
  <si>
    <t xml:space="preserve">T1 vendor_b → T2 vendor_a → T3 vendor_c</t>
  </si>
  <si>
    <t xml:space="preserve">Files this month (recognised automatically)</t>
  </si>
  <si>
    <t xml:space="preserve">File</t>
  </si>
  <si>
    <t xml:space="preserve">Recognised as</t>
  </si>
  <si>
    <t xml:space="preserve">Match</t>
  </si>
  <si>
    <t xml:space="preserve">Notes</t>
  </si>
  <si>
    <t xml:space="preserve">Aug request.xlsx</t>
  </si>
  <si>
    <t xml:space="preserve">request list</t>
  </si>
  <si>
    <t xml:space="preserve">Book1.xlsx</t>
  </si>
  <si>
    <t xml:space="preserve">vendor_c</t>
  </si>
  <si>
    <t xml:space="preserve">new unused column(s): notes</t>
  </si>
  <si>
    <t xml:space="preserve">creator_data_0812.xlsx</t>
  </si>
  <si>
    <t xml:space="preserve">vendor_a</t>
  </si>
  <si>
    <t xml:space="preserve">social_export_aug.xlsx</t>
  </si>
  <si>
    <t xml:space="preserve">vendor_b</t>
  </si>
  <si>
    <t xml:space="preserve">Primary role of complete creators</t>
  </si>
  <si>
    <t xml:space="preserve">Pillar</t>
  </si>
  <si>
    <t xml:space="preserve">Creators</t>
  </si>
  <si>
    <t xml:space="preserve">Who it finds</t>
  </si>
  <si>
    <t xml:space="preserve">The Pulse</t>
  </si>
  <si>
    <t xml:space="preserve">Attention: Creators who drive awareness and visibility</t>
  </si>
  <si>
    <t xml:space="preserve">The Lens</t>
  </si>
  <si>
    <t xml:space="preserve">Affiliation: Creators who establish credibility and in-the-know appeal</t>
  </si>
  <si>
    <t xml:space="preserve">The Hub</t>
  </si>
  <si>
    <t xml:space="preserve">Action: Creators who influence community participation and behavior</t>
  </si>
  <si>
    <t xml:space="preserve">Creators by number of channels requested</t>
  </si>
  <si>
    <t xml:space="preserve">Complete</t>
  </si>
  <si>
    <t xml:space="preserve">Share complete</t>
  </si>
  <si>
    <t xml:space="preserve">3 of 3</t>
  </si>
  <si>
    <t xml:space="preserve">2 of 3</t>
  </si>
  <si>
    <t xml:space="preserve">1 of 3</t>
  </si>
  <si>
    <t xml:space="preserve">Requested channels</t>
  </si>
  <si>
    <t xml:space="preserve">Channel</t>
  </si>
  <si>
    <t xml:space="preserve">Requested</t>
  </si>
  <si>
    <t xml:space="preserve">Complete after last tier</t>
  </si>
  <si>
    <t xml:space="preserve">instagram</t>
  </si>
  <si>
    <t xml:space="preserve">tiktok</t>
  </si>
  <si>
    <t xml:space="preserve">youtube</t>
  </si>
  <si>
    <t xml:space="preserve">Colour key</t>
  </si>
  <si>
    <t xml:space="preserve">Tier 1 value</t>
  </si>
  <si>
    <t xml:space="preserve">Tier 2 value</t>
  </si>
  <si>
    <t xml:space="preserve">Tier 3 value</t>
  </si>
  <si>
    <t xml:space="preserve">Still missing</t>
  </si>
  <si>
    <t xml:space="preserve">Creator Leaderboard — The Pulse · The Lens · The Hub</t>
  </si>
  <si>
    <t xml:space="preserve">Scores are 0–100 percentiles: each channel is compared with requested channels on the same platform (growth also within follower-size band), then averaged over the creator's requested channels. Blank Hub score = likes hidden on every channel.</t>
  </si>
  <si>
    <t xml:space="preserve">Creator</t>
  </si>
  <si>
    <t xml:space="preserve">Creator ID</t>
  </si>
  <si>
    <t xml:space="preserve">Country</t>
  </si>
  <si>
    <t xml:space="preserve">Category</t>
  </si>
  <si>
    <t xml:space="preserve">Channels</t>
  </si>
  <si>
    <t xml:space="preserve">Total followers</t>
  </si>
  <si>
    <t xml:space="preserve">The Pulse score</t>
  </si>
  <si>
    <t xml:space="preserve">The Pulse rank</t>
  </si>
  <si>
    <t xml:space="preserve">The Lens score</t>
  </si>
  <si>
    <t xml:space="preserve">The Lens rank</t>
  </si>
  <si>
    <t xml:space="preserve">The Hub score</t>
  </si>
  <si>
    <t xml:space="preserve">The Hub rank</t>
  </si>
  <si>
    <t xml:space="preserve">Primary role</t>
  </si>
  <si>
    <t xml:space="preserve">Confidence</t>
  </si>
  <si>
    <t xml:space="preserve">Sources</t>
  </si>
  <si>
    <t xml:space="preserve">Creator 1133</t>
  </si>
  <si>
    <t xml:space="preserve">CR01133</t>
  </si>
  <si>
    <t xml:space="preserve">CA</t>
  </si>
  <si>
    <t xml:space="preserve">education</t>
  </si>
  <si>
    <t xml:space="preserve">High</t>
  </si>
  <si>
    <t xml:space="preserve">Creator 85</t>
  </si>
  <si>
    <t xml:space="preserve">CR00085</t>
  </si>
  <si>
    <t xml:space="preserve">FR</t>
  </si>
  <si>
    <t xml:space="preserve">beauty</t>
  </si>
  <si>
    <t xml:space="preserve">Medium</t>
  </si>
  <si>
    <t xml:space="preserve">Creator 711</t>
  </si>
  <si>
    <t xml:space="preserve">CR00711</t>
  </si>
  <si>
    <t xml:space="preserve">BR</t>
  </si>
  <si>
    <t xml:space="preserve">fitness</t>
  </si>
  <si>
    <t xml:space="preserve">Creator 1332</t>
  </si>
  <si>
    <t xml:space="preserve">CR01332</t>
  </si>
  <si>
    <t xml:space="preserve">JP</t>
  </si>
  <si>
    <t xml:space="preserve">food</t>
  </si>
  <si>
    <t xml:space="preserve">vendor_a, vendor_b</t>
  </si>
  <si>
    <t xml:space="preserve">Creator 41</t>
  </si>
  <si>
    <t xml:space="preserve">CR00041</t>
  </si>
  <si>
    <t xml:space="preserve">IN</t>
  </si>
  <si>
    <t xml:space="preserve">instagram, youtube</t>
  </si>
  <si>
    <t xml:space="preserve">Creator 246</t>
  </si>
  <si>
    <t xml:space="preserve">CR00246</t>
  </si>
  <si>
    <t xml:space="preserve">US</t>
  </si>
  <si>
    <t xml:space="preserve">Creator 357</t>
  </si>
  <si>
    <t xml:space="preserve">CR00357</t>
  </si>
  <si>
    <t xml:space="preserve">MX</t>
  </si>
  <si>
    <t xml:space="preserve">instagram, tiktok, youtube</t>
  </si>
  <si>
    <t xml:space="preserve">Creator 1263</t>
  </si>
  <si>
    <t xml:space="preserve">CR01263</t>
  </si>
  <si>
    <t xml:space="preserve">finance</t>
  </si>
  <si>
    <t xml:space="preserve">Creator 182</t>
  </si>
  <si>
    <t xml:space="preserve">CR00182</t>
  </si>
  <si>
    <t xml:space="preserve">gaming</t>
  </si>
  <si>
    <t xml:space="preserve">tiktok, youtube</t>
  </si>
  <si>
    <t xml:space="preserve">Creator 20</t>
  </si>
  <si>
    <t xml:space="preserve">CR00020</t>
  </si>
  <si>
    <t xml:space="preserve">Low</t>
  </si>
  <si>
    <t xml:space="preserve">vendor_a, vendor_c</t>
  </si>
  <si>
    <t xml:space="preserve">Creator 699</t>
  </si>
  <si>
    <t xml:space="preserve">CR00699</t>
  </si>
  <si>
    <t xml:space="preserve">Creator 361</t>
  </si>
  <si>
    <t xml:space="preserve">CR00361</t>
  </si>
  <si>
    <t xml:space="preserve">GB</t>
  </si>
  <si>
    <t xml:space="preserve">Creator 497</t>
  </si>
  <si>
    <t xml:space="preserve">CR00497</t>
  </si>
  <si>
    <t xml:space="preserve">Creator 423</t>
  </si>
  <si>
    <t xml:space="preserve">CR00423</t>
  </si>
  <si>
    <t xml:space="preserve">travel</t>
  </si>
  <si>
    <t xml:space="preserve">Creator 1359</t>
  </si>
  <si>
    <t xml:space="preserve">CR01359</t>
  </si>
  <si>
    <t xml:space="preserve">DE</t>
  </si>
  <si>
    <t xml:space="preserve">tech</t>
  </si>
  <si>
    <t xml:space="preserve">Creator 1118</t>
  </si>
  <si>
    <t xml:space="preserve">CR01118</t>
  </si>
  <si>
    <t xml:space="preserve">music</t>
  </si>
  <si>
    <t xml:space="preserve">Creator 216</t>
  </si>
  <si>
    <t xml:space="preserve">CR00216</t>
  </si>
  <si>
    <t xml:space="preserve">Creator 481</t>
  </si>
  <si>
    <t xml:space="preserve">CR00481</t>
  </si>
  <si>
    <t xml:space="preserve">Creator 789</t>
  </si>
  <si>
    <t xml:space="preserve">CR00789</t>
  </si>
  <si>
    <t xml:space="preserve">vendor_a, vendor_b, vendor_c</t>
  </si>
  <si>
    <t xml:space="preserve">Creator 238</t>
  </si>
  <si>
    <t xml:space="preserve">CR00238</t>
  </si>
  <si>
    <t xml:space="preserve">Creator 305</t>
  </si>
  <si>
    <t xml:space="preserve">CR00305</t>
  </si>
  <si>
    <t xml:space="preserve">Creator 1285</t>
  </si>
  <si>
    <t xml:space="preserve">CR01285</t>
  </si>
  <si>
    <t xml:space="preserve">Creator 480</t>
  </si>
  <si>
    <t xml:space="preserve">CR00480</t>
  </si>
  <si>
    <t xml:space="preserve">Creator 1314</t>
  </si>
  <si>
    <t xml:space="preserve">CR01314</t>
  </si>
  <si>
    <t xml:space="preserve">Creator 627</t>
  </si>
  <si>
    <t xml:space="preserve">CR00627</t>
  </si>
  <si>
    <t xml:space="preserve">Creator 1132</t>
  </si>
  <si>
    <t xml:space="preserve">CR01132</t>
  </si>
  <si>
    <t xml:space="preserve">instagram, tiktok</t>
  </si>
  <si>
    <t xml:space="preserve">Creator 1325</t>
  </si>
  <si>
    <t xml:space="preserve">CR01325</t>
  </si>
  <si>
    <t xml:space="preserve">Creator 78</t>
  </si>
  <si>
    <t xml:space="preserve">CR00078</t>
  </si>
  <si>
    <t xml:space="preserve">comedy</t>
  </si>
  <si>
    <t xml:space="preserve">vendor_b, vendor_c</t>
  </si>
  <si>
    <t xml:space="preserve">Creator 582</t>
  </si>
  <si>
    <t xml:space="preserve">CR00582</t>
  </si>
  <si>
    <t xml:space="preserve">Creator 620</t>
  </si>
  <si>
    <t xml:space="preserve">CR00620</t>
  </si>
  <si>
    <t xml:space="preserve">Creator 1394</t>
  </si>
  <si>
    <t xml:space="preserve">CR01394</t>
  </si>
  <si>
    <t xml:space="preserve">KR</t>
  </si>
  <si>
    <t xml:space="preserve">Creator 1199</t>
  </si>
  <si>
    <t xml:space="preserve">CR01199</t>
  </si>
  <si>
    <t xml:space="preserve">Creator 1161</t>
  </si>
  <si>
    <t xml:space="preserve">CR01161</t>
  </si>
  <si>
    <t xml:space="preserve">Creator 1355</t>
  </si>
  <si>
    <t xml:space="preserve">CR01355</t>
  </si>
  <si>
    <t xml:space="preserve">Creator 1373</t>
  </si>
  <si>
    <t xml:space="preserve">CR01373</t>
  </si>
  <si>
    <t xml:space="preserve">Creator 662</t>
  </si>
  <si>
    <t xml:space="preserve">CR00662</t>
  </si>
  <si>
    <t xml:space="preserve">Creator 1327</t>
  </si>
  <si>
    <t xml:space="preserve">CR01327</t>
  </si>
  <si>
    <t xml:space="preserve">Creator 1239</t>
  </si>
  <si>
    <t xml:space="preserve">CR01239</t>
  </si>
  <si>
    <t xml:space="preserve">Creator 288</t>
  </si>
  <si>
    <t xml:space="preserve">CR00288</t>
  </si>
  <si>
    <t xml:space="preserve">Creator 347</t>
  </si>
  <si>
    <t xml:space="preserve">CR00347</t>
  </si>
  <si>
    <t xml:space="preserve">Creator 401</t>
  </si>
  <si>
    <t xml:space="preserve">CR00401</t>
  </si>
  <si>
    <t xml:space="preserve">Creator 1085</t>
  </si>
  <si>
    <t xml:space="preserve">CR01085</t>
  </si>
  <si>
    <t xml:space="preserve">Creator 604</t>
  </si>
  <si>
    <t xml:space="preserve">CR00604</t>
  </si>
  <si>
    <t xml:space="preserve">Creator 193</t>
  </si>
  <si>
    <t xml:space="preserve">CR00193</t>
  </si>
  <si>
    <t xml:space="preserve">Creator 27</t>
  </si>
  <si>
    <t xml:space="preserve">CR00027</t>
  </si>
  <si>
    <t xml:space="preserve">Creator 791</t>
  </si>
  <si>
    <t xml:space="preserve">CR00791</t>
  </si>
  <si>
    <t xml:space="preserve">Creator 437</t>
  </si>
  <si>
    <t xml:space="preserve">CR00437</t>
  </si>
  <si>
    <t xml:space="preserve">Creator 96</t>
  </si>
  <si>
    <t xml:space="preserve">CR00096</t>
  </si>
  <si>
    <t xml:space="preserve">Creator 1129</t>
  </si>
  <si>
    <t xml:space="preserve">CR01129</t>
  </si>
  <si>
    <t xml:space="preserve">Creator 76</t>
  </si>
  <si>
    <t xml:space="preserve">CR00076</t>
  </si>
  <si>
    <t xml:space="preserve">Creator 1079</t>
  </si>
  <si>
    <t xml:space="preserve">CR01079</t>
  </si>
  <si>
    <t xml:space="preserve">Creator 1201</t>
  </si>
  <si>
    <t xml:space="preserve">CR01201</t>
  </si>
  <si>
    <t xml:space="preserve">Creator 1100</t>
  </si>
  <si>
    <t xml:space="preserve">CR01100</t>
  </si>
  <si>
    <t xml:space="preserve">Creator 1231</t>
  </si>
  <si>
    <t xml:space="preserve">CR01231</t>
  </si>
  <si>
    <t xml:space="preserve">Creator 1103</t>
  </si>
  <si>
    <t xml:space="preserve">CR01103</t>
  </si>
  <si>
    <t xml:space="preserve">Creator 1249</t>
  </si>
  <si>
    <t xml:space="preserve">CR01249</t>
  </si>
  <si>
    <t xml:space="preserve">Creator 588</t>
  </si>
  <si>
    <t xml:space="preserve">CR00588</t>
  </si>
  <si>
    <t xml:space="preserve">Creator 234</t>
  </si>
  <si>
    <t xml:space="preserve">CR00234</t>
  </si>
  <si>
    <t xml:space="preserve">Creator 439</t>
  </si>
  <si>
    <t xml:space="preserve">CR00439</t>
  </si>
  <si>
    <t xml:space="preserve">Creator 38</t>
  </si>
  <si>
    <t xml:space="preserve">CR00038</t>
  </si>
  <si>
    <t xml:space="preserve">Creator 194</t>
  </si>
  <si>
    <t xml:space="preserve">CR00194</t>
  </si>
  <si>
    <t xml:space="preserve">Creator 928</t>
  </si>
  <si>
    <t xml:space="preserve">CR00928</t>
  </si>
  <si>
    <t xml:space="preserve">Creator 908</t>
  </si>
  <si>
    <t xml:space="preserve">CR00908</t>
  </si>
  <si>
    <t xml:space="preserve">Creator 860</t>
  </si>
  <si>
    <t xml:space="preserve">CR00860</t>
  </si>
  <si>
    <t xml:space="preserve">Creator 379</t>
  </si>
  <si>
    <t xml:space="preserve">CR00379</t>
  </si>
  <si>
    <t xml:space="preserve">Creator 1492</t>
  </si>
  <si>
    <t xml:space="preserve">CR01492</t>
  </si>
  <si>
    <t xml:space="preserve">Creator 581</t>
  </si>
  <si>
    <t xml:space="preserve">CR00581</t>
  </si>
  <si>
    <t xml:space="preserve">Creator 623</t>
  </si>
  <si>
    <t xml:space="preserve">CR00623</t>
  </si>
  <si>
    <t xml:space="preserve">Creator 328</t>
  </si>
  <si>
    <t xml:space="preserve">CR00328</t>
  </si>
  <si>
    <t xml:space="preserve">Creator 431</t>
  </si>
  <si>
    <t xml:space="preserve">CR00431</t>
  </si>
  <si>
    <t xml:space="preserve">Creator 939</t>
  </si>
  <si>
    <t xml:space="preserve">CR00939</t>
  </si>
  <si>
    <t xml:space="preserve">Creator 859</t>
  </si>
  <si>
    <t xml:space="preserve">CR00859</t>
  </si>
  <si>
    <t xml:space="preserve">Creator 1312</t>
  </si>
  <si>
    <t xml:space="preserve">CR01312</t>
  </si>
  <si>
    <t xml:space="preserve">Creator 73</t>
  </si>
  <si>
    <t xml:space="preserve">CR00073</t>
  </si>
  <si>
    <t xml:space="preserve">Creator 404</t>
  </si>
  <si>
    <t xml:space="preserve">CR00404</t>
  </si>
  <si>
    <t xml:space="preserve">Creator 252</t>
  </si>
  <si>
    <t xml:space="preserve">CR00252</t>
  </si>
  <si>
    <t xml:space="preserve">Creator 1254</t>
  </si>
  <si>
    <t xml:space="preserve">CR01254</t>
  </si>
  <si>
    <t xml:space="preserve">Creator 1084</t>
  </si>
  <si>
    <t xml:space="preserve">CR01084</t>
  </si>
  <si>
    <t xml:space="preserve">Creator 938</t>
  </si>
  <si>
    <t xml:space="preserve">CR00938</t>
  </si>
  <si>
    <t xml:space="preserve">Creator 518</t>
  </si>
  <si>
    <t xml:space="preserve">CR00518</t>
  </si>
  <si>
    <t xml:space="preserve">Creator 668</t>
  </si>
  <si>
    <t xml:space="preserve">CR00668</t>
  </si>
  <si>
    <t xml:space="preserve">Creator 336</t>
  </si>
  <si>
    <t xml:space="preserve">CR00336</t>
  </si>
  <si>
    <t xml:space="preserve">Creator 390</t>
  </si>
  <si>
    <t xml:space="preserve">CR00390</t>
  </si>
  <si>
    <t xml:space="preserve">Creator 1341</t>
  </si>
  <si>
    <t xml:space="preserve">CR01341</t>
  </si>
  <si>
    <t xml:space="preserve">Creator 1144</t>
  </si>
  <si>
    <t xml:space="preserve">CR01144</t>
  </si>
  <si>
    <t xml:space="preserve">Creator 435</t>
  </si>
  <si>
    <t xml:space="preserve">CR00435</t>
  </si>
  <si>
    <t xml:space="preserve">Creator 522</t>
  </si>
  <si>
    <t xml:space="preserve">CR00522</t>
  </si>
  <si>
    <t xml:space="preserve">Creator 990</t>
  </si>
  <si>
    <t xml:space="preserve">CR00990</t>
  </si>
  <si>
    <t xml:space="preserve">Creator 99</t>
  </si>
  <si>
    <t xml:space="preserve">CR00099</t>
  </si>
  <si>
    <t xml:space="preserve">Creator 779</t>
  </si>
  <si>
    <t xml:space="preserve">CR00779</t>
  </si>
  <si>
    <t xml:space="preserve">Creator 766</t>
  </si>
  <si>
    <t xml:space="preserve">CR00766</t>
  </si>
  <si>
    <t xml:space="preserve">Creator 1004</t>
  </si>
  <si>
    <t xml:space="preserve">CR01004</t>
  </si>
  <si>
    <t xml:space="preserve">Creator 1322</t>
  </si>
  <si>
    <t xml:space="preserve">CR01322</t>
  </si>
  <si>
    <t xml:space="preserve">Creator 979</t>
  </si>
  <si>
    <t xml:space="preserve">CR00979</t>
  </si>
  <si>
    <t xml:space="preserve">Creator 641</t>
  </si>
  <si>
    <t xml:space="preserve">CR00641</t>
  </si>
  <si>
    <t xml:space="preserve">Creator 734</t>
  </si>
  <si>
    <t xml:space="preserve">CR00734</t>
  </si>
  <si>
    <t xml:space="preserve">Creator 1354</t>
  </si>
  <si>
    <t xml:space="preserve">CR01354</t>
  </si>
  <si>
    <t xml:space="preserve">Creator 1424</t>
  </si>
  <si>
    <t xml:space="preserve">CR01424</t>
  </si>
  <si>
    <t xml:space="preserve">Creator 457</t>
  </si>
  <si>
    <t xml:space="preserve">CR00457</t>
  </si>
  <si>
    <t xml:space="preserve">Creator 1204</t>
  </si>
  <si>
    <t xml:space="preserve">CR01204</t>
  </si>
  <si>
    <t xml:space="preserve">Creator 146</t>
  </si>
  <si>
    <t xml:space="preserve">CR00146</t>
  </si>
  <si>
    <t xml:space="preserve">Creator 471</t>
  </si>
  <si>
    <t xml:space="preserve">CR00471</t>
  </si>
  <si>
    <t xml:space="preserve">Creator 103</t>
  </si>
  <si>
    <t xml:space="preserve">CR00103</t>
  </si>
  <si>
    <t xml:space="preserve">Creator 1011</t>
  </si>
  <si>
    <t xml:space="preserve">CR01011</t>
  </si>
  <si>
    <t xml:space="preserve">Creator 1274</t>
  </si>
  <si>
    <t xml:space="preserve">CR01274</t>
  </si>
  <si>
    <t xml:space="preserve">Creator 1350</t>
  </si>
  <si>
    <t xml:space="preserve">CR01350</t>
  </si>
  <si>
    <t xml:space="preserve">Creator 46</t>
  </si>
  <si>
    <t xml:space="preserve">CR00046</t>
  </si>
  <si>
    <t xml:space="preserve">Creator 1181</t>
  </si>
  <si>
    <t xml:space="preserve">CR01181</t>
  </si>
  <si>
    <t xml:space="preserve">Creator 570</t>
  </si>
  <si>
    <t xml:space="preserve">CR00570</t>
  </si>
  <si>
    <t xml:space="preserve">Creator 408</t>
  </si>
  <si>
    <t xml:space="preserve">CR00408</t>
  </si>
  <si>
    <t xml:space="preserve">Creator 180</t>
  </si>
  <si>
    <t xml:space="preserve">CR00180</t>
  </si>
  <si>
    <t xml:space="preserve">Creator 1386</t>
  </si>
  <si>
    <t xml:space="preserve">CR01386</t>
  </si>
  <si>
    <t xml:space="preserve">Creator 86</t>
  </si>
  <si>
    <t xml:space="preserve">CR00086</t>
  </si>
  <si>
    <t xml:space="preserve">Creator 709</t>
  </si>
  <si>
    <t xml:space="preserve">CR00709</t>
  </si>
  <si>
    <t xml:space="preserve">Creator 552</t>
  </si>
  <si>
    <t xml:space="preserve">CR00552</t>
  </si>
  <si>
    <t xml:space="preserve">Creator 680</t>
  </si>
  <si>
    <t xml:space="preserve">CR00680</t>
  </si>
  <si>
    <t xml:space="preserve">Creator 116</t>
  </si>
  <si>
    <t xml:space="preserve">CR00116</t>
  </si>
  <si>
    <t xml:space="preserve">Creator 1253</t>
  </si>
  <si>
    <t xml:space="preserve">CR01253</t>
  </si>
  <si>
    <t xml:space="preserve">Creator 147</t>
  </si>
  <si>
    <t xml:space="preserve">CR00147</t>
  </si>
  <si>
    <t xml:space="preserve">Creator 624</t>
  </si>
  <si>
    <t xml:space="preserve">CR00624</t>
  </si>
  <si>
    <t xml:space="preserve">Creator 1427</t>
  </si>
  <si>
    <t xml:space="preserve">CR01427</t>
  </si>
  <si>
    <t xml:space="preserve">Creator 919</t>
  </si>
  <si>
    <t xml:space="preserve">CR00919</t>
  </si>
  <si>
    <t xml:space="preserve">Creator 535</t>
  </si>
  <si>
    <t xml:space="preserve">CR00535</t>
  </si>
  <si>
    <t xml:space="preserve">Creator 1031</t>
  </si>
  <si>
    <t xml:space="preserve">CR01031</t>
  </si>
  <si>
    <t xml:space="preserve">Creator 566</t>
  </si>
  <si>
    <t xml:space="preserve">CR00566</t>
  </si>
  <si>
    <t xml:space="preserve">Creator 1309</t>
  </si>
  <si>
    <t xml:space="preserve">CR01309</t>
  </si>
  <si>
    <t xml:space="preserve">Creator 338</t>
  </si>
  <si>
    <t xml:space="preserve">CR00338</t>
  </si>
  <si>
    <t xml:space="preserve">Creator 995</t>
  </si>
  <si>
    <t xml:space="preserve">CR00995</t>
  </si>
  <si>
    <t xml:space="preserve">Creator 107</t>
  </si>
  <si>
    <t xml:space="preserve">CR00107</t>
  </si>
  <si>
    <t xml:space="preserve">Creator 751</t>
  </si>
  <si>
    <t xml:space="preserve">CR00751</t>
  </si>
  <si>
    <t xml:space="preserve">Creator 189</t>
  </si>
  <si>
    <t xml:space="preserve">CR00189</t>
  </si>
  <si>
    <t xml:space="preserve">Creator 32</t>
  </si>
  <si>
    <t xml:space="preserve">CR00032</t>
  </si>
  <si>
    <t xml:space="preserve">Creator 100</t>
  </si>
  <si>
    <t xml:space="preserve">CR00100</t>
  </si>
  <si>
    <t xml:space="preserve">Creator 261</t>
  </si>
  <si>
    <t xml:space="preserve">CR00261</t>
  </si>
  <si>
    <t xml:space="preserve">Creator 1454</t>
  </si>
  <si>
    <t xml:space="preserve">CR01454</t>
  </si>
  <si>
    <t xml:space="preserve">Creator 1255</t>
  </si>
  <si>
    <t xml:space="preserve">CR01255</t>
  </si>
  <si>
    <t xml:space="preserve">Creator 126</t>
  </si>
  <si>
    <t xml:space="preserve">CR00126</t>
  </si>
  <si>
    <t xml:space="preserve">Creator 135</t>
  </si>
  <si>
    <t xml:space="preserve">CR00135</t>
  </si>
  <si>
    <t xml:space="preserve">Creator 1096</t>
  </si>
  <si>
    <t xml:space="preserve">CR01096</t>
  </si>
  <si>
    <t xml:space="preserve">Creator 150</t>
  </si>
  <si>
    <t xml:space="preserve">CR00150</t>
  </si>
  <si>
    <t xml:space="preserve">Creator 808</t>
  </si>
  <si>
    <t xml:space="preserve">CR00808</t>
  </si>
  <si>
    <t xml:space="preserve">Creator 300</t>
  </si>
  <si>
    <t xml:space="preserve">CR00300</t>
  </si>
  <si>
    <t xml:space="preserve">Creator 1287</t>
  </si>
  <si>
    <t xml:space="preserve">CR01287</t>
  </si>
  <si>
    <t xml:space="preserve">Creator 848</t>
  </si>
  <si>
    <t xml:space="preserve">CR00848</t>
  </si>
  <si>
    <t xml:space="preserve">Creator 383</t>
  </si>
  <si>
    <t xml:space="preserve">CR00383</t>
  </si>
  <si>
    <t xml:space="preserve">Creator 1064</t>
  </si>
  <si>
    <t xml:space="preserve">CR01064</t>
  </si>
  <si>
    <t xml:space="preserve">Creator 224</t>
  </si>
  <si>
    <t xml:space="preserve">CR00224</t>
  </si>
  <si>
    <t xml:space="preserve">Creator 735</t>
  </si>
  <si>
    <t xml:space="preserve">CR00735</t>
  </si>
  <si>
    <t xml:space="preserve">Creator 559</t>
  </si>
  <si>
    <t xml:space="preserve">CR00559</t>
  </si>
  <si>
    <t xml:space="preserve">Creator 1489</t>
  </si>
  <si>
    <t xml:space="preserve">CR01489</t>
  </si>
  <si>
    <t xml:space="preserve">Creator 882</t>
  </si>
  <si>
    <t xml:space="preserve">CR00882</t>
  </si>
  <si>
    <t xml:space="preserve">Creator 321</t>
  </si>
  <si>
    <t xml:space="preserve">CR00321</t>
  </si>
  <si>
    <t xml:space="preserve">Creator 977</t>
  </si>
  <si>
    <t xml:space="preserve">CR00977</t>
  </si>
  <si>
    <t xml:space="preserve">Creator 427</t>
  </si>
  <si>
    <t xml:space="preserve">CR00427</t>
  </si>
  <si>
    <t xml:space="preserve">Creator 985</t>
  </si>
  <si>
    <t xml:space="preserve">CR00985</t>
  </si>
  <si>
    <t xml:space="preserve">Creator 731</t>
  </si>
  <si>
    <t xml:space="preserve">CR00731</t>
  </si>
  <si>
    <t xml:space="preserve">Creator 1224</t>
  </si>
  <si>
    <t xml:space="preserve">CR01224</t>
  </si>
  <si>
    <t xml:space="preserve">Creator 465</t>
  </si>
  <si>
    <t xml:space="preserve">CR00465</t>
  </si>
  <si>
    <t xml:space="preserve">Creator 1301</t>
  </si>
  <si>
    <t xml:space="preserve">CR01301</t>
  </si>
  <si>
    <t xml:space="preserve">Creator 530</t>
  </si>
  <si>
    <t xml:space="preserve">CR00530</t>
  </si>
  <si>
    <t xml:space="preserve">Creator 233</t>
  </si>
  <si>
    <t xml:space="preserve">CR00233</t>
  </si>
  <si>
    <t xml:space="preserve">Creator 1449</t>
  </si>
  <si>
    <t xml:space="preserve">CR01449</t>
  </si>
  <si>
    <t xml:space="preserve">Creator 551</t>
  </si>
  <si>
    <t xml:space="preserve">CR00551</t>
  </si>
  <si>
    <t xml:space="preserve">Creator 546</t>
  </si>
  <si>
    <t xml:space="preserve">CR00546</t>
  </si>
  <si>
    <t xml:space="preserve">Creator 829</t>
  </si>
  <si>
    <t xml:space="preserve">CR00829</t>
  </si>
  <si>
    <t xml:space="preserve">Creator 1472</t>
  </si>
  <si>
    <t xml:space="preserve">CR01472</t>
  </si>
  <si>
    <t xml:space="preserve">Creator 806</t>
  </si>
  <si>
    <t xml:space="preserve">CR00806</t>
  </si>
  <si>
    <t xml:space="preserve">Creator 732</t>
  </si>
  <si>
    <t xml:space="preserve">CR00732</t>
  </si>
  <si>
    <t xml:space="preserve">Creator 90</t>
  </si>
  <si>
    <t xml:space="preserve">CR00090</t>
  </si>
  <si>
    <t xml:space="preserve">Creator 721</t>
  </si>
  <si>
    <t xml:space="preserve">CR00721</t>
  </si>
  <si>
    <t xml:space="preserve">Creator 553</t>
  </si>
  <si>
    <t xml:space="preserve">CR00553</t>
  </si>
  <si>
    <t xml:space="preserve">Creator 595</t>
  </si>
  <si>
    <t xml:space="preserve">CR00595</t>
  </si>
  <si>
    <t xml:space="preserve">Creator 1276</t>
  </si>
  <si>
    <t xml:space="preserve">CR01276</t>
  </si>
  <si>
    <t xml:space="preserve">Creator 511</t>
  </si>
  <si>
    <t xml:space="preserve">CR00511</t>
  </si>
  <si>
    <t xml:space="preserve">Creator 327</t>
  </si>
  <si>
    <t xml:space="preserve">CR00327</t>
  </si>
  <si>
    <t xml:space="preserve">Creator 970</t>
  </si>
  <si>
    <t xml:space="preserve">CR00970</t>
  </si>
  <si>
    <t xml:space="preserve">Creator 1106</t>
  </si>
  <si>
    <t xml:space="preserve">CR01106</t>
  </si>
  <si>
    <t xml:space="preserve">Creator 202</t>
  </si>
  <si>
    <t xml:space="preserve">CR00202</t>
  </si>
  <si>
    <t xml:space="preserve">Creator 1349</t>
  </si>
  <si>
    <t xml:space="preserve">CR01349</t>
  </si>
  <si>
    <t xml:space="preserve">Creator 1448</t>
  </si>
  <si>
    <t xml:space="preserve">CR01448</t>
  </si>
  <si>
    <t xml:space="preserve">Creator 856</t>
  </si>
  <si>
    <t xml:space="preserve">CR00856</t>
  </si>
  <si>
    <t xml:space="preserve">Creator 847</t>
  </si>
  <si>
    <t xml:space="preserve">CR00847</t>
  </si>
  <si>
    <t xml:space="preserve">Creator 836</t>
  </si>
  <si>
    <t xml:space="preserve">CR00836</t>
  </si>
  <si>
    <t xml:space="preserve">Creator 569</t>
  </si>
  <si>
    <t xml:space="preserve">CR00569</t>
  </si>
  <si>
    <t xml:space="preserve">Creator 1168</t>
  </si>
  <si>
    <t xml:space="preserve">CR01168</t>
  </si>
  <si>
    <t xml:space="preserve">Creator 857</t>
  </si>
  <si>
    <t xml:space="preserve">CR00857</t>
  </si>
  <si>
    <t xml:space="preserve">Creator 11</t>
  </si>
  <si>
    <t xml:space="preserve">CR00011</t>
  </si>
  <si>
    <t xml:space="preserve">Creator 663</t>
  </si>
  <si>
    <t xml:space="preserve">CR00663</t>
  </si>
  <si>
    <t xml:space="preserve">Creator 393</t>
  </si>
  <si>
    <t xml:space="preserve">CR00393</t>
  </si>
  <si>
    <t xml:space="preserve">Creator 1300</t>
  </si>
  <si>
    <t xml:space="preserve">CR01300</t>
  </si>
  <si>
    <t xml:space="preserve">Creator 395</t>
  </si>
  <si>
    <t xml:space="preserve">CR00395</t>
  </si>
  <si>
    <t xml:space="preserve">Creator 1193</t>
  </si>
  <si>
    <t xml:space="preserve">CR01193</t>
  </si>
  <si>
    <t xml:space="preserve">Creator 741</t>
  </si>
  <si>
    <t xml:space="preserve">CR00741</t>
  </si>
  <si>
    <t xml:space="preserve">Creator 914</t>
  </si>
  <si>
    <t xml:space="preserve">CR00914</t>
  </si>
  <si>
    <t xml:space="preserve">Creator 1227</t>
  </si>
  <si>
    <t xml:space="preserve">CR01227</t>
  </si>
  <si>
    <t xml:space="preserve">Creator 1165</t>
  </si>
  <si>
    <t xml:space="preserve">CR01165</t>
  </si>
  <si>
    <t xml:space="preserve">Creator 272</t>
  </si>
  <si>
    <t xml:space="preserve">CR00272</t>
  </si>
  <si>
    <t xml:space="preserve">Creator 855</t>
  </si>
  <si>
    <t xml:space="preserve">CR00855</t>
  </si>
  <si>
    <t xml:space="preserve">Creator 690</t>
  </si>
  <si>
    <t xml:space="preserve">CR00690</t>
  </si>
  <si>
    <t xml:space="preserve">Creator 33</t>
  </si>
  <si>
    <t xml:space="preserve">CR00033</t>
  </si>
  <si>
    <t xml:space="preserve">Creator 358</t>
  </si>
  <si>
    <t xml:space="preserve">CR00358</t>
  </si>
  <si>
    <t xml:space="preserve">Creator 579</t>
  </si>
  <si>
    <t xml:space="preserve">CR00579</t>
  </si>
  <si>
    <t xml:space="preserve">Creator 1482</t>
  </si>
  <si>
    <t xml:space="preserve">CR01482</t>
  </si>
  <si>
    <t xml:space="preserve">Creator 266</t>
  </si>
  <si>
    <t xml:space="preserve">CR00266</t>
  </si>
  <si>
    <t xml:space="preserve">Creator 955</t>
  </si>
  <si>
    <t xml:space="preserve">CR00955</t>
  </si>
  <si>
    <t xml:space="preserve">Creator 999</t>
  </si>
  <si>
    <t xml:space="preserve">CR00999</t>
  </si>
  <si>
    <t xml:space="preserve">Creator 1268</t>
  </si>
  <si>
    <t xml:space="preserve">CR01268</t>
  </si>
  <si>
    <t xml:space="preserve">Creator 1241</t>
  </si>
  <si>
    <t xml:space="preserve">CR01241</t>
  </si>
  <si>
    <t xml:space="preserve">Creator 1236</t>
  </si>
  <si>
    <t xml:space="preserve">CR01236</t>
  </si>
  <si>
    <t xml:space="preserve">Creator 254</t>
  </si>
  <si>
    <t xml:space="preserve">CR00254</t>
  </si>
  <si>
    <t xml:space="preserve">Creator 523</t>
  </si>
  <si>
    <t xml:space="preserve">CR00523</t>
  </si>
  <si>
    <t xml:space="preserve">Creator 291</t>
  </si>
  <si>
    <t xml:space="preserve">CR00291</t>
  </si>
  <si>
    <t xml:space="preserve">Creator 936</t>
  </si>
  <si>
    <t xml:space="preserve">CR00936</t>
  </si>
  <si>
    <t xml:space="preserve">Creator 1035</t>
  </si>
  <si>
    <t xml:space="preserve">CR01035</t>
  </si>
  <si>
    <t xml:space="preserve">Creator 1406</t>
  </si>
  <si>
    <t xml:space="preserve">CR01406</t>
  </si>
  <si>
    <t xml:space="preserve">Creator 267</t>
  </si>
  <si>
    <t xml:space="preserve">CR00267</t>
  </si>
  <si>
    <t xml:space="preserve">Creator 416</t>
  </si>
  <si>
    <t xml:space="preserve">CR00416</t>
  </si>
  <si>
    <t xml:space="preserve">Creator 1455</t>
  </si>
  <si>
    <t xml:space="preserve">CR01455</t>
  </si>
  <si>
    <t xml:space="preserve">Creator 754</t>
  </si>
  <si>
    <t xml:space="preserve">CR00754</t>
  </si>
  <si>
    <t xml:space="preserve">Creator 1343</t>
  </si>
  <si>
    <t xml:space="preserve">CR01343</t>
  </si>
  <si>
    <t xml:space="preserve">Creator 1017</t>
  </si>
  <si>
    <t xml:space="preserve">CR01017</t>
  </si>
  <si>
    <t xml:space="preserve">Creator 956</t>
  </si>
  <si>
    <t xml:space="preserve">CR00956</t>
  </si>
  <si>
    <t xml:space="preserve">Creator 1189</t>
  </si>
  <si>
    <t xml:space="preserve">CR01189</t>
  </si>
  <si>
    <t xml:space="preserve">Creator 759</t>
  </si>
  <si>
    <t xml:space="preserve">CR00759</t>
  </si>
  <si>
    <t xml:space="preserve">Creator 1030</t>
  </si>
  <si>
    <t xml:space="preserve">CR01030</t>
  </si>
  <si>
    <t xml:space="preserve">Creator 891</t>
  </si>
  <si>
    <t xml:space="preserve">CR00891</t>
  </si>
  <si>
    <t xml:space="preserve">Creator 1223</t>
  </si>
  <si>
    <t xml:space="preserve">CR01223</t>
  </si>
  <si>
    <t xml:space="preserve">Creator 1101</t>
  </si>
  <si>
    <t xml:space="preserve">CR01101</t>
  </si>
  <si>
    <t xml:space="preserve">Creator 87</t>
  </si>
  <si>
    <t xml:space="preserve">CR00087</t>
  </si>
  <si>
    <t xml:space="preserve">Creator 940</t>
  </si>
  <si>
    <t xml:space="preserve">CR00940</t>
  </si>
  <si>
    <t xml:space="preserve">Creator 897</t>
  </si>
  <si>
    <t xml:space="preserve">CR00897</t>
  </si>
  <si>
    <t xml:space="preserve">Creator 62</t>
  </si>
  <si>
    <t xml:space="preserve">CR00062</t>
  </si>
  <si>
    <t xml:space="preserve">Creator 57</t>
  </si>
  <si>
    <t xml:space="preserve">CR00057</t>
  </si>
  <si>
    <t xml:space="preserve">Creator 809</t>
  </si>
  <si>
    <t xml:space="preserve">CR00809</t>
  </si>
  <si>
    <t xml:space="preserve">Creator 911</t>
  </si>
  <si>
    <t xml:space="preserve">CR00911</t>
  </si>
  <si>
    <t xml:space="preserve">Creator 282</t>
  </si>
  <si>
    <t xml:space="preserve">CR00282</t>
  </si>
  <si>
    <t xml:space="preserve">Creator 70</t>
  </si>
  <si>
    <t xml:space="preserve">CR00070</t>
  </si>
  <si>
    <t xml:space="preserve">Creator 1174</t>
  </si>
  <si>
    <t xml:space="preserve">CR01174</t>
  </si>
  <si>
    <t xml:space="preserve">Creator 1243</t>
  </si>
  <si>
    <t xml:space="preserve">CR01243</t>
  </si>
  <si>
    <t xml:space="preserve">Creator 313</t>
  </si>
  <si>
    <t xml:space="preserve">CR00313</t>
  </si>
  <si>
    <t xml:space="preserve">Creator 257</t>
  </si>
  <si>
    <t xml:space="preserve">CR00257</t>
  </si>
  <si>
    <t xml:space="preserve">Creator 1313</t>
  </si>
  <si>
    <t xml:space="preserve">CR01313</t>
  </si>
  <si>
    <t xml:space="preserve">Creator 1485</t>
  </si>
  <si>
    <t xml:space="preserve">CR01485</t>
  </si>
  <si>
    <t xml:space="preserve">Creator 813</t>
  </si>
  <si>
    <t xml:space="preserve">CR00813</t>
  </si>
  <si>
    <t xml:space="preserve">Creator 673</t>
  </si>
  <si>
    <t xml:space="preserve">CR00673</t>
  </si>
  <si>
    <t xml:space="preserve">Creator 1016</t>
  </si>
  <si>
    <t xml:space="preserve">CR01016</t>
  </si>
  <si>
    <t xml:space="preserve">Creator 529</t>
  </si>
  <si>
    <t xml:space="preserve">CR00529</t>
  </si>
  <si>
    <t xml:space="preserve">Creator 880</t>
  </si>
  <si>
    <t xml:space="preserve">CR00880</t>
  </si>
  <si>
    <t xml:space="preserve">Creator 356</t>
  </si>
  <si>
    <t xml:space="preserve">CR00356</t>
  </si>
  <si>
    <t xml:space="preserve">Creator 1156</t>
  </si>
  <si>
    <t xml:space="preserve">CR01156</t>
  </si>
  <si>
    <t xml:space="preserve">Creator 1367</t>
  </si>
  <si>
    <t xml:space="preserve">CR01367</t>
  </si>
  <si>
    <t xml:space="preserve">Creator 967</t>
  </si>
  <si>
    <t xml:space="preserve">CR00967</t>
  </si>
  <si>
    <t xml:space="preserve">Creator 1002</t>
  </si>
  <si>
    <t xml:space="preserve">CR01002</t>
  </si>
  <si>
    <t xml:space="preserve">Creator 533</t>
  </si>
  <si>
    <t xml:space="preserve">CR00533</t>
  </si>
  <si>
    <t xml:space="preserve">Creator 698</t>
  </si>
  <si>
    <t xml:space="preserve">CR00698</t>
  </si>
  <si>
    <t xml:space="preserve">Creator 1436</t>
  </si>
  <si>
    <t xml:space="preserve">CR01436</t>
  </si>
  <si>
    <t xml:space="preserve">Creator 54</t>
  </si>
  <si>
    <t xml:space="preserve">CR00054</t>
  </si>
  <si>
    <t xml:space="preserve">Creator 1291</t>
  </si>
  <si>
    <t xml:space="preserve">CR01291</t>
  </si>
  <si>
    <t xml:space="preserve">Creator 515</t>
  </si>
  <si>
    <t xml:space="preserve">CR00515</t>
  </si>
  <si>
    <t xml:space="preserve">Creator 1266</t>
  </si>
  <si>
    <t xml:space="preserve">CR01266</t>
  </si>
  <si>
    <t xml:space="preserve">Creator 94</t>
  </si>
  <si>
    <t xml:space="preserve">CR00094</t>
  </si>
  <si>
    <t xml:space="preserve">Creator 110</t>
  </si>
  <si>
    <t xml:space="preserve">CR00110</t>
  </si>
  <si>
    <t xml:space="preserve">Creator 460</t>
  </si>
  <si>
    <t xml:space="preserve">CR00460</t>
  </si>
  <si>
    <t xml:space="preserve">Creator 292</t>
  </si>
  <si>
    <t xml:space="preserve">CR00292</t>
  </si>
  <si>
    <t xml:space="preserve">Creator 276</t>
  </si>
  <si>
    <t xml:space="preserve">CR00276</t>
  </si>
  <si>
    <t xml:space="preserve">Creator 1408</t>
  </si>
  <si>
    <t xml:space="preserve">CR01408</t>
  </si>
  <si>
    <t xml:space="preserve">Creator 703</t>
  </si>
  <si>
    <t xml:space="preserve">CR00703</t>
  </si>
  <si>
    <t xml:space="preserve">Creator 1105</t>
  </si>
  <si>
    <t xml:space="preserve">CR01105</t>
  </si>
  <si>
    <t xml:space="preserve">Creator 1175</t>
  </si>
  <si>
    <t xml:space="preserve">CR01175</t>
  </si>
  <si>
    <t xml:space="preserve">Creator 1057</t>
  </si>
  <si>
    <t xml:space="preserve">CR01057</t>
  </si>
  <si>
    <t xml:space="preserve">Creator 1409</t>
  </si>
  <si>
    <t xml:space="preserve">CR01409</t>
  </si>
  <si>
    <t xml:space="preserve">Creator 268</t>
  </si>
  <si>
    <t xml:space="preserve">CR00268</t>
  </si>
  <si>
    <t xml:space="preserve">Creator 757</t>
  </si>
  <si>
    <t xml:space="preserve">CR00757</t>
  </si>
  <si>
    <t xml:space="preserve">Creator 568</t>
  </si>
  <si>
    <t xml:space="preserve">CR00568</t>
  </si>
  <si>
    <t xml:space="preserve">Creator 1430</t>
  </si>
  <si>
    <t xml:space="preserve">CR01430</t>
  </si>
  <si>
    <t xml:space="preserve">Creator 630</t>
  </si>
  <si>
    <t xml:space="preserve">CR00630</t>
  </si>
  <si>
    <t xml:space="preserve">Creator 610</t>
  </si>
  <si>
    <t xml:space="preserve">CR00610</t>
  </si>
  <si>
    <t xml:space="preserve">Creator 1147</t>
  </si>
  <si>
    <t xml:space="preserve">CR01147</t>
  </si>
  <si>
    <t xml:space="preserve">Creator 179</t>
  </si>
  <si>
    <t xml:space="preserve">CR00179</t>
  </si>
  <si>
    <t xml:space="preserve">Creator 651</t>
  </si>
  <si>
    <t xml:space="preserve">CR00651</t>
  </si>
  <si>
    <t xml:space="preserve">Creator 149</t>
  </si>
  <si>
    <t xml:space="preserve">CR00149</t>
  </si>
  <si>
    <t xml:space="preserve">Creator 425</t>
  </si>
  <si>
    <t xml:space="preserve">CR00425</t>
  </si>
  <si>
    <t xml:space="preserve">Creator 894</t>
  </si>
  <si>
    <t xml:space="preserve">CR00894</t>
  </si>
  <si>
    <t xml:space="preserve">Creator 1399</t>
  </si>
  <si>
    <t xml:space="preserve">CR01399</t>
  </si>
  <si>
    <t xml:space="preserve">Creator 380</t>
  </si>
  <si>
    <t xml:space="preserve">CR00380</t>
  </si>
  <si>
    <t xml:space="preserve">Creator 1374</t>
  </si>
  <si>
    <t xml:space="preserve">CR01374</t>
  </si>
  <si>
    <t xml:space="preserve">Creator 1490</t>
  </si>
  <si>
    <t xml:space="preserve">CR01490</t>
  </si>
  <si>
    <t xml:space="preserve">Creator 1307</t>
  </si>
  <si>
    <t xml:space="preserve">CR01307</t>
  </si>
  <si>
    <t xml:space="preserve">Creator 1481</t>
  </si>
  <si>
    <t xml:space="preserve">CR01481</t>
  </si>
  <si>
    <t xml:space="preserve">Creator 1123</t>
  </si>
  <si>
    <t xml:space="preserve">CR01123</t>
  </si>
  <si>
    <t xml:space="preserve">Creator 962</t>
  </si>
  <si>
    <t xml:space="preserve">CR00962</t>
  </si>
  <si>
    <t xml:space="preserve">Creator 729</t>
  </si>
  <si>
    <t xml:space="preserve">CR00729</t>
  </si>
  <si>
    <t xml:space="preserve">Creator 352</t>
  </si>
  <si>
    <t xml:space="preserve">CR00352</t>
  </si>
  <si>
    <t xml:space="preserve">Creator 247</t>
  </si>
  <si>
    <t xml:space="preserve">CR00247</t>
  </si>
  <si>
    <t xml:space="preserve">Creator 971</t>
  </si>
  <si>
    <t xml:space="preserve">CR00971</t>
  </si>
  <si>
    <t xml:space="preserve">Creator 959</t>
  </si>
  <si>
    <t xml:space="preserve">CR00959</t>
  </si>
  <si>
    <t xml:space="preserve">Creator 846</t>
  </si>
  <si>
    <t xml:space="preserve">CR00846</t>
  </si>
  <si>
    <t xml:space="preserve">Creator 1109</t>
  </si>
  <si>
    <t xml:space="preserve">CR01109</t>
  </si>
  <si>
    <t xml:space="preserve">Creator 12</t>
  </si>
  <si>
    <t xml:space="preserve">CR00012</t>
  </si>
  <si>
    <t xml:space="preserve">Creator 139</t>
  </si>
  <si>
    <t xml:space="preserve">CR00139</t>
  </si>
  <si>
    <t xml:space="preserve">Creator 869</t>
  </si>
  <si>
    <t xml:space="preserve">CR00869</t>
  </si>
  <si>
    <t xml:space="preserve">Creator 284</t>
  </si>
  <si>
    <t xml:space="preserve">CR00284</t>
  </si>
  <si>
    <t xml:space="preserve">Creator 348</t>
  </si>
  <si>
    <t xml:space="preserve">CR00348</t>
  </si>
  <si>
    <t xml:space="preserve">Creator 97</t>
  </si>
  <si>
    <t xml:space="preserve">CR00097</t>
  </si>
  <si>
    <t xml:space="preserve">Creator 48</t>
  </si>
  <si>
    <t xml:space="preserve">CR00048</t>
  </si>
  <si>
    <t xml:space="preserve">Creator 1269</t>
  </si>
  <si>
    <t xml:space="preserve">CR01269</t>
  </si>
  <si>
    <t xml:space="preserve">Creator 745</t>
  </si>
  <si>
    <t xml:space="preserve">CR00745</t>
  </si>
  <si>
    <t xml:space="preserve">Creator 463</t>
  </si>
  <si>
    <t xml:space="preserve">CR00463</t>
  </si>
  <si>
    <t xml:space="preserve">Creator 685</t>
  </si>
  <si>
    <t xml:space="preserve">CR00685</t>
  </si>
  <si>
    <t xml:space="preserve">Creator 5</t>
  </si>
  <si>
    <t xml:space="preserve">CR00005</t>
  </si>
  <si>
    <t xml:space="preserve">Creator 1013</t>
  </si>
  <si>
    <t xml:space="preserve">CR01013</t>
  </si>
  <si>
    <t xml:space="preserve">Creator 637</t>
  </si>
  <si>
    <t xml:space="preserve">CR00637</t>
  </si>
  <si>
    <t xml:space="preserve">Creator 77</t>
  </si>
  <si>
    <t xml:space="preserve">CR00077</t>
  </si>
  <si>
    <t xml:space="preserve">Creator 56</t>
  </si>
  <si>
    <t xml:space="preserve">CR00056</t>
  </si>
  <si>
    <t xml:space="preserve">Creator 1140</t>
  </si>
  <si>
    <t xml:space="preserve">CR01140</t>
  </si>
  <si>
    <t xml:space="preserve">Creator 339</t>
  </si>
  <si>
    <t xml:space="preserve">CR00339</t>
  </si>
  <si>
    <t xml:space="preserve">Creator 343</t>
  </si>
  <si>
    <t xml:space="preserve">CR00343</t>
  </si>
  <si>
    <t xml:space="preserve">Creator 539</t>
  </si>
  <si>
    <t xml:space="preserve">CR00539</t>
  </si>
  <si>
    <t xml:space="preserve">Creator 1387</t>
  </si>
  <si>
    <t xml:space="preserve">CR01387</t>
  </si>
  <si>
    <t xml:space="preserve">Creator 825</t>
  </si>
  <si>
    <t xml:space="preserve">CR00825</t>
  </si>
  <si>
    <t xml:space="preserve">Creator 1055</t>
  </si>
  <si>
    <t xml:space="preserve">CR01055</t>
  </si>
  <si>
    <t xml:space="preserve">Creator 371</t>
  </si>
  <si>
    <t xml:space="preserve">CR00371</t>
  </si>
  <si>
    <t xml:space="preserve">Creator 1108</t>
  </si>
  <si>
    <t xml:space="preserve">CR01108</t>
  </si>
  <si>
    <t xml:space="preserve">Creator 1053</t>
  </si>
  <si>
    <t xml:space="preserve">CR01053</t>
  </si>
  <si>
    <t xml:space="preserve">Creator 966</t>
  </si>
  <si>
    <t xml:space="preserve">CR00966</t>
  </si>
  <si>
    <t xml:space="preserve">Creator 1438</t>
  </si>
  <si>
    <t xml:space="preserve">CR01438</t>
  </si>
  <si>
    <t xml:space="preserve">Creator 184</t>
  </si>
  <si>
    <t xml:space="preserve">CR00184</t>
  </si>
  <si>
    <t xml:space="preserve">Creator 199</t>
  </si>
  <si>
    <t xml:space="preserve">CR00199</t>
  </si>
  <si>
    <t xml:space="preserve">Creator 1331</t>
  </si>
  <si>
    <t xml:space="preserve">CR01331</t>
  </si>
  <si>
    <t xml:space="preserve">Creator 279</t>
  </si>
  <si>
    <t xml:space="preserve">CR00279</t>
  </si>
  <si>
    <t xml:space="preserve">Creator 112</t>
  </si>
  <si>
    <t xml:space="preserve">CR00112</t>
  </si>
  <si>
    <t xml:space="preserve">Creator 353</t>
  </si>
  <si>
    <t xml:space="preserve">CR00353</t>
  </si>
  <si>
    <t xml:space="preserve">Creator 785</t>
  </si>
  <si>
    <t xml:space="preserve">CR00785</t>
  </si>
  <si>
    <t xml:space="preserve">Creator 634</t>
  </si>
  <si>
    <t xml:space="preserve">CR00634</t>
  </si>
  <si>
    <t xml:space="preserve">Creator 475</t>
  </si>
  <si>
    <t xml:space="preserve">CR00475</t>
  </si>
  <si>
    <t xml:space="preserve">Creator 350</t>
  </si>
  <si>
    <t xml:space="preserve">CR00350</t>
  </si>
  <si>
    <t xml:space="preserve">Creator 1086</t>
  </si>
  <si>
    <t xml:space="preserve">CR01086</t>
  </si>
  <si>
    <t xml:space="preserve">Creator 65</t>
  </si>
  <si>
    <t xml:space="preserve">CR00065</t>
  </si>
  <si>
    <t xml:space="preserve">Creator 520</t>
  </si>
  <si>
    <t xml:space="preserve">CR00520</t>
  </si>
  <si>
    <t xml:space="preserve">Creator 1246</t>
  </si>
  <si>
    <t xml:space="preserve">CR01246</t>
  </si>
  <si>
    <t xml:space="preserve">Creator 1112</t>
  </si>
  <si>
    <t xml:space="preserve">CR01112</t>
  </si>
  <si>
    <t xml:space="preserve">Creator 639</t>
  </si>
  <si>
    <t xml:space="preserve">CR00639</t>
  </si>
  <si>
    <t xml:space="preserve">Creator 1297</t>
  </si>
  <si>
    <t xml:space="preserve">CR01297</t>
  </si>
  <si>
    <t xml:space="preserve">Creator 697</t>
  </si>
  <si>
    <t xml:space="preserve">CR00697</t>
  </si>
  <si>
    <t xml:space="preserve">Creator 1321</t>
  </si>
  <si>
    <t xml:space="preserve">CR01321</t>
  </si>
  <si>
    <t xml:space="preserve">Creator 598</t>
  </si>
  <si>
    <t xml:space="preserve">CR00598</t>
  </si>
  <si>
    <t xml:space="preserve">Creator 544</t>
  </si>
  <si>
    <t xml:space="preserve">CR00544</t>
  </si>
  <si>
    <t xml:space="preserve">Creator 452</t>
  </si>
  <si>
    <t xml:space="preserve">CR00452</t>
  </si>
  <si>
    <t xml:space="preserve">Creator 217</t>
  </si>
  <si>
    <t xml:space="preserve">CR00217</t>
  </si>
  <si>
    <t xml:space="preserve">Creator 1050</t>
  </si>
  <si>
    <t xml:space="preserve">CR01050</t>
  </si>
  <si>
    <t xml:space="preserve">Creator 950</t>
  </si>
  <si>
    <t xml:space="preserve">CR00950</t>
  </si>
  <si>
    <t xml:space="preserve">Creator 1305</t>
  </si>
  <si>
    <t xml:space="preserve">CR01305</t>
  </si>
  <si>
    <t xml:space="preserve">Creator 573</t>
  </si>
  <si>
    <t xml:space="preserve">CR00573</t>
  </si>
  <si>
    <t xml:space="preserve">Creator 704</t>
  </si>
  <si>
    <t xml:space="preserve">CR00704</t>
  </si>
  <si>
    <t xml:space="preserve">Creator 198</t>
  </si>
  <si>
    <t xml:space="preserve">CR00198</t>
  </si>
  <si>
    <t xml:space="preserve">Instagram leaderboard — one row per complete Instagram channel</t>
  </si>
  <si>
    <t xml:space="preserve">Ranks every requested channel on this platform that is filled, even if the creator's other channels aren't yet. Scores are 0–100 percentiles within the platform (The Lens also within size band).</t>
  </si>
  <si>
    <t xml:space="preserve">Handle</t>
  </si>
  <si>
    <t xml:space="preserve">Followers</t>
  </si>
  <si>
    <t xml:space="preserve">Size band</t>
  </si>
  <si>
    <t xml:space="preserve">90d Reach Rate</t>
  </si>
  <si>
    <t xml:space="preserve">90d Growth Rate</t>
  </si>
  <si>
    <t xml:space="preserve">90d Meaningful Engagement Rate</t>
  </si>
  <si>
    <t xml:space="preserve">All requested channels filled</t>
  </si>
  <si>
    <t xml:space="preserve">@creator1343_instagram</t>
  </si>
  <si>
    <t xml:space="preserve">micro</t>
  </si>
  <si>
    <t xml:space="preserve">Yes</t>
  </si>
  <si>
    <t xml:space="preserve">@creator401_instagram</t>
  </si>
  <si>
    <t xml:space="preserve">@creator588_instagram</t>
  </si>
  <si>
    <t xml:space="preserve">nano</t>
  </si>
  <si>
    <t xml:space="preserve">@creator1492_instagram</t>
  </si>
  <si>
    <t xml:space="preserve">mid</t>
  </si>
  <si>
    <t xml:space="preserve">@creator1133_instagram</t>
  </si>
  <si>
    <t xml:space="preserve">Creator 1290</t>
  </si>
  <si>
    <t xml:space="preserve">CR01290</t>
  </si>
  <si>
    <t xml:space="preserve">https://www.instagram.com/creator1290_instagram/</t>
  </si>
  <si>
    <t xml:space="preserve">No</t>
  </si>
  <si>
    <t xml:space="preserve">Creator 212</t>
  </si>
  <si>
    <t xml:space="preserve">CR00212</t>
  </si>
  <si>
    <t xml:space="preserve">@creator212_instagram</t>
  </si>
  <si>
    <t xml:space="preserve">Creator 373</t>
  </si>
  <si>
    <t xml:space="preserve">CR00373</t>
  </si>
  <si>
    <t xml:space="preserve">https://www.instagram.com/creator373_instagram/</t>
  </si>
  <si>
    <t xml:space="preserve">@creator357_instagram</t>
  </si>
  <si>
    <t xml:space="preserve">@creator882_instagram</t>
  </si>
  <si>
    <t xml:space="preserve">https://www.instagram.com/creator789_instagram/</t>
  </si>
  <si>
    <t xml:space="preserve">Creator 489</t>
  </si>
  <si>
    <t xml:space="preserve">CR00489</t>
  </si>
  <si>
    <t xml:space="preserve">@creator489_instagram</t>
  </si>
  <si>
    <t xml:space="preserve">https://www.instagram.com/creator431_instagram/</t>
  </si>
  <si>
    <t xml:space="preserve">Creator 177</t>
  </si>
  <si>
    <t xml:space="preserve">CR00177</t>
  </si>
  <si>
    <t xml:space="preserve">@creator177_instagram</t>
  </si>
  <si>
    <t xml:space="preserve">Creator 576</t>
  </si>
  <si>
    <t xml:space="preserve">CR00576</t>
  </si>
  <si>
    <t xml:space="preserve">@creator576_instagram</t>
  </si>
  <si>
    <t xml:space="preserve">https://www.instagram.com/creator581_instagram/</t>
  </si>
  <si>
    <t xml:space="preserve">@creator38_instagram</t>
  </si>
  <si>
    <t xml:space="preserve">@creator1132_instagram</t>
  </si>
  <si>
    <t xml:space="preserve">@creator189_instagram</t>
  </si>
  <si>
    <t xml:space="preserve">@creator1332_instagram</t>
  </si>
  <si>
    <t xml:space="preserve">n/a – likes hidden</t>
  </si>
  <si>
    <t xml:space="preserve">Creator 368</t>
  </si>
  <si>
    <t xml:space="preserve">CR00368</t>
  </si>
  <si>
    <t xml:space="preserve">@creator368_instagram</t>
  </si>
  <si>
    <t xml:space="preserve">Creator 1442</t>
  </si>
  <si>
    <t xml:space="preserve">CR01442</t>
  </si>
  <si>
    <t xml:space="preserve">@creator1442_instagram</t>
  </si>
  <si>
    <t xml:space="preserve">@creator663_instagram</t>
  </si>
  <si>
    <t xml:space="preserve">@creator546_instagram</t>
  </si>
  <si>
    <t xml:space="preserve">Creator 84</t>
  </si>
  <si>
    <t xml:space="preserve">CR00084</t>
  </si>
  <si>
    <t xml:space="preserve">@creator84_instagram</t>
  </si>
  <si>
    <t xml:space="preserve">@creator620_instagram</t>
  </si>
  <si>
    <t xml:space="preserve">https://www.instagram.com/creator246_instagram/</t>
  </si>
  <si>
    <t xml:space="preserve">Creator 374</t>
  </si>
  <si>
    <t xml:space="preserve">CR00374</t>
  </si>
  <si>
    <t xml:space="preserve">@creator374_instagram</t>
  </si>
  <si>
    <t xml:space="preserve">Creator 694</t>
  </si>
  <si>
    <t xml:space="preserve">CR00694</t>
  </si>
  <si>
    <t xml:space="preserve">@creator694_instagram</t>
  </si>
  <si>
    <t xml:space="preserve">@creator741_instagram</t>
  </si>
  <si>
    <t xml:space="preserve">Creator 1051</t>
  </si>
  <si>
    <t xml:space="preserve">CR01051</t>
  </si>
  <si>
    <t xml:space="preserve">@creator1051_instagram</t>
  </si>
  <si>
    <t xml:space="preserve">Creator 366</t>
  </si>
  <si>
    <t xml:space="preserve">CR00366</t>
  </si>
  <si>
    <t xml:space="preserve">@creator366_instagram</t>
  </si>
  <si>
    <t xml:space="preserve">Creator 230</t>
  </si>
  <si>
    <t xml:space="preserve">CR00230</t>
  </si>
  <si>
    <t xml:space="preserve">https://www.instagram.com/creator230_instagram/</t>
  </si>
  <si>
    <t xml:space="preserve">Creator 764</t>
  </si>
  <si>
    <t xml:space="preserve">CR00764</t>
  </si>
  <si>
    <t xml:space="preserve">@creator764_instagram</t>
  </si>
  <si>
    <t xml:space="preserve">@creator41_instagram</t>
  </si>
  <si>
    <t xml:space="preserve">@creator86_instagram</t>
  </si>
  <si>
    <t xml:space="preserve">@creator1106_instagram</t>
  </si>
  <si>
    <t xml:space="preserve">@creator1268_instagram</t>
  </si>
  <si>
    <t xml:space="preserve">@creator1168_instagram</t>
  </si>
  <si>
    <t xml:space="preserve">https://www.instagram.com/creator497_instagram/</t>
  </si>
  <si>
    <t xml:space="preserve">@creator1374_instagram</t>
  </si>
  <si>
    <t xml:space="preserve">https://www.instagram.com/creator979_instagram/</t>
  </si>
  <si>
    <t xml:space="preserve">Creator 591</t>
  </si>
  <si>
    <t xml:space="preserve">CR00591</t>
  </si>
  <si>
    <t xml:space="preserve">@creator591_instagram</t>
  </si>
  <si>
    <t xml:space="preserve">@creator379_instagram</t>
  </si>
  <si>
    <t xml:space="preserve">@creator1367_instagram</t>
  </si>
  <si>
    <t xml:space="preserve">Creator 724</t>
  </si>
  <si>
    <t xml:space="preserve">CR00724</t>
  </si>
  <si>
    <t xml:space="preserve">@creator724_instagram</t>
  </si>
  <si>
    <t xml:space="preserve">Creator 277</t>
  </si>
  <si>
    <t xml:space="preserve">CR00277</t>
  </si>
  <si>
    <t xml:space="preserve">@creator277_instagram</t>
  </si>
  <si>
    <t xml:space="preserve">https://www.instagram.com/creator1448_instagram/</t>
  </si>
  <si>
    <t xml:space="preserve">Creator 1025</t>
  </si>
  <si>
    <t xml:space="preserve">CR01025</t>
  </si>
  <si>
    <t xml:space="preserve">https://www.instagram.com/creator1025_instagram/</t>
  </si>
  <si>
    <t xml:space="preserve">https://www.instagram.com/creator1359_instagram/</t>
  </si>
  <si>
    <t xml:space="preserve">@creator1241_instagram</t>
  </si>
  <si>
    <t xml:space="preserve">https://www.instagram.com/creator766_instagram/</t>
  </si>
  <si>
    <t xml:space="preserve">@creator754_instagram</t>
  </si>
  <si>
    <t xml:space="preserve">Creator 519</t>
  </si>
  <si>
    <t xml:space="preserve">CR00519</t>
  </si>
  <si>
    <t xml:space="preserve">@creator519_instagram</t>
  </si>
  <si>
    <t xml:space="preserve">@creator641_instagram</t>
  </si>
  <si>
    <t xml:space="preserve">Creator 285</t>
  </si>
  <si>
    <t xml:space="preserve">CR00285</t>
  </si>
  <si>
    <t xml:space="preserve">@creator285_instagram</t>
  </si>
  <si>
    <t xml:space="preserve">@creator1309_instagram</t>
  </si>
  <si>
    <t xml:space="preserve">Creator 298</t>
  </si>
  <si>
    <t xml:space="preserve">CR00298</t>
  </si>
  <si>
    <t xml:space="preserve">@creator298_instagram</t>
  </si>
  <si>
    <t xml:space="preserve">@creator1118_instagram</t>
  </si>
  <si>
    <t xml:space="preserve">@creator327_instagram</t>
  </si>
  <si>
    <t xml:space="preserve">@creator1199_instagram</t>
  </si>
  <si>
    <t xml:space="preserve">Creator 131</t>
  </si>
  <si>
    <t xml:space="preserve">CR00131</t>
  </si>
  <si>
    <t xml:space="preserve">@creator131_instagram</t>
  </si>
  <si>
    <t xml:space="preserve">@creator481_instagram</t>
  </si>
  <si>
    <t xml:space="preserve">macro</t>
  </si>
  <si>
    <t xml:space="preserve">@creator791_instagram</t>
  </si>
  <si>
    <t xml:space="preserve">@creator559_instagram</t>
  </si>
  <si>
    <t xml:space="preserve">@creator437_instagram</t>
  </si>
  <si>
    <t xml:space="preserve">Creator 34</t>
  </si>
  <si>
    <t xml:space="preserve">CR00034</t>
  </si>
  <si>
    <t xml:space="preserve">@creator34_instagram</t>
  </si>
  <si>
    <t xml:space="preserve">@creator735_instagram</t>
  </si>
  <si>
    <t xml:space="preserve">@creator404_instagram</t>
  </si>
  <si>
    <t xml:space="preserve">Creator 1298</t>
  </si>
  <si>
    <t xml:space="preserve">CR01298</t>
  </si>
  <si>
    <t xml:space="preserve">@creator1298_instagram</t>
  </si>
  <si>
    <t xml:space="preserve">Creator 976</t>
  </si>
  <si>
    <t xml:space="preserve">CR00976</t>
  </si>
  <si>
    <t xml:space="preserve">@creator976_instagram</t>
  </si>
  <si>
    <t xml:space="preserve">Creator 403</t>
  </si>
  <si>
    <t xml:space="preserve">CR00403</t>
  </si>
  <si>
    <t xml:space="preserve">@creator403_instagram</t>
  </si>
  <si>
    <t xml:space="preserve">Creator 68</t>
  </si>
  <si>
    <t xml:space="preserve">CR00068</t>
  </si>
  <si>
    <t xml:space="preserve">@creator68_instagram</t>
  </si>
  <si>
    <t xml:space="preserve">@creator1085_instagram</t>
  </si>
  <si>
    <t xml:space="preserve">Creator 351</t>
  </si>
  <si>
    <t xml:space="preserve">CR00351</t>
  </si>
  <si>
    <t xml:space="preserve">@creator351_instagram</t>
  </si>
  <si>
    <t xml:space="preserve">Creator 1023</t>
  </si>
  <si>
    <t xml:space="preserve">CR01023</t>
  </si>
  <si>
    <t xml:space="preserve">@creator1023_instagram</t>
  </si>
  <si>
    <t xml:space="preserve">@creator100_instagram</t>
  </si>
  <si>
    <t xml:space="preserve">Creator 448</t>
  </si>
  <si>
    <t xml:space="preserve">CR00448</t>
  </si>
  <si>
    <t xml:space="preserve">@creator448_instagram</t>
  </si>
  <si>
    <t xml:space="preserve">@creator1354_instagram</t>
  </si>
  <si>
    <t xml:space="preserve">https://www.instagram.com/creator96_instagram/</t>
  </si>
  <si>
    <t xml:space="preserve">@creator1373_instagram</t>
  </si>
  <si>
    <t xml:space="preserve">@creator1350_instagram</t>
  </si>
  <si>
    <t xml:space="preserve">@creator808_instagram</t>
  </si>
  <si>
    <t xml:space="preserve">@creator995_instagram</t>
  </si>
  <si>
    <t xml:space="preserve">@creator291_instagram</t>
  </si>
  <si>
    <t xml:space="preserve">Creator 795</t>
  </si>
  <si>
    <t xml:space="preserve">CR00795</t>
  </si>
  <si>
    <t xml:space="preserve">@creator795_instagram</t>
  </si>
  <si>
    <t xml:space="preserve">@creator1011_instagram</t>
  </si>
  <si>
    <t xml:space="preserve">@creator266_instagram</t>
  </si>
  <si>
    <t xml:space="preserve">Creator 269</t>
  </si>
  <si>
    <t xml:space="preserve">CR00269</t>
  </si>
  <si>
    <t xml:space="preserve">@creator269_instagram</t>
  </si>
  <si>
    <t xml:space="preserve">@creator880_instagram</t>
  </si>
  <si>
    <t xml:space="preserve">@creator1436_instagram</t>
  </si>
  <si>
    <t xml:space="preserve">@creator1394_instagram</t>
  </si>
  <si>
    <t xml:space="preserve">Creator 1296</t>
  </si>
  <si>
    <t xml:space="preserve">CR01296</t>
  </si>
  <si>
    <t xml:space="preserve">@creator1296_instagram</t>
  </si>
  <si>
    <t xml:space="preserve">Creator 864</t>
  </si>
  <si>
    <t xml:space="preserve">CR00864</t>
  </si>
  <si>
    <t xml:space="preserve">@creator864_instagram</t>
  </si>
  <si>
    <t xml:space="preserve">Creator 831</t>
  </si>
  <si>
    <t xml:space="preserve">CR00831</t>
  </si>
  <si>
    <t xml:space="preserve">@creator831_instagram</t>
  </si>
  <si>
    <t xml:space="preserve">https://www.instagram.com/creator857_instagram/</t>
  </si>
  <si>
    <t xml:space="preserve">@creator919_instagram</t>
  </si>
  <si>
    <t xml:space="preserve">@creator897_instagram</t>
  </si>
  <si>
    <t xml:space="preserve">@creator180_instagram</t>
  </si>
  <si>
    <t xml:space="preserve">Creator 377</t>
  </si>
  <si>
    <t xml:space="preserve">CR00377</t>
  </si>
  <si>
    <t xml:space="preserve">@creator377_instagram</t>
  </si>
  <si>
    <t xml:space="preserve">@creator70_instagram</t>
  </si>
  <si>
    <t xml:space="preserve">Creator 1396</t>
  </si>
  <si>
    <t xml:space="preserve">CR01396</t>
  </si>
  <si>
    <t xml:space="preserve">@creator1396_instagram</t>
  </si>
  <si>
    <t xml:space="preserve">Creator 283</t>
  </si>
  <si>
    <t xml:space="preserve">CR00283</t>
  </si>
  <si>
    <t xml:space="preserve">@creator283_instagram</t>
  </si>
  <si>
    <t xml:space="preserve">Creator 458</t>
  </si>
  <si>
    <t xml:space="preserve">CR00458</t>
  </si>
  <si>
    <t xml:space="preserve">@creator458_instagram</t>
  </si>
  <si>
    <t xml:space="preserve">Creator 858</t>
  </si>
  <si>
    <t xml:space="preserve">CR00858</t>
  </si>
  <si>
    <t xml:space="preserve">@creator858_instagram</t>
  </si>
  <si>
    <t xml:space="preserve">Creator 828</t>
  </si>
  <si>
    <t xml:space="preserve">CR00828</t>
  </si>
  <si>
    <t xml:space="preserve">@creator828_instagram</t>
  </si>
  <si>
    <t xml:space="preserve">Creator 750</t>
  </si>
  <si>
    <t xml:space="preserve">CR00750</t>
  </si>
  <si>
    <t xml:space="preserve">@creator750_instagram</t>
  </si>
  <si>
    <t xml:space="preserve">Creator 692</t>
  </si>
  <si>
    <t xml:space="preserve">CR00692</t>
  </si>
  <si>
    <t xml:space="preserve">@creator692_instagram</t>
  </si>
  <si>
    <t xml:space="preserve">@creator1325_instagram</t>
  </si>
  <si>
    <t xml:space="preserve">Creator 622</t>
  </si>
  <si>
    <t xml:space="preserve">CR00622</t>
  </si>
  <si>
    <t xml:space="preserve">https://www.instagram.com/creator622_instagram/</t>
  </si>
  <si>
    <t xml:space="preserve">Creator 1432</t>
  </si>
  <si>
    <t xml:space="preserve">CR01432</t>
  </si>
  <si>
    <t xml:space="preserve">@creator1432_instagram</t>
  </si>
  <si>
    <t xml:space="preserve">Creator 286</t>
  </si>
  <si>
    <t xml:space="preserve">CR00286</t>
  </si>
  <si>
    <t xml:space="preserve">@creator286_instagram</t>
  </si>
  <si>
    <t xml:space="preserve">Creator 688</t>
  </si>
  <si>
    <t xml:space="preserve">CR00688</t>
  </si>
  <si>
    <t xml:space="preserve">https://www.instagram.com/creator688_instagram/</t>
  </si>
  <si>
    <t xml:space="preserve">Creator 130</t>
  </si>
  <si>
    <t xml:space="preserve">CR00130</t>
  </si>
  <si>
    <t xml:space="preserve">https://www.instagram.com/creator130_instagram/</t>
  </si>
  <si>
    <t xml:space="preserve">Creator 443</t>
  </si>
  <si>
    <t xml:space="preserve">CR00443</t>
  </si>
  <si>
    <t xml:space="preserve">@creator443_instagram</t>
  </si>
  <si>
    <t xml:space="preserve">@creator1144_instagram</t>
  </si>
  <si>
    <t xml:space="preserve">Creator 799</t>
  </si>
  <si>
    <t xml:space="preserve">CR00799</t>
  </si>
  <si>
    <t xml:space="preserve">@creator799_instagram</t>
  </si>
  <si>
    <t xml:space="preserve">@creator1427_instagram</t>
  </si>
  <si>
    <t xml:space="preserve">@creator990_instagram</t>
  </si>
  <si>
    <t xml:space="preserve">@creator1255_instagram</t>
  </si>
  <si>
    <t xml:space="preserve">Creator 830</t>
  </si>
  <si>
    <t xml:space="preserve">CR00830</t>
  </si>
  <si>
    <t xml:space="preserve">@creator830_instagram</t>
  </si>
  <si>
    <t xml:space="preserve">Creator 102</t>
  </si>
  <si>
    <t xml:space="preserve">CR00102</t>
  </si>
  <si>
    <t xml:space="preserve">@creator102_instagram</t>
  </si>
  <si>
    <t xml:space="preserve">@creator1355_instagram</t>
  </si>
  <si>
    <t xml:space="preserve">Creator 259</t>
  </si>
  <si>
    <t xml:space="preserve">CR00259</t>
  </si>
  <si>
    <t xml:space="preserve">@creator259_instagram</t>
  </si>
  <si>
    <t xml:space="preserve">@creator292_instagram</t>
  </si>
  <si>
    <t xml:space="preserve">Creator 488</t>
  </si>
  <si>
    <t xml:space="preserve">CR00488</t>
  </si>
  <si>
    <t xml:space="preserve">@creator488_instagram</t>
  </si>
  <si>
    <t xml:space="preserve">@creator383_instagram</t>
  </si>
  <si>
    <t xml:space="preserve">@creator1201_instagram</t>
  </si>
  <si>
    <t xml:space="preserve">Creator 1395</t>
  </si>
  <si>
    <t xml:space="preserve">CR01395</t>
  </si>
  <si>
    <t xml:space="preserve">@creator1395_instagram</t>
  </si>
  <si>
    <t xml:space="preserve">@creator57_instagram</t>
  </si>
  <si>
    <t xml:space="preserve">@creator300_instagram</t>
  </si>
  <si>
    <t xml:space="preserve">Creator 686</t>
  </si>
  <si>
    <t xml:space="preserve">CR00686</t>
  </si>
  <si>
    <t xml:space="preserve">@creator686_instagram</t>
  </si>
  <si>
    <t xml:space="preserve">@creator393_instagram</t>
  </si>
  <si>
    <t xml:space="preserve">Creator 1056</t>
  </si>
  <si>
    <t xml:space="preserve">CR01056</t>
  </si>
  <si>
    <t xml:space="preserve">https://www.instagram.com/creator1056_instagram/</t>
  </si>
  <si>
    <t xml:space="preserve">@creator709_instagram</t>
  </si>
  <si>
    <t xml:space="preserve">Creator 60</t>
  </si>
  <si>
    <t xml:space="preserve">CR00060</t>
  </si>
  <si>
    <t xml:space="preserve">@creator60_instagram</t>
  </si>
  <si>
    <t xml:space="preserve">Creator 293</t>
  </si>
  <si>
    <t xml:space="preserve">CR00293</t>
  </si>
  <si>
    <t xml:space="preserve">@creator293_instagram</t>
  </si>
  <si>
    <t xml:space="preserve">@creator1314_instagram</t>
  </si>
  <si>
    <t xml:space="preserve">https://www.instagram.com/creator1101_instagram/</t>
  </si>
  <si>
    <t xml:space="preserve">Creator 1039</t>
  </si>
  <si>
    <t xml:space="preserve">CR01039</t>
  </si>
  <si>
    <t xml:space="preserve">https://www.instagram.com/creator1039_instagram/</t>
  </si>
  <si>
    <t xml:space="preserve">creator 39</t>
  </si>
  <si>
    <t xml:space="preserve">CR00039</t>
  </si>
  <si>
    <t xml:space="preserve">@creator39_instagram</t>
  </si>
  <si>
    <t xml:space="preserve">Creator 354</t>
  </si>
  <si>
    <t xml:space="preserve">CR00354</t>
  </si>
  <si>
    <t xml:space="preserve">@creator354_instagram</t>
  </si>
  <si>
    <t xml:space="preserve">@creator698_instagram</t>
  </si>
  <si>
    <t xml:space="preserve">@creator673_instagram</t>
  </si>
  <si>
    <t xml:space="preserve">@creator252_instagram</t>
  </si>
  <si>
    <t xml:space="preserve">@creator1064_instagram</t>
  </si>
  <si>
    <t xml:space="preserve">@creator257_instagram</t>
  </si>
  <si>
    <t xml:space="preserve">Creator 755</t>
  </si>
  <si>
    <t xml:space="preserve">CR00755</t>
  </si>
  <si>
    <t xml:space="preserve">@creator755_instagram</t>
  </si>
  <si>
    <t xml:space="preserve">@creator336_instagram</t>
  </si>
  <si>
    <t xml:space="preserve">@creator928_instagram</t>
  </si>
  <si>
    <t xml:space="preserve">@creator465_instagram</t>
  </si>
  <si>
    <t xml:space="preserve">@creator435_instagram</t>
  </si>
  <si>
    <t xml:space="preserve">Creator 1365</t>
  </si>
  <si>
    <t xml:space="preserve">CR01365</t>
  </si>
  <si>
    <t xml:space="preserve">@creator1365_instagram</t>
  </si>
  <si>
    <t xml:space="preserve">@creator32_instagram</t>
  </si>
  <si>
    <t xml:space="preserve">@creator1181_instagram</t>
  </si>
  <si>
    <t xml:space="preserve">@creator1016_instagram</t>
  </si>
  <si>
    <t xml:space="preserve">Creator 181</t>
  </si>
  <si>
    <t xml:space="preserve">CR00181</t>
  </si>
  <si>
    <t xml:space="preserve">@creator181_instagram</t>
  </si>
  <si>
    <t xml:space="preserve">Creator 9</t>
  </si>
  <si>
    <t xml:space="preserve">CR00009</t>
  </si>
  <si>
    <t xml:space="preserve">@creator9_instagram</t>
  </si>
  <si>
    <t xml:space="preserve">Creator 953</t>
  </si>
  <si>
    <t xml:space="preserve">CR00953</t>
  </si>
  <si>
    <t xml:space="preserve">@creator953_instagram</t>
  </si>
  <si>
    <t xml:space="preserve">Creator 1093</t>
  </si>
  <si>
    <t xml:space="preserve">CR01093</t>
  </si>
  <si>
    <t xml:space="preserve">@creator1093_instagram</t>
  </si>
  <si>
    <t xml:space="preserve">@creator347_instagram</t>
  </si>
  <si>
    <t xml:space="preserve">@creator471_instagram</t>
  </si>
  <si>
    <t xml:space="preserve">Creator 747</t>
  </si>
  <si>
    <t xml:space="preserve">CR00747</t>
  </si>
  <si>
    <t xml:space="preserve">@creator747_instagram</t>
  </si>
  <si>
    <t xml:space="preserve">Creator 1005</t>
  </si>
  <si>
    <t xml:space="preserve">CR01005</t>
  </si>
  <si>
    <t xml:space="preserve">@creator1005_instagram</t>
  </si>
  <si>
    <t xml:space="preserve">@creator1454_instagram</t>
  </si>
  <si>
    <t xml:space="preserve">@creator627_instagram</t>
  </si>
  <si>
    <t xml:space="preserve">@creator33_instagram</t>
  </si>
  <si>
    <t xml:space="preserve">@creator967_instagram</t>
  </si>
  <si>
    <t xml:space="preserve">Creator 1077</t>
  </si>
  <si>
    <t xml:space="preserve">CR01077</t>
  </si>
  <si>
    <t xml:space="preserve">@creator1077_instagram</t>
  </si>
  <si>
    <t xml:space="preserve">@creator1424_instagram</t>
  </si>
  <si>
    <t xml:space="preserve">@creator751_instagram</t>
  </si>
  <si>
    <t xml:space="preserve">@creator1175_instagram</t>
  </si>
  <si>
    <t xml:space="preserve">Creator 1302</t>
  </si>
  <si>
    <t xml:space="preserve">CR01302</t>
  </si>
  <si>
    <t xml:space="preserve">@creator1302_instagram</t>
  </si>
  <si>
    <t xml:space="preserve">@creator408_instagram</t>
  </si>
  <si>
    <t xml:space="preserve">@creator662_instagram</t>
  </si>
  <si>
    <t xml:space="preserve">@creator1386_instagram</t>
  </si>
  <si>
    <t xml:space="preserve">@creator116_instagram</t>
  </si>
  <si>
    <t xml:space="preserve">@creator1341_instagram</t>
  </si>
  <si>
    <t xml:space="preserve">Creator 832</t>
  </si>
  <si>
    <t xml:space="preserve">CR00832</t>
  </si>
  <si>
    <t xml:space="preserve">https://www.instagram.com/creator832_instagram/</t>
  </si>
  <si>
    <t xml:space="preserve">Creator 1240</t>
  </si>
  <si>
    <t xml:space="preserve">CR01240</t>
  </si>
  <si>
    <t xml:space="preserve">@creator1240_instagram</t>
  </si>
  <si>
    <t xml:space="preserve">Creator 248</t>
  </si>
  <si>
    <t xml:space="preserve">CR00248</t>
  </si>
  <si>
    <t xml:space="preserve">@creator248_instagram</t>
  </si>
  <si>
    <t xml:space="preserve">Creator 509</t>
  </si>
  <si>
    <t xml:space="preserve">CR00509</t>
  </si>
  <si>
    <t xml:space="preserve">@creator509_instagram</t>
  </si>
  <si>
    <t xml:space="preserve">Creator 1078</t>
  </si>
  <si>
    <t xml:space="preserve">CR01078</t>
  </si>
  <si>
    <t xml:space="preserve">@creator1078_instagram</t>
  </si>
  <si>
    <t xml:space="preserve">https://www.instagram.com/creator604_instagram/</t>
  </si>
  <si>
    <t xml:space="preserve">Creator 407</t>
  </si>
  <si>
    <t xml:space="preserve">CR00407</t>
  </si>
  <si>
    <t xml:space="preserve">@creator407_instagram</t>
  </si>
  <si>
    <t xml:space="preserve">@creator395_instagram</t>
  </si>
  <si>
    <t xml:space="preserve">Creator 394</t>
  </si>
  <si>
    <t xml:space="preserve">CR00394</t>
  </si>
  <si>
    <t xml:space="preserve">https://www.instagram.com/creator394_instagram/</t>
  </si>
  <si>
    <t xml:space="preserve">@creator1129_instagram</t>
  </si>
  <si>
    <t xml:space="preserve">Creator 702</t>
  </si>
  <si>
    <t xml:space="preserve">CR00702</t>
  </si>
  <si>
    <t xml:space="preserve">@creator702_instagram</t>
  </si>
  <si>
    <t xml:space="preserve">@creator570_instagram</t>
  </si>
  <si>
    <t xml:space="preserve">@creator552_instagram</t>
  </si>
  <si>
    <t xml:space="preserve">@creator352_instagram</t>
  </si>
  <si>
    <t xml:space="preserve">Creator 526</t>
  </si>
  <si>
    <t xml:space="preserve">CR00526</t>
  </si>
  <si>
    <t xml:space="preserve">@creator526_instagram</t>
  </si>
  <si>
    <t xml:space="preserve">Creator 29</t>
  </si>
  <si>
    <t xml:space="preserve">CR00029</t>
  </si>
  <si>
    <t xml:space="preserve">https://www.instagram.com/creator29_instagram/</t>
  </si>
  <si>
    <t xml:space="preserve">@creator150_instagram</t>
  </si>
  <si>
    <t xml:space="preserve">@creator146_instagram</t>
  </si>
  <si>
    <t xml:space="preserve">Creator 605</t>
  </si>
  <si>
    <t xml:space="preserve">CR00605</t>
  </si>
  <si>
    <t xml:space="preserve">@creator605_instagram</t>
  </si>
  <si>
    <t xml:space="preserve">@creator1481_instagram</t>
  </si>
  <si>
    <t xml:space="preserve">@creator1249_instagram</t>
  </si>
  <si>
    <t xml:space="preserve">Creator 1495</t>
  </si>
  <si>
    <t xml:space="preserve">CR01495</t>
  </si>
  <si>
    <t xml:space="preserve">@creator1495_instagram</t>
  </si>
  <si>
    <t xml:space="preserve">@creator848_instagram</t>
  </si>
  <si>
    <t xml:space="preserve">@creator511_instagram</t>
  </si>
  <si>
    <t xml:space="preserve">@creator427_instagram</t>
  </si>
  <si>
    <t xml:space="preserve">@creator358_instagram</t>
  </si>
  <si>
    <t xml:space="preserve">https://www.instagram.com/creator1236_instagram/</t>
  </si>
  <si>
    <t xml:space="preserve">@creator745_instagram</t>
  </si>
  <si>
    <t xml:space="preserve">@creator12_instagram</t>
  </si>
  <si>
    <t xml:space="preserve">@creator247_instagram</t>
  </si>
  <si>
    <t xml:space="preserve">https://www.instagram.com/creator721_instagram/</t>
  </si>
  <si>
    <t xml:space="preserve">Creator 674</t>
  </si>
  <si>
    <t xml:space="preserve">CR00674</t>
  </si>
  <si>
    <t xml:space="preserve">@creator674_instagram</t>
  </si>
  <si>
    <t xml:space="preserve">@creator1322_instagram</t>
  </si>
  <si>
    <t xml:space="preserve">https://www.instagram.com/creator522_instagram/</t>
  </si>
  <si>
    <t xml:space="preserve">@creator533_instagram</t>
  </si>
  <si>
    <t xml:space="preserve">@creator595_instagram</t>
  </si>
  <si>
    <t xml:space="preserve">Creator 3</t>
  </si>
  <si>
    <t xml:space="preserve">CR00003</t>
  </si>
  <si>
    <t xml:space="preserve">@creator3_instagram</t>
  </si>
  <si>
    <t xml:space="preserve">https://www.instagram.com/creator970_instagram/</t>
  </si>
  <si>
    <t xml:space="preserve">@creator569_instagram</t>
  </si>
  <si>
    <t xml:space="preserve">Creator 881</t>
  </si>
  <si>
    <t xml:space="preserve">CR00881</t>
  </si>
  <si>
    <t xml:space="preserve">https://www.instagram.com/creator881_instagram/</t>
  </si>
  <si>
    <t xml:space="preserve">@creator759_instagram</t>
  </si>
  <si>
    <t xml:space="preserve">Creator 13</t>
  </si>
  <si>
    <t xml:space="preserve">CR00013</t>
  </si>
  <si>
    <t xml:space="preserve">https://www.instagram.com/creator13_instagram/</t>
  </si>
  <si>
    <t xml:space="preserve">Creator 937</t>
  </si>
  <si>
    <t xml:space="preserve">CR00937</t>
  </si>
  <si>
    <t xml:space="preserve">@creator937_instagram</t>
  </si>
  <si>
    <t xml:space="preserve">Creator 1136</t>
  </si>
  <si>
    <t xml:space="preserve">CR01136</t>
  </si>
  <si>
    <t xml:space="preserve">@creator1136_instagram</t>
  </si>
  <si>
    <t xml:space="preserve">@creator457_instagram</t>
  </si>
  <si>
    <t xml:space="preserve">Creator 1008</t>
  </si>
  <si>
    <t xml:space="preserve">CR01008</t>
  </si>
  <si>
    <t xml:space="preserve">@creator1008_instagram</t>
  </si>
  <si>
    <t xml:space="preserve">@creator62_instagram</t>
  </si>
  <si>
    <t xml:space="preserve">@creator126_instagram</t>
  </si>
  <si>
    <t xml:space="preserve">@creator1227_instagram</t>
  </si>
  <si>
    <t xml:space="preserve">Creator 1222</t>
  </si>
  <si>
    <t xml:space="preserve">CR01222</t>
  </si>
  <si>
    <t xml:space="preserve">https://www.instagram.com/creator1222_instagram/</t>
  </si>
  <si>
    <t xml:space="preserve">https://www.instagram.com/creator272_instagram/</t>
  </si>
  <si>
    <t xml:space="preserve">Creator 192</t>
  </si>
  <si>
    <t xml:space="preserve">CR00192</t>
  </si>
  <si>
    <t xml:space="preserve">@creator192_instagram</t>
  </si>
  <si>
    <t xml:space="preserve">@creator1349_instagram</t>
  </si>
  <si>
    <t xml:space="preserve">Creator 287</t>
  </si>
  <si>
    <t xml:space="preserve">CR00287</t>
  </si>
  <si>
    <t xml:space="preserve">@creator287_instagram</t>
  </si>
  <si>
    <t xml:space="preserve">@creator530_instagram</t>
  </si>
  <si>
    <t xml:space="preserve">@creator999_instagram</t>
  </si>
  <si>
    <t xml:space="preserve">Creator 1119</t>
  </si>
  <si>
    <t xml:space="preserve">CR01119</t>
  </si>
  <si>
    <t xml:space="preserve">https://www.instagram.com/creator1119_instagram/</t>
  </si>
  <si>
    <t xml:space="preserve">@creator99_instagram</t>
  </si>
  <si>
    <t xml:space="preserve">@creator1482_instagram</t>
  </si>
  <si>
    <t xml:space="preserve">@creator859_instagram</t>
  </si>
  <si>
    <t xml:space="preserve">https://www.instagram.com/creator463_instagram/</t>
  </si>
  <si>
    <t xml:space="preserve">@creator1002_instagram</t>
  </si>
  <si>
    <t xml:space="preserve">Creator 684</t>
  </si>
  <si>
    <t xml:space="preserve">CR00684</t>
  </si>
  <si>
    <t xml:space="preserve">@creator684_instagram</t>
  </si>
  <si>
    <t xml:space="preserve">https://www.instagram.com/creator1406_instagram/</t>
  </si>
  <si>
    <t xml:space="preserve">Creator 72</t>
  </si>
  <si>
    <t xml:space="preserve">CR00072</t>
  </si>
  <si>
    <t xml:space="preserve">@creator72_instagram</t>
  </si>
  <si>
    <t xml:space="preserve">@creator1013_instagram</t>
  </si>
  <si>
    <t xml:space="preserve">Creator 923</t>
  </si>
  <si>
    <t xml:space="preserve">CR00923</t>
  </si>
  <si>
    <t xml:space="preserve">@creator923_instagram</t>
  </si>
  <si>
    <t xml:space="preserve">@creator685_instagram</t>
  </si>
  <si>
    <t xml:space="preserve">@creator860_instagram</t>
  </si>
  <si>
    <t xml:space="preserve">Creator 40</t>
  </si>
  <si>
    <t xml:space="preserve">CR00040</t>
  </si>
  <si>
    <t xml:space="preserve">@creator40_instagram</t>
  </si>
  <si>
    <t xml:space="preserve">Creator 902</t>
  </si>
  <si>
    <t xml:space="preserve">CR00902</t>
  </si>
  <si>
    <t xml:space="preserve">@creator902_instagram</t>
  </si>
  <si>
    <t xml:space="preserve">Creator 1037</t>
  </si>
  <si>
    <t xml:space="preserve">CR01037</t>
  </si>
  <si>
    <t xml:space="preserve">https://www.instagram.com/creator1037_instagram/</t>
  </si>
  <si>
    <t xml:space="preserve">@creator1017_instagram</t>
  </si>
  <si>
    <t xml:space="preserve">Creator 396</t>
  </si>
  <si>
    <t xml:space="preserve">CR00396</t>
  </si>
  <si>
    <t xml:space="preserve">@creator396_instagram</t>
  </si>
  <si>
    <t xml:space="preserve">@creator1300_instagram</t>
  </si>
  <si>
    <t xml:space="preserve">@creator1387_instagram</t>
  </si>
  <si>
    <t xml:space="preserve">Creator 297</t>
  </si>
  <si>
    <t xml:space="preserve">CR00297</t>
  </si>
  <si>
    <t xml:space="preserve">https://www.instagram.com/creator297_instagram/</t>
  </si>
  <si>
    <t xml:space="preserve">Creator 1421</t>
  </si>
  <si>
    <t xml:space="preserve">CR01421</t>
  </si>
  <si>
    <t xml:space="preserve">https://www.instagram.com/creator1421_instagram/</t>
  </si>
  <si>
    <t xml:space="preserve">@creator539_instagram</t>
  </si>
  <si>
    <t xml:space="preserve">Creator 1228</t>
  </si>
  <si>
    <t xml:space="preserve">CR01228</t>
  </si>
  <si>
    <t xml:space="preserve">@creator1228_instagram</t>
  </si>
  <si>
    <t xml:space="preserve">Creator 446</t>
  </si>
  <si>
    <t xml:space="preserve">CR00446</t>
  </si>
  <si>
    <t xml:space="preserve">@creator446_instagram</t>
  </si>
  <si>
    <t xml:space="preserve">https://www.instagram.com/creator757_instagram/</t>
  </si>
  <si>
    <t xml:space="preserve">https://www.instagram.com/creator149_instagram/</t>
  </si>
  <si>
    <t xml:space="preserve">Creator 613</t>
  </si>
  <si>
    <t xml:space="preserve">CR00613</t>
  </si>
  <si>
    <t xml:space="preserve">@creator613_instagram</t>
  </si>
  <si>
    <t xml:space="preserve">@creator529_instagram</t>
  </si>
  <si>
    <t xml:space="preserve">https://www.instagram.com/creator416_instagram/</t>
  </si>
  <si>
    <t xml:space="preserve">Creator 151</t>
  </si>
  <si>
    <t xml:space="preserve">CR00151</t>
  </si>
  <si>
    <t xml:space="preserve">@creator151_instagram</t>
  </si>
  <si>
    <t xml:space="preserve">@creator328_instagram</t>
  </si>
  <si>
    <t xml:space="preserve">Creator 636</t>
  </si>
  <si>
    <t xml:space="preserve">CR00636</t>
  </si>
  <si>
    <t xml:space="preserve">@creator636_instagram</t>
  </si>
  <si>
    <t xml:space="preserve">@creator460_instagram</t>
  </si>
  <si>
    <t xml:space="preserve">@creator194_instagram</t>
  </si>
  <si>
    <t xml:space="preserve">Creator 1458</t>
  </si>
  <si>
    <t xml:space="preserve">CR01458</t>
  </si>
  <si>
    <t xml:space="preserve">@creator1458_instagram</t>
  </si>
  <si>
    <t xml:space="preserve">@creator1103_instagram</t>
  </si>
  <si>
    <t xml:space="preserve">@creator97_instagram</t>
  </si>
  <si>
    <t xml:space="preserve">Creator 822</t>
  </si>
  <si>
    <t xml:space="preserve">CR00822</t>
  </si>
  <si>
    <t xml:space="preserve">@creator822_instagram</t>
  </si>
  <si>
    <t xml:space="preserve">Creator 1283</t>
  </si>
  <si>
    <t xml:space="preserve">CR01283</t>
  </si>
  <si>
    <t xml:space="preserve">@creator1283_instagram</t>
  </si>
  <si>
    <t xml:space="preserve">@creator579_instagram</t>
  </si>
  <si>
    <t xml:space="preserve">https://www.instagram.com/creator891_instagram/</t>
  </si>
  <si>
    <t xml:space="preserve">@creator690_instagram</t>
  </si>
  <si>
    <t xml:space="preserve">Creator 1233</t>
  </si>
  <si>
    <t xml:space="preserve">CR01233</t>
  </si>
  <si>
    <t xml:space="preserve">@creator1233_instagram</t>
  </si>
  <si>
    <t xml:space="preserve">@creator535_instagram</t>
  </si>
  <si>
    <t xml:space="preserve">@creator1291_instagram</t>
  </si>
  <si>
    <t xml:space="preserve">Creator 873</t>
  </si>
  <si>
    <t xml:space="preserve">CR00873</t>
  </si>
  <si>
    <t xml:space="preserve">@creator873_instagram</t>
  </si>
  <si>
    <t xml:space="preserve">Creator 1200</t>
  </si>
  <si>
    <t xml:space="preserve">CR01200</t>
  </si>
  <si>
    <t xml:space="preserve">@creator1200_instagram</t>
  </si>
  <si>
    <t xml:space="preserve">@creator1276_instagram</t>
  </si>
  <si>
    <t xml:space="preserve">@creator1224_instagram</t>
  </si>
  <si>
    <t xml:space="preserve">@creator847_instagram</t>
  </si>
  <si>
    <t xml:space="preserve">Creator 432</t>
  </si>
  <si>
    <t xml:space="preserve">CR00432</t>
  </si>
  <si>
    <t xml:space="preserve">@creator432_instagram</t>
  </si>
  <si>
    <t xml:space="preserve">Creator 587</t>
  </si>
  <si>
    <t xml:space="preserve">CR00587</t>
  </si>
  <si>
    <t xml:space="preserve">@creator587_instagram</t>
  </si>
  <si>
    <t xml:space="preserve">https://www.instagram.com/creator977_instagram/</t>
  </si>
  <si>
    <t xml:space="preserve">Creator 1003</t>
  </si>
  <si>
    <t xml:space="preserve">CR01003</t>
  </si>
  <si>
    <t xml:space="preserve">@creator1003_instagram</t>
  </si>
  <si>
    <t xml:space="preserve">Creator 835</t>
  </si>
  <si>
    <t xml:space="preserve">CR00835</t>
  </si>
  <si>
    <t xml:space="preserve">https://www.instagram.com/creator835_instagram/</t>
  </si>
  <si>
    <t xml:space="preserve">@creator1254_instagram</t>
  </si>
  <si>
    <t xml:space="preserve">@creator202_instagram</t>
  </si>
  <si>
    <t xml:space="preserve">Creator 1484</t>
  </si>
  <si>
    <t xml:space="preserve">CR01484</t>
  </si>
  <si>
    <t xml:space="preserve">@creator1484_instagram</t>
  </si>
  <si>
    <t xml:space="preserve">@creator1156_instagram</t>
  </si>
  <si>
    <t xml:space="preserve">Creator 887</t>
  </si>
  <si>
    <t xml:space="preserve">CR00887</t>
  </si>
  <si>
    <t xml:space="preserve">@creator887_instagram</t>
  </si>
  <si>
    <t xml:space="preserve">Creator 983</t>
  </si>
  <si>
    <t xml:space="preserve">CR00983</t>
  </si>
  <si>
    <t xml:space="preserve">@creator983_instagram</t>
  </si>
  <si>
    <t xml:space="preserve">@creator703_instagram</t>
  </si>
  <si>
    <t xml:space="preserve">Creator 302</t>
  </si>
  <si>
    <t xml:space="preserve">CR00302</t>
  </si>
  <si>
    <t xml:space="preserve">@creator302_instagram</t>
  </si>
  <si>
    <t xml:space="preserve">Creator 208</t>
  </si>
  <si>
    <t xml:space="preserve">CR00208</t>
  </si>
  <si>
    <t xml:space="preserve">@creator208_instagram</t>
  </si>
  <si>
    <t xml:space="preserve">@creator390_instagram</t>
  </si>
  <si>
    <t xml:space="preserve">https://www.instagram.com/creator199_instagram/</t>
  </si>
  <si>
    <t xml:space="preserve">@creator734_instagram</t>
  </si>
  <si>
    <t xml:space="preserve">Creator 136</t>
  </si>
  <si>
    <t xml:space="preserve">CR00136</t>
  </si>
  <si>
    <t xml:space="preserve">@creator136_instagram</t>
  </si>
  <si>
    <t xml:space="preserve">Creator 726</t>
  </si>
  <si>
    <t xml:space="preserve">CR00726</t>
  </si>
  <si>
    <t xml:space="preserve">@creator726_instagram</t>
  </si>
  <si>
    <t xml:space="preserve">@creator1123_instagram</t>
  </si>
  <si>
    <t xml:space="preserve">@creator1409_instagram</t>
  </si>
  <si>
    <t xml:space="preserve">@creator1147_instagram</t>
  </si>
  <si>
    <t xml:space="preserve">@creator261_instagram</t>
  </si>
  <si>
    <t xml:space="preserve">@creator1204_instagram</t>
  </si>
  <si>
    <t xml:space="preserve">@creator1004_instagram</t>
  </si>
  <si>
    <t xml:space="preserve">@creator911_instagram</t>
  </si>
  <si>
    <t xml:space="preserve">@creator697_instagram</t>
  </si>
  <si>
    <t xml:space="preserve">Creator 1248</t>
  </si>
  <si>
    <t xml:space="preserve">CR01248</t>
  </si>
  <si>
    <t xml:space="preserve">@creator1248_instagram</t>
  </si>
  <si>
    <t xml:space="preserve">@creator103_instagram</t>
  </si>
  <si>
    <t xml:space="preserve">@creator139_instagram</t>
  </si>
  <si>
    <t xml:space="preserve">Creator 1146</t>
  </si>
  <si>
    <t xml:space="preserve">CR01146</t>
  </si>
  <si>
    <t xml:space="preserve">@creator1146_instagram</t>
  </si>
  <si>
    <t xml:space="preserve">Creator 760</t>
  </si>
  <si>
    <t xml:space="preserve">CR00760</t>
  </si>
  <si>
    <t xml:space="preserve">@creator760_instagram</t>
  </si>
  <si>
    <t xml:space="preserve">Creator 817</t>
  </si>
  <si>
    <t xml:space="preserve">CR00817</t>
  </si>
  <si>
    <t xml:space="preserve">@creator817_instagram</t>
  </si>
  <si>
    <t xml:space="preserve">@creator1455_instagram</t>
  </si>
  <si>
    <t xml:space="preserve">@creator914_instagram</t>
  </si>
  <si>
    <t xml:space="preserve">Creator 1145</t>
  </si>
  <si>
    <t xml:space="preserve">CR01145</t>
  </si>
  <si>
    <t xml:space="preserve">@creator1145_instagram</t>
  </si>
  <si>
    <t xml:space="preserve">https://www.instagram.com/creator1031_instagram/</t>
  </si>
  <si>
    <t xml:space="preserve">https://www.instagram.com/creator1408_instagram/</t>
  </si>
  <si>
    <t xml:space="preserve">@creator90_instagram</t>
  </si>
  <si>
    <t xml:space="preserve">@creator637_instagram</t>
  </si>
  <si>
    <t xml:space="preserve">Creator 876</t>
  </si>
  <si>
    <t xml:space="preserve">CR00876</t>
  </si>
  <si>
    <t xml:space="preserve">@creator876_instagram</t>
  </si>
  <si>
    <t xml:space="preserve">Creator 296</t>
  </si>
  <si>
    <t xml:space="preserve">CR00296</t>
  </si>
  <si>
    <t xml:space="preserve">@creator296_instagram</t>
  </si>
  <si>
    <t xml:space="preserve">Creator 746</t>
  </si>
  <si>
    <t xml:space="preserve">CR00746</t>
  </si>
  <si>
    <t xml:space="preserve">@creator746_instagram</t>
  </si>
  <si>
    <t xml:space="preserve">@creator610_instagram</t>
  </si>
  <si>
    <t xml:space="preserve">@creator1274_instagram</t>
  </si>
  <si>
    <t xml:space="preserve">Creator 152</t>
  </si>
  <si>
    <t xml:space="preserve">CR00152</t>
  </si>
  <si>
    <t xml:space="preserve">https://www.instagram.com/creator152_instagram/</t>
  </si>
  <si>
    <t xml:space="preserve">@creator1321_instagram</t>
  </si>
  <si>
    <t xml:space="preserve">Creator 495</t>
  </si>
  <si>
    <t xml:space="preserve">CR00495</t>
  </si>
  <si>
    <t xml:space="preserve">@creator495_instagram</t>
  </si>
  <si>
    <t xml:space="preserve">https://www.instagram.com/creator855_instagram/</t>
  </si>
  <si>
    <t xml:space="preserve">@creator955_instagram</t>
  </si>
  <si>
    <t xml:space="preserve">@creator371_instagram</t>
  </si>
  <si>
    <t xml:space="preserve">Creator 1437</t>
  </si>
  <si>
    <t xml:space="preserve">CR01437</t>
  </si>
  <si>
    <t xml:space="preserve">@creator1437_instagram</t>
  </si>
  <si>
    <t xml:space="preserve">Creator 381</t>
  </si>
  <si>
    <t xml:space="preserve">CR00381</t>
  </si>
  <si>
    <t xml:space="preserve">https://www.instagram.com/creator381_instagram/</t>
  </si>
  <si>
    <t xml:space="preserve">Creator 108</t>
  </si>
  <si>
    <t xml:space="preserve">CR00108</t>
  </si>
  <si>
    <t xml:space="preserve">@creator108_instagram</t>
  </si>
  <si>
    <t xml:space="preserve">@creator966_instagram</t>
  </si>
  <si>
    <t xml:space="preserve">@creator233_instagram</t>
  </si>
  <si>
    <t xml:space="preserve">Creator 1092</t>
  </si>
  <si>
    <t xml:space="preserve">CR01092</t>
  </si>
  <si>
    <t xml:space="preserve">@creator1092_instagram</t>
  </si>
  <si>
    <t xml:space="preserve">@creator77_instagram</t>
  </si>
  <si>
    <t xml:space="preserve">@creator523_instagram</t>
  </si>
  <si>
    <t xml:space="preserve">@creator276_instagram</t>
  </si>
  <si>
    <t xml:space="preserve">@creator846_instagram</t>
  </si>
  <si>
    <t xml:space="preserve">@creator224_instagram</t>
  </si>
  <si>
    <t xml:space="preserve">@creator553_instagram</t>
  </si>
  <si>
    <t xml:space="preserve">Creator 527</t>
  </si>
  <si>
    <t xml:space="preserve">CR00527</t>
  </si>
  <si>
    <t xml:space="preserve">https://www.instagram.com/creator527_instagram/</t>
  </si>
  <si>
    <t xml:space="preserve">@creator785_instagram</t>
  </si>
  <si>
    <t xml:space="preserve">Creator 155</t>
  </si>
  <si>
    <t xml:space="preserve">CR00155</t>
  </si>
  <si>
    <t xml:space="preserve">@creator155_instagram</t>
  </si>
  <si>
    <t xml:space="preserve">https://www.instagram.com/creator356_instagram/</t>
  </si>
  <si>
    <t xml:space="preserve">@creator566_instagram</t>
  </si>
  <si>
    <t xml:space="preserve">https://www.instagram.com/creator353_instagram/</t>
  </si>
  <si>
    <t xml:space="preserve">@creator1313_instagram</t>
  </si>
  <si>
    <t xml:space="preserve">@creator475_instagram</t>
  </si>
  <si>
    <t xml:space="preserve">@creator1086_instagram</t>
  </si>
  <si>
    <t xml:space="preserve">https://www.instagram.com/creator65_instagram/</t>
  </si>
  <si>
    <t xml:space="preserve">Creator 128</t>
  </si>
  <si>
    <t xml:space="preserve">CR00128</t>
  </si>
  <si>
    <t xml:space="preserve">@creator128_instagram</t>
  </si>
  <si>
    <t xml:space="preserve">Creator 826</t>
  </si>
  <si>
    <t xml:space="preserve">CR00826</t>
  </si>
  <si>
    <t xml:space="preserve">@creator826_instagram</t>
  </si>
  <si>
    <t xml:space="preserve">@creator184_instagram</t>
  </si>
  <si>
    <t xml:space="preserve">@creator856_instagram</t>
  </si>
  <si>
    <t xml:space="preserve">@creator1243_instagram</t>
  </si>
  <si>
    <t xml:space="preserve">@creator1035_instagram</t>
  </si>
  <si>
    <t xml:space="preserve">Creator 878</t>
  </si>
  <si>
    <t xml:space="preserve">CR00878</t>
  </si>
  <si>
    <t xml:space="preserve">@creator878_instagram</t>
  </si>
  <si>
    <t xml:space="preserve">@creator1485_instagram</t>
  </si>
  <si>
    <t xml:space="preserve">Creator 235</t>
  </si>
  <si>
    <t xml:space="preserve">CR00235</t>
  </si>
  <si>
    <t xml:space="preserve">@creator235_instagram</t>
  </si>
  <si>
    <t xml:space="preserve">Creator 173</t>
  </si>
  <si>
    <t xml:space="preserve">CR00173</t>
  </si>
  <si>
    <t xml:space="preserve">https://www.instagram.com/creator173_instagram/</t>
  </si>
  <si>
    <t xml:space="preserve">@creator813_instagram</t>
  </si>
  <si>
    <t xml:space="preserve">Creator 325</t>
  </si>
  <si>
    <t xml:space="preserve">CR00325</t>
  </si>
  <si>
    <t xml:space="preserve">@creator325_instagram</t>
  </si>
  <si>
    <t xml:space="preserve">Creator 227</t>
  </si>
  <si>
    <t xml:space="preserve">CR00227</t>
  </si>
  <si>
    <t xml:space="preserve">@creator227_instagram</t>
  </si>
  <si>
    <t xml:space="preserve">Creator 687</t>
  </si>
  <si>
    <t xml:space="preserve">CR00687</t>
  </si>
  <si>
    <t xml:space="preserve">@creator687_instagram</t>
  </si>
  <si>
    <t xml:space="preserve">Creator 430</t>
  </si>
  <si>
    <t xml:space="preserve">CR00430</t>
  </si>
  <si>
    <t xml:space="preserve">@creator430_instagram</t>
  </si>
  <si>
    <t xml:space="preserve">@creator48_instagram</t>
  </si>
  <si>
    <t xml:space="preserve">Creator 1292</t>
  </si>
  <si>
    <t xml:space="preserve">CR01292</t>
  </si>
  <si>
    <t xml:space="preserve">https://www.instagram.com/creator1292_instagram/</t>
  </si>
  <si>
    <t xml:space="preserve">@creator268_instagram</t>
  </si>
  <si>
    <t xml:space="preserve">@creator544_instagram</t>
  </si>
  <si>
    <t xml:space="preserve">@creator1449_instagram</t>
  </si>
  <si>
    <t xml:space="preserve">Creator 865</t>
  </si>
  <si>
    <t xml:space="preserve">CR00865</t>
  </si>
  <si>
    <t xml:space="preserve">@creator865_instagram</t>
  </si>
  <si>
    <t xml:space="preserve">Creator 330</t>
  </si>
  <si>
    <t xml:space="preserve">CR00330</t>
  </si>
  <si>
    <t xml:space="preserve">@creator330_instagram</t>
  </si>
  <si>
    <t xml:space="preserve">Creator 281</t>
  </si>
  <si>
    <t xml:space="preserve">CR00281</t>
  </si>
  <si>
    <t xml:space="preserve">@creator281_instagram</t>
  </si>
  <si>
    <t xml:space="preserve">https://www.instagram.com/creator1189_instagram/</t>
  </si>
  <si>
    <t xml:space="preserve">@creator809_instagram</t>
  </si>
  <si>
    <t xml:space="preserve">@creator1266_instagram</t>
  </si>
  <si>
    <t xml:space="preserve">@creator217_instagram</t>
  </si>
  <si>
    <t xml:space="preserve">@creator282_instagram</t>
  </si>
  <si>
    <t xml:space="preserve">@creator5_instagram</t>
  </si>
  <si>
    <t xml:space="preserve">@creator380_instagram</t>
  </si>
  <si>
    <t xml:space="preserve">https://www.instagram.com/creator962_instagram/</t>
  </si>
  <si>
    <t xml:space="preserve">@creator56_instagram</t>
  </si>
  <si>
    <t xml:space="preserve">Creator 1334</t>
  </si>
  <si>
    <t xml:space="preserve">CR01334</t>
  </si>
  <si>
    <t xml:space="preserve">@creator1334_instagram</t>
  </si>
  <si>
    <t xml:space="preserve">@creator279_instagram</t>
  </si>
  <si>
    <t xml:space="preserve">Creator 0</t>
  </si>
  <si>
    <t xml:space="preserve">CR00000</t>
  </si>
  <si>
    <t xml:space="preserve">@creator0_instagram</t>
  </si>
  <si>
    <t xml:space="preserve">@creator779_instagram</t>
  </si>
  <si>
    <t xml:space="preserve">@creator1165_instagram</t>
  </si>
  <si>
    <t xml:space="preserve">Creator 823</t>
  </si>
  <si>
    <t xml:space="preserve">CR00823</t>
  </si>
  <si>
    <t xml:space="preserve">@creator823_instagram</t>
  </si>
  <si>
    <t xml:space="preserve">@creator729_instagram</t>
  </si>
  <si>
    <t xml:space="preserve">Creator 1184</t>
  </si>
  <si>
    <t xml:space="preserve">CR01184</t>
  </si>
  <si>
    <t xml:space="preserve">@creator1184_instagram</t>
  </si>
  <si>
    <t xml:space="preserve">Creator 1284</t>
  </si>
  <si>
    <t xml:space="preserve">CR01284</t>
  </si>
  <si>
    <t xml:space="preserve">@creator1284_instagram</t>
  </si>
  <si>
    <t xml:space="preserve">@creator1105_instagram</t>
  </si>
  <si>
    <t xml:space="preserve">Creator 419</t>
  </si>
  <si>
    <t xml:space="preserve">CR00419</t>
  </si>
  <si>
    <t xml:space="preserve">@creator419_instagram</t>
  </si>
  <si>
    <t xml:space="preserve">Creator 1046</t>
  </si>
  <si>
    <t xml:space="preserve">CR01046</t>
  </si>
  <si>
    <t xml:space="preserve">https://www.instagram.com/creator1046_instagram/</t>
  </si>
  <si>
    <t xml:space="preserve">@creator254_instagram</t>
  </si>
  <si>
    <t xml:space="preserve">Creator 1470</t>
  </si>
  <si>
    <t xml:space="preserve">CR01470</t>
  </si>
  <si>
    <t xml:space="preserve">https://www.instagram.com/creator1470_instagram/</t>
  </si>
  <si>
    <t xml:space="preserve">@creator179_instagram</t>
  </si>
  <si>
    <t xml:space="preserve">Creator 1047</t>
  </si>
  <si>
    <t xml:space="preserve">CR01047</t>
  </si>
  <si>
    <t xml:space="preserve">@creator1047_instagram</t>
  </si>
  <si>
    <t xml:space="preserve">@creator1307_instagram</t>
  </si>
  <si>
    <t xml:space="preserve">@creator110_instagram</t>
  </si>
  <si>
    <t xml:space="preserve">@creator1287_instagram</t>
  </si>
  <si>
    <t xml:space="preserve">https://www.instagram.com/creator452_instagram/</t>
  </si>
  <si>
    <t xml:space="preserve">Creator 901</t>
  </si>
  <si>
    <t xml:space="preserve">CR00901</t>
  </si>
  <si>
    <t xml:space="preserve">@creator901_instagram</t>
  </si>
  <si>
    <t xml:space="preserve">Creator 1362</t>
  </si>
  <si>
    <t xml:space="preserve">CR01362</t>
  </si>
  <si>
    <t xml:space="preserve">@creator1362_instagram</t>
  </si>
  <si>
    <t xml:space="preserve">@creator1489_instagram</t>
  </si>
  <si>
    <t xml:space="preserve">Creator 1419</t>
  </si>
  <si>
    <t xml:space="preserve">CR01419</t>
  </si>
  <si>
    <t xml:space="preserve">@creator1419_instagram</t>
  </si>
  <si>
    <t xml:space="preserve">@creator959_instagram</t>
  </si>
  <si>
    <t xml:space="preserve">Creator 1071</t>
  </si>
  <si>
    <t xml:space="preserve">CR01071</t>
  </si>
  <si>
    <t xml:space="preserve">@creator1071_instagram</t>
  </si>
  <si>
    <t xml:space="preserve">@creator1253_instagram</t>
  </si>
  <si>
    <t xml:space="preserve">Creator 616</t>
  </si>
  <si>
    <t xml:space="preserve">CR00616</t>
  </si>
  <si>
    <t xml:space="preserve">@creator616_instagram</t>
  </si>
  <si>
    <t xml:space="preserve">@creator1055_instagram</t>
  </si>
  <si>
    <t xml:space="preserve">@creator956_instagram</t>
  </si>
  <si>
    <t xml:space="preserve">@creator1472_instagram</t>
  </si>
  <si>
    <t xml:space="preserve">@creator1223_instagram</t>
  </si>
  <si>
    <t xml:space="preserve">Creator 843</t>
  </si>
  <si>
    <t xml:space="preserve">CR00843</t>
  </si>
  <si>
    <t xml:space="preserve">@creator843_instagram</t>
  </si>
  <si>
    <t xml:space="preserve">https://www.instagram.com/creator1399_instagram/</t>
  </si>
  <si>
    <t xml:space="preserve">Creator 1412</t>
  </si>
  <si>
    <t xml:space="preserve">CR01412</t>
  </si>
  <si>
    <t xml:space="preserve">@creator1412_instagram</t>
  </si>
  <si>
    <t xml:space="preserve">@creator551_instagram</t>
  </si>
  <si>
    <t xml:space="preserve">TikTok leaderboard — one row per complete TikTok channel</t>
  </si>
  <si>
    <t xml:space="preserve">Creator 769</t>
  </si>
  <si>
    <t xml:space="preserve">CR00769</t>
  </si>
  <si>
    <t xml:space="preserve">@creator769_tiktok</t>
  </si>
  <si>
    <t xml:space="preserve">@creator73_tiktok</t>
  </si>
  <si>
    <t xml:space="preserve">@creator627_tiktok</t>
  </si>
  <si>
    <t xml:space="preserve">@creator368_tiktok</t>
  </si>
  <si>
    <t xml:space="preserve">Creator 125</t>
  </si>
  <si>
    <t xml:space="preserve">CR00125</t>
  </si>
  <si>
    <t xml:space="preserve">@creator125_tiktok</t>
  </si>
  <si>
    <t xml:space="preserve">@creator1427_tiktok</t>
  </si>
  <si>
    <t xml:space="preserve">@creator522_tiktok</t>
  </si>
  <si>
    <t xml:space="preserve">Creator 889</t>
  </si>
  <si>
    <t xml:space="preserve">CR00889</t>
  </si>
  <si>
    <t xml:space="preserve">@creator889_tiktok</t>
  </si>
  <si>
    <t xml:space="preserve">@creator1204_tiktok</t>
  </si>
  <si>
    <t xml:space="preserve">@creator860_tiktok</t>
  </si>
  <si>
    <t xml:space="preserve">@creator182_tiktok</t>
  </si>
  <si>
    <t xml:space="preserve">@creator401_tiktok</t>
  </si>
  <si>
    <t xml:space="preserve">@creator985_tiktok</t>
  </si>
  <si>
    <t xml:space="preserve">@creator1199_tiktok</t>
  </si>
  <si>
    <t xml:space="preserve">Creator 811</t>
  </si>
  <si>
    <t xml:space="preserve">CR00811</t>
  </si>
  <si>
    <t xml:space="preserve">https://www.tiktok.com/@creator811_tiktok</t>
  </si>
  <si>
    <t xml:space="preserve">@creator570_tiktok</t>
  </si>
  <si>
    <t xml:space="preserve">@creator1085_tiktok</t>
  </si>
  <si>
    <t xml:space="preserve">@creator1253_tiktok</t>
  </si>
  <si>
    <t xml:space="preserve">Creator 670</t>
  </si>
  <si>
    <t xml:space="preserve">CR00670</t>
  </si>
  <si>
    <t xml:space="preserve">@creator670_tiktok</t>
  </si>
  <si>
    <t xml:space="preserve">@creator1314_tiktok</t>
  </si>
  <si>
    <t xml:space="preserve">@creator1064_tiktok</t>
  </si>
  <si>
    <t xml:space="preserve">@creator791_tiktok</t>
  </si>
  <si>
    <t xml:space="preserve">@creator859_tiktok</t>
  </si>
  <si>
    <t xml:space="preserve">Creator 1215</t>
  </si>
  <si>
    <t xml:space="preserve">CR01215</t>
  </si>
  <si>
    <t xml:space="preserve">@creator1215_tiktok</t>
  </si>
  <si>
    <t xml:space="preserve">Creator 25</t>
  </si>
  <si>
    <t xml:space="preserve">CR00025</t>
  </si>
  <si>
    <t xml:space="preserve">@creator25_tiktok</t>
  </si>
  <si>
    <t xml:space="preserve">@creator604_tiktok</t>
  </si>
  <si>
    <t xml:space="preserve">@creator261_tiktok</t>
  </si>
  <si>
    <t xml:space="preserve">https://www.tiktok.com/@creator1263_tiktok</t>
  </si>
  <si>
    <t xml:space="preserve">@creator1129_tiktok</t>
  </si>
  <si>
    <t xml:space="preserve">@creator1472_tiktok</t>
  </si>
  <si>
    <t xml:space="preserve">Creator 541</t>
  </si>
  <si>
    <t xml:space="preserve">CR00541</t>
  </si>
  <si>
    <t xml:space="preserve">@creator541_tiktok</t>
  </si>
  <si>
    <t xml:space="preserve">@creator1287_tiktok</t>
  </si>
  <si>
    <t xml:space="preserve">https://www.tiktok.com/@creator1349_tiktok</t>
  </si>
  <si>
    <t xml:space="preserve">@creator1103_tiktok</t>
  </si>
  <si>
    <t xml:space="preserve">@creator699_tiktok</t>
  </si>
  <si>
    <t xml:space="preserve">@creator1355_tiktok</t>
  </si>
  <si>
    <t xml:space="preserve">https://www.tiktok.com/@creator1325_tiktok</t>
  </si>
  <si>
    <t xml:space="preserve">https://www.tiktok.com/@creator439_tiktok</t>
  </si>
  <si>
    <t xml:space="preserve">Creator 1381</t>
  </si>
  <si>
    <t xml:space="preserve">CR01381</t>
  </si>
  <si>
    <t xml:space="preserve">https://www.tiktok.com/@creator1381_tiktok</t>
  </si>
  <si>
    <t xml:space="preserve">https://www.tiktok.com/@creator855_tiktok</t>
  </si>
  <si>
    <t xml:space="preserve">@creator552_tiktok</t>
  </si>
  <si>
    <t xml:space="preserve">@creator588_tiktok</t>
  </si>
  <si>
    <t xml:space="preserve">Creator 1054</t>
  </si>
  <si>
    <t xml:space="preserve">CR01054</t>
  </si>
  <si>
    <t xml:space="preserve">@creator1054_tiktok</t>
  </si>
  <si>
    <t xml:space="preserve">https://www.tiktok.com/@creator847_tiktok</t>
  </si>
  <si>
    <t xml:space="preserve">@creator1181_tiktok</t>
  </si>
  <si>
    <t xml:space="preserve">@creator90_tiktok</t>
  </si>
  <si>
    <t xml:space="preserve">@creator690_tiktok</t>
  </si>
  <si>
    <t xml:space="preserve">@creator1144_tiktok</t>
  </si>
  <si>
    <t xml:space="preserve">@creator357_tiktok</t>
  </si>
  <si>
    <t xml:space="preserve">@creator977_tiktok</t>
  </si>
  <si>
    <t xml:space="preserve">Creator 593</t>
  </si>
  <si>
    <t xml:space="preserve">CR00593</t>
  </si>
  <si>
    <t xml:space="preserve">@creator593_tiktok</t>
  </si>
  <si>
    <t xml:space="preserve">@creator956_tiktok</t>
  </si>
  <si>
    <t xml:space="preserve">Creator 1049</t>
  </si>
  <si>
    <t xml:space="preserve">CR01049</t>
  </si>
  <si>
    <t xml:space="preserve">@creator1049_tiktok</t>
  </si>
  <si>
    <t xml:space="preserve">@creator1424_tiktok</t>
  </si>
  <si>
    <t xml:space="preserve">Creator 143</t>
  </si>
  <si>
    <t xml:space="preserve">CR00143</t>
  </si>
  <si>
    <t xml:space="preserve">@creator143_tiktok</t>
  </si>
  <si>
    <t xml:space="preserve">Creator 883</t>
  </si>
  <si>
    <t xml:space="preserve">CR00883</t>
  </si>
  <si>
    <t xml:space="preserve">https://www.tiktok.com/@creator883_tiktok</t>
  </si>
  <si>
    <t xml:space="preserve">@creator779_tiktok</t>
  </si>
  <si>
    <t xml:space="preserve">Creator 975</t>
  </si>
  <si>
    <t xml:space="preserve">CR00975</t>
  </si>
  <si>
    <t xml:space="preserve">@creator975_tiktok</t>
  </si>
  <si>
    <t xml:space="preserve">@creator1071_tiktok</t>
  </si>
  <si>
    <t xml:space="preserve">Creator 681</t>
  </si>
  <si>
    <t xml:space="preserve">CR00681</t>
  </si>
  <si>
    <t xml:space="preserve">@creator681_tiktok</t>
  </si>
  <si>
    <t xml:space="preserve">@creator103_tiktok</t>
  </si>
  <si>
    <t xml:space="preserve">Creator 1088</t>
  </si>
  <si>
    <t xml:space="preserve">CR01088</t>
  </si>
  <si>
    <t xml:space="preserve">@creator1088_tiktok</t>
  </si>
  <si>
    <t xml:space="preserve">@creator99_tiktok</t>
  </si>
  <si>
    <t xml:space="preserve">@creator1313_tiktok</t>
  </si>
  <si>
    <t xml:space="preserve">@creator361_tiktok</t>
  </si>
  <si>
    <t xml:space="preserve">@creator1354_tiktok</t>
  </si>
  <si>
    <t xml:space="preserve">Creator 771</t>
  </si>
  <si>
    <t xml:space="preserve">CR00771</t>
  </si>
  <si>
    <t xml:space="preserve">@creator771_tiktok</t>
  </si>
  <si>
    <t xml:space="preserve">@creator305_tiktok</t>
  </si>
  <si>
    <t xml:space="preserve">@creator848_tiktok</t>
  </si>
  <si>
    <t xml:space="preserve">@creator914_tiktok</t>
  </si>
  <si>
    <t xml:space="preserve">Creator 949</t>
  </si>
  <si>
    <t xml:space="preserve">CR00949</t>
  </si>
  <si>
    <t xml:space="preserve">@creator949_tiktok</t>
  </si>
  <si>
    <t xml:space="preserve">@creator582_tiktok</t>
  </si>
  <si>
    <t xml:space="preserve">@creator813_tiktok</t>
  </si>
  <si>
    <t xml:space="preserve">@creator1254_tiktok</t>
  </si>
  <si>
    <t xml:space="preserve">@creator1030_tiktok</t>
  </si>
  <si>
    <t xml:space="preserve">https://www.tiktok.com/@creator1017_tiktok</t>
  </si>
  <si>
    <t xml:space="preserve">@creator553_tiktok</t>
  </si>
  <si>
    <t xml:space="preserve">https://www.tiktok.com/@creator194_tiktok</t>
  </si>
  <si>
    <t xml:space="preserve">Creator 1469</t>
  </si>
  <si>
    <t xml:space="preserve">CR01469</t>
  </si>
  <si>
    <t xml:space="preserve">@creator1469_tiktok</t>
  </si>
  <si>
    <t xml:space="preserve">https://www.tiktok.com/@creator566_tiktok</t>
  </si>
  <si>
    <t xml:space="preserve">@creator551_tiktok</t>
  </si>
  <si>
    <t xml:space="preserve">Creator 494</t>
  </si>
  <si>
    <t xml:space="preserve">CR00494</t>
  </si>
  <si>
    <t xml:space="preserve">@creator494_tiktok</t>
  </si>
  <si>
    <t xml:space="preserve">@creator1004_tiktok</t>
  </si>
  <si>
    <t xml:space="preserve">@creator1449_tiktok</t>
  </si>
  <si>
    <t xml:space="preserve">@creator1201_tiktok</t>
  </si>
  <si>
    <t xml:space="preserve">@creator457_tiktok</t>
  </si>
  <si>
    <t xml:space="preserve">Creator 172</t>
  </si>
  <si>
    <t xml:space="preserve">CR00172</t>
  </si>
  <si>
    <t xml:space="preserve">@creator172_tiktok</t>
  </si>
  <si>
    <t xml:space="preserve">@creator1350_tiktok</t>
  </si>
  <si>
    <t xml:space="preserve">@creator709_tiktok</t>
  </si>
  <si>
    <t xml:space="preserve">@creator928_tiktok</t>
  </si>
  <si>
    <t xml:space="preserve">@creator233_tiktok</t>
  </si>
  <si>
    <t xml:space="preserve">@creator729_tiktok</t>
  </si>
  <si>
    <t xml:space="preserve">Creator 1121</t>
  </si>
  <si>
    <t xml:space="preserve">CR01121</t>
  </si>
  <si>
    <t xml:space="preserve">@creator1121_tiktok</t>
  </si>
  <si>
    <t xml:space="preserve">Creator 386</t>
  </si>
  <si>
    <t xml:space="preserve">CR00386</t>
  </si>
  <si>
    <t xml:space="preserve">@creator386_tiktok</t>
  </si>
  <si>
    <t xml:space="preserve">@creator747_tiktok</t>
  </si>
  <si>
    <t xml:space="preserve">https://www.tiktok.com/@creator1079_tiktok</t>
  </si>
  <si>
    <t xml:space="preserve">@creator179_tiktok</t>
  </si>
  <si>
    <t xml:space="preserve">@creator1100_tiktok</t>
  </si>
  <si>
    <t xml:space="preserve">@creator527_tiktok</t>
  </si>
  <si>
    <t xml:space="preserve">@creator1249_tiktok</t>
  </si>
  <si>
    <t xml:space="preserve">Creator 175</t>
  </si>
  <si>
    <t xml:space="preserve">CR00175</t>
  </si>
  <si>
    <t xml:space="preserve">@creator175_tiktok</t>
  </si>
  <si>
    <t xml:space="preserve">Creator 1102</t>
  </si>
  <si>
    <t xml:space="preserve">CR01102</t>
  </si>
  <si>
    <t xml:space="preserve">@creator1102_tiktok</t>
  </si>
  <si>
    <t xml:space="preserve">https://www.tiktok.com/@creator887_tiktok</t>
  </si>
  <si>
    <t xml:space="preserve">@creator535_tiktok</t>
  </si>
  <si>
    <t xml:space="preserve">Creator 183</t>
  </si>
  <si>
    <t xml:space="preserve">CR00183</t>
  </si>
  <si>
    <t xml:space="preserve">@creator183_tiktok</t>
  </si>
  <si>
    <t xml:space="preserve">Creator 400</t>
  </si>
  <si>
    <t xml:space="preserve">CR00400</t>
  </si>
  <si>
    <t xml:space="preserve">@creator400_tiktok</t>
  </si>
  <si>
    <t xml:space="preserve">Creator 1134</t>
  </si>
  <si>
    <t xml:space="preserve">CR01134</t>
  </si>
  <si>
    <t xml:space="preserve">@creator1134_tiktok</t>
  </si>
  <si>
    <t xml:space="preserve">Creator 730</t>
  </si>
  <si>
    <t xml:space="preserve">CR00730</t>
  </si>
  <si>
    <t xml:space="preserve">@creator730_tiktok</t>
  </si>
  <si>
    <t xml:space="preserve">Creator 491</t>
  </si>
  <si>
    <t xml:space="preserve">CR00491</t>
  </si>
  <si>
    <t xml:space="preserve">@creator491_tiktok</t>
  </si>
  <si>
    <t xml:space="preserve">@creator146_tiktok</t>
  </si>
  <si>
    <t xml:space="preserve">@creator1031_tiktok</t>
  </si>
  <si>
    <t xml:space="preserve">@creator990_tiktok</t>
  </si>
  <si>
    <t xml:space="preserve">@creator1239_tiktok</t>
  </si>
  <si>
    <t xml:space="preserve">@creator380_tiktok</t>
  </si>
  <si>
    <t xml:space="preserve">@creator1489_tiktok</t>
  </si>
  <si>
    <t xml:space="preserve">@creator1274_tiktok</t>
  </si>
  <si>
    <t xml:space="preserve">@creator1132_tiktok</t>
  </si>
  <si>
    <t xml:space="preserve">@creator1223_tiktok</t>
  </si>
  <si>
    <t xml:space="preserve">@creator328_tiktok</t>
  </si>
  <si>
    <t xml:space="preserve">https://www.tiktok.com/@creator857_tiktok</t>
  </si>
  <si>
    <t xml:space="preserve">@creator46_tiktok</t>
  </si>
  <si>
    <t xml:space="preserve">Creator 473</t>
  </si>
  <si>
    <t xml:space="preserve">CR00473</t>
  </si>
  <si>
    <t xml:space="preserve">@creator473_tiktok</t>
  </si>
  <si>
    <t xml:space="preserve">https://www.tiktok.com/@creator1276_tiktok</t>
  </si>
  <si>
    <t xml:space="preserve">@creator939_tiktok</t>
  </si>
  <si>
    <t xml:space="preserve">https://www.tiktok.com/@creator1482_tiktok</t>
  </si>
  <si>
    <t xml:space="preserve">@creator703_tiktok</t>
  </si>
  <si>
    <t xml:space="preserve">Creator 83</t>
  </si>
  <si>
    <t xml:space="preserve">CR00083</t>
  </si>
  <si>
    <t xml:space="preserve">@creator83_tiktok</t>
  </si>
  <si>
    <t xml:space="preserve">@creator938_tiktok</t>
  </si>
  <si>
    <t xml:space="preserve">@creator1096_tiktok</t>
  </si>
  <si>
    <t xml:space="preserve">Creator 786</t>
  </si>
  <si>
    <t xml:space="preserve">CR00786</t>
  </si>
  <si>
    <t xml:space="preserve">@creator786_tiktok</t>
  </si>
  <si>
    <t xml:space="preserve">Creator 1383</t>
  </si>
  <si>
    <t xml:space="preserve">CR01383</t>
  </si>
  <si>
    <t xml:space="preserve">@creator1383_tiktok</t>
  </si>
  <si>
    <t xml:space="preserve">@creator390_tiktok</t>
  </si>
  <si>
    <t xml:space="preserve">Creator 461</t>
  </si>
  <si>
    <t xml:space="preserve">CR00461</t>
  </si>
  <si>
    <t xml:space="preserve">@creator461_tiktok</t>
  </si>
  <si>
    <t xml:space="preserve">@creator32_tiktok</t>
  </si>
  <si>
    <t xml:space="preserve">Creator 442</t>
  </si>
  <si>
    <t xml:space="preserve">CR00442</t>
  </si>
  <si>
    <t xml:space="preserve">@creator442_tiktok</t>
  </si>
  <si>
    <t xml:space="preserve">https://www.tiktok.com/@creator789_tiktok</t>
  </si>
  <si>
    <t xml:space="preserve">https://www.tiktok.com/@creator979_tiktok</t>
  </si>
  <si>
    <t xml:space="preserve">Creator 153</t>
  </si>
  <si>
    <t xml:space="preserve">CR00153</t>
  </si>
  <si>
    <t xml:space="preserve">@creator153_tiktok</t>
  </si>
  <si>
    <t xml:space="preserve">@creator437_tiktok</t>
  </si>
  <si>
    <t xml:space="preserve">Creator 1220</t>
  </si>
  <si>
    <t xml:space="preserve">CR01220</t>
  </si>
  <si>
    <t xml:space="preserve">@creator1220_tiktok</t>
  </si>
  <si>
    <t xml:space="preserve">@creator911_tiktok</t>
  </si>
  <si>
    <t xml:space="preserve">@creator865_tiktok</t>
  </si>
  <si>
    <t xml:space="preserve">Creator 621</t>
  </si>
  <si>
    <t xml:space="preserve">CR00621</t>
  </si>
  <si>
    <t xml:space="preserve">@creator621_tiktok</t>
  </si>
  <si>
    <t xml:space="preserve">Creator 412</t>
  </si>
  <si>
    <t xml:space="preserve">CR00412</t>
  </si>
  <si>
    <t xml:space="preserve">https://www.tiktok.com/@creator412_tiktok</t>
  </si>
  <si>
    <t xml:space="preserve">https://www.tiktok.com/@creator919_tiktok</t>
  </si>
  <si>
    <t xml:space="preserve">@creator287_tiktok</t>
  </si>
  <si>
    <t xml:space="preserve">@creator1312_tiktok</t>
  </si>
  <si>
    <t xml:space="preserve">@creator1373_tiktok</t>
  </si>
  <si>
    <t xml:space="preserve">https://www.tiktok.com/@creator620_tiktok</t>
  </si>
  <si>
    <t xml:space="preserve">@creator680_tiktok</t>
  </si>
  <si>
    <t xml:space="preserve">https://www.tiktok.com/@creator624_tiktok</t>
  </si>
  <si>
    <t xml:space="preserve">Creator 4</t>
  </si>
  <si>
    <t xml:space="preserve">CR00004</t>
  </si>
  <si>
    <t xml:space="preserve">@creator4_tiktok</t>
  </si>
  <si>
    <t xml:space="preserve">@creator327_tiktok</t>
  </si>
  <si>
    <t xml:space="preserve">https://www.tiktok.com/@creator338_tiktok</t>
  </si>
  <si>
    <t xml:space="preserve">@creator107_tiktok</t>
  </si>
  <si>
    <t xml:space="preserve">Creator 1324</t>
  </si>
  <si>
    <t xml:space="preserve">CR01324</t>
  </si>
  <si>
    <t xml:space="preserve">@creator1324_tiktok</t>
  </si>
  <si>
    <t xml:space="preserve">@creator1224_tiktok</t>
  </si>
  <si>
    <t xml:space="preserve">Creator 504</t>
  </si>
  <si>
    <t xml:space="preserve">CR00504</t>
  </si>
  <si>
    <t xml:space="preserve">@creator504_tiktok</t>
  </si>
  <si>
    <t xml:space="preserve">@creator523_tiktok</t>
  </si>
  <si>
    <t xml:space="preserve">Creator 969</t>
  </si>
  <si>
    <t xml:space="preserve">CR00969</t>
  </si>
  <si>
    <t xml:space="preserve">@creator969_tiktok</t>
  </si>
  <si>
    <t xml:space="preserve">Creator 1347</t>
  </si>
  <si>
    <t xml:space="preserve">CR01347</t>
  </si>
  <si>
    <t xml:space="preserve">https://www.tiktok.com/@creator1347_tiktok</t>
  </si>
  <si>
    <t xml:space="preserve">Creator 1337</t>
  </si>
  <si>
    <t xml:space="preserve">CR01337</t>
  </si>
  <si>
    <t xml:space="preserve">https://www.tiktok.com/@creator1337_tiktok</t>
  </si>
  <si>
    <t xml:space="preserve">@creator702_tiktok</t>
  </si>
  <si>
    <t xml:space="preserve">https://www.tiktok.com/@creator224_tiktok</t>
  </si>
  <si>
    <t xml:space="preserve">Creator 550</t>
  </si>
  <si>
    <t xml:space="preserve">CR00550</t>
  </si>
  <si>
    <t xml:space="preserve">@creator550_tiktok</t>
  </si>
  <si>
    <t xml:space="preserve">@creator1236_tiktok</t>
  </si>
  <si>
    <t xml:space="preserve">Creator 574</t>
  </si>
  <si>
    <t xml:space="preserve">CR00574</t>
  </si>
  <si>
    <t xml:space="preserve">https://www.tiktok.com/@creator574_tiktok</t>
  </si>
  <si>
    <t xml:space="preserve">@creator955_tiktok</t>
  </si>
  <si>
    <t xml:space="preserve">@creator1283_tiktok</t>
  </si>
  <si>
    <t xml:space="preserve">@creator959_tiktok</t>
  </si>
  <si>
    <t xml:space="preserve">Creator 438</t>
  </si>
  <si>
    <t xml:space="preserve">CR00438</t>
  </si>
  <si>
    <t xml:space="preserve">@creator438_tiktok</t>
  </si>
  <si>
    <t xml:space="preserve">Creator 417</t>
  </si>
  <si>
    <t xml:space="preserve">CR00417</t>
  </si>
  <si>
    <t xml:space="preserve">@creator417_tiktok</t>
  </si>
  <si>
    <t xml:space="preserve">@creator1035_tiktok</t>
  </si>
  <si>
    <t xml:space="preserve">Creator 899</t>
  </si>
  <si>
    <t xml:space="preserve">CR00899</t>
  </si>
  <si>
    <t xml:space="preserve">@creator899_tiktok</t>
  </si>
  <si>
    <t xml:space="preserve">@creator829_tiktok</t>
  </si>
  <si>
    <t xml:space="preserve">@creator1298_tiktok</t>
  </si>
  <si>
    <t xml:space="preserve">@creator732_tiktok</t>
  </si>
  <si>
    <t xml:space="preserve">@creator291_tiktok</t>
  </si>
  <si>
    <t xml:space="preserve">Creator 424</t>
  </si>
  <si>
    <t xml:space="preserve">CR00424</t>
  </si>
  <si>
    <t xml:space="preserve">@creator424_tiktok</t>
  </si>
  <si>
    <t xml:space="preserve">Creator 942</t>
  </si>
  <si>
    <t xml:space="preserve">CR00942</t>
  </si>
  <si>
    <t xml:space="preserve">https://www.tiktok.com/@creator942_tiktok</t>
  </si>
  <si>
    <t xml:space="preserve">https://www.tiktok.com/@creator1302_tiktok</t>
  </si>
  <si>
    <t xml:space="preserve">https://www.tiktok.com/@creator5_tiktok</t>
  </si>
  <si>
    <t xml:space="preserve">@creator1016_tiktok</t>
  </si>
  <si>
    <t xml:space="preserve">Creator 992</t>
  </si>
  <si>
    <t xml:space="preserve">CR00992</t>
  </si>
  <si>
    <t xml:space="preserve">https://www.tiktok.com/@creator992_tiktok</t>
  </si>
  <si>
    <t xml:space="preserve">Creator 92</t>
  </si>
  <si>
    <t xml:space="preserve">CR00092</t>
  </si>
  <si>
    <t xml:space="preserve">@creator92_tiktok</t>
  </si>
  <si>
    <t xml:space="preserve">@creator465_tiktok</t>
  </si>
  <si>
    <t xml:space="preserve">@creator11_tiktok</t>
  </si>
  <si>
    <t xml:space="preserve">@creator404_tiktok</t>
  </si>
  <si>
    <t xml:space="preserve">Creator 557</t>
  </si>
  <si>
    <t xml:space="preserve">CR00557</t>
  </si>
  <si>
    <t xml:space="preserve">https://www.tiktok.com/@creator557_tiktok</t>
  </si>
  <si>
    <t xml:space="preserve">@creator379_tiktok</t>
  </si>
  <si>
    <t xml:space="preserve">https://www.tiktok.com/@creator283_tiktok</t>
  </si>
  <si>
    <t xml:space="preserve">@creator530_tiktok</t>
  </si>
  <si>
    <t xml:space="preserve">Creator 289</t>
  </si>
  <si>
    <t xml:space="preserve">CR00289</t>
  </si>
  <si>
    <t xml:space="preserve">@creator289_tiktok</t>
  </si>
  <si>
    <t xml:space="preserve">Creator 322</t>
  </si>
  <si>
    <t xml:space="preserve">CR00322</t>
  </si>
  <si>
    <t xml:space="preserve">@creator322_tiktok</t>
  </si>
  <si>
    <t xml:space="preserve">Creator 1034</t>
  </si>
  <si>
    <t xml:space="preserve">CR01034</t>
  </si>
  <si>
    <t xml:space="preserve">@creator1034_tiktok</t>
  </si>
  <si>
    <t xml:space="preserve">https://www.tiktok.com/@creator1023_tiktok</t>
  </si>
  <si>
    <t xml:space="preserve">https://www.tiktok.com/@creator1322_tiktok</t>
  </si>
  <si>
    <t xml:space="preserve">@creator1455_tiktok</t>
  </si>
  <si>
    <t xml:space="preserve">@creator826_tiktok</t>
  </si>
  <si>
    <t xml:space="preserve">@creator254_tiktok</t>
  </si>
  <si>
    <t xml:space="preserve">@creator1485_tiktok</t>
  </si>
  <si>
    <t xml:space="preserve">@creator936_tiktok</t>
  </si>
  <si>
    <t xml:space="preserve">Creator 1213</t>
  </si>
  <si>
    <t xml:space="preserve">CR01213</t>
  </si>
  <si>
    <t xml:space="preserve">https://www.tiktok.com/@creator1213_tiktok</t>
  </si>
  <si>
    <t xml:space="preserve">@creator110_tiktok</t>
  </si>
  <si>
    <t xml:space="preserve">@creator1175_tiktok</t>
  </si>
  <si>
    <t xml:space="preserve">Creator 260</t>
  </si>
  <si>
    <t xml:space="preserve">CR00260</t>
  </si>
  <si>
    <t xml:space="preserve">@creator260_tiktok</t>
  </si>
  <si>
    <t xml:space="preserve">Creator 476</t>
  </si>
  <si>
    <t xml:space="preserve">CR00476</t>
  </si>
  <si>
    <t xml:space="preserve">@creator476_tiktok</t>
  </si>
  <si>
    <t xml:space="preserve">Creator 345</t>
  </si>
  <si>
    <t xml:space="preserve">CR00345</t>
  </si>
  <si>
    <t xml:space="preserve">https://www.tiktok.com/@creator345_tiktok</t>
  </si>
  <si>
    <t xml:space="preserve">Creator 303</t>
  </si>
  <si>
    <t xml:space="preserve">CR00303</t>
  </si>
  <si>
    <t xml:space="preserve">https://www.tiktok.com/@creator303_tiktok</t>
  </si>
  <si>
    <t xml:space="preserve">Creator 1257</t>
  </si>
  <si>
    <t xml:space="preserve">CR01257</t>
  </si>
  <si>
    <t xml:space="preserve">@creator1257_tiktok</t>
  </si>
  <si>
    <t xml:space="preserve">Creator 501</t>
  </si>
  <si>
    <t xml:space="preserve">CR00501</t>
  </si>
  <si>
    <t xml:space="preserve">@creator501_tiktok</t>
  </si>
  <si>
    <t xml:space="preserve">@creator1002_tiktok</t>
  </si>
  <si>
    <t xml:space="preserve">@creator882_tiktok</t>
  </si>
  <si>
    <t xml:space="preserve">Creator 505</t>
  </si>
  <si>
    <t xml:space="preserve">CR00505</t>
  </si>
  <si>
    <t xml:space="preserve">https://www.tiktok.com/@creator505_tiktok</t>
  </si>
  <si>
    <t xml:space="preserve">@creator358_tiktok</t>
  </si>
  <si>
    <t xml:space="preserve">Creator 1187</t>
  </si>
  <si>
    <t xml:space="preserve">CR01187</t>
  </si>
  <si>
    <t xml:space="preserve">@creator1187_tiktok</t>
  </si>
  <si>
    <t xml:space="preserve">@creator321_tiktok</t>
  </si>
  <si>
    <t xml:space="preserve">Creator 158</t>
  </si>
  <si>
    <t xml:space="preserve">CR00158</t>
  </si>
  <si>
    <t xml:space="preserve">https://www.tiktok.com/@creator158_tiktok</t>
  </si>
  <si>
    <t xml:space="preserve">@creator351_tiktok</t>
  </si>
  <si>
    <t xml:space="preserve">@creator431_tiktok</t>
  </si>
  <si>
    <t xml:space="preserve">https://www.tiktok.com/@creator809_tiktok</t>
  </si>
  <si>
    <t xml:space="preserve">@creator313_tiktok</t>
  </si>
  <si>
    <t xml:space="preserve">@creator383_tiktok</t>
  </si>
  <si>
    <t xml:space="preserve">@creator1241_tiktok</t>
  </si>
  <si>
    <t xml:space="preserve">@creator235_tiktok</t>
  </si>
  <si>
    <t xml:space="preserve">https://www.tiktok.com/@creator130_tiktok</t>
  </si>
  <si>
    <t xml:space="preserve">@creator282_tiktok</t>
  </si>
  <si>
    <t xml:space="preserve">Creator 733</t>
  </si>
  <si>
    <t xml:space="preserve">CR00733</t>
  </si>
  <si>
    <t xml:space="preserve">https://www.tiktok.com/@creator733_tiktok</t>
  </si>
  <si>
    <t xml:space="preserve">@creator300_tiktok</t>
  </si>
  <si>
    <t xml:space="preserve">@creator1291_tiktok</t>
  </si>
  <si>
    <t xml:space="preserve">@creator846_tiktok</t>
  </si>
  <si>
    <t xml:space="preserve">Creator 1477</t>
  </si>
  <si>
    <t xml:space="preserve">CR01477</t>
  </si>
  <si>
    <t xml:space="preserve">@creator1477_tiktok</t>
  </si>
  <si>
    <t xml:space="preserve">Creator 1061</t>
  </si>
  <si>
    <t xml:space="preserve">CR01061</t>
  </si>
  <si>
    <t xml:space="preserve">https://www.tiktok.com/@creator1061_tiktok</t>
  </si>
  <si>
    <t xml:space="preserve">@creator54_tiktok</t>
  </si>
  <si>
    <t xml:space="preserve">@creator279_tiktok</t>
  </si>
  <si>
    <t xml:space="preserve">@creator721_tiktok</t>
  </si>
  <si>
    <t xml:space="preserve">Creator 161</t>
  </si>
  <si>
    <t xml:space="preserve">CR00161</t>
  </si>
  <si>
    <t xml:space="preserve">@creator161_tiktok</t>
  </si>
  <si>
    <t xml:space="preserve">@creator757_tiktok</t>
  </si>
  <si>
    <t xml:space="preserve">Creator 1461</t>
  </si>
  <si>
    <t xml:space="preserve">CR01461</t>
  </si>
  <si>
    <t xml:space="preserve">https://www.tiktok.com/@creator1461_tiktok</t>
  </si>
  <si>
    <t xml:space="preserve">@creator416_tiktok</t>
  </si>
  <si>
    <t xml:space="preserve">Creator 601</t>
  </si>
  <si>
    <t xml:space="preserve">CR00601</t>
  </si>
  <si>
    <t xml:space="preserve">@creator601_tiktok</t>
  </si>
  <si>
    <t xml:space="preserve">@creator1057_tiktok</t>
  </si>
  <si>
    <t xml:space="preserve">@creator1174_tiktok</t>
  </si>
  <si>
    <t xml:space="preserve">@creator86_tiktok</t>
  </si>
  <si>
    <t xml:space="preserve">@creator731_tiktok</t>
  </si>
  <si>
    <t xml:space="preserve">@creator339_tiktok</t>
  </si>
  <si>
    <t xml:space="preserve">@creator458_tiktok</t>
  </si>
  <si>
    <t xml:space="preserve">Creator 916</t>
  </si>
  <si>
    <t xml:space="preserve">CR00916</t>
  </si>
  <si>
    <t xml:space="preserve">@creator916_tiktok</t>
  </si>
  <si>
    <t xml:space="preserve">@creator995_tiktok</t>
  </si>
  <si>
    <t xml:space="preserve">@creator38_tiktok</t>
  </si>
  <si>
    <t xml:space="preserve">@creator651_tiktok</t>
  </si>
  <si>
    <t xml:space="preserve">@creator180_tiktok</t>
  </si>
  <si>
    <t xml:space="preserve">@creator894_tiktok</t>
  </si>
  <si>
    <t xml:space="preserve">@creator519_tiktok</t>
  </si>
  <si>
    <t xml:space="preserve">Creator 117</t>
  </si>
  <si>
    <t xml:space="preserve">CR00117</t>
  </si>
  <si>
    <t xml:space="preserve">@creator117_tiktok</t>
  </si>
  <si>
    <t xml:space="preserve">@creator1156_tiktok</t>
  </si>
  <si>
    <t xml:space="preserve">https://www.tiktok.com/@creator353_tiktok</t>
  </si>
  <si>
    <t xml:space="preserve">https://www.tiktok.com/@creator962_tiktok</t>
  </si>
  <si>
    <t xml:space="preserve">Creator 485</t>
  </si>
  <si>
    <t xml:space="preserve">CR00485</t>
  </si>
  <si>
    <t xml:space="preserve">@creator485_tiktok</t>
  </si>
  <si>
    <t xml:space="preserve">https://www.tiktok.com/@creator880_tiktok</t>
  </si>
  <si>
    <t xml:space="preserve">@creator1492_tiktok</t>
  </si>
  <si>
    <t xml:space="preserve">Creator 1316</t>
  </si>
  <si>
    <t xml:space="preserve">CR01316</t>
  </si>
  <si>
    <t xml:space="preserve">@creator1316_tiktok</t>
  </si>
  <si>
    <t xml:space="preserve">@creator1011_tiktok</t>
  </si>
  <si>
    <t xml:space="preserve">@creator356_tiktok</t>
  </si>
  <si>
    <t xml:space="preserve">https://www.tiktok.com/@creator1309_tiktok</t>
  </si>
  <si>
    <t xml:space="preserve">Creator 231</t>
  </si>
  <si>
    <t xml:space="preserve">CR00231</t>
  </si>
  <si>
    <t xml:space="preserve">@creator231_tiktok</t>
  </si>
  <si>
    <t xml:space="preserve">@creator1147_tiktok</t>
  </si>
  <si>
    <t xml:space="preserve">@creator766_tiktok</t>
  </si>
  <si>
    <t xml:space="preserve">Creator 63</t>
  </si>
  <si>
    <t xml:space="preserve">CR00063</t>
  </si>
  <si>
    <t xml:space="preserve">@creator63_tiktok</t>
  </si>
  <si>
    <t xml:space="preserve">@creator1109_tiktok</t>
  </si>
  <si>
    <t xml:space="preserve">https://www.tiktok.com/@creator463_tiktok</t>
  </si>
  <si>
    <t xml:space="preserve">Creator 1402</t>
  </si>
  <si>
    <t xml:space="preserve">CR01402</t>
  </si>
  <si>
    <t xml:space="preserve">@creator1402_tiktok</t>
  </si>
  <si>
    <t xml:space="preserve">@creator1430_tiktok</t>
  </si>
  <si>
    <t xml:space="preserve">Creator 79</t>
  </si>
  <si>
    <t xml:space="preserve">CR00079</t>
  </si>
  <si>
    <t xml:space="preserve">@creator79_tiktok</t>
  </si>
  <si>
    <t xml:space="preserve">@creator1300_tiktok</t>
  </si>
  <si>
    <t xml:space="preserve">@creator1243_tiktok</t>
  </si>
  <si>
    <t xml:space="preserve">@creator1269_tiktok</t>
  </si>
  <si>
    <t xml:space="preserve">@creator149_tiktok</t>
  </si>
  <si>
    <t xml:space="preserve">https://www.tiktok.com/@creator1268_tiktok</t>
  </si>
  <si>
    <t xml:space="preserve">@creator1055_tiktok</t>
  </si>
  <si>
    <t xml:space="preserve">@creator897_tiktok</t>
  </si>
  <si>
    <t xml:space="preserve">https://www.tiktok.com/@creator1406_tiktok</t>
  </si>
  <si>
    <t xml:space="preserve">@creator1454_tiktok</t>
  </si>
  <si>
    <t xml:space="preserve">Creator 1148</t>
  </si>
  <si>
    <t xml:space="preserve">CR01148</t>
  </si>
  <si>
    <t xml:space="preserve">@creator1148_tiktok</t>
  </si>
  <si>
    <t xml:space="preserve">@creator1105_tiktok</t>
  </si>
  <si>
    <t xml:space="preserve">https://www.tiktok.com/@creator559_tiktok</t>
  </si>
  <si>
    <t xml:space="preserve">@creator1140_tiktok</t>
  </si>
  <si>
    <t xml:space="preserve">@creator533_tiktok</t>
  </si>
  <si>
    <t xml:space="preserve">@creator202_tiktok</t>
  </si>
  <si>
    <t xml:space="preserve">@creator343_tiktok</t>
  </si>
  <si>
    <t xml:space="preserve">@creator1193_tiktok</t>
  </si>
  <si>
    <t xml:space="preserve">Creator 1447</t>
  </si>
  <si>
    <t xml:space="preserve">CR01447</t>
  </si>
  <si>
    <t xml:space="preserve">@creator1447_tiktok</t>
  </si>
  <si>
    <t xml:space="preserve">Creator 31</t>
  </si>
  <si>
    <t xml:space="preserve">CR00031</t>
  </si>
  <si>
    <t xml:space="preserve">https://www.tiktok.com/@creator31_tiktok</t>
  </si>
  <si>
    <t xml:space="preserve">@creator673_tiktok</t>
  </si>
  <si>
    <t xml:space="preserve">@creator825_tiktok</t>
  </si>
  <si>
    <t xml:space="preserve">@creator751_tiktok</t>
  </si>
  <si>
    <t xml:space="preserve">Creator 1217</t>
  </si>
  <si>
    <t xml:space="preserve">CR01217</t>
  </si>
  <si>
    <t xml:space="preserve">@creator1217_tiktok</t>
  </si>
  <si>
    <t xml:space="preserve">@creator393_tiktok</t>
  </si>
  <si>
    <t xml:space="preserve">@creator1419_tiktok</t>
  </si>
  <si>
    <t xml:space="preserve">Creator 30</t>
  </si>
  <si>
    <t xml:space="preserve">CR00030</t>
  </si>
  <si>
    <t xml:space="preserve">@creator30_tiktok</t>
  </si>
  <si>
    <t xml:space="preserve">@creator529_tiktok</t>
  </si>
  <si>
    <t xml:space="preserve">Creator 935</t>
  </si>
  <si>
    <t xml:space="preserve">CR00935</t>
  </si>
  <si>
    <t xml:space="preserve">@creator935_tiktok</t>
  </si>
  <si>
    <t xml:space="preserve">@creator352_tiktok</t>
  </si>
  <si>
    <t xml:space="preserve">@creator641_tiktok</t>
  </si>
  <si>
    <t xml:space="preserve">@creator1481_tiktok</t>
  </si>
  <si>
    <t xml:space="preserve">Creator 160</t>
  </si>
  <si>
    <t xml:space="preserve">CR00160</t>
  </si>
  <si>
    <t xml:space="preserve">@creator160_tiktok</t>
  </si>
  <si>
    <t xml:space="preserve">@creator112_tiktok</t>
  </si>
  <si>
    <t xml:space="preserve">@creator100_tiktok</t>
  </si>
  <si>
    <t xml:space="preserve">https://www.tiktok.com/@creator569_tiktok</t>
  </si>
  <si>
    <t xml:space="preserve">Creator 927</t>
  </si>
  <si>
    <t xml:space="preserve">CR00927</t>
  </si>
  <si>
    <t xml:space="preserve">@creator927_tiktok</t>
  </si>
  <si>
    <t xml:space="preserve">@creator634_tiktok</t>
  </si>
  <si>
    <t xml:space="preserve">Creator 138</t>
  </si>
  <si>
    <t xml:space="preserve">CR00138</t>
  </si>
  <si>
    <t xml:space="preserve">@creator138_tiktok</t>
  </si>
  <si>
    <t xml:space="preserve">https://www.tiktok.com/@creator1101_tiktok</t>
  </si>
  <si>
    <t xml:space="preserve">@creator745_tiktok</t>
  </si>
  <si>
    <t xml:space="preserve">@creator395_tiktok</t>
  </si>
  <si>
    <t xml:space="preserve">@creator57_tiktok</t>
  </si>
  <si>
    <t xml:space="preserve">https://www.tiktok.com/@creator639_tiktok</t>
  </si>
  <si>
    <t xml:space="preserve">Creator 707</t>
  </si>
  <si>
    <t xml:space="preserve">CR00707</t>
  </si>
  <si>
    <t xml:space="preserve">@creator707_tiktok</t>
  </si>
  <si>
    <t xml:space="preserve">@creator77_tiktok</t>
  </si>
  <si>
    <t xml:space="preserve">https://www.tiktok.com/@creator62_tiktok</t>
  </si>
  <si>
    <t xml:space="preserve">@creator759_tiktok</t>
  </si>
  <si>
    <t xml:space="preserve">@creator257_tiktok</t>
  </si>
  <si>
    <t xml:space="preserve">@creator0_tiktok</t>
  </si>
  <si>
    <t xml:space="preserve">https://www.tiktok.com/@creator48_tiktok</t>
  </si>
  <si>
    <t xml:space="preserve">Creator 739</t>
  </si>
  <si>
    <t xml:space="preserve">CR00739</t>
  </si>
  <si>
    <t xml:space="preserve">@creator739_tiktok</t>
  </si>
  <si>
    <t xml:space="preserve">@creator685_tiktok</t>
  </si>
  <si>
    <t xml:space="preserve">@creator1367_tiktok</t>
  </si>
  <si>
    <t xml:space="preserve">Creator 197</t>
  </si>
  <si>
    <t xml:space="preserve">CR00197</t>
  </si>
  <si>
    <t xml:space="preserve">@creator197_tiktok</t>
  </si>
  <si>
    <t xml:space="preserve">Creator 584</t>
  </si>
  <si>
    <t xml:space="preserve">CR00584</t>
  </si>
  <si>
    <t xml:space="preserve">@creator584_tiktok</t>
  </si>
  <si>
    <t xml:space="preserve">https://www.tiktok.com/@creator1297_tiktok</t>
  </si>
  <si>
    <t xml:space="preserve">@creator546_tiktok</t>
  </si>
  <si>
    <t xml:space="preserve">@creator268_tiktok</t>
  </si>
  <si>
    <t xml:space="preserve">@creator581_tiktok</t>
  </si>
  <si>
    <t xml:space="preserve">Creator 243</t>
  </si>
  <si>
    <t xml:space="preserve">CR00243</t>
  </si>
  <si>
    <t xml:space="preserve">@creator243_tiktok</t>
  </si>
  <si>
    <t xml:space="preserve">@creator808_tiktok</t>
  </si>
  <si>
    <t xml:space="preserve">@creator1290_tiktok</t>
  </si>
  <si>
    <t xml:space="preserve">@creator598_tiktok</t>
  </si>
  <si>
    <t xml:space="preserve">@creator1168_tiktok</t>
  </si>
  <si>
    <t xml:space="preserve">@creator1343_tiktok</t>
  </si>
  <si>
    <t xml:space="preserve">@creator511_tiktok</t>
  </si>
  <si>
    <t xml:space="preserve">@creator1438_tiktok</t>
  </si>
  <si>
    <t xml:space="preserve">Creator 669</t>
  </si>
  <si>
    <t xml:space="preserve">CR00669</t>
  </si>
  <si>
    <t xml:space="preserve">@creator669_tiktok</t>
  </si>
  <si>
    <t xml:space="preserve">@creator891_tiktok</t>
  </si>
  <si>
    <t xml:space="preserve">Creator 244</t>
  </si>
  <si>
    <t xml:space="preserve">CR00244</t>
  </si>
  <si>
    <t xml:space="preserve">@creator244_tiktok</t>
  </si>
  <si>
    <t xml:space="preserve">@creator1266_tiktok</t>
  </si>
  <si>
    <t xml:space="preserve">@creator831_tiktok</t>
  </si>
  <si>
    <t xml:space="preserve">@creator460_tiktok</t>
  </si>
  <si>
    <t xml:space="preserve">@creator65_tiktok</t>
  </si>
  <si>
    <t xml:space="preserve">@creator697_tiktok</t>
  </si>
  <si>
    <t xml:space="preserve">https://www.tiktok.com/@creator12_tiktok</t>
  </si>
  <si>
    <t xml:space="preserve">Creator 1172</t>
  </si>
  <si>
    <t xml:space="preserve">CR01172</t>
  </si>
  <si>
    <t xml:space="preserve">@creator1172_tiktok</t>
  </si>
  <si>
    <t xml:space="preserve">@creator1495_tiktok</t>
  </si>
  <si>
    <t xml:space="preserve">https://www.tiktok.com/@creator698_tiktok</t>
  </si>
  <si>
    <t xml:space="preserve">@creator754_tiktok</t>
  </si>
  <si>
    <t xml:space="preserve">https://www.tiktok.com/@creator1448_tiktok</t>
  </si>
  <si>
    <t xml:space="preserve">https://www.tiktok.com/@creator1387_tiktok</t>
  </si>
  <si>
    <t xml:space="preserve">Creator 1384</t>
  </si>
  <si>
    <t xml:space="preserve">CR01384</t>
  </si>
  <si>
    <t xml:space="preserve">@creator1384_tiktok</t>
  </si>
  <si>
    <t xml:space="preserve">Creator 722</t>
  </si>
  <si>
    <t xml:space="preserve">CR00722</t>
  </si>
  <si>
    <t xml:space="preserve">@creator722_tiktok</t>
  </si>
  <si>
    <t xml:space="preserve">@creator971_tiktok</t>
  </si>
  <si>
    <t xml:space="preserve">@creator1013_tiktok</t>
  </si>
  <si>
    <t xml:space="preserve">@creator1396_tiktok</t>
  </si>
  <si>
    <t xml:space="preserve">@creator184_tiktok</t>
  </si>
  <si>
    <t xml:space="preserve">Creator 540</t>
  </si>
  <si>
    <t xml:space="preserve">CR00540</t>
  </si>
  <si>
    <t xml:space="preserve">@creator540_tiktok</t>
  </si>
  <si>
    <t xml:space="preserve">@creator247_tiktok</t>
  </si>
  <si>
    <t xml:space="preserve">Creator 340</t>
  </si>
  <si>
    <t xml:space="preserve">CR00340</t>
  </si>
  <si>
    <t xml:space="preserve">@creator340_tiktok</t>
  </si>
  <si>
    <t xml:space="preserve">@creator539_tiktok</t>
  </si>
  <si>
    <t xml:space="preserve">Creator 1208</t>
  </si>
  <si>
    <t xml:space="preserve">CR01208</t>
  </si>
  <si>
    <t xml:space="preserve">@creator1208_tiktok</t>
  </si>
  <si>
    <t xml:space="preserve">@creator610_tiktok</t>
  </si>
  <si>
    <t xml:space="preserve">@creator1255_tiktok</t>
  </si>
  <si>
    <t xml:space="preserve">@creator901_tiktok</t>
  </si>
  <si>
    <t xml:space="preserve">Creator 701</t>
  </si>
  <si>
    <t xml:space="preserve">CR00701</t>
  </si>
  <si>
    <t xml:space="preserve">@creator701_tiktok</t>
  </si>
  <si>
    <t xml:space="preserve">@creator1050_tiktok</t>
  </si>
  <si>
    <t xml:space="preserve">@creator97_tiktok</t>
  </si>
  <si>
    <t xml:space="preserve">Creator 174</t>
  </si>
  <si>
    <t xml:space="preserve">CR00174</t>
  </si>
  <si>
    <t xml:space="preserve">@creator174_tiktok</t>
  </si>
  <si>
    <t xml:space="preserve">@creator70_tiktok</t>
  </si>
  <si>
    <t xml:space="preserve">Creator 871</t>
  </si>
  <si>
    <t xml:space="preserve">CR00871</t>
  </si>
  <si>
    <t xml:space="preserve">@creator871_tiktok</t>
  </si>
  <si>
    <t xml:space="preserve">https://www.tiktok.com/@creator573_tiktok</t>
  </si>
  <si>
    <t xml:space="preserve">Creator 1270</t>
  </si>
  <si>
    <t xml:space="preserve">CR01270</t>
  </si>
  <si>
    <t xml:space="preserve">https://www.tiktok.com/@creator1270_tiktok</t>
  </si>
  <si>
    <t xml:space="preserve">https://www.tiktok.com/@creator1321_tiktok</t>
  </si>
  <si>
    <t xml:space="preserve">Creator 895</t>
  </si>
  <si>
    <t xml:space="preserve">CR00895</t>
  </si>
  <si>
    <t xml:space="preserve">https://www.tiktok.com/@creator895_tiktok</t>
  </si>
  <si>
    <t xml:space="preserve">Creator 317</t>
  </si>
  <si>
    <t xml:space="preserve">CR00317</t>
  </si>
  <si>
    <t xml:space="preserve">@creator317_tiktok</t>
  </si>
  <si>
    <t xml:space="preserve">https://www.tiktok.com/@creator1374_tiktok</t>
  </si>
  <si>
    <t xml:space="preserve">@creator1436_tiktok</t>
  </si>
  <si>
    <t xml:space="preserve">@creator663_tiktok</t>
  </si>
  <si>
    <t xml:space="preserve">Creator 360</t>
  </si>
  <si>
    <t xml:space="preserve">CR00360</t>
  </si>
  <si>
    <t xml:space="preserve">@creator360_tiktok</t>
  </si>
  <si>
    <t xml:space="preserve">YouTube leaderboard — one row per complete YouTube channel</t>
  </si>
  <si>
    <t xml:space="preserve">@creator390_youtube</t>
  </si>
  <si>
    <t xml:space="preserve">Creator 1191</t>
  </si>
  <si>
    <t xml:space="preserve">CR01191</t>
  </si>
  <si>
    <t xml:space="preserve">@creator1191_youtube</t>
  </si>
  <si>
    <t xml:space="preserve">@creator361_youtube</t>
  </si>
  <si>
    <t xml:space="preserve">@creator381_youtube</t>
  </si>
  <si>
    <t xml:space="preserve">@creator581_youtube</t>
  </si>
  <si>
    <t xml:space="preserve">@creator328_youtube</t>
  </si>
  <si>
    <t xml:space="preserve">@creator779_youtube</t>
  </si>
  <si>
    <t xml:space="preserve">Creator 1091</t>
  </si>
  <si>
    <t xml:space="preserve">CR01091</t>
  </si>
  <si>
    <t xml:space="preserve">@creator1091_youtube</t>
  </si>
  <si>
    <t xml:space="preserve">@creator85_youtube</t>
  </si>
  <si>
    <t xml:space="preserve">@creator593_youtube</t>
  </si>
  <si>
    <t xml:space="preserve">Creator 1463</t>
  </si>
  <si>
    <t xml:space="preserve">CR01463</t>
  </si>
  <si>
    <t xml:space="preserve">@creator1463_youtube</t>
  </si>
  <si>
    <t xml:space="preserve">@creator662_youtube</t>
  </si>
  <si>
    <t xml:space="preserve">@creator1447_youtube</t>
  </si>
  <si>
    <t xml:space="preserve">@creator711_youtube</t>
  </si>
  <si>
    <t xml:space="preserve">@creator41_youtube</t>
  </si>
  <si>
    <t xml:space="preserve">@creator202_youtube</t>
  </si>
  <si>
    <t xml:space="preserve">@creator1184_youtube</t>
  </si>
  <si>
    <t xml:space="preserve">@creator789_youtube</t>
  </si>
  <si>
    <t xml:space="preserve">@creator1039_youtube</t>
  </si>
  <si>
    <t xml:space="preserve">Creator 1329</t>
  </si>
  <si>
    <t xml:space="preserve">CR01329</t>
  </si>
  <si>
    <t xml:space="preserve">@creator1329_youtube</t>
  </si>
  <si>
    <t xml:space="preserve">@creator357_youtube</t>
  </si>
  <si>
    <t xml:space="preserve">@creator734_youtube</t>
  </si>
  <si>
    <t xml:space="preserve">@creator1025_youtube</t>
  </si>
  <si>
    <t xml:space="preserve">@creator194_youtube</t>
  </si>
  <si>
    <t xml:space="preserve">@creator1381_youtube</t>
  </si>
  <si>
    <t xml:space="preserve">@creator373_youtube</t>
  </si>
  <si>
    <t xml:space="preserve">@creator1373_youtube</t>
  </si>
  <si>
    <t xml:space="preserve">creator 318</t>
  </si>
  <si>
    <t xml:space="preserve">CR00318</t>
  </si>
  <si>
    <t xml:space="preserve">@creator318_youtube</t>
  </si>
  <si>
    <t xml:space="preserve">@creator158_youtube</t>
  </si>
  <si>
    <t xml:space="preserve">https://youtube.com/@creator1402_youtube</t>
  </si>
  <si>
    <t xml:space="preserve">Creator 752</t>
  </si>
  <si>
    <t xml:space="preserve">CR00752</t>
  </si>
  <si>
    <t xml:space="preserve">@creator752_youtube</t>
  </si>
  <si>
    <t xml:space="preserve">@creator1274_youtube</t>
  </si>
  <si>
    <t xml:space="preserve">Creator 483</t>
  </si>
  <si>
    <t xml:space="preserve">CR00483</t>
  </si>
  <si>
    <t xml:space="preserve">@creator483_youtube</t>
  </si>
  <si>
    <t xml:space="preserve">Creator 444</t>
  </si>
  <si>
    <t xml:space="preserve">CR00444</t>
  </si>
  <si>
    <t xml:space="preserve">@creator444_youtube</t>
  </si>
  <si>
    <t xml:space="preserve">Creator 1194</t>
  </si>
  <si>
    <t xml:space="preserve">CR01194</t>
  </si>
  <si>
    <t xml:space="preserve">@creator1194_youtube</t>
  </si>
  <si>
    <t xml:space="preserve">https://youtube.com/@creator1255_youtube</t>
  </si>
  <si>
    <t xml:space="preserve">@creator322_youtube</t>
  </si>
  <si>
    <t xml:space="preserve">@creator1322_youtube</t>
  </si>
  <si>
    <t xml:space="preserve">@creator1121_youtube</t>
  </si>
  <si>
    <t xml:space="preserve">@creator20_youtube</t>
  </si>
  <si>
    <t xml:space="preserve">@creator621_youtube</t>
  </si>
  <si>
    <t xml:space="preserve">@creator3_youtube</t>
  </si>
  <si>
    <t xml:space="preserve">@creator1249_youtube</t>
  </si>
  <si>
    <t xml:space="preserve">@creator1266_youtube</t>
  </si>
  <si>
    <t xml:space="preserve">@creator751_youtube</t>
  </si>
  <si>
    <t xml:space="preserve">@creator347_youtube</t>
  </si>
  <si>
    <t xml:space="preserve">https://youtube.com/@creator423_youtube</t>
  </si>
  <si>
    <t xml:space="preserve">@creator811_youtube</t>
  </si>
  <si>
    <t xml:space="preserve">https://youtube.com/@creator1489_youtube</t>
  </si>
  <si>
    <t xml:space="preserve">@creator1103_youtube</t>
  </si>
  <si>
    <t xml:space="preserve">Creator 625</t>
  </si>
  <si>
    <t xml:space="preserve">CR00625</t>
  </si>
  <si>
    <t xml:space="preserve">@creator625_youtube</t>
  </si>
  <si>
    <t xml:space="preserve">@creator1165_youtube</t>
  </si>
  <si>
    <t xml:space="preserve">@creator224_youtube</t>
  </si>
  <si>
    <t xml:space="preserve">@creator424_youtube</t>
  </si>
  <si>
    <t xml:space="preserve">@creator182_youtube</t>
  </si>
  <si>
    <t xml:space="preserve">@creator627_youtube</t>
  </si>
  <si>
    <t xml:space="preserve">@creator511_youtube</t>
  </si>
  <si>
    <t xml:space="preserve">Creator 689</t>
  </si>
  <si>
    <t xml:space="preserve">CR00689</t>
  </si>
  <si>
    <t xml:space="preserve">@creator689_youtube</t>
  </si>
  <si>
    <t xml:space="preserve">@creator403_youtube</t>
  </si>
  <si>
    <t xml:space="preserve">@creator153_youtube</t>
  </si>
  <si>
    <t xml:space="preserve">@creator305_youtube</t>
  </si>
  <si>
    <t xml:space="preserve">@creator1384_youtube</t>
  </si>
  <si>
    <t xml:space="preserve">Creator 1371</t>
  </si>
  <si>
    <t xml:space="preserve">CR01371</t>
  </si>
  <si>
    <t xml:space="preserve">@creator1371_youtube</t>
  </si>
  <si>
    <t xml:space="preserve">@creator576_youtube</t>
  </si>
  <si>
    <t xml:space="preserve">@creator1254_youtube</t>
  </si>
  <si>
    <t xml:space="preserve">@creator216_youtube</t>
  </si>
  <si>
    <t xml:space="preserve">@creator38_youtube</t>
  </si>
  <si>
    <t xml:space="preserve">Creator 1462</t>
  </si>
  <si>
    <t xml:space="preserve">CR01462</t>
  </si>
  <si>
    <t xml:space="preserve">@creator1462_youtube</t>
  </si>
  <si>
    <t xml:space="preserve">@creator620_youtube</t>
  </si>
  <si>
    <t xml:space="preserve">@creator1314_youtube</t>
  </si>
  <si>
    <t xml:space="preserve">@creator254_youtube</t>
  </si>
  <si>
    <t xml:space="preserve">@creator856_youtube</t>
  </si>
  <si>
    <t xml:space="preserve">@creator1239_youtube</t>
  </si>
  <si>
    <t xml:space="preserve">@creator238_youtube</t>
  </si>
  <si>
    <t xml:space="preserve">@creator248_youtube</t>
  </si>
  <si>
    <t xml:space="preserve">@creator1004_youtube</t>
  </si>
  <si>
    <t xml:space="preserve">Creator 525</t>
  </si>
  <si>
    <t xml:space="preserve">CR00525</t>
  </si>
  <si>
    <t xml:space="preserve">@creator525_youtube</t>
  </si>
  <si>
    <t xml:space="preserve">@creator485_youtube</t>
  </si>
  <si>
    <t xml:space="preserve">@creator616_youtube</t>
  </si>
  <si>
    <t xml:space="preserve">@creator269_youtube</t>
  </si>
  <si>
    <t xml:space="preserve">@creator297_youtube</t>
  </si>
  <si>
    <t xml:space="preserve">@creator1285_youtube</t>
  </si>
  <si>
    <t xml:space="preserve">@creator942_youtube</t>
  </si>
  <si>
    <t xml:space="preserve">@creator480_youtube</t>
  </si>
  <si>
    <t xml:space="preserve">Creator 991</t>
  </si>
  <si>
    <t xml:space="preserve">CR00991</t>
  </si>
  <si>
    <t xml:space="preserve">@creator991_youtube</t>
  </si>
  <si>
    <t xml:space="preserve">@creator438_youtube</t>
  </si>
  <si>
    <t xml:space="preserve">@creator509_youtube</t>
  </si>
  <si>
    <t xml:space="preserve">@creator557_youtube</t>
  </si>
  <si>
    <t xml:space="preserve">@creator1454_youtube</t>
  </si>
  <si>
    <t xml:space="preserve">@creator641_youtube</t>
  </si>
  <si>
    <t xml:space="preserve">@creator78_youtube</t>
  </si>
  <si>
    <t xml:space="preserve">Creator 449</t>
  </si>
  <si>
    <t xml:space="preserve">CR00449</t>
  </si>
  <si>
    <t xml:space="preserve">@creator449_youtube</t>
  </si>
  <si>
    <t xml:space="preserve">@creator733_youtube</t>
  </si>
  <si>
    <t xml:space="preserve">@creator822_youtube</t>
  </si>
  <si>
    <t xml:space="preserve">@creator569_youtube</t>
  </si>
  <si>
    <t xml:space="preserve">@creator1243_youtube</t>
  </si>
  <si>
    <t xml:space="preserve">@creator551_youtube</t>
  </si>
  <si>
    <t xml:space="preserve">@creator891_youtube</t>
  </si>
  <si>
    <t xml:space="preserve">@creator694_youtube</t>
  </si>
  <si>
    <t xml:space="preserve">@creator1325_youtube</t>
  </si>
  <si>
    <t xml:space="preserve">@creator128_youtube</t>
  </si>
  <si>
    <t xml:space="preserve">@creator1253_youtube</t>
  </si>
  <si>
    <t xml:space="preserve">@creator9_youtube</t>
  </si>
  <si>
    <t xml:space="preserve">@creator1492_youtube</t>
  </si>
  <si>
    <t xml:space="preserve">@creator566_youtube</t>
  </si>
  <si>
    <t xml:space="preserve">@creator1161_youtube</t>
  </si>
  <si>
    <t xml:space="preserve">https://youtube.com/@creator1031_youtube</t>
  </si>
  <si>
    <t xml:space="preserve">@creator268_youtube</t>
  </si>
  <si>
    <t xml:space="preserve">https://youtube.com/@creator1327_youtube</t>
  </si>
  <si>
    <t xml:space="preserve">@creator1300_youtube</t>
  </si>
  <si>
    <t xml:space="preserve">@creator1145_youtube</t>
  </si>
  <si>
    <t xml:space="preserve">@creator131_youtube</t>
  </si>
  <si>
    <t xml:space="preserve">@creator437_youtube</t>
  </si>
  <si>
    <t xml:space="preserve">@creator1189_youtube</t>
  </si>
  <si>
    <t xml:space="preserve">@creator288_youtube</t>
  </si>
  <si>
    <t xml:space="preserve">@creator1458_youtube</t>
  </si>
  <si>
    <t xml:space="preserve">@creator670_youtube</t>
  </si>
  <si>
    <t xml:space="preserve">Creator 271</t>
  </si>
  <si>
    <t xml:space="preserve">CR00271</t>
  </si>
  <si>
    <t xml:space="preserve">https://youtube.com/@creator271_youtube</t>
  </si>
  <si>
    <t xml:space="preserve">@creator1008_youtube</t>
  </si>
  <si>
    <t xml:space="preserve">@creator1011_youtube</t>
  </si>
  <si>
    <t xml:space="preserve">@creator282_youtube</t>
  </si>
  <si>
    <t xml:space="preserve">@creator1105_youtube</t>
  </si>
  <si>
    <t xml:space="preserve">@creator193_youtube</t>
  </si>
  <si>
    <t xml:space="preserve">@creator27_youtube</t>
  </si>
  <si>
    <t xml:space="preserve">@creator1193_youtube</t>
  </si>
  <si>
    <t xml:space="preserve">@creator155_youtube</t>
  </si>
  <si>
    <t xml:space="preserve">@creator1355_youtube</t>
  </si>
  <si>
    <t xml:space="preserve">@creator766_youtube</t>
  </si>
  <si>
    <t xml:space="preserve">@creator76_youtube</t>
  </si>
  <si>
    <t xml:space="preserve">@creator103_youtube</t>
  </si>
  <si>
    <t xml:space="preserve">@creator1201_youtube</t>
  </si>
  <si>
    <t xml:space="preserve">@creator809_youtube</t>
  </si>
  <si>
    <t xml:space="preserve">Creator 599</t>
  </si>
  <si>
    <t xml:space="preserve">CR00599</t>
  </si>
  <si>
    <t xml:space="preserve">@creator599_youtube</t>
  </si>
  <si>
    <t xml:space="preserve">@creator1231_youtube</t>
  </si>
  <si>
    <t xml:space="preserve">@creator610_youtube</t>
  </si>
  <si>
    <t xml:space="preserve">@creator1312_youtube</t>
  </si>
  <si>
    <t xml:space="preserve">@creator395_youtube</t>
  </si>
  <si>
    <t xml:space="preserve">@creator731_youtube</t>
  </si>
  <si>
    <t xml:space="preserve">@creator296_youtube</t>
  </si>
  <si>
    <t xml:space="preserve">@creator234_youtube</t>
  </si>
  <si>
    <t xml:space="preserve">https://youtube.com/@creator1383_youtube</t>
  </si>
  <si>
    <t xml:space="preserve">@creator808_youtube</t>
  </si>
  <si>
    <t xml:space="preserve">@creator230_youtube</t>
  </si>
  <si>
    <t xml:space="preserve">Creator 874</t>
  </si>
  <si>
    <t xml:space="preserve">CR00874</t>
  </si>
  <si>
    <t xml:space="preserve">@creator874_youtube</t>
  </si>
  <si>
    <t xml:space="preserve">@creator684_youtube</t>
  </si>
  <si>
    <t xml:space="preserve">@creator1341_youtube</t>
  </si>
  <si>
    <t xml:space="preserve">@creator1047_youtube</t>
  </si>
  <si>
    <t xml:space="preserve">@creator928_youtube</t>
  </si>
  <si>
    <t xml:space="preserve">@creator908_youtube</t>
  </si>
  <si>
    <t xml:space="preserve">Creator 1130</t>
  </si>
  <si>
    <t xml:space="preserve">CR01130</t>
  </si>
  <si>
    <t xml:space="preserve">@creator1130_youtube</t>
  </si>
  <si>
    <t xml:space="preserve">Creator 1475</t>
  </si>
  <si>
    <t xml:space="preserve">CR01475</t>
  </si>
  <si>
    <t xml:space="preserve">@creator1475_youtube</t>
  </si>
  <si>
    <t xml:space="preserve">https://youtube.com/@creator461_youtube</t>
  </si>
  <si>
    <t xml:space="preserve">@creator1228_youtube</t>
  </si>
  <si>
    <t xml:space="preserve">@creator1287_youtube</t>
  </si>
  <si>
    <t xml:space="preserve">@creator180_youtube</t>
  </si>
  <si>
    <t xml:space="preserve">@creator1449_youtube</t>
  </si>
  <si>
    <t xml:space="preserve">@creator623_youtube</t>
  </si>
  <si>
    <t xml:space="preserve">@creator688_youtube</t>
  </si>
  <si>
    <t xml:space="preserve">@creator100_youtube</t>
  </si>
  <si>
    <t xml:space="preserve">@creator125_youtube</t>
  </si>
  <si>
    <t xml:space="preserve">@creator550_youtube</t>
  </si>
  <si>
    <t xml:space="preserve">@creator96_youtube</t>
  </si>
  <si>
    <t xml:space="preserve">@creator356_youtube</t>
  </si>
  <si>
    <t xml:space="preserve">@creator1240_youtube</t>
  </si>
  <si>
    <t xml:space="preserve">@creator1224_youtube</t>
  </si>
  <si>
    <t xml:space="preserve">@creator330_youtube</t>
  </si>
  <si>
    <t xml:space="preserve">@creator1035_youtube</t>
  </si>
  <si>
    <t xml:space="preserve">@creator535_youtube</t>
  </si>
  <si>
    <t xml:space="preserve">@creator321_youtube</t>
  </si>
  <si>
    <t xml:space="preserve">@creator584_youtube</t>
  </si>
  <si>
    <t xml:space="preserve">@creator1334_youtube</t>
  </si>
  <si>
    <t xml:space="preserve">@creator1084_youtube</t>
  </si>
  <si>
    <t xml:space="preserve">@creator721_youtube</t>
  </si>
  <si>
    <t xml:space="preserve">@creator518_youtube</t>
  </si>
  <si>
    <t xml:space="preserve">@creator289_youtube</t>
  </si>
  <si>
    <t xml:space="preserve">@creator889_youtube</t>
  </si>
  <si>
    <t xml:space="preserve">@creator668_youtube</t>
  </si>
  <si>
    <t xml:space="preserve">@creator1406_youtube</t>
  </si>
  <si>
    <t xml:space="preserve">@creator1324_youtube</t>
  </si>
  <si>
    <t xml:space="preserve">@creator759_youtube</t>
  </si>
  <si>
    <t xml:space="preserve">Creator 1415</t>
  </si>
  <si>
    <t xml:space="preserve">CR01415</t>
  </si>
  <si>
    <t xml:space="preserve">https://youtube.com/@creator1415_youtube</t>
  </si>
  <si>
    <t xml:space="preserve">@creator955_youtube</t>
  </si>
  <si>
    <t xml:space="preserve">Creator 892</t>
  </si>
  <si>
    <t xml:space="preserve">CR00892</t>
  </si>
  <si>
    <t xml:space="preserve">@creator892_youtube</t>
  </si>
  <si>
    <t xml:space="preserve">@creator1472_youtube</t>
  </si>
  <si>
    <t xml:space="preserve">@creator1399_youtube</t>
  </si>
  <si>
    <t xml:space="preserve">@creator687_youtube</t>
  </si>
  <si>
    <t xml:space="preserve">@creator126_youtube</t>
  </si>
  <si>
    <t xml:space="preserve">@creator530_youtube</t>
  </si>
  <si>
    <t xml:space="preserve">@creator233_youtube</t>
  </si>
  <si>
    <t xml:space="preserve">Creator 223</t>
  </si>
  <si>
    <t xml:space="preserve">CR00223</t>
  </si>
  <si>
    <t xml:space="preserve">@creator223_youtube</t>
  </si>
  <si>
    <t xml:space="preserve">Creator 839</t>
  </si>
  <si>
    <t xml:space="preserve">CR00839</t>
  </si>
  <si>
    <t xml:space="preserve">@creator839_youtube</t>
  </si>
  <si>
    <t xml:space="preserve">@creator830_youtube</t>
  </si>
  <si>
    <t xml:space="preserve">@creator231_youtube</t>
  </si>
  <si>
    <t xml:space="preserve">@creator489_youtube</t>
  </si>
  <si>
    <t xml:space="preserve">@creator1469_youtube</t>
  </si>
  <si>
    <t xml:space="preserve">@creator99_youtube</t>
  </si>
  <si>
    <t xml:space="preserve">@creator859_youtube</t>
  </si>
  <si>
    <t xml:space="preserve">@creator460_youtube</t>
  </si>
  <si>
    <t xml:space="preserve">Creator 589</t>
  </si>
  <si>
    <t xml:space="preserve">CR00589</t>
  </si>
  <si>
    <t xml:space="preserve">@creator589_youtube</t>
  </si>
  <si>
    <t xml:space="preserve">https://youtube.com/@creator110_youtube</t>
  </si>
  <si>
    <t xml:space="preserve">@creator1455_youtube</t>
  </si>
  <si>
    <t xml:space="preserve">@creator1362_youtube</t>
  </si>
  <si>
    <t xml:space="preserve">@creator62_youtube</t>
  </si>
  <si>
    <t xml:space="preserve">@creator488_youtube</t>
  </si>
  <si>
    <t xml:space="preserve">@creator1485_youtube</t>
  </si>
  <si>
    <t xml:space="preserve">@creator523_youtube</t>
  </si>
  <si>
    <t xml:space="preserve">@creator674_youtube</t>
  </si>
  <si>
    <t xml:space="preserve">@creator995_youtube</t>
  </si>
  <si>
    <t xml:space="preserve">@creator1292_youtube</t>
  </si>
  <si>
    <t xml:space="preserve">@creator147_youtube</t>
  </si>
  <si>
    <t xml:space="preserve">@creator916_youtube</t>
  </si>
  <si>
    <t xml:space="preserve">@creator1056_youtube</t>
  </si>
  <si>
    <t xml:space="preserve">@creator1223_youtube</t>
  </si>
  <si>
    <t xml:space="preserve">@creator416_youtube</t>
  </si>
  <si>
    <t xml:space="preserve">@creator701_youtube</t>
  </si>
  <si>
    <t xml:space="preserve">@creator300_youtube</t>
  </si>
  <si>
    <t xml:space="preserve">@creator579_youtube</t>
  </si>
  <si>
    <t xml:space="preserve">@creator937_youtube</t>
  </si>
  <si>
    <t xml:space="preserve">@creator1432_youtube</t>
  </si>
  <si>
    <t xml:space="preserve">@creator553_youtube</t>
  </si>
  <si>
    <t xml:space="preserve">@creator686_youtube</t>
  </si>
  <si>
    <t xml:space="preserve">@creator393_youtube</t>
  </si>
  <si>
    <t xml:space="preserve">@creator1307_youtube</t>
  </si>
  <si>
    <t xml:space="preserve">Creator 508</t>
  </si>
  <si>
    <t xml:space="preserve">CR00508</t>
  </si>
  <si>
    <t xml:space="preserve">@creator508_youtube</t>
  </si>
  <si>
    <t xml:space="preserve">Creator 952</t>
  </si>
  <si>
    <t xml:space="preserve">CR00952</t>
  </si>
  <si>
    <t xml:space="preserve">@creator952_youtube</t>
  </si>
  <si>
    <t xml:space="preserve">@creator135_youtube</t>
  </si>
  <si>
    <t xml:space="preserve">@creator1448_youtube</t>
  </si>
  <si>
    <t xml:space="preserve">Creator 148</t>
  </si>
  <si>
    <t xml:space="preserve">CR00148</t>
  </si>
  <si>
    <t xml:space="preserve">https://youtube.com/@creator148_youtube</t>
  </si>
  <si>
    <t xml:space="preserve">@creator1199_youtube</t>
  </si>
  <si>
    <t xml:space="preserve">@creator529_youtube</t>
  </si>
  <si>
    <t xml:space="preserve">@creator46_youtube</t>
  </si>
  <si>
    <t xml:space="preserve">https://youtube.com/@creator383_youtube</t>
  </si>
  <si>
    <t xml:space="preserve">@creator177_youtube</t>
  </si>
  <si>
    <t xml:space="preserve">@creator663_youtube</t>
  </si>
  <si>
    <t xml:space="preserve">Creator 753</t>
  </si>
  <si>
    <t xml:space="preserve">CR00753</t>
  </si>
  <si>
    <t xml:space="preserve">@creator753_youtube</t>
  </si>
  <si>
    <t xml:space="preserve">https://youtube.com/@creator975_youtube</t>
  </si>
  <si>
    <t xml:space="preserve">@creator876_youtube</t>
  </si>
  <si>
    <t xml:space="preserve">Creator 725</t>
  </si>
  <si>
    <t xml:space="preserve">CR00725</t>
  </si>
  <si>
    <t xml:space="preserve">@creator725_youtube</t>
  </si>
  <si>
    <t xml:space="preserve">@creator276_youtube</t>
  </si>
  <si>
    <t xml:space="preserve">@creator439_youtube</t>
  </si>
  <si>
    <t xml:space="preserve">@creator823_youtube</t>
  </si>
  <si>
    <t xml:space="preserve">@creator1301_youtube</t>
  </si>
  <si>
    <t xml:space="preserve">@creator806_youtube</t>
  </si>
  <si>
    <t xml:space="preserve">@creator1412_youtube</t>
  </si>
  <si>
    <t xml:space="preserve">@creator86_youtube</t>
  </si>
  <si>
    <t xml:space="preserve">@creator34_youtube</t>
  </si>
  <si>
    <t xml:space="preserve">Creator 324</t>
  </si>
  <si>
    <t xml:space="preserve">CR00324</t>
  </si>
  <si>
    <t xml:space="preserve">@creator324_youtube</t>
  </si>
  <si>
    <t xml:space="preserve">@creator48_youtube</t>
  </si>
  <si>
    <t xml:space="preserve">https://youtube.com/@creator971_youtube</t>
  </si>
  <si>
    <t xml:space="preserve">@creator726_youtube</t>
  </si>
  <si>
    <t xml:space="preserve">Creator 323</t>
  </si>
  <si>
    <t xml:space="preserve">CR00323</t>
  </si>
  <si>
    <t xml:space="preserve">@creator323_youtube</t>
  </si>
  <si>
    <t xml:space="preserve">@creator494_youtube</t>
  </si>
  <si>
    <t xml:space="preserve">Creator 1059</t>
  </si>
  <si>
    <t xml:space="preserve">CR01059</t>
  </si>
  <si>
    <t xml:space="preserve">https://youtube.com/@creator1059_youtube</t>
  </si>
  <si>
    <t xml:space="preserve">@creator1061_youtube</t>
  </si>
  <si>
    <t xml:space="preserve">@creator546_youtube</t>
  </si>
  <si>
    <t xml:space="preserve">@creator739_youtube</t>
  </si>
  <si>
    <t xml:space="preserve">@creator836_youtube</t>
  </si>
  <si>
    <t xml:space="preserve">Creator 1393</t>
  </si>
  <si>
    <t xml:space="preserve">CR01393</t>
  </si>
  <si>
    <t xml:space="preserve">@creator1393_youtube</t>
  </si>
  <si>
    <t xml:space="preserve">@creator1085_youtube</t>
  </si>
  <si>
    <t xml:space="preserve">@creator990_youtube</t>
  </si>
  <si>
    <t xml:space="preserve">@creator1156_youtube</t>
  </si>
  <si>
    <t xml:space="preserve">@creator136_youtube</t>
  </si>
  <si>
    <t xml:space="preserve">Creator 315</t>
  </si>
  <si>
    <t xml:space="preserve">CR00315</t>
  </si>
  <si>
    <t xml:space="preserve">@creator315_youtube</t>
  </si>
  <si>
    <t xml:space="preserve">Creator 727</t>
  </si>
  <si>
    <t xml:space="preserve">CR00727</t>
  </si>
  <si>
    <t xml:space="preserve">@creator727_youtube</t>
  </si>
  <si>
    <t xml:space="preserve">@creator962_youtube</t>
  </si>
  <si>
    <t xml:space="preserve">Creator 399</t>
  </si>
  <si>
    <t xml:space="preserve">CR00399</t>
  </si>
  <si>
    <t xml:space="preserve">@creator399_youtube</t>
  </si>
  <si>
    <t xml:space="preserve">@creator360_youtube</t>
  </si>
  <si>
    <t xml:space="preserve">@creator1168_youtube</t>
  </si>
  <si>
    <t xml:space="preserve">@creator843_youtube</t>
  </si>
  <si>
    <t xml:space="preserve">@creator261_youtube</t>
  </si>
  <si>
    <t xml:space="preserve">@creator1408_youtube</t>
  </si>
  <si>
    <t xml:space="preserve">@creator491_youtube</t>
  </si>
  <si>
    <t xml:space="preserve">@creator828_youtube</t>
  </si>
  <si>
    <t xml:space="preserve">@creator1174_youtube</t>
  </si>
  <si>
    <t xml:space="preserve">Creator 810</t>
  </si>
  <si>
    <t xml:space="preserve">CR00810</t>
  </si>
  <si>
    <t xml:space="preserve">@creator810_youtube</t>
  </si>
  <si>
    <t xml:space="preserve">@creator1347_youtube</t>
  </si>
  <si>
    <t xml:space="preserve">@creator791_youtube</t>
  </si>
  <si>
    <t xml:space="preserve">Creator 510</t>
  </si>
  <si>
    <t xml:space="preserve">CR00510</t>
  </si>
  <si>
    <t xml:space="preserve">@creator510_youtube</t>
  </si>
  <si>
    <t xml:space="preserve">@creator172_youtube</t>
  </si>
  <si>
    <t xml:space="preserve">@creator1136_youtube</t>
  </si>
  <si>
    <t xml:space="preserve">@creator1096_youtube</t>
  </si>
  <si>
    <t xml:space="preserve">https://youtube.com/@creator832_youtube</t>
  </si>
  <si>
    <t xml:space="preserve">@creator354_youtube</t>
  </si>
  <si>
    <t xml:space="preserve">@creator267_youtube</t>
  </si>
  <si>
    <t xml:space="preserve">@creator681_youtube</t>
  </si>
  <si>
    <t xml:space="preserve">@creator465_youtube</t>
  </si>
  <si>
    <t xml:space="preserve">https://youtube.com/@creator117_youtube</t>
  </si>
  <si>
    <t xml:space="preserve">@creator285_youtube</t>
  </si>
  <si>
    <t xml:space="preserve">@creator522_youtube</t>
  </si>
  <si>
    <t xml:space="preserve">@creator622_youtube</t>
  </si>
  <si>
    <t xml:space="preserve">@creator504_youtube</t>
  </si>
  <si>
    <t xml:space="preserve">@creator70_youtube</t>
  </si>
  <si>
    <t xml:space="preserve">@creator956_youtube</t>
  </si>
  <si>
    <t xml:space="preserve">@creator878_youtube</t>
  </si>
  <si>
    <t xml:space="preserve">@creator1147_youtube</t>
  </si>
  <si>
    <t xml:space="preserve">@creator87_youtube</t>
  </si>
  <si>
    <t xml:space="preserve">@creator940_youtube</t>
  </si>
  <si>
    <t xml:space="preserve">@creator446_youtube</t>
  </si>
  <si>
    <t xml:space="preserve">@creator90_youtube</t>
  </si>
  <si>
    <t xml:space="preserve">@creator1437_youtube</t>
  </si>
  <si>
    <t xml:space="preserve">@creator1078_youtube</t>
  </si>
  <si>
    <t xml:space="preserve">@creator1424_youtube</t>
  </si>
  <si>
    <t xml:space="preserve">@creator32_youtube</t>
  </si>
  <si>
    <t xml:space="preserve">Creator 555</t>
  </si>
  <si>
    <t xml:space="preserve">CR00555</t>
  </si>
  <si>
    <t xml:space="preserve">@creator555_youtube</t>
  </si>
  <si>
    <t xml:space="preserve">Creator 819</t>
  </si>
  <si>
    <t xml:space="preserve">CR00819</t>
  </si>
  <si>
    <t xml:space="preserve">@creator819_youtube</t>
  </si>
  <si>
    <t xml:space="preserve">@creator56_youtube</t>
  </si>
  <si>
    <t xml:space="preserve">@creator1430_youtube</t>
  </si>
  <si>
    <t xml:space="preserve">@creator1409_youtube</t>
  </si>
  <si>
    <t xml:space="preserve">@creator977_youtube</t>
  </si>
  <si>
    <t xml:space="preserve">@creator394_youtube</t>
  </si>
  <si>
    <t xml:space="preserve">@creator914_youtube</t>
  </si>
  <si>
    <t xml:space="preserve">@creator184_youtube</t>
  </si>
  <si>
    <t xml:space="preserve">@creator151_youtube</t>
  </si>
  <si>
    <t xml:space="preserve">@creator57_youtube</t>
  </si>
  <si>
    <t xml:space="preserve">@creator1055_youtube</t>
  </si>
  <si>
    <t xml:space="preserve">@creator97_youtube</t>
  </si>
  <si>
    <t xml:space="preserve">@creator1134_youtube</t>
  </si>
  <si>
    <t xml:space="preserve">@creator77_youtube</t>
  </si>
  <si>
    <t xml:space="preserve">@creator257_youtube</t>
  </si>
  <si>
    <t xml:space="preserve">https://youtube.com/@creator976_youtube</t>
  </si>
  <si>
    <t xml:space="preserve">https://youtube.com/@creator746_youtube</t>
  </si>
  <si>
    <t xml:space="preserve">@creator754_youtube</t>
  </si>
  <si>
    <t xml:space="preserve">@creator1291_youtube</t>
  </si>
  <si>
    <t xml:space="preserve">@creator515_youtube</t>
  </si>
  <si>
    <t xml:space="preserve">@creator94_youtube</t>
  </si>
  <si>
    <t xml:space="preserve">@creator277_youtube</t>
  </si>
  <si>
    <t xml:space="preserve">Creator 1111</t>
  </si>
  <si>
    <t xml:space="preserve">CR01111</t>
  </si>
  <si>
    <t xml:space="preserve">@creator1111_youtube</t>
  </si>
  <si>
    <t xml:space="preserve">@creator1217_youtube</t>
  </si>
  <si>
    <t xml:space="preserve">@creator919_youtube</t>
  </si>
  <si>
    <t xml:space="preserve">Creator 422</t>
  </si>
  <si>
    <t xml:space="preserve">CR00422</t>
  </si>
  <si>
    <t xml:space="preserve">@creator422_youtube</t>
  </si>
  <si>
    <t xml:space="preserve">@creator979_youtube</t>
  </si>
  <si>
    <t xml:space="preserve">@creator175_youtube</t>
  </si>
  <si>
    <t xml:space="preserve">@creator73_youtube</t>
  </si>
  <si>
    <t xml:space="preserve">Creator 7</t>
  </si>
  <si>
    <t xml:space="preserve">CR00007</t>
  </si>
  <si>
    <t xml:space="preserve">@creator7_youtube</t>
  </si>
  <si>
    <t xml:space="preserve">@creator143_youtube</t>
  </si>
  <si>
    <t xml:space="preserve">Creator 781</t>
  </si>
  <si>
    <t xml:space="preserve">CR00781</t>
  </si>
  <si>
    <t xml:space="preserve">@creator781_youtube</t>
  </si>
  <si>
    <t xml:space="preserve">@creator786_youtube</t>
  </si>
  <si>
    <t xml:space="preserve">Creator 1229</t>
  </si>
  <si>
    <t xml:space="preserve">CR01229</t>
  </si>
  <si>
    <t xml:space="preserve">@creator1229_youtube</t>
  </si>
  <si>
    <t xml:space="preserve">@creator401_youtube</t>
  </si>
  <si>
    <t xml:space="preserve">@creator709_youtube</t>
  </si>
  <si>
    <t xml:space="preserve">@creator33_youtube</t>
  </si>
  <si>
    <t xml:space="preserve">@creator568_youtube</t>
  </si>
  <si>
    <t xml:space="preserve">@creator630_youtube</t>
  </si>
  <si>
    <t xml:space="preserve">@creator911_youtube</t>
  </si>
  <si>
    <t xml:space="preserve">https://youtube.com/@creator1046_youtube</t>
  </si>
  <si>
    <t xml:space="preserve">@creator1484_youtube</t>
  </si>
  <si>
    <t xml:space="preserve">@creator425_youtube</t>
  </si>
  <si>
    <t xml:space="preserve">@creator1365_youtube</t>
  </si>
  <si>
    <t xml:space="preserve">@creator1144_youtube</t>
  </si>
  <si>
    <t xml:space="preserve">@creator1436_youtube</t>
  </si>
  <si>
    <t xml:space="preserve">@creator552_youtube</t>
  </si>
  <si>
    <t xml:space="preserve">Creator 165</t>
  </si>
  <si>
    <t xml:space="preserve">CR00165</t>
  </si>
  <si>
    <t xml:space="preserve">@creator165_youtube</t>
  </si>
  <si>
    <t xml:space="preserve">@creator1037_youtube</t>
  </si>
  <si>
    <t xml:space="preserve">https://youtube.com/@creator473_youtube</t>
  </si>
  <si>
    <t xml:space="preserve">@creator152_youtube</t>
  </si>
  <si>
    <t xml:space="preserve">@creator1490_youtube</t>
  </si>
  <si>
    <t xml:space="preserve">@creator605_youtube</t>
  </si>
  <si>
    <t xml:space="preserve">@creator855_youtube</t>
  </si>
  <si>
    <t xml:space="preserve">@creator1477_youtube</t>
  </si>
  <si>
    <t xml:space="preserve">https://youtube.com/@creator848_youtube</t>
  </si>
  <si>
    <t xml:space="preserve">@creator588_youtube</t>
  </si>
  <si>
    <t xml:space="preserve">@creator1215_youtube</t>
  </si>
  <si>
    <t xml:space="preserve">@creator1438_youtube</t>
  </si>
  <si>
    <t xml:space="preserve">@creator1236_youtube</t>
  </si>
  <si>
    <t xml:space="preserve">@creator412_youtube</t>
  </si>
  <si>
    <t xml:space="preserve">@creator1222_youtube</t>
  </si>
  <si>
    <t xml:space="preserve">@creator707_youtube</t>
  </si>
  <si>
    <t xml:space="preserve">@creator817_youtube</t>
  </si>
  <si>
    <t xml:space="preserve">@creator1482_youtube</t>
  </si>
  <si>
    <t xml:space="preserve">@creator570_youtube</t>
  </si>
  <si>
    <t xml:space="preserve">@creator1181_youtube</t>
  </si>
  <si>
    <t xml:space="preserve">@creator673_youtube</t>
  </si>
  <si>
    <t xml:space="preserve">Creator 1352</t>
  </si>
  <si>
    <t xml:space="preserve">CR01352</t>
  </si>
  <si>
    <t xml:space="preserve">@creator1352_youtube</t>
  </si>
  <si>
    <t xml:space="preserve">Creator 934</t>
  </si>
  <si>
    <t xml:space="preserve">CR00934</t>
  </si>
  <si>
    <t xml:space="preserve">@creator934_youtube</t>
  </si>
  <si>
    <t xml:space="preserve">https://youtube.com/@creator869_youtube</t>
  </si>
  <si>
    <t xml:space="preserve">@creator284_youtube</t>
  </si>
  <si>
    <t xml:space="preserve">@creator1350_youtube</t>
  </si>
  <si>
    <t xml:space="preserve">https://youtube.com/@creator348_youtube</t>
  </si>
  <si>
    <t xml:space="preserve">Creator 140</t>
  </si>
  <si>
    <t xml:space="preserve">CR00140</t>
  </si>
  <si>
    <t xml:space="preserve">@creator140_youtube</t>
  </si>
  <si>
    <t xml:space="preserve">@creator847_youtube</t>
  </si>
  <si>
    <t xml:space="preserve">@creator764_youtube</t>
  </si>
  <si>
    <t xml:space="preserve">@creator366_youtube</t>
  </si>
  <si>
    <t xml:space="preserve">@creator923_youtube</t>
  </si>
  <si>
    <t xml:space="preserve">@creator813_youtube</t>
  </si>
  <si>
    <t xml:space="preserve">@creator63_youtube</t>
  </si>
  <si>
    <t xml:space="preserve">@creator40_youtube</t>
  </si>
  <si>
    <t xml:space="preserve">@creator442_youtube</t>
  </si>
  <si>
    <t xml:space="preserve">@creator757_youtube</t>
  </si>
  <si>
    <t xml:space="preserve">@creator881_youtube</t>
  </si>
  <si>
    <t xml:space="preserve">https://youtube.com/@creator1002_youtube</t>
  </si>
  <si>
    <t xml:space="preserve">@creator735_youtube</t>
  </si>
  <si>
    <t xml:space="preserve">@creator1354_youtube</t>
  </si>
  <si>
    <t xml:space="preserve">@creator212_youtube</t>
  </si>
  <si>
    <t xml:space="preserve">@creator722_youtube</t>
  </si>
  <si>
    <t xml:space="preserve">@creator181_youtube</t>
  </si>
  <si>
    <t xml:space="preserve">@creator173_youtube</t>
  </si>
  <si>
    <t xml:space="preserve">@creator897_youtube</t>
  </si>
  <si>
    <t xml:space="preserve">Creator 1235</t>
  </si>
  <si>
    <t xml:space="preserve">CR01235</t>
  </si>
  <si>
    <t xml:space="preserve">@creator1235_youtube</t>
  </si>
  <si>
    <t xml:space="preserve">@creator1051_youtube</t>
  </si>
  <si>
    <t xml:space="preserve">@creator1268_youtube</t>
  </si>
  <si>
    <t xml:space="preserve">@creator65_youtube</t>
  </si>
  <si>
    <t xml:space="preserve">@creator1343_youtube</t>
  </si>
  <si>
    <t xml:space="preserve">@creator1049_youtube</t>
  </si>
  <si>
    <t xml:space="preserve">@creator882_youtube</t>
  </si>
  <si>
    <t xml:space="preserve">@creator1102_youtube</t>
  </si>
  <si>
    <t xml:space="preserve">https://youtube.com/@creator12_youtube</t>
  </si>
  <si>
    <t xml:space="preserve">Creator 1073</t>
  </si>
  <si>
    <t xml:space="preserve">CR01073</t>
  </si>
  <si>
    <t xml:space="preserve">@creator1073_youtube</t>
  </si>
  <si>
    <t xml:space="preserve">@creator587_youtube</t>
  </si>
  <si>
    <t xml:space="preserve">@creator1108_youtube</t>
  </si>
  <si>
    <t xml:space="preserve">@creator540_youtube</t>
  </si>
  <si>
    <t xml:space="preserve">@creator1053_youtube</t>
  </si>
  <si>
    <t xml:space="preserve">@creator692_youtube</t>
  </si>
  <si>
    <t xml:space="preserve">@creator179_youtube</t>
  </si>
  <si>
    <t xml:space="preserve">Creator 761</t>
  </si>
  <si>
    <t xml:space="preserve">CR00761</t>
  </si>
  <si>
    <t xml:space="preserve">@creator761_youtube</t>
  </si>
  <si>
    <t xml:space="preserve">@creator1284_youtube</t>
  </si>
  <si>
    <t xml:space="preserve">@creator1093_youtube</t>
  </si>
  <si>
    <t xml:space="preserve">Creator 571</t>
  </si>
  <si>
    <t xml:space="preserve">CR00571</t>
  </si>
  <si>
    <t xml:space="preserve">@creator571_youtube</t>
  </si>
  <si>
    <t xml:space="preserve">@creator1387_youtube</t>
  </si>
  <si>
    <t xml:space="preserve">@creator302_youtube</t>
  </si>
  <si>
    <t xml:space="preserve">@creator1313_youtube</t>
  </si>
  <si>
    <t xml:space="preserve">Creator 1081</t>
  </si>
  <si>
    <t xml:space="preserve">CR01081</t>
  </si>
  <si>
    <t xml:space="preserve">https://youtube.com/@creator1081_youtube</t>
  </si>
  <si>
    <t xml:space="preserve">@creator685_youtube</t>
  </si>
  <si>
    <t xml:space="preserve">@creator1331_youtube</t>
  </si>
  <si>
    <t xml:space="preserve">@creator501_youtube</t>
  </si>
  <si>
    <t xml:space="preserve">@creator189_youtube</t>
  </si>
  <si>
    <t xml:space="preserve">@creator983_youtube</t>
  </si>
  <si>
    <t xml:space="preserve">@creator690_youtube</t>
  </si>
  <si>
    <t xml:space="preserve">@creator1213_youtube</t>
  </si>
  <si>
    <t xml:space="preserve">https://youtube.com/@creator452_youtube</t>
  </si>
  <si>
    <t xml:space="preserve">@creator1119_youtube</t>
  </si>
  <si>
    <t xml:space="preserve">Creator 428</t>
  </si>
  <si>
    <t xml:space="preserve">CR00428</t>
  </si>
  <si>
    <t xml:space="preserve">@creator428_youtube</t>
  </si>
  <si>
    <t xml:space="preserve">@creator1481_youtube</t>
  </si>
  <si>
    <t xml:space="preserve">Creator 1138</t>
  </si>
  <si>
    <t xml:space="preserve">CR01138</t>
  </si>
  <si>
    <t xml:space="preserve">@creator1138_youtube</t>
  </si>
  <si>
    <t xml:space="preserve">@creator795_youtube</t>
  </si>
  <si>
    <t xml:space="preserve">@creator350_youtube</t>
  </si>
  <si>
    <t xml:space="preserve">Creator 1143</t>
  </si>
  <si>
    <t xml:space="preserve">CR01143</t>
  </si>
  <si>
    <t xml:space="preserve">@creator1143_youtube</t>
  </si>
  <si>
    <t xml:space="preserve">@creator380_youtube</t>
  </si>
  <si>
    <t xml:space="preserve">@creator317_youtube</t>
  </si>
  <si>
    <t xml:space="preserve">@creator520_youtube</t>
  </si>
  <si>
    <t xml:space="preserve">Creator 1303</t>
  </si>
  <si>
    <t xml:space="preserve">CR01303</t>
  </si>
  <si>
    <t xml:space="preserve">@creator1303_youtube</t>
  </si>
  <si>
    <t xml:space="preserve">Creator 1295</t>
  </si>
  <si>
    <t xml:space="preserve">CR01295</t>
  </si>
  <si>
    <t xml:space="preserve">@creator1295_youtube</t>
  </si>
  <si>
    <t xml:space="preserve">@creator5_youtube</t>
  </si>
  <si>
    <t xml:space="preserve">@creator771_youtube</t>
  </si>
  <si>
    <t xml:space="preserve">@creator1246_youtube</t>
  </si>
  <si>
    <t xml:space="preserve">@creator1112_youtube</t>
  </si>
  <si>
    <t xml:space="preserve">@creator967_youtube</t>
  </si>
  <si>
    <t xml:space="preserve">Creator 1000</t>
  </si>
  <si>
    <t xml:space="preserve">CR01000</t>
  </si>
  <si>
    <t xml:space="preserve">@creator1000_youtube</t>
  </si>
  <si>
    <t xml:space="preserve">@creator864_youtube</t>
  </si>
  <si>
    <t xml:space="preserve">@creator935_youtube</t>
  </si>
  <si>
    <t xml:space="preserve">@creator432_youtube</t>
  </si>
  <si>
    <t xml:space="preserve">@creator60_youtube</t>
  </si>
  <si>
    <t xml:space="preserve">@creator266_youtube</t>
  </si>
  <si>
    <t xml:space="preserve">@creator1187_youtube</t>
  </si>
  <si>
    <t xml:space="preserve">https://youtube.com/@creator29_youtube</t>
  </si>
  <si>
    <t xml:space="preserve">@creator339_youtube</t>
  </si>
  <si>
    <t xml:space="preserve">Creator 228</t>
  </si>
  <si>
    <t xml:space="preserve">CR00228</t>
  </si>
  <si>
    <t xml:space="preserve">@creator228_youtube</t>
  </si>
  <si>
    <t xml:space="preserve">@creator1349_youtube</t>
  </si>
  <si>
    <t xml:space="preserve">@creator755_youtube</t>
  </si>
  <si>
    <t xml:space="preserve">@creator639_youtube</t>
  </si>
  <si>
    <t xml:space="preserve">@creator730_youtube</t>
  </si>
  <si>
    <t xml:space="preserve">@creator84_youtube</t>
  </si>
  <si>
    <t xml:space="preserve">@creator873_youtube</t>
  </si>
  <si>
    <t xml:space="preserve">@creator352_youtube</t>
  </si>
  <si>
    <t xml:space="preserve">@creator1270_youtube</t>
  </si>
  <si>
    <t xml:space="preserve">@creator985_youtube</t>
  </si>
  <si>
    <t xml:space="preserve">@creator1106_youtube</t>
  </si>
  <si>
    <t xml:space="preserve">@creator279_youtube</t>
  </si>
  <si>
    <t xml:space="preserve">@creator1017_youtube</t>
  </si>
  <si>
    <t xml:space="preserve">@creator1092_youtube</t>
  </si>
  <si>
    <t xml:space="preserve">@creator1241_youtube</t>
  </si>
  <si>
    <t xml:space="preserve">@creator197_youtube</t>
  </si>
  <si>
    <t xml:space="preserve">@creator4_youtube</t>
  </si>
  <si>
    <t xml:space="preserve">@creator1367_youtube</t>
  </si>
  <si>
    <t xml:space="preserve">@creator183_youtube</t>
  </si>
  <si>
    <t xml:space="preserve">@creator769_youtube</t>
  </si>
  <si>
    <t xml:space="preserve">@creator1172_youtube</t>
  </si>
  <si>
    <t xml:space="preserve">Creator 577</t>
  </si>
  <si>
    <t xml:space="preserve">CR00577</t>
  </si>
  <si>
    <t xml:space="preserve">@creator577_youtube</t>
  </si>
  <si>
    <t xml:space="preserve">https://youtube.com/@creator327_youtube</t>
  </si>
  <si>
    <t xml:space="preserve">@creator703_youtube</t>
  </si>
  <si>
    <t xml:space="preserve">@creator724_youtube</t>
  </si>
  <si>
    <t xml:space="preserve">@creator745_youtube</t>
  </si>
  <si>
    <t xml:space="preserve">@creator835_youtube</t>
  </si>
  <si>
    <t xml:space="preserve">@creator883_youtube</t>
  </si>
  <si>
    <t xml:space="preserve">@creator1030_youtube</t>
  </si>
  <si>
    <t xml:space="preserve">@creator199_youtube</t>
  </si>
  <si>
    <t xml:space="preserve">Creator 696</t>
  </si>
  <si>
    <t xml:space="preserve">CR00696</t>
  </si>
  <si>
    <t xml:space="preserve">@creator696_youtube</t>
  </si>
  <si>
    <t xml:space="preserve">https://youtube.com/@creator1427_youtube</t>
  </si>
  <si>
    <t xml:space="preserve">@creator353_youtube</t>
  </si>
  <si>
    <t xml:space="preserve">@creator729_youtube</t>
  </si>
  <si>
    <t xml:space="preserve">Creator 875</t>
  </si>
  <si>
    <t xml:space="preserve">CR00875</t>
  </si>
  <si>
    <t xml:space="preserve">@creator875_youtube</t>
  </si>
  <si>
    <t xml:space="preserve">Creator 728</t>
  </si>
  <si>
    <t xml:space="preserve">CR00728</t>
  </si>
  <si>
    <t xml:space="preserve">@creator728_youtube</t>
  </si>
  <si>
    <t xml:space="preserve">@creator286_youtube</t>
  </si>
  <si>
    <t xml:space="preserve">@creator505_youtube</t>
  </si>
  <si>
    <t xml:space="preserve">Creator 1483</t>
  </si>
  <si>
    <t xml:space="preserve">CR01483</t>
  </si>
  <si>
    <t xml:space="preserve">@creator1483_youtube</t>
  </si>
  <si>
    <t xml:space="preserve">@creator741_youtube</t>
  </si>
  <si>
    <t xml:space="preserve">@creator880_youtube</t>
  </si>
  <si>
    <t xml:space="preserve">Creator 615</t>
  </si>
  <si>
    <t xml:space="preserve">CR00615</t>
  </si>
  <si>
    <t xml:space="preserve">@creator615_youtube</t>
  </si>
  <si>
    <t xml:space="preserve">@creator463_youtube</t>
  </si>
  <si>
    <t xml:space="preserve">@creator138_youtube</t>
  </si>
  <si>
    <t xml:space="preserve">https://youtube.com/@creator1374_youtube</t>
  </si>
  <si>
    <t xml:space="preserve">@creator1064_youtube</t>
  </si>
  <si>
    <t xml:space="preserve">@creator1248_youtube</t>
  </si>
  <si>
    <t xml:space="preserve">@creator857_youtube</t>
  </si>
  <si>
    <t xml:space="preserve">@creator697_youtube</t>
  </si>
  <si>
    <t xml:space="preserve">Creator 748</t>
  </si>
  <si>
    <t xml:space="preserve">CR00748</t>
  </si>
  <si>
    <t xml:space="preserve">@creator748_youtube</t>
  </si>
  <si>
    <t xml:space="preserve">@creator291_youtube</t>
  </si>
  <si>
    <t xml:space="preserve">@creator396_youtube</t>
  </si>
  <si>
    <t xml:space="preserve">@creator950_youtube</t>
  </si>
  <si>
    <t xml:space="preserve">@creator208_youtube</t>
  </si>
  <si>
    <t xml:space="preserve">@creator1305_youtube</t>
  </si>
  <si>
    <t xml:space="preserve">@creator292_youtube</t>
  </si>
  <si>
    <t xml:space="preserve">Creator 502</t>
  </si>
  <si>
    <t xml:space="preserve">CR00502</t>
  </si>
  <si>
    <t xml:space="preserve">@creator502_youtube</t>
  </si>
  <si>
    <t xml:space="preserve">@creator1005_youtube</t>
  </si>
  <si>
    <t xml:space="preserve">https://youtube.com/@creator298_youtube</t>
  </si>
  <si>
    <t xml:space="preserve">@creator1175_youtube</t>
  </si>
  <si>
    <t xml:space="preserve">@creator526_youtube</t>
  </si>
  <si>
    <t xml:space="preserve">@creator1016_youtube</t>
  </si>
  <si>
    <t xml:space="preserve">@creator704_youtube</t>
  </si>
  <si>
    <t xml:space="preserve">https://youtube.com/@creator1148_youtube</t>
  </si>
  <si>
    <t xml:space="preserve">@creator198_youtube</t>
  </si>
  <si>
    <t xml:space="preserve">https://youtube.com/@creator927_youtube</t>
  </si>
  <si>
    <t xml:space="preserve">Channel metrics (one row per requested creator + channel)</t>
  </si>
  <si>
    <t xml:space="preserve">Value colour = tier that supplied it. Each metric is computed from a single vendor record. Percentile = rank among requested channels in the peer group shown.</t>
  </si>
  <si>
    <t xml:space="preserve">The Pulse percentile</t>
  </si>
  <si>
    <t xml:space="preserve">The Lens percentile</t>
  </si>
  <si>
    <t xml:space="preserve">The Lens peer group</t>
  </si>
  <si>
    <t xml:space="preserve">The Hub percentile</t>
  </si>
  <si>
    <t xml:space="preserve">follower_count source</t>
  </si>
  <si>
    <t xml:space="preserve">reach_rate source</t>
  </si>
  <si>
    <t xml:space="preserve">growth_rate source</t>
  </si>
  <si>
    <t xml:space="preserve">meaningful_eng_rate source</t>
  </si>
  <si>
    <t xml:space="preserve">instagram · micro</t>
  </si>
  <si>
    <t xml:space="preserve">tiktok · micro</t>
  </si>
  <si>
    <t xml:space="preserve">n/a (likes hidden, vendor_b)</t>
  </si>
  <si>
    <t xml:space="preserve">youtube · micro</t>
  </si>
  <si>
    <t xml:space="preserve">https://www.instagram.com/creator4_instagram/</t>
  </si>
  <si>
    <t xml:space="preserve">tiktok · mid</t>
  </si>
  <si>
    <t xml:space="preserve">youtube · nano</t>
  </si>
  <si>
    <t xml:space="preserve">instagram · mid</t>
  </si>
  <si>
    <t xml:space="preserve">@creator25_youtube</t>
  </si>
  <si>
    <t xml:space="preserve">instagram · macro</t>
  </si>
  <si>
    <t xml:space="preserve">@creator29_tiktok</t>
  </si>
  <si>
    <t xml:space="preserve">@creator31_instagram</t>
  </si>
  <si>
    <t xml:space="preserve">@creator31_youtube</t>
  </si>
  <si>
    <t xml:space="preserve">@creator34_tiktok</t>
  </si>
  <si>
    <t xml:space="preserve">youtube · mid</t>
  </si>
  <si>
    <t xml:space="preserve">n/a (likes hidden, vendor_c)</t>
  </si>
  <si>
    <t xml:space="preserve">instagram · nano</t>
  </si>
  <si>
    <t xml:space="preserve">CR00047</t>
  </si>
  <si>
    <t xml:space="preserve">@creator47_instagram</t>
  </si>
  <si>
    <t xml:space="preserve">EXCLUDED: Q00013 (no consistent source)</t>
  </si>
  <si>
    <t xml:space="preserve">CR00050</t>
  </si>
  <si>
    <t xml:space="preserve">@creator50_instagram</t>
  </si>
  <si>
    <t xml:space="preserve">tiktok · nano</t>
  </si>
  <si>
    <t xml:space="preserve">tiktok · macro</t>
  </si>
  <si>
    <t xml:space="preserve">CR00061</t>
  </si>
  <si>
    <t xml:space="preserve">@creator61_tiktok</t>
  </si>
  <si>
    <t xml:space="preserve">@creator63_instagram</t>
  </si>
  <si>
    <t xml:space="preserve">@creator68_tiktok</t>
  </si>
  <si>
    <t xml:space="preserve">@creator68_youtube</t>
  </si>
  <si>
    <t xml:space="preserve">https://www.tiktok.com/@creator72_tiktok</t>
  </si>
  <si>
    <t xml:space="preserve">@creator79_instagram</t>
  </si>
  <si>
    <t xml:space="preserve">CR00081</t>
  </si>
  <si>
    <t xml:space="preserve">@creator81_instagram</t>
  </si>
  <si>
    <t xml:space="preserve">CR00082</t>
  </si>
  <si>
    <t xml:space="preserve">@creator82_tiktok</t>
  </si>
  <si>
    <t xml:space="preserve">@creator82_youtube</t>
  </si>
  <si>
    <t xml:space="preserve">@creator83_youtube</t>
  </si>
  <si>
    <t xml:space="preserve">CR00089</t>
  </si>
  <si>
    <t xml:space="preserve">@creator92_youtube</t>
  </si>
  <si>
    <t xml:space="preserve">youtube · macro</t>
  </si>
  <si>
    <t xml:space="preserve">@creator108_tiktok</t>
  </si>
  <si>
    <t xml:space="preserve">https://www.instagram.com/creator117_instagram/</t>
  </si>
  <si>
    <t xml:space="preserve">@creator125_instagram</t>
  </si>
  <si>
    <t xml:space="preserve">CR00127</t>
  </si>
  <si>
    <t xml:space="preserve">@creator128_tiktok</t>
  </si>
  <si>
    <t xml:space="preserve">@creator131_tiktok</t>
  </si>
  <si>
    <t xml:space="preserve">@creator136_tiktok</t>
  </si>
  <si>
    <t xml:space="preserve">https://www.instagram.com/creator138_instagram/</t>
  </si>
  <si>
    <t xml:space="preserve">@creator140_tiktok</t>
  </si>
  <si>
    <t xml:space="preserve">CR00141</t>
  </si>
  <si>
    <t xml:space="preserve">@creator141_instagram</t>
  </si>
  <si>
    <t xml:space="preserve">@creator143_instagram</t>
  </si>
  <si>
    <t xml:space="preserve">@creator148_instagram</t>
  </si>
  <si>
    <t xml:space="preserve">@creator152_tiktok</t>
  </si>
  <si>
    <t xml:space="preserve">@creator153_instagram</t>
  </si>
  <si>
    <t xml:space="preserve">@creator155_tiktok</t>
  </si>
  <si>
    <t xml:space="preserve">@creator158_instagram</t>
  </si>
  <si>
    <t xml:space="preserve">https://www.instagram.com/creator160_instagram/</t>
  </si>
  <si>
    <t xml:space="preserve">@creator160_youtube</t>
  </si>
  <si>
    <t xml:space="preserve">@creator161_instagram</t>
  </si>
  <si>
    <t xml:space="preserve">CR00162</t>
  </si>
  <si>
    <t xml:space="preserve">@creator162_tiktok</t>
  </si>
  <si>
    <t xml:space="preserve">EXCLUDED: Q00015 (no consistent source)</t>
  </si>
  <si>
    <t xml:space="preserve">@creator165_instagram</t>
  </si>
  <si>
    <t xml:space="preserve">CR00169</t>
  </si>
  <si>
    <t xml:space="preserve">https://www.tiktok.com/@creator169_tiktok</t>
  </si>
  <si>
    <t xml:space="preserve">@creator172_instagram</t>
  </si>
  <si>
    <t xml:space="preserve">@creator173_tiktok</t>
  </si>
  <si>
    <t xml:space="preserve">@creator174_instagram</t>
  </si>
  <si>
    <t xml:space="preserve">@creator175_instagram</t>
  </si>
  <si>
    <t xml:space="preserve">CR00176</t>
  </si>
  <si>
    <t xml:space="preserve">@creator176_instagram</t>
  </si>
  <si>
    <t xml:space="preserve">@creator177_tiktok</t>
  </si>
  <si>
    <t xml:space="preserve">CR00178</t>
  </si>
  <si>
    <t xml:space="preserve">CR00185</t>
  </si>
  <si>
    <t xml:space="preserve">@creator185_tiktok</t>
  </si>
  <si>
    <t xml:space="preserve">CR00190</t>
  </si>
  <si>
    <t xml:space="preserve">@creator192_youtube</t>
  </si>
  <si>
    <t xml:space="preserve">CR00200</t>
  </si>
  <si>
    <t xml:space="preserve">@creator200_instagram</t>
  </si>
  <si>
    <t xml:space="preserve">@creator200_tiktok</t>
  </si>
  <si>
    <t xml:space="preserve">https://www.tiktok.com/@creator208_tiktok</t>
  </si>
  <si>
    <t xml:space="preserve">@creator212_tiktok</t>
  </si>
  <si>
    <t xml:space="preserve">CR00213</t>
  </si>
  <si>
    <t xml:space="preserve">@creator213_instagram</t>
  </si>
  <si>
    <t xml:space="preserve">@creator223_instagram</t>
  </si>
  <si>
    <t xml:space="preserve">@creator223_tiktok</t>
  </si>
  <si>
    <t xml:space="preserve">@creator227_tiktok</t>
  </si>
  <si>
    <t xml:space="preserve">@creator231_instagram</t>
  </si>
  <si>
    <t xml:space="preserve">@creator235_youtube</t>
  </si>
  <si>
    <t xml:space="preserve">@creator243_instagram</t>
  </si>
  <si>
    <t xml:space="preserve">@creator243_youtube</t>
  </si>
  <si>
    <t xml:space="preserve">@creator248_tiktok</t>
  </si>
  <si>
    <t xml:space="preserve">CR00251</t>
  </si>
  <si>
    <t xml:space="preserve">@creator259_tiktok</t>
  </si>
  <si>
    <t xml:space="preserve">@creator260_instagram</t>
  </si>
  <si>
    <t xml:space="preserve">@creator260_youtube</t>
  </si>
  <si>
    <t xml:space="preserve">https://www.tiktok.com/@creator269_tiktok</t>
  </si>
  <si>
    <t xml:space="preserve">@creator271_instagram</t>
  </si>
  <si>
    <t xml:space="preserve">@creator277_tiktok</t>
  </si>
  <si>
    <t xml:space="preserve">@creator283_youtube</t>
  </si>
  <si>
    <t xml:space="preserve">@creator285_tiktok</t>
  </si>
  <si>
    <t xml:space="preserve">@creator287_youtube</t>
  </si>
  <si>
    <t xml:space="preserve">@creator289_instagram</t>
  </si>
  <si>
    <t xml:space="preserve">@creator293_youtube</t>
  </si>
  <si>
    <t xml:space="preserve">@creator296_tiktok</t>
  </si>
  <si>
    <t xml:space="preserve">@creator298_tiktok</t>
  </si>
  <si>
    <t xml:space="preserve">@creator302_tiktok</t>
  </si>
  <si>
    <t xml:space="preserve">@creator303_instagram</t>
  </si>
  <si>
    <t xml:space="preserve">CR00304</t>
  </si>
  <si>
    <t xml:space="preserve">@creator304_youtube</t>
  </si>
  <si>
    <t xml:space="preserve">@creator315_tiktok</t>
  </si>
  <si>
    <t xml:space="preserve">@creator317_instagram</t>
  </si>
  <si>
    <t xml:space="preserve">@creator323_tiktok</t>
  </si>
  <si>
    <t xml:space="preserve">@creator340_instagram</t>
  </si>
  <si>
    <t xml:space="preserve">@creator340_youtube</t>
  </si>
  <si>
    <t xml:space="preserve">CR00342</t>
  </si>
  <si>
    <t xml:space="preserve">@creator342_instagram</t>
  </si>
  <si>
    <t xml:space="preserve">@creator345_instagram</t>
  </si>
  <si>
    <t xml:space="preserve">@creator351_youtube</t>
  </si>
  <si>
    <t xml:space="preserve">@creator354_tiktok</t>
  </si>
  <si>
    <t xml:space="preserve">CR00359</t>
  </si>
  <si>
    <t xml:space="preserve">CR00364</t>
  </si>
  <si>
    <t xml:space="preserve">@creator364_tiktok</t>
  </si>
  <si>
    <t xml:space="preserve">https://www.tiktok.com/@creator366_tiktok</t>
  </si>
  <si>
    <t xml:space="preserve">@creator368_youtube</t>
  </si>
  <si>
    <t xml:space="preserve">CR00369</t>
  </si>
  <si>
    <t xml:space="preserve">@creator369_instagram</t>
  </si>
  <si>
    <t xml:space="preserve">@creator369_youtube</t>
  </si>
  <si>
    <t xml:space="preserve">https://www.tiktok.com/@creator373_tiktok</t>
  </si>
  <si>
    <t xml:space="preserve">@creator374_tiktok</t>
  </si>
  <si>
    <t xml:space="preserve">@creator374_youtube</t>
  </si>
  <si>
    <t xml:space="preserve">@creator377_tiktok</t>
  </si>
  <si>
    <t xml:space="preserve">@creator377_youtube</t>
  </si>
  <si>
    <t xml:space="preserve">@creator381_tiktok</t>
  </si>
  <si>
    <t xml:space="preserve">@creator386_instagram</t>
  </si>
  <si>
    <t xml:space="preserve">@creator394_tiktok</t>
  </si>
  <si>
    <t xml:space="preserve">@creator396_tiktok</t>
  </si>
  <si>
    <t xml:space="preserve">@creator400_instagram</t>
  </si>
  <si>
    <t xml:space="preserve">CR00405</t>
  </si>
  <si>
    <t xml:space="preserve">https://www.tiktok.com/@creator405_tiktok</t>
  </si>
  <si>
    <t xml:space="preserve">@creator412_instagram</t>
  </si>
  <si>
    <t xml:space="preserve">@creator417_instagram</t>
  </si>
  <si>
    <t xml:space="preserve">@creator419_tiktok</t>
  </si>
  <si>
    <t xml:space="preserve">@creator422_tiktok</t>
  </si>
  <si>
    <t xml:space="preserve">@creator424_instagram</t>
  </si>
  <si>
    <t xml:space="preserve">@creator428_tiktok</t>
  </si>
  <si>
    <t xml:space="preserve">@creator430_youtube</t>
  </si>
  <si>
    <t xml:space="preserve">@creator438_instagram</t>
  </si>
  <si>
    <t xml:space="preserve">CR00441</t>
  </si>
  <si>
    <t xml:space="preserve">@creator441_youtube</t>
  </si>
  <si>
    <t xml:space="preserve">@creator442_instagram</t>
  </si>
  <si>
    <t xml:space="preserve">n/a (likes hidden, vendor_a)</t>
  </si>
  <si>
    <t xml:space="preserve">@creator443_youtube</t>
  </si>
  <si>
    <t xml:space="preserve">CR00445</t>
  </si>
  <si>
    <t xml:space="preserve">@creator446_tiktok</t>
  </si>
  <si>
    <t xml:space="preserve">@creator448_youtube</t>
  </si>
  <si>
    <t xml:space="preserve">CR00451</t>
  </si>
  <si>
    <t xml:space="preserve">@creator451_tiktok</t>
  </si>
  <si>
    <t xml:space="preserve">@creator458_youtube</t>
  </si>
  <si>
    <t xml:space="preserve">@creator461_instagram</t>
  </si>
  <si>
    <t xml:space="preserve">@creator473_instagram</t>
  </si>
  <si>
    <t xml:space="preserve">@creator476_instagram</t>
  </si>
  <si>
    <t xml:space="preserve">CR00477</t>
  </si>
  <si>
    <t xml:space="preserve">@creator477_instagram</t>
  </si>
  <si>
    <t xml:space="preserve">@creator477_tiktok</t>
  </si>
  <si>
    <t xml:space="preserve">@creator477_youtube</t>
  </si>
  <si>
    <t xml:space="preserve">@creator483_tiktok</t>
  </si>
  <si>
    <t xml:space="preserve">@creator485_instagram</t>
  </si>
  <si>
    <t xml:space="preserve">CR00487</t>
  </si>
  <si>
    <t xml:space="preserve">@creator488_tiktok</t>
  </si>
  <si>
    <t xml:space="preserve">@creator489_tiktok</t>
  </si>
  <si>
    <t xml:space="preserve">@creator494_instagram</t>
  </si>
  <si>
    <t xml:space="preserve">@creator495_tiktok</t>
  </si>
  <si>
    <t xml:space="preserve">@creator508_tiktok</t>
  </si>
  <si>
    <t xml:space="preserve">@creator509_tiktok</t>
  </si>
  <si>
    <t xml:space="preserve">@creator510_instagram</t>
  </si>
  <si>
    <t xml:space="preserve">@creator510_tiktok</t>
  </si>
  <si>
    <t xml:space="preserve">CR00517</t>
  </si>
  <si>
    <t xml:space="preserve">https://www.instagram.com/creator517_instagram/</t>
  </si>
  <si>
    <t xml:space="preserve">@creator519_youtube</t>
  </si>
  <si>
    <t xml:space="preserve">@creator525_tiktok</t>
  </si>
  <si>
    <t xml:space="preserve">https://www.tiktok.com/@creator526_tiktok</t>
  </si>
  <si>
    <t xml:space="preserve">@creator527_youtube</t>
  </si>
  <si>
    <t xml:space="preserve">CR00528</t>
  </si>
  <si>
    <t xml:space="preserve">@creator528_instagram</t>
  </si>
  <si>
    <t xml:space="preserve">CR00538</t>
  </si>
  <si>
    <t xml:space="preserve">@creator538_youtube</t>
  </si>
  <si>
    <t xml:space="preserve">@creator541_instagram</t>
  </si>
  <si>
    <t xml:space="preserve">CR00542</t>
  </si>
  <si>
    <t xml:space="preserve">@creator550_instagram</t>
  </si>
  <si>
    <t xml:space="preserve">https://www.tiktok.com/@creator555_tiktok</t>
  </si>
  <si>
    <t xml:space="preserve">https://www.instagram.com/creator557_instagram/</t>
  </si>
  <si>
    <t xml:space="preserve">https://www.instagram.com/creator574_instagram/</t>
  </si>
  <si>
    <t xml:space="preserve">@creator574_youtube</t>
  </si>
  <si>
    <t xml:space="preserve">@creator576_tiktok</t>
  </si>
  <si>
    <t xml:space="preserve">@creator577_instagram</t>
  </si>
  <si>
    <t xml:space="preserve">CR00594</t>
  </si>
  <si>
    <t xml:space="preserve">@creator594_instagram</t>
  </si>
  <si>
    <t xml:space="preserve">@creator599_instagram</t>
  </si>
  <si>
    <t xml:space="preserve">@creator601_youtube</t>
  </si>
  <si>
    <t xml:space="preserve">CR00602</t>
  </si>
  <si>
    <t xml:space="preserve">@creator613_tiktok</t>
  </si>
  <si>
    <t xml:space="preserve">@creator615_instagram</t>
  </si>
  <si>
    <t xml:space="preserve">@creator615_tiktok</t>
  </si>
  <si>
    <t xml:space="preserve">https://www.tiktok.com/@creator616_tiktok</t>
  </si>
  <si>
    <t xml:space="preserve">@creator621_instagram</t>
  </si>
  <si>
    <t xml:space="preserve">@creator625_tiktok</t>
  </si>
  <si>
    <t xml:space="preserve">CR00628</t>
  </si>
  <si>
    <t xml:space="preserve">CR00631</t>
  </si>
  <si>
    <t xml:space="preserve">@creator631_tiktok</t>
  </si>
  <si>
    <t xml:space="preserve">https://www.tiktok.com/@creator636_tiktok</t>
  </si>
  <si>
    <t xml:space="preserve">CR00638</t>
  </si>
  <si>
    <t xml:space="preserve">@creator638_tiktok</t>
  </si>
  <si>
    <t xml:space="preserve">EXCLUDED: Q00028 (no consistent source)</t>
  </si>
  <si>
    <t xml:space="preserve">CR00655</t>
  </si>
  <si>
    <t xml:space="preserve">@creator655_youtube</t>
  </si>
  <si>
    <t xml:space="preserve">CR00657</t>
  </si>
  <si>
    <t xml:space="preserve">CR00661</t>
  </si>
  <si>
    <t xml:space="preserve">@creator661_tiktok</t>
  </si>
  <si>
    <t xml:space="preserve">@creator669_instagram</t>
  </si>
  <si>
    <t xml:space="preserve">@creator681_instagram</t>
  </si>
  <si>
    <t xml:space="preserve">@creator684_tiktok</t>
  </si>
  <si>
    <t xml:space="preserve">@creator686_tiktok</t>
  </si>
  <si>
    <t xml:space="preserve">@creator687_tiktok</t>
  </si>
  <si>
    <t xml:space="preserve">@creator689_instagram</t>
  </si>
  <si>
    <t xml:space="preserve">@creator689_tiktok</t>
  </si>
  <si>
    <t xml:space="preserve">CR00691</t>
  </si>
  <si>
    <t xml:space="preserve">@creator691_instagram</t>
  </si>
  <si>
    <t xml:space="preserve">https://www.tiktok.com/@creator692_tiktok</t>
  </si>
  <si>
    <t xml:space="preserve">@creator694_tiktok</t>
  </si>
  <si>
    <t xml:space="preserve">@creator696_instagram</t>
  </si>
  <si>
    <t xml:space="preserve">@creator696_tiktok</t>
  </si>
  <si>
    <t xml:space="preserve">@creator701_instagram</t>
  </si>
  <si>
    <t xml:space="preserve">https://youtube.com/@creator702_youtube</t>
  </si>
  <si>
    <t xml:space="preserve">@creator707_instagram</t>
  </si>
  <si>
    <t xml:space="preserve">@creator725_instagram</t>
  </si>
  <si>
    <t xml:space="preserve">@creator725_tiktok</t>
  </si>
  <si>
    <t xml:space="preserve">@creator727_tiktok</t>
  </si>
  <si>
    <t xml:space="preserve">@creator728_instagram</t>
  </si>
  <si>
    <t xml:space="preserve">@creator730_instagram</t>
  </si>
  <si>
    <t xml:space="preserve">https://www.instagram.com/creator733_instagram/</t>
  </si>
  <si>
    <t xml:space="preserve">@creator739_instagram</t>
  </si>
  <si>
    <t xml:space="preserve">@creator746_tiktok</t>
  </si>
  <si>
    <t xml:space="preserve">@creator747_youtube</t>
  </si>
  <si>
    <t xml:space="preserve">https://www.tiktok.com/@creator748_tiktok</t>
  </si>
  <si>
    <t xml:space="preserve">@creator752_tiktok</t>
  </si>
  <si>
    <t xml:space="preserve">@creator753_tiktok</t>
  </si>
  <si>
    <t xml:space="preserve">@creator760_youtube</t>
  </si>
  <si>
    <t xml:space="preserve">@creator761_instagram</t>
  </si>
  <si>
    <t xml:space="preserve">@creator764_tiktok</t>
  </si>
  <si>
    <t xml:space="preserve">CR00770</t>
  </si>
  <si>
    <t xml:space="preserve">CR00772</t>
  </si>
  <si>
    <t xml:space="preserve">https://www.tiktok.com/@creator772_tiktok</t>
  </si>
  <si>
    <t xml:space="preserve">@creator781_instagram</t>
  </si>
  <si>
    <t xml:space="preserve">@creator786_instagram</t>
  </si>
  <si>
    <t xml:space="preserve">CR00788</t>
  </si>
  <si>
    <t xml:space="preserve">@creator788_tiktok</t>
  </si>
  <si>
    <t xml:space="preserve">CR00796</t>
  </si>
  <si>
    <t xml:space="preserve">@creator796_youtube</t>
  </si>
  <si>
    <t xml:space="preserve">@creator799_youtube</t>
  </si>
  <si>
    <t xml:space="preserve">CR00805</t>
  </si>
  <si>
    <t xml:space="preserve">@creator805_tiktok</t>
  </si>
  <si>
    <t xml:space="preserve">@creator810_tiktok</t>
  </si>
  <si>
    <t xml:space="preserve">@creator811_instagram</t>
  </si>
  <si>
    <t xml:space="preserve">CR00812</t>
  </si>
  <si>
    <t xml:space="preserve">@creator817_tiktok</t>
  </si>
  <si>
    <t xml:space="preserve">@creator819_instagram</t>
  </si>
  <si>
    <t xml:space="preserve">https://www.tiktok.com/@creator830_tiktok</t>
  </si>
  <si>
    <t xml:space="preserve">@creator831_youtube</t>
  </si>
  <si>
    <t xml:space="preserve">@creator832_tiktok</t>
  </si>
  <si>
    <t xml:space="preserve">@creator839_tiktok</t>
  </si>
  <si>
    <t xml:space="preserve">@creator858_youtube</t>
  </si>
  <si>
    <t xml:space="preserve">@creator864_tiktok</t>
  </si>
  <si>
    <t xml:space="preserve">@creator865_youtube</t>
  </si>
  <si>
    <t xml:space="preserve">CR00872</t>
  </si>
  <si>
    <t xml:space="preserve">@creator872_instagram</t>
  </si>
  <si>
    <t xml:space="preserve">@creator873_tiktok</t>
  </si>
  <si>
    <t xml:space="preserve">@creator875_tiktok</t>
  </si>
  <si>
    <t xml:space="preserve">@creator878_tiktok</t>
  </si>
  <si>
    <t xml:space="preserve">@creator881_tiktok</t>
  </si>
  <si>
    <t xml:space="preserve">@creator883_instagram</t>
  </si>
  <si>
    <t xml:space="preserve">@creator889_instagram</t>
  </si>
  <si>
    <t xml:space="preserve">@creator892_instagram</t>
  </si>
  <si>
    <t xml:space="preserve">@creator892_tiktok</t>
  </si>
  <si>
    <t xml:space="preserve">@creator895_youtube</t>
  </si>
  <si>
    <t xml:space="preserve">@creator899_instagram</t>
  </si>
  <si>
    <t xml:space="preserve">https://youtube.com/@creator902_youtube</t>
  </si>
  <si>
    <t xml:space="preserve">EXCLUDED: computed from an outlier (vendor_a)</t>
  </si>
  <si>
    <t xml:space="preserve">CR00907</t>
  </si>
  <si>
    <t xml:space="preserve">@creator907_tiktok</t>
  </si>
  <si>
    <t xml:space="preserve">CR00909</t>
  </si>
  <si>
    <t xml:space="preserve">@creator909_instagram</t>
  </si>
  <si>
    <t xml:space="preserve">CR00915</t>
  </si>
  <si>
    <t xml:space="preserve">@creator915_instagram</t>
  </si>
  <si>
    <t xml:space="preserve">@creator916_instagram</t>
  </si>
  <si>
    <t xml:space="preserve">@creator923_tiktok</t>
  </si>
  <si>
    <t xml:space="preserve">CR00924</t>
  </si>
  <si>
    <t xml:space="preserve">@creator924_tiktok</t>
  </si>
  <si>
    <t xml:space="preserve">CR00926</t>
  </si>
  <si>
    <t xml:space="preserve">@creator927_instagram</t>
  </si>
  <si>
    <t xml:space="preserve">CR00931</t>
  </si>
  <si>
    <t xml:space="preserve">@creator931_youtube</t>
  </si>
  <si>
    <t xml:space="preserve">https://www.tiktok.com/@creator934_tiktok</t>
  </si>
  <si>
    <t xml:space="preserve">@creator935_instagram</t>
  </si>
  <si>
    <t xml:space="preserve">CR00943</t>
  </si>
  <si>
    <t xml:space="preserve">@creator949_instagram</t>
  </si>
  <si>
    <t xml:space="preserve">@creator952_instagram</t>
  </si>
  <si>
    <t xml:space="preserve">@creator953_tiktok</t>
  </si>
  <si>
    <t xml:space="preserve">@creator969_youtube</t>
  </si>
  <si>
    <t xml:space="preserve">@creator975_instagram</t>
  </si>
  <si>
    <t xml:space="preserve">@creator976_tiktok</t>
  </si>
  <si>
    <t xml:space="preserve">CR00978</t>
  </si>
  <si>
    <t xml:space="preserve">https://www.tiktok.com/@creator978_tiktok</t>
  </si>
  <si>
    <t xml:space="preserve">@creator983_tiktok</t>
  </si>
  <si>
    <t xml:space="preserve">CR00986</t>
  </si>
  <si>
    <t xml:space="preserve">@creator986_youtube</t>
  </si>
  <si>
    <t xml:space="preserve">@creator991_instagram</t>
  </si>
  <si>
    <t xml:space="preserve">CR00998</t>
  </si>
  <si>
    <t xml:space="preserve">@creator998_instagram</t>
  </si>
  <si>
    <t xml:space="preserve">@creator998_tiktok</t>
  </si>
  <si>
    <t xml:space="preserve">@creator1000_tiktok</t>
  </si>
  <si>
    <t xml:space="preserve">CR01001</t>
  </si>
  <si>
    <t xml:space="preserve">@creator1001_instagram</t>
  </si>
  <si>
    <t xml:space="preserve">@creator1001_tiktok</t>
  </si>
  <si>
    <t xml:space="preserve">CR01006</t>
  </si>
  <si>
    <t xml:space="preserve">@creator1008_tiktok</t>
  </si>
  <si>
    <t xml:space="preserve">CR01009</t>
  </si>
  <si>
    <t xml:space="preserve">CR01029</t>
  </si>
  <si>
    <t xml:space="preserve">https://www.instagram.com/creator1029_instagram/</t>
  </si>
  <si>
    <t xml:space="preserve">https://www.instagram.com/creator1034_instagram/</t>
  </si>
  <si>
    <t xml:space="preserve">@creator1037_tiktok</t>
  </si>
  <si>
    <t xml:space="preserve">https://www.tiktok.com/@creator1039_tiktok</t>
  </si>
  <si>
    <t xml:space="preserve">CR01045</t>
  </si>
  <si>
    <t xml:space="preserve">https://www.tiktok.com/@creator1046_tiktok</t>
  </si>
  <si>
    <t xml:space="preserve">@creator1047_tiktok</t>
  </si>
  <si>
    <t xml:space="preserve">@creator1049_instagram</t>
  </si>
  <si>
    <t xml:space="preserve">@creator1054_youtube</t>
  </si>
  <si>
    <t xml:space="preserve">@creator1056_tiktok</t>
  </si>
  <si>
    <t xml:space="preserve">https://www.instagram.com/creator1059_instagram/</t>
  </si>
  <si>
    <t xml:space="preserve">CR01060</t>
  </si>
  <si>
    <t xml:space="preserve">https://www.instagram.com/creator1060_instagram/</t>
  </si>
  <si>
    <t xml:space="preserve">@creator1061_instagram</t>
  </si>
  <si>
    <t xml:space="preserve">@creator1071_youtube</t>
  </si>
  <si>
    <t xml:space="preserve">https://www.instagram.com/creator1073_instagram/</t>
  </si>
  <si>
    <t xml:space="preserve">@creator1073_tiktok</t>
  </si>
  <si>
    <t xml:space="preserve">@creator1077_youtube</t>
  </si>
  <si>
    <t xml:space="preserve">@creator1078_tiktok</t>
  </si>
  <si>
    <t xml:space="preserve">@creator1081_instagram</t>
  </si>
  <si>
    <t xml:space="preserve">@creator1081_tiktok</t>
  </si>
  <si>
    <t xml:space="preserve">@creator1088_instagram</t>
  </si>
  <si>
    <t xml:space="preserve">@creator1092_tiktok</t>
  </si>
  <si>
    <t xml:space="preserve">@creator1102_instagram</t>
  </si>
  <si>
    <t xml:space="preserve">@creator1111_tiktok</t>
  </si>
  <si>
    <t xml:space="preserve">CR01127</t>
  </si>
  <si>
    <t xml:space="preserve">@creator1127_youtube</t>
  </si>
  <si>
    <t xml:space="preserve">@creator1130_tiktok</t>
  </si>
  <si>
    <t xml:space="preserve">@creator1134_instagram</t>
  </si>
  <si>
    <t xml:space="preserve">@creator1136_tiktok</t>
  </si>
  <si>
    <t xml:space="preserve">@creator1138_tiktok</t>
  </si>
  <si>
    <t xml:space="preserve">@creator1143_instagram</t>
  </si>
  <si>
    <t xml:space="preserve">@creator1145_tiktok</t>
  </si>
  <si>
    <t xml:space="preserve">https://www.tiktok.com/@creator1146_tiktok</t>
  </si>
  <si>
    <t xml:space="preserve">@creator1148_instagram</t>
  </si>
  <si>
    <t xml:space="preserve">CR01149</t>
  </si>
  <si>
    <t xml:space="preserve">@creator1149_tiktok</t>
  </si>
  <si>
    <t xml:space="preserve">CR01151</t>
  </si>
  <si>
    <t xml:space="preserve">@creator1151_instagram</t>
  </si>
  <si>
    <t xml:space="preserve">CR01152</t>
  </si>
  <si>
    <t xml:space="preserve">@creator1152_tiktok</t>
  </si>
  <si>
    <t xml:space="preserve">CR01160</t>
  </si>
  <si>
    <t xml:space="preserve">@creator1160_instagram</t>
  </si>
  <si>
    <t xml:space="preserve">https://www.tiktok.com/@creator1160_tiktok</t>
  </si>
  <si>
    <t xml:space="preserve">@creator1160_youtube</t>
  </si>
  <si>
    <t xml:space="preserve">@creator1172_instagram</t>
  </si>
  <si>
    <t xml:space="preserve">CR01178</t>
  </si>
  <si>
    <t xml:space="preserve">CR01179</t>
  </si>
  <si>
    <t xml:space="preserve">https://www.instagram.com/creator1179_instagram/</t>
  </si>
  <si>
    <t xml:space="preserve">@creator1179_youtube</t>
  </si>
  <si>
    <t xml:space="preserve">@creator1187_instagram</t>
  </si>
  <si>
    <t xml:space="preserve">@creator1191_instagram</t>
  </si>
  <si>
    <t xml:space="preserve">https://www.tiktok.com/@creator1200_tiktok</t>
  </si>
  <si>
    <t xml:space="preserve">@creator1200_youtube</t>
  </si>
  <si>
    <t xml:space="preserve">CR01205</t>
  </si>
  <si>
    <t xml:space="preserve">@creator1205_instagram</t>
  </si>
  <si>
    <t xml:space="preserve">CR01207</t>
  </si>
  <si>
    <t xml:space="preserve">https://www.instagram.com/creator1207_instagram/</t>
  </si>
  <si>
    <t xml:space="preserve">@creator1208_youtube</t>
  </si>
  <si>
    <t xml:space="preserve">@creator1213_instagram</t>
  </si>
  <si>
    <t xml:space="preserve">@creator1217_instagram</t>
  </si>
  <si>
    <t xml:space="preserve">CR01218</t>
  </si>
  <si>
    <t xml:space="preserve">@creator1218_youtube</t>
  </si>
  <si>
    <t xml:space="preserve">CR01219</t>
  </si>
  <si>
    <t xml:space="preserve">@creator1220_instagram</t>
  </si>
  <si>
    <t xml:space="preserve">@creator1222_tiktok</t>
  </si>
  <si>
    <t xml:space="preserve">@creator1229_instagram</t>
  </si>
  <si>
    <t xml:space="preserve">https://www.tiktok.com/@creator1229_tiktok</t>
  </si>
  <si>
    <t xml:space="preserve">CR01230</t>
  </si>
  <si>
    <t xml:space="preserve">CR01232</t>
  </si>
  <si>
    <t xml:space="preserve">@creator1232_tiktok</t>
  </si>
  <si>
    <t xml:space="preserve">@creator1233_tiktok</t>
  </si>
  <si>
    <t xml:space="preserve">@creator1233_youtube</t>
  </si>
  <si>
    <t xml:space="preserve">@creator1235_instagram</t>
  </si>
  <si>
    <t xml:space="preserve">@creator1235_tiktok</t>
  </si>
  <si>
    <t xml:space="preserve">@creator1248_tiktok</t>
  </si>
  <si>
    <t xml:space="preserve">@creator1283_youtube</t>
  </si>
  <si>
    <t xml:space="preserve">@creator1284_tiktok</t>
  </si>
  <si>
    <t xml:space="preserve">@creator1290_youtube</t>
  </si>
  <si>
    <t xml:space="preserve">https://www.tiktok.com/@creator1292_tiktok</t>
  </si>
  <si>
    <t xml:space="preserve">@creator1295_tiktok</t>
  </si>
  <si>
    <t xml:space="preserve">@creator1296_tiktok</t>
  </si>
  <si>
    <t xml:space="preserve">@creator1296_youtube</t>
  </si>
  <si>
    <t xml:space="preserve">@creator1298_youtube</t>
  </si>
  <si>
    <t xml:space="preserve">@creator1303_instagram</t>
  </si>
  <si>
    <t xml:space="preserve">@creator1303_tiktok</t>
  </si>
  <si>
    <t xml:space="preserve">CR01323</t>
  </si>
  <si>
    <t xml:space="preserve">@creator1323_tiktok</t>
  </si>
  <si>
    <t xml:space="preserve">@creator1337_youtube</t>
  </si>
  <si>
    <t xml:space="preserve">CR01342</t>
  </si>
  <si>
    <t xml:space="preserve">@creator1342_tiktok</t>
  </si>
  <si>
    <t xml:space="preserve">CR01345</t>
  </si>
  <si>
    <t xml:space="preserve">@creator1347_instagram</t>
  </si>
  <si>
    <t xml:space="preserve">https://www.tiktok.com/@creator1352_tiktok</t>
  </si>
  <si>
    <t xml:space="preserve">CR01356</t>
  </si>
  <si>
    <t xml:space="preserve">@creator1356_instagram</t>
  </si>
  <si>
    <t xml:space="preserve">@creator1362_tiktok</t>
  </si>
  <si>
    <t xml:space="preserve">CR01364</t>
  </si>
  <si>
    <t xml:space="preserve">@creator1364_tiktok</t>
  </si>
  <si>
    <t xml:space="preserve">@creator1383_instagram</t>
  </si>
  <si>
    <t xml:space="preserve">https://www.instagram.com/creator1384_instagram/</t>
  </si>
  <si>
    <t xml:space="preserve">CR01388</t>
  </si>
  <si>
    <t xml:space="preserve">@creator1388_youtube</t>
  </si>
  <si>
    <t xml:space="preserve">@creator1393_instagram</t>
  </si>
  <si>
    <t xml:space="preserve">@creator1395_tiktok</t>
  </si>
  <si>
    <t xml:space="preserve">@creator1396_youtube</t>
  </si>
  <si>
    <t xml:space="preserve">CR01397</t>
  </si>
  <si>
    <t xml:space="preserve">@creator1397_instagram</t>
  </si>
  <si>
    <t xml:space="preserve">CR01398</t>
  </si>
  <si>
    <t xml:space="preserve">@creator1398_tiktok</t>
  </si>
  <si>
    <t xml:space="preserve">@creator1415_instagram</t>
  </si>
  <si>
    <t xml:space="preserve">@creator1415_tiktok</t>
  </si>
  <si>
    <t xml:space="preserve">CR01429</t>
  </si>
  <si>
    <t xml:space="preserve">@creator1429_tiktok</t>
  </si>
  <si>
    <t xml:space="preserve">@creator1437_tiktok</t>
  </si>
  <si>
    <t xml:space="preserve">@creator1447_instagram</t>
  </si>
  <si>
    <t xml:space="preserve">@creator1458_tiktok</t>
  </si>
  <si>
    <t xml:space="preserve">@creator1461_instagram</t>
  </si>
  <si>
    <t xml:space="preserve">@creator1462_tiktok</t>
  </si>
  <si>
    <t xml:space="preserve">@creator1470_tiktok</t>
  </si>
  <si>
    <t xml:space="preserve">CR01474</t>
  </si>
  <si>
    <t xml:space="preserve">@creator1474_tiktok</t>
  </si>
  <si>
    <t xml:space="preserve">@creator1474_youtube</t>
  </si>
  <si>
    <t xml:space="preserve">@creator1475_instagram</t>
  </si>
  <si>
    <t xml:space="preserve">@creator1477_instagram</t>
  </si>
  <si>
    <t xml:space="preserve">CR01478</t>
  </si>
  <si>
    <t xml:space="preserve">@creator1478_instagram</t>
  </si>
  <si>
    <t xml:space="preserve">CR01479</t>
  </si>
  <si>
    <t xml:space="preserve">https://www.instagram.com/creator1483_instagram/</t>
  </si>
  <si>
    <t xml:space="preserve">@creator1495_youtube</t>
  </si>
  <si>
    <t xml:space="preserve">Creator details (one row per requested creator)</t>
  </si>
  <si>
    <t xml:space="preserve">Cell colour = tier that supplied the value: deep orange T1 · light orange T2 · pale orange T3 · grey still missing</t>
  </si>
  <si>
    <t xml:space="preserve">display_name *</t>
  </si>
  <si>
    <t xml:space="preserve">country *</t>
  </si>
  <si>
    <t xml:space="preserve">contact_email</t>
  </si>
  <si>
    <t xml:space="preserve">category</t>
  </si>
  <si>
    <t xml:space="preserve">Channels complete</t>
  </si>
  <si>
    <t xml:space="preserve">Creator complete</t>
  </si>
  <si>
    <t xml:space="preserve">display_name source</t>
  </si>
  <si>
    <t xml:space="preserve">country source</t>
  </si>
  <si>
    <t xml:space="preserve">contact_email source</t>
  </si>
  <si>
    <t xml:space="preserve">category source</t>
  </si>
  <si>
    <t xml:space="preserve">creator0@mail.example</t>
  </si>
  <si>
    <t xml:space="preserve">2/3</t>
  </si>
  <si>
    <t xml:space="preserve">creator3@mail.example</t>
  </si>
  <si>
    <t xml:space="preserve">creator4@mail.example</t>
  </si>
  <si>
    <t xml:space="preserve">creator5@mail.example</t>
  </si>
  <si>
    <t xml:space="preserve">3/3</t>
  </si>
  <si>
    <t xml:space="preserve">creator7@mail.example</t>
  </si>
  <si>
    <t xml:space="preserve">1/2</t>
  </si>
  <si>
    <t xml:space="preserve">creator9@mail.example</t>
  </si>
  <si>
    <t xml:space="preserve">creator11@mail.example</t>
  </si>
  <si>
    <t xml:space="preserve">1/1</t>
  </si>
  <si>
    <t xml:space="preserve">creator12@mail.example</t>
  </si>
  <si>
    <t xml:space="preserve">creator13@mail.example</t>
  </si>
  <si>
    <t xml:space="preserve">creator20@mail.example</t>
  </si>
  <si>
    <t xml:space="preserve">creator25@mail.example</t>
  </si>
  <si>
    <t xml:space="preserve">1/3</t>
  </si>
  <si>
    <t xml:space="preserve">creator27@mail.example</t>
  </si>
  <si>
    <t xml:space="preserve">creator29@mail.example</t>
  </si>
  <si>
    <t xml:space="preserve">creator30@mail.example</t>
  </si>
  <si>
    <t xml:space="preserve">creator31@mail.example</t>
  </si>
  <si>
    <t xml:space="preserve">creator32@mail.example</t>
  </si>
  <si>
    <t xml:space="preserve">creator33@mail.example</t>
  </si>
  <si>
    <t xml:space="preserve">2/2</t>
  </si>
  <si>
    <t xml:space="preserve">creator34@mail.example</t>
  </si>
  <si>
    <t xml:space="preserve">creator38@mail.example</t>
  </si>
  <si>
    <t xml:space="preserve">creator39@mail.example</t>
  </si>
  <si>
    <t xml:space="preserve">creator40@mail.example</t>
  </si>
  <si>
    <t xml:space="preserve">creator41@mail.example</t>
  </si>
  <si>
    <t xml:space="preserve">creator46@mail.example</t>
  </si>
  <si>
    <t xml:space="preserve">Creator 47</t>
  </si>
  <si>
    <t xml:space="preserve">creator47@mail.example</t>
  </si>
  <si>
    <t xml:space="preserve">0/2</t>
  </si>
  <si>
    <t xml:space="preserve">creator48@mail.example</t>
  </si>
  <si>
    <t xml:space="preserve">Creator 50</t>
  </si>
  <si>
    <t xml:space="preserve">creator50@mail.example</t>
  </si>
  <si>
    <t xml:space="preserve">creator54@mail.example</t>
  </si>
  <si>
    <t xml:space="preserve">creator56@mail.example</t>
  </si>
  <si>
    <t xml:space="preserve">creator57@mail.example</t>
  </si>
  <si>
    <t xml:space="preserve">creator60@mail.example</t>
  </si>
  <si>
    <t xml:space="preserve">Creator 61</t>
  </si>
  <si>
    <t xml:space="preserve">creator61@mail.example</t>
  </si>
  <si>
    <t xml:space="preserve">0/1</t>
  </si>
  <si>
    <t xml:space="preserve">creator62@mail.example</t>
  </si>
  <si>
    <t xml:space="preserve">creator63@mail.example</t>
  </si>
  <si>
    <t xml:space="preserve">creator65@mail.example</t>
  </si>
  <si>
    <t xml:space="preserve">creator68@mail.example</t>
  </si>
  <si>
    <t xml:space="preserve">creator70@mail.example</t>
  </si>
  <si>
    <t xml:space="preserve">creator72@mail.example</t>
  </si>
  <si>
    <t xml:space="preserve">creator73@mail.example</t>
  </si>
  <si>
    <t xml:space="preserve">creator76@mail.example</t>
  </si>
  <si>
    <t xml:space="preserve">creator77@mail.example</t>
  </si>
  <si>
    <t xml:space="preserve">creator78@mail.example</t>
  </si>
  <si>
    <t xml:space="preserve">creator79@mail.example</t>
  </si>
  <si>
    <t xml:space="preserve">Creator 81</t>
  </si>
  <si>
    <t xml:space="preserve">Creator 82</t>
  </si>
  <si>
    <t xml:space="preserve">creator82@mail.example</t>
  </si>
  <si>
    <t xml:space="preserve">0/3</t>
  </si>
  <si>
    <t xml:space="preserve">creator83@mail.example</t>
  </si>
  <si>
    <t xml:space="preserve">creator84@mail.example</t>
  </si>
  <si>
    <t xml:space="preserve">creator85@mail.example</t>
  </si>
  <si>
    <t xml:space="preserve">creator86@mail.example</t>
  </si>
  <si>
    <t xml:space="preserve">creator87@mail.example</t>
  </si>
  <si>
    <t xml:space="preserve">Creator 89</t>
  </si>
  <si>
    <t xml:space="preserve">creator89@mail.example</t>
  </si>
  <si>
    <t xml:space="preserve">creator90@mail.example</t>
  </si>
  <si>
    <t xml:space="preserve">creator92@mail.example</t>
  </si>
  <si>
    <t xml:space="preserve">creator94@mail.example</t>
  </si>
  <si>
    <t xml:space="preserve">creator96@mail.example</t>
  </si>
  <si>
    <t xml:space="preserve">creator97@mail.example</t>
  </si>
  <si>
    <t xml:space="preserve">creator99@mail.example</t>
  </si>
  <si>
    <t xml:space="preserve">creator100@mail.example</t>
  </si>
  <si>
    <t xml:space="preserve">creator103@mail.example</t>
  </si>
  <si>
    <t xml:space="preserve">creator107@mail.example</t>
  </si>
  <si>
    <t xml:space="preserve">creator108@mail.example</t>
  </si>
  <si>
    <t xml:space="preserve">creator110@mail.example</t>
  </si>
  <si>
    <t xml:space="preserve">creator112@mail.example</t>
  </si>
  <si>
    <t xml:space="preserve">creator116@mail.example</t>
  </si>
  <si>
    <t xml:space="preserve">creator117@mail.example</t>
  </si>
  <si>
    <t xml:space="preserve">creator125@mail.example</t>
  </si>
  <si>
    <t xml:space="preserve">creator126@mail.example</t>
  </si>
  <si>
    <t xml:space="preserve">Creator 127</t>
  </si>
  <si>
    <t xml:space="preserve">creator127@mail.example</t>
  </si>
  <si>
    <t xml:space="preserve">creator128@mail.example</t>
  </si>
  <si>
    <t xml:space="preserve">creator130@mail.example</t>
  </si>
  <si>
    <t xml:space="preserve">creator131@mail.example</t>
  </si>
  <si>
    <t xml:space="preserve">creator135@mail.example</t>
  </si>
  <si>
    <t xml:space="preserve">creator136@mail.example</t>
  </si>
  <si>
    <t xml:space="preserve">creator138@mail.example</t>
  </si>
  <si>
    <t xml:space="preserve">creator139@mail.example</t>
  </si>
  <si>
    <t xml:space="preserve">creator140@mail.example</t>
  </si>
  <si>
    <t xml:space="preserve">Creator 141</t>
  </si>
  <si>
    <t xml:space="preserve">creator141@mail.example</t>
  </si>
  <si>
    <t xml:space="preserve">creator143@mail.example</t>
  </si>
  <si>
    <t xml:space="preserve">creator147@mail.example</t>
  </si>
  <si>
    <t xml:space="preserve">creator148@mail.example</t>
  </si>
  <si>
    <t xml:space="preserve">creator149@mail.example</t>
  </si>
  <si>
    <t xml:space="preserve">creator150@mail.example</t>
  </si>
  <si>
    <t xml:space="preserve">creator151@mail.example</t>
  </si>
  <si>
    <t xml:space="preserve">creator152@mail.example</t>
  </si>
  <si>
    <t xml:space="preserve">creator153@mail.example</t>
  </si>
  <si>
    <t xml:space="preserve">creator155@mail.example</t>
  </si>
  <si>
    <t xml:space="preserve">creator158@mail.example</t>
  </si>
  <si>
    <t xml:space="preserve">creator160@mail.example</t>
  </si>
  <si>
    <t xml:space="preserve">creator161@mail.example</t>
  </si>
  <si>
    <t xml:space="preserve">Creator 162</t>
  </si>
  <si>
    <t xml:space="preserve">creator162@mail.example</t>
  </si>
  <si>
    <t xml:space="preserve">creator165@mail.example</t>
  </si>
  <si>
    <t xml:space="preserve">Creator 169</t>
  </si>
  <si>
    <t xml:space="preserve">creator172@mail.example</t>
  </si>
  <si>
    <t xml:space="preserve">creator173@mail.example</t>
  </si>
  <si>
    <t xml:space="preserve">creator174@mail.example</t>
  </si>
  <si>
    <t xml:space="preserve">creator175@mail.example</t>
  </si>
  <si>
    <t xml:space="preserve">Creator 176</t>
  </si>
  <si>
    <t xml:space="preserve">creator176@mail.example</t>
  </si>
  <si>
    <t xml:space="preserve">creator177@mail.example</t>
  </si>
  <si>
    <t xml:space="preserve">Creator 178</t>
  </si>
  <si>
    <t xml:space="preserve">creator178@mail.example</t>
  </si>
  <si>
    <t xml:space="preserve">creator179@mail.example</t>
  </si>
  <si>
    <t xml:space="preserve">creator180@mail.example</t>
  </si>
  <si>
    <t xml:space="preserve">creator181@mail.example</t>
  </si>
  <si>
    <t xml:space="preserve">creator183@mail.example</t>
  </si>
  <si>
    <t xml:space="preserve">creator184@mail.example</t>
  </si>
  <si>
    <t xml:space="preserve">Creator 185</t>
  </si>
  <si>
    <t xml:space="preserve">creator185@mail.example</t>
  </si>
  <si>
    <t xml:space="preserve">creator189@mail.example</t>
  </si>
  <si>
    <t xml:space="preserve">Creator 190</t>
  </si>
  <si>
    <t xml:space="preserve">creator190@mail.example</t>
  </si>
  <si>
    <t xml:space="preserve">creator192@mail.example</t>
  </si>
  <si>
    <t xml:space="preserve">creator193@mail.example</t>
  </si>
  <si>
    <t xml:space="preserve">creator194@mail.example</t>
  </si>
  <si>
    <t xml:space="preserve">creator197@mail.example</t>
  </si>
  <si>
    <t xml:space="preserve">creator198@mail.example</t>
  </si>
  <si>
    <t xml:space="preserve">creator199@mail.example</t>
  </si>
  <si>
    <t xml:space="preserve">Creator 200</t>
  </si>
  <si>
    <t xml:space="preserve">creator200@mail.example</t>
  </si>
  <si>
    <t xml:space="preserve">creator202@mail.example</t>
  </si>
  <si>
    <t xml:space="preserve">creator208@mail.example</t>
  </si>
  <si>
    <t xml:space="preserve">creator212@mail.example</t>
  </si>
  <si>
    <t xml:space="preserve">creator213@mail.example</t>
  </si>
  <si>
    <t xml:space="preserve">creator216@mail.example</t>
  </si>
  <si>
    <t xml:space="preserve">creator217@mail.example</t>
  </si>
  <si>
    <t xml:space="preserve">creator223@mail.example</t>
  </si>
  <si>
    <t xml:space="preserve">creator224@mail.example</t>
  </si>
  <si>
    <t xml:space="preserve">creator227@mail.example</t>
  </si>
  <si>
    <t xml:space="preserve">creator228@mail.example</t>
  </si>
  <si>
    <t xml:space="preserve">creator230@mail.example</t>
  </si>
  <si>
    <t xml:space="preserve">creator231@mail.example</t>
  </si>
  <si>
    <t xml:space="preserve">creator233@mail.example</t>
  </si>
  <si>
    <t xml:space="preserve">creator234@mail.example</t>
  </si>
  <si>
    <t xml:space="preserve">creator235@mail.example</t>
  </si>
  <si>
    <t xml:space="preserve">creator238@mail.example</t>
  </si>
  <si>
    <t xml:space="preserve">creator243@mail.example</t>
  </si>
  <si>
    <t xml:space="preserve">creator244@mail.example</t>
  </si>
  <si>
    <t xml:space="preserve">creator246@mail.example</t>
  </si>
  <si>
    <t xml:space="preserve">creator247@mail.example</t>
  </si>
  <si>
    <t xml:space="preserve">creator248@mail.example</t>
  </si>
  <si>
    <t xml:space="preserve">creator252@mail.example</t>
  </si>
  <si>
    <t xml:space="preserve">creator254@mail.example</t>
  </si>
  <si>
    <t xml:space="preserve">creator257@mail.example</t>
  </si>
  <si>
    <t xml:space="preserve">creator259@mail.example</t>
  </si>
  <si>
    <t xml:space="preserve">creator260@mail.example</t>
  </si>
  <si>
    <t xml:space="preserve">creator261@mail.example</t>
  </si>
  <si>
    <t xml:space="preserve">creator266@mail.example</t>
  </si>
  <si>
    <t xml:space="preserve">creator267@mail.example</t>
  </si>
  <si>
    <t xml:space="preserve">creator268@mail.example</t>
  </si>
  <si>
    <t xml:space="preserve">creator269@mail.example</t>
  </si>
  <si>
    <t xml:space="preserve">creator271@mail.example</t>
  </si>
  <si>
    <t xml:space="preserve">creator272@mail.example</t>
  </si>
  <si>
    <t xml:space="preserve">creator276@mail.example</t>
  </si>
  <si>
    <t xml:space="preserve">creator277@mail.example</t>
  </si>
  <si>
    <t xml:space="preserve">creator279@mail.example</t>
  </si>
  <si>
    <t xml:space="preserve">creator281@mail.example</t>
  </si>
  <si>
    <t xml:space="preserve">creator282@mail.example</t>
  </si>
  <si>
    <t xml:space="preserve">creator283@mail.example</t>
  </si>
  <si>
    <t xml:space="preserve">creator284@mail.example</t>
  </si>
  <si>
    <t xml:space="preserve">creator285@mail.example</t>
  </si>
  <si>
    <t xml:space="preserve">creator286@mail.example</t>
  </si>
  <si>
    <t xml:space="preserve">creator287@mail.example</t>
  </si>
  <si>
    <t xml:space="preserve">creator288@mail.example</t>
  </si>
  <si>
    <t xml:space="preserve">creator289@mail.example</t>
  </si>
  <si>
    <t xml:space="preserve">creator291@mail.example</t>
  </si>
  <si>
    <t xml:space="preserve">creator292@mail.example</t>
  </si>
  <si>
    <t xml:space="preserve">creator293@mail.example</t>
  </si>
  <si>
    <t xml:space="preserve">creator296@mail.example</t>
  </si>
  <si>
    <t xml:space="preserve">creator297@mail.example</t>
  </si>
  <si>
    <t xml:space="preserve">creator298@mail.example</t>
  </si>
  <si>
    <t xml:space="preserve">creator300@mail.example</t>
  </si>
  <si>
    <t xml:space="preserve">creator302@mail.example</t>
  </si>
  <si>
    <t xml:space="preserve">creator303@mail.example</t>
  </si>
  <si>
    <t xml:space="preserve">Creator 304</t>
  </si>
  <si>
    <t xml:space="preserve">creator304@mail.example</t>
  </si>
  <si>
    <t xml:space="preserve">creator305@mail.example</t>
  </si>
  <si>
    <t xml:space="preserve">creator313@mail.example</t>
  </si>
  <si>
    <t xml:space="preserve">creator315@mail.example</t>
  </si>
  <si>
    <t xml:space="preserve">creator317@mail.example</t>
  </si>
  <si>
    <t xml:space="preserve">creator318@mail.example</t>
  </si>
  <si>
    <t xml:space="preserve">creator321@mail.example</t>
  </si>
  <si>
    <t xml:space="preserve">creator322@mail.example</t>
  </si>
  <si>
    <t xml:space="preserve">creator323@mail.example</t>
  </si>
  <si>
    <t xml:space="preserve">creator324@mail.example</t>
  </si>
  <si>
    <t xml:space="preserve">creator325@mail.example</t>
  </si>
  <si>
    <t xml:space="preserve">creator327@mail.example</t>
  </si>
  <si>
    <t xml:space="preserve">creator328@mail.example</t>
  </si>
  <si>
    <t xml:space="preserve">creator330@mail.example</t>
  </si>
  <si>
    <t xml:space="preserve">creator336@mail.example</t>
  </si>
  <si>
    <t xml:space="preserve">creator338@mail.example</t>
  </si>
  <si>
    <t xml:space="preserve">creator339@mail.example</t>
  </si>
  <si>
    <t xml:space="preserve">creator340@mail.example</t>
  </si>
  <si>
    <t xml:space="preserve">Creator 342</t>
  </si>
  <si>
    <t xml:space="preserve">creator342@mail.example</t>
  </si>
  <si>
    <t xml:space="preserve">creator343@mail.example</t>
  </si>
  <si>
    <t xml:space="preserve">creator345@mail.example</t>
  </si>
  <si>
    <t xml:space="preserve">creator347@mail.example</t>
  </si>
  <si>
    <t xml:space="preserve">creator348@mail.example</t>
  </si>
  <si>
    <t xml:space="preserve">creator351@mail.example</t>
  </si>
  <si>
    <t xml:space="preserve">creator352@mail.example</t>
  </si>
  <si>
    <t xml:space="preserve">creator353@mail.example</t>
  </si>
  <si>
    <t xml:space="preserve">creator354@mail.example</t>
  </si>
  <si>
    <t xml:space="preserve">creator356@mail.example</t>
  </si>
  <si>
    <t xml:space="preserve">creator357@mail.example</t>
  </si>
  <si>
    <t xml:space="preserve">creator358@mail.example</t>
  </si>
  <si>
    <t xml:space="preserve">Creator 359</t>
  </si>
  <si>
    <t xml:space="preserve">creator359@mail.example</t>
  </si>
  <si>
    <t xml:space="preserve">creator360@mail.example</t>
  </si>
  <si>
    <t xml:space="preserve">creator361@mail.example</t>
  </si>
  <si>
    <t xml:space="preserve">Creator 364</t>
  </si>
  <si>
    <t xml:space="preserve">creator364@mail.example</t>
  </si>
  <si>
    <t xml:space="preserve">creator366@mail.example</t>
  </si>
  <si>
    <t xml:space="preserve">creator368@mail.example</t>
  </si>
  <si>
    <t xml:space="preserve">Creator 369</t>
  </si>
  <si>
    <t xml:space="preserve">creator369@mail.example</t>
  </si>
  <si>
    <t xml:space="preserve">creator371@mail.example</t>
  </si>
  <si>
    <t xml:space="preserve">creator373@mail.example</t>
  </si>
  <si>
    <t xml:space="preserve">creator374@mail.example</t>
  </si>
  <si>
    <t xml:space="preserve">creator377@mail.example</t>
  </si>
  <si>
    <t xml:space="preserve">creator379@mail.example</t>
  </si>
  <si>
    <t xml:space="preserve">creator380@mail.example</t>
  </si>
  <si>
    <t xml:space="preserve">creator381@mail.example</t>
  </si>
  <si>
    <t xml:space="preserve">creator383@mail.example</t>
  </si>
  <si>
    <t xml:space="preserve">creator386@mail.example</t>
  </si>
  <si>
    <t xml:space="preserve">creator390@mail.example</t>
  </si>
  <si>
    <t xml:space="preserve">creator393@mail.example</t>
  </si>
  <si>
    <t xml:space="preserve">creator394@mail.example</t>
  </si>
  <si>
    <t xml:space="preserve">creator395@mail.example</t>
  </si>
  <si>
    <t xml:space="preserve">creator396@mail.example</t>
  </si>
  <si>
    <t xml:space="preserve">creator399@mail.example</t>
  </si>
  <si>
    <t xml:space="preserve">creator400@mail.example</t>
  </si>
  <si>
    <t xml:space="preserve">creator401@mail.example</t>
  </si>
  <si>
    <t xml:space="preserve">creator403@mail.example</t>
  </si>
  <si>
    <t xml:space="preserve">creator404@mail.example</t>
  </si>
  <si>
    <t xml:space="preserve">Creator 405</t>
  </si>
  <si>
    <t xml:space="preserve">creator405@mail.example</t>
  </si>
  <si>
    <t xml:space="preserve">creator407@mail.example</t>
  </si>
  <si>
    <t xml:space="preserve">creator408@mail.example</t>
  </si>
  <si>
    <t xml:space="preserve">creator412@mail.example</t>
  </si>
  <si>
    <t xml:space="preserve">creator416@mail.example</t>
  </si>
  <si>
    <t xml:space="preserve">creator417@mail.example</t>
  </si>
  <si>
    <t xml:space="preserve">creator419@mail.example</t>
  </si>
  <si>
    <t xml:space="preserve">creator422@mail.example</t>
  </si>
  <si>
    <t xml:space="preserve">creator423@mail.example</t>
  </si>
  <si>
    <t xml:space="preserve">creator424@mail.example</t>
  </si>
  <si>
    <t xml:space="preserve">creator425@mail.example</t>
  </si>
  <si>
    <t xml:space="preserve">creator427@mail.example</t>
  </si>
  <si>
    <t xml:space="preserve">creator428@mail.example</t>
  </si>
  <si>
    <t xml:space="preserve">creator430@mail.example</t>
  </si>
  <si>
    <t xml:space="preserve">creator431@mail.example</t>
  </si>
  <si>
    <t xml:space="preserve">creator432@mail.example</t>
  </si>
  <si>
    <t xml:space="preserve">creator435@mail.example</t>
  </si>
  <si>
    <t xml:space="preserve">creator437@mail.example</t>
  </si>
  <si>
    <t xml:space="preserve">creator438@mail.example</t>
  </si>
  <si>
    <t xml:space="preserve">creator439@mail.example</t>
  </si>
  <si>
    <t xml:space="preserve">Creator 441</t>
  </si>
  <si>
    <t xml:space="preserve">creator441@mail.example</t>
  </si>
  <si>
    <t xml:space="preserve">creator442@mail.example</t>
  </si>
  <si>
    <t xml:space="preserve">creator443@mail.example</t>
  </si>
  <si>
    <t xml:space="preserve">creator444@mail.example</t>
  </si>
  <si>
    <t xml:space="preserve">creator446@mail.example</t>
  </si>
  <si>
    <t xml:space="preserve">creator448@mail.example</t>
  </si>
  <si>
    <t xml:space="preserve">creator449@mail.example</t>
  </si>
  <si>
    <t xml:space="preserve">Creator 451</t>
  </si>
  <si>
    <t xml:space="preserve">creator451@mail.example</t>
  </si>
  <si>
    <t xml:space="preserve">creator452@mail.example</t>
  </si>
  <si>
    <t xml:space="preserve">creator457@mail.example</t>
  </si>
  <si>
    <t xml:space="preserve">creator458@mail.example</t>
  </si>
  <si>
    <t xml:space="preserve">creator460@mail.example</t>
  </si>
  <si>
    <t xml:space="preserve">creator461@mail.example</t>
  </si>
  <si>
    <t xml:space="preserve">creator463@mail.example</t>
  </si>
  <si>
    <t xml:space="preserve">creator465@mail.example</t>
  </si>
  <si>
    <t xml:space="preserve">creator471@mail.example</t>
  </si>
  <si>
    <t xml:space="preserve">creator473@mail.example</t>
  </si>
  <si>
    <t xml:space="preserve">creator475@mail.example</t>
  </si>
  <si>
    <t xml:space="preserve">creator476@mail.example</t>
  </si>
  <si>
    <t xml:space="preserve">Creator 477</t>
  </si>
  <si>
    <t xml:space="preserve">creator477@mail.example</t>
  </si>
  <si>
    <t xml:space="preserve">creator480@mail.example</t>
  </si>
  <si>
    <t xml:space="preserve">creator481@mail.example</t>
  </si>
  <si>
    <t xml:space="preserve">creator483@mail.example</t>
  </si>
  <si>
    <t xml:space="preserve">creator485@mail.example</t>
  </si>
  <si>
    <t xml:space="preserve">Creator 487</t>
  </si>
  <si>
    <t xml:space="preserve">creator487@mail.example</t>
  </si>
  <si>
    <t xml:space="preserve">creator488@mail.example</t>
  </si>
  <si>
    <t xml:space="preserve">creator489@mail.example</t>
  </si>
  <si>
    <t xml:space="preserve">creator491@mail.example</t>
  </si>
  <si>
    <t xml:space="preserve">creator494@mail.example</t>
  </si>
  <si>
    <t xml:space="preserve">creator495@mail.example</t>
  </si>
  <si>
    <t xml:space="preserve">creator497@mail.example</t>
  </si>
  <si>
    <t xml:space="preserve">creator501@mail.example</t>
  </si>
  <si>
    <t xml:space="preserve">creator502@mail.example</t>
  </si>
  <si>
    <t xml:space="preserve">creator504@mail.example</t>
  </si>
  <si>
    <t xml:space="preserve">creator505@mail.example</t>
  </si>
  <si>
    <t xml:space="preserve">creator508@mail.example</t>
  </si>
  <si>
    <t xml:space="preserve">creator509@mail.example</t>
  </si>
  <si>
    <t xml:space="preserve">creator510@mail.example</t>
  </si>
  <si>
    <t xml:space="preserve">creator511@mail.example</t>
  </si>
  <si>
    <t xml:space="preserve">creator515@mail.example</t>
  </si>
  <si>
    <t xml:space="preserve">Creator 517</t>
  </si>
  <si>
    <t xml:space="preserve">creator517@mail.example</t>
  </si>
  <si>
    <t xml:space="preserve">creator518@mail.example</t>
  </si>
  <si>
    <t xml:space="preserve">creator519@mail.example</t>
  </si>
  <si>
    <t xml:space="preserve">creator520@mail.example</t>
  </si>
  <si>
    <t xml:space="preserve">creator522@mail.example</t>
  </si>
  <si>
    <t xml:space="preserve">creator523@mail.example</t>
  </si>
  <si>
    <t xml:space="preserve">creator525@mail.example</t>
  </si>
  <si>
    <t xml:space="preserve">creator526@mail.example</t>
  </si>
  <si>
    <t xml:space="preserve">creator527@mail.example</t>
  </si>
  <si>
    <t xml:space="preserve">Creator 528</t>
  </si>
  <si>
    <t xml:space="preserve">creator528@mail.example</t>
  </si>
  <si>
    <t xml:space="preserve">creator529@mail.example</t>
  </si>
  <si>
    <t xml:space="preserve">creator530@mail.example</t>
  </si>
  <si>
    <t xml:space="preserve">creator533@mail.example</t>
  </si>
  <si>
    <t xml:space="preserve">creator535@mail.example</t>
  </si>
  <si>
    <t xml:space="preserve">Creator 538</t>
  </si>
  <si>
    <t xml:space="preserve">creator538@mail.example</t>
  </si>
  <si>
    <t xml:space="preserve">creator539@mail.example</t>
  </si>
  <si>
    <t xml:space="preserve">creator540@mail.example</t>
  </si>
  <si>
    <t xml:space="preserve">creator544@mail.example</t>
  </si>
  <si>
    <t xml:space="preserve">creator546@mail.example</t>
  </si>
  <si>
    <t xml:space="preserve">creator550@mail.example</t>
  </si>
  <si>
    <t xml:space="preserve">creator551@mail.example</t>
  </si>
  <si>
    <t xml:space="preserve">creator552@mail.example</t>
  </si>
  <si>
    <t xml:space="preserve">creator553@mail.example</t>
  </si>
  <si>
    <t xml:space="preserve">creator555@mail.example</t>
  </si>
  <si>
    <t xml:space="preserve">creator557@mail.example</t>
  </si>
  <si>
    <t xml:space="preserve">creator559@mail.example</t>
  </si>
  <si>
    <t xml:space="preserve">creator566@mail.example</t>
  </si>
  <si>
    <t xml:space="preserve">creator568@mail.example</t>
  </si>
  <si>
    <t xml:space="preserve">creator569@mail.example</t>
  </si>
  <si>
    <t xml:space="preserve">creator570@mail.example</t>
  </si>
  <si>
    <t xml:space="preserve">creator571@mail.example</t>
  </si>
  <si>
    <t xml:space="preserve">creator573@mail.example</t>
  </si>
  <si>
    <t xml:space="preserve">creator574@mail.example</t>
  </si>
  <si>
    <t xml:space="preserve">creator576@mail.example</t>
  </si>
  <si>
    <t xml:space="preserve">creator577@mail.example</t>
  </si>
  <si>
    <t xml:space="preserve">creator579@mail.example</t>
  </si>
  <si>
    <t xml:space="preserve">creator581@mail.example</t>
  </si>
  <si>
    <t xml:space="preserve">creator582@mail.example</t>
  </si>
  <si>
    <t xml:space="preserve">creator584@mail.example</t>
  </si>
  <si>
    <t xml:space="preserve">creator587@mail.example</t>
  </si>
  <si>
    <t xml:space="preserve">creator588@mail.example</t>
  </si>
  <si>
    <t xml:space="preserve">creator589@mail.example</t>
  </si>
  <si>
    <t xml:space="preserve">creator591@mail.example</t>
  </si>
  <si>
    <t xml:space="preserve">creator593@mail.example</t>
  </si>
  <si>
    <t xml:space="preserve">Creator 594</t>
  </si>
  <si>
    <t xml:space="preserve">creator594@mail.example</t>
  </si>
  <si>
    <t xml:space="preserve">creator595@mail.example</t>
  </si>
  <si>
    <t xml:space="preserve">creator598@mail.example</t>
  </si>
  <si>
    <t xml:space="preserve">creator599@mail.example</t>
  </si>
  <si>
    <t xml:space="preserve">creator601@mail.example</t>
  </si>
  <si>
    <t xml:space="preserve">Creator 602</t>
  </si>
  <si>
    <t xml:space="preserve">creator602@mail.example</t>
  </si>
  <si>
    <t xml:space="preserve">creator604@mail.example</t>
  </si>
  <si>
    <t xml:space="preserve">creator605@mail.example</t>
  </si>
  <si>
    <t xml:space="preserve">creator610@mail.example</t>
  </si>
  <si>
    <t xml:space="preserve">creator613@mail.example</t>
  </si>
  <si>
    <t xml:space="preserve">creator615@mail.example</t>
  </si>
  <si>
    <t xml:space="preserve">creator616@mail.example</t>
  </si>
  <si>
    <t xml:space="preserve">creator620@mail.example</t>
  </si>
  <si>
    <t xml:space="preserve">creator621@mail.example</t>
  </si>
  <si>
    <t xml:space="preserve">creator622@mail.example</t>
  </si>
  <si>
    <t xml:space="preserve">creator623@mail.example</t>
  </si>
  <si>
    <t xml:space="preserve">creator624@mail.example</t>
  </si>
  <si>
    <t xml:space="preserve">creator625@mail.example</t>
  </si>
  <si>
    <t xml:space="preserve">creator627@mail.example</t>
  </si>
  <si>
    <t xml:space="preserve">creator630@mail.example</t>
  </si>
  <si>
    <t xml:space="preserve">Creator 631</t>
  </si>
  <si>
    <t xml:space="preserve">creator631@mail.example</t>
  </si>
  <si>
    <t xml:space="preserve">creator634@mail.example</t>
  </si>
  <si>
    <t xml:space="preserve">Creator 638</t>
  </si>
  <si>
    <t xml:space="preserve">creator638@mail.example</t>
  </si>
  <si>
    <t xml:space="preserve">creator639@mail.example</t>
  </si>
  <si>
    <t xml:space="preserve">creator641@mail.example</t>
  </si>
  <si>
    <t xml:space="preserve">Creator 655</t>
  </si>
  <si>
    <t xml:space="preserve">creator655@mail.example</t>
  </si>
  <si>
    <t xml:space="preserve">Creator 661</t>
  </si>
  <si>
    <t xml:space="preserve">creator661@mail.example</t>
  </si>
  <si>
    <t xml:space="preserve">creator662@mail.example</t>
  </si>
  <si>
    <t xml:space="preserve">creator663@mail.example</t>
  </si>
  <si>
    <t xml:space="preserve">creator668@mail.example</t>
  </si>
  <si>
    <t xml:space="preserve">creator669@mail.example</t>
  </si>
  <si>
    <t xml:space="preserve">creator670@mail.example</t>
  </si>
  <si>
    <t xml:space="preserve">creator673@mail.example</t>
  </si>
  <si>
    <t xml:space="preserve">creator674@mail.example</t>
  </si>
  <si>
    <t xml:space="preserve">creator680@mail.example</t>
  </si>
  <si>
    <t xml:space="preserve">creator681@mail.example</t>
  </si>
  <si>
    <t xml:space="preserve">creator684@mail.example</t>
  </si>
  <si>
    <t xml:space="preserve">creator685@mail.example</t>
  </si>
  <si>
    <t xml:space="preserve">creator686@mail.example</t>
  </si>
  <si>
    <t xml:space="preserve">creator687@mail.example</t>
  </si>
  <si>
    <t xml:space="preserve">creator688@mail.example</t>
  </si>
  <si>
    <t xml:space="preserve">creator689@mail.example</t>
  </si>
  <si>
    <t xml:space="preserve">creator690@mail.example</t>
  </si>
  <si>
    <t xml:space="preserve">Creator 691</t>
  </si>
  <si>
    <t xml:space="preserve">creator691@mail.example</t>
  </si>
  <si>
    <t xml:space="preserve">creator692@mail.example</t>
  </si>
  <si>
    <t xml:space="preserve">creator694@mail.example</t>
  </si>
  <si>
    <t xml:space="preserve">creator696@mail.example</t>
  </si>
  <si>
    <t xml:space="preserve">creator697@mail.example</t>
  </si>
  <si>
    <t xml:space="preserve">creator698@mail.example</t>
  </si>
  <si>
    <t xml:space="preserve">creator699@mail.example</t>
  </si>
  <si>
    <t xml:space="preserve">creator701@mail.example</t>
  </si>
  <si>
    <t xml:space="preserve">creator702@mail.example</t>
  </si>
  <si>
    <t xml:space="preserve">creator703@mail.example</t>
  </si>
  <si>
    <t xml:space="preserve">creator704@mail.example</t>
  </si>
  <si>
    <t xml:space="preserve">creator707@mail.example</t>
  </si>
  <si>
    <t xml:space="preserve">creator709@mail.example</t>
  </si>
  <si>
    <t xml:space="preserve">creator711@mail.example</t>
  </si>
  <si>
    <t xml:space="preserve">creator721@mail.example</t>
  </si>
  <si>
    <t xml:space="preserve">creator722@mail.example</t>
  </si>
  <si>
    <t xml:space="preserve">creator724@mail.example</t>
  </si>
  <si>
    <t xml:space="preserve">creator725@mail.example</t>
  </si>
  <si>
    <t xml:space="preserve">creator726@mail.example</t>
  </si>
  <si>
    <t xml:space="preserve">creator727@mail.example</t>
  </si>
  <si>
    <t xml:space="preserve">creator728@mail.example</t>
  </si>
  <si>
    <t xml:space="preserve">creator729@mail.example</t>
  </si>
  <si>
    <t xml:space="preserve">creator730@mail.example</t>
  </si>
  <si>
    <t xml:space="preserve">creator731@mail.example</t>
  </si>
  <si>
    <t xml:space="preserve">creator732@mail.example</t>
  </si>
  <si>
    <t xml:space="preserve">creator733@mail.example</t>
  </si>
  <si>
    <t xml:space="preserve">creator734@mail.example</t>
  </si>
  <si>
    <t xml:space="preserve">creator735@mail.example</t>
  </si>
  <si>
    <t xml:space="preserve">creator739@mail.example</t>
  </si>
  <si>
    <t xml:space="preserve">creator741@mail.example</t>
  </si>
  <si>
    <t xml:space="preserve">creator745@mail.example</t>
  </si>
  <si>
    <t xml:space="preserve">creator746@mail.example</t>
  </si>
  <si>
    <t xml:space="preserve">creator747@mail.example</t>
  </si>
  <si>
    <t xml:space="preserve">creator748@mail.example</t>
  </si>
  <si>
    <t xml:space="preserve">creator750@mail.example</t>
  </si>
  <si>
    <t xml:space="preserve">creator751@mail.example</t>
  </si>
  <si>
    <t xml:space="preserve">creator752@mail.example</t>
  </si>
  <si>
    <t xml:space="preserve">creator753@mail.example</t>
  </si>
  <si>
    <t xml:space="preserve">creator754@mail.example</t>
  </si>
  <si>
    <t xml:space="preserve">creator755@mail.example</t>
  </si>
  <si>
    <t xml:space="preserve">creator757@mail.example</t>
  </si>
  <si>
    <t xml:space="preserve">creator759@mail.example</t>
  </si>
  <si>
    <t xml:space="preserve">creator760@mail.example</t>
  </si>
  <si>
    <t xml:space="preserve">creator761@mail.example</t>
  </si>
  <si>
    <t xml:space="preserve">creator764@mail.example</t>
  </si>
  <si>
    <t xml:space="preserve">creator766@mail.example</t>
  </si>
  <si>
    <t xml:space="preserve">creator769@mail.example</t>
  </si>
  <si>
    <t xml:space="preserve">creator771@mail.example</t>
  </si>
  <si>
    <t xml:space="preserve">Creator 772</t>
  </si>
  <si>
    <t xml:space="preserve">creator779@mail.example</t>
  </si>
  <si>
    <t xml:space="preserve">creator781@mail.example</t>
  </si>
  <si>
    <t xml:space="preserve">creator785@mail.example</t>
  </si>
  <si>
    <t xml:space="preserve">creator786@mail.example</t>
  </si>
  <si>
    <t xml:space="preserve">creator 788</t>
  </si>
  <si>
    <t xml:space="preserve">creator788@mail.example</t>
  </si>
  <si>
    <t xml:space="preserve">creator789@mail.example</t>
  </si>
  <si>
    <t xml:space="preserve">creator791@mail.example</t>
  </si>
  <si>
    <t xml:space="preserve">creator795@mail.example</t>
  </si>
  <si>
    <t xml:space="preserve">Creator 796</t>
  </si>
  <si>
    <t xml:space="preserve">creator796@mail.example</t>
  </si>
  <si>
    <t xml:space="preserve">creator799@mail.example</t>
  </si>
  <si>
    <t xml:space="preserve">Creator 805</t>
  </si>
  <si>
    <t xml:space="preserve">creator805@mail.example</t>
  </si>
  <si>
    <t xml:space="preserve">creator806@mail.example</t>
  </si>
  <si>
    <t xml:space="preserve">creator808@mail.example</t>
  </si>
  <si>
    <t xml:space="preserve">creator809@mail.example</t>
  </si>
  <si>
    <t xml:space="preserve">creator810@mail.example</t>
  </si>
  <si>
    <t xml:space="preserve">creator811@mail.example</t>
  </si>
  <si>
    <t xml:space="preserve">Creator 812</t>
  </si>
  <si>
    <t xml:space="preserve">creator812@mail.example</t>
  </si>
  <si>
    <t xml:space="preserve">creator813@mail.example</t>
  </si>
  <si>
    <t xml:space="preserve">creator817@mail.example</t>
  </si>
  <si>
    <t xml:space="preserve">creator819@mail.example</t>
  </si>
  <si>
    <t xml:space="preserve">creator822@mail.example</t>
  </si>
  <si>
    <t xml:space="preserve">creator823@mail.example</t>
  </si>
  <si>
    <t xml:space="preserve">creator825@mail.example</t>
  </si>
  <si>
    <t xml:space="preserve">creator826@mail.example</t>
  </si>
  <si>
    <t xml:space="preserve">creator828@mail.example</t>
  </si>
  <si>
    <t xml:space="preserve">creator829@mail.example</t>
  </si>
  <si>
    <t xml:space="preserve">creator830@mail.example</t>
  </si>
  <si>
    <t xml:space="preserve">creator831@mail.example</t>
  </si>
  <si>
    <t xml:space="preserve">creator832@mail.example</t>
  </si>
  <si>
    <t xml:space="preserve">creator835@mail.example</t>
  </si>
  <si>
    <t xml:space="preserve">creator836@mail.example</t>
  </si>
  <si>
    <t xml:space="preserve">creator843@mail.example</t>
  </si>
  <si>
    <t xml:space="preserve">creator846@mail.example</t>
  </si>
  <si>
    <t xml:space="preserve">creator847@mail.example</t>
  </si>
  <si>
    <t xml:space="preserve">creator848@mail.example</t>
  </si>
  <si>
    <t xml:space="preserve">creator855@mail.example</t>
  </si>
  <si>
    <t xml:space="preserve">creator856@mail.example</t>
  </si>
  <si>
    <t xml:space="preserve">creator857@mail.example</t>
  </si>
  <si>
    <t xml:space="preserve">creator858@mail.example</t>
  </si>
  <si>
    <t xml:space="preserve">creator859@mail.example</t>
  </si>
  <si>
    <t xml:space="preserve">creator860@mail.example</t>
  </si>
  <si>
    <t xml:space="preserve">creator864@mail.example</t>
  </si>
  <si>
    <t xml:space="preserve">creator865@mail.example</t>
  </si>
  <si>
    <t xml:space="preserve">creator869@mail.example</t>
  </si>
  <si>
    <t xml:space="preserve">creator871@mail.example</t>
  </si>
  <si>
    <t xml:space="preserve">Creator 872</t>
  </si>
  <si>
    <t xml:space="preserve">creator872@mail.example</t>
  </si>
  <si>
    <t xml:space="preserve">creator873@mail.example</t>
  </si>
  <si>
    <t xml:space="preserve">creator874@mail.example</t>
  </si>
  <si>
    <t xml:space="preserve">creator875@mail.example</t>
  </si>
  <si>
    <t xml:space="preserve">creator876@mail.example</t>
  </si>
  <si>
    <t xml:space="preserve">creator878@mail.example</t>
  </si>
  <si>
    <t xml:space="preserve">creator880@mail.example</t>
  </si>
  <si>
    <t xml:space="preserve">creator881@mail.example</t>
  </si>
  <si>
    <t xml:space="preserve">creator882@mail.example</t>
  </si>
  <si>
    <t xml:space="preserve">creator883@mail.example</t>
  </si>
  <si>
    <t xml:space="preserve">creator887@mail.example</t>
  </si>
  <si>
    <t xml:space="preserve">creator889@mail.example</t>
  </si>
  <si>
    <t xml:space="preserve">creator891@mail.example</t>
  </si>
  <si>
    <t xml:space="preserve">creator892@mail.example</t>
  </si>
  <si>
    <t xml:space="preserve">creator895@mail.example</t>
  </si>
  <si>
    <t xml:space="preserve">creator897@mail.example</t>
  </si>
  <si>
    <t xml:space="preserve">creator899@mail.example</t>
  </si>
  <si>
    <t xml:space="preserve">creator901@mail.example</t>
  </si>
  <si>
    <t xml:space="preserve">creator902@mail.example</t>
  </si>
  <si>
    <t xml:space="preserve">Creator 907</t>
  </si>
  <si>
    <t xml:space="preserve">creator907@mail.example</t>
  </si>
  <si>
    <t xml:space="preserve">creator908@mail.example</t>
  </si>
  <si>
    <t xml:space="preserve">Creator 909</t>
  </si>
  <si>
    <t xml:space="preserve">creator909@mail.example</t>
  </si>
  <si>
    <t xml:space="preserve">creator911@mail.example</t>
  </si>
  <si>
    <t xml:space="preserve">creator914@mail.example</t>
  </si>
  <si>
    <t xml:space="preserve">Creator 915</t>
  </si>
  <si>
    <t xml:space="preserve">creator916@mail.example</t>
  </si>
  <si>
    <t xml:space="preserve">creator919@mail.example</t>
  </si>
  <si>
    <t xml:space="preserve">creator923@mail.example</t>
  </si>
  <si>
    <t xml:space="preserve">Creator 924</t>
  </si>
  <si>
    <t xml:space="preserve">creator924@mail.example</t>
  </si>
  <si>
    <t xml:space="preserve">creator927@mail.example</t>
  </si>
  <si>
    <t xml:space="preserve">creator928@mail.example</t>
  </si>
  <si>
    <t xml:space="preserve">Creator 931</t>
  </si>
  <si>
    <t xml:space="preserve">creator931@mail.example</t>
  </si>
  <si>
    <t xml:space="preserve">creator934@mail.example</t>
  </si>
  <si>
    <t xml:space="preserve">creator935@mail.example</t>
  </si>
  <si>
    <t xml:space="preserve">creator936@mail.example</t>
  </si>
  <si>
    <t xml:space="preserve">creator937@mail.example</t>
  </si>
  <si>
    <t xml:space="preserve">creator938@mail.example</t>
  </si>
  <si>
    <t xml:space="preserve">creator939@mail.example</t>
  </si>
  <si>
    <t xml:space="preserve">creator940@mail.example</t>
  </si>
  <si>
    <t xml:space="preserve">creator942@mail.example</t>
  </si>
  <si>
    <t xml:space="preserve">creator949@mail.example</t>
  </si>
  <si>
    <t xml:space="preserve">creator950@mail.example</t>
  </si>
  <si>
    <t xml:space="preserve">creator952@mail.example</t>
  </si>
  <si>
    <t xml:space="preserve">creator953@mail.example</t>
  </si>
  <si>
    <t xml:space="preserve">creator955@mail.example</t>
  </si>
  <si>
    <t xml:space="preserve">creator956@mail.example</t>
  </si>
  <si>
    <t xml:space="preserve">creator959@mail.example</t>
  </si>
  <si>
    <t xml:space="preserve">creator962@mail.example</t>
  </si>
  <si>
    <t xml:space="preserve">creator966@mail.example</t>
  </si>
  <si>
    <t xml:space="preserve">creator967@mail.example</t>
  </si>
  <si>
    <t xml:space="preserve">creator969@mail.example</t>
  </si>
  <si>
    <t xml:space="preserve">creator970@mail.example</t>
  </si>
  <si>
    <t xml:space="preserve">creator971@mail.example</t>
  </si>
  <si>
    <t xml:space="preserve">creator975@mail.example</t>
  </si>
  <si>
    <t xml:space="preserve">creator976@mail.example</t>
  </si>
  <si>
    <t xml:space="preserve">creator977@mail.example</t>
  </si>
  <si>
    <t xml:space="preserve">Creator 978</t>
  </si>
  <si>
    <t xml:space="preserve">creator978@mail.example</t>
  </si>
  <si>
    <t xml:space="preserve">creator979@mail.example</t>
  </si>
  <si>
    <t xml:space="preserve">creator983@mail.example</t>
  </si>
  <si>
    <t xml:space="preserve">creator985@mail.example</t>
  </si>
  <si>
    <t xml:space="preserve">Creator 986</t>
  </si>
  <si>
    <t xml:space="preserve">creator986@mail.example</t>
  </si>
  <si>
    <t xml:space="preserve">creator990@mail.example</t>
  </si>
  <si>
    <t xml:space="preserve">creator991@mail.example</t>
  </si>
  <si>
    <t xml:space="preserve">creator992@mail.example</t>
  </si>
  <si>
    <t xml:space="preserve">creator995@mail.example</t>
  </si>
  <si>
    <t xml:space="preserve">Creator 998</t>
  </si>
  <si>
    <t xml:space="preserve">creator998@mail.example</t>
  </si>
  <si>
    <t xml:space="preserve">creator999@mail.example</t>
  </si>
  <si>
    <t xml:space="preserve">creator1000@mail.example</t>
  </si>
  <si>
    <t xml:space="preserve">Creator 1001</t>
  </si>
  <si>
    <t xml:space="preserve">creator1001@mail.example</t>
  </si>
  <si>
    <t xml:space="preserve">creator1002@mail.example</t>
  </si>
  <si>
    <t xml:space="preserve">creator1003@mail.example</t>
  </si>
  <si>
    <t xml:space="preserve">creator1004@mail.example</t>
  </si>
  <si>
    <t xml:space="preserve">creator1005@mail.example</t>
  </si>
  <si>
    <t xml:space="preserve">Creator 1006</t>
  </si>
  <si>
    <t xml:space="preserve">creator1006@mail.example</t>
  </si>
  <si>
    <t xml:space="preserve">creator1008@mail.example</t>
  </si>
  <si>
    <t xml:space="preserve">Creator 1009</t>
  </si>
  <si>
    <t xml:space="preserve">creator1009@mail.example</t>
  </si>
  <si>
    <t xml:space="preserve">creator1011@mail.example</t>
  </si>
  <si>
    <t xml:space="preserve">creator1013@mail.example</t>
  </si>
  <si>
    <t xml:space="preserve">creator1016@mail.example</t>
  </si>
  <si>
    <t xml:space="preserve">creator1017@mail.example</t>
  </si>
  <si>
    <t xml:space="preserve">creator1023@mail.example</t>
  </si>
  <si>
    <t xml:space="preserve">creator1025@mail.example</t>
  </si>
  <si>
    <t xml:space="preserve">Creator 1029</t>
  </si>
  <si>
    <t xml:space="preserve">creator1029@mail.example</t>
  </si>
  <si>
    <t xml:space="preserve">creator1030@mail.example</t>
  </si>
  <si>
    <t xml:space="preserve">creator1031@mail.example</t>
  </si>
  <si>
    <t xml:space="preserve">creator1034@mail.example</t>
  </si>
  <si>
    <t xml:space="preserve">creator1035@mail.example</t>
  </si>
  <si>
    <t xml:space="preserve">creator1037@mail.example</t>
  </si>
  <si>
    <t xml:space="preserve">creator1039@mail.example</t>
  </si>
  <si>
    <t xml:space="preserve">creator1046@mail.example</t>
  </si>
  <si>
    <t xml:space="preserve">creator1047@mail.example</t>
  </si>
  <si>
    <t xml:space="preserve">creator1049@mail.example</t>
  </si>
  <si>
    <t xml:space="preserve">creator1050@mail.example</t>
  </si>
  <si>
    <t xml:space="preserve">creator1051@mail.example</t>
  </si>
  <si>
    <t xml:space="preserve">creator1054@mail.example</t>
  </si>
  <si>
    <t xml:space="preserve">creator1055@mail.example</t>
  </si>
  <si>
    <t xml:space="preserve">creator1056@mail.example</t>
  </si>
  <si>
    <t xml:space="preserve">creator1057@mail.example</t>
  </si>
  <si>
    <t xml:space="preserve">creator1059@mail.example</t>
  </si>
  <si>
    <t xml:space="preserve">Creator 1060</t>
  </si>
  <si>
    <t xml:space="preserve">creator1060@mail.example</t>
  </si>
  <si>
    <t xml:space="preserve">creator1061@mail.example</t>
  </si>
  <si>
    <t xml:space="preserve">creator1064@mail.example</t>
  </si>
  <si>
    <t xml:space="preserve">creator1071@mail.example</t>
  </si>
  <si>
    <t xml:space="preserve">creator1073@mail.example</t>
  </si>
  <si>
    <t xml:space="preserve">creator1077@mail.example</t>
  </si>
  <si>
    <t xml:space="preserve">creator1078@mail.example</t>
  </si>
  <si>
    <t xml:space="preserve">creator1079@mail.example</t>
  </si>
  <si>
    <t xml:space="preserve">creator1081@mail.example</t>
  </si>
  <si>
    <t xml:space="preserve">creator1084@mail.example</t>
  </si>
  <si>
    <t xml:space="preserve">creator1085@mail.example</t>
  </si>
  <si>
    <t xml:space="preserve">creator1086@mail.example</t>
  </si>
  <si>
    <t xml:space="preserve">creator1088@mail.example</t>
  </si>
  <si>
    <t xml:space="preserve">creator1091@mail.example</t>
  </si>
  <si>
    <t xml:space="preserve">creator1092@mail.example</t>
  </si>
  <si>
    <t xml:space="preserve">creator1093@mail.example</t>
  </si>
  <si>
    <t xml:space="preserve">creator1096@mail.example</t>
  </si>
  <si>
    <t xml:space="preserve">creator1100@mail.example</t>
  </si>
  <si>
    <t xml:space="preserve">creator1101@mail.example</t>
  </si>
  <si>
    <t xml:space="preserve">creator1102@mail.example</t>
  </si>
  <si>
    <t xml:space="preserve">creator1103@mail.example</t>
  </si>
  <si>
    <t xml:space="preserve">creator1105@mail.example</t>
  </si>
  <si>
    <t xml:space="preserve">creator1106@mail.example</t>
  </si>
  <si>
    <t xml:space="preserve">creator1108@mail.example</t>
  </si>
  <si>
    <t xml:space="preserve">creator1109@mail.example</t>
  </si>
  <si>
    <t xml:space="preserve">creator1111@mail.example</t>
  </si>
  <si>
    <t xml:space="preserve">creator1112@mail.example</t>
  </si>
  <si>
    <t xml:space="preserve">creator1118@mail.example</t>
  </si>
  <si>
    <t xml:space="preserve">creator1119@mail.example</t>
  </si>
  <si>
    <t xml:space="preserve">creator1121@mail.example</t>
  </si>
  <si>
    <t xml:space="preserve">creator1123@mail.example</t>
  </si>
  <si>
    <t xml:space="preserve">creator1129@mail.example</t>
  </si>
  <si>
    <t xml:space="preserve">creator1130@mail.example</t>
  </si>
  <si>
    <t xml:space="preserve">creator1132@mail.example</t>
  </si>
  <si>
    <t xml:space="preserve">creator1134@mail.example</t>
  </si>
  <si>
    <t xml:space="preserve">creator1136@mail.example</t>
  </si>
  <si>
    <t xml:space="preserve">creator1138@mail.example</t>
  </si>
  <si>
    <t xml:space="preserve">creator1140@mail.example</t>
  </si>
  <si>
    <t xml:space="preserve">creator1143@mail.example</t>
  </si>
  <si>
    <t xml:space="preserve">creator1144@mail.example</t>
  </si>
  <si>
    <t xml:space="preserve">creator1145@mail.example</t>
  </si>
  <si>
    <t xml:space="preserve">creator1146@mail.example</t>
  </si>
  <si>
    <t xml:space="preserve">creator1147@mail.example</t>
  </si>
  <si>
    <t xml:space="preserve">creator1148@mail.example</t>
  </si>
  <si>
    <t xml:space="preserve">Creator 1149</t>
  </si>
  <si>
    <t xml:space="preserve">creator1149@mail.example</t>
  </si>
  <si>
    <t xml:space="preserve">Creator 1151</t>
  </si>
  <si>
    <t xml:space="preserve">creator1151@mail.example</t>
  </si>
  <si>
    <t xml:space="preserve">Creator 1152</t>
  </si>
  <si>
    <t xml:space="preserve">creator1152@mail.example</t>
  </si>
  <si>
    <t xml:space="preserve">creator1156@mail.example</t>
  </si>
  <si>
    <t xml:space="preserve">Creator 1160</t>
  </si>
  <si>
    <t xml:space="preserve">creator1160@mail.example</t>
  </si>
  <si>
    <t xml:space="preserve">creator1165@mail.example</t>
  </si>
  <si>
    <t xml:space="preserve">creator1168@mail.example</t>
  </si>
  <si>
    <t xml:space="preserve">creator1172@mail.example</t>
  </si>
  <si>
    <t xml:space="preserve">creator1174@mail.example</t>
  </si>
  <si>
    <t xml:space="preserve">creator1175@mail.example</t>
  </si>
  <si>
    <t xml:space="preserve">Creator 1178</t>
  </si>
  <si>
    <t xml:space="preserve">creator1178@mail.example</t>
  </si>
  <si>
    <t xml:space="preserve">Creator 1179</t>
  </si>
  <si>
    <t xml:space="preserve">creator1179@mail.example</t>
  </si>
  <si>
    <t xml:space="preserve">creator1181@mail.example</t>
  </si>
  <si>
    <t xml:space="preserve">creator1184@mail.example</t>
  </si>
  <si>
    <t xml:space="preserve">creator1187@mail.example</t>
  </si>
  <si>
    <t xml:space="preserve">creator1189@mail.example</t>
  </si>
  <si>
    <t xml:space="preserve">creator1191@mail.example</t>
  </si>
  <si>
    <t xml:space="preserve">creator1193@mail.example</t>
  </si>
  <si>
    <t xml:space="preserve">creator1194@mail.example</t>
  </si>
  <si>
    <t xml:space="preserve">creator1199@mail.example</t>
  </si>
  <si>
    <t xml:space="preserve">creator1200@mail.example</t>
  </si>
  <si>
    <t xml:space="preserve">creator1201@mail.example</t>
  </si>
  <si>
    <t xml:space="preserve">creator1204@mail.example</t>
  </si>
  <si>
    <t xml:space="preserve">Creator 1205</t>
  </si>
  <si>
    <t xml:space="preserve">creator1205@mail.example</t>
  </si>
  <si>
    <t xml:space="preserve">Creator 1207</t>
  </si>
  <si>
    <t xml:space="preserve">creator1207@mail.example</t>
  </si>
  <si>
    <t xml:space="preserve">creator1208@mail.example</t>
  </si>
  <si>
    <t xml:space="preserve">creator1213@mail.example</t>
  </si>
  <si>
    <t xml:space="preserve">creator1215@mail.example</t>
  </si>
  <si>
    <t xml:space="preserve">creator1217@mail.example</t>
  </si>
  <si>
    <t xml:space="preserve">Creator 1218</t>
  </si>
  <si>
    <t xml:space="preserve">creator1218@mail.example</t>
  </si>
  <si>
    <t xml:space="preserve">Creator 1219</t>
  </si>
  <si>
    <t xml:space="preserve">creator1219@mail.example</t>
  </si>
  <si>
    <t xml:space="preserve">creator1220@mail.example</t>
  </si>
  <si>
    <t xml:space="preserve">creator1222@mail.example</t>
  </si>
  <si>
    <t xml:space="preserve">creator1223@mail.example</t>
  </si>
  <si>
    <t xml:space="preserve">creator1224@mail.example</t>
  </si>
  <si>
    <t xml:space="preserve">creator1227@mail.example</t>
  </si>
  <si>
    <t xml:space="preserve">creator1228@mail.example</t>
  </si>
  <si>
    <t xml:space="preserve">creator1229@mail.example</t>
  </si>
  <si>
    <t xml:space="preserve">creator1231@mail.example</t>
  </si>
  <si>
    <t xml:space="preserve">Creator 1232</t>
  </si>
  <si>
    <t xml:space="preserve">creator1232@mail.example</t>
  </si>
  <si>
    <t xml:space="preserve">creator1233@mail.example</t>
  </si>
  <si>
    <t xml:space="preserve">creator1235@mail.example</t>
  </si>
  <si>
    <t xml:space="preserve">creator1236@mail.example</t>
  </si>
  <si>
    <t xml:space="preserve">creator1239@mail.example</t>
  </si>
  <si>
    <t xml:space="preserve">creator1240@mail.example</t>
  </si>
  <si>
    <t xml:space="preserve">creator1241@mail.example</t>
  </si>
  <si>
    <t xml:space="preserve">creator1243@mail.example</t>
  </si>
  <si>
    <t xml:space="preserve">creator1246@mail.example</t>
  </si>
  <si>
    <t xml:space="preserve">creator1248@mail.example</t>
  </si>
  <si>
    <t xml:space="preserve">creator1249@mail.example</t>
  </si>
  <si>
    <t xml:space="preserve">creator1253@mail.example</t>
  </si>
  <si>
    <t xml:space="preserve">creator1254@mail.example</t>
  </si>
  <si>
    <t xml:space="preserve">creator1255@mail.example</t>
  </si>
  <si>
    <t xml:space="preserve">creator1257@mail.example</t>
  </si>
  <si>
    <t xml:space="preserve">creator1263@mail.example</t>
  </si>
  <si>
    <t xml:space="preserve">creator1266@mail.example</t>
  </si>
  <si>
    <t xml:space="preserve">creator1268@mail.example</t>
  </si>
  <si>
    <t xml:space="preserve">creator1269@mail.example</t>
  </si>
  <si>
    <t xml:space="preserve">creator1270@mail.example</t>
  </si>
  <si>
    <t xml:space="preserve">creator1274@mail.example</t>
  </si>
  <si>
    <t xml:space="preserve">creator1276@mail.example</t>
  </si>
  <si>
    <t xml:space="preserve">creator1283@mail.example</t>
  </si>
  <si>
    <t xml:space="preserve">creator1284@mail.example</t>
  </si>
  <si>
    <t xml:space="preserve">creator1285@mail.example</t>
  </si>
  <si>
    <t xml:space="preserve">creator1287@mail.example</t>
  </si>
  <si>
    <t xml:space="preserve">creator1290@mail.example</t>
  </si>
  <si>
    <t xml:space="preserve">creator1291@mail.example</t>
  </si>
  <si>
    <t xml:space="preserve">creator1295@mail.example</t>
  </si>
  <si>
    <t xml:space="preserve">creator1296@mail.example</t>
  </si>
  <si>
    <t xml:space="preserve">creator1297@mail.example</t>
  </si>
  <si>
    <t xml:space="preserve">creator1298@mail.example</t>
  </si>
  <si>
    <t xml:space="preserve">creator1300@mail.example</t>
  </si>
  <si>
    <t xml:space="preserve">creator1301@mail.example</t>
  </si>
  <si>
    <t xml:space="preserve">creator1302@mail.example</t>
  </si>
  <si>
    <t xml:space="preserve">creator1303@mail.example</t>
  </si>
  <si>
    <t xml:space="preserve">creator1305@mail.example</t>
  </si>
  <si>
    <t xml:space="preserve">creator1307@mail.example</t>
  </si>
  <si>
    <t xml:space="preserve">creator1309@mail.example</t>
  </si>
  <si>
    <t xml:space="preserve">creator1312@mail.example</t>
  </si>
  <si>
    <t xml:space="preserve">creator1313@mail.example</t>
  </si>
  <si>
    <t xml:space="preserve">creator1314@mail.example</t>
  </si>
  <si>
    <t xml:space="preserve">creator1316@mail.example</t>
  </si>
  <si>
    <t xml:space="preserve">creator1321@mail.example</t>
  </si>
  <si>
    <t xml:space="preserve">creator1322@mail.example</t>
  </si>
  <si>
    <t xml:space="preserve">Creator 1323</t>
  </si>
  <si>
    <t xml:space="preserve">creator1323@mail.example</t>
  </si>
  <si>
    <t xml:space="preserve">creator1324@mail.example</t>
  </si>
  <si>
    <t xml:space="preserve">creator1325@mail.example</t>
  </si>
  <si>
    <t xml:space="preserve">creator1327@mail.example</t>
  </si>
  <si>
    <t xml:space="preserve">creator1329@mail.example</t>
  </si>
  <si>
    <t xml:space="preserve">creator1331@mail.example</t>
  </si>
  <si>
    <t xml:space="preserve">creator1332@mail.example</t>
  </si>
  <si>
    <t xml:space="preserve">creator1334@mail.example</t>
  </si>
  <si>
    <t xml:space="preserve">creator1337@mail.example</t>
  </si>
  <si>
    <t xml:space="preserve">creator1341@mail.example</t>
  </si>
  <si>
    <t xml:space="preserve">Creator 1342</t>
  </si>
  <si>
    <t xml:space="preserve">creator1343@mail.example</t>
  </si>
  <si>
    <t xml:space="preserve">Creator 1345</t>
  </si>
  <si>
    <t xml:space="preserve">creator1345@mail.example</t>
  </si>
  <si>
    <t xml:space="preserve">creator1347@mail.example</t>
  </si>
  <si>
    <t xml:space="preserve">creator1349@mail.example</t>
  </si>
  <si>
    <t xml:space="preserve">creator1350@mail.example</t>
  </si>
  <si>
    <t xml:space="preserve">creator1352@mail.example</t>
  </si>
  <si>
    <t xml:space="preserve">creator1354@mail.example</t>
  </si>
  <si>
    <t xml:space="preserve">creator1355@mail.example</t>
  </si>
  <si>
    <t xml:space="preserve">Creator 1356</t>
  </si>
  <si>
    <t xml:space="preserve">creator1356@mail.example</t>
  </si>
  <si>
    <t xml:space="preserve">creator1359@mail.example</t>
  </si>
  <si>
    <t xml:space="preserve">creator1362@mail.example</t>
  </si>
  <si>
    <t xml:space="preserve">Creator 1364</t>
  </si>
  <si>
    <t xml:space="preserve">creator1364@mail.example</t>
  </si>
  <si>
    <t xml:space="preserve">creator1365@mail.example</t>
  </si>
  <si>
    <t xml:space="preserve">creator1367@mail.example</t>
  </si>
  <si>
    <t xml:space="preserve">creator1371@mail.example</t>
  </si>
  <si>
    <t xml:space="preserve">creator1373@mail.example</t>
  </si>
  <si>
    <t xml:space="preserve">creator1374@mail.example</t>
  </si>
  <si>
    <t xml:space="preserve">creator1381@mail.example</t>
  </si>
  <si>
    <t xml:space="preserve">creator1383@mail.example</t>
  </si>
  <si>
    <t xml:space="preserve">creator1384@mail.example</t>
  </si>
  <si>
    <t xml:space="preserve">creator1386@mail.example</t>
  </si>
  <si>
    <t xml:space="preserve">creator1387@mail.example</t>
  </si>
  <si>
    <t xml:space="preserve">Creator 1388</t>
  </si>
  <si>
    <t xml:space="preserve">creator1388@mail.example</t>
  </si>
  <si>
    <t xml:space="preserve">creator1393@mail.example</t>
  </si>
  <si>
    <t xml:space="preserve">creator1394@mail.example</t>
  </si>
  <si>
    <t xml:space="preserve">creator1395@mail.example</t>
  </si>
  <si>
    <t xml:space="preserve">creator1396@mail.example</t>
  </si>
  <si>
    <t xml:space="preserve">Creator 1397</t>
  </si>
  <si>
    <t xml:space="preserve">Creator 1398</t>
  </si>
  <si>
    <t xml:space="preserve">creator1398@mail.example</t>
  </si>
  <si>
    <t xml:space="preserve">creator1399@mail.example</t>
  </si>
  <si>
    <t xml:space="preserve">creator1402@mail.example</t>
  </si>
  <si>
    <t xml:space="preserve">creator1406@mail.example</t>
  </si>
  <si>
    <t xml:space="preserve">creator1408@mail.example</t>
  </si>
  <si>
    <t xml:space="preserve">creator1409@mail.example</t>
  </si>
  <si>
    <t xml:space="preserve">creator1412@mail.example</t>
  </si>
  <si>
    <t xml:space="preserve">creator1415@mail.example</t>
  </si>
  <si>
    <t xml:space="preserve">creator1419@mail.example</t>
  </si>
  <si>
    <t xml:space="preserve">creator1424@mail.example</t>
  </si>
  <si>
    <t xml:space="preserve">creator1427@mail.example</t>
  </si>
  <si>
    <t xml:space="preserve">Creator 1429</t>
  </si>
  <si>
    <t xml:space="preserve">creator1429@mail.example</t>
  </si>
  <si>
    <t xml:space="preserve">creator1430@mail.example</t>
  </si>
  <si>
    <t xml:space="preserve">creator1432@mail.example</t>
  </si>
  <si>
    <t xml:space="preserve">creator1436@mail.example</t>
  </si>
  <si>
    <t xml:space="preserve">creator1437@mail.example</t>
  </si>
  <si>
    <t xml:space="preserve">creator1438@mail.example</t>
  </si>
  <si>
    <t xml:space="preserve">creator1442@mail.example</t>
  </si>
  <si>
    <t xml:space="preserve">creator1447@mail.example</t>
  </si>
  <si>
    <t xml:space="preserve">creator1448@mail.example</t>
  </si>
  <si>
    <t xml:space="preserve">creator1449@mail.example</t>
  </si>
  <si>
    <t xml:space="preserve">creator1454@mail.example</t>
  </si>
  <si>
    <t xml:space="preserve">creator1455@mail.example</t>
  </si>
  <si>
    <t xml:space="preserve">creator1458@mail.example</t>
  </si>
  <si>
    <t xml:space="preserve">creator1461@mail.example</t>
  </si>
  <si>
    <t xml:space="preserve">creator1462@mail.example</t>
  </si>
  <si>
    <t xml:space="preserve">creator1463@mail.example</t>
  </si>
  <si>
    <t xml:space="preserve">creator1469@mail.example</t>
  </si>
  <si>
    <t xml:space="preserve">creator1470@mail.example</t>
  </si>
  <si>
    <t xml:space="preserve">creator1472@mail.example</t>
  </si>
  <si>
    <t xml:space="preserve">Creator 1474</t>
  </si>
  <si>
    <t xml:space="preserve">creator1474@mail.example</t>
  </si>
  <si>
    <t xml:space="preserve">creator1475@mail.example</t>
  </si>
  <si>
    <t xml:space="preserve">creator1477@mail.example</t>
  </si>
  <si>
    <t xml:space="preserve">Creator 1478</t>
  </si>
  <si>
    <t xml:space="preserve">creator1478@mail.example</t>
  </si>
  <si>
    <t xml:space="preserve">Creator 1479</t>
  </si>
  <si>
    <t xml:space="preserve">creator1479@mail.example</t>
  </si>
  <si>
    <t xml:space="preserve">creator1481@mail.example</t>
  </si>
  <si>
    <t xml:space="preserve">creator1482@mail.example</t>
  </si>
  <si>
    <t xml:space="preserve">creator1483@mail.example</t>
  </si>
  <si>
    <t xml:space="preserve">creator1484@mail.example</t>
  </si>
  <si>
    <t xml:space="preserve">creator1485@mail.example</t>
  </si>
  <si>
    <t xml:space="preserve">creator1489@mail.example</t>
  </si>
  <si>
    <t xml:space="preserve">creator1490@mail.example</t>
  </si>
  <si>
    <t xml:space="preserve">creator1492@mail.example</t>
  </si>
  <si>
    <t xml:space="preserve">creator1495@mail.example</t>
  </si>
  <si>
    <t xml:space="preserve">The three metrics and how their caveats are handled</t>
  </si>
  <si>
    <t xml:space="preserve">Theme</t>
  </si>
  <si>
    <t xml:space="preserve">Metric</t>
  </si>
  <si>
    <t xml:space="preserve">Formula</t>
  </si>
  <si>
    <t xml:space="preserve">Compared within</t>
  </si>
  <si>
    <t xml:space="preserve">Plausible range</t>
  </si>
  <si>
    <t xml:space="preserve">Caveat and how it is handled</t>
  </si>
  <si>
    <t xml:space="preserve">Attention</t>
  </si>
  <si>
    <t xml:space="preserve">Creators who drive awareness and visibility</t>
  </si>
  <si>
    <t xml:space="preserve">views_90d / follower_count</t>
  </si>
  <si>
    <t xml:space="preserve">platform</t>
  </si>
  <si>
    <t xml:space="preserve">0 to 100</t>
  </si>
  <si>
    <t xml:space="preserve">Favours accounts that publish video. Each channel is compared only with others on the same platform (TikTok views run far higher than Instagram), so an IG account is judged against IG.</t>
  </si>
  <si>
    <t xml:space="preserve">Affiliation</t>
  </si>
  <si>
    <t xml:space="preserve">Creators who establish credibility and in-the-know appeal</t>
  </si>
  <si>
    <t xml:space="preserve">net_new_followers_90d / (follower_count - net_new_followers_90d)</t>
  </si>
  <si>
    <t xml:space="preserve">platform + size band</t>
  </si>
  <si>
    <t xml:space="preserve">-0.9 to 20</t>
  </si>
  <si>
    <t xml:space="preserve">Favours small accounts gaining traction. Compared within platform AND follower-size band (nano 0+, micro 10,000+, mid 100,000+, macro 1,000,000+); bands with fewer than 8 peers fall back to the whole platform.</t>
  </si>
  <si>
    <t xml:space="preserve">Action</t>
  </si>
  <si>
    <t xml:space="preserve">Creators who influence community participation and behavior</t>
  </si>
  <si>
    <t xml:space="preserve">(comments_90d + shares_90d + saves_90d) / (likes_90d + comments_90d + shares_90d + saves_90d)
youtube: (comments_90d + shares_90d) / (likes_90d + comments_90d + shares_90d)</t>
  </si>
  <si>
    <t xml:space="preserve">0 to 1</t>
  </si>
  <si>
    <t xml:space="preserve">Hidden likes would inflate the rate, so it is not computed for those accounts: marked n/a, not counted as missing, and the creator's Hub score uses their other channels. YouTube doesn't publish saves, so its formula leaves saves out.</t>
  </si>
  <si>
    <t xml:space="preserve">• All inputs are 90-day totals from the vendor record. A metric's inputs always come from the same vendor record; the metric itself is then filled tier by tier.</t>
  </si>
  <si>
    <t xml:space="preserve">• Values outside the plausible range are treated as bad vendor data and rejected (counted in Vendor QA → validity).</t>
  </si>
  <si>
    <t xml:space="preserve">• Percentiles are relative to this run's requested channels, so scores compare creators within a request, not against an external benchmark.</t>
  </si>
  <si>
    <t xml:space="preserve">Vendor QA scorecard — measured on requested channels only</t>
  </si>
  <si>
    <t xml:space="preserve">This month's score = SUMPRODUCT(weights, metrics). Blended = (1 − weight) × this month + weight × 3-month vendor reliability. Tier uses the blended score. Blue cells are inputs from config.yaml; changing them re-ranks this sheet only. Rerun the pipeline to refill the data.</t>
  </si>
  <si>
    <t xml:space="preserve">Weights →</t>
  </si>
  <si>
    <t xml:space="preserve">← must be 100%</t>
  </si>
  <si>
    <t xml:space="preserve">Quality floor →</t>
  </si>
  <si>
    <t xml:space="preserve">History weight →</t>
  </si>
  <si>
    <t xml:space="preserve">3-month reliability = 70% × average QA score + 30% × review accuracy over the last 3 months (QA average alone if no disputes were reviewed)</t>
  </si>
  <si>
    <t xml:space="preserve">Vendor</t>
  </si>
  <si>
    <t xml:space="preserve">Usable coverage</t>
  </si>
  <si>
    <t xml:space="preserve">Completeness</t>
  </si>
  <si>
    <t xml:space="preserve">Freshness</t>
  </si>
  <si>
    <t xml:space="preserve">Validity</t>
  </si>
  <si>
    <t xml:space="preserve">Consistency</t>
  </si>
  <si>
    <t xml:space="preserve">This month's score</t>
  </si>
  <si>
    <t xml:space="preserve">3-month reliability</t>
  </si>
  <si>
    <t xml:space="preserve">Months in window</t>
  </si>
  <si>
    <t xml:space="preserve">Blended score</t>
  </si>
  <si>
    <t xml:space="preserve">Tier</t>
  </si>
  <si>
    <t xml:space="preserve">QA average (3 mo)</t>
  </si>
  <si>
    <t xml:space="preserve">Review accuracy (3 mo)</t>
  </si>
  <si>
    <t xml:space="preserve">Disputes reviewed (3 mo)</t>
  </si>
  <si>
    <t xml:space="preserve">Vendor rows</t>
  </si>
  <si>
    <t xml:space="preserve">Rows not needed</t>
  </si>
  <si>
    <t xml:space="preserve">Duplicate rate</t>
  </si>
  <si>
    <t xml:space="preserve">Implausible values</t>
  </si>
  <si>
    <t xml:space="preserve">Format fixes</t>
  </si>
  <si>
    <t xml:space="preserve">The Pulse computable</t>
  </si>
  <si>
    <t xml:space="preserve">The Lens computable</t>
  </si>
  <si>
    <t xml:space="preserve">The Hub computable</t>
  </si>
  <si>
    <t xml:space="preserve">Fresh coverage by channel (share of requested channels of that type)</t>
  </si>
  <si>
    <t xml:space="preserve">Vendor quality by month (the memory behind the history weight)</t>
  </si>
  <si>
    <t xml:space="preserve">This month's score per vendor in each month processed so far, and the tier it got. Past months feed the blended score at the history weight on the Vendor QA tab.</t>
  </si>
  <si>
    <t xml:space="preserve">Month</t>
  </si>
  <si>
    <t xml:space="preserve">vendor_a score</t>
  </si>
  <si>
    <t xml:space="preserve">vendor_b score</t>
  </si>
  <si>
    <t xml:space="preserve">vendor_c score</t>
  </si>
  <si>
    <t xml:space="preserve">vendor_a tier</t>
  </si>
  <si>
    <t xml:space="preserve">vendor_b tier</t>
  </si>
  <si>
    <t xml:space="preserve">vendor_c tier</t>
  </si>
  <si>
    <t xml:space="preserve">2026-07</t>
  </si>
  <si>
    <t xml:space="preserve">2026-08</t>
  </si>
  <si>
    <t xml:space="preserve">What the pipeline has learned about each vendor's files</t>
  </si>
  <si>
    <t xml:space="preserve">Months seen</t>
  </si>
  <si>
    <t xml:space="preserve">Platform spellings</t>
  </si>
  <si>
    <t xml:space="preserve">File-name words</t>
  </si>
  <si>
    <t xml:space="preserve">Column names learned</t>
  </si>
  <si>
    <t xml:space="preserve">2026-07, 2026-08</t>
  </si>
  <si>
    <t xml:space="preserve">Instagram, TikTok, YouTube</t>
  </si>
  <si>
    <t xml:space="preserve">creator, vendora</t>
  </si>
  <si>
    <t xml:space="preserve">—</t>
  </si>
  <si>
    <t xml:space="preserve">IG, TT, YT</t>
  </si>
  <si>
    <t xml:space="preserve">social, vendorb</t>
  </si>
  <si>
    <t xml:space="preserve">INSTAGRAM, Instagram, TIKTOK, Tiktok, YOUTUBE, Youtube, instagram, tiktok, youtube</t>
  </si>
  <si>
    <t xml:space="preserve">book, vendorc</t>
  </si>
  <si>
    <t xml:space="preserve">Creator scores by month (requested creators this month)</t>
  </si>
  <si>
    <t xml:space="preserve">Channel = that channel's 0–100 score; 'all' = the creator's average over requested channels. Blank = not requested or not filled that month.</t>
  </si>
  <si>
    <t xml:space="preserve">all</t>
  </si>
  <si>
    <t xml:space="preserve">Waterfall progression</t>
  </si>
  <si>
    <t xml:space="preserve">Fill rates on the requested scope after each tier (n/a counts as filled)</t>
  </si>
  <si>
    <t xml:space="preserve">Measure</t>
  </si>
  <si>
    <t xml:space="preserve">After T1 (vendor_b)</t>
  </si>
  <si>
    <t xml:space="preserve">After T2 (vendor_a)</t>
  </si>
  <si>
    <t xml:space="preserve">After T3 (vendor_c)</t>
  </si>
  <si>
    <t xml:space="preserve">Cells filled by T1</t>
  </si>
  <si>
    <t xml:space="preserve">Cells filled by T2</t>
  </si>
  <si>
    <t xml:space="preserve">Cells filled by T3</t>
  </si>
  <si>
    <t xml:space="preserve">handle *</t>
  </si>
  <si>
    <t xml:space="preserve">follower_count *</t>
  </si>
  <si>
    <t xml:space="preserve">The Pulse (90d Reach Rate) *</t>
  </si>
  <si>
    <t xml:space="preserve">The Lens (90d Growth Rate) *</t>
  </si>
  <si>
    <t xml:space="preserve">The Hub (90d Meaningful Engagement Rate) *</t>
  </si>
  <si>
    <t xml:space="preserve">Total cells filled</t>
  </si>
  <si>
    <t xml:space="preserve">Requested channels complete, by channel</t>
  </si>
  <si>
    <t xml:space="preserve">instagram (628 requested)</t>
  </si>
  <si>
    <t xml:space="preserve">tiktok (636 requested)</t>
  </si>
  <si>
    <t xml:space="preserve">youtube (625 requested)</t>
  </si>
  <si>
    <t xml:space="preserve">All requested channels complete</t>
  </si>
  <si>
    <t xml:space="preserve">Creators complete (details + every requested channel)</t>
  </si>
  <si>
    <t xml:space="preserve">Target: every required field and metric ≥ 95%</t>
  </si>
  <si>
    <t xml:space="preserve">* required</t>
  </si>
  <si>
    <t xml:space="preserve">Still missing (required items only)</t>
  </si>
  <si>
    <t xml:space="preserve">Reasons name the vendor: stale data, a missing input for a metric, or an implausible value that was rejected.</t>
  </si>
  <si>
    <t xml:space="preserve">Level</t>
  </si>
  <si>
    <t xml:space="preserve">Missing</t>
  </si>
  <si>
    <t xml:space="preserve">Reason</t>
  </si>
  <si>
    <t xml:space="preserve">creator</t>
  </si>
  <si>
    <t xml:space="preserve">display_name</t>
  </si>
  <si>
    <t xml:space="preserve">Field empty or invalid in fresh data</t>
  </si>
  <si>
    <t xml:space="preserve">display_name, country</t>
  </si>
  <si>
    <t xml:space="preserve">No vendor has this creator</t>
  </si>
  <si>
    <t xml:space="preserve">country</t>
  </si>
  <si>
    <t xml:space="preserve">Only stale data (vendor_c)</t>
  </si>
  <si>
    <t xml:space="preserve">Only stale data (vendor_b, vendor_c)</t>
  </si>
  <si>
    <t xml:space="preserve">Only stale data (vendor_b)</t>
  </si>
  <si>
    <t xml:space="preserve">Only stale data (vendor_a, vendor_c)</t>
  </si>
  <si>
    <t xml:space="preserve">channel</t>
  </si>
  <si>
    <t xml:space="preserve">handle, follower_count, 90d Reach Rate, 90d Growth Rate, 90d Meaningful Engagement Rate</t>
  </si>
  <si>
    <t xml:space="preserve">The Hub: missing likes_90d (vendor_b)</t>
  </si>
  <si>
    <t xml:space="preserve">No vendor has this channel</t>
  </si>
  <si>
    <t xml:space="preserve">handle, 90d Growth Rate</t>
  </si>
  <si>
    <t xml:space="preserve">handle empty or invalid | The Lens: imprecise (rounded counts) (vendor_b)</t>
  </si>
  <si>
    <t xml:space="preserve">follower_count, 90d Reach Rate, 90d Growth Rate</t>
  </si>
  <si>
    <t xml:space="preserve">follower_count empty or invalid | The Pulse: missing follower_count (vendor_a) | The Lens: missing follower_count (vendor_a)</t>
  </si>
  <si>
    <t xml:space="preserve">The Hub: missing likes_90d, saves_90d (vendor_c); missing comments_90d (vendor_b)</t>
  </si>
  <si>
    <t xml:space="preserve">The Lens: imprecise (rounded counts) (vendor_b)</t>
  </si>
  <si>
    <t xml:space="preserve">The Hub: missing comments_90d (vendor_a)</t>
  </si>
  <si>
    <t xml:space="preserve">The Hub: missing saves_90d (vendor_c)</t>
  </si>
  <si>
    <t xml:space="preserve">Excluded at review: CROSS_VENDOR_DISCREPANCY (Q00013)</t>
  </si>
  <si>
    <t xml:space="preserve">The Hub: missing comments_90d, saves_90d (vendor_c)</t>
  </si>
  <si>
    <t xml:space="preserve">Only stale data (vendor_a)</t>
  </si>
  <si>
    <t xml:space="preserve">The Hub: missing shares_90d (vendor_b)</t>
  </si>
  <si>
    <t xml:space="preserve">The Hub: missing comments_90d (vendor_b)</t>
  </si>
  <si>
    <t xml:space="preserve">The Lens: missing net_new_followers_90d (vendor_c); imprecise (rounded counts) (vendor_b)</t>
  </si>
  <si>
    <t xml:space="preserve">follower_count, 90d Reach Rate, 90d Growth Rate, 90d Meaningful Engagement Rate</t>
  </si>
  <si>
    <t xml:space="preserve">follower_count empty or invalid | The Pulse: missing follower_count (vendor_b) | The Lens: missing follower_count, net_new_followers_90d (vendor_b) | The Hub: missing saves_90d (vendor_b)</t>
  </si>
  <si>
    <t xml:space="preserve">The Hub: missing shares_90d (vendor_a)</t>
  </si>
  <si>
    <t xml:space="preserve">The Pulse: missing views_90d (vendor_b)</t>
  </si>
  <si>
    <t xml:space="preserve">The Pulse: missing views_90d (vendor_c, vendor_b)</t>
  </si>
  <si>
    <t xml:space="preserve">follower_count empty or invalid | The Pulse: missing follower_count (vendor_c) | The Lens: missing follower_count (vendor_c) | The Hub: missing saves_90d (vendor_c)</t>
  </si>
  <si>
    <t xml:space="preserve">The Hub: missing saves_90d (vendor_c); missing likes_90d, shares_90d (vendor_b)</t>
  </si>
  <si>
    <t xml:space="preserve">The Hub: missing saves_90d (vendor_b)</t>
  </si>
  <si>
    <t xml:space="preserve">The Hub: missing saves_90d (vendor_c); missing shares_90d (vendor_b)</t>
  </si>
  <si>
    <t xml:space="preserve">The Hub: missing saves_90d (vendor_c); missing likes_90d (vendor_b)</t>
  </si>
  <si>
    <t xml:space="preserve">The Hub: missing likes_90d, saves_90d (vendor_a)</t>
  </si>
  <si>
    <t xml:space="preserve">The Hub: missing saves_90d (vendor_c, vendor_b)</t>
  </si>
  <si>
    <t xml:space="preserve">The Pulse: missing views_90d (vendor_a, vendor_b)</t>
  </si>
  <si>
    <t xml:space="preserve">follower_count empty or invalid | The Pulse: missing follower_count (vendor_b) | The Lens: missing follower_count, net_new_followers_90d (vendor_b)</t>
  </si>
  <si>
    <t xml:space="preserve">90d Reach Rate, 90d Meaningful Engagement Rate</t>
  </si>
  <si>
    <t xml:space="preserve">Excluded at review: CROSS_VENDOR_DISCREPANCY (Q00015)</t>
  </si>
  <si>
    <t xml:space="preserve">The Lens: missing follower_count (vendor_c); missing net_new_followers_90d (vendor_b)</t>
  </si>
  <si>
    <t xml:space="preserve">The Hub: missing likes_90d (vendor_a)</t>
  </si>
  <si>
    <t xml:space="preserve">handle</t>
  </si>
  <si>
    <t xml:space="preserve">handle empty or invalid</t>
  </si>
  <si>
    <t xml:space="preserve">The Hub: missing likes_90d (vendor_c)</t>
  </si>
  <si>
    <t xml:space="preserve">Only stale data (vendor_a, vendor_b)</t>
  </si>
  <si>
    <t xml:space="preserve">The Hub: missing saves_90d (vendor_c); missing comments_90d (vendor_b)</t>
  </si>
  <si>
    <t xml:space="preserve">90d Reach Rate, 90d Growth Rate, 90d Meaningful Engagement Rate</t>
  </si>
  <si>
    <t xml:space="preserve">The Pulse: missing views_90d (vendor_b) | The Lens: missing net_new_followers_90d (vendor_b) | The Hub: missing saves_90d (vendor_b)</t>
  </si>
  <si>
    <t xml:space="preserve">The Hub: missing comments_90d, saves_90d (vendor_c); missing comments_90d (vendor_b)</t>
  </si>
  <si>
    <t xml:space="preserve">The Hub: missing comments_90d (vendor_a); missing shares_90d (vendor_b)</t>
  </si>
  <si>
    <t xml:space="preserve">90d Growth Rate, 90d Meaningful Engagement Rate</t>
  </si>
  <si>
    <t xml:space="preserve">The Lens: missing net_new_followers_90d (vendor_b) | The Hub: missing likes_90d (vendor_b)</t>
  </si>
  <si>
    <t xml:space="preserve">The Lens: missing net_new_followers_90d (vendor_b)</t>
  </si>
  <si>
    <t xml:space="preserve">follower_count empty or invalid | The Pulse: missing follower_count (vendor_c, vendor_b) | The Lens: missing follower_count (vendor_c); missing follower_count, net_new_followers_90d (vendor_b) | The Hub: missing saves_90d (vendor_c); missing comments_90d (vendor_b)</t>
  </si>
  <si>
    <t xml:space="preserve">follower_count empty or invalid | The Pulse: missing follower_count (vendor_c) | The Lens: missing follower_count, net_new_followers_90d (vendor_c) | The Hub: missing comments_90d, likes_90d (vendor_c)</t>
  </si>
  <si>
    <t xml:space="preserve">The Hub: missing comments_90d, likes_90d, saves_90d (vendor_c); missing comments_90d (vendor_b)</t>
  </si>
  <si>
    <t xml:space="preserve">follower_count empty or invalid | The Pulse: missing follower_count (vendor_c) | The Lens: missing follower_count (vendor_c)</t>
  </si>
  <si>
    <t xml:space="preserve">The Lens: missing net_new_followers_90d (vendor_c)</t>
  </si>
  <si>
    <t xml:space="preserve">The Pulse: missing views_90d (vendor_a)</t>
  </si>
  <si>
    <t xml:space="preserve">The Lens: missing follower_count (vendor_a); missing net_new_followers_90d (vendor_b)</t>
  </si>
  <si>
    <t xml:space="preserve">handle, follower_count empty or invalid | The Pulse: missing follower_count (vendor_c, vendor_c) | The Lens: missing follower_count (vendor_c, vendor_c) | The Hub: missing saves_90d (vendor_c, vendor_c)</t>
  </si>
  <si>
    <t xml:space="preserve">The Hub: missing likes_90d, shares_90d (vendor_b)</t>
  </si>
  <si>
    <t xml:space="preserve">The Pulse: missing follower_count, views_90d (vendor_c); missing views_90d (vendor_b) | The Hub: missing saves_90d, shares_90d (vendor_c); missing shares_90d (vendor_b)</t>
  </si>
  <si>
    <t xml:space="preserve">The Hub: missing likes_90d (vendor_c, vendor_a)</t>
  </si>
  <si>
    <t xml:space="preserve">The Lens: missing net_new_followers_90d (vendor_a)</t>
  </si>
  <si>
    <t xml:space="preserve">follower_count empty or invalid | The Pulse: missing follower_count (vendor_c) | The Lens: missing follower_count (vendor_c) | The Hub: missing comments_90d, saves_90d (vendor_c)</t>
  </si>
  <si>
    <t xml:space="preserve">follower_count empty or invalid | The Pulse: missing follower_count (vendor_b) | The Lens: missing follower_count, net_new_followers_90d (vendor_b) | The Hub: missing shares_90d (vendor_b)</t>
  </si>
  <si>
    <t xml:space="preserve">The Hub: missing saves_90d (vendor_a); missing comments_90d (vendor_b)</t>
  </si>
  <si>
    <t xml:space="preserve">The Lens: missing follower_count (vendor_a); imprecise (rounded counts) (vendor_b)</t>
  </si>
  <si>
    <t xml:space="preserve">The Lens: imprecise (rounded counts) (vendor_b) | The Hub: missing likes_90d (vendor_b)</t>
  </si>
  <si>
    <t xml:space="preserve">handle, follower_count empty or invalid | The Pulse: not computable | The Lens: not computable | The Hub: not computable</t>
  </si>
  <si>
    <t xml:space="preserve">follower_count empty or invalid | The Pulse: missing follower_count (vendor_c, vendor_b) | The Lens: missing follower_count (vendor_c); missing follower_count, net_new_followers_90d (vendor_b)</t>
  </si>
  <si>
    <t xml:space="preserve">The Hub: missing saves_90d, shares_90d (vendor_c)</t>
  </si>
  <si>
    <t xml:space="preserve">handle, 90d Reach Rate, 90d Meaningful Engagement Rate</t>
  </si>
  <si>
    <t xml:space="preserve">handle empty or invalid | The Pulse: implausible value (vendor_c) | The Hub: missing comments_90d, saves_90d (vendor_c)</t>
  </si>
  <si>
    <t xml:space="preserve">follower_count empty or invalid | The Pulse: missing follower_count, views_90d (vendor_b) | The Lens: missing follower_count, net_new_followers_90d (vendor_b) | The Hub: missing shares_90d (vendor_b)</t>
  </si>
  <si>
    <t xml:space="preserve">The Hub: missing saves_90d (vendor_c, vendor_c)</t>
  </si>
  <si>
    <t xml:space="preserve">The Lens: missing net_new_followers_90d (vendor_a); imprecise (rounded counts) (vendor_b)</t>
  </si>
  <si>
    <t xml:space="preserve">handle, 90d Reach Rate, 90d Growth Rate</t>
  </si>
  <si>
    <t xml:space="preserve">handle empty or invalid | The Pulse: missing views_90d (vendor_b) | The Lens: imprecise (rounded counts) (vendor_b)</t>
  </si>
  <si>
    <t xml:space="preserve">The Hub: missing likes_90d, saves_90d (vendor_c); missing saves_90d (vendor_b)</t>
  </si>
  <si>
    <t xml:space="preserve">The Pulse: missing views_90d (vendor_c)</t>
  </si>
  <si>
    <t xml:space="preserve">The Hub: missing likes_90d (vendor_a); missing saves_90d (vendor_b)</t>
  </si>
  <si>
    <t xml:space="preserve">The Lens: missing net_new_followers_90d (vendor_b) | The Hub: missing comments_90d (vendor_b)</t>
  </si>
  <si>
    <t xml:space="preserve">handle, 90d Meaningful Engagement Rate</t>
  </si>
  <si>
    <t xml:space="preserve">handle empty or invalid | The Hub: missing likes_90d (vendor_b)</t>
  </si>
  <si>
    <t xml:space="preserve">The Hub: missing saves_90d (vendor_c); missing likes_90d (vendor_a); missing shares_90d (vendor_b)</t>
  </si>
  <si>
    <t xml:space="preserve">handle empty or invalid | The Hub: missing saves_90d (vendor_c)</t>
  </si>
  <si>
    <t xml:space="preserve">The Hub: missing comments_90d (vendor_c)</t>
  </si>
  <si>
    <t xml:space="preserve">The Hub: missing comments_90d, likes_90d, saves_90d (vendor_c)</t>
  </si>
  <si>
    <t xml:space="preserve">The Hub: missing comments_90d, likes_90d (vendor_b)</t>
  </si>
  <si>
    <t xml:space="preserve">The Pulse: missing views_90d (vendor_c) | The Lens: missing net_new_followers_90d (vendor_c) | The Hub: missing saves_90d (vendor_c)</t>
  </si>
  <si>
    <t xml:space="preserve">The Lens: missing net_new_followers_90d (vendor_c); missing follower_count, net_new_followers_90d (vendor_b)</t>
  </si>
  <si>
    <t xml:space="preserve">The Pulse: missing views_90d (vendor_c) | The Hub: missing saves_90d (vendor_c)</t>
  </si>
  <si>
    <t xml:space="preserve">Excluded at review: CROSS_VENDOR_DISCREPANCY (Q00028)</t>
  </si>
  <si>
    <t xml:space="preserve">The Hub: missing saves_90d (vendor_c); missing comments_90d (vendor_a); missing likes_90d (vendor_b)</t>
  </si>
  <si>
    <t xml:space="preserve">The Lens: imprecise (rounded counts) (vendor_b) | The Hub: missing shares_90d (vendor_b)</t>
  </si>
  <si>
    <t xml:space="preserve">90d Reach Rate, 90d Growth Rate</t>
  </si>
  <si>
    <t xml:space="preserve">The Pulse: missing views_90d (vendor_b) | The Lens: missing net_new_followers_90d (vendor_b)</t>
  </si>
  <si>
    <t xml:space="preserve">handle empty or invalid | The Hub: missing comments_90d (vendor_b)</t>
  </si>
  <si>
    <t xml:space="preserve">The Hub: missing comments_90d, saves_90d (vendor_c); missing saves_90d (vendor_a)</t>
  </si>
  <si>
    <t xml:space="preserve">The Pulse: missing views_90d (vendor_b) | The Lens: imprecise (rounded counts) (vendor_b)</t>
  </si>
  <si>
    <t xml:space="preserve">follower_count empty or invalid | The Pulse: missing follower_count (vendor_b) | The Lens: missing follower_count, net_new_followers_90d (vendor_b) | The Hub: missing likes_90d (vendor_b)</t>
  </si>
  <si>
    <t xml:space="preserve">The Hub: missing comments_90d, shares_90d (vendor_c)</t>
  </si>
  <si>
    <t xml:space="preserve">The Hub: missing likes_90d, saves_90d (vendor_c)</t>
  </si>
  <si>
    <t xml:space="preserve">The Hub: missing saves_90d, shares_90d (vendor_c); missing shares_90d (vendor_b)</t>
  </si>
  <si>
    <t xml:space="preserve">follower_count empty or invalid | The Pulse: missing follower_count (vendor_c, vendor_b) | The Lens: missing follower_count (vendor_c); missing follower_count, net_new_followers_90d (vendor_b) | The Hub: missing saves_90d (vendor_c); missing likes_90d (vendor_b)</t>
  </si>
  <si>
    <t xml:space="preserve">The Hub: missing likes_90d, saves_90d, shares_90d (vendor_c)</t>
  </si>
  <si>
    <t xml:space="preserve">The Lens: missing follower_count (vendor_c); imprecise (rounded counts) (vendor_b)</t>
  </si>
  <si>
    <t xml:space="preserve">Only stale data (vendor_a, vendor_b, vendor_c)</t>
  </si>
  <si>
    <t xml:space="preserve">The Hub: missing likes_90d (vendor_b, vendor_b)</t>
  </si>
  <si>
    <t xml:space="preserve">handle empty or invalid | The Hub: missing comments_90d, likes_90d, saves_90d, shares_90d (vendor_c)</t>
  </si>
  <si>
    <t xml:space="preserve">handle empty or invalid | The Hub: missing comments_90d (vendor_b, vendor_b)</t>
  </si>
  <si>
    <t xml:space="preserve">handle empty or invalid | The Hub: missing saves_90d (vendor_b)</t>
  </si>
  <si>
    <t xml:space="preserve">The Hub: missing saves_90d (vendor_c); missing shares_90d (vendor_a)</t>
  </si>
  <si>
    <t xml:space="preserve">The Hub: missing saves_90d, shares_90d (vendor_c); missing saves_90d (vendor_b)</t>
  </si>
  <si>
    <t xml:space="preserve">The Hub: missing comments_90d, saves_90d, shares_90d (vendor_c)</t>
  </si>
  <si>
    <t xml:space="preserve">The Lens: missing net_new_followers_90d (vendor_a); missing follower_count, net_new_followers_90d (vendor_b)</t>
  </si>
  <si>
    <t xml:space="preserve">Excluded at review:  (computed)</t>
  </si>
  <si>
    <t xml:space="preserve">The Hub: missing shares_90d (vendor_a); missing likes_90d (vendor_b)</t>
  </si>
  <si>
    <t xml:space="preserve">The Lens: imprecise (rounded counts) (vendor_b) | The Hub: missing comments_90d (vendor_b)</t>
  </si>
  <si>
    <t xml:space="preserve">The Hub: missing saves_90d (vendor_c); missing comments_90d, shares_90d (vendor_b)</t>
  </si>
  <si>
    <t xml:space="preserve">The Hub: missing shares_90d (vendor_c, vendor_a)</t>
  </si>
  <si>
    <t xml:space="preserve">The Hub: missing saves_90d (vendor_a)</t>
  </si>
  <si>
    <t xml:space="preserve">The Hub: missing likes_90d, saves_90d, shares_90d (vendor_c); missing comments_90d (vendor_b)</t>
  </si>
  <si>
    <t xml:space="preserve">The Pulse: missing follower_count (vendor_c); missing views_90d (vendor_b)</t>
  </si>
  <si>
    <t xml:space="preserve">The Lens: missing net_new_followers_90d (vendor_c, vendor_b)</t>
  </si>
  <si>
    <t xml:space="preserve">The Hub: missing saves_90d, shares_90d (vendor_c); missing shares_90d (vendor_a); missing comments_90d (vendor_b)</t>
  </si>
  <si>
    <t xml:space="preserve">The Hub: missing likes_90d, saves_90d (vendor_c, vendor_c)</t>
  </si>
  <si>
    <t xml:space="preserve">The Pulse: missing views_90d (vendor_b) | The Hub: missing shares_90d (vendor_b)</t>
  </si>
  <si>
    <t xml:space="preserve">The Hub: missing likes_90d (vendor_c, vendor_c)</t>
  </si>
  <si>
    <t xml:space="preserve">The Lens: missing net_new_followers_90d (vendor_c) | The Hub: missing likes_90d (vendor_c)</t>
  </si>
  <si>
    <t xml:space="preserve">follower_count empty or invalid | The Pulse: missing follower_count (vendor_a) | The Lens: missing net_new_followers_90d (vendor_c); missing follower_count (vendor_a)</t>
  </si>
  <si>
    <t xml:space="preserve">The Hub: missing saves_90d (vendor_c); missing likes_90d (vendor_a)</t>
  </si>
  <si>
    <t xml:space="preserve">follower_count empty or invalid | The Pulse: missing follower_count (vendor_c) | The Lens: missing follower_count (vendor_c) | The Hub: missing comments_90d, likes_90d, saves_90d (vendor_c)</t>
  </si>
  <si>
    <t xml:space="preserve">The Hub: missing saves_90d, shares_90d (vendor_c); missing likes_90d (vendor_b)</t>
  </si>
  <si>
    <t xml:space="preserve">The Hub: missing likes_90d (vendor_c); missing shares_90d (vendor_a)</t>
  </si>
  <si>
    <t xml:space="preserve">follower_count empty or invalid | The Pulse: missing follower_count (vendor_c, vendor_b) | The Lens: missing follower_count, net_new_followers_90d (vendor_c, vendor_b)</t>
  </si>
  <si>
    <t xml:space="preserve">The Hub: missing saves_90d (vendor_c); missing comments_90d, likes_90d, saves_90d (vendor_b)</t>
  </si>
  <si>
    <t xml:space="preserve">The Hub: missing comments_90d, likes_90d, saves_90d (vendor_c); missing likes_90d (vendor_b)</t>
  </si>
  <si>
    <t xml:space="preserve">The Hub: missing comments_90d, saves_90d (vendor_c); missing likes_90d (vendor_b)</t>
  </si>
  <si>
    <t xml:space="preserve">The Lens: missing net_new_followers_90d (vendor_c); imprecise (rounded counts) (vendor_b) | The Hub: missing saves_90d, shares_90d (vendor_c); missing shares_90d (vendor_b)</t>
  </si>
  <si>
    <t xml:space="preserve">The Lens: missing net_new_followers_90d (vendor_c) | The Hub: missing saves_90d, shares_90d (vendor_c)</t>
  </si>
  <si>
    <t xml:space="preserve">handle, follower_count empty or invalid | The Pulse: not computable | The Lens: missing net_new_followers_90d (vendor_b) | The Hub: not computable</t>
  </si>
  <si>
    <t xml:space="preserve">Agent decision log</t>
  </si>
  <si>
    <t xml:space="preserve">Every accept / flag / go / skip / stop decision with the reason behind it</t>
  </si>
  <si>
    <t xml:space="preserve">#</t>
  </si>
  <si>
    <t xml:space="preserve">Step</t>
  </si>
  <si>
    <t xml:space="preserve">Decision</t>
  </si>
  <si>
    <t xml:space="preserve">recognise</t>
  </si>
  <si>
    <t xml:space="preserve">Book1.xlsx → vendor_c (matched 88%; next best vendor_a 0%)</t>
  </si>
  <si>
    <t xml:space="preserve">learn</t>
  </si>
  <si>
    <t xml:space="preserve">note</t>
  </si>
  <si>
    <t xml:space="preserve">vendor_c sent new column(s) we don't use: notes</t>
  </si>
  <si>
    <t xml:space="preserve">creator_data_0812.xlsx → vendor_a (matched 90%; next best vendor_b 0%)</t>
  </si>
  <si>
    <t xml:space="preserve">social_export_aug.xlsx → vendor_b (matched 90%; next best vendor_a 0%)</t>
  </si>
  <si>
    <t xml:space="preserve">request</t>
  </si>
  <si>
    <t xml:space="preserve">accept</t>
  </si>
  <si>
    <t xml:space="preserve">800 creators, 1889 channels requested (instagram 628, tiktok 636, youtube 625); 465 need 3 channels, 159 need 2 channels, 176 need 1 channel</t>
  </si>
  <si>
    <t xml:space="preserve">history</t>
  </si>
  <si>
    <t xml:space="preserve">blend</t>
  </si>
  <si>
    <t xml:space="preserve">vendor_c: this month 0.67; 1-month reliability 0.56 (QA average 0.66, review accuracy 31% over 13 reviewed dispute(s); up) → blended 0.66 at 15% reliability weight</t>
  </si>
  <si>
    <t xml:space="preserve">qa</t>
  </si>
  <si>
    <t xml:space="preserve">vendor_c doesn't supply saves_90d; metrics that need it can't come from vendor_c (except where a platform override doesn't use it)</t>
  </si>
  <si>
    <t xml:space="preserve">flag</t>
  </si>
  <si>
    <t xml:space="preserve">vendor_c: 23 metric values outside plausible bounds were rejected</t>
  </si>
  <si>
    <t xml:space="preserve">vendor_a: this month 0.85; 1-month reliability 0.76 (QA average 0.85, review accuracy 56% over 16 reviewed dispute(s); up) → blended 0.84 at 15% reliability weight</t>
  </si>
  <si>
    <t xml:space="preserve">vendor_b: this month 0.86; 1-month reliability 0.76 (QA average 0.85, review accuracy 57% over 21 reviewed dispute(s); up) → blended 0.84 at 15% reliability weight</t>
  </si>
  <si>
    <t xml:space="preserve">vendor_b: 140 metric values rejected because rounded counts could move them by more than 5%; a lower tier fills them if it can</t>
  </si>
  <si>
    <t xml:space="preserve">tiering</t>
  </si>
  <si>
    <t xml:space="preserve">tier 1</t>
  </si>
  <si>
    <t xml:space="preserve">score 0.84: fresh coverage 64% of requested channels (strongest on tiktok 77%), freshness 88%, metrics computable: The Pulse 88%, The Lens 80%, The Hub 76%</t>
  </si>
  <si>
    <t xml:space="preserve">tier 2</t>
  </si>
  <si>
    <t xml:space="preserve">score 0.84: fresh coverage 51% of requested channels (strongest on youtube 85%), freshness 94%, metrics computable: The Pulse 96%, The Lens 96%, The Hub 90%</t>
  </si>
  <si>
    <t xml:space="preserve">tier 3</t>
  </si>
  <si>
    <t xml:space="preserve">score 0.66: fresh coverage 32% of requested channels (strongest on youtube 35%), freshness 60%, metrics computable: The Pulse 69%, The Lens 72%, The Hub 21%</t>
  </si>
  <si>
    <t xml:space="preserve">gate tier 1</t>
  </si>
  <si>
    <t xml:space="preserve">use vendor_b</t>
  </si>
  <si>
    <t xml:space="preserve">first tier</t>
  </si>
  <si>
    <t xml:space="preserve">assess after tier 1</t>
  </si>
  <si>
    <t xml:space="preserve">continue</t>
  </si>
  <si>
    <t xml:space="preserve">11.0% of creators complete, 37.4% of requested channels complete</t>
  </si>
  <si>
    <t xml:space="preserve">gate tier 2</t>
  </si>
  <si>
    <t xml:space="preserve">use vendor_a</t>
  </si>
  <si>
    <t xml:space="preserve">7 required item(s) below target (display_name, country, handle, follower_count, reach_rate, growth_rate, meaningful_eng_rate); vendor_a can fill 2780 open cells (60.2%)</t>
  </si>
  <si>
    <t xml:space="preserve">assess after tier 2</t>
  </si>
  <si>
    <t xml:space="preserve">40.9% of creators complete, 68.0% of requested channels complete</t>
  </si>
  <si>
    <t xml:space="preserve">gate tier 3</t>
  </si>
  <si>
    <t xml:space="preserve">use vendor_c</t>
  </si>
  <si>
    <t xml:space="preserve">5 required item(s) below target (handle, follower_count, reach_rate, growth_rate, meaningful_eng_rate); vendor_c can fill 312 open cells (17.0%)</t>
  </si>
  <si>
    <t xml:space="preserve">assess after tier 3</t>
  </si>
  <si>
    <t xml:space="preserve">done</t>
  </si>
  <si>
    <t xml:space="preserve">44.2% of creators complete, 70.5% of requested channels complete</t>
  </si>
  <si>
    <t xml:space="preserve">31 blocked</t>
  </si>
  <si>
    <t xml:space="preserve">CROSS_VENDOR_DISCREPANCY (RED) 23; IDENTITY_MATCH_UNCERTAIN (RED) 8; IDENTITY_CONFLICT_RESOLVED (YELLOW) 4; OUTLIER_SOURCE_EXCLUDED (YELLOW) 10; PRIMARY_SOURCE_MISSING (YELLOW) 748</t>
  </si>
  <si>
    <t xml:space="preserve">review</t>
  </si>
  <si>
    <t xml:space="preserve">31 decision(s) applied</t>
  </si>
  <si>
    <t xml:space="preserve">0 blocked item(s) still open</t>
  </si>
  <si>
    <t xml:space="preserve">Blocked records — human review</t>
  </si>
  <si>
    <t xml:space="preserve">Only these creator-channels / metrics are held back; everything else was processed. Fill the orange Decision column (and Manual value where needed), then run review.py with this file.</t>
  </si>
  <si>
    <t xml:space="preserve">Review ID</t>
  </si>
  <si>
    <t xml:space="preserve">Status</t>
  </si>
  <si>
    <t xml:space="preserve">Field(s) held back</t>
  </si>
  <si>
    <t xml:space="preserve">Reason code</t>
  </si>
  <si>
    <t xml:space="preserve">Severity</t>
  </si>
  <si>
    <t xml:space="preserve">vendor_a value</t>
  </si>
  <si>
    <t xml:space="preserve">vendor_b value</t>
  </si>
  <si>
    <t xml:space="preserve">vendor_c value</t>
  </si>
  <si>
    <t xml:space="preserve">Discrepancy</t>
  </si>
  <si>
    <t xml:space="preserve">Source information</t>
  </si>
  <si>
    <t xml:space="preserve">Explanation</t>
  </si>
  <si>
    <t xml:space="preserve">Recommended action</t>
  </si>
  <si>
    <t xml:space="preserve">Manual value</t>
  </si>
  <si>
    <t xml:space="preserve">Reviewer</t>
  </si>
  <si>
    <t xml:space="preserve">Note</t>
  </si>
  <si>
    <t xml:space="preserve">Final value</t>
  </si>
  <si>
    <t xml:space="preserve">Final source</t>
  </si>
  <si>
    <t xml:space="preserve">Reviewed at</t>
  </si>
  <si>
    <t xml:space="preserve">Q00002</t>
  </si>
  <si>
    <t xml:space="preserve">resolved</t>
  </si>
  <si>
    <t xml:space="preserve">whole channel (identity)</t>
  </si>
  <si>
    <t xml:space="preserve">IDENTITY_MATCH_UNCERTAIN</t>
  </si>
  <si>
    <t xml:space="preserve">RED</t>
  </si>
  <si>
    <t xml:space="preserve">@creator327_youtube</t>
  </si>
  <si>
    <t xml:space="preserve">@creator407_youtube</t>
  </si>
  <si>
    <t xml:space="preserve">Tier order T1 vendor_b &gt; T2 vendor_a &gt; T3 vendor_c. Would have used: —</t>
  </si>
  <si>
    <t xml:space="preserve">Vendors report different accounts for this creator-channel (vendor_c: @creator407_youtube; vendor_b: @creator327_youtube), with no majority. None of their data is used until reviewed.</t>
  </si>
  <si>
    <t xml:space="preserve">Check the accounts on the platform. CONFIRM_MATCH if they're the same creator, SELECT_VENDOR_x to keep only the vendor with the right account, or REJECT_MATCH / EXCLUDE.</t>
  </si>
  <si>
    <t xml:space="preserve">SELECT_VENDOR_C</t>
  </si>
  <si>
    <t xml:space="preserve">Simulated reviewer</t>
  </si>
  <si>
    <t xml:space="preserve">checked against the platform (sample answer key)</t>
  </si>
  <si>
    <t xml:space="preserve">2026-10-01 05:17:44</t>
  </si>
  <si>
    <t xml:space="preserve">Q00003</t>
  </si>
  <si>
    <t xml:space="preserve">Vendors report different accounts for this creator-channel (vendor_c: @creator1248_instagram; vendor_b: @creator1103_instagram), with no majority. None of their data is used until reviewed.</t>
  </si>
  <si>
    <t xml:space="preserve">SELECT_VENDOR_B</t>
  </si>
  <si>
    <t xml:space="preserve">Q00004</t>
  </si>
  <si>
    <t xml:space="preserve">@creator1262_youtube</t>
  </si>
  <si>
    <t xml:space="preserve">Vendors report different accounts for this creator-channel (vendor_c: @creator1262_youtube; vendor_a: @creator1127_youtube), with no majority. None of their data is used until reviewed.</t>
  </si>
  <si>
    <t xml:space="preserve">SELECT_VENDOR_A</t>
  </si>
  <si>
    <t xml:space="preserve">Q00005</t>
  </si>
  <si>
    <t xml:space="preserve">@creator606_tiktok</t>
  </si>
  <si>
    <t xml:space="preserve">@creator1484_tiktok</t>
  </si>
  <si>
    <t xml:space="preserve">Vendors report different accounts for this creator-channel (vendor_c: @creator1484_tiktok; vendor_b: @creator606_tiktok), with no majority. None of their data is used until reviewed.</t>
  </si>
  <si>
    <t xml:space="preserve">Q00007</t>
  </si>
  <si>
    <t xml:space="preserve">Vendors report different accounts for this creator-channel (vendor_c: @creator243_youtube; vendor_a: @creator322_youtube), with no majority. None of their data is used until reviewed.</t>
  </si>
  <si>
    <t xml:space="preserve">Q00008</t>
  </si>
  <si>
    <t xml:space="preserve">Vendors report different accounts for this creator-channel (vendor_c: @creator1307_instagram; vendor_b: @creator811_instagram), with no majority. None of their data is used until reviewed.</t>
  </si>
  <si>
    <t xml:space="preserve">Q00011</t>
  </si>
  <si>
    <t xml:space="preserve">Vendors report different accounts for this creator-channel (vendor_c: @creator194_instagram; vendor_b: @creator393_instagram), with no majority. None of their data is used until reviewed.</t>
  </si>
  <si>
    <t xml:space="preserve">Q00012</t>
  </si>
  <si>
    <t xml:space="preserve">Vendors report different accounts for this creator-channel (vendor_a: @creator1193_tiktok; vendor_b: @creator99_tiktok), with no majority. None of their data is used until reviewed.</t>
  </si>
  <si>
    <t xml:space="preserve">Q00013</t>
  </si>
  <si>
    <t xml:space="preserve">follower_count, reach_rate, growth_rate</t>
  </si>
  <si>
    <t xml:space="preserve">CROSS_VENDOR_DISCREPANCY</t>
  </si>
  <si>
    <t xml:space="preserve">196,210</t>
  </si>
  <si>
    <t xml:space="preserve">296,963</t>
  </si>
  <si>
    <t xml:space="preserve">34%</t>
  </si>
  <si>
    <t xml:space="preserve">Tier order T1 vendor_b &gt; T2 vendor_a &gt; T3 vendor_c. Would have used: vendor_b</t>
  </si>
  <si>
    <t xml:space="preserve">Vendors disagree by 34% (threshold 25%): vendor_b 196,210; vendor_c 296,963. No credible majority, so the value is held back rather than defaulting to the highest tier; reach_rate, growth_rate (computed from it) held back too.</t>
  </si>
  <si>
    <t xml:space="preserve">Check the creator's profile. SELECT_VENDOR_x for the right value, MANUAL_VALUE to enter the correct figure, or EXCLUDE to leave it out this month.</t>
  </si>
  <si>
    <t xml:space="preserve">Q00014</t>
  </si>
  <si>
    <t xml:space="preserve">28,401</t>
  </si>
  <si>
    <t xml:space="preserve">16,450</t>
  </si>
  <si>
    <t xml:space="preserve">42%</t>
  </si>
  <si>
    <t xml:space="preserve">Vendors disagree by 42% (threshold 25%): vendor_b 16,450; vendor_a 28,401. No credible majority, so the value is held back rather than defaulting to the highest tier; reach_rate, growth_rate (computed from it) held back too.</t>
  </si>
  <si>
    <t xml:space="preserve">Q00015</t>
  </si>
  <si>
    <t xml:space="preserve">295,980</t>
  </si>
  <si>
    <t xml:space="preserve">159,653</t>
  </si>
  <si>
    <t xml:space="preserve">46%</t>
  </si>
  <si>
    <t xml:space="preserve">Vendors disagree by 46% (threshold 25%): vendor_b 295,980; vendor_c 159,653. No credible majority, so the value is held back rather than defaulting to the highest tier; reach_rate, growth_rate (computed from it) held back too.</t>
  </si>
  <si>
    <t xml:space="preserve">Q00017</t>
  </si>
  <si>
    <t xml:space="preserve">10,351</t>
  </si>
  <si>
    <t xml:space="preserve">17,016</t>
  </si>
  <si>
    <t xml:space="preserve">39%</t>
  </si>
  <si>
    <t xml:space="preserve">Tier order T1 vendor_b &gt; T2 vendor_a &gt; T3 vendor_c. Would have used: vendor_a</t>
  </si>
  <si>
    <t xml:space="preserve">Vendors disagree by 39% (threshold 25%): vendor_a 10,351; vendor_c 17,016. No credible majority, so the value is held back rather than defaulting to the highest tier; reach_rate, growth_rate (computed from it) held back too.</t>
  </si>
  <si>
    <t xml:space="preserve">Q00020</t>
  </si>
  <si>
    <t xml:space="preserve">27,980</t>
  </si>
  <si>
    <t xml:space="preserve">46,769</t>
  </si>
  <si>
    <t xml:space="preserve">40%</t>
  </si>
  <si>
    <t xml:space="preserve">Vendors disagree by 40% (threshold 25%): vendor_b 27,980; vendor_c 46,769. No credible majority, so the value is held back rather than defaulting to the highest tier; reach_rate, growth_rate (computed from it) held back too.</t>
  </si>
  <si>
    <t xml:space="preserve">Q00021</t>
  </si>
  <si>
    <t xml:space="preserve">10,520</t>
  </si>
  <si>
    <t xml:space="preserve">5,306</t>
  </si>
  <si>
    <t xml:space="preserve">50%</t>
  </si>
  <si>
    <t xml:space="preserve">Vendors disagree by 50% (threshold 25%): vendor_b 10,520; vendor_c 5,306. No credible majority, so the value is held back rather than defaulting to the highest tier; reach_rate, growth_rate (computed from it) held back too.</t>
  </si>
  <si>
    <t xml:space="preserve">Q00022</t>
  </si>
  <si>
    <t xml:space="preserve">7,710</t>
  </si>
  <si>
    <t xml:space="preserve">14,812</t>
  </si>
  <si>
    <t xml:space="preserve">48%</t>
  </si>
  <si>
    <t xml:space="preserve">Vendors disagree by 48% (threshold 25%): vendor_b 7,710; vendor_c 14,812. No credible majority, so the value is held back rather than defaulting to the highest tier; reach_rate, growth_rate (computed from it) held back too.</t>
  </si>
  <si>
    <t xml:space="preserve">Q00025</t>
  </si>
  <si>
    <t xml:space="preserve">19,368</t>
  </si>
  <si>
    <t xml:space="preserve">11,420</t>
  </si>
  <si>
    <t xml:space="preserve">41%</t>
  </si>
  <si>
    <t xml:space="preserve">Vendors disagree by 41% (threshold 25%): vendor_b 11,420; vendor_a 19,368. No credible majority, so the value is held back rather than defaulting to the highest tier; reach_rate, growth_rate (computed from it) held back too.</t>
  </si>
  <si>
    <t xml:space="preserve">Q00026</t>
  </si>
  <si>
    <t xml:space="preserve">55,938</t>
  </si>
  <si>
    <t xml:space="preserve">31,396</t>
  </si>
  <si>
    <t xml:space="preserve">44%</t>
  </si>
  <si>
    <t xml:space="preserve">Vendors disagree by 44% (threshold 25%): vendor_a 55,938; vendor_c 31,396. No credible majority, so the value is held back rather than defaulting to the highest tier; reach_rate, growth_rate (computed from it) held back too.</t>
  </si>
  <si>
    <t xml:space="preserve">Q00028</t>
  </si>
  <si>
    <t xml:space="preserve">15,800</t>
  </si>
  <si>
    <t xml:space="preserve">9,417</t>
  </si>
  <si>
    <t xml:space="preserve">Vendors disagree by 40% (threshold 25%): vendor_b 15,800; vendor_c 9,417. No credible majority, so the value is held back rather than defaulting to the highest tier; reach_rate, growth_rate (computed from it) held back too.</t>
  </si>
  <si>
    <t xml:space="preserve">Q00030</t>
  </si>
  <si>
    <t xml:space="preserve">44,614</t>
  </si>
  <si>
    <t xml:space="preserve">77,380</t>
  </si>
  <si>
    <t xml:space="preserve">Vendors disagree by 42% (threshold 25%): vendor_b 77,380; vendor_a 44,614. No credible majority, so the value is held back rather than defaulting to the highest tier; reach_rate, growth_rate (computed from it) held back too.</t>
  </si>
  <si>
    <t xml:space="preserve">Q00031</t>
  </si>
  <si>
    <t xml:space="preserve">422,370</t>
  </si>
  <si>
    <t xml:space="preserve">820,317</t>
  </si>
  <si>
    <t xml:space="preserve">49%</t>
  </si>
  <si>
    <t xml:space="preserve">Vendors disagree by 49% (threshold 25%): vendor_b 422,370; vendor_c 820,317. No credible majority, so the value is held back rather than defaulting to the highest tier; reach_rate, growth_rate (computed from it) held back too.</t>
  </si>
  <si>
    <t xml:space="preserve">Q00034</t>
  </si>
  <si>
    <t xml:space="preserve">5,017</t>
  </si>
  <si>
    <t xml:space="preserve">3,382</t>
  </si>
  <si>
    <t xml:space="preserve">33%</t>
  </si>
  <si>
    <t xml:space="preserve">Vendors disagree by 33% (threshold 25%): vendor_a 5,017; vendor_c 3,382. No credible majority, so the value is held back rather than defaulting to the highest tier; reach_rate, growth_rate (computed from it) held back too.</t>
  </si>
  <si>
    <t xml:space="preserve">Q00035</t>
  </si>
  <si>
    <t xml:space="preserve">995,565</t>
  </si>
  <si>
    <t xml:space="preserve">1,892,156</t>
  </si>
  <si>
    <t xml:space="preserve">47%</t>
  </si>
  <si>
    <t xml:space="preserve">Vendors disagree by 47% (threshold 25%): vendor_a 995,565; vendor_c 1,892,156. No credible majority, so the value is held back rather than defaulting to the highest tier; reach_rate, growth_rate (computed from it) held back too.</t>
  </si>
  <si>
    <t xml:space="preserve">Q00036</t>
  </si>
  <si>
    <t xml:space="preserve">2,208,170</t>
  </si>
  <si>
    <t xml:space="preserve">3,604,745</t>
  </si>
  <si>
    <t xml:space="preserve">Vendors disagree by 39% (threshold 25%): vendor_b 2,208,170; vendor_c 3,604,745. No credible majority, so the value is held back rather than defaulting to the highest tier; reach_rate, growth_rate (computed from it) held back too.</t>
  </si>
  <si>
    <t xml:space="preserve">Q00037</t>
  </si>
  <si>
    <t xml:space="preserve">27,550</t>
  </si>
  <si>
    <t xml:space="preserve">47,424</t>
  </si>
  <si>
    <t xml:space="preserve">Vendors disagree by 42% (threshold 25%): vendor_b 27,550; vendor_c 47,424. No credible majority, so the value is held back rather than defaulting to the highest tier; reach_rate, growth_rate (computed from it) held back too.</t>
  </si>
  <si>
    <t xml:space="preserve">Q00038</t>
  </si>
  <si>
    <t xml:space="preserve">29,540</t>
  </si>
  <si>
    <t xml:space="preserve">17,565</t>
  </si>
  <si>
    <t xml:space="preserve">Vendors disagree by 41% (threshold 25%): vendor_b 29,540; vendor_c 17,565. No credible majority, so the value is held back rather than defaulting to the highest tier; reach_rate, growth_rate (computed from it) held back too.</t>
  </si>
  <si>
    <t xml:space="preserve">Q00039</t>
  </si>
  <si>
    <t xml:space="preserve">49,575</t>
  </si>
  <si>
    <t xml:space="preserve">88,970</t>
  </si>
  <si>
    <t xml:space="preserve">Vendors disagree by 44% (threshold 25%): vendor_b 88,970; vendor_a 49,575. No credible majority, so the value is held back rather than defaulting to the highest tier; reach_rate, growth_rate (computed from it) held back too.</t>
  </si>
  <si>
    <t xml:space="preserve">Q00040</t>
  </si>
  <si>
    <t xml:space="preserve">20,640</t>
  </si>
  <si>
    <t xml:space="preserve">11,610</t>
  </si>
  <si>
    <t xml:space="preserve">Vendors disagree by 44% (threshold 25%): vendor_b 20,640; vendor_c 11,610. No credible majority, so the value is held back rather than defaulting to the highest tier; reach_rate, growth_rate (computed from it) held back too.</t>
  </si>
  <si>
    <t xml:space="preserve">Q00041</t>
  </si>
  <si>
    <t xml:space="preserve">51,228</t>
  </si>
  <si>
    <t xml:space="preserve">30,350</t>
  </si>
  <si>
    <t xml:space="preserve">Vendors disagree by 41% (threshold 25%): vendor_b 30,350; vendor_a 51,228. No credible majority, so the value is held back rather than defaulting to the highest tier; reach_rate, growth_rate (computed from it) held back too.</t>
  </si>
  <si>
    <t xml:space="preserve">Q00042</t>
  </si>
  <si>
    <t xml:space="preserve">74,520</t>
  </si>
  <si>
    <t xml:space="preserve">133,670</t>
  </si>
  <si>
    <t xml:space="preserve">Vendors disagree by 44% (threshold 25%): vendor_b 74,520; vendor_c 133,670. No credible majority, so the value is held back rather than defaulting to the highest tier; reach_rate, growth_rate (computed from it) held back too.</t>
  </si>
  <si>
    <t xml:space="preserve">Q00043</t>
  </si>
  <si>
    <t xml:space="preserve">12,340</t>
  </si>
  <si>
    <t xml:space="preserve">23,320</t>
  </si>
  <si>
    <t xml:space="preserve">Vendors disagree by 47% (threshold 25%): vendor_b 23,320; vendor_a 12,340. No credible majority, so the value is held back rather than defaulting to the highest tier; reach_rate, growth_rate (computed from it) held back too.</t>
  </si>
  <si>
    <t xml:space="preserve">Q00044</t>
  </si>
  <si>
    <t xml:space="preserve">16,177</t>
  </si>
  <si>
    <t xml:space="preserve">28,400</t>
  </si>
  <si>
    <t xml:space="preserve">43%</t>
  </si>
  <si>
    <t xml:space="preserve">Vendors disagree by 43% (threshold 25%): vendor_b 28,400; vendor_a 16,177. No credible majority, so the value is held back rather than defaulting to the highest tier; reach_rate, growth_rate (computed from it) held back too.</t>
  </si>
  <si>
    <t xml:space="preserve">Warnings — recorded, processed automatically</t>
  </si>
  <si>
    <t xml:space="preserve">No action needed. Kept for visibility and to monitor vendor quality.</t>
  </si>
  <si>
    <t xml:space="preserve">Flag ID</t>
  </si>
  <si>
    <t xml:space="preserve">Field(s)</t>
  </si>
  <si>
    <t xml:space="preserve">Relevant values</t>
  </si>
  <si>
    <t xml:space="preserve">Source selected</t>
  </si>
  <si>
    <t xml:space="preserve">Q00006</t>
  </si>
  <si>
    <t xml:space="preserve">IDENTITY_CONFLICT_RESOLVED</t>
  </si>
  <si>
    <t xml:space="preserve">identity</t>
  </si>
  <si>
    <t xml:space="preserve">vendor_c: creator1055_youtube; vendor_a: creator68_youtube; vendor_b: creator68_youtube</t>
  </si>
  <si>
    <t xml:space="preserve">2 vendors agree the account is @creator68_youtube; vendor_c reported @creator1055_youtube and was not used for this channel.</t>
  </si>
  <si>
    <t xml:space="preserve">Q00010</t>
  </si>
  <si>
    <t xml:space="preserve">vendor_c: creator390_youtube; vendor_a: creator390_youtube; vendor_b: creator380_youtube</t>
  </si>
  <si>
    <t xml:space="preserve">vendor_c, vendor_a</t>
  </si>
  <si>
    <t xml:space="preserve">2 vendors agree the account is @creator390_youtube; vendor_b reported @creator380_youtube and was not used for this channel.</t>
  </si>
  <si>
    <t xml:space="preserve">Q00001</t>
  </si>
  <si>
    <t xml:space="preserve">vendor_c: creator1228_youtube; vendor_a: creator1228_youtube; vendor_b: creator330_youtube</t>
  </si>
  <si>
    <t xml:space="preserve">2 vendors agree the account is @creator1228_youtube; vendor_b reported @creator330_youtube and was not used for this channel.</t>
  </si>
  <si>
    <t xml:space="preserve">Q00009</t>
  </si>
  <si>
    <t xml:space="preserve">vendor_c: creator332_instagram; vendor_a: creator1276_instagram; vendor_b: creator1276_instagram</t>
  </si>
  <si>
    <t xml:space="preserve">2 vendors agree the account is @creator1276_instagram; vendor_c reported @creator332_instagram and was not used for this channel.</t>
  </si>
  <si>
    <t xml:space="preserve">Q00016</t>
  </si>
  <si>
    <t xml:space="preserve">OUTLIER_SOURCE_EXCLUDED</t>
  </si>
  <si>
    <t xml:space="preserve">follower_count</t>
  </si>
  <si>
    <t xml:space="preserve">vendor_c: 47,482; vendor_a: 87,484; vendor_b: 47,630</t>
  </si>
  <si>
    <t xml:space="preserve">vendor_c, vendor_b agree within 25%; vendor_a differ (vendor_b 47,630; vendor_a 87,484; vendor_c 47,482). Used vendor_b (highest tier among the agreeing vendors), not the outlier.</t>
  </si>
  <si>
    <t xml:space="preserve">Q00018</t>
  </si>
  <si>
    <t xml:space="preserve">vendor_c: 15,337; vendor_a: 8,582; vendor_b: 14,740</t>
  </si>
  <si>
    <t xml:space="preserve">vendor_c, vendor_b agree within 25%; vendor_a differ (vendor_b 14,740; vendor_a 8,582; vendor_c 15,337). Used vendor_b (highest tier among the agreeing vendors), not the outlier.</t>
  </si>
  <si>
    <t xml:space="preserve">Q00019</t>
  </si>
  <si>
    <t xml:space="preserve">vendor_c: 84,839; vendor_a: 84,833; vendor_b: 44,190</t>
  </si>
  <si>
    <t xml:space="preserve">vendor_c, vendor_a agree within 25%; vendor_b differ (vendor_b 44,190; vendor_a 84,833; vendor_c 84,839). Used vendor_a (highest tier among the agreeing vendors), not Tier 1 vendor_b, because it's the outlier.</t>
  </si>
  <si>
    <t xml:space="preserve">Q00023</t>
  </si>
  <si>
    <t xml:space="preserve">vendor_c: 33,883; vendor_a: 21,372; vendor_b: 20,980</t>
  </si>
  <si>
    <t xml:space="preserve">vendor_a, vendor_b agree within 25%; vendor_c differ (vendor_b 20,980; vendor_a 21,372; vendor_c 33,883). Used vendor_b (highest tier among the agreeing vendors), not the outlier.</t>
  </si>
  <si>
    <t xml:space="preserve">Q00024</t>
  </si>
  <si>
    <t xml:space="preserve">vendor_c: 323,221; vendor_a: 204,422; vendor_b: 203,530</t>
  </si>
  <si>
    <t xml:space="preserve">vendor_a, vendor_b agree within 25%; vendor_c differ (vendor_b 203,530; vendor_a 204,422; vendor_c 323,221). Used vendor_b (highest tier among the agreeing vendors), not the outlier.</t>
  </si>
  <si>
    <t xml:space="preserve">Q00027</t>
  </si>
  <si>
    <t xml:space="preserve">vendor_c: 11,059; vendor_a: 10,604; vendor_b: 6,890</t>
  </si>
  <si>
    <t xml:space="preserve">vendor_c, vendor_a agree within 25%; vendor_b differ (vendor_b 6,890; vendor_a 10,604; vendor_c 11,059). Used vendor_a (highest tier among the agreeing vendors), not Tier 1 vendor_b, because it's the outlier.</t>
  </si>
  <si>
    <t xml:space="preserve">Q00029</t>
  </si>
  <si>
    <t xml:space="preserve">vendor_c: 496,940; vendor_a: 271,406; vendor_b: 277,050</t>
  </si>
  <si>
    <t xml:space="preserve">vendor_a, vendor_b agree within 25%; vendor_c differ (vendor_b 277,050; vendor_a 271,406; vendor_c 496,940). Used vendor_b (highest tier among the agreeing vendors), not the outlier.</t>
  </si>
  <si>
    <t xml:space="preserve">Q00032</t>
  </si>
  <si>
    <t xml:space="preserve">vendor_c: 50,756; vendor_a: 91,348; vendor_b: 50,170</t>
  </si>
  <si>
    <t xml:space="preserve">vendor_c, vendor_b agree within 25%; vendor_a differ (vendor_b 50,170; vendor_a 91,348; vendor_c 50,756). Used vendor_b (highest tier among the agreeing vendors), not the outlier.</t>
  </si>
  <si>
    <t xml:space="preserve">Q00033</t>
  </si>
  <si>
    <t xml:space="preserve">vendor_c: 581; vendor_a: 897; vendor_b: 910</t>
  </si>
  <si>
    <t xml:space="preserve">vendor_a, vendor_b agree within 25%; vendor_c differ (vendor_b 910; vendor_a 897; vendor_c 581). Used vendor_b (highest tier among the agreeing vendors), not the outlier.</t>
  </si>
  <si>
    <t xml:space="preserve">Q00045</t>
  </si>
  <si>
    <t xml:space="preserve">vendor_c: 4,102; vendor_a: 2,382; vendor_b: 2,420</t>
  </si>
  <si>
    <t xml:space="preserve">vendor_a, vendor_b agree within 25%; vendor_c differ (vendor_b 2,420; vendor_a 2,382; vendor_c 4,102). Used vendor_b (highest tier among the agreeing vendors), not the outlier.</t>
  </si>
  <si>
    <t xml:space="preserve">Q00046</t>
  </si>
  <si>
    <t xml:space="preserve">PRIMARY_SOURCE_MISSING</t>
  </si>
  <si>
    <t xml:space="preserve">growth_rate</t>
  </si>
  <si>
    <t xml:space="preserve">growth_rate: vendor_a</t>
  </si>
  <si>
    <t xml:space="preserve">vendor_b's record lacks a valid value for growth_rate; filled from vendor_a (fallback).</t>
  </si>
  <si>
    <t xml:space="preserve">Q00047</t>
  </si>
  <si>
    <t xml:space="preserve">handle, follower_count, reach_rate, growth_rate, meaningful_eng_rate</t>
  </si>
  <si>
    <t xml:space="preserve">handle: vendor_a; follower_count: vendor_a; reach_rate: vendor_a; growth_rate: vendor_a; meaningful_eng_rate: vendor_a</t>
  </si>
  <si>
    <t xml:space="preserve">vendor_b's record is stale; filled from vendor_a (fallback).</t>
  </si>
  <si>
    <t xml:space="preserve">Q00048</t>
  </si>
  <si>
    <t xml:space="preserve">meaningful_eng_rate</t>
  </si>
  <si>
    <t xml:space="preserve">meaningful_eng_rate: vendor_a</t>
  </si>
  <si>
    <t xml:space="preserve">vendor_b's record lacks a valid value for meaningful_eng_rate; filled from vendor_a (fallback).</t>
  </si>
  <si>
    <t xml:space="preserve">Q00049</t>
  </si>
  <si>
    <t xml:space="preserve">vendor_b has no record for this channel; filled from vendor_a (fallback).</t>
  </si>
  <si>
    <t xml:space="preserve">Q00050</t>
  </si>
  <si>
    <t xml:space="preserve">Q00051</t>
  </si>
  <si>
    <t xml:space="preserve">reach_rate, meaningful_eng_rate</t>
  </si>
  <si>
    <t xml:space="preserve">reach_rate: vendor_a; meaningful_eng_rate: vendor_a</t>
  </si>
  <si>
    <t xml:space="preserve">vendor_b's record lacks a valid value for reach_rate, meaningful_eng_rate; filled from vendor_a (fallback).</t>
  </si>
  <si>
    <t xml:space="preserve">Q00052</t>
  </si>
  <si>
    <t xml:space="preserve">Q00053</t>
  </si>
  <si>
    <t xml:space="preserve">Q00054</t>
  </si>
  <si>
    <t xml:space="preserve">Q00055</t>
  </si>
  <si>
    <t xml:space="preserve">handle: vendor_a; follower_count: vendor_a; reach_rate: vendor_a; growth_rate: vendor_a; meaningful_eng_rate: vendor_c</t>
  </si>
  <si>
    <t xml:space="preserve">vendor_b has no record for this channel; filled from vendor_a, vendor_c (fallback).</t>
  </si>
  <si>
    <t xml:space="preserve">Q00056</t>
  </si>
  <si>
    <t xml:space="preserve">handle, meaningful_eng_rate</t>
  </si>
  <si>
    <t xml:space="preserve">handle: vendor_a; meaningful_eng_rate: vendor_a</t>
  </si>
  <si>
    <t xml:space="preserve">Q00057</t>
  </si>
  <si>
    <t xml:space="preserve">Q00058</t>
  </si>
  <si>
    <t xml:space="preserve">growth_rate, meaningful_eng_rate</t>
  </si>
  <si>
    <t xml:space="preserve">growth_rate: vendor_a; meaningful_eng_rate: vendor_a</t>
  </si>
  <si>
    <t xml:space="preserve">vendor_b's record lacks a valid value for growth_rate, meaningful_eng_rate; filled from vendor_a (fallback).</t>
  </si>
  <si>
    <t xml:space="preserve">Q00059</t>
  </si>
  <si>
    <t xml:space="preserve">handle, follower_count, reach_rate, growth_rate</t>
  </si>
  <si>
    <t xml:space="preserve">handle: vendor_a; follower_count: vendor_a; reach_rate: vendor_a; growth_rate: vendor_a</t>
  </si>
  <si>
    <t xml:space="preserve">Q00060</t>
  </si>
  <si>
    <t xml:space="preserve">Q00061</t>
  </si>
  <si>
    <t xml:space="preserve">Q00062</t>
  </si>
  <si>
    <t xml:space="preserve">handle: vendor_a</t>
  </si>
  <si>
    <t xml:space="preserve">vendor_b's record lacks a valid value for handle; filled from vendor_a (fallback).</t>
  </si>
  <si>
    <t xml:space="preserve">Q00063</t>
  </si>
  <si>
    <t xml:space="preserve">handle: vendor_c; follower_count: vendor_c; reach_rate: vendor_c; growth_rate: vendor_c</t>
  </si>
  <si>
    <t xml:space="preserve">vendor_b has no record for this channel; filled from vendor_c (fallback).</t>
  </si>
  <si>
    <t xml:space="preserve">Q00064</t>
  </si>
  <si>
    <t xml:space="preserve">Q00065</t>
  </si>
  <si>
    <t xml:space="preserve">Q00066</t>
  </si>
  <si>
    <t xml:space="preserve">Q00067</t>
  </si>
  <si>
    <t xml:space="preserve">Q00068</t>
  </si>
  <si>
    <t xml:space="preserve">Q00069</t>
  </si>
  <si>
    <t xml:space="preserve">Q00070</t>
  </si>
  <si>
    <t xml:space="preserve">Q00071</t>
  </si>
  <si>
    <t xml:space="preserve">Q00072</t>
  </si>
  <si>
    <t xml:space="preserve">Q00073</t>
  </si>
  <si>
    <t xml:space="preserve">Q00074</t>
  </si>
  <si>
    <t xml:space="preserve">Q00075</t>
  </si>
  <si>
    <t xml:space="preserve">Q00076</t>
  </si>
  <si>
    <t xml:space="preserve">Q00077</t>
  </si>
  <si>
    <t xml:space="preserve">Q00078</t>
  </si>
  <si>
    <t xml:space="preserve">Q00079</t>
  </si>
  <si>
    <t xml:space="preserve">handle: vendor_c</t>
  </si>
  <si>
    <t xml:space="preserve">vendor_b's record lacks a valid value for handle; filled from vendor_c (fallback).</t>
  </si>
  <si>
    <t xml:space="preserve">Q00080</t>
  </si>
  <si>
    <t xml:space="preserve">Q00081</t>
  </si>
  <si>
    <t xml:space="preserve">reach_rate</t>
  </si>
  <si>
    <t xml:space="preserve">reach_rate: vendor_c</t>
  </si>
  <si>
    <t xml:space="preserve">vendor_b's record lacks a valid value for reach_rate; filled from vendor_c (fallback).</t>
  </si>
  <si>
    <t xml:space="preserve">Q00082</t>
  </si>
  <si>
    <t xml:space="preserve">vendor_b's record is stale; filled from vendor_c (fallback).</t>
  </si>
  <si>
    <t xml:space="preserve">Q00083</t>
  </si>
  <si>
    <t xml:space="preserve">Q00084</t>
  </si>
  <si>
    <t xml:space="preserve">Q00085</t>
  </si>
  <si>
    <t xml:space="preserve">Q00086</t>
  </si>
  <si>
    <t xml:space="preserve">Q00087</t>
  </si>
  <si>
    <t xml:space="preserve">growth_rate: vendor_c</t>
  </si>
  <si>
    <t xml:space="preserve">vendor_b's record lacks a valid value for growth_rate; filled from vendor_c (fallback).</t>
  </si>
  <si>
    <t xml:space="preserve">Q00088</t>
  </si>
  <si>
    <t xml:space="preserve">Q00089</t>
  </si>
  <si>
    <t xml:space="preserve">Q00090</t>
  </si>
  <si>
    <t xml:space="preserve">follower_count: vendor_a; reach_rate: vendor_a; growth_rate: vendor_a</t>
  </si>
  <si>
    <t xml:space="preserve">vendor_b's record lacks a valid value for follower_count, reach_rate, growth_rate; filled from vendor_a (fallback).</t>
  </si>
  <si>
    <t xml:space="preserve">Q00091</t>
  </si>
  <si>
    <t xml:space="preserve">Q00092</t>
  </si>
  <si>
    <t xml:space="preserve">reach_rate, growth_rate</t>
  </si>
  <si>
    <t xml:space="preserve">reach_rate: vendor_a; growth_rate: vendor_a</t>
  </si>
  <si>
    <t xml:space="preserve">vendor_b's record lacks a valid value for reach_rate, growth_rate; filled from vendor_a (fallback).</t>
  </si>
  <si>
    <t xml:space="preserve">Q00093</t>
  </si>
  <si>
    <t xml:space="preserve">Q00094</t>
  </si>
  <si>
    <t xml:space="preserve">Q00095</t>
  </si>
  <si>
    <t xml:space="preserve">Q00096</t>
  </si>
  <si>
    <t xml:space="preserve">Q00097</t>
  </si>
  <si>
    <t xml:space="preserve">Q00098</t>
  </si>
  <si>
    <t xml:space="preserve">Q00099</t>
  </si>
  <si>
    <t xml:space="preserve">Q00100</t>
  </si>
  <si>
    <t xml:space="preserve">follower_count, reach_rate, growth_rate, meaningful_eng_rate</t>
  </si>
  <si>
    <t xml:space="preserve">follower_count: vendor_a; reach_rate: vendor_a; growth_rate: vendor_a; meaningful_eng_rate: vendor_a</t>
  </si>
  <si>
    <t xml:space="preserve">vendor_b's record lacks a valid value for follower_count, reach_rate, growth_rate, meaningful_eng_rate; filled from vendor_a (fallback).</t>
  </si>
  <si>
    <t xml:space="preserve">Q00101</t>
  </si>
  <si>
    <t xml:space="preserve">vendor_b's record lacks a valid value for handle, meaningful_eng_rate; filled from vendor_a (fallback).</t>
  </si>
  <si>
    <t xml:space="preserve">Q00102</t>
  </si>
  <si>
    <t xml:space="preserve">Q00103</t>
  </si>
  <si>
    <t xml:space="preserve">Q00104</t>
  </si>
  <si>
    <t xml:space="preserve">Q00105</t>
  </si>
  <si>
    <t xml:space="preserve">reach_rate: vendor_a</t>
  </si>
  <si>
    <t xml:space="preserve">vendor_b's record lacks a valid value for reach_rate; filled from vendor_a (fallback).</t>
  </si>
  <si>
    <t xml:space="preserve">Q00106</t>
  </si>
  <si>
    <t xml:space="preserve">Q00107</t>
  </si>
  <si>
    <t xml:space="preserve">Q00108</t>
  </si>
  <si>
    <t xml:space="preserve">Q00109</t>
  </si>
  <si>
    <t xml:space="preserve">Q00110</t>
  </si>
  <si>
    <t xml:space="preserve">Q00111</t>
  </si>
  <si>
    <t xml:space="preserve">Q00112</t>
  </si>
  <si>
    <t xml:space="preserve">Q00113</t>
  </si>
  <si>
    <t xml:space="preserve">Q00114</t>
  </si>
  <si>
    <t xml:space="preserve">Q00115</t>
  </si>
  <si>
    <t xml:space="preserve">Q00116</t>
  </si>
  <si>
    <t xml:space="preserve">Q00117</t>
  </si>
  <si>
    <t xml:space="preserve">Q00118</t>
  </si>
  <si>
    <t xml:space="preserve">Q00119</t>
  </si>
  <si>
    <t xml:space="preserve">Q00120</t>
  </si>
  <si>
    <t xml:space="preserve">Q00121</t>
  </si>
  <si>
    <t xml:space="preserve">Q00122</t>
  </si>
  <si>
    <t xml:space="preserve">Q00123</t>
  </si>
  <si>
    <t xml:space="preserve">Q00124</t>
  </si>
  <si>
    <t xml:space="preserve">Q00125</t>
  </si>
  <si>
    <t xml:space="preserve">Q00126</t>
  </si>
  <si>
    <t xml:space="preserve">Q00127</t>
  </si>
  <si>
    <t xml:space="preserve">Q00128</t>
  </si>
  <si>
    <t xml:space="preserve">Q00129</t>
  </si>
  <si>
    <t xml:space="preserve">Q00130</t>
  </si>
  <si>
    <t xml:space="preserve">Q00131</t>
  </si>
  <si>
    <t xml:space="preserve">Q00132</t>
  </si>
  <si>
    <t xml:space="preserve">Q00133</t>
  </si>
  <si>
    <t xml:space="preserve">Q00134</t>
  </si>
  <si>
    <t xml:space="preserve">Q00135</t>
  </si>
  <si>
    <t xml:space="preserve">Q00136</t>
  </si>
  <si>
    <t xml:space="preserve">Q00137</t>
  </si>
  <si>
    <t xml:space="preserve">Q00138</t>
  </si>
  <si>
    <t xml:space="preserve">Q00139</t>
  </si>
  <si>
    <t xml:space="preserve">Q00140</t>
  </si>
  <si>
    <t xml:space="preserve">Q00141</t>
  </si>
  <si>
    <t xml:space="preserve">Q00142</t>
  </si>
  <si>
    <t xml:space="preserve">Q00143</t>
  </si>
  <si>
    <t xml:space="preserve">Q00144</t>
  </si>
  <si>
    <t xml:space="preserve">Q00145</t>
  </si>
  <si>
    <t xml:space="preserve">Q00146</t>
  </si>
  <si>
    <t xml:space="preserve">Q00147</t>
  </si>
  <si>
    <t xml:space="preserve">Q00148</t>
  </si>
  <si>
    <t xml:space="preserve">Q00149</t>
  </si>
  <si>
    <t xml:space="preserve">Q00150</t>
  </si>
  <si>
    <t xml:space="preserve">Q00151</t>
  </si>
  <si>
    <t xml:space="preserve">Q00152</t>
  </si>
  <si>
    <t xml:space="preserve">Q00153</t>
  </si>
  <si>
    <t xml:space="preserve">follower_count: vendor_c; reach_rate: vendor_c; growth_rate: vendor_c</t>
  </si>
  <si>
    <t xml:space="preserve">vendor_b's record lacks a valid value for follower_count, reach_rate, growth_rate; filled from vendor_c (fallback).</t>
  </si>
  <si>
    <t xml:space="preserve">Q00154</t>
  </si>
  <si>
    <t xml:space="preserve">Q00155</t>
  </si>
  <si>
    <t xml:space="preserve">Q00156</t>
  </si>
  <si>
    <t xml:space="preserve">Q00157</t>
  </si>
  <si>
    <t xml:space="preserve">Q00158</t>
  </si>
  <si>
    <t xml:space="preserve">Q00159</t>
  </si>
  <si>
    <t xml:space="preserve">meaningful_eng_rate: vendor_c</t>
  </si>
  <si>
    <t xml:space="preserve">vendor_b's record lacks a valid value for meaningful_eng_rate; filled from vendor_c (fallback).</t>
  </si>
  <si>
    <t xml:space="preserve">Q00160</t>
  </si>
  <si>
    <t xml:space="preserve">Q00161</t>
  </si>
  <si>
    <t xml:space="preserve">Q00162</t>
  </si>
  <si>
    <t xml:space="preserve">Q00163</t>
  </si>
  <si>
    <t xml:space="preserve">Q00164</t>
  </si>
  <si>
    <t xml:space="preserve">Q00165</t>
  </si>
  <si>
    <t xml:space="preserve">Q00166</t>
  </si>
  <si>
    <t xml:space="preserve">Q00167</t>
  </si>
  <si>
    <t xml:space="preserve">Q00168</t>
  </si>
  <si>
    <t xml:space="preserve">Q00169</t>
  </si>
  <si>
    <t xml:space="preserve">Q00170</t>
  </si>
  <si>
    <t xml:space="preserve">Q00171</t>
  </si>
  <si>
    <t xml:space="preserve">Q00172</t>
  </si>
  <si>
    <t xml:space="preserve">Q00173</t>
  </si>
  <si>
    <t xml:space="preserve">Q00174</t>
  </si>
  <si>
    <t xml:space="preserve">vendor_b's record lacks a valid value for ; filled from vendor_a (fallback).</t>
  </si>
  <si>
    <t xml:space="preserve">Q00175</t>
  </si>
  <si>
    <t xml:space="preserve">Q00176</t>
  </si>
  <si>
    <t xml:space="preserve">Q00177</t>
  </si>
  <si>
    <t xml:space="preserve">Q00178</t>
  </si>
  <si>
    <t xml:space="preserve">Q00179</t>
  </si>
  <si>
    <t xml:space="preserve">Q00180</t>
  </si>
  <si>
    <t xml:space="preserve">Q00181</t>
  </si>
  <si>
    <t xml:space="preserve">handle: vendor_c; meaningful_eng_rate: vendor_c</t>
  </si>
  <si>
    <t xml:space="preserve">Q00182</t>
  </si>
  <si>
    <t xml:space="preserve">Q00183</t>
  </si>
  <si>
    <t xml:space="preserve">Q00184</t>
  </si>
  <si>
    <t xml:space="preserve">handle, follower_count, reach_rate, meaningful_eng_rate</t>
  </si>
  <si>
    <t xml:space="preserve">handle: vendor_c; follower_count: vendor_c; reach_rate: vendor_c; meaningful_eng_rate: vendor_c</t>
  </si>
  <si>
    <t xml:space="preserve">Q00185</t>
  </si>
  <si>
    <t xml:space="preserve">Q00186</t>
  </si>
  <si>
    <t xml:space="preserve">handle, follower_count, growth_rate, meaningful_eng_rate</t>
  </si>
  <si>
    <t xml:space="preserve">handle: vendor_a; follower_count: vendor_a; growth_rate: vendor_a; meaningful_eng_rate: vendor_a</t>
  </si>
  <si>
    <t xml:space="preserve">Q00187</t>
  </si>
  <si>
    <t xml:space="preserve">Q00188</t>
  </si>
  <si>
    <t xml:space="preserve">Q00189</t>
  </si>
  <si>
    <t xml:space="preserve">Q00190</t>
  </si>
  <si>
    <t xml:space="preserve">Q00191</t>
  </si>
  <si>
    <t xml:space="preserve">Q00192</t>
  </si>
  <si>
    <t xml:space="preserve">Q00193</t>
  </si>
  <si>
    <t xml:space="preserve">Q00194</t>
  </si>
  <si>
    <t xml:space="preserve">Q00195</t>
  </si>
  <si>
    <t xml:space="preserve">Q00196</t>
  </si>
  <si>
    <t xml:space="preserve">Q00197</t>
  </si>
  <si>
    <t xml:space="preserve">handle: vendor_c; follower_count: vendor_c; reach_rate: vendor_c; growth_rate: vendor_c; meaningful_eng_rate: vendor_c</t>
  </si>
  <si>
    <t xml:space="preserve">Q00198</t>
  </si>
  <si>
    <t xml:space="preserve">Q00199</t>
  </si>
  <si>
    <t xml:space="preserve">Q00200</t>
  </si>
  <si>
    <t xml:space="preserve">Q00201</t>
  </si>
  <si>
    <t xml:space="preserve">Q00202</t>
  </si>
  <si>
    <t xml:space="preserve">Q00203</t>
  </si>
  <si>
    <t xml:space="preserve">Q00204</t>
  </si>
  <si>
    <t xml:space="preserve">Q00205</t>
  </si>
  <si>
    <t xml:space="preserve">Q00206</t>
  </si>
  <si>
    <t xml:space="preserve">Q00207</t>
  </si>
  <si>
    <t xml:space="preserve">Q00208</t>
  </si>
  <si>
    <t xml:space="preserve">Q00209</t>
  </si>
  <si>
    <t xml:space="preserve">Q00210</t>
  </si>
  <si>
    <t xml:space="preserve">Q00211</t>
  </si>
  <si>
    <t xml:space="preserve">Q00212</t>
  </si>
  <si>
    <t xml:space="preserve">Q00213</t>
  </si>
  <si>
    <t xml:space="preserve">Q00214</t>
  </si>
  <si>
    <t xml:space="preserve">Q00215</t>
  </si>
  <si>
    <t xml:space="preserve">Q00216</t>
  </si>
  <si>
    <t xml:space="preserve">Q00217</t>
  </si>
  <si>
    <t xml:space="preserve">Q00218</t>
  </si>
  <si>
    <t xml:space="preserve">Q00219</t>
  </si>
  <si>
    <t xml:space="preserve">Q00220</t>
  </si>
  <si>
    <t xml:space="preserve">Q00221</t>
  </si>
  <si>
    <t xml:space="preserve">Q00222</t>
  </si>
  <si>
    <t xml:space="preserve">Q00223</t>
  </si>
  <si>
    <t xml:space="preserve">Q00224</t>
  </si>
  <si>
    <t xml:space="preserve">Q00225</t>
  </si>
  <si>
    <t xml:space="preserve">Q00226</t>
  </si>
  <si>
    <t xml:space="preserve">Q00227</t>
  </si>
  <si>
    <t xml:space="preserve">handle: vendor_a; follower_count: vendor_a; reach_rate: vendor_a; meaningful_eng_rate: vendor_a</t>
  </si>
  <si>
    <t xml:space="preserve">Q00228</t>
  </si>
  <si>
    <t xml:space="preserve">Q00229</t>
  </si>
  <si>
    <t xml:space="preserve">Q00230</t>
  </si>
  <si>
    <t xml:space="preserve">Q00231</t>
  </si>
  <si>
    <t xml:space="preserve">Q00232</t>
  </si>
  <si>
    <t xml:space="preserve">Q00233</t>
  </si>
  <si>
    <t xml:space="preserve">Q00234</t>
  </si>
  <si>
    <t xml:space="preserve">Q00235</t>
  </si>
  <si>
    <t xml:space="preserve">Q00236</t>
  </si>
  <si>
    <t xml:space="preserve">Q00237</t>
  </si>
  <si>
    <t xml:space="preserve">Q00238</t>
  </si>
  <si>
    <t xml:space="preserve">Q00239</t>
  </si>
  <si>
    <t xml:space="preserve">Q00240</t>
  </si>
  <si>
    <t xml:space="preserve">Q00241</t>
  </si>
  <si>
    <t xml:space="preserve">vendor_b's record was excluded by the identity check; filled from vendor_a (fallback).</t>
  </si>
  <si>
    <t xml:space="preserve">Q00242</t>
  </si>
  <si>
    <t xml:space="preserve">Q00243</t>
  </si>
  <si>
    <t xml:space="preserve">Q00244</t>
  </si>
  <si>
    <t xml:space="preserve">Q00245</t>
  </si>
  <si>
    <t xml:space="preserve">Q00246</t>
  </si>
  <si>
    <t xml:space="preserve">Q00247</t>
  </si>
  <si>
    <t xml:space="preserve">Q00248</t>
  </si>
  <si>
    <t xml:space="preserve">Q00249</t>
  </si>
  <si>
    <t xml:space="preserve">Q00250</t>
  </si>
  <si>
    <t xml:space="preserve">Q00251</t>
  </si>
  <si>
    <t xml:space="preserve">Q00252</t>
  </si>
  <si>
    <t xml:space="preserve">Q00253</t>
  </si>
  <si>
    <t xml:space="preserve">Q00254</t>
  </si>
  <si>
    <t xml:space="preserve">Q00255</t>
  </si>
  <si>
    <t xml:space="preserve">Q00256</t>
  </si>
  <si>
    <t xml:space="preserve">Q00257</t>
  </si>
  <si>
    <t xml:space="preserve">Q00258</t>
  </si>
  <si>
    <t xml:space="preserve">Q00259</t>
  </si>
  <si>
    <t xml:space="preserve">follower_count, growth_rate</t>
  </si>
  <si>
    <t xml:space="preserve">follower_count: vendor_c; growth_rate: vendor_c</t>
  </si>
  <si>
    <t xml:space="preserve">Q00260</t>
  </si>
  <si>
    <t xml:space="preserve">Q00261</t>
  </si>
  <si>
    <t xml:space="preserve">Q00262</t>
  </si>
  <si>
    <t xml:space="preserve">Q00263</t>
  </si>
  <si>
    <t xml:space="preserve">Q00264</t>
  </si>
  <si>
    <t xml:space="preserve">Q00265</t>
  </si>
  <si>
    <t xml:space="preserve">Q00266</t>
  </si>
  <si>
    <t xml:space="preserve">Q00267</t>
  </si>
  <si>
    <t xml:space="preserve">Q00268</t>
  </si>
  <si>
    <t xml:space="preserve">Q00269</t>
  </si>
  <si>
    <t xml:space="preserve">Q00270</t>
  </si>
  <si>
    <t xml:space="preserve">Q00271</t>
  </si>
  <si>
    <t xml:space="preserve">Q00272</t>
  </si>
  <si>
    <t xml:space="preserve">handle: vendor_a; follower_count: vendor_a; reach_rate: vendor_a; growth_rate: vendor_c; meaningful_eng_rate: vendor_a</t>
  </si>
  <si>
    <t xml:space="preserve">Q00273</t>
  </si>
  <si>
    <t xml:space="preserve">Q00274</t>
  </si>
  <si>
    <t xml:space="preserve">Q00275</t>
  </si>
  <si>
    <t xml:space="preserve">Q00276</t>
  </si>
  <si>
    <t xml:space="preserve">Q00277</t>
  </si>
  <si>
    <t xml:space="preserve">reach_rate, growth_rate, meaningful_eng_rate</t>
  </si>
  <si>
    <t xml:space="preserve">reach_rate: vendor_a; growth_rate: vendor_a; meaningful_eng_rate: vendor_a</t>
  </si>
  <si>
    <t xml:space="preserve">vendor_b's record lacks a valid value for reach_rate, growth_rate, meaningful_eng_rate; filled from vendor_a (fallback).</t>
  </si>
  <si>
    <t xml:space="preserve">Q00278</t>
  </si>
  <si>
    <t xml:space="preserve">Q00279</t>
  </si>
  <si>
    <t xml:space="preserve">Q00280</t>
  </si>
  <si>
    <t xml:space="preserve">Q00281</t>
  </si>
  <si>
    <t xml:space="preserve">Q00282</t>
  </si>
  <si>
    <t xml:space="preserve">Q00283</t>
  </si>
  <si>
    <t xml:space="preserve">Q00284</t>
  </si>
  <si>
    <t xml:space="preserve">Q00285</t>
  </si>
  <si>
    <t xml:space="preserve">Q00286</t>
  </si>
  <si>
    <t xml:space="preserve">Q00287</t>
  </si>
  <si>
    <t xml:space="preserve">Q00288</t>
  </si>
  <si>
    <t xml:space="preserve">Q00289</t>
  </si>
  <si>
    <t xml:space="preserve">Q00290</t>
  </si>
  <si>
    <t xml:space="preserve">handle: vendor_c; follower_count: vendor_c; growth_rate: vendor_c; meaningful_eng_rate: vendor_c</t>
  </si>
  <si>
    <t xml:space="preserve">Q00291</t>
  </si>
  <si>
    <t xml:space="preserve">Q00292</t>
  </si>
  <si>
    <t xml:space="preserve">Q00293</t>
  </si>
  <si>
    <t xml:space="preserve">Q00294</t>
  </si>
  <si>
    <t xml:space="preserve">Q00295</t>
  </si>
  <si>
    <t xml:space="preserve">Q00296</t>
  </si>
  <si>
    <t xml:space="preserve">Q00297</t>
  </si>
  <si>
    <t xml:space="preserve">Q00298</t>
  </si>
  <si>
    <t xml:space="preserve">Q00299</t>
  </si>
  <si>
    <t xml:space="preserve">Q00300</t>
  </si>
  <si>
    <t xml:space="preserve">Q00301</t>
  </si>
  <si>
    <t xml:space="preserve">Q00302</t>
  </si>
  <si>
    <t xml:space="preserve">Q00303</t>
  </si>
  <si>
    <t xml:space="preserve">Q00304</t>
  </si>
  <si>
    <t xml:space="preserve">Q00305</t>
  </si>
  <si>
    <t xml:space="preserve">Q00306</t>
  </si>
  <si>
    <t xml:space="preserve">Q00307</t>
  </si>
  <si>
    <t xml:space="preserve">Q00308</t>
  </si>
  <si>
    <t xml:space="preserve">Q00309</t>
  </si>
  <si>
    <t xml:space="preserve">Q00310</t>
  </si>
  <si>
    <t xml:space="preserve">Q00311</t>
  </si>
  <si>
    <t xml:space="preserve">Q00312</t>
  </si>
  <si>
    <t xml:space="preserve">Q00313</t>
  </si>
  <si>
    <t xml:space="preserve">Q00314</t>
  </si>
  <si>
    <t xml:space="preserve">Q00315</t>
  </si>
  <si>
    <t xml:space="preserve">Q00316</t>
  </si>
  <si>
    <t xml:space="preserve">Q00317</t>
  </si>
  <si>
    <t xml:space="preserve">Q00318</t>
  </si>
  <si>
    <t xml:space="preserve">Q00319</t>
  </si>
  <si>
    <t xml:space="preserve">Q00320</t>
  </si>
  <si>
    <t xml:space="preserve">Q00321</t>
  </si>
  <si>
    <t xml:space="preserve">Q00322</t>
  </si>
  <si>
    <t xml:space="preserve">Q00323</t>
  </si>
  <si>
    <t xml:space="preserve">Q00324</t>
  </si>
  <si>
    <t xml:space="preserve">Q00325</t>
  </si>
  <si>
    <t xml:space="preserve">Q00326</t>
  </si>
  <si>
    <t xml:space="preserve">Q00327</t>
  </si>
  <si>
    <t xml:space="preserve">Q00328</t>
  </si>
  <si>
    <t xml:space="preserve">Q00329</t>
  </si>
  <si>
    <t xml:space="preserve">Q00330</t>
  </si>
  <si>
    <t xml:space="preserve">Q00331</t>
  </si>
  <si>
    <t xml:space="preserve">Q00332</t>
  </si>
  <si>
    <t xml:space="preserve">Q00333</t>
  </si>
  <si>
    <t xml:space="preserve">Q00334</t>
  </si>
  <si>
    <t xml:space="preserve">Q00335</t>
  </si>
  <si>
    <t xml:space="preserve">Q00336</t>
  </si>
  <si>
    <t xml:space="preserve">Q00337</t>
  </si>
  <si>
    <t xml:space="preserve">Q00338</t>
  </si>
  <si>
    <t xml:space="preserve">Q00339</t>
  </si>
  <si>
    <t xml:space="preserve">Q00340</t>
  </si>
  <si>
    <t xml:space="preserve">Q00341</t>
  </si>
  <si>
    <t xml:space="preserve">Q00342</t>
  </si>
  <si>
    <t xml:space="preserve">Q00343</t>
  </si>
  <si>
    <t xml:space="preserve">Q00344</t>
  </si>
  <si>
    <t xml:space="preserve">Q00345</t>
  </si>
  <si>
    <t xml:space="preserve">Q00346</t>
  </si>
  <si>
    <t xml:space="preserve">Q00347</t>
  </si>
  <si>
    <t xml:space="preserve">Q00348</t>
  </si>
  <si>
    <t xml:space="preserve">Q00349</t>
  </si>
  <si>
    <t xml:space="preserve">Q00350</t>
  </si>
  <si>
    <t xml:space="preserve">handle, follower_count</t>
  </si>
  <si>
    <t xml:space="preserve">handle: vendor_c; follower_count: vendor_c</t>
  </si>
  <si>
    <t xml:space="preserve">Q00351</t>
  </si>
  <si>
    <t xml:space="preserve">Q00352</t>
  </si>
  <si>
    <t xml:space="preserve">Q00353</t>
  </si>
  <si>
    <t xml:space="preserve">Q00354</t>
  </si>
  <si>
    <t xml:space="preserve">Q00355</t>
  </si>
  <si>
    <t xml:space="preserve">Q00356</t>
  </si>
  <si>
    <t xml:space="preserve">Q00357</t>
  </si>
  <si>
    <t xml:space="preserve">Q00358</t>
  </si>
  <si>
    <t xml:space="preserve">follower_count, reach_rate</t>
  </si>
  <si>
    <t xml:space="preserve">follower_count: vendor_c; reach_rate: vendor_c</t>
  </si>
  <si>
    <t xml:space="preserve">vendor_b's record lacks a valid value for follower_count, reach_rate; filled from vendor_c (fallback).</t>
  </si>
  <si>
    <t xml:space="preserve">Q00359</t>
  </si>
  <si>
    <t xml:space="preserve">Q00360</t>
  </si>
  <si>
    <t xml:space="preserve">handle, follower_count, growth_rate</t>
  </si>
  <si>
    <t xml:space="preserve">handle: vendor_c; follower_count: vendor_c; growth_rate: vendor_c</t>
  </si>
  <si>
    <t xml:space="preserve">Q00361</t>
  </si>
  <si>
    <t xml:space="preserve">Q00362</t>
  </si>
  <si>
    <t xml:space="preserve">Q00363</t>
  </si>
  <si>
    <t xml:space="preserve">Q00364</t>
  </si>
  <si>
    <t xml:space="preserve">Q00365</t>
  </si>
  <si>
    <t xml:space="preserve">Q00366</t>
  </si>
  <si>
    <t xml:space="preserve">Q00367</t>
  </si>
  <si>
    <t xml:space="preserve">Q00368</t>
  </si>
  <si>
    <t xml:space="preserve">Q00369</t>
  </si>
  <si>
    <t xml:space="preserve">Q00370</t>
  </si>
  <si>
    <t xml:space="preserve">Q00371</t>
  </si>
  <si>
    <t xml:space="preserve">Q00372</t>
  </si>
  <si>
    <t xml:space="preserve">Q00373</t>
  </si>
  <si>
    <t xml:space="preserve">Q00374</t>
  </si>
  <si>
    <t xml:space="preserve">Q00375</t>
  </si>
  <si>
    <t xml:space="preserve">Q00376</t>
  </si>
  <si>
    <t xml:space="preserve">Q00377</t>
  </si>
  <si>
    <t xml:space="preserve">Q00378</t>
  </si>
  <si>
    <t xml:space="preserve">Q00379</t>
  </si>
  <si>
    <t xml:space="preserve">Q00380</t>
  </si>
  <si>
    <t xml:space="preserve">handle, growth_rate</t>
  </si>
  <si>
    <t xml:space="preserve">handle: vendor_a; growth_rate: vendor_a</t>
  </si>
  <si>
    <t xml:space="preserve">vendor_b's record lacks a valid value for handle, growth_rate; filled from vendor_a (fallback).</t>
  </si>
  <si>
    <t xml:space="preserve">Q00381</t>
  </si>
  <si>
    <t xml:space="preserve">handle: vendor_c; follower_count: vendor_a; reach_rate: vendor_a; growth_rate: vendor_a; meaningful_eng_rate: vendor_a</t>
  </si>
  <si>
    <t xml:space="preserve">Q00382</t>
  </si>
  <si>
    <t xml:space="preserve">Q00383</t>
  </si>
  <si>
    <t xml:space="preserve">Q00384</t>
  </si>
  <si>
    <t xml:space="preserve">Q00385</t>
  </si>
  <si>
    <t xml:space="preserve">Q00386</t>
  </si>
  <si>
    <t xml:space="preserve">Q00387</t>
  </si>
  <si>
    <t xml:space="preserve">Q00388</t>
  </si>
  <si>
    <t xml:space="preserve">Q00389</t>
  </si>
  <si>
    <t xml:space="preserve">Q00390</t>
  </si>
  <si>
    <t xml:space="preserve">Q00391</t>
  </si>
  <si>
    <t xml:space="preserve">Q00392</t>
  </si>
  <si>
    <t xml:space="preserve">Q00393</t>
  </si>
  <si>
    <t xml:space="preserve">Q00394</t>
  </si>
  <si>
    <t xml:space="preserve">Q00395</t>
  </si>
  <si>
    <t xml:space="preserve">Q00396</t>
  </si>
  <si>
    <t xml:space="preserve">Q00397</t>
  </si>
  <si>
    <t xml:space="preserve">Q00398</t>
  </si>
  <si>
    <t xml:space="preserve">Q00399</t>
  </si>
  <si>
    <t xml:space="preserve">Q00400</t>
  </si>
  <si>
    <t xml:space="preserve">Q00401</t>
  </si>
  <si>
    <t xml:space="preserve">Q00402</t>
  </si>
  <si>
    <t xml:space="preserve">Q00403</t>
  </si>
  <si>
    <t xml:space="preserve">Q00404</t>
  </si>
  <si>
    <t xml:space="preserve">Q00405</t>
  </si>
  <si>
    <t xml:space="preserve">Q00406</t>
  </si>
  <si>
    <t xml:space="preserve">Q00407</t>
  </si>
  <si>
    <t xml:space="preserve">Q00408</t>
  </si>
  <si>
    <t xml:space="preserve">Q00409</t>
  </si>
  <si>
    <t xml:space="preserve">Q00410</t>
  </si>
  <si>
    <t xml:space="preserve">Q00411</t>
  </si>
  <si>
    <t xml:space="preserve">handle: vendor_a; follower_count: vendor_a; reach_rate: vendor_a; growth_rate: vendor_c</t>
  </si>
  <si>
    <t xml:space="preserve">vendor_b's record is stale; filled from vendor_a, vendor_c (fallback).</t>
  </si>
  <si>
    <t xml:space="preserve">Q00412</t>
  </si>
  <si>
    <t xml:space="preserve">Q00413</t>
  </si>
  <si>
    <t xml:space="preserve">Q00414</t>
  </si>
  <si>
    <t xml:space="preserve">Q00415</t>
  </si>
  <si>
    <t xml:space="preserve">Q00416</t>
  </si>
  <si>
    <t xml:space="preserve">Q00417</t>
  </si>
  <si>
    <t xml:space="preserve">Q00418</t>
  </si>
  <si>
    <t xml:space="preserve">Q00419</t>
  </si>
  <si>
    <t xml:space="preserve">Q00420</t>
  </si>
  <si>
    <t xml:space="preserve">Q00421</t>
  </si>
  <si>
    <t xml:space="preserve">Q00422</t>
  </si>
  <si>
    <t xml:space="preserve">Q00423</t>
  </si>
  <si>
    <t xml:space="preserve">Q00424</t>
  </si>
  <si>
    <t xml:space="preserve">Q00425</t>
  </si>
  <si>
    <t xml:space="preserve">Q00426</t>
  </si>
  <si>
    <t xml:space="preserve">Q00427</t>
  </si>
  <si>
    <t xml:space="preserve">Q00428</t>
  </si>
  <si>
    <t xml:space="preserve">Q00429</t>
  </si>
  <si>
    <t xml:space="preserve">Q00430</t>
  </si>
  <si>
    <t xml:space="preserve">Q00431</t>
  </si>
  <si>
    <t xml:space="preserve">Q00432</t>
  </si>
  <si>
    <t xml:space="preserve">Q00433</t>
  </si>
  <si>
    <t xml:space="preserve">Q00434</t>
  </si>
  <si>
    <t xml:space="preserve">Q00435</t>
  </si>
  <si>
    <t xml:space="preserve">Q00436</t>
  </si>
  <si>
    <t xml:space="preserve">Q00437</t>
  </si>
  <si>
    <t xml:space="preserve">Q00438</t>
  </si>
  <si>
    <t xml:space="preserve">Q00439</t>
  </si>
  <si>
    <t xml:space="preserve">Q00440</t>
  </si>
  <si>
    <t xml:space="preserve">Q00441</t>
  </si>
  <si>
    <t xml:space="preserve">Q00442</t>
  </si>
  <si>
    <t xml:space="preserve">Q00443</t>
  </si>
  <si>
    <t xml:space="preserve">Q00444</t>
  </si>
  <si>
    <t xml:space="preserve">Q00445</t>
  </si>
  <si>
    <t xml:space="preserve">Q00446</t>
  </si>
  <si>
    <t xml:space="preserve">Q00447</t>
  </si>
  <si>
    <t xml:space="preserve">Q00448</t>
  </si>
  <si>
    <t xml:space="preserve">Q00449</t>
  </si>
  <si>
    <t xml:space="preserve">Q00450</t>
  </si>
  <si>
    <t xml:space="preserve">Q00451</t>
  </si>
  <si>
    <t xml:space="preserve">Q00452</t>
  </si>
  <si>
    <t xml:space="preserve">Q00453</t>
  </si>
  <si>
    <t xml:space="preserve">Q00454</t>
  </si>
  <si>
    <t xml:space="preserve">reach_rate: vendor_c; growth_rate: vendor_c</t>
  </si>
  <si>
    <t xml:space="preserve">vendor_b's record lacks a valid value for reach_rate, growth_rate; filled from vendor_c (fallback).</t>
  </si>
  <si>
    <t xml:space="preserve">Q00455</t>
  </si>
  <si>
    <t xml:space="preserve">Q00456</t>
  </si>
  <si>
    <t xml:space="preserve">Q00457</t>
  </si>
  <si>
    <t xml:space="preserve">Q00458</t>
  </si>
  <si>
    <t xml:space="preserve">Q00459</t>
  </si>
  <si>
    <t xml:space="preserve">Q00460</t>
  </si>
  <si>
    <t xml:space="preserve">Q00461</t>
  </si>
  <si>
    <t xml:space="preserve">Q00462</t>
  </si>
  <si>
    <t xml:space="preserve">Q00463</t>
  </si>
  <si>
    <t xml:space="preserve">Q00464</t>
  </si>
  <si>
    <t xml:space="preserve">Q00465</t>
  </si>
  <si>
    <t xml:space="preserve">Q00466</t>
  </si>
  <si>
    <t xml:space="preserve">handle, follower_count, reach_rate</t>
  </si>
  <si>
    <t xml:space="preserve">handle: vendor_c; follower_count: vendor_c; reach_rate: vendor_c</t>
  </si>
  <si>
    <t xml:space="preserve">vendor_b's record lacks a valid value for handle, follower_count, reach_rate; filled from vendor_c (fallback).</t>
  </si>
  <si>
    <t xml:space="preserve">Q00467</t>
  </si>
  <si>
    <t xml:space="preserve">Q00468</t>
  </si>
  <si>
    <t xml:space="preserve">Q00469</t>
  </si>
  <si>
    <t xml:space="preserve">Q00470</t>
  </si>
  <si>
    <t xml:space="preserve">Q00471</t>
  </si>
  <si>
    <t xml:space="preserve">Q00472</t>
  </si>
  <si>
    <t xml:space="preserve">Q00473</t>
  </si>
  <si>
    <t xml:space="preserve">Q00474</t>
  </si>
  <si>
    <t xml:space="preserve">Q00475</t>
  </si>
  <si>
    <t xml:space="preserve">Q00476</t>
  </si>
  <si>
    <t xml:space="preserve">Q00477</t>
  </si>
  <si>
    <t xml:space="preserve">Q00478</t>
  </si>
  <si>
    <t xml:space="preserve">Q00479</t>
  </si>
  <si>
    <t xml:space="preserve">Q00480</t>
  </si>
  <si>
    <t xml:space="preserve">Q00481</t>
  </si>
  <si>
    <t xml:space="preserve">Q00482</t>
  </si>
  <si>
    <t xml:space="preserve">Q00483</t>
  </si>
  <si>
    <t xml:space="preserve">Q00484</t>
  </si>
  <si>
    <t xml:space="preserve">Q00485</t>
  </si>
  <si>
    <t xml:space="preserve">Q00486</t>
  </si>
  <si>
    <t xml:space="preserve">Q00487</t>
  </si>
  <si>
    <t xml:space="preserve">Q00488</t>
  </si>
  <si>
    <t xml:space="preserve">Q00489</t>
  </si>
  <si>
    <t xml:space="preserve">Q00490</t>
  </si>
  <si>
    <t xml:space="preserve">Q00491</t>
  </si>
  <si>
    <t xml:space="preserve">Q00492</t>
  </si>
  <si>
    <t xml:space="preserve">Q00493</t>
  </si>
  <si>
    <t xml:space="preserve">Q00494</t>
  </si>
  <si>
    <t xml:space="preserve">Q00495</t>
  </si>
  <si>
    <t xml:space="preserve">Q00496</t>
  </si>
  <si>
    <t xml:space="preserve">Q00497</t>
  </si>
  <si>
    <t xml:space="preserve">Q00498</t>
  </si>
  <si>
    <t xml:space="preserve">Q00499</t>
  </si>
  <si>
    <t xml:space="preserve">Q00500</t>
  </si>
  <si>
    <t xml:space="preserve">Q00501</t>
  </si>
  <si>
    <t xml:space="preserve">Q00502</t>
  </si>
  <si>
    <t xml:space="preserve">Q00503</t>
  </si>
  <si>
    <t xml:space="preserve">Q00504</t>
  </si>
  <si>
    <t xml:space="preserve">Q00505</t>
  </si>
  <si>
    <t xml:space="preserve">Q00506</t>
  </si>
  <si>
    <t xml:space="preserve">Q00507</t>
  </si>
  <si>
    <t xml:space="preserve">Q00508</t>
  </si>
  <si>
    <t xml:space="preserve">Q00509</t>
  </si>
  <si>
    <t xml:space="preserve">Q00510</t>
  </si>
  <si>
    <t xml:space="preserve">Q00511</t>
  </si>
  <si>
    <t xml:space="preserve">follower_count, reach_rate, meaningful_eng_rate</t>
  </si>
  <si>
    <t xml:space="preserve">follower_count: vendor_a; reach_rate: vendor_a; meaningful_eng_rate: vendor_a</t>
  </si>
  <si>
    <t xml:space="preserve">vendor_b's record lacks a valid value for follower_count, reach_rate, meaningful_eng_rate; filled from vendor_a (fallback).</t>
  </si>
  <si>
    <t xml:space="preserve">Q00512</t>
  </si>
  <si>
    <t xml:space="preserve">Q00513</t>
  </si>
  <si>
    <t xml:space="preserve">Q00514</t>
  </si>
  <si>
    <t xml:space="preserve">Q00515</t>
  </si>
  <si>
    <t xml:space="preserve">Q00516</t>
  </si>
  <si>
    <t xml:space="preserve">Q00517</t>
  </si>
  <si>
    <t xml:space="preserve">Q00518</t>
  </si>
  <si>
    <t xml:space="preserve">Q00519</t>
  </si>
  <si>
    <t xml:space="preserve">Q00520</t>
  </si>
  <si>
    <t xml:space="preserve">Q00521</t>
  </si>
  <si>
    <t xml:space="preserve">Q00522</t>
  </si>
  <si>
    <t xml:space="preserve">Q00523</t>
  </si>
  <si>
    <t xml:space="preserve">Q00524</t>
  </si>
  <si>
    <t xml:space="preserve">Q00525</t>
  </si>
  <si>
    <t xml:space="preserve">Q00526</t>
  </si>
  <si>
    <t xml:space="preserve">Q00527</t>
  </si>
  <si>
    <t xml:space="preserve">Q00528</t>
  </si>
  <si>
    <t xml:space="preserve">Q00529</t>
  </si>
  <si>
    <t xml:space="preserve">Q00530</t>
  </si>
  <si>
    <t xml:space="preserve">Q00531</t>
  </si>
  <si>
    <t xml:space="preserve">Q00532</t>
  </si>
  <si>
    <t xml:space="preserve">Q00533</t>
  </si>
  <si>
    <t xml:space="preserve">Q00534</t>
  </si>
  <si>
    <t xml:space="preserve">Q00535</t>
  </si>
  <si>
    <t xml:space="preserve">Q00536</t>
  </si>
  <si>
    <t xml:space="preserve">Q00537</t>
  </si>
  <si>
    <t xml:space="preserve">Q00538</t>
  </si>
  <si>
    <t xml:space="preserve">Q00539</t>
  </si>
  <si>
    <t xml:space="preserve">Q00540</t>
  </si>
  <si>
    <t xml:space="preserve">Q00541</t>
  </si>
  <si>
    <t xml:space="preserve">Q00542</t>
  </si>
  <si>
    <t xml:space="preserve">Q00543</t>
  </si>
  <si>
    <t xml:space="preserve">Q00544</t>
  </si>
  <si>
    <t xml:space="preserve">Q00545</t>
  </si>
  <si>
    <t xml:space="preserve">Q00546</t>
  </si>
  <si>
    <t xml:space="preserve">Q00547</t>
  </si>
  <si>
    <t xml:space="preserve">Q00548</t>
  </si>
  <si>
    <t xml:space="preserve">Q00549</t>
  </si>
  <si>
    <t xml:space="preserve">Q00550</t>
  </si>
  <si>
    <t xml:space="preserve">Q00551</t>
  </si>
  <si>
    <t xml:space="preserve">Q00552</t>
  </si>
  <si>
    <t xml:space="preserve">Q00553</t>
  </si>
  <si>
    <t xml:space="preserve">Q00554</t>
  </si>
  <si>
    <t xml:space="preserve">Q00555</t>
  </si>
  <si>
    <t xml:space="preserve">Q00556</t>
  </si>
  <si>
    <t xml:space="preserve">Q00557</t>
  </si>
  <si>
    <t xml:space="preserve">Q00558</t>
  </si>
  <si>
    <t xml:space="preserve">Q00559</t>
  </si>
  <si>
    <t xml:space="preserve">Q00560</t>
  </si>
  <si>
    <t xml:space="preserve">Q00561</t>
  </si>
  <si>
    <t xml:space="preserve">Q00562</t>
  </si>
  <si>
    <t xml:space="preserve">Q00563</t>
  </si>
  <si>
    <t xml:space="preserve">Q00564</t>
  </si>
  <si>
    <t xml:space="preserve">Q00565</t>
  </si>
  <si>
    <t xml:space="preserve">Q00566</t>
  </si>
  <si>
    <t xml:space="preserve">Q00567</t>
  </si>
  <si>
    <t xml:space="preserve">Q00568</t>
  </si>
  <si>
    <t xml:space="preserve">Q00569</t>
  </si>
  <si>
    <t xml:space="preserve">Q00570</t>
  </si>
  <si>
    <t xml:space="preserve">Q00571</t>
  </si>
  <si>
    <t xml:space="preserve">Q00572</t>
  </si>
  <si>
    <t xml:space="preserve">Q00573</t>
  </si>
  <si>
    <t xml:space="preserve">Q00574</t>
  </si>
  <si>
    <t xml:space="preserve">Q00575</t>
  </si>
  <si>
    <t xml:space="preserve">Q00576</t>
  </si>
  <si>
    <t xml:space="preserve">Q00577</t>
  </si>
  <si>
    <t xml:space="preserve">Q00578</t>
  </si>
  <si>
    <t xml:space="preserve">Q00579</t>
  </si>
  <si>
    <t xml:space="preserve">Q00580</t>
  </si>
  <si>
    <t xml:space="preserve">Q00581</t>
  </si>
  <si>
    <t xml:space="preserve">Q00582</t>
  </si>
  <si>
    <t xml:space="preserve">Q00583</t>
  </si>
  <si>
    <t xml:space="preserve">Q00584</t>
  </si>
  <si>
    <t xml:space="preserve">Q00585</t>
  </si>
  <si>
    <t xml:space="preserve">Q00586</t>
  </si>
  <si>
    <t xml:space="preserve">Q00587</t>
  </si>
  <si>
    <t xml:space="preserve">Q00588</t>
  </si>
  <si>
    <t xml:space="preserve">Q00589</t>
  </si>
  <si>
    <t xml:space="preserve">Q00590</t>
  </si>
  <si>
    <t xml:space="preserve">Q00591</t>
  </si>
  <si>
    <t xml:space="preserve">Q00592</t>
  </si>
  <si>
    <t xml:space="preserve">Q00593</t>
  </si>
  <si>
    <t xml:space="preserve">Q00594</t>
  </si>
  <si>
    <t xml:space="preserve">Q00595</t>
  </si>
  <si>
    <t xml:space="preserve">Q00596</t>
  </si>
  <si>
    <t xml:space="preserve">Q00597</t>
  </si>
  <si>
    <t xml:space="preserve">Q00598</t>
  </si>
  <si>
    <t xml:space="preserve">Q00599</t>
  </si>
  <si>
    <t xml:space="preserve">Q00600</t>
  </si>
  <si>
    <t xml:space="preserve">Q00601</t>
  </si>
  <si>
    <t xml:space="preserve">Q00602</t>
  </si>
  <si>
    <t xml:space="preserve">Q00603</t>
  </si>
  <si>
    <t xml:space="preserve">Q00604</t>
  </si>
  <si>
    <t xml:space="preserve">Q00605</t>
  </si>
  <si>
    <t xml:space="preserve">Q00606</t>
  </si>
  <si>
    <t xml:space="preserve">Q00607</t>
  </si>
  <si>
    <t xml:space="preserve">Q00608</t>
  </si>
  <si>
    <t xml:space="preserve">Q00609</t>
  </si>
  <si>
    <t xml:space="preserve">Q00610</t>
  </si>
  <si>
    <t xml:space="preserve">Q00611</t>
  </si>
  <si>
    <t xml:space="preserve">Q00612</t>
  </si>
  <si>
    <t xml:space="preserve">Q00613</t>
  </si>
  <si>
    <t xml:space="preserve">Q00614</t>
  </si>
  <si>
    <t xml:space="preserve">Q00615</t>
  </si>
  <si>
    <t xml:space="preserve">Q00616</t>
  </si>
  <si>
    <t xml:space="preserve">Q00617</t>
  </si>
  <si>
    <t xml:space="preserve">Q00618</t>
  </si>
  <si>
    <t xml:space="preserve">Q00619</t>
  </si>
  <si>
    <t xml:space="preserve">Q00620</t>
  </si>
  <si>
    <t xml:space="preserve">Q00621</t>
  </si>
  <si>
    <t xml:space="preserve">Q00622</t>
  </si>
  <si>
    <t xml:space="preserve">Q00623</t>
  </si>
  <si>
    <t xml:space="preserve">Q00624</t>
  </si>
  <si>
    <t xml:space="preserve">Q00625</t>
  </si>
  <si>
    <t xml:space="preserve">Q00626</t>
  </si>
  <si>
    <t xml:space="preserve">Q00627</t>
  </si>
  <si>
    <t xml:space="preserve">Q00628</t>
  </si>
  <si>
    <t xml:space="preserve">Q00629</t>
  </si>
  <si>
    <t xml:space="preserve">Q00630</t>
  </si>
  <si>
    <t xml:space="preserve">Q00631</t>
  </si>
  <si>
    <t xml:space="preserve">Q00632</t>
  </si>
  <si>
    <t xml:space="preserve">Q00633</t>
  </si>
  <si>
    <t xml:space="preserve">Q00634</t>
  </si>
  <si>
    <t xml:space="preserve">Q00635</t>
  </si>
  <si>
    <t xml:space="preserve">Q00636</t>
  </si>
  <si>
    <t xml:space="preserve">Q00637</t>
  </si>
  <si>
    <t xml:space="preserve">Q00638</t>
  </si>
  <si>
    <t xml:space="preserve">Q00639</t>
  </si>
  <si>
    <t xml:space="preserve">Q00640</t>
  </si>
  <si>
    <t xml:space="preserve">Q00641</t>
  </si>
  <si>
    <t xml:space="preserve">Q00642</t>
  </si>
  <si>
    <t xml:space="preserve">Q00643</t>
  </si>
  <si>
    <t xml:space="preserve">Q00644</t>
  </si>
  <si>
    <t xml:space="preserve">Q00645</t>
  </si>
  <si>
    <t xml:space="preserve">Q00646</t>
  </si>
  <si>
    <t xml:space="preserve">Q00647</t>
  </si>
  <si>
    <t xml:space="preserve">Q00648</t>
  </si>
  <si>
    <t xml:space="preserve">Q00649</t>
  </si>
  <si>
    <t xml:space="preserve">Q00650</t>
  </si>
  <si>
    <t xml:space="preserve">Q00651</t>
  </si>
  <si>
    <t xml:space="preserve">Q00652</t>
  </si>
  <si>
    <t xml:space="preserve">Q00653</t>
  </si>
  <si>
    <t xml:space="preserve">Q00654</t>
  </si>
  <si>
    <t xml:space="preserve">Q00655</t>
  </si>
  <si>
    <t xml:space="preserve">Q00656</t>
  </si>
  <si>
    <t xml:space="preserve">Q00657</t>
  </si>
  <si>
    <t xml:space="preserve">Q00658</t>
  </si>
  <si>
    <t xml:space="preserve">Q00659</t>
  </si>
  <si>
    <t xml:space="preserve">Q00660</t>
  </si>
  <si>
    <t xml:space="preserve">Q00661</t>
  </si>
  <si>
    <t xml:space="preserve">Q00662</t>
  </si>
  <si>
    <t xml:space="preserve">Q00663</t>
  </si>
  <si>
    <t xml:space="preserve">Q00664</t>
  </si>
  <si>
    <t xml:space="preserve">Q00665</t>
  </si>
  <si>
    <t xml:space="preserve">Q00666</t>
  </si>
  <si>
    <t xml:space="preserve">handle, growth_rate, meaningful_eng_rate</t>
  </si>
  <si>
    <t xml:space="preserve">handle: vendor_a; growth_rate: vendor_a; meaningful_eng_rate: vendor_a</t>
  </si>
  <si>
    <t xml:space="preserve">vendor_b's record lacks a valid value for handle, growth_rate, meaningful_eng_rate; filled from vendor_a (fallback).</t>
  </si>
  <si>
    <t xml:space="preserve">Q00667</t>
  </si>
  <si>
    <t xml:space="preserve">Q00668</t>
  </si>
  <si>
    <t xml:space="preserve">Q00669</t>
  </si>
  <si>
    <t xml:space="preserve">Q00670</t>
  </si>
  <si>
    <t xml:space="preserve">Q00671</t>
  </si>
  <si>
    <t xml:space="preserve">Q00672</t>
  </si>
  <si>
    <t xml:space="preserve">Q00673</t>
  </si>
  <si>
    <t xml:space="preserve">Q00674</t>
  </si>
  <si>
    <t xml:space="preserve">Q00675</t>
  </si>
  <si>
    <t xml:space="preserve">handle: vendor_a; follower_count: vendor_a; reach_rate: vendor_c; growth_rate: vendor_a</t>
  </si>
  <si>
    <t xml:space="preserve">Q00676</t>
  </si>
  <si>
    <t xml:space="preserve">Q00677</t>
  </si>
  <si>
    <t xml:space="preserve">Q00678</t>
  </si>
  <si>
    <t xml:space="preserve">Q00679</t>
  </si>
  <si>
    <t xml:space="preserve">Q00680</t>
  </si>
  <si>
    <t xml:space="preserve">Q00681</t>
  </si>
  <si>
    <t xml:space="preserve">Q00682</t>
  </si>
  <si>
    <t xml:space="preserve">Q00683</t>
  </si>
  <si>
    <t xml:space="preserve">Q00684</t>
  </si>
  <si>
    <t xml:space="preserve">Q00685</t>
  </si>
  <si>
    <t xml:space="preserve">Q00686</t>
  </si>
  <si>
    <t xml:space="preserve">Q00687</t>
  </si>
  <si>
    <t xml:space="preserve">Q00688</t>
  </si>
  <si>
    <t xml:space="preserve">Q00689</t>
  </si>
  <si>
    <t xml:space="preserve">Q00690</t>
  </si>
  <si>
    <t xml:space="preserve">Q00691</t>
  </si>
  <si>
    <t xml:space="preserve">Q00692</t>
  </si>
  <si>
    <t xml:space="preserve">Q00693</t>
  </si>
  <si>
    <t xml:space="preserve">Q00694</t>
  </si>
  <si>
    <t xml:space="preserve">Q00695</t>
  </si>
  <si>
    <t xml:space="preserve">Q00696</t>
  </si>
  <si>
    <t xml:space="preserve">Q00697</t>
  </si>
  <si>
    <t xml:space="preserve">Q00698</t>
  </si>
  <si>
    <t xml:space="preserve">Q00699</t>
  </si>
  <si>
    <t xml:space="preserve">Q00700</t>
  </si>
  <si>
    <t xml:space="preserve">Q00701</t>
  </si>
  <si>
    <t xml:space="preserve">Q00702</t>
  </si>
  <si>
    <t xml:space="preserve">Q00703</t>
  </si>
  <si>
    <t xml:space="preserve">Q00704</t>
  </si>
  <si>
    <t xml:space="preserve">Q00705</t>
  </si>
  <si>
    <t xml:space="preserve">Q00706</t>
  </si>
  <si>
    <t xml:space="preserve">Q00707</t>
  </si>
  <si>
    <t xml:space="preserve">Q00708</t>
  </si>
  <si>
    <t xml:space="preserve">Q00709</t>
  </si>
  <si>
    <t xml:space="preserve">Q00710</t>
  </si>
  <si>
    <t xml:space="preserve">Q00711</t>
  </si>
  <si>
    <t xml:space="preserve">Q00712</t>
  </si>
  <si>
    <t xml:space="preserve">Q00713</t>
  </si>
  <si>
    <t xml:space="preserve">Q00714</t>
  </si>
  <si>
    <t xml:space="preserve">Q00715</t>
  </si>
  <si>
    <t xml:space="preserve">Q00716</t>
  </si>
  <si>
    <t xml:space="preserve">Q00717</t>
  </si>
  <si>
    <t xml:space="preserve">Q00718</t>
  </si>
  <si>
    <t xml:space="preserve">Q00719</t>
  </si>
  <si>
    <t xml:space="preserve">Q00720</t>
  </si>
  <si>
    <t xml:space="preserve">Q00721</t>
  </si>
  <si>
    <t xml:space="preserve">Q00722</t>
  </si>
  <si>
    <t xml:space="preserve">Q00723</t>
  </si>
  <si>
    <t xml:space="preserve">Q00724</t>
  </si>
  <si>
    <t xml:space="preserve">Q00725</t>
  </si>
  <si>
    <t xml:space="preserve">Q00726</t>
  </si>
  <si>
    <t xml:space="preserve">Q00727</t>
  </si>
  <si>
    <t xml:space="preserve">Q00728</t>
  </si>
  <si>
    <t xml:space="preserve">Q00729</t>
  </si>
  <si>
    <t xml:space="preserve">Q00730</t>
  </si>
  <si>
    <t xml:space="preserve">Q00731</t>
  </si>
  <si>
    <t xml:space="preserve">Q00732</t>
  </si>
  <si>
    <t xml:space="preserve">Q00733</t>
  </si>
  <si>
    <t xml:space="preserve">Q00734</t>
  </si>
  <si>
    <t xml:space="preserve">Q00735</t>
  </si>
  <si>
    <t xml:space="preserve">Q00736</t>
  </si>
  <si>
    <t xml:space="preserve">Q00737</t>
  </si>
  <si>
    <t xml:space="preserve">Q00738</t>
  </si>
  <si>
    <t xml:space="preserve">Q00739</t>
  </si>
  <si>
    <t xml:space="preserve">Q00740</t>
  </si>
  <si>
    <t xml:space="preserve">Q00741</t>
  </si>
  <si>
    <t xml:space="preserve">Q00742</t>
  </si>
  <si>
    <t xml:space="preserve">Q00743</t>
  </si>
  <si>
    <t xml:space="preserve">Q00744</t>
  </si>
  <si>
    <t xml:space="preserve">Q00745</t>
  </si>
  <si>
    <t xml:space="preserve">Q00746</t>
  </si>
  <si>
    <t xml:space="preserve">Q00747</t>
  </si>
  <si>
    <t xml:space="preserve">Q00748</t>
  </si>
  <si>
    <t xml:space="preserve">Q00749</t>
  </si>
  <si>
    <t xml:space="preserve">Q00750</t>
  </si>
  <si>
    <t xml:space="preserve">Q00751</t>
  </si>
  <si>
    <t xml:space="preserve">Q00752</t>
  </si>
  <si>
    <t xml:space="preserve">Q00753</t>
  </si>
  <si>
    <t xml:space="preserve">Q00754</t>
  </si>
  <si>
    <t xml:space="preserve">Q00755</t>
  </si>
  <si>
    <t xml:space="preserve">Q00756</t>
  </si>
  <si>
    <t xml:space="preserve">Q00757</t>
  </si>
  <si>
    <t xml:space="preserve">Q00758</t>
  </si>
  <si>
    <t xml:space="preserve">Q00759</t>
  </si>
  <si>
    <t xml:space="preserve">Q00760</t>
  </si>
  <si>
    <t xml:space="preserve">Q00761</t>
  </si>
  <si>
    <t xml:space="preserve">Q00762</t>
  </si>
  <si>
    <t xml:space="preserve">Q00763</t>
  </si>
  <si>
    <t xml:space="preserve">Q00764</t>
  </si>
  <si>
    <t xml:space="preserve">Q00765</t>
  </si>
  <si>
    <t xml:space="preserve">Q00766</t>
  </si>
  <si>
    <t xml:space="preserve">Q00767</t>
  </si>
  <si>
    <t xml:space="preserve">Q00768</t>
  </si>
  <si>
    <t xml:space="preserve">Q00769</t>
  </si>
  <si>
    <t xml:space="preserve">Q00770</t>
  </si>
  <si>
    <t xml:space="preserve">Q00771</t>
  </si>
  <si>
    <t xml:space="preserve">Q00772</t>
  </si>
  <si>
    <t xml:space="preserve">Q00773</t>
  </si>
  <si>
    <t xml:space="preserve">Q00774</t>
  </si>
  <si>
    <t xml:space="preserve">Q00775</t>
  </si>
  <si>
    <t xml:space="preserve">Q00776</t>
  </si>
  <si>
    <t xml:space="preserve">Q00777</t>
  </si>
  <si>
    <t xml:space="preserve">Q00778</t>
  </si>
  <si>
    <t xml:space="preserve">Q00779</t>
  </si>
  <si>
    <t xml:space="preserve">Q00780</t>
  </si>
  <si>
    <t xml:space="preserve">Q00781</t>
  </si>
  <si>
    <t xml:space="preserve">Q00782</t>
  </si>
  <si>
    <t xml:space="preserve">Q00783</t>
  </si>
  <si>
    <t xml:space="preserve">Q00784</t>
  </si>
  <si>
    <t xml:space="preserve">Q00785</t>
  </si>
  <si>
    <t xml:space="preserve">Q00786</t>
  </si>
  <si>
    <t xml:space="preserve">Q00787</t>
  </si>
  <si>
    <t xml:space="preserve">Q00788</t>
  </si>
  <si>
    <t xml:space="preserve">Q00789</t>
  </si>
  <si>
    <t xml:space="preserve">Q00790</t>
  </si>
  <si>
    <t xml:space="preserve">Q00791</t>
  </si>
  <si>
    <t xml:space="preserve">Q00792</t>
  </si>
  <si>
    <t xml:space="preserve">Q00793</t>
  </si>
  <si>
    <t xml:space="preserve">Reason codes and severities</t>
  </si>
  <si>
    <t xml:space="preserve">Severities and thresholds are set in config.yaml → qa_rules.</t>
  </si>
  <si>
    <t xml:space="preserve">Count this month</t>
  </si>
  <si>
    <t xml:space="preserve">What it means</t>
  </si>
  <si>
    <t xml:space="preserve">What to do</t>
  </si>
  <si>
    <t xml:space="preserve">Vendors report different accounts for the same creator-channel and no majority agrees.</t>
  </si>
  <si>
    <t xml:space="preserve">YELLOW</t>
  </si>
  <si>
    <t xml:space="preserve">Vendors disagreed on the account, but a majority agreed; the odd one out was dropped.</t>
  </si>
  <si>
    <t xml:space="preserve">No action needed. Spot-check if the dropped vendor often disagrees.</t>
  </si>
  <si>
    <t xml:space="preserve">Vendors' values differ beyond the threshold with no credible majority; value held back.</t>
  </si>
  <si>
    <t xml:space="preserve">One vendor's value was an outlier against two that agree; the agreeing value was used.</t>
  </si>
  <si>
    <t xml:space="preserve">No action needed. Watch for repeat outliers from the same vendor.</t>
  </si>
  <si>
    <t xml:space="preserve">Tier 1 couldn't supply the field (no record, stale, invalid or excluded); a lower tier did.</t>
  </si>
  <si>
    <t xml:space="preserve">No action needed. Tracked to monitor vendor coverage.</t>
  </si>
  <si>
    <t xml:space="preserve">HISTORICAL_ANOMALY</t>
  </si>
  <si>
    <t xml:space="preserve">Unusually large change vs the previous month; kept, since it can be genuine.</t>
  </si>
  <si>
    <t xml:space="preserve">No action needed. Worth a look if the creator is being shortlisted.</t>
  </si>
  <si>
    <t xml:space="preserve">Review audit trail (this month)</t>
  </si>
  <si>
    <t xml:space="preserve">Every human decision with the original values and what was accepted.</t>
  </si>
  <si>
    <t xml:space="preserve">Reviewed at (UTC)</t>
  </si>
  <si>
    <t xml:space="preserve">Original values</t>
  </si>
  <si>
    <t xml:space="preserve">{"vendor_c": "creator407_youtube", "vendor_b": "creator327_youtube"}</t>
  </si>
  <si>
    <t xml:space="preserve">{"vendor_c": "creator1248_instagram", "vendor_b": "creator1103_instagram"}</t>
  </si>
  <si>
    <t xml:space="preserve">{"vendor_c": "creator1262_youtube", "vendor_a": "creator1127_youtube"}</t>
  </si>
  <si>
    <t xml:space="preserve">{"vendor_c": "creator1484_tiktok", "vendor_b": "creator606_tiktok"}</t>
  </si>
  <si>
    <t xml:space="preserve">{"vendor_c": "creator243_youtube", "vendor_a": "creator322_youtube"}</t>
  </si>
  <si>
    <t xml:space="preserve">{"vendor_c": "creator1307_instagram", "vendor_b": "creator811_instagram"}</t>
  </si>
  <si>
    <t xml:space="preserve">{"vendor_c": "creator194_instagram", "vendor_b": "creator393_instagram"}</t>
  </si>
  <si>
    <t xml:space="preserve">{"vendor_a": "creator1193_tiktok", "vendor_b": "creator99_tiktok"}</t>
  </si>
  <si>
    <t xml:space="preserve">{"vendor_c": 296963.0, "vendor_b": 196210.0}</t>
  </si>
  <si>
    <t xml:space="preserve">296963.0</t>
  </si>
  <si>
    <t xml:space="preserve">{"vendor_a": 28401.0, "vendor_b": 16450.0}</t>
  </si>
  <si>
    <t xml:space="preserve">28401.0</t>
  </si>
  <si>
    <t xml:space="preserve">{"vendor_c": 159653.0, "vendor_b": 295980.0}</t>
  </si>
  <si>
    <t xml:space="preserve">159653.0</t>
  </si>
  <si>
    <t xml:space="preserve">{"vendor_c": 17016.0, "vendor_a": 10351.0}</t>
  </si>
  <si>
    <t xml:space="preserve">17016.0</t>
  </si>
  <si>
    <t xml:space="preserve">{"vendor_c": 46769.0, "vendor_b": 27980.0}</t>
  </si>
  <si>
    <t xml:space="preserve">27980.0</t>
  </si>
  <si>
    <t xml:space="preserve">{"vendor_c": 5306.0, "vendor_b": 10520.0}</t>
  </si>
  <si>
    <t xml:space="preserve">10520.0</t>
  </si>
  <si>
    <t xml:space="preserve">{"vendor_c": 14812.0, "vendor_b": 7710.0}</t>
  </si>
  <si>
    <t xml:space="preserve">14812.0</t>
  </si>
  <si>
    <t xml:space="preserve">{"vendor_a": 19368.0, "vendor_b": 11420.0}</t>
  </si>
  <si>
    <t xml:space="preserve">19368.0</t>
  </si>
  <si>
    <t xml:space="preserve">{"vendor_c": 31396.0, "vendor_a": 55938.0}</t>
  </si>
  <si>
    <t xml:space="preserve">31396.0</t>
  </si>
  <si>
    <t xml:space="preserve">{"vendor_c": 9417.0, "vendor_b": 15800.0}</t>
  </si>
  <si>
    <t xml:space="preserve">15800.0</t>
  </si>
  <si>
    <t xml:space="preserve">{"vendor_a": 44614.0, "vendor_b": 77380.0}</t>
  </si>
  <si>
    <t xml:space="preserve">77380.0</t>
  </si>
  <si>
    <t xml:space="preserve">{"vendor_c": 820317.0, "vendor_b": 422370.0}</t>
  </si>
  <si>
    <t xml:space="preserve">422370.0</t>
  </si>
  <si>
    <t xml:space="preserve">{"vendor_c": 3382.0, "vendor_a": 5017.0}</t>
  </si>
  <si>
    <t xml:space="preserve">3382.0</t>
  </si>
  <si>
    <t xml:space="preserve">{"vendor_c": 1892156.0, "vendor_a": 995565.0}</t>
  </si>
  <si>
    <t xml:space="preserve">995565.0</t>
  </si>
  <si>
    <t xml:space="preserve">{"vendor_c": 3604745.0, "vendor_b": 2208170.0}</t>
  </si>
  <si>
    <t xml:space="preserve">3604745.0</t>
  </si>
  <si>
    <t xml:space="preserve">{"vendor_c": 47424.0, "vendor_b": 27550.0}</t>
  </si>
  <si>
    <t xml:space="preserve">27550.0</t>
  </si>
  <si>
    <t xml:space="preserve">{"vendor_c": 17565.0, "vendor_b": 29540.0}</t>
  </si>
  <si>
    <t xml:space="preserve">17565.0</t>
  </si>
  <si>
    <t xml:space="preserve">{"vendor_a": 49575.0, "vendor_b": 88970.0}</t>
  </si>
  <si>
    <t xml:space="preserve">49575.0</t>
  </si>
  <si>
    <t xml:space="preserve">{"vendor_c": 11610.0, "vendor_b": 20640.0}</t>
  </si>
  <si>
    <t xml:space="preserve">20640.0</t>
  </si>
  <si>
    <t xml:space="preserve">{"vendor_a": 51228.0, "vendor_b": 30350.0}</t>
  </si>
  <si>
    <t xml:space="preserve">51228.0</t>
  </si>
  <si>
    <t xml:space="preserve">{"vendor_c": 133670.0, "vendor_b": 74520.0}</t>
  </si>
  <si>
    <t xml:space="preserve">74520.0</t>
  </si>
  <si>
    <t xml:space="preserve">{"vendor_a": 12340.0, "vendor_b": 23320.0}</t>
  </si>
  <si>
    <t xml:space="preserve">12340.0</t>
  </si>
  <si>
    <t xml:space="preserve">{"vendor_a": 16177.0, "vendor_b": 28400.0}</t>
  </si>
  <si>
    <t xml:space="preserve">28400.0</t>
  </si>
</sst>
</file>

<file path=xl/styles.xml><?xml version="1.0" encoding="utf-8"?>
<styleSheet xmlns="http://schemas.openxmlformats.org/spreadsheetml/2006/main">
  <numFmts count="9">
    <numFmt numFmtId="164" formatCode="General"/>
    <numFmt numFmtId="165" formatCode="#,##0"/>
    <numFmt numFmtId="166" formatCode="0.0%"/>
    <numFmt numFmtId="167" formatCode="0%"/>
    <numFmt numFmtId="168" formatCode="0"/>
    <numFmt numFmtId="169" formatCode="0.00\x"/>
    <numFmt numFmtId="170" formatCode="\+0.0%;\-0.0%;0.0%"/>
    <numFmt numFmtId="171" formatCode="0.00"/>
    <numFmt numFmtId="172" formatCode="0.000"/>
  </numFmts>
  <fonts count="16">
    <font>
      <sz val="11"/>
      <color theme="1"/>
      <name val="Calibri"/>
      <family val="2"/>
      <charset val="1"/>
    </font>
    <font>
      <sz val="10"/>
      <name val="Arial"/>
      <family val="0"/>
    </font>
    <font>
      <sz val="10"/>
      <name val="Arial"/>
      <family val="0"/>
    </font>
    <font>
      <sz val="10"/>
      <name val="Arial"/>
      <family val="0"/>
    </font>
    <font>
      <b val="true"/>
      <sz val="14"/>
      <color rgb="FF0A0A0A"/>
      <name val="Arial"/>
      <family val="0"/>
      <charset val="1"/>
    </font>
    <font>
      <sz val="11"/>
      <color theme="1"/>
      <name val="Arial"/>
      <family val="0"/>
      <charset val="1"/>
    </font>
    <font>
      <i val="true"/>
      <sz val="11"/>
      <color rgb="FF595959"/>
      <name val="Arial"/>
      <family val="0"/>
      <charset val="1"/>
    </font>
    <font>
      <b val="true"/>
      <sz val="11"/>
      <name val="Arial"/>
      <family val="0"/>
      <charset val="1"/>
    </font>
    <font>
      <b val="true"/>
      <sz val="11"/>
      <color rgb="FFFFFFFF"/>
      <name val="Arial"/>
      <family val="0"/>
      <charset val="1"/>
    </font>
    <font>
      <b val="true"/>
      <sz val="11"/>
      <color rgb="FF0A0A0A"/>
      <name val="Arial"/>
      <family val="0"/>
      <charset val="1"/>
    </font>
    <font>
      <b val="true"/>
      <sz val="11"/>
      <color rgb="FFC2410C"/>
      <name val="Arial"/>
      <family val="0"/>
      <charset val="1"/>
    </font>
    <font>
      <i val="true"/>
      <sz val="11"/>
      <color rgb="FF8C8C8C"/>
      <name val="Arial"/>
      <family val="0"/>
      <charset val="1"/>
    </font>
    <font>
      <sz val="11"/>
      <color rgb="FF0000FF"/>
      <name val="Arial"/>
      <family val="0"/>
      <charset val="1"/>
    </font>
    <font>
      <sz val="10"/>
      <name val="Arial"/>
      <family val="2"/>
    </font>
    <font>
      <sz val="11"/>
      <name val="Arial"/>
      <family val="0"/>
      <charset val="1"/>
    </font>
    <font>
      <b val="true"/>
      <sz val="14"/>
      <name val="Arial"/>
      <family val="0"/>
      <charset val="1"/>
    </font>
  </fonts>
  <fills count="8">
    <fill>
      <patternFill patternType="none"/>
    </fill>
    <fill>
      <patternFill patternType="gray125"/>
    </fill>
    <fill>
      <patternFill patternType="solid">
        <fgColor rgb="FF0A0A0A"/>
        <bgColor rgb="FF000000"/>
      </patternFill>
    </fill>
    <fill>
      <patternFill patternType="solid">
        <fgColor rgb="FFEA580C"/>
        <bgColor rgb="FFC2410C"/>
      </patternFill>
    </fill>
    <fill>
      <patternFill patternType="solid">
        <fgColor rgb="FFFDBA74"/>
        <bgColor rgb="FFFED7AA"/>
      </patternFill>
    </fill>
    <fill>
      <patternFill patternType="solid">
        <fgColor rgb="FFFED7AA"/>
        <bgColor rgb="FFD9D9D9"/>
      </patternFill>
    </fill>
    <fill>
      <patternFill patternType="solid">
        <fgColor rgb="FFFFF1E6"/>
        <bgColor rgb="FFF2F2F2"/>
      </patternFill>
    </fill>
    <fill>
      <patternFill patternType="solid">
        <fgColor rgb="FFF2F2F2"/>
        <bgColor rgb="FFFFF1E6"/>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5" fillId="4" borderId="0" xfId="0" applyFont="true" applyBorder="false" applyAlignment="false" applyProtection="false">
      <alignment horizontal="general" vertical="bottom" textRotation="0" wrapText="false" indent="0" shrinkToFit="false"/>
      <protection locked="true" hidden="false"/>
    </xf>
    <xf numFmtId="169" fontId="5" fillId="4"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70" fontId="5" fillId="4" borderId="0" xfId="0" applyFont="true" applyBorder="false" applyAlignment="false" applyProtection="false">
      <alignment horizontal="general" vertical="bottom" textRotation="0" wrapText="false" indent="0" shrinkToFit="false"/>
      <protection locked="true" hidden="false"/>
    </xf>
    <xf numFmtId="166" fontId="5"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9" fontId="5" fillId="7" borderId="0" xfId="0" applyFont="true" applyBorder="false" applyAlignment="false" applyProtection="false">
      <alignment horizontal="general" vertical="bottom" textRotation="0" wrapText="false" indent="0" shrinkToFit="false"/>
      <protection locked="true" hidden="false"/>
    </xf>
    <xf numFmtId="170" fontId="5" fillId="7" borderId="0" xfId="0" applyFont="true" applyBorder="false" applyAlignment="false" applyProtection="false">
      <alignment horizontal="general" vertical="bottom" textRotation="0" wrapText="false" indent="0" shrinkToFit="false"/>
      <protection locked="true" hidden="false"/>
    </xf>
    <xf numFmtId="166" fontId="5" fillId="7"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0" fontId="5" fillId="5" borderId="0" xfId="0" applyFont="true" applyBorder="false" applyAlignment="false" applyProtection="false">
      <alignment horizontal="general" vertical="bottom" textRotation="0" wrapText="false" indent="0" shrinkToFit="false"/>
      <protection locked="true" hidden="false"/>
    </xf>
    <xf numFmtId="165" fontId="5" fillId="5" borderId="0" xfId="0" applyFont="true" applyBorder="false" applyAlignment="false" applyProtection="false">
      <alignment horizontal="general" vertical="bottom" textRotation="0" wrapText="false" indent="0" shrinkToFit="false"/>
      <protection locked="true" hidden="false"/>
    </xf>
    <xf numFmtId="169" fontId="5" fillId="5" borderId="0" xfId="0" applyFont="true" applyBorder="false" applyAlignment="false" applyProtection="false">
      <alignment horizontal="general" vertical="bottom" textRotation="0" wrapText="false" indent="0" shrinkToFit="false"/>
      <protection locked="true" hidden="false"/>
    </xf>
    <xf numFmtId="166" fontId="5" fillId="5" borderId="0" xfId="0" applyFont="true" applyBorder="false" applyAlignment="false" applyProtection="false">
      <alignment horizontal="general" vertical="bottom" textRotation="0" wrapText="false" indent="0" shrinkToFit="false"/>
      <protection locked="true" hidden="false"/>
    </xf>
    <xf numFmtId="166" fontId="5" fillId="6" borderId="0" xfId="0" applyFont="true" applyBorder="false" applyAlignment="false" applyProtection="false">
      <alignment horizontal="general" vertical="bottom" textRotation="0" wrapText="false" indent="0" shrinkToFit="false"/>
      <protection locked="true" hidden="false"/>
    </xf>
    <xf numFmtId="165" fontId="5" fillId="6" borderId="0" xfId="0" applyFont="true" applyBorder="false" applyAlignment="false" applyProtection="false">
      <alignment horizontal="general" vertical="bottom" textRotation="0" wrapText="false" indent="0" shrinkToFit="false"/>
      <protection locked="true" hidden="false"/>
    </xf>
    <xf numFmtId="169" fontId="5" fillId="6" borderId="0" xfId="0" applyFont="true" applyBorder="false" applyAlignment="false" applyProtection="false">
      <alignment horizontal="general" vertical="bottom" textRotation="0" wrapText="false" indent="0" shrinkToFit="false"/>
      <protection locked="true" hidden="false"/>
    </xf>
    <xf numFmtId="170" fontId="5" fillId="6"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4" fillId="3" borderId="0" xfId="0" applyFont="true" applyBorder="false" applyAlignment="true" applyProtection="false">
      <alignment horizontal="general" vertical="top" textRotation="0" wrapText="true" indent="0" shrinkToFit="false"/>
      <protection locked="true" hidden="false"/>
    </xf>
    <xf numFmtId="164" fontId="14" fillId="5"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55">
    <dxf>
      <fill>
        <patternFill patternType="solid">
          <fgColor rgb="FF0A0A0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A580C"/>
          <bgColor rgb="FF000000"/>
        </patternFill>
      </fill>
    </dxf>
    <dxf>
      <fill>
        <patternFill patternType="solid">
          <fgColor rgb="FFFA7518"/>
          <bgColor rgb="FF000000"/>
        </patternFill>
      </fill>
    </dxf>
    <dxf>
      <fill>
        <patternFill patternType="solid">
          <fgColor rgb="FFFA751A"/>
          <bgColor rgb="FF000000"/>
        </patternFill>
      </fill>
    </dxf>
    <dxf>
      <fill>
        <patternFill patternType="solid">
          <fgColor rgb="FFFA771C"/>
          <bgColor rgb="FF000000"/>
        </patternFill>
      </fill>
    </dxf>
    <dxf>
      <fill>
        <patternFill patternType="solid">
          <fgColor rgb="FFFA791F"/>
          <bgColor rgb="FF000000"/>
        </patternFill>
      </fill>
    </dxf>
    <dxf>
      <fill>
        <patternFill patternType="solid">
          <fgColor rgb="FFFA7A21"/>
          <bgColor rgb="FF000000"/>
        </patternFill>
      </fill>
    </dxf>
    <dxf>
      <fill>
        <patternFill patternType="solid">
          <fgColor rgb="FFFA7B22"/>
          <bgColor rgb="FF000000"/>
        </patternFill>
      </fill>
    </dxf>
    <dxf>
      <fill>
        <patternFill patternType="solid">
          <fgColor rgb="FFFA7B23"/>
          <bgColor rgb="FF000000"/>
        </patternFill>
      </fill>
    </dxf>
    <dxf>
      <fill>
        <patternFill patternType="solid">
          <fgColor rgb="FFFA7C24"/>
          <bgColor rgb="FF000000"/>
        </patternFill>
      </fill>
    </dxf>
    <dxf>
      <fill>
        <patternFill patternType="solid">
          <fgColor rgb="FFFA7C25"/>
          <bgColor rgb="FF000000"/>
        </patternFill>
      </fill>
    </dxf>
    <dxf>
      <fill>
        <patternFill patternType="solid">
          <fgColor rgb="FFFA7E27"/>
          <bgColor rgb="FF000000"/>
        </patternFill>
      </fill>
    </dxf>
    <dxf>
      <fill>
        <patternFill patternType="solid">
          <fgColor rgb="FFFA7E28"/>
          <bgColor rgb="FF000000"/>
        </patternFill>
      </fill>
    </dxf>
    <dxf>
      <fill>
        <patternFill patternType="solid">
          <fgColor rgb="FFFA7F2A"/>
          <bgColor rgb="FF000000"/>
        </patternFill>
      </fill>
    </dxf>
    <dxf>
      <fill>
        <patternFill patternType="solid">
          <fgColor rgb="FFFA802B"/>
          <bgColor rgb="FF000000"/>
        </patternFill>
      </fill>
    </dxf>
    <dxf>
      <fill>
        <patternFill patternType="solid">
          <fgColor rgb="FFFA822E"/>
          <bgColor rgb="FF000000"/>
        </patternFill>
      </fill>
    </dxf>
    <dxf>
      <fill>
        <patternFill patternType="solid">
          <fgColor rgb="FFFA8433"/>
          <bgColor rgb="FF000000"/>
        </patternFill>
      </fill>
    </dxf>
    <dxf>
      <fill>
        <patternFill patternType="solid">
          <fgColor rgb="FFFA8533"/>
          <bgColor rgb="FF000000"/>
        </patternFill>
      </fill>
    </dxf>
    <dxf>
      <fill>
        <patternFill patternType="solid">
          <fgColor rgb="FFFA8635"/>
          <bgColor rgb="FF000000"/>
        </patternFill>
      </fill>
    </dxf>
    <dxf>
      <fill>
        <patternFill patternType="solid">
          <fgColor rgb="FFFA8737"/>
          <bgColor rgb="FF000000"/>
        </patternFill>
      </fill>
    </dxf>
    <dxf>
      <fill>
        <patternFill patternType="solid">
          <fgColor rgb="FFFA8738"/>
          <bgColor rgb="FF000000"/>
        </patternFill>
      </fill>
    </dxf>
    <dxf>
      <fill>
        <patternFill patternType="solid">
          <fgColor rgb="FFFA893B"/>
          <bgColor rgb="FF000000"/>
        </patternFill>
      </fill>
    </dxf>
    <dxf>
      <fill>
        <patternFill patternType="solid">
          <fgColor rgb="FFFA8A3C"/>
          <bgColor rgb="FF000000"/>
        </patternFill>
      </fill>
    </dxf>
    <dxf>
      <fill>
        <patternFill patternType="solid">
          <fgColor rgb="FFFB8B3E"/>
          <bgColor rgb="FF000000"/>
        </patternFill>
      </fill>
    </dxf>
    <dxf>
      <fill>
        <patternFill patternType="solid">
          <fgColor rgb="FFFB8E42"/>
          <bgColor rgb="FF000000"/>
        </patternFill>
      </fill>
    </dxf>
    <dxf>
      <fill>
        <patternFill patternType="solid">
          <fgColor rgb="FFFB8E43"/>
          <bgColor rgb="FF000000"/>
        </patternFill>
      </fill>
    </dxf>
    <dxf>
      <fill>
        <patternFill patternType="solid">
          <fgColor rgb="FFFB8F43"/>
          <bgColor rgb="FF000000"/>
        </patternFill>
      </fill>
    </dxf>
    <dxf>
      <fill>
        <patternFill patternType="solid">
          <fgColor rgb="FFFB8F45"/>
          <bgColor rgb="FF000000"/>
        </patternFill>
      </fill>
    </dxf>
    <dxf>
      <fill>
        <patternFill patternType="solid">
          <fgColor rgb="FFFB9046"/>
          <bgColor rgb="FF000000"/>
        </patternFill>
      </fill>
    </dxf>
    <dxf>
      <fill>
        <patternFill patternType="solid">
          <fgColor rgb="FFFB9249"/>
          <bgColor rgb="FF000000"/>
        </patternFill>
      </fill>
    </dxf>
    <dxf>
      <fill>
        <patternFill patternType="solid">
          <fgColor rgb="FFFB924A"/>
          <bgColor rgb="FF000000"/>
        </patternFill>
      </fill>
    </dxf>
    <dxf>
      <fill>
        <patternFill patternType="solid">
          <fgColor rgb="FFFB934B"/>
          <bgColor rgb="FF000000"/>
        </patternFill>
      </fill>
    </dxf>
    <dxf>
      <fill>
        <patternFill patternType="solid">
          <fgColor rgb="FFFB944D"/>
          <bgColor rgb="FF000000"/>
        </patternFill>
      </fill>
    </dxf>
    <dxf>
      <fill>
        <patternFill patternType="solid">
          <fgColor rgb="FFFB954D"/>
          <bgColor rgb="FF000000"/>
        </patternFill>
      </fill>
    </dxf>
    <dxf>
      <fill>
        <patternFill patternType="solid">
          <fgColor rgb="FFFB954E"/>
          <bgColor rgb="FF000000"/>
        </patternFill>
      </fill>
    </dxf>
    <dxf>
      <fill>
        <patternFill patternType="solid">
          <fgColor rgb="FFFB954F"/>
          <bgColor rgb="FF000000"/>
        </patternFill>
      </fill>
    </dxf>
    <dxf>
      <fill>
        <patternFill patternType="solid">
          <fgColor rgb="FFFB9650"/>
          <bgColor rgb="FF000000"/>
        </patternFill>
      </fill>
    </dxf>
    <dxf>
      <fill>
        <patternFill patternType="solid">
          <fgColor rgb="FFFB9751"/>
          <bgColor rgb="FF000000"/>
        </patternFill>
      </fill>
    </dxf>
    <dxf>
      <fill>
        <patternFill patternType="solid">
          <fgColor rgb="FFFB9752"/>
          <bgColor rgb="FF000000"/>
        </patternFill>
      </fill>
    </dxf>
    <dxf>
      <fill>
        <patternFill patternType="solid">
          <fgColor rgb="FFFB9853"/>
          <bgColor rgb="FF000000"/>
        </patternFill>
      </fill>
    </dxf>
    <dxf>
      <fill>
        <patternFill patternType="solid">
          <fgColor rgb="FFFB9854"/>
          <bgColor rgb="FF000000"/>
        </patternFill>
      </fill>
    </dxf>
    <dxf>
      <fill>
        <patternFill patternType="solid">
          <fgColor rgb="FFFB9955"/>
          <bgColor rgb="FF000000"/>
        </patternFill>
      </fill>
    </dxf>
    <dxf>
      <fill>
        <patternFill patternType="solid">
          <fgColor rgb="FFFB9956"/>
          <bgColor rgb="FF000000"/>
        </patternFill>
      </fill>
    </dxf>
    <dxf>
      <fill>
        <patternFill patternType="solid">
          <fgColor rgb="FFFB9A56"/>
          <bgColor rgb="FF000000"/>
        </patternFill>
      </fill>
    </dxf>
    <dxf>
      <fill>
        <patternFill patternType="solid">
          <fgColor rgb="FFFB9B58"/>
          <bgColor rgb="FF000000"/>
        </patternFill>
      </fill>
    </dxf>
    <dxf>
      <fill>
        <patternFill patternType="solid">
          <fgColor rgb="FFFB9C59"/>
          <bgColor rgb="FF000000"/>
        </patternFill>
      </fill>
    </dxf>
    <dxf>
      <fill>
        <patternFill patternType="solid">
          <fgColor rgb="FFFB9C5A"/>
          <bgColor rgb="FF000000"/>
        </patternFill>
      </fill>
    </dxf>
    <dxf>
      <fill>
        <patternFill patternType="solid">
          <fgColor rgb="FFFB9D5C"/>
          <bgColor rgb="FF000000"/>
        </patternFill>
      </fill>
    </dxf>
    <dxf>
      <fill>
        <patternFill patternType="solid">
          <fgColor rgb="FFFB9E5D"/>
          <bgColor rgb="FF000000"/>
        </patternFill>
      </fill>
    </dxf>
    <dxf>
      <fill>
        <patternFill patternType="solid">
          <fgColor rgb="FFFB9E5E"/>
          <bgColor rgb="FF000000"/>
        </patternFill>
      </fill>
    </dxf>
    <dxf>
      <fill>
        <patternFill patternType="solid">
          <fgColor rgb="FFFBA061"/>
          <bgColor rgb="FF000000"/>
        </patternFill>
      </fill>
    </dxf>
    <dxf>
      <fill>
        <patternFill patternType="solid">
          <fgColor rgb="FFFBA162"/>
          <bgColor rgb="FF000000"/>
        </patternFill>
      </fill>
    </dxf>
    <dxf>
      <fill>
        <patternFill patternType="solid">
          <fgColor rgb="FFFBA163"/>
          <bgColor rgb="FF000000"/>
        </patternFill>
      </fill>
    </dxf>
    <dxf>
      <fill>
        <patternFill patternType="solid">
          <fgColor rgb="FFFBA264"/>
          <bgColor rgb="FF000000"/>
        </patternFill>
      </fill>
    </dxf>
    <dxf>
      <fill>
        <patternFill patternType="solid">
          <fgColor rgb="FFFCA365"/>
          <bgColor rgb="FF000000"/>
        </patternFill>
      </fill>
    </dxf>
    <dxf>
      <fill>
        <patternFill patternType="solid">
          <fgColor rgb="FFFCA366"/>
          <bgColor rgb="FF000000"/>
        </patternFill>
      </fill>
    </dxf>
    <dxf>
      <fill>
        <patternFill patternType="solid">
          <fgColor rgb="FFFCA467"/>
          <bgColor rgb="FF000000"/>
        </patternFill>
      </fill>
    </dxf>
    <dxf>
      <fill>
        <patternFill patternType="solid">
          <fgColor rgb="FFFCA468"/>
          <bgColor rgb="FF000000"/>
        </patternFill>
      </fill>
    </dxf>
    <dxf>
      <fill>
        <patternFill patternType="solid">
          <fgColor rgb="FFFCA568"/>
          <bgColor rgb="FF000000"/>
        </patternFill>
      </fill>
    </dxf>
    <dxf>
      <fill>
        <patternFill patternType="solid">
          <fgColor rgb="FFFCA569"/>
          <bgColor rgb="FF000000"/>
        </patternFill>
      </fill>
    </dxf>
    <dxf>
      <fill>
        <patternFill patternType="solid">
          <fgColor rgb="FFFCA56A"/>
          <bgColor rgb="FF000000"/>
        </patternFill>
      </fill>
    </dxf>
    <dxf>
      <fill>
        <patternFill patternType="solid">
          <fgColor rgb="FFFCA66A"/>
          <bgColor rgb="FF000000"/>
        </patternFill>
      </fill>
    </dxf>
    <dxf>
      <fill>
        <patternFill patternType="solid">
          <fgColor rgb="FFFCA66B"/>
          <bgColor rgb="FF000000"/>
        </patternFill>
      </fill>
    </dxf>
    <dxf>
      <fill>
        <patternFill patternType="solid">
          <fgColor rgb="FFFCA76C"/>
          <bgColor rgb="FF000000"/>
        </patternFill>
      </fill>
    </dxf>
    <dxf>
      <fill>
        <patternFill patternType="solid">
          <fgColor rgb="FFFCA76D"/>
          <bgColor rgb="FF000000"/>
        </patternFill>
      </fill>
    </dxf>
    <dxf>
      <fill>
        <patternFill patternType="solid">
          <fgColor rgb="FFFCA86D"/>
          <bgColor rgb="FF000000"/>
        </patternFill>
      </fill>
    </dxf>
    <dxf>
      <fill>
        <patternFill patternType="solid">
          <fgColor rgb="FFFCA86E"/>
          <bgColor rgb="FF000000"/>
        </patternFill>
      </fill>
    </dxf>
    <dxf>
      <fill>
        <patternFill patternType="solid">
          <fgColor rgb="FFFCAA70"/>
          <bgColor rgb="FF000000"/>
        </patternFill>
      </fill>
    </dxf>
    <dxf>
      <fill>
        <patternFill patternType="solid">
          <fgColor rgb="FFFCAA71"/>
          <bgColor rgb="FF000000"/>
        </patternFill>
      </fill>
    </dxf>
    <dxf>
      <fill>
        <patternFill patternType="solid">
          <fgColor rgb="FFFCAA72"/>
          <bgColor rgb="FF000000"/>
        </patternFill>
      </fill>
    </dxf>
    <dxf>
      <fill>
        <patternFill patternType="solid">
          <fgColor rgb="FFFCAB72"/>
          <bgColor rgb="FF000000"/>
        </patternFill>
      </fill>
    </dxf>
    <dxf>
      <fill>
        <patternFill patternType="solid">
          <fgColor rgb="FFFCAB73"/>
          <bgColor rgb="FF000000"/>
        </patternFill>
      </fill>
    </dxf>
    <dxf>
      <fill>
        <patternFill patternType="solid">
          <fgColor rgb="FFFCAB74"/>
          <bgColor rgb="FF000000"/>
        </patternFill>
      </fill>
    </dxf>
    <dxf>
      <fill>
        <patternFill patternType="solid">
          <fgColor rgb="FFFCAC74"/>
          <bgColor rgb="FF000000"/>
        </patternFill>
      </fill>
    </dxf>
    <dxf>
      <fill>
        <patternFill patternType="solid">
          <fgColor rgb="FFFCAC75"/>
          <bgColor rgb="FF000000"/>
        </patternFill>
      </fill>
    </dxf>
    <dxf>
      <fill>
        <patternFill patternType="solid">
          <fgColor rgb="FFFCAD76"/>
          <bgColor rgb="FF000000"/>
        </patternFill>
      </fill>
    </dxf>
    <dxf>
      <fill>
        <patternFill patternType="solid">
          <fgColor rgb="FFFCAD77"/>
          <bgColor rgb="FF000000"/>
        </patternFill>
      </fill>
    </dxf>
    <dxf>
      <fill>
        <patternFill patternType="solid">
          <fgColor rgb="FFFCAF79"/>
          <bgColor rgb="FF000000"/>
        </patternFill>
      </fill>
    </dxf>
    <dxf>
      <fill>
        <patternFill patternType="solid">
          <fgColor rgb="FFFCAF7A"/>
          <bgColor rgb="FF000000"/>
        </patternFill>
      </fill>
    </dxf>
    <dxf>
      <fill>
        <patternFill patternType="solid">
          <fgColor rgb="FFFCB07B"/>
          <bgColor rgb="FF000000"/>
        </patternFill>
      </fill>
    </dxf>
    <dxf>
      <fill>
        <patternFill patternType="solid">
          <fgColor rgb="FFFCB07C"/>
          <bgColor rgb="FF000000"/>
        </patternFill>
      </fill>
    </dxf>
    <dxf>
      <fill>
        <patternFill patternType="solid">
          <fgColor rgb="FFFCB17C"/>
          <bgColor rgb="FF000000"/>
        </patternFill>
      </fill>
    </dxf>
    <dxf>
      <fill>
        <patternFill patternType="solid">
          <fgColor rgb="FFFCB17D"/>
          <bgColor rgb="FF000000"/>
        </patternFill>
      </fill>
    </dxf>
    <dxf>
      <fill>
        <patternFill patternType="solid">
          <fgColor rgb="FFFCB27E"/>
          <bgColor rgb="FF000000"/>
        </patternFill>
      </fill>
    </dxf>
    <dxf>
      <fill>
        <patternFill patternType="solid">
          <fgColor rgb="FFFCB27F"/>
          <bgColor rgb="FF000000"/>
        </patternFill>
      </fill>
    </dxf>
    <dxf>
      <fill>
        <patternFill patternType="solid">
          <fgColor rgb="FFFCB380"/>
          <bgColor rgb="FF000000"/>
        </patternFill>
      </fill>
    </dxf>
    <dxf>
      <fill>
        <patternFill patternType="solid">
          <fgColor rgb="FFFCB381"/>
          <bgColor rgb="FF000000"/>
        </patternFill>
      </fill>
    </dxf>
    <dxf>
      <fill>
        <patternFill patternType="solid">
          <fgColor rgb="FFFCB481"/>
          <bgColor rgb="FF000000"/>
        </patternFill>
      </fill>
    </dxf>
    <dxf>
      <fill>
        <patternFill patternType="solid">
          <fgColor rgb="FFFCB482"/>
          <bgColor rgb="FF000000"/>
        </patternFill>
      </fill>
    </dxf>
    <dxf>
      <fill>
        <patternFill patternType="solid">
          <fgColor rgb="FFFCB483"/>
          <bgColor rgb="FF000000"/>
        </patternFill>
      </fill>
    </dxf>
    <dxf>
      <fill>
        <patternFill patternType="solid">
          <fgColor rgb="FFFCB583"/>
          <bgColor rgb="FF000000"/>
        </patternFill>
      </fill>
    </dxf>
    <dxf>
      <fill>
        <patternFill patternType="solid">
          <fgColor rgb="FFFCB584"/>
          <bgColor rgb="FF000000"/>
        </patternFill>
      </fill>
    </dxf>
    <dxf>
      <fill>
        <patternFill patternType="solid">
          <fgColor rgb="FFFCB685"/>
          <bgColor rgb="FF000000"/>
        </patternFill>
      </fill>
    </dxf>
    <dxf>
      <fill>
        <patternFill patternType="solid">
          <fgColor rgb="FFFCB786"/>
          <bgColor rgb="FF000000"/>
        </patternFill>
      </fill>
    </dxf>
    <dxf>
      <fill>
        <patternFill patternType="solid">
          <fgColor rgb="FFFCB787"/>
          <bgColor rgb="FF000000"/>
        </patternFill>
      </fill>
    </dxf>
    <dxf>
      <fill>
        <patternFill patternType="solid">
          <fgColor rgb="FFFCB788"/>
          <bgColor rgb="FF000000"/>
        </patternFill>
      </fill>
    </dxf>
    <dxf>
      <fill>
        <patternFill patternType="solid">
          <fgColor rgb="FFFCB888"/>
          <bgColor rgb="FF000000"/>
        </patternFill>
      </fill>
    </dxf>
    <dxf>
      <fill>
        <patternFill patternType="solid">
          <fgColor rgb="FFFCB889"/>
          <bgColor rgb="FF000000"/>
        </patternFill>
      </fill>
    </dxf>
    <dxf>
      <fill>
        <patternFill patternType="solid">
          <fgColor rgb="FFFCB989"/>
          <bgColor rgb="FF000000"/>
        </patternFill>
      </fill>
    </dxf>
    <dxf>
      <fill>
        <patternFill patternType="solid">
          <fgColor rgb="FFFCB98A"/>
          <bgColor rgb="FF000000"/>
        </patternFill>
      </fill>
    </dxf>
    <dxf>
      <fill>
        <patternFill patternType="solid">
          <fgColor rgb="FFFDBA8B"/>
          <bgColor rgb="FF000000"/>
        </patternFill>
      </fill>
    </dxf>
    <dxf>
      <fill>
        <patternFill patternType="solid">
          <fgColor rgb="FFFDBA8C"/>
          <bgColor rgb="FF000000"/>
        </patternFill>
      </fill>
    </dxf>
    <dxf>
      <fill>
        <patternFill patternType="solid">
          <fgColor rgb="FFFDBA8D"/>
          <bgColor rgb="FF000000"/>
        </patternFill>
      </fill>
    </dxf>
    <dxf>
      <fill>
        <patternFill patternType="solid">
          <fgColor rgb="FFFDBB8E"/>
          <bgColor rgb="FF000000"/>
        </patternFill>
      </fill>
    </dxf>
    <dxf>
      <fill>
        <patternFill patternType="solid">
          <fgColor rgb="FFFDBC8F"/>
          <bgColor rgb="FF000000"/>
        </patternFill>
      </fill>
    </dxf>
    <dxf>
      <fill>
        <patternFill patternType="solid">
          <fgColor rgb="FFFDBD90"/>
          <bgColor rgb="FF000000"/>
        </patternFill>
      </fill>
    </dxf>
    <dxf>
      <fill>
        <patternFill patternType="solid">
          <fgColor rgb="FFFDBD91"/>
          <bgColor rgb="FF000000"/>
        </patternFill>
      </fill>
    </dxf>
    <dxf>
      <fill>
        <patternFill patternType="solid">
          <fgColor rgb="FFFDBE92"/>
          <bgColor rgb="FF000000"/>
        </patternFill>
      </fill>
    </dxf>
    <dxf>
      <fill>
        <patternFill patternType="solid">
          <fgColor rgb="FFFDBF94"/>
          <bgColor rgb="FF000000"/>
        </patternFill>
      </fill>
    </dxf>
    <dxf>
      <fill>
        <patternFill patternType="solid">
          <fgColor rgb="FFFDBF95"/>
          <bgColor rgb="FF000000"/>
        </patternFill>
      </fill>
    </dxf>
    <dxf>
      <fill>
        <patternFill patternType="solid">
          <fgColor rgb="FFFDC095"/>
          <bgColor rgb="FF000000"/>
        </patternFill>
      </fill>
    </dxf>
    <dxf>
      <fill>
        <patternFill patternType="solid">
          <fgColor rgb="FFFDC096"/>
          <bgColor rgb="FF000000"/>
        </patternFill>
      </fill>
    </dxf>
    <dxf>
      <fill>
        <patternFill patternType="solid">
          <fgColor rgb="FFFDC097"/>
          <bgColor rgb="FF000000"/>
        </patternFill>
      </fill>
    </dxf>
    <dxf>
      <fill>
        <patternFill patternType="solid">
          <fgColor rgb="FFFDC197"/>
          <bgColor rgb="FF000000"/>
        </patternFill>
      </fill>
    </dxf>
    <dxf>
      <fill>
        <patternFill patternType="solid">
          <fgColor rgb="FFFDC198"/>
          <bgColor rgb="FF000000"/>
        </patternFill>
      </fill>
    </dxf>
    <dxf>
      <fill>
        <patternFill patternType="solid">
          <fgColor rgb="FFFDC299"/>
          <bgColor rgb="FF000000"/>
        </patternFill>
      </fill>
    </dxf>
    <dxf>
      <fill>
        <patternFill patternType="solid">
          <fgColor rgb="FFFDC39A"/>
          <bgColor rgb="FF000000"/>
        </patternFill>
      </fill>
    </dxf>
    <dxf>
      <fill>
        <patternFill patternType="solid">
          <fgColor rgb="FFFDC39B"/>
          <bgColor rgb="FF000000"/>
        </patternFill>
      </fill>
    </dxf>
    <dxf>
      <fill>
        <patternFill patternType="solid">
          <fgColor rgb="FFFDC49C"/>
          <bgColor rgb="FF000000"/>
        </patternFill>
      </fill>
    </dxf>
    <dxf>
      <fill>
        <patternFill patternType="solid">
          <fgColor rgb="FFFDC49D"/>
          <bgColor rgb="FF000000"/>
        </patternFill>
      </fill>
    </dxf>
    <dxf>
      <fill>
        <patternFill patternType="solid">
          <fgColor rgb="FFFDC59E"/>
          <bgColor rgb="FF000000"/>
        </patternFill>
      </fill>
    </dxf>
    <dxf>
      <fill>
        <patternFill patternType="solid">
          <fgColor rgb="FFFDC59F"/>
          <bgColor rgb="FF000000"/>
        </patternFill>
      </fill>
    </dxf>
    <dxf>
      <fill>
        <patternFill patternType="solid">
          <fgColor rgb="FFFDC6A0"/>
          <bgColor rgb="FF000000"/>
        </patternFill>
      </fill>
    </dxf>
    <dxf>
      <fill>
        <patternFill patternType="solid">
          <fgColor rgb="FFFDC7A1"/>
          <bgColor rgb="FF000000"/>
        </patternFill>
      </fill>
    </dxf>
    <dxf>
      <fill>
        <patternFill patternType="solid">
          <fgColor rgb="FFFDC8A3"/>
          <bgColor rgb="FF000000"/>
        </patternFill>
      </fill>
    </dxf>
    <dxf>
      <fill>
        <patternFill patternType="solid">
          <fgColor rgb="FFFDC9A4"/>
          <bgColor rgb="FF000000"/>
        </patternFill>
      </fill>
    </dxf>
    <dxf>
      <fill>
        <patternFill patternType="solid">
          <fgColor rgb="FFFDC9A5"/>
          <bgColor rgb="FF000000"/>
        </patternFill>
      </fill>
    </dxf>
    <dxf>
      <fill>
        <patternFill patternType="solid">
          <fgColor rgb="FFFDCAA6"/>
          <bgColor rgb="FF000000"/>
        </patternFill>
      </fill>
    </dxf>
    <dxf>
      <fill>
        <patternFill patternType="solid">
          <fgColor rgb="FFFDCAA7"/>
          <bgColor rgb="FF000000"/>
        </patternFill>
      </fill>
    </dxf>
    <dxf>
      <fill>
        <patternFill patternType="solid">
          <fgColor rgb="FFFDCBA7"/>
          <bgColor rgb="FF000000"/>
        </patternFill>
      </fill>
    </dxf>
    <dxf>
      <fill>
        <patternFill patternType="solid">
          <fgColor rgb="FFFDCBA8"/>
          <bgColor rgb="FF000000"/>
        </patternFill>
      </fill>
    </dxf>
    <dxf>
      <fill>
        <patternFill patternType="solid">
          <fgColor rgb="FFFDCBA9"/>
          <bgColor rgb="FF000000"/>
        </patternFill>
      </fill>
    </dxf>
    <dxf>
      <fill>
        <patternFill patternType="solid">
          <fgColor rgb="FFFDCCAA"/>
          <bgColor rgb="FF000000"/>
        </patternFill>
      </fill>
    </dxf>
    <dxf>
      <fill>
        <patternFill patternType="solid">
          <fgColor rgb="FFFDCDAB"/>
          <bgColor rgb="FF000000"/>
        </patternFill>
      </fill>
    </dxf>
    <dxf>
      <fill>
        <patternFill patternType="solid">
          <fgColor rgb="FFFDCDAC"/>
          <bgColor rgb="FF000000"/>
        </patternFill>
      </fill>
    </dxf>
    <dxf>
      <fill>
        <patternFill patternType="solid">
          <fgColor rgb="FFFDCEAC"/>
          <bgColor rgb="FF000000"/>
        </patternFill>
      </fill>
    </dxf>
    <dxf>
      <fill>
        <patternFill patternType="solid">
          <fgColor rgb="FFFDCEAD"/>
          <bgColor rgb="FF000000"/>
        </patternFill>
      </fill>
    </dxf>
    <dxf>
      <fill>
        <patternFill patternType="solid">
          <fgColor rgb="FFFDCFAF"/>
          <bgColor rgb="FF000000"/>
        </patternFill>
      </fill>
    </dxf>
    <dxf>
      <fill>
        <patternFill patternType="solid">
          <fgColor rgb="FFFDCFB0"/>
          <bgColor rgb="FF000000"/>
        </patternFill>
      </fill>
    </dxf>
    <dxf>
      <fill>
        <patternFill patternType="solid">
          <fgColor rgb="FFFDD0B1"/>
          <bgColor rgb="FF000000"/>
        </patternFill>
      </fill>
    </dxf>
    <dxf>
      <fill>
        <patternFill patternType="solid">
          <fgColor rgb="FFFDD1B2"/>
          <bgColor rgb="FF000000"/>
        </patternFill>
      </fill>
    </dxf>
    <dxf>
      <fill>
        <patternFill patternType="solid">
          <fgColor rgb="FFFED2B3"/>
          <bgColor rgb="FF000000"/>
        </patternFill>
      </fill>
    </dxf>
    <dxf>
      <fill>
        <patternFill patternType="solid">
          <fgColor rgb="FFFED2B4"/>
          <bgColor rgb="FF000000"/>
        </patternFill>
      </fill>
    </dxf>
    <dxf>
      <fill>
        <patternFill patternType="solid">
          <fgColor rgb="FFFED3B5"/>
          <bgColor rgb="FF000000"/>
        </patternFill>
      </fill>
    </dxf>
    <dxf>
      <fill>
        <patternFill patternType="solid">
          <fgColor rgb="FFFED4B6"/>
          <bgColor rgb="FF000000"/>
        </patternFill>
      </fill>
    </dxf>
    <dxf>
      <fill>
        <patternFill patternType="solid">
          <fgColor rgb="FFFED4B7"/>
          <bgColor rgb="FF000000"/>
        </patternFill>
      </fill>
    </dxf>
    <dxf>
      <fill>
        <patternFill patternType="solid">
          <fgColor rgb="FFFED4B8"/>
          <bgColor rgb="FF000000"/>
        </patternFill>
      </fill>
    </dxf>
    <dxf>
      <fill>
        <patternFill patternType="solid">
          <fgColor rgb="FFFED5B9"/>
          <bgColor rgb="FF000000"/>
        </patternFill>
      </fill>
    </dxf>
    <dxf>
      <fill>
        <patternFill patternType="solid">
          <fgColor rgb="FFFED6BA"/>
          <bgColor rgb="FF000000"/>
        </patternFill>
      </fill>
    </dxf>
    <dxf>
      <fill>
        <patternFill patternType="solid">
          <fgColor rgb="FFFED6BB"/>
          <bgColor rgb="FF000000"/>
        </patternFill>
      </fill>
    </dxf>
    <dxf>
      <fill>
        <patternFill patternType="solid">
          <fgColor rgb="FFFED7BB"/>
          <bgColor rgb="FF000000"/>
        </patternFill>
      </fill>
    </dxf>
    <dxf>
      <fill>
        <patternFill patternType="solid">
          <fgColor rgb="FFFED7BC"/>
          <bgColor rgb="FF000000"/>
        </patternFill>
      </fill>
    </dxf>
    <dxf>
      <fill>
        <patternFill patternType="solid">
          <fgColor rgb="FFFED7BD"/>
          <bgColor rgb="FF000000"/>
        </patternFill>
      </fill>
    </dxf>
    <dxf>
      <fill>
        <patternFill patternType="solid">
          <fgColor rgb="FFFED8BD"/>
          <bgColor rgb="FF000000"/>
        </patternFill>
      </fill>
    </dxf>
    <dxf>
      <fill>
        <patternFill patternType="solid">
          <fgColor rgb="FFFED8BE"/>
          <bgColor rgb="FF000000"/>
        </patternFill>
      </fill>
    </dxf>
    <dxf>
      <fill>
        <patternFill patternType="solid">
          <fgColor rgb="FFFED9BF"/>
          <bgColor rgb="FF000000"/>
        </patternFill>
      </fill>
    </dxf>
    <dxf>
      <fill>
        <patternFill patternType="solid">
          <fgColor rgb="FFFED9C0"/>
          <bgColor rgb="FF000000"/>
        </patternFill>
      </fill>
    </dxf>
    <dxf>
      <fill>
        <patternFill patternType="solid">
          <fgColor rgb="FFFEDAC0"/>
          <bgColor rgb="FF000000"/>
        </patternFill>
      </fill>
    </dxf>
    <dxf>
      <fill>
        <patternFill patternType="solid">
          <fgColor rgb="FFFEDAC1"/>
          <bgColor rgb="FF000000"/>
        </patternFill>
      </fill>
    </dxf>
    <dxf>
      <fill>
        <patternFill patternType="solid">
          <fgColor rgb="FFFEDAC2"/>
          <bgColor rgb="FF000000"/>
        </patternFill>
      </fill>
    </dxf>
    <dxf>
      <fill>
        <patternFill patternType="solid">
          <fgColor rgb="FFFEDBC3"/>
          <bgColor rgb="FF000000"/>
        </patternFill>
      </fill>
    </dxf>
    <dxf>
      <fill>
        <patternFill patternType="solid">
          <fgColor rgb="FFFEDCC4"/>
          <bgColor rgb="FF000000"/>
        </patternFill>
      </fill>
    </dxf>
    <dxf>
      <fill>
        <patternFill patternType="solid">
          <fgColor rgb="FFFEDCC5"/>
          <bgColor rgb="FF000000"/>
        </patternFill>
      </fill>
    </dxf>
    <dxf>
      <fill>
        <patternFill patternType="solid">
          <fgColor rgb="FFFEDDC7"/>
          <bgColor rgb="FF000000"/>
        </patternFill>
      </fill>
    </dxf>
    <dxf>
      <fill>
        <patternFill patternType="solid">
          <fgColor rgb="FFFEDEC7"/>
          <bgColor rgb="FF000000"/>
        </patternFill>
      </fill>
    </dxf>
    <dxf>
      <fill>
        <patternFill patternType="solid">
          <fgColor rgb="FFFEDEC8"/>
          <bgColor rgb="FF000000"/>
        </patternFill>
      </fill>
    </dxf>
    <dxf>
      <fill>
        <patternFill patternType="solid">
          <fgColor rgb="FFFEDFC9"/>
          <bgColor rgb="FF000000"/>
        </patternFill>
      </fill>
    </dxf>
    <dxf>
      <fill>
        <patternFill patternType="solid">
          <fgColor rgb="FFFEE0CA"/>
          <bgColor rgb="FF000000"/>
        </patternFill>
      </fill>
    </dxf>
    <dxf>
      <fill>
        <patternFill patternType="solid">
          <fgColor rgb="FFFEE0CB"/>
          <bgColor rgb="FF000000"/>
        </patternFill>
      </fill>
    </dxf>
    <dxf>
      <fill>
        <patternFill patternType="solid">
          <fgColor rgb="FFFEE1CC"/>
          <bgColor rgb="FF000000"/>
        </patternFill>
      </fill>
    </dxf>
    <dxf>
      <fill>
        <patternFill patternType="solid">
          <fgColor rgb="FFFEE1CD"/>
          <bgColor rgb="FF000000"/>
        </patternFill>
      </fill>
    </dxf>
    <dxf>
      <fill>
        <patternFill patternType="solid">
          <fgColor rgb="FFFEE2CE"/>
          <bgColor rgb="FF000000"/>
        </patternFill>
      </fill>
    </dxf>
    <dxf>
      <fill>
        <patternFill patternType="solid">
          <fgColor rgb="FFFEE2CF"/>
          <bgColor rgb="FF000000"/>
        </patternFill>
      </fill>
    </dxf>
    <dxf>
      <fill>
        <patternFill patternType="solid">
          <fgColor rgb="FFFEE3CF"/>
          <bgColor rgb="FF000000"/>
        </patternFill>
      </fill>
    </dxf>
    <dxf>
      <fill>
        <patternFill patternType="solid">
          <fgColor rgb="FFFEE4D2"/>
          <bgColor rgb="FF000000"/>
        </patternFill>
      </fill>
    </dxf>
    <dxf>
      <fill>
        <patternFill patternType="solid">
          <fgColor rgb="FFFEE4D3"/>
          <bgColor rgb="FF000000"/>
        </patternFill>
      </fill>
    </dxf>
    <dxf>
      <fill>
        <patternFill patternType="solid">
          <fgColor rgb="FFFEE5D3"/>
          <bgColor rgb="FF000000"/>
        </patternFill>
      </fill>
    </dxf>
    <dxf>
      <fill>
        <patternFill patternType="solid">
          <fgColor rgb="FFFEE6D4"/>
          <bgColor rgb="FF000000"/>
        </patternFill>
      </fill>
    </dxf>
    <dxf>
      <fill>
        <patternFill patternType="solid">
          <fgColor rgb="FFFEE7D6"/>
          <bgColor rgb="FF000000"/>
        </patternFill>
      </fill>
    </dxf>
    <dxf>
      <fill>
        <patternFill patternType="solid">
          <fgColor rgb="FFFEE7D7"/>
          <bgColor rgb="FF000000"/>
        </patternFill>
      </fill>
    </dxf>
    <dxf>
      <fill>
        <patternFill patternType="solid">
          <fgColor rgb="FFFEE8D8"/>
          <bgColor rgb="FF000000"/>
        </patternFill>
      </fill>
    </dxf>
    <dxf>
      <fill>
        <patternFill patternType="solid">
          <fgColor rgb="FFFFE9D9"/>
          <bgColor rgb="FF000000"/>
        </patternFill>
      </fill>
    </dxf>
    <dxf>
      <fill>
        <patternFill patternType="solid">
          <fgColor rgb="FFFFEADB"/>
          <bgColor rgb="FF000000"/>
        </patternFill>
      </fill>
    </dxf>
    <dxf>
      <fill>
        <patternFill patternType="solid">
          <fgColor rgb="FFFFEADC"/>
          <bgColor rgb="FF000000"/>
        </patternFill>
      </fill>
    </dxf>
    <dxf>
      <fill>
        <patternFill patternType="solid">
          <fgColor rgb="FFFFEADD"/>
          <bgColor rgb="FF000000"/>
        </patternFill>
      </fill>
    </dxf>
    <dxf>
      <fill>
        <patternFill patternType="solid">
          <fgColor rgb="FFFFECDF"/>
          <bgColor rgb="FF000000"/>
        </patternFill>
      </fill>
    </dxf>
    <dxf>
      <fill>
        <patternFill patternType="solid">
          <fgColor rgb="FFFFEEE2"/>
          <bgColor rgb="FF000000"/>
        </patternFill>
      </fill>
    </dxf>
    <dxf>
      <fill>
        <patternFill patternType="solid">
          <fgColor rgb="FFFFEFE5"/>
          <bgColor rgb="FF000000"/>
        </patternFill>
      </fill>
    </dxf>
    <dxf>
      <fill>
        <patternFill patternType="solid">
          <fgColor rgb="FFFFF1E7"/>
          <bgColor rgb="FF000000"/>
        </patternFill>
      </fill>
    </dxf>
    <dxf>
      <fill>
        <patternFill patternType="solid">
          <fgColor rgb="FFFFFBF7"/>
          <bgColor rgb="FF000000"/>
        </patternFill>
      </fill>
    </dxf>
    <dxf>
      <fill>
        <patternFill patternType="solid">
          <fgColor rgb="FFFFFCF9"/>
          <bgColor rgb="FF000000"/>
        </patternFill>
      </fill>
    </dxf>
    <dxf>
      <fill>
        <patternFill patternType="solid">
          <fgColor rgb="FFFFFCFA"/>
          <bgColor rgb="FF000000"/>
        </patternFill>
      </fill>
    </dxf>
    <dxf>
      <fill>
        <patternFill patternType="solid">
          <fgColor rgb="FFFFFEFD"/>
          <bgColor rgb="FF000000"/>
        </patternFill>
      </fill>
    </dxf>
    <dxf>
      <fill>
        <patternFill patternType="solid">
          <fgColor rgb="FFF97316"/>
          <bgColor rgb="FF000000"/>
        </patternFill>
      </fill>
    </dxf>
    <dxf>
      <fill>
        <patternFill patternType="solid">
          <fgColor rgb="FFFA7418"/>
          <bgColor rgb="FF000000"/>
        </patternFill>
      </fill>
    </dxf>
    <dxf>
      <fill>
        <patternFill patternType="solid">
          <fgColor rgb="FFFA761A"/>
          <bgColor rgb="FF000000"/>
        </patternFill>
      </fill>
    </dxf>
    <dxf>
      <fill>
        <patternFill patternType="solid">
          <fgColor rgb="FFFA761B"/>
          <bgColor rgb="FF000000"/>
        </patternFill>
      </fill>
    </dxf>
    <dxf>
      <fill>
        <patternFill patternType="solid">
          <fgColor rgb="FFFA781E"/>
          <bgColor rgb="FF000000"/>
        </patternFill>
      </fill>
    </dxf>
    <dxf>
      <fill>
        <patternFill patternType="solid">
          <fgColor rgb="FFFA7B24"/>
          <bgColor rgb="FF000000"/>
        </patternFill>
      </fill>
    </dxf>
    <dxf>
      <fill>
        <patternFill patternType="solid">
          <fgColor rgb="FFFA812D"/>
          <bgColor rgb="FF000000"/>
        </patternFill>
      </fill>
    </dxf>
    <dxf>
      <fill>
        <patternFill patternType="solid">
          <fgColor rgb="FFFA812E"/>
          <bgColor rgb="FF000000"/>
        </patternFill>
      </fill>
    </dxf>
    <dxf>
      <fill>
        <patternFill patternType="solid">
          <fgColor rgb="FFFA8330"/>
          <bgColor rgb="FF000000"/>
        </patternFill>
      </fill>
    </dxf>
    <dxf>
      <fill>
        <patternFill patternType="solid">
          <fgColor rgb="FFFA8432"/>
          <bgColor rgb="FF000000"/>
        </patternFill>
      </fill>
    </dxf>
    <dxf>
      <fill>
        <patternFill patternType="solid">
          <fgColor rgb="FFFA8736"/>
          <bgColor rgb="FF000000"/>
        </patternFill>
      </fill>
    </dxf>
    <dxf>
      <fill>
        <patternFill patternType="solid">
          <fgColor rgb="FFFA8838"/>
          <bgColor rgb="FF000000"/>
        </patternFill>
      </fill>
    </dxf>
    <dxf>
      <fill>
        <patternFill patternType="solid">
          <fgColor rgb="FFFA8839"/>
          <bgColor rgb="FF000000"/>
        </patternFill>
      </fill>
    </dxf>
    <dxf>
      <fill>
        <patternFill patternType="solid">
          <fgColor rgb="FFFA893A"/>
          <bgColor rgb="FF000000"/>
        </patternFill>
      </fill>
    </dxf>
    <dxf>
      <fill>
        <patternFill patternType="solid">
          <fgColor rgb="FFFA8B3D"/>
          <bgColor rgb="FF000000"/>
        </patternFill>
      </fill>
    </dxf>
    <dxf>
      <fill>
        <patternFill patternType="solid">
          <fgColor rgb="FFFB8C40"/>
          <bgColor rgb="FF000000"/>
        </patternFill>
      </fill>
    </dxf>
    <dxf>
      <fill>
        <patternFill patternType="solid">
          <fgColor rgb="FFFB8D40"/>
          <bgColor rgb="FF000000"/>
        </patternFill>
      </fill>
    </dxf>
    <dxf>
      <fill>
        <patternFill patternType="solid">
          <fgColor rgb="FFFB8D41"/>
          <bgColor rgb="FF000000"/>
        </patternFill>
      </fill>
    </dxf>
    <dxf>
      <fill>
        <patternFill patternType="solid">
          <fgColor rgb="FFFB8D42"/>
          <bgColor rgb="FF000000"/>
        </patternFill>
      </fill>
    </dxf>
    <dxf>
      <fill>
        <patternFill patternType="solid">
          <fgColor rgb="FFFB8F44"/>
          <bgColor rgb="FF000000"/>
        </patternFill>
      </fill>
    </dxf>
    <dxf>
      <fill>
        <patternFill patternType="solid">
          <fgColor rgb="FFFB9047"/>
          <bgColor rgb="FF000000"/>
        </patternFill>
      </fill>
    </dxf>
    <dxf>
      <fill>
        <patternFill patternType="solid">
          <fgColor rgb="FFFB9148"/>
          <bgColor rgb="FF000000"/>
        </patternFill>
      </fill>
    </dxf>
    <dxf>
      <fill>
        <patternFill patternType="solid">
          <fgColor rgb="FFFB934A"/>
          <bgColor rgb="FF000000"/>
        </patternFill>
      </fill>
    </dxf>
    <dxf>
      <fill>
        <patternFill patternType="solid">
          <fgColor rgb="FFFB964F"/>
          <bgColor rgb="FF000000"/>
        </patternFill>
      </fill>
    </dxf>
    <dxf>
      <fill>
        <patternFill patternType="solid">
          <fgColor rgb="FFFB9A57"/>
          <bgColor rgb="FF000000"/>
        </patternFill>
      </fill>
    </dxf>
    <dxf>
      <fill>
        <patternFill patternType="solid">
          <fgColor rgb="FFFB9B59"/>
          <bgColor rgb="FF000000"/>
        </patternFill>
      </fill>
    </dxf>
    <dxf>
      <fill>
        <patternFill patternType="solid">
          <fgColor rgb="FFFB9C5B"/>
          <bgColor rgb="FF000000"/>
        </patternFill>
      </fill>
    </dxf>
    <dxf>
      <fill>
        <patternFill patternType="solid">
          <fgColor rgb="FFFB9D5B"/>
          <bgColor rgb="FF000000"/>
        </patternFill>
      </fill>
    </dxf>
    <dxf>
      <fill>
        <patternFill patternType="solid">
          <fgColor rgb="FFFB9F5E"/>
          <bgColor rgb="FF000000"/>
        </patternFill>
      </fill>
    </dxf>
    <dxf>
      <fill>
        <patternFill patternType="solid">
          <fgColor rgb="FFFB9F5F"/>
          <bgColor rgb="FF000000"/>
        </patternFill>
      </fill>
    </dxf>
    <dxf>
      <fill>
        <patternFill patternType="solid">
          <fgColor rgb="FFFCA86F"/>
          <bgColor rgb="FF000000"/>
        </patternFill>
      </fill>
    </dxf>
    <dxf>
      <fill>
        <patternFill patternType="solid">
          <fgColor rgb="FFFCA96F"/>
          <bgColor rgb="FF000000"/>
        </patternFill>
      </fill>
    </dxf>
    <dxf>
      <fill>
        <patternFill patternType="solid">
          <fgColor rgb="FFFCA970"/>
          <bgColor rgb="FF000000"/>
        </patternFill>
      </fill>
    </dxf>
    <dxf>
      <fill>
        <patternFill patternType="solid">
          <fgColor rgb="FFFCAE77"/>
          <bgColor rgb="FF000000"/>
        </patternFill>
      </fill>
    </dxf>
    <dxf>
      <fill>
        <patternFill patternType="solid">
          <fgColor rgb="FFFCAE78"/>
          <bgColor rgb="FF000000"/>
        </patternFill>
      </fill>
    </dxf>
    <dxf>
      <fill>
        <patternFill patternType="solid">
          <fgColor rgb="FFFCB98B"/>
          <bgColor rgb="FF000000"/>
        </patternFill>
      </fill>
    </dxf>
    <dxf>
      <fill>
        <patternFill patternType="solid">
          <fgColor rgb="FFFDBB8D"/>
          <bgColor rgb="FF000000"/>
        </patternFill>
      </fill>
    </dxf>
    <dxf>
      <fill>
        <patternFill patternType="solid">
          <fgColor rgb="FFFDBC8E"/>
          <bgColor rgb="FF000000"/>
        </patternFill>
      </fill>
    </dxf>
    <dxf>
      <fill>
        <patternFill patternType="solid">
          <fgColor rgb="FFFDBC90"/>
          <bgColor rgb="FF000000"/>
        </patternFill>
      </fill>
    </dxf>
    <dxf>
      <fill>
        <patternFill patternType="solid">
          <fgColor rgb="FFFDBE93"/>
          <bgColor rgb="FF000000"/>
        </patternFill>
      </fill>
    </dxf>
    <dxf>
      <fill>
        <patternFill patternType="solid">
          <fgColor rgb="FFFDC29A"/>
          <bgColor rgb="FF000000"/>
        </patternFill>
      </fill>
    </dxf>
    <dxf>
      <fill>
        <patternFill patternType="solid">
          <fgColor rgb="FFFDC39C"/>
          <bgColor rgb="FF000000"/>
        </patternFill>
      </fill>
    </dxf>
    <dxf>
      <fill>
        <patternFill patternType="solid">
          <fgColor rgb="FFFDC69F"/>
          <bgColor rgb="FF000000"/>
        </patternFill>
      </fill>
    </dxf>
    <dxf>
      <fill>
        <patternFill patternType="solid">
          <fgColor rgb="FFFDC7A2"/>
          <bgColor rgb="FF000000"/>
        </patternFill>
      </fill>
    </dxf>
    <dxf>
      <fill>
        <patternFill patternType="solid">
          <fgColor rgb="FFFDC8A4"/>
          <bgColor rgb="FF000000"/>
        </patternFill>
      </fill>
    </dxf>
    <dxf>
      <fill>
        <patternFill patternType="solid">
          <fgColor rgb="FFFDCCA9"/>
          <bgColor rgb="FF000000"/>
        </patternFill>
      </fill>
    </dxf>
    <dxf>
      <fill>
        <patternFill patternType="solid">
          <fgColor rgb="FFFDCEAE"/>
          <bgColor rgb="FF000000"/>
        </patternFill>
      </fill>
    </dxf>
    <dxf>
      <fill>
        <patternFill patternType="solid">
          <fgColor rgb="FFFDD1B1"/>
          <bgColor rgb="FF000000"/>
        </patternFill>
      </fill>
    </dxf>
    <dxf>
      <fill>
        <patternFill patternType="solid">
          <fgColor rgb="FFFED1B2"/>
          <bgColor rgb="FF000000"/>
        </patternFill>
      </fill>
    </dxf>
    <dxf>
      <fill>
        <patternFill patternType="solid">
          <fgColor rgb="FFFED5B8"/>
          <bgColor rgb="FF000000"/>
        </patternFill>
      </fill>
    </dxf>
    <dxf>
      <fill>
        <patternFill patternType="solid">
          <fgColor rgb="FFFEDDC6"/>
          <bgColor rgb="FF000000"/>
        </patternFill>
      </fill>
    </dxf>
    <dxf>
      <fill>
        <patternFill patternType="solid">
          <fgColor rgb="FFFEDFCA"/>
          <bgColor rgb="FF000000"/>
        </patternFill>
      </fill>
    </dxf>
    <dxf>
      <fill>
        <patternFill patternType="solid">
          <fgColor rgb="FFFEE3D0"/>
          <bgColor rgb="FF000000"/>
        </patternFill>
      </fill>
    </dxf>
    <dxf>
      <fill>
        <patternFill patternType="solid">
          <fgColor rgb="FFFEE3D1"/>
          <bgColor rgb="FF000000"/>
        </patternFill>
      </fill>
    </dxf>
    <dxf>
      <fill>
        <patternFill patternType="solid">
          <fgColor rgb="FFFEE5D4"/>
          <bgColor rgb="FF000000"/>
        </patternFill>
      </fill>
    </dxf>
    <dxf>
      <fill>
        <patternFill patternType="solid">
          <fgColor rgb="FFFEE6D5"/>
          <bgColor rgb="FF000000"/>
        </patternFill>
      </fill>
    </dxf>
    <dxf>
      <fill>
        <patternFill patternType="solid">
          <fgColor rgb="FFFEE6D6"/>
          <bgColor rgb="FF000000"/>
        </patternFill>
      </fill>
    </dxf>
    <dxf>
      <fill>
        <patternFill patternType="solid">
          <fgColor rgb="FFFFE8D9"/>
          <bgColor rgb="FF000000"/>
        </patternFill>
      </fill>
    </dxf>
    <dxf>
      <fill>
        <patternFill patternType="solid">
          <fgColor rgb="FFFFE9DA"/>
          <bgColor rgb="FF000000"/>
        </patternFill>
      </fill>
    </dxf>
    <dxf>
      <fill>
        <patternFill patternType="solid">
          <fgColor rgb="FFFFEBDD"/>
          <bgColor rgb="FF000000"/>
        </patternFill>
      </fill>
    </dxf>
    <dxf>
      <fill>
        <patternFill patternType="solid">
          <fgColor rgb="FFFFEBDE"/>
          <bgColor rgb="FF000000"/>
        </patternFill>
      </fill>
    </dxf>
    <dxf>
      <fill>
        <patternFill patternType="solid">
          <fgColor rgb="FFFFECE0"/>
          <bgColor rgb="FF000000"/>
        </patternFill>
      </fill>
    </dxf>
    <dxf>
      <fill>
        <patternFill patternType="solid">
          <fgColor rgb="FFFFEDE0"/>
          <bgColor rgb="FF000000"/>
        </patternFill>
      </fill>
    </dxf>
    <dxf>
      <fill>
        <patternFill patternType="solid">
          <fgColor rgb="FFFFEDE1"/>
          <bgColor rgb="FF000000"/>
        </patternFill>
      </fill>
    </dxf>
    <dxf>
      <fill>
        <patternFill patternType="solid">
          <fgColor rgb="FFFFF0E5"/>
          <bgColor rgb="FF000000"/>
        </patternFill>
      </fill>
    </dxf>
    <dxf>
      <fill>
        <patternFill patternType="solid">
          <fgColor rgb="FFFFF4EC"/>
          <bgColor rgb="FF000000"/>
        </patternFill>
      </fill>
    </dxf>
    <dxf>
      <fill>
        <patternFill patternType="solid">
          <fgColor rgb="FFFFF5EE"/>
          <bgColor rgb="FF000000"/>
        </patternFill>
      </fill>
    </dxf>
    <dxf>
      <fill>
        <patternFill patternType="solid">
          <fgColor rgb="FFFFF6EF"/>
          <bgColor rgb="FF000000"/>
        </patternFill>
      </fill>
    </dxf>
    <dxf>
      <fill>
        <patternFill patternType="solid">
          <fgColor rgb="FFFFF7F1"/>
          <bgColor rgb="FF000000"/>
        </patternFill>
      </fill>
    </dxf>
    <dxf>
      <fill>
        <patternFill patternType="solid">
          <fgColor rgb="FFFFF7F2"/>
          <bgColor rgb="FF000000"/>
        </patternFill>
      </fill>
    </dxf>
    <dxf>
      <fill>
        <patternFill patternType="solid">
          <fgColor rgb="FFFFF8F4"/>
          <bgColor rgb="FF000000"/>
        </patternFill>
      </fill>
    </dxf>
    <dxf>
      <fill>
        <patternFill patternType="solid">
          <fgColor rgb="FFFFF9F4"/>
          <bgColor rgb="FF000000"/>
        </patternFill>
      </fill>
    </dxf>
    <dxf>
      <fill>
        <patternFill patternType="solid">
          <fgColor rgb="FFFFFAF6"/>
          <bgColor rgb="FF000000"/>
        </patternFill>
      </fill>
    </dxf>
    <dxf>
      <fill>
        <patternFill patternType="solid">
          <fgColor rgb="FFFFFAF7"/>
          <bgColor rgb="FF000000"/>
        </patternFill>
      </fill>
    </dxf>
    <dxf>
      <fill>
        <patternFill patternType="solid">
          <fgColor rgb="FFFFFBF8"/>
          <bgColor rgb="FF000000"/>
        </patternFill>
      </fill>
    </dxf>
    <dxf>
      <fill>
        <patternFill patternType="solid">
          <fgColor rgb="FFFA7D26"/>
          <bgColor rgb="FF000000"/>
        </patternFill>
      </fill>
    </dxf>
    <dxf>
      <fill>
        <patternFill patternType="solid">
          <fgColor rgb="FFFA8331"/>
          <bgColor rgb="FF000000"/>
        </patternFill>
      </fill>
    </dxf>
    <dxf>
      <fill>
        <patternFill patternType="solid">
          <fgColor rgb="FFFB8C3F"/>
          <bgColor rgb="FF000000"/>
        </patternFill>
      </fill>
    </dxf>
    <dxf>
      <fill>
        <patternFill patternType="solid">
          <fgColor rgb="FFFB9045"/>
          <bgColor rgb="FF000000"/>
        </patternFill>
      </fill>
    </dxf>
    <dxf>
      <fill>
        <patternFill patternType="solid">
          <fgColor rgb="FFFBA060"/>
          <bgColor rgb="FF000000"/>
        </patternFill>
      </fill>
    </dxf>
    <dxf>
      <fill>
        <patternFill patternType="solid">
          <fgColor rgb="FFFBA263"/>
          <bgColor rgb="FF000000"/>
        </patternFill>
      </fill>
    </dxf>
    <dxf>
      <fill>
        <patternFill patternType="solid">
          <fgColor rgb="FFFCA466"/>
          <bgColor rgb="FF000000"/>
        </patternFill>
      </fill>
    </dxf>
    <dxf>
      <fill>
        <patternFill patternType="solid">
          <fgColor rgb="FFFCB686"/>
          <bgColor rgb="FF000000"/>
        </patternFill>
      </fill>
    </dxf>
    <dxf>
      <fill>
        <patternFill patternType="solid">
          <fgColor rgb="FFFDBF93"/>
          <bgColor rgb="FF000000"/>
        </patternFill>
      </fill>
    </dxf>
    <dxf>
      <fill>
        <patternFill patternType="solid">
          <fgColor rgb="FFFDCFAE"/>
          <bgColor rgb="FF000000"/>
        </patternFill>
      </fill>
    </dxf>
    <dxf>
      <fill>
        <patternFill patternType="solid">
          <fgColor rgb="FFFDD0B0"/>
          <bgColor rgb="FF000000"/>
        </patternFill>
      </fill>
    </dxf>
    <dxf>
      <fill>
        <patternFill patternType="solid">
          <fgColor rgb="FFFED1B3"/>
          <bgColor rgb="FF000000"/>
        </patternFill>
      </fill>
    </dxf>
    <dxf>
      <fill>
        <patternFill patternType="solid">
          <fgColor rgb="FFFEDBC2"/>
          <bgColor rgb="FF000000"/>
        </patternFill>
      </fill>
    </dxf>
    <dxf>
      <fill>
        <patternFill patternType="solid">
          <fgColor rgb="FFFEDEC9"/>
          <bgColor rgb="FF000000"/>
        </patternFill>
      </fill>
    </dxf>
    <dxf>
      <fill>
        <patternFill patternType="solid">
          <fgColor rgb="FFFEE0CC"/>
          <bgColor rgb="FF000000"/>
        </patternFill>
      </fill>
    </dxf>
    <dxf>
      <fill>
        <patternFill patternType="solid">
          <fgColor rgb="FFFEE4D1"/>
          <bgColor rgb="FF000000"/>
        </patternFill>
      </fill>
    </dxf>
    <dxf>
      <fill>
        <patternFill patternType="solid">
          <fgColor rgb="FFFEE8D9"/>
          <bgColor rgb="FF000000"/>
        </patternFill>
      </fill>
    </dxf>
    <dxf>
      <fill>
        <patternFill patternType="solid">
          <fgColor rgb="FFFFEEE3"/>
          <bgColor rgb="FF000000"/>
        </patternFill>
      </fill>
    </dxf>
    <dxf>
      <fill>
        <patternFill patternType="solid">
          <fgColor rgb="FFFFEFE4"/>
          <bgColor rgb="FF000000"/>
        </patternFill>
      </fill>
    </dxf>
    <dxf>
      <fill>
        <patternFill patternType="solid">
          <fgColor rgb="FFFFF0E6"/>
          <bgColor rgb="FF000000"/>
        </patternFill>
      </fill>
    </dxf>
    <dxf>
      <fill>
        <patternFill patternType="solid">
          <fgColor rgb="FFFFF1E8"/>
          <bgColor rgb="FF000000"/>
        </patternFill>
      </fill>
    </dxf>
    <dxf>
      <fill>
        <patternFill patternType="solid">
          <fgColor rgb="FFFFF2E8"/>
          <bgColor rgb="FF000000"/>
        </patternFill>
      </fill>
    </dxf>
    <dxf>
      <fill>
        <patternFill patternType="solid">
          <fgColor rgb="FFFFF3EB"/>
          <bgColor rgb="FF000000"/>
        </patternFill>
      </fill>
    </dxf>
    <dxf>
      <fill>
        <patternFill patternType="solid">
          <fgColor rgb="FFFFF6F0"/>
          <bgColor rgb="FF000000"/>
        </patternFill>
      </fill>
    </dxf>
    <dxf>
      <fill>
        <patternFill patternType="solid">
          <fgColor rgb="FFFFF8F2"/>
          <bgColor rgb="FF000000"/>
        </patternFill>
      </fill>
    </dxf>
    <dxf>
      <fill>
        <patternFill patternType="solid">
          <fgColor rgb="FFFFF9F5"/>
          <bgColor rgb="FF000000"/>
        </patternFill>
      </fill>
    </dxf>
    <dxf>
      <fill>
        <patternFill patternType="solid">
          <fgColor rgb="FFFDBA74"/>
          <bgColor rgb="FF000000"/>
        </patternFill>
      </fill>
    </dxf>
    <dxf>
      <fill>
        <patternFill patternType="solid">
          <fgColor rgb="FFFED7AA"/>
          <bgColor rgb="FF000000"/>
        </patternFill>
      </fill>
    </dxf>
    <dxf>
      <fill>
        <patternFill patternType="solid">
          <fgColor rgb="FFFFF1E6"/>
          <bgColor rgb="FF000000"/>
        </patternFill>
      </fill>
    </dxf>
    <dxf>
      <fill>
        <patternFill patternType="solid">
          <fgColor rgb="FFFA7417"/>
          <bgColor rgb="FF000000"/>
        </patternFill>
      </fill>
    </dxf>
    <dxf>
      <fill>
        <patternFill patternType="solid">
          <fgColor rgb="FFFA7519"/>
          <bgColor rgb="FF000000"/>
        </patternFill>
      </fill>
    </dxf>
    <dxf>
      <fill>
        <patternFill patternType="solid">
          <fgColor rgb="FFFA771D"/>
          <bgColor rgb="FF000000"/>
        </patternFill>
      </fill>
    </dxf>
    <dxf>
      <fill>
        <patternFill patternType="solid">
          <fgColor rgb="FFFA781D"/>
          <bgColor rgb="FF000000"/>
        </patternFill>
      </fill>
    </dxf>
    <dxf>
      <fill>
        <patternFill patternType="solid">
          <fgColor rgb="FFFA7920"/>
          <bgColor rgb="FF000000"/>
        </patternFill>
      </fill>
    </dxf>
    <dxf>
      <fill>
        <patternFill patternType="solid">
          <fgColor rgb="FFFA7A22"/>
          <bgColor rgb="FF000000"/>
        </patternFill>
      </fill>
    </dxf>
    <dxf>
      <fill>
        <patternFill patternType="solid">
          <fgColor rgb="FFFA7D27"/>
          <bgColor rgb="FF000000"/>
        </patternFill>
      </fill>
    </dxf>
    <dxf>
      <fill>
        <patternFill patternType="solid">
          <fgColor rgb="FFFA7E29"/>
          <bgColor rgb="FF000000"/>
        </patternFill>
      </fill>
    </dxf>
    <dxf>
      <fill>
        <patternFill patternType="solid">
          <fgColor rgb="FFFA7F29"/>
          <bgColor rgb="FF000000"/>
        </patternFill>
      </fill>
    </dxf>
    <dxf>
      <fill>
        <patternFill patternType="solid">
          <fgColor rgb="FFFA802C"/>
          <bgColor rgb="FF000000"/>
        </patternFill>
      </fill>
    </dxf>
    <dxf>
      <fill>
        <patternFill patternType="solid">
          <fgColor rgb="FFFA812C"/>
          <bgColor rgb="FF000000"/>
        </patternFill>
      </fill>
    </dxf>
    <dxf>
      <fill>
        <patternFill patternType="solid">
          <fgColor rgb="FFFA822F"/>
          <bgColor rgb="FF000000"/>
        </patternFill>
      </fill>
    </dxf>
    <dxf>
      <fill>
        <patternFill patternType="solid">
          <fgColor rgb="FFFA8431"/>
          <bgColor rgb="FF000000"/>
        </patternFill>
      </fill>
    </dxf>
    <dxf>
      <fill>
        <patternFill patternType="solid">
          <fgColor rgb="FFFA8534"/>
          <bgColor rgb="FF000000"/>
        </patternFill>
      </fill>
    </dxf>
    <dxf>
      <fill>
        <patternFill patternType="solid">
          <fgColor rgb="FFFB9147"/>
          <bgColor rgb="FF000000"/>
        </patternFill>
      </fill>
    </dxf>
    <dxf>
      <fill>
        <patternFill patternType="solid">
          <fgColor rgb="FFFB944C"/>
          <bgColor rgb="FF000000"/>
        </patternFill>
      </fill>
    </dxf>
    <dxf>
      <fill>
        <patternFill patternType="solid">
          <fgColor rgb="FFFB9651"/>
          <bgColor rgb="FF000000"/>
        </patternFill>
      </fill>
    </dxf>
    <dxf>
      <fill>
        <patternFill patternType="solid">
          <fgColor rgb="FFFB9F60"/>
          <bgColor rgb="FF000000"/>
        </patternFill>
      </fill>
    </dxf>
    <dxf>
      <fill>
        <patternFill patternType="solid">
          <fgColor rgb="FFFCB07A"/>
          <bgColor rgb="FF000000"/>
        </patternFill>
      </fill>
    </dxf>
    <dxf>
      <fill>
        <patternFill patternType="solid">
          <fgColor rgb="FFFFECDE"/>
          <bgColor rgb="FF000000"/>
        </patternFill>
      </fill>
    </dxf>
    <dxf>
      <fill>
        <patternFill patternType="solid">
          <fgColor rgb="FFFFEFE3"/>
          <bgColor rgb="FF000000"/>
        </patternFill>
      </fill>
    </dxf>
    <dxf>
      <fill>
        <patternFill patternType="solid">
          <fgColor rgb="FFFFF2E9"/>
          <bgColor rgb="FF000000"/>
        </patternFill>
      </fill>
    </dxf>
    <dxf>
      <fill>
        <patternFill patternType="solid">
          <fgColor rgb="FFFFF2EA"/>
          <bgColor rgb="FF000000"/>
        </patternFill>
      </fill>
    </dxf>
    <dxf>
      <fill>
        <patternFill patternType="solid">
          <fgColor rgb="FFFFF4ED"/>
          <bgColor rgb="FF000000"/>
        </patternFill>
      </fill>
    </dxf>
    <dxf>
      <fill>
        <patternFill patternType="solid">
          <fgColor rgb="FFFFF5ED"/>
          <bgColor rgb="FF000000"/>
        </patternFill>
      </fill>
    </dxf>
    <dxf>
      <fill>
        <patternFill patternType="solid">
          <fgColor rgb="FFFFF5EF"/>
          <bgColor rgb="FF000000"/>
        </patternFill>
      </fill>
    </dxf>
    <dxf>
      <fill>
        <patternFill patternType="solid">
          <fgColor rgb="FFFFF8F3"/>
          <bgColor rgb="FF000000"/>
        </patternFill>
      </fill>
    </dxf>
    <dxf>
      <fill>
        <patternFill patternType="solid">
          <fgColor rgb="FFFFFBF9"/>
          <bgColor rgb="FF000000"/>
        </patternFill>
      </fill>
    </dxf>
    <dxf>
      <fill>
        <patternFill patternType="solid">
          <fgColor rgb="FFFFFDFB"/>
          <bgColor rgb="FF000000"/>
        </patternFill>
      </fill>
    </dxf>
    <dxf>
      <fill>
        <patternFill patternType="solid">
          <fgColor rgb="FFFFFDFC"/>
          <bgColor rgb="FF000000"/>
        </patternFill>
      </fill>
    </dxf>
    <dxf>
      <fill>
        <patternFill patternType="solid">
          <fgColor rgb="FFFFFEFC"/>
          <bgColor rgb="FF000000"/>
        </patternFill>
      </fill>
    </dxf>
    <dxf>
      <fill>
        <patternFill patternType="solid">
          <fgColor rgb="FFFFFEFE"/>
          <bgColor rgb="FF000000"/>
        </patternFill>
      </fill>
    </dxf>
    <dxf>
      <fill>
        <patternFill patternType="solid">
          <fgColor rgb="FFFA8636"/>
          <bgColor rgb="FF000000"/>
        </patternFill>
      </fill>
    </dxf>
    <dxf>
      <fill>
        <patternFill patternType="solid">
          <fgColor rgb="FFFA8A3B"/>
          <bgColor rgb="FF000000"/>
        </patternFill>
      </fill>
    </dxf>
    <dxf>
      <fill>
        <patternFill patternType="solid">
          <fgColor rgb="FFFA8A3D"/>
          <bgColor rgb="FF000000"/>
        </patternFill>
      </fill>
    </dxf>
    <dxf>
      <fill>
        <patternFill patternType="solid">
          <fgColor rgb="FFFB9954"/>
          <bgColor rgb="FF000000"/>
        </patternFill>
      </fill>
    </dxf>
    <dxf>
      <fill>
        <patternFill patternType="solid">
          <fgColor rgb="FFFCAE79"/>
          <bgColor rgb="FF000000"/>
        </patternFill>
      </fill>
    </dxf>
    <dxf>
      <fill>
        <patternFill patternType="solid">
          <fgColor rgb="FFFDC9A6"/>
          <bgColor rgb="FF000000"/>
        </patternFill>
      </fill>
    </dxf>
    <dxf>
      <fill>
        <patternFill patternType="solid">
          <fgColor rgb="FFFED3B6"/>
          <bgColor rgb="FF000000"/>
        </patternFill>
      </fill>
    </dxf>
    <dxf>
      <fill>
        <patternFill patternType="solid">
          <fgColor rgb="FFFED5BA"/>
          <bgColor rgb="FF000000"/>
        </patternFill>
      </fill>
    </dxf>
    <dxf>
      <fill>
        <patternFill patternType="solid">
          <fgColor rgb="FFFFE9DB"/>
          <bgColor rgb="FF000000"/>
        </patternFill>
      </fill>
    </dxf>
    <dxf>
      <fill>
        <patternFill patternType="solid">
          <fgColor rgb="FFFFFFFE"/>
          <bgColor rgb="FF000000"/>
        </patternFill>
      </fill>
    </dxf>
    <dxf>
      <fill>
        <patternFill patternType="solid">
          <fgColor rgb="FF8C8C8C"/>
          <bgColor rgb="FF000000"/>
        </patternFill>
      </fill>
    </dxf>
    <dxf>
      <fill>
        <patternFill patternType="solid">
          <fgColor rgb="FFFA781F"/>
          <bgColor rgb="FF000000"/>
        </patternFill>
      </fill>
    </dxf>
    <dxf>
      <fill>
        <patternFill patternType="solid">
          <fgColor rgb="FFFB934C"/>
          <bgColor rgb="FF000000"/>
        </patternFill>
      </fill>
    </dxf>
    <dxf>
      <fill>
        <patternFill patternType="solid">
          <fgColor rgb="FFFEDDC5"/>
          <bgColor rgb="FF000000"/>
        </patternFill>
      </fill>
    </dxf>
    <dxf>
      <fill>
        <patternFill patternType="solid">
          <fgColor rgb="FFFFF3EA"/>
          <bgColor rgb="FF000000"/>
        </patternFill>
      </fill>
    </dxf>
    <dxf>
      <fill>
        <patternFill patternType="solid">
          <fgColor rgb="FFC2410C"/>
          <bgColor rgb="FF000000"/>
        </patternFill>
      </fill>
    </dxf>
    <dxf>
      <fill>
        <patternFill patternType="solid">
          <fgColor rgb="FFFCA264"/>
          <bgColor rgb="FF000000"/>
        </patternFill>
      </fill>
    </dxf>
    <dxf>
      <fill>
        <patternFill patternType="solid">
          <fgColor rgb="FFFCB684"/>
          <bgColor rgb="FF000000"/>
        </patternFill>
      </fill>
    </dxf>
    <dxf>
      <fill>
        <patternFill patternType="solid">
          <fgColor rgb="FFFDBD92"/>
          <bgColor rgb="FF000000"/>
        </patternFill>
      </fill>
    </dxf>
    <dxf>
      <fill>
        <patternFill patternType="solid">
          <fgColor rgb="FFFB8B3D"/>
          <bgColor rgb="FF000000"/>
        </patternFill>
      </fill>
    </dxf>
    <dxf>
      <fill>
        <patternFill patternType="solid">
          <fgColor rgb="FFFCA265"/>
          <bgColor rgb="FF000000"/>
        </patternFill>
      </fill>
    </dxf>
    <dxf>
      <fill>
        <patternFill patternType="solid">
          <fgColor rgb="FFFDC59D"/>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1E6"/>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DBA74"/>
      <rgbColor rgb="FFCC99FF"/>
      <rgbColor rgb="FFFED7AA"/>
      <rgbColor rgb="FF3366FF"/>
      <rgbColor rgb="FF33CCCC"/>
      <rgbColor rgb="FF99CC00"/>
      <rgbColor rgb="FFFFCC00"/>
      <rgbColor rgb="FFFF9900"/>
      <rgbColor rgb="FFEA580C"/>
      <rgbColor rgb="FF595959"/>
      <rgbColor rgb="FF8C8C8C"/>
      <rgbColor rgb="FF003366"/>
      <rgbColor rgb="FF339966"/>
      <rgbColor rgb="FF0A0A0A"/>
      <rgbColor rgb="FF333300"/>
      <rgbColor rgb="FFC2410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1.v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3.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2"/>
    <col collapsed="false" customWidth="true" hidden="false" outlineLevel="0" max="3" min="3" style="0" width="50"/>
    <col collapsed="false" customWidth="true" hidden="false" outlineLevel="0" max="4" min="4" style="0" width="60"/>
  </cols>
  <sheetData>
    <row r="1" customFormat="false" ht="17.35" hidden="false" customHeight="false" outlineLevel="0" collapsed="false">
      <c r="A1" s="1" t="s">
        <v>0</v>
      </c>
      <c r="B1" s="2"/>
      <c r="C1" s="2"/>
      <c r="D1" s="2"/>
    </row>
    <row r="2" customFormat="false" ht="15" hidden="false" customHeight="false" outlineLevel="0" collapsed="false">
      <c r="A2" s="3" t="s">
        <v>1</v>
      </c>
      <c r="B2" s="2"/>
      <c r="C2" s="2"/>
      <c r="D2" s="2"/>
    </row>
    <row r="3" customFormat="false" ht="15" hidden="false" customHeight="false" outlineLevel="0" collapsed="false">
      <c r="A3" s="2"/>
      <c r="B3" s="2"/>
      <c r="C3" s="2"/>
      <c r="D3" s="2"/>
    </row>
    <row r="4" customFormat="false" ht="15" hidden="false" customHeight="false" outlineLevel="0" collapsed="false">
      <c r="A4" s="4" t="s">
        <v>2</v>
      </c>
      <c r="B4" s="5" t="n">
        <f aca="false">COUNTA(Creators!A5:A804)</f>
        <v>800</v>
      </c>
      <c r="C4" s="2"/>
      <c r="D4" s="2"/>
    </row>
    <row r="5" customFormat="false" ht="15" hidden="false" customHeight="false" outlineLevel="0" collapsed="false">
      <c r="A5" s="4" t="s">
        <v>3</v>
      </c>
      <c r="B5" s="5" t="n">
        <f aca="false">COUNTA(Channels!A5:A1893)</f>
        <v>1889</v>
      </c>
      <c r="C5" s="2"/>
      <c r="D5" s="2"/>
    </row>
    <row r="6" customFormat="false" ht="15" hidden="false" customHeight="false" outlineLevel="0" collapsed="false">
      <c r="A6" s="4" t="s">
        <v>4</v>
      </c>
      <c r="B6" s="5" t="n">
        <f aca="false">COUNTIF(Creators!H5:H804,"Yes")</f>
        <v>355</v>
      </c>
      <c r="C6" s="2"/>
      <c r="D6" s="2"/>
    </row>
    <row r="7" customFormat="false" ht="15" hidden="false" customHeight="false" outlineLevel="0" collapsed="false">
      <c r="A7" s="4" t="s">
        <v>5</v>
      </c>
      <c r="B7" s="6" t="n">
        <f aca="false">IFERROR(B6/B4,0)</f>
        <v>0.44375</v>
      </c>
      <c r="C7" s="2"/>
      <c r="D7" s="2"/>
    </row>
    <row r="8" customFormat="false" ht="15" hidden="false" customHeight="false" outlineLevel="0" collapsed="false">
      <c r="A8" s="4" t="s">
        <v>6</v>
      </c>
      <c r="B8" s="5" t="n">
        <f aca="false">COUNTIF(Channels!M5:M1893,"Yes")</f>
        <v>1332</v>
      </c>
      <c r="C8" s="2"/>
      <c r="D8" s="2"/>
    </row>
    <row r="9" customFormat="false" ht="15" hidden="false" customHeight="false" outlineLevel="0" collapsed="false">
      <c r="A9" s="4" t="s">
        <v>7</v>
      </c>
      <c r="B9" s="6" t="n">
        <f aca="false">IFERROR(B8/B5,0)</f>
        <v>0.705134992059291</v>
      </c>
      <c r="C9" s="2"/>
      <c r="D9" s="2"/>
    </row>
    <row r="10" customFormat="false" ht="15" hidden="false" customHeight="false" outlineLevel="0" collapsed="false">
      <c r="A10" s="4" t="s">
        <v>8</v>
      </c>
      <c r="B10" s="5" t="n">
        <f aca="false">COUNTA(Gaps!A5:A577)</f>
        <v>573</v>
      </c>
      <c r="C10" s="2"/>
      <c r="D10" s="2"/>
    </row>
    <row r="11" customFormat="false" ht="15" hidden="false" customHeight="false" outlineLevel="0" collapsed="false">
      <c r="A11" s="4" t="s">
        <v>9</v>
      </c>
      <c r="B11" s="7" t="s">
        <v>10</v>
      </c>
      <c r="C11" s="2"/>
      <c r="D11" s="2"/>
    </row>
    <row r="12" customFormat="false" ht="15" hidden="false" customHeight="false" outlineLevel="0" collapsed="false">
      <c r="A12" s="2"/>
      <c r="B12" s="2"/>
      <c r="C12" s="2"/>
      <c r="D12" s="2"/>
    </row>
    <row r="13" customFormat="false" ht="15" hidden="false" customHeight="false" outlineLevel="0" collapsed="false">
      <c r="A13" s="2"/>
      <c r="B13" s="2"/>
      <c r="C13" s="2"/>
      <c r="D13" s="2"/>
    </row>
    <row r="14" customFormat="false" ht="15" hidden="false" customHeight="false" outlineLevel="0" collapsed="false">
      <c r="A14" s="4" t="s">
        <v>11</v>
      </c>
      <c r="B14" s="2"/>
      <c r="C14" s="2"/>
      <c r="D14" s="2"/>
    </row>
    <row r="15" customFormat="false" ht="31.5" hidden="false" customHeight="true" outlineLevel="0" collapsed="false">
      <c r="A15" s="8" t="s">
        <v>12</v>
      </c>
      <c r="B15" s="8" t="s">
        <v>13</v>
      </c>
      <c r="C15" s="8" t="s">
        <v>14</v>
      </c>
      <c r="D15" s="8" t="s">
        <v>15</v>
      </c>
    </row>
    <row r="16" customFormat="false" ht="15" hidden="false" customHeight="false" outlineLevel="0" collapsed="false">
      <c r="A16" s="2" t="s">
        <v>16</v>
      </c>
      <c r="B16" s="2" t="s">
        <v>17</v>
      </c>
      <c r="C16" s="9" t="n">
        <v>1</v>
      </c>
      <c r="D16" s="2"/>
    </row>
    <row r="17" customFormat="false" ht="15" hidden="false" customHeight="false" outlineLevel="0" collapsed="false">
      <c r="A17" s="2" t="s">
        <v>18</v>
      </c>
      <c r="B17" s="2" t="s">
        <v>19</v>
      </c>
      <c r="C17" s="9" t="n">
        <v>0.875</v>
      </c>
      <c r="D17" s="2" t="s">
        <v>20</v>
      </c>
    </row>
    <row r="18" customFormat="false" ht="15" hidden="false" customHeight="false" outlineLevel="0" collapsed="false">
      <c r="A18" s="2" t="s">
        <v>21</v>
      </c>
      <c r="B18" s="2" t="s">
        <v>22</v>
      </c>
      <c r="C18" s="9" t="n">
        <v>0.9</v>
      </c>
      <c r="D18" s="2"/>
    </row>
    <row r="19" customFormat="false" ht="15" hidden="false" customHeight="false" outlineLevel="0" collapsed="false">
      <c r="A19" s="2" t="s">
        <v>23</v>
      </c>
      <c r="B19" s="2" t="s">
        <v>24</v>
      </c>
      <c r="C19" s="9" t="n">
        <v>0.9</v>
      </c>
      <c r="D19" s="2"/>
    </row>
    <row r="20" customFormat="false" ht="15" hidden="false" customHeight="false" outlineLevel="0" collapsed="false">
      <c r="A20" s="2"/>
      <c r="B20" s="2"/>
      <c r="C20" s="2"/>
      <c r="D20" s="2"/>
    </row>
    <row r="21" customFormat="false" ht="15" hidden="false" customHeight="false" outlineLevel="0" collapsed="false">
      <c r="A21" s="4" t="s">
        <v>25</v>
      </c>
      <c r="B21" s="2"/>
      <c r="C21" s="2"/>
      <c r="D21" s="2"/>
    </row>
    <row r="22" customFormat="false" ht="31.5" hidden="false" customHeight="true" outlineLevel="0" collapsed="false">
      <c r="A22" s="10" t="s">
        <v>26</v>
      </c>
      <c r="B22" s="10" t="s">
        <v>27</v>
      </c>
      <c r="C22" s="10" t="s">
        <v>28</v>
      </c>
      <c r="D22" s="2"/>
    </row>
    <row r="23" customFormat="false" ht="15" hidden="false" customHeight="false" outlineLevel="0" collapsed="false">
      <c r="A23" s="2" t="s">
        <v>29</v>
      </c>
      <c r="B23" s="2" t="n">
        <f aca="false">COUNTIF(Leaderboard!M5:M525,A23)</f>
        <v>131</v>
      </c>
      <c r="C23" s="2" t="s">
        <v>30</v>
      </c>
      <c r="D23" s="2"/>
    </row>
    <row r="24" customFormat="false" ht="15" hidden="false" customHeight="false" outlineLevel="0" collapsed="false">
      <c r="A24" s="2" t="s">
        <v>31</v>
      </c>
      <c r="B24" s="2" t="n">
        <f aca="false">COUNTIF(Leaderboard!M5:M525,A24)</f>
        <v>122</v>
      </c>
      <c r="C24" s="2" t="s">
        <v>32</v>
      </c>
      <c r="D24" s="2"/>
    </row>
    <row r="25" customFormat="false" ht="15" hidden="false" customHeight="false" outlineLevel="0" collapsed="false">
      <c r="A25" s="2" t="s">
        <v>33</v>
      </c>
      <c r="B25" s="2" t="n">
        <f aca="false">COUNTIF(Leaderboard!M5:M525,A25)</f>
        <v>102</v>
      </c>
      <c r="C25" s="2" t="s">
        <v>34</v>
      </c>
      <c r="D25" s="2"/>
    </row>
    <row r="26" customFormat="false" ht="15" hidden="false" customHeight="false" outlineLevel="0" collapsed="false">
      <c r="A26" s="2"/>
      <c r="B26" s="2"/>
      <c r="C26" s="2"/>
      <c r="D26" s="2"/>
    </row>
    <row r="27" customFormat="false" ht="15" hidden="false" customHeight="false" outlineLevel="0" collapsed="false">
      <c r="A27" s="4" t="s">
        <v>35</v>
      </c>
      <c r="B27" s="2"/>
      <c r="C27" s="2"/>
      <c r="D27" s="2"/>
    </row>
    <row r="28" customFormat="false" ht="31.5" hidden="false" customHeight="true" outlineLevel="0" collapsed="false">
      <c r="A28" s="8" t="s">
        <v>3</v>
      </c>
      <c r="B28" s="8" t="s">
        <v>27</v>
      </c>
      <c r="C28" s="8" t="s">
        <v>36</v>
      </c>
      <c r="D28" s="8" t="s">
        <v>37</v>
      </c>
    </row>
    <row r="29" customFormat="false" ht="15" hidden="false" customHeight="false" outlineLevel="0" collapsed="false">
      <c r="A29" s="2" t="s">
        <v>38</v>
      </c>
      <c r="B29" s="11" t="n">
        <f aca="false">COUNTIF(Creators!$G$5:$G$804,"*/3")</f>
        <v>465</v>
      </c>
      <c r="C29" s="11" t="n">
        <f aca="false">COUNTIFS(Creators!$G$5:$G$804,"*/3",Creators!$H$5:$H$804,"Yes")</f>
        <v>171</v>
      </c>
      <c r="D29" s="12" t="n">
        <f aca="false">IFERROR(C29/B29,0)</f>
        <v>0.367741935483871</v>
      </c>
    </row>
    <row r="30" customFormat="false" ht="15" hidden="false" customHeight="false" outlineLevel="0" collapsed="false">
      <c r="A30" s="2" t="s">
        <v>39</v>
      </c>
      <c r="B30" s="11" t="n">
        <f aca="false">COUNTIF(Creators!$G$5:$G$804,"*/2")</f>
        <v>159</v>
      </c>
      <c r="C30" s="11" t="n">
        <f aca="false">COUNTIFS(Creators!$G$5:$G$804,"*/2",Creators!$H$5:$H$804,"Yes")</f>
        <v>71</v>
      </c>
      <c r="D30" s="12" t="n">
        <f aca="false">IFERROR(C30/B30,0)</f>
        <v>0.446540880503145</v>
      </c>
    </row>
    <row r="31" customFormat="false" ht="15" hidden="false" customHeight="false" outlineLevel="0" collapsed="false">
      <c r="A31" s="2" t="s">
        <v>40</v>
      </c>
      <c r="B31" s="11" t="n">
        <f aca="false">COUNTIF(Creators!$G$5:$G$804,"*/1")</f>
        <v>176</v>
      </c>
      <c r="C31" s="11" t="n">
        <f aca="false">COUNTIFS(Creators!$G$5:$G$804,"*/1",Creators!$H$5:$H$804,"Yes")</f>
        <v>113</v>
      </c>
      <c r="D31" s="12" t="n">
        <f aca="false">IFERROR(C31/B31,0)</f>
        <v>0.642045454545455</v>
      </c>
    </row>
    <row r="32" customFormat="false" ht="15" hidden="false" customHeight="false" outlineLevel="0" collapsed="false">
      <c r="A32" s="2"/>
      <c r="B32" s="2"/>
      <c r="C32" s="2"/>
      <c r="D32" s="2"/>
    </row>
    <row r="33" customFormat="false" ht="15" hidden="false" customHeight="false" outlineLevel="0" collapsed="false">
      <c r="A33" s="4" t="s">
        <v>41</v>
      </c>
      <c r="B33" s="2"/>
      <c r="C33" s="2"/>
      <c r="D33" s="2"/>
    </row>
    <row r="34" customFormat="false" ht="31.5" hidden="false" customHeight="true" outlineLevel="0" collapsed="false">
      <c r="A34" s="8" t="s">
        <v>42</v>
      </c>
      <c r="B34" s="8" t="s">
        <v>43</v>
      </c>
      <c r="C34" s="8" t="s">
        <v>44</v>
      </c>
      <c r="D34" s="2"/>
    </row>
    <row r="35" customFormat="false" ht="15" hidden="false" customHeight="false" outlineLevel="0" collapsed="false">
      <c r="A35" s="2" t="s">
        <v>45</v>
      </c>
      <c r="B35" s="2" t="n">
        <v>628</v>
      </c>
      <c r="C35" s="12" t="n">
        <v>0.6783</v>
      </c>
      <c r="D35" s="2"/>
    </row>
    <row r="36" customFormat="false" ht="15" hidden="false" customHeight="false" outlineLevel="0" collapsed="false">
      <c r="A36" s="2" t="s">
        <v>46</v>
      </c>
      <c r="B36" s="2" t="n">
        <v>636</v>
      </c>
      <c r="C36" s="12" t="n">
        <v>0.6053</v>
      </c>
      <c r="D36" s="2"/>
    </row>
    <row r="37" customFormat="false" ht="15" hidden="false" customHeight="false" outlineLevel="0" collapsed="false">
      <c r="A37" s="2" t="s">
        <v>47</v>
      </c>
      <c r="B37" s="2" t="n">
        <v>625</v>
      </c>
      <c r="C37" s="12" t="n">
        <v>0.8336</v>
      </c>
      <c r="D37" s="2"/>
    </row>
    <row r="38" customFormat="false" ht="15" hidden="false" customHeight="false" outlineLevel="0" collapsed="false">
      <c r="A38" s="2"/>
      <c r="B38" s="2"/>
      <c r="C38" s="2"/>
      <c r="D38" s="2"/>
    </row>
    <row r="39" customFormat="false" ht="15" hidden="false" customHeight="false" outlineLevel="0" collapsed="false">
      <c r="A39" s="4" t="s">
        <v>48</v>
      </c>
      <c r="B39" s="2"/>
      <c r="C39" s="2"/>
      <c r="D39" s="2"/>
    </row>
    <row r="40" customFormat="false" ht="15" hidden="false" customHeight="false" outlineLevel="0" collapsed="false">
      <c r="A40" s="13" t="s">
        <v>49</v>
      </c>
      <c r="B40" s="2"/>
      <c r="C40" s="2"/>
      <c r="D40" s="2"/>
    </row>
    <row r="41" customFormat="false" ht="15" hidden="false" customHeight="false" outlineLevel="0" collapsed="false">
      <c r="A41" s="14" t="s">
        <v>50</v>
      </c>
      <c r="B41" s="2"/>
      <c r="C41" s="2"/>
      <c r="D41" s="2"/>
    </row>
    <row r="42" customFormat="false" ht="15" hidden="false" customHeight="false" outlineLevel="0" collapsed="false">
      <c r="A42" s="15" t="s">
        <v>51</v>
      </c>
      <c r="B42" s="2"/>
      <c r="C42" s="2"/>
      <c r="D42" s="2"/>
    </row>
    <row r="43" customFormat="false" ht="15" hidden="false" customHeight="false" outlineLevel="0" collapsed="false">
      <c r="A43" s="16" t="s">
        <v>52</v>
      </c>
      <c r="B43" s="2"/>
      <c r="C43" s="2"/>
      <c r="D4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9"/>
    <col collapsed="false" customWidth="true" hidden="false" outlineLevel="0" max="4" min="4" style="0" width="12"/>
    <col collapsed="false" customWidth="true" hidden="false" outlineLevel="0" max="5" min="5" style="0" width="24"/>
    <col collapsed="false" customWidth="true" hidden="false" outlineLevel="0" max="6" min="6" style="0" width="14"/>
    <col collapsed="false" customWidth="true" hidden="false" outlineLevel="0" max="7" min="7" style="0" width="11"/>
    <col collapsed="false" customWidth="true" hidden="false" outlineLevel="0" max="8" min="8" style="0" width="10"/>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10"/>
    <col collapsed="false" customWidth="true" hidden="false" outlineLevel="0" max="13" min="13" style="0" width="13"/>
    <col collapsed="false" customWidth="true" hidden="false" outlineLevel="0" max="14" min="14" style="0" width="11"/>
    <col collapsed="false" customWidth="true" hidden="false" outlineLevel="0" max="15" min="15" style="0" width="22"/>
  </cols>
  <sheetData>
    <row r="1" customFormat="false" ht="17.35" hidden="false" customHeight="false" outlineLevel="0" collapsed="false">
      <c r="A1" s="1" t="s">
        <v>53</v>
      </c>
      <c r="B1" s="2"/>
      <c r="C1" s="2"/>
      <c r="D1" s="2"/>
      <c r="E1" s="2"/>
      <c r="F1" s="2"/>
      <c r="G1" s="2"/>
      <c r="H1" s="2"/>
      <c r="I1" s="2"/>
      <c r="J1" s="2"/>
      <c r="K1" s="2"/>
      <c r="L1" s="2"/>
      <c r="M1" s="2"/>
      <c r="N1" s="2"/>
      <c r="O1" s="2"/>
    </row>
    <row r="2" customFormat="false" ht="15" hidden="false" customHeight="false" outlineLevel="0" collapsed="false">
      <c r="A2" s="3" t="s">
        <v>54</v>
      </c>
      <c r="B2" s="2"/>
      <c r="C2" s="2"/>
      <c r="D2" s="2"/>
      <c r="E2" s="2"/>
      <c r="F2" s="2"/>
      <c r="G2" s="2"/>
      <c r="H2" s="2"/>
      <c r="I2" s="2"/>
      <c r="J2" s="2"/>
      <c r="K2" s="2"/>
      <c r="L2" s="2"/>
      <c r="M2" s="2"/>
      <c r="N2" s="2"/>
      <c r="O2" s="2"/>
    </row>
    <row r="3" customFormat="false" ht="15" hidden="false" customHeight="false" outlineLevel="0" collapsed="false">
      <c r="A3" s="2"/>
      <c r="B3" s="2"/>
      <c r="C3" s="2"/>
      <c r="D3" s="2"/>
      <c r="E3" s="2"/>
      <c r="F3" s="2"/>
      <c r="G3" s="2"/>
      <c r="H3" s="2"/>
      <c r="I3" s="2"/>
      <c r="J3" s="2"/>
      <c r="K3" s="2"/>
      <c r="L3" s="2"/>
      <c r="M3" s="2"/>
      <c r="N3" s="2"/>
      <c r="O3" s="2"/>
    </row>
    <row r="4" customFormat="false" ht="31.5" hidden="false" customHeight="true" outlineLevel="0" collapsed="false">
      <c r="A4" s="8" t="s">
        <v>55</v>
      </c>
      <c r="B4" s="8" t="s">
        <v>56</v>
      </c>
      <c r="C4" s="8" t="s">
        <v>57</v>
      </c>
      <c r="D4" s="8" t="s">
        <v>58</v>
      </c>
      <c r="E4" s="8" t="s">
        <v>59</v>
      </c>
      <c r="F4" s="8" t="s">
        <v>60</v>
      </c>
      <c r="G4" s="10" t="s">
        <v>61</v>
      </c>
      <c r="H4" s="10" t="s">
        <v>62</v>
      </c>
      <c r="I4" s="10" t="s">
        <v>63</v>
      </c>
      <c r="J4" s="10" t="s">
        <v>64</v>
      </c>
      <c r="K4" s="10" t="s">
        <v>65</v>
      </c>
      <c r="L4" s="10" t="s">
        <v>66</v>
      </c>
      <c r="M4" s="8" t="s">
        <v>67</v>
      </c>
      <c r="N4" s="8" t="s">
        <v>68</v>
      </c>
      <c r="O4" s="8" t="s">
        <v>69</v>
      </c>
    </row>
    <row r="5" customFormat="false" ht="15" hidden="false" customHeight="false" outlineLevel="0" collapsed="false">
      <c r="A5" s="17" t="s">
        <v>70</v>
      </c>
      <c r="B5" s="17" t="s">
        <v>71</v>
      </c>
      <c r="C5" s="17" t="s">
        <v>72</v>
      </c>
      <c r="D5" s="17" t="s">
        <v>73</v>
      </c>
      <c r="E5" s="17" t="s">
        <v>45</v>
      </c>
      <c r="F5" s="18" t="n">
        <v>655880</v>
      </c>
      <c r="G5" s="19" t="n">
        <v>99.2</v>
      </c>
      <c r="H5" s="17" t="n">
        <f aca="false">IF(G5="","",RANK(G5,$G$5:$G$359))</f>
        <v>1</v>
      </c>
      <c r="I5" s="19" t="n">
        <v>5</v>
      </c>
      <c r="J5" s="17" t="n">
        <f aca="false">IF(I5="","",RANK(I5,$I$5:$I$359))</f>
        <v>350</v>
      </c>
      <c r="K5" s="19" t="n">
        <v>97.7</v>
      </c>
      <c r="L5" s="17" t="n">
        <f aca="false">IF(K5="","",RANK(K5,$K$5:$K$359))</f>
        <v>3</v>
      </c>
      <c r="M5" s="17" t="str">
        <f aca="false">IF(AND(N(G5)&gt;=N(I5),N(G5)&gt;=N(K5)),"The Pulse",IF(N(I5)&gt;=N(K5),"The Lens","The Hub"))</f>
        <v>The Pulse</v>
      </c>
      <c r="N5" s="20" t="s">
        <v>74</v>
      </c>
      <c r="O5" s="17" t="s">
        <v>24</v>
      </c>
    </row>
    <row r="6" customFormat="false" ht="15" hidden="false" customHeight="false" outlineLevel="0" collapsed="false">
      <c r="A6" s="17" t="s">
        <v>75</v>
      </c>
      <c r="B6" s="17" t="s">
        <v>76</v>
      </c>
      <c r="C6" s="17" t="s">
        <v>77</v>
      </c>
      <c r="D6" s="17" t="s">
        <v>78</v>
      </c>
      <c r="E6" s="17" t="s">
        <v>47</v>
      </c>
      <c r="F6" s="18" t="n">
        <v>6232</v>
      </c>
      <c r="G6" s="19" t="n">
        <v>98.6</v>
      </c>
      <c r="H6" s="17" t="n">
        <f aca="false">IF(G6="","",RANK(G6,$G$5:$G$359))</f>
        <v>2</v>
      </c>
      <c r="I6" s="19" t="n">
        <v>48.8</v>
      </c>
      <c r="J6" s="17" t="n">
        <f aca="false">IF(I6="","",RANK(I6,$I$5:$I$359))</f>
        <v>185</v>
      </c>
      <c r="K6" s="19" t="n">
        <v>50.4</v>
      </c>
      <c r="L6" s="17" t="n">
        <f aca="false">IF(K6="","",RANK(K6,$K$5:$K$359))</f>
        <v>165</v>
      </c>
      <c r="M6" s="17" t="str">
        <f aca="false">IF(AND(N(G6)&gt;=N(I6),N(G6)&gt;=N(K6)),"The Pulse",IF(N(I6)&gt;=N(K6),"The Lens","The Hub"))</f>
        <v>The Pulse</v>
      </c>
      <c r="N6" s="21" t="s">
        <v>79</v>
      </c>
      <c r="O6" s="17" t="s">
        <v>22</v>
      </c>
    </row>
    <row r="7" customFormat="false" ht="15" hidden="false" customHeight="false" outlineLevel="0" collapsed="false">
      <c r="A7" s="17" t="s">
        <v>80</v>
      </c>
      <c r="B7" s="17" t="s">
        <v>81</v>
      </c>
      <c r="C7" s="17" t="s">
        <v>82</v>
      </c>
      <c r="D7" s="17" t="s">
        <v>83</v>
      </c>
      <c r="E7" s="17" t="s">
        <v>47</v>
      </c>
      <c r="F7" s="18" t="n">
        <v>31387</v>
      </c>
      <c r="G7" s="19" t="n">
        <v>97.5</v>
      </c>
      <c r="H7" s="17" t="n">
        <f aca="false">IF(G7="","",RANK(G7,$G$5:$G$359))</f>
        <v>3</v>
      </c>
      <c r="I7" s="19" t="n">
        <v>78.2</v>
      </c>
      <c r="J7" s="17" t="n">
        <f aca="false">IF(I7="","",RANK(I7,$I$5:$I$359))</f>
        <v>44</v>
      </c>
      <c r="K7" s="19" t="n">
        <v>57</v>
      </c>
      <c r="L7" s="17" t="n">
        <f aca="false">IF(K7="","",RANK(K7,$K$5:$K$359))</f>
        <v>127</v>
      </c>
      <c r="M7" s="17" t="str">
        <f aca="false">IF(AND(N(G7)&gt;=N(I7),N(G7)&gt;=N(K7)),"The Pulse",IF(N(I7)&gt;=N(K7),"The Lens","The Hub"))</f>
        <v>The Pulse</v>
      </c>
      <c r="N7" s="21" t="s">
        <v>79</v>
      </c>
      <c r="O7" s="17" t="s">
        <v>22</v>
      </c>
    </row>
    <row r="8" customFormat="false" ht="15" hidden="false" customHeight="false" outlineLevel="0" collapsed="false">
      <c r="A8" s="17" t="s">
        <v>84</v>
      </c>
      <c r="B8" s="17" t="s">
        <v>85</v>
      </c>
      <c r="C8" s="17" t="s">
        <v>86</v>
      </c>
      <c r="D8" s="17" t="s">
        <v>87</v>
      </c>
      <c r="E8" s="17" t="s">
        <v>45</v>
      </c>
      <c r="F8" s="18" t="n">
        <v>2350</v>
      </c>
      <c r="G8" s="19" t="n">
        <v>96.2</v>
      </c>
      <c r="H8" s="17" t="n">
        <f aca="false">IF(G8="","",RANK(G8,$G$5:$G$359))</f>
        <v>4</v>
      </c>
      <c r="I8" s="19" t="n">
        <v>26.8</v>
      </c>
      <c r="J8" s="17" t="n">
        <f aca="false">IF(I8="","",RANK(I8,$I$5:$I$359))</f>
        <v>301</v>
      </c>
      <c r="K8" s="19"/>
      <c r="L8" s="17" t="str">
        <f aca="false">IF(K8="","",RANK(K8,$K$5:$K$359))</f>
        <v/>
      </c>
      <c r="M8" s="17" t="str">
        <f aca="false">IF(AND(N(G8)&gt;=N(I8),N(G8)&gt;=N(K8)),"The Pulse",IF(N(I8)&gt;=N(K8),"The Lens","The Hub"))</f>
        <v>The Pulse</v>
      </c>
      <c r="N8" s="21" t="s">
        <v>79</v>
      </c>
      <c r="O8" s="17" t="s">
        <v>88</v>
      </c>
    </row>
    <row r="9" customFormat="false" ht="15" hidden="false" customHeight="false" outlineLevel="0" collapsed="false">
      <c r="A9" s="17" t="s">
        <v>89</v>
      </c>
      <c r="B9" s="17" t="s">
        <v>90</v>
      </c>
      <c r="C9" s="17" t="s">
        <v>91</v>
      </c>
      <c r="D9" s="17" t="s">
        <v>78</v>
      </c>
      <c r="E9" s="17" t="s">
        <v>92</v>
      </c>
      <c r="F9" s="18" t="n">
        <v>195709</v>
      </c>
      <c r="G9" s="19" t="n">
        <v>95.4</v>
      </c>
      <c r="H9" s="17" t="n">
        <f aca="false">IF(G9="","",RANK(G9,$G$5:$G$359))</f>
        <v>5</v>
      </c>
      <c r="I9" s="19" t="n">
        <v>47.8</v>
      </c>
      <c r="J9" s="17" t="n">
        <f aca="false">IF(I9="","",RANK(I9,$I$5:$I$359))</f>
        <v>197</v>
      </c>
      <c r="K9" s="19" t="n">
        <v>69</v>
      </c>
      <c r="L9" s="17" t="n">
        <f aca="false">IF(K9="","",RANK(K9,$K$5:$K$359))</f>
        <v>59</v>
      </c>
      <c r="M9" s="17" t="str">
        <f aca="false">IF(AND(N(G9)&gt;=N(I9),N(G9)&gt;=N(K9)),"The Pulse",IF(N(I9)&gt;=N(K9),"The Lens","The Hub"))</f>
        <v>The Pulse</v>
      </c>
      <c r="N9" s="21" t="s">
        <v>79</v>
      </c>
      <c r="O9" s="17" t="s">
        <v>88</v>
      </c>
    </row>
    <row r="10" customFormat="false" ht="15" hidden="false" customHeight="false" outlineLevel="0" collapsed="false">
      <c r="A10" s="17" t="s">
        <v>93</v>
      </c>
      <c r="B10" s="17" t="s">
        <v>94</v>
      </c>
      <c r="C10" s="17" t="s">
        <v>95</v>
      </c>
      <c r="D10" s="17"/>
      <c r="E10" s="17" t="s">
        <v>45</v>
      </c>
      <c r="F10" s="18" t="n">
        <v>132660</v>
      </c>
      <c r="G10" s="19" t="n">
        <v>94.9</v>
      </c>
      <c r="H10" s="17" t="n">
        <f aca="false">IF(G10="","",RANK(G10,$G$5:$G$359))</f>
        <v>6</v>
      </c>
      <c r="I10" s="19" t="n">
        <v>34.3</v>
      </c>
      <c r="J10" s="17" t="n">
        <f aca="false">IF(I10="","",RANK(I10,$I$5:$I$359))</f>
        <v>268</v>
      </c>
      <c r="K10" s="19" t="n">
        <v>48.5</v>
      </c>
      <c r="L10" s="17" t="n">
        <f aca="false">IF(K10="","",RANK(K10,$K$5:$K$359))</f>
        <v>178</v>
      </c>
      <c r="M10" s="17" t="str">
        <f aca="false">IF(AND(N(G10)&gt;=N(I10),N(G10)&gt;=N(K10)),"The Pulse",IF(N(I10)&gt;=N(K10),"The Lens","The Hub"))</f>
        <v>The Pulse</v>
      </c>
      <c r="N10" s="20" t="s">
        <v>74</v>
      </c>
      <c r="O10" s="17" t="s">
        <v>24</v>
      </c>
    </row>
    <row r="11" customFormat="false" ht="15" hidden="false" customHeight="false" outlineLevel="0" collapsed="false">
      <c r="A11" s="17" t="s">
        <v>96</v>
      </c>
      <c r="B11" s="17" t="s">
        <v>97</v>
      </c>
      <c r="C11" s="17" t="s">
        <v>98</v>
      </c>
      <c r="D11" s="17" t="s">
        <v>78</v>
      </c>
      <c r="E11" s="17" t="s">
        <v>99</v>
      </c>
      <c r="F11" s="18" t="n">
        <v>418556</v>
      </c>
      <c r="G11" s="19" t="n">
        <v>94.7</v>
      </c>
      <c r="H11" s="17" t="n">
        <f aca="false">IF(G11="","",RANK(G11,$G$5:$G$359))</f>
        <v>7</v>
      </c>
      <c r="I11" s="19" t="n">
        <v>73.8</v>
      </c>
      <c r="J11" s="17" t="n">
        <f aca="false">IF(I11="","",RANK(I11,$I$5:$I$359))</f>
        <v>60</v>
      </c>
      <c r="K11" s="19" t="n">
        <v>34.9</v>
      </c>
      <c r="L11" s="17" t="n">
        <f aca="false">IF(K11="","",RANK(K11,$K$5:$K$359))</f>
        <v>270</v>
      </c>
      <c r="M11" s="17" t="str">
        <f aca="false">IF(AND(N(G11)&gt;=N(I11),N(G11)&gt;=N(K11)),"The Pulse",IF(N(I11)&gt;=N(K11),"The Lens","The Hub"))</f>
        <v>The Pulse</v>
      </c>
      <c r="N11" s="21" t="s">
        <v>79</v>
      </c>
      <c r="O11" s="17" t="s">
        <v>88</v>
      </c>
    </row>
    <row r="12" customFormat="false" ht="15" hidden="false" customHeight="false" outlineLevel="0" collapsed="false">
      <c r="A12" s="17" t="s">
        <v>100</v>
      </c>
      <c r="B12" s="17" t="s">
        <v>101</v>
      </c>
      <c r="C12" s="17" t="s">
        <v>72</v>
      </c>
      <c r="D12" s="17" t="s">
        <v>102</v>
      </c>
      <c r="E12" s="17" t="s">
        <v>46</v>
      </c>
      <c r="F12" s="18" t="n">
        <v>43020</v>
      </c>
      <c r="G12" s="19" t="n">
        <v>94.1</v>
      </c>
      <c r="H12" s="17" t="n">
        <f aca="false">IF(G12="","",RANK(G12,$G$5:$G$359))</f>
        <v>8</v>
      </c>
      <c r="I12" s="19" t="n">
        <v>43.6</v>
      </c>
      <c r="J12" s="17" t="n">
        <f aca="false">IF(I12="","",RANK(I12,$I$5:$I$359))</f>
        <v>222</v>
      </c>
      <c r="K12" s="19" t="n">
        <v>73.7</v>
      </c>
      <c r="L12" s="17" t="n">
        <f aca="false">IF(K12="","",RANK(K12,$K$5:$K$359))</f>
        <v>47</v>
      </c>
      <c r="M12" s="17" t="str">
        <f aca="false">IF(AND(N(G12)&gt;=N(I12),N(G12)&gt;=N(K12)),"The Pulse",IF(N(I12)&gt;=N(K12),"The Lens","The Hub"))</f>
        <v>The Pulse</v>
      </c>
      <c r="N12" s="20" t="s">
        <v>74</v>
      </c>
      <c r="O12" s="17" t="s">
        <v>24</v>
      </c>
    </row>
    <row r="13" customFormat="false" ht="15" hidden="false" customHeight="false" outlineLevel="0" collapsed="false">
      <c r="A13" s="17" t="s">
        <v>103</v>
      </c>
      <c r="B13" s="17" t="s">
        <v>104</v>
      </c>
      <c r="C13" s="17" t="s">
        <v>95</v>
      </c>
      <c r="D13" s="17" t="s">
        <v>105</v>
      </c>
      <c r="E13" s="17" t="s">
        <v>106</v>
      </c>
      <c r="F13" s="18" t="n">
        <v>173264</v>
      </c>
      <c r="G13" s="19" t="n">
        <v>93.8</v>
      </c>
      <c r="H13" s="17" t="n">
        <f aca="false">IF(G13="","",RANK(G13,$G$5:$G$359))</f>
        <v>9</v>
      </c>
      <c r="I13" s="19" t="n">
        <v>71.6</v>
      </c>
      <c r="J13" s="17" t="n">
        <f aca="false">IF(I13="","",RANK(I13,$I$5:$I$359))</f>
        <v>66</v>
      </c>
      <c r="K13" s="19" t="n">
        <v>68.5</v>
      </c>
      <c r="L13" s="17" t="n">
        <f aca="false">IF(K13="","",RANK(K13,$K$5:$K$359))</f>
        <v>61</v>
      </c>
      <c r="M13" s="17" t="str">
        <f aca="false">IF(AND(N(G13)&gt;=N(I13),N(G13)&gt;=N(K13)),"The Pulse",IF(N(I13)&gt;=N(K13),"The Lens","The Hub"))</f>
        <v>The Pulse</v>
      </c>
      <c r="N13" s="21" t="s">
        <v>79</v>
      </c>
      <c r="O13" s="17" t="s">
        <v>88</v>
      </c>
    </row>
    <row r="14" customFormat="false" ht="15" hidden="false" customHeight="false" outlineLevel="0" collapsed="false">
      <c r="A14" s="17" t="s">
        <v>107</v>
      </c>
      <c r="B14" s="17" t="s">
        <v>108</v>
      </c>
      <c r="C14" s="17" t="s">
        <v>77</v>
      </c>
      <c r="D14" s="17" t="s">
        <v>78</v>
      </c>
      <c r="E14" s="17" t="s">
        <v>47</v>
      </c>
      <c r="F14" s="18" t="n">
        <v>5060</v>
      </c>
      <c r="G14" s="19" t="n">
        <v>92.8</v>
      </c>
      <c r="H14" s="17" t="n">
        <f aca="false">IF(G14="","",RANK(G14,$G$5:$G$359))</f>
        <v>10</v>
      </c>
      <c r="I14" s="19" t="n">
        <v>25</v>
      </c>
      <c r="J14" s="17" t="n">
        <f aca="false">IF(I14="","",RANK(I14,$I$5:$I$359))</f>
        <v>303</v>
      </c>
      <c r="K14" s="19" t="n">
        <v>6.3</v>
      </c>
      <c r="L14" s="17" t="n">
        <f aca="false">IF(K14="","",RANK(K14,$K$5:$K$359))</f>
        <v>343</v>
      </c>
      <c r="M14" s="17" t="str">
        <f aca="false">IF(AND(N(G14)&gt;=N(I14),N(G14)&gt;=N(K14)),"The Pulse",IF(N(I14)&gt;=N(K14),"The Lens","The Hub"))</f>
        <v>The Pulse</v>
      </c>
      <c r="N14" s="22" t="s">
        <v>109</v>
      </c>
      <c r="O14" s="17" t="s">
        <v>110</v>
      </c>
    </row>
    <row r="15" customFormat="false" ht="15" hidden="false" customHeight="false" outlineLevel="0" collapsed="false">
      <c r="A15" s="17" t="s">
        <v>111</v>
      </c>
      <c r="B15" s="17" t="s">
        <v>112</v>
      </c>
      <c r="C15" s="17" t="s">
        <v>72</v>
      </c>
      <c r="D15" s="17" t="s">
        <v>78</v>
      </c>
      <c r="E15" s="17" t="s">
        <v>46</v>
      </c>
      <c r="F15" s="18" t="n">
        <v>30230</v>
      </c>
      <c r="G15" s="19" t="n">
        <v>92.5</v>
      </c>
      <c r="H15" s="17" t="n">
        <f aca="false">IF(G15="","",RANK(G15,$G$5:$G$359))</f>
        <v>11</v>
      </c>
      <c r="I15" s="19" t="n">
        <v>38.5</v>
      </c>
      <c r="J15" s="17" t="n">
        <f aca="false">IF(I15="","",RANK(I15,$I$5:$I$359))</f>
        <v>248</v>
      </c>
      <c r="K15" s="19" t="n">
        <v>94.7</v>
      </c>
      <c r="L15" s="17" t="n">
        <f aca="false">IF(K15="","",RANK(K15,$K$5:$K$359))</f>
        <v>7</v>
      </c>
      <c r="M15" s="17" t="str">
        <f aca="false">IF(AND(N(G15)&gt;=N(I15),N(G15)&gt;=N(K15)),"The Pulse",IF(N(I15)&gt;=N(K15),"The Lens","The Hub"))</f>
        <v>The Hub</v>
      </c>
      <c r="N15" s="20" t="s">
        <v>74</v>
      </c>
      <c r="O15" s="17" t="s">
        <v>24</v>
      </c>
    </row>
    <row r="16" customFormat="false" ht="15" hidden="false" customHeight="false" outlineLevel="0" collapsed="false">
      <c r="A16" s="17" t="s">
        <v>113</v>
      </c>
      <c r="B16" s="17" t="s">
        <v>114</v>
      </c>
      <c r="C16" s="17" t="s">
        <v>115</v>
      </c>
      <c r="D16" s="17" t="s">
        <v>83</v>
      </c>
      <c r="E16" s="17" t="s">
        <v>106</v>
      </c>
      <c r="F16" s="18" t="n">
        <v>67965</v>
      </c>
      <c r="G16" s="19" t="n">
        <v>91.8</v>
      </c>
      <c r="H16" s="17" t="n">
        <f aca="false">IF(G16="","",RANK(G16,$G$5:$G$359))</f>
        <v>12</v>
      </c>
      <c r="I16" s="19" t="n">
        <v>36.4</v>
      </c>
      <c r="J16" s="17" t="n">
        <f aca="false">IF(I16="","",RANK(I16,$I$5:$I$359))</f>
        <v>258</v>
      </c>
      <c r="K16" s="19" t="n">
        <v>47.5</v>
      </c>
      <c r="L16" s="17" t="n">
        <f aca="false">IF(K16="","",RANK(K16,$K$5:$K$359))</f>
        <v>186</v>
      </c>
      <c r="M16" s="17" t="str">
        <f aca="false">IF(AND(N(G16)&gt;=N(I16),N(G16)&gt;=N(K16)),"The Pulse",IF(N(I16)&gt;=N(K16),"The Lens","The Hub"))</f>
        <v>The Pulse</v>
      </c>
      <c r="N16" s="21" t="s">
        <v>79</v>
      </c>
      <c r="O16" s="17" t="s">
        <v>88</v>
      </c>
    </row>
    <row r="17" customFormat="false" ht="15" hidden="false" customHeight="false" outlineLevel="0" collapsed="false">
      <c r="A17" s="17" t="s">
        <v>116</v>
      </c>
      <c r="B17" s="17" t="s">
        <v>117</v>
      </c>
      <c r="C17" s="17" t="s">
        <v>98</v>
      </c>
      <c r="D17" s="17"/>
      <c r="E17" s="17" t="s">
        <v>45</v>
      </c>
      <c r="F17" s="18" t="n">
        <v>19100</v>
      </c>
      <c r="G17" s="19" t="n">
        <v>91.7</v>
      </c>
      <c r="H17" s="17" t="n">
        <f aca="false">IF(G17="","",RANK(G17,$G$5:$G$359))</f>
        <v>13</v>
      </c>
      <c r="I17" s="19" t="n">
        <v>52.6</v>
      </c>
      <c r="J17" s="17" t="n">
        <f aca="false">IF(I17="","",RANK(I17,$I$5:$I$359))</f>
        <v>164</v>
      </c>
      <c r="K17" s="19" t="n">
        <v>34</v>
      </c>
      <c r="L17" s="17" t="n">
        <f aca="false">IF(K17="","",RANK(K17,$K$5:$K$359))</f>
        <v>276</v>
      </c>
      <c r="M17" s="17" t="str">
        <f aca="false">IF(AND(N(G17)&gt;=N(I17),N(G17)&gt;=N(K17)),"The Pulse",IF(N(I17)&gt;=N(K17),"The Lens","The Hub"))</f>
        <v>The Pulse</v>
      </c>
      <c r="N17" s="20" t="s">
        <v>74</v>
      </c>
      <c r="O17" s="17" t="s">
        <v>24</v>
      </c>
    </row>
    <row r="18" customFormat="false" ht="15" hidden="false" customHeight="false" outlineLevel="0" collapsed="false">
      <c r="A18" s="17" t="s">
        <v>118</v>
      </c>
      <c r="B18" s="17" t="s">
        <v>119</v>
      </c>
      <c r="C18" s="17" t="s">
        <v>77</v>
      </c>
      <c r="D18" s="17" t="s">
        <v>120</v>
      </c>
      <c r="E18" s="17" t="s">
        <v>47</v>
      </c>
      <c r="F18" s="18" t="n">
        <v>38310</v>
      </c>
      <c r="G18" s="19" t="n">
        <v>91.4</v>
      </c>
      <c r="H18" s="17" t="n">
        <f aca="false">IF(G18="","",RANK(G18,$G$5:$G$359))</f>
        <v>14</v>
      </c>
      <c r="I18" s="19" t="n">
        <v>80.5</v>
      </c>
      <c r="J18" s="17" t="n">
        <f aca="false">IF(I18="","",RANK(I18,$I$5:$I$359))</f>
        <v>35</v>
      </c>
      <c r="K18" s="19" t="n">
        <v>47.5</v>
      </c>
      <c r="L18" s="17" t="n">
        <f aca="false">IF(K18="","",RANK(K18,$K$5:$K$359))</f>
        <v>186</v>
      </c>
      <c r="M18" s="17" t="str">
        <f aca="false">IF(AND(N(G18)&gt;=N(I18),N(G18)&gt;=N(K18)),"The Pulse",IF(N(I18)&gt;=N(K18),"The Lens","The Hub"))</f>
        <v>The Pulse</v>
      </c>
      <c r="N18" s="20" t="s">
        <v>74</v>
      </c>
      <c r="O18" s="17" t="s">
        <v>24</v>
      </c>
    </row>
    <row r="19" customFormat="false" ht="15" hidden="false" customHeight="false" outlineLevel="0" collapsed="false">
      <c r="A19" s="17" t="s">
        <v>121</v>
      </c>
      <c r="B19" s="17" t="s">
        <v>122</v>
      </c>
      <c r="C19" s="17" t="s">
        <v>123</v>
      </c>
      <c r="D19" s="17" t="s">
        <v>124</v>
      </c>
      <c r="E19" s="17" t="s">
        <v>45</v>
      </c>
      <c r="F19" s="18" t="n">
        <v>33210</v>
      </c>
      <c r="G19" s="19" t="n">
        <v>89.8</v>
      </c>
      <c r="H19" s="17" t="n">
        <f aca="false">IF(G19="","",RANK(G19,$G$5:$G$359))</f>
        <v>15</v>
      </c>
      <c r="I19" s="19" t="n">
        <v>81.8</v>
      </c>
      <c r="J19" s="17" t="n">
        <f aca="false">IF(I19="","",RANK(I19,$I$5:$I$359))</f>
        <v>30</v>
      </c>
      <c r="K19" s="19" t="n">
        <v>59.4</v>
      </c>
      <c r="L19" s="17" t="n">
        <f aca="false">IF(K19="","",RANK(K19,$K$5:$K$359))</f>
        <v>110</v>
      </c>
      <c r="M19" s="17" t="str">
        <f aca="false">IF(AND(N(G19)&gt;=N(I19),N(G19)&gt;=N(K19)),"The Pulse",IF(N(I19)&gt;=N(K19),"The Lens","The Hub"))</f>
        <v>The Pulse</v>
      </c>
      <c r="N19" s="20" t="s">
        <v>74</v>
      </c>
      <c r="O19" s="17" t="s">
        <v>24</v>
      </c>
    </row>
    <row r="20" customFormat="false" ht="15" hidden="false" customHeight="false" outlineLevel="0" collapsed="false">
      <c r="A20" s="17" t="s">
        <v>125</v>
      </c>
      <c r="B20" s="17" t="s">
        <v>126</v>
      </c>
      <c r="C20" s="17" t="s">
        <v>82</v>
      </c>
      <c r="D20" s="17" t="s">
        <v>127</v>
      </c>
      <c r="E20" s="17" t="s">
        <v>45</v>
      </c>
      <c r="F20" s="18" t="n">
        <v>14960</v>
      </c>
      <c r="G20" s="19" t="n">
        <v>87.9</v>
      </c>
      <c r="H20" s="17" t="n">
        <f aca="false">IF(G20="","",RANK(G20,$G$5:$G$359))</f>
        <v>16</v>
      </c>
      <c r="I20" s="19" t="n">
        <v>17.9</v>
      </c>
      <c r="J20" s="17" t="n">
        <f aca="false">IF(I20="","",RANK(I20,$I$5:$I$359))</f>
        <v>324</v>
      </c>
      <c r="K20" s="19"/>
      <c r="L20" s="17" t="str">
        <f aca="false">IF(K20="","",RANK(K20,$K$5:$K$359))</f>
        <v/>
      </c>
      <c r="M20" s="17" t="str">
        <f aca="false">IF(AND(N(G20)&gt;=N(I20),N(G20)&gt;=N(K20)),"The Pulse",IF(N(I20)&gt;=N(K20),"The Lens","The Hub"))</f>
        <v>The Pulse</v>
      </c>
      <c r="N20" s="20" t="s">
        <v>74</v>
      </c>
      <c r="O20" s="17" t="s">
        <v>24</v>
      </c>
    </row>
    <row r="21" customFormat="false" ht="15" hidden="false" customHeight="false" outlineLevel="0" collapsed="false">
      <c r="A21" s="17" t="s">
        <v>128</v>
      </c>
      <c r="B21" s="17" t="s">
        <v>129</v>
      </c>
      <c r="C21" s="17" t="s">
        <v>82</v>
      </c>
      <c r="D21" s="17" t="s">
        <v>127</v>
      </c>
      <c r="E21" s="17" t="s">
        <v>47</v>
      </c>
      <c r="F21" s="18" t="n">
        <v>53974</v>
      </c>
      <c r="G21" s="19" t="n">
        <v>87.7</v>
      </c>
      <c r="H21" s="17" t="n">
        <f aca="false">IF(G21="","",RANK(G21,$G$5:$G$359))</f>
        <v>17</v>
      </c>
      <c r="I21" s="19" t="n">
        <v>44.5</v>
      </c>
      <c r="J21" s="17" t="n">
        <f aca="false">IF(I21="","",RANK(I21,$I$5:$I$359))</f>
        <v>215</v>
      </c>
      <c r="K21" s="19" t="n">
        <v>85.1</v>
      </c>
      <c r="L21" s="17" t="n">
        <f aca="false">IF(K21="","",RANK(K21,$K$5:$K$359))</f>
        <v>19</v>
      </c>
      <c r="M21" s="17" t="str">
        <f aca="false">IF(AND(N(G21)&gt;=N(I21),N(G21)&gt;=N(K21)),"The Pulse",IF(N(I21)&gt;=N(K21),"The Lens","The Hub"))</f>
        <v>The Pulse</v>
      </c>
      <c r="N21" s="21" t="s">
        <v>79</v>
      </c>
      <c r="O21" s="17" t="s">
        <v>22</v>
      </c>
    </row>
    <row r="22" customFormat="false" ht="15" hidden="false" customHeight="false" outlineLevel="0" collapsed="false">
      <c r="A22" s="17" t="s">
        <v>130</v>
      </c>
      <c r="B22" s="17" t="s">
        <v>131</v>
      </c>
      <c r="C22" s="17" t="s">
        <v>82</v>
      </c>
      <c r="D22" s="17" t="s">
        <v>120</v>
      </c>
      <c r="E22" s="17" t="s">
        <v>45</v>
      </c>
      <c r="F22" s="18" t="n">
        <v>1207050</v>
      </c>
      <c r="G22" s="19" t="n">
        <v>86.8</v>
      </c>
      <c r="H22" s="17" t="n">
        <f aca="false">IF(G22="","",RANK(G22,$G$5:$G$359))</f>
        <v>18</v>
      </c>
      <c r="I22" s="19" t="n">
        <v>5.9</v>
      </c>
      <c r="J22" s="17" t="n">
        <f aca="false">IF(I22="","",RANK(I22,$I$5:$I$359))</f>
        <v>349</v>
      </c>
      <c r="K22" s="19" t="n">
        <v>6.5</v>
      </c>
      <c r="L22" s="17" t="n">
        <f aca="false">IF(K22="","",RANK(K22,$K$5:$K$359))</f>
        <v>342</v>
      </c>
      <c r="M22" s="17" t="str">
        <f aca="false">IF(AND(N(G22)&gt;=N(I22),N(G22)&gt;=N(K22)),"The Pulse",IF(N(I22)&gt;=N(K22),"The Lens","The Hub"))</f>
        <v>The Pulse</v>
      </c>
      <c r="N22" s="20" t="s">
        <v>74</v>
      </c>
      <c r="O22" s="17" t="s">
        <v>24</v>
      </c>
    </row>
    <row r="23" customFormat="false" ht="15" hidden="false" customHeight="false" outlineLevel="0" collapsed="false">
      <c r="A23" s="17" t="s">
        <v>132</v>
      </c>
      <c r="B23" s="17" t="s">
        <v>133</v>
      </c>
      <c r="C23" s="17" t="s">
        <v>115</v>
      </c>
      <c r="D23" s="17" t="s">
        <v>105</v>
      </c>
      <c r="E23" s="17" t="s">
        <v>99</v>
      </c>
      <c r="F23" s="18" t="n">
        <v>117283</v>
      </c>
      <c r="G23" s="19" t="n">
        <v>86.7</v>
      </c>
      <c r="H23" s="17" t="n">
        <f aca="false">IF(G23="","",RANK(G23,$G$5:$G$359))</f>
        <v>19</v>
      </c>
      <c r="I23" s="19" t="n">
        <v>65.2</v>
      </c>
      <c r="J23" s="17" t="n">
        <f aca="false">IF(I23="","",RANK(I23,$I$5:$I$359))</f>
        <v>94</v>
      </c>
      <c r="K23" s="19" t="n">
        <v>61.8</v>
      </c>
      <c r="L23" s="17" t="n">
        <f aca="false">IF(K23="","",RANK(K23,$K$5:$K$359))</f>
        <v>96</v>
      </c>
      <c r="M23" s="17" t="str">
        <f aca="false">IF(AND(N(G23)&gt;=N(I23),N(G23)&gt;=N(K23)),"The Pulse",IF(N(I23)&gt;=N(K23),"The Lens","The Hub"))</f>
        <v>The Pulse</v>
      </c>
      <c r="N23" s="22" t="s">
        <v>109</v>
      </c>
      <c r="O23" s="17" t="s">
        <v>134</v>
      </c>
    </row>
    <row r="24" customFormat="false" ht="15" hidden="false" customHeight="false" outlineLevel="0" collapsed="false">
      <c r="A24" s="17" t="s">
        <v>135</v>
      </c>
      <c r="B24" s="17" t="s">
        <v>136</v>
      </c>
      <c r="C24" s="17" t="s">
        <v>82</v>
      </c>
      <c r="D24" s="17" t="s">
        <v>102</v>
      </c>
      <c r="E24" s="17" t="s">
        <v>47</v>
      </c>
      <c r="F24" s="18" t="n">
        <v>44236</v>
      </c>
      <c r="G24" s="19" t="n">
        <v>86.1</v>
      </c>
      <c r="H24" s="17" t="n">
        <f aca="false">IF(G24="","",RANK(G24,$G$5:$G$359))</f>
        <v>20</v>
      </c>
      <c r="I24" s="19" t="n">
        <v>74.7</v>
      </c>
      <c r="J24" s="17" t="n">
        <f aca="false">IF(I24="","",RANK(I24,$I$5:$I$359))</f>
        <v>52</v>
      </c>
      <c r="K24" s="19" t="n">
        <v>68.5</v>
      </c>
      <c r="L24" s="17" t="n">
        <f aca="false">IF(K24="","",RANK(K24,$K$5:$K$359))</f>
        <v>61</v>
      </c>
      <c r="M24" s="17" t="str">
        <f aca="false">IF(AND(N(G24)&gt;=N(I24),N(G24)&gt;=N(K24)),"The Pulse",IF(N(I24)&gt;=N(K24),"The Lens","The Hub"))</f>
        <v>The Pulse</v>
      </c>
      <c r="N24" s="21" t="s">
        <v>79</v>
      </c>
      <c r="O24" s="17" t="s">
        <v>22</v>
      </c>
    </row>
    <row r="25" customFormat="false" ht="15" hidden="false" customHeight="false" outlineLevel="0" collapsed="false">
      <c r="A25" s="17" t="s">
        <v>137</v>
      </c>
      <c r="B25" s="17" t="s">
        <v>138</v>
      </c>
      <c r="C25" s="17" t="s">
        <v>82</v>
      </c>
      <c r="D25" s="17" t="s">
        <v>87</v>
      </c>
      <c r="E25" s="17" t="s">
        <v>106</v>
      </c>
      <c r="F25" s="18" t="n">
        <v>69424</v>
      </c>
      <c r="G25" s="19" t="n">
        <v>85.8</v>
      </c>
      <c r="H25" s="17" t="n">
        <f aca="false">IF(G25="","",RANK(G25,$G$5:$G$359))</f>
        <v>21</v>
      </c>
      <c r="I25" s="19" t="n">
        <v>12.7</v>
      </c>
      <c r="J25" s="17" t="n">
        <f aca="false">IF(I25="","",RANK(I25,$I$5:$I$359))</f>
        <v>338</v>
      </c>
      <c r="K25" s="19" t="n">
        <v>35.8</v>
      </c>
      <c r="L25" s="17" t="n">
        <f aca="false">IF(K25="","",RANK(K25,$K$5:$K$359))</f>
        <v>265</v>
      </c>
      <c r="M25" s="17" t="str">
        <f aca="false">IF(AND(N(G25)&gt;=N(I25),N(G25)&gt;=N(K25)),"The Pulse",IF(N(I25)&gt;=N(K25),"The Lens","The Hub"))</f>
        <v>The Pulse</v>
      </c>
      <c r="N25" s="21" t="s">
        <v>79</v>
      </c>
      <c r="O25" s="17" t="s">
        <v>88</v>
      </c>
    </row>
    <row r="26" customFormat="false" ht="15" hidden="false" customHeight="false" outlineLevel="0" collapsed="false">
      <c r="A26" s="17" t="s">
        <v>139</v>
      </c>
      <c r="B26" s="17" t="s">
        <v>140</v>
      </c>
      <c r="C26" s="17" t="s">
        <v>77</v>
      </c>
      <c r="D26" s="17" t="s">
        <v>120</v>
      </c>
      <c r="E26" s="17" t="s">
        <v>47</v>
      </c>
      <c r="F26" s="18" t="n">
        <v>54392</v>
      </c>
      <c r="G26" s="19" t="n">
        <v>84.5</v>
      </c>
      <c r="H26" s="17" t="n">
        <f aca="false">IF(G26="","",RANK(G26,$G$5:$G$359))</f>
        <v>22</v>
      </c>
      <c r="I26" s="19" t="n">
        <v>48.1</v>
      </c>
      <c r="J26" s="17" t="n">
        <f aca="false">IF(I26="","",RANK(I26,$I$5:$I$359))</f>
        <v>194</v>
      </c>
      <c r="K26" s="19" t="n">
        <v>62.7</v>
      </c>
      <c r="L26" s="17" t="n">
        <f aca="false">IF(K26="","",RANK(K26,$K$5:$K$359))</f>
        <v>90</v>
      </c>
      <c r="M26" s="17" t="str">
        <f aca="false">IF(AND(N(G26)&gt;=N(I26),N(G26)&gt;=N(K26)),"The Pulse",IF(N(I26)&gt;=N(K26),"The Lens","The Hub"))</f>
        <v>The Pulse</v>
      </c>
      <c r="N26" s="21" t="s">
        <v>79</v>
      </c>
      <c r="O26" s="17" t="s">
        <v>22</v>
      </c>
    </row>
    <row r="27" customFormat="false" ht="15" hidden="false" customHeight="false" outlineLevel="0" collapsed="false">
      <c r="A27" s="17" t="s">
        <v>141</v>
      </c>
      <c r="B27" s="17" t="s">
        <v>142</v>
      </c>
      <c r="C27" s="17" t="s">
        <v>72</v>
      </c>
      <c r="D27" s="17" t="s">
        <v>105</v>
      </c>
      <c r="E27" s="17" t="s">
        <v>47</v>
      </c>
      <c r="F27" s="18" t="n">
        <v>695720</v>
      </c>
      <c r="G27" s="19" t="n">
        <v>84.1</v>
      </c>
      <c r="H27" s="17" t="n">
        <f aca="false">IF(G27="","",RANK(G27,$G$5:$G$359))</f>
        <v>23</v>
      </c>
      <c r="I27" s="19" t="n">
        <v>78.3</v>
      </c>
      <c r="J27" s="17" t="n">
        <f aca="false">IF(I27="","",RANK(I27,$I$5:$I$359))</f>
        <v>43</v>
      </c>
      <c r="K27" s="19" t="n">
        <v>30.1</v>
      </c>
      <c r="L27" s="17" t="n">
        <f aca="false">IF(K27="","",RANK(K27,$K$5:$K$359))</f>
        <v>295</v>
      </c>
      <c r="M27" s="17" t="str">
        <f aca="false">IF(AND(N(G27)&gt;=N(I27),N(G27)&gt;=N(K27)),"The Pulse",IF(N(I27)&gt;=N(K27),"The Lens","The Hub"))</f>
        <v>The Pulse</v>
      </c>
      <c r="N27" s="21" t="s">
        <v>79</v>
      </c>
      <c r="O27" s="17" t="s">
        <v>22</v>
      </c>
    </row>
    <row r="28" customFormat="false" ht="15" hidden="false" customHeight="false" outlineLevel="0" collapsed="false">
      <c r="A28" s="17" t="s">
        <v>143</v>
      </c>
      <c r="B28" s="17" t="s">
        <v>144</v>
      </c>
      <c r="C28" s="17" t="s">
        <v>98</v>
      </c>
      <c r="D28" s="17" t="s">
        <v>120</v>
      </c>
      <c r="E28" s="17" t="s">
        <v>99</v>
      </c>
      <c r="F28" s="18" t="n">
        <v>324450</v>
      </c>
      <c r="G28" s="19" t="n">
        <v>84</v>
      </c>
      <c r="H28" s="17" t="n">
        <f aca="false">IF(G28="","",RANK(G28,$G$5:$G$359))</f>
        <v>24</v>
      </c>
      <c r="I28" s="19" t="n">
        <v>56</v>
      </c>
      <c r="J28" s="17" t="n">
        <f aca="false">IF(I28="","",RANK(I28,$I$5:$I$359))</f>
        <v>151</v>
      </c>
      <c r="K28" s="19" t="n">
        <v>64.5</v>
      </c>
      <c r="L28" s="17" t="n">
        <f aca="false">IF(K28="","",RANK(K28,$K$5:$K$359))</f>
        <v>84</v>
      </c>
      <c r="M28" s="17" t="str">
        <f aca="false">IF(AND(N(G28)&gt;=N(I28),N(G28)&gt;=N(K28)),"The Pulse",IF(N(I28)&gt;=N(K28),"The Lens","The Hub"))</f>
        <v>The Pulse</v>
      </c>
      <c r="N28" s="21" t="s">
        <v>79</v>
      </c>
      <c r="O28" s="17" t="s">
        <v>88</v>
      </c>
    </row>
    <row r="29" customFormat="false" ht="15" hidden="false" customHeight="false" outlineLevel="0" collapsed="false">
      <c r="A29" s="17" t="s">
        <v>145</v>
      </c>
      <c r="B29" s="17" t="s">
        <v>146</v>
      </c>
      <c r="C29" s="17" t="s">
        <v>86</v>
      </c>
      <c r="D29" s="17" t="s">
        <v>78</v>
      </c>
      <c r="E29" s="17" t="s">
        <v>99</v>
      </c>
      <c r="F29" s="18" t="n">
        <v>547829</v>
      </c>
      <c r="G29" s="19" t="n">
        <v>84</v>
      </c>
      <c r="H29" s="17" t="n">
        <f aca="false">IF(G29="","",RANK(G29,$G$5:$G$359))</f>
        <v>24</v>
      </c>
      <c r="I29" s="19" t="n">
        <v>14.1</v>
      </c>
      <c r="J29" s="17" t="n">
        <f aca="false">IF(I29="","",RANK(I29,$I$5:$I$359))</f>
        <v>333</v>
      </c>
      <c r="K29" s="19" t="n">
        <v>53.7</v>
      </c>
      <c r="L29" s="17" t="n">
        <f aca="false">IF(K29="","",RANK(K29,$K$5:$K$359))</f>
        <v>152</v>
      </c>
      <c r="M29" s="17" t="str">
        <f aca="false">IF(AND(N(G29)&gt;=N(I29),N(G29)&gt;=N(K29)),"The Pulse",IF(N(I29)&gt;=N(K29),"The Lens","The Hub"))</f>
        <v>The Pulse</v>
      </c>
      <c r="N29" s="21" t="s">
        <v>79</v>
      </c>
      <c r="O29" s="17" t="s">
        <v>88</v>
      </c>
    </row>
    <row r="30" customFormat="false" ht="15" hidden="false" customHeight="false" outlineLevel="0" collapsed="false">
      <c r="A30" s="17" t="s">
        <v>147</v>
      </c>
      <c r="B30" s="17" t="s">
        <v>148</v>
      </c>
      <c r="C30" s="17" t="s">
        <v>123</v>
      </c>
      <c r="D30" s="17" t="s">
        <v>73</v>
      </c>
      <c r="E30" s="17" t="s">
        <v>149</v>
      </c>
      <c r="F30" s="18" t="n">
        <v>114280</v>
      </c>
      <c r="G30" s="19" t="n">
        <v>83.2</v>
      </c>
      <c r="H30" s="17" t="n">
        <f aca="false">IF(G30="","",RANK(G30,$G$5:$G$359))</f>
        <v>26</v>
      </c>
      <c r="I30" s="19" t="n">
        <v>16.2</v>
      </c>
      <c r="J30" s="17" t="n">
        <f aca="false">IF(I30="","",RANK(I30,$I$5:$I$359))</f>
        <v>326</v>
      </c>
      <c r="K30" s="19" t="n">
        <v>43.8</v>
      </c>
      <c r="L30" s="17" t="n">
        <f aca="false">IF(K30="","",RANK(K30,$K$5:$K$359))</f>
        <v>208</v>
      </c>
      <c r="M30" s="17" t="str">
        <f aca="false">IF(AND(N(G30)&gt;=N(I30),N(G30)&gt;=N(K30)),"The Pulse",IF(N(I30)&gt;=N(K30),"The Lens","The Hub"))</f>
        <v>The Pulse</v>
      </c>
      <c r="N30" s="20" t="s">
        <v>74</v>
      </c>
      <c r="O30" s="17" t="s">
        <v>24</v>
      </c>
    </row>
    <row r="31" customFormat="false" ht="15" hidden="false" customHeight="false" outlineLevel="0" collapsed="false">
      <c r="A31" s="17" t="s">
        <v>150</v>
      </c>
      <c r="B31" s="17" t="s">
        <v>151</v>
      </c>
      <c r="C31" s="17" t="s">
        <v>77</v>
      </c>
      <c r="D31" s="17" t="s">
        <v>102</v>
      </c>
      <c r="E31" s="17" t="s">
        <v>99</v>
      </c>
      <c r="F31" s="18" t="n">
        <v>188110</v>
      </c>
      <c r="G31" s="19" t="n">
        <v>83</v>
      </c>
      <c r="H31" s="17" t="n">
        <f aca="false">IF(G31="","",RANK(G31,$G$5:$G$359))</f>
        <v>27</v>
      </c>
      <c r="I31" s="19" t="n">
        <v>42.7</v>
      </c>
      <c r="J31" s="17" t="n">
        <f aca="false">IF(I31="","",RANK(I31,$I$5:$I$359))</f>
        <v>227</v>
      </c>
      <c r="K31" s="19" t="n">
        <v>64.9</v>
      </c>
      <c r="L31" s="17" t="n">
        <f aca="false">IF(K31="","",RANK(K31,$K$5:$K$359))</f>
        <v>83</v>
      </c>
      <c r="M31" s="17" t="str">
        <f aca="false">IF(AND(N(G31)&gt;=N(I31),N(G31)&gt;=N(K31)),"The Pulse",IF(N(I31)&gt;=N(K31),"The Lens","The Hub"))</f>
        <v>The Pulse</v>
      </c>
      <c r="N31" s="21" t="s">
        <v>79</v>
      </c>
      <c r="O31" s="17" t="s">
        <v>88</v>
      </c>
    </row>
    <row r="32" customFormat="false" ht="15" hidden="false" customHeight="false" outlineLevel="0" collapsed="false">
      <c r="A32" s="17" t="s">
        <v>152</v>
      </c>
      <c r="B32" s="17" t="s">
        <v>153</v>
      </c>
      <c r="C32" s="17" t="s">
        <v>115</v>
      </c>
      <c r="D32" s="17" t="s">
        <v>154</v>
      </c>
      <c r="E32" s="17" t="s">
        <v>47</v>
      </c>
      <c r="F32" s="18" t="n">
        <v>13930</v>
      </c>
      <c r="G32" s="19" t="n">
        <v>82.9</v>
      </c>
      <c r="H32" s="17" t="n">
        <f aca="false">IF(G32="","",RANK(G32,$G$5:$G$359))</f>
        <v>28</v>
      </c>
      <c r="I32" s="19" t="n">
        <v>36.7</v>
      </c>
      <c r="J32" s="17" t="n">
        <f aca="false">IF(I32="","",RANK(I32,$I$5:$I$359))</f>
        <v>257</v>
      </c>
      <c r="K32" s="19" t="n">
        <v>4.5</v>
      </c>
      <c r="L32" s="17" t="n">
        <f aca="false">IF(K32="","",RANK(K32,$K$5:$K$359))</f>
        <v>346</v>
      </c>
      <c r="M32" s="17" t="str">
        <f aca="false">IF(AND(N(G32)&gt;=N(I32),N(G32)&gt;=N(K32)),"The Pulse",IF(N(I32)&gt;=N(K32),"The Lens","The Hub"))</f>
        <v>The Pulse</v>
      </c>
      <c r="N32" s="22" t="s">
        <v>109</v>
      </c>
      <c r="O32" s="17" t="s">
        <v>155</v>
      </c>
    </row>
    <row r="33" customFormat="false" ht="15" hidden="false" customHeight="false" outlineLevel="0" collapsed="false">
      <c r="A33" s="17" t="s">
        <v>156</v>
      </c>
      <c r="B33" s="17" t="s">
        <v>157</v>
      </c>
      <c r="C33" s="17" t="s">
        <v>72</v>
      </c>
      <c r="D33" s="17" t="s">
        <v>127</v>
      </c>
      <c r="E33" s="17" t="s">
        <v>46</v>
      </c>
      <c r="F33" s="18" t="n">
        <v>19368</v>
      </c>
      <c r="G33" s="19" t="n">
        <v>81.3</v>
      </c>
      <c r="H33" s="17" t="n">
        <f aca="false">IF(G33="","",RANK(G33,$G$5:$G$359))</f>
        <v>29</v>
      </c>
      <c r="I33" s="19" t="n">
        <v>97.5</v>
      </c>
      <c r="J33" s="17" t="n">
        <f aca="false">IF(I33="","",RANK(I33,$I$5:$I$359))</f>
        <v>6</v>
      </c>
      <c r="K33" s="19" t="n">
        <v>89.8</v>
      </c>
      <c r="L33" s="17" t="n">
        <f aca="false">IF(K33="","",RANK(K33,$K$5:$K$359))</f>
        <v>10</v>
      </c>
      <c r="M33" s="17" t="str">
        <f aca="false">IF(AND(N(G33)&gt;=N(I33),N(G33)&gt;=N(K33)),"The Pulse",IF(N(I33)&gt;=N(K33),"The Lens","The Hub"))</f>
        <v>The Lens</v>
      </c>
      <c r="N33" s="21" t="s">
        <v>79</v>
      </c>
      <c r="O33" s="17" t="s">
        <v>88</v>
      </c>
    </row>
    <row r="34" customFormat="false" ht="15" hidden="false" customHeight="false" outlineLevel="0" collapsed="false">
      <c r="A34" s="17" t="s">
        <v>158</v>
      </c>
      <c r="B34" s="17" t="s">
        <v>159</v>
      </c>
      <c r="C34" s="17" t="s">
        <v>86</v>
      </c>
      <c r="D34" s="17" t="s">
        <v>105</v>
      </c>
      <c r="E34" s="17" t="s">
        <v>99</v>
      </c>
      <c r="F34" s="18" t="n">
        <v>918520</v>
      </c>
      <c r="G34" s="19" t="n">
        <v>80.9</v>
      </c>
      <c r="H34" s="17" t="n">
        <f aca="false">IF(G34="","",RANK(G34,$G$5:$G$359))</f>
        <v>30</v>
      </c>
      <c r="I34" s="19" t="n">
        <v>63.4</v>
      </c>
      <c r="J34" s="17" t="n">
        <f aca="false">IF(I34="","",RANK(I34,$I$5:$I$359))</f>
        <v>101</v>
      </c>
      <c r="K34" s="19" t="n">
        <v>62.4</v>
      </c>
      <c r="L34" s="17" t="n">
        <f aca="false">IF(K34="","",RANK(K34,$K$5:$K$359))</f>
        <v>91</v>
      </c>
      <c r="M34" s="17" t="str">
        <f aca="false">IF(AND(N(G34)&gt;=N(I34),N(G34)&gt;=N(K34)),"The Pulse",IF(N(I34)&gt;=N(K34),"The Lens","The Hub"))</f>
        <v>The Pulse</v>
      </c>
      <c r="N34" s="21" t="s">
        <v>79</v>
      </c>
      <c r="O34" s="17" t="s">
        <v>88</v>
      </c>
    </row>
    <row r="35" customFormat="false" ht="15" hidden="false" customHeight="false" outlineLevel="0" collapsed="false">
      <c r="A35" s="17" t="s">
        <v>160</v>
      </c>
      <c r="B35" s="17" t="s">
        <v>161</v>
      </c>
      <c r="C35" s="17" t="s">
        <v>162</v>
      </c>
      <c r="D35" s="17" t="s">
        <v>124</v>
      </c>
      <c r="E35" s="17" t="s">
        <v>45</v>
      </c>
      <c r="F35" s="18" t="n">
        <v>37770</v>
      </c>
      <c r="G35" s="19" t="n">
        <v>80.7</v>
      </c>
      <c r="H35" s="17" t="n">
        <f aca="false">IF(G35="","",RANK(G35,$G$5:$G$359))</f>
        <v>31</v>
      </c>
      <c r="I35" s="19" t="n">
        <v>66.3</v>
      </c>
      <c r="J35" s="17" t="n">
        <f aca="false">IF(I35="","",RANK(I35,$I$5:$I$359))</f>
        <v>89</v>
      </c>
      <c r="K35" s="19" t="n">
        <v>42.7</v>
      </c>
      <c r="L35" s="17" t="n">
        <f aca="false">IF(K35="","",RANK(K35,$K$5:$K$359))</f>
        <v>216</v>
      </c>
      <c r="M35" s="17" t="str">
        <f aca="false">IF(AND(N(G35)&gt;=N(I35),N(G35)&gt;=N(K35)),"The Pulse",IF(N(I35)&gt;=N(K35),"The Lens","The Hub"))</f>
        <v>The Pulse</v>
      </c>
      <c r="N35" s="20" t="s">
        <v>74</v>
      </c>
      <c r="O35" s="17" t="s">
        <v>24</v>
      </c>
    </row>
    <row r="36" customFormat="false" ht="15" hidden="false" customHeight="false" outlineLevel="0" collapsed="false">
      <c r="A36" s="17" t="s">
        <v>163</v>
      </c>
      <c r="B36" s="17" t="s">
        <v>164</v>
      </c>
      <c r="C36" s="17" t="s">
        <v>115</v>
      </c>
      <c r="D36" s="17" t="s">
        <v>83</v>
      </c>
      <c r="E36" s="17" t="s">
        <v>99</v>
      </c>
      <c r="F36" s="18" t="n">
        <v>260806</v>
      </c>
      <c r="G36" s="19" t="n">
        <v>80.1</v>
      </c>
      <c r="H36" s="17" t="n">
        <f aca="false">IF(G36="","",RANK(G36,$G$5:$G$359))</f>
        <v>32</v>
      </c>
      <c r="I36" s="19" t="n">
        <v>28</v>
      </c>
      <c r="J36" s="17" t="n">
        <f aca="false">IF(I36="","",RANK(I36,$I$5:$I$359))</f>
        <v>293</v>
      </c>
      <c r="K36" s="19" t="n">
        <v>51.2</v>
      </c>
      <c r="L36" s="17" t="n">
        <f aca="false">IF(K36="","",RANK(K36,$K$5:$K$359))</f>
        <v>161</v>
      </c>
      <c r="M36" s="17" t="str">
        <f aca="false">IF(AND(N(G36)&gt;=N(I36),N(G36)&gt;=N(K36)),"The Pulse",IF(N(I36)&gt;=N(K36),"The Lens","The Hub"))</f>
        <v>The Pulse</v>
      </c>
      <c r="N36" s="21" t="s">
        <v>79</v>
      </c>
      <c r="O36" s="17" t="s">
        <v>88</v>
      </c>
    </row>
    <row r="37" customFormat="false" ht="15" hidden="false" customHeight="false" outlineLevel="0" collapsed="false">
      <c r="A37" s="17" t="s">
        <v>165</v>
      </c>
      <c r="B37" s="17" t="s">
        <v>166</v>
      </c>
      <c r="C37" s="17" t="s">
        <v>77</v>
      </c>
      <c r="D37" s="17" t="s">
        <v>102</v>
      </c>
      <c r="E37" s="17" t="s">
        <v>47</v>
      </c>
      <c r="F37" s="18" t="n">
        <v>33001</v>
      </c>
      <c r="G37" s="19" t="n">
        <v>80.1</v>
      </c>
      <c r="H37" s="17" t="n">
        <f aca="false">IF(G37="","",RANK(G37,$G$5:$G$359))</f>
        <v>32</v>
      </c>
      <c r="I37" s="19" t="n">
        <v>74</v>
      </c>
      <c r="J37" s="17" t="n">
        <f aca="false">IF(I37="","",RANK(I37,$I$5:$I$359))</f>
        <v>58</v>
      </c>
      <c r="K37" s="19" t="n">
        <v>84.8</v>
      </c>
      <c r="L37" s="17" t="n">
        <f aca="false">IF(K37="","",RANK(K37,$K$5:$K$359))</f>
        <v>22</v>
      </c>
      <c r="M37" s="17" t="str">
        <f aca="false">IF(AND(N(G37)&gt;=N(I37),N(G37)&gt;=N(K37)),"The Pulse",IF(N(I37)&gt;=N(K37),"The Lens","The Hub"))</f>
        <v>The Hub</v>
      </c>
      <c r="N37" s="21" t="s">
        <v>79</v>
      </c>
      <c r="O37" s="17" t="s">
        <v>22</v>
      </c>
    </row>
    <row r="38" customFormat="false" ht="15" hidden="false" customHeight="false" outlineLevel="0" collapsed="false">
      <c r="A38" s="17" t="s">
        <v>167</v>
      </c>
      <c r="B38" s="17" t="s">
        <v>168</v>
      </c>
      <c r="C38" s="17" t="s">
        <v>98</v>
      </c>
      <c r="D38" s="17" t="s">
        <v>87</v>
      </c>
      <c r="E38" s="17" t="s">
        <v>99</v>
      </c>
      <c r="F38" s="18" t="n">
        <v>483895</v>
      </c>
      <c r="G38" s="19" t="n">
        <v>80.1</v>
      </c>
      <c r="H38" s="17" t="n">
        <f aca="false">IF(G38="","",RANK(G38,$G$5:$G$359))</f>
        <v>32</v>
      </c>
      <c r="I38" s="19" t="n">
        <v>60.4</v>
      </c>
      <c r="J38" s="17" t="n">
        <f aca="false">IF(I38="","",RANK(I38,$I$5:$I$359))</f>
        <v>123</v>
      </c>
      <c r="K38" s="19" t="n">
        <v>26.9</v>
      </c>
      <c r="L38" s="17" t="n">
        <f aca="false">IF(K38="","",RANK(K38,$K$5:$K$359))</f>
        <v>298</v>
      </c>
      <c r="M38" s="17" t="str">
        <f aca="false">IF(AND(N(G38)&gt;=N(I38),N(G38)&gt;=N(K38)),"The Pulse",IF(N(I38)&gt;=N(K38),"The Lens","The Hub"))</f>
        <v>The Pulse</v>
      </c>
      <c r="N38" s="21" t="s">
        <v>79</v>
      </c>
      <c r="O38" s="17" t="s">
        <v>88</v>
      </c>
    </row>
    <row r="39" customFormat="false" ht="15" hidden="false" customHeight="false" outlineLevel="0" collapsed="false">
      <c r="A39" s="17" t="s">
        <v>169</v>
      </c>
      <c r="B39" s="17" t="s">
        <v>170</v>
      </c>
      <c r="C39" s="17" t="s">
        <v>82</v>
      </c>
      <c r="D39" s="17" t="s">
        <v>154</v>
      </c>
      <c r="E39" s="17" t="s">
        <v>99</v>
      </c>
      <c r="F39" s="18" t="n">
        <v>160826</v>
      </c>
      <c r="G39" s="19" t="n">
        <v>79.6</v>
      </c>
      <c r="H39" s="17" t="n">
        <f aca="false">IF(G39="","",RANK(G39,$G$5:$G$359))</f>
        <v>35</v>
      </c>
      <c r="I39" s="19" t="n">
        <v>41.7</v>
      </c>
      <c r="J39" s="17" t="n">
        <f aca="false">IF(I39="","",RANK(I39,$I$5:$I$359))</f>
        <v>230</v>
      </c>
      <c r="K39" s="19" t="n">
        <v>57.5</v>
      </c>
      <c r="L39" s="17" t="n">
        <f aca="false">IF(K39="","",RANK(K39,$K$5:$K$359))</f>
        <v>124</v>
      </c>
      <c r="M39" s="17" t="str">
        <f aca="false">IF(AND(N(G39)&gt;=N(I39),N(G39)&gt;=N(K39)),"The Pulse",IF(N(I39)&gt;=N(K39),"The Lens","The Hub"))</f>
        <v>The Pulse</v>
      </c>
      <c r="N39" s="21" t="s">
        <v>79</v>
      </c>
      <c r="O39" s="17" t="s">
        <v>88</v>
      </c>
    </row>
    <row r="40" customFormat="false" ht="15" hidden="false" customHeight="false" outlineLevel="0" collapsed="false">
      <c r="A40" s="17" t="s">
        <v>171</v>
      </c>
      <c r="B40" s="17" t="s">
        <v>172</v>
      </c>
      <c r="C40" s="17" t="s">
        <v>91</v>
      </c>
      <c r="D40" s="17" t="s">
        <v>102</v>
      </c>
      <c r="E40" s="17" t="s">
        <v>92</v>
      </c>
      <c r="F40" s="18" t="n">
        <v>146620</v>
      </c>
      <c r="G40" s="19" t="n">
        <v>79.5</v>
      </c>
      <c r="H40" s="17" t="n">
        <f aca="false">IF(G40="","",RANK(G40,$G$5:$G$359))</f>
        <v>36</v>
      </c>
      <c r="I40" s="19" t="n">
        <v>78.8</v>
      </c>
      <c r="J40" s="17" t="n">
        <f aca="false">IF(I40="","",RANK(I40,$I$5:$I$359))</f>
        <v>40</v>
      </c>
      <c r="K40" s="19" t="n">
        <v>44.6</v>
      </c>
      <c r="L40" s="17" t="n">
        <f aca="false">IF(K40="","",RANK(K40,$K$5:$K$359))</f>
        <v>202</v>
      </c>
      <c r="M40" s="17" t="str">
        <f aca="false">IF(AND(N(G40)&gt;=N(I40),N(G40)&gt;=N(K40)),"The Pulse",IF(N(I40)&gt;=N(K40),"The Lens","The Hub"))</f>
        <v>The Pulse</v>
      </c>
      <c r="N40" s="21" t="s">
        <v>79</v>
      </c>
      <c r="O40" s="17" t="s">
        <v>88</v>
      </c>
    </row>
    <row r="41" customFormat="false" ht="15" hidden="false" customHeight="false" outlineLevel="0" collapsed="false">
      <c r="A41" s="17" t="s">
        <v>173</v>
      </c>
      <c r="B41" s="17" t="s">
        <v>174</v>
      </c>
      <c r="C41" s="17" t="s">
        <v>91</v>
      </c>
      <c r="D41" s="17" t="s">
        <v>127</v>
      </c>
      <c r="E41" s="17" t="s">
        <v>47</v>
      </c>
      <c r="F41" s="18" t="n">
        <v>51228</v>
      </c>
      <c r="G41" s="19" t="n">
        <v>79.4</v>
      </c>
      <c r="H41" s="17" t="n">
        <f aca="false">IF(G41="","",RANK(G41,$G$5:$G$359))</f>
        <v>37</v>
      </c>
      <c r="I41" s="19" t="n">
        <v>25</v>
      </c>
      <c r="J41" s="17" t="n">
        <f aca="false">IF(I41="","",RANK(I41,$I$5:$I$359))</f>
        <v>303</v>
      </c>
      <c r="K41" s="19" t="n">
        <v>65.2</v>
      </c>
      <c r="L41" s="17" t="n">
        <f aca="false">IF(K41="","",RANK(K41,$K$5:$K$359))</f>
        <v>80</v>
      </c>
      <c r="M41" s="17" t="str">
        <f aca="false">IF(AND(N(G41)&gt;=N(I41),N(G41)&gt;=N(K41)),"The Pulse",IF(N(I41)&gt;=N(K41),"The Lens","The Hub"))</f>
        <v>The Pulse</v>
      </c>
      <c r="N41" s="21" t="s">
        <v>79</v>
      </c>
      <c r="O41" s="17" t="s">
        <v>88</v>
      </c>
    </row>
    <row r="42" customFormat="false" ht="15" hidden="false" customHeight="false" outlineLevel="0" collapsed="false">
      <c r="A42" s="17" t="s">
        <v>175</v>
      </c>
      <c r="B42" s="17" t="s">
        <v>176</v>
      </c>
      <c r="C42" s="17" t="s">
        <v>162</v>
      </c>
      <c r="D42" s="17" t="s">
        <v>127</v>
      </c>
      <c r="E42" s="17" t="s">
        <v>106</v>
      </c>
      <c r="F42" s="18" t="n">
        <v>139770</v>
      </c>
      <c r="G42" s="19" t="n">
        <v>78.4</v>
      </c>
      <c r="H42" s="17" t="n">
        <f aca="false">IF(G42="","",RANK(G42,$G$5:$G$359))</f>
        <v>38</v>
      </c>
      <c r="I42" s="19" t="n">
        <v>50.8</v>
      </c>
      <c r="J42" s="17" t="n">
        <f aca="false">IF(I42="","",RANK(I42,$I$5:$I$359))</f>
        <v>172</v>
      </c>
      <c r="K42" s="19" t="n">
        <v>59.1</v>
      </c>
      <c r="L42" s="17" t="n">
        <f aca="false">IF(K42="","",RANK(K42,$K$5:$K$359))</f>
        <v>111</v>
      </c>
      <c r="M42" s="17" t="str">
        <f aca="false">IF(AND(N(G42)&gt;=N(I42),N(G42)&gt;=N(K42)),"The Pulse",IF(N(I42)&gt;=N(K42),"The Lens","The Hub"))</f>
        <v>The Pulse</v>
      </c>
      <c r="N42" s="20" t="s">
        <v>74</v>
      </c>
      <c r="O42" s="17" t="s">
        <v>24</v>
      </c>
    </row>
    <row r="43" customFormat="false" ht="15" hidden="false" customHeight="false" outlineLevel="0" collapsed="false">
      <c r="A43" s="17" t="s">
        <v>177</v>
      </c>
      <c r="B43" s="17" t="s">
        <v>178</v>
      </c>
      <c r="C43" s="17" t="s">
        <v>162</v>
      </c>
      <c r="D43" s="17" t="s">
        <v>127</v>
      </c>
      <c r="E43" s="17" t="s">
        <v>47</v>
      </c>
      <c r="F43" s="18" t="n">
        <v>40655</v>
      </c>
      <c r="G43" s="19" t="n">
        <v>78</v>
      </c>
      <c r="H43" s="17" t="n">
        <f aca="false">IF(G43="","",RANK(G43,$G$5:$G$359))</f>
        <v>39</v>
      </c>
      <c r="I43" s="19" t="n">
        <v>50</v>
      </c>
      <c r="J43" s="17" t="n">
        <f aca="false">IF(I43="","",RANK(I43,$I$5:$I$359))</f>
        <v>178</v>
      </c>
      <c r="K43" s="19" t="n">
        <v>44.4</v>
      </c>
      <c r="L43" s="17" t="n">
        <f aca="false">IF(K43="","",RANK(K43,$K$5:$K$359))</f>
        <v>204</v>
      </c>
      <c r="M43" s="17" t="str">
        <f aca="false">IF(AND(N(G43)&gt;=N(I43),N(G43)&gt;=N(K43)),"The Pulse",IF(N(I43)&gt;=N(K43),"The Lens","The Hub"))</f>
        <v>The Pulse</v>
      </c>
      <c r="N43" s="21" t="s">
        <v>79</v>
      </c>
      <c r="O43" s="17" t="s">
        <v>22</v>
      </c>
    </row>
    <row r="44" customFormat="false" ht="15" hidden="false" customHeight="false" outlineLevel="0" collapsed="false">
      <c r="A44" s="17" t="s">
        <v>179</v>
      </c>
      <c r="B44" s="17" t="s">
        <v>180</v>
      </c>
      <c r="C44" s="17" t="s">
        <v>98</v>
      </c>
      <c r="D44" s="17" t="s">
        <v>154</v>
      </c>
      <c r="E44" s="17" t="s">
        <v>92</v>
      </c>
      <c r="F44" s="18" t="n">
        <v>42905</v>
      </c>
      <c r="G44" s="19" t="n">
        <v>77.6</v>
      </c>
      <c r="H44" s="17" t="n">
        <f aca="false">IF(G44="","",RANK(G44,$G$5:$G$359))</f>
        <v>40</v>
      </c>
      <c r="I44" s="19" t="n">
        <v>40</v>
      </c>
      <c r="J44" s="17" t="n">
        <f aca="false">IF(I44="","",RANK(I44,$I$5:$I$359))</f>
        <v>241</v>
      </c>
      <c r="K44" s="19" t="n">
        <v>35</v>
      </c>
      <c r="L44" s="17" t="n">
        <f aca="false">IF(K44="","",RANK(K44,$K$5:$K$359))</f>
        <v>268</v>
      </c>
      <c r="M44" s="17" t="str">
        <f aca="false">IF(AND(N(G44)&gt;=N(I44),N(G44)&gt;=N(K44)),"The Pulse",IF(N(I44)&gt;=N(K44),"The Lens","The Hub"))</f>
        <v>The Pulse</v>
      </c>
      <c r="N44" s="21" t="s">
        <v>79</v>
      </c>
      <c r="O44" s="17" t="s">
        <v>88</v>
      </c>
    </row>
    <row r="45" customFormat="false" ht="15" hidden="false" customHeight="false" outlineLevel="0" collapsed="false">
      <c r="A45" s="17" t="s">
        <v>181</v>
      </c>
      <c r="B45" s="17" t="s">
        <v>182</v>
      </c>
      <c r="C45" s="17" t="s">
        <v>115</v>
      </c>
      <c r="D45" s="17" t="s">
        <v>127</v>
      </c>
      <c r="E45" s="17" t="s">
        <v>99</v>
      </c>
      <c r="F45" s="18" t="n">
        <v>330922</v>
      </c>
      <c r="G45" s="19" t="n">
        <v>77.5</v>
      </c>
      <c r="H45" s="17" t="n">
        <f aca="false">IF(G45="","",RANK(G45,$G$5:$G$359))</f>
        <v>41</v>
      </c>
      <c r="I45" s="19" t="n">
        <v>47.7</v>
      </c>
      <c r="J45" s="17" t="n">
        <f aca="false">IF(I45="","",RANK(I45,$I$5:$I$359))</f>
        <v>199</v>
      </c>
      <c r="K45" s="19" t="n">
        <v>59.7</v>
      </c>
      <c r="L45" s="17" t="n">
        <f aca="false">IF(K45="","",RANK(K45,$K$5:$K$359))</f>
        <v>107</v>
      </c>
      <c r="M45" s="17" t="str">
        <f aca="false">IF(AND(N(G45)&gt;=N(I45),N(G45)&gt;=N(K45)),"The Pulse",IF(N(I45)&gt;=N(K45),"The Lens","The Hub"))</f>
        <v>The Pulse</v>
      </c>
      <c r="N45" s="22" t="s">
        <v>109</v>
      </c>
      <c r="O45" s="17" t="s">
        <v>134</v>
      </c>
    </row>
    <row r="46" customFormat="false" ht="15" hidden="false" customHeight="false" outlineLevel="0" collapsed="false">
      <c r="A46" s="17" t="s">
        <v>183</v>
      </c>
      <c r="B46" s="17" t="s">
        <v>184</v>
      </c>
      <c r="C46" s="17" t="s">
        <v>98</v>
      </c>
      <c r="D46" s="17" t="s">
        <v>105</v>
      </c>
      <c r="E46" s="17" t="s">
        <v>99</v>
      </c>
      <c r="F46" s="18" t="n">
        <v>209309</v>
      </c>
      <c r="G46" s="19" t="n">
        <v>77.3</v>
      </c>
      <c r="H46" s="17" t="n">
        <f aca="false">IF(G46="","",RANK(G46,$G$5:$G$359))</f>
        <v>42</v>
      </c>
      <c r="I46" s="19" t="n">
        <v>22</v>
      </c>
      <c r="J46" s="17" t="n">
        <f aca="false">IF(I46="","",RANK(I46,$I$5:$I$359))</f>
        <v>309</v>
      </c>
      <c r="K46" s="19" t="n">
        <v>12.4</v>
      </c>
      <c r="L46" s="17" t="n">
        <f aca="false">IF(K46="","",RANK(K46,$K$5:$K$359))</f>
        <v>333</v>
      </c>
      <c r="M46" s="17" t="str">
        <f aca="false">IF(AND(N(G46)&gt;=N(I46),N(G46)&gt;=N(K46)),"The Pulse",IF(N(I46)&gt;=N(K46),"The Lens","The Hub"))</f>
        <v>The Pulse</v>
      </c>
      <c r="N46" s="21" t="s">
        <v>79</v>
      </c>
      <c r="O46" s="17" t="s">
        <v>88</v>
      </c>
    </row>
    <row r="47" customFormat="false" ht="15" hidden="false" customHeight="false" outlineLevel="0" collapsed="false">
      <c r="A47" s="17" t="s">
        <v>185</v>
      </c>
      <c r="B47" s="17" t="s">
        <v>186</v>
      </c>
      <c r="C47" s="17" t="s">
        <v>86</v>
      </c>
      <c r="D47" s="17" t="s">
        <v>154</v>
      </c>
      <c r="E47" s="17" t="s">
        <v>149</v>
      </c>
      <c r="F47" s="18" t="n">
        <v>62720</v>
      </c>
      <c r="G47" s="19" t="n">
        <v>76.6</v>
      </c>
      <c r="H47" s="17" t="n">
        <f aca="false">IF(G47="","",RANK(G47,$G$5:$G$359))</f>
        <v>43</v>
      </c>
      <c r="I47" s="19" t="n">
        <v>19.6</v>
      </c>
      <c r="J47" s="17" t="n">
        <f aca="false">IF(I47="","",RANK(I47,$I$5:$I$359))</f>
        <v>320</v>
      </c>
      <c r="K47" s="19" t="n">
        <v>33.7</v>
      </c>
      <c r="L47" s="17" t="n">
        <f aca="false">IF(K47="","",RANK(K47,$K$5:$K$359))</f>
        <v>280</v>
      </c>
      <c r="M47" s="17" t="str">
        <f aca="false">IF(AND(N(G47)&gt;=N(I47),N(G47)&gt;=N(K47)),"The Pulse",IF(N(I47)&gt;=N(K47),"The Lens","The Hub"))</f>
        <v>The Pulse</v>
      </c>
      <c r="N47" s="21" t="s">
        <v>79</v>
      </c>
      <c r="O47" s="17" t="s">
        <v>88</v>
      </c>
    </row>
    <row r="48" customFormat="false" ht="15" hidden="false" customHeight="false" outlineLevel="0" collapsed="false">
      <c r="A48" s="17" t="s">
        <v>187</v>
      </c>
      <c r="B48" s="17" t="s">
        <v>188</v>
      </c>
      <c r="C48" s="17" t="s">
        <v>77</v>
      </c>
      <c r="D48" s="17" t="s">
        <v>102</v>
      </c>
      <c r="E48" s="17" t="s">
        <v>47</v>
      </c>
      <c r="F48" s="18" t="n">
        <v>33710</v>
      </c>
      <c r="G48" s="19" t="n">
        <v>76.5</v>
      </c>
      <c r="H48" s="17" t="n">
        <f aca="false">IF(G48="","",RANK(G48,$G$5:$G$359))</f>
        <v>44</v>
      </c>
      <c r="I48" s="19" t="n">
        <v>3.2</v>
      </c>
      <c r="J48" s="17" t="n">
        <f aca="false">IF(I48="","",RANK(I48,$I$5:$I$359))</f>
        <v>355</v>
      </c>
      <c r="K48" s="19" t="n">
        <v>65.6</v>
      </c>
      <c r="L48" s="17" t="n">
        <f aca="false">IF(K48="","",RANK(K48,$K$5:$K$359))</f>
        <v>78</v>
      </c>
      <c r="M48" s="17" t="str">
        <f aca="false">IF(AND(N(G48)&gt;=N(I48),N(G48)&gt;=N(K48)),"The Pulse",IF(N(I48)&gt;=N(K48),"The Lens","The Hub"))</f>
        <v>The Pulse</v>
      </c>
      <c r="N48" s="20" t="s">
        <v>74</v>
      </c>
      <c r="O48" s="17" t="s">
        <v>24</v>
      </c>
    </row>
    <row r="49" customFormat="false" ht="15" hidden="false" customHeight="false" outlineLevel="0" collapsed="false">
      <c r="A49" s="17" t="s">
        <v>189</v>
      </c>
      <c r="B49" s="17" t="s">
        <v>190</v>
      </c>
      <c r="C49" s="17" t="s">
        <v>162</v>
      </c>
      <c r="D49" s="17" t="s">
        <v>78</v>
      </c>
      <c r="E49" s="17" t="s">
        <v>47</v>
      </c>
      <c r="F49" s="18" t="n">
        <v>12410</v>
      </c>
      <c r="G49" s="19" t="n">
        <v>76.4</v>
      </c>
      <c r="H49" s="17" t="n">
        <f aca="false">IF(G49="","",RANK(G49,$G$5:$G$359))</f>
        <v>45</v>
      </c>
      <c r="I49" s="19" t="n">
        <v>27.9</v>
      </c>
      <c r="J49" s="17" t="n">
        <f aca="false">IF(I49="","",RANK(I49,$I$5:$I$359))</f>
        <v>295</v>
      </c>
      <c r="K49" s="19" t="n">
        <v>0.9</v>
      </c>
      <c r="L49" s="17" t="n">
        <f aca="false">IF(K49="","",RANK(K49,$K$5:$K$359))</f>
        <v>349</v>
      </c>
      <c r="M49" s="17" t="str">
        <f aca="false">IF(AND(N(G49)&gt;=N(I49),N(G49)&gt;=N(K49)),"The Pulse",IF(N(I49)&gt;=N(K49),"The Lens","The Hub"))</f>
        <v>The Pulse</v>
      </c>
      <c r="N49" s="21" t="s">
        <v>79</v>
      </c>
      <c r="O49" s="17" t="s">
        <v>22</v>
      </c>
    </row>
    <row r="50" customFormat="false" ht="15" hidden="false" customHeight="false" outlineLevel="0" collapsed="false">
      <c r="A50" s="17" t="s">
        <v>191</v>
      </c>
      <c r="B50" s="17" t="s">
        <v>192</v>
      </c>
      <c r="C50" s="17" t="s">
        <v>82</v>
      </c>
      <c r="D50" s="17" t="s">
        <v>102</v>
      </c>
      <c r="E50" s="17" t="s">
        <v>99</v>
      </c>
      <c r="F50" s="18" t="n">
        <v>48104</v>
      </c>
      <c r="G50" s="19" t="n">
        <v>76.3</v>
      </c>
      <c r="H50" s="17" t="n">
        <f aca="false">IF(G50="","",RANK(G50,$G$5:$G$359))</f>
        <v>46</v>
      </c>
      <c r="I50" s="19" t="n">
        <v>39.8</v>
      </c>
      <c r="J50" s="17" t="n">
        <f aca="false">IF(I50="","",RANK(I50,$I$5:$I$359))</f>
        <v>244</v>
      </c>
      <c r="K50" s="19" t="n">
        <v>82.7</v>
      </c>
      <c r="L50" s="17" t="n">
        <f aca="false">IF(K50="","",RANK(K50,$K$5:$K$359))</f>
        <v>28</v>
      </c>
      <c r="M50" s="17" t="str">
        <f aca="false">IF(AND(N(G50)&gt;=N(I50),N(G50)&gt;=N(K50)),"The Pulse",IF(N(I50)&gt;=N(K50),"The Lens","The Hub"))</f>
        <v>The Hub</v>
      </c>
      <c r="N50" s="21" t="s">
        <v>79</v>
      </c>
      <c r="O50" s="17" t="s">
        <v>88</v>
      </c>
    </row>
    <row r="51" customFormat="false" ht="15" hidden="false" customHeight="false" outlineLevel="0" collapsed="false">
      <c r="A51" s="17" t="s">
        <v>193</v>
      </c>
      <c r="B51" s="17" t="s">
        <v>194</v>
      </c>
      <c r="C51" s="17" t="s">
        <v>72</v>
      </c>
      <c r="D51" s="17" t="s">
        <v>78</v>
      </c>
      <c r="E51" s="17" t="s">
        <v>99</v>
      </c>
      <c r="F51" s="18" t="n">
        <v>113720</v>
      </c>
      <c r="G51" s="19" t="n">
        <v>76.2</v>
      </c>
      <c r="H51" s="17" t="n">
        <f aca="false">IF(G51="","",RANK(G51,$G$5:$G$359))</f>
        <v>47</v>
      </c>
      <c r="I51" s="19" t="n">
        <v>75.8</v>
      </c>
      <c r="J51" s="17" t="n">
        <f aca="false">IF(I51="","",RANK(I51,$I$5:$I$359))</f>
        <v>49</v>
      </c>
      <c r="K51" s="19" t="n">
        <v>66</v>
      </c>
      <c r="L51" s="17" t="n">
        <f aca="false">IF(K51="","",RANK(K51,$K$5:$K$359))</f>
        <v>73</v>
      </c>
      <c r="M51" s="17" t="str">
        <f aca="false">IF(AND(N(G51)&gt;=N(I51),N(G51)&gt;=N(K51)),"The Pulse",IF(N(I51)&gt;=N(K51),"The Lens","The Hub"))</f>
        <v>The Pulse</v>
      </c>
      <c r="N51" s="21" t="s">
        <v>79</v>
      </c>
      <c r="O51" s="17" t="s">
        <v>88</v>
      </c>
    </row>
    <row r="52" customFormat="false" ht="15" hidden="false" customHeight="false" outlineLevel="0" collapsed="false">
      <c r="A52" s="17" t="s">
        <v>195</v>
      </c>
      <c r="B52" s="17" t="s">
        <v>196</v>
      </c>
      <c r="C52" s="17" t="s">
        <v>86</v>
      </c>
      <c r="D52" s="17" t="s">
        <v>87</v>
      </c>
      <c r="E52" s="17" t="s">
        <v>92</v>
      </c>
      <c r="F52" s="18" t="n">
        <v>130750</v>
      </c>
      <c r="G52" s="19" t="n">
        <v>76.1</v>
      </c>
      <c r="H52" s="17" t="n">
        <f aca="false">IF(G52="","",RANK(G52,$G$5:$G$359))</f>
        <v>48</v>
      </c>
      <c r="I52" s="19" t="n">
        <v>50.6</v>
      </c>
      <c r="J52" s="17" t="n">
        <f aca="false">IF(I52="","",RANK(I52,$I$5:$I$359))</f>
        <v>173</v>
      </c>
      <c r="K52" s="19" t="n">
        <v>58.6</v>
      </c>
      <c r="L52" s="17" t="n">
        <f aca="false">IF(K52="","",RANK(K52,$K$5:$K$359))</f>
        <v>117</v>
      </c>
      <c r="M52" s="17" t="str">
        <f aca="false">IF(AND(N(G52)&gt;=N(I52),N(G52)&gt;=N(K52)),"The Pulse",IF(N(I52)&gt;=N(K52),"The Lens","The Hub"))</f>
        <v>The Pulse</v>
      </c>
      <c r="N52" s="20" t="s">
        <v>74</v>
      </c>
      <c r="O52" s="17" t="s">
        <v>24</v>
      </c>
    </row>
    <row r="53" customFormat="false" ht="15" hidden="false" customHeight="false" outlineLevel="0" collapsed="false">
      <c r="A53" s="17" t="s">
        <v>197</v>
      </c>
      <c r="B53" s="17" t="s">
        <v>198</v>
      </c>
      <c r="C53" s="17" t="s">
        <v>95</v>
      </c>
      <c r="D53" s="17" t="s">
        <v>102</v>
      </c>
      <c r="E53" s="17" t="s">
        <v>149</v>
      </c>
      <c r="F53" s="18" t="n">
        <v>86170</v>
      </c>
      <c r="G53" s="19" t="n">
        <v>75.8</v>
      </c>
      <c r="H53" s="17" t="n">
        <f aca="false">IF(G53="","",RANK(G53,$G$5:$G$359))</f>
        <v>49</v>
      </c>
      <c r="I53" s="19" t="n">
        <v>82.2</v>
      </c>
      <c r="J53" s="17" t="n">
        <f aca="false">IF(I53="","",RANK(I53,$I$5:$I$359))</f>
        <v>26</v>
      </c>
      <c r="K53" s="19" t="n">
        <v>20.1</v>
      </c>
      <c r="L53" s="17" t="n">
        <f aca="false">IF(K53="","",RANK(K53,$K$5:$K$359))</f>
        <v>318</v>
      </c>
      <c r="M53" s="17" t="str">
        <f aca="false">IF(AND(N(G53)&gt;=N(I53),N(G53)&gt;=N(K53)),"The Pulse",IF(N(I53)&gt;=N(K53),"The Lens","The Hub"))</f>
        <v>The Lens</v>
      </c>
      <c r="N53" s="20" t="s">
        <v>74</v>
      </c>
      <c r="O53" s="17" t="s">
        <v>24</v>
      </c>
    </row>
    <row r="54" customFormat="false" ht="15" hidden="false" customHeight="false" outlineLevel="0" collapsed="false">
      <c r="A54" s="17" t="s">
        <v>199</v>
      </c>
      <c r="B54" s="17" t="s">
        <v>200</v>
      </c>
      <c r="C54" s="17" t="s">
        <v>162</v>
      </c>
      <c r="D54" s="17" t="s">
        <v>127</v>
      </c>
      <c r="E54" s="17" t="s">
        <v>47</v>
      </c>
      <c r="F54" s="18" t="n">
        <v>33240</v>
      </c>
      <c r="G54" s="19" t="n">
        <v>75.3</v>
      </c>
      <c r="H54" s="17" t="n">
        <f aca="false">IF(G54="","",RANK(G54,$G$5:$G$359))</f>
        <v>50</v>
      </c>
      <c r="I54" s="19" t="n">
        <v>4.9</v>
      </c>
      <c r="J54" s="17" t="n">
        <f aca="false">IF(I54="","",RANK(I54,$I$5:$I$359))</f>
        <v>351</v>
      </c>
      <c r="K54" s="19" t="n">
        <v>84.1</v>
      </c>
      <c r="L54" s="17" t="n">
        <f aca="false">IF(K54="","",RANK(K54,$K$5:$K$359))</f>
        <v>26</v>
      </c>
      <c r="M54" s="17" t="str">
        <f aca="false">IF(AND(N(G54)&gt;=N(I54),N(G54)&gt;=N(K54)),"The Pulse",IF(N(I54)&gt;=N(K54),"The Lens","The Hub"))</f>
        <v>The Hub</v>
      </c>
      <c r="N54" s="20" t="s">
        <v>74</v>
      </c>
      <c r="O54" s="17" t="s">
        <v>24</v>
      </c>
    </row>
    <row r="55" customFormat="false" ht="15" hidden="false" customHeight="false" outlineLevel="0" collapsed="false">
      <c r="A55" s="17" t="s">
        <v>201</v>
      </c>
      <c r="B55" s="17" t="s">
        <v>202</v>
      </c>
      <c r="C55" s="17" t="s">
        <v>82</v>
      </c>
      <c r="D55" s="17" t="s">
        <v>120</v>
      </c>
      <c r="E55" s="17" t="s">
        <v>46</v>
      </c>
      <c r="F55" s="18" t="n">
        <v>39400</v>
      </c>
      <c r="G55" s="19" t="n">
        <v>74.9</v>
      </c>
      <c r="H55" s="17" t="n">
        <f aca="false">IF(G55="","",RANK(G55,$G$5:$G$359))</f>
        <v>51</v>
      </c>
      <c r="I55" s="19" t="n">
        <v>60.7</v>
      </c>
      <c r="J55" s="17" t="n">
        <f aca="false">IF(I55="","",RANK(I55,$I$5:$I$359))</f>
        <v>122</v>
      </c>
      <c r="K55" s="19" t="n">
        <v>84.3</v>
      </c>
      <c r="L55" s="17" t="n">
        <f aca="false">IF(K55="","",RANK(K55,$K$5:$K$359))</f>
        <v>25</v>
      </c>
      <c r="M55" s="17" t="str">
        <f aca="false">IF(AND(N(G55)&gt;=N(I55),N(G55)&gt;=N(K55)),"The Pulse",IF(N(I55)&gt;=N(K55),"The Lens","The Hub"))</f>
        <v>The Hub</v>
      </c>
      <c r="N55" s="20" t="s">
        <v>74</v>
      </c>
      <c r="O55" s="17" t="s">
        <v>24</v>
      </c>
    </row>
    <row r="56" customFormat="false" ht="15" hidden="false" customHeight="false" outlineLevel="0" collapsed="false">
      <c r="A56" s="17" t="s">
        <v>203</v>
      </c>
      <c r="B56" s="17" t="s">
        <v>204</v>
      </c>
      <c r="C56" s="17" t="s">
        <v>86</v>
      </c>
      <c r="D56" s="17" t="s">
        <v>127</v>
      </c>
      <c r="E56" s="17" t="s">
        <v>99</v>
      </c>
      <c r="F56" s="18" t="n">
        <v>297310</v>
      </c>
      <c r="G56" s="19" t="n">
        <v>74.7</v>
      </c>
      <c r="H56" s="17" t="n">
        <f aca="false">IF(G56="","",RANK(G56,$G$5:$G$359))</f>
        <v>52</v>
      </c>
      <c r="I56" s="19" t="n">
        <v>30.8</v>
      </c>
      <c r="J56" s="17" t="n">
        <f aca="false">IF(I56="","",RANK(I56,$I$5:$I$359))</f>
        <v>282</v>
      </c>
      <c r="K56" s="19" t="n">
        <v>56.8</v>
      </c>
      <c r="L56" s="17" t="n">
        <f aca="false">IF(K56="","",RANK(K56,$K$5:$K$359))</f>
        <v>132</v>
      </c>
      <c r="M56" s="17" t="str">
        <f aca="false">IF(AND(N(G56)&gt;=N(I56),N(G56)&gt;=N(K56)),"The Pulse",IF(N(I56)&gt;=N(K56),"The Lens","The Hub"))</f>
        <v>The Pulse</v>
      </c>
      <c r="N56" s="21" t="s">
        <v>79</v>
      </c>
      <c r="O56" s="17" t="s">
        <v>88</v>
      </c>
    </row>
    <row r="57" customFormat="false" ht="15" hidden="false" customHeight="false" outlineLevel="0" collapsed="false">
      <c r="A57" s="17" t="s">
        <v>205</v>
      </c>
      <c r="B57" s="17" t="s">
        <v>206</v>
      </c>
      <c r="C57" s="17" t="s">
        <v>115</v>
      </c>
      <c r="D57" s="17" t="s">
        <v>87</v>
      </c>
      <c r="E57" s="17" t="s">
        <v>46</v>
      </c>
      <c r="F57" s="18" t="n">
        <v>35302</v>
      </c>
      <c r="G57" s="19" t="n">
        <v>74.5</v>
      </c>
      <c r="H57" s="17" t="n">
        <f aca="false">IF(G57="","",RANK(G57,$G$5:$G$359))</f>
        <v>53</v>
      </c>
      <c r="I57" s="19" t="n">
        <v>90.2</v>
      </c>
      <c r="J57" s="17" t="n">
        <f aca="false">IF(I57="","",RANK(I57,$I$5:$I$359))</f>
        <v>12</v>
      </c>
      <c r="K57" s="19" t="n">
        <v>23.6</v>
      </c>
      <c r="L57" s="17" t="n">
        <f aca="false">IF(K57="","",RANK(K57,$K$5:$K$359))</f>
        <v>306</v>
      </c>
      <c r="M57" s="17" t="str">
        <f aca="false">IF(AND(N(G57)&gt;=N(I57),N(G57)&gt;=N(K57)),"The Pulse",IF(N(I57)&gt;=N(K57),"The Lens","The Hub"))</f>
        <v>The Lens</v>
      </c>
      <c r="N57" s="21" t="s">
        <v>79</v>
      </c>
      <c r="O57" s="17" t="s">
        <v>22</v>
      </c>
    </row>
    <row r="58" customFormat="false" ht="15" hidden="false" customHeight="false" outlineLevel="0" collapsed="false">
      <c r="A58" s="17" t="s">
        <v>207</v>
      </c>
      <c r="B58" s="17" t="s">
        <v>208</v>
      </c>
      <c r="C58" s="17" t="s">
        <v>82</v>
      </c>
      <c r="D58" s="17" t="s">
        <v>83</v>
      </c>
      <c r="E58" s="17" t="s">
        <v>47</v>
      </c>
      <c r="F58" s="18" t="n">
        <v>641662</v>
      </c>
      <c r="G58" s="19" t="n">
        <v>74.4</v>
      </c>
      <c r="H58" s="17" t="n">
        <f aca="false">IF(G58="","",RANK(G58,$G$5:$G$359))</f>
        <v>54</v>
      </c>
      <c r="I58" s="19" t="n">
        <v>31.1</v>
      </c>
      <c r="J58" s="17" t="n">
        <f aca="false">IF(I58="","",RANK(I58,$I$5:$I$359))</f>
        <v>280</v>
      </c>
      <c r="K58" s="19" t="n">
        <v>74.6</v>
      </c>
      <c r="L58" s="17" t="n">
        <f aca="false">IF(K58="","",RANK(K58,$K$5:$K$359))</f>
        <v>42</v>
      </c>
      <c r="M58" s="17" t="str">
        <f aca="false">IF(AND(N(G58)&gt;=N(I58),N(G58)&gt;=N(K58)),"The Pulse",IF(N(I58)&gt;=N(K58),"The Lens","The Hub"))</f>
        <v>The Hub</v>
      </c>
      <c r="N58" s="21" t="s">
        <v>79</v>
      </c>
      <c r="O58" s="17" t="s">
        <v>22</v>
      </c>
    </row>
    <row r="59" customFormat="false" ht="15" hidden="false" customHeight="false" outlineLevel="0" collapsed="false">
      <c r="A59" s="17" t="s">
        <v>209</v>
      </c>
      <c r="B59" s="17" t="s">
        <v>210</v>
      </c>
      <c r="C59" s="17" t="s">
        <v>162</v>
      </c>
      <c r="D59" s="17" t="s">
        <v>120</v>
      </c>
      <c r="E59" s="17" t="s">
        <v>99</v>
      </c>
      <c r="F59" s="18" t="n">
        <v>696480</v>
      </c>
      <c r="G59" s="19" t="n">
        <v>74.2</v>
      </c>
      <c r="H59" s="17" t="n">
        <f aca="false">IF(G59="","",RANK(G59,$G$5:$G$359))</f>
        <v>55</v>
      </c>
      <c r="I59" s="19" t="n">
        <v>20.7</v>
      </c>
      <c r="J59" s="17" t="n">
        <f aca="false">IF(I59="","",RANK(I59,$I$5:$I$359))</f>
        <v>316</v>
      </c>
      <c r="K59" s="19" t="n">
        <v>54.9</v>
      </c>
      <c r="L59" s="17" t="n">
        <f aca="false">IF(K59="","",RANK(K59,$K$5:$K$359))</f>
        <v>144</v>
      </c>
      <c r="M59" s="17" t="str">
        <f aca="false">IF(AND(N(G59)&gt;=N(I59),N(G59)&gt;=N(K59)),"The Pulse",IF(N(I59)&gt;=N(K59),"The Lens","The Hub"))</f>
        <v>The Pulse</v>
      </c>
      <c r="N59" s="21" t="s">
        <v>79</v>
      </c>
      <c r="O59" s="17" t="s">
        <v>88</v>
      </c>
    </row>
    <row r="60" customFormat="false" ht="15" hidden="false" customHeight="false" outlineLevel="0" collapsed="false">
      <c r="A60" s="17" t="s">
        <v>211</v>
      </c>
      <c r="B60" s="17" t="s">
        <v>212</v>
      </c>
      <c r="C60" s="17" t="s">
        <v>123</v>
      </c>
      <c r="D60" s="17" t="s">
        <v>105</v>
      </c>
      <c r="E60" s="17" t="s">
        <v>99</v>
      </c>
      <c r="F60" s="18" t="n">
        <v>134990</v>
      </c>
      <c r="G60" s="19" t="n">
        <v>73.9</v>
      </c>
      <c r="H60" s="17" t="n">
        <f aca="false">IF(G60="","",RANK(G60,$G$5:$G$359))</f>
        <v>56</v>
      </c>
      <c r="I60" s="19" t="n">
        <v>30.4</v>
      </c>
      <c r="J60" s="17" t="n">
        <f aca="false">IF(I60="","",RANK(I60,$I$5:$I$359))</f>
        <v>285</v>
      </c>
      <c r="K60" s="19" t="n">
        <v>59.6</v>
      </c>
      <c r="L60" s="17" t="n">
        <f aca="false">IF(K60="","",RANK(K60,$K$5:$K$359))</f>
        <v>108</v>
      </c>
      <c r="M60" s="17" t="str">
        <f aca="false">IF(AND(N(G60)&gt;=N(I60),N(G60)&gt;=N(K60)),"The Pulse",IF(N(I60)&gt;=N(K60),"The Lens","The Hub"))</f>
        <v>The Pulse</v>
      </c>
      <c r="N60" s="20" t="s">
        <v>74</v>
      </c>
      <c r="O60" s="17" t="s">
        <v>24</v>
      </c>
    </row>
    <row r="61" customFormat="false" ht="15" hidden="false" customHeight="false" outlineLevel="0" collapsed="false">
      <c r="A61" s="17" t="s">
        <v>213</v>
      </c>
      <c r="B61" s="17" t="s">
        <v>214</v>
      </c>
      <c r="C61" s="17" t="s">
        <v>77</v>
      </c>
      <c r="D61" s="17" t="s">
        <v>105</v>
      </c>
      <c r="E61" s="17" t="s">
        <v>99</v>
      </c>
      <c r="F61" s="18" t="n">
        <v>167080</v>
      </c>
      <c r="G61" s="19" t="n">
        <v>73.8</v>
      </c>
      <c r="H61" s="17" t="n">
        <f aca="false">IF(G61="","",RANK(G61,$G$5:$G$359))</f>
        <v>57</v>
      </c>
      <c r="I61" s="19" t="n">
        <v>62</v>
      </c>
      <c r="J61" s="17" t="n">
        <f aca="false">IF(I61="","",RANK(I61,$I$5:$I$359))</f>
        <v>107</v>
      </c>
      <c r="K61" s="19" t="n">
        <v>49.7</v>
      </c>
      <c r="L61" s="17" t="n">
        <f aca="false">IF(K61="","",RANK(K61,$K$5:$K$359))</f>
        <v>172</v>
      </c>
      <c r="M61" s="17" t="str">
        <f aca="false">IF(AND(N(G61)&gt;=N(I61),N(G61)&gt;=N(K61)),"The Pulse",IF(N(I61)&gt;=N(K61),"The Lens","The Hub"))</f>
        <v>The Pulse</v>
      </c>
      <c r="N61" s="21" t="s">
        <v>79</v>
      </c>
      <c r="O61" s="17" t="s">
        <v>88</v>
      </c>
    </row>
    <row r="62" customFormat="false" ht="15" hidden="false" customHeight="false" outlineLevel="0" collapsed="false">
      <c r="A62" s="17" t="s">
        <v>215</v>
      </c>
      <c r="B62" s="17" t="s">
        <v>216</v>
      </c>
      <c r="C62" s="17" t="s">
        <v>123</v>
      </c>
      <c r="D62" s="17" t="s">
        <v>87</v>
      </c>
      <c r="E62" s="17" t="s">
        <v>47</v>
      </c>
      <c r="F62" s="18" t="n">
        <v>11480</v>
      </c>
      <c r="G62" s="19" t="n">
        <v>73.2</v>
      </c>
      <c r="H62" s="17" t="n">
        <f aca="false">IF(G62="","",RANK(G62,$G$5:$G$359))</f>
        <v>58</v>
      </c>
      <c r="I62" s="19" t="n">
        <v>99.4</v>
      </c>
      <c r="J62" s="17" t="n">
        <f aca="false">IF(I62="","",RANK(I62,$I$5:$I$359))</f>
        <v>2</v>
      </c>
      <c r="K62" s="19" t="n">
        <v>30.6</v>
      </c>
      <c r="L62" s="17" t="n">
        <f aca="false">IF(K62="","",RANK(K62,$K$5:$K$359))</f>
        <v>291</v>
      </c>
      <c r="M62" s="17" t="str">
        <f aca="false">IF(AND(N(G62)&gt;=N(I62),N(G62)&gt;=N(K62)),"The Pulse",IF(N(I62)&gt;=N(K62),"The Lens","The Hub"))</f>
        <v>The Lens</v>
      </c>
      <c r="N62" s="22" t="s">
        <v>109</v>
      </c>
      <c r="O62" s="17" t="s">
        <v>155</v>
      </c>
    </row>
    <row r="63" customFormat="false" ht="15" hidden="false" customHeight="false" outlineLevel="0" collapsed="false">
      <c r="A63" s="17" t="s">
        <v>217</v>
      </c>
      <c r="B63" s="17" t="s">
        <v>218</v>
      </c>
      <c r="C63" s="17" t="s">
        <v>72</v>
      </c>
      <c r="D63" s="17" t="s">
        <v>127</v>
      </c>
      <c r="E63" s="17" t="s">
        <v>106</v>
      </c>
      <c r="F63" s="18" t="n">
        <v>1019527</v>
      </c>
      <c r="G63" s="19" t="n">
        <v>72.9</v>
      </c>
      <c r="H63" s="17" t="n">
        <f aca="false">IF(G63="","",RANK(G63,$G$5:$G$359))</f>
        <v>59</v>
      </c>
      <c r="I63" s="19" t="n">
        <v>67.8</v>
      </c>
      <c r="J63" s="17" t="n">
        <f aca="false">IF(I63="","",RANK(I63,$I$5:$I$359))</f>
        <v>77</v>
      </c>
      <c r="K63" s="19" t="n">
        <v>48.8</v>
      </c>
      <c r="L63" s="17" t="n">
        <f aca="false">IF(K63="","",RANK(K63,$K$5:$K$359))</f>
        <v>174</v>
      </c>
      <c r="M63" s="17" t="str">
        <f aca="false">IF(AND(N(G63)&gt;=N(I63),N(G63)&gt;=N(K63)),"The Pulse",IF(N(I63)&gt;=N(K63),"The Lens","The Hub"))</f>
        <v>The Pulse</v>
      </c>
      <c r="N63" s="22" t="s">
        <v>109</v>
      </c>
      <c r="O63" s="17" t="s">
        <v>134</v>
      </c>
    </row>
    <row r="64" customFormat="false" ht="15" hidden="false" customHeight="false" outlineLevel="0" collapsed="false">
      <c r="A64" s="17" t="s">
        <v>219</v>
      </c>
      <c r="B64" s="17" t="s">
        <v>220</v>
      </c>
      <c r="C64" s="17" t="s">
        <v>98</v>
      </c>
      <c r="D64" s="17" t="s">
        <v>73</v>
      </c>
      <c r="E64" s="17" t="s">
        <v>99</v>
      </c>
      <c r="F64" s="18" t="n">
        <v>209888</v>
      </c>
      <c r="G64" s="19" t="n">
        <v>72.8</v>
      </c>
      <c r="H64" s="17" t="n">
        <f aca="false">IF(G64="","",RANK(G64,$G$5:$G$359))</f>
        <v>60</v>
      </c>
      <c r="I64" s="19" t="n">
        <v>50.1</v>
      </c>
      <c r="J64" s="17" t="n">
        <f aca="false">IF(I64="","",RANK(I64,$I$5:$I$359))</f>
        <v>177</v>
      </c>
      <c r="K64" s="19" t="n">
        <v>48.7</v>
      </c>
      <c r="L64" s="17" t="n">
        <f aca="false">IF(K64="","",RANK(K64,$K$5:$K$359))</f>
        <v>175</v>
      </c>
      <c r="M64" s="17" t="str">
        <f aca="false">IF(AND(N(G64)&gt;=N(I64),N(G64)&gt;=N(K64)),"The Pulse",IF(N(I64)&gt;=N(K64),"The Lens","The Hub"))</f>
        <v>The Pulse</v>
      </c>
      <c r="N64" s="21" t="s">
        <v>79</v>
      </c>
      <c r="O64" s="17" t="s">
        <v>88</v>
      </c>
    </row>
    <row r="65" customFormat="false" ht="15" hidden="false" customHeight="false" outlineLevel="0" collapsed="false">
      <c r="A65" s="17" t="s">
        <v>221</v>
      </c>
      <c r="B65" s="17" t="s">
        <v>222</v>
      </c>
      <c r="C65" s="17" t="s">
        <v>72</v>
      </c>
      <c r="D65" s="17" t="s">
        <v>127</v>
      </c>
      <c r="E65" s="17" t="s">
        <v>99</v>
      </c>
      <c r="F65" s="18" t="n">
        <v>146949</v>
      </c>
      <c r="G65" s="19" t="n">
        <v>71.8</v>
      </c>
      <c r="H65" s="17" t="n">
        <f aca="false">IF(G65="","",RANK(G65,$G$5:$G$359))</f>
        <v>61</v>
      </c>
      <c r="I65" s="19" t="n">
        <v>48.5</v>
      </c>
      <c r="J65" s="17" t="n">
        <f aca="false">IF(I65="","",RANK(I65,$I$5:$I$359))</f>
        <v>190</v>
      </c>
      <c r="K65" s="19" t="n">
        <v>65.8</v>
      </c>
      <c r="L65" s="17" t="n">
        <f aca="false">IF(K65="","",RANK(K65,$K$5:$K$359))</f>
        <v>75</v>
      </c>
      <c r="M65" s="17" t="str">
        <f aca="false">IF(AND(N(G65)&gt;=N(I65),N(G65)&gt;=N(K65)),"The Pulse",IF(N(I65)&gt;=N(K65),"The Lens","The Hub"))</f>
        <v>The Pulse</v>
      </c>
      <c r="N65" s="21" t="s">
        <v>79</v>
      </c>
      <c r="O65" s="17" t="s">
        <v>88</v>
      </c>
    </row>
    <row r="66" customFormat="false" ht="15" hidden="false" customHeight="false" outlineLevel="0" collapsed="false">
      <c r="A66" s="17" t="s">
        <v>223</v>
      </c>
      <c r="B66" s="17" t="s">
        <v>224</v>
      </c>
      <c r="C66" s="17" t="s">
        <v>82</v>
      </c>
      <c r="D66" s="17" t="s">
        <v>102</v>
      </c>
      <c r="E66" s="17" t="s">
        <v>99</v>
      </c>
      <c r="F66" s="18" t="n">
        <v>524950</v>
      </c>
      <c r="G66" s="19" t="n">
        <v>71.4</v>
      </c>
      <c r="H66" s="17" t="n">
        <f aca="false">IF(G66="","",RANK(G66,$G$5:$G$359))</f>
        <v>62</v>
      </c>
      <c r="I66" s="19" t="n">
        <v>39.1</v>
      </c>
      <c r="J66" s="17" t="n">
        <f aca="false">IF(I66="","",RANK(I66,$I$5:$I$359))</f>
        <v>247</v>
      </c>
      <c r="K66" s="19" t="n">
        <v>45.3</v>
      </c>
      <c r="L66" s="17" t="n">
        <f aca="false">IF(K66="","",RANK(K66,$K$5:$K$359))</f>
        <v>199</v>
      </c>
      <c r="M66" s="17" t="str">
        <f aca="false">IF(AND(N(G66)&gt;=N(I66),N(G66)&gt;=N(K66)),"The Pulse",IF(N(I66)&gt;=N(K66),"The Lens","The Hub"))</f>
        <v>The Pulse</v>
      </c>
      <c r="N66" s="21" t="s">
        <v>79</v>
      </c>
      <c r="O66" s="17" t="s">
        <v>88</v>
      </c>
    </row>
    <row r="67" customFormat="false" ht="15" hidden="false" customHeight="false" outlineLevel="0" collapsed="false">
      <c r="A67" s="17" t="s">
        <v>225</v>
      </c>
      <c r="B67" s="17" t="s">
        <v>226</v>
      </c>
      <c r="C67" s="17" t="s">
        <v>91</v>
      </c>
      <c r="D67" s="17" t="s">
        <v>154</v>
      </c>
      <c r="E67" s="17" t="s">
        <v>47</v>
      </c>
      <c r="F67" s="18" t="n">
        <v>99650</v>
      </c>
      <c r="G67" s="19" t="n">
        <v>71.4</v>
      </c>
      <c r="H67" s="17" t="n">
        <f aca="false">IF(G67="","",RANK(G67,$G$5:$G$359))</f>
        <v>62</v>
      </c>
      <c r="I67" s="19" t="n">
        <v>61.4</v>
      </c>
      <c r="J67" s="17" t="n">
        <f aca="false">IF(I67="","",RANK(I67,$I$5:$I$359))</f>
        <v>117</v>
      </c>
      <c r="K67" s="19" t="n">
        <v>58.4</v>
      </c>
      <c r="L67" s="17" t="n">
        <f aca="false">IF(K67="","",RANK(K67,$K$5:$K$359))</f>
        <v>118</v>
      </c>
      <c r="M67" s="17" t="str">
        <f aca="false">IF(AND(N(G67)&gt;=N(I67),N(G67)&gt;=N(K67)),"The Pulse",IF(N(I67)&gt;=N(K67),"The Lens","The Hub"))</f>
        <v>The Pulse</v>
      </c>
      <c r="N67" s="21" t="s">
        <v>79</v>
      </c>
      <c r="O67" s="17" t="s">
        <v>88</v>
      </c>
    </row>
    <row r="68" customFormat="false" ht="15" hidden="false" customHeight="false" outlineLevel="0" collapsed="false">
      <c r="A68" s="17" t="s">
        <v>227</v>
      </c>
      <c r="B68" s="17" t="s">
        <v>228</v>
      </c>
      <c r="C68" s="17" t="s">
        <v>98</v>
      </c>
      <c r="D68" s="17" t="s">
        <v>87</v>
      </c>
      <c r="E68" s="17" t="s">
        <v>149</v>
      </c>
      <c r="F68" s="18" t="n">
        <v>315656</v>
      </c>
      <c r="G68" s="19" t="n">
        <v>71.2</v>
      </c>
      <c r="H68" s="17" t="n">
        <f aca="false">IF(G68="","",RANK(G68,$G$5:$G$359))</f>
        <v>64</v>
      </c>
      <c r="I68" s="19" t="n">
        <v>88.2</v>
      </c>
      <c r="J68" s="17" t="n">
        <f aca="false">IF(I68="","",RANK(I68,$I$5:$I$359))</f>
        <v>16</v>
      </c>
      <c r="K68" s="19" t="n">
        <v>19</v>
      </c>
      <c r="L68" s="17" t="n">
        <f aca="false">IF(K68="","",RANK(K68,$K$5:$K$359))</f>
        <v>321</v>
      </c>
      <c r="M68" s="17" t="str">
        <f aca="false">IF(AND(N(G68)&gt;=N(I68),N(G68)&gt;=N(K68)),"The Pulse",IF(N(I68)&gt;=N(K68),"The Lens","The Hub"))</f>
        <v>The Lens</v>
      </c>
      <c r="N68" s="21" t="s">
        <v>79</v>
      </c>
      <c r="O68" s="17" t="s">
        <v>88</v>
      </c>
    </row>
    <row r="69" customFormat="false" ht="15" hidden="false" customHeight="false" outlineLevel="0" collapsed="false">
      <c r="A69" s="17" t="s">
        <v>229</v>
      </c>
      <c r="B69" s="17" t="s">
        <v>230</v>
      </c>
      <c r="C69" s="17" t="s">
        <v>82</v>
      </c>
      <c r="D69" s="17" t="s">
        <v>102</v>
      </c>
      <c r="E69" s="17" t="s">
        <v>149</v>
      </c>
      <c r="F69" s="18" t="n">
        <v>246060</v>
      </c>
      <c r="G69" s="19" t="n">
        <v>70.3</v>
      </c>
      <c r="H69" s="17" t="n">
        <f aca="false">IF(G69="","",RANK(G69,$G$5:$G$359))</f>
        <v>65</v>
      </c>
      <c r="I69" s="19" t="n">
        <v>61.6</v>
      </c>
      <c r="J69" s="17" t="n">
        <f aca="false">IF(I69="","",RANK(I69,$I$5:$I$359))</f>
        <v>115</v>
      </c>
      <c r="K69" s="19" t="n">
        <v>56.5</v>
      </c>
      <c r="L69" s="17" t="n">
        <f aca="false">IF(K69="","",RANK(K69,$K$5:$K$359))</f>
        <v>134</v>
      </c>
      <c r="M69" s="17" t="str">
        <f aca="false">IF(AND(N(G69)&gt;=N(I69),N(G69)&gt;=N(K69)),"The Pulse",IF(N(I69)&gt;=N(K69),"The Lens","The Hub"))</f>
        <v>The Pulse</v>
      </c>
      <c r="N69" s="21" t="s">
        <v>79</v>
      </c>
      <c r="O69" s="17" t="s">
        <v>88</v>
      </c>
    </row>
    <row r="70" customFormat="false" ht="15" hidden="false" customHeight="false" outlineLevel="0" collapsed="false">
      <c r="A70" s="17" t="s">
        <v>231</v>
      </c>
      <c r="B70" s="17" t="s">
        <v>232</v>
      </c>
      <c r="C70" s="17" t="s">
        <v>98</v>
      </c>
      <c r="D70" s="17" t="s">
        <v>105</v>
      </c>
      <c r="E70" s="17" t="s">
        <v>99</v>
      </c>
      <c r="F70" s="18" t="n">
        <v>460794</v>
      </c>
      <c r="G70" s="19" t="n">
        <v>70.3</v>
      </c>
      <c r="H70" s="17" t="n">
        <f aca="false">IF(G70="","",RANK(G70,$G$5:$G$359))</f>
        <v>65</v>
      </c>
      <c r="I70" s="19" t="n">
        <v>37.7</v>
      </c>
      <c r="J70" s="17" t="n">
        <f aca="false">IF(I70="","",RANK(I70,$I$5:$I$359))</f>
        <v>253</v>
      </c>
      <c r="K70" s="19" t="n">
        <v>42</v>
      </c>
      <c r="L70" s="17" t="n">
        <f aca="false">IF(K70="","",RANK(K70,$K$5:$K$359))</f>
        <v>219</v>
      </c>
      <c r="M70" s="17" t="str">
        <f aca="false">IF(AND(N(G70)&gt;=N(I70),N(G70)&gt;=N(K70)),"The Pulse",IF(N(I70)&gt;=N(K70),"The Lens","The Hub"))</f>
        <v>The Pulse</v>
      </c>
      <c r="N70" s="21" t="s">
        <v>79</v>
      </c>
      <c r="O70" s="17" t="s">
        <v>88</v>
      </c>
    </row>
    <row r="71" customFormat="false" ht="15" hidden="false" customHeight="false" outlineLevel="0" collapsed="false">
      <c r="A71" s="17" t="s">
        <v>233</v>
      </c>
      <c r="B71" s="17" t="s">
        <v>234</v>
      </c>
      <c r="C71" s="17" t="s">
        <v>86</v>
      </c>
      <c r="D71" s="17" t="s">
        <v>127</v>
      </c>
      <c r="E71" s="17" t="s">
        <v>99</v>
      </c>
      <c r="F71" s="18" t="n">
        <v>422900</v>
      </c>
      <c r="G71" s="19" t="n">
        <v>70</v>
      </c>
      <c r="H71" s="17" t="n">
        <f aca="false">IF(G71="","",RANK(G71,$G$5:$G$359))</f>
        <v>67</v>
      </c>
      <c r="I71" s="19" t="n">
        <v>21</v>
      </c>
      <c r="J71" s="17" t="n">
        <f aca="false">IF(I71="","",RANK(I71,$I$5:$I$359))</f>
        <v>315</v>
      </c>
      <c r="K71" s="19" t="n">
        <v>70.8</v>
      </c>
      <c r="L71" s="17" t="n">
        <f aca="false">IF(K71="","",RANK(K71,$K$5:$K$359))</f>
        <v>53</v>
      </c>
      <c r="M71" s="17" t="str">
        <f aca="false">IF(AND(N(G71)&gt;=N(I71),N(G71)&gt;=N(K71)),"The Pulse",IF(N(I71)&gt;=N(K71),"The Lens","The Hub"))</f>
        <v>The Hub</v>
      </c>
      <c r="N71" s="20" t="s">
        <v>74</v>
      </c>
      <c r="O71" s="17" t="s">
        <v>24</v>
      </c>
    </row>
    <row r="72" customFormat="false" ht="15" hidden="false" customHeight="false" outlineLevel="0" collapsed="false">
      <c r="A72" s="17" t="s">
        <v>235</v>
      </c>
      <c r="B72" s="17" t="s">
        <v>236</v>
      </c>
      <c r="C72" s="17" t="s">
        <v>91</v>
      </c>
      <c r="D72" s="17" t="s">
        <v>154</v>
      </c>
      <c r="E72" s="17" t="s">
        <v>47</v>
      </c>
      <c r="F72" s="18" t="n">
        <v>344440</v>
      </c>
      <c r="G72" s="19" t="n">
        <v>69.8</v>
      </c>
      <c r="H72" s="17" t="n">
        <f aca="false">IF(G72="","",RANK(G72,$G$5:$G$359))</f>
        <v>68</v>
      </c>
      <c r="I72" s="19" t="n">
        <v>42.9</v>
      </c>
      <c r="J72" s="17" t="n">
        <f aca="false">IF(I72="","",RANK(I72,$I$5:$I$359))</f>
        <v>226</v>
      </c>
      <c r="K72" s="19" t="n">
        <v>96.8</v>
      </c>
      <c r="L72" s="17" t="n">
        <f aca="false">IF(K72="","",RANK(K72,$K$5:$K$359))</f>
        <v>5</v>
      </c>
      <c r="M72" s="17" t="str">
        <f aca="false">IF(AND(N(G72)&gt;=N(I72),N(G72)&gt;=N(K72)),"The Pulse",IF(N(I72)&gt;=N(K72),"The Lens","The Hub"))</f>
        <v>The Hub</v>
      </c>
      <c r="N72" s="21" t="s">
        <v>79</v>
      </c>
      <c r="O72" s="17" t="s">
        <v>22</v>
      </c>
    </row>
    <row r="73" customFormat="false" ht="15" hidden="false" customHeight="false" outlineLevel="0" collapsed="false">
      <c r="A73" s="17" t="s">
        <v>237</v>
      </c>
      <c r="B73" s="17" t="s">
        <v>238</v>
      </c>
      <c r="C73" s="17" t="s">
        <v>72</v>
      </c>
      <c r="D73" s="17" t="s">
        <v>78</v>
      </c>
      <c r="E73" s="17" t="s">
        <v>99</v>
      </c>
      <c r="F73" s="18" t="n">
        <v>249226</v>
      </c>
      <c r="G73" s="19" t="n">
        <v>69.5</v>
      </c>
      <c r="H73" s="17" t="n">
        <f aca="false">IF(G73="","",RANK(G73,$G$5:$G$359))</f>
        <v>69</v>
      </c>
      <c r="I73" s="19" t="n">
        <v>48.6</v>
      </c>
      <c r="J73" s="17" t="n">
        <f aca="false">IF(I73="","",RANK(I73,$I$5:$I$359))</f>
        <v>189</v>
      </c>
      <c r="K73" s="19" t="n">
        <v>50.4</v>
      </c>
      <c r="L73" s="17" t="n">
        <f aca="false">IF(K73="","",RANK(K73,$K$5:$K$359))</f>
        <v>165</v>
      </c>
      <c r="M73" s="17" t="str">
        <f aca="false">IF(AND(N(G73)&gt;=N(I73),N(G73)&gt;=N(K73)),"The Pulse",IF(N(I73)&gt;=N(K73),"The Lens","The Hub"))</f>
        <v>The Pulse</v>
      </c>
      <c r="N73" s="21" t="s">
        <v>79</v>
      </c>
      <c r="O73" s="17" t="s">
        <v>88</v>
      </c>
    </row>
    <row r="74" customFormat="false" ht="15" hidden="false" customHeight="false" outlineLevel="0" collapsed="false">
      <c r="A74" s="17" t="s">
        <v>239</v>
      </c>
      <c r="B74" s="17" t="s">
        <v>240</v>
      </c>
      <c r="C74" s="17" t="s">
        <v>82</v>
      </c>
      <c r="D74" s="17" t="s">
        <v>120</v>
      </c>
      <c r="E74" s="17" t="s">
        <v>149</v>
      </c>
      <c r="F74" s="18" t="n">
        <v>51390</v>
      </c>
      <c r="G74" s="19" t="n">
        <v>69.4</v>
      </c>
      <c r="H74" s="17" t="n">
        <f aca="false">IF(G74="","",RANK(G74,$G$5:$G$359))</f>
        <v>70</v>
      </c>
      <c r="I74" s="19" t="n">
        <v>65</v>
      </c>
      <c r="J74" s="17" t="n">
        <f aca="false">IF(I74="","",RANK(I74,$I$5:$I$359))</f>
        <v>95</v>
      </c>
      <c r="K74" s="19" t="n">
        <v>39.2</v>
      </c>
      <c r="L74" s="17" t="n">
        <f aca="false">IF(K74="","",RANK(K74,$K$5:$K$359))</f>
        <v>244</v>
      </c>
      <c r="M74" s="17" t="str">
        <f aca="false">IF(AND(N(G74)&gt;=N(I74),N(G74)&gt;=N(K74)),"The Pulse",IF(N(I74)&gt;=N(K74),"The Lens","The Hub"))</f>
        <v>The Pulse</v>
      </c>
      <c r="N74" s="20" t="s">
        <v>74</v>
      </c>
      <c r="O74" s="17" t="s">
        <v>24</v>
      </c>
    </row>
    <row r="75" customFormat="false" ht="15" hidden="false" customHeight="false" outlineLevel="0" collapsed="false">
      <c r="A75" s="17" t="s">
        <v>241</v>
      </c>
      <c r="B75" s="17" t="s">
        <v>242</v>
      </c>
      <c r="C75" s="17" t="s">
        <v>115</v>
      </c>
      <c r="D75" s="17" t="s">
        <v>124</v>
      </c>
      <c r="E75" s="17" t="s">
        <v>46</v>
      </c>
      <c r="F75" s="18" t="n">
        <v>498970</v>
      </c>
      <c r="G75" s="19" t="n">
        <v>68.2</v>
      </c>
      <c r="H75" s="17" t="n">
        <f aca="false">IF(G75="","",RANK(G75,$G$5:$G$359))</f>
        <v>71</v>
      </c>
      <c r="I75" s="19" t="n">
        <v>6.4</v>
      </c>
      <c r="J75" s="17" t="n">
        <f aca="false">IF(I75="","",RANK(I75,$I$5:$I$359))</f>
        <v>345</v>
      </c>
      <c r="K75" s="19" t="n">
        <v>59.8</v>
      </c>
      <c r="L75" s="17" t="n">
        <f aca="false">IF(K75="","",RANK(K75,$K$5:$K$359))</f>
        <v>106</v>
      </c>
      <c r="M75" s="17" t="str">
        <f aca="false">IF(AND(N(G75)&gt;=N(I75),N(G75)&gt;=N(K75)),"The Pulse",IF(N(I75)&gt;=N(K75),"The Lens","The Hub"))</f>
        <v>The Pulse</v>
      </c>
      <c r="N75" s="21" t="s">
        <v>79</v>
      </c>
      <c r="O75" s="17" t="s">
        <v>88</v>
      </c>
    </row>
    <row r="76" customFormat="false" ht="15" hidden="false" customHeight="false" outlineLevel="0" collapsed="false">
      <c r="A76" s="17" t="s">
        <v>243</v>
      </c>
      <c r="B76" s="17" t="s">
        <v>244</v>
      </c>
      <c r="C76" s="17" t="s">
        <v>91</v>
      </c>
      <c r="D76" s="17" t="s">
        <v>102</v>
      </c>
      <c r="E76" s="17" t="s">
        <v>99</v>
      </c>
      <c r="F76" s="18" t="n">
        <v>67174</v>
      </c>
      <c r="G76" s="19" t="n">
        <v>68.1</v>
      </c>
      <c r="H76" s="17" t="n">
        <f aca="false">IF(G76="","",RANK(G76,$G$5:$G$359))</f>
        <v>72</v>
      </c>
      <c r="I76" s="19" t="n">
        <v>52.6</v>
      </c>
      <c r="J76" s="17" t="n">
        <f aca="false">IF(I76="","",RANK(I76,$I$5:$I$359))</f>
        <v>164</v>
      </c>
      <c r="K76" s="19" t="n">
        <v>67.5</v>
      </c>
      <c r="L76" s="17" t="n">
        <f aca="false">IF(K76="","",RANK(K76,$K$5:$K$359))</f>
        <v>68</v>
      </c>
      <c r="M76" s="17" t="str">
        <f aca="false">IF(AND(N(G76)&gt;=N(I76),N(G76)&gt;=N(K76)),"The Pulse",IF(N(I76)&gt;=N(K76),"The Lens","The Hub"))</f>
        <v>The Pulse</v>
      </c>
      <c r="N76" s="21" t="s">
        <v>79</v>
      </c>
      <c r="O76" s="17" t="s">
        <v>88</v>
      </c>
    </row>
    <row r="77" customFormat="false" ht="15" hidden="false" customHeight="false" outlineLevel="0" collapsed="false">
      <c r="A77" s="17" t="s">
        <v>245</v>
      </c>
      <c r="B77" s="17" t="s">
        <v>246</v>
      </c>
      <c r="C77" s="17" t="s">
        <v>91</v>
      </c>
      <c r="D77" s="17" t="s">
        <v>102</v>
      </c>
      <c r="E77" s="17" t="s">
        <v>106</v>
      </c>
      <c r="F77" s="18" t="n">
        <v>34142</v>
      </c>
      <c r="G77" s="19" t="n">
        <v>68</v>
      </c>
      <c r="H77" s="17" t="n">
        <f aca="false">IF(G77="","",RANK(G77,$G$5:$G$359))</f>
        <v>73</v>
      </c>
      <c r="I77" s="19" t="n">
        <v>83.4</v>
      </c>
      <c r="J77" s="17" t="n">
        <f aca="false">IF(I77="","",RANK(I77,$I$5:$I$359))</f>
        <v>24</v>
      </c>
      <c r="K77" s="19" t="n">
        <v>44.2</v>
      </c>
      <c r="L77" s="17" t="n">
        <f aca="false">IF(K77="","",RANK(K77,$K$5:$K$359))</f>
        <v>206</v>
      </c>
      <c r="M77" s="17" t="str">
        <f aca="false">IF(AND(N(G77)&gt;=N(I77),N(G77)&gt;=N(K77)),"The Pulse",IF(N(I77)&gt;=N(K77),"The Lens","The Hub"))</f>
        <v>The Lens</v>
      </c>
      <c r="N77" s="21" t="s">
        <v>79</v>
      </c>
      <c r="O77" s="17" t="s">
        <v>88</v>
      </c>
    </row>
    <row r="78" customFormat="false" ht="15" hidden="false" customHeight="false" outlineLevel="0" collapsed="false">
      <c r="A78" s="17" t="s">
        <v>247</v>
      </c>
      <c r="B78" s="17" t="s">
        <v>248</v>
      </c>
      <c r="C78" s="17" t="s">
        <v>123</v>
      </c>
      <c r="D78" s="17" t="s">
        <v>102</v>
      </c>
      <c r="E78" s="17" t="s">
        <v>106</v>
      </c>
      <c r="F78" s="18" t="n">
        <v>432145</v>
      </c>
      <c r="G78" s="19" t="n">
        <v>68</v>
      </c>
      <c r="H78" s="17" t="n">
        <f aca="false">IF(G78="","",RANK(G78,$G$5:$G$359))</f>
        <v>73</v>
      </c>
      <c r="I78" s="19" t="n">
        <v>67.4</v>
      </c>
      <c r="J78" s="17" t="n">
        <f aca="false">IF(I78="","",RANK(I78,$I$5:$I$359))</f>
        <v>81</v>
      </c>
      <c r="K78" s="19" t="n">
        <v>51.8</v>
      </c>
      <c r="L78" s="17" t="n">
        <f aca="false">IF(K78="","",RANK(K78,$K$5:$K$359))</f>
        <v>158</v>
      </c>
      <c r="M78" s="17" t="str">
        <f aca="false">IF(AND(N(G78)&gt;=N(I78),N(G78)&gt;=N(K78)),"The Pulse",IF(N(I78)&gt;=N(K78),"The Lens","The Hub"))</f>
        <v>The Pulse</v>
      </c>
      <c r="N78" s="21" t="s">
        <v>79</v>
      </c>
      <c r="O78" s="17" t="s">
        <v>88</v>
      </c>
    </row>
    <row r="79" customFormat="false" ht="15" hidden="false" customHeight="false" outlineLevel="0" collapsed="false">
      <c r="A79" s="17" t="s">
        <v>249</v>
      </c>
      <c r="B79" s="17" t="s">
        <v>250</v>
      </c>
      <c r="C79" s="17" t="s">
        <v>72</v>
      </c>
      <c r="D79" s="17" t="s">
        <v>78</v>
      </c>
      <c r="E79" s="17" t="s">
        <v>149</v>
      </c>
      <c r="F79" s="18" t="n">
        <v>1450482</v>
      </c>
      <c r="G79" s="19" t="n">
        <v>67.8</v>
      </c>
      <c r="H79" s="17" t="n">
        <f aca="false">IF(G79="","",RANK(G79,$G$5:$G$359))</f>
        <v>75</v>
      </c>
      <c r="I79" s="19" t="n">
        <v>32.4</v>
      </c>
      <c r="J79" s="17" t="n">
        <f aca="false">IF(I79="","",RANK(I79,$I$5:$I$359))</f>
        <v>277</v>
      </c>
      <c r="K79" s="19" t="n">
        <v>62</v>
      </c>
      <c r="L79" s="17" t="n">
        <f aca="false">IF(K79="","",RANK(K79,$K$5:$K$359))</f>
        <v>94</v>
      </c>
      <c r="M79" s="17" t="str">
        <f aca="false">IF(AND(N(G79)&gt;=N(I79),N(G79)&gt;=N(K79)),"The Pulse",IF(N(I79)&gt;=N(K79),"The Lens","The Hub"))</f>
        <v>The Pulse</v>
      </c>
      <c r="N79" s="21" t="s">
        <v>79</v>
      </c>
      <c r="O79" s="17" t="s">
        <v>88</v>
      </c>
    </row>
    <row r="80" customFormat="false" ht="15" hidden="false" customHeight="false" outlineLevel="0" collapsed="false">
      <c r="A80" s="17" t="s">
        <v>251</v>
      </c>
      <c r="B80" s="17" t="s">
        <v>252</v>
      </c>
      <c r="C80" s="17" t="s">
        <v>123</v>
      </c>
      <c r="D80" s="17" t="s">
        <v>127</v>
      </c>
      <c r="E80" s="17" t="s">
        <v>45</v>
      </c>
      <c r="F80" s="18" t="n">
        <v>43660</v>
      </c>
      <c r="G80" s="19" t="n">
        <v>67.7</v>
      </c>
      <c r="H80" s="17" t="n">
        <f aca="false">IF(G80="","",RANK(G80,$G$5:$G$359))</f>
        <v>76</v>
      </c>
      <c r="I80" s="19" t="n">
        <v>6.2</v>
      </c>
      <c r="J80" s="17" t="n">
        <f aca="false">IF(I80="","",RANK(I80,$I$5:$I$359))</f>
        <v>346</v>
      </c>
      <c r="K80" s="19" t="n">
        <v>61.8</v>
      </c>
      <c r="L80" s="17" t="n">
        <f aca="false">IF(K80="","",RANK(K80,$K$5:$K$359))</f>
        <v>96</v>
      </c>
      <c r="M80" s="17" t="str">
        <f aca="false">IF(AND(N(G80)&gt;=N(I80),N(G80)&gt;=N(K80)),"The Pulse",IF(N(I80)&gt;=N(K80),"The Lens","The Hub"))</f>
        <v>The Pulse</v>
      </c>
      <c r="N80" s="20" t="s">
        <v>74</v>
      </c>
      <c r="O80" s="17" t="s">
        <v>24</v>
      </c>
    </row>
    <row r="81" customFormat="false" ht="15" hidden="false" customHeight="false" outlineLevel="0" collapsed="false">
      <c r="A81" s="17" t="s">
        <v>253</v>
      </c>
      <c r="B81" s="17" t="s">
        <v>254</v>
      </c>
      <c r="C81" s="17" t="s">
        <v>95</v>
      </c>
      <c r="D81" s="17" t="s">
        <v>154</v>
      </c>
      <c r="E81" s="17" t="s">
        <v>99</v>
      </c>
      <c r="F81" s="18" t="n">
        <v>251830</v>
      </c>
      <c r="G81" s="19" t="n">
        <v>67.6</v>
      </c>
      <c r="H81" s="17" t="n">
        <f aca="false">IF(G81="","",RANK(G81,$G$5:$G$359))</f>
        <v>77</v>
      </c>
      <c r="I81" s="19" t="n">
        <v>44.8</v>
      </c>
      <c r="J81" s="17" t="n">
        <f aca="false">IF(I81="","",RANK(I81,$I$5:$I$359))</f>
        <v>214</v>
      </c>
      <c r="K81" s="19" t="n">
        <v>76.7</v>
      </c>
      <c r="L81" s="17" t="n">
        <f aca="false">IF(K81="","",RANK(K81,$K$5:$K$359))</f>
        <v>41</v>
      </c>
      <c r="M81" s="17" t="str">
        <f aca="false">IF(AND(N(G81)&gt;=N(I81),N(G81)&gt;=N(K81)),"The Pulse",IF(N(I81)&gt;=N(K81),"The Lens","The Hub"))</f>
        <v>The Hub</v>
      </c>
      <c r="N81" s="21" t="s">
        <v>79</v>
      </c>
      <c r="O81" s="17" t="s">
        <v>88</v>
      </c>
    </row>
    <row r="82" customFormat="false" ht="15" hidden="false" customHeight="false" outlineLevel="0" collapsed="false">
      <c r="A82" s="17" t="s">
        <v>255</v>
      </c>
      <c r="B82" s="17" t="s">
        <v>256</v>
      </c>
      <c r="C82" s="17" t="s">
        <v>82</v>
      </c>
      <c r="D82" s="17" t="s">
        <v>124</v>
      </c>
      <c r="E82" s="17" t="s">
        <v>47</v>
      </c>
      <c r="F82" s="18" t="n">
        <v>198002</v>
      </c>
      <c r="G82" s="19" t="n">
        <v>67.2</v>
      </c>
      <c r="H82" s="17" t="n">
        <f aca="false">IF(G82="","",RANK(G82,$G$5:$G$359))</f>
        <v>78</v>
      </c>
      <c r="I82" s="19" t="n">
        <v>14.9</v>
      </c>
      <c r="J82" s="17" t="n">
        <f aca="false">IF(I82="","",RANK(I82,$I$5:$I$359))</f>
        <v>331</v>
      </c>
      <c r="K82" s="19" t="n">
        <v>88.2</v>
      </c>
      <c r="L82" s="17" t="n">
        <f aca="false">IF(K82="","",RANK(K82,$K$5:$K$359))</f>
        <v>14</v>
      </c>
      <c r="M82" s="17" t="str">
        <f aca="false">IF(AND(N(G82)&gt;=N(I82),N(G82)&gt;=N(K82)),"The Pulse",IF(N(I82)&gt;=N(K82),"The Lens","The Hub"))</f>
        <v>The Hub</v>
      </c>
      <c r="N82" s="21" t="s">
        <v>79</v>
      </c>
      <c r="O82" s="17" t="s">
        <v>22</v>
      </c>
    </row>
    <row r="83" customFormat="false" ht="15" hidden="false" customHeight="false" outlineLevel="0" collapsed="false">
      <c r="A83" s="17" t="s">
        <v>257</v>
      </c>
      <c r="B83" s="17" t="s">
        <v>258</v>
      </c>
      <c r="C83" s="17" t="s">
        <v>123</v>
      </c>
      <c r="D83" s="17" t="s">
        <v>105</v>
      </c>
      <c r="E83" s="17" t="s">
        <v>46</v>
      </c>
      <c r="F83" s="18" t="n">
        <v>66740</v>
      </c>
      <c r="G83" s="19" t="n">
        <v>67.2</v>
      </c>
      <c r="H83" s="17" t="n">
        <f aca="false">IF(G83="","",RANK(G83,$G$5:$G$359))</f>
        <v>78</v>
      </c>
      <c r="I83" s="19" t="n">
        <v>8.4</v>
      </c>
      <c r="J83" s="17" t="n">
        <f aca="false">IF(I83="","",RANK(I83,$I$5:$I$359))</f>
        <v>342</v>
      </c>
      <c r="K83" s="19" t="n">
        <v>32.2</v>
      </c>
      <c r="L83" s="17" t="n">
        <f aca="false">IF(K83="","",RANK(K83,$K$5:$K$359))</f>
        <v>284</v>
      </c>
      <c r="M83" s="17" t="str">
        <f aca="false">IF(AND(N(G83)&gt;=N(I83),N(G83)&gt;=N(K83)),"The Pulse",IF(N(I83)&gt;=N(K83),"The Lens","The Hub"))</f>
        <v>The Pulse</v>
      </c>
      <c r="N83" s="20" t="s">
        <v>74</v>
      </c>
      <c r="O83" s="17" t="s">
        <v>24</v>
      </c>
    </row>
    <row r="84" customFormat="false" ht="15" hidden="false" customHeight="false" outlineLevel="0" collapsed="false">
      <c r="A84" s="17" t="s">
        <v>259</v>
      </c>
      <c r="B84" s="17" t="s">
        <v>260</v>
      </c>
      <c r="C84" s="17" t="s">
        <v>95</v>
      </c>
      <c r="D84" s="17" t="s">
        <v>83</v>
      </c>
      <c r="E84" s="17" t="s">
        <v>47</v>
      </c>
      <c r="F84" s="18" t="n">
        <v>656872</v>
      </c>
      <c r="G84" s="19" t="n">
        <v>66.8</v>
      </c>
      <c r="H84" s="17" t="n">
        <f aca="false">IF(G84="","",RANK(G84,$G$5:$G$359))</f>
        <v>80</v>
      </c>
      <c r="I84" s="19" t="n">
        <v>7.5</v>
      </c>
      <c r="J84" s="17" t="n">
        <f aca="false">IF(I84="","",RANK(I84,$I$5:$I$359))</f>
        <v>343</v>
      </c>
      <c r="K84" s="19" t="n">
        <v>46.6</v>
      </c>
      <c r="L84" s="17" t="n">
        <f aca="false">IF(K84="","",RANK(K84,$K$5:$K$359))</f>
        <v>192</v>
      </c>
      <c r="M84" s="17" t="str">
        <f aca="false">IF(AND(N(G84)&gt;=N(I84),N(G84)&gt;=N(K84)),"The Pulse",IF(N(I84)&gt;=N(K84),"The Lens","The Hub"))</f>
        <v>The Pulse</v>
      </c>
      <c r="N84" s="21" t="s">
        <v>79</v>
      </c>
      <c r="O84" s="17" t="s">
        <v>22</v>
      </c>
    </row>
    <row r="85" customFormat="false" ht="15" hidden="false" customHeight="false" outlineLevel="0" collapsed="false">
      <c r="A85" s="17" t="s">
        <v>261</v>
      </c>
      <c r="B85" s="17" t="s">
        <v>262</v>
      </c>
      <c r="C85" s="17" t="s">
        <v>115</v>
      </c>
      <c r="D85" s="17" t="s">
        <v>105</v>
      </c>
      <c r="E85" s="17" t="s">
        <v>47</v>
      </c>
      <c r="F85" s="18" t="n">
        <v>126080</v>
      </c>
      <c r="G85" s="19" t="n">
        <v>66.3</v>
      </c>
      <c r="H85" s="17" t="n">
        <f aca="false">IF(G85="","",RANK(G85,$G$5:$G$359))</f>
        <v>81</v>
      </c>
      <c r="I85" s="19" t="n">
        <v>21.1</v>
      </c>
      <c r="J85" s="17" t="n">
        <f aca="false">IF(I85="","",RANK(I85,$I$5:$I$359))</f>
        <v>314</v>
      </c>
      <c r="K85" s="19" t="n">
        <v>87.1</v>
      </c>
      <c r="L85" s="17" t="n">
        <f aca="false">IF(K85="","",RANK(K85,$K$5:$K$359))</f>
        <v>16</v>
      </c>
      <c r="M85" s="17" t="str">
        <f aca="false">IF(AND(N(G85)&gt;=N(I85),N(G85)&gt;=N(K85)),"The Pulse",IF(N(I85)&gt;=N(K85),"The Lens","The Hub"))</f>
        <v>The Hub</v>
      </c>
      <c r="N85" s="20" t="s">
        <v>74</v>
      </c>
      <c r="O85" s="17" t="s">
        <v>24</v>
      </c>
    </row>
    <row r="86" customFormat="false" ht="15" hidden="false" customHeight="false" outlineLevel="0" collapsed="false">
      <c r="A86" s="17" t="s">
        <v>263</v>
      </c>
      <c r="B86" s="17" t="s">
        <v>264</v>
      </c>
      <c r="C86" s="17" t="s">
        <v>72</v>
      </c>
      <c r="D86" s="17" t="s">
        <v>83</v>
      </c>
      <c r="E86" s="17" t="s">
        <v>45</v>
      </c>
      <c r="F86" s="18" t="n">
        <v>43090</v>
      </c>
      <c r="G86" s="19" t="n">
        <v>66.2</v>
      </c>
      <c r="H86" s="17" t="n">
        <f aca="false">IF(G86="","",RANK(G86,$G$5:$G$359))</f>
        <v>82</v>
      </c>
      <c r="I86" s="19" t="n">
        <v>4.1</v>
      </c>
      <c r="J86" s="17" t="n">
        <f aca="false">IF(I86="","",RANK(I86,$I$5:$I$359))</f>
        <v>353</v>
      </c>
      <c r="K86" s="19" t="n">
        <v>85.1</v>
      </c>
      <c r="L86" s="17" t="n">
        <f aca="false">IF(K86="","",RANK(K86,$K$5:$K$359))</f>
        <v>19</v>
      </c>
      <c r="M86" s="17" t="str">
        <f aca="false">IF(AND(N(G86)&gt;=N(I86),N(G86)&gt;=N(K86)),"The Pulse",IF(N(I86)&gt;=N(K86),"The Lens","The Hub"))</f>
        <v>The Hub</v>
      </c>
      <c r="N86" s="20" t="s">
        <v>74</v>
      </c>
      <c r="O86" s="17" t="s">
        <v>24</v>
      </c>
    </row>
    <row r="87" customFormat="false" ht="15" hidden="false" customHeight="false" outlineLevel="0" collapsed="false">
      <c r="A87" s="17" t="s">
        <v>265</v>
      </c>
      <c r="B87" s="17" t="s">
        <v>266</v>
      </c>
      <c r="C87" s="17" t="s">
        <v>115</v>
      </c>
      <c r="D87" s="17" t="s">
        <v>105</v>
      </c>
      <c r="E87" s="17" t="s">
        <v>99</v>
      </c>
      <c r="F87" s="18" t="n">
        <v>430391</v>
      </c>
      <c r="G87" s="19" t="n">
        <v>66.1</v>
      </c>
      <c r="H87" s="17" t="n">
        <f aca="false">IF(G87="","",RANK(G87,$G$5:$G$359))</f>
        <v>83</v>
      </c>
      <c r="I87" s="19" t="n">
        <v>45.2</v>
      </c>
      <c r="J87" s="17" t="n">
        <f aca="false">IF(I87="","",RANK(I87,$I$5:$I$359))</f>
        <v>210</v>
      </c>
      <c r="K87" s="19" t="n">
        <v>58.2</v>
      </c>
      <c r="L87" s="17" t="n">
        <f aca="false">IF(K87="","",RANK(K87,$K$5:$K$359))</f>
        <v>120</v>
      </c>
      <c r="M87" s="17" t="str">
        <f aca="false">IF(AND(N(G87)&gt;=N(I87),N(G87)&gt;=N(K87)),"The Pulse",IF(N(I87)&gt;=N(K87),"The Lens","The Hub"))</f>
        <v>The Pulse</v>
      </c>
      <c r="N87" s="22" t="s">
        <v>109</v>
      </c>
      <c r="O87" s="17" t="s">
        <v>134</v>
      </c>
    </row>
    <row r="88" customFormat="false" ht="15" hidden="false" customHeight="false" outlineLevel="0" collapsed="false">
      <c r="A88" s="17" t="s">
        <v>267</v>
      </c>
      <c r="B88" s="17" t="s">
        <v>268</v>
      </c>
      <c r="C88" s="17" t="s">
        <v>91</v>
      </c>
      <c r="D88" s="17" t="s">
        <v>127</v>
      </c>
      <c r="E88" s="17" t="s">
        <v>92</v>
      </c>
      <c r="F88" s="18" t="n">
        <v>7038733</v>
      </c>
      <c r="G88" s="19" t="n">
        <v>66</v>
      </c>
      <c r="H88" s="17" t="n">
        <f aca="false">IF(G88="","",RANK(G88,$G$5:$G$359))</f>
        <v>84</v>
      </c>
      <c r="I88" s="19" t="n">
        <v>59.2</v>
      </c>
      <c r="J88" s="17" t="n">
        <f aca="false">IF(I88="","",RANK(I88,$I$5:$I$359))</f>
        <v>126</v>
      </c>
      <c r="K88" s="19" t="n">
        <v>12.8</v>
      </c>
      <c r="L88" s="17" t="n">
        <f aca="false">IF(K88="","",RANK(K88,$K$5:$K$359))</f>
        <v>332</v>
      </c>
      <c r="M88" s="17" t="str">
        <f aca="false">IF(AND(N(G88)&gt;=N(I88),N(G88)&gt;=N(K88)),"The Pulse",IF(N(I88)&gt;=N(K88),"The Lens","The Hub"))</f>
        <v>The Pulse</v>
      </c>
      <c r="N88" s="21" t="s">
        <v>79</v>
      </c>
      <c r="O88" s="17" t="s">
        <v>88</v>
      </c>
    </row>
    <row r="89" customFormat="false" ht="15" hidden="false" customHeight="false" outlineLevel="0" collapsed="false">
      <c r="A89" s="17" t="s">
        <v>269</v>
      </c>
      <c r="B89" s="17" t="s">
        <v>270</v>
      </c>
      <c r="C89" s="17" t="s">
        <v>115</v>
      </c>
      <c r="D89" s="17" t="s">
        <v>105</v>
      </c>
      <c r="E89" s="17" t="s">
        <v>99</v>
      </c>
      <c r="F89" s="18" t="n">
        <v>1188155</v>
      </c>
      <c r="G89" s="19" t="n">
        <v>65.8</v>
      </c>
      <c r="H89" s="17" t="n">
        <f aca="false">IF(G89="","",RANK(G89,$G$5:$G$359))</f>
        <v>85</v>
      </c>
      <c r="I89" s="19" t="n">
        <v>56.5</v>
      </c>
      <c r="J89" s="17" t="n">
        <f aca="false">IF(I89="","",RANK(I89,$I$5:$I$359))</f>
        <v>146</v>
      </c>
      <c r="K89" s="19" t="n">
        <v>56.2</v>
      </c>
      <c r="L89" s="17" t="n">
        <f aca="false">IF(K89="","",RANK(K89,$K$5:$K$359))</f>
        <v>139</v>
      </c>
      <c r="M89" s="17" t="str">
        <f aca="false">IF(AND(N(G89)&gt;=N(I89),N(G89)&gt;=N(K89)),"The Pulse",IF(N(I89)&gt;=N(K89),"The Lens","The Hub"))</f>
        <v>The Pulse</v>
      </c>
      <c r="N89" s="21" t="s">
        <v>79</v>
      </c>
      <c r="O89" s="17" t="s">
        <v>88</v>
      </c>
    </row>
    <row r="90" customFormat="false" ht="15" hidden="false" customHeight="false" outlineLevel="0" collapsed="false">
      <c r="A90" s="17" t="s">
        <v>271</v>
      </c>
      <c r="B90" s="17" t="s">
        <v>272</v>
      </c>
      <c r="C90" s="17" t="s">
        <v>91</v>
      </c>
      <c r="D90" s="17" t="s">
        <v>83</v>
      </c>
      <c r="E90" s="17" t="s">
        <v>45</v>
      </c>
      <c r="F90" s="18" t="n">
        <v>12828</v>
      </c>
      <c r="G90" s="19" t="n">
        <v>65.6</v>
      </c>
      <c r="H90" s="17" t="n">
        <f aca="false">IF(G90="","",RANK(G90,$G$5:$G$359))</f>
        <v>86</v>
      </c>
      <c r="I90" s="19" t="n">
        <v>36.1</v>
      </c>
      <c r="J90" s="17" t="n">
        <f aca="false">IF(I90="","",RANK(I90,$I$5:$I$359))</f>
        <v>261</v>
      </c>
      <c r="K90" s="19" t="n">
        <v>44.5</v>
      </c>
      <c r="L90" s="17" t="n">
        <f aca="false">IF(K90="","",RANK(K90,$K$5:$K$359))</f>
        <v>203</v>
      </c>
      <c r="M90" s="17" t="str">
        <f aca="false">IF(AND(N(G90)&gt;=N(I90),N(G90)&gt;=N(K90)),"The Pulse",IF(N(I90)&gt;=N(K90),"The Lens","The Hub"))</f>
        <v>The Pulse</v>
      </c>
      <c r="N90" s="21" t="s">
        <v>79</v>
      </c>
      <c r="O90" s="17" t="s">
        <v>88</v>
      </c>
    </row>
    <row r="91" customFormat="false" ht="15" hidden="false" customHeight="false" outlineLevel="0" collapsed="false">
      <c r="A91" s="17" t="s">
        <v>273</v>
      </c>
      <c r="B91" s="17" t="s">
        <v>274</v>
      </c>
      <c r="C91" s="17" t="s">
        <v>91</v>
      </c>
      <c r="D91" s="17" t="s">
        <v>102</v>
      </c>
      <c r="E91" s="17" t="s">
        <v>99</v>
      </c>
      <c r="F91" s="18" t="n">
        <v>1200128</v>
      </c>
      <c r="G91" s="19" t="n">
        <v>65.4</v>
      </c>
      <c r="H91" s="17" t="n">
        <f aca="false">IF(G91="","",RANK(G91,$G$5:$G$359))</f>
        <v>87</v>
      </c>
      <c r="I91" s="19" t="n">
        <v>58.1</v>
      </c>
      <c r="J91" s="17" t="n">
        <f aca="false">IF(I91="","",RANK(I91,$I$5:$I$359))</f>
        <v>136</v>
      </c>
      <c r="K91" s="19" t="n">
        <v>41.8</v>
      </c>
      <c r="L91" s="17" t="n">
        <f aca="false">IF(K91="","",RANK(K91,$K$5:$K$359))</f>
        <v>221</v>
      </c>
      <c r="M91" s="17" t="str">
        <f aca="false">IF(AND(N(G91)&gt;=N(I91),N(G91)&gt;=N(K91)),"The Pulse",IF(N(I91)&gt;=N(K91),"The Lens","The Hub"))</f>
        <v>The Pulse</v>
      </c>
      <c r="N91" s="21" t="s">
        <v>79</v>
      </c>
      <c r="O91" s="17" t="s">
        <v>88</v>
      </c>
    </row>
    <row r="92" customFormat="false" ht="15" hidden="false" customHeight="false" outlineLevel="0" collapsed="false">
      <c r="A92" s="17" t="s">
        <v>275</v>
      </c>
      <c r="B92" s="17" t="s">
        <v>276</v>
      </c>
      <c r="C92" s="17" t="s">
        <v>82</v>
      </c>
      <c r="D92" s="17" t="s">
        <v>83</v>
      </c>
      <c r="E92" s="17" t="s">
        <v>99</v>
      </c>
      <c r="F92" s="18" t="n">
        <v>214591</v>
      </c>
      <c r="G92" s="19" t="n">
        <v>65.1</v>
      </c>
      <c r="H92" s="17" t="n">
        <f aca="false">IF(G92="","",RANK(G92,$G$5:$G$359))</f>
        <v>88</v>
      </c>
      <c r="I92" s="19" t="n">
        <v>60.8</v>
      </c>
      <c r="J92" s="17" t="n">
        <f aca="false">IF(I92="","",RANK(I92,$I$5:$I$359))</f>
        <v>120</v>
      </c>
      <c r="K92" s="19" t="n">
        <v>37.8</v>
      </c>
      <c r="L92" s="17" t="n">
        <f aca="false">IF(K92="","",RANK(K92,$K$5:$K$359))</f>
        <v>254</v>
      </c>
      <c r="M92" s="17" t="str">
        <f aca="false">IF(AND(N(G92)&gt;=N(I92),N(G92)&gt;=N(K92)),"The Pulse",IF(N(I92)&gt;=N(K92),"The Lens","The Hub"))</f>
        <v>The Pulse</v>
      </c>
      <c r="N92" s="21" t="s">
        <v>79</v>
      </c>
      <c r="O92" s="17" t="s">
        <v>88</v>
      </c>
    </row>
    <row r="93" customFormat="false" ht="15" hidden="false" customHeight="false" outlineLevel="0" collapsed="false">
      <c r="A93" s="17" t="s">
        <v>277</v>
      </c>
      <c r="B93" s="17" t="s">
        <v>278</v>
      </c>
      <c r="C93" s="17" t="s">
        <v>91</v>
      </c>
      <c r="D93" s="17" t="s">
        <v>83</v>
      </c>
      <c r="E93" s="17" t="s">
        <v>99</v>
      </c>
      <c r="F93" s="18" t="n">
        <v>89160</v>
      </c>
      <c r="G93" s="19" t="n">
        <v>64.9</v>
      </c>
      <c r="H93" s="17" t="n">
        <f aca="false">IF(G93="","",RANK(G93,$G$5:$G$359))</f>
        <v>89</v>
      </c>
      <c r="I93" s="19" t="n">
        <v>30.6</v>
      </c>
      <c r="J93" s="17" t="n">
        <f aca="false">IF(I93="","",RANK(I93,$I$5:$I$359))</f>
        <v>284</v>
      </c>
      <c r="K93" s="19" t="n">
        <v>44.4</v>
      </c>
      <c r="L93" s="17" t="n">
        <f aca="false">IF(K93="","",RANK(K93,$K$5:$K$359))</f>
        <v>204</v>
      </c>
      <c r="M93" s="17" t="str">
        <f aca="false">IF(AND(N(G93)&gt;=N(I93),N(G93)&gt;=N(K93)),"The Pulse",IF(N(I93)&gt;=N(K93),"The Lens","The Hub"))</f>
        <v>The Pulse</v>
      </c>
      <c r="N93" s="22" t="s">
        <v>109</v>
      </c>
      <c r="O93" s="17" t="s">
        <v>155</v>
      </c>
    </row>
    <row r="94" customFormat="false" ht="15" hidden="false" customHeight="false" outlineLevel="0" collapsed="false">
      <c r="A94" s="17" t="s">
        <v>279</v>
      </c>
      <c r="B94" s="17" t="s">
        <v>280</v>
      </c>
      <c r="C94" s="17" t="s">
        <v>86</v>
      </c>
      <c r="D94" s="17" t="s">
        <v>73</v>
      </c>
      <c r="E94" s="17" t="s">
        <v>99</v>
      </c>
      <c r="F94" s="18" t="n">
        <v>239510</v>
      </c>
      <c r="G94" s="19" t="n">
        <v>64.7</v>
      </c>
      <c r="H94" s="17" t="n">
        <f aca="false">IF(G94="","",RANK(G94,$G$5:$G$359))</f>
        <v>90</v>
      </c>
      <c r="I94" s="19" t="n">
        <v>67.3</v>
      </c>
      <c r="J94" s="17" t="n">
        <f aca="false">IF(I94="","",RANK(I94,$I$5:$I$359))</f>
        <v>82</v>
      </c>
      <c r="K94" s="19" t="n">
        <v>88</v>
      </c>
      <c r="L94" s="17" t="n">
        <f aca="false">IF(K94="","",RANK(K94,$K$5:$K$359))</f>
        <v>15</v>
      </c>
      <c r="M94" s="17" t="str">
        <f aca="false">IF(AND(N(G94)&gt;=N(I94),N(G94)&gt;=N(K94)),"The Pulse",IF(N(I94)&gt;=N(K94),"The Lens","The Hub"))</f>
        <v>The Hub</v>
      </c>
      <c r="N94" s="20" t="s">
        <v>74</v>
      </c>
      <c r="O94" s="17" t="s">
        <v>24</v>
      </c>
    </row>
    <row r="95" customFormat="false" ht="15" hidden="false" customHeight="false" outlineLevel="0" collapsed="false">
      <c r="A95" s="17" t="s">
        <v>281</v>
      </c>
      <c r="B95" s="17" t="s">
        <v>282</v>
      </c>
      <c r="C95" s="17" t="s">
        <v>98</v>
      </c>
      <c r="D95" s="17" t="s">
        <v>78</v>
      </c>
      <c r="E95" s="17" t="s">
        <v>99</v>
      </c>
      <c r="F95" s="18" t="n">
        <v>678836</v>
      </c>
      <c r="G95" s="19" t="n">
        <v>64.7</v>
      </c>
      <c r="H95" s="17" t="n">
        <f aca="false">IF(G95="","",RANK(G95,$G$5:$G$359))</f>
        <v>90</v>
      </c>
      <c r="I95" s="19" t="n">
        <v>70.8</v>
      </c>
      <c r="J95" s="17" t="n">
        <f aca="false">IF(I95="","",RANK(I95,$I$5:$I$359))</f>
        <v>69</v>
      </c>
      <c r="K95" s="19" t="n">
        <v>50</v>
      </c>
      <c r="L95" s="17" t="n">
        <f aca="false">IF(K95="","",RANK(K95,$K$5:$K$359))</f>
        <v>169</v>
      </c>
      <c r="M95" s="17" t="str">
        <f aca="false">IF(AND(N(G95)&gt;=N(I95),N(G95)&gt;=N(K95)),"The Pulse",IF(N(I95)&gt;=N(K95),"The Lens","The Hub"))</f>
        <v>The Lens</v>
      </c>
      <c r="N95" s="21" t="s">
        <v>79</v>
      </c>
      <c r="O95" s="17" t="s">
        <v>88</v>
      </c>
    </row>
    <row r="96" customFormat="false" ht="15" hidden="false" customHeight="false" outlineLevel="0" collapsed="false">
      <c r="A96" s="17" t="s">
        <v>283</v>
      </c>
      <c r="B96" s="17" t="s">
        <v>284</v>
      </c>
      <c r="C96" s="17" t="s">
        <v>162</v>
      </c>
      <c r="D96" s="17" t="s">
        <v>105</v>
      </c>
      <c r="E96" s="17" t="s">
        <v>99</v>
      </c>
      <c r="F96" s="18" t="n">
        <v>200139</v>
      </c>
      <c r="G96" s="19" t="n">
        <v>64.5</v>
      </c>
      <c r="H96" s="17" t="n">
        <f aca="false">IF(G96="","",RANK(G96,$G$5:$G$359))</f>
        <v>92</v>
      </c>
      <c r="I96" s="19" t="n">
        <v>18.6</v>
      </c>
      <c r="J96" s="17" t="n">
        <f aca="false">IF(I96="","",RANK(I96,$I$5:$I$359))</f>
        <v>321</v>
      </c>
      <c r="K96" s="19" t="n">
        <v>58.9</v>
      </c>
      <c r="L96" s="17" t="n">
        <f aca="false">IF(K96="","",RANK(K96,$K$5:$K$359))</f>
        <v>114</v>
      </c>
      <c r="M96" s="17" t="str">
        <f aca="false">IF(AND(N(G96)&gt;=N(I96),N(G96)&gt;=N(K96)),"The Pulse",IF(N(I96)&gt;=N(K96),"The Lens","The Hub"))</f>
        <v>The Pulse</v>
      </c>
      <c r="N96" s="21" t="s">
        <v>79</v>
      </c>
      <c r="O96" s="17" t="s">
        <v>88</v>
      </c>
    </row>
    <row r="97" customFormat="false" ht="15" hidden="false" customHeight="false" outlineLevel="0" collapsed="false">
      <c r="A97" s="17" t="s">
        <v>285</v>
      </c>
      <c r="B97" s="17" t="s">
        <v>286</v>
      </c>
      <c r="C97" s="17" t="s">
        <v>72</v>
      </c>
      <c r="D97" s="17" t="s">
        <v>78</v>
      </c>
      <c r="E97" s="17" t="s">
        <v>99</v>
      </c>
      <c r="F97" s="18" t="n">
        <v>68910</v>
      </c>
      <c r="G97" s="19" t="n">
        <v>64.4</v>
      </c>
      <c r="H97" s="17" t="n">
        <f aca="false">IF(G97="","",RANK(G97,$G$5:$G$359))</f>
        <v>93</v>
      </c>
      <c r="I97" s="19" t="n">
        <v>56.2</v>
      </c>
      <c r="J97" s="17" t="n">
        <f aca="false">IF(I97="","",RANK(I97,$I$5:$I$359))</f>
        <v>147</v>
      </c>
      <c r="K97" s="19" t="n">
        <v>37.2</v>
      </c>
      <c r="L97" s="17" t="n">
        <f aca="false">IF(K97="","",RANK(K97,$K$5:$K$359))</f>
        <v>258</v>
      </c>
      <c r="M97" s="17" t="str">
        <f aca="false">IF(AND(N(G97)&gt;=N(I97),N(G97)&gt;=N(K97)),"The Pulse",IF(N(I97)&gt;=N(K97),"The Lens","The Hub"))</f>
        <v>The Pulse</v>
      </c>
      <c r="N97" s="20" t="s">
        <v>74</v>
      </c>
      <c r="O97" s="17" t="s">
        <v>24</v>
      </c>
    </row>
    <row r="98" customFormat="false" ht="15" hidden="false" customHeight="false" outlineLevel="0" collapsed="false">
      <c r="A98" s="17" t="s">
        <v>287</v>
      </c>
      <c r="B98" s="17" t="s">
        <v>288</v>
      </c>
      <c r="C98" s="17" t="s">
        <v>95</v>
      </c>
      <c r="D98" s="17" t="s">
        <v>105</v>
      </c>
      <c r="E98" s="17" t="s">
        <v>99</v>
      </c>
      <c r="F98" s="18" t="n">
        <v>403658</v>
      </c>
      <c r="G98" s="19" t="n">
        <v>64.3</v>
      </c>
      <c r="H98" s="17" t="n">
        <f aca="false">IF(G98="","",RANK(G98,$G$5:$G$359))</f>
        <v>94</v>
      </c>
      <c r="I98" s="19" t="n">
        <v>61.9</v>
      </c>
      <c r="J98" s="17" t="n">
        <f aca="false">IF(I98="","",RANK(I98,$I$5:$I$359))</f>
        <v>110</v>
      </c>
      <c r="K98" s="19" t="n">
        <v>41.4</v>
      </c>
      <c r="L98" s="17" t="n">
        <f aca="false">IF(K98="","",RANK(K98,$K$5:$K$359))</f>
        <v>224</v>
      </c>
      <c r="M98" s="17" t="str">
        <f aca="false">IF(AND(N(G98)&gt;=N(I98),N(G98)&gt;=N(K98)),"The Pulse",IF(N(I98)&gt;=N(K98),"The Lens","The Hub"))</f>
        <v>The Pulse</v>
      </c>
      <c r="N98" s="22" t="s">
        <v>109</v>
      </c>
      <c r="O98" s="17" t="s">
        <v>134</v>
      </c>
    </row>
    <row r="99" customFormat="false" ht="15" hidden="false" customHeight="false" outlineLevel="0" collapsed="false">
      <c r="A99" s="17" t="s">
        <v>289</v>
      </c>
      <c r="B99" s="17" t="s">
        <v>290</v>
      </c>
      <c r="C99" s="17" t="s">
        <v>91</v>
      </c>
      <c r="D99" s="17" t="s">
        <v>87</v>
      </c>
      <c r="E99" s="17" t="s">
        <v>99</v>
      </c>
      <c r="F99" s="18" t="n">
        <v>428387</v>
      </c>
      <c r="G99" s="19" t="n">
        <v>64.2</v>
      </c>
      <c r="H99" s="17" t="n">
        <f aca="false">IF(G99="","",RANK(G99,$G$5:$G$359))</f>
        <v>95</v>
      </c>
      <c r="I99" s="19" t="n">
        <v>62</v>
      </c>
      <c r="J99" s="17" t="n">
        <f aca="false">IF(I99="","",RANK(I99,$I$5:$I$359))</f>
        <v>107</v>
      </c>
      <c r="K99" s="19" t="n">
        <v>65.7</v>
      </c>
      <c r="L99" s="17" t="n">
        <f aca="false">IF(K99="","",RANK(K99,$K$5:$K$359))</f>
        <v>77</v>
      </c>
      <c r="M99" s="17" t="str">
        <f aca="false">IF(AND(N(G99)&gt;=N(I99),N(G99)&gt;=N(K99)),"The Pulse",IF(N(I99)&gt;=N(K99),"The Lens","The Hub"))</f>
        <v>The Hub</v>
      </c>
      <c r="N99" s="21" t="s">
        <v>79</v>
      </c>
      <c r="O99" s="17" t="s">
        <v>88</v>
      </c>
    </row>
    <row r="100" customFormat="false" ht="15" hidden="false" customHeight="false" outlineLevel="0" collapsed="false">
      <c r="A100" s="17" t="s">
        <v>291</v>
      </c>
      <c r="B100" s="17" t="s">
        <v>292</v>
      </c>
      <c r="C100" s="17" t="s">
        <v>123</v>
      </c>
      <c r="D100" s="17" t="s">
        <v>124</v>
      </c>
      <c r="E100" s="17" t="s">
        <v>92</v>
      </c>
      <c r="F100" s="18" t="n">
        <v>115284</v>
      </c>
      <c r="G100" s="19" t="n">
        <v>64</v>
      </c>
      <c r="H100" s="17" t="n">
        <f aca="false">IF(G100="","",RANK(G100,$G$5:$G$359))</f>
        <v>96</v>
      </c>
      <c r="I100" s="19" t="n">
        <v>28.4</v>
      </c>
      <c r="J100" s="17" t="n">
        <f aca="false">IF(I100="","",RANK(I100,$I$5:$I$359))</f>
        <v>290</v>
      </c>
      <c r="K100" s="19" t="n">
        <v>88.4</v>
      </c>
      <c r="L100" s="17" t="n">
        <f aca="false">IF(K100="","",RANK(K100,$K$5:$K$359))</f>
        <v>13</v>
      </c>
      <c r="M100" s="17" t="str">
        <f aca="false">IF(AND(N(G100)&gt;=N(I100),N(G100)&gt;=N(K100)),"The Pulse",IF(N(I100)&gt;=N(K100),"The Lens","The Hub"))</f>
        <v>The Hub</v>
      </c>
      <c r="N100" s="22" t="s">
        <v>109</v>
      </c>
      <c r="O100" s="17" t="s">
        <v>155</v>
      </c>
    </row>
    <row r="101" customFormat="false" ht="15" hidden="false" customHeight="false" outlineLevel="0" collapsed="false">
      <c r="A101" s="17" t="s">
        <v>293</v>
      </c>
      <c r="B101" s="17" t="s">
        <v>294</v>
      </c>
      <c r="C101" s="17" t="s">
        <v>91</v>
      </c>
      <c r="D101" s="17" t="s">
        <v>154</v>
      </c>
      <c r="E101" s="17" t="s">
        <v>99</v>
      </c>
      <c r="F101" s="18" t="n">
        <v>204389</v>
      </c>
      <c r="G101" s="19" t="n">
        <v>64</v>
      </c>
      <c r="H101" s="17" t="n">
        <f aca="false">IF(G101="","",RANK(G101,$G$5:$G$359))</f>
        <v>96</v>
      </c>
      <c r="I101" s="19" t="n">
        <v>54.8</v>
      </c>
      <c r="J101" s="17" t="n">
        <f aca="false">IF(I101="","",RANK(I101,$I$5:$I$359))</f>
        <v>160</v>
      </c>
      <c r="K101" s="19" t="n">
        <v>71.8</v>
      </c>
      <c r="L101" s="17" t="n">
        <f aca="false">IF(K101="","",RANK(K101,$K$5:$K$359))</f>
        <v>50</v>
      </c>
      <c r="M101" s="17" t="str">
        <f aca="false">IF(AND(N(G101)&gt;=N(I101),N(G101)&gt;=N(K101)),"The Pulse",IF(N(I101)&gt;=N(K101),"The Lens","The Hub"))</f>
        <v>The Hub</v>
      </c>
      <c r="N101" s="21" t="s">
        <v>79</v>
      </c>
      <c r="O101" s="17" t="s">
        <v>88</v>
      </c>
    </row>
    <row r="102" customFormat="false" ht="15" hidden="false" customHeight="false" outlineLevel="0" collapsed="false">
      <c r="A102" s="17" t="s">
        <v>295</v>
      </c>
      <c r="B102" s="17" t="s">
        <v>296</v>
      </c>
      <c r="C102" s="17" t="s">
        <v>95</v>
      </c>
      <c r="D102" s="17" t="s">
        <v>78</v>
      </c>
      <c r="E102" s="17" t="s">
        <v>99</v>
      </c>
      <c r="F102" s="18" t="n">
        <v>342438</v>
      </c>
      <c r="G102" s="19" t="n">
        <v>64</v>
      </c>
      <c r="H102" s="17" t="n">
        <f aca="false">IF(G102="","",RANK(G102,$G$5:$G$359))</f>
        <v>96</v>
      </c>
      <c r="I102" s="19" t="n">
        <v>61.2</v>
      </c>
      <c r="J102" s="17" t="n">
        <f aca="false">IF(I102="","",RANK(I102,$I$5:$I$359))</f>
        <v>118</v>
      </c>
      <c r="K102" s="19" t="n">
        <v>51.6</v>
      </c>
      <c r="L102" s="17" t="n">
        <f aca="false">IF(K102="","",RANK(K102,$K$5:$K$359))</f>
        <v>160</v>
      </c>
      <c r="M102" s="17" t="str">
        <f aca="false">IF(AND(N(G102)&gt;=N(I102),N(G102)&gt;=N(K102)),"The Pulse",IF(N(I102)&gt;=N(K102),"The Lens","The Hub"))</f>
        <v>The Pulse</v>
      </c>
      <c r="N102" s="21" t="s">
        <v>79</v>
      </c>
      <c r="O102" s="17" t="s">
        <v>88</v>
      </c>
    </row>
    <row r="103" customFormat="false" ht="15" hidden="false" customHeight="false" outlineLevel="0" collapsed="false">
      <c r="A103" s="17" t="s">
        <v>297</v>
      </c>
      <c r="B103" s="17" t="s">
        <v>298</v>
      </c>
      <c r="C103" s="17" t="s">
        <v>115</v>
      </c>
      <c r="D103" s="17" t="s">
        <v>127</v>
      </c>
      <c r="E103" s="17" t="s">
        <v>149</v>
      </c>
      <c r="F103" s="18" t="n">
        <v>39245</v>
      </c>
      <c r="G103" s="19" t="n">
        <v>64</v>
      </c>
      <c r="H103" s="17" t="n">
        <f aca="false">IF(G103="","",RANK(G103,$G$5:$G$359))</f>
        <v>96</v>
      </c>
      <c r="I103" s="19" t="n">
        <v>50.6</v>
      </c>
      <c r="J103" s="17" t="n">
        <f aca="false">IF(I103="","",RANK(I103,$I$5:$I$359))</f>
        <v>173</v>
      </c>
      <c r="K103" s="19" t="n">
        <v>21.4</v>
      </c>
      <c r="L103" s="17" t="n">
        <f aca="false">IF(K103="","",RANK(K103,$K$5:$K$359))</f>
        <v>312</v>
      </c>
      <c r="M103" s="17" t="str">
        <f aca="false">IF(AND(N(G103)&gt;=N(I103),N(G103)&gt;=N(K103)),"The Pulse",IF(N(I103)&gt;=N(K103),"The Lens","The Hub"))</f>
        <v>The Pulse</v>
      </c>
      <c r="N103" s="21" t="s">
        <v>79</v>
      </c>
      <c r="O103" s="17" t="s">
        <v>88</v>
      </c>
    </row>
    <row r="104" customFormat="false" ht="15" hidden="false" customHeight="false" outlineLevel="0" collapsed="false">
      <c r="A104" s="17" t="s">
        <v>299</v>
      </c>
      <c r="B104" s="17" t="s">
        <v>300</v>
      </c>
      <c r="C104" s="17" t="s">
        <v>72</v>
      </c>
      <c r="D104" s="17" t="s">
        <v>73</v>
      </c>
      <c r="E104" s="17" t="s">
        <v>149</v>
      </c>
      <c r="F104" s="18" t="n">
        <v>73108</v>
      </c>
      <c r="G104" s="19" t="n">
        <v>63.8</v>
      </c>
      <c r="H104" s="17" t="n">
        <f aca="false">IF(G104="","",RANK(G104,$G$5:$G$359))</f>
        <v>100</v>
      </c>
      <c r="I104" s="19" t="n">
        <v>69.8</v>
      </c>
      <c r="J104" s="17" t="n">
        <f aca="false">IF(I104="","",RANK(I104,$I$5:$I$359))</f>
        <v>73</v>
      </c>
      <c r="K104" s="19" t="n">
        <v>85.6</v>
      </c>
      <c r="L104" s="17" t="n">
        <f aca="false">IF(K104="","",RANK(K104,$K$5:$K$359))</f>
        <v>18</v>
      </c>
      <c r="M104" s="17" t="str">
        <f aca="false">IF(AND(N(G104)&gt;=N(I104),N(G104)&gt;=N(K104)),"The Pulse",IF(N(I104)&gt;=N(K104),"The Lens","The Hub"))</f>
        <v>The Hub</v>
      </c>
      <c r="N104" s="21" t="s">
        <v>79</v>
      </c>
      <c r="O104" s="17" t="s">
        <v>88</v>
      </c>
    </row>
    <row r="105" customFormat="false" ht="15" hidden="false" customHeight="false" outlineLevel="0" collapsed="false">
      <c r="A105" s="17" t="s">
        <v>301</v>
      </c>
      <c r="B105" s="17" t="s">
        <v>302</v>
      </c>
      <c r="C105" s="17" t="s">
        <v>162</v>
      </c>
      <c r="D105" s="17" t="s">
        <v>87</v>
      </c>
      <c r="E105" s="17" t="s">
        <v>149</v>
      </c>
      <c r="F105" s="18" t="n">
        <v>1936820</v>
      </c>
      <c r="G105" s="19" t="n">
        <v>63.8</v>
      </c>
      <c r="H105" s="17" t="n">
        <f aca="false">IF(G105="","",RANK(G105,$G$5:$G$359))</f>
        <v>100</v>
      </c>
      <c r="I105" s="19" t="n">
        <v>14.3</v>
      </c>
      <c r="J105" s="17" t="n">
        <f aca="false">IF(I105="","",RANK(I105,$I$5:$I$359))</f>
        <v>332</v>
      </c>
      <c r="K105" s="19" t="n">
        <v>36.1</v>
      </c>
      <c r="L105" s="17" t="n">
        <f aca="false">IF(K105="","",RANK(K105,$K$5:$K$359))</f>
        <v>264</v>
      </c>
      <c r="M105" s="17" t="str">
        <f aca="false">IF(AND(N(G105)&gt;=N(I105),N(G105)&gt;=N(K105)),"The Pulse",IF(N(I105)&gt;=N(K105),"The Lens","The Hub"))</f>
        <v>The Pulse</v>
      </c>
      <c r="N105" s="20" t="s">
        <v>74</v>
      </c>
      <c r="O105" s="17" t="s">
        <v>24</v>
      </c>
    </row>
    <row r="106" customFormat="false" ht="15" hidden="false" customHeight="false" outlineLevel="0" collapsed="false">
      <c r="A106" s="17" t="s">
        <v>303</v>
      </c>
      <c r="B106" s="17" t="s">
        <v>304</v>
      </c>
      <c r="C106" s="17" t="s">
        <v>162</v>
      </c>
      <c r="D106" s="17" t="s">
        <v>105</v>
      </c>
      <c r="E106" s="17" t="s">
        <v>45</v>
      </c>
      <c r="F106" s="18" t="n">
        <v>487480</v>
      </c>
      <c r="G106" s="19" t="n">
        <v>63.5</v>
      </c>
      <c r="H106" s="17" t="n">
        <f aca="false">IF(G106="","",RANK(G106,$G$5:$G$359))</f>
        <v>102</v>
      </c>
      <c r="I106" s="19" t="n">
        <v>80.7</v>
      </c>
      <c r="J106" s="17" t="n">
        <f aca="false">IF(I106="","",RANK(I106,$I$5:$I$359))</f>
        <v>33</v>
      </c>
      <c r="K106" s="19" t="n">
        <v>65</v>
      </c>
      <c r="L106" s="17" t="n">
        <f aca="false">IF(K106="","",RANK(K106,$K$5:$K$359))</f>
        <v>82</v>
      </c>
      <c r="M106" s="17" t="str">
        <f aca="false">IF(AND(N(G106)&gt;=N(I106),N(G106)&gt;=N(K106)),"The Pulse",IF(N(I106)&gt;=N(K106),"The Lens","The Hub"))</f>
        <v>The Lens</v>
      </c>
      <c r="N106" s="21" t="s">
        <v>79</v>
      </c>
      <c r="O106" s="17" t="s">
        <v>88</v>
      </c>
    </row>
    <row r="107" customFormat="false" ht="15" hidden="false" customHeight="false" outlineLevel="0" collapsed="false">
      <c r="A107" s="17" t="s">
        <v>305</v>
      </c>
      <c r="B107" s="17" t="s">
        <v>306</v>
      </c>
      <c r="C107" s="17" t="s">
        <v>91</v>
      </c>
      <c r="D107" s="17" t="s">
        <v>154</v>
      </c>
      <c r="E107" s="17" t="s">
        <v>99</v>
      </c>
      <c r="F107" s="18" t="n">
        <v>252600</v>
      </c>
      <c r="G107" s="19" t="n">
        <v>63.1</v>
      </c>
      <c r="H107" s="17" t="n">
        <f aca="false">IF(G107="","",RANK(G107,$G$5:$G$359))</f>
        <v>103</v>
      </c>
      <c r="I107" s="19" t="n">
        <v>38.3</v>
      </c>
      <c r="J107" s="17" t="n">
        <f aca="false">IF(I107="","",RANK(I107,$I$5:$I$359))</f>
        <v>250</v>
      </c>
      <c r="K107" s="19" t="n">
        <v>58.9</v>
      </c>
      <c r="L107" s="17" t="n">
        <f aca="false">IF(K107="","",RANK(K107,$K$5:$K$359))</f>
        <v>114</v>
      </c>
      <c r="M107" s="17" t="str">
        <f aca="false">IF(AND(N(G107)&gt;=N(I107),N(G107)&gt;=N(K107)),"The Pulse",IF(N(I107)&gt;=N(K107),"The Lens","The Hub"))</f>
        <v>The Pulse</v>
      </c>
      <c r="N107" s="21" t="s">
        <v>79</v>
      </c>
      <c r="O107" s="17" t="s">
        <v>88</v>
      </c>
    </row>
    <row r="108" customFormat="false" ht="15" hidden="false" customHeight="false" outlineLevel="0" collapsed="false">
      <c r="A108" s="17" t="s">
        <v>307</v>
      </c>
      <c r="B108" s="17" t="s">
        <v>308</v>
      </c>
      <c r="C108" s="17" t="s">
        <v>77</v>
      </c>
      <c r="D108" s="17" t="s">
        <v>102</v>
      </c>
      <c r="E108" s="17" t="s">
        <v>99</v>
      </c>
      <c r="F108" s="18" t="n">
        <v>33720</v>
      </c>
      <c r="G108" s="19" t="n">
        <v>63</v>
      </c>
      <c r="H108" s="17" t="n">
        <f aca="false">IF(G108="","",RANK(G108,$G$5:$G$359))</f>
        <v>104</v>
      </c>
      <c r="I108" s="19" t="n">
        <v>85.3</v>
      </c>
      <c r="J108" s="17" t="n">
        <f aca="false">IF(I108="","",RANK(I108,$I$5:$I$359))</f>
        <v>20</v>
      </c>
      <c r="K108" s="19" t="n">
        <v>48.6</v>
      </c>
      <c r="L108" s="17" t="n">
        <f aca="false">IF(K108="","",RANK(K108,$K$5:$K$359))</f>
        <v>177</v>
      </c>
      <c r="M108" s="17" t="str">
        <f aca="false">IF(AND(N(G108)&gt;=N(I108),N(G108)&gt;=N(K108)),"The Pulse",IF(N(I108)&gt;=N(K108),"The Lens","The Hub"))</f>
        <v>The Lens</v>
      </c>
      <c r="N108" s="20" t="s">
        <v>74</v>
      </c>
      <c r="O108" s="17" t="s">
        <v>24</v>
      </c>
    </row>
    <row r="109" customFormat="false" ht="15" hidden="false" customHeight="false" outlineLevel="0" collapsed="false">
      <c r="A109" s="17" t="s">
        <v>309</v>
      </c>
      <c r="B109" s="17" t="s">
        <v>310</v>
      </c>
      <c r="C109" s="17" t="s">
        <v>98</v>
      </c>
      <c r="D109" s="17" t="s">
        <v>154</v>
      </c>
      <c r="E109" s="17" t="s">
        <v>99</v>
      </c>
      <c r="F109" s="18" t="n">
        <v>51740</v>
      </c>
      <c r="G109" s="19" t="n">
        <v>62.7</v>
      </c>
      <c r="H109" s="17" t="n">
        <f aca="false">IF(G109="","",RANK(G109,$G$5:$G$359))</f>
        <v>105</v>
      </c>
      <c r="I109" s="19" t="n">
        <v>45.3</v>
      </c>
      <c r="J109" s="17" t="n">
        <f aca="false">IF(I109="","",RANK(I109,$I$5:$I$359))</f>
        <v>209</v>
      </c>
      <c r="K109" s="19" t="n">
        <v>18.5</v>
      </c>
      <c r="L109" s="17" t="n">
        <f aca="false">IF(K109="","",RANK(K109,$K$5:$K$359))</f>
        <v>322</v>
      </c>
      <c r="M109" s="17" t="str">
        <f aca="false">IF(AND(N(G109)&gt;=N(I109),N(G109)&gt;=N(K109)),"The Pulse",IF(N(I109)&gt;=N(K109),"The Lens","The Hub"))</f>
        <v>The Pulse</v>
      </c>
      <c r="N109" s="21" t="s">
        <v>79</v>
      </c>
      <c r="O109" s="17" t="s">
        <v>88</v>
      </c>
    </row>
    <row r="110" customFormat="false" ht="15" hidden="false" customHeight="false" outlineLevel="0" collapsed="false">
      <c r="A110" s="17" t="s">
        <v>311</v>
      </c>
      <c r="B110" s="17" t="s">
        <v>312</v>
      </c>
      <c r="C110" s="17" t="s">
        <v>82</v>
      </c>
      <c r="D110" s="17" t="s">
        <v>78</v>
      </c>
      <c r="E110" s="17" t="s">
        <v>99</v>
      </c>
      <c r="F110" s="18" t="n">
        <v>223117</v>
      </c>
      <c r="G110" s="19" t="n">
        <v>62.7</v>
      </c>
      <c r="H110" s="17" t="n">
        <f aca="false">IF(G110="","",RANK(G110,$G$5:$G$359))</f>
        <v>105</v>
      </c>
      <c r="I110" s="19" t="n">
        <v>21.2</v>
      </c>
      <c r="J110" s="17" t="n">
        <f aca="false">IF(I110="","",RANK(I110,$I$5:$I$359))</f>
        <v>312</v>
      </c>
      <c r="K110" s="19" t="n">
        <v>42.6</v>
      </c>
      <c r="L110" s="17" t="n">
        <f aca="false">IF(K110="","",RANK(K110,$K$5:$K$359))</f>
        <v>217</v>
      </c>
      <c r="M110" s="17" t="str">
        <f aca="false">IF(AND(N(G110)&gt;=N(I110),N(G110)&gt;=N(K110)),"The Pulse",IF(N(I110)&gt;=N(K110),"The Lens","The Hub"))</f>
        <v>The Pulse</v>
      </c>
      <c r="N110" s="21" t="s">
        <v>79</v>
      </c>
      <c r="O110" s="17" t="s">
        <v>88</v>
      </c>
    </row>
    <row r="111" customFormat="false" ht="15" hidden="false" customHeight="false" outlineLevel="0" collapsed="false">
      <c r="A111" s="17" t="s">
        <v>313</v>
      </c>
      <c r="B111" s="17" t="s">
        <v>314</v>
      </c>
      <c r="C111" s="17" t="s">
        <v>162</v>
      </c>
      <c r="D111" s="17" t="s">
        <v>127</v>
      </c>
      <c r="E111" s="17" t="s">
        <v>106</v>
      </c>
      <c r="F111" s="18" t="n">
        <v>19457</v>
      </c>
      <c r="G111" s="19" t="n">
        <v>62.4</v>
      </c>
      <c r="H111" s="17" t="n">
        <f aca="false">IF(G111="","",RANK(G111,$G$5:$G$359))</f>
        <v>107</v>
      </c>
      <c r="I111" s="19" t="n">
        <v>42</v>
      </c>
      <c r="J111" s="17" t="n">
        <f aca="false">IF(I111="","",RANK(I111,$I$5:$I$359))</f>
        <v>228</v>
      </c>
      <c r="K111" s="19" t="n">
        <v>63.6</v>
      </c>
      <c r="L111" s="17" t="n">
        <f aca="false">IF(K111="","",RANK(K111,$K$5:$K$359))</f>
        <v>86</v>
      </c>
      <c r="M111" s="17" t="str">
        <f aca="false">IF(AND(N(G111)&gt;=N(I111),N(G111)&gt;=N(K111)),"The Pulse",IF(N(I111)&gt;=N(K111),"The Lens","The Hub"))</f>
        <v>The Hub</v>
      </c>
      <c r="N111" s="21" t="s">
        <v>79</v>
      </c>
      <c r="O111" s="17" t="s">
        <v>88</v>
      </c>
    </row>
    <row r="112" customFormat="false" ht="15" hidden="false" customHeight="false" outlineLevel="0" collapsed="false">
      <c r="A112" s="17" t="s">
        <v>315</v>
      </c>
      <c r="B112" s="17" t="s">
        <v>316</v>
      </c>
      <c r="C112" s="17" t="s">
        <v>95</v>
      </c>
      <c r="D112" s="17" t="s">
        <v>127</v>
      </c>
      <c r="E112" s="17" t="s">
        <v>99</v>
      </c>
      <c r="F112" s="18" t="n">
        <v>195904</v>
      </c>
      <c r="G112" s="19" t="n">
        <v>61.4</v>
      </c>
      <c r="H112" s="17" t="n">
        <f aca="false">IF(G112="","",RANK(G112,$G$5:$G$359))</f>
        <v>108</v>
      </c>
      <c r="I112" s="19" t="n">
        <v>56.9</v>
      </c>
      <c r="J112" s="17" t="n">
        <f aca="false">IF(I112="","",RANK(I112,$I$5:$I$359))</f>
        <v>141</v>
      </c>
      <c r="K112" s="19" t="n">
        <v>68.4</v>
      </c>
      <c r="L112" s="17" t="n">
        <f aca="false">IF(K112="","",RANK(K112,$K$5:$K$359))</f>
        <v>63</v>
      </c>
      <c r="M112" s="17" t="str">
        <f aca="false">IF(AND(N(G112)&gt;=N(I112),N(G112)&gt;=N(K112)),"The Pulse",IF(N(I112)&gt;=N(K112),"The Lens","The Hub"))</f>
        <v>The Hub</v>
      </c>
      <c r="N112" s="21" t="s">
        <v>79</v>
      </c>
      <c r="O112" s="17" t="s">
        <v>88</v>
      </c>
    </row>
    <row r="113" customFormat="false" ht="15" hidden="false" customHeight="false" outlineLevel="0" collapsed="false">
      <c r="A113" s="17" t="s">
        <v>317</v>
      </c>
      <c r="B113" s="17" t="s">
        <v>318</v>
      </c>
      <c r="C113" s="17" t="s">
        <v>95</v>
      </c>
      <c r="D113" s="17" t="s">
        <v>102</v>
      </c>
      <c r="E113" s="17" t="s">
        <v>99</v>
      </c>
      <c r="F113" s="18" t="n">
        <v>70481</v>
      </c>
      <c r="G113" s="19" t="n">
        <v>61.2</v>
      </c>
      <c r="H113" s="17" t="n">
        <f aca="false">IF(G113="","",RANK(G113,$G$5:$G$359))</f>
        <v>109</v>
      </c>
      <c r="I113" s="19" t="n">
        <v>70.9</v>
      </c>
      <c r="J113" s="17" t="n">
        <f aca="false">IF(I113="","",RANK(I113,$I$5:$I$359))</f>
        <v>68</v>
      </c>
      <c r="K113" s="19" t="n">
        <v>20.5</v>
      </c>
      <c r="L113" s="17" t="n">
        <f aca="false">IF(K113="","",RANK(K113,$K$5:$K$359))</f>
        <v>316</v>
      </c>
      <c r="M113" s="17" t="str">
        <f aca="false">IF(AND(N(G113)&gt;=N(I113),N(G113)&gt;=N(K113)),"The Pulse",IF(N(I113)&gt;=N(K113),"The Lens","The Hub"))</f>
        <v>The Lens</v>
      </c>
      <c r="N113" s="21" t="s">
        <v>79</v>
      </c>
      <c r="O113" s="17" t="s">
        <v>88</v>
      </c>
    </row>
    <row r="114" customFormat="false" ht="15" hidden="false" customHeight="false" outlineLevel="0" collapsed="false">
      <c r="A114" s="17" t="s">
        <v>319</v>
      </c>
      <c r="B114" s="17" t="s">
        <v>320</v>
      </c>
      <c r="C114" s="17" t="s">
        <v>98</v>
      </c>
      <c r="D114" s="17"/>
      <c r="E114" s="17" t="s">
        <v>45</v>
      </c>
      <c r="F114" s="18" t="n">
        <v>120497</v>
      </c>
      <c r="G114" s="19" t="n">
        <v>61.1</v>
      </c>
      <c r="H114" s="17" t="n">
        <f aca="false">IF(G114="","",RANK(G114,$G$5:$G$359))</f>
        <v>110</v>
      </c>
      <c r="I114" s="19" t="n">
        <v>12.9</v>
      </c>
      <c r="J114" s="17" t="n">
        <f aca="false">IF(I114="","",RANK(I114,$I$5:$I$359))</f>
        <v>336</v>
      </c>
      <c r="K114" s="19" t="n">
        <v>85.8</v>
      </c>
      <c r="L114" s="17" t="n">
        <f aca="false">IF(K114="","",RANK(K114,$K$5:$K$359))</f>
        <v>17</v>
      </c>
      <c r="M114" s="17" t="str">
        <f aca="false">IF(AND(N(G114)&gt;=N(I114),N(G114)&gt;=N(K114)),"The Pulse",IF(N(I114)&gt;=N(K114),"The Lens","The Hub"))</f>
        <v>The Hub</v>
      </c>
      <c r="N114" s="21" t="s">
        <v>79</v>
      </c>
      <c r="O114" s="17" t="s">
        <v>22</v>
      </c>
    </row>
    <row r="115" customFormat="false" ht="15" hidden="false" customHeight="false" outlineLevel="0" collapsed="false">
      <c r="A115" s="17" t="s">
        <v>321</v>
      </c>
      <c r="B115" s="17" t="s">
        <v>322</v>
      </c>
      <c r="C115" s="17" t="s">
        <v>95</v>
      </c>
      <c r="D115" s="17" t="s">
        <v>127</v>
      </c>
      <c r="E115" s="17" t="s">
        <v>99</v>
      </c>
      <c r="F115" s="18" t="n">
        <v>88005</v>
      </c>
      <c r="G115" s="19" t="n">
        <v>60.9</v>
      </c>
      <c r="H115" s="17" t="n">
        <f aca="false">IF(G115="","",RANK(G115,$G$5:$G$359))</f>
        <v>111</v>
      </c>
      <c r="I115" s="19" t="n">
        <v>67.6</v>
      </c>
      <c r="J115" s="17" t="n">
        <f aca="false">IF(I115="","",RANK(I115,$I$5:$I$359))</f>
        <v>79</v>
      </c>
      <c r="K115" s="19" t="n">
        <v>56.4</v>
      </c>
      <c r="L115" s="17" t="n">
        <f aca="false">IF(K115="","",RANK(K115,$K$5:$K$359))</f>
        <v>135</v>
      </c>
      <c r="M115" s="17" t="str">
        <f aca="false">IF(AND(N(G115)&gt;=N(I115),N(G115)&gt;=N(K115)),"The Pulse",IF(N(I115)&gt;=N(K115),"The Lens","The Hub"))</f>
        <v>The Lens</v>
      </c>
      <c r="N115" s="21" t="s">
        <v>79</v>
      </c>
      <c r="O115" s="17" t="s">
        <v>88</v>
      </c>
    </row>
    <row r="116" customFormat="false" ht="15" hidden="false" customHeight="false" outlineLevel="0" collapsed="false">
      <c r="A116" s="17" t="s">
        <v>323</v>
      </c>
      <c r="B116" s="17" t="s">
        <v>324</v>
      </c>
      <c r="C116" s="17" t="s">
        <v>82</v>
      </c>
      <c r="D116" s="17" t="s">
        <v>87</v>
      </c>
      <c r="E116" s="17" t="s">
        <v>45</v>
      </c>
      <c r="F116" s="18" t="n">
        <v>3737</v>
      </c>
      <c r="G116" s="19" t="n">
        <v>60.7</v>
      </c>
      <c r="H116" s="17" t="n">
        <f aca="false">IF(G116="","",RANK(G116,$G$5:$G$359))</f>
        <v>112</v>
      </c>
      <c r="I116" s="19" t="n">
        <v>81.7</v>
      </c>
      <c r="J116" s="17" t="n">
        <f aca="false">IF(I116="","",RANK(I116,$I$5:$I$359))</f>
        <v>31</v>
      </c>
      <c r="K116" s="19" t="n">
        <v>88.8</v>
      </c>
      <c r="L116" s="17" t="n">
        <f aca="false">IF(K116="","",RANK(K116,$K$5:$K$359))</f>
        <v>11</v>
      </c>
      <c r="M116" s="17" t="str">
        <f aca="false">IF(AND(N(G116)&gt;=N(I116),N(G116)&gt;=N(K116)),"The Pulse",IF(N(I116)&gt;=N(K116),"The Lens","The Hub"))</f>
        <v>The Hub</v>
      </c>
      <c r="N116" s="21" t="s">
        <v>79</v>
      </c>
      <c r="O116" s="17" t="s">
        <v>22</v>
      </c>
    </row>
    <row r="117" customFormat="false" ht="15" hidden="false" customHeight="false" outlineLevel="0" collapsed="false">
      <c r="A117" s="17" t="s">
        <v>325</v>
      </c>
      <c r="B117" s="17" t="s">
        <v>326</v>
      </c>
      <c r="C117" s="17" t="s">
        <v>95</v>
      </c>
      <c r="D117" s="17" t="s">
        <v>73</v>
      </c>
      <c r="E117" s="17" t="s">
        <v>99</v>
      </c>
      <c r="F117" s="18" t="n">
        <v>326218</v>
      </c>
      <c r="G117" s="19" t="n">
        <v>60.6</v>
      </c>
      <c r="H117" s="17" t="n">
        <f aca="false">IF(G117="","",RANK(G117,$G$5:$G$359))</f>
        <v>113</v>
      </c>
      <c r="I117" s="19" t="n">
        <v>33.6</v>
      </c>
      <c r="J117" s="17" t="n">
        <f aca="false">IF(I117="","",RANK(I117,$I$5:$I$359))</f>
        <v>270</v>
      </c>
      <c r="K117" s="19" t="n">
        <v>56.3</v>
      </c>
      <c r="L117" s="17" t="n">
        <f aca="false">IF(K117="","",RANK(K117,$K$5:$K$359))</f>
        <v>136</v>
      </c>
      <c r="M117" s="17" t="str">
        <f aca="false">IF(AND(N(G117)&gt;=N(I117),N(G117)&gt;=N(K117)),"The Pulse",IF(N(I117)&gt;=N(K117),"The Lens","The Hub"))</f>
        <v>The Pulse</v>
      </c>
      <c r="N117" s="21" t="s">
        <v>79</v>
      </c>
      <c r="O117" s="17" t="s">
        <v>88</v>
      </c>
    </row>
    <row r="118" customFormat="false" ht="15" hidden="false" customHeight="false" outlineLevel="0" collapsed="false">
      <c r="A118" s="17" t="s">
        <v>327</v>
      </c>
      <c r="B118" s="17" t="s">
        <v>328</v>
      </c>
      <c r="C118" s="17" t="s">
        <v>77</v>
      </c>
      <c r="D118" s="17" t="s">
        <v>154</v>
      </c>
      <c r="E118" s="17" t="s">
        <v>99</v>
      </c>
      <c r="F118" s="18" t="n">
        <v>969434</v>
      </c>
      <c r="G118" s="19" t="n">
        <v>60.5</v>
      </c>
      <c r="H118" s="17" t="n">
        <f aca="false">IF(G118="","",RANK(G118,$G$5:$G$359))</f>
        <v>114</v>
      </c>
      <c r="I118" s="19" t="n">
        <v>33.3</v>
      </c>
      <c r="J118" s="17" t="n">
        <f aca="false">IF(I118="","",RANK(I118,$I$5:$I$359))</f>
        <v>273</v>
      </c>
      <c r="K118" s="19" t="n">
        <v>41.8</v>
      </c>
      <c r="L118" s="17" t="n">
        <f aca="false">IF(K118="","",RANK(K118,$K$5:$K$359))</f>
        <v>221</v>
      </c>
      <c r="M118" s="17" t="str">
        <f aca="false">IF(AND(N(G118)&gt;=N(I118),N(G118)&gt;=N(K118)),"The Pulse",IF(N(I118)&gt;=N(K118),"The Lens","The Hub"))</f>
        <v>The Pulse</v>
      </c>
      <c r="N118" s="21" t="s">
        <v>79</v>
      </c>
      <c r="O118" s="17" t="s">
        <v>88</v>
      </c>
    </row>
    <row r="119" customFormat="false" ht="15" hidden="false" customHeight="false" outlineLevel="0" collapsed="false">
      <c r="A119" s="17" t="s">
        <v>329</v>
      </c>
      <c r="B119" s="17" t="s">
        <v>330</v>
      </c>
      <c r="C119" s="17" t="s">
        <v>123</v>
      </c>
      <c r="D119" s="17" t="s">
        <v>102</v>
      </c>
      <c r="E119" s="17" t="s">
        <v>99</v>
      </c>
      <c r="F119" s="18" t="n">
        <v>295713</v>
      </c>
      <c r="G119" s="19" t="n">
        <v>60.4</v>
      </c>
      <c r="H119" s="17" t="n">
        <f aca="false">IF(G119="","",RANK(G119,$G$5:$G$359))</f>
        <v>115</v>
      </c>
      <c r="I119" s="19" t="n">
        <v>30.9</v>
      </c>
      <c r="J119" s="17" t="n">
        <f aca="false">IF(I119="","",RANK(I119,$I$5:$I$359))</f>
        <v>281</v>
      </c>
      <c r="K119" s="19" t="n">
        <v>36.2</v>
      </c>
      <c r="L119" s="17" t="n">
        <f aca="false">IF(K119="","",RANK(K119,$K$5:$K$359))</f>
        <v>263</v>
      </c>
      <c r="M119" s="17" t="str">
        <f aca="false">IF(AND(N(G119)&gt;=N(I119),N(G119)&gt;=N(K119)),"The Pulse",IF(N(I119)&gt;=N(K119),"The Lens","The Hub"))</f>
        <v>The Pulse</v>
      </c>
      <c r="N119" s="21" t="s">
        <v>79</v>
      </c>
      <c r="O119" s="17" t="s">
        <v>22</v>
      </c>
    </row>
    <row r="120" customFormat="false" ht="15" hidden="false" customHeight="false" outlineLevel="0" collapsed="false">
      <c r="A120" s="17" t="s">
        <v>331</v>
      </c>
      <c r="B120" s="17" t="s">
        <v>332</v>
      </c>
      <c r="C120" s="17" t="s">
        <v>91</v>
      </c>
      <c r="D120" s="17" t="s">
        <v>78</v>
      </c>
      <c r="E120" s="17" t="s">
        <v>46</v>
      </c>
      <c r="F120" s="18" t="n">
        <v>76610</v>
      </c>
      <c r="G120" s="19" t="n">
        <v>60.3</v>
      </c>
      <c r="H120" s="17" t="n">
        <f aca="false">IF(G120="","",RANK(G120,$G$5:$G$359))</f>
        <v>116</v>
      </c>
      <c r="I120" s="19" t="n">
        <v>55.3</v>
      </c>
      <c r="J120" s="17" t="n">
        <f aca="false">IF(I120="","",RANK(I120,$I$5:$I$359))</f>
        <v>154</v>
      </c>
      <c r="K120" s="19" t="n">
        <v>30.5</v>
      </c>
      <c r="L120" s="17" t="n">
        <f aca="false">IF(K120="","",RANK(K120,$K$5:$K$359))</f>
        <v>292</v>
      </c>
      <c r="M120" s="17" t="str">
        <f aca="false">IF(AND(N(G120)&gt;=N(I120),N(G120)&gt;=N(K120)),"The Pulse",IF(N(I120)&gt;=N(K120),"The Lens","The Hub"))</f>
        <v>The Pulse</v>
      </c>
      <c r="N120" s="20" t="s">
        <v>74</v>
      </c>
      <c r="O120" s="17" t="s">
        <v>24</v>
      </c>
    </row>
    <row r="121" customFormat="false" ht="15" hidden="false" customHeight="false" outlineLevel="0" collapsed="false">
      <c r="A121" s="17" t="s">
        <v>333</v>
      </c>
      <c r="B121" s="17" t="s">
        <v>334</v>
      </c>
      <c r="C121" s="17" t="s">
        <v>95</v>
      </c>
      <c r="D121" s="17" t="s">
        <v>124</v>
      </c>
      <c r="E121" s="17" t="s">
        <v>45</v>
      </c>
      <c r="F121" s="18" t="n">
        <v>4540</v>
      </c>
      <c r="G121" s="19" t="n">
        <v>60.3</v>
      </c>
      <c r="H121" s="17" t="n">
        <f aca="false">IF(G121="","",RANK(G121,$G$5:$G$359))</f>
        <v>116</v>
      </c>
      <c r="I121" s="19" t="n">
        <v>57.7</v>
      </c>
      <c r="J121" s="17" t="n">
        <f aca="false">IF(I121="","",RANK(I121,$I$5:$I$359))</f>
        <v>138</v>
      </c>
      <c r="K121" s="19" t="n">
        <v>81.8</v>
      </c>
      <c r="L121" s="17" t="n">
        <f aca="false">IF(K121="","",RANK(K121,$K$5:$K$359))</f>
        <v>29</v>
      </c>
      <c r="M121" s="17" t="str">
        <f aca="false">IF(AND(N(G121)&gt;=N(I121),N(G121)&gt;=N(K121)),"The Pulse",IF(N(I121)&gt;=N(K121),"The Lens","The Hub"))</f>
        <v>The Hub</v>
      </c>
      <c r="N121" s="21" t="s">
        <v>79</v>
      </c>
      <c r="O121" s="17" t="s">
        <v>88</v>
      </c>
    </row>
    <row r="122" customFormat="false" ht="15" hidden="false" customHeight="false" outlineLevel="0" collapsed="false">
      <c r="A122" s="17" t="s">
        <v>335</v>
      </c>
      <c r="B122" s="17" t="s">
        <v>336</v>
      </c>
      <c r="C122" s="17" t="s">
        <v>72</v>
      </c>
      <c r="D122" s="17" t="s">
        <v>73</v>
      </c>
      <c r="E122" s="17" t="s">
        <v>99</v>
      </c>
      <c r="F122" s="18" t="n">
        <v>470063</v>
      </c>
      <c r="G122" s="19" t="n">
        <v>60.1</v>
      </c>
      <c r="H122" s="17" t="n">
        <f aca="false">IF(G122="","",RANK(G122,$G$5:$G$359))</f>
        <v>118</v>
      </c>
      <c r="I122" s="19" t="n">
        <v>44.9</v>
      </c>
      <c r="J122" s="17" t="n">
        <f aca="false">IF(I122="","",RANK(I122,$I$5:$I$359))</f>
        <v>212</v>
      </c>
      <c r="K122" s="19" t="n">
        <v>70.7</v>
      </c>
      <c r="L122" s="17" t="n">
        <f aca="false">IF(K122="","",RANK(K122,$K$5:$K$359))</f>
        <v>54</v>
      </c>
      <c r="M122" s="17" t="str">
        <f aca="false">IF(AND(N(G122)&gt;=N(I122),N(G122)&gt;=N(K122)),"The Pulse",IF(N(I122)&gt;=N(K122),"The Lens","The Hub"))</f>
        <v>The Hub</v>
      </c>
      <c r="N122" s="21" t="s">
        <v>79</v>
      </c>
      <c r="O122" s="17" t="s">
        <v>88</v>
      </c>
    </row>
    <row r="123" customFormat="false" ht="15" hidden="false" customHeight="false" outlineLevel="0" collapsed="false">
      <c r="A123" s="17" t="s">
        <v>337</v>
      </c>
      <c r="B123" s="17" t="s">
        <v>338</v>
      </c>
      <c r="C123" s="17" t="s">
        <v>72</v>
      </c>
      <c r="D123" s="17" t="s">
        <v>154</v>
      </c>
      <c r="E123" s="17" t="s">
        <v>47</v>
      </c>
      <c r="F123" s="18" t="n">
        <v>94724</v>
      </c>
      <c r="G123" s="19" t="n">
        <v>60</v>
      </c>
      <c r="H123" s="17" t="n">
        <f aca="false">IF(G123="","",RANK(G123,$G$5:$G$359))</f>
        <v>119</v>
      </c>
      <c r="I123" s="19" t="n">
        <v>20.1</v>
      </c>
      <c r="J123" s="17" t="n">
        <f aca="false">IF(I123="","",RANK(I123,$I$5:$I$359))</f>
        <v>318</v>
      </c>
      <c r="K123" s="19" t="n">
        <v>11.1</v>
      </c>
      <c r="L123" s="17" t="n">
        <f aca="false">IF(K123="","",RANK(K123,$K$5:$K$359))</f>
        <v>335</v>
      </c>
      <c r="M123" s="17" t="str">
        <f aca="false">IF(AND(N(G123)&gt;=N(I123),N(G123)&gt;=N(K123)),"The Pulse",IF(N(I123)&gt;=N(K123),"The Lens","The Hub"))</f>
        <v>The Pulse</v>
      </c>
      <c r="N123" s="21" t="s">
        <v>79</v>
      </c>
      <c r="O123" s="17" t="s">
        <v>22</v>
      </c>
    </row>
    <row r="124" customFormat="false" ht="15" hidden="false" customHeight="false" outlineLevel="0" collapsed="false">
      <c r="A124" s="17" t="s">
        <v>339</v>
      </c>
      <c r="B124" s="17" t="s">
        <v>340</v>
      </c>
      <c r="C124" s="17" t="s">
        <v>82</v>
      </c>
      <c r="D124" s="17" t="s">
        <v>78</v>
      </c>
      <c r="E124" s="17" t="s">
        <v>46</v>
      </c>
      <c r="F124" s="18" t="n">
        <v>12740</v>
      </c>
      <c r="G124" s="19" t="n">
        <v>59.9</v>
      </c>
      <c r="H124" s="17" t="n">
        <f aca="false">IF(G124="","",RANK(G124,$G$5:$G$359))</f>
        <v>120</v>
      </c>
      <c r="I124" s="19" t="n">
        <v>46.5</v>
      </c>
      <c r="J124" s="17" t="n">
        <f aca="false">IF(I124="","",RANK(I124,$I$5:$I$359))</f>
        <v>203</v>
      </c>
      <c r="K124" s="19" t="n">
        <v>5.1</v>
      </c>
      <c r="L124" s="17" t="n">
        <f aca="false">IF(K124="","",RANK(K124,$K$5:$K$359))</f>
        <v>345</v>
      </c>
      <c r="M124" s="17" t="str">
        <f aca="false">IF(AND(N(G124)&gt;=N(I124),N(G124)&gt;=N(K124)),"The Pulse",IF(N(I124)&gt;=N(K124),"The Lens","The Hub"))</f>
        <v>The Pulse</v>
      </c>
      <c r="N124" s="20" t="s">
        <v>74</v>
      </c>
      <c r="O124" s="17" t="s">
        <v>24</v>
      </c>
    </row>
    <row r="125" customFormat="false" ht="15" hidden="false" customHeight="false" outlineLevel="0" collapsed="false">
      <c r="A125" s="17" t="s">
        <v>341</v>
      </c>
      <c r="B125" s="17" t="s">
        <v>342</v>
      </c>
      <c r="C125" s="17" t="s">
        <v>82</v>
      </c>
      <c r="D125" s="17" t="s">
        <v>154</v>
      </c>
      <c r="E125" s="17" t="s">
        <v>99</v>
      </c>
      <c r="F125" s="18" t="n">
        <v>365814</v>
      </c>
      <c r="G125" s="19" t="n">
        <v>59.9</v>
      </c>
      <c r="H125" s="17" t="n">
        <f aca="false">IF(G125="","",RANK(G125,$G$5:$G$359))</f>
        <v>120</v>
      </c>
      <c r="I125" s="19" t="n">
        <v>59.3</v>
      </c>
      <c r="J125" s="17" t="n">
        <f aca="false">IF(I125="","",RANK(I125,$I$5:$I$359))</f>
        <v>125</v>
      </c>
      <c r="K125" s="19" t="n">
        <v>74.1</v>
      </c>
      <c r="L125" s="17" t="n">
        <f aca="false">IF(K125="","",RANK(K125,$K$5:$K$359))</f>
        <v>44</v>
      </c>
      <c r="M125" s="17" t="str">
        <f aca="false">IF(AND(N(G125)&gt;=N(I125),N(G125)&gt;=N(K125)),"The Pulse",IF(N(I125)&gt;=N(K125),"The Lens","The Hub"))</f>
        <v>The Hub</v>
      </c>
      <c r="N125" s="22" t="s">
        <v>109</v>
      </c>
      <c r="O125" s="17" t="s">
        <v>155</v>
      </c>
    </row>
    <row r="126" customFormat="false" ht="15" hidden="false" customHeight="false" outlineLevel="0" collapsed="false">
      <c r="A126" s="17" t="s">
        <v>343</v>
      </c>
      <c r="B126" s="17" t="s">
        <v>344</v>
      </c>
      <c r="C126" s="17" t="s">
        <v>72</v>
      </c>
      <c r="D126" s="17" t="s">
        <v>124</v>
      </c>
      <c r="E126" s="17" t="s">
        <v>99</v>
      </c>
      <c r="F126" s="18" t="n">
        <v>147418</v>
      </c>
      <c r="G126" s="19" t="n">
        <v>59.6</v>
      </c>
      <c r="H126" s="17" t="n">
        <f aca="false">IF(G126="","",RANK(G126,$G$5:$G$359))</f>
        <v>122</v>
      </c>
      <c r="I126" s="19" t="n">
        <v>37.1</v>
      </c>
      <c r="J126" s="17" t="n">
        <f aca="false">IF(I126="","",RANK(I126,$I$5:$I$359))</f>
        <v>254</v>
      </c>
      <c r="K126" s="19" t="n">
        <v>43.6</v>
      </c>
      <c r="L126" s="17" t="n">
        <f aca="false">IF(K126="","",RANK(K126,$K$5:$K$359))</f>
        <v>210</v>
      </c>
      <c r="M126" s="17" t="str">
        <f aca="false">IF(AND(N(G126)&gt;=N(I126),N(G126)&gt;=N(K126)),"The Pulse",IF(N(I126)&gt;=N(K126),"The Lens","The Hub"))</f>
        <v>The Pulse</v>
      </c>
      <c r="N126" s="21" t="s">
        <v>79</v>
      </c>
      <c r="O126" s="17" t="s">
        <v>88</v>
      </c>
    </row>
    <row r="127" customFormat="false" ht="15" hidden="false" customHeight="false" outlineLevel="0" collapsed="false">
      <c r="A127" s="17" t="s">
        <v>345</v>
      </c>
      <c r="B127" s="17" t="s">
        <v>346</v>
      </c>
      <c r="C127" s="17" t="s">
        <v>72</v>
      </c>
      <c r="D127" s="17" t="s">
        <v>105</v>
      </c>
      <c r="E127" s="17" t="s">
        <v>99</v>
      </c>
      <c r="F127" s="18" t="n">
        <v>1129280</v>
      </c>
      <c r="G127" s="19" t="n">
        <v>59.5</v>
      </c>
      <c r="H127" s="17" t="n">
        <f aca="false">IF(G127="","",RANK(G127,$G$5:$G$359))</f>
        <v>123</v>
      </c>
      <c r="I127" s="19" t="n">
        <v>60.8</v>
      </c>
      <c r="J127" s="17" t="n">
        <f aca="false">IF(I127="","",RANK(I127,$I$5:$I$359))</f>
        <v>120</v>
      </c>
      <c r="K127" s="19" t="n">
        <v>50.7</v>
      </c>
      <c r="L127" s="17" t="n">
        <f aca="false">IF(K127="","",RANK(K127,$K$5:$K$359))</f>
        <v>164</v>
      </c>
      <c r="M127" s="17" t="str">
        <f aca="false">IF(AND(N(G127)&gt;=N(I127),N(G127)&gt;=N(K127)),"The Pulse",IF(N(I127)&gt;=N(K127),"The Lens","The Hub"))</f>
        <v>The Lens</v>
      </c>
      <c r="N127" s="20" t="s">
        <v>74</v>
      </c>
      <c r="O127" s="17" t="s">
        <v>24</v>
      </c>
    </row>
    <row r="128" customFormat="false" ht="15" hidden="false" customHeight="false" outlineLevel="0" collapsed="false">
      <c r="A128" s="17" t="s">
        <v>347</v>
      </c>
      <c r="B128" s="17" t="s">
        <v>348</v>
      </c>
      <c r="C128" s="17" t="s">
        <v>77</v>
      </c>
      <c r="D128" s="17" t="s">
        <v>73</v>
      </c>
      <c r="E128" s="17" t="s">
        <v>99</v>
      </c>
      <c r="F128" s="18" t="n">
        <v>1269650</v>
      </c>
      <c r="G128" s="19" t="n">
        <v>59.2</v>
      </c>
      <c r="H128" s="17" t="n">
        <f aca="false">IF(G128="","",RANK(G128,$G$5:$G$359))</f>
        <v>124</v>
      </c>
      <c r="I128" s="19" t="n">
        <v>64.1</v>
      </c>
      <c r="J128" s="17" t="n">
        <f aca="false">IF(I128="","",RANK(I128,$I$5:$I$359))</f>
        <v>98</v>
      </c>
      <c r="K128" s="19" t="n">
        <v>37.7</v>
      </c>
      <c r="L128" s="17" t="n">
        <f aca="false">IF(K128="","",RANK(K128,$K$5:$K$359))</f>
        <v>256</v>
      </c>
      <c r="M128" s="17" t="str">
        <f aca="false">IF(AND(N(G128)&gt;=N(I128),N(G128)&gt;=N(K128)),"The Pulse",IF(N(I128)&gt;=N(K128),"The Lens","The Hub"))</f>
        <v>The Lens</v>
      </c>
      <c r="N128" s="21" t="s">
        <v>79</v>
      </c>
      <c r="O128" s="17" t="s">
        <v>88</v>
      </c>
    </row>
    <row r="129" customFormat="false" ht="15" hidden="false" customHeight="false" outlineLevel="0" collapsed="false">
      <c r="A129" s="17" t="s">
        <v>349</v>
      </c>
      <c r="B129" s="17" t="s">
        <v>350</v>
      </c>
      <c r="C129" s="17" t="s">
        <v>77</v>
      </c>
      <c r="D129" s="17" t="s">
        <v>120</v>
      </c>
      <c r="E129" s="17" t="s">
        <v>99</v>
      </c>
      <c r="F129" s="18" t="n">
        <v>865461</v>
      </c>
      <c r="G129" s="19" t="n">
        <v>59.2</v>
      </c>
      <c r="H129" s="17" t="n">
        <f aca="false">IF(G129="","",RANK(G129,$G$5:$G$359))</f>
        <v>124</v>
      </c>
      <c r="I129" s="19" t="n">
        <v>67.6</v>
      </c>
      <c r="J129" s="17" t="n">
        <f aca="false">IF(I129="","",RANK(I129,$I$5:$I$359))</f>
        <v>79</v>
      </c>
      <c r="K129" s="19" t="n">
        <v>49.8</v>
      </c>
      <c r="L129" s="17" t="n">
        <f aca="false">IF(K129="","",RANK(K129,$K$5:$K$359))</f>
        <v>171</v>
      </c>
      <c r="M129" s="17" t="str">
        <f aca="false">IF(AND(N(G129)&gt;=N(I129),N(G129)&gt;=N(K129)),"The Pulse",IF(N(I129)&gt;=N(K129),"The Lens","The Hub"))</f>
        <v>The Lens</v>
      </c>
      <c r="N129" s="21" t="s">
        <v>79</v>
      </c>
      <c r="O129" s="17" t="s">
        <v>88</v>
      </c>
    </row>
    <row r="130" customFormat="false" ht="15" hidden="false" customHeight="false" outlineLevel="0" collapsed="false">
      <c r="A130" s="17" t="s">
        <v>351</v>
      </c>
      <c r="B130" s="17" t="s">
        <v>352</v>
      </c>
      <c r="C130" s="17" t="s">
        <v>86</v>
      </c>
      <c r="D130" s="17" t="s">
        <v>87</v>
      </c>
      <c r="E130" s="17" t="s">
        <v>149</v>
      </c>
      <c r="F130" s="18" t="n">
        <v>133930</v>
      </c>
      <c r="G130" s="19" t="n">
        <v>59.1</v>
      </c>
      <c r="H130" s="17" t="n">
        <f aca="false">IF(G130="","",RANK(G130,$G$5:$G$359))</f>
        <v>126</v>
      </c>
      <c r="I130" s="19" t="n">
        <v>80.1</v>
      </c>
      <c r="J130" s="17" t="n">
        <f aca="false">IF(I130="","",RANK(I130,$I$5:$I$359))</f>
        <v>37</v>
      </c>
      <c r="K130" s="19" t="n">
        <v>66.2</v>
      </c>
      <c r="L130" s="17" t="n">
        <f aca="false">IF(K130="","",RANK(K130,$K$5:$K$359))</f>
        <v>72</v>
      </c>
      <c r="M130" s="17" t="str">
        <f aca="false">IF(AND(N(G130)&gt;=N(I130),N(G130)&gt;=N(K130)),"The Pulse",IF(N(I130)&gt;=N(K130),"The Lens","The Hub"))</f>
        <v>The Lens</v>
      </c>
      <c r="N130" s="20" t="s">
        <v>74</v>
      </c>
      <c r="O130" s="17" t="s">
        <v>24</v>
      </c>
    </row>
    <row r="131" customFormat="false" ht="15" hidden="false" customHeight="false" outlineLevel="0" collapsed="false">
      <c r="A131" s="17" t="s">
        <v>353</v>
      </c>
      <c r="B131" s="17" t="s">
        <v>354</v>
      </c>
      <c r="C131" s="17" t="s">
        <v>72</v>
      </c>
      <c r="D131" s="17" t="s">
        <v>120</v>
      </c>
      <c r="E131" s="17" t="s">
        <v>46</v>
      </c>
      <c r="F131" s="18" t="n">
        <v>16960</v>
      </c>
      <c r="G131" s="19" t="n">
        <v>59.1</v>
      </c>
      <c r="H131" s="17" t="n">
        <f aca="false">IF(G131="","",RANK(G131,$G$5:$G$359))</f>
        <v>126</v>
      </c>
      <c r="I131" s="19" t="n">
        <v>20.4</v>
      </c>
      <c r="J131" s="17" t="n">
        <f aca="false">IF(I131="","",RANK(I131,$I$5:$I$359))</f>
        <v>317</v>
      </c>
      <c r="K131" s="19" t="n">
        <v>19.9</v>
      </c>
      <c r="L131" s="17" t="n">
        <f aca="false">IF(K131="","",RANK(K131,$K$5:$K$359))</f>
        <v>319</v>
      </c>
      <c r="M131" s="17" t="str">
        <f aca="false">IF(AND(N(G131)&gt;=N(I131),N(G131)&gt;=N(K131)),"The Pulse",IF(N(I131)&gt;=N(K131),"The Lens","The Hub"))</f>
        <v>The Pulse</v>
      </c>
      <c r="N131" s="20" t="s">
        <v>74</v>
      </c>
      <c r="O131" s="17" t="s">
        <v>24</v>
      </c>
    </row>
    <row r="132" customFormat="false" ht="15" hidden="false" customHeight="false" outlineLevel="0" collapsed="false">
      <c r="A132" s="17" t="s">
        <v>355</v>
      </c>
      <c r="B132" s="17" t="s">
        <v>356</v>
      </c>
      <c r="C132" s="17" t="s">
        <v>91</v>
      </c>
      <c r="D132" s="17" t="s">
        <v>154</v>
      </c>
      <c r="E132" s="17" t="s">
        <v>99</v>
      </c>
      <c r="F132" s="18" t="n">
        <v>55310</v>
      </c>
      <c r="G132" s="19" t="n">
        <v>59</v>
      </c>
      <c r="H132" s="17" t="n">
        <f aca="false">IF(G132="","",RANK(G132,$G$5:$G$359))</f>
        <v>128</v>
      </c>
      <c r="I132" s="19" t="n">
        <v>76.5</v>
      </c>
      <c r="J132" s="17" t="n">
        <f aca="false">IF(I132="","",RANK(I132,$I$5:$I$359))</f>
        <v>47</v>
      </c>
      <c r="K132" s="19" t="n">
        <v>56.3</v>
      </c>
      <c r="L132" s="17" t="n">
        <f aca="false">IF(K132="","",RANK(K132,$K$5:$K$359))</f>
        <v>136</v>
      </c>
      <c r="M132" s="17" t="str">
        <f aca="false">IF(AND(N(G132)&gt;=N(I132),N(G132)&gt;=N(K132)),"The Pulse",IF(N(I132)&gt;=N(K132),"The Lens","The Hub"))</f>
        <v>The Lens</v>
      </c>
      <c r="N132" s="21" t="s">
        <v>79</v>
      </c>
      <c r="O132" s="17" t="s">
        <v>88</v>
      </c>
    </row>
    <row r="133" customFormat="false" ht="15" hidden="false" customHeight="false" outlineLevel="0" collapsed="false">
      <c r="A133" s="17" t="s">
        <v>357</v>
      </c>
      <c r="B133" s="17" t="s">
        <v>358</v>
      </c>
      <c r="C133" s="17" t="s">
        <v>77</v>
      </c>
      <c r="D133" s="17" t="s">
        <v>78</v>
      </c>
      <c r="E133" s="17" t="s">
        <v>46</v>
      </c>
      <c r="F133" s="18" t="n">
        <v>11990</v>
      </c>
      <c r="G133" s="19" t="n">
        <v>58.9</v>
      </c>
      <c r="H133" s="17" t="n">
        <f aca="false">IF(G133="","",RANK(G133,$G$5:$G$359))</f>
        <v>129</v>
      </c>
      <c r="I133" s="19" t="n">
        <v>27.3</v>
      </c>
      <c r="J133" s="17" t="n">
        <f aca="false">IF(I133="","",RANK(I133,$I$5:$I$359))</f>
        <v>298</v>
      </c>
      <c r="K133" s="19" t="n">
        <v>72.4</v>
      </c>
      <c r="L133" s="17" t="n">
        <f aca="false">IF(K133="","",RANK(K133,$K$5:$K$359))</f>
        <v>48</v>
      </c>
      <c r="M133" s="17" t="str">
        <f aca="false">IF(AND(N(G133)&gt;=N(I133),N(G133)&gt;=N(K133)),"The Pulse",IF(N(I133)&gt;=N(K133),"The Lens","The Hub"))</f>
        <v>The Hub</v>
      </c>
      <c r="N133" s="20" t="s">
        <v>74</v>
      </c>
      <c r="O133" s="17" t="s">
        <v>24</v>
      </c>
    </row>
    <row r="134" customFormat="false" ht="15" hidden="false" customHeight="false" outlineLevel="0" collapsed="false">
      <c r="A134" s="17" t="s">
        <v>359</v>
      </c>
      <c r="B134" s="17" t="s">
        <v>360</v>
      </c>
      <c r="C134" s="17" t="s">
        <v>95</v>
      </c>
      <c r="D134" s="17" t="s">
        <v>83</v>
      </c>
      <c r="E134" s="17" t="s">
        <v>99</v>
      </c>
      <c r="F134" s="18" t="n">
        <v>606236</v>
      </c>
      <c r="G134" s="19" t="n">
        <v>58.6</v>
      </c>
      <c r="H134" s="17" t="n">
        <f aca="false">IF(G134="","",RANK(G134,$G$5:$G$359))</f>
        <v>130</v>
      </c>
      <c r="I134" s="19" t="n">
        <v>39.5</v>
      </c>
      <c r="J134" s="17" t="n">
        <f aca="false">IF(I134="","",RANK(I134,$I$5:$I$359))</f>
        <v>245</v>
      </c>
      <c r="K134" s="19" t="n">
        <v>28.4</v>
      </c>
      <c r="L134" s="17" t="n">
        <f aca="false">IF(K134="","",RANK(K134,$K$5:$K$359))</f>
        <v>297</v>
      </c>
      <c r="M134" s="17" t="str">
        <f aca="false">IF(AND(N(G134)&gt;=N(I134),N(G134)&gt;=N(K134)),"The Pulse",IF(N(I134)&gt;=N(K134),"The Lens","The Hub"))</f>
        <v>The Pulse</v>
      </c>
      <c r="N134" s="21" t="s">
        <v>79</v>
      </c>
      <c r="O134" s="17" t="s">
        <v>88</v>
      </c>
    </row>
    <row r="135" customFormat="false" ht="15" hidden="false" customHeight="false" outlineLevel="0" collapsed="false">
      <c r="A135" s="17" t="s">
        <v>361</v>
      </c>
      <c r="B135" s="17" t="s">
        <v>362</v>
      </c>
      <c r="C135" s="17" t="s">
        <v>95</v>
      </c>
      <c r="D135" s="17" t="s">
        <v>73</v>
      </c>
      <c r="E135" s="17" t="s">
        <v>92</v>
      </c>
      <c r="F135" s="18" t="n">
        <v>223546</v>
      </c>
      <c r="G135" s="19" t="n">
        <v>57.7</v>
      </c>
      <c r="H135" s="17" t="n">
        <f aca="false">IF(G135="","",RANK(G135,$G$5:$G$359))</f>
        <v>131</v>
      </c>
      <c r="I135" s="19" t="n">
        <v>66.2</v>
      </c>
      <c r="J135" s="17" t="n">
        <f aca="false">IF(I135="","",RANK(I135,$I$5:$I$359))</f>
        <v>90</v>
      </c>
      <c r="K135" s="19" t="n">
        <v>59</v>
      </c>
      <c r="L135" s="17" t="n">
        <f aca="false">IF(K135="","",RANK(K135,$K$5:$K$359))</f>
        <v>113</v>
      </c>
      <c r="M135" s="17" t="str">
        <f aca="false">IF(AND(N(G135)&gt;=N(I135),N(G135)&gt;=N(K135)),"The Pulse",IF(N(I135)&gt;=N(K135),"The Lens","The Hub"))</f>
        <v>The Lens</v>
      </c>
      <c r="N135" s="21" t="s">
        <v>79</v>
      </c>
      <c r="O135" s="17" t="s">
        <v>88</v>
      </c>
    </row>
    <row r="136" customFormat="false" ht="15" hidden="false" customHeight="false" outlineLevel="0" collapsed="false">
      <c r="A136" s="17" t="s">
        <v>363</v>
      </c>
      <c r="B136" s="17" t="s">
        <v>364</v>
      </c>
      <c r="C136" s="17" t="s">
        <v>95</v>
      </c>
      <c r="D136" s="17" t="s">
        <v>87</v>
      </c>
      <c r="E136" s="17" t="s">
        <v>99</v>
      </c>
      <c r="F136" s="18" t="n">
        <v>159608</v>
      </c>
      <c r="G136" s="19" t="n">
        <v>57.5</v>
      </c>
      <c r="H136" s="17" t="n">
        <f aca="false">IF(G136="","",RANK(G136,$G$5:$G$359))</f>
        <v>132</v>
      </c>
      <c r="I136" s="19" t="n">
        <v>73.2</v>
      </c>
      <c r="J136" s="17" t="n">
        <f aca="false">IF(I136="","",RANK(I136,$I$5:$I$359))</f>
        <v>62</v>
      </c>
      <c r="K136" s="19" t="n">
        <v>66</v>
      </c>
      <c r="L136" s="17" t="n">
        <f aca="false">IF(K136="","",RANK(K136,$K$5:$K$359))</f>
        <v>73</v>
      </c>
      <c r="M136" s="17" t="str">
        <f aca="false">IF(AND(N(G136)&gt;=N(I136),N(G136)&gt;=N(K136)),"The Pulse",IF(N(I136)&gt;=N(K136),"The Lens","The Hub"))</f>
        <v>The Lens</v>
      </c>
      <c r="N136" s="21" t="s">
        <v>79</v>
      </c>
      <c r="O136" s="17" t="s">
        <v>88</v>
      </c>
    </row>
    <row r="137" customFormat="false" ht="15" hidden="false" customHeight="false" outlineLevel="0" collapsed="false">
      <c r="A137" s="17" t="s">
        <v>365</v>
      </c>
      <c r="B137" s="17" t="s">
        <v>366</v>
      </c>
      <c r="C137" s="17" t="s">
        <v>86</v>
      </c>
      <c r="D137" s="17" t="s">
        <v>78</v>
      </c>
      <c r="E137" s="17" t="s">
        <v>99</v>
      </c>
      <c r="F137" s="18" t="n">
        <v>45349</v>
      </c>
      <c r="G137" s="19" t="n">
        <v>57.5</v>
      </c>
      <c r="H137" s="17" t="n">
        <f aca="false">IF(G137="","",RANK(G137,$G$5:$G$359))</f>
        <v>132</v>
      </c>
      <c r="I137" s="19" t="n">
        <v>74.3</v>
      </c>
      <c r="J137" s="17" t="n">
        <f aca="false">IF(I137="","",RANK(I137,$I$5:$I$359))</f>
        <v>56</v>
      </c>
      <c r="K137" s="19" t="n">
        <v>54.9</v>
      </c>
      <c r="L137" s="17" t="n">
        <f aca="false">IF(K137="","",RANK(K137,$K$5:$K$359))</f>
        <v>144</v>
      </c>
      <c r="M137" s="17" t="str">
        <f aca="false">IF(AND(N(G137)&gt;=N(I137),N(G137)&gt;=N(K137)),"The Pulse",IF(N(I137)&gt;=N(K137),"The Lens","The Hub"))</f>
        <v>The Lens</v>
      </c>
      <c r="N137" s="21" t="s">
        <v>79</v>
      </c>
      <c r="O137" s="17" t="s">
        <v>88</v>
      </c>
    </row>
    <row r="138" customFormat="false" ht="15" hidden="false" customHeight="false" outlineLevel="0" collapsed="false">
      <c r="A138" s="17" t="s">
        <v>367</v>
      </c>
      <c r="B138" s="17" t="s">
        <v>368</v>
      </c>
      <c r="C138" s="17" t="s">
        <v>82</v>
      </c>
      <c r="D138" s="17" t="s">
        <v>127</v>
      </c>
      <c r="E138" s="17" t="s">
        <v>99</v>
      </c>
      <c r="F138" s="18" t="n">
        <v>381447</v>
      </c>
      <c r="G138" s="19" t="n">
        <v>57.5</v>
      </c>
      <c r="H138" s="17" t="n">
        <f aca="false">IF(G138="","",RANK(G138,$G$5:$G$359))</f>
        <v>132</v>
      </c>
      <c r="I138" s="19" t="n">
        <v>56.7</v>
      </c>
      <c r="J138" s="17" t="n">
        <f aca="false">IF(I138="","",RANK(I138,$I$5:$I$359))</f>
        <v>144</v>
      </c>
      <c r="K138" s="19" t="n">
        <v>63.2</v>
      </c>
      <c r="L138" s="17" t="n">
        <f aca="false">IF(K138="","",RANK(K138,$K$5:$K$359))</f>
        <v>88</v>
      </c>
      <c r="M138" s="17" t="str">
        <f aca="false">IF(AND(N(G138)&gt;=N(I138),N(G138)&gt;=N(K138)),"The Pulse",IF(N(I138)&gt;=N(K138),"The Lens","The Hub"))</f>
        <v>The Hub</v>
      </c>
      <c r="N138" s="21" t="s">
        <v>79</v>
      </c>
      <c r="O138" s="17" t="s">
        <v>88</v>
      </c>
    </row>
    <row r="139" customFormat="false" ht="15" hidden="false" customHeight="false" outlineLevel="0" collapsed="false">
      <c r="A139" s="17" t="s">
        <v>369</v>
      </c>
      <c r="B139" s="17" t="s">
        <v>370</v>
      </c>
      <c r="C139" s="17" t="s">
        <v>86</v>
      </c>
      <c r="D139" s="17" t="s">
        <v>83</v>
      </c>
      <c r="E139" s="17" t="s">
        <v>99</v>
      </c>
      <c r="F139" s="18" t="n">
        <v>103307</v>
      </c>
      <c r="G139" s="19" t="n">
        <v>57.2</v>
      </c>
      <c r="H139" s="17" t="n">
        <f aca="false">IF(G139="","",RANK(G139,$G$5:$G$359))</f>
        <v>135</v>
      </c>
      <c r="I139" s="19" t="n">
        <v>70</v>
      </c>
      <c r="J139" s="17" t="n">
        <f aca="false">IF(I139="","",RANK(I139,$I$5:$I$359))</f>
        <v>72</v>
      </c>
      <c r="K139" s="19" t="n">
        <v>22.2</v>
      </c>
      <c r="L139" s="17" t="n">
        <f aca="false">IF(K139="","",RANK(K139,$K$5:$K$359))</f>
        <v>310</v>
      </c>
      <c r="M139" s="17" t="str">
        <f aca="false">IF(AND(N(G139)&gt;=N(I139),N(G139)&gt;=N(K139)),"The Pulse",IF(N(I139)&gt;=N(K139),"The Lens","The Hub"))</f>
        <v>The Lens</v>
      </c>
      <c r="N139" s="21" t="s">
        <v>79</v>
      </c>
      <c r="O139" s="17" t="s">
        <v>88</v>
      </c>
    </row>
    <row r="140" customFormat="false" ht="15" hidden="false" customHeight="false" outlineLevel="0" collapsed="false">
      <c r="A140" s="17" t="s">
        <v>371</v>
      </c>
      <c r="B140" s="17" t="s">
        <v>372</v>
      </c>
      <c r="C140" s="17" t="s">
        <v>95</v>
      </c>
      <c r="D140" s="17" t="s">
        <v>102</v>
      </c>
      <c r="E140" s="17" t="s">
        <v>99</v>
      </c>
      <c r="F140" s="18" t="n">
        <v>4967350</v>
      </c>
      <c r="G140" s="19" t="n">
        <v>57</v>
      </c>
      <c r="H140" s="17" t="n">
        <f aca="false">IF(G140="","",RANK(G140,$G$5:$G$359))</f>
        <v>136</v>
      </c>
      <c r="I140" s="19" t="n">
        <v>21.2</v>
      </c>
      <c r="J140" s="17" t="n">
        <f aca="false">IF(I140="","",RANK(I140,$I$5:$I$359))</f>
        <v>312</v>
      </c>
      <c r="K140" s="19" t="n">
        <v>36.9</v>
      </c>
      <c r="L140" s="17" t="n">
        <f aca="false">IF(K140="","",RANK(K140,$K$5:$K$359))</f>
        <v>259</v>
      </c>
      <c r="M140" s="17" t="str">
        <f aca="false">IF(AND(N(G140)&gt;=N(I140),N(G140)&gt;=N(K140)),"The Pulse",IF(N(I140)&gt;=N(K140),"The Lens","The Hub"))</f>
        <v>The Pulse</v>
      </c>
      <c r="N140" s="21" t="s">
        <v>79</v>
      </c>
      <c r="O140" s="17" t="s">
        <v>88</v>
      </c>
    </row>
    <row r="141" customFormat="false" ht="15" hidden="false" customHeight="false" outlineLevel="0" collapsed="false">
      <c r="A141" s="17" t="s">
        <v>373</v>
      </c>
      <c r="B141" s="17" t="s">
        <v>374</v>
      </c>
      <c r="C141" s="17" t="s">
        <v>86</v>
      </c>
      <c r="D141" s="17" t="s">
        <v>102</v>
      </c>
      <c r="E141" s="17" t="s">
        <v>92</v>
      </c>
      <c r="F141" s="18" t="n">
        <v>120690</v>
      </c>
      <c r="G141" s="19" t="n">
        <v>57</v>
      </c>
      <c r="H141" s="17" t="n">
        <f aca="false">IF(G141="","",RANK(G141,$G$5:$G$359))</f>
        <v>136</v>
      </c>
      <c r="I141" s="19" t="n">
        <v>38.2</v>
      </c>
      <c r="J141" s="17" t="n">
        <f aca="false">IF(I141="","",RANK(I141,$I$5:$I$359))</f>
        <v>251</v>
      </c>
      <c r="K141" s="19" t="n">
        <v>39.2</v>
      </c>
      <c r="L141" s="17" t="n">
        <f aca="false">IF(K141="","",RANK(K141,$K$5:$K$359))</f>
        <v>244</v>
      </c>
      <c r="M141" s="17" t="str">
        <f aca="false">IF(AND(N(G141)&gt;=N(I141),N(G141)&gt;=N(K141)),"The Pulse",IF(N(I141)&gt;=N(K141),"The Lens","The Hub"))</f>
        <v>The Pulse</v>
      </c>
      <c r="N141" s="21" t="s">
        <v>79</v>
      </c>
      <c r="O141" s="17" t="s">
        <v>88</v>
      </c>
    </row>
    <row r="142" customFormat="false" ht="15" hidden="false" customHeight="false" outlineLevel="0" collapsed="false">
      <c r="A142" s="17" t="s">
        <v>375</v>
      </c>
      <c r="B142" s="17" t="s">
        <v>376</v>
      </c>
      <c r="C142" s="17" t="s">
        <v>123</v>
      </c>
      <c r="D142" s="17" t="s">
        <v>154</v>
      </c>
      <c r="E142" s="17" t="s">
        <v>47</v>
      </c>
      <c r="F142" s="18" t="n">
        <v>365625</v>
      </c>
      <c r="G142" s="19" t="n">
        <v>56.6</v>
      </c>
      <c r="H142" s="17" t="n">
        <f aca="false">IF(G142="","",RANK(G142,$G$5:$G$359))</f>
        <v>138</v>
      </c>
      <c r="I142" s="19" t="n">
        <v>76.4</v>
      </c>
      <c r="J142" s="17" t="n">
        <f aca="false">IF(I142="","",RANK(I142,$I$5:$I$359))</f>
        <v>48</v>
      </c>
      <c r="K142" s="19" t="n">
        <v>43.7</v>
      </c>
      <c r="L142" s="17" t="n">
        <f aca="false">IF(K142="","",RANK(K142,$K$5:$K$359))</f>
        <v>209</v>
      </c>
      <c r="M142" s="17" t="str">
        <f aca="false">IF(AND(N(G142)&gt;=N(I142),N(G142)&gt;=N(K142)),"The Pulse",IF(N(I142)&gt;=N(K142),"The Lens","The Hub"))</f>
        <v>The Lens</v>
      </c>
      <c r="N142" s="21" t="s">
        <v>79</v>
      </c>
      <c r="O142" s="17" t="s">
        <v>88</v>
      </c>
    </row>
    <row r="143" customFormat="false" ht="15" hidden="false" customHeight="false" outlineLevel="0" collapsed="false">
      <c r="A143" s="17" t="s">
        <v>377</v>
      </c>
      <c r="B143" s="17" t="s">
        <v>378</v>
      </c>
      <c r="C143" s="17" t="s">
        <v>123</v>
      </c>
      <c r="D143" s="17" t="s">
        <v>73</v>
      </c>
      <c r="E143" s="17" t="s">
        <v>106</v>
      </c>
      <c r="F143" s="18" t="n">
        <v>374817</v>
      </c>
      <c r="G143" s="19" t="n">
        <v>56.6</v>
      </c>
      <c r="H143" s="17" t="n">
        <f aca="false">IF(G143="","",RANK(G143,$G$5:$G$359))</f>
        <v>138</v>
      </c>
      <c r="I143" s="19" t="n">
        <v>74.6</v>
      </c>
      <c r="J143" s="17" t="n">
        <f aca="false">IF(I143="","",RANK(I143,$I$5:$I$359))</f>
        <v>53</v>
      </c>
      <c r="K143" s="19" t="n">
        <v>25</v>
      </c>
      <c r="L143" s="17" t="n">
        <f aca="false">IF(K143="","",RANK(K143,$K$5:$K$359))</f>
        <v>303</v>
      </c>
      <c r="M143" s="17" t="str">
        <f aca="false">IF(AND(N(G143)&gt;=N(I143),N(G143)&gt;=N(K143)),"The Pulse",IF(N(I143)&gt;=N(K143),"The Lens","The Hub"))</f>
        <v>The Lens</v>
      </c>
      <c r="N143" s="21" t="s">
        <v>79</v>
      </c>
      <c r="O143" s="17" t="s">
        <v>88</v>
      </c>
    </row>
    <row r="144" customFormat="false" ht="15" hidden="false" customHeight="false" outlineLevel="0" collapsed="false">
      <c r="A144" s="17" t="s">
        <v>379</v>
      </c>
      <c r="B144" s="17" t="s">
        <v>380</v>
      </c>
      <c r="C144" s="17" t="s">
        <v>95</v>
      </c>
      <c r="D144" s="17" t="s">
        <v>124</v>
      </c>
      <c r="E144" s="17" t="s">
        <v>45</v>
      </c>
      <c r="F144" s="18" t="n">
        <v>308810</v>
      </c>
      <c r="G144" s="19" t="n">
        <v>56.3</v>
      </c>
      <c r="H144" s="17" t="n">
        <f aca="false">IF(G144="","",RANK(G144,$G$5:$G$359))</f>
        <v>140</v>
      </c>
      <c r="I144" s="19" t="n">
        <v>43.6</v>
      </c>
      <c r="J144" s="17" t="n">
        <f aca="false">IF(I144="","",RANK(I144,$I$5:$I$359))</f>
        <v>222</v>
      </c>
      <c r="K144" s="19" t="n">
        <v>90</v>
      </c>
      <c r="L144" s="17" t="n">
        <f aca="false">IF(K144="","",RANK(K144,$K$5:$K$359))</f>
        <v>9</v>
      </c>
      <c r="M144" s="17" t="str">
        <f aca="false">IF(AND(N(G144)&gt;=N(I144),N(G144)&gt;=N(K144)),"The Pulse",IF(N(I144)&gt;=N(K144),"The Lens","The Hub"))</f>
        <v>The Hub</v>
      </c>
      <c r="N144" s="21" t="s">
        <v>79</v>
      </c>
      <c r="O144" s="17" t="s">
        <v>88</v>
      </c>
    </row>
    <row r="145" customFormat="false" ht="15" hidden="false" customHeight="false" outlineLevel="0" collapsed="false">
      <c r="A145" s="17" t="s">
        <v>381</v>
      </c>
      <c r="B145" s="17" t="s">
        <v>382</v>
      </c>
      <c r="C145" s="17" t="s">
        <v>162</v>
      </c>
      <c r="D145" s="17" t="s">
        <v>124</v>
      </c>
      <c r="E145" s="17" t="s">
        <v>99</v>
      </c>
      <c r="F145" s="18" t="n">
        <v>554786</v>
      </c>
      <c r="G145" s="19" t="n">
        <v>56.2</v>
      </c>
      <c r="H145" s="17" t="n">
        <f aca="false">IF(G145="","",RANK(G145,$G$5:$G$359))</f>
        <v>141</v>
      </c>
      <c r="I145" s="19" t="n">
        <v>44.1</v>
      </c>
      <c r="J145" s="17" t="n">
        <f aca="false">IF(I145="","",RANK(I145,$I$5:$I$359))</f>
        <v>217</v>
      </c>
      <c r="K145" s="19" t="n">
        <v>48.2</v>
      </c>
      <c r="L145" s="17" t="n">
        <f aca="false">IF(K145="","",RANK(K145,$K$5:$K$359))</f>
        <v>179</v>
      </c>
      <c r="M145" s="17" t="str">
        <f aca="false">IF(AND(N(G145)&gt;=N(I145),N(G145)&gt;=N(K145)),"The Pulse",IF(N(I145)&gt;=N(K145),"The Lens","The Hub"))</f>
        <v>The Pulse</v>
      </c>
      <c r="N145" s="21" t="s">
        <v>79</v>
      </c>
      <c r="O145" s="17" t="s">
        <v>88</v>
      </c>
    </row>
    <row r="146" customFormat="false" ht="15" hidden="false" customHeight="false" outlineLevel="0" collapsed="false">
      <c r="A146" s="17" t="s">
        <v>383</v>
      </c>
      <c r="B146" s="17" t="s">
        <v>384</v>
      </c>
      <c r="C146" s="17" t="s">
        <v>95</v>
      </c>
      <c r="D146" s="17" t="s">
        <v>83</v>
      </c>
      <c r="E146" s="17" t="s">
        <v>99</v>
      </c>
      <c r="F146" s="18" t="n">
        <v>632490</v>
      </c>
      <c r="G146" s="19" t="n">
        <v>56.2</v>
      </c>
      <c r="H146" s="17" t="n">
        <f aca="false">IF(G146="","",RANK(G146,$G$5:$G$359))</f>
        <v>141</v>
      </c>
      <c r="I146" s="19" t="n">
        <v>54.9</v>
      </c>
      <c r="J146" s="17" t="n">
        <f aca="false">IF(I146="","",RANK(I146,$I$5:$I$359))</f>
        <v>158</v>
      </c>
      <c r="K146" s="19" t="n">
        <v>42.8</v>
      </c>
      <c r="L146" s="17" t="n">
        <f aca="false">IF(K146="","",RANK(K146,$K$5:$K$359))</f>
        <v>213</v>
      </c>
      <c r="M146" s="17" t="str">
        <f aca="false">IF(AND(N(G146)&gt;=N(I146),N(G146)&gt;=N(K146)),"The Pulse",IF(N(I146)&gt;=N(K146),"The Lens","The Hub"))</f>
        <v>The Pulse</v>
      </c>
      <c r="N146" s="21" t="s">
        <v>79</v>
      </c>
      <c r="O146" s="17" t="s">
        <v>88</v>
      </c>
    </row>
    <row r="147" customFormat="false" ht="15" hidden="false" customHeight="false" outlineLevel="0" collapsed="false">
      <c r="A147" s="17" t="s">
        <v>385</v>
      </c>
      <c r="B147" s="17" t="s">
        <v>386</v>
      </c>
      <c r="C147" s="17" t="s">
        <v>95</v>
      </c>
      <c r="D147" s="17" t="s">
        <v>83</v>
      </c>
      <c r="E147" s="17" t="s">
        <v>99</v>
      </c>
      <c r="F147" s="18" t="n">
        <v>128149</v>
      </c>
      <c r="G147" s="19" t="n">
        <v>56.2</v>
      </c>
      <c r="H147" s="17" t="n">
        <f aca="false">IF(G147="","",RANK(G147,$G$5:$G$359))</f>
        <v>141</v>
      </c>
      <c r="I147" s="19" t="n">
        <v>51.1</v>
      </c>
      <c r="J147" s="17" t="n">
        <f aca="false">IF(I147="","",RANK(I147,$I$5:$I$359))</f>
        <v>170</v>
      </c>
      <c r="K147" s="19" t="n">
        <v>47</v>
      </c>
      <c r="L147" s="17" t="n">
        <f aca="false">IF(K147="","",RANK(K147,$K$5:$K$359))</f>
        <v>190</v>
      </c>
      <c r="M147" s="17" t="str">
        <f aca="false">IF(AND(N(G147)&gt;=N(I147),N(G147)&gt;=N(K147)),"The Pulse",IF(N(I147)&gt;=N(K147),"The Lens","The Hub"))</f>
        <v>The Pulse</v>
      </c>
      <c r="N147" s="21" t="s">
        <v>79</v>
      </c>
      <c r="O147" s="17" t="s">
        <v>22</v>
      </c>
    </row>
    <row r="148" customFormat="false" ht="15" hidden="false" customHeight="false" outlineLevel="0" collapsed="false">
      <c r="A148" s="17" t="s">
        <v>387</v>
      </c>
      <c r="B148" s="17" t="s">
        <v>388</v>
      </c>
      <c r="C148" s="17" t="s">
        <v>82</v>
      </c>
      <c r="D148" s="17" t="s">
        <v>83</v>
      </c>
      <c r="E148" s="17" t="s">
        <v>99</v>
      </c>
      <c r="F148" s="18" t="n">
        <v>341764</v>
      </c>
      <c r="G148" s="19" t="n">
        <v>56</v>
      </c>
      <c r="H148" s="17" t="n">
        <f aca="false">IF(G148="","",RANK(G148,$G$5:$G$359))</f>
        <v>144</v>
      </c>
      <c r="I148" s="19" t="n">
        <v>57.2</v>
      </c>
      <c r="J148" s="17" t="n">
        <f aca="false">IF(I148="","",RANK(I148,$I$5:$I$359))</f>
        <v>140</v>
      </c>
      <c r="K148" s="19" t="n">
        <v>16.7</v>
      </c>
      <c r="L148" s="17" t="n">
        <f aca="false">IF(K148="","",RANK(K148,$K$5:$K$359))</f>
        <v>326</v>
      </c>
      <c r="M148" s="17" t="str">
        <f aca="false">IF(AND(N(G148)&gt;=N(I148),N(G148)&gt;=N(K148)),"The Pulse",IF(N(I148)&gt;=N(K148),"The Lens","The Hub"))</f>
        <v>The Lens</v>
      </c>
      <c r="N148" s="21" t="s">
        <v>79</v>
      </c>
      <c r="O148" s="17" t="s">
        <v>88</v>
      </c>
    </row>
    <row r="149" customFormat="false" ht="15" hidden="false" customHeight="false" outlineLevel="0" collapsed="false">
      <c r="A149" s="17" t="s">
        <v>389</v>
      </c>
      <c r="B149" s="17" t="s">
        <v>390</v>
      </c>
      <c r="C149" s="17" t="s">
        <v>115</v>
      </c>
      <c r="D149" s="17" t="s">
        <v>120</v>
      </c>
      <c r="E149" s="17" t="s">
        <v>99</v>
      </c>
      <c r="F149" s="18" t="n">
        <v>1473088</v>
      </c>
      <c r="G149" s="19" t="n">
        <v>55.9</v>
      </c>
      <c r="H149" s="17" t="n">
        <f aca="false">IF(G149="","",RANK(G149,$G$5:$G$359))</f>
        <v>145</v>
      </c>
      <c r="I149" s="19" t="n">
        <v>48.1</v>
      </c>
      <c r="J149" s="17" t="n">
        <f aca="false">IF(I149="","",RANK(I149,$I$5:$I$359))</f>
        <v>194</v>
      </c>
      <c r="K149" s="19" t="n">
        <v>38.5</v>
      </c>
      <c r="L149" s="17" t="n">
        <f aca="false">IF(K149="","",RANK(K149,$K$5:$K$359))</f>
        <v>250</v>
      </c>
      <c r="M149" s="17" t="str">
        <f aca="false">IF(AND(N(G149)&gt;=N(I149),N(G149)&gt;=N(K149)),"The Pulse",IF(N(I149)&gt;=N(K149),"The Lens","The Hub"))</f>
        <v>The Pulse</v>
      </c>
      <c r="N149" s="21" t="s">
        <v>79</v>
      </c>
      <c r="O149" s="17" t="s">
        <v>88</v>
      </c>
    </row>
    <row r="150" customFormat="false" ht="15" hidden="false" customHeight="false" outlineLevel="0" collapsed="false">
      <c r="A150" s="17" t="s">
        <v>391</v>
      </c>
      <c r="B150" s="17" t="s">
        <v>392</v>
      </c>
      <c r="C150" s="17" t="s">
        <v>91</v>
      </c>
      <c r="D150" s="17" t="s">
        <v>87</v>
      </c>
      <c r="E150" s="17" t="s">
        <v>99</v>
      </c>
      <c r="F150" s="18" t="n">
        <v>35136</v>
      </c>
      <c r="G150" s="19" t="n">
        <v>55.7</v>
      </c>
      <c r="H150" s="17" t="n">
        <f aca="false">IF(G150="","",RANK(G150,$G$5:$G$359))</f>
        <v>146</v>
      </c>
      <c r="I150" s="19" t="n">
        <v>82.9</v>
      </c>
      <c r="J150" s="17" t="n">
        <f aca="false">IF(I150="","",RANK(I150,$I$5:$I$359))</f>
        <v>25</v>
      </c>
      <c r="K150" s="19" t="n">
        <v>46.4</v>
      </c>
      <c r="L150" s="17" t="n">
        <f aca="false">IF(K150="","",RANK(K150,$K$5:$K$359))</f>
        <v>193</v>
      </c>
      <c r="M150" s="17" t="str">
        <f aca="false">IF(AND(N(G150)&gt;=N(I150),N(G150)&gt;=N(K150)),"The Pulse",IF(N(I150)&gt;=N(K150),"The Lens","The Hub"))</f>
        <v>The Lens</v>
      </c>
      <c r="N150" s="22" t="s">
        <v>109</v>
      </c>
      <c r="O150" s="17" t="s">
        <v>110</v>
      </c>
    </row>
    <row r="151" customFormat="false" ht="15" hidden="false" customHeight="false" outlineLevel="0" collapsed="false">
      <c r="A151" s="17" t="s">
        <v>393</v>
      </c>
      <c r="B151" s="17" t="s">
        <v>394</v>
      </c>
      <c r="C151" s="17" t="s">
        <v>115</v>
      </c>
      <c r="D151" s="17" t="s">
        <v>120</v>
      </c>
      <c r="E151" s="17" t="s">
        <v>99</v>
      </c>
      <c r="F151" s="18" t="n">
        <v>190199</v>
      </c>
      <c r="G151" s="19" t="n">
        <v>55.6</v>
      </c>
      <c r="H151" s="17" t="n">
        <f aca="false">IF(G151="","",RANK(G151,$G$5:$G$359))</f>
        <v>147</v>
      </c>
      <c r="I151" s="19" t="n">
        <v>80.4</v>
      </c>
      <c r="J151" s="17" t="n">
        <f aca="false">IF(I151="","",RANK(I151,$I$5:$I$359))</f>
        <v>36</v>
      </c>
      <c r="K151" s="19" t="n">
        <v>31.2</v>
      </c>
      <c r="L151" s="17" t="n">
        <f aca="false">IF(K151="","",RANK(K151,$K$5:$K$359))</f>
        <v>289</v>
      </c>
      <c r="M151" s="17" t="str">
        <f aca="false">IF(AND(N(G151)&gt;=N(I151),N(G151)&gt;=N(K151)),"The Pulse",IF(N(I151)&gt;=N(K151),"The Lens","The Hub"))</f>
        <v>The Lens</v>
      </c>
      <c r="N151" s="21" t="s">
        <v>79</v>
      </c>
      <c r="O151" s="17" t="s">
        <v>88</v>
      </c>
    </row>
    <row r="152" customFormat="false" ht="15" hidden="false" customHeight="false" outlineLevel="0" collapsed="false">
      <c r="A152" s="17" t="s">
        <v>395</v>
      </c>
      <c r="B152" s="17" t="s">
        <v>396</v>
      </c>
      <c r="C152" s="17" t="s">
        <v>82</v>
      </c>
      <c r="D152" s="17" t="s">
        <v>102</v>
      </c>
      <c r="E152" s="17" t="s">
        <v>92</v>
      </c>
      <c r="F152" s="18" t="n">
        <v>6040</v>
      </c>
      <c r="G152" s="19" t="n">
        <v>55.4</v>
      </c>
      <c r="H152" s="17" t="n">
        <f aca="false">IF(G152="","",RANK(G152,$G$5:$G$359))</f>
        <v>148</v>
      </c>
      <c r="I152" s="19" t="n">
        <v>29.7</v>
      </c>
      <c r="J152" s="17" t="n">
        <f aca="false">IF(I152="","",RANK(I152,$I$5:$I$359))</f>
        <v>287</v>
      </c>
      <c r="K152" s="19" t="n">
        <v>78.2</v>
      </c>
      <c r="L152" s="17" t="n">
        <f aca="false">IF(K152="","",RANK(K152,$K$5:$K$359))</f>
        <v>38</v>
      </c>
      <c r="M152" s="17" t="str">
        <f aca="false">IF(AND(N(G152)&gt;=N(I152),N(G152)&gt;=N(K152)),"The Pulse",IF(N(I152)&gt;=N(K152),"The Lens","The Hub"))</f>
        <v>The Hub</v>
      </c>
      <c r="N152" s="22" t="s">
        <v>109</v>
      </c>
      <c r="O152" s="17" t="s">
        <v>134</v>
      </c>
    </row>
    <row r="153" customFormat="false" ht="15" hidden="false" customHeight="false" outlineLevel="0" collapsed="false">
      <c r="A153" s="17" t="s">
        <v>397</v>
      </c>
      <c r="B153" s="17" t="s">
        <v>398</v>
      </c>
      <c r="C153" s="17" t="s">
        <v>82</v>
      </c>
      <c r="D153" s="17" t="s">
        <v>83</v>
      </c>
      <c r="E153" s="17" t="s">
        <v>149</v>
      </c>
      <c r="F153" s="18" t="n">
        <v>19513</v>
      </c>
      <c r="G153" s="19" t="n">
        <v>55.4</v>
      </c>
      <c r="H153" s="17" t="n">
        <f aca="false">IF(G153="","",RANK(G153,$G$5:$G$359))</f>
        <v>148</v>
      </c>
      <c r="I153" s="19" t="n">
        <v>45.7</v>
      </c>
      <c r="J153" s="17" t="n">
        <f aca="false">IF(I153="","",RANK(I153,$I$5:$I$359))</f>
        <v>207</v>
      </c>
      <c r="K153" s="19" t="n">
        <v>30.4</v>
      </c>
      <c r="L153" s="17" t="n">
        <f aca="false">IF(K153="","",RANK(K153,$K$5:$K$359))</f>
        <v>294</v>
      </c>
      <c r="M153" s="17" t="str">
        <f aca="false">IF(AND(N(G153)&gt;=N(I153),N(G153)&gt;=N(K153)),"The Pulse",IF(N(I153)&gt;=N(K153),"The Lens","The Hub"))</f>
        <v>The Pulse</v>
      </c>
      <c r="N153" s="21" t="s">
        <v>79</v>
      </c>
      <c r="O153" s="17" t="s">
        <v>88</v>
      </c>
    </row>
    <row r="154" customFormat="false" ht="15" hidden="false" customHeight="false" outlineLevel="0" collapsed="false">
      <c r="A154" s="17" t="s">
        <v>399</v>
      </c>
      <c r="B154" s="17" t="s">
        <v>400</v>
      </c>
      <c r="C154" s="17" t="s">
        <v>98</v>
      </c>
      <c r="D154" s="17" t="s">
        <v>105</v>
      </c>
      <c r="E154" s="17" t="s">
        <v>99</v>
      </c>
      <c r="F154" s="18" t="n">
        <v>664610</v>
      </c>
      <c r="G154" s="19" t="n">
        <v>55.2</v>
      </c>
      <c r="H154" s="17" t="n">
        <f aca="false">IF(G154="","",RANK(G154,$G$5:$G$359))</f>
        <v>150</v>
      </c>
      <c r="I154" s="19" t="n">
        <v>59.1</v>
      </c>
      <c r="J154" s="17" t="n">
        <f aca="false">IF(I154="","",RANK(I154,$I$5:$I$359))</f>
        <v>129</v>
      </c>
      <c r="K154" s="19" t="n">
        <v>55.8</v>
      </c>
      <c r="L154" s="17" t="n">
        <f aca="false">IF(K154="","",RANK(K154,$K$5:$K$359))</f>
        <v>141</v>
      </c>
      <c r="M154" s="17" t="str">
        <f aca="false">IF(AND(N(G154)&gt;=N(I154),N(G154)&gt;=N(K154)),"The Pulse",IF(N(I154)&gt;=N(K154),"The Lens","The Hub"))</f>
        <v>The Lens</v>
      </c>
      <c r="N154" s="21" t="s">
        <v>79</v>
      </c>
      <c r="O154" s="17" t="s">
        <v>88</v>
      </c>
    </row>
    <row r="155" customFormat="false" ht="15" hidden="false" customHeight="false" outlineLevel="0" collapsed="false">
      <c r="A155" s="17" t="s">
        <v>401</v>
      </c>
      <c r="B155" s="17" t="s">
        <v>402</v>
      </c>
      <c r="C155" s="17" t="s">
        <v>91</v>
      </c>
      <c r="D155" s="17" t="s">
        <v>102</v>
      </c>
      <c r="E155" s="17" t="s">
        <v>99</v>
      </c>
      <c r="F155" s="18" t="n">
        <v>467313</v>
      </c>
      <c r="G155" s="19" t="n">
        <v>54.9</v>
      </c>
      <c r="H155" s="17" t="n">
        <f aca="false">IF(G155="","",RANK(G155,$G$5:$G$359))</f>
        <v>151</v>
      </c>
      <c r="I155" s="19" t="n">
        <v>40.9</v>
      </c>
      <c r="J155" s="17" t="n">
        <f aca="false">IF(I155="","",RANK(I155,$I$5:$I$359))</f>
        <v>235</v>
      </c>
      <c r="K155" s="19" t="n">
        <v>13.8</v>
      </c>
      <c r="L155" s="17" t="n">
        <f aca="false">IF(K155="","",RANK(K155,$K$5:$K$359))</f>
        <v>330</v>
      </c>
      <c r="M155" s="17" t="str">
        <f aca="false">IF(AND(N(G155)&gt;=N(I155),N(G155)&gt;=N(K155)),"The Pulse",IF(N(I155)&gt;=N(K155),"The Lens","The Hub"))</f>
        <v>The Pulse</v>
      </c>
      <c r="N155" s="21" t="s">
        <v>79</v>
      </c>
      <c r="O155" s="17" t="s">
        <v>88</v>
      </c>
    </row>
    <row r="156" customFormat="false" ht="15" hidden="false" customHeight="false" outlineLevel="0" collapsed="false">
      <c r="A156" s="17" t="s">
        <v>403</v>
      </c>
      <c r="B156" s="17" t="s">
        <v>404</v>
      </c>
      <c r="C156" s="17" t="s">
        <v>86</v>
      </c>
      <c r="D156" s="17" t="s">
        <v>83</v>
      </c>
      <c r="E156" s="17" t="s">
        <v>106</v>
      </c>
      <c r="F156" s="18" t="n">
        <v>32742</v>
      </c>
      <c r="G156" s="19" t="n">
        <v>54.8</v>
      </c>
      <c r="H156" s="17" t="n">
        <f aca="false">IF(G156="","",RANK(G156,$G$5:$G$359))</f>
        <v>152</v>
      </c>
      <c r="I156" s="19" t="n">
        <v>40</v>
      </c>
      <c r="J156" s="17" t="n">
        <f aca="false">IF(I156="","",RANK(I156,$I$5:$I$359))</f>
        <v>241</v>
      </c>
      <c r="K156" s="19" t="n">
        <v>33.8</v>
      </c>
      <c r="L156" s="17" t="n">
        <f aca="false">IF(K156="","",RANK(K156,$K$5:$K$359))</f>
        <v>278</v>
      </c>
      <c r="M156" s="17" t="str">
        <f aca="false">IF(AND(N(G156)&gt;=N(I156),N(G156)&gt;=N(K156)),"The Pulse",IF(N(I156)&gt;=N(K156),"The Lens","The Hub"))</f>
        <v>The Pulse</v>
      </c>
      <c r="N156" s="21" t="s">
        <v>79</v>
      </c>
      <c r="O156" s="17" t="s">
        <v>88</v>
      </c>
    </row>
    <row r="157" customFormat="false" ht="15" hidden="false" customHeight="false" outlineLevel="0" collapsed="false">
      <c r="A157" s="17" t="s">
        <v>405</v>
      </c>
      <c r="B157" s="17" t="s">
        <v>406</v>
      </c>
      <c r="C157" s="17" t="s">
        <v>123</v>
      </c>
      <c r="D157" s="17" t="s">
        <v>127</v>
      </c>
      <c r="E157" s="17" t="s">
        <v>99</v>
      </c>
      <c r="F157" s="18" t="n">
        <v>52279</v>
      </c>
      <c r="G157" s="19" t="n">
        <v>54.8</v>
      </c>
      <c r="H157" s="17" t="n">
        <f aca="false">IF(G157="","",RANK(G157,$G$5:$G$359))</f>
        <v>152</v>
      </c>
      <c r="I157" s="19" t="n">
        <v>41.3</v>
      </c>
      <c r="J157" s="17" t="n">
        <f aca="false">IF(I157="","",RANK(I157,$I$5:$I$359))</f>
        <v>233</v>
      </c>
      <c r="K157" s="19" t="n">
        <v>40.8</v>
      </c>
      <c r="L157" s="17" t="n">
        <f aca="false">IF(K157="","",RANK(K157,$K$5:$K$359))</f>
        <v>230</v>
      </c>
      <c r="M157" s="17" t="str">
        <f aca="false">IF(AND(N(G157)&gt;=N(I157),N(G157)&gt;=N(K157)),"The Pulse",IF(N(I157)&gt;=N(K157),"The Lens","The Hub"))</f>
        <v>The Pulse</v>
      </c>
      <c r="N157" s="21" t="s">
        <v>79</v>
      </c>
      <c r="O157" s="17" t="s">
        <v>88</v>
      </c>
    </row>
    <row r="158" customFormat="false" ht="15" hidden="false" customHeight="false" outlineLevel="0" collapsed="false">
      <c r="A158" s="17" t="s">
        <v>407</v>
      </c>
      <c r="B158" s="17" t="s">
        <v>408</v>
      </c>
      <c r="C158" s="17" t="s">
        <v>91</v>
      </c>
      <c r="D158" s="17" t="s">
        <v>120</v>
      </c>
      <c r="E158" s="17" t="s">
        <v>45</v>
      </c>
      <c r="F158" s="18" t="n">
        <v>31570</v>
      </c>
      <c r="G158" s="19" t="n">
        <v>54.6</v>
      </c>
      <c r="H158" s="17" t="n">
        <f aca="false">IF(G158="","",RANK(G158,$G$5:$G$359))</f>
        <v>154</v>
      </c>
      <c r="I158" s="19" t="n">
        <v>11.3</v>
      </c>
      <c r="J158" s="17" t="n">
        <f aca="false">IF(I158="","",RANK(I158,$I$5:$I$359))</f>
        <v>340</v>
      </c>
      <c r="K158" s="19" t="n">
        <v>60.1</v>
      </c>
      <c r="L158" s="17" t="n">
        <f aca="false">IF(K158="","",RANK(K158,$K$5:$K$359))</f>
        <v>105</v>
      </c>
      <c r="M158" s="17" t="str">
        <f aca="false">IF(AND(N(G158)&gt;=N(I158),N(G158)&gt;=N(K158)),"The Pulse",IF(N(I158)&gt;=N(K158),"The Lens","The Hub"))</f>
        <v>The Hub</v>
      </c>
      <c r="N158" s="21" t="s">
        <v>79</v>
      </c>
      <c r="O158" s="17" t="s">
        <v>88</v>
      </c>
    </row>
    <row r="159" customFormat="false" ht="15" hidden="false" customHeight="false" outlineLevel="0" collapsed="false">
      <c r="A159" s="17" t="s">
        <v>409</v>
      </c>
      <c r="B159" s="17" t="s">
        <v>410</v>
      </c>
      <c r="C159" s="17" t="s">
        <v>95</v>
      </c>
      <c r="D159" s="17" t="s">
        <v>127</v>
      </c>
      <c r="E159" s="17" t="s">
        <v>106</v>
      </c>
      <c r="F159" s="18" t="n">
        <v>466860</v>
      </c>
      <c r="G159" s="19" t="n">
        <v>54.5</v>
      </c>
      <c r="H159" s="17" t="n">
        <f aca="false">IF(G159="","",RANK(G159,$G$5:$G$359))</f>
        <v>155</v>
      </c>
      <c r="I159" s="19" t="n">
        <v>67.3</v>
      </c>
      <c r="J159" s="17" t="n">
        <f aca="false">IF(I159="","",RANK(I159,$I$5:$I$359))</f>
        <v>82</v>
      </c>
      <c r="K159" s="19" t="n">
        <v>83.5</v>
      </c>
      <c r="L159" s="17" t="n">
        <f aca="false">IF(K159="","",RANK(K159,$K$5:$K$359))</f>
        <v>27</v>
      </c>
      <c r="M159" s="17" t="str">
        <f aca="false">IF(AND(N(G159)&gt;=N(I159),N(G159)&gt;=N(K159)),"The Pulse",IF(N(I159)&gt;=N(K159),"The Lens","The Hub"))</f>
        <v>The Hub</v>
      </c>
      <c r="N159" s="20" t="s">
        <v>74</v>
      </c>
      <c r="O159" s="17" t="s">
        <v>24</v>
      </c>
    </row>
    <row r="160" customFormat="false" ht="15" hidden="false" customHeight="false" outlineLevel="0" collapsed="false">
      <c r="A160" s="17" t="s">
        <v>411</v>
      </c>
      <c r="B160" s="17" t="s">
        <v>412</v>
      </c>
      <c r="C160" s="17" t="s">
        <v>91</v>
      </c>
      <c r="D160" s="17" t="s">
        <v>120</v>
      </c>
      <c r="E160" s="17" t="s">
        <v>106</v>
      </c>
      <c r="F160" s="18" t="n">
        <v>140348</v>
      </c>
      <c r="G160" s="19" t="n">
        <v>54.4</v>
      </c>
      <c r="H160" s="17" t="n">
        <f aca="false">IF(G160="","",RANK(G160,$G$5:$G$359))</f>
        <v>156</v>
      </c>
      <c r="I160" s="19" t="n">
        <v>44.9</v>
      </c>
      <c r="J160" s="17" t="n">
        <f aca="false">IF(I160="","",RANK(I160,$I$5:$I$359))</f>
        <v>212</v>
      </c>
      <c r="K160" s="19" t="n">
        <v>40.9</v>
      </c>
      <c r="L160" s="17" t="n">
        <f aca="false">IF(K160="","",RANK(K160,$K$5:$K$359))</f>
        <v>227</v>
      </c>
      <c r="M160" s="17" t="str">
        <f aca="false">IF(AND(N(G160)&gt;=N(I160),N(G160)&gt;=N(K160)),"The Pulse",IF(N(I160)&gt;=N(K160),"The Lens","The Hub"))</f>
        <v>The Pulse</v>
      </c>
      <c r="N160" s="21" t="s">
        <v>79</v>
      </c>
      <c r="O160" s="17" t="s">
        <v>88</v>
      </c>
    </row>
    <row r="161" customFormat="false" ht="15" hidden="false" customHeight="false" outlineLevel="0" collapsed="false">
      <c r="A161" s="17" t="s">
        <v>413</v>
      </c>
      <c r="B161" s="17" t="s">
        <v>414</v>
      </c>
      <c r="C161" s="17" t="s">
        <v>77</v>
      </c>
      <c r="D161" s="17" t="s">
        <v>154</v>
      </c>
      <c r="E161" s="17" t="s">
        <v>99</v>
      </c>
      <c r="F161" s="18" t="n">
        <v>637292</v>
      </c>
      <c r="G161" s="19" t="n">
        <v>54.1</v>
      </c>
      <c r="H161" s="17" t="n">
        <f aca="false">IF(G161="","",RANK(G161,$G$5:$G$359))</f>
        <v>157</v>
      </c>
      <c r="I161" s="19" t="n">
        <v>48.4</v>
      </c>
      <c r="J161" s="17" t="n">
        <f aca="false">IF(I161="","",RANK(I161,$I$5:$I$359))</f>
        <v>191</v>
      </c>
      <c r="K161" s="19" t="n">
        <v>48.2</v>
      </c>
      <c r="L161" s="17" t="n">
        <f aca="false">IF(K161="","",RANK(K161,$K$5:$K$359))</f>
        <v>179</v>
      </c>
      <c r="M161" s="17" t="str">
        <f aca="false">IF(AND(N(G161)&gt;=N(I161),N(G161)&gt;=N(K161)),"The Pulse",IF(N(I161)&gt;=N(K161),"The Lens","The Hub"))</f>
        <v>The Pulse</v>
      </c>
      <c r="N161" s="21" t="s">
        <v>79</v>
      </c>
      <c r="O161" s="17" t="s">
        <v>88</v>
      </c>
    </row>
    <row r="162" customFormat="false" ht="15" hidden="false" customHeight="false" outlineLevel="0" collapsed="false">
      <c r="A162" s="17" t="s">
        <v>415</v>
      </c>
      <c r="B162" s="17" t="s">
        <v>416</v>
      </c>
      <c r="C162" s="17" t="s">
        <v>86</v>
      </c>
      <c r="D162" s="17" t="s">
        <v>83</v>
      </c>
      <c r="E162" s="17" t="s">
        <v>99</v>
      </c>
      <c r="F162" s="18" t="n">
        <v>238282</v>
      </c>
      <c r="G162" s="19" t="n">
        <v>53.9</v>
      </c>
      <c r="H162" s="17" t="n">
        <f aca="false">IF(G162="","",RANK(G162,$G$5:$G$359))</f>
        <v>158</v>
      </c>
      <c r="I162" s="19" t="n">
        <v>43.7</v>
      </c>
      <c r="J162" s="17" t="n">
        <f aca="false">IF(I162="","",RANK(I162,$I$5:$I$359))</f>
        <v>221</v>
      </c>
      <c r="K162" s="19" t="n">
        <v>61.8</v>
      </c>
      <c r="L162" s="17" t="n">
        <f aca="false">IF(K162="","",RANK(K162,$K$5:$K$359))</f>
        <v>96</v>
      </c>
      <c r="M162" s="17" t="str">
        <f aca="false">IF(AND(N(G162)&gt;=N(I162),N(G162)&gt;=N(K162)),"The Pulse",IF(N(I162)&gt;=N(K162),"The Lens","The Hub"))</f>
        <v>The Hub</v>
      </c>
      <c r="N162" s="21" t="s">
        <v>79</v>
      </c>
      <c r="O162" s="17" t="s">
        <v>88</v>
      </c>
    </row>
    <row r="163" customFormat="false" ht="15" hidden="false" customHeight="false" outlineLevel="0" collapsed="false">
      <c r="A163" s="17" t="s">
        <v>417</v>
      </c>
      <c r="B163" s="17" t="s">
        <v>418</v>
      </c>
      <c r="C163" s="17" t="s">
        <v>72</v>
      </c>
      <c r="D163" s="17" t="s">
        <v>127</v>
      </c>
      <c r="E163" s="17" t="s">
        <v>47</v>
      </c>
      <c r="F163" s="18" t="n">
        <v>587840</v>
      </c>
      <c r="G163" s="19" t="n">
        <v>53.8</v>
      </c>
      <c r="H163" s="17" t="n">
        <f aca="false">IF(G163="","",RANK(G163,$G$5:$G$359))</f>
        <v>159</v>
      </c>
      <c r="I163" s="19" t="n">
        <v>10.6</v>
      </c>
      <c r="J163" s="17" t="n">
        <f aca="false">IF(I163="","",RANK(I163,$I$5:$I$359))</f>
        <v>341</v>
      </c>
      <c r="K163" s="19" t="n">
        <v>42.8</v>
      </c>
      <c r="L163" s="17" t="n">
        <f aca="false">IF(K163="","",RANK(K163,$K$5:$K$359))</f>
        <v>213</v>
      </c>
      <c r="M163" s="17" t="str">
        <f aca="false">IF(AND(N(G163)&gt;=N(I163),N(G163)&gt;=N(K163)),"The Pulse",IF(N(I163)&gt;=N(K163),"The Lens","The Hub"))</f>
        <v>The Pulse</v>
      </c>
      <c r="N163" s="20" t="s">
        <v>74</v>
      </c>
      <c r="O163" s="17" t="s">
        <v>24</v>
      </c>
    </row>
    <row r="164" customFormat="false" ht="15" hidden="false" customHeight="false" outlineLevel="0" collapsed="false">
      <c r="A164" s="17" t="s">
        <v>419</v>
      </c>
      <c r="B164" s="17" t="s">
        <v>420</v>
      </c>
      <c r="C164" s="17" t="s">
        <v>162</v>
      </c>
      <c r="D164" s="17" t="s">
        <v>124</v>
      </c>
      <c r="E164" s="17" t="s">
        <v>99</v>
      </c>
      <c r="F164" s="18" t="n">
        <v>58897</v>
      </c>
      <c r="G164" s="19" t="n">
        <v>53.7</v>
      </c>
      <c r="H164" s="17" t="n">
        <f aca="false">IF(G164="","",RANK(G164,$G$5:$G$359))</f>
        <v>160</v>
      </c>
      <c r="I164" s="19" t="n">
        <v>56.2</v>
      </c>
      <c r="J164" s="17" t="n">
        <f aca="false">IF(I164="","",RANK(I164,$I$5:$I$359))</f>
        <v>147</v>
      </c>
      <c r="K164" s="19" t="n">
        <v>10.2</v>
      </c>
      <c r="L164" s="17" t="n">
        <f aca="false">IF(K164="","",RANK(K164,$K$5:$K$359))</f>
        <v>336</v>
      </c>
      <c r="M164" s="17" t="str">
        <f aca="false">IF(AND(N(G164)&gt;=N(I164),N(G164)&gt;=N(K164)),"The Pulse",IF(N(I164)&gt;=N(K164),"The Lens","The Hub"))</f>
        <v>The Lens</v>
      </c>
      <c r="N164" s="21" t="s">
        <v>79</v>
      </c>
      <c r="O164" s="17" t="s">
        <v>88</v>
      </c>
    </row>
    <row r="165" customFormat="false" ht="15" hidden="false" customHeight="false" outlineLevel="0" collapsed="false">
      <c r="A165" s="17" t="s">
        <v>421</v>
      </c>
      <c r="B165" s="17" t="s">
        <v>422</v>
      </c>
      <c r="C165" s="17" t="s">
        <v>98</v>
      </c>
      <c r="D165" s="17" t="s">
        <v>83</v>
      </c>
      <c r="E165" s="17" t="s">
        <v>99</v>
      </c>
      <c r="F165" s="18" t="n">
        <v>199029</v>
      </c>
      <c r="G165" s="19" t="n">
        <v>53.7</v>
      </c>
      <c r="H165" s="17" t="n">
        <f aca="false">IF(G165="","",RANK(G165,$G$5:$G$359))</f>
        <v>160</v>
      </c>
      <c r="I165" s="19" t="n">
        <v>63.3</v>
      </c>
      <c r="J165" s="17" t="n">
        <f aca="false">IF(I165="","",RANK(I165,$I$5:$I$359))</f>
        <v>103</v>
      </c>
      <c r="K165" s="19" t="n">
        <v>25.3</v>
      </c>
      <c r="L165" s="17" t="n">
        <f aca="false">IF(K165="","",RANK(K165,$K$5:$K$359))</f>
        <v>302</v>
      </c>
      <c r="M165" s="17" t="str">
        <f aca="false">IF(AND(N(G165)&gt;=N(I165),N(G165)&gt;=N(K165)),"The Pulse",IF(N(I165)&gt;=N(K165),"The Lens","The Hub"))</f>
        <v>The Lens</v>
      </c>
      <c r="N165" s="21" t="s">
        <v>79</v>
      </c>
      <c r="O165" s="17" t="s">
        <v>88</v>
      </c>
    </row>
    <row r="166" customFormat="false" ht="15" hidden="false" customHeight="false" outlineLevel="0" collapsed="false">
      <c r="A166" s="17" t="s">
        <v>423</v>
      </c>
      <c r="B166" s="17" t="s">
        <v>424</v>
      </c>
      <c r="C166" s="17" t="s">
        <v>86</v>
      </c>
      <c r="D166" s="17" t="s">
        <v>73</v>
      </c>
      <c r="E166" s="17" t="s">
        <v>99</v>
      </c>
      <c r="F166" s="18" t="n">
        <v>294087</v>
      </c>
      <c r="G166" s="19" t="n">
        <v>53.6</v>
      </c>
      <c r="H166" s="17" t="n">
        <f aca="false">IF(G166="","",RANK(G166,$G$5:$G$359))</f>
        <v>162</v>
      </c>
      <c r="I166" s="19" t="n">
        <v>20.1</v>
      </c>
      <c r="J166" s="17" t="n">
        <f aca="false">IF(I166="","",RANK(I166,$I$5:$I$359))</f>
        <v>318</v>
      </c>
      <c r="K166" s="19" t="n">
        <v>40.9</v>
      </c>
      <c r="L166" s="17" t="n">
        <f aca="false">IF(K166="","",RANK(K166,$K$5:$K$359))</f>
        <v>227</v>
      </c>
      <c r="M166" s="17" t="str">
        <f aca="false">IF(AND(N(G166)&gt;=N(I166),N(G166)&gt;=N(K166)),"The Pulse",IF(N(I166)&gt;=N(K166),"The Lens","The Hub"))</f>
        <v>The Pulse</v>
      </c>
      <c r="N166" s="21" t="s">
        <v>79</v>
      </c>
      <c r="O166" s="17" t="s">
        <v>88</v>
      </c>
    </row>
    <row r="167" customFormat="false" ht="15" hidden="false" customHeight="false" outlineLevel="0" collapsed="false">
      <c r="A167" s="17" t="s">
        <v>425</v>
      </c>
      <c r="B167" s="17" t="s">
        <v>426</v>
      </c>
      <c r="C167" s="17" t="s">
        <v>95</v>
      </c>
      <c r="D167" s="17" t="s">
        <v>120</v>
      </c>
      <c r="E167" s="17" t="s">
        <v>99</v>
      </c>
      <c r="F167" s="18" t="n">
        <v>586519</v>
      </c>
      <c r="G167" s="19" t="n">
        <v>53.6</v>
      </c>
      <c r="H167" s="17" t="n">
        <f aca="false">IF(G167="","",RANK(G167,$G$5:$G$359))</f>
        <v>162</v>
      </c>
      <c r="I167" s="19" t="n">
        <v>53.7</v>
      </c>
      <c r="J167" s="17" t="n">
        <f aca="false">IF(I167="","",RANK(I167,$I$5:$I$359))</f>
        <v>163</v>
      </c>
      <c r="K167" s="19" t="n">
        <v>38.9</v>
      </c>
      <c r="L167" s="17" t="n">
        <f aca="false">IF(K167="","",RANK(K167,$K$5:$K$359))</f>
        <v>247</v>
      </c>
      <c r="M167" s="17" t="str">
        <f aca="false">IF(AND(N(G167)&gt;=N(I167),N(G167)&gt;=N(K167)),"The Pulse",IF(N(I167)&gt;=N(K167),"The Lens","The Hub"))</f>
        <v>The Lens</v>
      </c>
      <c r="N167" s="21" t="s">
        <v>79</v>
      </c>
      <c r="O167" s="17" t="s">
        <v>88</v>
      </c>
    </row>
    <row r="168" customFormat="false" ht="15" hidden="false" customHeight="false" outlineLevel="0" collapsed="false">
      <c r="A168" s="17" t="s">
        <v>427</v>
      </c>
      <c r="B168" s="17" t="s">
        <v>428</v>
      </c>
      <c r="C168" s="17" t="s">
        <v>95</v>
      </c>
      <c r="D168" s="17" t="s">
        <v>83</v>
      </c>
      <c r="E168" s="17" t="s">
        <v>99</v>
      </c>
      <c r="F168" s="18" t="n">
        <v>276764</v>
      </c>
      <c r="G168" s="19" t="n">
        <v>53.6</v>
      </c>
      <c r="H168" s="17" t="n">
        <f aca="false">IF(G168="","",RANK(G168,$G$5:$G$359))</f>
        <v>162</v>
      </c>
      <c r="I168" s="19" t="n">
        <v>58.2</v>
      </c>
      <c r="J168" s="17" t="n">
        <f aca="false">IF(I168="","",RANK(I168,$I$5:$I$359))</f>
        <v>135</v>
      </c>
      <c r="K168" s="19" t="n">
        <v>14.1</v>
      </c>
      <c r="L168" s="17" t="n">
        <f aca="false">IF(K168="","",RANK(K168,$K$5:$K$359))</f>
        <v>329</v>
      </c>
      <c r="M168" s="17" t="str">
        <f aca="false">IF(AND(N(G168)&gt;=N(I168),N(G168)&gt;=N(K168)),"The Pulse",IF(N(I168)&gt;=N(K168),"The Lens","The Hub"))</f>
        <v>The Lens</v>
      </c>
      <c r="N168" s="21" t="s">
        <v>79</v>
      </c>
      <c r="O168" s="17" t="s">
        <v>88</v>
      </c>
    </row>
    <row r="169" customFormat="false" ht="15" hidden="false" customHeight="false" outlineLevel="0" collapsed="false">
      <c r="A169" s="17" t="s">
        <v>429</v>
      </c>
      <c r="B169" s="17" t="s">
        <v>430</v>
      </c>
      <c r="C169" s="17" t="s">
        <v>95</v>
      </c>
      <c r="D169" s="17" t="s">
        <v>154</v>
      </c>
      <c r="E169" s="17" t="s">
        <v>46</v>
      </c>
      <c r="F169" s="18" t="n">
        <v>302830</v>
      </c>
      <c r="G169" s="19" t="n">
        <v>53.6</v>
      </c>
      <c r="H169" s="17" t="n">
        <f aca="false">IF(G169="","",RANK(G169,$G$5:$G$359))</f>
        <v>162</v>
      </c>
      <c r="I169" s="19" t="n">
        <v>46.5</v>
      </c>
      <c r="J169" s="17" t="n">
        <f aca="false">IF(I169="","",RANK(I169,$I$5:$I$359))</f>
        <v>203</v>
      </c>
      <c r="K169" s="19" t="n">
        <v>60.9</v>
      </c>
      <c r="L169" s="17" t="n">
        <f aca="false">IF(K169="","",RANK(K169,$K$5:$K$359))</f>
        <v>101</v>
      </c>
      <c r="M169" s="17" t="str">
        <f aca="false">IF(AND(N(G169)&gt;=N(I169),N(G169)&gt;=N(K169)),"The Pulse",IF(N(I169)&gt;=N(K169),"The Lens","The Hub"))</f>
        <v>The Hub</v>
      </c>
      <c r="N169" s="20" t="s">
        <v>74</v>
      </c>
      <c r="O169" s="17" t="s">
        <v>24</v>
      </c>
    </row>
    <row r="170" customFormat="false" ht="15" hidden="false" customHeight="false" outlineLevel="0" collapsed="false">
      <c r="A170" s="17" t="s">
        <v>431</v>
      </c>
      <c r="B170" s="17" t="s">
        <v>432</v>
      </c>
      <c r="C170" s="17" t="s">
        <v>91</v>
      </c>
      <c r="D170" s="17" t="s">
        <v>124</v>
      </c>
      <c r="E170" s="17" t="s">
        <v>99</v>
      </c>
      <c r="F170" s="18" t="n">
        <v>204842</v>
      </c>
      <c r="G170" s="19" t="n">
        <v>53.5</v>
      </c>
      <c r="H170" s="17" t="n">
        <f aca="false">IF(G170="","",RANK(G170,$G$5:$G$359))</f>
        <v>166</v>
      </c>
      <c r="I170" s="19" t="n">
        <v>41.4</v>
      </c>
      <c r="J170" s="17" t="n">
        <f aca="false">IF(I170="","",RANK(I170,$I$5:$I$359))</f>
        <v>231</v>
      </c>
      <c r="K170" s="19" t="n">
        <v>42.8</v>
      </c>
      <c r="L170" s="17" t="n">
        <f aca="false">IF(K170="","",RANK(K170,$K$5:$K$359))</f>
        <v>213</v>
      </c>
      <c r="M170" s="17" t="str">
        <f aca="false">IF(AND(N(G170)&gt;=N(I170),N(G170)&gt;=N(K170)),"The Pulse",IF(N(I170)&gt;=N(K170),"The Lens","The Hub"))</f>
        <v>The Pulse</v>
      </c>
      <c r="N170" s="21" t="s">
        <v>79</v>
      </c>
      <c r="O170" s="17" t="s">
        <v>88</v>
      </c>
    </row>
    <row r="171" customFormat="false" ht="15" hidden="false" customHeight="false" outlineLevel="0" collapsed="false">
      <c r="A171" s="17" t="s">
        <v>433</v>
      </c>
      <c r="B171" s="17" t="s">
        <v>434</v>
      </c>
      <c r="C171" s="17" t="s">
        <v>86</v>
      </c>
      <c r="D171" s="17" t="s">
        <v>154</v>
      </c>
      <c r="E171" s="17" t="s">
        <v>47</v>
      </c>
      <c r="F171" s="18" t="n">
        <v>64305</v>
      </c>
      <c r="G171" s="19" t="n">
        <v>53.4</v>
      </c>
      <c r="H171" s="17" t="n">
        <f aca="false">IF(G171="","",RANK(G171,$G$5:$G$359))</f>
        <v>167</v>
      </c>
      <c r="I171" s="19" t="n">
        <v>15.6</v>
      </c>
      <c r="J171" s="17" t="n">
        <f aca="false">IF(I171="","",RANK(I171,$I$5:$I$359))</f>
        <v>327</v>
      </c>
      <c r="K171" s="19" t="n">
        <v>17.2</v>
      </c>
      <c r="L171" s="17" t="n">
        <f aca="false">IF(K171="","",RANK(K171,$K$5:$K$359))</f>
        <v>325</v>
      </c>
      <c r="M171" s="17" t="str">
        <f aca="false">IF(AND(N(G171)&gt;=N(I171),N(G171)&gt;=N(K171)),"The Pulse",IF(N(I171)&gt;=N(K171),"The Lens","The Hub"))</f>
        <v>The Pulse</v>
      </c>
      <c r="N171" s="21" t="s">
        <v>79</v>
      </c>
      <c r="O171" s="17" t="s">
        <v>22</v>
      </c>
    </row>
    <row r="172" customFormat="false" ht="15" hidden="false" customHeight="false" outlineLevel="0" collapsed="false">
      <c r="A172" s="17" t="s">
        <v>435</v>
      </c>
      <c r="B172" s="17" t="s">
        <v>436</v>
      </c>
      <c r="C172" s="17" t="s">
        <v>77</v>
      </c>
      <c r="D172" s="17" t="s">
        <v>105</v>
      </c>
      <c r="E172" s="17" t="s">
        <v>46</v>
      </c>
      <c r="F172" s="18" t="n">
        <v>59959</v>
      </c>
      <c r="G172" s="19" t="n">
        <v>53.2</v>
      </c>
      <c r="H172" s="17" t="n">
        <f aca="false">IF(G172="","",RANK(G172,$G$5:$G$359))</f>
        <v>168</v>
      </c>
      <c r="I172" s="19" t="n">
        <v>77.5</v>
      </c>
      <c r="J172" s="17" t="n">
        <f aca="false">IF(I172="","",RANK(I172,$I$5:$I$359))</f>
        <v>46</v>
      </c>
      <c r="K172" s="19" t="n">
        <v>84.5</v>
      </c>
      <c r="L172" s="17" t="n">
        <f aca="false">IF(K172="","",RANK(K172,$K$5:$K$359))</f>
        <v>23</v>
      </c>
      <c r="M172" s="17" t="str">
        <f aca="false">IF(AND(N(G172)&gt;=N(I172),N(G172)&gt;=N(K172)),"The Pulse",IF(N(I172)&gt;=N(K172),"The Lens","The Hub"))</f>
        <v>The Hub</v>
      </c>
      <c r="N172" s="21" t="s">
        <v>79</v>
      </c>
      <c r="O172" s="17" t="s">
        <v>22</v>
      </c>
    </row>
    <row r="173" customFormat="false" ht="15" hidden="false" customHeight="false" outlineLevel="0" collapsed="false">
      <c r="A173" s="17" t="s">
        <v>437</v>
      </c>
      <c r="B173" s="17" t="s">
        <v>438</v>
      </c>
      <c r="C173" s="17" t="s">
        <v>123</v>
      </c>
      <c r="D173" s="17" t="s">
        <v>120</v>
      </c>
      <c r="E173" s="17" t="s">
        <v>99</v>
      </c>
      <c r="F173" s="18" t="n">
        <v>87440</v>
      </c>
      <c r="G173" s="19" t="n">
        <v>52.9</v>
      </c>
      <c r="H173" s="17" t="n">
        <f aca="false">IF(G173="","",RANK(G173,$G$5:$G$359))</f>
        <v>169</v>
      </c>
      <c r="I173" s="19" t="n">
        <v>22.1</v>
      </c>
      <c r="J173" s="17" t="n">
        <f aca="false">IF(I173="","",RANK(I173,$I$5:$I$359))</f>
        <v>308</v>
      </c>
      <c r="K173" s="19" t="n">
        <v>40.2</v>
      </c>
      <c r="L173" s="17" t="n">
        <f aca="false">IF(K173="","",RANK(K173,$K$5:$K$359))</f>
        <v>240</v>
      </c>
      <c r="M173" s="17" t="str">
        <f aca="false">IF(AND(N(G173)&gt;=N(I173),N(G173)&gt;=N(K173)),"The Pulse",IF(N(I173)&gt;=N(K173),"The Lens","The Hub"))</f>
        <v>The Pulse</v>
      </c>
      <c r="N173" s="22" t="s">
        <v>109</v>
      </c>
      <c r="O173" s="17" t="s">
        <v>155</v>
      </c>
    </row>
    <row r="174" customFormat="false" ht="15" hidden="false" customHeight="false" outlineLevel="0" collapsed="false">
      <c r="A174" s="17" t="s">
        <v>439</v>
      </c>
      <c r="B174" s="17" t="s">
        <v>440</v>
      </c>
      <c r="C174" s="17" t="s">
        <v>123</v>
      </c>
      <c r="D174" s="17" t="s">
        <v>105</v>
      </c>
      <c r="E174" s="17" t="s">
        <v>99</v>
      </c>
      <c r="F174" s="18" t="n">
        <v>935580</v>
      </c>
      <c r="G174" s="19" t="n">
        <v>52.7</v>
      </c>
      <c r="H174" s="17" t="n">
        <f aca="false">IF(G174="","",RANK(G174,$G$5:$G$359))</f>
        <v>170</v>
      </c>
      <c r="I174" s="19" t="n">
        <v>40.6</v>
      </c>
      <c r="J174" s="17" t="n">
        <f aca="false">IF(I174="","",RANK(I174,$I$5:$I$359))</f>
        <v>238</v>
      </c>
      <c r="K174" s="19" t="n">
        <v>81</v>
      </c>
      <c r="L174" s="17" t="n">
        <f aca="false">IF(K174="","",RANK(K174,$K$5:$K$359))</f>
        <v>31</v>
      </c>
      <c r="M174" s="17" t="str">
        <f aca="false">IF(AND(N(G174)&gt;=N(I174),N(G174)&gt;=N(K174)),"The Pulse",IF(N(I174)&gt;=N(K174),"The Lens","The Hub"))</f>
        <v>The Hub</v>
      </c>
      <c r="N174" s="20" t="s">
        <v>74</v>
      </c>
      <c r="O174" s="17" t="s">
        <v>24</v>
      </c>
    </row>
    <row r="175" customFormat="false" ht="15" hidden="false" customHeight="false" outlineLevel="0" collapsed="false">
      <c r="A175" s="17" t="s">
        <v>441</v>
      </c>
      <c r="B175" s="17" t="s">
        <v>442</v>
      </c>
      <c r="C175" s="17" t="s">
        <v>77</v>
      </c>
      <c r="D175" s="17" t="s">
        <v>73</v>
      </c>
      <c r="E175" s="17" t="s">
        <v>99</v>
      </c>
      <c r="F175" s="18" t="n">
        <v>1496843</v>
      </c>
      <c r="G175" s="19" t="n">
        <v>52.6</v>
      </c>
      <c r="H175" s="17" t="n">
        <f aca="false">IF(G175="","",RANK(G175,$G$5:$G$359))</f>
        <v>171</v>
      </c>
      <c r="I175" s="19" t="n">
        <v>36</v>
      </c>
      <c r="J175" s="17" t="n">
        <f aca="false">IF(I175="","",RANK(I175,$I$5:$I$359))</f>
        <v>262</v>
      </c>
      <c r="K175" s="19" t="n">
        <v>68.9</v>
      </c>
      <c r="L175" s="17" t="n">
        <f aca="false">IF(K175="","",RANK(K175,$K$5:$K$359))</f>
        <v>60</v>
      </c>
      <c r="M175" s="17" t="str">
        <f aca="false">IF(AND(N(G175)&gt;=N(I175),N(G175)&gt;=N(K175)),"The Pulse",IF(N(I175)&gt;=N(K175),"The Lens","The Hub"))</f>
        <v>The Hub</v>
      </c>
      <c r="N175" s="21" t="s">
        <v>79</v>
      </c>
      <c r="O175" s="17" t="s">
        <v>88</v>
      </c>
    </row>
    <row r="176" customFormat="false" ht="15" hidden="false" customHeight="false" outlineLevel="0" collapsed="false">
      <c r="A176" s="17" t="s">
        <v>443</v>
      </c>
      <c r="B176" s="17" t="s">
        <v>444</v>
      </c>
      <c r="C176" s="17" t="s">
        <v>162</v>
      </c>
      <c r="D176" s="17" t="s">
        <v>105</v>
      </c>
      <c r="E176" s="17" t="s">
        <v>45</v>
      </c>
      <c r="F176" s="18" t="n">
        <v>24450</v>
      </c>
      <c r="G176" s="19" t="n">
        <v>52.6</v>
      </c>
      <c r="H176" s="17" t="n">
        <f aca="false">IF(G176="","",RANK(G176,$G$5:$G$359))</f>
        <v>171</v>
      </c>
      <c r="I176" s="19" t="n">
        <v>72.5</v>
      </c>
      <c r="J176" s="17" t="n">
        <f aca="false">IF(I176="","",RANK(I176,$I$5:$I$359))</f>
        <v>63</v>
      </c>
      <c r="K176" s="19"/>
      <c r="L176" s="17" t="str">
        <f aca="false">IF(K176="","",RANK(K176,$K$5:$K$359))</f>
        <v/>
      </c>
      <c r="M176" s="17" t="str">
        <f aca="false">IF(AND(N(G176)&gt;=N(I176),N(G176)&gt;=N(K176)),"The Pulse",IF(N(I176)&gt;=N(K176),"The Lens","The Hub"))</f>
        <v>The Lens</v>
      </c>
      <c r="N176" s="20" t="s">
        <v>74</v>
      </c>
      <c r="O176" s="17" t="s">
        <v>24</v>
      </c>
    </row>
    <row r="177" customFormat="false" ht="15" hidden="false" customHeight="false" outlineLevel="0" collapsed="false">
      <c r="A177" s="17" t="s">
        <v>445</v>
      </c>
      <c r="B177" s="17" t="s">
        <v>446</v>
      </c>
      <c r="C177" s="17" t="s">
        <v>95</v>
      </c>
      <c r="D177" s="17" t="s">
        <v>73</v>
      </c>
      <c r="E177" s="17" t="s">
        <v>149</v>
      </c>
      <c r="F177" s="18" t="n">
        <v>61750</v>
      </c>
      <c r="G177" s="19" t="n">
        <v>52.4</v>
      </c>
      <c r="H177" s="17" t="n">
        <f aca="false">IF(G177="","",RANK(G177,$G$5:$G$359))</f>
        <v>173</v>
      </c>
      <c r="I177" s="19" t="n">
        <v>58.5</v>
      </c>
      <c r="J177" s="17" t="n">
        <f aca="false">IF(I177="","",RANK(I177,$I$5:$I$359))</f>
        <v>133</v>
      </c>
      <c r="K177" s="19" t="n">
        <v>42.4</v>
      </c>
      <c r="L177" s="17" t="n">
        <f aca="false">IF(K177="","",RANK(K177,$K$5:$K$359))</f>
        <v>218</v>
      </c>
      <c r="M177" s="17" t="str">
        <f aca="false">IF(AND(N(G177)&gt;=N(I177),N(G177)&gt;=N(K177)),"The Pulse",IF(N(I177)&gt;=N(K177),"The Lens","The Hub"))</f>
        <v>The Lens</v>
      </c>
      <c r="N177" s="20" t="s">
        <v>74</v>
      </c>
      <c r="O177" s="17" t="s">
        <v>24</v>
      </c>
    </row>
    <row r="178" customFormat="false" ht="15" hidden="false" customHeight="false" outlineLevel="0" collapsed="false">
      <c r="A178" s="17" t="s">
        <v>447</v>
      </c>
      <c r="B178" s="17" t="s">
        <v>448</v>
      </c>
      <c r="C178" s="17" t="s">
        <v>82</v>
      </c>
      <c r="D178" s="17" t="s">
        <v>127</v>
      </c>
      <c r="E178" s="17" t="s">
        <v>99</v>
      </c>
      <c r="F178" s="18" t="n">
        <v>85930</v>
      </c>
      <c r="G178" s="19" t="n">
        <v>52.1</v>
      </c>
      <c r="H178" s="17" t="n">
        <f aca="false">IF(G178="","",RANK(G178,$G$5:$G$359))</f>
        <v>174</v>
      </c>
      <c r="I178" s="19" t="n">
        <v>51.8</v>
      </c>
      <c r="J178" s="17" t="n">
        <f aca="false">IF(I178="","",RANK(I178,$I$5:$I$359))</f>
        <v>169</v>
      </c>
      <c r="K178" s="19" t="n">
        <v>31.8</v>
      </c>
      <c r="L178" s="17" t="n">
        <f aca="false">IF(K178="","",RANK(K178,$K$5:$K$359))</f>
        <v>287</v>
      </c>
      <c r="M178" s="17" t="str">
        <f aca="false">IF(AND(N(G178)&gt;=N(I178),N(G178)&gt;=N(K178)),"The Pulse",IF(N(I178)&gt;=N(K178),"The Lens","The Hub"))</f>
        <v>The Pulse</v>
      </c>
      <c r="N178" s="21" t="s">
        <v>79</v>
      </c>
      <c r="O178" s="17" t="s">
        <v>88</v>
      </c>
    </row>
    <row r="179" customFormat="false" ht="15" hidden="false" customHeight="false" outlineLevel="0" collapsed="false">
      <c r="A179" s="17" t="s">
        <v>449</v>
      </c>
      <c r="B179" s="17" t="s">
        <v>450</v>
      </c>
      <c r="C179" s="17" t="s">
        <v>98</v>
      </c>
      <c r="D179" s="17" t="s">
        <v>87</v>
      </c>
      <c r="E179" s="17" t="s">
        <v>99</v>
      </c>
      <c r="F179" s="18" t="n">
        <v>136706</v>
      </c>
      <c r="G179" s="19" t="n">
        <v>52</v>
      </c>
      <c r="H179" s="17" t="n">
        <f aca="false">IF(G179="","",RANK(G179,$G$5:$G$359))</f>
        <v>175</v>
      </c>
      <c r="I179" s="19" t="n">
        <v>61.6</v>
      </c>
      <c r="J179" s="17" t="n">
        <f aca="false">IF(I179="","",RANK(I179,$I$5:$I$359))</f>
        <v>115</v>
      </c>
      <c r="K179" s="19" t="n">
        <v>54.6</v>
      </c>
      <c r="L179" s="17" t="n">
        <f aca="false">IF(K179="","",RANK(K179,$K$5:$K$359))</f>
        <v>147</v>
      </c>
      <c r="M179" s="17" t="str">
        <f aca="false">IF(AND(N(G179)&gt;=N(I179),N(G179)&gt;=N(K179)),"The Pulse",IF(N(I179)&gt;=N(K179),"The Lens","The Hub"))</f>
        <v>The Lens</v>
      </c>
      <c r="N179" s="21" t="s">
        <v>79</v>
      </c>
      <c r="O179" s="17" t="s">
        <v>88</v>
      </c>
    </row>
    <row r="180" customFormat="false" ht="15" hidden="false" customHeight="false" outlineLevel="0" collapsed="false">
      <c r="A180" s="17" t="s">
        <v>451</v>
      </c>
      <c r="B180" s="17" t="s">
        <v>452</v>
      </c>
      <c r="C180" s="17" t="s">
        <v>86</v>
      </c>
      <c r="D180" s="17" t="s">
        <v>120</v>
      </c>
      <c r="E180" s="17" t="s">
        <v>45</v>
      </c>
      <c r="F180" s="18" t="n">
        <v>66750</v>
      </c>
      <c r="G180" s="19" t="n">
        <v>52</v>
      </c>
      <c r="H180" s="17" t="n">
        <f aca="false">IF(G180="","",RANK(G180,$G$5:$G$359))</f>
        <v>175</v>
      </c>
      <c r="I180" s="19" t="n">
        <v>21.3</v>
      </c>
      <c r="J180" s="17" t="n">
        <f aca="false">IF(I180="","",RANK(I180,$I$5:$I$359))</f>
        <v>310</v>
      </c>
      <c r="K180" s="19" t="n">
        <v>95.6</v>
      </c>
      <c r="L180" s="17" t="n">
        <f aca="false">IF(K180="","",RANK(K180,$K$5:$K$359))</f>
        <v>6</v>
      </c>
      <c r="M180" s="17" t="str">
        <f aca="false">IF(AND(N(G180)&gt;=N(I180),N(G180)&gt;=N(K180)),"The Pulse",IF(N(I180)&gt;=N(K180),"The Lens","The Hub"))</f>
        <v>The Hub</v>
      </c>
      <c r="N180" s="20" t="s">
        <v>74</v>
      </c>
      <c r="O180" s="17" t="s">
        <v>24</v>
      </c>
    </row>
    <row r="181" customFormat="false" ht="15" hidden="false" customHeight="false" outlineLevel="0" collapsed="false">
      <c r="A181" s="17" t="s">
        <v>453</v>
      </c>
      <c r="B181" s="17" t="s">
        <v>454</v>
      </c>
      <c r="C181" s="17" t="s">
        <v>115</v>
      </c>
      <c r="D181" s="17" t="s">
        <v>87</v>
      </c>
      <c r="E181" s="17" t="s">
        <v>92</v>
      </c>
      <c r="F181" s="18" t="n">
        <v>70319</v>
      </c>
      <c r="G181" s="19" t="n">
        <v>51.8</v>
      </c>
      <c r="H181" s="17" t="n">
        <f aca="false">IF(G181="","",RANK(G181,$G$5:$G$359))</f>
        <v>177</v>
      </c>
      <c r="I181" s="19" t="n">
        <v>18.2</v>
      </c>
      <c r="J181" s="17" t="n">
        <f aca="false">IF(I181="","",RANK(I181,$I$5:$I$359))</f>
        <v>323</v>
      </c>
      <c r="K181" s="19" t="n">
        <v>37.8</v>
      </c>
      <c r="L181" s="17" t="n">
        <f aca="false">IF(K181="","",RANK(K181,$K$5:$K$359))</f>
        <v>254</v>
      </c>
      <c r="M181" s="17" t="str">
        <f aca="false">IF(AND(N(G181)&gt;=N(I181),N(G181)&gt;=N(K181)),"The Pulse",IF(N(I181)&gt;=N(K181),"The Lens","The Hub"))</f>
        <v>The Pulse</v>
      </c>
      <c r="N181" s="21" t="s">
        <v>79</v>
      </c>
      <c r="O181" s="17" t="s">
        <v>88</v>
      </c>
    </row>
    <row r="182" customFormat="false" ht="15" hidden="false" customHeight="false" outlineLevel="0" collapsed="false">
      <c r="A182" s="17" t="s">
        <v>455</v>
      </c>
      <c r="B182" s="17" t="s">
        <v>456</v>
      </c>
      <c r="C182" s="17" t="s">
        <v>86</v>
      </c>
      <c r="D182" s="17" t="s">
        <v>102</v>
      </c>
      <c r="E182" s="17" t="s">
        <v>99</v>
      </c>
      <c r="F182" s="18" t="n">
        <v>81665</v>
      </c>
      <c r="G182" s="19" t="n">
        <v>51.7</v>
      </c>
      <c r="H182" s="17" t="n">
        <f aca="false">IF(G182="","",RANK(G182,$G$5:$G$359))</f>
        <v>178</v>
      </c>
      <c r="I182" s="19" t="n">
        <v>21.3</v>
      </c>
      <c r="J182" s="17" t="n">
        <f aca="false">IF(I182="","",RANK(I182,$I$5:$I$359))</f>
        <v>310</v>
      </c>
      <c r="K182" s="19" t="n">
        <v>21.1</v>
      </c>
      <c r="L182" s="17" t="n">
        <f aca="false">IF(K182="","",RANK(K182,$K$5:$K$359))</f>
        <v>314</v>
      </c>
      <c r="M182" s="17" t="str">
        <f aca="false">IF(AND(N(G182)&gt;=N(I182),N(G182)&gt;=N(K182)),"The Pulse",IF(N(I182)&gt;=N(K182),"The Lens","The Hub"))</f>
        <v>The Pulse</v>
      </c>
      <c r="N182" s="21" t="s">
        <v>79</v>
      </c>
      <c r="O182" s="17" t="s">
        <v>88</v>
      </c>
    </row>
    <row r="183" customFormat="false" ht="15" hidden="false" customHeight="false" outlineLevel="0" collapsed="false">
      <c r="A183" s="17" t="s">
        <v>457</v>
      </c>
      <c r="B183" s="17" t="s">
        <v>458</v>
      </c>
      <c r="C183" s="17" t="s">
        <v>86</v>
      </c>
      <c r="D183" s="17" t="s">
        <v>127</v>
      </c>
      <c r="E183" s="17" t="s">
        <v>99</v>
      </c>
      <c r="F183" s="18" t="n">
        <v>718234</v>
      </c>
      <c r="G183" s="19" t="n">
        <v>51.5</v>
      </c>
      <c r="H183" s="17" t="n">
        <f aca="false">IF(G183="","",RANK(G183,$G$5:$G$359))</f>
        <v>179</v>
      </c>
      <c r="I183" s="19" t="n">
        <v>62.2</v>
      </c>
      <c r="J183" s="17" t="n">
        <f aca="false">IF(I183="","",RANK(I183,$I$5:$I$359))</f>
        <v>105</v>
      </c>
      <c r="K183" s="19" t="n">
        <v>67.9</v>
      </c>
      <c r="L183" s="17" t="n">
        <f aca="false">IF(K183="","",RANK(K183,$K$5:$K$359))</f>
        <v>65</v>
      </c>
      <c r="M183" s="17" t="str">
        <f aca="false">IF(AND(N(G183)&gt;=N(I183),N(G183)&gt;=N(K183)),"The Pulse",IF(N(I183)&gt;=N(K183),"The Lens","The Hub"))</f>
        <v>The Hub</v>
      </c>
      <c r="N183" s="21" t="s">
        <v>79</v>
      </c>
      <c r="O183" s="17" t="s">
        <v>88</v>
      </c>
    </row>
    <row r="184" customFormat="false" ht="15" hidden="false" customHeight="false" outlineLevel="0" collapsed="false">
      <c r="A184" s="17" t="s">
        <v>459</v>
      </c>
      <c r="B184" s="17" t="s">
        <v>460</v>
      </c>
      <c r="C184" s="17" t="s">
        <v>95</v>
      </c>
      <c r="D184" s="17" t="s">
        <v>105</v>
      </c>
      <c r="E184" s="17" t="s">
        <v>99</v>
      </c>
      <c r="F184" s="18" t="n">
        <v>386720</v>
      </c>
      <c r="G184" s="19" t="n">
        <v>51.4</v>
      </c>
      <c r="H184" s="17" t="n">
        <f aca="false">IF(G184="","",RANK(G184,$G$5:$G$359))</f>
        <v>180</v>
      </c>
      <c r="I184" s="19" t="n">
        <v>49.5</v>
      </c>
      <c r="J184" s="17" t="n">
        <f aca="false">IF(I184="","",RANK(I184,$I$5:$I$359))</f>
        <v>181</v>
      </c>
      <c r="K184" s="19" t="n">
        <v>40.5</v>
      </c>
      <c r="L184" s="17" t="n">
        <f aca="false">IF(K184="","",RANK(K184,$K$5:$K$359))</f>
        <v>238</v>
      </c>
      <c r="M184" s="17" t="str">
        <f aca="false">IF(AND(N(G184)&gt;=N(I184),N(G184)&gt;=N(K184)),"The Pulse",IF(N(I184)&gt;=N(K184),"The Lens","The Hub"))</f>
        <v>The Pulse</v>
      </c>
      <c r="N184" s="20" t="s">
        <v>74</v>
      </c>
      <c r="O184" s="17" t="s">
        <v>24</v>
      </c>
    </row>
    <row r="185" customFormat="false" ht="15" hidden="false" customHeight="false" outlineLevel="0" collapsed="false">
      <c r="A185" s="17" t="s">
        <v>461</v>
      </c>
      <c r="B185" s="17" t="s">
        <v>462</v>
      </c>
      <c r="C185" s="17" t="s">
        <v>115</v>
      </c>
      <c r="D185" s="17" t="s">
        <v>83</v>
      </c>
      <c r="E185" s="17" t="s">
        <v>92</v>
      </c>
      <c r="F185" s="18" t="n">
        <v>349220</v>
      </c>
      <c r="G185" s="19" t="n">
        <v>51.1</v>
      </c>
      <c r="H185" s="17" t="n">
        <f aca="false">IF(G185="","",RANK(G185,$G$5:$G$359))</f>
        <v>181</v>
      </c>
      <c r="I185" s="19" t="n">
        <v>48.3</v>
      </c>
      <c r="J185" s="17" t="n">
        <f aca="false">IF(I185="","",RANK(I185,$I$5:$I$359))</f>
        <v>193</v>
      </c>
      <c r="K185" s="19" t="n">
        <v>45.6</v>
      </c>
      <c r="L185" s="17" t="n">
        <f aca="false">IF(K185="","",RANK(K185,$K$5:$K$359))</f>
        <v>198</v>
      </c>
      <c r="M185" s="17" t="str">
        <f aca="false">IF(AND(N(G185)&gt;=N(I185),N(G185)&gt;=N(K185)),"The Pulse",IF(N(I185)&gt;=N(K185),"The Lens","The Hub"))</f>
        <v>The Pulse</v>
      </c>
      <c r="N185" s="20" t="s">
        <v>74</v>
      </c>
      <c r="O185" s="17" t="s">
        <v>24</v>
      </c>
    </row>
    <row r="186" customFormat="false" ht="15" hidden="false" customHeight="false" outlineLevel="0" collapsed="false">
      <c r="A186" s="17" t="s">
        <v>463</v>
      </c>
      <c r="B186" s="17" t="s">
        <v>464</v>
      </c>
      <c r="C186" s="17" t="s">
        <v>72</v>
      </c>
      <c r="D186" s="17" t="s">
        <v>87</v>
      </c>
      <c r="E186" s="17" t="s">
        <v>99</v>
      </c>
      <c r="F186" s="18" t="n">
        <v>284919</v>
      </c>
      <c r="G186" s="19" t="n">
        <v>51</v>
      </c>
      <c r="H186" s="17" t="n">
        <f aca="false">IF(G186="","",RANK(G186,$G$5:$G$359))</f>
        <v>182</v>
      </c>
      <c r="I186" s="19" t="n">
        <v>55.9</v>
      </c>
      <c r="J186" s="17" t="n">
        <f aca="false">IF(I186="","",RANK(I186,$I$5:$I$359))</f>
        <v>152</v>
      </c>
      <c r="K186" s="19" t="n">
        <v>53.8</v>
      </c>
      <c r="L186" s="17" t="n">
        <f aca="false">IF(K186="","",RANK(K186,$K$5:$K$359))</f>
        <v>150</v>
      </c>
      <c r="M186" s="17" t="str">
        <f aca="false">IF(AND(N(G186)&gt;=N(I186),N(G186)&gt;=N(K186)),"The Pulse",IF(N(I186)&gt;=N(K186),"The Lens","The Hub"))</f>
        <v>The Lens</v>
      </c>
      <c r="N186" s="21" t="s">
        <v>79</v>
      </c>
      <c r="O186" s="17" t="s">
        <v>88</v>
      </c>
    </row>
    <row r="187" customFormat="false" ht="15" hidden="false" customHeight="false" outlineLevel="0" collapsed="false">
      <c r="A187" s="17" t="s">
        <v>465</v>
      </c>
      <c r="B187" s="17" t="s">
        <v>466</v>
      </c>
      <c r="C187" s="17" t="s">
        <v>115</v>
      </c>
      <c r="D187" s="17" t="s">
        <v>120</v>
      </c>
      <c r="E187" s="17" t="s">
        <v>47</v>
      </c>
      <c r="F187" s="18" t="n">
        <v>36571</v>
      </c>
      <c r="G187" s="19" t="n">
        <v>51</v>
      </c>
      <c r="H187" s="17" t="n">
        <f aca="false">IF(G187="","",RANK(G187,$G$5:$G$359))</f>
        <v>182</v>
      </c>
      <c r="I187" s="19" t="n">
        <v>57.5</v>
      </c>
      <c r="J187" s="17" t="n">
        <f aca="false">IF(I187="","",RANK(I187,$I$5:$I$359))</f>
        <v>139</v>
      </c>
      <c r="K187" s="19" t="n">
        <v>30.8</v>
      </c>
      <c r="L187" s="17" t="n">
        <f aca="false">IF(K187="","",RANK(K187,$K$5:$K$359))</f>
        <v>290</v>
      </c>
      <c r="M187" s="17" t="str">
        <f aca="false">IF(AND(N(G187)&gt;=N(I187),N(G187)&gt;=N(K187)),"The Pulse",IF(N(I187)&gt;=N(K187),"The Lens","The Hub"))</f>
        <v>The Lens</v>
      </c>
      <c r="N187" s="21" t="s">
        <v>79</v>
      </c>
      <c r="O187" s="17" t="s">
        <v>22</v>
      </c>
    </row>
    <row r="188" customFormat="false" ht="15" hidden="false" customHeight="false" outlineLevel="0" collapsed="false">
      <c r="A188" s="17" t="s">
        <v>467</v>
      </c>
      <c r="B188" s="17" t="s">
        <v>468</v>
      </c>
      <c r="C188" s="17" t="s">
        <v>77</v>
      </c>
      <c r="D188" s="17" t="s">
        <v>105</v>
      </c>
      <c r="E188" s="17" t="s">
        <v>99</v>
      </c>
      <c r="F188" s="18" t="n">
        <v>161440</v>
      </c>
      <c r="G188" s="19" t="n">
        <v>51</v>
      </c>
      <c r="H188" s="17" t="n">
        <f aca="false">IF(G188="","",RANK(G188,$G$5:$G$359))</f>
        <v>182</v>
      </c>
      <c r="I188" s="19" t="n">
        <v>30.8</v>
      </c>
      <c r="J188" s="17" t="n">
        <f aca="false">IF(I188="","",RANK(I188,$I$5:$I$359))</f>
        <v>282</v>
      </c>
      <c r="K188" s="19" t="n">
        <v>40.9</v>
      </c>
      <c r="L188" s="17" t="n">
        <f aca="false">IF(K188="","",RANK(K188,$K$5:$K$359))</f>
        <v>227</v>
      </c>
      <c r="M188" s="17" t="str">
        <f aca="false">IF(AND(N(G188)&gt;=N(I188),N(G188)&gt;=N(K188)),"The Pulse",IF(N(I188)&gt;=N(K188),"The Lens","The Hub"))</f>
        <v>The Pulse</v>
      </c>
      <c r="N188" s="20" t="s">
        <v>74</v>
      </c>
      <c r="O188" s="17" t="s">
        <v>24</v>
      </c>
    </row>
    <row r="189" customFormat="false" ht="15" hidden="false" customHeight="false" outlineLevel="0" collapsed="false">
      <c r="A189" s="17" t="s">
        <v>469</v>
      </c>
      <c r="B189" s="17" t="s">
        <v>470</v>
      </c>
      <c r="C189" s="17" t="s">
        <v>82</v>
      </c>
      <c r="D189" s="17" t="s">
        <v>105</v>
      </c>
      <c r="E189" s="17" t="s">
        <v>99</v>
      </c>
      <c r="F189" s="18" t="n">
        <v>84790</v>
      </c>
      <c r="G189" s="19" t="n">
        <v>50.9</v>
      </c>
      <c r="H189" s="17" t="n">
        <f aca="false">IF(G189="","",RANK(G189,$G$5:$G$359))</f>
        <v>185</v>
      </c>
      <c r="I189" s="19" t="n">
        <v>66.4</v>
      </c>
      <c r="J189" s="17" t="n">
        <f aca="false">IF(I189="","",RANK(I189,$I$5:$I$359))</f>
        <v>88</v>
      </c>
      <c r="K189" s="19" t="n">
        <v>43.5</v>
      </c>
      <c r="L189" s="17" t="n">
        <f aca="false">IF(K189="","",RANK(K189,$K$5:$K$359))</f>
        <v>211</v>
      </c>
      <c r="M189" s="17" t="str">
        <f aca="false">IF(AND(N(G189)&gt;=N(I189),N(G189)&gt;=N(K189)),"The Pulse",IF(N(I189)&gt;=N(K189),"The Lens","The Hub"))</f>
        <v>The Lens</v>
      </c>
      <c r="N189" s="20" t="s">
        <v>74</v>
      </c>
      <c r="O189" s="17" t="s">
        <v>24</v>
      </c>
    </row>
    <row r="190" customFormat="false" ht="15" hidden="false" customHeight="false" outlineLevel="0" collapsed="false">
      <c r="A190" s="17" t="s">
        <v>471</v>
      </c>
      <c r="B190" s="17" t="s">
        <v>472</v>
      </c>
      <c r="C190" s="17" t="s">
        <v>115</v>
      </c>
      <c r="D190" s="17" t="s">
        <v>87</v>
      </c>
      <c r="E190" s="17" t="s">
        <v>99</v>
      </c>
      <c r="F190" s="18" t="n">
        <v>69950</v>
      </c>
      <c r="G190" s="19" t="n">
        <v>50.8</v>
      </c>
      <c r="H190" s="17" t="n">
        <f aca="false">IF(G190="","",RANK(G190,$G$5:$G$359))</f>
        <v>186</v>
      </c>
      <c r="I190" s="19" t="n">
        <v>35</v>
      </c>
      <c r="J190" s="17" t="n">
        <f aca="false">IF(I190="","",RANK(I190,$I$5:$I$359))</f>
        <v>266</v>
      </c>
      <c r="K190" s="19" t="n">
        <v>40.8</v>
      </c>
      <c r="L190" s="17" t="n">
        <f aca="false">IF(K190="","",RANK(K190,$K$5:$K$359))</f>
        <v>230</v>
      </c>
      <c r="M190" s="17" t="str">
        <f aca="false">IF(AND(N(G190)&gt;=N(I190),N(G190)&gt;=N(K190)),"The Pulse",IF(N(I190)&gt;=N(K190),"The Lens","The Hub"))</f>
        <v>The Pulse</v>
      </c>
      <c r="N190" s="21" t="s">
        <v>79</v>
      </c>
      <c r="O190" s="17" t="s">
        <v>88</v>
      </c>
    </row>
    <row r="191" customFormat="false" ht="15" hidden="false" customHeight="false" outlineLevel="0" collapsed="false">
      <c r="A191" s="17" t="s">
        <v>473</v>
      </c>
      <c r="B191" s="17" t="s">
        <v>474</v>
      </c>
      <c r="C191" s="17" t="s">
        <v>82</v>
      </c>
      <c r="D191" s="17" t="s">
        <v>102</v>
      </c>
      <c r="E191" s="17" t="s">
        <v>46</v>
      </c>
      <c r="F191" s="18" t="n">
        <v>489170</v>
      </c>
      <c r="G191" s="19" t="n">
        <v>50.7</v>
      </c>
      <c r="H191" s="17" t="n">
        <f aca="false">IF(G191="","",RANK(G191,$G$5:$G$359))</f>
        <v>187</v>
      </c>
      <c r="I191" s="19" t="n">
        <v>70.1</v>
      </c>
      <c r="J191" s="17" t="n">
        <f aca="false">IF(I191="","",RANK(I191,$I$5:$I$359))</f>
        <v>71</v>
      </c>
      <c r="K191" s="19" t="n">
        <v>61.1</v>
      </c>
      <c r="L191" s="17" t="n">
        <f aca="false">IF(K191="","",RANK(K191,$K$5:$K$359))</f>
        <v>100</v>
      </c>
      <c r="M191" s="17" t="str">
        <f aca="false">IF(AND(N(G191)&gt;=N(I191),N(G191)&gt;=N(K191)),"The Pulse",IF(N(I191)&gt;=N(K191),"The Lens","The Hub"))</f>
        <v>The Lens</v>
      </c>
      <c r="N191" s="21" t="s">
        <v>79</v>
      </c>
      <c r="O191" s="17" t="s">
        <v>22</v>
      </c>
    </row>
    <row r="192" customFormat="false" ht="15" hidden="false" customHeight="false" outlineLevel="0" collapsed="false">
      <c r="A192" s="17" t="s">
        <v>475</v>
      </c>
      <c r="B192" s="17" t="s">
        <v>476</v>
      </c>
      <c r="C192" s="17" t="s">
        <v>115</v>
      </c>
      <c r="D192" s="17" t="s">
        <v>105</v>
      </c>
      <c r="E192" s="17" t="s">
        <v>99</v>
      </c>
      <c r="F192" s="18" t="n">
        <v>1085238</v>
      </c>
      <c r="G192" s="19" t="n">
        <v>50.4</v>
      </c>
      <c r="H192" s="17" t="n">
        <f aca="false">IF(G192="","",RANK(G192,$G$5:$G$359))</f>
        <v>188</v>
      </c>
      <c r="I192" s="19" t="n">
        <v>74</v>
      </c>
      <c r="J192" s="17" t="n">
        <f aca="false">IF(I192="","",RANK(I192,$I$5:$I$359))</f>
        <v>58</v>
      </c>
      <c r="K192" s="19" t="n">
        <v>74.1</v>
      </c>
      <c r="L192" s="17" t="n">
        <f aca="false">IF(K192="","",RANK(K192,$K$5:$K$359))</f>
        <v>44</v>
      </c>
      <c r="M192" s="17" t="str">
        <f aca="false">IF(AND(N(G192)&gt;=N(I192),N(G192)&gt;=N(K192)),"The Pulse",IF(N(I192)&gt;=N(K192),"The Lens","The Hub"))</f>
        <v>The Hub</v>
      </c>
      <c r="N192" s="21" t="s">
        <v>79</v>
      </c>
      <c r="O192" s="17" t="s">
        <v>88</v>
      </c>
    </row>
    <row r="193" customFormat="false" ht="15" hidden="false" customHeight="false" outlineLevel="0" collapsed="false">
      <c r="A193" s="17" t="s">
        <v>477</v>
      </c>
      <c r="B193" s="17" t="s">
        <v>478</v>
      </c>
      <c r="C193" s="17" t="s">
        <v>115</v>
      </c>
      <c r="D193" s="17" t="s">
        <v>120</v>
      </c>
      <c r="E193" s="17" t="s">
        <v>99</v>
      </c>
      <c r="F193" s="18" t="n">
        <v>74831</v>
      </c>
      <c r="G193" s="19" t="n">
        <v>49.9</v>
      </c>
      <c r="H193" s="17" t="n">
        <f aca="false">IF(G193="","",RANK(G193,$G$5:$G$359))</f>
        <v>189</v>
      </c>
      <c r="I193" s="19" t="n">
        <v>27.5</v>
      </c>
      <c r="J193" s="17" t="n">
        <f aca="false">IF(I193="","",RANK(I193,$I$5:$I$359))</f>
        <v>297</v>
      </c>
      <c r="K193" s="19" t="n">
        <v>67.5</v>
      </c>
      <c r="L193" s="17" t="n">
        <f aca="false">IF(K193="","",RANK(K193,$K$5:$K$359))</f>
        <v>68</v>
      </c>
      <c r="M193" s="17" t="str">
        <f aca="false">IF(AND(N(G193)&gt;=N(I193),N(G193)&gt;=N(K193)),"The Pulse",IF(N(I193)&gt;=N(K193),"The Lens","The Hub"))</f>
        <v>The Hub</v>
      </c>
      <c r="N193" s="21" t="s">
        <v>79</v>
      </c>
      <c r="O193" s="17" t="s">
        <v>88</v>
      </c>
    </row>
    <row r="194" customFormat="false" ht="15" hidden="false" customHeight="false" outlineLevel="0" collapsed="false">
      <c r="A194" s="17" t="s">
        <v>479</v>
      </c>
      <c r="B194" s="17" t="s">
        <v>480</v>
      </c>
      <c r="C194" s="17" t="s">
        <v>91</v>
      </c>
      <c r="D194" s="17" t="s">
        <v>87</v>
      </c>
      <c r="E194" s="17" t="s">
        <v>99</v>
      </c>
      <c r="F194" s="18" t="n">
        <v>280635</v>
      </c>
      <c r="G194" s="19" t="n">
        <v>49.9</v>
      </c>
      <c r="H194" s="17" t="n">
        <f aca="false">IF(G194="","",RANK(G194,$G$5:$G$359))</f>
        <v>189</v>
      </c>
      <c r="I194" s="19" t="n">
        <v>6.1</v>
      </c>
      <c r="J194" s="17" t="n">
        <f aca="false">IF(I194="","",RANK(I194,$I$5:$I$359))</f>
        <v>348</v>
      </c>
      <c r="K194" s="19" t="n">
        <v>55.5</v>
      </c>
      <c r="L194" s="17" t="n">
        <f aca="false">IF(K194="","",RANK(K194,$K$5:$K$359))</f>
        <v>142</v>
      </c>
      <c r="M194" s="17" t="str">
        <f aca="false">IF(AND(N(G194)&gt;=N(I194),N(G194)&gt;=N(K194)),"The Pulse",IF(N(I194)&gt;=N(K194),"The Lens","The Hub"))</f>
        <v>The Hub</v>
      </c>
      <c r="N194" s="21" t="s">
        <v>79</v>
      </c>
      <c r="O194" s="17" t="s">
        <v>88</v>
      </c>
    </row>
    <row r="195" customFormat="false" ht="15" hidden="false" customHeight="false" outlineLevel="0" collapsed="false">
      <c r="A195" s="17" t="s">
        <v>481</v>
      </c>
      <c r="B195" s="17" t="s">
        <v>482</v>
      </c>
      <c r="C195" s="17" t="s">
        <v>123</v>
      </c>
      <c r="D195" s="17" t="s">
        <v>154</v>
      </c>
      <c r="E195" s="17" t="s">
        <v>99</v>
      </c>
      <c r="F195" s="18" t="n">
        <v>126626</v>
      </c>
      <c r="G195" s="19" t="n">
        <v>49.9</v>
      </c>
      <c r="H195" s="17" t="n">
        <f aca="false">IF(G195="","",RANK(G195,$G$5:$G$359))</f>
        <v>189</v>
      </c>
      <c r="I195" s="19" t="n">
        <v>61.8</v>
      </c>
      <c r="J195" s="17" t="n">
        <f aca="false">IF(I195="","",RANK(I195,$I$5:$I$359))</f>
        <v>112</v>
      </c>
      <c r="K195" s="19" t="n">
        <v>49.6</v>
      </c>
      <c r="L195" s="17" t="n">
        <f aca="false">IF(K195="","",RANK(K195,$K$5:$K$359))</f>
        <v>173</v>
      </c>
      <c r="M195" s="17" t="str">
        <f aca="false">IF(AND(N(G195)&gt;=N(I195),N(G195)&gt;=N(K195)),"The Pulse",IF(N(I195)&gt;=N(K195),"The Lens","The Hub"))</f>
        <v>The Lens</v>
      </c>
      <c r="N195" s="21" t="s">
        <v>79</v>
      </c>
      <c r="O195" s="17" t="s">
        <v>88</v>
      </c>
    </row>
    <row r="196" customFormat="false" ht="15" hidden="false" customHeight="false" outlineLevel="0" collapsed="false">
      <c r="A196" s="17" t="s">
        <v>483</v>
      </c>
      <c r="B196" s="17" t="s">
        <v>484</v>
      </c>
      <c r="C196" s="17" t="s">
        <v>123</v>
      </c>
      <c r="D196" s="17" t="s">
        <v>127</v>
      </c>
      <c r="E196" s="17" t="s">
        <v>106</v>
      </c>
      <c r="F196" s="18" t="n">
        <v>83209</v>
      </c>
      <c r="G196" s="19" t="n">
        <v>49.9</v>
      </c>
      <c r="H196" s="17" t="n">
        <f aca="false">IF(G196="","",RANK(G196,$G$5:$G$359))</f>
        <v>189</v>
      </c>
      <c r="I196" s="19" t="n">
        <v>54.8</v>
      </c>
      <c r="J196" s="17" t="n">
        <f aca="false">IF(I196="","",RANK(I196,$I$5:$I$359))</f>
        <v>160</v>
      </c>
      <c r="K196" s="19" t="n">
        <v>34.8</v>
      </c>
      <c r="L196" s="17" t="n">
        <f aca="false">IF(K196="","",RANK(K196,$K$5:$K$359))</f>
        <v>271</v>
      </c>
      <c r="M196" s="17" t="str">
        <f aca="false">IF(AND(N(G196)&gt;=N(I196),N(G196)&gt;=N(K196)),"The Pulse",IF(N(I196)&gt;=N(K196),"The Lens","The Hub"))</f>
        <v>The Lens</v>
      </c>
      <c r="N196" s="21" t="s">
        <v>79</v>
      </c>
      <c r="O196" s="17" t="s">
        <v>88</v>
      </c>
    </row>
    <row r="197" customFormat="false" ht="15" hidden="false" customHeight="false" outlineLevel="0" collapsed="false">
      <c r="A197" s="17" t="s">
        <v>485</v>
      </c>
      <c r="B197" s="17" t="s">
        <v>486</v>
      </c>
      <c r="C197" s="17" t="s">
        <v>98</v>
      </c>
      <c r="D197" s="17" t="s">
        <v>120</v>
      </c>
      <c r="E197" s="17" t="s">
        <v>92</v>
      </c>
      <c r="F197" s="18" t="n">
        <v>337110</v>
      </c>
      <c r="G197" s="19" t="n">
        <v>49.8</v>
      </c>
      <c r="H197" s="17" t="n">
        <f aca="false">IF(G197="","",RANK(G197,$G$5:$G$359))</f>
        <v>193</v>
      </c>
      <c r="I197" s="19" t="n">
        <v>49.3</v>
      </c>
      <c r="J197" s="17" t="n">
        <f aca="false">IF(I197="","",RANK(I197,$I$5:$I$359))</f>
        <v>183</v>
      </c>
      <c r="K197" s="19" t="n">
        <v>38.9</v>
      </c>
      <c r="L197" s="17" t="n">
        <f aca="false">IF(K197="","",RANK(K197,$K$5:$K$359))</f>
        <v>247</v>
      </c>
      <c r="M197" s="17" t="str">
        <f aca="false">IF(AND(N(G197)&gt;=N(I197),N(G197)&gt;=N(K197)),"The Pulse",IF(N(I197)&gt;=N(K197),"The Lens","The Hub"))</f>
        <v>The Pulse</v>
      </c>
      <c r="N197" s="20" t="s">
        <v>74</v>
      </c>
      <c r="O197" s="17" t="s">
        <v>24</v>
      </c>
    </row>
    <row r="198" customFormat="false" ht="15" hidden="false" customHeight="false" outlineLevel="0" collapsed="false">
      <c r="A198" s="17" t="s">
        <v>487</v>
      </c>
      <c r="B198" s="17" t="s">
        <v>488</v>
      </c>
      <c r="C198" s="17" t="s">
        <v>91</v>
      </c>
      <c r="D198" s="17" t="s">
        <v>87</v>
      </c>
      <c r="E198" s="17" t="s">
        <v>99</v>
      </c>
      <c r="F198" s="18" t="n">
        <v>382772</v>
      </c>
      <c r="G198" s="19" t="n">
        <v>49.6</v>
      </c>
      <c r="H198" s="17" t="n">
        <f aca="false">IF(G198="","",RANK(G198,$G$5:$G$359))</f>
        <v>194</v>
      </c>
      <c r="I198" s="19" t="n">
        <v>63.2</v>
      </c>
      <c r="J198" s="17" t="n">
        <f aca="false">IF(I198="","",RANK(I198,$I$5:$I$359))</f>
        <v>104</v>
      </c>
      <c r="K198" s="19" t="n">
        <v>79.5</v>
      </c>
      <c r="L198" s="17" t="n">
        <f aca="false">IF(K198="","",RANK(K198,$K$5:$K$359))</f>
        <v>35</v>
      </c>
      <c r="M198" s="17" t="str">
        <f aca="false">IF(AND(N(G198)&gt;=N(I198),N(G198)&gt;=N(K198)),"The Pulse",IF(N(I198)&gt;=N(K198),"The Lens","The Hub"))</f>
        <v>The Hub</v>
      </c>
      <c r="N198" s="21" t="s">
        <v>79</v>
      </c>
      <c r="O198" s="17" t="s">
        <v>88</v>
      </c>
    </row>
    <row r="199" customFormat="false" ht="15" hidden="false" customHeight="false" outlineLevel="0" collapsed="false">
      <c r="A199" s="17" t="s">
        <v>489</v>
      </c>
      <c r="B199" s="17" t="s">
        <v>490</v>
      </c>
      <c r="C199" s="17" t="s">
        <v>77</v>
      </c>
      <c r="D199" s="17" t="s">
        <v>87</v>
      </c>
      <c r="E199" s="17" t="s">
        <v>45</v>
      </c>
      <c r="F199" s="18" t="n">
        <v>234840</v>
      </c>
      <c r="G199" s="19" t="n">
        <v>49.3</v>
      </c>
      <c r="H199" s="17" t="n">
        <f aca="false">IF(G199="","",RANK(G199,$G$5:$G$359))</f>
        <v>195</v>
      </c>
      <c r="I199" s="19" t="n">
        <v>91.4</v>
      </c>
      <c r="J199" s="17" t="n">
        <f aca="false">IF(I199="","",RANK(I199,$I$5:$I$359))</f>
        <v>10</v>
      </c>
      <c r="K199" s="19" t="n">
        <v>38.5</v>
      </c>
      <c r="L199" s="17" t="n">
        <f aca="false">IF(K199="","",RANK(K199,$K$5:$K$359))</f>
        <v>250</v>
      </c>
      <c r="M199" s="17" t="str">
        <f aca="false">IF(AND(N(G199)&gt;=N(I199),N(G199)&gt;=N(K199)),"The Pulse",IF(N(I199)&gt;=N(K199),"The Lens","The Hub"))</f>
        <v>The Lens</v>
      </c>
      <c r="N199" s="20" t="s">
        <v>74</v>
      </c>
      <c r="O199" s="17" t="s">
        <v>24</v>
      </c>
    </row>
    <row r="200" customFormat="false" ht="15" hidden="false" customHeight="false" outlineLevel="0" collapsed="false">
      <c r="A200" s="17" t="s">
        <v>491</v>
      </c>
      <c r="B200" s="17" t="s">
        <v>492</v>
      </c>
      <c r="C200" s="17" t="s">
        <v>82</v>
      </c>
      <c r="D200" s="17" t="s">
        <v>127</v>
      </c>
      <c r="E200" s="17" t="s">
        <v>92</v>
      </c>
      <c r="F200" s="18" t="n">
        <v>36239</v>
      </c>
      <c r="G200" s="19" t="n">
        <v>49.3</v>
      </c>
      <c r="H200" s="17" t="n">
        <f aca="false">IF(G200="","",RANK(G200,$G$5:$G$359))</f>
        <v>195</v>
      </c>
      <c r="I200" s="19" t="n">
        <v>43.8</v>
      </c>
      <c r="J200" s="17" t="n">
        <f aca="false">IF(I200="","",RANK(I200,$I$5:$I$359))</f>
        <v>218</v>
      </c>
      <c r="K200" s="19" t="n">
        <v>59.1</v>
      </c>
      <c r="L200" s="17" t="n">
        <f aca="false">IF(K200="","",RANK(K200,$K$5:$K$359))</f>
        <v>111</v>
      </c>
      <c r="M200" s="17" t="str">
        <f aca="false">IF(AND(N(G200)&gt;=N(I200),N(G200)&gt;=N(K200)),"The Pulse",IF(N(I200)&gt;=N(K200),"The Lens","The Hub"))</f>
        <v>The Hub</v>
      </c>
      <c r="N200" s="21" t="s">
        <v>79</v>
      </c>
      <c r="O200" s="17" t="s">
        <v>88</v>
      </c>
    </row>
    <row r="201" customFormat="false" ht="15" hidden="false" customHeight="false" outlineLevel="0" collapsed="false">
      <c r="A201" s="17" t="s">
        <v>493</v>
      </c>
      <c r="B201" s="17" t="s">
        <v>494</v>
      </c>
      <c r="C201" s="17" t="s">
        <v>77</v>
      </c>
      <c r="D201" s="17"/>
      <c r="E201" s="17" t="s">
        <v>45</v>
      </c>
      <c r="F201" s="18" t="n">
        <v>86110</v>
      </c>
      <c r="G201" s="19" t="n">
        <v>48.8</v>
      </c>
      <c r="H201" s="17" t="n">
        <f aca="false">IF(G201="","",RANK(G201,$G$5:$G$359))</f>
        <v>197</v>
      </c>
      <c r="I201" s="19" t="n">
        <v>24.4</v>
      </c>
      <c r="J201" s="17" t="n">
        <f aca="false">IF(I201="","",RANK(I201,$I$5:$I$359))</f>
        <v>306</v>
      </c>
      <c r="K201" s="19"/>
      <c r="L201" s="17" t="str">
        <f aca="false">IF(K201="","",RANK(K201,$K$5:$K$359))</f>
        <v/>
      </c>
      <c r="M201" s="17" t="str">
        <f aca="false">IF(AND(N(G201)&gt;=N(I201),N(G201)&gt;=N(K201)),"The Pulse",IF(N(I201)&gt;=N(K201),"The Lens","The Hub"))</f>
        <v>The Pulse</v>
      </c>
      <c r="N201" s="20" t="s">
        <v>74</v>
      </c>
      <c r="O201" s="17" t="s">
        <v>24</v>
      </c>
    </row>
    <row r="202" customFormat="false" ht="15" hidden="false" customHeight="false" outlineLevel="0" collapsed="false">
      <c r="A202" s="17" t="s">
        <v>495</v>
      </c>
      <c r="B202" s="17" t="s">
        <v>496</v>
      </c>
      <c r="C202" s="17" t="s">
        <v>77</v>
      </c>
      <c r="D202" s="17" t="s">
        <v>124</v>
      </c>
      <c r="E202" s="17" t="s">
        <v>99</v>
      </c>
      <c r="F202" s="18" t="n">
        <v>452549</v>
      </c>
      <c r="G202" s="19" t="n">
        <v>48.7</v>
      </c>
      <c r="H202" s="17" t="n">
        <f aca="false">IF(G202="","",RANK(G202,$G$5:$G$359))</f>
        <v>198</v>
      </c>
      <c r="I202" s="19" t="n">
        <v>66.8</v>
      </c>
      <c r="J202" s="17" t="n">
        <f aca="false">IF(I202="","",RANK(I202,$I$5:$I$359))</f>
        <v>86</v>
      </c>
      <c r="K202" s="19" t="n">
        <v>46.2</v>
      </c>
      <c r="L202" s="17" t="n">
        <f aca="false">IF(K202="","",RANK(K202,$K$5:$K$359))</f>
        <v>195</v>
      </c>
      <c r="M202" s="17" t="str">
        <f aca="false">IF(AND(N(G202)&gt;=N(I202),N(G202)&gt;=N(K202)),"The Pulse",IF(N(I202)&gt;=N(K202),"The Lens","The Hub"))</f>
        <v>The Lens</v>
      </c>
      <c r="N202" s="21" t="s">
        <v>79</v>
      </c>
      <c r="O202" s="17" t="s">
        <v>88</v>
      </c>
    </row>
    <row r="203" customFormat="false" ht="15" hidden="false" customHeight="false" outlineLevel="0" collapsed="false">
      <c r="A203" s="17" t="s">
        <v>497</v>
      </c>
      <c r="B203" s="17" t="s">
        <v>498</v>
      </c>
      <c r="C203" s="17" t="s">
        <v>86</v>
      </c>
      <c r="D203" s="17" t="s">
        <v>127</v>
      </c>
      <c r="E203" s="17" t="s">
        <v>99</v>
      </c>
      <c r="F203" s="18" t="n">
        <v>19107</v>
      </c>
      <c r="G203" s="19" t="n">
        <v>48.7</v>
      </c>
      <c r="H203" s="17" t="n">
        <f aca="false">IF(G203="","",RANK(G203,$G$5:$G$359))</f>
        <v>198</v>
      </c>
      <c r="I203" s="19" t="n">
        <v>69</v>
      </c>
      <c r="J203" s="17" t="n">
        <f aca="false">IF(I203="","",RANK(I203,$I$5:$I$359))</f>
        <v>75</v>
      </c>
      <c r="K203" s="19" t="n">
        <v>40.7</v>
      </c>
      <c r="L203" s="17" t="n">
        <f aca="false">IF(K203="","",RANK(K203,$K$5:$K$359))</f>
        <v>233</v>
      </c>
      <c r="M203" s="17" t="str">
        <f aca="false">IF(AND(N(G203)&gt;=N(I203),N(G203)&gt;=N(K203)),"The Pulse",IF(N(I203)&gt;=N(K203),"The Lens","The Hub"))</f>
        <v>The Lens</v>
      </c>
      <c r="N203" s="21" t="s">
        <v>79</v>
      </c>
      <c r="O203" s="17" t="s">
        <v>88</v>
      </c>
    </row>
    <row r="204" customFormat="false" ht="15" hidden="false" customHeight="false" outlineLevel="0" collapsed="false">
      <c r="A204" s="17" t="s">
        <v>499</v>
      </c>
      <c r="B204" s="17" t="s">
        <v>500</v>
      </c>
      <c r="C204" s="17" t="s">
        <v>98</v>
      </c>
      <c r="D204" s="17" t="s">
        <v>78</v>
      </c>
      <c r="E204" s="17" t="s">
        <v>92</v>
      </c>
      <c r="F204" s="18" t="n">
        <v>67060</v>
      </c>
      <c r="G204" s="19" t="n">
        <v>48.6</v>
      </c>
      <c r="H204" s="17" t="n">
        <f aca="false">IF(G204="","",RANK(G204,$G$5:$G$359))</f>
        <v>200</v>
      </c>
      <c r="I204" s="19" t="n">
        <v>29.6</v>
      </c>
      <c r="J204" s="17" t="n">
        <f aca="false">IF(I204="","",RANK(I204,$I$5:$I$359))</f>
        <v>288</v>
      </c>
      <c r="K204" s="19" t="n">
        <v>37.5</v>
      </c>
      <c r="L204" s="17" t="n">
        <f aca="false">IF(K204="","",RANK(K204,$K$5:$K$359))</f>
        <v>257</v>
      </c>
      <c r="M204" s="17" t="str">
        <f aca="false">IF(AND(N(G204)&gt;=N(I204),N(G204)&gt;=N(K204)),"The Pulse",IF(N(I204)&gt;=N(K204),"The Lens","The Hub"))</f>
        <v>The Pulse</v>
      </c>
      <c r="N204" s="20" t="s">
        <v>74</v>
      </c>
      <c r="O204" s="17" t="s">
        <v>24</v>
      </c>
    </row>
    <row r="205" customFormat="false" ht="15" hidden="false" customHeight="false" outlineLevel="0" collapsed="false">
      <c r="A205" s="17" t="s">
        <v>501</v>
      </c>
      <c r="B205" s="17" t="s">
        <v>502</v>
      </c>
      <c r="C205" s="17" t="s">
        <v>86</v>
      </c>
      <c r="D205" s="17" t="s">
        <v>124</v>
      </c>
      <c r="E205" s="17" t="s">
        <v>149</v>
      </c>
      <c r="F205" s="18" t="n">
        <v>189880</v>
      </c>
      <c r="G205" s="19" t="n">
        <v>48.6</v>
      </c>
      <c r="H205" s="17" t="n">
        <f aca="false">IF(G205="","",RANK(G205,$G$5:$G$359))</f>
        <v>200</v>
      </c>
      <c r="I205" s="19" t="n">
        <v>66.2</v>
      </c>
      <c r="J205" s="17" t="n">
        <f aca="false">IF(I205="","",RANK(I205,$I$5:$I$359))</f>
        <v>90</v>
      </c>
      <c r="K205" s="19" t="n">
        <v>40.7</v>
      </c>
      <c r="L205" s="17" t="n">
        <f aca="false">IF(K205="","",RANK(K205,$K$5:$K$359))</f>
        <v>233</v>
      </c>
      <c r="M205" s="17" t="str">
        <f aca="false">IF(AND(N(G205)&gt;=N(I205),N(G205)&gt;=N(K205)),"The Pulse",IF(N(I205)&gt;=N(K205),"The Lens","The Hub"))</f>
        <v>The Lens</v>
      </c>
      <c r="N205" s="20" t="s">
        <v>74</v>
      </c>
      <c r="O205" s="17" t="s">
        <v>24</v>
      </c>
    </row>
    <row r="206" customFormat="false" ht="15" hidden="false" customHeight="false" outlineLevel="0" collapsed="false">
      <c r="A206" s="17" t="s">
        <v>503</v>
      </c>
      <c r="B206" s="17" t="s">
        <v>504</v>
      </c>
      <c r="C206" s="17" t="s">
        <v>77</v>
      </c>
      <c r="D206" s="17" t="s">
        <v>127</v>
      </c>
      <c r="E206" s="17" t="s">
        <v>92</v>
      </c>
      <c r="F206" s="18" t="n">
        <v>18436</v>
      </c>
      <c r="G206" s="19" t="n">
        <v>48.4</v>
      </c>
      <c r="H206" s="17" t="n">
        <f aca="false">IF(G206="","",RANK(G206,$G$5:$G$359))</f>
        <v>202</v>
      </c>
      <c r="I206" s="19" t="n">
        <v>50</v>
      </c>
      <c r="J206" s="17" t="n">
        <f aca="false">IF(I206="","",RANK(I206,$I$5:$I$359))</f>
        <v>178</v>
      </c>
      <c r="K206" s="19" t="n">
        <v>57.2</v>
      </c>
      <c r="L206" s="17" t="n">
        <f aca="false">IF(K206="","",RANK(K206,$K$5:$K$359))</f>
        <v>126</v>
      </c>
      <c r="M206" s="17" t="str">
        <f aca="false">IF(AND(N(G206)&gt;=N(I206),N(G206)&gt;=N(K206)),"The Pulse",IF(N(I206)&gt;=N(K206),"The Lens","The Hub"))</f>
        <v>The Hub</v>
      </c>
      <c r="N206" s="21" t="s">
        <v>79</v>
      </c>
      <c r="O206" s="17" t="s">
        <v>88</v>
      </c>
    </row>
    <row r="207" customFormat="false" ht="15" hidden="false" customHeight="false" outlineLevel="0" collapsed="false">
      <c r="A207" s="17" t="s">
        <v>505</v>
      </c>
      <c r="B207" s="17" t="s">
        <v>506</v>
      </c>
      <c r="C207" s="17" t="s">
        <v>123</v>
      </c>
      <c r="D207" s="17" t="s">
        <v>120</v>
      </c>
      <c r="E207" s="17" t="s">
        <v>99</v>
      </c>
      <c r="F207" s="18" t="n">
        <v>112505</v>
      </c>
      <c r="G207" s="19" t="n">
        <v>48.1</v>
      </c>
      <c r="H207" s="17" t="n">
        <f aca="false">IF(G207="","",RANK(G207,$G$5:$G$359))</f>
        <v>203</v>
      </c>
      <c r="I207" s="19" t="n">
        <v>36.2</v>
      </c>
      <c r="J207" s="17" t="n">
        <f aca="false">IF(I207="","",RANK(I207,$I$5:$I$359))</f>
        <v>260</v>
      </c>
      <c r="K207" s="19" t="n">
        <v>21.4</v>
      </c>
      <c r="L207" s="17" t="n">
        <f aca="false">IF(K207="","",RANK(K207,$K$5:$K$359))</f>
        <v>312</v>
      </c>
      <c r="M207" s="17" t="str">
        <f aca="false">IF(AND(N(G207)&gt;=N(I207),N(G207)&gt;=N(K207)),"The Pulse",IF(N(I207)&gt;=N(K207),"The Lens","The Hub"))</f>
        <v>The Pulse</v>
      </c>
      <c r="N207" s="21" t="s">
        <v>79</v>
      </c>
      <c r="O207" s="17" t="s">
        <v>88</v>
      </c>
    </row>
    <row r="208" customFormat="false" ht="15" hidden="false" customHeight="false" outlineLevel="0" collapsed="false">
      <c r="A208" s="17" t="s">
        <v>507</v>
      </c>
      <c r="B208" s="17" t="s">
        <v>508</v>
      </c>
      <c r="C208" s="17" t="s">
        <v>162</v>
      </c>
      <c r="D208" s="17" t="s">
        <v>127</v>
      </c>
      <c r="E208" s="17" t="s">
        <v>92</v>
      </c>
      <c r="F208" s="18" t="n">
        <v>25085</v>
      </c>
      <c r="G208" s="19" t="n">
        <v>47.8</v>
      </c>
      <c r="H208" s="17" t="n">
        <f aca="false">IF(G208="","",RANK(G208,$G$5:$G$359))</f>
        <v>204</v>
      </c>
      <c r="I208" s="19" t="n">
        <v>74.6</v>
      </c>
      <c r="J208" s="17" t="n">
        <f aca="false">IF(I208="","",RANK(I208,$I$5:$I$359))</f>
        <v>53</v>
      </c>
      <c r="K208" s="19" t="n">
        <v>40.8</v>
      </c>
      <c r="L208" s="17" t="n">
        <f aca="false">IF(K208="","",RANK(K208,$K$5:$K$359))</f>
        <v>230</v>
      </c>
      <c r="M208" s="17" t="str">
        <f aca="false">IF(AND(N(G208)&gt;=N(I208),N(G208)&gt;=N(K208)),"The Pulse",IF(N(I208)&gt;=N(K208),"The Lens","The Hub"))</f>
        <v>The Lens</v>
      </c>
      <c r="N208" s="21" t="s">
        <v>79</v>
      </c>
      <c r="O208" s="17" t="s">
        <v>88</v>
      </c>
    </row>
    <row r="209" customFormat="false" ht="15" hidden="false" customHeight="false" outlineLevel="0" collapsed="false">
      <c r="A209" s="17" t="s">
        <v>509</v>
      </c>
      <c r="B209" s="17" t="s">
        <v>510</v>
      </c>
      <c r="C209" s="17" t="s">
        <v>95</v>
      </c>
      <c r="D209" s="17" t="s">
        <v>83</v>
      </c>
      <c r="E209" s="17" t="s">
        <v>99</v>
      </c>
      <c r="F209" s="18" t="n">
        <v>159830</v>
      </c>
      <c r="G209" s="19" t="n">
        <v>47.8</v>
      </c>
      <c r="H209" s="17" t="n">
        <f aca="false">IF(G209="","",RANK(G209,$G$5:$G$359))</f>
        <v>204</v>
      </c>
      <c r="I209" s="19" t="n">
        <v>40.8</v>
      </c>
      <c r="J209" s="17" t="n">
        <f aca="false">IF(I209="","",RANK(I209,$I$5:$I$359))</f>
        <v>236</v>
      </c>
      <c r="K209" s="19" t="n">
        <v>40.7</v>
      </c>
      <c r="L209" s="17" t="n">
        <f aca="false">IF(K209="","",RANK(K209,$K$5:$K$359))</f>
        <v>233</v>
      </c>
      <c r="M209" s="17" t="str">
        <f aca="false">IF(AND(N(G209)&gt;=N(I209),N(G209)&gt;=N(K209)),"The Pulse",IF(N(I209)&gt;=N(K209),"The Lens","The Hub"))</f>
        <v>The Pulse</v>
      </c>
      <c r="N209" s="20" t="s">
        <v>74</v>
      </c>
      <c r="O209" s="17" t="s">
        <v>24</v>
      </c>
    </row>
    <row r="210" customFormat="false" ht="15" hidden="false" customHeight="false" outlineLevel="0" collapsed="false">
      <c r="A210" s="17" t="s">
        <v>511</v>
      </c>
      <c r="B210" s="17" t="s">
        <v>512</v>
      </c>
      <c r="C210" s="17" t="s">
        <v>91</v>
      </c>
      <c r="D210" s="17" t="s">
        <v>127</v>
      </c>
      <c r="E210" s="17" t="s">
        <v>45</v>
      </c>
      <c r="F210" s="18" t="n">
        <v>1998</v>
      </c>
      <c r="G210" s="19" t="n">
        <v>47.6</v>
      </c>
      <c r="H210" s="17" t="n">
        <f aca="false">IF(G210="","",RANK(G210,$G$5:$G$359))</f>
        <v>206</v>
      </c>
      <c r="I210" s="19" t="n">
        <v>66.2</v>
      </c>
      <c r="J210" s="17" t="n">
        <f aca="false">IF(I210="","",RANK(I210,$I$5:$I$359))</f>
        <v>90</v>
      </c>
      <c r="K210" s="19" t="n">
        <v>42</v>
      </c>
      <c r="L210" s="17" t="n">
        <f aca="false">IF(K210="","",RANK(K210,$K$5:$K$359))</f>
        <v>219</v>
      </c>
      <c r="M210" s="17" t="str">
        <f aca="false">IF(AND(N(G210)&gt;=N(I210),N(G210)&gt;=N(K210)),"The Pulse",IF(N(I210)&gt;=N(K210),"The Lens","The Hub"))</f>
        <v>The Lens</v>
      </c>
      <c r="N210" s="21" t="s">
        <v>79</v>
      </c>
      <c r="O210" s="17" t="s">
        <v>22</v>
      </c>
    </row>
    <row r="211" customFormat="false" ht="15" hidden="false" customHeight="false" outlineLevel="0" collapsed="false">
      <c r="A211" s="17" t="s">
        <v>513</v>
      </c>
      <c r="B211" s="17" t="s">
        <v>514</v>
      </c>
      <c r="C211" s="17" t="s">
        <v>72</v>
      </c>
      <c r="D211" s="17" t="s">
        <v>154</v>
      </c>
      <c r="E211" s="17" t="s">
        <v>99</v>
      </c>
      <c r="F211" s="18" t="n">
        <v>176761</v>
      </c>
      <c r="G211" s="19" t="n">
        <v>47.3</v>
      </c>
      <c r="H211" s="17" t="n">
        <f aca="false">IF(G211="","",RANK(G211,$G$5:$G$359))</f>
        <v>207</v>
      </c>
      <c r="I211" s="19" t="n">
        <v>12.9</v>
      </c>
      <c r="J211" s="17" t="n">
        <f aca="false">IF(I211="","",RANK(I211,$I$5:$I$359))</f>
        <v>336</v>
      </c>
      <c r="K211" s="19" t="n">
        <v>62.2</v>
      </c>
      <c r="L211" s="17" t="n">
        <f aca="false">IF(K211="","",RANK(K211,$K$5:$K$359))</f>
        <v>92</v>
      </c>
      <c r="M211" s="17" t="str">
        <f aca="false">IF(AND(N(G211)&gt;=N(I211),N(G211)&gt;=N(K211)),"The Pulse",IF(N(I211)&gt;=N(K211),"The Lens","The Hub"))</f>
        <v>The Hub</v>
      </c>
      <c r="N211" s="21" t="s">
        <v>79</v>
      </c>
      <c r="O211" s="17" t="s">
        <v>88</v>
      </c>
    </row>
    <row r="212" customFormat="false" ht="15" hidden="false" customHeight="false" outlineLevel="0" collapsed="false">
      <c r="A212" s="17" t="s">
        <v>515</v>
      </c>
      <c r="B212" s="17" t="s">
        <v>516</v>
      </c>
      <c r="C212" s="17" t="s">
        <v>98</v>
      </c>
      <c r="D212" s="17" t="s">
        <v>105</v>
      </c>
      <c r="E212" s="17" t="s">
        <v>99</v>
      </c>
      <c r="F212" s="18" t="n">
        <v>695309</v>
      </c>
      <c r="G212" s="19" t="n">
        <v>47</v>
      </c>
      <c r="H212" s="17" t="n">
        <f aca="false">IF(G212="","",RANK(G212,$G$5:$G$359))</f>
        <v>208</v>
      </c>
      <c r="I212" s="19" t="n">
        <v>13.5</v>
      </c>
      <c r="J212" s="17" t="n">
        <f aca="false">IF(I212="","",RANK(I212,$I$5:$I$359))</f>
        <v>335</v>
      </c>
      <c r="K212" s="19" t="n">
        <v>60.8</v>
      </c>
      <c r="L212" s="17" t="n">
        <f aca="false">IF(K212="","",RANK(K212,$K$5:$K$359))</f>
        <v>102</v>
      </c>
      <c r="M212" s="17" t="str">
        <f aca="false">IF(AND(N(G212)&gt;=N(I212),N(G212)&gt;=N(K212)),"The Pulse",IF(N(I212)&gt;=N(K212),"The Lens","The Hub"))</f>
        <v>The Hub</v>
      </c>
      <c r="N212" s="22" t="s">
        <v>109</v>
      </c>
      <c r="O212" s="17" t="s">
        <v>134</v>
      </c>
    </row>
    <row r="213" customFormat="false" ht="15" hidden="false" customHeight="false" outlineLevel="0" collapsed="false">
      <c r="A213" s="17" t="s">
        <v>517</v>
      </c>
      <c r="B213" s="17" t="s">
        <v>518</v>
      </c>
      <c r="C213" s="17" t="s">
        <v>123</v>
      </c>
      <c r="D213" s="17" t="s">
        <v>120</v>
      </c>
      <c r="E213" s="17" t="s">
        <v>99</v>
      </c>
      <c r="F213" s="18" t="n">
        <v>86350</v>
      </c>
      <c r="G213" s="19" t="n">
        <v>46.9</v>
      </c>
      <c r="H213" s="17" t="n">
        <f aca="false">IF(G213="","",RANK(G213,$G$5:$G$359))</f>
        <v>209</v>
      </c>
      <c r="I213" s="19" t="n">
        <v>66.9</v>
      </c>
      <c r="J213" s="17" t="n">
        <f aca="false">IF(I213="","",RANK(I213,$I$5:$I$359))</f>
        <v>84</v>
      </c>
      <c r="K213" s="19" t="n">
        <v>54.9</v>
      </c>
      <c r="L213" s="17" t="n">
        <f aca="false">IF(K213="","",RANK(K213,$K$5:$K$359))</f>
        <v>144</v>
      </c>
      <c r="M213" s="17" t="str">
        <f aca="false">IF(AND(N(G213)&gt;=N(I213),N(G213)&gt;=N(K213)),"The Pulse",IF(N(I213)&gt;=N(K213),"The Lens","The Hub"))</f>
        <v>The Lens</v>
      </c>
      <c r="N213" s="20" t="s">
        <v>74</v>
      </c>
      <c r="O213" s="17" t="s">
        <v>24</v>
      </c>
    </row>
    <row r="214" customFormat="false" ht="15" hidden="false" customHeight="false" outlineLevel="0" collapsed="false">
      <c r="A214" s="17" t="s">
        <v>519</v>
      </c>
      <c r="B214" s="17" t="s">
        <v>520</v>
      </c>
      <c r="C214" s="17" t="s">
        <v>123</v>
      </c>
      <c r="D214" s="17" t="s">
        <v>78</v>
      </c>
      <c r="E214" s="17" t="s">
        <v>99</v>
      </c>
      <c r="F214" s="18" t="n">
        <v>42997</v>
      </c>
      <c r="G214" s="19" t="n">
        <v>46.3</v>
      </c>
      <c r="H214" s="17" t="n">
        <f aca="false">IF(G214="","",RANK(G214,$G$5:$G$359))</f>
        <v>210</v>
      </c>
      <c r="I214" s="19" t="n">
        <v>35.6</v>
      </c>
      <c r="J214" s="17" t="n">
        <f aca="false">IF(I214="","",RANK(I214,$I$5:$I$359))</f>
        <v>264</v>
      </c>
      <c r="K214" s="19" t="n">
        <v>61.7</v>
      </c>
      <c r="L214" s="17" t="n">
        <f aca="false">IF(K214="","",RANK(K214,$K$5:$K$359))</f>
        <v>99</v>
      </c>
      <c r="M214" s="17" t="str">
        <f aca="false">IF(AND(N(G214)&gt;=N(I214),N(G214)&gt;=N(K214)),"The Pulse",IF(N(I214)&gt;=N(K214),"The Lens","The Hub"))</f>
        <v>The Hub</v>
      </c>
      <c r="N214" s="22" t="s">
        <v>109</v>
      </c>
      <c r="O214" s="17" t="s">
        <v>134</v>
      </c>
    </row>
    <row r="215" customFormat="false" ht="15" hidden="false" customHeight="false" outlineLevel="0" collapsed="false">
      <c r="A215" s="17" t="s">
        <v>521</v>
      </c>
      <c r="B215" s="17" t="s">
        <v>522</v>
      </c>
      <c r="C215" s="17" t="s">
        <v>77</v>
      </c>
      <c r="D215" s="17" t="s">
        <v>87</v>
      </c>
      <c r="E215" s="17" t="s">
        <v>99</v>
      </c>
      <c r="F215" s="18" t="n">
        <v>419090</v>
      </c>
      <c r="G215" s="19" t="n">
        <v>46.3</v>
      </c>
      <c r="H215" s="17" t="n">
        <f aca="false">IF(G215="","",RANK(G215,$G$5:$G$359))</f>
        <v>210</v>
      </c>
      <c r="I215" s="19" t="n">
        <v>39.3</v>
      </c>
      <c r="J215" s="17" t="n">
        <f aca="false">IF(I215="","",RANK(I215,$I$5:$I$359))</f>
        <v>246</v>
      </c>
      <c r="K215" s="19" t="n">
        <v>34</v>
      </c>
      <c r="L215" s="17" t="n">
        <f aca="false">IF(K215="","",RANK(K215,$K$5:$K$359))</f>
        <v>276</v>
      </c>
      <c r="M215" s="17" t="str">
        <f aca="false">IF(AND(N(G215)&gt;=N(I215),N(G215)&gt;=N(K215)),"The Pulse",IF(N(I215)&gt;=N(K215),"The Lens","The Hub"))</f>
        <v>The Pulse</v>
      </c>
      <c r="N215" s="21" t="s">
        <v>79</v>
      </c>
      <c r="O215" s="17" t="s">
        <v>88</v>
      </c>
    </row>
    <row r="216" customFormat="false" ht="15" hidden="false" customHeight="false" outlineLevel="0" collapsed="false">
      <c r="A216" s="17" t="s">
        <v>523</v>
      </c>
      <c r="B216" s="17" t="s">
        <v>524</v>
      </c>
      <c r="C216" s="17" t="s">
        <v>162</v>
      </c>
      <c r="D216" s="17" t="s">
        <v>154</v>
      </c>
      <c r="E216" s="17" t="s">
        <v>99</v>
      </c>
      <c r="F216" s="18" t="n">
        <v>155502</v>
      </c>
      <c r="G216" s="19" t="n">
        <v>46.1</v>
      </c>
      <c r="H216" s="17" t="n">
        <f aca="false">IF(G216="","",RANK(G216,$G$5:$G$359))</f>
        <v>212</v>
      </c>
      <c r="I216" s="19" t="n">
        <v>32.1</v>
      </c>
      <c r="J216" s="17" t="n">
        <f aca="false">IF(I216="","",RANK(I216,$I$5:$I$359))</f>
        <v>279</v>
      </c>
      <c r="K216" s="19" t="n">
        <v>41.5</v>
      </c>
      <c r="L216" s="17" t="n">
        <f aca="false">IF(K216="","",RANK(K216,$K$5:$K$359))</f>
        <v>223</v>
      </c>
      <c r="M216" s="17" t="str">
        <f aca="false">IF(AND(N(G216)&gt;=N(I216),N(G216)&gt;=N(K216)),"The Pulse",IF(N(I216)&gt;=N(K216),"The Lens","The Hub"))</f>
        <v>The Pulse</v>
      </c>
      <c r="N216" s="21" t="s">
        <v>79</v>
      </c>
      <c r="O216" s="17" t="s">
        <v>88</v>
      </c>
    </row>
    <row r="217" customFormat="false" ht="15" hidden="false" customHeight="false" outlineLevel="0" collapsed="false">
      <c r="A217" s="17" t="s">
        <v>525</v>
      </c>
      <c r="B217" s="17" t="s">
        <v>526</v>
      </c>
      <c r="C217" s="17" t="s">
        <v>77</v>
      </c>
      <c r="D217" s="17"/>
      <c r="E217" s="17" t="s">
        <v>46</v>
      </c>
      <c r="F217" s="18" t="n">
        <v>831600</v>
      </c>
      <c r="G217" s="19" t="n">
        <v>45.8</v>
      </c>
      <c r="H217" s="17" t="n">
        <f aca="false">IF(G217="","",RANK(G217,$G$5:$G$359))</f>
        <v>213</v>
      </c>
      <c r="I217" s="19" t="n">
        <v>64.3</v>
      </c>
      <c r="J217" s="17" t="n">
        <f aca="false">IF(I217="","",RANK(I217,$I$5:$I$359))</f>
        <v>97</v>
      </c>
      <c r="K217" s="19" t="n">
        <v>78.6</v>
      </c>
      <c r="L217" s="17" t="n">
        <f aca="false">IF(K217="","",RANK(K217,$K$5:$K$359))</f>
        <v>36</v>
      </c>
      <c r="M217" s="17" t="str">
        <f aca="false">IF(AND(N(G217)&gt;=N(I217),N(G217)&gt;=N(K217)),"The Pulse",IF(N(I217)&gt;=N(K217),"The Lens","The Hub"))</f>
        <v>The Hub</v>
      </c>
      <c r="N217" s="21" t="s">
        <v>79</v>
      </c>
      <c r="O217" s="17" t="s">
        <v>88</v>
      </c>
    </row>
    <row r="218" customFormat="false" ht="15" hidden="false" customHeight="false" outlineLevel="0" collapsed="false">
      <c r="A218" s="17" t="s">
        <v>527</v>
      </c>
      <c r="B218" s="17" t="s">
        <v>528</v>
      </c>
      <c r="C218" s="17" t="s">
        <v>115</v>
      </c>
      <c r="D218" s="17" t="s">
        <v>73</v>
      </c>
      <c r="E218" s="17" t="s">
        <v>99</v>
      </c>
      <c r="F218" s="18" t="n">
        <v>147073</v>
      </c>
      <c r="G218" s="19" t="n">
        <v>45.8</v>
      </c>
      <c r="H218" s="17" t="n">
        <f aca="false">IF(G218="","",RANK(G218,$G$5:$G$359))</f>
        <v>213</v>
      </c>
      <c r="I218" s="19" t="n">
        <v>36.3</v>
      </c>
      <c r="J218" s="17" t="n">
        <f aca="false">IF(I218="","",RANK(I218,$I$5:$I$359))</f>
        <v>259</v>
      </c>
      <c r="K218" s="19" t="n">
        <v>40.7</v>
      </c>
      <c r="L218" s="17" t="n">
        <f aca="false">IF(K218="","",RANK(K218,$K$5:$K$359))</f>
        <v>233</v>
      </c>
      <c r="M218" s="17" t="str">
        <f aca="false">IF(AND(N(G218)&gt;=N(I218),N(G218)&gt;=N(K218)),"The Pulse",IF(N(I218)&gt;=N(K218),"The Lens","The Hub"))</f>
        <v>The Pulse</v>
      </c>
      <c r="N218" s="21" t="s">
        <v>79</v>
      </c>
      <c r="O218" s="17" t="s">
        <v>88</v>
      </c>
    </row>
    <row r="219" customFormat="false" ht="15" hidden="false" customHeight="false" outlineLevel="0" collapsed="false">
      <c r="A219" s="17" t="s">
        <v>529</v>
      </c>
      <c r="B219" s="17" t="s">
        <v>530</v>
      </c>
      <c r="C219" s="17" t="s">
        <v>77</v>
      </c>
      <c r="D219" s="17" t="s">
        <v>78</v>
      </c>
      <c r="E219" s="17" t="s">
        <v>99</v>
      </c>
      <c r="F219" s="18" t="n">
        <v>246840</v>
      </c>
      <c r="G219" s="19" t="n">
        <v>45.8</v>
      </c>
      <c r="H219" s="17" t="n">
        <f aca="false">IF(G219="","",RANK(G219,$G$5:$G$359))</f>
        <v>213</v>
      </c>
      <c r="I219" s="19" t="n">
        <v>64.6</v>
      </c>
      <c r="J219" s="17" t="n">
        <f aca="false">IF(I219="","",RANK(I219,$I$5:$I$359))</f>
        <v>96</v>
      </c>
      <c r="K219" s="19" t="n">
        <v>38.8</v>
      </c>
      <c r="L219" s="17" t="n">
        <f aca="false">IF(K219="","",RANK(K219,$K$5:$K$359))</f>
        <v>249</v>
      </c>
      <c r="M219" s="17" t="str">
        <f aca="false">IF(AND(N(G219)&gt;=N(I219),N(G219)&gt;=N(K219)),"The Pulse",IF(N(I219)&gt;=N(K219),"The Lens","The Hub"))</f>
        <v>The Lens</v>
      </c>
      <c r="N219" s="20" t="s">
        <v>74</v>
      </c>
      <c r="O219" s="17" t="s">
        <v>24</v>
      </c>
    </row>
    <row r="220" customFormat="false" ht="15" hidden="false" customHeight="false" outlineLevel="0" collapsed="false">
      <c r="A220" s="17" t="s">
        <v>531</v>
      </c>
      <c r="B220" s="17" t="s">
        <v>532</v>
      </c>
      <c r="C220" s="17" t="s">
        <v>95</v>
      </c>
      <c r="D220" s="17" t="s">
        <v>120</v>
      </c>
      <c r="E220" s="17" t="s">
        <v>47</v>
      </c>
      <c r="F220" s="18" t="n">
        <v>2794445</v>
      </c>
      <c r="G220" s="19" t="n">
        <v>45.5</v>
      </c>
      <c r="H220" s="17" t="n">
        <f aca="false">IF(G220="","",RANK(G220,$G$5:$G$359))</f>
        <v>216</v>
      </c>
      <c r="I220" s="19" t="n">
        <v>7.1</v>
      </c>
      <c r="J220" s="17" t="n">
        <f aca="false">IF(I220="","",RANK(I220,$I$5:$I$359))</f>
        <v>344</v>
      </c>
      <c r="K220" s="19" t="n">
        <v>8.2</v>
      </c>
      <c r="L220" s="17" t="n">
        <f aca="false">IF(K220="","",RANK(K220,$K$5:$K$359))</f>
        <v>339</v>
      </c>
      <c r="M220" s="17" t="str">
        <f aca="false">IF(AND(N(G220)&gt;=N(I220),N(G220)&gt;=N(K220)),"The Pulse",IF(N(I220)&gt;=N(K220),"The Lens","The Hub"))</f>
        <v>The Pulse</v>
      </c>
      <c r="N220" s="21" t="s">
        <v>79</v>
      </c>
      <c r="O220" s="17" t="s">
        <v>22</v>
      </c>
    </row>
    <row r="221" customFormat="false" ht="15" hidden="false" customHeight="false" outlineLevel="0" collapsed="false">
      <c r="A221" s="17" t="s">
        <v>533</v>
      </c>
      <c r="B221" s="17" t="s">
        <v>534</v>
      </c>
      <c r="C221" s="17" t="s">
        <v>123</v>
      </c>
      <c r="D221" s="17" t="s">
        <v>154</v>
      </c>
      <c r="E221" s="17" t="s">
        <v>99</v>
      </c>
      <c r="F221" s="18" t="n">
        <v>138560</v>
      </c>
      <c r="G221" s="19" t="n">
        <v>45.4</v>
      </c>
      <c r="H221" s="17" t="n">
        <f aca="false">IF(G221="","",RANK(G221,$G$5:$G$359))</f>
        <v>217</v>
      </c>
      <c r="I221" s="19" t="n">
        <v>40.2</v>
      </c>
      <c r="J221" s="17" t="n">
        <f aca="false">IF(I221="","",RANK(I221,$I$5:$I$359))</f>
        <v>239</v>
      </c>
      <c r="K221" s="19" t="n">
        <v>41.2</v>
      </c>
      <c r="L221" s="17" t="n">
        <f aca="false">IF(K221="","",RANK(K221,$K$5:$K$359))</f>
        <v>225</v>
      </c>
      <c r="M221" s="17" t="str">
        <f aca="false">IF(AND(N(G221)&gt;=N(I221),N(G221)&gt;=N(K221)),"The Pulse",IF(N(I221)&gt;=N(K221),"The Lens","The Hub"))</f>
        <v>The Pulse</v>
      </c>
      <c r="N221" s="21" t="s">
        <v>79</v>
      </c>
      <c r="O221" s="17" t="s">
        <v>88</v>
      </c>
    </row>
    <row r="222" customFormat="false" ht="15" hidden="false" customHeight="false" outlineLevel="0" collapsed="false">
      <c r="A222" s="17" t="s">
        <v>535</v>
      </c>
      <c r="B222" s="17" t="s">
        <v>536</v>
      </c>
      <c r="C222" s="17" t="s">
        <v>115</v>
      </c>
      <c r="D222" s="17" t="s">
        <v>124</v>
      </c>
      <c r="E222" s="17" t="s">
        <v>99</v>
      </c>
      <c r="F222" s="18" t="n">
        <v>218069</v>
      </c>
      <c r="G222" s="19" t="n">
        <v>45.2</v>
      </c>
      <c r="H222" s="17" t="n">
        <f aca="false">IF(G222="","",RANK(G222,$G$5:$G$359))</f>
        <v>218</v>
      </c>
      <c r="I222" s="19" t="n">
        <v>35.6</v>
      </c>
      <c r="J222" s="17" t="n">
        <f aca="false">IF(I222="","",RANK(I222,$I$5:$I$359))</f>
        <v>264</v>
      </c>
      <c r="K222" s="19" t="n">
        <v>38.2</v>
      </c>
      <c r="L222" s="17" t="n">
        <f aca="false">IF(K222="","",RANK(K222,$K$5:$K$359))</f>
        <v>252</v>
      </c>
      <c r="M222" s="17" t="str">
        <f aca="false">IF(AND(N(G222)&gt;=N(I222),N(G222)&gt;=N(K222)),"The Pulse",IF(N(I222)&gt;=N(K222),"The Lens","The Hub"))</f>
        <v>The Pulse</v>
      </c>
      <c r="N222" s="21" t="s">
        <v>79</v>
      </c>
      <c r="O222" s="17" t="s">
        <v>88</v>
      </c>
    </row>
    <row r="223" customFormat="false" ht="15" hidden="false" customHeight="false" outlineLevel="0" collapsed="false">
      <c r="A223" s="17" t="s">
        <v>537</v>
      </c>
      <c r="B223" s="17" t="s">
        <v>538</v>
      </c>
      <c r="C223" s="17" t="s">
        <v>72</v>
      </c>
      <c r="D223" s="17" t="s">
        <v>87</v>
      </c>
      <c r="E223" s="17" t="s">
        <v>99</v>
      </c>
      <c r="F223" s="18" t="n">
        <v>2230638</v>
      </c>
      <c r="G223" s="19" t="n">
        <v>45.2</v>
      </c>
      <c r="H223" s="17" t="n">
        <f aca="false">IF(G223="","",RANK(G223,$G$5:$G$359))</f>
        <v>218</v>
      </c>
      <c r="I223" s="19" t="n">
        <v>74.3</v>
      </c>
      <c r="J223" s="17" t="n">
        <f aca="false">IF(I223="","",RANK(I223,$I$5:$I$359))</f>
        <v>56</v>
      </c>
      <c r="K223" s="19" t="n">
        <v>5.6</v>
      </c>
      <c r="L223" s="17" t="n">
        <f aca="false">IF(K223="","",RANK(K223,$K$5:$K$359))</f>
        <v>344</v>
      </c>
      <c r="M223" s="17" t="str">
        <f aca="false">IF(AND(N(G223)&gt;=N(I223),N(G223)&gt;=N(K223)),"The Pulse",IF(N(I223)&gt;=N(K223),"The Lens","The Hub"))</f>
        <v>The Lens</v>
      </c>
      <c r="N223" s="21" t="s">
        <v>79</v>
      </c>
      <c r="O223" s="17" t="s">
        <v>88</v>
      </c>
    </row>
    <row r="224" customFormat="false" ht="15" hidden="false" customHeight="false" outlineLevel="0" collapsed="false">
      <c r="A224" s="17" t="s">
        <v>539</v>
      </c>
      <c r="B224" s="17" t="s">
        <v>540</v>
      </c>
      <c r="C224" s="17" t="s">
        <v>123</v>
      </c>
      <c r="D224" s="17" t="s">
        <v>120</v>
      </c>
      <c r="E224" s="17" t="s">
        <v>99</v>
      </c>
      <c r="F224" s="18" t="n">
        <v>251760</v>
      </c>
      <c r="G224" s="19" t="n">
        <v>45.1</v>
      </c>
      <c r="H224" s="17" t="n">
        <f aca="false">IF(G224="","",RANK(G224,$G$5:$G$359))</f>
        <v>220</v>
      </c>
      <c r="I224" s="19" t="n">
        <v>66.8</v>
      </c>
      <c r="J224" s="17" t="n">
        <f aca="false">IF(I224="","",RANK(I224,$I$5:$I$359))</f>
        <v>86</v>
      </c>
      <c r="K224" s="19" t="n">
        <v>48.2</v>
      </c>
      <c r="L224" s="17" t="n">
        <f aca="false">IF(K224="","",RANK(K224,$K$5:$K$359))</f>
        <v>179</v>
      </c>
      <c r="M224" s="17" t="str">
        <f aca="false">IF(AND(N(G224)&gt;=N(I224),N(G224)&gt;=N(K224)),"The Pulse",IF(N(I224)&gt;=N(K224),"The Lens","The Hub"))</f>
        <v>The Lens</v>
      </c>
      <c r="N224" s="20" t="s">
        <v>74</v>
      </c>
      <c r="O224" s="17" t="s">
        <v>24</v>
      </c>
    </row>
    <row r="225" customFormat="false" ht="15" hidden="false" customHeight="false" outlineLevel="0" collapsed="false">
      <c r="A225" s="17" t="s">
        <v>541</v>
      </c>
      <c r="B225" s="17" t="s">
        <v>542</v>
      </c>
      <c r="C225" s="17" t="s">
        <v>72</v>
      </c>
      <c r="D225" s="17" t="s">
        <v>127</v>
      </c>
      <c r="E225" s="17" t="s">
        <v>99</v>
      </c>
      <c r="F225" s="18" t="n">
        <v>438386</v>
      </c>
      <c r="G225" s="19" t="n">
        <v>45</v>
      </c>
      <c r="H225" s="17" t="n">
        <f aca="false">IF(G225="","",RANK(G225,$G$5:$G$359))</f>
        <v>221</v>
      </c>
      <c r="I225" s="19" t="n">
        <v>89</v>
      </c>
      <c r="J225" s="17" t="n">
        <f aca="false">IF(I225="","",RANK(I225,$I$5:$I$359))</f>
        <v>15</v>
      </c>
      <c r="K225" s="19" t="n">
        <v>36.8</v>
      </c>
      <c r="L225" s="17" t="n">
        <f aca="false">IF(K225="","",RANK(K225,$K$5:$K$359))</f>
        <v>260</v>
      </c>
      <c r="M225" s="17" t="str">
        <f aca="false">IF(AND(N(G225)&gt;=N(I225),N(G225)&gt;=N(K225)),"The Pulse",IF(N(I225)&gt;=N(K225),"The Lens","The Hub"))</f>
        <v>The Lens</v>
      </c>
      <c r="N225" s="21" t="s">
        <v>79</v>
      </c>
      <c r="O225" s="17" t="s">
        <v>88</v>
      </c>
    </row>
    <row r="226" customFormat="false" ht="15" hidden="false" customHeight="false" outlineLevel="0" collapsed="false">
      <c r="A226" s="17" t="s">
        <v>543</v>
      </c>
      <c r="B226" s="17" t="s">
        <v>544</v>
      </c>
      <c r="C226" s="17" t="s">
        <v>115</v>
      </c>
      <c r="D226" s="17" t="s">
        <v>102</v>
      </c>
      <c r="E226" s="17" t="s">
        <v>99</v>
      </c>
      <c r="F226" s="18" t="n">
        <v>1037278</v>
      </c>
      <c r="G226" s="19" t="n">
        <v>44.8</v>
      </c>
      <c r="H226" s="17" t="n">
        <f aca="false">IF(G226="","",RANK(G226,$G$5:$G$359))</f>
        <v>222</v>
      </c>
      <c r="I226" s="19" t="n">
        <v>56.2</v>
      </c>
      <c r="J226" s="17" t="n">
        <f aca="false">IF(I226="","",RANK(I226,$I$5:$I$359))</f>
        <v>147</v>
      </c>
      <c r="K226" s="19" t="n">
        <v>54</v>
      </c>
      <c r="L226" s="17" t="n">
        <f aca="false">IF(K226="","",RANK(K226,$K$5:$K$359))</f>
        <v>149</v>
      </c>
      <c r="M226" s="17" t="str">
        <f aca="false">IF(AND(N(G226)&gt;=N(I226),N(G226)&gt;=N(K226)),"The Pulse",IF(N(I226)&gt;=N(K226),"The Lens","The Hub"))</f>
        <v>The Lens</v>
      </c>
      <c r="N226" s="21" t="s">
        <v>79</v>
      </c>
      <c r="O226" s="17" t="s">
        <v>88</v>
      </c>
    </row>
    <row r="227" customFormat="false" ht="15" hidden="false" customHeight="false" outlineLevel="0" collapsed="false">
      <c r="A227" s="17" t="s">
        <v>545</v>
      </c>
      <c r="B227" s="17" t="s">
        <v>546</v>
      </c>
      <c r="C227" s="17" t="s">
        <v>123</v>
      </c>
      <c r="D227" s="17" t="s">
        <v>78</v>
      </c>
      <c r="E227" s="17" t="s">
        <v>92</v>
      </c>
      <c r="F227" s="18" t="n">
        <v>193980</v>
      </c>
      <c r="G227" s="19" t="n">
        <v>44.7</v>
      </c>
      <c r="H227" s="17" t="n">
        <f aca="false">IF(G227="","",RANK(G227,$G$5:$G$359))</f>
        <v>223</v>
      </c>
      <c r="I227" s="19" t="n">
        <v>32.5</v>
      </c>
      <c r="J227" s="17" t="n">
        <f aca="false">IF(I227="","",RANK(I227,$I$5:$I$359))</f>
        <v>276</v>
      </c>
      <c r="K227" s="19" t="n">
        <v>18.1</v>
      </c>
      <c r="L227" s="17" t="n">
        <f aca="false">IF(K227="","",RANK(K227,$K$5:$K$359))</f>
        <v>323</v>
      </c>
      <c r="M227" s="17" t="str">
        <f aca="false">IF(AND(N(G227)&gt;=N(I227),N(G227)&gt;=N(K227)),"The Pulse",IF(N(I227)&gt;=N(K227),"The Lens","The Hub"))</f>
        <v>The Pulse</v>
      </c>
      <c r="N227" s="21" t="s">
        <v>79</v>
      </c>
      <c r="O227" s="17" t="s">
        <v>88</v>
      </c>
    </row>
    <row r="228" customFormat="false" ht="15" hidden="false" customHeight="false" outlineLevel="0" collapsed="false">
      <c r="A228" s="17" t="s">
        <v>547</v>
      </c>
      <c r="B228" s="17" t="s">
        <v>548</v>
      </c>
      <c r="C228" s="17" t="s">
        <v>91</v>
      </c>
      <c r="D228" s="17" t="s">
        <v>102</v>
      </c>
      <c r="E228" s="17" t="s">
        <v>99</v>
      </c>
      <c r="F228" s="18" t="n">
        <v>110730</v>
      </c>
      <c r="G228" s="19" t="n">
        <v>44.4</v>
      </c>
      <c r="H228" s="17" t="n">
        <f aca="false">IF(G228="","",RANK(G228,$G$5:$G$359))</f>
        <v>224</v>
      </c>
      <c r="I228" s="19" t="n">
        <v>61.7</v>
      </c>
      <c r="J228" s="17" t="n">
        <f aca="false">IF(I228="","",RANK(I228,$I$5:$I$359))</f>
        <v>113</v>
      </c>
      <c r="K228" s="19" t="n">
        <v>45</v>
      </c>
      <c r="L228" s="17" t="n">
        <f aca="false">IF(K228="","",RANK(K228,$K$5:$K$359))</f>
        <v>201</v>
      </c>
      <c r="M228" s="17" t="str">
        <f aca="false">IF(AND(N(G228)&gt;=N(I228),N(G228)&gt;=N(K228)),"The Pulse",IF(N(I228)&gt;=N(K228),"The Lens","The Hub"))</f>
        <v>The Lens</v>
      </c>
      <c r="N228" s="21" t="s">
        <v>79</v>
      </c>
      <c r="O228" s="17" t="s">
        <v>88</v>
      </c>
    </row>
    <row r="229" customFormat="false" ht="15" hidden="false" customHeight="false" outlineLevel="0" collapsed="false">
      <c r="A229" s="17" t="s">
        <v>549</v>
      </c>
      <c r="B229" s="17" t="s">
        <v>550</v>
      </c>
      <c r="C229" s="17" t="s">
        <v>82</v>
      </c>
      <c r="D229" s="17" t="s">
        <v>78</v>
      </c>
      <c r="E229" s="17" t="s">
        <v>106</v>
      </c>
      <c r="F229" s="18" t="n">
        <v>62388</v>
      </c>
      <c r="G229" s="19" t="n">
        <v>44.1</v>
      </c>
      <c r="H229" s="17" t="n">
        <f aca="false">IF(G229="","",RANK(G229,$G$5:$G$359))</f>
        <v>225</v>
      </c>
      <c r="I229" s="19" t="n">
        <v>49.9</v>
      </c>
      <c r="J229" s="17" t="n">
        <f aca="false">IF(I229="","",RANK(I229,$I$5:$I$359))</f>
        <v>180</v>
      </c>
      <c r="K229" s="19" t="n">
        <v>50.3</v>
      </c>
      <c r="L229" s="17" t="n">
        <f aca="false">IF(K229="","",RANK(K229,$K$5:$K$359))</f>
        <v>167</v>
      </c>
      <c r="M229" s="17" t="str">
        <f aca="false">IF(AND(N(G229)&gt;=N(I229),N(G229)&gt;=N(K229)),"The Pulse",IF(N(I229)&gt;=N(K229),"The Lens","The Hub"))</f>
        <v>The Hub</v>
      </c>
      <c r="N229" s="21" t="s">
        <v>79</v>
      </c>
      <c r="O229" s="17" t="s">
        <v>88</v>
      </c>
    </row>
    <row r="230" customFormat="false" ht="15" hidden="false" customHeight="false" outlineLevel="0" collapsed="false">
      <c r="A230" s="17" t="s">
        <v>551</v>
      </c>
      <c r="B230" s="17" t="s">
        <v>552</v>
      </c>
      <c r="C230" s="17" t="s">
        <v>77</v>
      </c>
      <c r="D230" s="17" t="s">
        <v>154</v>
      </c>
      <c r="E230" s="17" t="s">
        <v>99</v>
      </c>
      <c r="F230" s="18" t="n">
        <v>220375</v>
      </c>
      <c r="G230" s="19" t="n">
        <v>43.5</v>
      </c>
      <c r="H230" s="17" t="n">
        <f aca="false">IF(G230="","",RANK(G230,$G$5:$G$359))</f>
        <v>226</v>
      </c>
      <c r="I230" s="19" t="n">
        <v>35</v>
      </c>
      <c r="J230" s="17" t="n">
        <f aca="false">IF(I230="","",RANK(I230,$I$5:$I$359))</f>
        <v>266</v>
      </c>
      <c r="K230" s="19" t="n">
        <v>65.4</v>
      </c>
      <c r="L230" s="17" t="n">
        <f aca="false">IF(K230="","",RANK(K230,$K$5:$K$359))</f>
        <v>79</v>
      </c>
      <c r="M230" s="17" t="str">
        <f aca="false">IF(AND(N(G230)&gt;=N(I230),N(G230)&gt;=N(K230)),"The Pulse",IF(N(I230)&gt;=N(K230),"The Lens","The Hub"))</f>
        <v>The Hub</v>
      </c>
      <c r="N230" s="21" t="s">
        <v>79</v>
      </c>
      <c r="O230" s="17" t="s">
        <v>88</v>
      </c>
    </row>
    <row r="231" customFormat="false" ht="15" hidden="false" customHeight="false" outlineLevel="0" collapsed="false">
      <c r="A231" s="17" t="s">
        <v>553</v>
      </c>
      <c r="B231" s="17" t="s">
        <v>554</v>
      </c>
      <c r="C231" s="17" t="s">
        <v>95</v>
      </c>
      <c r="D231" s="17" t="s">
        <v>83</v>
      </c>
      <c r="E231" s="17" t="s">
        <v>99</v>
      </c>
      <c r="F231" s="18" t="n">
        <v>439231</v>
      </c>
      <c r="G231" s="19" t="n">
        <v>43.5</v>
      </c>
      <c r="H231" s="17" t="n">
        <f aca="false">IF(G231="","",RANK(G231,$G$5:$G$359))</f>
        <v>226</v>
      </c>
      <c r="I231" s="19" t="n">
        <v>62.2</v>
      </c>
      <c r="J231" s="17" t="n">
        <f aca="false">IF(I231="","",RANK(I231,$I$5:$I$359))</f>
        <v>105</v>
      </c>
      <c r="K231" s="19" t="n">
        <v>77.4</v>
      </c>
      <c r="L231" s="17" t="n">
        <f aca="false">IF(K231="","",RANK(K231,$K$5:$K$359))</f>
        <v>40</v>
      </c>
      <c r="M231" s="17" t="str">
        <f aca="false">IF(AND(N(G231)&gt;=N(I231),N(G231)&gt;=N(K231)),"The Pulse",IF(N(I231)&gt;=N(K231),"The Lens","The Hub"))</f>
        <v>The Hub</v>
      </c>
      <c r="N231" s="21" t="s">
        <v>79</v>
      </c>
      <c r="O231" s="17" t="s">
        <v>88</v>
      </c>
    </row>
    <row r="232" customFormat="false" ht="15" hidden="false" customHeight="false" outlineLevel="0" collapsed="false">
      <c r="A232" s="17" t="s">
        <v>555</v>
      </c>
      <c r="B232" s="17" t="s">
        <v>556</v>
      </c>
      <c r="C232" s="17" t="s">
        <v>95</v>
      </c>
      <c r="D232" s="17" t="s">
        <v>83</v>
      </c>
      <c r="E232" s="17" t="s">
        <v>149</v>
      </c>
      <c r="F232" s="18" t="n">
        <v>3720995</v>
      </c>
      <c r="G232" s="19" t="n">
        <v>43.4</v>
      </c>
      <c r="H232" s="17" t="n">
        <f aca="false">IF(G232="","",RANK(G232,$G$5:$G$359))</f>
        <v>228</v>
      </c>
      <c r="I232" s="19" t="n">
        <v>74.6</v>
      </c>
      <c r="J232" s="17" t="n">
        <f aca="false">IF(I232="","",RANK(I232,$I$5:$I$359))</f>
        <v>53</v>
      </c>
      <c r="K232" s="19" t="n">
        <v>67.1</v>
      </c>
      <c r="L232" s="17" t="n">
        <f aca="false">IF(K232="","",RANK(K232,$K$5:$K$359))</f>
        <v>71</v>
      </c>
      <c r="M232" s="17" t="str">
        <f aca="false">IF(AND(N(G232)&gt;=N(I232),N(G232)&gt;=N(K232)),"The Pulse",IF(N(I232)&gt;=N(K232),"The Lens","The Hub"))</f>
        <v>The Lens</v>
      </c>
      <c r="N232" s="22" t="s">
        <v>109</v>
      </c>
      <c r="O232" s="17" t="s">
        <v>155</v>
      </c>
    </row>
    <row r="233" customFormat="false" ht="15" hidden="false" customHeight="false" outlineLevel="0" collapsed="false">
      <c r="A233" s="17" t="s">
        <v>557</v>
      </c>
      <c r="B233" s="17" t="s">
        <v>558</v>
      </c>
      <c r="C233" s="17" t="s">
        <v>115</v>
      </c>
      <c r="D233" s="17" t="s">
        <v>83</v>
      </c>
      <c r="E233" s="17" t="s">
        <v>47</v>
      </c>
      <c r="F233" s="18" t="n">
        <v>15890</v>
      </c>
      <c r="G233" s="19" t="n">
        <v>43.2</v>
      </c>
      <c r="H233" s="17" t="n">
        <f aca="false">IF(G233="","",RANK(G233,$G$5:$G$359))</f>
        <v>229</v>
      </c>
      <c r="I233" s="19" t="n">
        <v>55.2</v>
      </c>
      <c r="J233" s="17" t="n">
        <f aca="false">IF(I233="","",RANK(I233,$I$5:$I$359))</f>
        <v>156</v>
      </c>
      <c r="K233" s="19" t="n">
        <v>93.2</v>
      </c>
      <c r="L233" s="17" t="n">
        <f aca="false">IF(K233="","",RANK(K233,$K$5:$K$359))</f>
        <v>8</v>
      </c>
      <c r="M233" s="17" t="str">
        <f aca="false">IF(AND(N(G233)&gt;=N(I233),N(G233)&gt;=N(K233)),"The Pulse",IF(N(I233)&gt;=N(K233),"The Lens","The Hub"))</f>
        <v>The Hub</v>
      </c>
      <c r="N233" s="20" t="s">
        <v>74</v>
      </c>
      <c r="O233" s="17" t="s">
        <v>24</v>
      </c>
    </row>
    <row r="234" customFormat="false" ht="15" hidden="false" customHeight="false" outlineLevel="0" collapsed="false">
      <c r="A234" s="17" t="s">
        <v>559</v>
      </c>
      <c r="B234" s="17" t="s">
        <v>560</v>
      </c>
      <c r="C234" s="17" t="s">
        <v>115</v>
      </c>
      <c r="D234" s="17" t="s">
        <v>78</v>
      </c>
      <c r="E234" s="17" t="s">
        <v>47</v>
      </c>
      <c r="F234" s="18" t="n">
        <v>21170</v>
      </c>
      <c r="G234" s="19" t="n">
        <v>43</v>
      </c>
      <c r="H234" s="17" t="n">
        <f aca="false">IF(G234="","",RANK(G234,$G$5:$G$359))</f>
        <v>230</v>
      </c>
      <c r="I234" s="19" t="n">
        <v>56.8</v>
      </c>
      <c r="J234" s="17" t="n">
        <f aca="false">IF(I234="","",RANK(I234,$I$5:$I$359))</f>
        <v>143</v>
      </c>
      <c r="K234" s="19" t="n">
        <v>58.1</v>
      </c>
      <c r="L234" s="17" t="n">
        <f aca="false">IF(K234="","",RANK(K234,$K$5:$K$359))</f>
        <v>121</v>
      </c>
      <c r="M234" s="17" t="str">
        <f aca="false">IF(AND(N(G234)&gt;=N(I234),N(G234)&gt;=N(K234)),"The Pulse",IF(N(I234)&gt;=N(K234),"The Lens","The Hub"))</f>
        <v>The Hub</v>
      </c>
      <c r="N234" s="21" t="s">
        <v>79</v>
      </c>
      <c r="O234" s="17" t="s">
        <v>88</v>
      </c>
    </row>
    <row r="235" customFormat="false" ht="15" hidden="false" customHeight="false" outlineLevel="0" collapsed="false">
      <c r="A235" s="17" t="s">
        <v>561</v>
      </c>
      <c r="B235" s="17" t="s">
        <v>562</v>
      </c>
      <c r="C235" s="17" t="s">
        <v>77</v>
      </c>
      <c r="D235" s="17" t="s">
        <v>87</v>
      </c>
      <c r="E235" s="17" t="s">
        <v>99</v>
      </c>
      <c r="F235" s="18" t="n">
        <v>147113</v>
      </c>
      <c r="G235" s="19" t="n">
        <v>43</v>
      </c>
      <c r="H235" s="17" t="n">
        <f aca="false">IF(G235="","",RANK(G235,$G$5:$G$359))</f>
        <v>230</v>
      </c>
      <c r="I235" s="19" t="n">
        <v>22.9</v>
      </c>
      <c r="J235" s="17" t="n">
        <f aca="false">IF(I235="","",RANK(I235,$I$5:$I$359))</f>
        <v>307</v>
      </c>
      <c r="K235" s="19" t="n">
        <v>39.4</v>
      </c>
      <c r="L235" s="17" t="n">
        <f aca="false">IF(K235="","",RANK(K235,$K$5:$K$359))</f>
        <v>242</v>
      </c>
      <c r="M235" s="17" t="str">
        <f aca="false">IF(AND(N(G235)&gt;=N(I235),N(G235)&gt;=N(K235)),"The Pulse",IF(N(I235)&gt;=N(K235),"The Lens","The Hub"))</f>
        <v>The Pulse</v>
      </c>
      <c r="N235" s="21" t="s">
        <v>79</v>
      </c>
      <c r="O235" s="17" t="s">
        <v>88</v>
      </c>
    </row>
    <row r="236" customFormat="false" ht="15" hidden="false" customHeight="false" outlineLevel="0" collapsed="false">
      <c r="A236" s="17" t="s">
        <v>563</v>
      </c>
      <c r="B236" s="17" t="s">
        <v>564</v>
      </c>
      <c r="C236" s="17" t="s">
        <v>86</v>
      </c>
      <c r="D236" s="17" t="s">
        <v>105</v>
      </c>
      <c r="E236" s="17" t="s">
        <v>99</v>
      </c>
      <c r="F236" s="18" t="n">
        <v>132411</v>
      </c>
      <c r="G236" s="19" t="n">
        <v>42.6</v>
      </c>
      <c r="H236" s="17" t="n">
        <f aca="false">IF(G236="","",RANK(G236,$G$5:$G$359))</f>
        <v>232</v>
      </c>
      <c r="I236" s="19" t="n">
        <v>82.2</v>
      </c>
      <c r="J236" s="17" t="n">
        <f aca="false">IF(I236="","",RANK(I236,$I$5:$I$359))</f>
        <v>26</v>
      </c>
      <c r="K236" s="19" t="n">
        <v>23.2</v>
      </c>
      <c r="L236" s="17" t="n">
        <f aca="false">IF(K236="","",RANK(K236,$K$5:$K$359))</f>
        <v>308</v>
      </c>
      <c r="M236" s="17" t="str">
        <f aca="false">IF(AND(N(G236)&gt;=N(I236),N(G236)&gt;=N(K236)),"The Pulse",IF(N(I236)&gt;=N(K236),"The Lens","The Hub"))</f>
        <v>The Lens</v>
      </c>
      <c r="N236" s="21" t="s">
        <v>79</v>
      </c>
      <c r="O236" s="17" t="s">
        <v>88</v>
      </c>
    </row>
    <row r="237" customFormat="false" ht="15" hidden="false" customHeight="false" outlineLevel="0" collapsed="false">
      <c r="A237" s="17" t="s">
        <v>565</v>
      </c>
      <c r="B237" s="17" t="s">
        <v>566</v>
      </c>
      <c r="C237" s="17" t="s">
        <v>98</v>
      </c>
      <c r="D237" s="17" t="s">
        <v>73</v>
      </c>
      <c r="E237" s="17" t="s">
        <v>99</v>
      </c>
      <c r="F237" s="18" t="n">
        <v>2888970</v>
      </c>
      <c r="G237" s="19" t="n">
        <v>42.6</v>
      </c>
      <c r="H237" s="17" t="n">
        <f aca="false">IF(G237="","",RANK(G237,$G$5:$G$359))</f>
        <v>232</v>
      </c>
      <c r="I237" s="19" t="n">
        <v>70.4</v>
      </c>
      <c r="J237" s="17" t="n">
        <f aca="false">IF(I237="","",RANK(I237,$I$5:$I$359))</f>
        <v>70</v>
      </c>
      <c r="K237" s="19" t="n">
        <v>50.3</v>
      </c>
      <c r="L237" s="17" t="n">
        <f aca="false">IF(K237="","",RANK(K237,$K$5:$K$359))</f>
        <v>167</v>
      </c>
      <c r="M237" s="17" t="str">
        <f aca="false">IF(AND(N(G237)&gt;=N(I237),N(G237)&gt;=N(K237)),"The Pulse",IF(N(I237)&gt;=N(K237),"The Lens","The Hub"))</f>
        <v>The Lens</v>
      </c>
      <c r="N237" s="20" t="s">
        <v>74</v>
      </c>
      <c r="O237" s="17" t="s">
        <v>24</v>
      </c>
    </row>
    <row r="238" customFormat="false" ht="15" hidden="false" customHeight="false" outlineLevel="0" collapsed="false">
      <c r="A238" s="17" t="s">
        <v>567</v>
      </c>
      <c r="B238" s="17" t="s">
        <v>568</v>
      </c>
      <c r="C238" s="17" t="s">
        <v>123</v>
      </c>
      <c r="D238" s="17" t="s">
        <v>78</v>
      </c>
      <c r="E238" s="17" t="s">
        <v>99</v>
      </c>
      <c r="F238" s="18" t="n">
        <v>90860</v>
      </c>
      <c r="G238" s="19" t="n">
        <v>42.4</v>
      </c>
      <c r="H238" s="17" t="n">
        <f aca="false">IF(G238="","",RANK(G238,$G$5:$G$359))</f>
        <v>234</v>
      </c>
      <c r="I238" s="19" t="n">
        <v>73.3</v>
      </c>
      <c r="J238" s="17" t="n">
        <f aca="false">IF(I238="","",RANK(I238,$I$5:$I$359))</f>
        <v>61</v>
      </c>
      <c r="K238" s="19" t="n">
        <v>71.7</v>
      </c>
      <c r="L238" s="17" t="n">
        <f aca="false">IF(K238="","",RANK(K238,$K$5:$K$359))</f>
        <v>51</v>
      </c>
      <c r="M238" s="17" t="str">
        <f aca="false">IF(AND(N(G238)&gt;=N(I238),N(G238)&gt;=N(K238)),"The Pulse",IF(N(I238)&gt;=N(K238),"The Lens","The Hub"))</f>
        <v>The Lens</v>
      </c>
      <c r="N238" s="20" t="s">
        <v>74</v>
      </c>
      <c r="O238" s="17" t="s">
        <v>24</v>
      </c>
    </row>
    <row r="239" customFormat="false" ht="15" hidden="false" customHeight="false" outlineLevel="0" collapsed="false">
      <c r="A239" s="17" t="s">
        <v>569</v>
      </c>
      <c r="B239" s="17" t="s">
        <v>570</v>
      </c>
      <c r="C239" s="17" t="s">
        <v>86</v>
      </c>
      <c r="D239" s="17" t="s">
        <v>105</v>
      </c>
      <c r="E239" s="17" t="s">
        <v>99</v>
      </c>
      <c r="F239" s="18" t="n">
        <v>201353</v>
      </c>
      <c r="G239" s="19" t="n">
        <v>42.4</v>
      </c>
      <c r="H239" s="17" t="n">
        <f aca="false">IF(G239="","",RANK(G239,$G$5:$G$359))</f>
        <v>234</v>
      </c>
      <c r="I239" s="19" t="n">
        <v>56.9</v>
      </c>
      <c r="J239" s="17" t="n">
        <f aca="false">IF(I239="","",RANK(I239,$I$5:$I$359))</f>
        <v>141</v>
      </c>
      <c r="K239" s="19" t="n">
        <v>34.2</v>
      </c>
      <c r="L239" s="17" t="n">
        <f aca="false">IF(K239="","",RANK(K239,$K$5:$K$359))</f>
        <v>273</v>
      </c>
      <c r="M239" s="17" t="str">
        <f aca="false">IF(AND(N(G239)&gt;=N(I239),N(G239)&gt;=N(K239)),"The Pulse",IF(N(I239)&gt;=N(K239),"The Lens","The Hub"))</f>
        <v>The Lens</v>
      </c>
      <c r="N239" s="21" t="s">
        <v>79</v>
      </c>
      <c r="O239" s="17" t="s">
        <v>88</v>
      </c>
    </row>
    <row r="240" customFormat="false" ht="15" hidden="false" customHeight="false" outlineLevel="0" collapsed="false">
      <c r="A240" s="17" t="s">
        <v>571</v>
      </c>
      <c r="B240" s="17" t="s">
        <v>572</v>
      </c>
      <c r="C240" s="17" t="s">
        <v>115</v>
      </c>
      <c r="D240" s="17" t="s">
        <v>87</v>
      </c>
      <c r="E240" s="17" t="s">
        <v>99</v>
      </c>
      <c r="F240" s="18" t="n">
        <v>309736</v>
      </c>
      <c r="G240" s="19" t="n">
        <v>42.2</v>
      </c>
      <c r="H240" s="17" t="n">
        <f aca="false">IF(G240="","",RANK(G240,$G$5:$G$359))</f>
        <v>236</v>
      </c>
      <c r="I240" s="19" t="n">
        <v>79.8</v>
      </c>
      <c r="J240" s="17" t="n">
        <f aca="false">IF(I240="","",RANK(I240,$I$5:$I$359))</f>
        <v>38</v>
      </c>
      <c r="K240" s="19" t="n">
        <v>56.1</v>
      </c>
      <c r="L240" s="17" t="n">
        <f aca="false">IF(K240="","",RANK(K240,$K$5:$K$359))</f>
        <v>140</v>
      </c>
      <c r="M240" s="17" t="str">
        <f aca="false">IF(AND(N(G240)&gt;=N(I240),N(G240)&gt;=N(K240)),"The Pulse",IF(N(I240)&gt;=N(K240),"The Lens","The Hub"))</f>
        <v>The Lens</v>
      </c>
      <c r="N240" s="21" t="s">
        <v>79</v>
      </c>
      <c r="O240" s="17" t="s">
        <v>88</v>
      </c>
    </row>
    <row r="241" customFormat="false" ht="15" hidden="false" customHeight="false" outlineLevel="0" collapsed="false">
      <c r="A241" s="17" t="s">
        <v>573</v>
      </c>
      <c r="B241" s="17" t="s">
        <v>574</v>
      </c>
      <c r="C241" s="17" t="s">
        <v>91</v>
      </c>
      <c r="D241" s="17" t="s">
        <v>102</v>
      </c>
      <c r="E241" s="17" t="s">
        <v>99</v>
      </c>
      <c r="F241" s="18" t="n">
        <v>49140</v>
      </c>
      <c r="G241" s="19" t="n">
        <v>41.7</v>
      </c>
      <c r="H241" s="17" t="n">
        <f aca="false">IF(G241="","",RANK(G241,$G$5:$G$359))</f>
        <v>237</v>
      </c>
      <c r="I241" s="19" t="n">
        <v>58.1</v>
      </c>
      <c r="J241" s="17" t="n">
        <f aca="false">IF(I241="","",RANK(I241,$I$5:$I$359))</f>
        <v>136</v>
      </c>
      <c r="K241" s="19" t="n">
        <v>60.8</v>
      </c>
      <c r="L241" s="17" t="n">
        <f aca="false">IF(K241="","",RANK(K241,$K$5:$K$359))</f>
        <v>102</v>
      </c>
      <c r="M241" s="17" t="str">
        <f aca="false">IF(AND(N(G241)&gt;=N(I241),N(G241)&gt;=N(K241)),"The Pulse",IF(N(I241)&gt;=N(K241),"The Lens","The Hub"))</f>
        <v>The Hub</v>
      </c>
      <c r="N241" s="21" t="s">
        <v>79</v>
      </c>
      <c r="O241" s="17" t="s">
        <v>88</v>
      </c>
    </row>
    <row r="242" customFormat="false" ht="15" hidden="false" customHeight="false" outlineLevel="0" collapsed="false">
      <c r="A242" s="17" t="s">
        <v>575</v>
      </c>
      <c r="B242" s="17" t="s">
        <v>576</v>
      </c>
      <c r="C242" s="17" t="s">
        <v>115</v>
      </c>
      <c r="D242" s="17" t="s">
        <v>124</v>
      </c>
      <c r="E242" s="17" t="s">
        <v>106</v>
      </c>
      <c r="F242" s="18" t="n">
        <v>118400</v>
      </c>
      <c r="G242" s="19" t="n">
        <v>41.7</v>
      </c>
      <c r="H242" s="17" t="n">
        <f aca="false">IF(G242="","",RANK(G242,$G$5:$G$359))</f>
        <v>237</v>
      </c>
      <c r="I242" s="19" t="n">
        <v>48.8</v>
      </c>
      <c r="J242" s="17" t="n">
        <f aca="false">IF(I242="","",RANK(I242,$I$5:$I$359))</f>
        <v>185</v>
      </c>
      <c r="K242" s="19" t="n">
        <v>54.5</v>
      </c>
      <c r="L242" s="17" t="n">
        <f aca="false">IF(K242="","",RANK(K242,$K$5:$K$359))</f>
        <v>148</v>
      </c>
      <c r="M242" s="17" t="str">
        <f aca="false">IF(AND(N(G242)&gt;=N(I242),N(G242)&gt;=N(K242)),"The Pulse",IF(N(I242)&gt;=N(K242),"The Lens","The Hub"))</f>
        <v>The Hub</v>
      </c>
      <c r="N242" s="22" t="s">
        <v>109</v>
      </c>
      <c r="O242" s="17" t="s">
        <v>155</v>
      </c>
    </row>
    <row r="243" customFormat="false" ht="15" hidden="false" customHeight="false" outlineLevel="0" collapsed="false">
      <c r="A243" s="17" t="s">
        <v>577</v>
      </c>
      <c r="B243" s="17" t="s">
        <v>578</v>
      </c>
      <c r="C243" s="17" t="s">
        <v>77</v>
      </c>
      <c r="D243" s="17" t="s">
        <v>154</v>
      </c>
      <c r="E243" s="17" t="s">
        <v>99</v>
      </c>
      <c r="F243" s="18" t="n">
        <v>493185</v>
      </c>
      <c r="G243" s="19" t="n">
        <v>41.5</v>
      </c>
      <c r="H243" s="17" t="n">
        <f aca="false">IF(G243="","",RANK(G243,$G$5:$G$359))</f>
        <v>239</v>
      </c>
      <c r="I243" s="19" t="n">
        <v>75.7</v>
      </c>
      <c r="J243" s="17" t="n">
        <f aca="false">IF(I243="","",RANK(I243,$I$5:$I$359))</f>
        <v>50</v>
      </c>
      <c r="K243" s="19" t="n">
        <v>63.1</v>
      </c>
      <c r="L243" s="17" t="n">
        <f aca="false">IF(K243="","",RANK(K243,$K$5:$K$359))</f>
        <v>89</v>
      </c>
      <c r="M243" s="17" t="str">
        <f aca="false">IF(AND(N(G243)&gt;=N(I243),N(G243)&gt;=N(K243)),"The Pulse",IF(N(I243)&gt;=N(K243),"The Lens","The Hub"))</f>
        <v>The Lens</v>
      </c>
      <c r="N243" s="21" t="s">
        <v>79</v>
      </c>
      <c r="O243" s="17" t="s">
        <v>88</v>
      </c>
    </row>
    <row r="244" customFormat="false" ht="15" hidden="false" customHeight="false" outlineLevel="0" collapsed="false">
      <c r="A244" s="17" t="s">
        <v>579</v>
      </c>
      <c r="B244" s="17" t="s">
        <v>580</v>
      </c>
      <c r="C244" s="17" t="s">
        <v>162</v>
      </c>
      <c r="D244" s="17" t="s">
        <v>120</v>
      </c>
      <c r="E244" s="17" t="s">
        <v>46</v>
      </c>
      <c r="F244" s="18" t="n">
        <v>171990</v>
      </c>
      <c r="G244" s="19" t="n">
        <v>40.9</v>
      </c>
      <c r="H244" s="17" t="n">
        <f aca="false">IF(G244="","",RANK(G244,$G$5:$G$359))</f>
        <v>240</v>
      </c>
      <c r="I244" s="19" t="n">
        <v>81.5</v>
      </c>
      <c r="J244" s="17" t="n">
        <f aca="false">IF(I244="","",RANK(I244,$I$5:$I$359))</f>
        <v>32</v>
      </c>
      <c r="K244" s="19" t="n">
        <v>85</v>
      </c>
      <c r="L244" s="17" t="n">
        <f aca="false">IF(K244="","",RANK(K244,$K$5:$K$359))</f>
        <v>21</v>
      </c>
      <c r="M244" s="17" t="str">
        <f aca="false">IF(AND(N(G244)&gt;=N(I244),N(G244)&gt;=N(K244)),"The Pulse",IF(N(I244)&gt;=N(K244),"The Lens","The Hub"))</f>
        <v>The Hub</v>
      </c>
      <c r="N244" s="20" t="s">
        <v>74</v>
      </c>
      <c r="O244" s="17" t="s">
        <v>24</v>
      </c>
    </row>
    <row r="245" customFormat="false" ht="15" hidden="false" customHeight="false" outlineLevel="0" collapsed="false">
      <c r="A245" s="17" t="s">
        <v>581</v>
      </c>
      <c r="B245" s="17" t="s">
        <v>582</v>
      </c>
      <c r="C245" s="17" t="s">
        <v>82</v>
      </c>
      <c r="D245" s="17" t="s">
        <v>105</v>
      </c>
      <c r="E245" s="17" t="s">
        <v>99</v>
      </c>
      <c r="F245" s="18" t="n">
        <v>47147</v>
      </c>
      <c r="G245" s="19" t="n">
        <v>40.7</v>
      </c>
      <c r="H245" s="17" t="n">
        <f aca="false">IF(G245="","",RANK(G245,$G$5:$G$359))</f>
        <v>241</v>
      </c>
      <c r="I245" s="19" t="n">
        <v>48.8</v>
      </c>
      <c r="J245" s="17" t="n">
        <f aca="false">IF(I245="","",RANK(I245,$I$5:$I$359))</f>
        <v>185</v>
      </c>
      <c r="K245" s="19" t="n">
        <v>32.8</v>
      </c>
      <c r="L245" s="17" t="n">
        <f aca="false">IF(K245="","",RANK(K245,$K$5:$K$359))</f>
        <v>283</v>
      </c>
      <c r="M245" s="17" t="str">
        <f aca="false">IF(AND(N(G245)&gt;=N(I245),N(G245)&gt;=N(K245)),"The Pulse",IF(N(I245)&gt;=N(K245),"The Lens","The Hub"))</f>
        <v>The Lens</v>
      </c>
      <c r="N245" s="21" t="s">
        <v>79</v>
      </c>
      <c r="O245" s="17" t="s">
        <v>88</v>
      </c>
    </row>
    <row r="246" customFormat="false" ht="15" hidden="false" customHeight="false" outlineLevel="0" collapsed="false">
      <c r="A246" s="17" t="s">
        <v>583</v>
      </c>
      <c r="B246" s="17" t="s">
        <v>584</v>
      </c>
      <c r="C246" s="17" t="s">
        <v>162</v>
      </c>
      <c r="D246" s="17" t="s">
        <v>83</v>
      </c>
      <c r="E246" s="17" t="s">
        <v>99</v>
      </c>
      <c r="F246" s="18" t="n">
        <v>88539</v>
      </c>
      <c r="G246" s="19" t="n">
        <v>40.6</v>
      </c>
      <c r="H246" s="17" t="n">
        <f aca="false">IF(G246="","",RANK(G246,$G$5:$G$359))</f>
        <v>242</v>
      </c>
      <c r="I246" s="19" t="n">
        <v>52.6</v>
      </c>
      <c r="J246" s="17" t="n">
        <f aca="false">IF(I246="","",RANK(I246,$I$5:$I$359))</f>
        <v>164</v>
      </c>
      <c r="K246" s="19" t="n">
        <v>39.1</v>
      </c>
      <c r="L246" s="17" t="n">
        <f aca="false">IF(K246="","",RANK(K246,$K$5:$K$359))</f>
        <v>246</v>
      </c>
      <c r="M246" s="17" t="str">
        <f aca="false">IF(AND(N(G246)&gt;=N(I246),N(G246)&gt;=N(K246)),"The Pulse",IF(N(I246)&gt;=N(K246),"The Lens","The Hub"))</f>
        <v>The Lens</v>
      </c>
      <c r="N246" s="21" t="s">
        <v>79</v>
      </c>
      <c r="O246" s="17" t="s">
        <v>88</v>
      </c>
    </row>
    <row r="247" customFormat="false" ht="15" hidden="false" customHeight="false" outlineLevel="0" collapsed="false">
      <c r="A247" s="17" t="s">
        <v>585</v>
      </c>
      <c r="B247" s="17" t="s">
        <v>586</v>
      </c>
      <c r="C247" s="17" t="s">
        <v>123</v>
      </c>
      <c r="D247" s="17" t="s">
        <v>124</v>
      </c>
      <c r="E247" s="17" t="s">
        <v>99</v>
      </c>
      <c r="F247" s="18" t="n">
        <v>303102</v>
      </c>
      <c r="G247" s="19" t="n">
        <v>40.5</v>
      </c>
      <c r="H247" s="17" t="n">
        <f aca="false">IF(G247="","",RANK(G247,$G$5:$G$359))</f>
        <v>243</v>
      </c>
      <c r="I247" s="19" t="n">
        <v>71</v>
      </c>
      <c r="J247" s="17" t="n">
        <f aca="false">IF(I247="","",RANK(I247,$I$5:$I$359))</f>
        <v>67</v>
      </c>
      <c r="K247" s="19" t="n">
        <v>57.4</v>
      </c>
      <c r="L247" s="17" t="n">
        <f aca="false">IF(K247="","",RANK(K247,$K$5:$K$359))</f>
        <v>125</v>
      </c>
      <c r="M247" s="17" t="str">
        <f aca="false">IF(AND(N(G247)&gt;=N(I247),N(G247)&gt;=N(K247)),"The Pulse",IF(N(I247)&gt;=N(K247),"The Lens","The Hub"))</f>
        <v>The Lens</v>
      </c>
      <c r="N247" s="22" t="s">
        <v>109</v>
      </c>
      <c r="O247" s="17" t="s">
        <v>134</v>
      </c>
    </row>
    <row r="248" customFormat="false" ht="15" hidden="false" customHeight="false" outlineLevel="0" collapsed="false">
      <c r="A248" s="17" t="s">
        <v>587</v>
      </c>
      <c r="B248" s="17" t="s">
        <v>588</v>
      </c>
      <c r="C248" s="17" t="s">
        <v>82</v>
      </c>
      <c r="D248" s="17" t="s">
        <v>127</v>
      </c>
      <c r="E248" s="17" t="s">
        <v>99</v>
      </c>
      <c r="F248" s="18" t="n">
        <v>443930</v>
      </c>
      <c r="G248" s="19" t="n">
        <v>40.5</v>
      </c>
      <c r="H248" s="17" t="n">
        <f aca="false">IF(G248="","",RANK(G248,$G$5:$G$359))</f>
        <v>243</v>
      </c>
      <c r="I248" s="19" t="n">
        <v>40</v>
      </c>
      <c r="J248" s="17" t="n">
        <f aca="false">IF(I248="","",RANK(I248,$I$5:$I$359))</f>
        <v>241</v>
      </c>
      <c r="K248" s="19" t="n">
        <v>72.2</v>
      </c>
      <c r="L248" s="17" t="n">
        <f aca="false">IF(K248="","",RANK(K248,$K$5:$K$359))</f>
        <v>49</v>
      </c>
      <c r="M248" s="17" t="str">
        <f aca="false">IF(AND(N(G248)&gt;=N(I248),N(G248)&gt;=N(K248)),"The Pulse",IF(N(I248)&gt;=N(K248),"The Lens","The Hub"))</f>
        <v>The Hub</v>
      </c>
      <c r="N248" s="20" t="s">
        <v>74</v>
      </c>
      <c r="O248" s="17" t="s">
        <v>24</v>
      </c>
    </row>
    <row r="249" customFormat="false" ht="15" hidden="false" customHeight="false" outlineLevel="0" collapsed="false">
      <c r="A249" s="17" t="s">
        <v>589</v>
      </c>
      <c r="B249" s="17" t="s">
        <v>590</v>
      </c>
      <c r="C249" s="17" t="s">
        <v>82</v>
      </c>
      <c r="D249" s="17" t="s">
        <v>73</v>
      </c>
      <c r="E249" s="17" t="s">
        <v>99</v>
      </c>
      <c r="F249" s="18" t="n">
        <v>523843</v>
      </c>
      <c r="G249" s="19" t="n">
        <v>39.9</v>
      </c>
      <c r="H249" s="17" t="n">
        <f aca="false">IF(G249="","",RANK(G249,$G$5:$G$359))</f>
        <v>245</v>
      </c>
      <c r="I249" s="19" t="n">
        <v>15.1</v>
      </c>
      <c r="J249" s="17" t="n">
        <f aca="false">IF(I249="","",RANK(I249,$I$5:$I$359))</f>
        <v>330</v>
      </c>
      <c r="K249" s="19" t="n">
        <v>70.5</v>
      </c>
      <c r="L249" s="17" t="n">
        <f aca="false">IF(K249="","",RANK(K249,$K$5:$K$359))</f>
        <v>56</v>
      </c>
      <c r="M249" s="17" t="str">
        <f aca="false">IF(AND(N(G249)&gt;=N(I249),N(G249)&gt;=N(K249)),"The Pulse",IF(N(I249)&gt;=N(K249),"The Lens","The Hub"))</f>
        <v>The Hub</v>
      </c>
      <c r="N249" s="21" t="s">
        <v>79</v>
      </c>
      <c r="O249" s="17" t="s">
        <v>88</v>
      </c>
    </row>
    <row r="250" customFormat="false" ht="15" hidden="false" customHeight="false" outlineLevel="0" collapsed="false">
      <c r="A250" s="17" t="s">
        <v>591</v>
      </c>
      <c r="B250" s="17" t="s">
        <v>592</v>
      </c>
      <c r="C250" s="17" t="s">
        <v>86</v>
      </c>
      <c r="D250" s="17" t="s">
        <v>105</v>
      </c>
      <c r="E250" s="17" t="s">
        <v>99</v>
      </c>
      <c r="F250" s="18" t="n">
        <v>262853</v>
      </c>
      <c r="G250" s="19" t="n">
        <v>39.2</v>
      </c>
      <c r="H250" s="17" t="n">
        <f aca="false">IF(G250="","",RANK(G250,$G$5:$G$359))</f>
        <v>246</v>
      </c>
      <c r="I250" s="19" t="n">
        <v>54.9</v>
      </c>
      <c r="J250" s="17" t="n">
        <f aca="false">IF(I250="","",RANK(I250,$I$5:$I$359))</f>
        <v>158</v>
      </c>
      <c r="K250" s="19" t="n">
        <v>20.2</v>
      </c>
      <c r="L250" s="17" t="n">
        <f aca="false">IF(K250="","",RANK(K250,$K$5:$K$359))</f>
        <v>317</v>
      </c>
      <c r="M250" s="17" t="str">
        <f aca="false">IF(AND(N(G250)&gt;=N(I250),N(G250)&gt;=N(K250)),"The Pulse",IF(N(I250)&gt;=N(K250),"The Lens","The Hub"))</f>
        <v>The Lens</v>
      </c>
      <c r="N250" s="21" t="s">
        <v>79</v>
      </c>
      <c r="O250" s="17" t="s">
        <v>88</v>
      </c>
    </row>
    <row r="251" customFormat="false" ht="15" hidden="false" customHeight="false" outlineLevel="0" collapsed="false">
      <c r="A251" s="17" t="s">
        <v>593</v>
      </c>
      <c r="B251" s="17" t="s">
        <v>594</v>
      </c>
      <c r="C251" s="17" t="s">
        <v>91</v>
      </c>
      <c r="D251" s="17" t="s">
        <v>78</v>
      </c>
      <c r="E251" s="17" t="s">
        <v>99</v>
      </c>
      <c r="F251" s="18" t="n">
        <v>222818</v>
      </c>
      <c r="G251" s="19" t="n">
        <v>39.2</v>
      </c>
      <c r="H251" s="17" t="n">
        <f aca="false">IF(G251="","",RANK(G251,$G$5:$G$359))</f>
        <v>246</v>
      </c>
      <c r="I251" s="19" t="n">
        <v>69.1</v>
      </c>
      <c r="J251" s="17" t="n">
        <f aca="false">IF(I251="","",RANK(I251,$I$5:$I$359))</f>
        <v>74</v>
      </c>
      <c r="K251" s="19" t="n">
        <v>58.8</v>
      </c>
      <c r="L251" s="17" t="n">
        <f aca="false">IF(K251="","",RANK(K251,$K$5:$K$359))</f>
        <v>116</v>
      </c>
      <c r="M251" s="17" t="str">
        <f aca="false">IF(AND(N(G251)&gt;=N(I251),N(G251)&gt;=N(K251)),"The Pulse",IF(N(I251)&gt;=N(K251),"The Lens","The Hub"))</f>
        <v>The Lens</v>
      </c>
      <c r="N251" s="21" t="s">
        <v>79</v>
      </c>
      <c r="O251" s="17" t="s">
        <v>88</v>
      </c>
    </row>
    <row r="252" customFormat="false" ht="15" hidden="false" customHeight="false" outlineLevel="0" collapsed="false">
      <c r="A252" s="17" t="s">
        <v>595</v>
      </c>
      <c r="B252" s="17" t="s">
        <v>596</v>
      </c>
      <c r="C252" s="17" t="s">
        <v>95</v>
      </c>
      <c r="D252" s="17" t="s">
        <v>87</v>
      </c>
      <c r="E252" s="17" t="s">
        <v>99</v>
      </c>
      <c r="F252" s="18" t="n">
        <v>205268</v>
      </c>
      <c r="G252" s="19" t="n">
        <v>39.2</v>
      </c>
      <c r="H252" s="17" t="n">
        <f aca="false">IF(G252="","",RANK(G252,$G$5:$G$359))</f>
        <v>246</v>
      </c>
      <c r="I252" s="19" t="n">
        <v>32.6</v>
      </c>
      <c r="J252" s="17" t="n">
        <f aca="false">IF(I252="","",RANK(I252,$I$5:$I$359))</f>
        <v>275</v>
      </c>
      <c r="K252" s="19" t="n">
        <v>24.5</v>
      </c>
      <c r="L252" s="17" t="n">
        <f aca="false">IF(K252="","",RANK(K252,$K$5:$K$359))</f>
        <v>305</v>
      </c>
      <c r="M252" s="17" t="str">
        <f aca="false">IF(AND(N(G252)&gt;=N(I252),N(G252)&gt;=N(K252)),"The Pulse",IF(N(I252)&gt;=N(K252),"The Lens","The Hub"))</f>
        <v>The Pulse</v>
      </c>
      <c r="N252" s="21" t="s">
        <v>79</v>
      </c>
      <c r="O252" s="17" t="s">
        <v>88</v>
      </c>
    </row>
    <row r="253" customFormat="false" ht="15" hidden="false" customHeight="false" outlineLevel="0" collapsed="false">
      <c r="A253" s="17" t="s">
        <v>597</v>
      </c>
      <c r="B253" s="17" t="s">
        <v>598</v>
      </c>
      <c r="C253" s="17" t="s">
        <v>115</v>
      </c>
      <c r="D253" s="17" t="s">
        <v>154</v>
      </c>
      <c r="E253" s="17" t="s">
        <v>99</v>
      </c>
      <c r="F253" s="18" t="n">
        <v>469916</v>
      </c>
      <c r="G253" s="19" t="n">
        <v>39.1</v>
      </c>
      <c r="H253" s="17" t="n">
        <f aca="false">IF(G253="","",RANK(G253,$G$5:$G$359))</f>
        <v>249</v>
      </c>
      <c r="I253" s="19" t="n">
        <v>78.7</v>
      </c>
      <c r="J253" s="17" t="n">
        <f aca="false">IF(I253="","",RANK(I253,$I$5:$I$359))</f>
        <v>42</v>
      </c>
      <c r="K253" s="19" t="n">
        <v>36.8</v>
      </c>
      <c r="L253" s="17" t="n">
        <f aca="false">IF(K253="","",RANK(K253,$K$5:$K$359))</f>
        <v>260</v>
      </c>
      <c r="M253" s="17" t="str">
        <f aca="false">IF(AND(N(G253)&gt;=N(I253),N(G253)&gt;=N(K253)),"The Pulse",IF(N(I253)&gt;=N(K253),"The Lens","The Hub"))</f>
        <v>The Lens</v>
      </c>
      <c r="N253" s="21" t="s">
        <v>79</v>
      </c>
      <c r="O253" s="17" t="s">
        <v>88</v>
      </c>
    </row>
    <row r="254" customFormat="false" ht="15" hidden="false" customHeight="false" outlineLevel="0" collapsed="false">
      <c r="A254" s="17" t="s">
        <v>599</v>
      </c>
      <c r="B254" s="17" t="s">
        <v>600</v>
      </c>
      <c r="C254" s="17" t="s">
        <v>77</v>
      </c>
      <c r="D254" s="17" t="s">
        <v>102</v>
      </c>
      <c r="E254" s="17" t="s">
        <v>99</v>
      </c>
      <c r="F254" s="18" t="n">
        <v>1393483</v>
      </c>
      <c r="G254" s="19" t="n">
        <v>38.8</v>
      </c>
      <c r="H254" s="17" t="n">
        <f aca="false">IF(G254="","",RANK(G254,$G$5:$G$359))</f>
        <v>250</v>
      </c>
      <c r="I254" s="19" t="n">
        <v>63.4</v>
      </c>
      <c r="J254" s="17" t="n">
        <f aca="false">IF(I254="","",RANK(I254,$I$5:$I$359))</f>
        <v>101</v>
      </c>
      <c r="K254" s="19" t="n">
        <v>40.1</v>
      </c>
      <c r="L254" s="17" t="n">
        <f aca="false">IF(K254="","",RANK(K254,$K$5:$K$359))</f>
        <v>241</v>
      </c>
      <c r="M254" s="17" t="str">
        <f aca="false">IF(AND(N(G254)&gt;=N(I254),N(G254)&gt;=N(K254)),"The Pulse",IF(N(I254)&gt;=N(K254),"The Lens","The Hub"))</f>
        <v>The Lens</v>
      </c>
      <c r="N254" s="21" t="s">
        <v>79</v>
      </c>
      <c r="O254" s="17" t="s">
        <v>88</v>
      </c>
    </row>
    <row r="255" customFormat="false" ht="15" hidden="false" customHeight="false" outlineLevel="0" collapsed="false">
      <c r="A255" s="17" t="s">
        <v>601</v>
      </c>
      <c r="B255" s="17" t="s">
        <v>602</v>
      </c>
      <c r="C255" s="17" t="s">
        <v>77</v>
      </c>
      <c r="D255" s="17" t="s">
        <v>83</v>
      </c>
      <c r="E255" s="17" t="s">
        <v>99</v>
      </c>
      <c r="F255" s="18" t="n">
        <v>287727</v>
      </c>
      <c r="G255" s="19" t="n">
        <v>38.7</v>
      </c>
      <c r="H255" s="17" t="n">
        <f aca="false">IF(G255="","",RANK(G255,$G$5:$G$359))</f>
        <v>251</v>
      </c>
      <c r="I255" s="19" t="n">
        <v>65.9</v>
      </c>
      <c r="J255" s="17" t="n">
        <f aca="false">IF(I255="","",RANK(I255,$I$5:$I$359))</f>
        <v>93</v>
      </c>
      <c r="K255" s="19" t="n">
        <v>62</v>
      </c>
      <c r="L255" s="17" t="n">
        <f aca="false">IF(K255="","",RANK(K255,$K$5:$K$359))</f>
        <v>94</v>
      </c>
      <c r="M255" s="17" t="str">
        <f aca="false">IF(AND(N(G255)&gt;=N(I255),N(G255)&gt;=N(K255)),"The Pulse",IF(N(I255)&gt;=N(K255),"The Lens","The Hub"))</f>
        <v>The Lens</v>
      </c>
      <c r="N255" s="21" t="s">
        <v>79</v>
      </c>
      <c r="O255" s="17" t="s">
        <v>88</v>
      </c>
    </row>
    <row r="256" customFormat="false" ht="15" hidden="false" customHeight="false" outlineLevel="0" collapsed="false">
      <c r="A256" s="17" t="s">
        <v>603</v>
      </c>
      <c r="B256" s="17" t="s">
        <v>604</v>
      </c>
      <c r="C256" s="17" t="s">
        <v>77</v>
      </c>
      <c r="D256" s="17" t="s">
        <v>127</v>
      </c>
      <c r="E256" s="17" t="s">
        <v>92</v>
      </c>
      <c r="F256" s="18" t="n">
        <v>29950</v>
      </c>
      <c r="G256" s="19" t="n">
        <v>38.7</v>
      </c>
      <c r="H256" s="17" t="n">
        <f aca="false">IF(G256="","",RANK(G256,$G$5:$G$359))</f>
        <v>251</v>
      </c>
      <c r="I256" s="19" t="n">
        <v>84.8</v>
      </c>
      <c r="J256" s="17" t="n">
        <f aca="false">IF(I256="","",RANK(I256,$I$5:$I$359))</f>
        <v>21</v>
      </c>
      <c r="K256" s="19" t="n">
        <v>56.6</v>
      </c>
      <c r="L256" s="17" t="n">
        <f aca="false">IF(K256="","",RANK(K256,$K$5:$K$359))</f>
        <v>133</v>
      </c>
      <c r="M256" s="17" t="str">
        <f aca="false">IF(AND(N(G256)&gt;=N(I256),N(G256)&gt;=N(K256)),"The Pulse",IF(N(I256)&gt;=N(K256),"The Lens","The Hub"))</f>
        <v>The Lens</v>
      </c>
      <c r="N256" s="20" t="s">
        <v>74</v>
      </c>
      <c r="O256" s="17" t="s">
        <v>24</v>
      </c>
    </row>
    <row r="257" customFormat="false" ht="15" hidden="false" customHeight="false" outlineLevel="0" collapsed="false">
      <c r="A257" s="17" t="s">
        <v>605</v>
      </c>
      <c r="B257" s="17" t="s">
        <v>606</v>
      </c>
      <c r="C257" s="17" t="s">
        <v>91</v>
      </c>
      <c r="D257" s="17" t="s">
        <v>105</v>
      </c>
      <c r="E257" s="17" t="s">
        <v>99</v>
      </c>
      <c r="F257" s="18" t="n">
        <v>633740</v>
      </c>
      <c r="G257" s="19" t="n">
        <v>38.4</v>
      </c>
      <c r="H257" s="17" t="n">
        <f aca="false">IF(G257="","",RANK(G257,$G$5:$G$359))</f>
        <v>253</v>
      </c>
      <c r="I257" s="19" t="n">
        <v>41.4</v>
      </c>
      <c r="J257" s="17" t="n">
        <f aca="false">IF(I257="","",RANK(I257,$I$5:$I$359))</f>
        <v>231</v>
      </c>
      <c r="K257" s="19" t="n">
        <v>31.4</v>
      </c>
      <c r="L257" s="17" t="n">
        <f aca="false">IF(K257="","",RANK(K257,$K$5:$K$359))</f>
        <v>288</v>
      </c>
      <c r="M257" s="17" t="str">
        <f aca="false">IF(AND(N(G257)&gt;=N(I257),N(G257)&gt;=N(K257)),"The Pulse",IF(N(I257)&gt;=N(K257),"The Lens","The Hub"))</f>
        <v>The Lens</v>
      </c>
      <c r="N257" s="20" t="s">
        <v>74</v>
      </c>
      <c r="O257" s="17" t="s">
        <v>24</v>
      </c>
    </row>
    <row r="258" customFormat="false" ht="15" hidden="false" customHeight="false" outlineLevel="0" collapsed="false">
      <c r="A258" s="17" t="s">
        <v>607</v>
      </c>
      <c r="B258" s="17" t="s">
        <v>608</v>
      </c>
      <c r="C258" s="17" t="s">
        <v>95</v>
      </c>
      <c r="D258" s="17" t="s">
        <v>73</v>
      </c>
      <c r="E258" s="17" t="s">
        <v>149</v>
      </c>
      <c r="F258" s="18" t="n">
        <v>356060</v>
      </c>
      <c r="G258" s="19" t="n">
        <v>38.4</v>
      </c>
      <c r="H258" s="17" t="n">
        <f aca="false">IF(G258="","",RANK(G258,$G$5:$G$359))</f>
        <v>253</v>
      </c>
      <c r="I258" s="19" t="n">
        <v>50.6</v>
      </c>
      <c r="J258" s="17" t="n">
        <f aca="false">IF(I258="","",RANK(I258,$I$5:$I$359))</f>
        <v>173</v>
      </c>
      <c r="K258" s="19" t="n">
        <v>69.8</v>
      </c>
      <c r="L258" s="17" t="n">
        <f aca="false">IF(K258="","",RANK(K258,$K$5:$K$359))</f>
        <v>57</v>
      </c>
      <c r="M258" s="17" t="str">
        <f aca="false">IF(AND(N(G258)&gt;=N(I258),N(G258)&gt;=N(K258)),"The Pulse",IF(N(I258)&gt;=N(K258),"The Lens","The Hub"))</f>
        <v>The Hub</v>
      </c>
      <c r="N258" s="20" t="s">
        <v>74</v>
      </c>
      <c r="O258" s="17" t="s">
        <v>24</v>
      </c>
    </row>
    <row r="259" customFormat="false" ht="15" hidden="false" customHeight="false" outlineLevel="0" collapsed="false">
      <c r="A259" s="17" t="s">
        <v>609</v>
      </c>
      <c r="B259" s="17" t="s">
        <v>610</v>
      </c>
      <c r="C259" s="17" t="s">
        <v>91</v>
      </c>
      <c r="D259" s="17" t="s">
        <v>73</v>
      </c>
      <c r="E259" s="17" t="s">
        <v>149</v>
      </c>
      <c r="F259" s="18" t="n">
        <v>198960</v>
      </c>
      <c r="G259" s="19" t="n">
        <v>38.2</v>
      </c>
      <c r="H259" s="17" t="n">
        <f aca="false">IF(G259="","",RANK(G259,$G$5:$G$359))</f>
        <v>255</v>
      </c>
      <c r="I259" s="19" t="n">
        <v>59.2</v>
      </c>
      <c r="J259" s="17" t="n">
        <f aca="false">IF(I259="","",RANK(I259,$I$5:$I$359))</f>
        <v>126</v>
      </c>
      <c r="K259" s="19" t="n">
        <v>40.4</v>
      </c>
      <c r="L259" s="17" t="n">
        <f aca="false">IF(K259="","",RANK(K259,$K$5:$K$359))</f>
        <v>239</v>
      </c>
      <c r="M259" s="17" t="str">
        <f aca="false">IF(AND(N(G259)&gt;=N(I259),N(G259)&gt;=N(K259)),"The Pulse",IF(N(I259)&gt;=N(K259),"The Lens","The Hub"))</f>
        <v>The Lens</v>
      </c>
      <c r="N259" s="20" t="s">
        <v>74</v>
      </c>
      <c r="O259" s="17" t="s">
        <v>24</v>
      </c>
    </row>
    <row r="260" customFormat="false" ht="15" hidden="false" customHeight="false" outlineLevel="0" collapsed="false">
      <c r="A260" s="17" t="s">
        <v>611</v>
      </c>
      <c r="B260" s="17" t="s">
        <v>612</v>
      </c>
      <c r="C260" s="17" t="s">
        <v>77</v>
      </c>
      <c r="D260" s="17" t="s">
        <v>127</v>
      </c>
      <c r="E260" s="17" t="s">
        <v>99</v>
      </c>
      <c r="F260" s="18" t="n">
        <v>251263</v>
      </c>
      <c r="G260" s="19" t="n">
        <v>38.2</v>
      </c>
      <c r="H260" s="17" t="n">
        <f aca="false">IF(G260="","",RANK(G260,$G$5:$G$359))</f>
        <v>255</v>
      </c>
      <c r="I260" s="19" t="n">
        <v>67.8</v>
      </c>
      <c r="J260" s="17" t="n">
        <f aca="false">IF(I260="","",RANK(I260,$I$5:$I$359))</f>
        <v>77</v>
      </c>
      <c r="K260" s="19" t="n">
        <v>71.7</v>
      </c>
      <c r="L260" s="17" t="n">
        <f aca="false">IF(K260="","",RANK(K260,$K$5:$K$359))</f>
        <v>51</v>
      </c>
      <c r="M260" s="17" t="str">
        <f aca="false">IF(AND(N(G260)&gt;=N(I260),N(G260)&gt;=N(K260)),"The Pulse",IF(N(I260)&gt;=N(K260),"The Lens","The Hub"))</f>
        <v>The Hub</v>
      </c>
      <c r="N260" s="21" t="s">
        <v>79</v>
      </c>
      <c r="O260" s="17" t="s">
        <v>88</v>
      </c>
    </row>
    <row r="261" customFormat="false" ht="15" hidden="false" customHeight="false" outlineLevel="0" collapsed="false">
      <c r="A261" s="17" t="s">
        <v>613</v>
      </c>
      <c r="B261" s="17" t="s">
        <v>614</v>
      </c>
      <c r="C261" s="17" t="s">
        <v>162</v>
      </c>
      <c r="D261" s="17" t="s">
        <v>120</v>
      </c>
      <c r="E261" s="17" t="s">
        <v>46</v>
      </c>
      <c r="F261" s="18" t="n">
        <v>9120</v>
      </c>
      <c r="G261" s="19" t="n">
        <v>38.1</v>
      </c>
      <c r="H261" s="17" t="n">
        <f aca="false">IF(G261="","",RANK(G261,$G$5:$G$359))</f>
        <v>257</v>
      </c>
      <c r="I261" s="19" t="n">
        <v>58.5</v>
      </c>
      <c r="J261" s="17" t="n">
        <f aca="false">IF(I261="","",RANK(I261,$I$5:$I$359))</f>
        <v>133</v>
      </c>
      <c r="K261" s="19" t="n">
        <v>55</v>
      </c>
      <c r="L261" s="17" t="n">
        <f aca="false">IF(K261="","",RANK(K261,$K$5:$K$359))</f>
        <v>143</v>
      </c>
      <c r="M261" s="17" t="str">
        <f aca="false">IF(AND(N(G261)&gt;=N(I261),N(G261)&gt;=N(K261)),"The Pulse",IF(N(I261)&gt;=N(K261),"The Lens","The Hub"))</f>
        <v>The Lens</v>
      </c>
      <c r="N261" s="20" t="s">
        <v>74</v>
      </c>
      <c r="O261" s="17" t="s">
        <v>24</v>
      </c>
    </row>
    <row r="262" customFormat="false" ht="15" hidden="false" customHeight="false" outlineLevel="0" collapsed="false">
      <c r="A262" s="17" t="s">
        <v>615</v>
      </c>
      <c r="B262" s="17" t="s">
        <v>616</v>
      </c>
      <c r="C262" s="17" t="s">
        <v>82</v>
      </c>
      <c r="D262" s="17" t="s">
        <v>102</v>
      </c>
      <c r="E262" s="17" t="s">
        <v>99</v>
      </c>
      <c r="F262" s="18" t="n">
        <v>583000</v>
      </c>
      <c r="G262" s="19" t="n">
        <v>38</v>
      </c>
      <c r="H262" s="17" t="n">
        <f aca="false">IF(G262="","",RANK(G262,$G$5:$G$359))</f>
        <v>258</v>
      </c>
      <c r="I262" s="19" t="n">
        <v>55.6</v>
      </c>
      <c r="J262" s="17" t="n">
        <f aca="false">IF(I262="","",RANK(I262,$I$5:$I$359))</f>
        <v>153</v>
      </c>
      <c r="K262" s="19" t="n">
        <v>28.7</v>
      </c>
      <c r="L262" s="17" t="n">
        <f aca="false">IF(K262="","",RANK(K262,$K$5:$K$359))</f>
        <v>296</v>
      </c>
      <c r="M262" s="17" t="str">
        <f aca="false">IF(AND(N(G262)&gt;=N(I262),N(G262)&gt;=N(K262)),"The Pulse",IF(N(I262)&gt;=N(K262),"The Lens","The Hub"))</f>
        <v>The Lens</v>
      </c>
      <c r="N262" s="21" t="s">
        <v>79</v>
      </c>
      <c r="O262" s="17" t="s">
        <v>88</v>
      </c>
    </row>
    <row r="263" customFormat="false" ht="15" hidden="false" customHeight="false" outlineLevel="0" collapsed="false">
      <c r="A263" s="17" t="s">
        <v>617</v>
      </c>
      <c r="B263" s="17" t="s">
        <v>618</v>
      </c>
      <c r="C263" s="17" t="s">
        <v>72</v>
      </c>
      <c r="D263" s="17" t="s">
        <v>78</v>
      </c>
      <c r="E263" s="17" t="s">
        <v>47</v>
      </c>
      <c r="F263" s="18" t="n">
        <v>64629</v>
      </c>
      <c r="G263" s="19" t="n">
        <v>37.9</v>
      </c>
      <c r="H263" s="17" t="n">
        <f aca="false">IF(G263="","",RANK(G263,$G$5:$G$359))</f>
        <v>259</v>
      </c>
      <c r="I263" s="19" t="n">
        <v>33.4</v>
      </c>
      <c r="J263" s="17" t="n">
        <f aca="false">IF(I263="","",RANK(I263,$I$5:$I$359))</f>
        <v>272</v>
      </c>
      <c r="K263" s="19" t="n">
        <v>98.4</v>
      </c>
      <c r="L263" s="17" t="n">
        <f aca="false">IF(K263="","",RANK(K263,$K$5:$K$359))</f>
        <v>1</v>
      </c>
      <c r="M263" s="17" t="str">
        <f aca="false">IF(AND(N(G263)&gt;=N(I263),N(G263)&gt;=N(K263)),"The Pulse",IF(N(I263)&gt;=N(K263),"The Lens","The Hub"))</f>
        <v>The Hub</v>
      </c>
      <c r="N263" s="21" t="s">
        <v>79</v>
      </c>
      <c r="O263" s="17" t="s">
        <v>22</v>
      </c>
    </row>
    <row r="264" customFormat="false" ht="15" hidden="false" customHeight="false" outlineLevel="0" collapsed="false">
      <c r="A264" s="17" t="s">
        <v>619</v>
      </c>
      <c r="B264" s="17" t="s">
        <v>620</v>
      </c>
      <c r="C264" s="17" t="s">
        <v>115</v>
      </c>
      <c r="D264" s="17" t="s">
        <v>83</v>
      </c>
      <c r="E264" s="17" t="s">
        <v>99</v>
      </c>
      <c r="F264" s="18" t="n">
        <v>118219</v>
      </c>
      <c r="G264" s="19" t="n">
        <v>37.8</v>
      </c>
      <c r="H264" s="17" t="n">
        <f aca="false">IF(G264="","",RANK(G264,$G$5:$G$359))</f>
        <v>260</v>
      </c>
      <c r="I264" s="19" t="n">
        <v>43</v>
      </c>
      <c r="J264" s="17" t="n">
        <f aca="false">IF(I264="","",RANK(I264,$I$5:$I$359))</f>
        <v>225</v>
      </c>
      <c r="K264" s="19" t="n">
        <v>48.1</v>
      </c>
      <c r="L264" s="17" t="n">
        <f aca="false">IF(K264="","",RANK(K264,$K$5:$K$359))</f>
        <v>183</v>
      </c>
      <c r="M264" s="17" t="str">
        <f aca="false">IF(AND(N(G264)&gt;=N(I264),N(G264)&gt;=N(K264)),"The Pulse",IF(N(I264)&gt;=N(K264),"The Lens","The Hub"))</f>
        <v>The Hub</v>
      </c>
      <c r="N264" s="21" t="s">
        <v>79</v>
      </c>
      <c r="O264" s="17" t="s">
        <v>88</v>
      </c>
    </row>
    <row r="265" customFormat="false" ht="15" hidden="false" customHeight="false" outlineLevel="0" collapsed="false">
      <c r="A265" s="17" t="s">
        <v>621</v>
      </c>
      <c r="B265" s="17" t="s">
        <v>622</v>
      </c>
      <c r="C265" s="17" t="s">
        <v>86</v>
      </c>
      <c r="D265" s="17" t="s">
        <v>83</v>
      </c>
      <c r="E265" s="17" t="s">
        <v>47</v>
      </c>
      <c r="F265" s="18" t="n">
        <v>35840</v>
      </c>
      <c r="G265" s="19" t="n">
        <v>37.7</v>
      </c>
      <c r="H265" s="17" t="n">
        <f aca="false">IF(G265="","",RANK(G265,$G$5:$G$359))</f>
        <v>261</v>
      </c>
      <c r="I265" s="19" t="n">
        <v>48.4</v>
      </c>
      <c r="J265" s="17" t="n">
        <f aca="false">IF(I265="","",RANK(I265,$I$5:$I$359))</f>
        <v>191</v>
      </c>
      <c r="K265" s="19" t="n">
        <v>50.9</v>
      </c>
      <c r="L265" s="17" t="n">
        <f aca="false">IF(K265="","",RANK(K265,$K$5:$K$359))</f>
        <v>163</v>
      </c>
      <c r="M265" s="17" t="str">
        <f aca="false">IF(AND(N(G265)&gt;=N(I265),N(G265)&gt;=N(K265)),"The Pulse",IF(N(I265)&gt;=N(K265),"The Lens","The Hub"))</f>
        <v>The Hub</v>
      </c>
      <c r="N265" s="20" t="s">
        <v>74</v>
      </c>
      <c r="O265" s="17" t="s">
        <v>24</v>
      </c>
    </row>
    <row r="266" customFormat="false" ht="15" hidden="false" customHeight="false" outlineLevel="0" collapsed="false">
      <c r="A266" s="17" t="s">
        <v>623</v>
      </c>
      <c r="B266" s="17" t="s">
        <v>624</v>
      </c>
      <c r="C266" s="17" t="s">
        <v>86</v>
      </c>
      <c r="D266" s="17" t="s">
        <v>78</v>
      </c>
      <c r="E266" s="17" t="s">
        <v>99</v>
      </c>
      <c r="F266" s="18" t="n">
        <v>523940</v>
      </c>
      <c r="G266" s="19" t="n">
        <v>37.5</v>
      </c>
      <c r="H266" s="17" t="n">
        <f aca="false">IF(G266="","",RANK(G266,$G$5:$G$359))</f>
        <v>262</v>
      </c>
      <c r="I266" s="19" t="n">
        <v>67.9</v>
      </c>
      <c r="J266" s="17" t="n">
        <f aca="false">IF(I266="","",RANK(I266,$I$5:$I$359))</f>
        <v>76</v>
      </c>
      <c r="K266" s="19" t="n">
        <v>52.6</v>
      </c>
      <c r="L266" s="17" t="n">
        <f aca="false">IF(K266="","",RANK(K266,$K$5:$K$359))</f>
        <v>155</v>
      </c>
      <c r="M266" s="17" t="str">
        <f aca="false">IF(AND(N(G266)&gt;=N(I266),N(G266)&gt;=N(K266)),"The Pulse",IF(N(I266)&gt;=N(K266),"The Lens","The Hub"))</f>
        <v>The Lens</v>
      </c>
      <c r="N266" s="21" t="s">
        <v>79</v>
      </c>
      <c r="O266" s="17" t="s">
        <v>88</v>
      </c>
    </row>
    <row r="267" customFormat="false" ht="15" hidden="false" customHeight="false" outlineLevel="0" collapsed="false">
      <c r="A267" s="17" t="s">
        <v>625</v>
      </c>
      <c r="B267" s="17" t="s">
        <v>626</v>
      </c>
      <c r="C267" s="17" t="s">
        <v>162</v>
      </c>
      <c r="D267" s="17" t="s">
        <v>102</v>
      </c>
      <c r="E267" s="17" t="s">
        <v>99</v>
      </c>
      <c r="F267" s="18" t="n">
        <v>416172</v>
      </c>
      <c r="G267" s="19" t="n">
        <v>37.4</v>
      </c>
      <c r="H267" s="17" t="n">
        <f aca="false">IF(G267="","",RANK(G267,$G$5:$G$359))</f>
        <v>263</v>
      </c>
      <c r="I267" s="19" t="n">
        <v>79.3</v>
      </c>
      <c r="J267" s="17" t="n">
        <f aca="false">IF(I267="","",RANK(I267,$I$5:$I$359))</f>
        <v>39</v>
      </c>
      <c r="K267" s="19" t="n">
        <v>46.8</v>
      </c>
      <c r="L267" s="17" t="n">
        <f aca="false">IF(K267="","",RANK(K267,$K$5:$K$359))</f>
        <v>191</v>
      </c>
      <c r="M267" s="17" t="str">
        <f aca="false">IF(AND(N(G267)&gt;=N(I267),N(G267)&gt;=N(K267)),"The Pulse",IF(N(I267)&gt;=N(K267),"The Lens","The Hub"))</f>
        <v>The Lens</v>
      </c>
      <c r="N267" s="21" t="s">
        <v>79</v>
      </c>
      <c r="O267" s="17" t="s">
        <v>88</v>
      </c>
    </row>
    <row r="268" customFormat="false" ht="15" hidden="false" customHeight="false" outlineLevel="0" collapsed="false">
      <c r="A268" s="17" t="s">
        <v>627</v>
      </c>
      <c r="B268" s="17" t="s">
        <v>628</v>
      </c>
      <c r="C268" s="17" t="s">
        <v>162</v>
      </c>
      <c r="D268" s="17" t="s">
        <v>83</v>
      </c>
      <c r="E268" s="17" t="s">
        <v>92</v>
      </c>
      <c r="F268" s="18" t="n">
        <v>97530</v>
      </c>
      <c r="G268" s="19" t="n">
        <v>37.2</v>
      </c>
      <c r="H268" s="17" t="n">
        <f aca="false">IF(G268="","",RANK(G268,$G$5:$G$359))</f>
        <v>264</v>
      </c>
      <c r="I268" s="19" t="n">
        <v>74.8</v>
      </c>
      <c r="J268" s="17" t="n">
        <f aca="false">IF(I268="","",RANK(I268,$I$5:$I$359))</f>
        <v>51</v>
      </c>
      <c r="K268" s="19" t="n">
        <v>7.4</v>
      </c>
      <c r="L268" s="17" t="n">
        <f aca="false">IF(K268="","",RANK(K268,$K$5:$K$359))</f>
        <v>341</v>
      </c>
      <c r="M268" s="17" t="str">
        <f aca="false">IF(AND(N(G268)&gt;=N(I268),N(G268)&gt;=N(K268)),"The Pulse",IF(N(I268)&gt;=N(K268),"The Lens","The Hub"))</f>
        <v>The Lens</v>
      </c>
      <c r="N268" s="21" t="s">
        <v>79</v>
      </c>
      <c r="O268" s="17" t="s">
        <v>88</v>
      </c>
    </row>
    <row r="269" customFormat="false" ht="15" hidden="false" customHeight="false" outlineLevel="0" collapsed="false">
      <c r="A269" s="17" t="s">
        <v>629</v>
      </c>
      <c r="B269" s="17" t="s">
        <v>630</v>
      </c>
      <c r="C269" s="17" t="s">
        <v>77</v>
      </c>
      <c r="D269" s="17" t="s">
        <v>127</v>
      </c>
      <c r="E269" s="17" t="s">
        <v>92</v>
      </c>
      <c r="F269" s="18" t="n">
        <v>73741</v>
      </c>
      <c r="G269" s="19" t="n">
        <v>37.2</v>
      </c>
      <c r="H269" s="17" t="n">
        <f aca="false">IF(G269="","",RANK(G269,$G$5:$G$359))</f>
        <v>264</v>
      </c>
      <c r="I269" s="19" t="n">
        <v>27.1</v>
      </c>
      <c r="J269" s="17" t="n">
        <f aca="false">IF(I269="","",RANK(I269,$I$5:$I$359))</f>
        <v>299</v>
      </c>
      <c r="K269" s="19" t="n">
        <v>38</v>
      </c>
      <c r="L269" s="17" t="n">
        <f aca="false">IF(K269="","",RANK(K269,$K$5:$K$359))</f>
        <v>253</v>
      </c>
      <c r="M269" s="17" t="str">
        <f aca="false">IF(AND(N(G269)&gt;=N(I269),N(G269)&gt;=N(K269)),"The Pulse",IF(N(I269)&gt;=N(K269),"The Lens","The Hub"))</f>
        <v>The Hub</v>
      </c>
      <c r="N269" s="21" t="s">
        <v>79</v>
      </c>
      <c r="O269" s="17" t="s">
        <v>88</v>
      </c>
    </row>
    <row r="270" customFormat="false" ht="15" hidden="false" customHeight="false" outlineLevel="0" collapsed="false">
      <c r="A270" s="17" t="s">
        <v>631</v>
      </c>
      <c r="B270" s="17" t="s">
        <v>632</v>
      </c>
      <c r="C270" s="17" t="s">
        <v>95</v>
      </c>
      <c r="D270" s="17" t="s">
        <v>78</v>
      </c>
      <c r="E270" s="17" t="s">
        <v>92</v>
      </c>
      <c r="F270" s="18" t="n">
        <v>29608</v>
      </c>
      <c r="G270" s="19" t="n">
        <v>37.2</v>
      </c>
      <c r="H270" s="17" t="n">
        <f aca="false">IF(G270="","",RANK(G270,$G$5:$G$359))</f>
        <v>264</v>
      </c>
      <c r="I270" s="19" t="n">
        <v>84.4</v>
      </c>
      <c r="J270" s="17" t="n">
        <f aca="false">IF(I270="","",RANK(I270,$I$5:$I$359))</f>
        <v>22</v>
      </c>
      <c r="K270" s="19" t="n">
        <v>32.2</v>
      </c>
      <c r="L270" s="17" t="n">
        <f aca="false">IF(K270="","",RANK(K270,$K$5:$K$359))</f>
        <v>284</v>
      </c>
      <c r="M270" s="17" t="str">
        <f aca="false">IF(AND(N(G270)&gt;=N(I270),N(G270)&gt;=N(K270)),"The Pulse",IF(N(I270)&gt;=N(K270),"The Lens","The Hub"))</f>
        <v>The Lens</v>
      </c>
      <c r="N270" s="21" t="s">
        <v>79</v>
      </c>
      <c r="O270" s="17" t="s">
        <v>88</v>
      </c>
    </row>
    <row r="271" customFormat="false" ht="15" hidden="false" customHeight="false" outlineLevel="0" collapsed="false">
      <c r="A271" s="17" t="s">
        <v>633</v>
      </c>
      <c r="B271" s="17" t="s">
        <v>634</v>
      </c>
      <c r="C271" s="17" t="s">
        <v>123</v>
      </c>
      <c r="D271" s="17" t="s">
        <v>78</v>
      </c>
      <c r="E271" s="17" t="s">
        <v>99</v>
      </c>
      <c r="F271" s="18" t="n">
        <v>691223</v>
      </c>
      <c r="G271" s="19" t="n">
        <v>36.6</v>
      </c>
      <c r="H271" s="17" t="n">
        <f aca="false">IF(G271="","",RANK(G271,$G$5:$G$359))</f>
        <v>267</v>
      </c>
      <c r="I271" s="19" t="n">
        <v>50.3</v>
      </c>
      <c r="J271" s="17" t="n">
        <f aca="false">IF(I271="","",RANK(I271,$I$5:$I$359))</f>
        <v>176</v>
      </c>
      <c r="K271" s="19" t="n">
        <v>48.2</v>
      </c>
      <c r="L271" s="17" t="n">
        <f aca="false">IF(K271="","",RANK(K271,$K$5:$K$359))</f>
        <v>179</v>
      </c>
      <c r="M271" s="17" t="str">
        <f aca="false">IF(AND(N(G271)&gt;=N(I271),N(G271)&gt;=N(K271)),"The Pulse",IF(N(I271)&gt;=N(K271),"The Lens","The Hub"))</f>
        <v>The Lens</v>
      </c>
      <c r="N271" s="21" t="s">
        <v>79</v>
      </c>
      <c r="O271" s="17" t="s">
        <v>88</v>
      </c>
    </row>
    <row r="272" customFormat="false" ht="15" hidden="false" customHeight="false" outlineLevel="0" collapsed="false">
      <c r="A272" s="17" t="s">
        <v>635</v>
      </c>
      <c r="B272" s="17" t="s">
        <v>636</v>
      </c>
      <c r="C272" s="17" t="s">
        <v>82</v>
      </c>
      <c r="D272" s="17" t="s">
        <v>83</v>
      </c>
      <c r="E272" s="17" t="s">
        <v>99</v>
      </c>
      <c r="F272" s="18" t="n">
        <v>252892</v>
      </c>
      <c r="G272" s="19" t="n">
        <v>36.2</v>
      </c>
      <c r="H272" s="17" t="n">
        <f aca="false">IF(G272="","",RANK(G272,$G$5:$G$359))</f>
        <v>268</v>
      </c>
      <c r="I272" s="19" t="n">
        <v>61.7</v>
      </c>
      <c r="J272" s="17" t="n">
        <f aca="false">IF(I272="","",RANK(I272,$I$5:$I$359))</f>
        <v>113</v>
      </c>
      <c r="K272" s="19" t="n">
        <v>52.6</v>
      </c>
      <c r="L272" s="17" t="n">
        <f aca="false">IF(K272="","",RANK(K272,$K$5:$K$359))</f>
        <v>155</v>
      </c>
      <c r="M272" s="17" t="str">
        <f aca="false">IF(AND(N(G272)&gt;=N(I272),N(G272)&gt;=N(K272)),"The Pulse",IF(N(I272)&gt;=N(K272),"The Lens","The Hub"))</f>
        <v>The Lens</v>
      </c>
      <c r="N272" s="21" t="s">
        <v>79</v>
      </c>
      <c r="O272" s="17" t="s">
        <v>88</v>
      </c>
    </row>
    <row r="273" customFormat="false" ht="15" hidden="false" customHeight="false" outlineLevel="0" collapsed="false">
      <c r="A273" s="17" t="s">
        <v>637</v>
      </c>
      <c r="B273" s="17" t="s">
        <v>638</v>
      </c>
      <c r="C273" s="17" t="s">
        <v>77</v>
      </c>
      <c r="D273" s="17" t="s">
        <v>154</v>
      </c>
      <c r="E273" s="17" t="s">
        <v>99</v>
      </c>
      <c r="F273" s="18" t="n">
        <v>224928</v>
      </c>
      <c r="G273" s="19" t="n">
        <v>36.1</v>
      </c>
      <c r="H273" s="17" t="n">
        <f aca="false">IF(G273="","",RANK(G273,$G$5:$G$359))</f>
        <v>269</v>
      </c>
      <c r="I273" s="19" t="n">
        <v>55.3</v>
      </c>
      <c r="J273" s="17" t="n">
        <f aca="false">IF(I273="","",RANK(I273,$I$5:$I$359))</f>
        <v>154</v>
      </c>
      <c r="K273" s="19" t="n">
        <v>43.9</v>
      </c>
      <c r="L273" s="17" t="n">
        <f aca="false">IF(K273="","",RANK(K273,$K$5:$K$359))</f>
        <v>207</v>
      </c>
      <c r="M273" s="17" t="str">
        <f aca="false">IF(AND(N(G273)&gt;=N(I273),N(G273)&gt;=N(K273)),"The Pulse",IF(N(I273)&gt;=N(K273),"The Lens","The Hub"))</f>
        <v>The Lens</v>
      </c>
      <c r="N273" s="21" t="s">
        <v>79</v>
      </c>
      <c r="O273" s="17" t="s">
        <v>88</v>
      </c>
    </row>
    <row r="274" customFormat="false" ht="15" hidden="false" customHeight="false" outlineLevel="0" collapsed="false">
      <c r="A274" s="17" t="s">
        <v>639</v>
      </c>
      <c r="B274" s="17" t="s">
        <v>640</v>
      </c>
      <c r="C274" s="17" t="s">
        <v>86</v>
      </c>
      <c r="D274" s="17" t="s">
        <v>154</v>
      </c>
      <c r="E274" s="17" t="s">
        <v>46</v>
      </c>
      <c r="F274" s="18" t="n">
        <v>119110</v>
      </c>
      <c r="G274" s="19" t="n">
        <v>36</v>
      </c>
      <c r="H274" s="17" t="n">
        <f aca="false">IF(G274="","",RANK(G274,$G$5:$G$359))</f>
        <v>270</v>
      </c>
      <c r="I274" s="19" t="n">
        <v>16.6</v>
      </c>
      <c r="J274" s="17" t="n">
        <f aca="false">IF(I274="","",RANK(I274,$I$5:$I$359))</f>
        <v>325</v>
      </c>
      <c r="K274" s="19" t="n">
        <v>77.5</v>
      </c>
      <c r="L274" s="17" t="n">
        <f aca="false">IF(K274="","",RANK(K274,$K$5:$K$359))</f>
        <v>39</v>
      </c>
      <c r="M274" s="17" t="str">
        <f aca="false">IF(AND(N(G274)&gt;=N(I274),N(G274)&gt;=N(K274)),"The Pulse",IF(N(I274)&gt;=N(K274),"The Lens","The Hub"))</f>
        <v>The Hub</v>
      </c>
      <c r="N274" s="20" t="s">
        <v>74</v>
      </c>
      <c r="O274" s="17" t="s">
        <v>24</v>
      </c>
    </row>
    <row r="275" customFormat="false" ht="15" hidden="false" customHeight="false" outlineLevel="0" collapsed="false">
      <c r="A275" s="17" t="s">
        <v>641</v>
      </c>
      <c r="B275" s="17" t="s">
        <v>642</v>
      </c>
      <c r="C275" s="17" t="s">
        <v>95</v>
      </c>
      <c r="D275" s="17" t="s">
        <v>154</v>
      </c>
      <c r="E275" s="17" t="s">
        <v>92</v>
      </c>
      <c r="F275" s="18" t="n">
        <v>55897</v>
      </c>
      <c r="G275" s="19" t="n">
        <v>35.7</v>
      </c>
      <c r="H275" s="17" t="n">
        <f aca="false">IF(G275="","",RANK(G275,$G$5:$G$359))</f>
        <v>271</v>
      </c>
      <c r="I275" s="19" t="n">
        <v>11.4</v>
      </c>
      <c r="J275" s="17" t="n">
        <f aca="false">IF(I275="","",RANK(I275,$I$5:$I$359))</f>
        <v>339</v>
      </c>
      <c r="K275" s="19" t="n">
        <v>79.8</v>
      </c>
      <c r="L275" s="17" t="n">
        <f aca="false">IF(K275="","",RANK(K275,$K$5:$K$359))</f>
        <v>34</v>
      </c>
      <c r="M275" s="17" t="str">
        <f aca="false">IF(AND(N(G275)&gt;=N(I275),N(G275)&gt;=N(K275)),"The Pulse",IF(N(I275)&gt;=N(K275),"The Lens","The Hub"))</f>
        <v>The Hub</v>
      </c>
      <c r="N275" s="21" t="s">
        <v>79</v>
      </c>
      <c r="O275" s="17" t="s">
        <v>88</v>
      </c>
    </row>
    <row r="276" customFormat="false" ht="15" hidden="false" customHeight="false" outlineLevel="0" collapsed="false">
      <c r="A276" s="17" t="s">
        <v>643</v>
      </c>
      <c r="B276" s="17" t="s">
        <v>644</v>
      </c>
      <c r="C276" s="17" t="s">
        <v>86</v>
      </c>
      <c r="D276" s="17" t="s">
        <v>102</v>
      </c>
      <c r="E276" s="17" t="s">
        <v>99</v>
      </c>
      <c r="F276" s="18" t="n">
        <v>1646503</v>
      </c>
      <c r="G276" s="19" t="n">
        <v>35.3</v>
      </c>
      <c r="H276" s="17" t="n">
        <f aca="false">IF(G276="","",RANK(G276,$G$5:$G$359))</f>
        <v>272</v>
      </c>
      <c r="I276" s="19" t="n">
        <v>56.2</v>
      </c>
      <c r="J276" s="17" t="n">
        <f aca="false">IF(I276="","",RANK(I276,$I$5:$I$359))</f>
        <v>147</v>
      </c>
      <c r="K276" s="19" t="n">
        <v>47.8</v>
      </c>
      <c r="L276" s="17" t="n">
        <f aca="false">IF(K276="","",RANK(K276,$K$5:$K$359))</f>
        <v>184</v>
      </c>
      <c r="M276" s="17" t="str">
        <f aca="false">IF(AND(N(G276)&gt;=N(I276),N(G276)&gt;=N(K276)),"The Pulse",IF(N(I276)&gt;=N(K276),"The Lens","The Hub"))</f>
        <v>The Lens</v>
      </c>
      <c r="N276" s="21" t="s">
        <v>79</v>
      </c>
      <c r="O276" s="17" t="s">
        <v>88</v>
      </c>
    </row>
    <row r="277" customFormat="false" ht="15" hidden="false" customHeight="false" outlineLevel="0" collapsed="false">
      <c r="A277" s="17" t="s">
        <v>645</v>
      </c>
      <c r="B277" s="17" t="s">
        <v>646</v>
      </c>
      <c r="C277" s="17" t="s">
        <v>123</v>
      </c>
      <c r="D277" s="17" t="s">
        <v>87</v>
      </c>
      <c r="E277" s="17" t="s">
        <v>99</v>
      </c>
      <c r="F277" s="18" t="n">
        <v>184071</v>
      </c>
      <c r="G277" s="19" t="n">
        <v>34.7</v>
      </c>
      <c r="H277" s="17" t="n">
        <f aca="false">IF(G277="","",RANK(G277,$G$5:$G$359))</f>
        <v>273</v>
      </c>
      <c r="I277" s="19" t="n">
        <v>27.6</v>
      </c>
      <c r="J277" s="17" t="n">
        <f aca="false">IF(I277="","",RANK(I277,$I$5:$I$359))</f>
        <v>296</v>
      </c>
      <c r="K277" s="19" t="n">
        <v>88.8</v>
      </c>
      <c r="L277" s="17" t="n">
        <f aca="false">IF(K277="","",RANK(K277,$K$5:$K$359))</f>
        <v>11</v>
      </c>
      <c r="M277" s="17" t="str">
        <f aca="false">IF(AND(N(G277)&gt;=N(I277),N(G277)&gt;=N(K277)),"The Pulse",IF(N(I277)&gt;=N(K277),"The Lens","The Hub"))</f>
        <v>The Hub</v>
      </c>
      <c r="N277" s="21" t="s">
        <v>79</v>
      </c>
      <c r="O277" s="17" t="s">
        <v>88</v>
      </c>
    </row>
    <row r="278" customFormat="false" ht="15" hidden="false" customHeight="false" outlineLevel="0" collapsed="false">
      <c r="A278" s="17" t="s">
        <v>647</v>
      </c>
      <c r="B278" s="17" t="s">
        <v>648</v>
      </c>
      <c r="C278" s="17" t="s">
        <v>95</v>
      </c>
      <c r="D278" s="17" t="s">
        <v>124</v>
      </c>
      <c r="E278" s="17" t="s">
        <v>47</v>
      </c>
      <c r="F278" s="18" t="n">
        <v>47604</v>
      </c>
      <c r="G278" s="19" t="n">
        <v>34.6</v>
      </c>
      <c r="H278" s="17" t="n">
        <f aca="false">IF(G278="","",RANK(G278,$G$5:$G$359))</f>
        <v>274</v>
      </c>
      <c r="I278" s="19" t="n">
        <v>90.3</v>
      </c>
      <c r="J278" s="17" t="n">
        <f aca="false">IF(I278="","",RANK(I278,$I$5:$I$359))</f>
        <v>11</v>
      </c>
      <c r="K278" s="19" t="n">
        <v>7.5</v>
      </c>
      <c r="L278" s="17" t="n">
        <f aca="false">IF(K278="","",RANK(K278,$K$5:$K$359))</f>
        <v>340</v>
      </c>
      <c r="M278" s="17" t="str">
        <f aca="false">IF(AND(N(G278)&gt;=N(I278),N(G278)&gt;=N(K278)),"The Pulse",IF(N(I278)&gt;=N(K278),"The Lens","The Hub"))</f>
        <v>The Lens</v>
      </c>
      <c r="N278" s="21" t="s">
        <v>79</v>
      </c>
      <c r="O278" s="17" t="s">
        <v>22</v>
      </c>
    </row>
    <row r="279" customFormat="false" ht="15" hidden="false" customHeight="false" outlineLevel="0" collapsed="false">
      <c r="A279" s="17" t="s">
        <v>649</v>
      </c>
      <c r="B279" s="17" t="s">
        <v>650</v>
      </c>
      <c r="C279" s="17" t="s">
        <v>115</v>
      </c>
      <c r="D279" s="17" t="s">
        <v>78</v>
      </c>
      <c r="E279" s="17" t="s">
        <v>106</v>
      </c>
      <c r="F279" s="18" t="n">
        <v>597782</v>
      </c>
      <c r="G279" s="19" t="n">
        <v>34.5</v>
      </c>
      <c r="H279" s="17" t="n">
        <f aca="false">IF(G279="","",RANK(G279,$G$5:$G$359))</f>
        <v>275</v>
      </c>
      <c r="I279" s="19" t="n">
        <v>77.8</v>
      </c>
      <c r="J279" s="17" t="n">
        <f aca="false">IF(I279="","",RANK(I279,$I$5:$I$359))</f>
        <v>45</v>
      </c>
      <c r="K279" s="19" t="n">
        <v>65.8</v>
      </c>
      <c r="L279" s="17" t="n">
        <f aca="false">IF(K279="","",RANK(K279,$K$5:$K$359))</f>
        <v>75</v>
      </c>
      <c r="M279" s="17" t="str">
        <f aca="false">IF(AND(N(G279)&gt;=N(I279),N(G279)&gt;=N(K279)),"The Pulse",IF(N(I279)&gt;=N(K279),"The Lens","The Hub"))</f>
        <v>The Lens</v>
      </c>
      <c r="N279" s="21" t="s">
        <v>79</v>
      </c>
      <c r="O279" s="17" t="s">
        <v>88</v>
      </c>
    </row>
    <row r="280" customFormat="false" ht="15" hidden="false" customHeight="false" outlineLevel="0" collapsed="false">
      <c r="A280" s="17" t="s">
        <v>651</v>
      </c>
      <c r="B280" s="17" t="s">
        <v>652</v>
      </c>
      <c r="C280" s="17" t="s">
        <v>115</v>
      </c>
      <c r="D280" s="17" t="s">
        <v>102</v>
      </c>
      <c r="E280" s="17" t="s">
        <v>47</v>
      </c>
      <c r="F280" s="18" t="n">
        <v>548234</v>
      </c>
      <c r="G280" s="19" t="n">
        <v>34.4</v>
      </c>
      <c r="H280" s="17" t="n">
        <f aca="false">IF(G280="","",RANK(G280,$G$5:$G$359))</f>
        <v>276</v>
      </c>
      <c r="I280" s="19" t="n">
        <v>29.2</v>
      </c>
      <c r="J280" s="17" t="n">
        <f aca="false">IF(I280="","",RANK(I280,$I$5:$I$359))</f>
        <v>289</v>
      </c>
      <c r="K280" s="19" t="n">
        <v>8.6</v>
      </c>
      <c r="L280" s="17" t="n">
        <f aca="false">IF(K280="","",RANK(K280,$K$5:$K$359))</f>
        <v>338</v>
      </c>
      <c r="M280" s="17" t="str">
        <f aca="false">IF(AND(N(G280)&gt;=N(I280),N(G280)&gt;=N(K280)),"The Pulse",IF(N(I280)&gt;=N(K280),"The Lens","The Hub"))</f>
        <v>The Pulse</v>
      </c>
      <c r="N280" s="21" t="s">
        <v>79</v>
      </c>
      <c r="O280" s="17" t="s">
        <v>22</v>
      </c>
    </row>
    <row r="281" customFormat="false" ht="15" hidden="false" customHeight="false" outlineLevel="0" collapsed="false">
      <c r="A281" s="17" t="s">
        <v>653</v>
      </c>
      <c r="B281" s="17" t="s">
        <v>654</v>
      </c>
      <c r="C281" s="17" t="s">
        <v>86</v>
      </c>
      <c r="D281" s="17" t="s">
        <v>87</v>
      </c>
      <c r="E281" s="17" t="s">
        <v>99</v>
      </c>
      <c r="F281" s="18" t="n">
        <v>957460</v>
      </c>
      <c r="G281" s="19" t="n">
        <v>34.3</v>
      </c>
      <c r="H281" s="17" t="n">
        <f aca="false">IF(G281="","",RANK(G281,$G$5:$G$359))</f>
        <v>277</v>
      </c>
      <c r="I281" s="19" t="n">
        <v>47.8</v>
      </c>
      <c r="J281" s="17" t="n">
        <f aca="false">IF(I281="","",RANK(I281,$I$5:$I$359))</f>
        <v>197</v>
      </c>
      <c r="K281" s="19" t="n">
        <v>57.8</v>
      </c>
      <c r="L281" s="17" t="n">
        <f aca="false">IF(K281="","",RANK(K281,$K$5:$K$359))</f>
        <v>123</v>
      </c>
      <c r="M281" s="17" t="str">
        <f aca="false">IF(AND(N(G281)&gt;=N(I281),N(G281)&gt;=N(K281)),"The Pulse",IF(N(I281)&gt;=N(K281),"The Lens","The Hub"))</f>
        <v>The Hub</v>
      </c>
      <c r="N281" s="22" t="s">
        <v>109</v>
      </c>
      <c r="O281" s="17" t="s">
        <v>134</v>
      </c>
    </row>
    <row r="282" customFormat="false" ht="15" hidden="false" customHeight="false" outlineLevel="0" collapsed="false">
      <c r="A282" s="17" t="s">
        <v>655</v>
      </c>
      <c r="B282" s="17" t="s">
        <v>656</v>
      </c>
      <c r="C282" s="17" t="s">
        <v>72</v>
      </c>
      <c r="D282" s="17" t="s">
        <v>73</v>
      </c>
      <c r="E282" s="17" t="s">
        <v>99</v>
      </c>
      <c r="F282" s="18" t="n">
        <v>373822</v>
      </c>
      <c r="G282" s="19" t="n">
        <v>34.3</v>
      </c>
      <c r="H282" s="17" t="n">
        <f aca="false">IF(G282="","",RANK(G282,$G$5:$G$359))</f>
        <v>277</v>
      </c>
      <c r="I282" s="19" t="n">
        <v>44.5</v>
      </c>
      <c r="J282" s="17" t="n">
        <f aca="false">IF(I282="","",RANK(I282,$I$5:$I$359))</f>
        <v>215</v>
      </c>
      <c r="K282" s="19" t="n">
        <v>57</v>
      </c>
      <c r="L282" s="17" t="n">
        <f aca="false">IF(K282="","",RANK(K282,$K$5:$K$359))</f>
        <v>127</v>
      </c>
      <c r="M282" s="17" t="str">
        <f aca="false">IF(AND(N(G282)&gt;=N(I282),N(G282)&gt;=N(K282)),"The Pulse",IF(N(I282)&gt;=N(K282),"The Lens","The Hub"))</f>
        <v>The Hub</v>
      </c>
      <c r="N282" s="21" t="s">
        <v>79</v>
      </c>
      <c r="O282" s="17" t="s">
        <v>88</v>
      </c>
    </row>
    <row r="283" customFormat="false" ht="15" hidden="false" customHeight="false" outlineLevel="0" collapsed="false">
      <c r="A283" s="17" t="s">
        <v>657</v>
      </c>
      <c r="B283" s="17" t="s">
        <v>658</v>
      </c>
      <c r="C283" s="17" t="s">
        <v>162</v>
      </c>
      <c r="D283" s="17" t="s">
        <v>87</v>
      </c>
      <c r="E283" s="17" t="s">
        <v>99</v>
      </c>
      <c r="F283" s="18" t="n">
        <v>78014</v>
      </c>
      <c r="G283" s="19" t="n">
        <v>33.9</v>
      </c>
      <c r="H283" s="17" t="n">
        <f aca="false">IF(G283="","",RANK(G283,$G$5:$G$359))</f>
        <v>279</v>
      </c>
      <c r="I283" s="19" t="n">
        <v>58.8</v>
      </c>
      <c r="J283" s="17" t="n">
        <f aca="false">IF(I283="","",RANK(I283,$I$5:$I$359))</f>
        <v>131</v>
      </c>
      <c r="K283" s="19" t="n">
        <v>69.5</v>
      </c>
      <c r="L283" s="17" t="n">
        <f aca="false">IF(K283="","",RANK(K283,$K$5:$K$359))</f>
        <v>58</v>
      </c>
      <c r="M283" s="17" t="str">
        <f aca="false">IF(AND(N(G283)&gt;=N(I283),N(G283)&gt;=N(K283)),"The Pulse",IF(N(I283)&gt;=N(K283),"The Lens","The Hub"))</f>
        <v>The Hub</v>
      </c>
      <c r="N283" s="21" t="s">
        <v>79</v>
      </c>
      <c r="O283" s="17" t="s">
        <v>88</v>
      </c>
    </row>
    <row r="284" customFormat="false" ht="15" hidden="false" customHeight="false" outlineLevel="0" collapsed="false">
      <c r="A284" s="17" t="s">
        <v>659</v>
      </c>
      <c r="B284" s="17" t="s">
        <v>660</v>
      </c>
      <c r="C284" s="17" t="s">
        <v>82</v>
      </c>
      <c r="D284" s="17" t="s">
        <v>83</v>
      </c>
      <c r="E284" s="17" t="s">
        <v>46</v>
      </c>
      <c r="F284" s="18" t="n">
        <v>31340</v>
      </c>
      <c r="G284" s="19" t="n">
        <v>33.8</v>
      </c>
      <c r="H284" s="17" t="n">
        <f aca="false">IF(G284="","",RANK(G284,$G$5:$G$359))</f>
        <v>280</v>
      </c>
      <c r="I284" s="19" t="n">
        <v>18.5</v>
      </c>
      <c r="J284" s="17" t="n">
        <f aca="false">IF(I284="","",RANK(I284,$I$5:$I$359))</f>
        <v>322</v>
      </c>
      <c r="K284" s="19" t="n">
        <v>33.8</v>
      </c>
      <c r="L284" s="17" t="n">
        <f aca="false">IF(K284="","",RANK(K284,$K$5:$K$359))</f>
        <v>278</v>
      </c>
      <c r="M284" s="17" t="str">
        <f aca="false">IF(AND(N(G284)&gt;=N(I284),N(G284)&gt;=N(K284)),"The Pulse",IF(N(I284)&gt;=N(K284),"The Lens","The Hub"))</f>
        <v>The Pulse</v>
      </c>
      <c r="N284" s="20" t="s">
        <v>74</v>
      </c>
      <c r="O284" s="17" t="s">
        <v>24</v>
      </c>
    </row>
    <row r="285" customFormat="false" ht="15" hidden="false" customHeight="false" outlineLevel="0" collapsed="false">
      <c r="A285" s="17" t="s">
        <v>661</v>
      </c>
      <c r="B285" s="17" t="s">
        <v>662</v>
      </c>
      <c r="C285" s="17" t="s">
        <v>91</v>
      </c>
      <c r="D285" s="17" t="s">
        <v>124</v>
      </c>
      <c r="E285" s="17" t="s">
        <v>149</v>
      </c>
      <c r="F285" s="18" t="n">
        <v>372180</v>
      </c>
      <c r="G285" s="19" t="n">
        <v>33.8</v>
      </c>
      <c r="H285" s="17" t="n">
        <f aca="false">IF(G285="","",RANK(G285,$G$5:$G$359))</f>
        <v>280</v>
      </c>
      <c r="I285" s="19" t="n">
        <v>58.9</v>
      </c>
      <c r="J285" s="17" t="n">
        <f aca="false">IF(I285="","",RANK(I285,$I$5:$I$359))</f>
        <v>130</v>
      </c>
      <c r="K285" s="19" t="n">
        <v>67.6</v>
      </c>
      <c r="L285" s="17" t="n">
        <f aca="false">IF(K285="","",RANK(K285,$K$5:$K$359))</f>
        <v>67</v>
      </c>
      <c r="M285" s="17" t="str">
        <f aca="false">IF(AND(N(G285)&gt;=N(I285),N(G285)&gt;=N(K285)),"The Pulse",IF(N(I285)&gt;=N(K285),"The Lens","The Hub"))</f>
        <v>The Hub</v>
      </c>
      <c r="N285" s="20" t="s">
        <v>74</v>
      </c>
      <c r="O285" s="17" t="s">
        <v>24</v>
      </c>
    </row>
    <row r="286" customFormat="false" ht="15" hidden="false" customHeight="false" outlineLevel="0" collapsed="false">
      <c r="A286" s="17" t="s">
        <v>663</v>
      </c>
      <c r="B286" s="17" t="s">
        <v>664</v>
      </c>
      <c r="C286" s="17" t="s">
        <v>98</v>
      </c>
      <c r="D286" s="17" t="s">
        <v>124</v>
      </c>
      <c r="E286" s="17" t="s">
        <v>47</v>
      </c>
      <c r="F286" s="18" t="n">
        <v>15286</v>
      </c>
      <c r="G286" s="19" t="n">
        <v>33.7</v>
      </c>
      <c r="H286" s="17" t="n">
        <f aca="false">IF(G286="","",RANK(G286,$G$5:$G$359))</f>
        <v>282</v>
      </c>
      <c r="I286" s="19" t="n">
        <v>66.9</v>
      </c>
      <c r="J286" s="17" t="n">
        <f aca="false">IF(I286="","",RANK(I286,$I$5:$I$359))</f>
        <v>84</v>
      </c>
      <c r="K286" s="19" t="n">
        <v>97.7</v>
      </c>
      <c r="L286" s="17" t="n">
        <f aca="false">IF(K286="","",RANK(K286,$K$5:$K$359))</f>
        <v>3</v>
      </c>
      <c r="M286" s="17" t="str">
        <f aca="false">IF(AND(N(G286)&gt;=N(I286),N(G286)&gt;=N(K286)),"The Pulse",IF(N(I286)&gt;=N(K286),"The Lens","The Hub"))</f>
        <v>The Hub</v>
      </c>
      <c r="N286" s="21" t="s">
        <v>79</v>
      </c>
      <c r="O286" s="17" t="s">
        <v>22</v>
      </c>
    </row>
    <row r="287" customFormat="false" ht="15" hidden="false" customHeight="false" outlineLevel="0" collapsed="false">
      <c r="A287" s="17" t="s">
        <v>665</v>
      </c>
      <c r="B287" s="17" t="s">
        <v>666</v>
      </c>
      <c r="C287" s="17" t="s">
        <v>86</v>
      </c>
      <c r="D287" s="17" t="s">
        <v>78</v>
      </c>
      <c r="E287" s="17" t="s">
        <v>46</v>
      </c>
      <c r="F287" s="18" t="n">
        <v>285960</v>
      </c>
      <c r="G287" s="19" t="n">
        <v>33.4</v>
      </c>
      <c r="H287" s="17" t="n">
        <f aca="false">IF(G287="","",RANK(G287,$G$5:$G$359))</f>
        <v>283</v>
      </c>
      <c r="I287" s="19" t="n">
        <v>28</v>
      </c>
      <c r="J287" s="17" t="n">
        <f aca="false">IF(I287="","",RANK(I287,$I$5:$I$359))</f>
        <v>293</v>
      </c>
      <c r="K287" s="19" t="n">
        <v>11.9</v>
      </c>
      <c r="L287" s="17" t="n">
        <f aca="false">IF(K287="","",RANK(K287,$K$5:$K$359))</f>
        <v>334</v>
      </c>
      <c r="M287" s="17" t="str">
        <f aca="false">IF(AND(N(G287)&gt;=N(I287),N(G287)&gt;=N(K287)),"The Pulse",IF(N(I287)&gt;=N(K287),"The Lens","The Hub"))</f>
        <v>The Pulse</v>
      </c>
      <c r="N287" s="20" t="s">
        <v>74</v>
      </c>
      <c r="O287" s="17" t="s">
        <v>24</v>
      </c>
    </row>
    <row r="288" customFormat="false" ht="15" hidden="false" customHeight="false" outlineLevel="0" collapsed="false">
      <c r="A288" s="17" t="s">
        <v>667</v>
      </c>
      <c r="B288" s="17" t="s">
        <v>668</v>
      </c>
      <c r="C288" s="17" t="s">
        <v>82</v>
      </c>
      <c r="D288" s="17" t="s">
        <v>154</v>
      </c>
      <c r="E288" s="17" t="s">
        <v>92</v>
      </c>
      <c r="F288" s="18" t="n">
        <v>122250</v>
      </c>
      <c r="G288" s="19" t="n">
        <v>32.8</v>
      </c>
      <c r="H288" s="17" t="n">
        <f aca="false">IF(G288="","",RANK(G288,$G$5:$G$359))</f>
        <v>284</v>
      </c>
      <c r="I288" s="19" t="n">
        <v>46</v>
      </c>
      <c r="J288" s="17" t="n">
        <f aca="false">IF(I288="","",RANK(I288,$I$5:$I$359))</f>
        <v>206</v>
      </c>
      <c r="K288" s="19" t="n">
        <v>67.9</v>
      </c>
      <c r="L288" s="17" t="n">
        <f aca="false">IF(K288="","",RANK(K288,$K$5:$K$359))</f>
        <v>65</v>
      </c>
      <c r="M288" s="17" t="str">
        <f aca="false">IF(AND(N(G288)&gt;=N(I288),N(G288)&gt;=N(K288)),"The Pulse",IF(N(I288)&gt;=N(K288),"The Lens","The Hub"))</f>
        <v>The Hub</v>
      </c>
      <c r="N288" s="21" t="s">
        <v>79</v>
      </c>
      <c r="O288" s="17" t="s">
        <v>88</v>
      </c>
    </row>
    <row r="289" customFormat="false" ht="15" hidden="false" customHeight="false" outlineLevel="0" collapsed="false">
      <c r="A289" s="17" t="s">
        <v>669</v>
      </c>
      <c r="B289" s="17" t="s">
        <v>670</v>
      </c>
      <c r="C289" s="17" t="s">
        <v>86</v>
      </c>
      <c r="D289" s="17" t="s">
        <v>73</v>
      </c>
      <c r="E289" s="17" t="s">
        <v>99</v>
      </c>
      <c r="F289" s="18" t="n">
        <v>128693</v>
      </c>
      <c r="G289" s="19" t="n">
        <v>32.4</v>
      </c>
      <c r="H289" s="17" t="n">
        <f aca="false">IF(G289="","",RANK(G289,$G$5:$G$359))</f>
        <v>285</v>
      </c>
      <c r="I289" s="19" t="n">
        <v>24.5</v>
      </c>
      <c r="J289" s="17" t="n">
        <f aca="false">IF(I289="","",RANK(I289,$I$5:$I$359))</f>
        <v>305</v>
      </c>
      <c r="K289" s="19" t="n">
        <v>80.5</v>
      </c>
      <c r="L289" s="17" t="n">
        <f aca="false">IF(K289="","",RANK(K289,$K$5:$K$359))</f>
        <v>32</v>
      </c>
      <c r="M289" s="17" t="str">
        <f aca="false">IF(AND(N(G289)&gt;=N(I289),N(G289)&gt;=N(K289)),"The Pulse",IF(N(I289)&gt;=N(K289),"The Lens","The Hub"))</f>
        <v>The Hub</v>
      </c>
      <c r="N289" s="21" t="s">
        <v>79</v>
      </c>
      <c r="O289" s="17" t="s">
        <v>88</v>
      </c>
    </row>
    <row r="290" customFormat="false" ht="15" hidden="false" customHeight="false" outlineLevel="0" collapsed="false">
      <c r="A290" s="17" t="s">
        <v>671</v>
      </c>
      <c r="B290" s="17" t="s">
        <v>672</v>
      </c>
      <c r="C290" s="17" t="s">
        <v>162</v>
      </c>
      <c r="D290" s="17" t="s">
        <v>83</v>
      </c>
      <c r="E290" s="17" t="s">
        <v>99</v>
      </c>
      <c r="F290" s="18" t="n">
        <v>425020</v>
      </c>
      <c r="G290" s="19" t="n">
        <v>32.2</v>
      </c>
      <c r="H290" s="17" t="n">
        <f aca="false">IF(G290="","",RANK(G290,$G$5:$G$359))</f>
        <v>286</v>
      </c>
      <c r="I290" s="19" t="n">
        <v>63.5</v>
      </c>
      <c r="J290" s="17" t="n">
        <f aca="false">IF(I290="","",RANK(I290,$I$5:$I$359))</f>
        <v>100</v>
      </c>
      <c r="K290" s="19" t="n">
        <v>48.7</v>
      </c>
      <c r="L290" s="17" t="n">
        <f aca="false">IF(K290="","",RANK(K290,$K$5:$K$359))</f>
        <v>175</v>
      </c>
      <c r="M290" s="17" t="str">
        <f aca="false">IF(AND(N(G290)&gt;=N(I290),N(G290)&gt;=N(K290)),"The Pulse",IF(N(I290)&gt;=N(K290),"The Lens","The Hub"))</f>
        <v>The Lens</v>
      </c>
      <c r="N290" s="20" t="s">
        <v>74</v>
      </c>
      <c r="O290" s="17" t="s">
        <v>24</v>
      </c>
    </row>
    <row r="291" customFormat="false" ht="15" hidden="false" customHeight="false" outlineLevel="0" collapsed="false">
      <c r="A291" s="17" t="s">
        <v>673</v>
      </c>
      <c r="B291" s="17" t="s">
        <v>674</v>
      </c>
      <c r="C291" s="17" t="s">
        <v>86</v>
      </c>
      <c r="D291" s="17" t="s">
        <v>87</v>
      </c>
      <c r="E291" s="17" t="s">
        <v>47</v>
      </c>
      <c r="F291" s="18" t="n">
        <v>2420</v>
      </c>
      <c r="G291" s="19" t="n">
        <v>32.1</v>
      </c>
      <c r="H291" s="17" t="n">
        <f aca="false">IF(G291="","",RANK(G291,$G$5:$G$359))</f>
        <v>287</v>
      </c>
      <c r="I291" s="19" t="n">
        <v>100</v>
      </c>
      <c r="J291" s="17" t="n">
        <f aca="false">IF(I291="","",RANK(I291,$I$5:$I$359))</f>
        <v>1</v>
      </c>
      <c r="K291" s="19" t="n">
        <v>53.8</v>
      </c>
      <c r="L291" s="17" t="n">
        <f aca="false">IF(K291="","",RANK(K291,$K$5:$K$359))</f>
        <v>150</v>
      </c>
      <c r="M291" s="17" t="str">
        <f aca="false">IF(AND(N(G291)&gt;=N(I291),N(G291)&gt;=N(K291)),"The Pulse",IF(N(I291)&gt;=N(K291),"The Lens","The Hub"))</f>
        <v>The Lens</v>
      </c>
      <c r="N291" s="20" t="s">
        <v>74</v>
      </c>
      <c r="O291" s="17" t="s">
        <v>24</v>
      </c>
    </row>
    <row r="292" customFormat="false" ht="15" hidden="false" customHeight="false" outlineLevel="0" collapsed="false">
      <c r="A292" s="17" t="s">
        <v>675</v>
      </c>
      <c r="B292" s="17" t="s">
        <v>676</v>
      </c>
      <c r="C292" s="17" t="s">
        <v>91</v>
      </c>
      <c r="D292" s="17" t="s">
        <v>87</v>
      </c>
      <c r="E292" s="17" t="s">
        <v>92</v>
      </c>
      <c r="F292" s="18" t="n">
        <v>511560</v>
      </c>
      <c r="G292" s="19" t="n">
        <v>31.4</v>
      </c>
      <c r="H292" s="17" t="n">
        <f aca="false">IF(G292="","",RANK(G292,$G$5:$G$359))</f>
        <v>288</v>
      </c>
      <c r="I292" s="19" t="n">
        <v>52.6</v>
      </c>
      <c r="J292" s="17" t="n">
        <f aca="false">IF(I292="","",RANK(I292,$I$5:$I$359))</f>
        <v>164</v>
      </c>
      <c r="K292" s="19" t="n">
        <v>58.4</v>
      </c>
      <c r="L292" s="17" t="n">
        <f aca="false">IF(K292="","",RANK(K292,$K$5:$K$359))</f>
        <v>118</v>
      </c>
      <c r="M292" s="17" t="str">
        <f aca="false">IF(AND(N(G292)&gt;=N(I292),N(G292)&gt;=N(K292)),"The Pulse",IF(N(I292)&gt;=N(K292),"The Lens","The Hub"))</f>
        <v>The Hub</v>
      </c>
      <c r="N292" s="20" t="s">
        <v>74</v>
      </c>
      <c r="O292" s="17" t="s">
        <v>24</v>
      </c>
    </row>
    <row r="293" customFormat="false" ht="15" hidden="false" customHeight="false" outlineLevel="0" collapsed="false">
      <c r="A293" s="17" t="s">
        <v>677</v>
      </c>
      <c r="B293" s="17" t="s">
        <v>678</v>
      </c>
      <c r="C293" s="17" t="s">
        <v>72</v>
      </c>
      <c r="D293" s="17" t="s">
        <v>102</v>
      </c>
      <c r="E293" s="17" t="s">
        <v>99</v>
      </c>
      <c r="F293" s="18" t="n">
        <v>346956</v>
      </c>
      <c r="G293" s="19" t="n">
        <v>31.3</v>
      </c>
      <c r="H293" s="17" t="n">
        <f aca="false">IF(G293="","",RANK(G293,$G$5:$G$359))</f>
        <v>289</v>
      </c>
      <c r="I293" s="19" t="n">
        <v>46.2</v>
      </c>
      <c r="J293" s="17" t="n">
        <f aca="false">IF(I293="","",RANK(I293,$I$5:$I$359))</f>
        <v>205</v>
      </c>
      <c r="K293" s="19" t="n">
        <v>63.3</v>
      </c>
      <c r="L293" s="17" t="n">
        <f aca="false">IF(K293="","",RANK(K293,$K$5:$K$359))</f>
        <v>87</v>
      </c>
      <c r="M293" s="17" t="str">
        <f aca="false">IF(AND(N(G293)&gt;=N(I293),N(G293)&gt;=N(K293)),"The Pulse",IF(N(I293)&gt;=N(K293),"The Lens","The Hub"))</f>
        <v>The Hub</v>
      </c>
      <c r="N293" s="21" t="s">
        <v>79</v>
      </c>
      <c r="O293" s="17" t="s">
        <v>88</v>
      </c>
    </row>
    <row r="294" customFormat="false" ht="15" hidden="false" customHeight="false" outlineLevel="0" collapsed="false">
      <c r="A294" s="17" t="s">
        <v>679</v>
      </c>
      <c r="B294" s="17" t="s">
        <v>680</v>
      </c>
      <c r="C294" s="17" t="s">
        <v>95</v>
      </c>
      <c r="D294" s="17" t="s">
        <v>127</v>
      </c>
      <c r="E294" s="17" t="s">
        <v>45</v>
      </c>
      <c r="F294" s="18" t="n">
        <v>1336470</v>
      </c>
      <c r="G294" s="19" t="n">
        <v>30.8</v>
      </c>
      <c r="H294" s="17" t="n">
        <f aca="false">IF(G294="","",RANK(G294,$G$5:$G$359))</f>
        <v>290</v>
      </c>
      <c r="I294" s="19" t="n">
        <v>58.8</v>
      </c>
      <c r="J294" s="17" t="n">
        <f aca="false">IF(I294="","",RANK(I294,$I$5:$I$359))</f>
        <v>131</v>
      </c>
      <c r="K294" s="19" t="n">
        <v>32.9</v>
      </c>
      <c r="L294" s="17" t="n">
        <f aca="false">IF(K294="","",RANK(K294,$K$5:$K$359))</f>
        <v>282</v>
      </c>
      <c r="M294" s="17" t="str">
        <f aca="false">IF(AND(N(G294)&gt;=N(I294),N(G294)&gt;=N(K294)),"The Pulse",IF(N(I294)&gt;=N(K294),"The Lens","The Hub"))</f>
        <v>The Lens</v>
      </c>
      <c r="N294" s="21" t="s">
        <v>79</v>
      </c>
      <c r="O294" s="17" t="s">
        <v>88</v>
      </c>
    </row>
    <row r="295" customFormat="false" ht="15" hidden="false" customHeight="false" outlineLevel="0" collapsed="false">
      <c r="A295" s="17" t="s">
        <v>681</v>
      </c>
      <c r="B295" s="17" t="s">
        <v>682</v>
      </c>
      <c r="C295" s="17" t="s">
        <v>98</v>
      </c>
      <c r="D295" s="17" t="s">
        <v>127</v>
      </c>
      <c r="E295" s="17" t="s">
        <v>99</v>
      </c>
      <c r="F295" s="18" t="n">
        <v>92862</v>
      </c>
      <c r="G295" s="19" t="n">
        <v>30.3</v>
      </c>
      <c r="H295" s="17" t="n">
        <f aca="false">IF(G295="","",RANK(G295,$G$5:$G$359))</f>
        <v>291</v>
      </c>
      <c r="I295" s="19" t="n">
        <v>26.7</v>
      </c>
      <c r="J295" s="17" t="n">
        <f aca="false">IF(I295="","",RANK(I295,$I$5:$I$359))</f>
        <v>302</v>
      </c>
      <c r="K295" s="19" t="n">
        <v>51.2</v>
      </c>
      <c r="L295" s="17" t="n">
        <f aca="false">IF(K295="","",RANK(K295,$K$5:$K$359))</f>
        <v>161</v>
      </c>
      <c r="M295" s="17" t="str">
        <f aca="false">IF(AND(N(G295)&gt;=N(I295),N(G295)&gt;=N(K295)),"The Pulse",IF(N(I295)&gt;=N(K295),"The Lens","The Hub"))</f>
        <v>The Hub</v>
      </c>
      <c r="N295" s="21" t="s">
        <v>79</v>
      </c>
      <c r="O295" s="17" t="s">
        <v>88</v>
      </c>
    </row>
    <row r="296" customFormat="false" ht="15" hidden="false" customHeight="false" outlineLevel="0" collapsed="false">
      <c r="A296" s="17" t="s">
        <v>683</v>
      </c>
      <c r="B296" s="17" t="s">
        <v>684</v>
      </c>
      <c r="C296" s="17" t="s">
        <v>72</v>
      </c>
      <c r="D296" s="17" t="s">
        <v>78</v>
      </c>
      <c r="E296" s="17" t="s">
        <v>99</v>
      </c>
      <c r="F296" s="18" t="n">
        <v>641489</v>
      </c>
      <c r="G296" s="19" t="n">
        <v>30.1</v>
      </c>
      <c r="H296" s="17" t="n">
        <f aca="false">IF(G296="","",RANK(G296,$G$5:$G$359))</f>
        <v>292</v>
      </c>
      <c r="I296" s="19" t="n">
        <v>28.3</v>
      </c>
      <c r="J296" s="17" t="n">
        <f aca="false">IF(I296="","",RANK(I296,$I$5:$I$359))</f>
        <v>291</v>
      </c>
      <c r="K296" s="19" t="n">
        <v>23.6</v>
      </c>
      <c r="L296" s="17" t="n">
        <f aca="false">IF(K296="","",RANK(K296,$K$5:$K$359))</f>
        <v>306</v>
      </c>
      <c r="M296" s="17" t="str">
        <f aca="false">IF(AND(N(G296)&gt;=N(I296),N(G296)&gt;=N(K296)),"The Pulse",IF(N(I296)&gt;=N(K296),"The Lens","The Hub"))</f>
        <v>The Pulse</v>
      </c>
      <c r="N296" s="21" t="s">
        <v>79</v>
      </c>
      <c r="O296" s="17" t="s">
        <v>88</v>
      </c>
    </row>
    <row r="297" customFormat="false" ht="15" hidden="false" customHeight="false" outlineLevel="0" collapsed="false">
      <c r="A297" s="17" t="s">
        <v>685</v>
      </c>
      <c r="B297" s="17" t="s">
        <v>686</v>
      </c>
      <c r="C297" s="17" t="s">
        <v>82</v>
      </c>
      <c r="D297" s="17" t="s">
        <v>154</v>
      </c>
      <c r="E297" s="17" t="s">
        <v>99</v>
      </c>
      <c r="F297" s="18" t="n">
        <v>4046063</v>
      </c>
      <c r="G297" s="19" t="n">
        <v>29.9</v>
      </c>
      <c r="H297" s="17" t="n">
        <f aca="false">IF(G297="","",RANK(G297,$G$5:$G$359))</f>
        <v>293</v>
      </c>
      <c r="I297" s="19" t="n">
        <v>40.1</v>
      </c>
      <c r="J297" s="17" t="n">
        <f aca="false">IF(I297="","",RANK(I297,$I$5:$I$359))</f>
        <v>240</v>
      </c>
      <c r="K297" s="19" t="n">
        <v>43.3</v>
      </c>
      <c r="L297" s="17" t="n">
        <f aca="false">IF(K297="","",RANK(K297,$K$5:$K$359))</f>
        <v>212</v>
      </c>
      <c r="M297" s="17" t="str">
        <f aca="false">IF(AND(N(G297)&gt;=N(I297),N(G297)&gt;=N(K297)),"The Pulse",IF(N(I297)&gt;=N(K297),"The Lens","The Hub"))</f>
        <v>The Hub</v>
      </c>
      <c r="N297" s="21" t="s">
        <v>79</v>
      </c>
      <c r="O297" s="17" t="s">
        <v>88</v>
      </c>
    </row>
    <row r="298" customFormat="false" ht="15" hidden="false" customHeight="false" outlineLevel="0" collapsed="false">
      <c r="A298" s="17" t="s">
        <v>687</v>
      </c>
      <c r="B298" s="17" t="s">
        <v>688</v>
      </c>
      <c r="C298" s="17" t="s">
        <v>91</v>
      </c>
      <c r="D298" s="17" t="s">
        <v>120</v>
      </c>
      <c r="E298" s="17" t="s">
        <v>149</v>
      </c>
      <c r="F298" s="18" t="n">
        <v>126310</v>
      </c>
      <c r="G298" s="19" t="n">
        <v>29.6</v>
      </c>
      <c r="H298" s="17" t="n">
        <f aca="false">IF(G298="","",RANK(G298,$G$5:$G$359))</f>
        <v>294</v>
      </c>
      <c r="I298" s="19" t="n">
        <v>51</v>
      </c>
      <c r="J298" s="17" t="n">
        <f aca="false">IF(I298="","",RANK(I298,$I$5:$I$359))</f>
        <v>171</v>
      </c>
      <c r="K298" s="19" t="n">
        <v>74</v>
      </c>
      <c r="L298" s="17" t="n">
        <f aca="false">IF(K298="","",RANK(K298,$K$5:$K$359))</f>
        <v>46</v>
      </c>
      <c r="M298" s="17" t="str">
        <f aca="false">IF(AND(N(G298)&gt;=N(I298),N(G298)&gt;=N(K298)),"The Pulse",IF(N(I298)&gt;=N(K298),"The Lens","The Hub"))</f>
        <v>The Hub</v>
      </c>
      <c r="N298" s="21" t="s">
        <v>79</v>
      </c>
      <c r="O298" s="17" t="s">
        <v>88</v>
      </c>
    </row>
    <row r="299" customFormat="false" ht="15" hidden="false" customHeight="false" outlineLevel="0" collapsed="false">
      <c r="A299" s="17" t="s">
        <v>689</v>
      </c>
      <c r="B299" s="17" t="s">
        <v>690</v>
      </c>
      <c r="C299" s="17" t="s">
        <v>82</v>
      </c>
      <c r="D299" s="17" t="s">
        <v>127</v>
      </c>
      <c r="E299" s="17" t="s">
        <v>106</v>
      </c>
      <c r="F299" s="18" t="n">
        <v>254440</v>
      </c>
      <c r="G299" s="19" t="n">
        <v>29.4</v>
      </c>
      <c r="H299" s="17" t="n">
        <f aca="false">IF(G299="","",RANK(G299,$G$5:$G$359))</f>
        <v>295</v>
      </c>
      <c r="I299" s="19" t="n">
        <v>54.6</v>
      </c>
      <c r="J299" s="17" t="n">
        <f aca="false">IF(I299="","",RANK(I299,$I$5:$I$359))</f>
        <v>162</v>
      </c>
      <c r="K299" s="19" t="n">
        <v>81.3</v>
      </c>
      <c r="L299" s="17" t="n">
        <f aca="false">IF(K299="","",RANK(K299,$K$5:$K$359))</f>
        <v>30</v>
      </c>
      <c r="M299" s="17" t="str">
        <f aca="false">IF(AND(N(G299)&gt;=N(I299),N(G299)&gt;=N(K299)),"The Pulse",IF(N(I299)&gt;=N(K299),"The Lens","The Hub"))</f>
        <v>The Hub</v>
      </c>
      <c r="N299" s="21" t="s">
        <v>79</v>
      </c>
      <c r="O299" s="17" t="s">
        <v>88</v>
      </c>
    </row>
    <row r="300" customFormat="false" ht="15" hidden="false" customHeight="false" outlineLevel="0" collapsed="false">
      <c r="A300" s="17" t="s">
        <v>691</v>
      </c>
      <c r="B300" s="17" t="s">
        <v>692</v>
      </c>
      <c r="C300" s="17" t="s">
        <v>123</v>
      </c>
      <c r="D300" s="17" t="s">
        <v>83</v>
      </c>
      <c r="E300" s="17" t="s">
        <v>149</v>
      </c>
      <c r="F300" s="18" t="n">
        <v>1601727</v>
      </c>
      <c r="G300" s="19" t="n">
        <v>29.2</v>
      </c>
      <c r="H300" s="17" t="n">
        <f aca="false">IF(G300="","",RANK(G300,$G$5:$G$359))</f>
        <v>296</v>
      </c>
      <c r="I300" s="19" t="n">
        <v>46.7</v>
      </c>
      <c r="J300" s="17" t="n">
        <f aca="false">IF(I300="","",RANK(I300,$I$5:$I$359))</f>
        <v>202</v>
      </c>
      <c r="K300" s="19" t="n">
        <v>60.2</v>
      </c>
      <c r="L300" s="17" t="n">
        <f aca="false">IF(K300="","",RANK(K300,$K$5:$K$359))</f>
        <v>104</v>
      </c>
      <c r="M300" s="17" t="str">
        <f aca="false">IF(AND(N(G300)&gt;=N(I300),N(G300)&gt;=N(K300)),"The Pulse",IF(N(I300)&gt;=N(K300),"The Lens","The Hub"))</f>
        <v>The Hub</v>
      </c>
      <c r="N300" s="21" t="s">
        <v>79</v>
      </c>
      <c r="O300" s="17" t="s">
        <v>88</v>
      </c>
    </row>
    <row r="301" customFormat="false" ht="15" hidden="false" customHeight="false" outlineLevel="0" collapsed="false">
      <c r="A301" s="17" t="s">
        <v>693</v>
      </c>
      <c r="B301" s="17" t="s">
        <v>694</v>
      </c>
      <c r="C301" s="17" t="s">
        <v>95</v>
      </c>
      <c r="D301" s="17" t="s">
        <v>154</v>
      </c>
      <c r="E301" s="17" t="s">
        <v>149</v>
      </c>
      <c r="F301" s="18" t="n">
        <v>127130</v>
      </c>
      <c r="G301" s="19" t="n">
        <v>29.2</v>
      </c>
      <c r="H301" s="17" t="n">
        <f aca="false">IF(G301="","",RANK(G301,$G$5:$G$359))</f>
        <v>296</v>
      </c>
      <c r="I301" s="19" t="n">
        <v>47.6</v>
      </c>
      <c r="J301" s="17" t="n">
        <f aca="false">IF(I301="","",RANK(I301,$I$5:$I$359))</f>
        <v>200</v>
      </c>
      <c r="K301" s="19" t="n">
        <v>65.2</v>
      </c>
      <c r="L301" s="17" t="n">
        <f aca="false">IF(K301="","",RANK(K301,$K$5:$K$359))</f>
        <v>80</v>
      </c>
      <c r="M301" s="17" t="str">
        <f aca="false">IF(AND(N(G301)&gt;=N(I301),N(G301)&gt;=N(K301)),"The Pulse",IF(N(I301)&gt;=N(K301),"The Lens","The Hub"))</f>
        <v>The Hub</v>
      </c>
      <c r="N301" s="21" t="s">
        <v>79</v>
      </c>
      <c r="O301" s="17" t="s">
        <v>88</v>
      </c>
    </row>
    <row r="302" customFormat="false" ht="15" hidden="false" customHeight="false" outlineLevel="0" collapsed="false">
      <c r="A302" s="17" t="s">
        <v>695</v>
      </c>
      <c r="B302" s="17" t="s">
        <v>696</v>
      </c>
      <c r="C302" s="17" t="s">
        <v>72</v>
      </c>
      <c r="D302" s="17" t="s">
        <v>124</v>
      </c>
      <c r="E302" s="17" t="s">
        <v>46</v>
      </c>
      <c r="F302" s="18" t="n">
        <v>387410</v>
      </c>
      <c r="G302" s="19" t="n">
        <v>28.9</v>
      </c>
      <c r="H302" s="17" t="n">
        <f aca="false">IF(G302="","",RANK(G302,$G$5:$G$359))</f>
        <v>298</v>
      </c>
      <c r="I302" s="19" t="n">
        <v>3.8</v>
      </c>
      <c r="J302" s="17" t="n">
        <f aca="false">IF(I302="","",RANK(I302,$I$5:$I$359))</f>
        <v>354</v>
      </c>
      <c r="K302" s="19" t="n">
        <v>68.2</v>
      </c>
      <c r="L302" s="17" t="n">
        <f aca="false">IF(K302="","",RANK(K302,$K$5:$K$359))</f>
        <v>64</v>
      </c>
      <c r="M302" s="17" t="str">
        <f aca="false">IF(AND(N(G302)&gt;=N(I302),N(G302)&gt;=N(K302)),"The Pulse",IF(N(I302)&gt;=N(K302),"The Lens","The Hub"))</f>
        <v>The Hub</v>
      </c>
      <c r="N302" s="22" t="s">
        <v>109</v>
      </c>
      <c r="O302" s="17" t="s">
        <v>155</v>
      </c>
    </row>
    <row r="303" customFormat="false" ht="15" hidden="false" customHeight="false" outlineLevel="0" collapsed="false">
      <c r="A303" s="17" t="s">
        <v>697</v>
      </c>
      <c r="B303" s="17" t="s">
        <v>698</v>
      </c>
      <c r="C303" s="17" t="s">
        <v>95</v>
      </c>
      <c r="D303" s="17" t="s">
        <v>83</v>
      </c>
      <c r="E303" s="17" t="s">
        <v>99</v>
      </c>
      <c r="F303" s="18" t="n">
        <v>268820</v>
      </c>
      <c r="G303" s="19" t="n">
        <v>28.6</v>
      </c>
      <c r="H303" s="17" t="n">
        <f aca="false">IF(G303="","",RANK(G303,$G$5:$G$359))</f>
        <v>299</v>
      </c>
      <c r="I303" s="19" t="n">
        <v>43.8</v>
      </c>
      <c r="J303" s="17" t="n">
        <f aca="false">IF(I303="","",RANK(I303,$I$5:$I$359))</f>
        <v>218</v>
      </c>
      <c r="K303" s="19" t="n">
        <v>58</v>
      </c>
      <c r="L303" s="17" t="n">
        <f aca="false">IF(K303="","",RANK(K303,$K$5:$K$359))</f>
        <v>122</v>
      </c>
      <c r="M303" s="17" t="str">
        <f aca="false">IF(AND(N(G303)&gt;=N(I303),N(G303)&gt;=N(K303)),"The Pulse",IF(N(I303)&gt;=N(K303),"The Lens","The Hub"))</f>
        <v>The Hub</v>
      </c>
      <c r="N303" s="21" t="s">
        <v>79</v>
      </c>
      <c r="O303" s="17" t="s">
        <v>88</v>
      </c>
    </row>
    <row r="304" customFormat="false" ht="15" hidden="false" customHeight="false" outlineLevel="0" collapsed="false">
      <c r="A304" s="17" t="s">
        <v>699</v>
      </c>
      <c r="B304" s="17" t="s">
        <v>700</v>
      </c>
      <c r="C304" s="17" t="s">
        <v>115</v>
      </c>
      <c r="D304" s="17" t="s">
        <v>73</v>
      </c>
      <c r="E304" s="17" t="s">
        <v>45</v>
      </c>
      <c r="F304" s="18" t="n">
        <v>103010</v>
      </c>
      <c r="G304" s="19" t="n">
        <v>28.4</v>
      </c>
      <c r="H304" s="17" t="n">
        <f aca="false">IF(G304="","",RANK(G304,$G$5:$G$359))</f>
        <v>300</v>
      </c>
      <c r="I304" s="19" t="n">
        <v>45</v>
      </c>
      <c r="J304" s="17" t="n">
        <f aca="false">IF(I304="","",RANK(I304,$I$5:$I$359))</f>
        <v>211</v>
      </c>
      <c r="K304" s="19" t="n">
        <v>84.4</v>
      </c>
      <c r="L304" s="17" t="n">
        <f aca="false">IF(K304="","",RANK(K304,$K$5:$K$359))</f>
        <v>24</v>
      </c>
      <c r="M304" s="17" t="str">
        <f aca="false">IF(AND(N(G304)&gt;=N(I304),N(G304)&gt;=N(K304)),"The Pulse",IF(N(I304)&gt;=N(K304),"The Lens","The Hub"))</f>
        <v>The Hub</v>
      </c>
      <c r="N304" s="20" t="s">
        <v>74</v>
      </c>
      <c r="O304" s="17" t="s">
        <v>24</v>
      </c>
    </row>
    <row r="305" customFormat="false" ht="15" hidden="false" customHeight="false" outlineLevel="0" collapsed="false">
      <c r="A305" s="17" t="s">
        <v>701</v>
      </c>
      <c r="B305" s="17" t="s">
        <v>702</v>
      </c>
      <c r="C305" s="17" t="s">
        <v>98</v>
      </c>
      <c r="D305" s="17" t="s">
        <v>154</v>
      </c>
      <c r="E305" s="17" t="s">
        <v>47</v>
      </c>
      <c r="F305" s="18" t="n">
        <v>9750</v>
      </c>
      <c r="G305" s="19" t="n">
        <v>28.2</v>
      </c>
      <c r="H305" s="17" t="n">
        <f aca="false">IF(G305="","",RANK(G305,$G$5:$G$359))</f>
        <v>301</v>
      </c>
      <c r="I305" s="19" t="n">
        <v>55</v>
      </c>
      <c r="J305" s="17" t="n">
        <f aca="false">IF(I305="","",RANK(I305,$I$5:$I$359))</f>
        <v>157</v>
      </c>
      <c r="K305" s="19" t="n">
        <v>98.2</v>
      </c>
      <c r="L305" s="17" t="n">
        <f aca="false">IF(K305="","",RANK(K305,$K$5:$K$359))</f>
        <v>2</v>
      </c>
      <c r="M305" s="17" t="str">
        <f aca="false">IF(AND(N(G305)&gt;=N(I305),N(G305)&gt;=N(K305)),"The Pulse",IF(N(I305)&gt;=N(K305),"The Lens","The Hub"))</f>
        <v>The Hub</v>
      </c>
      <c r="N305" s="20" t="s">
        <v>74</v>
      </c>
      <c r="O305" s="17" t="s">
        <v>24</v>
      </c>
    </row>
    <row r="306" customFormat="false" ht="15" hidden="false" customHeight="false" outlineLevel="0" collapsed="false">
      <c r="A306" s="17" t="s">
        <v>703</v>
      </c>
      <c r="B306" s="17" t="s">
        <v>704</v>
      </c>
      <c r="C306" s="17" t="s">
        <v>72</v>
      </c>
      <c r="D306" s="17" t="s">
        <v>154</v>
      </c>
      <c r="E306" s="17" t="s">
        <v>47</v>
      </c>
      <c r="F306" s="18" t="n">
        <v>98240</v>
      </c>
      <c r="G306" s="19" t="n">
        <v>28</v>
      </c>
      <c r="H306" s="17" t="n">
        <f aca="false">IF(G306="","",RANK(G306,$G$5:$G$359))</f>
        <v>302</v>
      </c>
      <c r="I306" s="19" t="n">
        <v>86.4</v>
      </c>
      <c r="J306" s="17" t="n">
        <f aca="false">IF(I306="","",RANK(I306,$I$5:$I$359))</f>
        <v>17</v>
      </c>
      <c r="K306" s="19" t="n">
        <v>78.5</v>
      </c>
      <c r="L306" s="17" t="n">
        <f aca="false">IF(K306="","",RANK(K306,$K$5:$K$359))</f>
        <v>37</v>
      </c>
      <c r="M306" s="17" t="str">
        <f aca="false">IF(AND(N(G306)&gt;=N(I306),N(G306)&gt;=N(K306)),"The Pulse",IF(N(I306)&gt;=N(K306),"The Lens","The Hub"))</f>
        <v>The Lens</v>
      </c>
      <c r="N306" s="20" t="s">
        <v>74</v>
      </c>
      <c r="O306" s="17" t="s">
        <v>24</v>
      </c>
    </row>
    <row r="307" customFormat="false" ht="15" hidden="false" customHeight="false" outlineLevel="0" collapsed="false">
      <c r="A307" s="17" t="s">
        <v>705</v>
      </c>
      <c r="B307" s="17" t="s">
        <v>706</v>
      </c>
      <c r="C307" s="17" t="s">
        <v>86</v>
      </c>
      <c r="D307" s="17" t="s">
        <v>124</v>
      </c>
      <c r="E307" s="17" t="s">
        <v>47</v>
      </c>
      <c r="F307" s="18" t="n">
        <v>21550</v>
      </c>
      <c r="G307" s="19" t="n">
        <v>27.7</v>
      </c>
      <c r="H307" s="17" t="n">
        <f aca="false">IF(G307="","",RANK(G307,$G$5:$G$359))</f>
        <v>303</v>
      </c>
      <c r="I307" s="19" t="n">
        <v>98.1</v>
      </c>
      <c r="J307" s="17" t="n">
        <f aca="false">IF(I307="","",RANK(I307,$I$5:$I$359))</f>
        <v>5</v>
      </c>
      <c r="K307" s="19" t="n">
        <v>36.7</v>
      </c>
      <c r="L307" s="17" t="n">
        <f aca="false">IF(K307="","",RANK(K307,$K$5:$K$359))</f>
        <v>262</v>
      </c>
      <c r="M307" s="17" t="str">
        <f aca="false">IF(AND(N(G307)&gt;=N(I307),N(G307)&gt;=N(K307)),"The Pulse",IF(N(I307)&gt;=N(K307),"The Lens","The Hub"))</f>
        <v>The Lens</v>
      </c>
      <c r="N307" s="20" t="s">
        <v>74</v>
      </c>
      <c r="O307" s="17" t="s">
        <v>24</v>
      </c>
    </row>
    <row r="308" customFormat="false" ht="15" hidden="false" customHeight="false" outlineLevel="0" collapsed="false">
      <c r="A308" s="17" t="s">
        <v>707</v>
      </c>
      <c r="B308" s="17" t="s">
        <v>708</v>
      </c>
      <c r="C308" s="17" t="s">
        <v>115</v>
      </c>
      <c r="D308" s="17" t="s">
        <v>87</v>
      </c>
      <c r="E308" s="17" t="s">
        <v>99</v>
      </c>
      <c r="F308" s="18" t="n">
        <v>1342810</v>
      </c>
      <c r="G308" s="19" t="n">
        <v>27.2</v>
      </c>
      <c r="H308" s="17" t="n">
        <f aca="false">IF(G308="","",RANK(G308,$G$5:$G$359))</f>
        <v>304</v>
      </c>
      <c r="I308" s="19" t="n">
        <v>61.9</v>
      </c>
      <c r="J308" s="17" t="n">
        <f aca="false">IF(I308="","",RANK(I308,$I$5:$I$359))</f>
        <v>110</v>
      </c>
      <c r="K308" s="19" t="n">
        <v>47.3</v>
      </c>
      <c r="L308" s="17" t="n">
        <f aca="false">IF(K308="","",RANK(K308,$K$5:$K$359))</f>
        <v>189</v>
      </c>
      <c r="M308" s="17" t="str">
        <f aca="false">IF(AND(N(G308)&gt;=N(I308),N(G308)&gt;=N(K308)),"The Pulse",IF(N(I308)&gt;=N(K308),"The Lens","The Hub"))</f>
        <v>The Lens</v>
      </c>
      <c r="N308" s="21" t="s">
        <v>79</v>
      </c>
      <c r="O308" s="17" t="s">
        <v>88</v>
      </c>
    </row>
    <row r="309" customFormat="false" ht="15" hidden="false" customHeight="false" outlineLevel="0" collapsed="false">
      <c r="A309" s="17" t="s">
        <v>709</v>
      </c>
      <c r="B309" s="17" t="s">
        <v>710</v>
      </c>
      <c r="C309" s="17" t="s">
        <v>123</v>
      </c>
      <c r="D309" s="17" t="s">
        <v>105</v>
      </c>
      <c r="E309" s="17" t="s">
        <v>99</v>
      </c>
      <c r="F309" s="18" t="n">
        <v>764531</v>
      </c>
      <c r="G309" s="19" t="n">
        <v>27.1</v>
      </c>
      <c r="H309" s="17" t="n">
        <f aca="false">IF(G309="","",RANK(G309,$G$5:$G$359))</f>
        <v>305</v>
      </c>
      <c r="I309" s="19" t="n">
        <v>48.7</v>
      </c>
      <c r="J309" s="17" t="n">
        <f aca="false">IF(I309="","",RANK(I309,$I$5:$I$359))</f>
        <v>188</v>
      </c>
      <c r="K309" s="19" t="n">
        <v>70.7</v>
      </c>
      <c r="L309" s="17" t="n">
        <f aca="false">IF(K309="","",RANK(K309,$K$5:$K$359))</f>
        <v>54</v>
      </c>
      <c r="M309" s="17" t="str">
        <f aca="false">IF(AND(N(G309)&gt;=N(I309),N(G309)&gt;=N(K309)),"The Pulse",IF(N(I309)&gt;=N(K309),"The Lens","The Hub"))</f>
        <v>The Hub</v>
      </c>
      <c r="N309" s="21" t="s">
        <v>79</v>
      </c>
      <c r="O309" s="17" t="s">
        <v>88</v>
      </c>
    </row>
    <row r="310" customFormat="false" ht="15" hidden="false" customHeight="false" outlineLevel="0" collapsed="false">
      <c r="A310" s="17" t="s">
        <v>711</v>
      </c>
      <c r="B310" s="17" t="s">
        <v>712</v>
      </c>
      <c r="C310" s="17" t="s">
        <v>123</v>
      </c>
      <c r="D310" s="17" t="s">
        <v>78</v>
      </c>
      <c r="E310" s="17" t="s">
        <v>46</v>
      </c>
      <c r="F310" s="18" t="n">
        <v>279470</v>
      </c>
      <c r="G310" s="19" t="n">
        <v>26.9</v>
      </c>
      <c r="H310" s="17" t="n">
        <f aca="false">IF(G310="","",RANK(G310,$G$5:$G$359))</f>
        <v>306</v>
      </c>
      <c r="I310" s="19" t="n">
        <v>59.2</v>
      </c>
      <c r="J310" s="17" t="n">
        <f aca="false">IF(I310="","",RANK(I310,$I$5:$I$359))</f>
        <v>126</v>
      </c>
      <c r="K310" s="19" t="n">
        <v>56.3</v>
      </c>
      <c r="L310" s="17" t="n">
        <f aca="false">IF(K310="","",RANK(K310,$K$5:$K$359))</f>
        <v>136</v>
      </c>
      <c r="M310" s="17" t="str">
        <f aca="false">IF(AND(N(G310)&gt;=N(I310),N(G310)&gt;=N(K310)),"The Pulse",IF(N(I310)&gt;=N(K310),"The Lens","The Hub"))</f>
        <v>The Lens</v>
      </c>
      <c r="N310" s="20" t="s">
        <v>74</v>
      </c>
      <c r="O310" s="17" t="s">
        <v>24</v>
      </c>
    </row>
    <row r="311" customFormat="false" ht="15" hidden="false" customHeight="false" outlineLevel="0" collapsed="false">
      <c r="A311" s="17" t="s">
        <v>713</v>
      </c>
      <c r="B311" s="17" t="s">
        <v>714</v>
      </c>
      <c r="C311" s="17" t="s">
        <v>77</v>
      </c>
      <c r="D311" s="17" t="s">
        <v>120</v>
      </c>
      <c r="E311" s="17" t="s">
        <v>99</v>
      </c>
      <c r="F311" s="18" t="n">
        <v>349059</v>
      </c>
      <c r="G311" s="19" t="n">
        <v>26.8</v>
      </c>
      <c r="H311" s="17" t="n">
        <f aca="false">IF(G311="","",RANK(G311,$G$5:$G$359))</f>
        <v>307</v>
      </c>
      <c r="I311" s="19" t="n">
        <v>52.6</v>
      </c>
      <c r="J311" s="17" t="n">
        <f aca="false">IF(I311="","",RANK(I311,$I$5:$I$359))</f>
        <v>164</v>
      </c>
      <c r="K311" s="19" t="n">
        <v>46.4</v>
      </c>
      <c r="L311" s="17" t="n">
        <f aca="false">IF(K311="","",RANK(K311,$K$5:$K$359))</f>
        <v>193</v>
      </c>
      <c r="M311" s="17" t="str">
        <f aca="false">IF(AND(N(G311)&gt;=N(I311),N(G311)&gt;=N(K311)),"The Pulse",IF(N(I311)&gt;=N(K311),"The Lens","The Hub"))</f>
        <v>The Lens</v>
      </c>
      <c r="N311" s="21" t="s">
        <v>79</v>
      </c>
      <c r="O311" s="17" t="s">
        <v>88</v>
      </c>
    </row>
    <row r="312" customFormat="false" ht="15" hidden="false" customHeight="false" outlineLevel="0" collapsed="false">
      <c r="A312" s="17" t="s">
        <v>715</v>
      </c>
      <c r="B312" s="17" t="s">
        <v>716</v>
      </c>
      <c r="C312" s="17" t="s">
        <v>91</v>
      </c>
      <c r="D312" s="17" t="s">
        <v>105</v>
      </c>
      <c r="E312" s="17" t="s">
        <v>99</v>
      </c>
      <c r="F312" s="18" t="n">
        <v>134460</v>
      </c>
      <c r="G312" s="19" t="n">
        <v>26.6</v>
      </c>
      <c r="H312" s="17" t="n">
        <f aca="false">IF(G312="","",RANK(G312,$G$5:$G$359))</f>
        <v>308</v>
      </c>
      <c r="I312" s="19" t="n">
        <v>56.6</v>
      </c>
      <c r="J312" s="17" t="n">
        <f aca="false">IF(I312="","",RANK(I312,$I$5:$I$359))</f>
        <v>145</v>
      </c>
      <c r="K312" s="19" t="n">
        <v>57</v>
      </c>
      <c r="L312" s="17" t="n">
        <f aca="false">IF(K312="","",RANK(K312,$K$5:$K$359))</f>
        <v>127</v>
      </c>
      <c r="M312" s="17" t="str">
        <f aca="false">IF(AND(N(G312)&gt;=N(I312),N(G312)&gt;=N(K312)),"The Pulse",IF(N(I312)&gt;=N(K312),"The Lens","The Hub"))</f>
        <v>The Hub</v>
      </c>
      <c r="N312" s="22" t="s">
        <v>109</v>
      </c>
      <c r="O312" s="17" t="s">
        <v>134</v>
      </c>
    </row>
    <row r="313" customFormat="false" ht="15" hidden="false" customHeight="false" outlineLevel="0" collapsed="false">
      <c r="A313" s="17" t="s">
        <v>717</v>
      </c>
      <c r="B313" s="17" t="s">
        <v>718</v>
      </c>
      <c r="C313" s="17" t="s">
        <v>91</v>
      </c>
      <c r="D313" s="17" t="s">
        <v>124</v>
      </c>
      <c r="E313" s="17" t="s">
        <v>99</v>
      </c>
      <c r="F313" s="18" t="n">
        <v>949830</v>
      </c>
      <c r="G313" s="19" t="n">
        <v>26.5</v>
      </c>
      <c r="H313" s="17" t="n">
        <f aca="false">IF(G313="","",RANK(G313,$G$5:$G$359))</f>
        <v>309</v>
      </c>
      <c r="I313" s="19" t="n">
        <v>41.8</v>
      </c>
      <c r="J313" s="17" t="n">
        <f aca="false">IF(I313="","",RANK(I313,$I$5:$I$359))</f>
        <v>229</v>
      </c>
      <c r="K313" s="19" t="n">
        <v>34.2</v>
      </c>
      <c r="L313" s="17" t="n">
        <f aca="false">IF(K313="","",RANK(K313,$K$5:$K$359))</f>
        <v>273</v>
      </c>
      <c r="M313" s="17" t="str">
        <f aca="false">IF(AND(N(G313)&gt;=N(I313),N(G313)&gt;=N(K313)),"The Pulse",IF(N(I313)&gt;=N(K313),"The Lens","The Hub"))</f>
        <v>The Lens</v>
      </c>
      <c r="N313" s="21" t="s">
        <v>79</v>
      </c>
      <c r="O313" s="17" t="s">
        <v>88</v>
      </c>
    </row>
    <row r="314" customFormat="false" ht="15" hidden="false" customHeight="false" outlineLevel="0" collapsed="false">
      <c r="A314" s="17" t="s">
        <v>719</v>
      </c>
      <c r="B314" s="17" t="s">
        <v>720</v>
      </c>
      <c r="C314" s="17" t="s">
        <v>98</v>
      </c>
      <c r="D314" s="17" t="s">
        <v>83</v>
      </c>
      <c r="E314" s="17" t="s">
        <v>99</v>
      </c>
      <c r="F314" s="18" t="n">
        <v>346903</v>
      </c>
      <c r="G314" s="19" t="n">
        <v>26</v>
      </c>
      <c r="H314" s="17" t="n">
        <f aca="false">IF(G314="","",RANK(G314,$G$5:$G$359))</f>
        <v>310</v>
      </c>
      <c r="I314" s="19" t="n">
        <v>43.8</v>
      </c>
      <c r="J314" s="17" t="n">
        <f aca="false">IF(I314="","",RANK(I314,$I$5:$I$359))</f>
        <v>218</v>
      </c>
      <c r="K314" s="19" t="n">
        <v>53.5</v>
      </c>
      <c r="L314" s="17" t="n">
        <f aca="false">IF(K314="","",RANK(K314,$K$5:$K$359))</f>
        <v>153</v>
      </c>
      <c r="M314" s="17" t="str">
        <f aca="false">IF(AND(N(G314)&gt;=N(I314),N(G314)&gt;=N(K314)),"The Pulse",IF(N(I314)&gt;=N(K314),"The Lens","The Hub"))</f>
        <v>The Hub</v>
      </c>
      <c r="N314" s="21" t="s">
        <v>79</v>
      </c>
      <c r="O314" s="17" t="s">
        <v>88</v>
      </c>
    </row>
    <row r="315" customFormat="false" ht="15" hidden="false" customHeight="false" outlineLevel="0" collapsed="false">
      <c r="A315" s="17" t="s">
        <v>721</v>
      </c>
      <c r="B315" s="17" t="s">
        <v>722</v>
      </c>
      <c r="C315" s="17" t="s">
        <v>77</v>
      </c>
      <c r="D315" s="17" t="s">
        <v>124</v>
      </c>
      <c r="E315" s="17" t="s">
        <v>149</v>
      </c>
      <c r="F315" s="18" t="n">
        <v>39490</v>
      </c>
      <c r="G315" s="19" t="n">
        <v>25.8</v>
      </c>
      <c r="H315" s="17" t="n">
        <f aca="false">IF(G315="","",RANK(G315,$G$5:$G$359))</f>
        <v>311</v>
      </c>
      <c r="I315" s="19" t="n">
        <v>61.2</v>
      </c>
      <c r="J315" s="17" t="n">
        <f aca="false">IF(I315="","",RANK(I315,$I$5:$I$359))</f>
        <v>118</v>
      </c>
      <c r="K315" s="19" t="n">
        <v>52.2</v>
      </c>
      <c r="L315" s="17" t="n">
        <f aca="false">IF(K315="","",RANK(K315,$K$5:$K$359))</f>
        <v>157</v>
      </c>
      <c r="M315" s="17" t="str">
        <f aca="false">IF(AND(N(G315)&gt;=N(I315),N(G315)&gt;=N(K315)),"The Pulse",IF(N(I315)&gt;=N(K315),"The Lens","The Hub"))</f>
        <v>The Lens</v>
      </c>
      <c r="N315" s="21" t="s">
        <v>79</v>
      </c>
      <c r="O315" s="17" t="s">
        <v>88</v>
      </c>
    </row>
    <row r="316" customFormat="false" ht="15" hidden="false" customHeight="false" outlineLevel="0" collapsed="false">
      <c r="A316" s="17" t="s">
        <v>723</v>
      </c>
      <c r="B316" s="17" t="s">
        <v>724</v>
      </c>
      <c r="C316" s="17" t="s">
        <v>162</v>
      </c>
      <c r="D316" s="17" t="s">
        <v>102</v>
      </c>
      <c r="E316" s="17" t="s">
        <v>45</v>
      </c>
      <c r="F316" s="18" t="n">
        <v>23430</v>
      </c>
      <c r="G316" s="19" t="n">
        <v>25.7</v>
      </c>
      <c r="H316" s="17" t="n">
        <f aca="false">IF(G316="","",RANK(G316,$G$5:$G$359))</f>
        <v>312</v>
      </c>
      <c r="I316" s="19" t="n">
        <v>90</v>
      </c>
      <c r="J316" s="17" t="n">
        <f aca="false">IF(I316="","",RANK(I316,$I$5:$I$359))</f>
        <v>14</v>
      </c>
      <c r="K316" s="19" t="n">
        <v>30.5</v>
      </c>
      <c r="L316" s="17" t="n">
        <f aca="false">IF(K316="","",RANK(K316,$K$5:$K$359))</f>
        <v>292</v>
      </c>
      <c r="M316" s="17" t="str">
        <f aca="false">IF(AND(N(G316)&gt;=N(I316),N(G316)&gt;=N(K316)),"The Pulse",IF(N(I316)&gt;=N(K316),"The Lens","The Hub"))</f>
        <v>The Lens</v>
      </c>
      <c r="N316" s="20" t="s">
        <v>74</v>
      </c>
      <c r="O316" s="17" t="s">
        <v>24</v>
      </c>
    </row>
    <row r="317" customFormat="false" ht="15" hidden="false" customHeight="false" outlineLevel="0" collapsed="false">
      <c r="A317" s="17" t="s">
        <v>725</v>
      </c>
      <c r="B317" s="17" t="s">
        <v>726</v>
      </c>
      <c r="C317" s="17" t="s">
        <v>115</v>
      </c>
      <c r="D317" s="17" t="s">
        <v>105</v>
      </c>
      <c r="E317" s="17" t="s">
        <v>99</v>
      </c>
      <c r="F317" s="18" t="n">
        <v>61182</v>
      </c>
      <c r="G317" s="19" t="n">
        <v>25.4</v>
      </c>
      <c r="H317" s="17" t="n">
        <f aca="false">IF(G317="","",RANK(G317,$G$5:$G$359))</f>
        <v>313</v>
      </c>
      <c r="I317" s="19" t="n">
        <v>41.1</v>
      </c>
      <c r="J317" s="17" t="n">
        <f aca="false">IF(I317="","",RANK(I317,$I$5:$I$359))</f>
        <v>234</v>
      </c>
      <c r="K317" s="19" t="n">
        <v>35.4</v>
      </c>
      <c r="L317" s="17" t="n">
        <f aca="false">IF(K317="","",RANK(K317,$K$5:$K$359))</f>
        <v>267</v>
      </c>
      <c r="M317" s="17" t="str">
        <f aca="false">IF(AND(N(G317)&gt;=N(I317),N(G317)&gt;=N(K317)),"The Pulse",IF(N(I317)&gt;=N(K317),"The Lens","The Hub"))</f>
        <v>The Lens</v>
      </c>
      <c r="N317" s="21" t="s">
        <v>79</v>
      </c>
      <c r="O317" s="17" t="s">
        <v>88</v>
      </c>
    </row>
    <row r="318" customFormat="false" ht="15" hidden="false" customHeight="false" outlineLevel="0" collapsed="false">
      <c r="A318" s="17" t="s">
        <v>727</v>
      </c>
      <c r="B318" s="17" t="s">
        <v>728</v>
      </c>
      <c r="C318" s="17" t="s">
        <v>86</v>
      </c>
      <c r="D318" s="17" t="s">
        <v>154</v>
      </c>
      <c r="E318" s="17" t="s">
        <v>92</v>
      </c>
      <c r="F318" s="18" t="n">
        <v>60623</v>
      </c>
      <c r="G318" s="19" t="n">
        <v>25.2</v>
      </c>
      <c r="H318" s="17" t="n">
        <f aca="false">IF(G318="","",RANK(G318,$G$5:$G$359))</f>
        <v>314</v>
      </c>
      <c r="I318" s="19" t="n">
        <v>45.6</v>
      </c>
      <c r="J318" s="17" t="n">
        <f aca="false">IF(I318="","",RANK(I318,$I$5:$I$359))</f>
        <v>208</v>
      </c>
      <c r="K318" s="19" t="n">
        <v>25</v>
      </c>
      <c r="L318" s="17" t="n">
        <f aca="false">IF(K318="","",RANK(K318,$K$5:$K$359))</f>
        <v>303</v>
      </c>
      <c r="M318" s="17" t="str">
        <f aca="false">IF(AND(N(G318)&gt;=N(I318),N(G318)&gt;=N(K318)),"The Pulse",IF(N(I318)&gt;=N(K318),"The Lens","The Hub"))</f>
        <v>The Lens</v>
      </c>
      <c r="N318" s="21" t="s">
        <v>79</v>
      </c>
      <c r="O318" s="17" t="s">
        <v>88</v>
      </c>
    </row>
    <row r="319" customFormat="false" ht="15" hidden="false" customHeight="false" outlineLevel="0" collapsed="false">
      <c r="A319" s="17" t="s">
        <v>729</v>
      </c>
      <c r="B319" s="17" t="s">
        <v>730</v>
      </c>
      <c r="C319" s="17" t="s">
        <v>98</v>
      </c>
      <c r="D319" s="17" t="s">
        <v>154</v>
      </c>
      <c r="E319" s="17" t="s">
        <v>46</v>
      </c>
      <c r="F319" s="18" t="n">
        <v>116900</v>
      </c>
      <c r="G319" s="19" t="n">
        <v>24.4</v>
      </c>
      <c r="H319" s="17" t="n">
        <f aca="false">IF(G319="","",RANK(G319,$G$5:$G$359))</f>
        <v>315</v>
      </c>
      <c r="I319" s="19" t="n">
        <v>91.7</v>
      </c>
      <c r="J319" s="17" t="n">
        <f aca="false">IF(I319="","",RANK(I319,$I$5:$I$359))</f>
        <v>9</v>
      </c>
      <c r="K319" s="19" t="n">
        <v>26.3</v>
      </c>
      <c r="L319" s="17" t="n">
        <f aca="false">IF(K319="","",RANK(K319,$K$5:$K$359))</f>
        <v>299</v>
      </c>
      <c r="M319" s="17" t="str">
        <f aca="false">IF(AND(N(G319)&gt;=N(I319),N(G319)&gt;=N(K319)),"The Pulse",IF(N(I319)&gt;=N(K319),"The Lens","The Hub"))</f>
        <v>The Lens</v>
      </c>
      <c r="N319" s="20" t="s">
        <v>74</v>
      </c>
      <c r="O319" s="17" t="s">
        <v>24</v>
      </c>
    </row>
    <row r="320" customFormat="false" ht="15" hidden="false" customHeight="false" outlineLevel="0" collapsed="false">
      <c r="A320" s="17" t="s">
        <v>731</v>
      </c>
      <c r="B320" s="17" t="s">
        <v>732</v>
      </c>
      <c r="C320" s="17" t="s">
        <v>86</v>
      </c>
      <c r="D320" s="17" t="s">
        <v>83</v>
      </c>
      <c r="E320" s="17" t="s">
        <v>106</v>
      </c>
      <c r="F320" s="18" t="n">
        <v>350786</v>
      </c>
      <c r="G320" s="19" t="n">
        <v>24.2</v>
      </c>
      <c r="H320" s="17" t="n">
        <f aca="false">IF(G320="","",RANK(G320,$G$5:$G$359))</f>
        <v>316</v>
      </c>
      <c r="I320" s="19" t="n">
        <v>38</v>
      </c>
      <c r="J320" s="17" t="n">
        <f aca="false">IF(I320="","",RANK(I320,$I$5:$I$359))</f>
        <v>252</v>
      </c>
      <c r="K320" s="19" t="n">
        <v>35</v>
      </c>
      <c r="L320" s="17" t="n">
        <f aca="false">IF(K320="","",RANK(K320,$K$5:$K$359))</f>
        <v>268</v>
      </c>
      <c r="M320" s="17" t="str">
        <f aca="false">IF(AND(N(G320)&gt;=N(I320),N(G320)&gt;=N(K320)),"The Pulse",IF(N(I320)&gt;=N(K320),"The Lens","The Hub"))</f>
        <v>The Lens</v>
      </c>
      <c r="N320" s="21" t="s">
        <v>79</v>
      </c>
      <c r="O320" s="17" t="s">
        <v>88</v>
      </c>
    </row>
    <row r="321" customFormat="false" ht="15" hidden="false" customHeight="false" outlineLevel="0" collapsed="false">
      <c r="A321" s="17" t="s">
        <v>733</v>
      </c>
      <c r="B321" s="17" t="s">
        <v>734</v>
      </c>
      <c r="C321" s="17" t="s">
        <v>95</v>
      </c>
      <c r="D321" s="17" t="s">
        <v>83</v>
      </c>
      <c r="E321" s="17" t="s">
        <v>46</v>
      </c>
      <c r="F321" s="18" t="n">
        <v>52450</v>
      </c>
      <c r="G321" s="19" t="n">
        <v>23.8</v>
      </c>
      <c r="H321" s="17" t="n">
        <f aca="false">IF(G321="","",RANK(G321,$G$5:$G$359))</f>
        <v>317</v>
      </c>
      <c r="I321" s="19" t="n">
        <v>84.4</v>
      </c>
      <c r="J321" s="17" t="n">
        <f aca="false">IF(I321="","",RANK(I321,$I$5:$I$359))</f>
        <v>22</v>
      </c>
      <c r="K321" s="19" t="n">
        <v>1.1</v>
      </c>
      <c r="L321" s="17" t="n">
        <f aca="false">IF(K321="","",RANK(K321,$K$5:$K$359))</f>
        <v>348</v>
      </c>
      <c r="M321" s="17" t="str">
        <f aca="false">IF(AND(N(G321)&gt;=N(I321),N(G321)&gt;=N(K321)),"The Pulse",IF(N(I321)&gt;=N(K321),"The Lens","The Hub"))</f>
        <v>The Lens</v>
      </c>
      <c r="N321" s="20" t="s">
        <v>74</v>
      </c>
      <c r="O321" s="17" t="s">
        <v>24</v>
      </c>
    </row>
    <row r="322" customFormat="false" ht="15" hidden="false" customHeight="false" outlineLevel="0" collapsed="false">
      <c r="A322" s="17" t="s">
        <v>735</v>
      </c>
      <c r="B322" s="17" t="s">
        <v>736</v>
      </c>
      <c r="C322" s="17" t="s">
        <v>95</v>
      </c>
      <c r="D322" s="17" t="s">
        <v>105</v>
      </c>
      <c r="E322" s="17" t="s">
        <v>149</v>
      </c>
      <c r="F322" s="18" t="n">
        <v>170556</v>
      </c>
      <c r="G322" s="19" t="n">
        <v>23.4</v>
      </c>
      <c r="H322" s="17" t="n">
        <f aca="false">IF(G322="","",RANK(G322,$G$5:$G$359))</f>
        <v>318</v>
      </c>
      <c r="I322" s="19" t="n">
        <v>32.4</v>
      </c>
      <c r="J322" s="17" t="n">
        <f aca="false">IF(I322="","",RANK(I322,$I$5:$I$359))</f>
        <v>277</v>
      </c>
      <c r="K322" s="19" t="n">
        <v>22.3</v>
      </c>
      <c r="L322" s="17" t="n">
        <f aca="false">IF(K322="","",RANK(K322,$K$5:$K$359))</f>
        <v>309</v>
      </c>
      <c r="M322" s="17" t="str">
        <f aca="false">IF(AND(N(G322)&gt;=N(I322),N(G322)&gt;=N(K322)),"The Pulse",IF(N(I322)&gt;=N(K322),"The Lens","The Hub"))</f>
        <v>The Lens</v>
      </c>
      <c r="N322" s="21" t="s">
        <v>79</v>
      </c>
      <c r="O322" s="17" t="s">
        <v>88</v>
      </c>
    </row>
    <row r="323" customFormat="false" ht="15" hidden="false" customHeight="false" outlineLevel="0" collapsed="false">
      <c r="A323" s="17" t="s">
        <v>737</v>
      </c>
      <c r="B323" s="17" t="s">
        <v>738</v>
      </c>
      <c r="C323" s="17" t="s">
        <v>77</v>
      </c>
      <c r="D323" s="17" t="s">
        <v>124</v>
      </c>
      <c r="E323" s="17" t="s">
        <v>99</v>
      </c>
      <c r="F323" s="18" t="n">
        <v>378555</v>
      </c>
      <c r="G323" s="19" t="n">
        <v>23.4</v>
      </c>
      <c r="H323" s="17" t="n">
        <f aca="false">IF(G323="","",RANK(G323,$G$5:$G$359))</f>
        <v>318</v>
      </c>
      <c r="I323" s="19" t="n">
        <v>40.7</v>
      </c>
      <c r="J323" s="17" t="n">
        <f aca="false">IF(I323="","",RANK(I323,$I$5:$I$359))</f>
        <v>237</v>
      </c>
      <c r="K323" s="19" t="n">
        <v>62.1</v>
      </c>
      <c r="L323" s="17" t="n">
        <f aca="false">IF(K323="","",RANK(K323,$K$5:$K$359))</f>
        <v>93</v>
      </c>
      <c r="M323" s="17" t="str">
        <f aca="false">IF(AND(N(G323)&gt;=N(I323),N(G323)&gt;=N(K323)),"The Pulse",IF(N(I323)&gt;=N(K323),"The Lens","The Hub"))</f>
        <v>The Hub</v>
      </c>
      <c r="N323" s="21" t="s">
        <v>79</v>
      </c>
      <c r="O323" s="17" t="s">
        <v>88</v>
      </c>
    </row>
    <row r="324" customFormat="false" ht="15" hidden="false" customHeight="false" outlineLevel="0" collapsed="false">
      <c r="A324" s="17" t="s">
        <v>739</v>
      </c>
      <c r="B324" s="17" t="s">
        <v>740</v>
      </c>
      <c r="C324" s="17" t="s">
        <v>77</v>
      </c>
      <c r="D324" s="17" t="s">
        <v>105</v>
      </c>
      <c r="E324" s="17" t="s">
        <v>46</v>
      </c>
      <c r="F324" s="18" t="n">
        <v>8950</v>
      </c>
      <c r="G324" s="19" t="n">
        <v>22.8</v>
      </c>
      <c r="H324" s="17" t="n">
        <f aca="false">IF(G324="","",RANK(G324,$G$5:$G$359))</f>
        <v>320</v>
      </c>
      <c r="I324" s="19" t="n">
        <v>49.1</v>
      </c>
      <c r="J324" s="17" t="n">
        <f aca="false">IF(I324="","",RANK(I324,$I$5:$I$359))</f>
        <v>184</v>
      </c>
      <c r="K324" s="19" t="n">
        <v>9.9</v>
      </c>
      <c r="L324" s="17" t="n">
        <f aca="false">IF(K324="","",RANK(K324,$K$5:$K$359))</f>
        <v>337</v>
      </c>
      <c r="M324" s="17" t="str">
        <f aca="false">IF(AND(N(G324)&gt;=N(I324),N(G324)&gt;=N(K324)),"The Pulse",IF(N(I324)&gt;=N(K324),"The Lens","The Hub"))</f>
        <v>The Lens</v>
      </c>
      <c r="N324" s="20" t="s">
        <v>74</v>
      </c>
      <c r="O324" s="17" t="s">
        <v>24</v>
      </c>
    </row>
    <row r="325" customFormat="false" ht="15" hidden="false" customHeight="false" outlineLevel="0" collapsed="false">
      <c r="A325" s="17" t="s">
        <v>741</v>
      </c>
      <c r="B325" s="17" t="s">
        <v>742</v>
      </c>
      <c r="C325" s="17" t="s">
        <v>72</v>
      </c>
      <c r="D325" s="17" t="s">
        <v>120</v>
      </c>
      <c r="E325" s="17" t="s">
        <v>99</v>
      </c>
      <c r="F325" s="18" t="n">
        <v>117930</v>
      </c>
      <c r="G325" s="19" t="n">
        <v>22.7</v>
      </c>
      <c r="H325" s="17" t="n">
        <f aca="false">IF(G325="","",RANK(G325,$G$5:$G$359))</f>
        <v>321</v>
      </c>
      <c r="I325" s="19" t="n">
        <v>35.9</v>
      </c>
      <c r="J325" s="17" t="n">
        <f aca="false">IF(I325="","",RANK(I325,$I$5:$I$359))</f>
        <v>263</v>
      </c>
      <c r="K325" s="19" t="n">
        <v>63.8</v>
      </c>
      <c r="L325" s="17" t="n">
        <f aca="false">IF(K325="","",RANK(K325,$K$5:$K$359))</f>
        <v>85</v>
      </c>
      <c r="M325" s="17" t="str">
        <f aca="false">IF(AND(N(G325)&gt;=N(I325),N(G325)&gt;=N(K325)),"The Pulse",IF(N(I325)&gt;=N(K325),"The Lens","The Hub"))</f>
        <v>The Hub</v>
      </c>
      <c r="N325" s="21" t="s">
        <v>79</v>
      </c>
      <c r="O325" s="17" t="s">
        <v>88</v>
      </c>
    </row>
    <row r="326" customFormat="false" ht="15" hidden="false" customHeight="false" outlineLevel="0" collapsed="false">
      <c r="A326" s="17" t="s">
        <v>743</v>
      </c>
      <c r="B326" s="17" t="s">
        <v>744</v>
      </c>
      <c r="C326" s="17" t="s">
        <v>98</v>
      </c>
      <c r="D326" s="17" t="s">
        <v>73</v>
      </c>
      <c r="E326" s="17" t="s">
        <v>45</v>
      </c>
      <c r="F326" s="18" t="n">
        <v>996530</v>
      </c>
      <c r="G326" s="19" t="n">
        <v>22.5</v>
      </c>
      <c r="H326" s="17" t="n">
        <f aca="false">IF(G326="","",RANK(G326,$G$5:$G$359))</f>
        <v>322</v>
      </c>
      <c r="I326" s="19" t="n">
        <v>82.1</v>
      </c>
      <c r="J326" s="17" t="n">
        <f aca="false">IF(I326="","",RANK(I326,$I$5:$I$359))</f>
        <v>28</v>
      </c>
      <c r="K326" s="19" t="n">
        <v>34.3</v>
      </c>
      <c r="L326" s="17" t="n">
        <f aca="false">IF(K326="","",RANK(K326,$K$5:$K$359))</f>
        <v>272</v>
      </c>
      <c r="M326" s="17" t="str">
        <f aca="false">IF(AND(N(G326)&gt;=N(I326),N(G326)&gt;=N(K326)),"The Pulse",IF(N(I326)&gt;=N(K326),"The Lens","The Hub"))</f>
        <v>The Lens</v>
      </c>
      <c r="N326" s="21" t="s">
        <v>79</v>
      </c>
      <c r="O326" s="17" t="s">
        <v>88</v>
      </c>
    </row>
    <row r="327" customFormat="false" ht="15" hidden="false" customHeight="false" outlineLevel="0" collapsed="false">
      <c r="A327" s="17" t="s">
        <v>745</v>
      </c>
      <c r="B327" s="17" t="s">
        <v>746</v>
      </c>
      <c r="C327" s="17" t="s">
        <v>98</v>
      </c>
      <c r="D327" s="17" t="s">
        <v>102</v>
      </c>
      <c r="E327" s="17" t="s">
        <v>47</v>
      </c>
      <c r="F327" s="18" t="n">
        <v>56771</v>
      </c>
      <c r="G327" s="19" t="n">
        <v>22</v>
      </c>
      <c r="H327" s="17" t="n">
        <f aca="false">IF(G327="","",RANK(G327,$G$5:$G$359))</f>
        <v>323</v>
      </c>
      <c r="I327" s="19" t="n">
        <v>62</v>
      </c>
      <c r="J327" s="17" t="n">
        <f aca="false">IF(I327="","",RANK(I327,$I$5:$I$359))</f>
        <v>107</v>
      </c>
      <c r="K327" s="19" t="n">
        <v>34.2</v>
      </c>
      <c r="L327" s="17" t="n">
        <f aca="false">IF(K327="","",RANK(K327,$K$5:$K$359))</f>
        <v>273</v>
      </c>
      <c r="M327" s="17" t="str">
        <f aca="false">IF(AND(N(G327)&gt;=N(I327),N(G327)&gt;=N(K327)),"The Pulse",IF(N(I327)&gt;=N(K327),"The Lens","The Hub"))</f>
        <v>The Lens</v>
      </c>
      <c r="N327" s="21" t="s">
        <v>79</v>
      </c>
      <c r="O327" s="17" t="s">
        <v>22</v>
      </c>
    </row>
    <row r="328" customFormat="false" ht="15" hidden="false" customHeight="false" outlineLevel="0" collapsed="false">
      <c r="A328" s="17" t="s">
        <v>747</v>
      </c>
      <c r="B328" s="17" t="s">
        <v>748</v>
      </c>
      <c r="C328" s="17" t="s">
        <v>72</v>
      </c>
      <c r="D328" s="17" t="s">
        <v>87</v>
      </c>
      <c r="E328" s="17" t="s">
        <v>47</v>
      </c>
      <c r="F328" s="18" t="n">
        <v>8014</v>
      </c>
      <c r="G328" s="19" t="n">
        <v>21.7</v>
      </c>
      <c r="H328" s="17" t="n">
        <f aca="false">IF(G328="","",RANK(G328,$G$5:$G$359))</f>
        <v>324</v>
      </c>
      <c r="I328" s="19" t="n">
        <v>78.8</v>
      </c>
      <c r="J328" s="17" t="n">
        <f aca="false">IF(I328="","",RANK(I328,$I$5:$I$359))</f>
        <v>40</v>
      </c>
      <c r="K328" s="19" t="n">
        <v>46.1</v>
      </c>
      <c r="L328" s="17" t="n">
        <f aca="false">IF(K328="","",RANK(K328,$K$5:$K$359))</f>
        <v>196</v>
      </c>
      <c r="M328" s="17" t="str">
        <f aca="false">IF(AND(N(G328)&gt;=N(I328),N(G328)&gt;=N(K328)),"The Pulse",IF(N(I328)&gt;=N(K328),"The Lens","The Hub"))</f>
        <v>The Lens</v>
      </c>
      <c r="N328" s="21" t="s">
        <v>79</v>
      </c>
      <c r="O328" s="17" t="s">
        <v>22</v>
      </c>
    </row>
    <row r="329" customFormat="false" ht="15" hidden="false" customHeight="false" outlineLevel="0" collapsed="false">
      <c r="A329" s="17" t="s">
        <v>749</v>
      </c>
      <c r="B329" s="17" t="s">
        <v>750</v>
      </c>
      <c r="C329" s="17" t="s">
        <v>91</v>
      </c>
      <c r="D329" s="17" t="s">
        <v>105</v>
      </c>
      <c r="E329" s="17" t="s">
        <v>45</v>
      </c>
      <c r="F329" s="18" t="n">
        <v>306450</v>
      </c>
      <c r="G329" s="19" t="n">
        <v>21.2</v>
      </c>
      <c r="H329" s="17" t="n">
        <f aca="false">IF(G329="","",RANK(G329,$G$5:$G$359))</f>
        <v>325</v>
      </c>
      <c r="I329" s="19" t="n">
        <v>63.6</v>
      </c>
      <c r="J329" s="17" t="n">
        <f aca="false">IF(I329="","",RANK(I329,$I$5:$I$359))</f>
        <v>99</v>
      </c>
      <c r="K329" s="19" t="n">
        <v>25.4</v>
      </c>
      <c r="L329" s="17" t="n">
        <f aca="false">IF(K329="","",RANK(K329,$K$5:$K$359))</f>
        <v>301</v>
      </c>
      <c r="M329" s="17" t="str">
        <f aca="false">IF(AND(N(G329)&gt;=N(I329),N(G329)&gt;=N(K329)),"The Pulse",IF(N(I329)&gt;=N(K329),"The Lens","The Hub"))</f>
        <v>The Lens</v>
      </c>
      <c r="N329" s="20" t="s">
        <v>74</v>
      </c>
      <c r="O329" s="17" t="s">
        <v>24</v>
      </c>
    </row>
    <row r="330" customFormat="false" ht="15" hidden="false" customHeight="false" outlineLevel="0" collapsed="false">
      <c r="A330" s="17" t="s">
        <v>751</v>
      </c>
      <c r="B330" s="17" t="s">
        <v>752</v>
      </c>
      <c r="C330" s="17" t="s">
        <v>98</v>
      </c>
      <c r="D330" s="17" t="s">
        <v>120</v>
      </c>
      <c r="E330" s="17" t="s">
        <v>106</v>
      </c>
      <c r="F330" s="18" t="n">
        <v>55900</v>
      </c>
      <c r="G330" s="19" t="n">
        <v>21</v>
      </c>
      <c r="H330" s="17" t="n">
        <f aca="false">IF(G330="","",RANK(G330,$G$5:$G$359))</f>
        <v>326</v>
      </c>
      <c r="I330" s="19" t="n">
        <v>80.6</v>
      </c>
      <c r="J330" s="17" t="n">
        <f aca="false">IF(I330="","",RANK(I330,$I$5:$I$359))</f>
        <v>34</v>
      </c>
      <c r="K330" s="19" t="n">
        <v>51.8</v>
      </c>
      <c r="L330" s="17" t="n">
        <f aca="false">IF(K330="","",RANK(K330,$K$5:$K$359))</f>
        <v>158</v>
      </c>
      <c r="M330" s="17" t="str">
        <f aca="false">IF(AND(N(G330)&gt;=N(I330),N(G330)&gt;=N(K330)),"The Pulse",IF(N(I330)&gt;=N(K330),"The Lens","The Hub"))</f>
        <v>The Lens</v>
      </c>
      <c r="N330" s="20" t="s">
        <v>74</v>
      </c>
      <c r="O330" s="17" t="s">
        <v>24</v>
      </c>
    </row>
    <row r="331" customFormat="false" ht="15" hidden="false" customHeight="false" outlineLevel="0" collapsed="false">
      <c r="A331" s="17" t="s">
        <v>753</v>
      </c>
      <c r="B331" s="17" t="s">
        <v>754</v>
      </c>
      <c r="C331" s="17" t="s">
        <v>72</v>
      </c>
      <c r="D331" s="17" t="s">
        <v>127</v>
      </c>
      <c r="E331" s="17" t="s">
        <v>99</v>
      </c>
      <c r="F331" s="18" t="n">
        <v>509569</v>
      </c>
      <c r="G331" s="19" t="n">
        <v>20.7</v>
      </c>
      <c r="H331" s="17" t="n">
        <f aca="false">IF(G331="","",RANK(G331,$G$5:$G$359))</f>
        <v>327</v>
      </c>
      <c r="I331" s="19" t="n">
        <v>38.5</v>
      </c>
      <c r="J331" s="17" t="n">
        <f aca="false">IF(I331="","",RANK(I331,$I$5:$I$359))</f>
        <v>248</v>
      </c>
      <c r="K331" s="19" t="n">
        <v>56.9</v>
      </c>
      <c r="L331" s="17" t="n">
        <f aca="false">IF(K331="","",RANK(K331,$K$5:$K$359))</f>
        <v>131</v>
      </c>
      <c r="M331" s="17" t="str">
        <f aca="false">IF(AND(N(G331)&gt;=N(I331),N(G331)&gt;=N(K331)),"The Pulse",IF(N(I331)&gt;=N(K331),"The Lens","The Hub"))</f>
        <v>The Hub</v>
      </c>
      <c r="N331" s="21" t="s">
        <v>79</v>
      </c>
      <c r="O331" s="17" t="s">
        <v>88</v>
      </c>
    </row>
    <row r="332" customFormat="false" ht="15" hidden="false" customHeight="false" outlineLevel="0" collapsed="false">
      <c r="A332" s="17" t="s">
        <v>755</v>
      </c>
      <c r="B332" s="17" t="s">
        <v>756</v>
      </c>
      <c r="C332" s="17" t="s">
        <v>86</v>
      </c>
      <c r="D332" s="17" t="s">
        <v>102</v>
      </c>
      <c r="E332" s="17" t="s">
        <v>92</v>
      </c>
      <c r="F332" s="18" t="n">
        <v>761180</v>
      </c>
      <c r="G332" s="19" t="n">
        <v>19.6</v>
      </c>
      <c r="H332" s="17" t="n">
        <f aca="false">IF(G332="","",RANK(G332,$G$5:$G$359))</f>
        <v>328</v>
      </c>
      <c r="I332" s="19" t="n">
        <v>36.9</v>
      </c>
      <c r="J332" s="17" t="n">
        <f aca="false">IF(I332="","",RANK(I332,$I$5:$I$359))</f>
        <v>256</v>
      </c>
      <c r="K332" s="19" t="n">
        <v>57</v>
      </c>
      <c r="L332" s="17" t="n">
        <f aca="false">IF(K332="","",RANK(K332,$K$5:$K$359))</f>
        <v>127</v>
      </c>
      <c r="M332" s="17" t="str">
        <f aca="false">IF(AND(N(G332)&gt;=N(I332),N(G332)&gt;=N(K332)),"The Pulse",IF(N(I332)&gt;=N(K332),"The Lens","The Hub"))</f>
        <v>The Hub</v>
      </c>
      <c r="N332" s="21" t="s">
        <v>79</v>
      </c>
      <c r="O332" s="17" t="s">
        <v>88</v>
      </c>
    </row>
    <row r="333" customFormat="false" ht="15" hidden="false" customHeight="false" outlineLevel="0" collapsed="false">
      <c r="A333" s="17" t="s">
        <v>757</v>
      </c>
      <c r="B333" s="17" t="s">
        <v>758</v>
      </c>
      <c r="C333" s="17" t="s">
        <v>123</v>
      </c>
      <c r="D333" s="17" t="s">
        <v>105</v>
      </c>
      <c r="E333" s="17" t="s">
        <v>47</v>
      </c>
      <c r="F333" s="18" t="n">
        <v>234530</v>
      </c>
      <c r="G333" s="19" t="n">
        <v>19.4</v>
      </c>
      <c r="H333" s="17" t="n">
        <f aca="false">IF(G333="","",RANK(G333,$G$5:$G$359))</f>
        <v>329</v>
      </c>
      <c r="I333" s="19" t="n">
        <v>90.1</v>
      </c>
      <c r="J333" s="17" t="n">
        <f aca="false">IF(I333="","",RANK(I333,$I$5:$I$359))</f>
        <v>13</v>
      </c>
      <c r="K333" s="19" t="n">
        <v>45.7</v>
      </c>
      <c r="L333" s="17" t="n">
        <f aca="false">IF(K333="","",RANK(K333,$K$5:$K$359))</f>
        <v>197</v>
      </c>
      <c r="M333" s="17" t="str">
        <f aca="false">IF(AND(N(G333)&gt;=N(I333),N(G333)&gt;=N(K333)),"The Pulse",IF(N(I333)&gt;=N(K333),"The Lens","The Hub"))</f>
        <v>The Lens</v>
      </c>
      <c r="N333" s="20" t="s">
        <v>74</v>
      </c>
      <c r="O333" s="17" t="s">
        <v>24</v>
      </c>
    </row>
    <row r="334" customFormat="false" ht="15" hidden="false" customHeight="false" outlineLevel="0" collapsed="false">
      <c r="A334" s="17" t="s">
        <v>759</v>
      </c>
      <c r="B334" s="17" t="s">
        <v>760</v>
      </c>
      <c r="C334" s="17" t="s">
        <v>77</v>
      </c>
      <c r="D334" s="17" t="s">
        <v>83</v>
      </c>
      <c r="E334" s="17" t="s">
        <v>99</v>
      </c>
      <c r="F334" s="18" t="n">
        <v>403025</v>
      </c>
      <c r="G334" s="19" t="n">
        <v>19.3</v>
      </c>
      <c r="H334" s="17" t="n">
        <f aca="false">IF(G334="","",RANK(G334,$G$5:$G$359))</f>
        <v>330</v>
      </c>
      <c r="I334" s="19" t="n">
        <v>82</v>
      </c>
      <c r="J334" s="17" t="n">
        <f aca="false">IF(I334="","",RANK(I334,$I$5:$I$359))</f>
        <v>29</v>
      </c>
      <c r="K334" s="19" t="n">
        <v>19.8</v>
      </c>
      <c r="L334" s="17" t="n">
        <f aca="false">IF(K334="","",RANK(K334,$K$5:$K$359))</f>
        <v>320</v>
      </c>
      <c r="M334" s="17" t="str">
        <f aca="false">IF(AND(N(G334)&gt;=N(I334),N(G334)&gt;=N(K334)),"The Pulse",IF(N(I334)&gt;=N(K334),"The Lens","The Hub"))</f>
        <v>The Lens</v>
      </c>
      <c r="N334" s="22" t="s">
        <v>109</v>
      </c>
      <c r="O334" s="17" t="s">
        <v>134</v>
      </c>
    </row>
    <row r="335" customFormat="false" ht="15" hidden="false" customHeight="false" outlineLevel="0" collapsed="false">
      <c r="A335" s="17" t="s">
        <v>761</v>
      </c>
      <c r="B335" s="17" t="s">
        <v>762</v>
      </c>
      <c r="C335" s="17" t="s">
        <v>72</v>
      </c>
      <c r="D335" s="17" t="s">
        <v>105</v>
      </c>
      <c r="E335" s="17" t="s">
        <v>46</v>
      </c>
      <c r="F335" s="18" t="n">
        <v>5288</v>
      </c>
      <c r="G335" s="19" t="n">
        <v>19.3</v>
      </c>
      <c r="H335" s="17" t="n">
        <f aca="false">IF(G335="","",RANK(G335,$G$5:$G$359))</f>
        <v>330</v>
      </c>
      <c r="I335" s="19" t="n">
        <v>30.2</v>
      </c>
      <c r="J335" s="17" t="n">
        <f aca="false">IF(I335="","",RANK(I335,$I$5:$I$359))</f>
        <v>286</v>
      </c>
      <c r="K335" s="19" t="n">
        <v>79.9</v>
      </c>
      <c r="L335" s="17" t="n">
        <f aca="false">IF(K335="","",RANK(K335,$K$5:$K$359))</f>
        <v>33</v>
      </c>
      <c r="M335" s="17" t="str">
        <f aca="false">IF(AND(N(G335)&gt;=N(I335),N(G335)&gt;=N(K335)),"The Pulse",IF(N(I335)&gt;=N(K335),"The Lens","The Hub"))</f>
        <v>The Hub</v>
      </c>
      <c r="N335" s="21" t="s">
        <v>79</v>
      </c>
      <c r="O335" s="17" t="s">
        <v>22</v>
      </c>
    </row>
    <row r="336" customFormat="false" ht="15" hidden="false" customHeight="false" outlineLevel="0" collapsed="false">
      <c r="A336" s="17" t="s">
        <v>763</v>
      </c>
      <c r="B336" s="17" t="s">
        <v>764</v>
      </c>
      <c r="C336" s="17" t="s">
        <v>82</v>
      </c>
      <c r="D336" s="17" t="s">
        <v>78</v>
      </c>
      <c r="E336" s="17" t="s">
        <v>99</v>
      </c>
      <c r="F336" s="18" t="n">
        <v>277654</v>
      </c>
      <c r="G336" s="19" t="n">
        <v>19.1</v>
      </c>
      <c r="H336" s="17" t="n">
        <f aca="false">IF(G336="","",RANK(G336,$G$5:$G$359))</f>
        <v>332</v>
      </c>
      <c r="I336" s="19" t="n">
        <v>28.1</v>
      </c>
      <c r="J336" s="17" t="n">
        <f aca="false">IF(I336="","",RANK(I336,$I$5:$I$359))</f>
        <v>292</v>
      </c>
      <c r="K336" s="19" t="n">
        <v>47.5</v>
      </c>
      <c r="L336" s="17" t="n">
        <f aca="false">IF(K336="","",RANK(K336,$K$5:$K$359))</f>
        <v>186</v>
      </c>
      <c r="M336" s="17" t="str">
        <f aca="false">IF(AND(N(G336)&gt;=N(I336),N(G336)&gt;=N(K336)),"The Pulse",IF(N(I336)&gt;=N(K336),"The Lens","The Hub"))</f>
        <v>The Hub</v>
      </c>
      <c r="N336" s="22" t="s">
        <v>109</v>
      </c>
      <c r="O336" s="17" t="s">
        <v>134</v>
      </c>
    </row>
    <row r="337" customFormat="false" ht="15" hidden="false" customHeight="false" outlineLevel="0" collapsed="false">
      <c r="A337" s="17" t="s">
        <v>765</v>
      </c>
      <c r="B337" s="17" t="s">
        <v>766</v>
      </c>
      <c r="C337" s="17" t="s">
        <v>115</v>
      </c>
      <c r="D337" s="17" t="s">
        <v>127</v>
      </c>
      <c r="E337" s="17" t="s">
        <v>45</v>
      </c>
      <c r="F337" s="18" t="n">
        <v>29060</v>
      </c>
      <c r="G337" s="19" t="n">
        <v>18.9</v>
      </c>
      <c r="H337" s="17" t="n">
        <f aca="false">IF(G337="","",RANK(G337,$G$5:$G$359))</f>
        <v>333</v>
      </c>
      <c r="I337" s="19" t="n">
        <v>98.6</v>
      </c>
      <c r="J337" s="17" t="n">
        <f aca="false">IF(I337="","",RANK(I337,$I$5:$I$359))</f>
        <v>3</v>
      </c>
      <c r="K337" s="19" t="n">
        <v>17.7</v>
      </c>
      <c r="L337" s="17" t="n">
        <f aca="false">IF(K337="","",RANK(K337,$K$5:$K$359))</f>
        <v>324</v>
      </c>
      <c r="M337" s="17" t="str">
        <f aca="false">IF(AND(N(G337)&gt;=N(I337),N(G337)&gt;=N(K337)),"The Pulse",IF(N(I337)&gt;=N(K337),"The Lens","The Hub"))</f>
        <v>The Lens</v>
      </c>
      <c r="N337" s="20" t="s">
        <v>74</v>
      </c>
      <c r="O337" s="17" t="s">
        <v>24</v>
      </c>
    </row>
    <row r="338" customFormat="false" ht="15" hidden="false" customHeight="false" outlineLevel="0" collapsed="false">
      <c r="A338" s="17" t="s">
        <v>767</v>
      </c>
      <c r="B338" s="17" t="s">
        <v>768</v>
      </c>
      <c r="C338" s="17" t="s">
        <v>162</v>
      </c>
      <c r="D338" s="17" t="s">
        <v>120</v>
      </c>
      <c r="E338" s="17" t="s">
        <v>46</v>
      </c>
      <c r="F338" s="18" t="n">
        <v>84160</v>
      </c>
      <c r="G338" s="19" t="n">
        <v>18.5</v>
      </c>
      <c r="H338" s="17" t="n">
        <f aca="false">IF(G338="","",RANK(G338,$G$5:$G$359))</f>
        <v>334</v>
      </c>
      <c r="I338" s="19" t="n">
        <v>33.5</v>
      </c>
      <c r="J338" s="17" t="n">
        <f aca="false">IF(I338="","",RANK(I338,$I$5:$I$359))</f>
        <v>271</v>
      </c>
      <c r="K338" s="19" t="n">
        <v>67.5</v>
      </c>
      <c r="L338" s="17" t="n">
        <f aca="false">IF(K338="","",RANK(K338,$K$5:$K$359))</f>
        <v>68</v>
      </c>
      <c r="M338" s="17" t="str">
        <f aca="false">IF(AND(N(G338)&gt;=N(I338),N(G338)&gt;=N(K338)),"The Pulse",IF(N(I338)&gt;=N(K338),"The Lens","The Hub"))</f>
        <v>The Hub</v>
      </c>
      <c r="N338" s="20" t="s">
        <v>74</v>
      </c>
      <c r="O338" s="17" t="s">
        <v>24</v>
      </c>
    </row>
    <row r="339" customFormat="false" ht="15" hidden="false" customHeight="false" outlineLevel="0" collapsed="false">
      <c r="A339" s="17" t="s">
        <v>769</v>
      </c>
      <c r="B339" s="17" t="s">
        <v>770</v>
      </c>
      <c r="C339" s="17" t="s">
        <v>82</v>
      </c>
      <c r="D339" s="17" t="s">
        <v>154</v>
      </c>
      <c r="E339" s="17" t="s">
        <v>45</v>
      </c>
      <c r="F339" s="18" t="n">
        <v>34920</v>
      </c>
      <c r="G339" s="19" t="n">
        <v>17.6</v>
      </c>
      <c r="H339" s="17" t="n">
        <f aca="false">IF(G339="","",RANK(G339,$G$5:$G$359))</f>
        <v>335</v>
      </c>
      <c r="I339" s="19" t="n">
        <v>60.1</v>
      </c>
      <c r="J339" s="17" t="n">
        <f aca="false">IF(I339="","",RANK(I339,$I$5:$I$359))</f>
        <v>124</v>
      </c>
      <c r="K339" s="19"/>
      <c r="L339" s="17" t="str">
        <f aca="false">IF(K339="","",RANK(K339,$K$5:$K$359))</f>
        <v/>
      </c>
      <c r="M339" s="17" t="str">
        <f aca="false">IF(AND(N(G339)&gt;=N(I339),N(G339)&gt;=N(K339)),"The Pulse",IF(N(I339)&gt;=N(K339),"The Lens","The Hub"))</f>
        <v>The Lens</v>
      </c>
      <c r="N339" s="20" t="s">
        <v>74</v>
      </c>
      <c r="O339" s="17" t="s">
        <v>24</v>
      </c>
    </row>
    <row r="340" customFormat="false" ht="15" hidden="false" customHeight="false" outlineLevel="0" collapsed="false">
      <c r="A340" s="17" t="s">
        <v>771</v>
      </c>
      <c r="B340" s="17" t="s">
        <v>772</v>
      </c>
      <c r="C340" s="17" t="s">
        <v>98</v>
      </c>
      <c r="D340" s="17" t="s">
        <v>73</v>
      </c>
      <c r="E340" s="17" t="s">
        <v>47</v>
      </c>
      <c r="F340" s="18" t="n">
        <v>39618</v>
      </c>
      <c r="G340" s="19" t="n">
        <v>17.3</v>
      </c>
      <c r="H340" s="17" t="n">
        <f aca="false">IF(G340="","",RANK(G340,$G$5:$G$359))</f>
        <v>336</v>
      </c>
      <c r="I340" s="19" t="n">
        <v>6.2</v>
      </c>
      <c r="J340" s="17" t="n">
        <f aca="false">IF(I340="","",RANK(I340,$I$5:$I$359))</f>
        <v>346</v>
      </c>
      <c r="K340" s="19" t="n">
        <v>21</v>
      </c>
      <c r="L340" s="17" t="n">
        <f aca="false">IF(K340="","",RANK(K340,$K$5:$K$359))</f>
        <v>315</v>
      </c>
      <c r="M340" s="17" t="str">
        <f aca="false">IF(AND(N(G340)&gt;=N(I340),N(G340)&gt;=N(K340)),"The Pulse",IF(N(I340)&gt;=N(K340),"The Lens","The Hub"))</f>
        <v>The Hub</v>
      </c>
      <c r="N340" s="21" t="s">
        <v>79</v>
      </c>
      <c r="O340" s="17" t="s">
        <v>22</v>
      </c>
    </row>
    <row r="341" customFormat="false" ht="15" hidden="false" customHeight="false" outlineLevel="0" collapsed="false">
      <c r="A341" s="17" t="s">
        <v>773</v>
      </c>
      <c r="B341" s="17" t="s">
        <v>774</v>
      </c>
      <c r="C341" s="17" t="s">
        <v>98</v>
      </c>
      <c r="D341" s="17" t="s">
        <v>105</v>
      </c>
      <c r="E341" s="17" t="s">
        <v>45</v>
      </c>
      <c r="F341" s="18" t="n">
        <v>2750</v>
      </c>
      <c r="G341" s="19" t="n">
        <v>17.2</v>
      </c>
      <c r="H341" s="17" t="n">
        <f aca="false">IF(G341="","",RANK(G341,$G$5:$G$359))</f>
        <v>337</v>
      </c>
      <c r="I341" s="19" t="n">
        <v>85.9</v>
      </c>
      <c r="J341" s="17" t="n">
        <f aca="false">IF(I341="","",RANK(I341,$I$5:$I$359))</f>
        <v>18</v>
      </c>
      <c r="K341" s="19" t="n">
        <v>14.9</v>
      </c>
      <c r="L341" s="17" t="n">
        <f aca="false">IF(K341="","",RANK(K341,$K$5:$K$359))</f>
        <v>327</v>
      </c>
      <c r="M341" s="17" t="str">
        <f aca="false">IF(AND(N(G341)&gt;=N(I341),N(G341)&gt;=N(K341)),"The Pulse",IF(N(I341)&gt;=N(K341),"The Lens","The Hub"))</f>
        <v>The Lens</v>
      </c>
      <c r="N341" s="21" t="s">
        <v>79</v>
      </c>
      <c r="O341" s="17" t="s">
        <v>88</v>
      </c>
    </row>
    <row r="342" customFormat="false" ht="15" hidden="false" customHeight="false" outlineLevel="0" collapsed="false">
      <c r="A342" s="17" t="s">
        <v>775</v>
      </c>
      <c r="B342" s="17" t="s">
        <v>776</v>
      </c>
      <c r="C342" s="17" t="s">
        <v>82</v>
      </c>
      <c r="D342" s="17" t="s">
        <v>78</v>
      </c>
      <c r="E342" s="17" t="s">
        <v>99</v>
      </c>
      <c r="F342" s="18" t="n">
        <v>121469</v>
      </c>
      <c r="G342" s="19" t="n">
        <v>16.8</v>
      </c>
      <c r="H342" s="17" t="n">
        <f aca="false">IF(G342="","",RANK(G342,$G$5:$G$359))</f>
        <v>338</v>
      </c>
      <c r="I342" s="19" t="n">
        <v>34.3</v>
      </c>
      <c r="J342" s="17" t="n">
        <f aca="false">IF(I342="","",RANK(I342,$I$5:$I$359))</f>
        <v>268</v>
      </c>
      <c r="K342" s="19" t="n">
        <v>59.5</v>
      </c>
      <c r="L342" s="17" t="n">
        <f aca="false">IF(K342="","",RANK(K342,$K$5:$K$359))</f>
        <v>109</v>
      </c>
      <c r="M342" s="17" t="str">
        <f aca="false">IF(AND(N(G342)&gt;=N(I342),N(G342)&gt;=N(K342)),"The Pulse",IF(N(I342)&gt;=N(K342),"The Lens","The Hub"))</f>
        <v>The Hub</v>
      </c>
      <c r="N342" s="21" t="s">
        <v>79</v>
      </c>
      <c r="O342" s="17" t="s">
        <v>88</v>
      </c>
    </row>
    <row r="343" customFormat="false" ht="15" hidden="false" customHeight="false" outlineLevel="0" collapsed="false">
      <c r="A343" s="17" t="s">
        <v>777</v>
      </c>
      <c r="B343" s="17" t="s">
        <v>778</v>
      </c>
      <c r="C343" s="17" t="s">
        <v>95</v>
      </c>
      <c r="D343" s="17" t="s">
        <v>105</v>
      </c>
      <c r="E343" s="17" t="s">
        <v>47</v>
      </c>
      <c r="F343" s="18" t="n">
        <v>13378</v>
      </c>
      <c r="G343" s="19" t="n">
        <v>16.4</v>
      </c>
      <c r="H343" s="17" t="n">
        <f aca="false">IF(G343="","",RANK(G343,$G$5:$G$359))</f>
        <v>339</v>
      </c>
      <c r="I343" s="19" t="n">
        <v>4.2</v>
      </c>
      <c r="J343" s="17" t="n">
        <f aca="false">IF(I343="","",RANK(I343,$I$5:$I$359))</f>
        <v>352</v>
      </c>
      <c r="K343" s="19" t="n">
        <v>39.4</v>
      </c>
      <c r="L343" s="17" t="n">
        <f aca="false">IF(K343="","",RANK(K343,$K$5:$K$359))</f>
        <v>242</v>
      </c>
      <c r="M343" s="17" t="str">
        <f aca="false">IF(AND(N(G343)&gt;=N(I343),N(G343)&gt;=N(K343)),"The Pulse",IF(N(I343)&gt;=N(K343),"The Lens","The Hub"))</f>
        <v>The Hub</v>
      </c>
      <c r="N343" s="21" t="s">
        <v>79</v>
      </c>
      <c r="O343" s="17" t="s">
        <v>22</v>
      </c>
    </row>
    <row r="344" customFormat="false" ht="15" hidden="false" customHeight="false" outlineLevel="0" collapsed="false">
      <c r="A344" s="17" t="s">
        <v>779</v>
      </c>
      <c r="B344" s="17" t="s">
        <v>780</v>
      </c>
      <c r="C344" s="17" t="s">
        <v>82</v>
      </c>
      <c r="D344" s="17" t="s">
        <v>127</v>
      </c>
      <c r="E344" s="17" t="s">
        <v>47</v>
      </c>
      <c r="F344" s="18" t="n">
        <v>582380</v>
      </c>
      <c r="G344" s="19" t="n">
        <v>15.5</v>
      </c>
      <c r="H344" s="17" t="n">
        <f aca="false">IF(G344="","",RANK(G344,$G$5:$G$359))</f>
        <v>340</v>
      </c>
      <c r="I344" s="19" t="n">
        <v>96.9</v>
      </c>
      <c r="J344" s="17" t="n">
        <f aca="false">IF(I344="","",RANK(I344,$I$5:$I$359))</f>
        <v>7</v>
      </c>
      <c r="K344" s="19" t="n">
        <v>45.2</v>
      </c>
      <c r="L344" s="17" t="n">
        <f aca="false">IF(K344="","",RANK(K344,$K$5:$K$359))</f>
        <v>200</v>
      </c>
      <c r="M344" s="17" t="str">
        <f aca="false">IF(AND(N(G344)&gt;=N(I344),N(G344)&gt;=N(K344)),"The Pulse",IF(N(I344)&gt;=N(K344),"The Lens","The Hub"))</f>
        <v>The Lens</v>
      </c>
      <c r="N344" s="21" t="s">
        <v>79</v>
      </c>
      <c r="O344" s="17" t="s">
        <v>88</v>
      </c>
    </row>
    <row r="345" customFormat="false" ht="15" hidden="false" customHeight="false" outlineLevel="0" collapsed="false">
      <c r="A345" s="17" t="s">
        <v>781</v>
      </c>
      <c r="B345" s="17" t="s">
        <v>782</v>
      </c>
      <c r="C345" s="17" t="s">
        <v>91</v>
      </c>
      <c r="D345" s="17" t="s">
        <v>73</v>
      </c>
      <c r="E345" s="17" t="s">
        <v>47</v>
      </c>
      <c r="F345" s="18" t="n">
        <v>81607</v>
      </c>
      <c r="G345" s="19" t="n">
        <v>15.3</v>
      </c>
      <c r="H345" s="17" t="n">
        <f aca="false">IF(G345="","",RANK(G345,$G$5:$G$359))</f>
        <v>341</v>
      </c>
      <c r="I345" s="19" t="n">
        <v>26.9</v>
      </c>
      <c r="J345" s="17" t="n">
        <f aca="false">IF(I345="","",RANK(I345,$I$5:$I$359))</f>
        <v>300</v>
      </c>
      <c r="K345" s="19" t="n">
        <v>50</v>
      </c>
      <c r="L345" s="17" t="n">
        <f aca="false">IF(K345="","",RANK(K345,$K$5:$K$359))</f>
        <v>169</v>
      </c>
      <c r="M345" s="17" t="str">
        <f aca="false">IF(AND(N(G345)&gt;=N(I345),N(G345)&gt;=N(K345)),"The Pulse",IF(N(I345)&gt;=N(K345),"The Lens","The Hub"))</f>
        <v>The Hub</v>
      </c>
      <c r="N345" s="21" t="s">
        <v>79</v>
      </c>
      <c r="O345" s="17" t="s">
        <v>22</v>
      </c>
    </row>
    <row r="346" customFormat="false" ht="15" hidden="false" customHeight="false" outlineLevel="0" collapsed="false">
      <c r="A346" s="17" t="s">
        <v>783</v>
      </c>
      <c r="B346" s="17" t="s">
        <v>784</v>
      </c>
      <c r="C346" s="17" t="s">
        <v>123</v>
      </c>
      <c r="D346" s="17" t="s">
        <v>87</v>
      </c>
      <c r="E346" s="17" t="s">
        <v>106</v>
      </c>
      <c r="F346" s="18" t="n">
        <v>86767</v>
      </c>
      <c r="G346" s="19" t="n">
        <v>15</v>
      </c>
      <c r="H346" s="17" t="n">
        <f aca="false">IF(G346="","",RANK(G346,$G$5:$G$359))</f>
        <v>342</v>
      </c>
      <c r="I346" s="19" t="n">
        <v>71.8</v>
      </c>
      <c r="J346" s="17" t="n">
        <f aca="false">IF(I346="","",RANK(I346,$I$5:$I$359))</f>
        <v>65</v>
      </c>
      <c r="K346" s="19" t="n">
        <v>25.6</v>
      </c>
      <c r="L346" s="17" t="n">
        <f aca="false">IF(K346="","",RANK(K346,$K$5:$K$359))</f>
        <v>300</v>
      </c>
      <c r="M346" s="17" t="str">
        <f aca="false">IF(AND(N(G346)&gt;=N(I346),N(G346)&gt;=N(K346)),"The Pulse",IF(N(I346)&gt;=N(K346),"The Lens","The Hub"))</f>
        <v>The Lens</v>
      </c>
      <c r="N346" s="21" t="s">
        <v>79</v>
      </c>
      <c r="O346" s="17" t="s">
        <v>88</v>
      </c>
    </row>
    <row r="347" customFormat="false" ht="15" hidden="false" customHeight="false" outlineLevel="0" collapsed="false">
      <c r="A347" s="17" t="s">
        <v>785</v>
      </c>
      <c r="B347" s="17" t="s">
        <v>786</v>
      </c>
      <c r="C347" s="17" t="s">
        <v>115</v>
      </c>
      <c r="D347" s="17" t="s">
        <v>127</v>
      </c>
      <c r="E347" s="17" t="s">
        <v>46</v>
      </c>
      <c r="F347" s="18" t="n">
        <v>262310</v>
      </c>
      <c r="G347" s="19" t="n">
        <v>14.1</v>
      </c>
      <c r="H347" s="17" t="n">
        <f aca="false">IF(G347="","",RANK(G347,$G$5:$G$359))</f>
        <v>343</v>
      </c>
      <c r="I347" s="19" t="n">
        <v>94.3</v>
      </c>
      <c r="J347" s="17" t="n">
        <f aca="false">IF(I347="","",RANK(I347,$I$5:$I$359))</f>
        <v>8</v>
      </c>
      <c r="K347" s="19" t="n">
        <v>22.1</v>
      </c>
      <c r="L347" s="17" t="n">
        <f aca="false">IF(K347="","",RANK(K347,$K$5:$K$359))</f>
        <v>311</v>
      </c>
      <c r="M347" s="17" t="str">
        <f aca="false">IF(AND(N(G347)&gt;=N(I347),N(G347)&gt;=N(K347)),"The Pulse",IF(N(I347)&gt;=N(K347),"The Lens","The Hub"))</f>
        <v>The Lens</v>
      </c>
      <c r="N347" s="20" t="s">
        <v>74</v>
      </c>
      <c r="O347" s="17" t="s">
        <v>24</v>
      </c>
    </row>
    <row r="348" customFormat="false" ht="15" hidden="false" customHeight="false" outlineLevel="0" collapsed="false">
      <c r="A348" s="17" t="s">
        <v>787</v>
      </c>
      <c r="B348" s="17" t="s">
        <v>788</v>
      </c>
      <c r="C348" s="17" t="s">
        <v>77</v>
      </c>
      <c r="D348" s="17" t="s">
        <v>73</v>
      </c>
      <c r="E348" s="17" t="s">
        <v>99</v>
      </c>
      <c r="F348" s="18" t="n">
        <v>406936</v>
      </c>
      <c r="G348" s="19" t="n">
        <v>14</v>
      </c>
      <c r="H348" s="17" t="n">
        <f aca="false">IF(G348="","",RANK(G348,$G$5:$G$359))</f>
        <v>344</v>
      </c>
      <c r="I348" s="19" t="n">
        <v>37.1</v>
      </c>
      <c r="J348" s="17" t="n">
        <f aca="false">IF(I348="","",RANK(I348,$I$5:$I$359))</f>
        <v>254</v>
      </c>
      <c r="K348" s="19" t="n">
        <v>35.8</v>
      </c>
      <c r="L348" s="17" t="n">
        <f aca="false">IF(K348="","",RANK(K348,$K$5:$K$359))</f>
        <v>265</v>
      </c>
      <c r="M348" s="17" t="str">
        <f aca="false">IF(AND(N(G348)&gt;=N(I348),N(G348)&gt;=N(K348)),"The Pulse",IF(N(I348)&gt;=N(K348),"The Lens","The Hub"))</f>
        <v>The Lens</v>
      </c>
      <c r="N348" s="21" t="s">
        <v>79</v>
      </c>
      <c r="O348" s="17" t="s">
        <v>88</v>
      </c>
    </row>
    <row r="349" customFormat="false" ht="15" hidden="false" customHeight="false" outlineLevel="0" collapsed="false">
      <c r="A349" s="17" t="s">
        <v>789</v>
      </c>
      <c r="B349" s="17" t="s">
        <v>790</v>
      </c>
      <c r="C349" s="17" t="s">
        <v>77</v>
      </c>
      <c r="D349" s="17" t="s">
        <v>73</v>
      </c>
      <c r="E349" s="17" t="s">
        <v>149</v>
      </c>
      <c r="F349" s="18" t="n">
        <v>305190</v>
      </c>
      <c r="G349" s="19" t="n">
        <v>12.6</v>
      </c>
      <c r="H349" s="17" t="n">
        <f aca="false">IF(G349="","",RANK(G349,$G$5:$G$359))</f>
        <v>345</v>
      </c>
      <c r="I349" s="19" t="n">
        <v>48</v>
      </c>
      <c r="J349" s="17" t="n">
        <f aca="false">IF(I349="","",RANK(I349,$I$5:$I$359))</f>
        <v>196</v>
      </c>
      <c r="K349" s="19" t="n">
        <v>41</v>
      </c>
      <c r="L349" s="17" t="n">
        <f aca="false">IF(K349="","",RANK(K349,$K$5:$K$359))</f>
        <v>226</v>
      </c>
      <c r="M349" s="17" t="str">
        <f aca="false">IF(AND(N(G349)&gt;=N(I349),N(G349)&gt;=N(K349)),"The Pulse",IF(N(I349)&gt;=N(K349),"The Lens","The Hub"))</f>
        <v>The Lens</v>
      </c>
      <c r="N349" s="20" t="s">
        <v>74</v>
      </c>
      <c r="O349" s="17" t="s">
        <v>24</v>
      </c>
    </row>
    <row r="350" customFormat="false" ht="15" hidden="false" customHeight="false" outlineLevel="0" collapsed="false">
      <c r="A350" s="17" t="s">
        <v>791</v>
      </c>
      <c r="B350" s="17" t="s">
        <v>792</v>
      </c>
      <c r="C350" s="17" t="s">
        <v>95</v>
      </c>
      <c r="D350" s="17" t="s">
        <v>102</v>
      </c>
      <c r="E350" s="17" t="s">
        <v>46</v>
      </c>
      <c r="F350" s="18" t="n">
        <v>82670</v>
      </c>
      <c r="G350" s="19" t="n">
        <v>12.6</v>
      </c>
      <c r="H350" s="17" t="n">
        <f aca="false">IF(G350="","",RANK(G350,$G$5:$G$359))</f>
        <v>345</v>
      </c>
      <c r="I350" s="19" t="n">
        <v>98.5</v>
      </c>
      <c r="J350" s="17" t="n">
        <f aca="false">IF(I350="","",RANK(I350,$I$5:$I$359))</f>
        <v>4</v>
      </c>
      <c r="K350" s="19" t="n">
        <v>33.3</v>
      </c>
      <c r="L350" s="17" t="n">
        <f aca="false">IF(K350="","",RANK(K350,$K$5:$K$359))</f>
        <v>281</v>
      </c>
      <c r="M350" s="17" t="str">
        <f aca="false">IF(AND(N(G350)&gt;=N(I350),N(G350)&gt;=N(K350)),"The Pulse",IF(N(I350)&gt;=N(K350),"The Lens","The Hub"))</f>
        <v>The Lens</v>
      </c>
      <c r="N350" s="21" t="s">
        <v>79</v>
      </c>
      <c r="O350" s="17" t="s">
        <v>88</v>
      </c>
    </row>
    <row r="351" customFormat="false" ht="15" hidden="false" customHeight="false" outlineLevel="0" collapsed="false">
      <c r="A351" s="17" t="s">
        <v>793</v>
      </c>
      <c r="B351" s="17" t="s">
        <v>794</v>
      </c>
      <c r="C351" s="17" t="s">
        <v>123</v>
      </c>
      <c r="D351" s="17" t="s">
        <v>124</v>
      </c>
      <c r="E351" s="17" t="s">
        <v>45</v>
      </c>
      <c r="F351" s="18" t="n">
        <v>149030</v>
      </c>
      <c r="G351" s="19" t="n">
        <v>12.5</v>
      </c>
      <c r="H351" s="17" t="n">
        <f aca="false">IF(G351="","",RANK(G351,$G$5:$G$359))</f>
        <v>347</v>
      </c>
      <c r="I351" s="19" t="n">
        <v>85.7</v>
      </c>
      <c r="J351" s="17" t="n">
        <f aca="false">IF(I351="","",RANK(I351,$I$5:$I$359))</f>
        <v>19</v>
      </c>
      <c r="K351" s="19" t="n">
        <v>14.5</v>
      </c>
      <c r="L351" s="17" t="n">
        <f aca="false">IF(K351="","",RANK(K351,$K$5:$K$359))</f>
        <v>328</v>
      </c>
      <c r="M351" s="17" t="str">
        <f aca="false">IF(AND(N(G351)&gt;=N(I351),N(G351)&gt;=N(K351)),"The Pulse",IF(N(I351)&gt;=N(K351),"The Lens","The Hub"))</f>
        <v>The Lens</v>
      </c>
      <c r="N351" s="20" t="s">
        <v>74</v>
      </c>
      <c r="O351" s="17" t="s">
        <v>24</v>
      </c>
    </row>
    <row r="352" customFormat="false" ht="15" hidden="false" customHeight="false" outlineLevel="0" collapsed="false">
      <c r="A352" s="17" t="s">
        <v>795</v>
      </c>
      <c r="B352" s="17" t="s">
        <v>796</v>
      </c>
      <c r="C352" s="17" t="s">
        <v>72</v>
      </c>
      <c r="D352" s="17" t="s">
        <v>102</v>
      </c>
      <c r="E352" s="17" t="s">
        <v>92</v>
      </c>
      <c r="F352" s="18" t="n">
        <v>347450</v>
      </c>
      <c r="G352" s="19" t="n">
        <v>11.5</v>
      </c>
      <c r="H352" s="17" t="n">
        <f aca="false">IF(G352="","",RANK(G352,$G$5:$G$359))</f>
        <v>348</v>
      </c>
      <c r="I352" s="19" t="n">
        <v>43.3</v>
      </c>
      <c r="J352" s="17" t="n">
        <f aca="false">IF(I352="","",RANK(I352,$I$5:$I$359))</f>
        <v>224</v>
      </c>
      <c r="K352" s="19" t="n">
        <v>47.7</v>
      </c>
      <c r="L352" s="17" t="n">
        <f aca="false">IF(K352="","",RANK(K352,$K$5:$K$359))</f>
        <v>185</v>
      </c>
      <c r="M352" s="17" t="str">
        <f aca="false">IF(AND(N(G352)&gt;=N(I352),N(G352)&gt;=N(K352)),"The Pulse",IF(N(I352)&gt;=N(K352),"The Lens","The Hub"))</f>
        <v>The Hub</v>
      </c>
      <c r="N352" s="20" t="s">
        <v>74</v>
      </c>
      <c r="O352" s="17" t="s">
        <v>24</v>
      </c>
    </row>
    <row r="353" customFormat="false" ht="15" hidden="false" customHeight="false" outlineLevel="0" collapsed="false">
      <c r="A353" s="17" t="s">
        <v>797</v>
      </c>
      <c r="B353" s="17" t="s">
        <v>798</v>
      </c>
      <c r="C353" s="17" t="s">
        <v>98</v>
      </c>
      <c r="D353" s="17" t="s">
        <v>73</v>
      </c>
      <c r="E353" s="17" t="s">
        <v>45</v>
      </c>
      <c r="F353" s="18" t="n">
        <v>36450</v>
      </c>
      <c r="G353" s="19" t="n">
        <v>10.4</v>
      </c>
      <c r="H353" s="17" t="n">
        <f aca="false">IF(G353="","",RANK(G353,$G$5:$G$359))</f>
        <v>349</v>
      </c>
      <c r="I353" s="19" t="n">
        <v>49.5</v>
      </c>
      <c r="J353" s="17" t="n">
        <f aca="false">IF(I353="","",RANK(I353,$I$5:$I$359))</f>
        <v>181</v>
      </c>
      <c r="K353" s="19"/>
      <c r="L353" s="17" t="str">
        <f aca="false">IF(K353="","",RANK(K353,$K$5:$K$359))</f>
        <v/>
      </c>
      <c r="M353" s="17" t="str">
        <f aca="false">IF(AND(N(G353)&gt;=N(I353),N(G353)&gt;=N(K353)),"The Pulse",IF(N(I353)&gt;=N(K353),"The Lens","The Hub"))</f>
        <v>The Lens</v>
      </c>
      <c r="N353" s="20" t="s">
        <v>74</v>
      </c>
      <c r="O353" s="17" t="s">
        <v>24</v>
      </c>
    </row>
    <row r="354" customFormat="false" ht="15" hidden="false" customHeight="false" outlineLevel="0" collapsed="false">
      <c r="A354" s="17" t="s">
        <v>799</v>
      </c>
      <c r="B354" s="17" t="s">
        <v>800</v>
      </c>
      <c r="C354" s="17" t="s">
        <v>77</v>
      </c>
      <c r="D354" s="17" t="s">
        <v>102</v>
      </c>
      <c r="E354" s="17" t="s">
        <v>46</v>
      </c>
      <c r="F354" s="18" t="n">
        <v>546080</v>
      </c>
      <c r="G354" s="19" t="n">
        <v>3.5</v>
      </c>
      <c r="H354" s="17" t="n">
        <f aca="false">IF(G354="","",RANK(G354,$G$5:$G$359))</f>
        <v>350</v>
      </c>
      <c r="I354" s="19" t="n">
        <v>15.3</v>
      </c>
      <c r="J354" s="17" t="n">
        <f aca="false">IF(I354="","",RANK(I354,$I$5:$I$359))</f>
        <v>328</v>
      </c>
      <c r="K354" s="19" t="n">
        <v>32</v>
      </c>
      <c r="L354" s="17" t="n">
        <f aca="false">IF(K354="","",RANK(K354,$K$5:$K$359))</f>
        <v>286</v>
      </c>
      <c r="M354" s="17" t="str">
        <f aca="false">IF(AND(N(G354)&gt;=N(I354),N(G354)&gt;=N(K354)),"The Pulse",IF(N(I354)&gt;=N(K354),"The Lens","The Hub"))</f>
        <v>The Hub</v>
      </c>
      <c r="N354" s="20" t="s">
        <v>74</v>
      </c>
      <c r="O354" s="17" t="s">
        <v>24</v>
      </c>
    </row>
    <row r="355" customFormat="false" ht="15" hidden="false" customHeight="false" outlineLevel="0" collapsed="false">
      <c r="A355" s="17" t="s">
        <v>801</v>
      </c>
      <c r="B355" s="17" t="s">
        <v>802</v>
      </c>
      <c r="C355" s="17" t="s">
        <v>123</v>
      </c>
      <c r="D355" s="17" t="s">
        <v>83</v>
      </c>
      <c r="E355" s="17" t="s">
        <v>47</v>
      </c>
      <c r="F355" s="18" t="n">
        <v>73905</v>
      </c>
      <c r="G355" s="19" t="n">
        <v>2.8</v>
      </c>
      <c r="H355" s="17" t="n">
        <f aca="false">IF(G355="","",RANK(G355,$G$5:$G$359))</f>
        <v>351</v>
      </c>
      <c r="I355" s="19" t="n">
        <v>33.1</v>
      </c>
      <c r="J355" s="17" t="n">
        <f aca="false">IF(I355="","",RANK(I355,$I$5:$I$359))</f>
        <v>274</v>
      </c>
      <c r="K355" s="19" t="n">
        <v>13.3</v>
      </c>
      <c r="L355" s="17" t="n">
        <f aca="false">IF(K355="","",RANK(K355,$K$5:$K$359))</f>
        <v>331</v>
      </c>
      <c r="M355" s="17" t="str">
        <f aca="false">IF(AND(N(G355)&gt;=N(I355),N(G355)&gt;=N(K355)),"The Pulse",IF(N(I355)&gt;=N(K355),"The Lens","The Hub"))</f>
        <v>The Lens</v>
      </c>
      <c r="N355" s="22" t="s">
        <v>109</v>
      </c>
      <c r="O355" s="17" t="s">
        <v>110</v>
      </c>
    </row>
    <row r="356" customFormat="false" ht="15" hidden="false" customHeight="false" outlineLevel="0" collapsed="false">
      <c r="A356" s="17" t="s">
        <v>803</v>
      </c>
      <c r="B356" s="17" t="s">
        <v>804</v>
      </c>
      <c r="C356" s="17" t="s">
        <v>86</v>
      </c>
      <c r="D356" s="17" t="s">
        <v>105</v>
      </c>
      <c r="E356" s="17" t="s">
        <v>47</v>
      </c>
      <c r="F356" s="18" t="n">
        <v>35200</v>
      </c>
      <c r="G356" s="19" t="n">
        <v>2.5</v>
      </c>
      <c r="H356" s="17" t="n">
        <f aca="false">IF(G356="","",RANK(G356,$G$5:$G$359))</f>
        <v>352</v>
      </c>
      <c r="I356" s="19" t="n">
        <v>46.8</v>
      </c>
      <c r="J356" s="17" t="n">
        <f aca="false">IF(I356="","",RANK(I356,$I$5:$I$359))</f>
        <v>201</v>
      </c>
      <c r="K356" s="19" t="n">
        <v>40.7</v>
      </c>
      <c r="L356" s="17" t="n">
        <f aca="false">IF(K356="","",RANK(K356,$K$5:$K$359))</f>
        <v>233</v>
      </c>
      <c r="M356" s="17" t="str">
        <f aca="false">IF(AND(N(G356)&gt;=N(I356),N(G356)&gt;=N(K356)),"The Pulse",IF(N(I356)&gt;=N(K356),"The Lens","The Hub"))</f>
        <v>The Lens</v>
      </c>
      <c r="N356" s="21" t="s">
        <v>79</v>
      </c>
      <c r="O356" s="17" t="s">
        <v>88</v>
      </c>
    </row>
    <row r="357" customFormat="false" ht="15" hidden="false" customHeight="false" outlineLevel="0" collapsed="false">
      <c r="A357" s="17" t="s">
        <v>805</v>
      </c>
      <c r="B357" s="17" t="s">
        <v>806</v>
      </c>
      <c r="C357" s="17" t="s">
        <v>82</v>
      </c>
      <c r="D357" s="17" t="s">
        <v>102</v>
      </c>
      <c r="E357" s="17" t="s">
        <v>46</v>
      </c>
      <c r="F357" s="18" t="n">
        <v>95130</v>
      </c>
      <c r="G357" s="19" t="n">
        <v>2.2</v>
      </c>
      <c r="H357" s="17" t="n">
        <f aca="false">IF(G357="","",RANK(G357,$G$5:$G$359))</f>
        <v>353</v>
      </c>
      <c r="I357" s="19" t="n">
        <v>15.3</v>
      </c>
      <c r="J357" s="17" t="n">
        <f aca="false">IF(I357="","",RANK(I357,$I$5:$I$359))</f>
        <v>328</v>
      </c>
      <c r="K357" s="19" t="n">
        <v>74.6</v>
      </c>
      <c r="L357" s="17" t="n">
        <f aca="false">IF(K357="","",RANK(K357,$K$5:$K$359))</f>
        <v>42</v>
      </c>
      <c r="M357" s="17" t="str">
        <f aca="false">IF(AND(N(G357)&gt;=N(I357),N(G357)&gt;=N(K357)),"The Pulse",IF(N(I357)&gt;=N(K357),"The Lens","The Hub"))</f>
        <v>The Hub</v>
      </c>
      <c r="N357" s="20" t="s">
        <v>74</v>
      </c>
      <c r="O357" s="17" t="s">
        <v>24</v>
      </c>
    </row>
    <row r="358" customFormat="false" ht="15" hidden="false" customHeight="false" outlineLevel="0" collapsed="false">
      <c r="A358" s="17" t="s">
        <v>807</v>
      </c>
      <c r="B358" s="17" t="s">
        <v>808</v>
      </c>
      <c r="C358" s="17" t="s">
        <v>115</v>
      </c>
      <c r="D358" s="17" t="s">
        <v>124</v>
      </c>
      <c r="E358" s="17" t="s">
        <v>47</v>
      </c>
      <c r="F358" s="18" t="n">
        <v>23846</v>
      </c>
      <c r="G358" s="19" t="n">
        <v>0.9</v>
      </c>
      <c r="H358" s="17" t="n">
        <f aca="false">IF(G358="","",RANK(G358,$G$5:$G$359))</f>
        <v>354</v>
      </c>
      <c r="I358" s="19" t="n">
        <v>72.4</v>
      </c>
      <c r="J358" s="17" t="n">
        <f aca="false">IF(I358="","",RANK(I358,$I$5:$I$359))</f>
        <v>64</v>
      </c>
      <c r="K358" s="19" t="n">
        <v>52.9</v>
      </c>
      <c r="L358" s="17" t="n">
        <f aca="false">IF(K358="","",RANK(K358,$K$5:$K$359))</f>
        <v>154</v>
      </c>
      <c r="M358" s="17" t="str">
        <f aca="false">IF(AND(N(G358)&gt;=N(I358),N(G358)&gt;=N(K358)),"The Pulse",IF(N(I358)&gt;=N(K358),"The Lens","The Hub"))</f>
        <v>The Lens</v>
      </c>
      <c r="N358" s="21" t="s">
        <v>79</v>
      </c>
      <c r="O358" s="17" t="s">
        <v>22</v>
      </c>
    </row>
    <row r="359" customFormat="false" ht="15" hidden="false" customHeight="false" outlineLevel="0" collapsed="false">
      <c r="A359" s="17" t="s">
        <v>809</v>
      </c>
      <c r="B359" s="17" t="s">
        <v>810</v>
      </c>
      <c r="C359" s="17" t="s">
        <v>123</v>
      </c>
      <c r="D359" s="17" t="s">
        <v>102</v>
      </c>
      <c r="E359" s="17" t="s">
        <v>47</v>
      </c>
      <c r="F359" s="18" t="n">
        <v>383499</v>
      </c>
      <c r="G359" s="19" t="n">
        <v>0.4</v>
      </c>
      <c r="H359" s="17" t="n">
        <f aca="false">IF(G359="","",RANK(G359,$G$5:$G$359))</f>
        <v>355</v>
      </c>
      <c r="I359" s="19" t="n">
        <v>13.7</v>
      </c>
      <c r="J359" s="17" t="n">
        <f aca="false">IF(I359="","",RANK(I359,$I$5:$I$359))</f>
        <v>334</v>
      </c>
      <c r="K359" s="19" t="n">
        <v>3.6</v>
      </c>
      <c r="L359" s="17" t="n">
        <f aca="false">IF(K359="","",RANK(K359,$K$5:$K$359))</f>
        <v>347</v>
      </c>
      <c r="M359" s="17" t="str">
        <f aca="false">IF(AND(N(G359)&gt;=N(I359),N(G359)&gt;=N(K359)),"The Pulse",IF(N(I359)&gt;=N(K359),"The Lens","The Hub"))</f>
        <v>The Lens</v>
      </c>
      <c r="N359" s="21" t="s">
        <v>79</v>
      </c>
      <c r="O359" s="17" t="s">
        <v>22</v>
      </c>
    </row>
  </sheetData>
  <autoFilter ref="A4:O359"/>
  <conditionalFormatting sqref="G5:G359">
    <cfRule type="colorScale" priority="2">
      <colorScale>
        <cfvo type="num" val="0"/>
        <cfvo type="num" val="100"/>
        <color rgb="FFFFFFFF"/>
        <color rgb="FFF97316"/>
      </colorScale>
    </cfRule>
  </conditionalFormatting>
  <conditionalFormatting sqref="I5:I359">
    <cfRule type="colorScale" priority="3">
      <colorScale>
        <cfvo type="num" val="0"/>
        <cfvo type="num" val="100"/>
        <color rgb="FFFFFFFF"/>
        <color rgb="FFF97316"/>
      </colorScale>
    </cfRule>
  </conditionalFormatting>
  <conditionalFormatting sqref="K5:K359">
    <cfRule type="colorScale" priority="4">
      <colorScale>
        <cfvo type="num" val="0"/>
        <cfvo type="num" val="100"/>
        <color rgb="FFFFFFFF"/>
        <color rgb="FFF9731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24"/>
    <col collapsed="false" customWidth="true" hidden="false" outlineLevel="0" max="4" min="4" style="0" width="9"/>
    <col collapsed="false" customWidth="true" hidden="false" outlineLevel="0" max="5" min="5" style="0" width="12"/>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9"/>
    <col collapsed="false" customWidth="true" hidden="false" outlineLevel="0" max="10" min="10" style="0" width="13"/>
    <col collapsed="false" customWidth="true" hidden="false" outlineLevel="0" max="11" min="11" style="0" width="10"/>
    <col collapsed="false" customWidth="true" hidden="false" outlineLevel="0" max="12" min="12" style="0" width="9"/>
    <col collapsed="false" customWidth="true" hidden="false" outlineLevel="0" max="13" min="13" style="0" width="13"/>
    <col collapsed="false" customWidth="true" hidden="false" outlineLevel="0" max="14" min="14" style="0" width="10"/>
    <col collapsed="false" customWidth="true" hidden="false" outlineLevel="0" max="15" min="15" style="0" width="9"/>
    <col collapsed="false" customWidth="true" hidden="false" outlineLevel="0" max="16" min="16" style="0" width="13"/>
    <col collapsed="false" customWidth="true" hidden="false" outlineLevel="0" max="17" min="17" style="0" width="11"/>
    <col collapsed="false" customWidth="true" hidden="false" outlineLevel="0" max="18" min="18" style="0" width="13"/>
    <col collapsed="false" customWidth="true" hidden="false" outlineLevel="0" max="19" min="19" style="0" width="22"/>
  </cols>
  <sheetData>
    <row r="1" customFormat="false" ht="17.35" hidden="false" customHeight="false" outlineLevel="0" collapsed="false">
      <c r="A1" s="1" t="s">
        <v>811</v>
      </c>
      <c r="B1" s="2"/>
      <c r="C1" s="2"/>
      <c r="D1" s="2"/>
      <c r="E1" s="2"/>
      <c r="F1" s="2"/>
      <c r="G1" s="2"/>
      <c r="H1" s="2"/>
      <c r="I1" s="2"/>
      <c r="J1" s="2"/>
      <c r="K1" s="2"/>
      <c r="L1" s="2"/>
      <c r="M1" s="2"/>
      <c r="N1" s="2"/>
      <c r="O1" s="2"/>
      <c r="P1" s="2"/>
      <c r="Q1" s="2"/>
      <c r="R1" s="2"/>
      <c r="S1" s="2"/>
    </row>
    <row r="2" customFormat="false" ht="15" hidden="false" customHeight="false" outlineLevel="0" collapsed="false">
      <c r="A2" s="3" t="s">
        <v>812</v>
      </c>
      <c r="B2" s="2"/>
      <c r="C2" s="2"/>
      <c r="D2" s="2"/>
      <c r="E2" s="2"/>
      <c r="F2" s="2"/>
      <c r="G2" s="2"/>
      <c r="H2" s="2"/>
      <c r="I2" s="2"/>
      <c r="J2" s="2"/>
      <c r="K2" s="2"/>
      <c r="L2" s="2"/>
      <c r="M2" s="2"/>
      <c r="N2" s="2"/>
      <c r="O2" s="2"/>
      <c r="P2" s="2"/>
      <c r="Q2" s="2"/>
      <c r="R2" s="2"/>
      <c r="S2" s="2"/>
    </row>
    <row r="3" customFormat="false" ht="15" hidden="false" customHeight="false" outlineLevel="0" collapsed="false">
      <c r="A3" s="2"/>
      <c r="B3" s="2"/>
      <c r="C3" s="2"/>
      <c r="D3" s="2"/>
      <c r="E3" s="2"/>
      <c r="F3" s="2"/>
      <c r="G3" s="2"/>
      <c r="H3" s="2"/>
      <c r="I3" s="2"/>
      <c r="J3" s="2"/>
      <c r="K3" s="2"/>
      <c r="L3" s="2"/>
      <c r="M3" s="2"/>
      <c r="N3" s="2"/>
      <c r="O3" s="2"/>
      <c r="P3" s="2"/>
      <c r="Q3" s="2"/>
      <c r="R3" s="2"/>
      <c r="S3" s="2"/>
    </row>
    <row r="4" customFormat="false" ht="31.5" hidden="false" customHeight="true" outlineLevel="0" collapsed="false">
      <c r="A4" s="8" t="s">
        <v>55</v>
      </c>
      <c r="B4" s="8" t="s">
        <v>56</v>
      </c>
      <c r="C4" s="8" t="s">
        <v>813</v>
      </c>
      <c r="D4" s="8" t="s">
        <v>57</v>
      </c>
      <c r="E4" s="8" t="s">
        <v>814</v>
      </c>
      <c r="F4" s="8" t="s">
        <v>815</v>
      </c>
      <c r="G4" s="10" t="s">
        <v>816</v>
      </c>
      <c r="H4" s="10" t="s">
        <v>61</v>
      </c>
      <c r="I4" s="10" t="s">
        <v>62</v>
      </c>
      <c r="J4" s="10" t="s">
        <v>817</v>
      </c>
      <c r="K4" s="10" t="s">
        <v>63</v>
      </c>
      <c r="L4" s="10" t="s">
        <v>64</v>
      </c>
      <c r="M4" s="10" t="s">
        <v>818</v>
      </c>
      <c r="N4" s="10" t="s">
        <v>65</v>
      </c>
      <c r="O4" s="10" t="s">
        <v>66</v>
      </c>
      <c r="P4" s="8" t="s">
        <v>67</v>
      </c>
      <c r="Q4" s="8" t="s">
        <v>68</v>
      </c>
      <c r="R4" s="8" t="s">
        <v>819</v>
      </c>
      <c r="S4" s="8" t="s">
        <v>69</v>
      </c>
    </row>
    <row r="5" customFormat="false" ht="15" hidden="false" customHeight="false" outlineLevel="0" collapsed="false">
      <c r="A5" s="17" t="s">
        <v>539</v>
      </c>
      <c r="B5" s="17" t="s">
        <v>540</v>
      </c>
      <c r="C5" s="17" t="s">
        <v>820</v>
      </c>
      <c r="D5" s="17" t="s">
        <v>123</v>
      </c>
      <c r="E5" s="18" t="n">
        <v>59960</v>
      </c>
      <c r="F5" s="17" t="s">
        <v>821</v>
      </c>
      <c r="G5" s="23" t="n">
        <v>7.78153769179453</v>
      </c>
      <c r="H5" s="19" t="n">
        <v>100</v>
      </c>
      <c r="I5" s="17" t="n">
        <f aca="false">IF(H5="","",RANK(H5,$H$5:$H$430))</f>
        <v>1</v>
      </c>
      <c r="J5" s="24" t="n">
        <v>0.11491260691707</v>
      </c>
      <c r="K5" s="19" t="n">
        <v>60.8</v>
      </c>
      <c r="L5" s="17" t="n">
        <f aca="false">IF(K5="","",RANK(K5,$K$5:$K$430))</f>
        <v>166</v>
      </c>
      <c r="M5" s="25" t="n">
        <v>0.017974351206705</v>
      </c>
      <c r="N5" s="19" t="n">
        <v>4.9</v>
      </c>
      <c r="O5" s="17" t="n">
        <f aca="false">IF(N5="","",RANK(N5,$N$5:$N$430))</f>
        <v>369</v>
      </c>
      <c r="P5" s="17" t="str">
        <f aca="false">IF(AND(N(H5)&gt;=N(K5),N(H5)&gt;=N(N5)),"The Pulse",IF(N(K5)&gt;=N(N5),"The Lens","The Hub"))</f>
        <v>The Pulse</v>
      </c>
      <c r="Q5" s="20" t="s">
        <v>74</v>
      </c>
      <c r="R5" s="26" t="s">
        <v>822</v>
      </c>
      <c r="S5" s="17" t="s">
        <v>24</v>
      </c>
    </row>
    <row r="6" customFormat="false" ht="15" hidden="false" customHeight="false" outlineLevel="0" collapsed="false">
      <c r="A6" s="17" t="s">
        <v>181</v>
      </c>
      <c r="B6" s="17" t="s">
        <v>182</v>
      </c>
      <c r="C6" s="17" t="s">
        <v>823</v>
      </c>
      <c r="D6" s="17" t="s">
        <v>115</v>
      </c>
      <c r="E6" s="18" t="n">
        <v>35380</v>
      </c>
      <c r="F6" s="17" t="s">
        <v>821</v>
      </c>
      <c r="G6" s="23" t="n">
        <v>7.62515545505936</v>
      </c>
      <c r="H6" s="19" t="n">
        <v>99.8</v>
      </c>
      <c r="I6" s="17" t="n">
        <f aca="false">IF(H6="","",RANK(H6,$H$5:$H$430))</f>
        <v>2</v>
      </c>
      <c r="J6" s="24" t="n">
        <v>0.0599161174355902</v>
      </c>
      <c r="K6" s="19" t="n">
        <v>32.3</v>
      </c>
      <c r="L6" s="17" t="n">
        <f aca="false">IF(K6="","",RANK(K6,$K$5:$K$430))</f>
        <v>282</v>
      </c>
      <c r="M6" s="25" t="n">
        <v>0.141790089205685</v>
      </c>
      <c r="N6" s="19" t="n">
        <v>53.8</v>
      </c>
      <c r="O6" s="17" t="n">
        <f aca="false">IF(N6="","",RANK(N6,$N$5:$N$430))</f>
        <v>174</v>
      </c>
      <c r="P6" s="17" t="str">
        <f aca="false">IF(AND(N(H6)&gt;=N(K6),N(H6)&gt;=N(N6)),"The Pulse",IF(N(K6)&gt;=N(N6),"The Lens","The Hub"))</f>
        <v>The Pulse</v>
      </c>
      <c r="Q6" s="20" t="s">
        <v>74</v>
      </c>
      <c r="R6" s="26" t="s">
        <v>822</v>
      </c>
      <c r="S6" s="17" t="s">
        <v>24</v>
      </c>
    </row>
    <row r="7" customFormat="false" ht="15" hidden="false" customHeight="false" outlineLevel="0" collapsed="false">
      <c r="A7" s="17" t="s">
        <v>213</v>
      </c>
      <c r="B7" s="17" t="s">
        <v>214</v>
      </c>
      <c r="C7" s="17" t="s">
        <v>824</v>
      </c>
      <c r="D7" s="17" t="s">
        <v>77</v>
      </c>
      <c r="E7" s="18" t="n">
        <v>7490</v>
      </c>
      <c r="F7" s="17" t="s">
        <v>825</v>
      </c>
      <c r="G7" s="23" t="n">
        <v>4.9392523364486</v>
      </c>
      <c r="H7" s="19" t="n">
        <v>99.6</v>
      </c>
      <c r="I7" s="17" t="n">
        <f aca="false">IF(H7="","",RANK(H7,$H$5:$H$430))</f>
        <v>3</v>
      </c>
      <c r="J7" s="24" t="n">
        <v>0.101470588235294</v>
      </c>
      <c r="K7" s="19" t="n">
        <v>53.5</v>
      </c>
      <c r="L7" s="17" t="n">
        <f aca="false">IF(K7="","",RANK(K7,$K$5:$K$430))</f>
        <v>197</v>
      </c>
      <c r="M7" s="25" t="n">
        <v>0.109253065774805</v>
      </c>
      <c r="N7" s="19" t="n">
        <v>39.9</v>
      </c>
      <c r="O7" s="17" t="n">
        <f aca="false">IF(N7="","",RANK(N7,$N$5:$N$430))</f>
        <v>232</v>
      </c>
      <c r="P7" s="17" t="str">
        <f aca="false">IF(AND(N(H7)&gt;=N(K7),N(H7)&gt;=N(N7)),"The Pulse",IF(N(K7)&gt;=N(N7),"The Lens","The Hub"))</f>
        <v>The Pulse</v>
      </c>
      <c r="Q7" s="20" t="s">
        <v>74</v>
      </c>
      <c r="R7" s="26" t="s">
        <v>822</v>
      </c>
      <c r="S7" s="17" t="s">
        <v>24</v>
      </c>
    </row>
    <row r="8" customFormat="false" ht="15" hidden="false" customHeight="false" outlineLevel="0" collapsed="false">
      <c r="A8" s="17" t="s">
        <v>231</v>
      </c>
      <c r="B8" s="17" t="s">
        <v>232</v>
      </c>
      <c r="C8" s="17" t="s">
        <v>826</v>
      </c>
      <c r="D8" s="17" t="s">
        <v>98</v>
      </c>
      <c r="E8" s="18" t="n">
        <v>311650</v>
      </c>
      <c r="F8" s="17" t="s">
        <v>827</v>
      </c>
      <c r="G8" s="23" t="n">
        <v>3.6281718994925</v>
      </c>
      <c r="H8" s="19" t="n">
        <v>99.4</v>
      </c>
      <c r="I8" s="17" t="n">
        <f aca="false">IF(H8="","",RANK(H8,$H$5:$H$430))</f>
        <v>4</v>
      </c>
      <c r="J8" s="24" t="n">
        <v>0.314757003037462</v>
      </c>
      <c r="K8" s="19" t="n">
        <v>100</v>
      </c>
      <c r="L8" s="17" t="n">
        <f aca="false">IF(K8="","",RANK(K8,$K$5:$K$430))</f>
        <v>1</v>
      </c>
      <c r="M8" s="25" t="n">
        <v>0.288765068077357</v>
      </c>
      <c r="N8" s="19" t="n">
        <v>89.3</v>
      </c>
      <c r="O8" s="17" t="n">
        <f aca="false">IF(N8="","",RANK(N8,$N$5:$N$430))</f>
        <v>41</v>
      </c>
      <c r="P8" s="17" t="str">
        <f aca="false">IF(AND(N(H8)&gt;=N(K8),N(H8)&gt;=N(N8)),"The Pulse",IF(N(K8)&gt;=N(N8),"The Lens","The Hub"))</f>
        <v>The Lens</v>
      </c>
      <c r="Q8" s="21" t="s">
        <v>79</v>
      </c>
      <c r="R8" s="26" t="s">
        <v>822</v>
      </c>
      <c r="S8" s="17" t="s">
        <v>88</v>
      </c>
    </row>
    <row r="9" customFormat="false" ht="15" hidden="false" customHeight="false" outlineLevel="0" collapsed="false">
      <c r="A9" s="17" t="s">
        <v>70</v>
      </c>
      <c r="B9" s="17" t="s">
        <v>71</v>
      </c>
      <c r="C9" s="17" t="s">
        <v>828</v>
      </c>
      <c r="D9" s="17" t="s">
        <v>72</v>
      </c>
      <c r="E9" s="18" t="n">
        <v>655880</v>
      </c>
      <c r="F9" s="17" t="s">
        <v>827</v>
      </c>
      <c r="G9" s="23" t="n">
        <v>3.39056229798134</v>
      </c>
      <c r="H9" s="19" t="n">
        <v>99.2</v>
      </c>
      <c r="I9" s="17" t="n">
        <f aca="false">IF(H9="","",RANK(H9,$H$5:$H$430))</f>
        <v>5</v>
      </c>
      <c r="J9" s="24" t="n">
        <v>-0.0423292011622644</v>
      </c>
      <c r="K9" s="19" t="n">
        <v>5</v>
      </c>
      <c r="L9" s="17" t="n">
        <f aca="false">IF(K9="","",RANK(K9,$K$5:$K$430))</f>
        <v>406</v>
      </c>
      <c r="M9" s="25" t="n">
        <v>0.398706874256453</v>
      </c>
      <c r="N9" s="19" t="n">
        <v>97.7</v>
      </c>
      <c r="O9" s="17" t="n">
        <f aca="false">IF(N9="","",RANK(N9,$N$5:$N$430))</f>
        <v>10</v>
      </c>
      <c r="P9" s="17" t="str">
        <f aca="false">IF(AND(N(H9)&gt;=N(K9),N(H9)&gt;=N(N9)),"The Pulse",IF(N(K9)&gt;=N(N9),"The Lens","The Hub"))</f>
        <v>The Pulse</v>
      </c>
      <c r="Q9" s="20" t="s">
        <v>74</v>
      </c>
      <c r="R9" s="26" t="s">
        <v>822</v>
      </c>
      <c r="S9" s="17" t="s">
        <v>24</v>
      </c>
    </row>
    <row r="10" customFormat="false" ht="15" hidden="false" customHeight="false" outlineLevel="0" collapsed="false">
      <c r="A10" s="17" t="s">
        <v>829</v>
      </c>
      <c r="B10" s="17" t="s">
        <v>830</v>
      </c>
      <c r="C10" s="17" t="s">
        <v>831</v>
      </c>
      <c r="D10" s="17" t="s">
        <v>115</v>
      </c>
      <c r="E10" s="18" t="n">
        <v>37440</v>
      </c>
      <c r="F10" s="17" t="s">
        <v>821</v>
      </c>
      <c r="G10" s="23" t="n">
        <v>2.85064102564103</v>
      </c>
      <c r="H10" s="19" t="n">
        <v>99.1</v>
      </c>
      <c r="I10" s="17" t="n">
        <f aca="false">IF(H10="","",RANK(H10,$H$5:$H$430))</f>
        <v>6</v>
      </c>
      <c r="J10" s="24" t="n">
        <v>0.209302325581395</v>
      </c>
      <c r="K10" s="19" t="n">
        <v>92.8</v>
      </c>
      <c r="L10" s="17" t="n">
        <f aca="false">IF(K10="","",RANK(K10,$K$5:$K$430))</f>
        <v>33</v>
      </c>
      <c r="M10" s="25" t="n">
        <v>0.234466019417476</v>
      </c>
      <c r="N10" s="19" t="n">
        <v>80</v>
      </c>
      <c r="O10" s="17" t="n">
        <f aca="false">IF(N10="","",RANK(N10,$N$5:$N$430))</f>
        <v>80</v>
      </c>
      <c r="P10" s="17" t="str">
        <f aca="false">IF(AND(N(H10)&gt;=N(K10),N(H10)&gt;=N(N10)),"The Pulse",IF(N(K10)&gt;=N(N10),"The Lens","The Hub"))</f>
        <v>The Pulse</v>
      </c>
      <c r="Q10" s="20" t="s">
        <v>74</v>
      </c>
      <c r="R10" s="27" t="s">
        <v>832</v>
      </c>
      <c r="S10" s="17" t="s">
        <v>24</v>
      </c>
    </row>
    <row r="11" customFormat="false" ht="15" hidden="false" customHeight="false" outlineLevel="0" collapsed="false">
      <c r="A11" s="17" t="s">
        <v>833</v>
      </c>
      <c r="B11" s="17" t="s">
        <v>834</v>
      </c>
      <c r="C11" s="17" t="s">
        <v>835</v>
      </c>
      <c r="D11" s="17" t="s">
        <v>86</v>
      </c>
      <c r="E11" s="18" t="n">
        <v>174450</v>
      </c>
      <c r="F11" s="17" t="s">
        <v>827</v>
      </c>
      <c r="G11" s="23" t="n">
        <v>2.70635712238464</v>
      </c>
      <c r="H11" s="19" t="n">
        <v>98.9</v>
      </c>
      <c r="I11" s="17" t="n">
        <f aca="false">IF(H11="","",RANK(H11,$H$5:$H$430))</f>
        <v>7</v>
      </c>
      <c r="J11" s="24" t="n">
        <v>0.209861987655177</v>
      </c>
      <c r="K11" s="19" t="n">
        <v>95.7</v>
      </c>
      <c r="L11" s="17" t="n">
        <f aca="false">IF(K11="","",RANK(K11,$K$5:$K$430))</f>
        <v>20</v>
      </c>
      <c r="M11" s="25" t="n">
        <v>0.0898027898027898</v>
      </c>
      <c r="N11" s="19" t="n">
        <v>31.9</v>
      </c>
      <c r="O11" s="17" t="n">
        <f aca="false">IF(N11="","",RANK(N11,$N$5:$N$430))</f>
        <v>264</v>
      </c>
      <c r="P11" s="17" t="str">
        <f aca="false">IF(AND(N(H11)&gt;=N(K11),N(H11)&gt;=N(N11)),"The Pulse",IF(N(K11)&gt;=N(N11),"The Lens","The Hub"))</f>
        <v>The Pulse</v>
      </c>
      <c r="Q11" s="20" t="s">
        <v>74</v>
      </c>
      <c r="R11" s="27" t="s">
        <v>832</v>
      </c>
      <c r="S11" s="17" t="s">
        <v>24</v>
      </c>
    </row>
    <row r="12" customFormat="false" ht="15" hidden="false" customHeight="false" outlineLevel="0" collapsed="false">
      <c r="A12" s="17" t="s">
        <v>836</v>
      </c>
      <c r="B12" s="17" t="s">
        <v>837</v>
      </c>
      <c r="C12" s="17" t="s">
        <v>838</v>
      </c>
      <c r="D12" s="17" t="s">
        <v>86</v>
      </c>
      <c r="E12" s="18" t="n">
        <v>20020</v>
      </c>
      <c r="F12" s="17" t="s">
        <v>821</v>
      </c>
      <c r="G12" s="23" t="n">
        <v>2.63346653346653</v>
      </c>
      <c r="H12" s="19" t="n">
        <v>98.7</v>
      </c>
      <c r="I12" s="17" t="n">
        <f aca="false">IF(H12="","",RANK(H12,$H$5:$H$430))</f>
        <v>8</v>
      </c>
      <c r="J12" s="24" t="n">
        <v>0.120313374370453</v>
      </c>
      <c r="K12" s="19" t="n">
        <v>64.6</v>
      </c>
      <c r="L12" s="17" t="n">
        <f aca="false">IF(K12="","",RANK(K12,$K$5:$K$430))</f>
        <v>153</v>
      </c>
      <c r="M12" s="25" t="n">
        <v>0.1724</v>
      </c>
      <c r="N12" s="19" t="n">
        <v>65.7</v>
      </c>
      <c r="O12" s="17" t="n">
        <f aca="false">IF(N12="","",RANK(N12,$N$5:$N$430))</f>
        <v>132</v>
      </c>
      <c r="P12" s="17" t="str">
        <f aca="false">IF(AND(N(H12)&gt;=N(K12),N(H12)&gt;=N(N12)),"The Pulse",IF(N(K12)&gt;=N(N12),"The Lens","The Hub"))</f>
        <v>The Pulse</v>
      </c>
      <c r="Q12" s="21" t="s">
        <v>79</v>
      </c>
      <c r="R12" s="27" t="s">
        <v>832</v>
      </c>
      <c r="S12" s="17" t="s">
        <v>88</v>
      </c>
    </row>
    <row r="13" customFormat="false" ht="15" hidden="false" customHeight="false" outlineLevel="0" collapsed="false">
      <c r="A13" s="17" t="s">
        <v>96</v>
      </c>
      <c r="B13" s="17" t="s">
        <v>97</v>
      </c>
      <c r="C13" s="17" t="s">
        <v>839</v>
      </c>
      <c r="D13" s="17" t="s">
        <v>98</v>
      </c>
      <c r="E13" s="18" t="n">
        <v>20574</v>
      </c>
      <c r="F13" s="17" t="s">
        <v>821</v>
      </c>
      <c r="G13" s="23" t="n">
        <v>2.62613006707495</v>
      </c>
      <c r="H13" s="19" t="n">
        <v>98.5</v>
      </c>
      <c r="I13" s="17" t="n">
        <f aca="false">IF(H13="","",RANK(H13,$H$5:$H$430))</f>
        <v>9</v>
      </c>
      <c r="J13" s="24" t="n">
        <v>0.131745420540184</v>
      </c>
      <c r="K13" s="19" t="n">
        <v>70.1</v>
      </c>
      <c r="L13" s="17" t="n">
        <f aca="false">IF(K13="","",RANK(K13,$K$5:$K$430))</f>
        <v>129</v>
      </c>
      <c r="M13" s="25" t="n">
        <v>0.0771698449474247</v>
      </c>
      <c r="N13" s="19" t="n">
        <v>24.9</v>
      </c>
      <c r="O13" s="17" t="n">
        <f aca="false">IF(N13="","",RANK(N13,$N$5:$N$430))</f>
        <v>292</v>
      </c>
      <c r="P13" s="17" t="str">
        <f aca="false">IF(AND(N(H13)&gt;=N(K13),N(H13)&gt;=N(N13)),"The Pulse",IF(N(K13)&gt;=N(N13),"The Lens","The Hub"))</f>
        <v>The Pulse</v>
      </c>
      <c r="Q13" s="21" t="s">
        <v>79</v>
      </c>
      <c r="R13" s="26" t="s">
        <v>822</v>
      </c>
      <c r="S13" s="17" t="s">
        <v>22</v>
      </c>
    </row>
    <row r="14" customFormat="false" ht="15" hidden="false" customHeight="false" outlineLevel="0" collapsed="false">
      <c r="A14" s="17" t="s">
        <v>401</v>
      </c>
      <c r="B14" s="17" t="s">
        <v>402</v>
      </c>
      <c r="C14" s="17" t="s">
        <v>840</v>
      </c>
      <c r="D14" s="17" t="s">
        <v>91</v>
      </c>
      <c r="E14" s="18" t="n">
        <v>280270</v>
      </c>
      <c r="F14" s="17" t="s">
        <v>827</v>
      </c>
      <c r="G14" s="23" t="n">
        <v>2.57182359867271</v>
      </c>
      <c r="H14" s="19" t="n">
        <v>98.3</v>
      </c>
      <c r="I14" s="17" t="n">
        <f aca="false">IF(H14="","",RANK(H14,$H$5:$H$430))</f>
        <v>10</v>
      </c>
      <c r="J14" s="24" t="n">
        <v>-0.0925531949659637</v>
      </c>
      <c r="K14" s="19" t="n">
        <v>1.4</v>
      </c>
      <c r="L14" s="17" t="n">
        <f aca="false">IF(K14="","",RANK(K14,$K$5:$K$430))</f>
        <v>421</v>
      </c>
      <c r="M14" s="25" t="n">
        <v>0.0538638389715197</v>
      </c>
      <c r="N14" s="19" t="n">
        <v>17.2</v>
      </c>
      <c r="O14" s="17" t="n">
        <f aca="false">IF(N14="","",RANK(N14,$N$5:$N$430))</f>
        <v>320</v>
      </c>
      <c r="P14" s="17" t="str">
        <f aca="false">IF(AND(N(H14)&gt;=N(K14),N(H14)&gt;=N(N14)),"The Pulse",IF(N(K14)&gt;=N(N14),"The Lens","The Hub"))</f>
        <v>The Pulse</v>
      </c>
      <c r="Q14" s="21" t="s">
        <v>79</v>
      </c>
      <c r="R14" s="26" t="s">
        <v>822</v>
      </c>
      <c r="S14" s="17" t="s">
        <v>88</v>
      </c>
    </row>
    <row r="15" customFormat="false" ht="15" hidden="false" customHeight="false" outlineLevel="0" collapsed="false">
      <c r="A15" s="17" t="s">
        <v>132</v>
      </c>
      <c r="B15" s="17" t="s">
        <v>133</v>
      </c>
      <c r="C15" s="17" t="s">
        <v>841</v>
      </c>
      <c r="D15" s="17" t="s">
        <v>115</v>
      </c>
      <c r="E15" s="18" t="n">
        <v>3140</v>
      </c>
      <c r="F15" s="17" t="s">
        <v>825</v>
      </c>
      <c r="G15" s="23" t="n">
        <v>2.52751010258004</v>
      </c>
      <c r="H15" s="19" t="n">
        <v>98.1</v>
      </c>
      <c r="I15" s="17" t="n">
        <f aca="false">IF(H15="","",RANK(H15,$H$5:$H$430))</f>
        <v>11</v>
      </c>
      <c r="J15" s="24" t="n">
        <v>0.12640056022409</v>
      </c>
      <c r="K15" s="19" t="n">
        <v>67.6</v>
      </c>
      <c r="L15" s="17" t="n">
        <f aca="false">IF(K15="","",RANK(K15,$K$5:$K$430))</f>
        <v>139</v>
      </c>
      <c r="M15" s="25" t="n">
        <v>0.278481012658228</v>
      </c>
      <c r="N15" s="19" t="n">
        <v>87.2</v>
      </c>
      <c r="O15" s="17" t="n">
        <f aca="false">IF(N15="","",RANK(N15,$N$5:$N$430))</f>
        <v>50</v>
      </c>
      <c r="P15" s="17" t="str">
        <f aca="false">IF(AND(N(H15)&gt;=N(K15),N(H15)&gt;=N(N15)),"The Pulse",IF(N(K15)&gt;=N(N15),"The Lens","The Hub"))</f>
        <v>The Pulse</v>
      </c>
      <c r="Q15" s="22" t="s">
        <v>109</v>
      </c>
      <c r="R15" s="26" t="s">
        <v>822</v>
      </c>
      <c r="S15" s="17" t="s">
        <v>155</v>
      </c>
    </row>
    <row r="16" customFormat="false" ht="15" hidden="false" customHeight="false" outlineLevel="0" collapsed="false">
      <c r="A16" s="17" t="s">
        <v>842</v>
      </c>
      <c r="B16" s="17" t="s">
        <v>843</v>
      </c>
      <c r="C16" s="17" t="s">
        <v>844</v>
      </c>
      <c r="D16" s="17" t="s">
        <v>72</v>
      </c>
      <c r="E16" s="18" t="n">
        <v>164740</v>
      </c>
      <c r="F16" s="17" t="s">
        <v>827</v>
      </c>
      <c r="G16" s="23" t="n">
        <v>2.48722835983975</v>
      </c>
      <c r="H16" s="19" t="n">
        <v>97.7</v>
      </c>
      <c r="I16" s="17" t="n">
        <f aca="false">IF(H16="","",RANK(H16,$H$5:$H$430))</f>
        <v>12</v>
      </c>
      <c r="J16" s="24" t="n">
        <v>0.0885423549623365</v>
      </c>
      <c r="K16" s="19" t="n">
        <v>55</v>
      </c>
      <c r="L16" s="17" t="n">
        <f aca="false">IF(K16="","",RANK(K16,$K$5:$K$430))</f>
        <v>189</v>
      </c>
      <c r="M16" s="25" t="n">
        <v>0.311611030478955</v>
      </c>
      <c r="N16" s="19" t="n">
        <v>91.8</v>
      </c>
      <c r="O16" s="17" t="n">
        <f aca="false">IF(N16="","",RANK(N16,$N$5:$N$430))</f>
        <v>32</v>
      </c>
      <c r="P16" s="17" t="str">
        <f aca="false">IF(AND(N(H16)&gt;=N(K16),N(H16)&gt;=N(N16)),"The Pulse",IF(N(K16)&gt;=N(N16),"The Lens","The Hub"))</f>
        <v>The Pulse</v>
      </c>
      <c r="Q16" s="20" t="s">
        <v>74</v>
      </c>
      <c r="R16" s="27" t="s">
        <v>832</v>
      </c>
      <c r="S16" s="17" t="s">
        <v>24</v>
      </c>
    </row>
    <row r="17" customFormat="false" ht="15" hidden="false" customHeight="false" outlineLevel="0" collapsed="false">
      <c r="A17" s="17" t="s">
        <v>239</v>
      </c>
      <c r="B17" s="17" t="s">
        <v>240</v>
      </c>
      <c r="C17" s="17" t="s">
        <v>845</v>
      </c>
      <c r="D17" s="17" t="s">
        <v>82</v>
      </c>
      <c r="E17" s="18" t="n">
        <v>15310</v>
      </c>
      <c r="F17" s="17" t="s">
        <v>821</v>
      </c>
      <c r="G17" s="23" t="n">
        <v>2.41639451338994</v>
      </c>
      <c r="H17" s="19" t="n">
        <v>97.5</v>
      </c>
      <c r="I17" s="17" t="n">
        <f aca="false">IF(H17="","",RANK(H17,$H$5:$H$430))</f>
        <v>13</v>
      </c>
      <c r="J17" s="24" t="n">
        <v>0.107013738250181</v>
      </c>
      <c r="K17" s="19" t="n">
        <v>55.7</v>
      </c>
      <c r="L17" s="17" t="n">
        <f aca="false">IF(K17="","",RANK(K17,$K$5:$K$430))</f>
        <v>187</v>
      </c>
      <c r="M17" s="25" t="n">
        <v>0.0971370143149284</v>
      </c>
      <c r="N17" s="19" t="n">
        <v>35.4</v>
      </c>
      <c r="O17" s="17" t="n">
        <f aca="false">IF(N17="","",RANK(N17,$N$5:$N$430))</f>
        <v>251</v>
      </c>
      <c r="P17" s="17" t="str">
        <f aca="false">IF(AND(N(H17)&gt;=N(K17),N(H17)&gt;=N(N17)),"The Pulse",IF(N(K17)&gt;=N(N17),"The Lens","The Hub"))</f>
        <v>The Pulse</v>
      </c>
      <c r="Q17" s="20" t="s">
        <v>74</v>
      </c>
      <c r="R17" s="26" t="s">
        <v>822</v>
      </c>
      <c r="S17" s="17" t="s">
        <v>24</v>
      </c>
    </row>
    <row r="18" customFormat="false" ht="15" hidden="false" customHeight="false" outlineLevel="0" collapsed="false">
      <c r="A18" s="17" t="s">
        <v>846</v>
      </c>
      <c r="B18" s="17" t="s">
        <v>847</v>
      </c>
      <c r="C18" s="17" t="s">
        <v>848</v>
      </c>
      <c r="D18" s="17" t="s">
        <v>115</v>
      </c>
      <c r="E18" s="18" t="n">
        <v>196143</v>
      </c>
      <c r="F18" s="17" t="s">
        <v>827</v>
      </c>
      <c r="G18" s="23" t="n">
        <v>2.39974406427963</v>
      </c>
      <c r="H18" s="19" t="n">
        <v>97.4</v>
      </c>
      <c r="I18" s="17" t="n">
        <f aca="false">IF(H18="","",RANK(H18,$H$5:$H$430))</f>
        <v>14</v>
      </c>
      <c r="J18" s="24" t="n">
        <v>0.0867671747477602</v>
      </c>
      <c r="K18" s="19" t="n">
        <v>52.9</v>
      </c>
      <c r="L18" s="17" t="n">
        <f aca="false">IF(K18="","",RANK(K18,$K$5:$K$430))</f>
        <v>199</v>
      </c>
      <c r="M18" s="25" t="n">
        <v>0.327144351464435</v>
      </c>
      <c r="N18" s="19" t="n">
        <v>93</v>
      </c>
      <c r="O18" s="17" t="n">
        <f aca="false">IF(N18="","",RANK(N18,$N$5:$N$430))</f>
        <v>27</v>
      </c>
      <c r="P18" s="17" t="str">
        <f aca="false">IF(AND(N(H18)&gt;=N(K18),N(H18)&gt;=N(N18)),"The Pulse",IF(N(K18)&gt;=N(N18),"The Lens","The Hub"))</f>
        <v>The Pulse</v>
      </c>
      <c r="Q18" s="21" t="s">
        <v>79</v>
      </c>
      <c r="R18" s="27" t="s">
        <v>832</v>
      </c>
      <c r="S18" s="17" t="s">
        <v>22</v>
      </c>
    </row>
    <row r="19" customFormat="false" ht="15" hidden="false" customHeight="false" outlineLevel="0" collapsed="false">
      <c r="A19" s="17" t="s">
        <v>849</v>
      </c>
      <c r="B19" s="17" t="s">
        <v>850</v>
      </c>
      <c r="C19" s="17" t="s">
        <v>851</v>
      </c>
      <c r="D19" s="17" t="s">
        <v>98</v>
      </c>
      <c r="E19" s="18" t="n">
        <v>542100</v>
      </c>
      <c r="F19" s="17" t="s">
        <v>827</v>
      </c>
      <c r="G19" s="23" t="n">
        <v>2.37243128574064</v>
      </c>
      <c r="H19" s="19" t="n">
        <v>97.2</v>
      </c>
      <c r="I19" s="17" t="n">
        <f aca="false">IF(H19="","",RANK(H19,$H$5:$H$430))</f>
        <v>15</v>
      </c>
      <c r="J19" s="24" t="n">
        <v>0.0845687533761479</v>
      </c>
      <c r="K19" s="19" t="n">
        <v>48.6</v>
      </c>
      <c r="L19" s="17" t="n">
        <f aca="false">IF(K19="","",RANK(K19,$K$5:$K$430))</f>
        <v>221</v>
      </c>
      <c r="M19" s="25" t="n">
        <v>0.115777726035536</v>
      </c>
      <c r="N19" s="19" t="n">
        <v>42.4</v>
      </c>
      <c r="O19" s="17" t="n">
        <f aca="false">IF(N19="","",RANK(N19,$N$5:$N$430))</f>
        <v>221</v>
      </c>
      <c r="P19" s="17" t="str">
        <f aca="false">IF(AND(N(H19)&gt;=N(K19),N(H19)&gt;=N(N19)),"The Pulse",IF(N(K19)&gt;=N(N19),"The Lens","The Hub"))</f>
        <v>The Pulse</v>
      </c>
      <c r="Q19" s="20" t="s">
        <v>74</v>
      </c>
      <c r="R19" s="27" t="s">
        <v>832</v>
      </c>
      <c r="S19" s="17" t="s">
        <v>24</v>
      </c>
    </row>
    <row r="20" customFormat="false" ht="15" hidden="false" customHeight="false" outlineLevel="0" collapsed="false">
      <c r="A20" s="17" t="s">
        <v>233</v>
      </c>
      <c r="B20" s="17" t="s">
        <v>234</v>
      </c>
      <c r="C20" s="17" t="s">
        <v>852</v>
      </c>
      <c r="D20" s="17" t="s">
        <v>86</v>
      </c>
      <c r="E20" s="18" t="n">
        <v>71860</v>
      </c>
      <c r="F20" s="17" t="s">
        <v>821</v>
      </c>
      <c r="G20" s="23" t="n">
        <v>2.34851099359866</v>
      </c>
      <c r="H20" s="19" t="n">
        <v>97</v>
      </c>
      <c r="I20" s="17" t="n">
        <f aca="false">IF(H20="","",RANK(H20,$H$5:$H$430))</f>
        <v>16</v>
      </c>
      <c r="J20" s="24" t="n">
        <v>0.0488979710991096</v>
      </c>
      <c r="K20" s="19" t="n">
        <v>26.5</v>
      </c>
      <c r="L20" s="17" t="n">
        <f aca="false">IF(K20="","",RANK(K20,$K$5:$K$430))</f>
        <v>305</v>
      </c>
      <c r="M20" s="25" t="n">
        <v>0.371517371517372</v>
      </c>
      <c r="N20" s="19" t="n">
        <v>96</v>
      </c>
      <c r="O20" s="17" t="n">
        <f aca="false">IF(N20="","",RANK(N20,$N$5:$N$430))</f>
        <v>15</v>
      </c>
      <c r="P20" s="17" t="str">
        <f aca="false">IF(AND(N(H20)&gt;=N(K20),N(H20)&gt;=N(N20)),"The Pulse",IF(N(K20)&gt;=N(N20),"The Lens","The Hub"))</f>
        <v>The Pulse</v>
      </c>
      <c r="Q20" s="20" t="s">
        <v>74</v>
      </c>
      <c r="R20" s="26" t="s">
        <v>822</v>
      </c>
      <c r="S20" s="17" t="s">
        <v>24</v>
      </c>
    </row>
    <row r="21" customFormat="false" ht="15" hidden="false" customHeight="false" outlineLevel="0" collapsed="false">
      <c r="A21" s="17" t="s">
        <v>219</v>
      </c>
      <c r="B21" s="17" t="s">
        <v>220</v>
      </c>
      <c r="C21" s="17" t="s">
        <v>853</v>
      </c>
      <c r="D21" s="17" t="s">
        <v>98</v>
      </c>
      <c r="E21" s="18" t="n">
        <v>32330</v>
      </c>
      <c r="F21" s="17" t="s">
        <v>821</v>
      </c>
      <c r="G21" s="23" t="n">
        <v>2.31459944324157</v>
      </c>
      <c r="H21" s="19" t="n">
        <v>96.8</v>
      </c>
      <c r="I21" s="17" t="n">
        <f aca="false">IF(H21="","",RANK(H21,$H$5:$H$430))</f>
        <v>17</v>
      </c>
      <c r="J21" s="24" t="n">
        <v>0.226479514415782</v>
      </c>
      <c r="K21" s="19" t="n">
        <v>95.9</v>
      </c>
      <c r="L21" s="17" t="n">
        <f aca="false">IF(K21="","",RANK(K21,$K$5:$K$430))</f>
        <v>19</v>
      </c>
      <c r="M21" s="25" t="n">
        <v>0.116797900262467</v>
      </c>
      <c r="N21" s="19" t="n">
        <v>43.6</v>
      </c>
      <c r="O21" s="17" t="n">
        <f aca="false">IF(N21="","",RANK(N21,$N$5:$N$430))</f>
        <v>217</v>
      </c>
      <c r="P21" s="17" t="str">
        <f aca="false">IF(AND(N(H21)&gt;=N(K21),N(H21)&gt;=N(N21)),"The Pulse",IF(N(K21)&gt;=N(N21),"The Lens","The Hub"))</f>
        <v>The Pulse</v>
      </c>
      <c r="Q21" s="20" t="s">
        <v>74</v>
      </c>
      <c r="R21" s="26" t="s">
        <v>822</v>
      </c>
      <c r="S21" s="17" t="s">
        <v>24</v>
      </c>
    </row>
    <row r="22" customFormat="false" ht="15" hidden="false" customHeight="false" outlineLevel="0" collapsed="false">
      <c r="A22" s="17" t="s">
        <v>147</v>
      </c>
      <c r="B22" s="17" t="s">
        <v>148</v>
      </c>
      <c r="C22" s="17" t="s">
        <v>854</v>
      </c>
      <c r="D22" s="17" t="s">
        <v>123</v>
      </c>
      <c r="E22" s="18" t="n">
        <v>51170</v>
      </c>
      <c r="F22" s="17" t="s">
        <v>821</v>
      </c>
      <c r="G22" s="23" t="n">
        <v>2.27701778385773</v>
      </c>
      <c r="H22" s="19" t="n">
        <v>96.6</v>
      </c>
      <c r="I22" s="17" t="n">
        <f aca="false">IF(H22="","",RANK(H22,$H$5:$H$430))</f>
        <v>18</v>
      </c>
      <c r="J22" s="24" t="n">
        <v>0.0535309862054766</v>
      </c>
      <c r="K22" s="19" t="n">
        <v>30.6</v>
      </c>
      <c r="L22" s="17" t="n">
        <f aca="false">IF(K22="","",RANK(K22,$K$5:$K$430))</f>
        <v>288</v>
      </c>
      <c r="M22" s="25" t="n">
        <v>0.10781476121563</v>
      </c>
      <c r="N22" s="19" t="n">
        <v>38.9</v>
      </c>
      <c r="O22" s="17" t="n">
        <f aca="false">IF(N22="","",RANK(N22,$N$5:$N$430))</f>
        <v>236</v>
      </c>
      <c r="P22" s="17" t="str">
        <f aca="false">IF(AND(N(H22)&gt;=N(K22),N(H22)&gt;=N(N22)),"The Pulse",IF(N(K22)&gt;=N(N22),"The Lens","The Hub"))</f>
        <v>The Pulse</v>
      </c>
      <c r="Q22" s="20" t="s">
        <v>74</v>
      </c>
      <c r="R22" s="26" t="s">
        <v>822</v>
      </c>
      <c r="S22" s="17" t="s">
        <v>24</v>
      </c>
    </row>
    <row r="23" customFormat="false" ht="15" hidden="false" customHeight="false" outlineLevel="0" collapsed="false">
      <c r="A23" s="17" t="s">
        <v>361</v>
      </c>
      <c r="B23" s="17" t="s">
        <v>362</v>
      </c>
      <c r="C23" s="17" t="s">
        <v>855</v>
      </c>
      <c r="D23" s="17" t="s">
        <v>95</v>
      </c>
      <c r="E23" s="18" t="n">
        <v>42010</v>
      </c>
      <c r="F23" s="17" t="s">
        <v>821</v>
      </c>
      <c r="G23" s="23" t="n">
        <v>2.27326826945965</v>
      </c>
      <c r="H23" s="19" t="n">
        <v>96.4</v>
      </c>
      <c r="I23" s="17" t="n">
        <f aca="false">IF(H23="","",RANK(H23,$H$5:$H$430))</f>
        <v>19</v>
      </c>
      <c r="J23" s="24" t="n">
        <v>0.120864461045891</v>
      </c>
      <c r="K23" s="19" t="n">
        <v>65.3</v>
      </c>
      <c r="L23" s="17" t="n">
        <f aca="false">IF(K23="","",RANK(K23,$K$5:$K$430))</f>
        <v>148</v>
      </c>
      <c r="M23" s="25" t="n">
        <v>0.410804020100503</v>
      </c>
      <c r="N23" s="19" t="n">
        <v>98.8</v>
      </c>
      <c r="O23" s="17" t="n">
        <f aca="false">IF(N23="","",RANK(N23,$N$5:$N$430))</f>
        <v>6</v>
      </c>
      <c r="P23" s="17" t="str">
        <f aca="false">IF(AND(N(H23)&gt;=N(K23),N(H23)&gt;=N(N23)),"The Pulse",IF(N(K23)&gt;=N(N23),"The Lens","The Hub"))</f>
        <v>The Hub</v>
      </c>
      <c r="Q23" s="20" t="s">
        <v>74</v>
      </c>
      <c r="R23" s="26" t="s">
        <v>822</v>
      </c>
      <c r="S23" s="17" t="s">
        <v>24</v>
      </c>
    </row>
    <row r="24" customFormat="false" ht="15" hidden="false" customHeight="false" outlineLevel="0" collapsed="false">
      <c r="A24" s="17" t="s">
        <v>84</v>
      </c>
      <c r="B24" s="17" t="s">
        <v>85</v>
      </c>
      <c r="C24" s="17" t="s">
        <v>856</v>
      </c>
      <c r="D24" s="17" t="s">
        <v>86</v>
      </c>
      <c r="E24" s="18" t="n">
        <v>2350</v>
      </c>
      <c r="F24" s="17" t="s">
        <v>825</v>
      </c>
      <c r="G24" s="23" t="n">
        <v>2.14553191489362</v>
      </c>
      <c r="H24" s="19" t="n">
        <v>96.2</v>
      </c>
      <c r="I24" s="17" t="n">
        <f aca="false">IF(H24="","",RANK(H24,$H$5:$H$430))</f>
        <v>20</v>
      </c>
      <c r="J24" s="24" t="n">
        <v>0.0595344673231871</v>
      </c>
      <c r="K24" s="19" t="n">
        <v>26.8</v>
      </c>
      <c r="L24" s="17" t="n">
        <f aca="false">IF(K24="","",RANK(K24,$K$5:$K$430))</f>
        <v>303</v>
      </c>
      <c r="M24" s="28" t="s">
        <v>857</v>
      </c>
      <c r="N24" s="19"/>
      <c r="O24" s="17" t="str">
        <f aca="false">IF(N24="","",RANK(N24,$N$5:$N$430))</f>
        <v/>
      </c>
      <c r="P24" s="17" t="str">
        <f aca="false">IF(AND(N(H24)&gt;=N(K24),N(H24)&gt;=N(N24)),"The Pulse",IF(N(K24)&gt;=N(N24),"The Lens","The Hub"))</f>
        <v>The Pulse</v>
      </c>
      <c r="Q24" s="21" t="s">
        <v>79</v>
      </c>
      <c r="R24" s="26" t="s">
        <v>822</v>
      </c>
      <c r="S24" s="17" t="s">
        <v>88</v>
      </c>
    </row>
    <row r="25" customFormat="false" ht="15" hidden="false" customHeight="false" outlineLevel="0" collapsed="false">
      <c r="A25" s="17" t="s">
        <v>858</v>
      </c>
      <c r="B25" s="17" t="s">
        <v>859</v>
      </c>
      <c r="C25" s="17" t="s">
        <v>860</v>
      </c>
      <c r="D25" s="17" t="s">
        <v>82</v>
      </c>
      <c r="E25" s="18" t="n">
        <v>18270</v>
      </c>
      <c r="F25" s="17" t="s">
        <v>821</v>
      </c>
      <c r="G25" s="23" t="n">
        <v>2.12501368363437</v>
      </c>
      <c r="H25" s="19" t="n">
        <v>96</v>
      </c>
      <c r="I25" s="17" t="n">
        <f aca="false">IF(H25="","",RANK(H25,$H$5:$H$430))</f>
        <v>21</v>
      </c>
      <c r="J25" s="24" t="n">
        <v>0.201973684210526</v>
      </c>
      <c r="K25" s="19" t="n">
        <v>91.4</v>
      </c>
      <c r="L25" s="17" t="n">
        <f aca="false">IF(K25="","",RANK(K25,$K$5:$K$430))</f>
        <v>38</v>
      </c>
      <c r="M25" s="25" t="n">
        <v>0.149350649350649</v>
      </c>
      <c r="N25" s="19" t="n">
        <v>57.6</v>
      </c>
      <c r="O25" s="17" t="n">
        <f aca="false">IF(N25="","",RANK(N25,$N$5:$N$430))</f>
        <v>161</v>
      </c>
      <c r="P25" s="17" t="str">
        <f aca="false">IF(AND(N(H25)&gt;=N(K25),N(H25)&gt;=N(N25)),"The Pulse",IF(N(K25)&gt;=N(N25),"The Lens","The Hub"))</f>
        <v>The Pulse</v>
      </c>
      <c r="Q25" s="20" t="s">
        <v>74</v>
      </c>
      <c r="R25" s="27" t="s">
        <v>832</v>
      </c>
      <c r="S25" s="17" t="s">
        <v>24</v>
      </c>
    </row>
    <row r="26" customFormat="false" ht="15" hidden="false" customHeight="false" outlineLevel="0" collapsed="false">
      <c r="A26" s="17" t="s">
        <v>861</v>
      </c>
      <c r="B26" s="17" t="s">
        <v>862</v>
      </c>
      <c r="C26" s="17" t="s">
        <v>863</v>
      </c>
      <c r="D26" s="17" t="s">
        <v>162</v>
      </c>
      <c r="E26" s="18" t="n">
        <v>19679</v>
      </c>
      <c r="F26" s="17" t="s">
        <v>821</v>
      </c>
      <c r="G26" s="23" t="n">
        <v>2.11169266731033</v>
      </c>
      <c r="H26" s="19" t="n">
        <v>95.8</v>
      </c>
      <c r="I26" s="17" t="n">
        <f aca="false">IF(H26="","",RANK(H26,$H$5:$H$430))</f>
        <v>22</v>
      </c>
      <c r="J26" s="24" t="n">
        <v>0.00167973124300112</v>
      </c>
      <c r="K26" s="19" t="n">
        <v>9.6</v>
      </c>
      <c r="L26" s="17" t="n">
        <f aca="false">IF(K26="","",RANK(K26,$K$5:$K$430))</f>
        <v>383</v>
      </c>
      <c r="M26" s="25" t="n">
        <v>0.0625454545454545</v>
      </c>
      <c r="N26" s="19" t="n">
        <v>21</v>
      </c>
      <c r="O26" s="17" t="n">
        <f aca="false">IF(N26="","",RANK(N26,$N$5:$N$430))</f>
        <v>306</v>
      </c>
      <c r="P26" s="17" t="str">
        <f aca="false">IF(AND(N(H26)&gt;=N(K26),N(H26)&gt;=N(N26)),"The Pulse",IF(N(K26)&gt;=N(N26),"The Lens","The Hub"))</f>
        <v>The Pulse</v>
      </c>
      <c r="Q26" s="21" t="s">
        <v>79</v>
      </c>
      <c r="R26" s="27" t="s">
        <v>832</v>
      </c>
      <c r="S26" s="17" t="s">
        <v>22</v>
      </c>
    </row>
    <row r="27" customFormat="false" ht="15" hidden="false" customHeight="false" outlineLevel="0" collapsed="false">
      <c r="A27" s="17" t="s">
        <v>475</v>
      </c>
      <c r="B27" s="17" t="s">
        <v>476</v>
      </c>
      <c r="C27" s="17" t="s">
        <v>864</v>
      </c>
      <c r="D27" s="17" t="s">
        <v>115</v>
      </c>
      <c r="E27" s="18" t="n">
        <v>335870</v>
      </c>
      <c r="F27" s="17" t="s">
        <v>827</v>
      </c>
      <c r="G27" s="23" t="n">
        <v>2.08989787715485</v>
      </c>
      <c r="H27" s="19" t="n">
        <v>95.7</v>
      </c>
      <c r="I27" s="17" t="n">
        <f aca="false">IF(H27="","",RANK(H27,$H$5:$H$430))</f>
        <v>23</v>
      </c>
      <c r="J27" s="24" t="n">
        <v>0.17396015379238</v>
      </c>
      <c r="K27" s="19" t="n">
        <v>87.1</v>
      </c>
      <c r="L27" s="17" t="n">
        <f aca="false">IF(K27="","",RANK(K27,$K$5:$K$430))</f>
        <v>57</v>
      </c>
      <c r="M27" s="25" t="n">
        <v>0.163468965949185</v>
      </c>
      <c r="N27" s="19" t="n">
        <v>63.9</v>
      </c>
      <c r="O27" s="17" t="n">
        <f aca="false">IF(N27="","",RANK(N27,$N$5:$N$430))</f>
        <v>138</v>
      </c>
      <c r="P27" s="17" t="str">
        <f aca="false">IF(AND(N(H27)&gt;=N(K27),N(H27)&gt;=N(N27)),"The Pulse",IF(N(K27)&gt;=N(N27),"The Lens","The Hub"))</f>
        <v>The Pulse</v>
      </c>
      <c r="Q27" s="20" t="s">
        <v>74</v>
      </c>
      <c r="R27" s="26" t="s">
        <v>822</v>
      </c>
      <c r="S27" s="17" t="s">
        <v>24</v>
      </c>
    </row>
    <row r="28" customFormat="false" ht="15" hidden="false" customHeight="false" outlineLevel="0" collapsed="false">
      <c r="A28" s="17" t="s">
        <v>427</v>
      </c>
      <c r="B28" s="17" t="s">
        <v>428</v>
      </c>
      <c r="C28" s="17" t="s">
        <v>865</v>
      </c>
      <c r="D28" s="17" t="s">
        <v>95</v>
      </c>
      <c r="E28" s="18" t="n">
        <v>85530</v>
      </c>
      <c r="F28" s="17" t="s">
        <v>821</v>
      </c>
      <c r="G28" s="23" t="n">
        <v>2.04454577341284</v>
      </c>
      <c r="H28" s="19" t="n">
        <v>95.5</v>
      </c>
      <c r="I28" s="17" t="n">
        <f aca="false">IF(H28="","",RANK(H28,$H$5:$H$430))</f>
        <v>24</v>
      </c>
      <c r="J28" s="24" t="n">
        <v>0.0903381336040094</v>
      </c>
      <c r="K28" s="19" t="n">
        <v>47.4</v>
      </c>
      <c r="L28" s="17" t="n">
        <f aca="false">IF(K28="","",RANK(K28,$K$5:$K$430))</f>
        <v>224</v>
      </c>
      <c r="M28" s="25" t="n">
        <v>0.0798509029819404</v>
      </c>
      <c r="N28" s="19" t="n">
        <v>25.9</v>
      </c>
      <c r="O28" s="17" t="n">
        <f aca="false">IF(N28="","",RANK(N28,$N$5:$N$430))</f>
        <v>288</v>
      </c>
      <c r="P28" s="17" t="str">
        <f aca="false">IF(AND(N(H28)&gt;=N(K28),N(H28)&gt;=N(N28)),"The Pulse",IF(N(K28)&gt;=N(N28),"The Lens","The Hub"))</f>
        <v>The Pulse</v>
      </c>
      <c r="Q28" s="21" t="s">
        <v>79</v>
      </c>
      <c r="R28" s="26" t="s">
        <v>822</v>
      </c>
      <c r="S28" s="17" t="s">
        <v>88</v>
      </c>
    </row>
    <row r="29" customFormat="false" ht="15" hidden="false" customHeight="false" outlineLevel="0" collapsed="false">
      <c r="A29" s="17" t="s">
        <v>866</v>
      </c>
      <c r="B29" s="17" t="s">
        <v>867</v>
      </c>
      <c r="C29" s="17" t="s">
        <v>868</v>
      </c>
      <c r="D29" s="17" t="s">
        <v>86</v>
      </c>
      <c r="E29" s="18" t="n">
        <v>180880</v>
      </c>
      <c r="F29" s="17" t="s">
        <v>827</v>
      </c>
      <c r="G29" s="23" t="n">
        <v>2.04332706766917</v>
      </c>
      <c r="H29" s="19" t="n">
        <v>95.3</v>
      </c>
      <c r="I29" s="17" t="n">
        <f aca="false">IF(H29="","",RANK(H29,$H$5:$H$430))</f>
        <v>25</v>
      </c>
      <c r="J29" s="24" t="n">
        <v>0.130853391684902</v>
      </c>
      <c r="K29" s="19" t="n">
        <v>74.3</v>
      </c>
      <c r="L29" s="17" t="n">
        <f aca="false">IF(K29="","",RANK(K29,$K$5:$K$430))</f>
        <v>111</v>
      </c>
      <c r="M29" s="25" t="n">
        <v>0.0119186974566351</v>
      </c>
      <c r="N29" s="19" t="n">
        <v>3</v>
      </c>
      <c r="O29" s="17" t="n">
        <f aca="false">IF(N29="","",RANK(N29,$N$5:$N$430))</f>
        <v>375</v>
      </c>
      <c r="P29" s="17" t="str">
        <f aca="false">IF(AND(N(H29)&gt;=N(K29),N(H29)&gt;=N(N29)),"The Pulse",IF(N(K29)&gt;=N(N29),"The Lens","The Hub"))</f>
        <v>The Pulse</v>
      </c>
      <c r="Q29" s="20" t="s">
        <v>74</v>
      </c>
      <c r="R29" s="27" t="s">
        <v>832</v>
      </c>
      <c r="S29" s="17" t="s">
        <v>24</v>
      </c>
    </row>
    <row r="30" customFormat="false" ht="15" hidden="false" customHeight="false" outlineLevel="0" collapsed="false">
      <c r="A30" s="17" t="s">
        <v>158</v>
      </c>
      <c r="B30" s="17" t="s">
        <v>159</v>
      </c>
      <c r="C30" s="17" t="s">
        <v>869</v>
      </c>
      <c r="D30" s="17" t="s">
        <v>86</v>
      </c>
      <c r="E30" s="18" t="n">
        <v>852710</v>
      </c>
      <c r="F30" s="17" t="s">
        <v>827</v>
      </c>
      <c r="G30" s="23" t="n">
        <v>2.04149464992839</v>
      </c>
      <c r="H30" s="19" t="n">
        <v>95.1</v>
      </c>
      <c r="I30" s="17" t="n">
        <f aca="false">IF(H30="","",RANK(H30,$H$5:$H$430))</f>
        <v>26</v>
      </c>
      <c r="J30" s="24" t="n">
        <v>0.0698996235884567</v>
      </c>
      <c r="K30" s="19" t="n">
        <v>40.7</v>
      </c>
      <c r="L30" s="17" t="n">
        <f aca="false">IF(K30="","",RANK(K30,$K$5:$K$430))</f>
        <v>250</v>
      </c>
      <c r="M30" s="25" t="n">
        <v>0.192387256930079</v>
      </c>
      <c r="N30" s="19" t="n">
        <v>70.6</v>
      </c>
      <c r="O30" s="17" t="n">
        <f aca="false">IF(N30="","",RANK(N30,$N$5:$N$430))</f>
        <v>114</v>
      </c>
      <c r="P30" s="17" t="str">
        <f aca="false">IF(AND(N(H30)&gt;=N(K30),N(H30)&gt;=N(N30)),"The Pulse",IF(N(K30)&gt;=N(N30),"The Lens","The Hub"))</f>
        <v>The Pulse</v>
      </c>
      <c r="Q30" s="21" t="s">
        <v>79</v>
      </c>
      <c r="R30" s="26" t="s">
        <v>822</v>
      </c>
      <c r="S30" s="17" t="s">
        <v>88</v>
      </c>
    </row>
    <row r="31" customFormat="false" ht="15" hidden="false" customHeight="false" outlineLevel="0" collapsed="false">
      <c r="A31" s="17" t="s">
        <v>93</v>
      </c>
      <c r="B31" s="17" t="s">
        <v>94</v>
      </c>
      <c r="C31" s="17" t="s">
        <v>870</v>
      </c>
      <c r="D31" s="17" t="s">
        <v>95</v>
      </c>
      <c r="E31" s="18" t="n">
        <v>132660</v>
      </c>
      <c r="F31" s="17" t="s">
        <v>827</v>
      </c>
      <c r="G31" s="23" t="n">
        <v>2.03195386702849</v>
      </c>
      <c r="H31" s="19" t="n">
        <v>94.9</v>
      </c>
      <c r="I31" s="17" t="n">
        <f aca="false">IF(H31="","",RANK(H31,$H$5:$H$430))</f>
        <v>27</v>
      </c>
      <c r="J31" s="24" t="n">
        <v>0.0617896590363374</v>
      </c>
      <c r="K31" s="19" t="n">
        <v>34.3</v>
      </c>
      <c r="L31" s="17" t="n">
        <f aca="false">IF(K31="","",RANK(K31,$K$5:$K$430))</f>
        <v>274</v>
      </c>
      <c r="M31" s="25" t="n">
        <v>0.130458676812513</v>
      </c>
      <c r="N31" s="19" t="n">
        <v>48.5</v>
      </c>
      <c r="O31" s="17" t="n">
        <f aca="false">IF(N31="","",RANK(N31,$N$5:$N$430))</f>
        <v>197</v>
      </c>
      <c r="P31" s="17" t="str">
        <f aca="false">IF(AND(N(H31)&gt;=N(K31),N(H31)&gt;=N(N31)),"The Pulse",IF(N(K31)&gt;=N(N31),"The Lens","The Hub"))</f>
        <v>The Pulse</v>
      </c>
      <c r="Q31" s="20" t="s">
        <v>74</v>
      </c>
      <c r="R31" s="26" t="s">
        <v>822</v>
      </c>
      <c r="S31" s="17" t="s">
        <v>24</v>
      </c>
    </row>
    <row r="32" customFormat="false" ht="15" hidden="false" customHeight="false" outlineLevel="0" collapsed="false">
      <c r="A32" s="17" t="s">
        <v>871</v>
      </c>
      <c r="B32" s="17" t="s">
        <v>872</v>
      </c>
      <c r="C32" s="17" t="s">
        <v>873</v>
      </c>
      <c r="D32" s="17" t="s">
        <v>98</v>
      </c>
      <c r="E32" s="18" t="n">
        <v>7461</v>
      </c>
      <c r="F32" s="17" t="s">
        <v>825</v>
      </c>
      <c r="G32" s="23" t="n">
        <v>1.97252379037663</v>
      </c>
      <c r="H32" s="19" t="n">
        <v>94.7</v>
      </c>
      <c r="I32" s="17" t="n">
        <f aca="false">IF(H32="","",RANK(H32,$H$5:$H$430))</f>
        <v>28</v>
      </c>
      <c r="J32" s="24" t="n">
        <v>0.051882137318483</v>
      </c>
      <c r="K32" s="19" t="n">
        <v>21.1</v>
      </c>
      <c r="L32" s="17" t="n">
        <f aca="false">IF(K32="","",RANK(K32,$K$5:$K$430))</f>
        <v>331</v>
      </c>
      <c r="M32" s="25" t="n">
        <v>0.132558139534884</v>
      </c>
      <c r="N32" s="19" t="n">
        <v>49.2</v>
      </c>
      <c r="O32" s="17" t="n">
        <f aca="false">IF(N32="","",RANK(N32,$N$5:$N$430))</f>
        <v>194</v>
      </c>
      <c r="P32" s="17" t="str">
        <f aca="false">IF(AND(N(H32)&gt;=N(K32),N(H32)&gt;=N(N32)),"The Pulse",IF(N(K32)&gt;=N(N32),"The Lens","The Hub"))</f>
        <v>The Pulse</v>
      </c>
      <c r="Q32" s="21" t="s">
        <v>79</v>
      </c>
      <c r="R32" s="27" t="s">
        <v>832</v>
      </c>
      <c r="S32" s="17" t="s">
        <v>22</v>
      </c>
    </row>
    <row r="33" customFormat="false" ht="15" hidden="false" customHeight="false" outlineLevel="0" collapsed="false">
      <c r="A33" s="17" t="s">
        <v>874</v>
      </c>
      <c r="B33" s="17" t="s">
        <v>875</v>
      </c>
      <c r="C33" s="17" t="s">
        <v>876</v>
      </c>
      <c r="D33" s="17" t="s">
        <v>95</v>
      </c>
      <c r="E33" s="18" t="n">
        <v>21860</v>
      </c>
      <c r="F33" s="17" t="s">
        <v>821</v>
      </c>
      <c r="G33" s="23" t="n">
        <v>1.91001829826167</v>
      </c>
      <c r="H33" s="19" t="n">
        <v>94.5</v>
      </c>
      <c r="I33" s="17" t="n">
        <f aca="false">IF(H33="","",RANK(H33,$H$5:$H$430))</f>
        <v>29</v>
      </c>
      <c r="J33" s="24" t="n">
        <v>0.120451050743209</v>
      </c>
      <c r="K33" s="19" t="n">
        <v>64.9</v>
      </c>
      <c r="L33" s="17" t="n">
        <f aca="false">IF(K33="","",RANK(K33,$K$5:$K$430))</f>
        <v>150</v>
      </c>
      <c r="M33" s="25" t="n">
        <v>0.0319199618866127</v>
      </c>
      <c r="N33" s="19" t="n">
        <v>9.8</v>
      </c>
      <c r="O33" s="17" t="n">
        <f aca="false">IF(N33="","",RANK(N33,$N$5:$N$430))</f>
        <v>348</v>
      </c>
      <c r="P33" s="17" t="str">
        <f aca="false">IF(AND(N(H33)&gt;=N(K33),N(H33)&gt;=N(N33)),"The Pulse",IF(N(K33)&gt;=N(N33),"The Lens","The Hub"))</f>
        <v>The Pulse</v>
      </c>
      <c r="Q33" s="20" t="s">
        <v>74</v>
      </c>
      <c r="R33" s="27" t="s">
        <v>832</v>
      </c>
      <c r="S33" s="17" t="s">
        <v>24</v>
      </c>
    </row>
    <row r="34" customFormat="false" ht="15" hidden="false" customHeight="false" outlineLevel="0" collapsed="false">
      <c r="A34" s="17" t="s">
        <v>485</v>
      </c>
      <c r="B34" s="17" t="s">
        <v>486</v>
      </c>
      <c r="C34" s="17" t="s">
        <v>877</v>
      </c>
      <c r="D34" s="17" t="s">
        <v>98</v>
      </c>
      <c r="E34" s="18" t="n">
        <v>24050</v>
      </c>
      <c r="F34" s="17" t="s">
        <v>821</v>
      </c>
      <c r="G34" s="23" t="n">
        <v>1.89397089397089</v>
      </c>
      <c r="H34" s="19" t="n">
        <v>94.3</v>
      </c>
      <c r="I34" s="17" t="n">
        <f aca="false">IF(H34="","",RANK(H34,$H$5:$H$430))</f>
        <v>30</v>
      </c>
      <c r="J34" s="24" t="n">
        <v>0.226415094339623</v>
      </c>
      <c r="K34" s="19" t="n">
        <v>95.5</v>
      </c>
      <c r="L34" s="17" t="n">
        <f aca="false">IF(K34="","",RANK(K34,$K$5:$K$430))</f>
        <v>21</v>
      </c>
      <c r="M34" s="25" t="n">
        <v>0.0821917808219178</v>
      </c>
      <c r="N34" s="19" t="n">
        <v>27.3</v>
      </c>
      <c r="O34" s="17" t="n">
        <f aca="false">IF(N34="","",RANK(N34,$N$5:$N$430))</f>
        <v>282</v>
      </c>
      <c r="P34" s="17" t="str">
        <f aca="false">IF(AND(N(H34)&gt;=N(K34),N(H34)&gt;=N(N34)),"The Pulse",IF(N(K34)&gt;=N(N34),"The Lens","The Hub"))</f>
        <v>The Lens</v>
      </c>
      <c r="Q34" s="20" t="s">
        <v>74</v>
      </c>
      <c r="R34" s="26" t="s">
        <v>822</v>
      </c>
      <c r="S34" s="17" t="s">
        <v>24</v>
      </c>
    </row>
    <row r="35" customFormat="false" ht="15" hidden="false" customHeight="false" outlineLevel="0" collapsed="false">
      <c r="A35" s="17" t="s">
        <v>878</v>
      </c>
      <c r="B35" s="17" t="s">
        <v>879</v>
      </c>
      <c r="C35" s="17" t="s">
        <v>880</v>
      </c>
      <c r="D35" s="17" t="s">
        <v>86</v>
      </c>
      <c r="E35" s="18" t="n">
        <v>39277</v>
      </c>
      <c r="F35" s="17" t="s">
        <v>821</v>
      </c>
      <c r="G35" s="23" t="n">
        <v>1.87005117498791</v>
      </c>
      <c r="H35" s="19" t="n">
        <v>94.1</v>
      </c>
      <c r="I35" s="17" t="n">
        <f aca="false">IF(H35="","",RANK(H35,$H$5:$H$430))</f>
        <v>31</v>
      </c>
      <c r="J35" s="24" t="n">
        <v>0.102728957268797</v>
      </c>
      <c r="K35" s="19" t="n">
        <v>54.6</v>
      </c>
      <c r="L35" s="17" t="n">
        <f aca="false">IF(K35="","",RANK(K35,$K$5:$K$430))</f>
        <v>191</v>
      </c>
      <c r="M35" s="25" t="n">
        <v>0.259025787965616</v>
      </c>
      <c r="N35" s="19" t="n">
        <v>83.9</v>
      </c>
      <c r="O35" s="17" t="n">
        <f aca="false">IF(N35="","",RANK(N35,$N$5:$N$430))</f>
        <v>63</v>
      </c>
      <c r="P35" s="17" t="str">
        <f aca="false">IF(AND(N(H35)&gt;=N(K35),N(H35)&gt;=N(N35)),"The Pulse",IF(N(K35)&gt;=N(N35),"The Lens","The Hub"))</f>
        <v>The Pulse</v>
      </c>
      <c r="Q35" s="21" t="s">
        <v>79</v>
      </c>
      <c r="R35" s="27" t="s">
        <v>832</v>
      </c>
      <c r="S35" s="17" t="s">
        <v>22</v>
      </c>
    </row>
    <row r="36" customFormat="false" ht="15" hidden="false" customHeight="false" outlineLevel="0" collapsed="false">
      <c r="A36" s="17" t="s">
        <v>881</v>
      </c>
      <c r="B36" s="17" t="s">
        <v>882</v>
      </c>
      <c r="C36" s="17" t="s">
        <v>883</v>
      </c>
      <c r="D36" s="17" t="s">
        <v>162</v>
      </c>
      <c r="E36" s="18" t="n">
        <v>136460</v>
      </c>
      <c r="F36" s="17" t="s">
        <v>827</v>
      </c>
      <c r="G36" s="23" t="n">
        <v>1.85321705994431</v>
      </c>
      <c r="H36" s="19" t="n">
        <v>94</v>
      </c>
      <c r="I36" s="17" t="n">
        <f aca="false">IF(H36="","",RANK(H36,$H$5:$H$430))</f>
        <v>32</v>
      </c>
      <c r="J36" s="24" t="n">
        <v>0.014647929214068</v>
      </c>
      <c r="K36" s="19" t="n">
        <v>17.1</v>
      </c>
      <c r="L36" s="17" t="n">
        <f aca="false">IF(K36="","",RANK(K36,$K$5:$K$430))</f>
        <v>349</v>
      </c>
      <c r="M36" s="25" t="n">
        <v>0.114037028841189</v>
      </c>
      <c r="N36" s="19" t="n">
        <v>41.5</v>
      </c>
      <c r="O36" s="17" t="n">
        <f aca="false">IF(N36="","",RANK(N36,$N$5:$N$430))</f>
        <v>225</v>
      </c>
      <c r="P36" s="17" t="str">
        <f aca="false">IF(AND(N(H36)&gt;=N(K36),N(H36)&gt;=N(N36)),"The Pulse",IF(N(K36)&gt;=N(N36),"The Lens","The Hub"))</f>
        <v>The Pulse</v>
      </c>
      <c r="Q36" s="20" t="s">
        <v>74</v>
      </c>
      <c r="R36" s="27" t="s">
        <v>832</v>
      </c>
      <c r="S36" s="17" t="s">
        <v>24</v>
      </c>
    </row>
    <row r="37" customFormat="false" ht="15" hidden="false" customHeight="false" outlineLevel="0" collapsed="false">
      <c r="A37" s="17" t="s">
        <v>884</v>
      </c>
      <c r="B37" s="17" t="s">
        <v>885</v>
      </c>
      <c r="C37" s="17" t="s">
        <v>886</v>
      </c>
      <c r="D37" s="17" t="s">
        <v>82</v>
      </c>
      <c r="E37" s="18" t="n">
        <v>21650</v>
      </c>
      <c r="F37" s="17" t="s">
        <v>821</v>
      </c>
      <c r="G37" s="23" t="n">
        <v>1.84628175519631</v>
      </c>
      <c r="H37" s="19" t="n">
        <v>93.8</v>
      </c>
      <c r="I37" s="17" t="n">
        <f aca="false">IF(H37="","",RANK(H37,$H$5:$H$430))</f>
        <v>33</v>
      </c>
      <c r="J37" s="24" t="n">
        <v>0.181123840698309</v>
      </c>
      <c r="K37" s="19" t="n">
        <v>87.3</v>
      </c>
      <c r="L37" s="17" t="n">
        <f aca="false">IF(K37="","",RANK(K37,$K$5:$K$430))</f>
        <v>55</v>
      </c>
      <c r="M37" s="25" t="n">
        <v>0.0856353591160221</v>
      </c>
      <c r="N37" s="19" t="n">
        <v>29.4</v>
      </c>
      <c r="O37" s="17" t="n">
        <f aca="false">IF(N37="","",RANK(N37,$N$5:$N$430))</f>
        <v>274</v>
      </c>
      <c r="P37" s="17" t="str">
        <f aca="false">IF(AND(N(H37)&gt;=N(K37),N(H37)&gt;=N(N37)),"The Pulse",IF(N(K37)&gt;=N(N37),"The Lens","The Hub"))</f>
        <v>The Pulse</v>
      </c>
      <c r="Q37" s="20" t="s">
        <v>74</v>
      </c>
      <c r="R37" s="27" t="s">
        <v>832</v>
      </c>
      <c r="S37" s="17" t="s">
        <v>24</v>
      </c>
    </row>
    <row r="38" customFormat="false" ht="15" hidden="false" customHeight="false" outlineLevel="0" collapsed="false">
      <c r="A38" s="17" t="s">
        <v>887</v>
      </c>
      <c r="B38" s="17" t="s">
        <v>888</v>
      </c>
      <c r="C38" s="17" t="s">
        <v>889</v>
      </c>
      <c r="D38" s="17" t="s">
        <v>91</v>
      </c>
      <c r="E38" s="18" t="n">
        <v>35610</v>
      </c>
      <c r="F38" s="17" t="s">
        <v>821</v>
      </c>
      <c r="G38" s="23" t="n">
        <v>1.77722549845549</v>
      </c>
      <c r="H38" s="19" t="n">
        <v>93.6</v>
      </c>
      <c r="I38" s="17" t="n">
        <f aca="false">IF(H38="","",RANK(H38,$H$5:$H$430))</f>
        <v>34</v>
      </c>
      <c r="J38" s="24" t="n">
        <v>0.00638156564927377</v>
      </c>
      <c r="K38" s="19" t="n">
        <v>10.3</v>
      </c>
      <c r="L38" s="17" t="n">
        <f aca="false">IF(K38="","",RANK(K38,$K$5:$K$430))</f>
        <v>380</v>
      </c>
      <c r="M38" s="28" t="s">
        <v>857</v>
      </c>
      <c r="N38" s="19"/>
      <c r="O38" s="17" t="str">
        <f aca="false">IF(N38="","",RANK(N38,$N$5:$N$430))</f>
        <v/>
      </c>
      <c r="P38" s="17" t="str">
        <f aca="false">IF(AND(N(H38)&gt;=N(K38),N(H38)&gt;=N(N38)),"The Pulse",IF(N(K38)&gt;=N(N38),"The Lens","The Hub"))</f>
        <v>The Pulse</v>
      </c>
      <c r="Q38" s="21" t="s">
        <v>79</v>
      </c>
      <c r="R38" s="27" t="s">
        <v>832</v>
      </c>
      <c r="S38" s="17" t="s">
        <v>88</v>
      </c>
    </row>
    <row r="39" customFormat="false" ht="15" hidden="false" customHeight="false" outlineLevel="0" collapsed="false">
      <c r="A39" s="17" t="s">
        <v>89</v>
      </c>
      <c r="B39" s="17" t="s">
        <v>90</v>
      </c>
      <c r="C39" s="17" t="s">
        <v>890</v>
      </c>
      <c r="D39" s="17" t="s">
        <v>91</v>
      </c>
      <c r="E39" s="18" t="n">
        <v>20130</v>
      </c>
      <c r="F39" s="17" t="s">
        <v>821</v>
      </c>
      <c r="G39" s="23" t="n">
        <v>1.77675111773472</v>
      </c>
      <c r="H39" s="19" t="n">
        <v>93.4</v>
      </c>
      <c r="I39" s="17" t="n">
        <f aca="false">IF(H39="","",RANK(H39,$H$5:$H$430))</f>
        <v>35</v>
      </c>
      <c r="J39" s="24" t="n">
        <v>0.0970027247956403</v>
      </c>
      <c r="K39" s="19" t="n">
        <v>50.2</v>
      </c>
      <c r="L39" s="17" t="n">
        <f aca="false">IF(K39="","",RANK(K39,$K$5:$K$430))</f>
        <v>214</v>
      </c>
      <c r="M39" s="28" t="s">
        <v>857</v>
      </c>
      <c r="N39" s="19"/>
      <c r="O39" s="17" t="str">
        <f aca="false">IF(N39="","",RANK(N39,$N$5:$N$430))</f>
        <v/>
      </c>
      <c r="P39" s="17" t="str">
        <f aca="false">IF(AND(N(H39)&gt;=N(K39),N(H39)&gt;=N(N39)),"The Pulse",IF(N(K39)&gt;=N(N39),"The Lens","The Hub"))</f>
        <v>The Pulse</v>
      </c>
      <c r="Q39" s="20" t="s">
        <v>74</v>
      </c>
      <c r="R39" s="26" t="s">
        <v>822</v>
      </c>
      <c r="S39" s="17" t="s">
        <v>24</v>
      </c>
    </row>
    <row r="40" customFormat="false" ht="15" hidden="false" customHeight="false" outlineLevel="0" collapsed="false">
      <c r="A40" s="17" t="s">
        <v>325</v>
      </c>
      <c r="B40" s="17" t="s">
        <v>326</v>
      </c>
      <c r="C40" s="17" t="s">
        <v>891</v>
      </c>
      <c r="D40" s="17" t="s">
        <v>95</v>
      </c>
      <c r="E40" s="18" t="n">
        <v>17620</v>
      </c>
      <c r="F40" s="17" t="s">
        <v>821</v>
      </c>
      <c r="G40" s="23" t="n">
        <v>1.75590238365494</v>
      </c>
      <c r="H40" s="19" t="n">
        <v>93</v>
      </c>
      <c r="I40" s="17" t="n">
        <f aca="false">IF(H40="","",RANK(H40,$H$5:$H$430))</f>
        <v>36</v>
      </c>
      <c r="J40" s="24" t="n">
        <v>0.0737355271176112</v>
      </c>
      <c r="K40" s="19" t="n">
        <v>40.2</v>
      </c>
      <c r="L40" s="17" t="n">
        <f aca="false">IF(K40="","",RANK(K40,$K$5:$K$430))</f>
        <v>252</v>
      </c>
      <c r="M40" s="25" t="n">
        <v>0.276355421686747</v>
      </c>
      <c r="N40" s="19" t="n">
        <v>86.7</v>
      </c>
      <c r="O40" s="17" t="n">
        <f aca="false">IF(N40="","",RANK(N40,$N$5:$N$430))</f>
        <v>52</v>
      </c>
      <c r="P40" s="17" t="str">
        <f aca="false">IF(AND(N(H40)&gt;=N(K40),N(H40)&gt;=N(N40)),"The Pulse",IF(N(K40)&gt;=N(N40),"The Lens","The Hub"))</f>
        <v>The Pulse</v>
      </c>
      <c r="Q40" s="20" t="s">
        <v>74</v>
      </c>
      <c r="R40" s="26" t="s">
        <v>822</v>
      </c>
      <c r="S40" s="17" t="s">
        <v>24</v>
      </c>
    </row>
    <row r="41" customFormat="false" ht="15" hidden="false" customHeight="false" outlineLevel="0" collapsed="false">
      <c r="A41" s="17" t="s">
        <v>453</v>
      </c>
      <c r="B41" s="17" t="s">
        <v>454</v>
      </c>
      <c r="C41" s="17" t="s">
        <v>892</v>
      </c>
      <c r="D41" s="17" t="s">
        <v>115</v>
      </c>
      <c r="E41" s="18" t="n">
        <v>41140</v>
      </c>
      <c r="F41" s="17" t="s">
        <v>821</v>
      </c>
      <c r="G41" s="23" t="n">
        <v>1.70974926179871</v>
      </c>
      <c r="H41" s="19" t="n">
        <v>92.2</v>
      </c>
      <c r="I41" s="17" t="n">
        <f aca="false">IF(H41="","",RANK(H41,$H$5:$H$430))</f>
        <v>37</v>
      </c>
      <c r="J41" s="24" t="n">
        <v>-0.0262721893491124</v>
      </c>
      <c r="K41" s="19" t="n">
        <v>4.5</v>
      </c>
      <c r="L41" s="17" t="n">
        <f aca="false">IF(K41="","",RANK(K41,$K$5:$K$430))</f>
        <v>408</v>
      </c>
      <c r="M41" s="25" t="n">
        <v>0.134280476626948</v>
      </c>
      <c r="N41" s="19" t="n">
        <v>50.3</v>
      </c>
      <c r="O41" s="17" t="n">
        <f aca="false">IF(N41="","",RANK(N41,$N$5:$N$430))</f>
        <v>189</v>
      </c>
      <c r="P41" s="17" t="str">
        <f aca="false">IF(AND(N(H41)&gt;=N(K41),N(H41)&gt;=N(N41)),"The Pulse",IF(N(K41)&gt;=N(N41),"The Lens","The Hub"))</f>
        <v>The Pulse</v>
      </c>
      <c r="Q41" s="21" t="s">
        <v>79</v>
      </c>
      <c r="R41" s="26" t="s">
        <v>822</v>
      </c>
      <c r="S41" s="17" t="s">
        <v>88</v>
      </c>
    </row>
    <row r="42" customFormat="false" ht="15" hidden="false" customHeight="false" outlineLevel="0" collapsed="false">
      <c r="A42" s="17" t="s">
        <v>513</v>
      </c>
      <c r="B42" s="17" t="s">
        <v>514</v>
      </c>
      <c r="C42" s="17" t="s">
        <v>893</v>
      </c>
      <c r="D42" s="17" t="s">
        <v>72</v>
      </c>
      <c r="E42" s="18" t="n">
        <v>64560</v>
      </c>
      <c r="F42" s="17" t="s">
        <v>821</v>
      </c>
      <c r="G42" s="23" t="n">
        <v>1.70638166047088</v>
      </c>
      <c r="H42" s="19" t="n">
        <v>92.1</v>
      </c>
      <c r="I42" s="17" t="n">
        <f aca="false">IF(H42="","",RANK(H42,$H$5:$H$430))</f>
        <v>38</v>
      </c>
      <c r="J42" s="24" t="n">
        <v>-0.0183974456439106</v>
      </c>
      <c r="K42" s="19" t="n">
        <v>6.5</v>
      </c>
      <c r="L42" s="17" t="n">
        <f aca="false">IF(K42="","",RANK(K42,$K$5:$K$430))</f>
        <v>398</v>
      </c>
      <c r="M42" s="25" t="n">
        <v>0.163711340206186</v>
      </c>
      <c r="N42" s="19" t="n">
        <v>64.1</v>
      </c>
      <c r="O42" s="17" t="n">
        <f aca="false">IF(N42="","",RANK(N42,$N$5:$N$430))</f>
        <v>137</v>
      </c>
      <c r="P42" s="17" t="str">
        <f aca="false">IF(AND(N(H42)&gt;=N(K42),N(H42)&gt;=N(N42)),"The Pulse",IF(N(K42)&gt;=N(N42),"The Lens","The Hub"))</f>
        <v>The Pulse</v>
      </c>
      <c r="Q42" s="20" t="s">
        <v>74</v>
      </c>
      <c r="R42" s="26" t="s">
        <v>822</v>
      </c>
      <c r="S42" s="17" t="s">
        <v>24</v>
      </c>
    </row>
    <row r="43" customFormat="false" ht="15" hidden="false" customHeight="false" outlineLevel="0" collapsed="false">
      <c r="A43" s="17" t="s">
        <v>469</v>
      </c>
      <c r="B43" s="17" t="s">
        <v>470</v>
      </c>
      <c r="C43" s="17" t="s">
        <v>894</v>
      </c>
      <c r="D43" s="17" t="s">
        <v>82</v>
      </c>
      <c r="E43" s="18" t="n">
        <v>18230</v>
      </c>
      <c r="F43" s="17" t="s">
        <v>821</v>
      </c>
      <c r="G43" s="23" t="n">
        <v>1.68151398793198</v>
      </c>
      <c r="H43" s="19" t="n">
        <v>91.9</v>
      </c>
      <c r="I43" s="17" t="n">
        <f aca="false">IF(H43="","",RANK(H43,$H$5:$H$430))</f>
        <v>39</v>
      </c>
      <c r="J43" s="24" t="n">
        <v>0.164112388250319</v>
      </c>
      <c r="K43" s="19" t="n">
        <v>80.1</v>
      </c>
      <c r="L43" s="17" t="n">
        <f aca="false">IF(K43="","",RANK(K43,$K$5:$K$430))</f>
        <v>87</v>
      </c>
      <c r="M43" s="25" t="n">
        <v>0.368968779564806</v>
      </c>
      <c r="N43" s="19" t="n">
        <v>95.8</v>
      </c>
      <c r="O43" s="17" t="n">
        <f aca="false">IF(N43="","",RANK(N43,$N$5:$N$430))</f>
        <v>16</v>
      </c>
      <c r="P43" s="17" t="str">
        <f aca="false">IF(AND(N(H43)&gt;=N(K43),N(H43)&gt;=N(N43)),"The Pulse",IF(N(K43)&gt;=N(N43),"The Lens","The Hub"))</f>
        <v>The Hub</v>
      </c>
      <c r="Q43" s="20" t="s">
        <v>74</v>
      </c>
      <c r="R43" s="26" t="s">
        <v>822</v>
      </c>
      <c r="S43" s="17" t="s">
        <v>24</v>
      </c>
    </row>
    <row r="44" customFormat="false" ht="15" hidden="false" customHeight="false" outlineLevel="0" collapsed="false">
      <c r="A44" s="17" t="s">
        <v>116</v>
      </c>
      <c r="B44" s="17" t="s">
        <v>117</v>
      </c>
      <c r="C44" s="17" t="s">
        <v>895</v>
      </c>
      <c r="D44" s="17" t="s">
        <v>98</v>
      </c>
      <c r="E44" s="18" t="n">
        <v>19100</v>
      </c>
      <c r="F44" s="17" t="s">
        <v>821</v>
      </c>
      <c r="G44" s="23" t="n">
        <v>1.68005235602094</v>
      </c>
      <c r="H44" s="19" t="n">
        <v>91.7</v>
      </c>
      <c r="I44" s="17" t="n">
        <f aca="false">IF(H44="","",RANK(H44,$H$5:$H$430))</f>
        <v>40</v>
      </c>
      <c r="J44" s="24" t="n">
        <v>0.100230414746544</v>
      </c>
      <c r="K44" s="19" t="n">
        <v>52.6</v>
      </c>
      <c r="L44" s="17" t="n">
        <f aca="false">IF(K44="","",RANK(K44,$K$5:$K$430))</f>
        <v>202</v>
      </c>
      <c r="M44" s="25" t="n">
        <v>0.0946612830865859</v>
      </c>
      <c r="N44" s="19" t="n">
        <v>34</v>
      </c>
      <c r="O44" s="17" t="n">
        <f aca="false">IF(N44="","",RANK(N44,$N$5:$N$430))</f>
        <v>256</v>
      </c>
      <c r="P44" s="17" t="str">
        <f aca="false">IF(AND(N(H44)&gt;=N(K44),N(H44)&gt;=N(N44)),"The Pulse",IF(N(K44)&gt;=N(N44),"The Lens","The Hub"))</f>
        <v>The Pulse</v>
      </c>
      <c r="Q44" s="20" t="s">
        <v>74</v>
      </c>
      <c r="R44" s="26" t="s">
        <v>822</v>
      </c>
      <c r="S44" s="17" t="s">
        <v>24</v>
      </c>
    </row>
    <row r="45" customFormat="false" ht="15" hidden="false" customHeight="false" outlineLevel="0" collapsed="false">
      <c r="A45" s="17" t="s">
        <v>671</v>
      </c>
      <c r="B45" s="17" t="s">
        <v>672</v>
      </c>
      <c r="C45" s="17" t="s">
        <v>896</v>
      </c>
      <c r="D45" s="17" t="s">
        <v>162</v>
      </c>
      <c r="E45" s="18" t="n">
        <v>8910</v>
      </c>
      <c r="F45" s="17" t="s">
        <v>825</v>
      </c>
      <c r="G45" s="23" t="n">
        <v>1.65690235690236</v>
      </c>
      <c r="H45" s="19" t="n">
        <v>91.5</v>
      </c>
      <c r="I45" s="17" t="n">
        <f aca="false">IF(H45="","",RANK(H45,$H$5:$H$430))</f>
        <v>41</v>
      </c>
      <c r="J45" s="24" t="n">
        <v>0.253164556962025</v>
      </c>
      <c r="K45" s="19" t="n">
        <v>98.6</v>
      </c>
      <c r="L45" s="17" t="n">
        <f aca="false">IF(K45="","",RANK(K45,$K$5:$K$430))</f>
        <v>7</v>
      </c>
      <c r="M45" s="25" t="n">
        <v>0.101748807631161</v>
      </c>
      <c r="N45" s="19" t="n">
        <v>36.4</v>
      </c>
      <c r="O45" s="17" t="n">
        <f aca="false">IF(N45="","",RANK(N45,$N$5:$N$430))</f>
        <v>247</v>
      </c>
      <c r="P45" s="17" t="str">
        <f aca="false">IF(AND(N(H45)&gt;=N(K45),N(H45)&gt;=N(N45)),"The Pulse",IF(N(K45)&gt;=N(N45),"The Lens","The Hub"))</f>
        <v>The Lens</v>
      </c>
      <c r="Q45" s="20" t="s">
        <v>74</v>
      </c>
      <c r="R45" s="26" t="s">
        <v>822</v>
      </c>
      <c r="S45" s="17" t="s">
        <v>24</v>
      </c>
    </row>
    <row r="46" customFormat="false" ht="15" hidden="false" customHeight="false" outlineLevel="0" collapsed="false">
      <c r="A46" s="17" t="s">
        <v>287</v>
      </c>
      <c r="B46" s="17" t="s">
        <v>288</v>
      </c>
      <c r="C46" s="17" t="s">
        <v>897</v>
      </c>
      <c r="D46" s="17" t="s">
        <v>95</v>
      </c>
      <c r="E46" s="18" t="n">
        <v>12720</v>
      </c>
      <c r="F46" s="17" t="s">
        <v>821</v>
      </c>
      <c r="G46" s="23" t="n">
        <v>1.63529874213837</v>
      </c>
      <c r="H46" s="19" t="n">
        <v>91.3</v>
      </c>
      <c r="I46" s="17" t="n">
        <f aca="false">IF(H46="","",RANK(H46,$H$5:$H$430))</f>
        <v>42</v>
      </c>
      <c r="J46" s="24" t="n">
        <v>0.108721523291398</v>
      </c>
      <c r="K46" s="19" t="n">
        <v>57.4</v>
      </c>
      <c r="L46" s="17" t="n">
        <f aca="false">IF(K46="","",RANK(K46,$K$5:$K$430))</f>
        <v>183</v>
      </c>
      <c r="M46" s="25" t="n">
        <v>0.204724409448819</v>
      </c>
      <c r="N46" s="19" t="n">
        <v>74.8</v>
      </c>
      <c r="O46" s="17" t="n">
        <f aca="false">IF(N46="","",RANK(N46,$N$5:$N$430))</f>
        <v>97</v>
      </c>
      <c r="P46" s="17" t="str">
        <f aca="false">IF(AND(N(H46)&gt;=N(K46),N(H46)&gt;=N(N46)),"The Pulse",IF(N(K46)&gt;=N(N46),"The Lens","The Hub"))</f>
        <v>The Pulse</v>
      </c>
      <c r="Q46" s="22" t="s">
        <v>109</v>
      </c>
      <c r="R46" s="26" t="s">
        <v>822</v>
      </c>
      <c r="S46" s="17" t="s">
        <v>155</v>
      </c>
    </row>
    <row r="47" customFormat="false" ht="15" hidden="false" customHeight="false" outlineLevel="0" collapsed="false">
      <c r="A47" s="17" t="s">
        <v>898</v>
      </c>
      <c r="B47" s="17" t="s">
        <v>899</v>
      </c>
      <c r="C47" s="17" t="s">
        <v>900</v>
      </c>
      <c r="D47" s="17" t="s">
        <v>98</v>
      </c>
      <c r="E47" s="18" t="n">
        <v>76200</v>
      </c>
      <c r="F47" s="17" t="s">
        <v>821</v>
      </c>
      <c r="G47" s="23" t="n">
        <v>1.62666666666667</v>
      </c>
      <c r="H47" s="19" t="n">
        <v>91.1</v>
      </c>
      <c r="I47" s="17" t="n">
        <f aca="false">IF(H47="","",RANK(H47,$H$5:$H$430))</f>
        <v>43</v>
      </c>
      <c r="J47" s="24" t="n">
        <v>0.0086035737921906</v>
      </c>
      <c r="K47" s="19" t="n">
        <v>11</v>
      </c>
      <c r="L47" s="17" t="n">
        <f aca="false">IF(K47="","",RANK(K47,$K$5:$K$430))</f>
        <v>377</v>
      </c>
      <c r="M47" s="25" t="n">
        <v>0.214729910986465</v>
      </c>
      <c r="N47" s="19" t="n">
        <v>75.8</v>
      </c>
      <c r="O47" s="17" t="n">
        <f aca="false">IF(N47="","",RANK(N47,$N$5:$N$430))</f>
        <v>94</v>
      </c>
      <c r="P47" s="17" t="str">
        <f aca="false">IF(AND(N(H47)&gt;=N(K47),N(H47)&gt;=N(N47)),"The Pulse",IF(N(K47)&gt;=N(N47),"The Lens","The Hub"))</f>
        <v>The Pulse</v>
      </c>
      <c r="Q47" s="20" t="s">
        <v>74</v>
      </c>
      <c r="R47" s="27" t="s">
        <v>832</v>
      </c>
      <c r="S47" s="17" t="s">
        <v>24</v>
      </c>
    </row>
    <row r="48" customFormat="false" ht="15" hidden="false" customHeight="false" outlineLevel="0" collapsed="false">
      <c r="A48" s="17" t="s">
        <v>229</v>
      </c>
      <c r="B48" s="17" t="s">
        <v>230</v>
      </c>
      <c r="C48" s="17" t="s">
        <v>901</v>
      </c>
      <c r="D48" s="17" t="s">
        <v>82</v>
      </c>
      <c r="E48" s="18" t="n">
        <v>135790</v>
      </c>
      <c r="F48" s="17" t="s">
        <v>827</v>
      </c>
      <c r="G48" s="23" t="n">
        <v>1.61873481110538</v>
      </c>
      <c r="H48" s="19" t="n">
        <v>90.9</v>
      </c>
      <c r="I48" s="17" t="n">
        <f aca="false">IF(H48="","",RANK(H48,$H$5:$H$430))</f>
        <v>44</v>
      </c>
      <c r="J48" s="24" t="n">
        <v>0.0738631870304468</v>
      </c>
      <c r="K48" s="19" t="n">
        <v>42.9</v>
      </c>
      <c r="L48" s="17" t="n">
        <f aca="false">IF(K48="","",RANK(K48,$K$5:$K$430))</f>
        <v>240</v>
      </c>
      <c r="M48" s="25" t="n">
        <v>0.0509136880818297</v>
      </c>
      <c r="N48" s="19" t="n">
        <v>15.9</v>
      </c>
      <c r="O48" s="17" t="n">
        <f aca="false">IF(N48="","",RANK(N48,$N$5:$N$430))</f>
        <v>326</v>
      </c>
      <c r="P48" s="17" t="str">
        <f aca="false">IF(AND(N(H48)&gt;=N(K48),N(H48)&gt;=N(N48)),"The Pulse",IF(N(K48)&gt;=N(N48),"The Lens","The Hub"))</f>
        <v>The Pulse</v>
      </c>
      <c r="Q48" s="20" t="s">
        <v>74</v>
      </c>
      <c r="R48" s="26" t="s">
        <v>822</v>
      </c>
      <c r="S48" s="17" t="s">
        <v>24</v>
      </c>
    </row>
    <row r="49" customFormat="false" ht="15" hidden="false" customHeight="false" outlineLevel="0" collapsed="false">
      <c r="A49" s="17" t="s">
        <v>601</v>
      </c>
      <c r="B49" s="17" t="s">
        <v>602</v>
      </c>
      <c r="C49" s="17" t="s">
        <v>902</v>
      </c>
      <c r="D49" s="17" t="s">
        <v>77</v>
      </c>
      <c r="E49" s="18" t="n">
        <v>74520</v>
      </c>
      <c r="F49" s="17" t="s">
        <v>821</v>
      </c>
      <c r="G49" s="23" t="n">
        <v>1.57946859903382</v>
      </c>
      <c r="H49" s="19" t="n">
        <v>90.7</v>
      </c>
      <c r="I49" s="17" t="n">
        <f aca="false">IF(H49="","",RANK(H49,$H$5:$H$430))</f>
        <v>45</v>
      </c>
      <c r="J49" s="24" t="n">
        <v>0.238079415185247</v>
      </c>
      <c r="K49" s="19" t="n">
        <v>97.3</v>
      </c>
      <c r="L49" s="17" t="n">
        <f aca="false">IF(K49="","",RANK(K49,$K$5:$K$430))</f>
        <v>14</v>
      </c>
      <c r="M49" s="25" t="n">
        <v>0.296181818181818</v>
      </c>
      <c r="N49" s="19" t="n">
        <v>89.7</v>
      </c>
      <c r="O49" s="17" t="n">
        <f aca="false">IF(N49="","",RANK(N49,$N$5:$N$430))</f>
        <v>40</v>
      </c>
      <c r="P49" s="17" t="str">
        <f aca="false">IF(AND(N(H49)&gt;=N(K49),N(H49)&gt;=N(N49)),"The Pulse",IF(N(K49)&gt;=N(N49),"The Lens","The Hub"))</f>
        <v>The Lens</v>
      </c>
      <c r="Q49" s="20" t="s">
        <v>74</v>
      </c>
      <c r="R49" s="26" t="s">
        <v>822</v>
      </c>
      <c r="S49" s="17" t="s">
        <v>24</v>
      </c>
    </row>
    <row r="50" customFormat="false" ht="15" hidden="false" customHeight="false" outlineLevel="0" collapsed="false">
      <c r="A50" s="17" t="s">
        <v>903</v>
      </c>
      <c r="B50" s="17" t="s">
        <v>904</v>
      </c>
      <c r="C50" s="17" t="s">
        <v>905</v>
      </c>
      <c r="D50" s="17" t="s">
        <v>95</v>
      </c>
      <c r="E50" s="18" t="n">
        <v>70500</v>
      </c>
      <c r="F50" s="17" t="s">
        <v>821</v>
      </c>
      <c r="G50" s="23" t="n">
        <v>1.55160283687943</v>
      </c>
      <c r="H50" s="19" t="n">
        <v>90.5</v>
      </c>
      <c r="I50" s="17" t="n">
        <f aca="false">IF(H50="","",RANK(H50,$H$5:$H$430))</f>
        <v>46</v>
      </c>
      <c r="J50" s="24" t="n">
        <v>0.0962525268232001</v>
      </c>
      <c r="K50" s="19" t="n">
        <v>49.1</v>
      </c>
      <c r="L50" s="17" t="n">
        <f aca="false">IF(K50="","",RANK(K50,$K$5:$K$430))</f>
        <v>220</v>
      </c>
      <c r="M50" s="28" t="s">
        <v>857</v>
      </c>
      <c r="N50" s="19"/>
      <c r="O50" s="17" t="str">
        <f aca="false">IF(N50="","",RANK(N50,$N$5:$N$430))</f>
        <v/>
      </c>
      <c r="P50" s="17" t="str">
        <f aca="false">IF(AND(N(H50)&gt;=N(K50),N(H50)&gt;=N(N50)),"The Pulse",IF(N(K50)&gt;=N(N50),"The Lens","The Hub"))</f>
        <v>The Pulse</v>
      </c>
      <c r="Q50" s="20" t="s">
        <v>74</v>
      </c>
      <c r="R50" s="27" t="s">
        <v>832</v>
      </c>
      <c r="S50" s="17" t="s">
        <v>24</v>
      </c>
    </row>
    <row r="51" customFormat="false" ht="15" hidden="false" customHeight="false" outlineLevel="0" collapsed="false">
      <c r="A51" s="17" t="s">
        <v>906</v>
      </c>
      <c r="B51" s="17" t="s">
        <v>907</v>
      </c>
      <c r="C51" s="17" t="s">
        <v>908</v>
      </c>
      <c r="D51" s="17" t="s">
        <v>123</v>
      </c>
      <c r="E51" s="18" t="n">
        <v>84833</v>
      </c>
      <c r="F51" s="17" t="s">
        <v>821</v>
      </c>
      <c r="G51" s="23" t="n">
        <v>1.54659153867009</v>
      </c>
      <c r="H51" s="19" t="n">
        <v>90.4</v>
      </c>
      <c r="I51" s="17" t="n">
        <f aca="false">IF(H51="","",RANK(H51,$H$5:$H$430))</f>
        <v>47</v>
      </c>
      <c r="J51" s="24" t="n">
        <v>0.102586430985183</v>
      </c>
      <c r="K51" s="19" t="n">
        <v>54</v>
      </c>
      <c r="L51" s="17" t="n">
        <f aca="false">IF(K51="","",RANK(K51,$K$5:$K$430))</f>
        <v>194</v>
      </c>
      <c r="M51" s="28" t="s">
        <v>857</v>
      </c>
      <c r="N51" s="19"/>
      <c r="O51" s="17" t="str">
        <f aca="false">IF(N51="","",RANK(N51,$N$5:$N$430))</f>
        <v/>
      </c>
      <c r="P51" s="17" t="str">
        <f aca="false">IF(AND(N(H51)&gt;=N(K51),N(H51)&gt;=N(N51)),"The Pulse",IF(N(K51)&gt;=N(N51),"The Lens","The Hub"))</f>
        <v>The Pulse</v>
      </c>
      <c r="Q51" s="21" t="s">
        <v>79</v>
      </c>
      <c r="R51" s="27" t="s">
        <v>832</v>
      </c>
      <c r="S51" s="17" t="s">
        <v>22</v>
      </c>
    </row>
    <row r="52" customFormat="false" ht="15" hidden="false" customHeight="false" outlineLevel="0" collapsed="false">
      <c r="A52" s="17" t="s">
        <v>459</v>
      </c>
      <c r="B52" s="17" t="s">
        <v>460</v>
      </c>
      <c r="C52" s="17" t="s">
        <v>909</v>
      </c>
      <c r="D52" s="17" t="s">
        <v>95</v>
      </c>
      <c r="E52" s="18" t="n">
        <v>90300</v>
      </c>
      <c r="F52" s="17" t="s">
        <v>821</v>
      </c>
      <c r="G52" s="23" t="n">
        <v>1.54641196013289</v>
      </c>
      <c r="H52" s="19" t="n">
        <v>90.2</v>
      </c>
      <c r="I52" s="17" t="n">
        <f aca="false">IF(H52="","",RANK(H52,$H$5:$H$430))</f>
        <v>48</v>
      </c>
      <c r="J52" s="24" t="n">
        <v>0.0933527061387577</v>
      </c>
      <c r="K52" s="19" t="n">
        <v>48.5</v>
      </c>
      <c r="L52" s="17" t="n">
        <f aca="false">IF(K52="","",RANK(K52,$K$5:$K$430))</f>
        <v>222</v>
      </c>
      <c r="M52" s="25" t="n">
        <v>0.136920222634508</v>
      </c>
      <c r="N52" s="19" t="n">
        <v>51.7</v>
      </c>
      <c r="O52" s="17" t="n">
        <f aca="false">IF(N52="","",RANK(N52,$N$5:$N$430))</f>
        <v>183</v>
      </c>
      <c r="P52" s="17" t="str">
        <f aca="false">IF(AND(N(H52)&gt;=N(K52),N(H52)&gt;=N(N52)),"The Pulse",IF(N(K52)&gt;=N(N52),"The Lens","The Hub"))</f>
        <v>The Pulse</v>
      </c>
      <c r="Q52" s="20" t="s">
        <v>74</v>
      </c>
      <c r="R52" s="26" t="s">
        <v>822</v>
      </c>
      <c r="S52" s="17" t="s">
        <v>24</v>
      </c>
    </row>
    <row r="53" customFormat="false" ht="15" hidden="false" customHeight="false" outlineLevel="0" collapsed="false">
      <c r="A53" s="17" t="s">
        <v>910</v>
      </c>
      <c r="B53" s="17" t="s">
        <v>911</v>
      </c>
      <c r="C53" s="17" t="s">
        <v>912</v>
      </c>
      <c r="D53" s="17" t="s">
        <v>86</v>
      </c>
      <c r="E53" s="18" t="n">
        <v>363560</v>
      </c>
      <c r="F53" s="17" t="s">
        <v>827</v>
      </c>
      <c r="G53" s="23" t="n">
        <v>1.52336340631533</v>
      </c>
      <c r="H53" s="19" t="n">
        <v>90</v>
      </c>
      <c r="I53" s="17" t="n">
        <f aca="false">IF(H53="","",RANK(H53,$H$5:$H$430))</f>
        <v>49</v>
      </c>
      <c r="J53" s="24" t="n">
        <v>0.225923927704343</v>
      </c>
      <c r="K53" s="19" t="n">
        <v>96.4</v>
      </c>
      <c r="L53" s="17" t="n">
        <f aca="false">IF(K53="","",RANK(K53,$K$5:$K$430))</f>
        <v>17</v>
      </c>
      <c r="M53" s="25" t="n">
        <v>0.0589518207653162</v>
      </c>
      <c r="N53" s="19" t="n">
        <v>19.8</v>
      </c>
      <c r="O53" s="17" t="n">
        <f aca="false">IF(N53="","",RANK(N53,$N$5:$N$430))</f>
        <v>310</v>
      </c>
      <c r="P53" s="17" t="str">
        <f aca="false">IF(AND(N(H53)&gt;=N(K53),N(H53)&gt;=N(N53)),"The Pulse",IF(N(K53)&gt;=N(N53),"The Lens","The Hub"))</f>
        <v>The Lens</v>
      </c>
      <c r="Q53" s="20" t="s">
        <v>74</v>
      </c>
      <c r="R53" s="27" t="s">
        <v>832</v>
      </c>
      <c r="S53" s="17" t="s">
        <v>24</v>
      </c>
    </row>
    <row r="54" customFormat="false" ht="15" hidden="false" customHeight="false" outlineLevel="0" collapsed="false">
      <c r="A54" s="17" t="s">
        <v>121</v>
      </c>
      <c r="B54" s="17" t="s">
        <v>122</v>
      </c>
      <c r="C54" s="17" t="s">
        <v>913</v>
      </c>
      <c r="D54" s="17" t="s">
        <v>123</v>
      </c>
      <c r="E54" s="18" t="n">
        <v>33210</v>
      </c>
      <c r="F54" s="17" t="s">
        <v>821</v>
      </c>
      <c r="G54" s="23" t="n">
        <v>1.51604938271605</v>
      </c>
      <c r="H54" s="19" t="n">
        <v>89.8</v>
      </c>
      <c r="I54" s="17" t="n">
        <f aca="false">IF(H54="","",RANK(H54,$H$5:$H$430))</f>
        <v>50</v>
      </c>
      <c r="J54" s="24" t="n">
        <v>0.16813225466057</v>
      </c>
      <c r="K54" s="19" t="n">
        <v>81.8</v>
      </c>
      <c r="L54" s="17" t="n">
        <f aca="false">IF(K54="","",RANK(K54,$K$5:$K$430))</f>
        <v>79</v>
      </c>
      <c r="M54" s="25" t="n">
        <v>0.153196622436671</v>
      </c>
      <c r="N54" s="19" t="n">
        <v>59.4</v>
      </c>
      <c r="O54" s="17" t="n">
        <f aca="false">IF(N54="","",RANK(N54,$N$5:$N$430))</f>
        <v>153</v>
      </c>
      <c r="P54" s="17" t="str">
        <f aca="false">IF(AND(N(H54)&gt;=N(K54),N(H54)&gt;=N(N54)),"The Pulse",IF(N(K54)&gt;=N(N54),"The Lens","The Hub"))</f>
        <v>The Pulse</v>
      </c>
      <c r="Q54" s="20" t="s">
        <v>74</v>
      </c>
      <c r="R54" s="26" t="s">
        <v>822</v>
      </c>
      <c r="S54" s="17" t="s">
        <v>24</v>
      </c>
    </row>
    <row r="55" customFormat="false" ht="15" hidden="false" customHeight="false" outlineLevel="0" collapsed="false">
      <c r="A55" s="17" t="s">
        <v>515</v>
      </c>
      <c r="B55" s="17" t="s">
        <v>516</v>
      </c>
      <c r="C55" s="17" t="s">
        <v>914</v>
      </c>
      <c r="D55" s="17" t="s">
        <v>98</v>
      </c>
      <c r="E55" s="18" t="n">
        <v>16509</v>
      </c>
      <c r="F55" s="17" t="s">
        <v>821</v>
      </c>
      <c r="G55" s="23" t="n">
        <v>1.51457206099361</v>
      </c>
      <c r="H55" s="19" t="n">
        <v>89.6</v>
      </c>
      <c r="I55" s="17" t="n">
        <f aca="false">IF(H55="","",RANK(H55,$H$5:$H$430))</f>
        <v>51</v>
      </c>
      <c r="J55" s="24" t="n">
        <v>-0.194329217705334</v>
      </c>
      <c r="K55" s="19" t="n">
        <v>0.3</v>
      </c>
      <c r="L55" s="17" t="n">
        <f aca="false">IF(K55="","",RANK(K55,$K$5:$K$430))</f>
        <v>426</v>
      </c>
      <c r="M55" s="28" t="s">
        <v>857</v>
      </c>
      <c r="N55" s="19"/>
      <c r="O55" s="17" t="str">
        <f aca="false">IF(N55="","",RANK(N55,$N$5:$N$430))</f>
        <v/>
      </c>
      <c r="P55" s="17" t="str">
        <f aca="false">IF(AND(N(H55)&gt;=N(K55),N(H55)&gt;=N(N55)),"The Pulse",IF(N(K55)&gt;=N(N55),"The Lens","The Hub"))</f>
        <v>The Pulse</v>
      </c>
      <c r="Q55" s="22" t="s">
        <v>109</v>
      </c>
      <c r="R55" s="26" t="s">
        <v>822</v>
      </c>
      <c r="S55" s="17" t="s">
        <v>110</v>
      </c>
    </row>
    <row r="56" customFormat="false" ht="15" hidden="false" customHeight="false" outlineLevel="0" collapsed="false">
      <c r="A56" s="17" t="s">
        <v>281</v>
      </c>
      <c r="B56" s="17" t="s">
        <v>282</v>
      </c>
      <c r="C56" s="17" t="s">
        <v>915</v>
      </c>
      <c r="D56" s="17" t="s">
        <v>98</v>
      </c>
      <c r="E56" s="18" t="n">
        <v>100910</v>
      </c>
      <c r="F56" s="17" t="s">
        <v>827</v>
      </c>
      <c r="G56" s="23" t="n">
        <v>1.49685858685958</v>
      </c>
      <c r="H56" s="19" t="n">
        <v>89.4</v>
      </c>
      <c r="I56" s="17" t="n">
        <f aca="false">IF(H56="","",RANK(H56,$H$5:$H$430))</f>
        <v>52</v>
      </c>
      <c r="J56" s="24" t="n">
        <v>0.136117991443369</v>
      </c>
      <c r="K56" s="19" t="n">
        <v>76.4</v>
      </c>
      <c r="L56" s="17" t="n">
        <f aca="false">IF(K56="","",RANK(K56,$K$5:$K$430))</f>
        <v>101</v>
      </c>
      <c r="M56" s="28" t="s">
        <v>857</v>
      </c>
      <c r="N56" s="19"/>
      <c r="O56" s="17" t="str">
        <f aca="false">IF(N56="","",RANK(N56,$N$5:$N$430))</f>
        <v/>
      </c>
      <c r="P56" s="17" t="str">
        <f aca="false">IF(AND(N(H56)&gt;=N(K56),N(H56)&gt;=N(N56)),"The Pulse",IF(N(K56)&gt;=N(N56),"The Lens","The Hub"))</f>
        <v>The Pulse</v>
      </c>
      <c r="Q56" s="20" t="s">
        <v>74</v>
      </c>
      <c r="R56" s="26" t="s">
        <v>822</v>
      </c>
      <c r="S56" s="17" t="s">
        <v>24</v>
      </c>
    </row>
    <row r="57" customFormat="false" ht="15" hidden="false" customHeight="false" outlineLevel="0" collapsed="false">
      <c r="A57" s="17" t="s">
        <v>537</v>
      </c>
      <c r="B57" s="17" t="s">
        <v>538</v>
      </c>
      <c r="C57" s="17" t="s">
        <v>916</v>
      </c>
      <c r="D57" s="17" t="s">
        <v>72</v>
      </c>
      <c r="E57" s="18" t="n">
        <v>15370</v>
      </c>
      <c r="F57" s="17" t="s">
        <v>821</v>
      </c>
      <c r="G57" s="23" t="n">
        <v>1.4925178919974</v>
      </c>
      <c r="H57" s="19" t="n">
        <v>89.2</v>
      </c>
      <c r="I57" s="17" t="n">
        <f aca="false">IF(H57="","",RANK(H57,$H$5:$H$430))</f>
        <v>53</v>
      </c>
      <c r="J57" s="24" t="n">
        <v>0.266062602965404</v>
      </c>
      <c r="K57" s="19" t="n">
        <v>99.3</v>
      </c>
      <c r="L57" s="17" t="n">
        <f aca="false">IF(K57="","",RANK(K57,$K$5:$K$430))</f>
        <v>5</v>
      </c>
      <c r="M57" s="28" t="s">
        <v>857</v>
      </c>
      <c r="N57" s="19"/>
      <c r="O57" s="17" t="str">
        <f aca="false">IF(N57="","",RANK(N57,$N$5:$N$430))</f>
        <v/>
      </c>
      <c r="P57" s="17" t="str">
        <f aca="false">IF(AND(N(H57)&gt;=N(K57),N(H57)&gt;=N(N57)),"The Pulse",IF(N(K57)&gt;=N(N57),"The Lens","The Hub"))</f>
        <v>The Lens</v>
      </c>
      <c r="Q57" s="20" t="s">
        <v>74</v>
      </c>
      <c r="R57" s="26" t="s">
        <v>822</v>
      </c>
      <c r="S57" s="17" t="s">
        <v>24</v>
      </c>
    </row>
    <row r="58" customFormat="false" ht="15" hidden="false" customHeight="false" outlineLevel="0" collapsed="false">
      <c r="A58" s="17" t="s">
        <v>917</v>
      </c>
      <c r="B58" s="17" t="s">
        <v>918</v>
      </c>
      <c r="C58" s="17" t="s">
        <v>919</v>
      </c>
      <c r="D58" s="17" t="s">
        <v>72</v>
      </c>
      <c r="E58" s="18" t="n">
        <v>75760</v>
      </c>
      <c r="F58" s="17" t="s">
        <v>821</v>
      </c>
      <c r="G58" s="23" t="n">
        <v>1.48268215417107</v>
      </c>
      <c r="H58" s="19" t="n">
        <v>89</v>
      </c>
      <c r="I58" s="17" t="n">
        <f aca="false">IF(H58="","",RANK(H58,$H$5:$H$430))</f>
        <v>54</v>
      </c>
      <c r="J58" s="24" t="n">
        <v>0.109548916227299</v>
      </c>
      <c r="K58" s="19" t="n">
        <v>59.1</v>
      </c>
      <c r="L58" s="17" t="n">
        <f aca="false">IF(K58="","",RANK(K58,$K$5:$K$430))</f>
        <v>176</v>
      </c>
      <c r="M58" s="25" t="n">
        <v>0.0503965631196299</v>
      </c>
      <c r="N58" s="19" t="n">
        <v>15.4</v>
      </c>
      <c r="O58" s="17" t="n">
        <f aca="false">IF(N58="","",RANK(N58,$N$5:$N$430))</f>
        <v>328</v>
      </c>
      <c r="P58" s="17" t="str">
        <f aca="false">IF(AND(N(H58)&gt;=N(K58),N(H58)&gt;=N(N58)),"The Pulse",IF(N(K58)&gt;=N(N58),"The Lens","The Hub"))</f>
        <v>The Pulse</v>
      </c>
      <c r="Q58" s="20" t="s">
        <v>74</v>
      </c>
      <c r="R58" s="27" t="s">
        <v>832</v>
      </c>
      <c r="S58" s="17" t="s">
        <v>24</v>
      </c>
    </row>
    <row r="59" customFormat="false" ht="15" hidden="false" customHeight="false" outlineLevel="0" collapsed="false">
      <c r="A59" s="17" t="s">
        <v>289</v>
      </c>
      <c r="B59" s="17" t="s">
        <v>290</v>
      </c>
      <c r="C59" s="17" t="s">
        <v>920</v>
      </c>
      <c r="D59" s="17" t="s">
        <v>91</v>
      </c>
      <c r="E59" s="18" t="n">
        <v>19690</v>
      </c>
      <c r="F59" s="17" t="s">
        <v>821</v>
      </c>
      <c r="G59" s="23" t="n">
        <v>1.47531742001016</v>
      </c>
      <c r="H59" s="19" t="n">
        <v>88.8</v>
      </c>
      <c r="I59" s="17" t="n">
        <f aca="false">IF(H59="","",RANK(H59,$H$5:$H$430))</f>
        <v>55</v>
      </c>
      <c r="J59" s="24" t="n">
        <v>0.0501333333333333</v>
      </c>
      <c r="K59" s="19" t="n">
        <v>27.5</v>
      </c>
      <c r="L59" s="17" t="n">
        <f aca="false">IF(K59="","",RANK(K59,$K$5:$K$430))</f>
        <v>301</v>
      </c>
      <c r="M59" s="25" t="n">
        <v>0.13314447592068</v>
      </c>
      <c r="N59" s="19" t="n">
        <v>49.4</v>
      </c>
      <c r="O59" s="17" t="n">
        <f aca="false">IF(N59="","",RANK(N59,$N$5:$N$430))</f>
        <v>193</v>
      </c>
      <c r="P59" s="17" t="str">
        <f aca="false">IF(AND(N(H59)&gt;=N(K59),N(H59)&gt;=N(N59)),"The Pulse",IF(N(K59)&gt;=N(N59),"The Lens","The Hub"))</f>
        <v>The Pulse</v>
      </c>
      <c r="Q59" s="20" t="s">
        <v>74</v>
      </c>
      <c r="R59" s="26" t="s">
        <v>822</v>
      </c>
      <c r="S59" s="17" t="s">
        <v>24</v>
      </c>
    </row>
    <row r="60" customFormat="false" ht="15" hidden="false" customHeight="false" outlineLevel="0" collapsed="false">
      <c r="A60" s="17" t="s">
        <v>921</v>
      </c>
      <c r="B60" s="17" t="s">
        <v>922</v>
      </c>
      <c r="C60" s="17" t="s">
        <v>923</v>
      </c>
      <c r="D60" s="17" t="s">
        <v>72</v>
      </c>
      <c r="E60" s="18" t="n">
        <v>119160</v>
      </c>
      <c r="F60" s="17" t="s">
        <v>827</v>
      </c>
      <c r="G60" s="23" t="n">
        <v>1.4327626720376</v>
      </c>
      <c r="H60" s="19" t="n">
        <v>88.5</v>
      </c>
      <c r="I60" s="17" t="n">
        <f aca="false">IF(H60="","",RANK(H60,$H$5:$H$430))</f>
        <v>56</v>
      </c>
      <c r="J60" s="24" t="n">
        <v>0.00633392449961997</v>
      </c>
      <c r="K60" s="19" t="n">
        <v>15</v>
      </c>
      <c r="L60" s="17" t="n">
        <f aca="false">IF(K60="","",RANK(K60,$K$5:$K$430))</f>
        <v>359</v>
      </c>
      <c r="M60" s="28" t="s">
        <v>857</v>
      </c>
      <c r="N60" s="19"/>
      <c r="O60" s="17" t="str">
        <f aca="false">IF(N60="","",RANK(N60,$N$5:$N$430))</f>
        <v/>
      </c>
      <c r="P60" s="17" t="str">
        <f aca="false">IF(AND(N(H60)&gt;=N(K60),N(H60)&gt;=N(N60)),"The Pulse",IF(N(K60)&gt;=N(N60),"The Lens","The Hub"))</f>
        <v>The Pulse</v>
      </c>
      <c r="Q60" s="20" t="s">
        <v>74</v>
      </c>
      <c r="R60" s="27" t="s">
        <v>832</v>
      </c>
      <c r="S60" s="17" t="s">
        <v>24</v>
      </c>
    </row>
    <row r="61" customFormat="false" ht="15" hidden="false" customHeight="false" outlineLevel="0" collapsed="false">
      <c r="A61" s="17" t="s">
        <v>351</v>
      </c>
      <c r="B61" s="17" t="s">
        <v>352</v>
      </c>
      <c r="C61" s="17" t="s">
        <v>924</v>
      </c>
      <c r="D61" s="17" t="s">
        <v>86</v>
      </c>
      <c r="E61" s="18" t="n">
        <v>59870</v>
      </c>
      <c r="F61" s="17" t="s">
        <v>821</v>
      </c>
      <c r="G61" s="23" t="n">
        <v>1.42206447302489</v>
      </c>
      <c r="H61" s="19" t="n">
        <v>88.3</v>
      </c>
      <c r="I61" s="17" t="n">
        <f aca="false">IF(H61="","",RANK(H61,$H$5:$H$430))</f>
        <v>57</v>
      </c>
      <c r="J61" s="24" t="n">
        <v>0.133472169632715</v>
      </c>
      <c r="K61" s="19" t="n">
        <v>71.1</v>
      </c>
      <c r="L61" s="17" t="n">
        <f aca="false">IF(K61="","",RANK(K61,$K$5:$K$430))</f>
        <v>124</v>
      </c>
      <c r="M61" s="25" t="n">
        <v>0.282458282458283</v>
      </c>
      <c r="N61" s="19" t="n">
        <v>87.9</v>
      </c>
      <c r="O61" s="17" t="n">
        <f aca="false">IF(N61="","",RANK(N61,$N$5:$N$430))</f>
        <v>47</v>
      </c>
      <c r="P61" s="17" t="str">
        <f aca="false">IF(AND(N(H61)&gt;=N(K61),N(H61)&gt;=N(N61)),"The Pulse",IF(N(K61)&gt;=N(N61),"The Lens","The Hub"))</f>
        <v>The Pulse</v>
      </c>
      <c r="Q61" s="20" t="s">
        <v>74</v>
      </c>
      <c r="R61" s="26" t="s">
        <v>822</v>
      </c>
      <c r="S61" s="17" t="s">
        <v>24</v>
      </c>
    </row>
    <row r="62" customFormat="false" ht="15" hidden="false" customHeight="false" outlineLevel="0" collapsed="false">
      <c r="A62" s="17" t="s">
        <v>925</v>
      </c>
      <c r="B62" s="17" t="s">
        <v>926</v>
      </c>
      <c r="C62" s="17" t="s">
        <v>927</v>
      </c>
      <c r="D62" s="17" t="s">
        <v>72</v>
      </c>
      <c r="E62" s="18" t="n">
        <v>25240</v>
      </c>
      <c r="F62" s="17" t="s">
        <v>821</v>
      </c>
      <c r="G62" s="23" t="n">
        <v>1.41564976228209</v>
      </c>
      <c r="H62" s="19" t="n">
        <v>88.1</v>
      </c>
      <c r="I62" s="17" t="n">
        <f aca="false">IF(H62="","",RANK(H62,$H$5:$H$430))</f>
        <v>58</v>
      </c>
      <c r="J62" s="24" t="n">
        <v>0.169059749884206</v>
      </c>
      <c r="K62" s="19" t="n">
        <v>82.1</v>
      </c>
      <c r="L62" s="17" t="n">
        <f aca="false">IF(K62="","",RANK(K62,$K$5:$K$430))</f>
        <v>77</v>
      </c>
      <c r="M62" s="25" t="n">
        <v>0.0715859030837004</v>
      </c>
      <c r="N62" s="19" t="n">
        <v>23.5</v>
      </c>
      <c r="O62" s="17" t="n">
        <f aca="false">IF(N62="","",RANK(N62,$N$5:$N$430))</f>
        <v>298</v>
      </c>
      <c r="P62" s="17" t="str">
        <f aca="false">IF(AND(N(H62)&gt;=N(K62),N(H62)&gt;=N(N62)),"The Pulse",IF(N(K62)&gt;=N(N62),"The Lens","The Hub"))</f>
        <v>The Pulse</v>
      </c>
      <c r="Q62" s="20" t="s">
        <v>74</v>
      </c>
      <c r="R62" s="27" t="s">
        <v>832</v>
      </c>
      <c r="S62" s="17" t="s">
        <v>24</v>
      </c>
    </row>
    <row r="63" customFormat="false" ht="15" hidden="false" customHeight="false" outlineLevel="0" collapsed="false">
      <c r="A63" s="17" t="s">
        <v>125</v>
      </c>
      <c r="B63" s="17" t="s">
        <v>126</v>
      </c>
      <c r="C63" s="17" t="s">
        <v>928</v>
      </c>
      <c r="D63" s="17" t="s">
        <v>82</v>
      </c>
      <c r="E63" s="18" t="n">
        <v>14960</v>
      </c>
      <c r="F63" s="17" t="s">
        <v>821</v>
      </c>
      <c r="G63" s="23" t="n">
        <v>1.39605614973262</v>
      </c>
      <c r="H63" s="19" t="n">
        <v>87.9</v>
      </c>
      <c r="I63" s="17" t="n">
        <f aca="false">IF(H63="","",RANK(H63,$H$5:$H$430))</f>
        <v>59</v>
      </c>
      <c r="J63" s="24" t="n">
        <v>0.0295939435650379</v>
      </c>
      <c r="K63" s="19" t="n">
        <v>17.9</v>
      </c>
      <c r="L63" s="17" t="n">
        <f aca="false">IF(K63="","",RANK(K63,$K$5:$K$430))</f>
        <v>346</v>
      </c>
      <c r="M63" s="28" t="s">
        <v>857</v>
      </c>
      <c r="N63" s="19"/>
      <c r="O63" s="17" t="str">
        <f aca="false">IF(N63="","",RANK(N63,$N$5:$N$430))</f>
        <v/>
      </c>
      <c r="P63" s="17" t="str">
        <f aca="false">IF(AND(N(H63)&gt;=N(K63),N(H63)&gt;=N(N63)),"The Pulse",IF(N(K63)&gt;=N(N63),"The Lens","The Hub"))</f>
        <v>The Pulse</v>
      </c>
      <c r="Q63" s="20" t="s">
        <v>74</v>
      </c>
      <c r="R63" s="26" t="s">
        <v>822</v>
      </c>
      <c r="S63" s="17" t="s">
        <v>24</v>
      </c>
    </row>
    <row r="64" customFormat="false" ht="15" hidden="false" customHeight="false" outlineLevel="0" collapsed="false">
      <c r="A64" s="17" t="s">
        <v>449</v>
      </c>
      <c r="B64" s="17" t="s">
        <v>450</v>
      </c>
      <c r="C64" s="17" t="s">
        <v>929</v>
      </c>
      <c r="D64" s="17" t="s">
        <v>98</v>
      </c>
      <c r="E64" s="18" t="n">
        <v>27220</v>
      </c>
      <c r="F64" s="17" t="s">
        <v>821</v>
      </c>
      <c r="G64" s="23" t="n">
        <v>1.38629684055841</v>
      </c>
      <c r="H64" s="19" t="n">
        <v>87.5</v>
      </c>
      <c r="I64" s="17" t="n">
        <f aca="false">IF(H64="","",RANK(H64,$H$5:$H$430))</f>
        <v>60</v>
      </c>
      <c r="J64" s="24" t="n">
        <v>0.167238421955403</v>
      </c>
      <c r="K64" s="19" t="n">
        <v>81.1</v>
      </c>
      <c r="L64" s="17" t="n">
        <f aca="false">IF(K64="","",RANK(K64,$K$5:$K$430))</f>
        <v>83</v>
      </c>
      <c r="M64" s="25" t="n">
        <v>0.227600411946447</v>
      </c>
      <c r="N64" s="19" t="n">
        <v>78.1</v>
      </c>
      <c r="O64" s="17" t="n">
        <f aca="false">IF(N64="","",RANK(N64,$N$5:$N$430))</f>
        <v>87</v>
      </c>
      <c r="P64" s="17" t="str">
        <f aca="false">IF(AND(N(H64)&gt;=N(K64),N(H64)&gt;=N(N64)),"The Pulse",IF(N(K64)&gt;=N(N64),"The Lens","The Hub"))</f>
        <v>The Pulse</v>
      </c>
      <c r="Q64" s="20" t="s">
        <v>74</v>
      </c>
      <c r="R64" s="26" t="s">
        <v>822</v>
      </c>
      <c r="S64" s="17" t="s">
        <v>24</v>
      </c>
    </row>
    <row r="65" customFormat="false" ht="15" hidden="false" customHeight="false" outlineLevel="0" collapsed="false">
      <c r="A65" s="17" t="s">
        <v>163</v>
      </c>
      <c r="B65" s="17" t="s">
        <v>164</v>
      </c>
      <c r="C65" s="17" t="s">
        <v>930</v>
      </c>
      <c r="D65" s="17" t="s">
        <v>115</v>
      </c>
      <c r="E65" s="18" t="n">
        <v>31160</v>
      </c>
      <c r="F65" s="17" t="s">
        <v>821</v>
      </c>
      <c r="G65" s="23" t="n">
        <v>1.38305519897304</v>
      </c>
      <c r="H65" s="19" t="n">
        <v>87.1</v>
      </c>
      <c r="I65" s="17" t="n">
        <f aca="false">IF(H65="","",RANK(H65,$H$5:$H$430))</f>
        <v>61</v>
      </c>
      <c r="J65" s="24" t="n">
        <v>0.0133003804754317</v>
      </c>
      <c r="K65" s="19" t="n">
        <v>11.7</v>
      </c>
      <c r="L65" s="17" t="n">
        <f aca="false">IF(K65="","",RANK(K65,$K$5:$K$430))</f>
        <v>374</v>
      </c>
      <c r="M65" s="25" t="n">
        <v>0.132004310344828</v>
      </c>
      <c r="N65" s="19" t="n">
        <v>48.7</v>
      </c>
      <c r="O65" s="17" t="n">
        <f aca="false">IF(N65="","",RANK(N65,$N$5:$N$430))</f>
        <v>196</v>
      </c>
      <c r="P65" s="17" t="str">
        <f aca="false">IF(AND(N(H65)&gt;=N(K65),N(H65)&gt;=N(N65)),"The Pulse",IF(N(K65)&gt;=N(N65),"The Lens","The Hub"))</f>
        <v>The Pulse</v>
      </c>
      <c r="Q65" s="21" t="s">
        <v>79</v>
      </c>
      <c r="R65" s="26" t="s">
        <v>822</v>
      </c>
      <c r="S65" s="17" t="s">
        <v>22</v>
      </c>
    </row>
    <row r="66" customFormat="false" ht="15" hidden="false" customHeight="false" outlineLevel="0" collapsed="false">
      <c r="A66" s="17" t="s">
        <v>931</v>
      </c>
      <c r="B66" s="17" t="s">
        <v>932</v>
      </c>
      <c r="C66" s="17" t="s">
        <v>933</v>
      </c>
      <c r="D66" s="17" t="s">
        <v>77</v>
      </c>
      <c r="E66" s="18" t="n">
        <v>59020</v>
      </c>
      <c r="F66" s="17" t="s">
        <v>821</v>
      </c>
      <c r="G66" s="23" t="n">
        <v>1.37114537444934</v>
      </c>
      <c r="H66" s="19" t="n">
        <v>87</v>
      </c>
      <c r="I66" s="17" t="n">
        <f aca="false">IF(H66="","",RANK(H66,$H$5:$H$430))</f>
        <v>62</v>
      </c>
      <c r="J66" s="24" t="n">
        <v>0.0262563032516084</v>
      </c>
      <c r="K66" s="19" t="n">
        <v>16.2</v>
      </c>
      <c r="L66" s="17" t="n">
        <f aca="false">IF(K66="","",RANK(K66,$K$5:$K$430))</f>
        <v>353</v>
      </c>
      <c r="M66" s="28" t="s">
        <v>857</v>
      </c>
      <c r="N66" s="19"/>
      <c r="O66" s="17" t="str">
        <f aca="false">IF(N66="","",RANK(N66,$N$5:$N$430))</f>
        <v/>
      </c>
      <c r="P66" s="17" t="str">
        <f aca="false">IF(AND(N(H66)&gt;=N(K66),N(H66)&gt;=N(N66)),"The Pulse",IF(N(K66)&gt;=N(N66),"The Lens","The Hub"))</f>
        <v>The Pulse</v>
      </c>
      <c r="Q66" s="20" t="s">
        <v>74</v>
      </c>
      <c r="R66" s="27" t="s">
        <v>832</v>
      </c>
      <c r="S66" s="17" t="s">
        <v>24</v>
      </c>
    </row>
    <row r="67" customFormat="false" ht="15" hidden="false" customHeight="false" outlineLevel="0" collapsed="false">
      <c r="A67" s="17" t="s">
        <v>130</v>
      </c>
      <c r="B67" s="17" t="s">
        <v>131</v>
      </c>
      <c r="C67" s="17" t="s">
        <v>934</v>
      </c>
      <c r="D67" s="17" t="s">
        <v>82</v>
      </c>
      <c r="E67" s="18" t="n">
        <v>1207050</v>
      </c>
      <c r="F67" s="17" t="s">
        <v>935</v>
      </c>
      <c r="G67" s="23" t="n">
        <v>1.36189221656104</v>
      </c>
      <c r="H67" s="19" t="n">
        <v>86.8</v>
      </c>
      <c r="I67" s="17" t="n">
        <f aca="false">IF(H67="","",RANK(H67,$H$5:$H$430))</f>
        <v>63</v>
      </c>
      <c r="J67" s="24" t="n">
        <v>0.0374925865759006</v>
      </c>
      <c r="K67" s="19" t="n">
        <v>5.9</v>
      </c>
      <c r="L67" s="17" t="n">
        <f aca="false">IF(K67="","",RANK(K67,$K$5:$K$430))</f>
        <v>401</v>
      </c>
      <c r="M67" s="25" t="n">
        <v>0.0221872492748257</v>
      </c>
      <c r="N67" s="19" t="n">
        <v>6.5</v>
      </c>
      <c r="O67" s="17" t="n">
        <f aca="false">IF(N67="","",RANK(N67,$N$5:$N$430))</f>
        <v>362</v>
      </c>
      <c r="P67" s="17" t="str">
        <f aca="false">IF(AND(N(H67)&gt;=N(K67),N(H67)&gt;=N(N67)),"The Pulse",IF(N(K67)&gt;=N(N67),"The Lens","The Hub"))</f>
        <v>The Pulse</v>
      </c>
      <c r="Q67" s="20" t="s">
        <v>74</v>
      </c>
      <c r="R67" s="26" t="s">
        <v>822</v>
      </c>
      <c r="S67" s="17" t="s">
        <v>24</v>
      </c>
    </row>
    <row r="68" customFormat="false" ht="15" hidden="false" customHeight="false" outlineLevel="0" collapsed="false">
      <c r="A68" s="17" t="s">
        <v>191</v>
      </c>
      <c r="B68" s="17" t="s">
        <v>192</v>
      </c>
      <c r="C68" s="17" t="s">
        <v>936</v>
      </c>
      <c r="D68" s="17" t="s">
        <v>82</v>
      </c>
      <c r="E68" s="18" t="n">
        <v>19750</v>
      </c>
      <c r="F68" s="17" t="s">
        <v>821</v>
      </c>
      <c r="G68" s="23" t="n">
        <v>1.32855696202532</v>
      </c>
      <c r="H68" s="19" t="n">
        <v>86.4</v>
      </c>
      <c r="I68" s="17" t="n">
        <f aca="false">IF(H68="","",RANK(H68,$H$5:$H$430))</f>
        <v>64</v>
      </c>
      <c r="J68" s="24" t="n">
        <v>0.0618279569892473</v>
      </c>
      <c r="K68" s="19" t="n">
        <v>33.7</v>
      </c>
      <c r="L68" s="17" t="n">
        <f aca="false">IF(K68="","",RANK(K68,$K$5:$K$430))</f>
        <v>276</v>
      </c>
      <c r="M68" s="25" t="n">
        <v>0.179540709812109</v>
      </c>
      <c r="N68" s="19" t="n">
        <v>67.8</v>
      </c>
      <c r="O68" s="17" t="n">
        <f aca="false">IF(N68="","",RANK(N68,$N$5:$N$430))</f>
        <v>123</v>
      </c>
      <c r="P68" s="17" t="str">
        <f aca="false">IF(AND(N(H68)&gt;=N(K68),N(H68)&gt;=N(N68)),"The Pulse",IF(N(K68)&gt;=N(N68),"The Lens","The Hub"))</f>
        <v>The Pulse</v>
      </c>
      <c r="Q68" s="20" t="s">
        <v>74</v>
      </c>
      <c r="R68" s="26" t="s">
        <v>822</v>
      </c>
      <c r="S68" s="17" t="s">
        <v>24</v>
      </c>
    </row>
    <row r="69" customFormat="false" ht="15" hidden="false" customHeight="false" outlineLevel="0" collapsed="false">
      <c r="A69" s="17" t="s">
        <v>397</v>
      </c>
      <c r="B69" s="17" t="s">
        <v>398</v>
      </c>
      <c r="C69" s="17" t="s">
        <v>937</v>
      </c>
      <c r="D69" s="17" t="s">
        <v>82</v>
      </c>
      <c r="E69" s="18" t="n">
        <v>7313</v>
      </c>
      <c r="F69" s="17" t="s">
        <v>825</v>
      </c>
      <c r="G69" s="23" t="n">
        <v>1.31396143853412</v>
      </c>
      <c r="H69" s="19" t="n">
        <v>86.2</v>
      </c>
      <c r="I69" s="17" t="n">
        <f aca="false">IF(H69="","",RANK(H69,$H$5:$H$430))</f>
        <v>65</v>
      </c>
      <c r="J69" s="24" t="n">
        <v>0.0220824598183089</v>
      </c>
      <c r="K69" s="19" t="n">
        <v>9.9</v>
      </c>
      <c r="L69" s="17" t="n">
        <f aca="false">IF(K69="","",RANK(K69,$K$5:$K$430))</f>
        <v>382</v>
      </c>
      <c r="M69" s="25" t="n">
        <v>0.112721417069243</v>
      </c>
      <c r="N69" s="19" t="n">
        <v>40.8</v>
      </c>
      <c r="O69" s="17" t="n">
        <f aca="false">IF(N69="","",RANK(N69,$N$5:$N$430))</f>
        <v>228</v>
      </c>
      <c r="P69" s="17" t="str">
        <f aca="false">IF(AND(N(H69)&gt;=N(K69),N(H69)&gt;=N(N69)),"The Pulse",IF(N(K69)&gt;=N(N69),"The Lens","The Hub"))</f>
        <v>The Pulse</v>
      </c>
      <c r="Q69" s="21" t="s">
        <v>79</v>
      </c>
      <c r="R69" s="26" t="s">
        <v>822</v>
      </c>
      <c r="S69" s="17" t="s">
        <v>22</v>
      </c>
    </row>
    <row r="70" customFormat="false" ht="15" hidden="false" customHeight="false" outlineLevel="0" collapsed="false">
      <c r="A70" s="17" t="s">
        <v>193</v>
      </c>
      <c r="B70" s="17" t="s">
        <v>194</v>
      </c>
      <c r="C70" s="17" t="s">
        <v>938</v>
      </c>
      <c r="D70" s="17" t="s">
        <v>72</v>
      </c>
      <c r="E70" s="18" t="n">
        <v>17470</v>
      </c>
      <c r="F70" s="17" t="s">
        <v>821</v>
      </c>
      <c r="G70" s="23" t="n">
        <v>1.31230681167716</v>
      </c>
      <c r="H70" s="19" t="n">
        <v>86</v>
      </c>
      <c r="I70" s="17" t="n">
        <f aca="false">IF(H70="","",RANK(H70,$H$5:$H$430))</f>
        <v>66</v>
      </c>
      <c r="J70" s="24" t="n">
        <v>0.17563930013459</v>
      </c>
      <c r="K70" s="19" t="n">
        <v>85.9</v>
      </c>
      <c r="L70" s="17" t="n">
        <f aca="false">IF(K70="","",RANK(K70,$K$5:$K$430))</f>
        <v>60</v>
      </c>
      <c r="M70" s="25" t="n">
        <v>0.129090909090909</v>
      </c>
      <c r="N70" s="19" t="n">
        <v>47.1</v>
      </c>
      <c r="O70" s="17" t="n">
        <f aca="false">IF(N70="","",RANK(N70,$N$5:$N$430))</f>
        <v>203</v>
      </c>
      <c r="P70" s="17" t="str">
        <f aca="false">IF(AND(N(H70)&gt;=N(K70),N(H70)&gt;=N(N70)),"The Pulse",IF(N(K70)&gt;=N(N70),"The Lens","The Hub"))</f>
        <v>The Pulse</v>
      </c>
      <c r="Q70" s="20" t="s">
        <v>74</v>
      </c>
      <c r="R70" s="26" t="s">
        <v>822</v>
      </c>
      <c r="S70" s="17" t="s">
        <v>24</v>
      </c>
    </row>
    <row r="71" customFormat="false" ht="15" hidden="false" customHeight="false" outlineLevel="0" collapsed="false">
      <c r="A71" s="17" t="s">
        <v>939</v>
      </c>
      <c r="B71" s="17" t="s">
        <v>940</v>
      </c>
      <c r="C71" s="17" t="s">
        <v>941</v>
      </c>
      <c r="D71" s="17" t="s">
        <v>72</v>
      </c>
      <c r="E71" s="18" t="n">
        <v>50410</v>
      </c>
      <c r="F71" s="17" t="s">
        <v>821</v>
      </c>
      <c r="G71" s="23" t="n">
        <v>1.28972426105931</v>
      </c>
      <c r="H71" s="19" t="n">
        <v>85.8</v>
      </c>
      <c r="I71" s="17" t="n">
        <f aca="false">IF(H71="","",RANK(H71,$H$5:$H$430))</f>
        <v>67</v>
      </c>
      <c r="J71" s="24" t="n">
        <v>0.0495523631063918</v>
      </c>
      <c r="K71" s="19" t="n">
        <v>26.8</v>
      </c>
      <c r="L71" s="17" t="n">
        <f aca="false">IF(K71="","",RANK(K71,$K$5:$K$430))</f>
        <v>303</v>
      </c>
      <c r="M71" s="25" t="n">
        <v>0.0572851805728518</v>
      </c>
      <c r="N71" s="19" t="n">
        <v>18.6</v>
      </c>
      <c r="O71" s="17" t="n">
        <f aca="false">IF(N71="","",RANK(N71,$N$5:$N$430))</f>
        <v>315</v>
      </c>
      <c r="P71" s="17" t="str">
        <f aca="false">IF(AND(N(H71)&gt;=N(K71),N(H71)&gt;=N(N71)),"The Pulse",IF(N(K71)&gt;=N(N71),"The Lens","The Hub"))</f>
        <v>The Pulse</v>
      </c>
      <c r="Q71" s="20" t="s">
        <v>74</v>
      </c>
      <c r="R71" s="27" t="s">
        <v>832</v>
      </c>
      <c r="S71" s="17" t="s">
        <v>24</v>
      </c>
    </row>
    <row r="72" customFormat="false" ht="15" hidden="false" customHeight="false" outlineLevel="0" collapsed="false">
      <c r="A72" s="17" t="s">
        <v>395</v>
      </c>
      <c r="B72" s="17" t="s">
        <v>396</v>
      </c>
      <c r="C72" s="17" t="s">
        <v>942</v>
      </c>
      <c r="D72" s="17" t="s">
        <v>82</v>
      </c>
      <c r="E72" s="18" t="n">
        <v>2960</v>
      </c>
      <c r="F72" s="17" t="s">
        <v>825</v>
      </c>
      <c r="G72" s="23" t="n">
        <v>1.28952702702703</v>
      </c>
      <c r="H72" s="19" t="n">
        <v>85.6</v>
      </c>
      <c r="I72" s="17" t="n">
        <f aca="false">IF(H72="","",RANK(H72,$H$5:$H$430))</f>
        <v>68</v>
      </c>
      <c r="J72" s="24" t="n">
        <v>0.0467158412363892</v>
      </c>
      <c r="K72" s="19" t="n">
        <v>16.9</v>
      </c>
      <c r="L72" s="17" t="n">
        <f aca="false">IF(K72="","",RANK(K72,$K$5:$K$430))</f>
        <v>350</v>
      </c>
      <c r="M72" s="25" t="n">
        <v>0.173333333333333</v>
      </c>
      <c r="N72" s="19" t="n">
        <v>66.2</v>
      </c>
      <c r="O72" s="17" t="n">
        <f aca="false">IF(N72="","",RANK(N72,$N$5:$N$430))</f>
        <v>130</v>
      </c>
      <c r="P72" s="17" t="str">
        <f aca="false">IF(AND(N(H72)&gt;=N(K72),N(H72)&gt;=N(N72)),"The Pulse",IF(N(K72)&gt;=N(N72),"The Lens","The Hub"))</f>
        <v>The Pulse</v>
      </c>
      <c r="Q72" s="22" t="s">
        <v>109</v>
      </c>
      <c r="R72" s="26" t="s">
        <v>822</v>
      </c>
      <c r="S72" s="17" t="s">
        <v>155</v>
      </c>
    </row>
    <row r="73" customFormat="false" ht="15" hidden="false" customHeight="false" outlineLevel="0" collapsed="false">
      <c r="A73" s="17" t="s">
        <v>249</v>
      </c>
      <c r="B73" s="17" t="s">
        <v>250</v>
      </c>
      <c r="C73" s="17" t="s">
        <v>943</v>
      </c>
      <c r="D73" s="17" t="s">
        <v>72</v>
      </c>
      <c r="E73" s="18" t="n">
        <v>1148762</v>
      </c>
      <c r="F73" s="17" t="s">
        <v>935</v>
      </c>
      <c r="G73" s="23" t="n">
        <v>1.28725532355701</v>
      </c>
      <c r="H73" s="19" t="n">
        <v>85.4</v>
      </c>
      <c r="I73" s="17" t="n">
        <f aca="false">IF(H73="","",RANK(H73,$H$5:$H$430))</f>
        <v>69</v>
      </c>
      <c r="J73" s="24" t="n">
        <v>0.045095811199671</v>
      </c>
      <c r="K73" s="19" t="n">
        <v>11.8</v>
      </c>
      <c r="L73" s="17" t="n">
        <f aca="false">IF(K73="","",RANK(K73,$K$5:$K$430))</f>
        <v>373</v>
      </c>
      <c r="M73" s="25" t="n">
        <v>0.178208838098975</v>
      </c>
      <c r="N73" s="19" t="n">
        <v>67.4</v>
      </c>
      <c r="O73" s="17" t="n">
        <f aca="false">IF(N73="","",RANK(N73,$N$5:$N$430))</f>
        <v>125</v>
      </c>
      <c r="P73" s="17" t="str">
        <f aca="false">IF(AND(N(H73)&gt;=N(K73),N(H73)&gt;=N(N73)),"The Pulse",IF(N(K73)&gt;=N(N73),"The Lens","The Hub"))</f>
        <v>The Pulse</v>
      </c>
      <c r="Q73" s="21" t="s">
        <v>79</v>
      </c>
      <c r="R73" s="26" t="s">
        <v>822</v>
      </c>
      <c r="S73" s="17" t="s">
        <v>22</v>
      </c>
    </row>
    <row r="74" customFormat="false" ht="15" hidden="false" customHeight="false" outlineLevel="0" collapsed="false">
      <c r="A74" s="17" t="s">
        <v>944</v>
      </c>
      <c r="B74" s="17" t="s">
        <v>945</v>
      </c>
      <c r="C74" s="17" t="s">
        <v>946</v>
      </c>
      <c r="D74" s="17" t="s">
        <v>123</v>
      </c>
      <c r="E74" s="18" t="n">
        <v>22710</v>
      </c>
      <c r="F74" s="17" t="s">
        <v>821</v>
      </c>
      <c r="G74" s="23" t="n">
        <v>1.26952884191986</v>
      </c>
      <c r="H74" s="19" t="n">
        <v>85.3</v>
      </c>
      <c r="I74" s="17" t="n">
        <f aca="false">IF(H74="","",RANK(H74,$H$5:$H$430))</f>
        <v>70</v>
      </c>
      <c r="J74" s="24" t="n">
        <v>0.0727444496929617</v>
      </c>
      <c r="K74" s="19" t="n">
        <v>39.2</v>
      </c>
      <c r="L74" s="17" t="n">
        <f aca="false">IF(K74="","",RANK(K74,$K$5:$K$430))</f>
        <v>257</v>
      </c>
      <c r="M74" s="25" t="n">
        <v>0.127118644067797</v>
      </c>
      <c r="N74" s="19" t="n">
        <v>46.4</v>
      </c>
      <c r="O74" s="17" t="n">
        <f aca="false">IF(N74="","",RANK(N74,$N$5:$N$430))</f>
        <v>205</v>
      </c>
      <c r="P74" s="17" t="str">
        <f aca="false">IF(AND(N(H74)&gt;=N(K74),N(H74)&gt;=N(N74)),"The Pulse",IF(N(K74)&gt;=N(N74),"The Lens","The Hub"))</f>
        <v>The Pulse</v>
      </c>
      <c r="Q74" s="20" t="s">
        <v>74</v>
      </c>
      <c r="R74" s="27" t="s">
        <v>832</v>
      </c>
      <c r="S74" s="17" t="s">
        <v>24</v>
      </c>
    </row>
    <row r="75" customFormat="false" ht="15" hidden="false" customHeight="false" outlineLevel="0" collapsed="false">
      <c r="A75" s="17" t="s">
        <v>947</v>
      </c>
      <c r="B75" s="17" t="s">
        <v>948</v>
      </c>
      <c r="C75" s="17" t="s">
        <v>949</v>
      </c>
      <c r="D75" s="17" t="s">
        <v>123</v>
      </c>
      <c r="E75" s="18" t="n">
        <v>18970</v>
      </c>
      <c r="F75" s="17" t="s">
        <v>821</v>
      </c>
      <c r="G75" s="23" t="n">
        <v>1.24918292040063</v>
      </c>
      <c r="H75" s="19" t="n">
        <v>85.1</v>
      </c>
      <c r="I75" s="17" t="n">
        <f aca="false">IF(H75="","",RANK(H75,$H$5:$H$430))</f>
        <v>71</v>
      </c>
      <c r="J75" s="24" t="n">
        <v>0.19609079445145</v>
      </c>
      <c r="K75" s="19" t="n">
        <v>90.4</v>
      </c>
      <c r="L75" s="17" t="n">
        <f aca="false">IF(K75="","",RANK(K75,$K$5:$K$430))</f>
        <v>43</v>
      </c>
      <c r="M75" s="25" t="n">
        <v>0.329522528581036</v>
      </c>
      <c r="N75" s="19" t="n">
        <v>93.5</v>
      </c>
      <c r="O75" s="17" t="n">
        <f aca="false">IF(N75="","",RANK(N75,$N$5:$N$430))</f>
        <v>25</v>
      </c>
      <c r="P75" s="17" t="str">
        <f aca="false">IF(AND(N(H75)&gt;=N(K75),N(H75)&gt;=N(N75)),"The Pulse",IF(N(K75)&gt;=N(N75),"The Lens","The Hub"))</f>
        <v>The Hub</v>
      </c>
      <c r="Q75" s="20" t="s">
        <v>74</v>
      </c>
      <c r="R75" s="27" t="s">
        <v>832</v>
      </c>
      <c r="S75" s="17" t="s">
        <v>24</v>
      </c>
    </row>
    <row r="76" customFormat="false" ht="15" hidden="false" customHeight="false" outlineLevel="0" collapsed="false">
      <c r="A76" s="17" t="s">
        <v>950</v>
      </c>
      <c r="B76" s="17" t="s">
        <v>951</v>
      </c>
      <c r="C76" s="17" t="s">
        <v>952</v>
      </c>
      <c r="D76" s="17" t="s">
        <v>86</v>
      </c>
      <c r="E76" s="18" t="n">
        <v>505860</v>
      </c>
      <c r="F76" s="17" t="s">
        <v>827</v>
      </c>
      <c r="G76" s="23" t="n">
        <v>1.24653263748863</v>
      </c>
      <c r="H76" s="19" t="n">
        <v>84.9</v>
      </c>
      <c r="I76" s="17" t="n">
        <f aca="false">IF(H76="","",RANK(H76,$H$5:$H$430))</f>
        <v>72</v>
      </c>
      <c r="J76" s="24" t="n">
        <v>0.119332640010621</v>
      </c>
      <c r="K76" s="19" t="n">
        <v>68.6</v>
      </c>
      <c r="L76" s="17" t="n">
        <f aca="false">IF(K76="","",RANK(K76,$K$5:$K$430))</f>
        <v>135</v>
      </c>
      <c r="M76" s="28" t="s">
        <v>857</v>
      </c>
      <c r="N76" s="19"/>
      <c r="O76" s="17" t="str">
        <f aca="false">IF(N76="","",RANK(N76,$N$5:$N$430))</f>
        <v/>
      </c>
      <c r="P76" s="17" t="str">
        <f aca="false">IF(AND(N(H76)&gt;=N(K76),N(H76)&gt;=N(N76)),"The Pulse",IF(N(K76)&gt;=N(N76),"The Lens","The Hub"))</f>
        <v>The Pulse</v>
      </c>
      <c r="Q76" s="20" t="s">
        <v>74</v>
      </c>
      <c r="R76" s="27" t="s">
        <v>832</v>
      </c>
      <c r="S76" s="17" t="s">
        <v>24</v>
      </c>
    </row>
    <row r="77" customFormat="false" ht="15" hidden="false" customHeight="false" outlineLevel="0" collapsed="false">
      <c r="A77" s="17" t="s">
        <v>953</v>
      </c>
      <c r="B77" s="17" t="s">
        <v>954</v>
      </c>
      <c r="C77" s="17" t="s">
        <v>955</v>
      </c>
      <c r="D77" s="17" t="s">
        <v>115</v>
      </c>
      <c r="E77" s="18" t="n">
        <v>104240</v>
      </c>
      <c r="F77" s="17" t="s">
        <v>827</v>
      </c>
      <c r="G77" s="23" t="n">
        <v>1.23242517267843</v>
      </c>
      <c r="H77" s="19" t="n">
        <v>84.7</v>
      </c>
      <c r="I77" s="17" t="n">
        <f aca="false">IF(H77="","",RANK(H77,$H$5:$H$430))</f>
        <v>73</v>
      </c>
      <c r="J77" s="24" t="n">
        <v>0.0117441521886829</v>
      </c>
      <c r="K77" s="19" t="n">
        <v>15.7</v>
      </c>
      <c r="L77" s="17" t="n">
        <f aca="false">IF(K77="","",RANK(K77,$K$5:$K$430))</f>
        <v>355</v>
      </c>
      <c r="M77" s="25" t="n">
        <v>0.166036679266415</v>
      </c>
      <c r="N77" s="19" t="n">
        <v>64.8</v>
      </c>
      <c r="O77" s="17" t="n">
        <f aca="false">IF(N77="","",RANK(N77,$N$5:$N$430))</f>
        <v>136</v>
      </c>
      <c r="P77" s="17" t="str">
        <f aca="false">IF(AND(N(H77)&gt;=N(K77),N(H77)&gt;=N(N77)),"The Pulse",IF(N(K77)&gt;=N(N77),"The Lens","The Hub"))</f>
        <v>The Pulse</v>
      </c>
      <c r="Q77" s="20" t="s">
        <v>74</v>
      </c>
      <c r="R77" s="27" t="s">
        <v>832</v>
      </c>
      <c r="S77" s="17" t="s">
        <v>24</v>
      </c>
    </row>
    <row r="78" customFormat="false" ht="15" hidden="false" customHeight="false" outlineLevel="0" collapsed="false">
      <c r="A78" s="17" t="s">
        <v>183</v>
      </c>
      <c r="B78" s="17" t="s">
        <v>184</v>
      </c>
      <c r="C78" s="17" t="s">
        <v>956</v>
      </c>
      <c r="D78" s="17" t="s">
        <v>98</v>
      </c>
      <c r="E78" s="18" t="n">
        <v>13090</v>
      </c>
      <c r="F78" s="17" t="s">
        <v>821</v>
      </c>
      <c r="G78" s="23" t="n">
        <v>1.231474407945</v>
      </c>
      <c r="H78" s="19" t="n">
        <v>84.5</v>
      </c>
      <c r="I78" s="17" t="n">
        <f aca="false">IF(H78="","",RANK(H78,$H$5:$H$430))</f>
        <v>74</v>
      </c>
      <c r="J78" s="24" t="n">
        <v>0.0231074457325138</v>
      </c>
      <c r="K78" s="19" t="n">
        <v>14.1</v>
      </c>
      <c r="L78" s="17" t="n">
        <f aca="false">IF(K78="","",RANK(K78,$K$5:$K$430))</f>
        <v>361</v>
      </c>
      <c r="M78" s="25" t="n">
        <v>0.0229540918163673</v>
      </c>
      <c r="N78" s="19" t="n">
        <v>6.8</v>
      </c>
      <c r="O78" s="17" t="n">
        <f aca="false">IF(N78="","",RANK(N78,$N$5:$N$430))</f>
        <v>361</v>
      </c>
      <c r="P78" s="17" t="str">
        <f aca="false">IF(AND(N(H78)&gt;=N(K78),N(H78)&gt;=N(N78)),"The Pulse",IF(N(K78)&gt;=N(N78),"The Lens","The Hub"))</f>
        <v>The Pulse</v>
      </c>
      <c r="Q78" s="21" t="s">
        <v>79</v>
      </c>
      <c r="R78" s="26" t="s">
        <v>822</v>
      </c>
      <c r="S78" s="17" t="s">
        <v>88</v>
      </c>
    </row>
    <row r="79" customFormat="false" ht="15" hidden="false" customHeight="false" outlineLevel="0" collapsed="false">
      <c r="A79" s="17" t="s">
        <v>957</v>
      </c>
      <c r="B79" s="17" t="s">
        <v>958</v>
      </c>
      <c r="C79" s="17" t="s">
        <v>959</v>
      </c>
      <c r="D79" s="17" t="s">
        <v>95</v>
      </c>
      <c r="E79" s="18" t="n">
        <v>17900</v>
      </c>
      <c r="F79" s="17" t="s">
        <v>821</v>
      </c>
      <c r="G79" s="23" t="n">
        <v>1.23067039106145</v>
      </c>
      <c r="H79" s="19" t="n">
        <v>84.3</v>
      </c>
      <c r="I79" s="17" t="n">
        <f aca="false">IF(H79="","",RANK(H79,$H$5:$H$430))</f>
        <v>75</v>
      </c>
      <c r="J79" s="24" t="n">
        <v>0.142310146777281</v>
      </c>
      <c r="K79" s="19" t="n">
        <v>74.6</v>
      </c>
      <c r="L79" s="17" t="n">
        <f aca="false">IF(K79="","",RANK(K79,$K$5:$K$430))</f>
        <v>109</v>
      </c>
      <c r="M79" s="25" t="n">
        <v>0.161341853035144</v>
      </c>
      <c r="N79" s="19" t="n">
        <v>62.7</v>
      </c>
      <c r="O79" s="17" t="n">
        <f aca="false">IF(N79="","",RANK(N79,$N$5:$N$430))</f>
        <v>142</v>
      </c>
      <c r="P79" s="17" t="str">
        <f aca="false">IF(AND(N(H79)&gt;=N(K79),N(H79)&gt;=N(N79)),"The Pulse",IF(N(K79)&gt;=N(N79),"The Lens","The Hub"))</f>
        <v>The Pulse</v>
      </c>
      <c r="Q79" s="20" t="s">
        <v>74</v>
      </c>
      <c r="R79" s="27" t="s">
        <v>832</v>
      </c>
      <c r="S79" s="17" t="s">
        <v>24</v>
      </c>
    </row>
    <row r="80" customFormat="false" ht="15" hidden="false" customHeight="false" outlineLevel="0" collapsed="false">
      <c r="A80" s="17" t="s">
        <v>960</v>
      </c>
      <c r="B80" s="17" t="s">
        <v>961</v>
      </c>
      <c r="C80" s="17" t="s">
        <v>962</v>
      </c>
      <c r="D80" s="17" t="s">
        <v>123</v>
      </c>
      <c r="E80" s="18" t="n">
        <v>29750</v>
      </c>
      <c r="F80" s="17" t="s">
        <v>821</v>
      </c>
      <c r="G80" s="23" t="n">
        <v>1.21482352941177</v>
      </c>
      <c r="H80" s="19" t="n">
        <v>84.1</v>
      </c>
      <c r="I80" s="17" t="n">
        <f aca="false">IF(H80="","",RANK(H80,$H$5:$H$430))</f>
        <v>76</v>
      </c>
      <c r="J80" s="24" t="n">
        <v>0.172182821118991</v>
      </c>
      <c r="K80" s="19" t="n">
        <v>83.8</v>
      </c>
      <c r="L80" s="17" t="n">
        <f aca="false">IF(K80="","",RANK(K80,$K$5:$K$430))</f>
        <v>70</v>
      </c>
      <c r="M80" s="25" t="n">
        <v>0.0601173020527859</v>
      </c>
      <c r="N80" s="19" t="n">
        <v>20</v>
      </c>
      <c r="O80" s="17" t="n">
        <f aca="false">IF(N80="","",RANK(N80,$N$5:$N$430))</f>
        <v>309</v>
      </c>
      <c r="P80" s="17" t="str">
        <f aca="false">IF(AND(N(H80)&gt;=N(K80),N(H80)&gt;=N(N80)),"The Pulse",IF(N(K80)&gt;=N(N80),"The Lens","The Hub"))</f>
        <v>The Pulse</v>
      </c>
      <c r="Q80" s="20" t="s">
        <v>74</v>
      </c>
      <c r="R80" s="27" t="s">
        <v>832</v>
      </c>
      <c r="S80" s="17" t="s">
        <v>24</v>
      </c>
    </row>
    <row r="81" customFormat="false" ht="15" hidden="false" customHeight="false" outlineLevel="0" collapsed="false">
      <c r="A81" s="17" t="s">
        <v>365</v>
      </c>
      <c r="B81" s="17" t="s">
        <v>366</v>
      </c>
      <c r="C81" s="17" t="s">
        <v>963</v>
      </c>
      <c r="D81" s="17" t="s">
        <v>86</v>
      </c>
      <c r="E81" s="18" t="n">
        <v>5257</v>
      </c>
      <c r="F81" s="17" t="s">
        <v>825</v>
      </c>
      <c r="G81" s="23" t="n">
        <v>1.20448925242534</v>
      </c>
      <c r="H81" s="19" t="n">
        <v>83.9</v>
      </c>
      <c r="I81" s="17" t="n">
        <f aca="false">IF(H81="","",RANK(H81,$H$5:$H$430))</f>
        <v>77</v>
      </c>
      <c r="J81" s="24" t="n">
        <v>0.0977239507204009</v>
      </c>
      <c r="K81" s="19" t="n">
        <v>49.3</v>
      </c>
      <c r="L81" s="17" t="n">
        <f aca="false">IF(K81="","",RANK(K81,$K$5:$K$430))</f>
        <v>218</v>
      </c>
      <c r="M81" s="25" t="n">
        <v>0.201716738197425</v>
      </c>
      <c r="N81" s="19" t="n">
        <v>73.9</v>
      </c>
      <c r="O81" s="17" t="n">
        <f aca="false">IF(N81="","",RANK(N81,$N$5:$N$430))</f>
        <v>101</v>
      </c>
      <c r="P81" s="17" t="str">
        <f aca="false">IF(AND(N(H81)&gt;=N(K81),N(H81)&gt;=N(N81)),"The Pulse",IF(N(K81)&gt;=N(N81),"The Lens","The Hub"))</f>
        <v>The Pulse</v>
      </c>
      <c r="Q81" s="21" t="s">
        <v>79</v>
      </c>
      <c r="R81" s="26" t="s">
        <v>822</v>
      </c>
      <c r="S81" s="17" t="s">
        <v>88</v>
      </c>
    </row>
    <row r="82" customFormat="false" ht="15" hidden="false" customHeight="false" outlineLevel="0" collapsed="false">
      <c r="A82" s="17" t="s">
        <v>964</v>
      </c>
      <c r="B82" s="17" t="s">
        <v>965</v>
      </c>
      <c r="C82" s="17" t="s">
        <v>966</v>
      </c>
      <c r="D82" s="17" t="s">
        <v>123</v>
      </c>
      <c r="E82" s="18" t="n">
        <v>8390</v>
      </c>
      <c r="F82" s="17" t="s">
        <v>825</v>
      </c>
      <c r="G82" s="23" t="n">
        <v>1.20071513706794</v>
      </c>
      <c r="H82" s="19" t="n">
        <v>83.7</v>
      </c>
      <c r="I82" s="17" t="n">
        <f aca="false">IF(H82="","",RANK(H82,$H$5:$H$430))</f>
        <v>78</v>
      </c>
      <c r="J82" s="24" t="n">
        <v>0.106860158311346</v>
      </c>
      <c r="K82" s="19" t="n">
        <v>60.6</v>
      </c>
      <c r="L82" s="17" t="n">
        <f aca="false">IF(K82="","",RANK(K82,$K$5:$K$430))</f>
        <v>168</v>
      </c>
      <c r="M82" s="25" t="n">
        <v>0.254789272030651</v>
      </c>
      <c r="N82" s="19" t="n">
        <v>82.8</v>
      </c>
      <c r="O82" s="17" t="n">
        <f aca="false">IF(N82="","",RANK(N82,$N$5:$N$430))</f>
        <v>68</v>
      </c>
      <c r="P82" s="17" t="str">
        <f aca="false">IF(AND(N(H82)&gt;=N(K82),N(H82)&gt;=N(N82)),"The Pulse",IF(N(K82)&gt;=N(N82),"The Lens","The Hub"))</f>
        <v>The Pulse</v>
      </c>
      <c r="Q82" s="20" t="s">
        <v>74</v>
      </c>
      <c r="R82" s="27" t="s">
        <v>832</v>
      </c>
      <c r="S82" s="17" t="s">
        <v>24</v>
      </c>
    </row>
    <row r="83" customFormat="false" ht="15" hidden="false" customHeight="false" outlineLevel="0" collapsed="false">
      <c r="A83" s="17" t="s">
        <v>293</v>
      </c>
      <c r="B83" s="17" t="s">
        <v>294</v>
      </c>
      <c r="C83" s="17" t="s">
        <v>967</v>
      </c>
      <c r="D83" s="17" t="s">
        <v>91</v>
      </c>
      <c r="E83" s="18" t="n">
        <v>138490</v>
      </c>
      <c r="F83" s="17" t="s">
        <v>827</v>
      </c>
      <c r="G83" s="23" t="n">
        <v>1.18178929886634</v>
      </c>
      <c r="H83" s="19" t="n">
        <v>83.4</v>
      </c>
      <c r="I83" s="17" t="n">
        <f aca="false">IF(H83="","",RANK(H83,$H$5:$H$430))</f>
        <v>79</v>
      </c>
      <c r="J83" s="24" t="n">
        <v>0.117125110913931</v>
      </c>
      <c r="K83" s="19" t="n">
        <v>67.9</v>
      </c>
      <c r="L83" s="17" t="n">
        <f aca="false">IF(K83="","",RANK(K83,$K$5:$K$430))</f>
        <v>137</v>
      </c>
      <c r="M83" s="25" t="n">
        <v>0.380393068961507</v>
      </c>
      <c r="N83" s="19" t="n">
        <v>97.2</v>
      </c>
      <c r="O83" s="17" t="n">
        <f aca="false">IF(N83="","",RANK(N83,$N$5:$N$430))</f>
        <v>12</v>
      </c>
      <c r="P83" s="17" t="str">
        <f aca="false">IF(AND(N(H83)&gt;=N(K83),N(H83)&gt;=N(N83)),"The Pulse",IF(N(K83)&gt;=N(N83),"The Lens","The Hub"))</f>
        <v>The Hub</v>
      </c>
      <c r="Q83" s="20" t="s">
        <v>74</v>
      </c>
      <c r="R83" s="26" t="s">
        <v>822</v>
      </c>
      <c r="S83" s="17" t="s">
        <v>24</v>
      </c>
    </row>
    <row r="84" customFormat="false" ht="15" hidden="false" customHeight="false" outlineLevel="0" collapsed="false">
      <c r="A84" s="17" t="s">
        <v>195</v>
      </c>
      <c r="B84" s="17" t="s">
        <v>196</v>
      </c>
      <c r="C84" s="17" t="s">
        <v>968</v>
      </c>
      <c r="D84" s="17" t="s">
        <v>86</v>
      </c>
      <c r="E84" s="18" t="n">
        <v>122330</v>
      </c>
      <c r="F84" s="17" t="s">
        <v>827</v>
      </c>
      <c r="G84" s="23" t="n">
        <v>1.17421728112483</v>
      </c>
      <c r="H84" s="19" t="n">
        <v>83.2</v>
      </c>
      <c r="I84" s="17" t="n">
        <f aca="false">IF(H84="","",RANK(H84,$H$5:$H$430))</f>
        <v>80</v>
      </c>
      <c r="J84" s="24" t="n">
        <v>0.0239390642002176</v>
      </c>
      <c r="K84" s="19" t="n">
        <v>18.6</v>
      </c>
      <c r="L84" s="17" t="n">
        <f aca="false">IF(K84="","",RANK(K84,$K$5:$K$430))</f>
        <v>342</v>
      </c>
      <c r="M84" s="25" t="n">
        <v>0.264114832535885</v>
      </c>
      <c r="N84" s="19" t="n">
        <v>84.8</v>
      </c>
      <c r="O84" s="17" t="n">
        <f aca="false">IF(N84="","",RANK(N84,$N$5:$N$430))</f>
        <v>60</v>
      </c>
      <c r="P84" s="17" t="str">
        <f aca="false">IF(AND(N(H84)&gt;=N(K84),N(H84)&gt;=N(N84)),"The Pulse",IF(N(K84)&gt;=N(N84),"The Lens","The Hub"))</f>
        <v>The Hub</v>
      </c>
      <c r="Q84" s="20" t="s">
        <v>74</v>
      </c>
      <c r="R84" s="26" t="s">
        <v>822</v>
      </c>
      <c r="S84" s="17" t="s">
        <v>24</v>
      </c>
    </row>
    <row r="85" customFormat="false" ht="15" hidden="false" customHeight="false" outlineLevel="0" collapsed="false">
      <c r="A85" s="17" t="s">
        <v>169</v>
      </c>
      <c r="B85" s="17" t="s">
        <v>170</v>
      </c>
      <c r="C85" s="17" t="s">
        <v>969</v>
      </c>
      <c r="D85" s="17" t="s">
        <v>82</v>
      </c>
      <c r="E85" s="18" t="n">
        <v>19820</v>
      </c>
      <c r="F85" s="17" t="s">
        <v>821</v>
      </c>
      <c r="G85" s="23" t="n">
        <v>1.17315842583249</v>
      </c>
      <c r="H85" s="19" t="n">
        <v>83</v>
      </c>
      <c r="I85" s="17" t="n">
        <f aca="false">IF(H85="","",RANK(H85,$H$5:$H$430))</f>
        <v>81</v>
      </c>
      <c r="J85" s="24" t="n">
        <v>-0.075990675990676</v>
      </c>
      <c r="K85" s="19" t="n">
        <v>2.1</v>
      </c>
      <c r="L85" s="17" t="n">
        <f aca="false">IF(K85="","",RANK(K85,$K$5:$K$430))</f>
        <v>419</v>
      </c>
      <c r="M85" s="25" t="n">
        <v>0.270440251572327</v>
      </c>
      <c r="N85" s="19" t="n">
        <v>85.5</v>
      </c>
      <c r="O85" s="17" t="n">
        <f aca="false">IF(N85="","",RANK(N85,$N$5:$N$430))</f>
        <v>57</v>
      </c>
      <c r="P85" s="17" t="str">
        <f aca="false">IF(AND(N(H85)&gt;=N(K85),N(H85)&gt;=N(N85)),"The Pulse",IF(N(K85)&gt;=N(N85),"The Lens","The Hub"))</f>
        <v>The Hub</v>
      </c>
      <c r="Q85" s="20" t="s">
        <v>74</v>
      </c>
      <c r="R85" s="26" t="s">
        <v>822</v>
      </c>
      <c r="S85" s="17" t="s">
        <v>24</v>
      </c>
    </row>
    <row r="86" customFormat="false" ht="15" hidden="false" customHeight="false" outlineLevel="0" collapsed="false">
      <c r="A86" s="17" t="s">
        <v>311</v>
      </c>
      <c r="B86" s="17" t="s">
        <v>312</v>
      </c>
      <c r="C86" s="17" t="s">
        <v>970</v>
      </c>
      <c r="D86" s="17" t="s">
        <v>82</v>
      </c>
      <c r="E86" s="18" t="n">
        <v>50050</v>
      </c>
      <c r="F86" s="17" t="s">
        <v>821</v>
      </c>
      <c r="G86" s="23" t="n">
        <v>1.17144855144855</v>
      </c>
      <c r="H86" s="19" t="n">
        <v>82.8</v>
      </c>
      <c r="I86" s="17" t="n">
        <f aca="false">IF(H86="","",RANK(H86,$H$5:$H$430))</f>
        <v>82</v>
      </c>
      <c r="J86" s="24" t="n">
        <v>-0.012625764450582</v>
      </c>
      <c r="K86" s="19" t="n">
        <v>7.6</v>
      </c>
      <c r="L86" s="17" t="n">
        <f aca="false">IF(K86="","",RANK(K86,$K$5:$K$430))</f>
        <v>393</v>
      </c>
      <c r="M86" s="25" t="n">
        <v>0.297460701330109</v>
      </c>
      <c r="N86" s="19" t="n">
        <v>90.2</v>
      </c>
      <c r="O86" s="17" t="n">
        <f aca="false">IF(N86="","",RANK(N86,$N$5:$N$430))</f>
        <v>38</v>
      </c>
      <c r="P86" s="17" t="str">
        <f aca="false">IF(AND(N(H86)&gt;=N(K86),N(H86)&gt;=N(N86)),"The Pulse",IF(N(K86)&gt;=N(N86),"The Lens","The Hub"))</f>
        <v>The Hub</v>
      </c>
      <c r="Q86" s="20" t="s">
        <v>74</v>
      </c>
      <c r="R86" s="26" t="s">
        <v>822</v>
      </c>
      <c r="S86" s="17" t="s">
        <v>24</v>
      </c>
    </row>
    <row r="87" customFormat="false" ht="15" hidden="false" customHeight="false" outlineLevel="0" collapsed="false">
      <c r="A87" s="17" t="s">
        <v>381</v>
      </c>
      <c r="B87" s="17" t="s">
        <v>382</v>
      </c>
      <c r="C87" s="17" t="s">
        <v>971</v>
      </c>
      <c r="D87" s="17" t="s">
        <v>162</v>
      </c>
      <c r="E87" s="18" t="n">
        <v>199990</v>
      </c>
      <c r="F87" s="17" t="s">
        <v>827</v>
      </c>
      <c r="G87" s="23" t="n">
        <v>1.15886794339717</v>
      </c>
      <c r="H87" s="19" t="n">
        <v>82.6</v>
      </c>
      <c r="I87" s="17" t="n">
        <f aca="false">IF(H87="","",RANK(H87,$H$5:$H$430))</f>
        <v>83</v>
      </c>
      <c r="J87" s="24" t="n">
        <v>0.168165887850467</v>
      </c>
      <c r="K87" s="19" t="n">
        <v>84.3</v>
      </c>
      <c r="L87" s="17" t="n">
        <f aca="false">IF(K87="","",RANK(K87,$K$5:$K$430))</f>
        <v>68</v>
      </c>
      <c r="M87" s="25" t="n">
        <v>0.224714451249793</v>
      </c>
      <c r="N87" s="19" t="n">
        <v>77.2</v>
      </c>
      <c r="O87" s="17" t="n">
        <f aca="false">IF(N87="","",RANK(N87,$N$5:$N$430))</f>
        <v>90</v>
      </c>
      <c r="P87" s="17" t="str">
        <f aca="false">IF(AND(N(H87)&gt;=N(K87),N(H87)&gt;=N(N87)),"The Pulse",IF(N(K87)&gt;=N(N87),"The Lens","The Hub"))</f>
        <v>The Lens</v>
      </c>
      <c r="Q87" s="21" t="s">
        <v>79</v>
      </c>
      <c r="R87" s="26" t="s">
        <v>822</v>
      </c>
      <c r="S87" s="17" t="s">
        <v>88</v>
      </c>
    </row>
    <row r="88" customFormat="false" ht="15" hidden="false" customHeight="false" outlineLevel="0" collapsed="false">
      <c r="A88" s="17" t="s">
        <v>355</v>
      </c>
      <c r="B88" s="17" t="s">
        <v>356</v>
      </c>
      <c r="C88" s="17" t="s">
        <v>972</v>
      </c>
      <c r="D88" s="17" t="s">
        <v>91</v>
      </c>
      <c r="E88" s="18" t="n">
        <v>12726</v>
      </c>
      <c r="F88" s="17" t="s">
        <v>821</v>
      </c>
      <c r="G88" s="23" t="n">
        <v>1.15385824296715</v>
      </c>
      <c r="H88" s="19" t="n">
        <v>82.4</v>
      </c>
      <c r="I88" s="17" t="n">
        <f aca="false">IF(H88="","",RANK(H88,$H$5:$H$430))</f>
        <v>84</v>
      </c>
      <c r="J88" s="24" t="n">
        <v>0.206027293404094</v>
      </c>
      <c r="K88" s="19" t="n">
        <v>92.1</v>
      </c>
      <c r="L88" s="17" t="n">
        <f aca="false">IF(K88="","",RANK(K88,$K$5:$K$430))</f>
        <v>35</v>
      </c>
      <c r="M88" s="25" t="n">
        <v>0.0291750503018109</v>
      </c>
      <c r="N88" s="19" t="n">
        <v>7.9</v>
      </c>
      <c r="O88" s="17" t="n">
        <f aca="false">IF(N88="","",RANK(N88,$N$5:$N$430))</f>
        <v>356</v>
      </c>
      <c r="P88" s="17" t="str">
        <f aca="false">IF(AND(N(H88)&gt;=N(K88),N(H88)&gt;=N(N88)),"The Pulse",IF(N(K88)&gt;=N(N88),"The Lens","The Hub"))</f>
        <v>The Lens</v>
      </c>
      <c r="Q88" s="21" t="s">
        <v>79</v>
      </c>
      <c r="R88" s="26" t="s">
        <v>822</v>
      </c>
      <c r="S88" s="17" t="s">
        <v>22</v>
      </c>
    </row>
    <row r="89" customFormat="false" ht="15" hidden="false" customHeight="false" outlineLevel="0" collapsed="false">
      <c r="A89" s="17" t="s">
        <v>523</v>
      </c>
      <c r="B89" s="17" t="s">
        <v>524</v>
      </c>
      <c r="C89" s="17" t="s">
        <v>973</v>
      </c>
      <c r="D89" s="17" t="s">
        <v>162</v>
      </c>
      <c r="E89" s="18" t="n">
        <v>52353</v>
      </c>
      <c r="F89" s="17" t="s">
        <v>821</v>
      </c>
      <c r="G89" s="23" t="n">
        <v>1.12622008289878</v>
      </c>
      <c r="H89" s="19" t="n">
        <v>82.2</v>
      </c>
      <c r="I89" s="17" t="n">
        <f aca="false">IF(H89="","",RANK(H89,$H$5:$H$430))</f>
        <v>85</v>
      </c>
      <c r="J89" s="24" t="n">
        <v>0.0422448288905258</v>
      </c>
      <c r="K89" s="19" t="n">
        <v>23.7</v>
      </c>
      <c r="L89" s="17" t="n">
        <f aca="false">IF(K89="","",RANK(K89,$K$5:$K$430))</f>
        <v>318</v>
      </c>
      <c r="M89" s="25" t="n">
        <v>0.0312292358803987</v>
      </c>
      <c r="N89" s="19" t="n">
        <v>9.3</v>
      </c>
      <c r="O89" s="17" t="n">
        <f aca="false">IF(N89="","",RANK(N89,$N$5:$N$430))</f>
        <v>350</v>
      </c>
      <c r="P89" s="17" t="str">
        <f aca="false">IF(AND(N(H89)&gt;=N(K89),N(H89)&gt;=N(N89)),"The Pulse",IF(N(K89)&gt;=N(N89),"The Lens","The Hub"))</f>
        <v>The Pulse</v>
      </c>
      <c r="Q89" s="21" t="s">
        <v>79</v>
      </c>
      <c r="R89" s="26" t="s">
        <v>822</v>
      </c>
      <c r="S89" s="17" t="s">
        <v>22</v>
      </c>
    </row>
    <row r="90" customFormat="false" ht="15" hidden="false" customHeight="false" outlineLevel="0" collapsed="false">
      <c r="A90" s="17" t="s">
        <v>974</v>
      </c>
      <c r="B90" s="17" t="s">
        <v>975</v>
      </c>
      <c r="C90" s="17" t="s">
        <v>976</v>
      </c>
      <c r="D90" s="17" t="s">
        <v>82</v>
      </c>
      <c r="E90" s="18" t="n">
        <v>75250</v>
      </c>
      <c r="F90" s="17" t="s">
        <v>821</v>
      </c>
      <c r="G90" s="23" t="n">
        <v>1.12439867109635</v>
      </c>
      <c r="H90" s="19" t="n">
        <v>82</v>
      </c>
      <c r="I90" s="17" t="n">
        <f aca="false">IF(H90="","",RANK(H90,$H$5:$H$430))</f>
        <v>86</v>
      </c>
      <c r="J90" s="24" t="n">
        <v>0.0643564356435644</v>
      </c>
      <c r="K90" s="19" t="n">
        <v>35.7</v>
      </c>
      <c r="L90" s="17" t="n">
        <f aca="false">IF(K90="","",RANK(K90,$K$5:$K$430))</f>
        <v>269</v>
      </c>
      <c r="M90" s="25" t="n">
        <v>0.161719233147805</v>
      </c>
      <c r="N90" s="19" t="n">
        <v>63.2</v>
      </c>
      <c r="O90" s="17" t="n">
        <f aca="false">IF(N90="","",RANK(N90,$N$5:$N$430))</f>
        <v>140</v>
      </c>
      <c r="P90" s="17" t="str">
        <f aca="false">IF(AND(N(H90)&gt;=N(K90),N(H90)&gt;=N(N90)),"The Pulse",IF(N(K90)&gt;=N(N90),"The Lens","The Hub"))</f>
        <v>The Pulse</v>
      </c>
      <c r="Q90" s="20" t="s">
        <v>74</v>
      </c>
      <c r="R90" s="27" t="s">
        <v>832</v>
      </c>
      <c r="S90" s="17" t="s">
        <v>24</v>
      </c>
    </row>
    <row r="91" customFormat="false" ht="15" hidden="false" customHeight="false" outlineLevel="0" collapsed="false">
      <c r="A91" s="17" t="s">
        <v>307</v>
      </c>
      <c r="B91" s="17" t="s">
        <v>308</v>
      </c>
      <c r="C91" s="17" t="s">
        <v>977</v>
      </c>
      <c r="D91" s="17" t="s">
        <v>77</v>
      </c>
      <c r="E91" s="18" t="n">
        <v>6010</v>
      </c>
      <c r="F91" s="17" t="s">
        <v>825</v>
      </c>
      <c r="G91" s="23" t="n">
        <v>1.11098169717138</v>
      </c>
      <c r="H91" s="19" t="n">
        <v>81.7</v>
      </c>
      <c r="I91" s="17" t="n">
        <f aca="false">IF(H91="","",RANK(H91,$H$5:$H$430))</f>
        <v>87</v>
      </c>
      <c r="J91" s="24" t="n">
        <v>0.142585551330799</v>
      </c>
      <c r="K91" s="19" t="n">
        <v>78.9</v>
      </c>
      <c r="L91" s="17" t="n">
        <f aca="false">IF(K91="","",RANK(K91,$K$5:$K$430))</f>
        <v>92</v>
      </c>
      <c r="M91" s="25" t="n">
        <v>0.0633802816901408</v>
      </c>
      <c r="N91" s="19" t="n">
        <v>21.4</v>
      </c>
      <c r="O91" s="17" t="n">
        <f aca="false">IF(N91="","",RANK(N91,$N$5:$N$430))</f>
        <v>304</v>
      </c>
      <c r="P91" s="17" t="str">
        <f aca="false">IF(AND(N(H91)&gt;=N(K91),N(H91)&gt;=N(N91)),"The Pulse",IF(N(K91)&gt;=N(N91),"The Lens","The Hub"))</f>
        <v>The Pulse</v>
      </c>
      <c r="Q91" s="20" t="s">
        <v>74</v>
      </c>
      <c r="R91" s="26" t="s">
        <v>822</v>
      </c>
      <c r="S91" s="17" t="s">
        <v>24</v>
      </c>
    </row>
    <row r="92" customFormat="false" ht="15" hidden="false" customHeight="false" outlineLevel="0" collapsed="false">
      <c r="A92" s="17" t="s">
        <v>507</v>
      </c>
      <c r="B92" s="17" t="s">
        <v>508</v>
      </c>
      <c r="C92" s="17" t="s">
        <v>978</v>
      </c>
      <c r="D92" s="17" t="s">
        <v>162</v>
      </c>
      <c r="E92" s="18" t="n">
        <v>14750</v>
      </c>
      <c r="F92" s="17" t="s">
        <v>821</v>
      </c>
      <c r="G92" s="23" t="n">
        <v>1.10881355932203</v>
      </c>
      <c r="H92" s="19" t="n">
        <v>81.5</v>
      </c>
      <c r="I92" s="17" t="n">
        <f aca="false">IF(H92="","",RANK(H92,$H$5:$H$430))</f>
        <v>88</v>
      </c>
      <c r="J92" s="24" t="n">
        <v>0.139876352395672</v>
      </c>
      <c r="K92" s="19" t="n">
        <v>73.9</v>
      </c>
      <c r="L92" s="17" t="n">
        <f aca="false">IF(K92="","",RANK(K92,$K$5:$K$430))</f>
        <v>112</v>
      </c>
      <c r="M92" s="25" t="n">
        <v>0.161764705882353</v>
      </c>
      <c r="N92" s="19" t="n">
        <v>63.4</v>
      </c>
      <c r="O92" s="17" t="n">
        <f aca="false">IF(N92="","",RANK(N92,$N$5:$N$430))</f>
        <v>139</v>
      </c>
      <c r="P92" s="17" t="str">
        <f aca="false">IF(AND(N(H92)&gt;=N(K92),N(H92)&gt;=N(N92)),"The Pulse",IF(N(K92)&gt;=N(N92),"The Lens","The Hub"))</f>
        <v>The Pulse</v>
      </c>
      <c r="Q92" s="20" t="s">
        <v>74</v>
      </c>
      <c r="R92" s="26" t="s">
        <v>822</v>
      </c>
      <c r="S92" s="17" t="s">
        <v>24</v>
      </c>
    </row>
    <row r="93" customFormat="false" ht="15" hidden="false" customHeight="false" outlineLevel="0" collapsed="false">
      <c r="A93" s="17" t="s">
        <v>979</v>
      </c>
      <c r="B93" s="17" t="s">
        <v>980</v>
      </c>
      <c r="C93" s="17" t="s">
        <v>981</v>
      </c>
      <c r="D93" s="17" t="s">
        <v>123</v>
      </c>
      <c r="E93" s="18" t="n">
        <v>17150</v>
      </c>
      <c r="F93" s="17" t="s">
        <v>821</v>
      </c>
      <c r="G93" s="23" t="n">
        <v>1.10472303206997</v>
      </c>
      <c r="H93" s="19" t="n">
        <v>81.3</v>
      </c>
      <c r="I93" s="17" t="n">
        <f aca="false">IF(H93="","",RANK(H93,$H$5:$H$430))</f>
        <v>89</v>
      </c>
      <c r="J93" s="24" t="n">
        <v>0.0393939393939394</v>
      </c>
      <c r="K93" s="19" t="n">
        <v>22</v>
      </c>
      <c r="L93" s="17" t="n">
        <f aca="false">IF(K93="","",RANK(K93,$K$5:$K$430))</f>
        <v>327</v>
      </c>
      <c r="M93" s="25" t="n">
        <v>0.0885122410546139</v>
      </c>
      <c r="N93" s="19" t="n">
        <v>31</v>
      </c>
      <c r="O93" s="17" t="n">
        <f aca="false">IF(N93="","",RANK(N93,$N$5:$N$430))</f>
        <v>268</v>
      </c>
      <c r="P93" s="17" t="str">
        <f aca="false">IF(AND(N(H93)&gt;=N(K93),N(H93)&gt;=N(N93)),"The Pulse",IF(N(K93)&gt;=N(N93),"The Lens","The Hub"))</f>
        <v>The Pulse</v>
      </c>
      <c r="Q93" s="20" t="s">
        <v>74</v>
      </c>
      <c r="R93" s="27" t="s">
        <v>832</v>
      </c>
      <c r="S93" s="17" t="s">
        <v>24</v>
      </c>
    </row>
    <row r="94" customFormat="false" ht="15" hidden="false" customHeight="false" outlineLevel="0" collapsed="false">
      <c r="A94" s="17" t="s">
        <v>595</v>
      </c>
      <c r="B94" s="17" t="s">
        <v>596</v>
      </c>
      <c r="C94" s="17" t="s">
        <v>982</v>
      </c>
      <c r="D94" s="17" t="s">
        <v>95</v>
      </c>
      <c r="E94" s="18" t="n">
        <v>41370</v>
      </c>
      <c r="F94" s="17" t="s">
        <v>821</v>
      </c>
      <c r="G94" s="23" t="n">
        <v>1.10321489001692</v>
      </c>
      <c r="H94" s="19" t="n">
        <v>81.1</v>
      </c>
      <c r="I94" s="17" t="n">
        <f aca="false">IF(H94="","",RANK(H94,$H$5:$H$430))</f>
        <v>90</v>
      </c>
      <c r="J94" s="24" t="n">
        <v>0.149805447470817</v>
      </c>
      <c r="K94" s="19" t="n">
        <v>76.3</v>
      </c>
      <c r="L94" s="17" t="n">
        <f aca="false">IF(K94="","",RANK(K94,$K$5:$K$430))</f>
        <v>102</v>
      </c>
      <c r="M94" s="25" t="n">
        <v>0.035725677830941</v>
      </c>
      <c r="N94" s="19" t="n">
        <v>11.2</v>
      </c>
      <c r="O94" s="17" t="n">
        <f aca="false">IF(N94="","",RANK(N94,$N$5:$N$430))</f>
        <v>343</v>
      </c>
      <c r="P94" s="17" t="str">
        <f aca="false">IF(AND(N(H94)&gt;=N(K94),N(H94)&gt;=N(N94)),"The Pulse",IF(N(K94)&gt;=N(N94),"The Lens","The Hub"))</f>
        <v>The Pulse</v>
      </c>
      <c r="Q94" s="20" t="s">
        <v>74</v>
      </c>
      <c r="R94" s="26" t="s">
        <v>822</v>
      </c>
      <c r="S94" s="17" t="s">
        <v>24</v>
      </c>
    </row>
    <row r="95" customFormat="false" ht="15" hidden="false" customHeight="false" outlineLevel="0" collapsed="false">
      <c r="A95" s="17" t="s">
        <v>611</v>
      </c>
      <c r="B95" s="17" t="s">
        <v>612</v>
      </c>
      <c r="C95" s="17" t="s">
        <v>983</v>
      </c>
      <c r="D95" s="17" t="s">
        <v>77</v>
      </c>
      <c r="E95" s="18" t="n">
        <v>122520</v>
      </c>
      <c r="F95" s="17" t="s">
        <v>827</v>
      </c>
      <c r="G95" s="23" t="n">
        <v>1.10147730982697</v>
      </c>
      <c r="H95" s="19" t="n">
        <v>80.9</v>
      </c>
      <c r="I95" s="17" t="n">
        <f aca="false">IF(H95="","",RANK(H95,$H$5:$H$430))</f>
        <v>91</v>
      </c>
      <c r="J95" s="24" t="n">
        <v>0.067624712673931</v>
      </c>
      <c r="K95" s="19" t="n">
        <v>38.6</v>
      </c>
      <c r="L95" s="17" t="n">
        <f aca="false">IF(K95="","",RANK(K95,$K$5:$K$430))</f>
        <v>259</v>
      </c>
      <c r="M95" s="25" t="n">
        <v>0.282729985727261</v>
      </c>
      <c r="N95" s="19" t="n">
        <v>88.1</v>
      </c>
      <c r="O95" s="17" t="n">
        <f aca="false">IF(N95="","",RANK(N95,$N$5:$N$430))</f>
        <v>46</v>
      </c>
      <c r="P95" s="17" t="str">
        <f aca="false">IF(AND(N(H95)&gt;=N(K95),N(H95)&gt;=N(N95)),"The Pulse",IF(N(K95)&gt;=N(N95),"The Lens","The Hub"))</f>
        <v>The Hub</v>
      </c>
      <c r="Q95" s="21" t="s">
        <v>79</v>
      </c>
      <c r="R95" s="26" t="s">
        <v>822</v>
      </c>
      <c r="S95" s="17" t="s">
        <v>88</v>
      </c>
    </row>
    <row r="96" customFormat="false" ht="15" hidden="false" customHeight="false" outlineLevel="0" collapsed="false">
      <c r="A96" s="17" t="s">
        <v>160</v>
      </c>
      <c r="B96" s="17" t="s">
        <v>161</v>
      </c>
      <c r="C96" s="17" t="s">
        <v>984</v>
      </c>
      <c r="D96" s="17" t="s">
        <v>162</v>
      </c>
      <c r="E96" s="18" t="n">
        <v>37770</v>
      </c>
      <c r="F96" s="17" t="s">
        <v>821</v>
      </c>
      <c r="G96" s="23" t="n">
        <v>1.08035477892507</v>
      </c>
      <c r="H96" s="19" t="n">
        <v>80.7</v>
      </c>
      <c r="I96" s="17" t="n">
        <f aca="false">IF(H96="","",RANK(H96,$H$5:$H$430))</f>
        <v>92</v>
      </c>
      <c r="J96" s="24" t="n">
        <v>0.122436849925706</v>
      </c>
      <c r="K96" s="19" t="n">
        <v>66.3</v>
      </c>
      <c r="L96" s="17" t="n">
        <f aca="false">IF(K96="","",RANK(K96,$K$5:$K$430))</f>
        <v>143</v>
      </c>
      <c r="M96" s="25" t="n">
        <v>0.115798922800718</v>
      </c>
      <c r="N96" s="19" t="n">
        <v>42.7</v>
      </c>
      <c r="O96" s="17" t="n">
        <f aca="false">IF(N96="","",RANK(N96,$N$5:$N$430))</f>
        <v>220</v>
      </c>
      <c r="P96" s="17" t="str">
        <f aca="false">IF(AND(N(H96)&gt;=N(K96),N(H96)&gt;=N(N96)),"The Pulse",IF(N(K96)&gt;=N(N96),"The Lens","The Hub"))</f>
        <v>The Pulse</v>
      </c>
      <c r="Q96" s="20" t="s">
        <v>74</v>
      </c>
      <c r="R96" s="26" t="s">
        <v>822</v>
      </c>
      <c r="S96" s="17" t="s">
        <v>24</v>
      </c>
    </row>
    <row r="97" customFormat="false" ht="15" hidden="false" customHeight="false" outlineLevel="0" collapsed="false">
      <c r="A97" s="17" t="s">
        <v>985</v>
      </c>
      <c r="B97" s="17" t="s">
        <v>986</v>
      </c>
      <c r="C97" s="17" t="s">
        <v>987</v>
      </c>
      <c r="D97" s="17" t="s">
        <v>82</v>
      </c>
      <c r="E97" s="18" t="n">
        <v>1226483</v>
      </c>
      <c r="F97" s="17" t="s">
        <v>935</v>
      </c>
      <c r="G97" s="23" t="n">
        <v>1.07399368764182</v>
      </c>
      <c r="H97" s="19" t="n">
        <v>80.5</v>
      </c>
      <c r="I97" s="17" t="n">
        <f aca="false">IF(H97="","",RANK(H97,$H$5:$H$430))</f>
        <v>93</v>
      </c>
      <c r="J97" s="24" t="n">
        <v>0.1348474712398</v>
      </c>
      <c r="K97" s="19" t="n">
        <v>82.4</v>
      </c>
      <c r="L97" s="17" t="n">
        <f aca="false">IF(K97="","",RANK(K97,$K$5:$K$430))</f>
        <v>76</v>
      </c>
      <c r="M97" s="25" t="n">
        <v>0.0906204524407991</v>
      </c>
      <c r="N97" s="19" t="n">
        <v>32.4</v>
      </c>
      <c r="O97" s="17" t="n">
        <f aca="false">IF(N97="","",RANK(N97,$N$5:$N$430))</f>
        <v>262</v>
      </c>
      <c r="P97" s="17" t="str">
        <f aca="false">IF(AND(N(H97)&gt;=N(K97),N(H97)&gt;=N(N97)),"The Pulse",IF(N(K97)&gt;=N(N97),"The Lens","The Hub"))</f>
        <v>The Lens</v>
      </c>
      <c r="Q97" s="21" t="s">
        <v>79</v>
      </c>
      <c r="R97" s="27" t="s">
        <v>832</v>
      </c>
      <c r="S97" s="17" t="s">
        <v>22</v>
      </c>
    </row>
    <row r="98" customFormat="false" ht="15" hidden="false" customHeight="false" outlineLevel="0" collapsed="false">
      <c r="A98" s="17" t="s">
        <v>988</v>
      </c>
      <c r="B98" s="17" t="s">
        <v>989</v>
      </c>
      <c r="C98" s="17" t="s">
        <v>990</v>
      </c>
      <c r="D98" s="17" t="s">
        <v>91</v>
      </c>
      <c r="E98" s="18" t="n">
        <v>160720</v>
      </c>
      <c r="F98" s="17" t="s">
        <v>827</v>
      </c>
      <c r="G98" s="23" t="n">
        <v>1.06253733200597</v>
      </c>
      <c r="H98" s="19" t="n">
        <v>80.2</v>
      </c>
      <c r="I98" s="17" t="n">
        <f aca="false">IF(H98="","",RANK(H98,$H$5:$H$430))</f>
        <v>94</v>
      </c>
      <c r="J98" s="24" t="n">
        <v>0.13207015566669</v>
      </c>
      <c r="K98" s="19" t="n">
        <v>75.7</v>
      </c>
      <c r="L98" s="17" t="n">
        <f aca="false">IF(K98="","",RANK(K98,$K$5:$K$430))</f>
        <v>105</v>
      </c>
      <c r="M98" s="25" t="n">
        <v>0.274686501692653</v>
      </c>
      <c r="N98" s="19" t="n">
        <v>86.5</v>
      </c>
      <c r="O98" s="17" t="n">
        <f aca="false">IF(N98="","",RANK(N98,$N$5:$N$430))</f>
        <v>53</v>
      </c>
      <c r="P98" s="17" t="str">
        <f aca="false">IF(AND(N(H98)&gt;=N(K98),N(H98)&gt;=N(N98)),"The Pulse",IF(N(K98)&gt;=N(N98),"The Lens","The Hub"))</f>
        <v>The Hub</v>
      </c>
      <c r="Q98" s="20" t="s">
        <v>74</v>
      </c>
      <c r="R98" s="27" t="s">
        <v>832</v>
      </c>
      <c r="S98" s="17" t="s">
        <v>24</v>
      </c>
    </row>
    <row r="99" customFormat="false" ht="15" hidden="false" customHeight="false" outlineLevel="0" collapsed="false">
      <c r="A99" s="17" t="s">
        <v>991</v>
      </c>
      <c r="B99" s="17" t="s">
        <v>992</v>
      </c>
      <c r="C99" s="17" t="s">
        <v>993</v>
      </c>
      <c r="D99" s="17" t="s">
        <v>77</v>
      </c>
      <c r="E99" s="18" t="n">
        <v>63860</v>
      </c>
      <c r="F99" s="17" t="s">
        <v>821</v>
      </c>
      <c r="G99" s="23" t="n">
        <v>1.04444096461009</v>
      </c>
      <c r="H99" s="19" t="n">
        <v>79.8</v>
      </c>
      <c r="I99" s="17" t="n">
        <f aca="false">IF(H99="","",RANK(H99,$H$5:$H$430))</f>
        <v>95</v>
      </c>
      <c r="J99" s="24" t="n">
        <v>0.174328797351968</v>
      </c>
      <c r="K99" s="19" t="n">
        <v>85.2</v>
      </c>
      <c r="L99" s="17" t="n">
        <f aca="false">IF(K99="","",RANK(K99,$K$5:$K$430))</f>
        <v>63</v>
      </c>
      <c r="M99" s="25" t="n">
        <v>0.257507987220447</v>
      </c>
      <c r="N99" s="19" t="n">
        <v>83.7</v>
      </c>
      <c r="O99" s="17" t="n">
        <f aca="false">IF(N99="","",RANK(N99,$N$5:$N$430))</f>
        <v>64</v>
      </c>
      <c r="P99" s="17" t="str">
        <f aca="false">IF(AND(N(H99)&gt;=N(K99),N(H99)&gt;=N(N99)),"The Pulse",IF(N(K99)&gt;=N(N99),"The Lens","The Hub"))</f>
        <v>The Lens</v>
      </c>
      <c r="Q99" s="20" t="s">
        <v>74</v>
      </c>
      <c r="R99" s="27" t="s">
        <v>832</v>
      </c>
      <c r="S99" s="17" t="s">
        <v>24</v>
      </c>
    </row>
    <row r="100" customFormat="false" ht="15" hidden="false" customHeight="false" outlineLevel="0" collapsed="false">
      <c r="A100" s="17" t="s">
        <v>471</v>
      </c>
      <c r="B100" s="17" t="s">
        <v>472</v>
      </c>
      <c r="C100" s="17" t="s">
        <v>994</v>
      </c>
      <c r="D100" s="17" t="s">
        <v>115</v>
      </c>
      <c r="E100" s="18" t="n">
        <v>24410</v>
      </c>
      <c r="F100" s="17" t="s">
        <v>821</v>
      </c>
      <c r="G100" s="23" t="n">
        <v>1.0415813191315</v>
      </c>
      <c r="H100" s="19" t="n">
        <v>79.6</v>
      </c>
      <c r="I100" s="17" t="n">
        <f aca="false">IF(H100="","",RANK(H100,$H$5:$H$430))</f>
        <v>96</v>
      </c>
      <c r="J100" s="24" t="n">
        <v>0.118185982592762</v>
      </c>
      <c r="K100" s="19" t="n">
        <v>62.9</v>
      </c>
      <c r="L100" s="17" t="n">
        <f aca="false">IF(K100="","",RANK(K100,$K$5:$K$430))</f>
        <v>160</v>
      </c>
      <c r="M100" s="25" t="n">
        <v>0.168817759421786</v>
      </c>
      <c r="N100" s="19" t="n">
        <v>65.3</v>
      </c>
      <c r="O100" s="17" t="n">
        <f aca="false">IF(N100="","",RANK(N100,$N$5:$N$430))</f>
        <v>134</v>
      </c>
      <c r="P100" s="17" t="str">
        <f aca="false">IF(AND(N(H100)&gt;=N(K100),N(H100)&gt;=N(N100)),"The Pulse",IF(N(K100)&gt;=N(N100),"The Lens","The Hub"))</f>
        <v>The Pulse</v>
      </c>
      <c r="Q100" s="20" t="s">
        <v>74</v>
      </c>
      <c r="R100" s="26" t="s">
        <v>822</v>
      </c>
      <c r="S100" s="17" t="s">
        <v>24</v>
      </c>
    </row>
    <row r="101" customFormat="false" ht="15" hidden="false" customHeight="false" outlineLevel="0" collapsed="false">
      <c r="A101" s="17" t="s">
        <v>343</v>
      </c>
      <c r="B101" s="17" t="s">
        <v>344</v>
      </c>
      <c r="C101" s="17" t="s">
        <v>995</v>
      </c>
      <c r="D101" s="17" t="s">
        <v>72</v>
      </c>
      <c r="E101" s="18" t="n">
        <v>8720</v>
      </c>
      <c r="F101" s="17" t="s">
        <v>825</v>
      </c>
      <c r="G101" s="23" t="n">
        <v>1.03623853211009</v>
      </c>
      <c r="H101" s="19" t="n">
        <v>79.4</v>
      </c>
      <c r="I101" s="17" t="n">
        <f aca="false">IF(H101="","",RANK(H101,$H$5:$H$430))</f>
        <v>97</v>
      </c>
      <c r="J101" s="24" t="n">
        <v>-0.0142905367390571</v>
      </c>
      <c r="K101" s="19" t="n">
        <v>5.6</v>
      </c>
      <c r="L101" s="17" t="n">
        <f aca="false">IF(K101="","",RANK(K101,$K$5:$K$430))</f>
        <v>404</v>
      </c>
      <c r="M101" s="25" t="n">
        <v>0.141025641025641</v>
      </c>
      <c r="N101" s="19" t="n">
        <v>53.4</v>
      </c>
      <c r="O101" s="17" t="n">
        <f aca="false">IF(N101="","",RANK(N101,$N$5:$N$430))</f>
        <v>176</v>
      </c>
      <c r="P101" s="17" t="str">
        <f aca="false">IF(AND(N(H101)&gt;=N(K101),N(H101)&gt;=N(N101)),"The Pulse",IF(N(K101)&gt;=N(N101),"The Lens","The Hub"))</f>
        <v>The Pulse</v>
      </c>
      <c r="Q101" s="21" t="s">
        <v>79</v>
      </c>
      <c r="R101" s="26" t="s">
        <v>822</v>
      </c>
      <c r="S101" s="17" t="s">
        <v>88</v>
      </c>
    </row>
    <row r="102" customFormat="false" ht="15" hidden="false" customHeight="false" outlineLevel="0" collapsed="false">
      <c r="A102" s="17" t="s">
        <v>561</v>
      </c>
      <c r="B102" s="17" t="s">
        <v>562</v>
      </c>
      <c r="C102" s="17" t="s">
        <v>996</v>
      </c>
      <c r="D102" s="17" t="s">
        <v>77</v>
      </c>
      <c r="E102" s="18" t="n">
        <v>5590</v>
      </c>
      <c r="F102" s="17" t="s">
        <v>825</v>
      </c>
      <c r="G102" s="23" t="n">
        <v>1.01484794275492</v>
      </c>
      <c r="H102" s="19" t="n">
        <v>79</v>
      </c>
      <c r="I102" s="17" t="n">
        <f aca="false">IF(H102="","",RANK(H102,$H$5:$H$430))</f>
        <v>98</v>
      </c>
      <c r="J102" s="24" t="n">
        <v>0.104743083003953</v>
      </c>
      <c r="K102" s="19" t="n">
        <v>59.2</v>
      </c>
      <c r="L102" s="17" t="n">
        <f aca="false">IF(K102="","",RANK(K102,$K$5:$K$430))</f>
        <v>175</v>
      </c>
      <c r="M102" s="25" t="n">
        <v>0.13677811550152</v>
      </c>
      <c r="N102" s="19" t="n">
        <v>51.5</v>
      </c>
      <c r="O102" s="17" t="n">
        <f aca="false">IF(N102="","",RANK(N102,$N$5:$N$430))</f>
        <v>184</v>
      </c>
      <c r="P102" s="17" t="str">
        <f aca="false">IF(AND(N(H102)&gt;=N(K102),N(H102)&gt;=N(N102)),"The Pulse",IF(N(K102)&gt;=N(N102),"The Lens","The Hub"))</f>
        <v>The Pulse</v>
      </c>
      <c r="Q102" s="20" t="s">
        <v>74</v>
      </c>
      <c r="R102" s="26" t="s">
        <v>822</v>
      </c>
      <c r="S102" s="17" t="s">
        <v>24</v>
      </c>
    </row>
    <row r="103" customFormat="false" ht="15" hidden="false" customHeight="false" outlineLevel="0" collapsed="false">
      <c r="A103" s="17" t="s">
        <v>321</v>
      </c>
      <c r="B103" s="17" t="s">
        <v>322</v>
      </c>
      <c r="C103" s="17" t="s">
        <v>997</v>
      </c>
      <c r="D103" s="17" t="s">
        <v>95</v>
      </c>
      <c r="E103" s="18" t="n">
        <v>50860</v>
      </c>
      <c r="F103" s="17" t="s">
        <v>821</v>
      </c>
      <c r="G103" s="23" t="n">
        <v>1.01217066456941</v>
      </c>
      <c r="H103" s="19" t="n">
        <v>78.8</v>
      </c>
      <c r="I103" s="17" t="n">
        <f aca="false">IF(H103="","",RANK(H103,$H$5:$H$430))</f>
        <v>99</v>
      </c>
      <c r="J103" s="24" t="n">
        <v>0.0855923159018143</v>
      </c>
      <c r="K103" s="19" t="n">
        <v>45.7</v>
      </c>
      <c r="L103" s="17" t="n">
        <f aca="false">IF(K103="","",RANK(K103,$K$5:$K$430))</f>
        <v>227</v>
      </c>
      <c r="M103" s="25" t="n">
        <v>0.133911965282083</v>
      </c>
      <c r="N103" s="19" t="n">
        <v>50.1</v>
      </c>
      <c r="O103" s="17" t="n">
        <f aca="false">IF(N103="","",RANK(N103,$N$5:$N$430))</f>
        <v>190</v>
      </c>
      <c r="P103" s="17" t="str">
        <f aca="false">IF(AND(N(H103)&gt;=N(K103),N(H103)&gt;=N(N103)),"The Pulse",IF(N(K103)&gt;=N(N103),"The Lens","The Hub"))</f>
        <v>The Pulse</v>
      </c>
      <c r="Q103" s="20" t="s">
        <v>74</v>
      </c>
      <c r="R103" s="26" t="s">
        <v>822</v>
      </c>
      <c r="S103" s="17" t="s">
        <v>24</v>
      </c>
    </row>
    <row r="104" customFormat="false" ht="15" hidden="false" customHeight="false" outlineLevel="0" collapsed="false">
      <c r="A104" s="17" t="s">
        <v>998</v>
      </c>
      <c r="B104" s="17" t="s">
        <v>999</v>
      </c>
      <c r="C104" s="17" t="s">
        <v>1000</v>
      </c>
      <c r="D104" s="17" t="s">
        <v>91</v>
      </c>
      <c r="E104" s="18" t="n">
        <v>48851</v>
      </c>
      <c r="F104" s="17" t="s">
        <v>821</v>
      </c>
      <c r="G104" s="23" t="n">
        <v>1.00810628236884</v>
      </c>
      <c r="H104" s="19" t="n">
        <v>78.6</v>
      </c>
      <c r="I104" s="17" t="n">
        <f aca="false">IF(H104="","",RANK(H104,$H$5:$H$430))</f>
        <v>100</v>
      </c>
      <c r="J104" s="24" t="n">
        <v>0.107657075482394</v>
      </c>
      <c r="K104" s="19" t="n">
        <v>56.4</v>
      </c>
      <c r="L104" s="17" t="n">
        <f aca="false">IF(K104="","",RANK(K104,$K$5:$K$430))</f>
        <v>185</v>
      </c>
      <c r="M104" s="25" t="n">
        <v>0.16035208572522</v>
      </c>
      <c r="N104" s="19" t="n">
        <v>62.2</v>
      </c>
      <c r="O104" s="17" t="n">
        <f aca="false">IF(N104="","",RANK(N104,$N$5:$N$430))</f>
        <v>144</v>
      </c>
      <c r="P104" s="17" t="str">
        <f aca="false">IF(AND(N(H104)&gt;=N(K104),N(H104)&gt;=N(N104)),"The Pulse",IF(N(K104)&gt;=N(N104),"The Lens","The Hub"))</f>
        <v>The Pulse</v>
      </c>
      <c r="Q104" s="21" t="s">
        <v>79</v>
      </c>
      <c r="R104" s="27" t="s">
        <v>832</v>
      </c>
      <c r="S104" s="17" t="s">
        <v>88</v>
      </c>
    </row>
    <row r="105" customFormat="false" ht="15" hidden="false" customHeight="false" outlineLevel="0" collapsed="false">
      <c r="A105" s="17" t="s">
        <v>573</v>
      </c>
      <c r="B105" s="17" t="s">
        <v>574</v>
      </c>
      <c r="C105" s="17" t="s">
        <v>1001</v>
      </c>
      <c r="D105" s="17" t="s">
        <v>91</v>
      </c>
      <c r="E105" s="18" t="n">
        <v>30990</v>
      </c>
      <c r="F105" s="17" t="s">
        <v>821</v>
      </c>
      <c r="G105" s="23" t="n">
        <v>1.00458212326557</v>
      </c>
      <c r="H105" s="19" t="n">
        <v>78.4</v>
      </c>
      <c r="I105" s="17" t="n">
        <f aca="false">IF(H105="","",RANK(H105,$H$5:$H$430))</f>
        <v>101</v>
      </c>
      <c r="J105" s="24" t="n">
        <v>0.215770890545312</v>
      </c>
      <c r="K105" s="19" t="n">
        <v>94.8</v>
      </c>
      <c r="L105" s="17" t="n">
        <f aca="false">IF(K105="","",RANK(K105,$K$5:$K$430))</f>
        <v>23</v>
      </c>
      <c r="M105" s="25" t="n">
        <v>0.04251269035533</v>
      </c>
      <c r="N105" s="19" t="n">
        <v>13.1</v>
      </c>
      <c r="O105" s="17" t="n">
        <f aca="false">IF(N105="","",RANK(N105,$N$5:$N$430))</f>
        <v>336</v>
      </c>
      <c r="P105" s="17" t="str">
        <f aca="false">IF(AND(N(H105)&gt;=N(K105),N(H105)&gt;=N(N105)),"The Pulse",IF(N(K105)&gt;=N(N105),"The Lens","The Hub"))</f>
        <v>The Lens</v>
      </c>
      <c r="Q105" s="20" t="s">
        <v>74</v>
      </c>
      <c r="R105" s="26" t="s">
        <v>822</v>
      </c>
      <c r="S105" s="17" t="s">
        <v>24</v>
      </c>
    </row>
    <row r="106" customFormat="false" ht="15" hidden="false" customHeight="false" outlineLevel="0" collapsed="false">
      <c r="A106" s="17" t="s">
        <v>1002</v>
      </c>
      <c r="B106" s="17" t="s">
        <v>1003</v>
      </c>
      <c r="C106" s="17" t="s">
        <v>1004</v>
      </c>
      <c r="D106" s="17" t="s">
        <v>72</v>
      </c>
      <c r="E106" s="18" t="n">
        <v>430120</v>
      </c>
      <c r="F106" s="17" t="s">
        <v>827</v>
      </c>
      <c r="G106" s="23" t="n">
        <v>0.972421649772157</v>
      </c>
      <c r="H106" s="19" t="n">
        <v>78.3</v>
      </c>
      <c r="I106" s="17" t="n">
        <f aca="false">IF(H106="","",RANK(H106,$H$5:$H$430))</f>
        <v>102</v>
      </c>
      <c r="J106" s="24" t="n">
        <v>0.0283801554094441</v>
      </c>
      <c r="K106" s="19" t="n">
        <v>20</v>
      </c>
      <c r="L106" s="17" t="n">
        <f aca="false">IF(K106="","",RANK(K106,$K$5:$K$430))</f>
        <v>336</v>
      </c>
      <c r="M106" s="25" t="n">
        <v>0.159066232356135</v>
      </c>
      <c r="N106" s="19" t="n">
        <v>61.3</v>
      </c>
      <c r="O106" s="17" t="n">
        <f aca="false">IF(N106="","",RANK(N106,$N$5:$N$430))</f>
        <v>147</v>
      </c>
      <c r="P106" s="17" t="str">
        <f aca="false">IF(AND(N(H106)&gt;=N(K106),N(H106)&gt;=N(N106)),"The Pulse",IF(N(K106)&gt;=N(N106),"The Lens","The Hub"))</f>
        <v>The Pulse</v>
      </c>
      <c r="Q106" s="20" t="s">
        <v>74</v>
      </c>
      <c r="R106" s="27" t="s">
        <v>832</v>
      </c>
      <c r="S106" s="17" t="s">
        <v>24</v>
      </c>
    </row>
    <row r="107" customFormat="false" ht="15" hidden="false" customHeight="false" outlineLevel="0" collapsed="false">
      <c r="A107" s="17" t="s">
        <v>1005</v>
      </c>
      <c r="B107" s="17" t="s">
        <v>1006</v>
      </c>
      <c r="C107" s="17" t="s">
        <v>1007</v>
      </c>
      <c r="D107" s="17" t="s">
        <v>72</v>
      </c>
      <c r="E107" s="18" t="n">
        <v>1920</v>
      </c>
      <c r="F107" s="17" t="s">
        <v>825</v>
      </c>
      <c r="G107" s="23" t="n">
        <v>0.967708333333333</v>
      </c>
      <c r="H107" s="19" t="n">
        <v>78.1</v>
      </c>
      <c r="I107" s="17" t="n">
        <f aca="false">IF(H107="","",RANK(H107,$H$5:$H$430))</f>
        <v>103</v>
      </c>
      <c r="J107" s="24" t="n">
        <v>0.102357676825762</v>
      </c>
      <c r="K107" s="19" t="n">
        <v>54.9</v>
      </c>
      <c r="L107" s="17" t="n">
        <f aca="false">IF(K107="","",RANK(K107,$K$5:$K$430))</f>
        <v>190</v>
      </c>
      <c r="M107" s="28" t="s">
        <v>857</v>
      </c>
      <c r="N107" s="19"/>
      <c r="O107" s="17" t="str">
        <f aca="false">IF(N107="","",RANK(N107,$N$5:$N$430))</f>
        <v/>
      </c>
      <c r="P107" s="17" t="str">
        <f aca="false">IF(AND(N(H107)&gt;=N(K107),N(H107)&gt;=N(N107)),"The Pulse",IF(N(K107)&gt;=N(N107),"The Lens","The Hub"))</f>
        <v>The Pulse</v>
      </c>
      <c r="Q107" s="22" t="s">
        <v>109</v>
      </c>
      <c r="R107" s="27" t="s">
        <v>832</v>
      </c>
      <c r="S107" s="17" t="s">
        <v>155</v>
      </c>
    </row>
    <row r="108" customFormat="false" ht="15" hidden="false" customHeight="false" outlineLevel="0" collapsed="false">
      <c r="A108" s="17" t="s">
        <v>1008</v>
      </c>
      <c r="B108" s="17" t="s">
        <v>1009</v>
      </c>
      <c r="C108" s="17" t="s">
        <v>1010</v>
      </c>
      <c r="D108" s="17" t="s">
        <v>91</v>
      </c>
      <c r="E108" s="18" t="n">
        <v>50960</v>
      </c>
      <c r="F108" s="17" t="s">
        <v>821</v>
      </c>
      <c r="G108" s="23" t="n">
        <v>0.963854003139718</v>
      </c>
      <c r="H108" s="19" t="n">
        <v>77.9</v>
      </c>
      <c r="I108" s="17" t="n">
        <f aca="false">IF(H108="","",RANK(H108,$H$5:$H$430))</f>
        <v>104</v>
      </c>
      <c r="J108" s="24" t="n">
        <v>0.0794323236602415</v>
      </c>
      <c r="K108" s="19" t="n">
        <v>42.3</v>
      </c>
      <c r="L108" s="17" t="n">
        <f aca="false">IF(K108="","",RANK(K108,$K$5:$K$430))</f>
        <v>242</v>
      </c>
      <c r="M108" s="25" t="n">
        <v>0.0889712696941613</v>
      </c>
      <c r="N108" s="19" t="n">
        <v>31.5</v>
      </c>
      <c r="O108" s="17" t="n">
        <f aca="false">IF(N108="","",RANK(N108,$N$5:$N$430))</f>
        <v>266</v>
      </c>
      <c r="P108" s="17" t="str">
        <f aca="false">IF(AND(N(H108)&gt;=N(K108),N(H108)&gt;=N(N108)),"The Pulse",IF(N(K108)&gt;=N(N108),"The Lens","The Hub"))</f>
        <v>The Pulse</v>
      </c>
      <c r="Q108" s="20" t="s">
        <v>74</v>
      </c>
      <c r="R108" s="27" t="s">
        <v>832</v>
      </c>
      <c r="S108" s="17" t="s">
        <v>24</v>
      </c>
    </row>
    <row r="109" customFormat="false" ht="15" hidden="false" customHeight="false" outlineLevel="0" collapsed="false">
      <c r="A109" s="17" t="s">
        <v>1011</v>
      </c>
      <c r="B109" s="17" t="s">
        <v>1012</v>
      </c>
      <c r="C109" s="17" t="s">
        <v>1013</v>
      </c>
      <c r="D109" s="17" t="s">
        <v>115</v>
      </c>
      <c r="E109" s="18" t="n">
        <v>15690</v>
      </c>
      <c r="F109" s="17" t="s">
        <v>821</v>
      </c>
      <c r="G109" s="23" t="n">
        <v>0.95736137667304</v>
      </c>
      <c r="H109" s="19" t="n">
        <v>77.5</v>
      </c>
      <c r="I109" s="17" t="n">
        <f aca="false">IF(H109="","",RANK(H109,$H$5:$H$430))</f>
        <v>105</v>
      </c>
      <c r="J109" s="24" t="n">
        <v>0.185045317220544</v>
      </c>
      <c r="K109" s="19" t="n">
        <v>88</v>
      </c>
      <c r="L109" s="17" t="n">
        <f aca="false">IF(K109="","",RANK(K109,$K$5:$K$430))</f>
        <v>52</v>
      </c>
      <c r="M109" s="25" t="n">
        <v>0.0322939866369711</v>
      </c>
      <c r="N109" s="19" t="n">
        <v>10.3</v>
      </c>
      <c r="O109" s="17" t="n">
        <f aca="false">IF(N109="","",RANK(N109,$N$5:$N$430))</f>
        <v>346</v>
      </c>
      <c r="P109" s="17" t="str">
        <f aca="false">IF(AND(N(H109)&gt;=N(K109),N(H109)&gt;=N(N109)),"The Pulse",IF(N(K109)&gt;=N(N109),"The Lens","The Hub"))</f>
        <v>The Lens</v>
      </c>
      <c r="Q109" s="20" t="s">
        <v>74</v>
      </c>
      <c r="R109" s="27" t="s">
        <v>832</v>
      </c>
      <c r="S109" s="17" t="s">
        <v>24</v>
      </c>
    </row>
    <row r="110" customFormat="false" ht="15" hidden="false" customHeight="false" outlineLevel="0" collapsed="false">
      <c r="A110" s="17" t="s">
        <v>1014</v>
      </c>
      <c r="B110" s="17" t="s">
        <v>1015</v>
      </c>
      <c r="C110" s="17" t="s">
        <v>1016</v>
      </c>
      <c r="D110" s="17" t="s">
        <v>86</v>
      </c>
      <c r="E110" s="18" t="n">
        <v>970</v>
      </c>
      <c r="F110" s="17" t="s">
        <v>825</v>
      </c>
      <c r="G110" s="23" t="n">
        <v>0.950515463917526</v>
      </c>
      <c r="H110" s="19" t="n">
        <v>77.1</v>
      </c>
      <c r="I110" s="17" t="n">
        <f aca="false">IF(H110="","",RANK(H110,$H$5:$H$430))</f>
        <v>106</v>
      </c>
      <c r="J110" s="24" t="n">
        <v>0.0331196581196581</v>
      </c>
      <c r="K110" s="19" t="n">
        <v>11.3</v>
      </c>
      <c r="L110" s="17" t="n">
        <f aca="false">IF(K110="","",RANK(K110,$K$5:$K$430))</f>
        <v>375</v>
      </c>
      <c r="M110" s="25" t="n">
        <v>0</v>
      </c>
      <c r="N110" s="19" t="n">
        <v>1.3</v>
      </c>
      <c r="O110" s="17" t="n">
        <f aca="false">IF(N110="","",RANK(N110,$N$5:$N$430))</f>
        <v>378</v>
      </c>
      <c r="P110" s="17" t="str">
        <f aca="false">IF(AND(N(H110)&gt;=N(K110),N(H110)&gt;=N(N110)),"The Pulse",IF(N(K110)&gt;=N(N110),"The Lens","The Hub"))</f>
        <v>The Pulse</v>
      </c>
      <c r="Q110" s="21" t="s">
        <v>79</v>
      </c>
      <c r="R110" s="27" t="s">
        <v>832</v>
      </c>
      <c r="S110" s="17" t="s">
        <v>88</v>
      </c>
    </row>
    <row r="111" customFormat="false" ht="15" hidden="false" customHeight="false" outlineLevel="0" collapsed="false">
      <c r="A111" s="17" t="s">
        <v>1017</v>
      </c>
      <c r="B111" s="17" t="s">
        <v>1018</v>
      </c>
      <c r="C111" s="17" t="s">
        <v>1019</v>
      </c>
      <c r="D111" s="17" t="s">
        <v>86</v>
      </c>
      <c r="E111" s="18" t="n">
        <v>14550</v>
      </c>
      <c r="F111" s="17" t="s">
        <v>821</v>
      </c>
      <c r="G111" s="23" t="n">
        <v>0.943436426116839</v>
      </c>
      <c r="H111" s="19" t="n">
        <v>76.7</v>
      </c>
      <c r="I111" s="17" t="n">
        <f aca="false">IF(H111="","",RANK(H111,$H$5:$H$430))</f>
        <v>107</v>
      </c>
      <c r="J111" s="24" t="n">
        <v>0.155679110405083</v>
      </c>
      <c r="K111" s="19" t="n">
        <v>77.7</v>
      </c>
      <c r="L111" s="17" t="n">
        <f aca="false">IF(K111="","",RANK(K111,$K$5:$K$430))</f>
        <v>96</v>
      </c>
      <c r="M111" s="25" t="n">
        <v>0.136518771331058</v>
      </c>
      <c r="N111" s="19" t="n">
        <v>51.3</v>
      </c>
      <c r="O111" s="17" t="n">
        <f aca="false">IF(N111="","",RANK(N111,$N$5:$N$430))</f>
        <v>185</v>
      </c>
      <c r="P111" s="17" t="str">
        <f aca="false">IF(AND(N(H111)&gt;=N(K111),N(H111)&gt;=N(N111)),"The Pulse",IF(N(K111)&gt;=N(N111),"The Lens","The Hub"))</f>
        <v>The Lens</v>
      </c>
      <c r="Q111" s="21" t="s">
        <v>79</v>
      </c>
      <c r="R111" s="27" t="s">
        <v>832</v>
      </c>
      <c r="S111" s="17" t="s">
        <v>88</v>
      </c>
    </row>
    <row r="112" customFormat="false" ht="15" hidden="false" customHeight="false" outlineLevel="0" collapsed="false">
      <c r="A112" s="17" t="s">
        <v>1020</v>
      </c>
      <c r="B112" s="17" t="s">
        <v>1021</v>
      </c>
      <c r="C112" s="17" t="s">
        <v>1022</v>
      </c>
      <c r="D112" s="17" t="s">
        <v>95</v>
      </c>
      <c r="E112" s="18" t="n">
        <v>28640</v>
      </c>
      <c r="F112" s="17" t="s">
        <v>821</v>
      </c>
      <c r="G112" s="23" t="n">
        <v>0.931319832402235</v>
      </c>
      <c r="H112" s="19" t="n">
        <v>76.4</v>
      </c>
      <c r="I112" s="17" t="n">
        <f aca="false">IF(H112="","",RANK(H112,$H$5:$H$430))</f>
        <v>108</v>
      </c>
      <c r="J112" s="24" t="n">
        <v>0.120062573328119</v>
      </c>
      <c r="K112" s="19" t="n">
        <v>64.3</v>
      </c>
      <c r="L112" s="17" t="n">
        <f aca="false">IF(K112="","",RANK(K112,$K$5:$K$430))</f>
        <v>154</v>
      </c>
      <c r="M112" s="25" t="n">
        <v>0.357423795476893</v>
      </c>
      <c r="N112" s="19" t="n">
        <v>95.3</v>
      </c>
      <c r="O112" s="17" t="n">
        <f aca="false">IF(N112="","",RANK(N112,$N$5:$N$430))</f>
        <v>18</v>
      </c>
      <c r="P112" s="17" t="str">
        <f aca="false">IF(AND(N(H112)&gt;=N(K112),N(H112)&gt;=N(N112)),"The Pulse",IF(N(K112)&gt;=N(N112),"The Lens","The Hub"))</f>
        <v>The Hub</v>
      </c>
      <c r="Q112" s="20" t="s">
        <v>74</v>
      </c>
      <c r="R112" s="27" t="s">
        <v>832</v>
      </c>
      <c r="S112" s="17" t="s">
        <v>24</v>
      </c>
    </row>
    <row r="113" customFormat="false" ht="15" hidden="false" customHeight="false" outlineLevel="0" collapsed="false">
      <c r="A113" s="17" t="s">
        <v>150</v>
      </c>
      <c r="B113" s="17" t="s">
        <v>151</v>
      </c>
      <c r="C113" s="17" t="s">
        <v>1023</v>
      </c>
      <c r="D113" s="17" t="s">
        <v>77</v>
      </c>
      <c r="E113" s="18" t="n">
        <v>108470</v>
      </c>
      <c r="F113" s="17" t="s">
        <v>827</v>
      </c>
      <c r="G113" s="23" t="n">
        <v>0.916520696966903</v>
      </c>
      <c r="H113" s="19" t="n">
        <v>76</v>
      </c>
      <c r="I113" s="17" t="n">
        <f aca="false">IF(H113="","",RANK(H113,$H$5:$H$430))</f>
        <v>109</v>
      </c>
      <c r="J113" s="24" t="n">
        <v>-0.0336748329621381</v>
      </c>
      <c r="K113" s="19" t="n">
        <v>7.9</v>
      </c>
      <c r="L113" s="17" t="n">
        <f aca="false">IF(K113="","",RANK(K113,$K$5:$K$430))</f>
        <v>391</v>
      </c>
      <c r="M113" s="25" t="n">
        <v>0.273100616016427</v>
      </c>
      <c r="N113" s="19" t="n">
        <v>86</v>
      </c>
      <c r="O113" s="17" t="n">
        <f aca="false">IF(N113="","",RANK(N113,$N$5:$N$430))</f>
        <v>55</v>
      </c>
      <c r="P113" s="17" t="str">
        <f aca="false">IF(AND(N(H113)&gt;=N(K113),N(H113)&gt;=N(N113)),"The Pulse",IF(N(K113)&gt;=N(N113),"The Lens","The Hub"))</f>
        <v>The Hub</v>
      </c>
      <c r="Q113" s="20" t="s">
        <v>74</v>
      </c>
      <c r="R113" s="26" t="s">
        <v>822</v>
      </c>
      <c r="S113" s="17" t="s">
        <v>24</v>
      </c>
    </row>
    <row r="114" customFormat="false" ht="15" hidden="false" customHeight="false" outlineLevel="0" collapsed="false">
      <c r="A114" s="17" t="s">
        <v>1024</v>
      </c>
      <c r="B114" s="17" t="s">
        <v>1025</v>
      </c>
      <c r="C114" s="17" t="s">
        <v>1026</v>
      </c>
      <c r="D114" s="17" t="s">
        <v>115</v>
      </c>
      <c r="E114" s="18" t="n">
        <v>191870</v>
      </c>
      <c r="F114" s="17" t="s">
        <v>827</v>
      </c>
      <c r="G114" s="23" t="n">
        <v>0.915484442591338</v>
      </c>
      <c r="H114" s="19" t="n">
        <v>75.8</v>
      </c>
      <c r="I114" s="17" t="n">
        <f aca="false">IF(H114="","",RANK(H114,$H$5:$H$430))</f>
        <v>110</v>
      </c>
      <c r="J114" s="24" t="n">
        <v>0.0851761778179967</v>
      </c>
      <c r="K114" s="19" t="n">
        <v>50.7</v>
      </c>
      <c r="L114" s="17" t="n">
        <f aca="false">IF(K114="","",RANK(K114,$K$5:$K$430))</f>
        <v>211</v>
      </c>
      <c r="M114" s="25" t="n">
        <v>0.0867947000148876</v>
      </c>
      <c r="N114" s="19" t="n">
        <v>30.1</v>
      </c>
      <c r="O114" s="17" t="n">
        <f aca="false">IF(N114="","",RANK(N114,$N$5:$N$430))</f>
        <v>272</v>
      </c>
      <c r="P114" s="17" t="str">
        <f aca="false">IF(AND(N(H114)&gt;=N(K114),N(H114)&gt;=N(N114)),"The Pulse",IF(N(K114)&gt;=N(N114),"The Lens","The Hub"))</f>
        <v>The Pulse</v>
      </c>
      <c r="Q114" s="21" t="s">
        <v>79</v>
      </c>
      <c r="R114" s="27" t="s">
        <v>832</v>
      </c>
      <c r="S114" s="17" t="s">
        <v>88</v>
      </c>
    </row>
    <row r="115" customFormat="false" ht="15" hidden="false" customHeight="false" outlineLevel="0" collapsed="false">
      <c r="A115" s="17" t="s">
        <v>1027</v>
      </c>
      <c r="B115" s="17" t="s">
        <v>1028</v>
      </c>
      <c r="C115" s="17" t="s">
        <v>1029</v>
      </c>
      <c r="D115" s="17" t="s">
        <v>162</v>
      </c>
      <c r="E115" s="18" t="n">
        <v>38230</v>
      </c>
      <c r="F115" s="17" t="s">
        <v>821</v>
      </c>
      <c r="G115" s="23" t="n">
        <v>0.913732670677478</v>
      </c>
      <c r="H115" s="19" t="n">
        <v>75.6</v>
      </c>
      <c r="I115" s="17" t="n">
        <f aca="false">IF(H115="","",RANK(H115,$H$5:$H$430))</f>
        <v>111</v>
      </c>
      <c r="J115" s="24" t="n">
        <v>0.0805539853024308</v>
      </c>
      <c r="K115" s="19" t="n">
        <v>43.3</v>
      </c>
      <c r="L115" s="17" t="n">
        <f aca="false">IF(K115="","",RANK(K115,$K$5:$K$430))</f>
        <v>238</v>
      </c>
      <c r="M115" s="25" t="n">
        <v>0.0860215053763441</v>
      </c>
      <c r="N115" s="19" t="n">
        <v>29.6</v>
      </c>
      <c r="O115" s="17" t="n">
        <f aca="false">IF(N115="","",RANK(N115,$N$5:$N$430))</f>
        <v>273</v>
      </c>
      <c r="P115" s="17" t="str">
        <f aca="false">IF(AND(N(H115)&gt;=N(K115),N(H115)&gt;=N(N115)),"The Pulse",IF(N(K115)&gt;=N(N115),"The Lens","The Hub"))</f>
        <v>The Pulse</v>
      </c>
      <c r="Q115" s="20" t="s">
        <v>74</v>
      </c>
      <c r="R115" s="27" t="s">
        <v>832</v>
      </c>
      <c r="S115" s="17" t="s">
        <v>24</v>
      </c>
    </row>
    <row r="116" customFormat="false" ht="15" hidden="false" customHeight="false" outlineLevel="0" collapsed="false">
      <c r="A116" s="17" t="s">
        <v>1030</v>
      </c>
      <c r="B116" s="17" t="s">
        <v>1031</v>
      </c>
      <c r="C116" s="17" t="s">
        <v>1032</v>
      </c>
      <c r="D116" s="17" t="s">
        <v>95</v>
      </c>
      <c r="E116" s="18" t="n">
        <v>11000</v>
      </c>
      <c r="F116" s="17" t="s">
        <v>821</v>
      </c>
      <c r="G116" s="23" t="n">
        <v>0.898272727272727</v>
      </c>
      <c r="H116" s="19" t="n">
        <v>75.2</v>
      </c>
      <c r="I116" s="17" t="n">
        <f aca="false">IF(H116="","",RANK(H116,$H$5:$H$430))</f>
        <v>112</v>
      </c>
      <c r="J116" s="24" t="n">
        <v>0.189189189189189</v>
      </c>
      <c r="K116" s="19" t="n">
        <v>89.3</v>
      </c>
      <c r="L116" s="17" t="n">
        <f aca="false">IF(K116="","",RANK(K116,$K$5:$K$430))</f>
        <v>46</v>
      </c>
      <c r="M116" s="25" t="n">
        <v>0.0422343324250681</v>
      </c>
      <c r="N116" s="19" t="n">
        <v>12.8</v>
      </c>
      <c r="O116" s="17" t="n">
        <f aca="false">IF(N116="","",RANK(N116,$N$5:$N$430))</f>
        <v>337</v>
      </c>
      <c r="P116" s="17" t="str">
        <f aca="false">IF(AND(N(H116)&gt;=N(K116),N(H116)&gt;=N(N116)),"The Pulse",IF(N(K116)&gt;=N(N116),"The Lens","The Hub"))</f>
        <v>The Lens</v>
      </c>
      <c r="Q116" s="20" t="s">
        <v>74</v>
      </c>
      <c r="R116" s="27" t="s">
        <v>832</v>
      </c>
      <c r="S116" s="17" t="s">
        <v>24</v>
      </c>
    </row>
    <row r="117" customFormat="false" ht="15" hidden="false" customHeight="false" outlineLevel="0" collapsed="false">
      <c r="A117" s="17" t="s">
        <v>1033</v>
      </c>
      <c r="B117" s="17" t="s">
        <v>1034</v>
      </c>
      <c r="C117" s="17" t="s">
        <v>1035</v>
      </c>
      <c r="D117" s="17" t="s">
        <v>82</v>
      </c>
      <c r="E117" s="18" t="n">
        <v>18440</v>
      </c>
      <c r="F117" s="17" t="s">
        <v>821</v>
      </c>
      <c r="G117" s="23" t="n">
        <v>0.897885032537961</v>
      </c>
      <c r="H117" s="19" t="n">
        <v>75</v>
      </c>
      <c r="I117" s="17" t="n">
        <f aca="false">IF(H117="","",RANK(H117,$H$5:$H$430))</f>
        <v>113</v>
      </c>
      <c r="J117" s="24" t="n">
        <v>0.109506618531889</v>
      </c>
      <c r="K117" s="19" t="n">
        <v>58.8</v>
      </c>
      <c r="L117" s="17" t="n">
        <f aca="false">IF(K117="","",RANK(K117,$K$5:$K$430))</f>
        <v>177</v>
      </c>
      <c r="M117" s="28" t="s">
        <v>857</v>
      </c>
      <c r="N117" s="19"/>
      <c r="O117" s="17" t="str">
        <f aca="false">IF(N117="","",RANK(N117,$N$5:$N$430))</f>
        <v/>
      </c>
      <c r="P117" s="17" t="str">
        <f aca="false">IF(AND(N(H117)&gt;=N(K117),N(H117)&gt;=N(N117)),"The Pulse",IF(N(K117)&gt;=N(N117),"The Lens","The Hub"))</f>
        <v>The Pulse</v>
      </c>
      <c r="Q117" s="20" t="s">
        <v>74</v>
      </c>
      <c r="R117" s="27" t="s">
        <v>832</v>
      </c>
      <c r="S117" s="17" t="s">
        <v>24</v>
      </c>
    </row>
    <row r="118" customFormat="false" ht="15" hidden="false" customHeight="false" outlineLevel="0" collapsed="false">
      <c r="A118" s="17" t="s">
        <v>1036</v>
      </c>
      <c r="B118" s="17" t="s">
        <v>1037</v>
      </c>
      <c r="C118" s="17" t="s">
        <v>1038</v>
      </c>
      <c r="D118" s="17" t="s">
        <v>72</v>
      </c>
      <c r="E118" s="18" t="n">
        <v>93060</v>
      </c>
      <c r="F118" s="17" t="s">
        <v>821</v>
      </c>
      <c r="G118" s="23" t="n">
        <v>0.896013324736729</v>
      </c>
      <c r="H118" s="19" t="n">
        <v>74.9</v>
      </c>
      <c r="I118" s="17" t="n">
        <f aca="false">IF(H118="","",RANK(H118,$H$5:$H$430))</f>
        <v>114</v>
      </c>
      <c r="J118" s="24" t="n">
        <v>0.0707628581290991</v>
      </c>
      <c r="K118" s="19" t="n">
        <v>38.1</v>
      </c>
      <c r="L118" s="17" t="n">
        <f aca="false">IF(K118="","",RANK(K118,$K$5:$K$430))</f>
        <v>261</v>
      </c>
      <c r="M118" s="25" t="n">
        <v>0.138047953499637</v>
      </c>
      <c r="N118" s="19" t="n">
        <v>52.4</v>
      </c>
      <c r="O118" s="17" t="n">
        <f aca="false">IF(N118="","",RANK(N118,$N$5:$N$430))</f>
        <v>180</v>
      </c>
      <c r="P118" s="17" t="str">
        <f aca="false">IF(AND(N(H118)&gt;=N(K118),N(H118)&gt;=N(N118)),"The Pulse",IF(N(K118)&gt;=N(N118),"The Lens","The Hub"))</f>
        <v>The Pulse</v>
      </c>
      <c r="Q118" s="20" t="s">
        <v>74</v>
      </c>
      <c r="R118" s="27" t="s">
        <v>832</v>
      </c>
      <c r="S118" s="17" t="s">
        <v>24</v>
      </c>
    </row>
    <row r="119" customFormat="false" ht="15" hidden="false" customHeight="false" outlineLevel="0" collapsed="false">
      <c r="A119" s="17" t="s">
        <v>1039</v>
      </c>
      <c r="B119" s="17" t="s">
        <v>1040</v>
      </c>
      <c r="C119" s="17" t="s">
        <v>1041</v>
      </c>
      <c r="D119" s="17" t="s">
        <v>72</v>
      </c>
      <c r="E119" s="18" t="n">
        <v>14100</v>
      </c>
      <c r="F119" s="17" t="s">
        <v>821</v>
      </c>
      <c r="G119" s="23" t="n">
        <v>0.894326241134752</v>
      </c>
      <c r="H119" s="19" t="n">
        <v>74.7</v>
      </c>
      <c r="I119" s="17" t="n">
        <f aca="false">IF(H119="","",RANK(H119,$H$5:$H$430))</f>
        <v>115</v>
      </c>
      <c r="J119" s="24" t="n">
        <v>0.110498542962905</v>
      </c>
      <c r="K119" s="19" t="n">
        <v>59.8</v>
      </c>
      <c r="L119" s="17" t="n">
        <f aca="false">IF(K119="","",RANK(K119,$K$5:$K$430))</f>
        <v>172</v>
      </c>
      <c r="M119" s="28" t="s">
        <v>857</v>
      </c>
      <c r="N119" s="19"/>
      <c r="O119" s="17" t="str">
        <f aca="false">IF(N119="","",RANK(N119,$N$5:$N$430))</f>
        <v/>
      </c>
      <c r="P119" s="17" t="str">
        <f aca="false">IF(AND(N(H119)&gt;=N(K119),N(H119)&gt;=N(N119)),"The Pulse",IF(N(K119)&gt;=N(N119),"The Lens","The Hub"))</f>
        <v>The Pulse</v>
      </c>
      <c r="Q119" s="21" t="s">
        <v>79</v>
      </c>
      <c r="R119" s="27" t="s">
        <v>832</v>
      </c>
      <c r="S119" s="17" t="s">
        <v>22</v>
      </c>
    </row>
    <row r="120" customFormat="false" ht="15" hidden="false" customHeight="false" outlineLevel="0" collapsed="false">
      <c r="A120" s="17" t="s">
        <v>269</v>
      </c>
      <c r="B120" s="17" t="s">
        <v>270</v>
      </c>
      <c r="C120" s="17" t="s">
        <v>1042</v>
      </c>
      <c r="D120" s="17" t="s">
        <v>115</v>
      </c>
      <c r="E120" s="18" t="n">
        <v>74040</v>
      </c>
      <c r="F120" s="17" t="s">
        <v>821</v>
      </c>
      <c r="G120" s="23" t="n">
        <v>0.894111291193949</v>
      </c>
      <c r="H120" s="19" t="n">
        <v>74.5</v>
      </c>
      <c r="I120" s="17" t="n">
        <f aca="false">IF(H120="","",RANK(H120,$H$5:$H$430))</f>
        <v>116</v>
      </c>
      <c r="J120" s="24" t="n">
        <v>0.17337559429477</v>
      </c>
      <c r="K120" s="19" t="n">
        <v>84.9</v>
      </c>
      <c r="L120" s="17" t="n">
        <f aca="false">IF(K120="","",RANK(K120,$K$5:$K$430))</f>
        <v>65</v>
      </c>
      <c r="M120" s="28" t="s">
        <v>857</v>
      </c>
      <c r="N120" s="19"/>
      <c r="O120" s="17" t="str">
        <f aca="false">IF(N120="","",RANK(N120,$N$5:$N$430))</f>
        <v/>
      </c>
      <c r="P120" s="17" t="str">
        <f aca="false">IF(AND(N(H120)&gt;=N(K120),N(H120)&gt;=N(N120)),"The Pulse",IF(N(K120)&gt;=N(N120),"The Lens","The Hub"))</f>
        <v>The Lens</v>
      </c>
      <c r="Q120" s="20" t="s">
        <v>74</v>
      </c>
      <c r="R120" s="26" t="s">
        <v>822</v>
      </c>
      <c r="S120" s="17" t="s">
        <v>24</v>
      </c>
    </row>
    <row r="121" customFormat="false" ht="15" hidden="false" customHeight="false" outlineLevel="0" collapsed="false">
      <c r="A121" s="17" t="s">
        <v>1043</v>
      </c>
      <c r="B121" s="17" t="s">
        <v>1044</v>
      </c>
      <c r="C121" s="17" t="s">
        <v>1045</v>
      </c>
      <c r="D121" s="17" t="s">
        <v>77</v>
      </c>
      <c r="E121" s="18" t="n">
        <v>277050</v>
      </c>
      <c r="F121" s="17" t="s">
        <v>827</v>
      </c>
      <c r="G121" s="23" t="n">
        <v>0.889749142754016</v>
      </c>
      <c r="H121" s="19" t="n">
        <v>74.3</v>
      </c>
      <c r="I121" s="17" t="n">
        <f aca="false">IF(H121="","",RANK(H121,$H$5:$H$430))</f>
        <v>117</v>
      </c>
      <c r="J121" s="24" t="n">
        <v>0.1082</v>
      </c>
      <c r="K121" s="19" t="n">
        <v>65</v>
      </c>
      <c r="L121" s="17" t="n">
        <f aca="false">IF(K121="","",RANK(K121,$K$5:$K$430))</f>
        <v>149</v>
      </c>
      <c r="M121" s="25" t="n">
        <v>0.155808191225769</v>
      </c>
      <c r="N121" s="19" t="n">
        <v>60.6</v>
      </c>
      <c r="O121" s="17" t="n">
        <f aca="false">IF(N121="","",RANK(N121,$N$5:$N$430))</f>
        <v>149</v>
      </c>
      <c r="P121" s="17" t="str">
        <f aca="false">IF(AND(N(H121)&gt;=N(K121),N(H121)&gt;=N(N121)),"The Pulse",IF(N(K121)&gt;=N(N121),"The Lens","The Hub"))</f>
        <v>The Pulse</v>
      </c>
      <c r="Q121" s="20" t="s">
        <v>74</v>
      </c>
      <c r="R121" s="27" t="s">
        <v>832</v>
      </c>
      <c r="S121" s="17" t="s">
        <v>24</v>
      </c>
    </row>
    <row r="122" customFormat="false" ht="15" hidden="false" customHeight="false" outlineLevel="0" collapsed="false">
      <c r="A122" s="17" t="s">
        <v>341</v>
      </c>
      <c r="B122" s="17" t="s">
        <v>342</v>
      </c>
      <c r="C122" s="17" t="s">
        <v>1046</v>
      </c>
      <c r="D122" s="17" t="s">
        <v>82</v>
      </c>
      <c r="E122" s="18" t="n">
        <v>311674</v>
      </c>
      <c r="F122" s="17" t="s">
        <v>827</v>
      </c>
      <c r="G122" s="23" t="n">
        <v>0.885223021490403</v>
      </c>
      <c r="H122" s="19" t="n">
        <v>74.1</v>
      </c>
      <c r="I122" s="17" t="n">
        <f aca="false">IF(H122="","",RANK(H122,$H$5:$H$430))</f>
        <v>118</v>
      </c>
      <c r="J122" s="24" t="n">
        <v>-0.0196186983149372</v>
      </c>
      <c r="K122" s="19" t="n">
        <v>9.3</v>
      </c>
      <c r="L122" s="17" t="n">
        <f aca="false">IF(K122="","",RANK(K122,$K$5:$K$430))</f>
        <v>384</v>
      </c>
      <c r="M122" s="28" t="s">
        <v>857</v>
      </c>
      <c r="N122" s="19"/>
      <c r="O122" s="17" t="str">
        <f aca="false">IF(N122="","",RANK(N122,$N$5:$N$430))</f>
        <v/>
      </c>
      <c r="P122" s="17" t="str">
        <f aca="false">IF(AND(N(H122)&gt;=N(K122),N(H122)&gt;=N(N122)),"The Pulse",IF(N(K122)&gt;=N(N122),"The Lens","The Hub"))</f>
        <v>The Pulse</v>
      </c>
      <c r="Q122" s="22" t="s">
        <v>109</v>
      </c>
      <c r="R122" s="26" t="s">
        <v>822</v>
      </c>
      <c r="S122" s="17" t="s">
        <v>19</v>
      </c>
    </row>
    <row r="123" customFormat="false" ht="15" hidden="false" customHeight="false" outlineLevel="0" collapsed="false">
      <c r="A123" s="17" t="s">
        <v>275</v>
      </c>
      <c r="B123" s="17" t="s">
        <v>276</v>
      </c>
      <c r="C123" s="17" t="s">
        <v>1047</v>
      </c>
      <c r="D123" s="17" t="s">
        <v>82</v>
      </c>
      <c r="E123" s="18" t="n">
        <v>14327</v>
      </c>
      <c r="F123" s="17" t="s">
        <v>821</v>
      </c>
      <c r="G123" s="23" t="n">
        <v>0.878550987645704</v>
      </c>
      <c r="H123" s="19" t="n">
        <v>73.9</v>
      </c>
      <c r="I123" s="17" t="n">
        <f aca="false">IF(H123="","",RANK(H123,$H$5:$H$430))</f>
        <v>119</v>
      </c>
      <c r="J123" s="24" t="n">
        <v>0.107015917168907</v>
      </c>
      <c r="K123" s="19" t="n">
        <v>56</v>
      </c>
      <c r="L123" s="17" t="n">
        <f aca="false">IF(K123="","",RANK(K123,$K$5:$K$430))</f>
        <v>186</v>
      </c>
      <c r="M123" s="25" t="n">
        <v>0.0625</v>
      </c>
      <c r="N123" s="19" t="n">
        <v>20.7</v>
      </c>
      <c r="O123" s="17" t="n">
        <f aca="false">IF(N123="","",RANK(N123,$N$5:$N$430))</f>
        <v>307</v>
      </c>
      <c r="P123" s="17" t="str">
        <f aca="false">IF(AND(N(H123)&gt;=N(K123),N(H123)&gt;=N(N123)),"The Pulse",IF(N(K123)&gt;=N(N123),"The Lens","The Hub"))</f>
        <v>The Pulse</v>
      </c>
      <c r="Q123" s="21" t="s">
        <v>79</v>
      </c>
      <c r="R123" s="26" t="s">
        <v>822</v>
      </c>
      <c r="S123" s="17" t="s">
        <v>22</v>
      </c>
    </row>
    <row r="124" customFormat="false" ht="15" hidden="false" customHeight="false" outlineLevel="0" collapsed="false">
      <c r="A124" s="17" t="s">
        <v>371</v>
      </c>
      <c r="B124" s="17" t="s">
        <v>372</v>
      </c>
      <c r="C124" s="17" t="s">
        <v>1048</v>
      </c>
      <c r="D124" s="17" t="s">
        <v>95</v>
      </c>
      <c r="E124" s="18" t="n">
        <v>93860</v>
      </c>
      <c r="F124" s="17" t="s">
        <v>821</v>
      </c>
      <c r="G124" s="23" t="n">
        <v>0.861559769870019</v>
      </c>
      <c r="H124" s="19" t="n">
        <v>73.2</v>
      </c>
      <c r="I124" s="17" t="n">
        <f aca="false">IF(H124="","",RANK(H124,$H$5:$H$430))</f>
        <v>120</v>
      </c>
      <c r="J124" s="24" t="n">
        <v>-0.122721749696233</v>
      </c>
      <c r="K124" s="19" t="n">
        <v>1</v>
      </c>
      <c r="L124" s="17" t="n">
        <f aca="false">IF(K124="","",RANK(K124,$K$5:$K$430))</f>
        <v>423</v>
      </c>
      <c r="M124" s="25" t="n">
        <v>0.0842634805848137</v>
      </c>
      <c r="N124" s="19" t="n">
        <v>28.4</v>
      </c>
      <c r="O124" s="17" t="n">
        <f aca="false">IF(N124="","",RANK(N124,$N$5:$N$430))</f>
        <v>278</v>
      </c>
      <c r="P124" s="17" t="str">
        <f aca="false">IF(AND(N(H124)&gt;=N(K124),N(H124)&gt;=N(N124)),"The Pulse",IF(N(K124)&gt;=N(N124),"The Lens","The Hub"))</f>
        <v>The Pulse</v>
      </c>
      <c r="Q124" s="20" t="s">
        <v>74</v>
      </c>
      <c r="R124" s="26" t="s">
        <v>822</v>
      </c>
      <c r="S124" s="17" t="s">
        <v>24</v>
      </c>
    </row>
    <row r="125" customFormat="false" ht="15" hidden="false" customHeight="false" outlineLevel="0" collapsed="false">
      <c r="A125" s="17" t="s">
        <v>1049</v>
      </c>
      <c r="B125" s="17" t="s">
        <v>1050</v>
      </c>
      <c r="C125" s="17" t="s">
        <v>1051</v>
      </c>
      <c r="D125" s="17" t="s">
        <v>115</v>
      </c>
      <c r="E125" s="18" t="n">
        <v>86360</v>
      </c>
      <c r="F125" s="17" t="s">
        <v>821</v>
      </c>
      <c r="G125" s="23" t="n">
        <v>0.861428902269569</v>
      </c>
      <c r="H125" s="19" t="n">
        <v>73</v>
      </c>
      <c r="I125" s="17" t="n">
        <f aca="false">IF(H125="","",RANK(H125,$H$5:$H$430))</f>
        <v>121</v>
      </c>
      <c r="J125" s="24" t="n">
        <v>0.0459004481046385</v>
      </c>
      <c r="K125" s="19" t="n">
        <v>25.1</v>
      </c>
      <c r="L125" s="17" t="n">
        <f aca="false">IF(K125="","",RANK(K125,$K$5:$K$430))</f>
        <v>311</v>
      </c>
      <c r="M125" s="25" t="n">
        <v>0.139173147769136</v>
      </c>
      <c r="N125" s="19" t="n">
        <v>53.1</v>
      </c>
      <c r="O125" s="17" t="n">
        <f aca="false">IF(N125="","",RANK(N125,$N$5:$N$430))</f>
        <v>177</v>
      </c>
      <c r="P125" s="17" t="str">
        <f aca="false">IF(AND(N(H125)&gt;=N(K125),N(H125)&gt;=N(N125)),"The Pulse",IF(N(K125)&gt;=N(N125),"The Lens","The Hub"))</f>
        <v>The Pulse</v>
      </c>
      <c r="Q125" s="20" t="s">
        <v>74</v>
      </c>
      <c r="R125" s="27" t="s">
        <v>832</v>
      </c>
      <c r="S125" s="17" t="s">
        <v>24</v>
      </c>
    </row>
    <row r="126" customFormat="false" ht="15" hidden="false" customHeight="false" outlineLevel="0" collapsed="false">
      <c r="A126" s="17" t="s">
        <v>1052</v>
      </c>
      <c r="B126" s="17" t="s">
        <v>1053</v>
      </c>
      <c r="C126" s="17" t="s">
        <v>1054</v>
      </c>
      <c r="D126" s="17" t="s">
        <v>95</v>
      </c>
      <c r="E126" s="18" t="n">
        <v>123680</v>
      </c>
      <c r="F126" s="17" t="s">
        <v>827</v>
      </c>
      <c r="G126" s="23" t="n">
        <v>0.859079883570505</v>
      </c>
      <c r="H126" s="19" t="n">
        <v>72.8</v>
      </c>
      <c r="I126" s="17" t="n">
        <f aca="false">IF(H126="","",RANK(H126,$H$5:$H$430))</f>
        <v>122</v>
      </c>
      <c r="J126" s="24" t="n">
        <v>-0.0578197607983545</v>
      </c>
      <c r="K126" s="19" t="n">
        <v>2.9</v>
      </c>
      <c r="L126" s="17" t="n">
        <f aca="false">IF(K126="","",RANK(K126,$K$5:$K$430))</f>
        <v>416</v>
      </c>
      <c r="M126" s="25" t="n">
        <v>0.232086127779739</v>
      </c>
      <c r="N126" s="19" t="n">
        <v>79.3</v>
      </c>
      <c r="O126" s="17" t="n">
        <f aca="false">IF(N126="","",RANK(N126,$N$5:$N$430))</f>
        <v>83</v>
      </c>
      <c r="P126" s="17" t="str">
        <f aca="false">IF(AND(N(H126)&gt;=N(K126),N(H126)&gt;=N(N126)),"The Pulse",IF(N(K126)&gt;=N(N126),"The Lens","The Hub"))</f>
        <v>The Hub</v>
      </c>
      <c r="Q126" s="20" t="s">
        <v>74</v>
      </c>
      <c r="R126" s="27" t="s">
        <v>832</v>
      </c>
      <c r="S126" s="17" t="s">
        <v>24</v>
      </c>
    </row>
    <row r="127" customFormat="false" ht="15" hidden="false" customHeight="false" outlineLevel="0" collapsed="false">
      <c r="A127" s="17" t="s">
        <v>167</v>
      </c>
      <c r="B127" s="17" t="s">
        <v>168</v>
      </c>
      <c r="C127" s="17" t="s">
        <v>1055</v>
      </c>
      <c r="D127" s="17" t="s">
        <v>98</v>
      </c>
      <c r="E127" s="18" t="n">
        <v>15640</v>
      </c>
      <c r="F127" s="17" t="s">
        <v>821</v>
      </c>
      <c r="G127" s="23" t="n">
        <v>0.859015345268542</v>
      </c>
      <c r="H127" s="19" t="n">
        <v>72.6</v>
      </c>
      <c r="I127" s="17" t="n">
        <f aca="false">IF(H127="","",RANK(H127,$H$5:$H$430))</f>
        <v>123</v>
      </c>
      <c r="J127" s="24" t="n">
        <v>0.102184637068358</v>
      </c>
      <c r="K127" s="19" t="n">
        <v>53.6</v>
      </c>
      <c r="L127" s="17" t="n">
        <f aca="false">IF(K127="","",RANK(K127,$K$5:$K$430))</f>
        <v>195</v>
      </c>
      <c r="M127" s="25" t="n">
        <v>0.0812720848056537</v>
      </c>
      <c r="N127" s="19" t="n">
        <v>26.3</v>
      </c>
      <c r="O127" s="17" t="n">
        <f aca="false">IF(N127="","",RANK(N127,$N$5:$N$430))</f>
        <v>286</v>
      </c>
      <c r="P127" s="17" t="str">
        <f aca="false">IF(AND(N(H127)&gt;=N(K127),N(H127)&gt;=N(N127)),"The Pulse",IF(N(K127)&gt;=N(N127),"The Lens","The Hub"))</f>
        <v>The Pulse</v>
      </c>
      <c r="Q127" s="20" t="s">
        <v>74</v>
      </c>
      <c r="R127" s="26" t="s">
        <v>822</v>
      </c>
      <c r="S127" s="17" t="s">
        <v>24</v>
      </c>
    </row>
    <row r="128" customFormat="false" ht="15" hidden="false" customHeight="false" outlineLevel="0" collapsed="false">
      <c r="A128" s="17" t="s">
        <v>1056</v>
      </c>
      <c r="B128" s="17" t="s">
        <v>1057</v>
      </c>
      <c r="C128" s="17" t="s">
        <v>1058</v>
      </c>
      <c r="D128" s="17" t="s">
        <v>82</v>
      </c>
      <c r="E128" s="18" t="n">
        <v>91690</v>
      </c>
      <c r="F128" s="17" t="s">
        <v>821</v>
      </c>
      <c r="G128" s="23" t="n">
        <v>0.857072745119424</v>
      </c>
      <c r="H128" s="19" t="n">
        <v>72.2</v>
      </c>
      <c r="I128" s="17" t="n">
        <f aca="false">IF(H128="","",RANK(H128,$H$5:$H$430))</f>
        <v>124</v>
      </c>
      <c r="J128" s="24" t="n">
        <v>0.0811225091380733</v>
      </c>
      <c r="K128" s="19" t="n">
        <v>44</v>
      </c>
      <c r="L128" s="17" t="n">
        <f aca="false">IF(K128="","",RANK(K128,$K$5:$K$430))</f>
        <v>235</v>
      </c>
      <c r="M128" s="28" t="s">
        <v>857</v>
      </c>
      <c r="N128" s="19"/>
      <c r="O128" s="17" t="str">
        <f aca="false">IF(N128="","",RANK(N128,$N$5:$N$430))</f>
        <v/>
      </c>
      <c r="P128" s="17" t="str">
        <f aca="false">IF(AND(N(H128)&gt;=N(K128),N(H128)&gt;=N(N128)),"The Pulse",IF(N(K128)&gt;=N(N128),"The Lens","The Hub"))</f>
        <v>The Pulse</v>
      </c>
      <c r="Q128" s="20" t="s">
        <v>74</v>
      </c>
      <c r="R128" s="27" t="s">
        <v>832</v>
      </c>
      <c r="S128" s="17" t="s">
        <v>24</v>
      </c>
    </row>
    <row r="129" customFormat="false" ht="15" hidden="false" customHeight="false" outlineLevel="0" collapsed="false">
      <c r="A129" s="17" t="s">
        <v>627</v>
      </c>
      <c r="B129" s="17" t="s">
        <v>628</v>
      </c>
      <c r="C129" s="17" t="s">
        <v>1059</v>
      </c>
      <c r="D129" s="17" t="s">
        <v>162</v>
      </c>
      <c r="E129" s="18" t="n">
        <v>96240</v>
      </c>
      <c r="F129" s="17" t="s">
        <v>821</v>
      </c>
      <c r="G129" s="23" t="n">
        <v>0.855995428096426</v>
      </c>
      <c r="H129" s="19" t="n">
        <v>72</v>
      </c>
      <c r="I129" s="17" t="n">
        <f aca="false">IF(H129="","",RANK(H129,$H$5:$H$430))</f>
        <v>125</v>
      </c>
      <c r="J129" s="24" t="n">
        <v>0.186390532544379</v>
      </c>
      <c r="K129" s="19" t="n">
        <v>88.3</v>
      </c>
      <c r="L129" s="17" t="n">
        <f aca="false">IF(K129="","",RANK(K129,$K$5:$K$430))</f>
        <v>50</v>
      </c>
      <c r="M129" s="25" t="n">
        <v>0.0448015583150718</v>
      </c>
      <c r="N129" s="19" t="n">
        <v>14</v>
      </c>
      <c r="O129" s="17" t="n">
        <f aca="false">IF(N129="","",RANK(N129,$N$5:$N$430))</f>
        <v>334</v>
      </c>
      <c r="P129" s="17" t="str">
        <f aca="false">IF(AND(N(H129)&gt;=N(K129),N(H129)&gt;=N(N129)),"The Pulse",IF(N(K129)&gt;=N(N129),"The Lens","The Hub"))</f>
        <v>The Lens</v>
      </c>
      <c r="Q129" s="20" t="s">
        <v>74</v>
      </c>
      <c r="R129" s="26" t="s">
        <v>822</v>
      </c>
      <c r="S129" s="17" t="s">
        <v>24</v>
      </c>
    </row>
    <row r="130" customFormat="false" ht="15" hidden="false" customHeight="false" outlineLevel="0" collapsed="false">
      <c r="A130" s="17" t="s">
        <v>1060</v>
      </c>
      <c r="B130" s="17" t="s">
        <v>1061</v>
      </c>
      <c r="C130" s="17" t="s">
        <v>1062</v>
      </c>
      <c r="D130" s="17" t="s">
        <v>98</v>
      </c>
      <c r="E130" s="18" t="n">
        <v>72280</v>
      </c>
      <c r="F130" s="17" t="s">
        <v>821</v>
      </c>
      <c r="G130" s="23" t="n">
        <v>0.854828444936359</v>
      </c>
      <c r="H130" s="19" t="n">
        <v>71.8</v>
      </c>
      <c r="I130" s="17" t="n">
        <f aca="false">IF(H130="","",RANK(H130,$H$5:$H$430))</f>
        <v>126</v>
      </c>
      <c r="J130" s="24" t="n">
        <v>0.20889780899816</v>
      </c>
      <c r="K130" s="19" t="n">
        <v>92.4</v>
      </c>
      <c r="L130" s="17" t="n">
        <f aca="false">IF(K130="","",RANK(K130,$K$5:$K$430))</f>
        <v>34</v>
      </c>
      <c r="M130" s="25" t="n">
        <v>0.036908077994429</v>
      </c>
      <c r="N130" s="19" t="n">
        <v>11.7</v>
      </c>
      <c r="O130" s="17" t="n">
        <f aca="false">IF(N130="","",RANK(N130,$N$5:$N$430))</f>
        <v>341</v>
      </c>
      <c r="P130" s="17" t="str">
        <f aca="false">IF(AND(N(H130)&gt;=N(K130),N(H130)&gt;=N(N130)),"The Pulse",IF(N(K130)&gt;=N(N130),"The Lens","The Hub"))</f>
        <v>The Lens</v>
      </c>
      <c r="Q130" s="20" t="s">
        <v>74</v>
      </c>
      <c r="R130" s="27" t="s">
        <v>832</v>
      </c>
      <c r="S130" s="17" t="s">
        <v>24</v>
      </c>
    </row>
    <row r="131" customFormat="false" ht="15" hidden="false" customHeight="false" outlineLevel="0" collapsed="false">
      <c r="A131" s="17" t="s">
        <v>389</v>
      </c>
      <c r="B131" s="17" t="s">
        <v>390</v>
      </c>
      <c r="C131" s="17" t="s">
        <v>1063</v>
      </c>
      <c r="D131" s="17" t="s">
        <v>115</v>
      </c>
      <c r="E131" s="18" t="n">
        <v>6470</v>
      </c>
      <c r="F131" s="17" t="s">
        <v>825</v>
      </c>
      <c r="G131" s="23" t="n">
        <v>0.850850077279753</v>
      </c>
      <c r="H131" s="19" t="n">
        <v>71.5</v>
      </c>
      <c r="I131" s="17" t="n">
        <f aca="false">IF(H131="","",RANK(H131,$H$5:$H$430))</f>
        <v>127</v>
      </c>
      <c r="J131" s="24" t="n">
        <v>0.0801335559265442</v>
      </c>
      <c r="K131" s="19" t="n">
        <v>38</v>
      </c>
      <c r="L131" s="17" t="n">
        <f aca="false">IF(K131="","",RANK(K131,$K$5:$K$430))</f>
        <v>262</v>
      </c>
      <c r="M131" s="25" t="n">
        <v>0.172535211267606</v>
      </c>
      <c r="N131" s="19" t="n">
        <v>66</v>
      </c>
      <c r="O131" s="17" t="n">
        <f aca="false">IF(N131="","",RANK(N131,$N$5:$N$430))</f>
        <v>131</v>
      </c>
      <c r="P131" s="17" t="str">
        <f aca="false">IF(AND(N(H131)&gt;=N(K131),N(H131)&gt;=N(N131)),"The Pulse",IF(N(K131)&gt;=N(N131),"The Lens","The Hub"))</f>
        <v>The Pulse</v>
      </c>
      <c r="Q131" s="20" t="s">
        <v>74</v>
      </c>
      <c r="R131" s="26" t="s">
        <v>822</v>
      </c>
      <c r="S131" s="17" t="s">
        <v>24</v>
      </c>
    </row>
    <row r="132" customFormat="false" ht="15" hidden="false" customHeight="false" outlineLevel="0" collapsed="false">
      <c r="A132" s="17" t="s">
        <v>203</v>
      </c>
      <c r="B132" s="17" t="s">
        <v>204</v>
      </c>
      <c r="C132" s="17" t="s">
        <v>1064</v>
      </c>
      <c r="D132" s="17" t="s">
        <v>86</v>
      </c>
      <c r="E132" s="18" t="n">
        <v>29520</v>
      </c>
      <c r="F132" s="17" t="s">
        <v>821</v>
      </c>
      <c r="G132" s="23" t="n">
        <v>0.842242547425474</v>
      </c>
      <c r="H132" s="19" t="n">
        <v>71.1</v>
      </c>
      <c r="I132" s="17" t="n">
        <f aca="false">IF(H132="","",RANK(H132,$H$5:$H$430))</f>
        <v>128</v>
      </c>
      <c r="J132" s="24" t="n">
        <v>0.083302752293578</v>
      </c>
      <c r="K132" s="19" t="n">
        <v>45</v>
      </c>
      <c r="L132" s="17" t="n">
        <f aca="false">IF(K132="","",RANK(K132,$K$5:$K$430))</f>
        <v>231</v>
      </c>
      <c r="M132" s="25" t="n">
        <v>0.172131147540984</v>
      </c>
      <c r="N132" s="19" t="n">
        <v>65.5</v>
      </c>
      <c r="O132" s="17" t="n">
        <f aca="false">IF(N132="","",RANK(N132,$N$5:$N$430))</f>
        <v>133</v>
      </c>
      <c r="P132" s="17" t="str">
        <f aca="false">IF(AND(N(H132)&gt;=N(K132),N(H132)&gt;=N(N132)),"The Pulse",IF(N(K132)&gt;=N(N132),"The Lens","The Hub"))</f>
        <v>The Pulse</v>
      </c>
      <c r="Q132" s="20" t="s">
        <v>74</v>
      </c>
      <c r="R132" s="26" t="s">
        <v>822</v>
      </c>
      <c r="S132" s="17" t="s">
        <v>24</v>
      </c>
    </row>
    <row r="133" customFormat="false" ht="15" hidden="false" customHeight="false" outlineLevel="0" collapsed="false">
      <c r="A133" s="17" t="s">
        <v>1065</v>
      </c>
      <c r="B133" s="17" t="s">
        <v>1066</v>
      </c>
      <c r="C133" s="17" t="s">
        <v>1067</v>
      </c>
      <c r="D133" s="17" t="s">
        <v>86</v>
      </c>
      <c r="E133" s="18" t="n">
        <v>272660</v>
      </c>
      <c r="F133" s="17" t="s">
        <v>827</v>
      </c>
      <c r="G133" s="23" t="n">
        <v>0.841282182938458</v>
      </c>
      <c r="H133" s="19" t="n">
        <v>70.9</v>
      </c>
      <c r="I133" s="17" t="n">
        <f aca="false">IF(H133="","",RANK(H133,$H$5:$H$430))</f>
        <v>129</v>
      </c>
      <c r="J133" s="24" t="n">
        <v>0.111219790520439</v>
      </c>
      <c r="K133" s="19" t="n">
        <v>65.7</v>
      </c>
      <c r="L133" s="17" t="n">
        <f aca="false">IF(K133="","",RANK(K133,$K$5:$K$430))</f>
        <v>146</v>
      </c>
      <c r="M133" s="25" t="n">
        <v>0.192430410386181</v>
      </c>
      <c r="N133" s="19" t="n">
        <v>70.9</v>
      </c>
      <c r="O133" s="17" t="n">
        <f aca="false">IF(N133="","",RANK(N133,$N$5:$N$430))</f>
        <v>113</v>
      </c>
      <c r="P133" s="17" t="str">
        <f aca="false">IF(AND(N(H133)&gt;=N(K133),N(H133)&gt;=N(N133)),"The Pulse",IF(N(K133)&gt;=N(N133),"The Lens","The Hub"))</f>
        <v>The Pulse</v>
      </c>
      <c r="Q133" s="20" t="s">
        <v>74</v>
      </c>
      <c r="R133" s="27" t="s">
        <v>832</v>
      </c>
      <c r="S133" s="17" t="s">
        <v>24</v>
      </c>
    </row>
    <row r="134" customFormat="false" ht="15" hidden="false" customHeight="false" outlineLevel="0" collapsed="false">
      <c r="A134" s="17" t="s">
        <v>565</v>
      </c>
      <c r="B134" s="17" t="s">
        <v>566</v>
      </c>
      <c r="C134" s="17" t="s">
        <v>1068</v>
      </c>
      <c r="D134" s="17" t="s">
        <v>98</v>
      </c>
      <c r="E134" s="18" t="n">
        <v>14840</v>
      </c>
      <c r="F134" s="17" t="s">
        <v>821</v>
      </c>
      <c r="G134" s="23" t="n">
        <v>0.838274932614555</v>
      </c>
      <c r="H134" s="19" t="n">
        <v>70.7</v>
      </c>
      <c r="I134" s="17" t="n">
        <f aca="false">IF(H134="","",RANK(H134,$H$5:$H$430))</f>
        <v>130</v>
      </c>
      <c r="J134" s="24" t="n">
        <v>0.0753623188405797</v>
      </c>
      <c r="K134" s="19" t="n">
        <v>40.5</v>
      </c>
      <c r="L134" s="17" t="n">
        <f aca="false">IF(K134="","",RANK(K134,$K$5:$K$430))</f>
        <v>251</v>
      </c>
      <c r="M134" s="25" t="n">
        <v>0.232699619771863</v>
      </c>
      <c r="N134" s="19" t="n">
        <v>79.5</v>
      </c>
      <c r="O134" s="17" t="n">
        <f aca="false">IF(N134="","",RANK(N134,$N$5:$N$430))</f>
        <v>82</v>
      </c>
      <c r="P134" s="17" t="str">
        <f aca="false">IF(AND(N(H134)&gt;=N(K134),N(H134)&gt;=N(N134)),"The Pulse",IF(N(K134)&gt;=N(N134),"The Lens","The Hub"))</f>
        <v>The Hub</v>
      </c>
      <c r="Q134" s="20" t="s">
        <v>74</v>
      </c>
      <c r="R134" s="26" t="s">
        <v>822</v>
      </c>
      <c r="S134" s="17" t="s">
        <v>24</v>
      </c>
    </row>
    <row r="135" customFormat="false" ht="15" hidden="false" customHeight="false" outlineLevel="0" collapsed="false">
      <c r="A135" s="17" t="s">
        <v>383</v>
      </c>
      <c r="B135" s="17" t="s">
        <v>384</v>
      </c>
      <c r="C135" s="17" t="s">
        <v>1069</v>
      </c>
      <c r="D135" s="17" t="s">
        <v>95</v>
      </c>
      <c r="E135" s="18" t="n">
        <v>18030</v>
      </c>
      <c r="F135" s="17" t="s">
        <v>821</v>
      </c>
      <c r="G135" s="23" t="n">
        <v>0.837881308929562</v>
      </c>
      <c r="H135" s="19" t="n">
        <v>70.5</v>
      </c>
      <c r="I135" s="17" t="n">
        <f aca="false">IF(H135="","",RANK(H135,$H$5:$H$430))</f>
        <v>131</v>
      </c>
      <c r="J135" s="24" t="n">
        <v>0.165481577246283</v>
      </c>
      <c r="K135" s="19" t="n">
        <v>80.4</v>
      </c>
      <c r="L135" s="17" t="n">
        <f aca="false">IF(K135="","",RANK(K135,$K$5:$K$430))</f>
        <v>86</v>
      </c>
      <c r="M135" s="25" t="n">
        <v>0.0571620712844654</v>
      </c>
      <c r="N135" s="19" t="n">
        <v>18.4</v>
      </c>
      <c r="O135" s="17" t="n">
        <f aca="false">IF(N135="","",RANK(N135,$N$5:$N$430))</f>
        <v>316</v>
      </c>
      <c r="P135" s="17" t="str">
        <f aca="false">IF(AND(N(H135)&gt;=N(K135),N(H135)&gt;=N(N135)),"The Pulse",IF(N(K135)&gt;=N(N135),"The Lens","The Hub"))</f>
        <v>The Lens</v>
      </c>
      <c r="Q135" s="20" t="s">
        <v>74</v>
      </c>
      <c r="R135" s="26" t="s">
        <v>822</v>
      </c>
      <c r="S135" s="17" t="s">
        <v>24</v>
      </c>
    </row>
    <row r="136" customFormat="false" ht="15" hidden="false" customHeight="false" outlineLevel="0" collapsed="false">
      <c r="A136" s="17" t="s">
        <v>1070</v>
      </c>
      <c r="B136" s="17" t="s">
        <v>1071</v>
      </c>
      <c r="C136" s="17" t="s">
        <v>1072</v>
      </c>
      <c r="D136" s="17" t="s">
        <v>115</v>
      </c>
      <c r="E136" s="18" t="n">
        <v>197840</v>
      </c>
      <c r="F136" s="17" t="s">
        <v>827</v>
      </c>
      <c r="G136" s="23" t="n">
        <v>0.831156490093004</v>
      </c>
      <c r="H136" s="19" t="n">
        <v>70.1</v>
      </c>
      <c r="I136" s="17" t="n">
        <f aca="false">IF(H136="","",RANK(H136,$H$5:$H$430))</f>
        <v>132</v>
      </c>
      <c r="J136" s="24" t="n">
        <v>0.19317290875098</v>
      </c>
      <c r="K136" s="19" t="n">
        <v>94.3</v>
      </c>
      <c r="L136" s="17" t="n">
        <f aca="false">IF(K136="","",RANK(K136,$K$5:$K$430))</f>
        <v>26</v>
      </c>
      <c r="M136" s="25" t="n">
        <v>0.301988365025614</v>
      </c>
      <c r="N136" s="19" t="n">
        <v>90.7</v>
      </c>
      <c r="O136" s="17" t="n">
        <f aca="false">IF(N136="","",RANK(N136,$N$5:$N$430))</f>
        <v>36</v>
      </c>
      <c r="P136" s="17" t="str">
        <f aca="false">IF(AND(N(H136)&gt;=N(K136),N(H136)&gt;=N(N136)),"The Pulse",IF(N(K136)&gt;=N(N136),"The Lens","The Hub"))</f>
        <v>The Lens</v>
      </c>
      <c r="Q136" s="20" t="s">
        <v>74</v>
      </c>
      <c r="R136" s="27" t="s">
        <v>832</v>
      </c>
      <c r="S136" s="17" t="s">
        <v>24</v>
      </c>
    </row>
    <row r="137" customFormat="false" ht="15" hidden="false" customHeight="false" outlineLevel="0" collapsed="false">
      <c r="A137" s="17" t="s">
        <v>477</v>
      </c>
      <c r="B137" s="17" t="s">
        <v>478</v>
      </c>
      <c r="C137" s="17" t="s">
        <v>1073</v>
      </c>
      <c r="D137" s="17" t="s">
        <v>115</v>
      </c>
      <c r="E137" s="18" t="n">
        <v>27710</v>
      </c>
      <c r="F137" s="17" t="s">
        <v>821</v>
      </c>
      <c r="G137" s="23" t="n">
        <v>0.830205701912667</v>
      </c>
      <c r="H137" s="19" t="n">
        <v>69.9</v>
      </c>
      <c r="I137" s="17" t="n">
        <f aca="false">IF(H137="","",RANK(H137,$H$5:$H$430))</f>
        <v>133</v>
      </c>
      <c r="J137" s="24" t="n">
        <v>-0.027719298245614</v>
      </c>
      <c r="K137" s="19" t="n">
        <v>3.8</v>
      </c>
      <c r="L137" s="17" t="n">
        <f aca="false">IF(K137="","",RANK(K137,$K$5:$K$430))</f>
        <v>412</v>
      </c>
      <c r="M137" s="25" t="n">
        <v>0.375729288214703</v>
      </c>
      <c r="N137" s="19" t="n">
        <v>96.5</v>
      </c>
      <c r="O137" s="17" t="n">
        <f aca="false">IF(N137="","",RANK(N137,$N$5:$N$430))</f>
        <v>13</v>
      </c>
      <c r="P137" s="17" t="str">
        <f aca="false">IF(AND(N(H137)&gt;=N(K137),N(H137)&gt;=N(N137)),"The Pulse",IF(N(K137)&gt;=N(N137),"The Lens","The Hub"))</f>
        <v>The Hub</v>
      </c>
      <c r="Q137" s="20" t="s">
        <v>74</v>
      </c>
      <c r="R137" s="26" t="s">
        <v>822</v>
      </c>
      <c r="S137" s="17" t="s">
        <v>24</v>
      </c>
    </row>
    <row r="138" customFormat="false" ht="15" hidden="false" customHeight="false" outlineLevel="0" collapsed="false">
      <c r="A138" s="17" t="s">
        <v>1074</v>
      </c>
      <c r="B138" s="17" t="s">
        <v>1075</v>
      </c>
      <c r="C138" s="17" t="s">
        <v>1076</v>
      </c>
      <c r="D138" s="17" t="s">
        <v>77</v>
      </c>
      <c r="E138" s="18" t="n">
        <v>872228</v>
      </c>
      <c r="F138" s="17" t="s">
        <v>827</v>
      </c>
      <c r="G138" s="23" t="n">
        <v>0.827772096286751</v>
      </c>
      <c r="H138" s="19" t="n">
        <v>69.8</v>
      </c>
      <c r="I138" s="17" t="n">
        <f aca="false">IF(H138="","",RANK(H138,$H$5:$H$430))</f>
        <v>134</v>
      </c>
      <c r="J138" s="24" t="n">
        <v>-0.0392610412040464</v>
      </c>
      <c r="K138" s="19" t="n">
        <v>5.7</v>
      </c>
      <c r="L138" s="17" t="n">
        <f aca="false">IF(K138="","",RANK(K138,$K$5:$K$430))</f>
        <v>403</v>
      </c>
      <c r="M138" s="25" t="n">
        <v>0.0999566482938007</v>
      </c>
      <c r="N138" s="19" t="n">
        <v>36.1</v>
      </c>
      <c r="O138" s="17" t="n">
        <f aca="false">IF(N138="","",RANK(N138,$N$5:$N$430))</f>
        <v>248</v>
      </c>
      <c r="P138" s="17" t="str">
        <f aca="false">IF(AND(N(H138)&gt;=N(K138),N(H138)&gt;=N(N138)),"The Pulse",IF(N(K138)&gt;=N(N138),"The Lens","The Hub"))</f>
        <v>The Pulse</v>
      </c>
      <c r="Q138" s="22" t="s">
        <v>109</v>
      </c>
      <c r="R138" s="27" t="s">
        <v>832</v>
      </c>
      <c r="S138" s="17" t="s">
        <v>155</v>
      </c>
    </row>
    <row r="139" customFormat="false" ht="15" hidden="false" customHeight="false" outlineLevel="0" collapsed="false">
      <c r="A139" s="17" t="s">
        <v>327</v>
      </c>
      <c r="B139" s="17" t="s">
        <v>328</v>
      </c>
      <c r="C139" s="17" t="s">
        <v>1077</v>
      </c>
      <c r="D139" s="17" t="s">
        <v>77</v>
      </c>
      <c r="E139" s="18" t="n">
        <v>4490</v>
      </c>
      <c r="F139" s="17" t="s">
        <v>825</v>
      </c>
      <c r="G139" s="23" t="n">
        <v>0.81766130808192</v>
      </c>
      <c r="H139" s="19" t="n">
        <v>69.6</v>
      </c>
      <c r="I139" s="17" t="n">
        <f aca="false">IF(H139="","",RANK(H139,$H$5:$H$430))</f>
        <v>135</v>
      </c>
      <c r="J139" s="24" t="n">
        <v>0.0570297951582868</v>
      </c>
      <c r="K139" s="19" t="n">
        <v>25.4</v>
      </c>
      <c r="L139" s="17" t="n">
        <f aca="false">IF(K139="","",RANK(K139,$K$5:$K$430))</f>
        <v>309</v>
      </c>
      <c r="M139" s="25" t="n">
        <v>0.10727969348659</v>
      </c>
      <c r="N139" s="19" t="n">
        <v>37.8</v>
      </c>
      <c r="O139" s="17" t="n">
        <f aca="false">IF(N139="","",RANK(N139,$N$5:$N$430))</f>
        <v>241</v>
      </c>
      <c r="P139" s="17" t="str">
        <f aca="false">IF(AND(N(H139)&gt;=N(K139),N(H139)&gt;=N(N139)),"The Pulse",IF(N(K139)&gt;=N(N139),"The Lens","The Hub"))</f>
        <v>The Pulse</v>
      </c>
      <c r="Q139" s="21" t="s">
        <v>79</v>
      </c>
      <c r="R139" s="26" t="s">
        <v>822</v>
      </c>
      <c r="S139" s="17" t="s">
        <v>88</v>
      </c>
    </row>
    <row r="140" customFormat="false" ht="15" hidden="false" customHeight="false" outlineLevel="0" collapsed="false">
      <c r="A140" s="17" t="s">
        <v>1078</v>
      </c>
      <c r="B140" s="17" t="s">
        <v>1079</v>
      </c>
      <c r="C140" s="17" t="s">
        <v>1080</v>
      </c>
      <c r="D140" s="17" t="s">
        <v>86</v>
      </c>
      <c r="E140" s="18" t="n">
        <v>29470</v>
      </c>
      <c r="F140" s="17" t="s">
        <v>821</v>
      </c>
      <c r="G140" s="23" t="n">
        <v>0.817373600271463</v>
      </c>
      <c r="H140" s="19" t="n">
        <v>69.4</v>
      </c>
      <c r="I140" s="17" t="n">
        <f aca="false">IF(H140="","",RANK(H140,$H$5:$H$430))</f>
        <v>136</v>
      </c>
      <c r="J140" s="24" t="n">
        <v>0.0983973164368245</v>
      </c>
      <c r="K140" s="19" t="n">
        <v>51.5</v>
      </c>
      <c r="L140" s="17" t="n">
        <f aca="false">IF(K140="","",RANK(K140,$K$5:$K$430))</f>
        <v>207</v>
      </c>
      <c r="M140" s="25" t="n">
        <v>0.348080676642811</v>
      </c>
      <c r="N140" s="19" t="n">
        <v>95.1</v>
      </c>
      <c r="O140" s="17" t="n">
        <f aca="false">IF(N140="","",RANK(N140,$N$5:$N$430))</f>
        <v>19</v>
      </c>
      <c r="P140" s="17" t="str">
        <f aca="false">IF(AND(N(H140)&gt;=N(K140),N(H140)&gt;=N(N140)),"The Pulse",IF(N(K140)&gt;=N(N140),"The Lens","The Hub"))</f>
        <v>The Hub</v>
      </c>
      <c r="Q140" s="20" t="s">
        <v>74</v>
      </c>
      <c r="R140" s="27" t="s">
        <v>832</v>
      </c>
      <c r="S140" s="17" t="s">
        <v>24</v>
      </c>
    </row>
    <row r="141" customFormat="false" ht="15" hidden="false" customHeight="false" outlineLevel="0" collapsed="false">
      <c r="A141" s="17" t="s">
        <v>1081</v>
      </c>
      <c r="B141" s="17" t="s">
        <v>1082</v>
      </c>
      <c r="C141" s="17" t="s">
        <v>1083</v>
      </c>
      <c r="D141" s="17" t="s">
        <v>86</v>
      </c>
      <c r="E141" s="18" t="n">
        <v>246240</v>
      </c>
      <c r="F141" s="17" t="s">
        <v>827</v>
      </c>
      <c r="G141" s="23" t="n">
        <v>0.815858512020793</v>
      </c>
      <c r="H141" s="19" t="n">
        <v>69.2</v>
      </c>
      <c r="I141" s="17" t="n">
        <f aca="false">IF(H141="","",RANK(H141,$H$5:$H$430))</f>
        <v>137</v>
      </c>
      <c r="J141" s="24" t="n">
        <v>-0.0527773503615941</v>
      </c>
      <c r="K141" s="19" t="n">
        <v>3.6</v>
      </c>
      <c r="L141" s="17" t="n">
        <f aca="false">IF(K141="","",RANK(K141,$K$5:$K$430))</f>
        <v>413</v>
      </c>
      <c r="M141" s="25" t="n">
        <v>0.129239766081871</v>
      </c>
      <c r="N141" s="19" t="n">
        <v>47.3</v>
      </c>
      <c r="O141" s="17" t="n">
        <f aca="false">IF(N141="","",RANK(N141,$N$5:$N$430))</f>
        <v>202</v>
      </c>
      <c r="P141" s="17" t="str">
        <f aca="false">IF(AND(N(H141)&gt;=N(K141),N(H141)&gt;=N(N141)),"The Pulse",IF(N(K141)&gt;=N(N141),"The Lens","The Hub"))</f>
        <v>The Pulse</v>
      </c>
      <c r="Q141" s="20" t="s">
        <v>74</v>
      </c>
      <c r="R141" s="27" t="s">
        <v>832</v>
      </c>
      <c r="S141" s="17" t="s">
        <v>24</v>
      </c>
    </row>
    <row r="142" customFormat="false" ht="15" hidden="false" customHeight="false" outlineLevel="0" collapsed="false">
      <c r="A142" s="17" t="s">
        <v>143</v>
      </c>
      <c r="B142" s="17" t="s">
        <v>144</v>
      </c>
      <c r="C142" s="17" t="s">
        <v>1084</v>
      </c>
      <c r="D142" s="17" t="s">
        <v>98</v>
      </c>
      <c r="E142" s="18" t="n">
        <v>260780</v>
      </c>
      <c r="F142" s="17" t="s">
        <v>827</v>
      </c>
      <c r="G142" s="23" t="n">
        <v>0.814257228315055</v>
      </c>
      <c r="H142" s="19" t="n">
        <v>69</v>
      </c>
      <c r="I142" s="17" t="n">
        <f aca="false">IF(H142="","",RANK(H142,$H$5:$H$430))</f>
        <v>138</v>
      </c>
      <c r="J142" s="24" t="n">
        <v>0.0657566717070579</v>
      </c>
      <c r="K142" s="19" t="n">
        <v>37.1</v>
      </c>
      <c r="L142" s="17" t="n">
        <f aca="false">IF(K142="","",RANK(K142,$K$5:$K$430))</f>
        <v>264</v>
      </c>
      <c r="M142" s="25" t="n">
        <v>0.143117040630685</v>
      </c>
      <c r="N142" s="19" t="n">
        <v>55.2</v>
      </c>
      <c r="O142" s="17" t="n">
        <f aca="false">IF(N142="","",RANK(N142,$N$5:$N$430))</f>
        <v>169</v>
      </c>
      <c r="P142" s="17" t="str">
        <f aca="false">IF(AND(N(H142)&gt;=N(K142),N(H142)&gt;=N(N142)),"The Pulse",IF(N(K142)&gt;=N(N142),"The Lens","The Hub"))</f>
        <v>The Pulse</v>
      </c>
      <c r="Q142" s="21" t="s">
        <v>79</v>
      </c>
      <c r="R142" s="26" t="s">
        <v>822</v>
      </c>
      <c r="S142" s="17" t="s">
        <v>88</v>
      </c>
    </row>
    <row r="143" customFormat="false" ht="15" hidden="false" customHeight="false" outlineLevel="0" collapsed="false">
      <c r="A143" s="17" t="s">
        <v>555</v>
      </c>
      <c r="B143" s="17" t="s">
        <v>556</v>
      </c>
      <c r="C143" s="17" t="s">
        <v>1085</v>
      </c>
      <c r="D143" s="17" t="s">
        <v>95</v>
      </c>
      <c r="E143" s="18" t="n">
        <v>3604745</v>
      </c>
      <c r="F143" s="17" t="s">
        <v>935</v>
      </c>
      <c r="G143" s="23" t="n">
        <v>0.811884890609461</v>
      </c>
      <c r="H143" s="19" t="n">
        <v>68.8</v>
      </c>
      <c r="I143" s="17" t="n">
        <f aca="false">IF(H143="","",RANK(H143,$H$5:$H$430))</f>
        <v>139</v>
      </c>
      <c r="J143" s="24" t="n">
        <v>0.0906650320157793</v>
      </c>
      <c r="K143" s="19" t="n">
        <v>52.9</v>
      </c>
      <c r="L143" s="17" t="n">
        <f aca="false">IF(K143="","",RANK(K143,$K$5:$K$430))</f>
        <v>199</v>
      </c>
      <c r="M143" s="25" t="n">
        <v>0.107157752300805</v>
      </c>
      <c r="N143" s="19" t="n">
        <v>37.5</v>
      </c>
      <c r="O143" s="17" t="n">
        <f aca="false">IF(N143="","",RANK(N143,$N$5:$N$430))</f>
        <v>242</v>
      </c>
      <c r="P143" s="17" t="str">
        <f aca="false">IF(AND(N(H143)&gt;=N(K143),N(H143)&gt;=N(N143)),"The Pulse",IF(N(K143)&gt;=N(N143),"The Lens","The Hub"))</f>
        <v>The Pulse</v>
      </c>
      <c r="Q143" s="22" t="s">
        <v>109</v>
      </c>
      <c r="R143" s="26" t="s">
        <v>822</v>
      </c>
      <c r="S143" s="17" t="s">
        <v>155</v>
      </c>
    </row>
    <row r="144" customFormat="false" ht="15" hidden="false" customHeight="false" outlineLevel="0" collapsed="false">
      <c r="A144" s="17" t="s">
        <v>1086</v>
      </c>
      <c r="B144" s="17" t="s">
        <v>1087</v>
      </c>
      <c r="C144" s="17" t="s">
        <v>1088</v>
      </c>
      <c r="D144" s="17" t="s">
        <v>98</v>
      </c>
      <c r="E144" s="18" t="n">
        <v>21530</v>
      </c>
      <c r="F144" s="17" t="s">
        <v>821</v>
      </c>
      <c r="G144" s="23" t="n">
        <v>0.811007895959127</v>
      </c>
      <c r="H144" s="19" t="n">
        <v>68.6</v>
      </c>
      <c r="I144" s="17" t="n">
        <f aca="false">IF(H144="","",RANK(H144,$H$5:$H$430))</f>
        <v>140</v>
      </c>
      <c r="J144" s="24" t="n">
        <v>0.0286669851887243</v>
      </c>
      <c r="K144" s="19" t="n">
        <v>16.8</v>
      </c>
      <c r="L144" s="17" t="n">
        <f aca="false">IF(K144="","",RANK(K144,$K$5:$K$430))</f>
        <v>351</v>
      </c>
      <c r="M144" s="25" t="n">
        <v>0.387453874538745</v>
      </c>
      <c r="N144" s="19" t="n">
        <v>97.4</v>
      </c>
      <c r="O144" s="17" t="n">
        <f aca="false">IF(N144="","",RANK(N144,$N$5:$N$430))</f>
        <v>11</v>
      </c>
      <c r="P144" s="17" t="str">
        <f aca="false">IF(AND(N(H144)&gt;=N(K144),N(H144)&gt;=N(N144)),"The Pulse",IF(N(K144)&gt;=N(N144),"The Lens","The Hub"))</f>
        <v>The Hub</v>
      </c>
      <c r="Q144" s="20" t="s">
        <v>74</v>
      </c>
      <c r="R144" s="27" t="s">
        <v>832</v>
      </c>
      <c r="S144" s="17" t="s">
        <v>24</v>
      </c>
    </row>
    <row r="145" customFormat="false" ht="15" hidden="false" customHeight="false" outlineLevel="0" collapsed="false">
      <c r="A145" s="17" t="s">
        <v>1089</v>
      </c>
      <c r="B145" s="17" t="s">
        <v>1090</v>
      </c>
      <c r="C145" s="17" t="s">
        <v>1091</v>
      </c>
      <c r="D145" s="17" t="s">
        <v>115</v>
      </c>
      <c r="E145" s="18" t="n">
        <v>230295</v>
      </c>
      <c r="F145" s="17" t="s">
        <v>827</v>
      </c>
      <c r="G145" s="23" t="n">
        <v>0.808549903384789</v>
      </c>
      <c r="H145" s="19" t="n">
        <v>68.4</v>
      </c>
      <c r="I145" s="17" t="n">
        <f aca="false">IF(H145="","",RANK(H145,$H$5:$H$430))</f>
        <v>141</v>
      </c>
      <c r="J145" s="24" t="n">
        <v>0.077146505395204</v>
      </c>
      <c r="K145" s="19" t="n">
        <v>44.3</v>
      </c>
      <c r="L145" s="17" t="n">
        <f aca="false">IF(K145="","",RANK(K145,$K$5:$K$430))</f>
        <v>233</v>
      </c>
      <c r="M145" s="28" t="s">
        <v>857</v>
      </c>
      <c r="N145" s="19"/>
      <c r="O145" s="17" t="str">
        <f aca="false">IF(N145="","",RANK(N145,$N$5:$N$430))</f>
        <v/>
      </c>
      <c r="P145" s="17" t="str">
        <f aca="false">IF(AND(N(H145)&gt;=N(K145),N(H145)&gt;=N(N145)),"The Pulse",IF(N(K145)&gt;=N(N145),"The Lens","The Hub"))</f>
        <v>The Pulse</v>
      </c>
      <c r="Q145" s="22" t="s">
        <v>109</v>
      </c>
      <c r="R145" s="27" t="s">
        <v>832</v>
      </c>
      <c r="S145" s="17" t="s">
        <v>19</v>
      </c>
    </row>
    <row r="146" customFormat="false" ht="15" hidden="false" customHeight="false" outlineLevel="0" collapsed="false">
      <c r="A146" s="17" t="s">
        <v>1092</v>
      </c>
      <c r="B146" s="17" t="s">
        <v>1093</v>
      </c>
      <c r="C146" s="17" t="s">
        <v>1094</v>
      </c>
      <c r="D146" s="17" t="s">
        <v>91</v>
      </c>
      <c r="E146" s="18" t="n">
        <v>31320</v>
      </c>
      <c r="F146" s="17" t="s">
        <v>821</v>
      </c>
      <c r="G146" s="23" t="n">
        <v>0.803735632183908</v>
      </c>
      <c r="H146" s="19" t="n">
        <v>68.2</v>
      </c>
      <c r="I146" s="17" t="n">
        <f aca="false">IF(H146="","",RANK(H146,$H$5:$H$430))</f>
        <v>142</v>
      </c>
      <c r="J146" s="24" t="n">
        <v>-0.0774668630338734</v>
      </c>
      <c r="K146" s="19" t="n">
        <v>1.7</v>
      </c>
      <c r="L146" s="17" t="n">
        <f aca="false">IF(K146="","",RANK(K146,$K$5:$K$430))</f>
        <v>420</v>
      </c>
      <c r="M146" s="25" t="n">
        <v>0.0688723835246455</v>
      </c>
      <c r="N146" s="19" t="n">
        <v>23.3</v>
      </c>
      <c r="O146" s="17" t="n">
        <f aca="false">IF(N146="","",RANK(N146,$N$5:$N$430))</f>
        <v>299</v>
      </c>
      <c r="P146" s="17" t="str">
        <f aca="false">IF(AND(N(H146)&gt;=N(K146),N(H146)&gt;=N(N146)),"The Pulse",IF(N(K146)&gt;=N(N146),"The Lens","The Hub"))</f>
        <v>The Pulse</v>
      </c>
      <c r="Q146" s="20" t="s">
        <v>74</v>
      </c>
      <c r="R146" s="27" t="s">
        <v>832</v>
      </c>
      <c r="S146" s="17" t="s">
        <v>24</v>
      </c>
    </row>
    <row r="147" customFormat="false" ht="15" hidden="false" customHeight="false" outlineLevel="0" collapsed="false">
      <c r="A147" s="17" t="s">
        <v>609</v>
      </c>
      <c r="B147" s="17" t="s">
        <v>610</v>
      </c>
      <c r="C147" s="17" t="s">
        <v>1095</v>
      </c>
      <c r="D147" s="17" t="s">
        <v>91</v>
      </c>
      <c r="E147" s="18" t="n">
        <v>8820</v>
      </c>
      <c r="F147" s="17" t="s">
        <v>825</v>
      </c>
      <c r="G147" s="23" t="n">
        <v>0.799319727891157</v>
      </c>
      <c r="H147" s="19" t="n">
        <v>68.1</v>
      </c>
      <c r="I147" s="17" t="n">
        <f aca="false">IF(H147="","",RANK(H147,$H$5:$H$430))</f>
        <v>143</v>
      </c>
      <c r="J147" s="24" t="n">
        <v>0.151436031331593</v>
      </c>
      <c r="K147" s="19" t="n">
        <v>84.5</v>
      </c>
      <c r="L147" s="17" t="n">
        <f aca="false">IF(K147="","",RANK(K147,$K$5:$K$430))</f>
        <v>66</v>
      </c>
      <c r="M147" s="25" t="n">
        <v>0.0622222222222222</v>
      </c>
      <c r="N147" s="19" t="n">
        <v>20.5</v>
      </c>
      <c r="O147" s="17" t="n">
        <f aca="false">IF(N147="","",RANK(N147,$N$5:$N$430))</f>
        <v>308</v>
      </c>
      <c r="P147" s="17" t="str">
        <f aca="false">IF(AND(N(H147)&gt;=N(K147),N(H147)&gt;=N(N147)),"The Pulse",IF(N(K147)&gt;=N(N147),"The Lens","The Hub"))</f>
        <v>The Lens</v>
      </c>
      <c r="Q147" s="20" t="s">
        <v>74</v>
      </c>
      <c r="R147" s="26" t="s">
        <v>822</v>
      </c>
      <c r="S147" s="17" t="s">
        <v>24</v>
      </c>
    </row>
    <row r="148" customFormat="false" ht="15" hidden="false" customHeight="false" outlineLevel="0" collapsed="false">
      <c r="A148" s="17" t="s">
        <v>589</v>
      </c>
      <c r="B148" s="17" t="s">
        <v>590</v>
      </c>
      <c r="C148" s="17" t="s">
        <v>1096</v>
      </c>
      <c r="D148" s="17" t="s">
        <v>82</v>
      </c>
      <c r="E148" s="18" t="n">
        <v>8104</v>
      </c>
      <c r="F148" s="17" t="s">
        <v>825</v>
      </c>
      <c r="G148" s="23" t="n">
        <v>0.798741362290227</v>
      </c>
      <c r="H148" s="19" t="n">
        <v>67.9</v>
      </c>
      <c r="I148" s="17" t="n">
        <f aca="false">IF(H148="","",RANK(H148,$H$5:$H$430))</f>
        <v>144</v>
      </c>
      <c r="J148" s="24" t="n">
        <v>-0.00258461538461538</v>
      </c>
      <c r="K148" s="19" t="n">
        <v>7</v>
      </c>
      <c r="L148" s="17" t="n">
        <f aca="false">IF(K148="","",RANK(K148,$K$5:$K$430))</f>
        <v>396</v>
      </c>
      <c r="M148" s="25" t="n">
        <v>0.279220779220779</v>
      </c>
      <c r="N148" s="19" t="n">
        <v>87.4</v>
      </c>
      <c r="O148" s="17" t="n">
        <f aca="false">IF(N148="","",RANK(N148,$N$5:$N$430))</f>
        <v>49</v>
      </c>
      <c r="P148" s="17" t="str">
        <f aca="false">IF(AND(N(H148)&gt;=N(K148),N(H148)&gt;=N(N148)),"The Pulse",IF(N(K148)&gt;=N(N148),"The Lens","The Hub"))</f>
        <v>The Hub</v>
      </c>
      <c r="Q148" s="21" t="s">
        <v>79</v>
      </c>
      <c r="R148" s="26" t="s">
        <v>822</v>
      </c>
      <c r="S148" s="17" t="s">
        <v>22</v>
      </c>
    </row>
    <row r="149" customFormat="false" ht="15" hidden="false" customHeight="false" outlineLevel="0" collapsed="false">
      <c r="A149" s="17" t="s">
        <v>251</v>
      </c>
      <c r="B149" s="17" t="s">
        <v>252</v>
      </c>
      <c r="C149" s="17" t="s">
        <v>1097</v>
      </c>
      <c r="D149" s="17" t="s">
        <v>123</v>
      </c>
      <c r="E149" s="18" t="n">
        <v>43660</v>
      </c>
      <c r="F149" s="17" t="s">
        <v>821</v>
      </c>
      <c r="G149" s="23" t="n">
        <v>0.791662849289968</v>
      </c>
      <c r="H149" s="19" t="n">
        <v>67.7</v>
      </c>
      <c r="I149" s="17" t="n">
        <f aca="false">IF(H149="","",RANK(H149,$H$5:$H$430))</f>
        <v>145</v>
      </c>
      <c r="J149" s="24" t="n">
        <v>-0.0186558777253315</v>
      </c>
      <c r="K149" s="19" t="n">
        <v>6.2</v>
      </c>
      <c r="L149" s="17" t="n">
        <f aca="false">IF(K149="","",RANK(K149,$K$5:$K$430))</f>
        <v>400</v>
      </c>
      <c r="M149" s="25" t="n">
        <v>0.159563924677899</v>
      </c>
      <c r="N149" s="19" t="n">
        <v>61.8</v>
      </c>
      <c r="O149" s="17" t="n">
        <f aca="false">IF(N149="","",RANK(N149,$N$5:$N$430))</f>
        <v>145</v>
      </c>
      <c r="P149" s="17" t="str">
        <f aca="false">IF(AND(N(H149)&gt;=N(K149),N(H149)&gt;=N(N149)),"The Pulse",IF(N(K149)&gt;=N(N149),"The Lens","The Hub"))</f>
        <v>The Pulse</v>
      </c>
      <c r="Q149" s="20" t="s">
        <v>74</v>
      </c>
      <c r="R149" s="26" t="s">
        <v>822</v>
      </c>
      <c r="S149" s="17" t="s">
        <v>24</v>
      </c>
    </row>
    <row r="150" customFormat="false" ht="15" hidden="false" customHeight="false" outlineLevel="0" collapsed="false">
      <c r="A150" s="17" t="s">
        <v>391</v>
      </c>
      <c r="B150" s="17" t="s">
        <v>392</v>
      </c>
      <c r="C150" s="17" t="s">
        <v>1098</v>
      </c>
      <c r="D150" s="17" t="s">
        <v>91</v>
      </c>
      <c r="E150" s="18" t="n">
        <v>4457</v>
      </c>
      <c r="F150" s="17" t="s">
        <v>825</v>
      </c>
      <c r="G150" s="23" t="n">
        <v>0.788198339690375</v>
      </c>
      <c r="H150" s="19" t="n">
        <v>67.5</v>
      </c>
      <c r="I150" s="17" t="n">
        <f aca="false">IF(H150="","",RANK(H150,$H$5:$H$430))</f>
        <v>146</v>
      </c>
      <c r="J150" s="24" t="n">
        <v>0.128068843330802</v>
      </c>
      <c r="K150" s="19" t="n">
        <v>70.4</v>
      </c>
      <c r="L150" s="17" t="n">
        <f aca="false">IF(K150="","",RANK(K150,$K$5:$K$430))</f>
        <v>127</v>
      </c>
      <c r="M150" s="28" t="s">
        <v>857</v>
      </c>
      <c r="N150" s="19"/>
      <c r="O150" s="17" t="str">
        <f aca="false">IF(N150="","",RANK(N150,$N$5:$N$430))</f>
        <v/>
      </c>
      <c r="P150" s="17" t="str">
        <f aca="false">IF(AND(N(H150)&gt;=N(K150),N(H150)&gt;=N(N150)),"The Pulse",IF(N(K150)&gt;=N(N150),"The Lens","The Hub"))</f>
        <v>The Lens</v>
      </c>
      <c r="Q150" s="22" t="s">
        <v>109</v>
      </c>
      <c r="R150" s="26" t="s">
        <v>822</v>
      </c>
      <c r="S150" s="17" t="s">
        <v>19</v>
      </c>
    </row>
    <row r="151" customFormat="false" ht="15" hidden="false" customHeight="false" outlineLevel="0" collapsed="false">
      <c r="A151" s="17" t="s">
        <v>581</v>
      </c>
      <c r="B151" s="17" t="s">
        <v>582</v>
      </c>
      <c r="C151" s="17" t="s">
        <v>1099</v>
      </c>
      <c r="D151" s="17" t="s">
        <v>82</v>
      </c>
      <c r="E151" s="18" t="n">
        <v>13890</v>
      </c>
      <c r="F151" s="17" t="s">
        <v>821</v>
      </c>
      <c r="G151" s="23" t="n">
        <v>0.780561555075594</v>
      </c>
      <c r="H151" s="19" t="n">
        <v>66.9</v>
      </c>
      <c r="I151" s="17" t="n">
        <f aca="false">IF(H151="","",RANK(H151,$H$5:$H$430))</f>
        <v>147</v>
      </c>
      <c r="J151" s="24" t="n">
        <v>0.155574043261231</v>
      </c>
      <c r="K151" s="19" t="n">
        <v>77.3</v>
      </c>
      <c r="L151" s="17" t="n">
        <f aca="false">IF(K151="","",RANK(K151,$K$5:$K$430))</f>
        <v>97</v>
      </c>
      <c r="M151" s="25" t="n">
        <v>0.0759075907590759</v>
      </c>
      <c r="N151" s="19" t="n">
        <v>24.2</v>
      </c>
      <c r="O151" s="17" t="n">
        <f aca="false">IF(N151="","",RANK(N151,$N$5:$N$430))</f>
        <v>295</v>
      </c>
      <c r="P151" s="17" t="str">
        <f aca="false">IF(AND(N(H151)&gt;=N(K151),N(H151)&gt;=N(N151)),"The Pulse",IF(N(K151)&gt;=N(N151),"The Lens","The Hub"))</f>
        <v>The Lens</v>
      </c>
      <c r="Q151" s="20" t="s">
        <v>74</v>
      </c>
      <c r="R151" s="26" t="s">
        <v>822</v>
      </c>
      <c r="S151" s="17" t="s">
        <v>24</v>
      </c>
    </row>
    <row r="152" customFormat="false" ht="15" hidden="false" customHeight="false" outlineLevel="0" collapsed="false">
      <c r="A152" s="17" t="s">
        <v>1100</v>
      </c>
      <c r="B152" s="17" t="s">
        <v>1101</v>
      </c>
      <c r="C152" s="17" t="s">
        <v>1102</v>
      </c>
      <c r="D152" s="17" t="s">
        <v>86</v>
      </c>
      <c r="E152" s="18" t="n">
        <v>5580</v>
      </c>
      <c r="F152" s="17" t="s">
        <v>825</v>
      </c>
      <c r="G152" s="23" t="n">
        <v>0.779390681003584</v>
      </c>
      <c r="H152" s="19" t="n">
        <v>66.7</v>
      </c>
      <c r="I152" s="17" t="n">
        <f aca="false">IF(H152="","",RANK(H152,$H$5:$H$430))</f>
        <v>148</v>
      </c>
      <c r="J152" s="24" t="n">
        <v>0.0463400794401362</v>
      </c>
      <c r="K152" s="19" t="n">
        <v>15.5</v>
      </c>
      <c r="L152" s="17" t="n">
        <f aca="false">IF(K152="","",RANK(K152,$K$5:$K$430))</f>
        <v>356</v>
      </c>
      <c r="M152" s="28" t="s">
        <v>857</v>
      </c>
      <c r="N152" s="19"/>
      <c r="O152" s="17" t="str">
        <f aca="false">IF(N152="","",RANK(N152,$N$5:$N$430))</f>
        <v/>
      </c>
      <c r="P152" s="17" t="str">
        <f aca="false">IF(AND(N(H152)&gt;=N(K152),N(H152)&gt;=N(N152)),"The Pulse",IF(N(K152)&gt;=N(N152),"The Lens","The Hub"))</f>
        <v>The Pulse</v>
      </c>
      <c r="Q152" s="21" t="s">
        <v>79</v>
      </c>
      <c r="R152" s="27" t="s">
        <v>832</v>
      </c>
      <c r="S152" s="17" t="s">
        <v>88</v>
      </c>
    </row>
    <row r="153" customFormat="false" ht="15" hidden="false" customHeight="false" outlineLevel="0" collapsed="false">
      <c r="A153" s="17" t="s">
        <v>263</v>
      </c>
      <c r="B153" s="17" t="s">
        <v>264</v>
      </c>
      <c r="C153" s="17" t="s">
        <v>1103</v>
      </c>
      <c r="D153" s="17" t="s">
        <v>72</v>
      </c>
      <c r="E153" s="18" t="n">
        <v>43090</v>
      </c>
      <c r="F153" s="17" t="s">
        <v>821</v>
      </c>
      <c r="G153" s="23" t="n">
        <v>0.766465537247621</v>
      </c>
      <c r="H153" s="19" t="n">
        <v>66.2</v>
      </c>
      <c r="I153" s="17" t="n">
        <f aca="false">IF(H153="","",RANK(H153,$H$5:$H$430))</f>
        <v>149</v>
      </c>
      <c r="J153" s="24" t="n">
        <v>-0.0270941521788214</v>
      </c>
      <c r="K153" s="19" t="n">
        <v>4.1</v>
      </c>
      <c r="L153" s="17" t="n">
        <f aca="false">IF(K153="","",RANK(K153,$K$5:$K$430))</f>
        <v>411</v>
      </c>
      <c r="M153" s="25" t="n">
        <v>0.266256590509666</v>
      </c>
      <c r="N153" s="19" t="n">
        <v>85.1</v>
      </c>
      <c r="O153" s="17" t="n">
        <f aca="false">IF(N153="","",RANK(N153,$N$5:$N$430))</f>
        <v>59</v>
      </c>
      <c r="P153" s="17" t="str">
        <f aca="false">IF(AND(N(H153)&gt;=N(K153),N(H153)&gt;=N(N153)),"The Pulse",IF(N(K153)&gt;=N(N153),"The Lens","The Hub"))</f>
        <v>The Hub</v>
      </c>
      <c r="Q153" s="20" t="s">
        <v>74</v>
      </c>
      <c r="R153" s="26" t="s">
        <v>822</v>
      </c>
      <c r="S153" s="17" t="s">
        <v>24</v>
      </c>
    </row>
    <row r="154" customFormat="false" ht="15" hidden="false" customHeight="false" outlineLevel="0" collapsed="false">
      <c r="A154" s="17" t="s">
        <v>223</v>
      </c>
      <c r="B154" s="17" t="s">
        <v>224</v>
      </c>
      <c r="C154" s="17" t="s">
        <v>1104</v>
      </c>
      <c r="D154" s="17" t="s">
        <v>82</v>
      </c>
      <c r="E154" s="18" t="n">
        <v>311390</v>
      </c>
      <c r="F154" s="17" t="s">
        <v>827</v>
      </c>
      <c r="G154" s="23" t="n">
        <v>0.756829056809788</v>
      </c>
      <c r="H154" s="19" t="n">
        <v>66</v>
      </c>
      <c r="I154" s="17" t="n">
        <f aca="false">IF(H154="","",RANK(H154,$H$5:$H$430))</f>
        <v>150</v>
      </c>
      <c r="J154" s="24" t="n">
        <v>0.0397689328168826</v>
      </c>
      <c r="K154" s="19" t="n">
        <v>24.3</v>
      </c>
      <c r="L154" s="17" t="n">
        <f aca="false">IF(K154="","",RANK(K154,$K$5:$K$430))</f>
        <v>315</v>
      </c>
      <c r="M154" s="25" t="n">
        <v>0.0732100938967136</v>
      </c>
      <c r="N154" s="19" t="n">
        <v>24</v>
      </c>
      <c r="O154" s="17" t="n">
        <f aca="false">IF(N154="","",RANK(N154,$N$5:$N$430))</f>
        <v>296</v>
      </c>
      <c r="P154" s="17" t="str">
        <f aca="false">IF(AND(N(H154)&gt;=N(K154),N(H154)&gt;=N(N154)),"The Pulse",IF(N(K154)&gt;=N(N154),"The Lens","The Hub"))</f>
        <v>The Pulse</v>
      </c>
      <c r="Q154" s="21" t="s">
        <v>79</v>
      </c>
      <c r="R154" s="26" t="s">
        <v>822</v>
      </c>
      <c r="S154" s="17" t="s">
        <v>88</v>
      </c>
    </row>
    <row r="155" customFormat="false" ht="15" hidden="false" customHeight="false" outlineLevel="0" collapsed="false">
      <c r="A155" s="17" t="s">
        <v>415</v>
      </c>
      <c r="B155" s="17" t="s">
        <v>416</v>
      </c>
      <c r="C155" s="17" t="s">
        <v>1105</v>
      </c>
      <c r="D155" s="17" t="s">
        <v>86</v>
      </c>
      <c r="E155" s="18" t="n">
        <v>166920</v>
      </c>
      <c r="F155" s="17" t="s">
        <v>827</v>
      </c>
      <c r="G155" s="23" t="n">
        <v>0.755373831775701</v>
      </c>
      <c r="H155" s="19" t="n">
        <v>65.8</v>
      </c>
      <c r="I155" s="17" t="n">
        <f aca="false">IF(H155="","",RANK(H155,$H$5:$H$430))</f>
        <v>151</v>
      </c>
      <c r="J155" s="24" t="n">
        <v>0.0301160207356208</v>
      </c>
      <c r="K155" s="19" t="n">
        <v>21.4</v>
      </c>
      <c r="L155" s="17" t="n">
        <f aca="false">IF(K155="","",RANK(K155,$K$5:$K$430))</f>
        <v>329</v>
      </c>
      <c r="M155" s="25" t="n">
        <v>0.0200018693335826</v>
      </c>
      <c r="N155" s="19" t="n">
        <v>5.6</v>
      </c>
      <c r="O155" s="17" t="n">
        <f aca="false">IF(N155="","",RANK(N155,$N$5:$N$430))</f>
        <v>366</v>
      </c>
      <c r="P155" s="17" t="str">
        <f aca="false">IF(AND(N(H155)&gt;=N(K155),N(H155)&gt;=N(N155)),"The Pulse",IF(N(K155)&gt;=N(N155),"The Lens","The Hub"))</f>
        <v>The Pulse</v>
      </c>
      <c r="Q155" s="20" t="s">
        <v>74</v>
      </c>
      <c r="R155" s="26" t="s">
        <v>822</v>
      </c>
      <c r="S155" s="17" t="s">
        <v>24</v>
      </c>
    </row>
    <row r="156" customFormat="false" ht="15" hidden="false" customHeight="false" outlineLevel="0" collapsed="false">
      <c r="A156" s="17" t="s">
        <v>271</v>
      </c>
      <c r="B156" s="17" t="s">
        <v>272</v>
      </c>
      <c r="C156" s="17" t="s">
        <v>1106</v>
      </c>
      <c r="D156" s="17" t="s">
        <v>91</v>
      </c>
      <c r="E156" s="18" t="n">
        <v>12828</v>
      </c>
      <c r="F156" s="17" t="s">
        <v>821</v>
      </c>
      <c r="G156" s="23" t="n">
        <v>0.751637043966324</v>
      </c>
      <c r="H156" s="19" t="n">
        <v>65.6</v>
      </c>
      <c r="I156" s="17" t="n">
        <f aca="false">IF(H156="","",RANK(H156,$H$5:$H$430))</f>
        <v>152</v>
      </c>
      <c r="J156" s="24" t="n">
        <v>0.0647410358565737</v>
      </c>
      <c r="K156" s="19" t="n">
        <v>36.1</v>
      </c>
      <c r="L156" s="17" t="n">
        <f aca="false">IF(K156="","",RANK(K156,$K$5:$K$430))</f>
        <v>268</v>
      </c>
      <c r="M156" s="25" t="n">
        <v>0.119402985074627</v>
      </c>
      <c r="N156" s="19" t="n">
        <v>44.5</v>
      </c>
      <c r="O156" s="17" t="n">
        <f aca="false">IF(N156="","",RANK(N156,$N$5:$N$430))</f>
        <v>213</v>
      </c>
      <c r="P156" s="17" t="str">
        <f aca="false">IF(AND(N(H156)&gt;=N(K156),N(H156)&gt;=N(N156)),"The Pulse",IF(N(K156)&gt;=N(N156),"The Lens","The Hub"))</f>
        <v>The Pulse</v>
      </c>
      <c r="Q156" s="21" t="s">
        <v>79</v>
      </c>
      <c r="R156" s="26" t="s">
        <v>822</v>
      </c>
      <c r="S156" s="17" t="s">
        <v>88</v>
      </c>
    </row>
    <row r="157" customFormat="false" ht="15" hidden="false" customHeight="false" outlineLevel="0" collapsed="false">
      <c r="A157" s="17" t="s">
        <v>1107</v>
      </c>
      <c r="B157" s="17" t="s">
        <v>1108</v>
      </c>
      <c r="C157" s="17" t="s">
        <v>1109</v>
      </c>
      <c r="D157" s="17" t="s">
        <v>162</v>
      </c>
      <c r="E157" s="18" t="n">
        <v>23860</v>
      </c>
      <c r="F157" s="17" t="s">
        <v>821</v>
      </c>
      <c r="G157" s="23" t="n">
        <v>0.748491198658843</v>
      </c>
      <c r="H157" s="19" t="n">
        <v>65.4</v>
      </c>
      <c r="I157" s="17" t="n">
        <f aca="false">IF(H157="","",RANK(H157,$H$5:$H$430))</f>
        <v>153</v>
      </c>
      <c r="J157" s="24" t="n">
        <v>0.06233303650935</v>
      </c>
      <c r="K157" s="19" t="n">
        <v>34.7</v>
      </c>
      <c r="L157" s="17" t="n">
        <f aca="false">IF(K157="","",RANK(K157,$K$5:$K$430))</f>
        <v>272</v>
      </c>
      <c r="M157" s="25" t="n">
        <v>0.0933572710951526</v>
      </c>
      <c r="N157" s="19" t="n">
        <v>33.6</v>
      </c>
      <c r="O157" s="17" t="n">
        <f aca="false">IF(N157="","",RANK(N157,$N$5:$N$430))</f>
        <v>258</v>
      </c>
      <c r="P157" s="17" t="str">
        <f aca="false">IF(AND(N(H157)&gt;=N(K157),N(H157)&gt;=N(N157)),"The Pulse",IF(N(K157)&gt;=N(N157),"The Lens","The Hub"))</f>
        <v>The Pulse</v>
      </c>
      <c r="Q157" s="20" t="s">
        <v>74</v>
      </c>
      <c r="R157" s="27" t="s">
        <v>832</v>
      </c>
      <c r="S157" s="17" t="s">
        <v>24</v>
      </c>
    </row>
    <row r="158" customFormat="false" ht="15" hidden="false" customHeight="false" outlineLevel="0" collapsed="false">
      <c r="A158" s="17" t="s">
        <v>363</v>
      </c>
      <c r="B158" s="17" t="s">
        <v>364</v>
      </c>
      <c r="C158" s="17" t="s">
        <v>1110</v>
      </c>
      <c r="D158" s="17" t="s">
        <v>95</v>
      </c>
      <c r="E158" s="18" t="n">
        <v>19167</v>
      </c>
      <c r="F158" s="17" t="s">
        <v>821</v>
      </c>
      <c r="G158" s="23" t="n">
        <v>0.746595711378933</v>
      </c>
      <c r="H158" s="19" t="n">
        <v>65</v>
      </c>
      <c r="I158" s="17" t="n">
        <f aca="false">IF(H158="","",RANK(H158,$H$5:$H$430))</f>
        <v>154</v>
      </c>
      <c r="J158" s="24" t="n">
        <v>0.100855780828212</v>
      </c>
      <c r="K158" s="19" t="n">
        <v>53.3</v>
      </c>
      <c r="L158" s="17" t="n">
        <f aca="false">IF(K158="","",RANK(K158,$K$5:$K$430))</f>
        <v>198</v>
      </c>
      <c r="M158" s="25" t="n">
        <v>0.107391029690461</v>
      </c>
      <c r="N158" s="19" t="n">
        <v>38.2</v>
      </c>
      <c r="O158" s="17" t="n">
        <f aca="false">IF(N158="","",RANK(N158,$N$5:$N$430))</f>
        <v>239</v>
      </c>
      <c r="P158" s="17" t="str">
        <f aca="false">IF(AND(N(H158)&gt;=N(K158),N(H158)&gt;=N(N158)),"The Pulse",IF(N(K158)&gt;=N(N158),"The Lens","The Hub"))</f>
        <v>The Pulse</v>
      </c>
      <c r="Q158" s="21" t="s">
        <v>79</v>
      </c>
      <c r="R158" s="26" t="s">
        <v>822</v>
      </c>
      <c r="S158" s="17" t="s">
        <v>22</v>
      </c>
    </row>
    <row r="159" customFormat="false" ht="15" hidden="false" customHeight="false" outlineLevel="0" collapsed="false">
      <c r="A159" s="17" t="s">
        <v>315</v>
      </c>
      <c r="B159" s="17" t="s">
        <v>316</v>
      </c>
      <c r="C159" s="17" t="s">
        <v>1111</v>
      </c>
      <c r="D159" s="17" t="s">
        <v>95</v>
      </c>
      <c r="E159" s="18" t="n">
        <v>24264</v>
      </c>
      <c r="F159" s="17" t="s">
        <v>821</v>
      </c>
      <c r="G159" s="23" t="n">
        <v>0.740191229805473</v>
      </c>
      <c r="H159" s="19" t="n">
        <v>64.8</v>
      </c>
      <c r="I159" s="17" t="n">
        <f aca="false">IF(H159="","",RANK(H159,$H$5:$H$430))</f>
        <v>155</v>
      </c>
      <c r="J159" s="24" t="n">
        <v>0.212290781913565</v>
      </c>
      <c r="K159" s="19" t="n">
        <v>93.5</v>
      </c>
      <c r="L159" s="17" t="n">
        <f aca="false">IF(K159="","",RANK(K159,$K$5:$K$430))</f>
        <v>31</v>
      </c>
      <c r="M159" s="25" t="n">
        <v>0.0846560846560847</v>
      </c>
      <c r="N159" s="19" t="n">
        <v>28.7</v>
      </c>
      <c r="O159" s="17" t="n">
        <f aca="false">IF(N159="","",RANK(N159,$N$5:$N$430))</f>
        <v>277</v>
      </c>
      <c r="P159" s="17" t="str">
        <f aca="false">IF(AND(N(H159)&gt;=N(K159),N(H159)&gt;=N(N159)),"The Pulse",IF(N(K159)&gt;=N(N159),"The Lens","The Hub"))</f>
        <v>The Lens</v>
      </c>
      <c r="Q159" s="21" t="s">
        <v>79</v>
      </c>
      <c r="R159" s="26" t="s">
        <v>822</v>
      </c>
      <c r="S159" s="17" t="s">
        <v>22</v>
      </c>
    </row>
    <row r="160" customFormat="false" ht="15" hidden="false" customHeight="false" outlineLevel="0" collapsed="false">
      <c r="A160" s="17" t="s">
        <v>591</v>
      </c>
      <c r="B160" s="17" t="s">
        <v>592</v>
      </c>
      <c r="C160" s="17" t="s">
        <v>1112</v>
      </c>
      <c r="D160" s="17" t="s">
        <v>86</v>
      </c>
      <c r="E160" s="18" t="n">
        <v>910</v>
      </c>
      <c r="F160" s="17" t="s">
        <v>825</v>
      </c>
      <c r="G160" s="23" t="n">
        <v>0.738461538461539</v>
      </c>
      <c r="H160" s="19" t="n">
        <v>64.7</v>
      </c>
      <c r="I160" s="17" t="n">
        <f aca="false">IF(H160="","",RANK(H160,$H$5:$H$430))</f>
        <v>156</v>
      </c>
      <c r="J160" s="24" t="n">
        <v>0.249303621169916</v>
      </c>
      <c r="K160" s="19" t="n">
        <v>97.2</v>
      </c>
      <c r="L160" s="17" t="n">
        <f aca="false">IF(K160="","",RANK(K160,$K$5:$K$430))</f>
        <v>15</v>
      </c>
      <c r="M160" s="25" t="n">
        <v>0</v>
      </c>
      <c r="N160" s="19" t="n">
        <v>1.3</v>
      </c>
      <c r="O160" s="17" t="n">
        <f aca="false">IF(N160="","",RANK(N160,$N$5:$N$430))</f>
        <v>378</v>
      </c>
      <c r="P160" s="17" t="str">
        <f aca="false">IF(AND(N(H160)&gt;=N(K160),N(H160)&gt;=N(N160)),"The Pulse",IF(N(K160)&gt;=N(N160),"The Lens","The Hub"))</f>
        <v>The Lens</v>
      </c>
      <c r="Q160" s="21" t="s">
        <v>79</v>
      </c>
      <c r="R160" s="26" t="s">
        <v>822</v>
      </c>
      <c r="S160" s="17" t="s">
        <v>88</v>
      </c>
    </row>
    <row r="161" customFormat="false" ht="15" hidden="false" customHeight="false" outlineLevel="0" collapsed="false">
      <c r="A161" s="17" t="s">
        <v>1113</v>
      </c>
      <c r="B161" s="17" t="s">
        <v>1114</v>
      </c>
      <c r="C161" s="17" t="s">
        <v>1115</v>
      </c>
      <c r="D161" s="17" t="s">
        <v>115</v>
      </c>
      <c r="E161" s="18" t="n">
        <v>8340</v>
      </c>
      <c r="F161" s="17" t="s">
        <v>825</v>
      </c>
      <c r="G161" s="23" t="n">
        <v>0.736810551558753</v>
      </c>
      <c r="H161" s="19" t="n">
        <v>64.5</v>
      </c>
      <c r="I161" s="17" t="n">
        <f aca="false">IF(H161="","",RANK(H161,$H$5:$H$430))</f>
        <v>157</v>
      </c>
      <c r="J161" s="24" t="n">
        <v>0.161559888579387</v>
      </c>
      <c r="K161" s="19" t="n">
        <v>87.3</v>
      </c>
      <c r="L161" s="17" t="n">
        <f aca="false">IF(K161="","",RANK(K161,$K$5:$K$430))</f>
        <v>55</v>
      </c>
      <c r="M161" s="25" t="n">
        <v>0.132183908045977</v>
      </c>
      <c r="N161" s="19" t="n">
        <v>49</v>
      </c>
      <c r="O161" s="17" t="n">
        <f aca="false">IF(N161="","",RANK(N161,$N$5:$N$430))</f>
        <v>195</v>
      </c>
      <c r="P161" s="17" t="str">
        <f aca="false">IF(AND(N(H161)&gt;=N(K161),N(H161)&gt;=N(N161)),"The Pulse",IF(N(K161)&gt;=N(N161),"The Lens","The Hub"))</f>
        <v>The Lens</v>
      </c>
      <c r="Q161" s="20" t="s">
        <v>74</v>
      </c>
      <c r="R161" s="27" t="s">
        <v>832</v>
      </c>
      <c r="S161" s="17" t="s">
        <v>24</v>
      </c>
    </row>
    <row r="162" customFormat="false" ht="15" hidden="false" customHeight="false" outlineLevel="0" collapsed="false">
      <c r="A162" s="17" t="s">
        <v>1116</v>
      </c>
      <c r="B162" s="17" t="s">
        <v>1117</v>
      </c>
      <c r="C162" s="17" t="s">
        <v>1118</v>
      </c>
      <c r="D162" s="17" t="s">
        <v>95</v>
      </c>
      <c r="E162" s="18" t="n">
        <v>110280</v>
      </c>
      <c r="F162" s="17" t="s">
        <v>827</v>
      </c>
      <c r="G162" s="23" t="n">
        <v>0.73672018606745</v>
      </c>
      <c r="H162" s="19" t="n">
        <v>64.3</v>
      </c>
      <c r="I162" s="17" t="n">
        <f aca="false">IF(H162="","",RANK(H162,$H$5:$H$430))</f>
        <v>158</v>
      </c>
      <c r="J162" s="24" t="n">
        <v>0.0321010762751521</v>
      </c>
      <c r="K162" s="19" t="n">
        <v>22.9</v>
      </c>
      <c r="L162" s="17" t="n">
        <f aca="false">IF(K162="","",RANK(K162,$K$5:$K$430))</f>
        <v>323</v>
      </c>
      <c r="M162" s="25" t="n">
        <v>0.0992555831265509</v>
      </c>
      <c r="N162" s="19" t="n">
        <v>35.9</v>
      </c>
      <c r="O162" s="17" t="n">
        <f aca="false">IF(N162="","",RANK(N162,$N$5:$N$430))</f>
        <v>249</v>
      </c>
      <c r="P162" s="17" t="str">
        <f aca="false">IF(AND(N(H162)&gt;=N(K162),N(H162)&gt;=N(N162)),"The Pulse",IF(N(K162)&gt;=N(N162),"The Lens","The Hub"))</f>
        <v>The Pulse</v>
      </c>
      <c r="Q162" s="21" t="s">
        <v>79</v>
      </c>
      <c r="R162" s="27" t="s">
        <v>832</v>
      </c>
      <c r="S162" s="17" t="s">
        <v>88</v>
      </c>
    </row>
    <row r="163" customFormat="false" ht="15" hidden="false" customHeight="false" outlineLevel="0" collapsed="false">
      <c r="A163" s="17" t="s">
        <v>1119</v>
      </c>
      <c r="B163" s="17" t="s">
        <v>1120</v>
      </c>
      <c r="C163" s="17" t="s">
        <v>1121</v>
      </c>
      <c r="D163" s="17" t="s">
        <v>72</v>
      </c>
      <c r="E163" s="18" t="n">
        <v>85200</v>
      </c>
      <c r="F163" s="17" t="s">
        <v>821</v>
      </c>
      <c r="G163" s="23" t="n">
        <v>0.735798122065728</v>
      </c>
      <c r="H163" s="19" t="n">
        <v>64.1</v>
      </c>
      <c r="I163" s="17" t="n">
        <f aca="false">IF(H163="","",RANK(H163,$H$5:$H$430))</f>
        <v>159</v>
      </c>
      <c r="J163" s="24" t="n">
        <v>0.0328524669656928</v>
      </c>
      <c r="K163" s="19" t="n">
        <v>19.6</v>
      </c>
      <c r="L163" s="17" t="n">
        <f aca="false">IF(K163="","",RANK(K163,$K$5:$K$430))</f>
        <v>339</v>
      </c>
      <c r="M163" s="25" t="n">
        <v>0.200192261475607</v>
      </c>
      <c r="N163" s="19" t="n">
        <v>73.2</v>
      </c>
      <c r="O163" s="17" t="n">
        <f aca="false">IF(N163="","",RANK(N163,$N$5:$N$430))</f>
        <v>104</v>
      </c>
      <c r="P163" s="17" t="str">
        <f aca="false">IF(AND(N(H163)&gt;=N(K163),N(H163)&gt;=N(N163)),"The Pulse",IF(N(K163)&gt;=N(N163),"The Lens","The Hub"))</f>
        <v>The Hub</v>
      </c>
      <c r="Q163" s="20" t="s">
        <v>74</v>
      </c>
      <c r="R163" s="27" t="s">
        <v>832</v>
      </c>
      <c r="S163" s="17" t="s">
        <v>24</v>
      </c>
    </row>
    <row r="164" customFormat="false" ht="15" hidden="false" customHeight="false" outlineLevel="0" collapsed="false">
      <c r="A164" s="17" t="s">
        <v>1122</v>
      </c>
      <c r="B164" s="17" t="s">
        <v>1123</v>
      </c>
      <c r="C164" s="17" t="s">
        <v>1124</v>
      </c>
      <c r="D164" s="17" t="s">
        <v>86</v>
      </c>
      <c r="E164" s="18" t="n">
        <v>17500</v>
      </c>
      <c r="F164" s="17" t="s">
        <v>821</v>
      </c>
      <c r="G164" s="23" t="n">
        <v>0.732742857142857</v>
      </c>
      <c r="H164" s="19" t="n">
        <v>63.9</v>
      </c>
      <c r="I164" s="17" t="n">
        <f aca="false">IF(H164="","",RANK(H164,$H$5:$H$430))</f>
        <v>160</v>
      </c>
      <c r="J164" s="24" t="n">
        <v>0.0504201680672269</v>
      </c>
      <c r="K164" s="19" t="n">
        <v>28.2</v>
      </c>
      <c r="L164" s="17" t="n">
        <f aca="false">IF(K164="","",RANK(K164,$K$5:$K$430))</f>
        <v>297</v>
      </c>
      <c r="M164" s="25" t="n">
        <v>0.458808618504436</v>
      </c>
      <c r="N164" s="19" t="n">
        <v>99.8</v>
      </c>
      <c r="O164" s="17" t="n">
        <f aca="false">IF(N164="","",RANK(N164,$N$5:$N$430))</f>
        <v>2</v>
      </c>
      <c r="P164" s="17" t="str">
        <f aca="false">IF(AND(N(H164)&gt;=N(K164),N(H164)&gt;=N(N164)),"The Pulse",IF(N(K164)&gt;=N(N164),"The Lens","The Hub"))</f>
        <v>The Hub</v>
      </c>
      <c r="Q164" s="20" t="s">
        <v>74</v>
      </c>
      <c r="R164" s="27" t="s">
        <v>832</v>
      </c>
      <c r="S164" s="17" t="s">
        <v>24</v>
      </c>
    </row>
    <row r="165" customFormat="false" ht="15" hidden="false" customHeight="false" outlineLevel="0" collapsed="false">
      <c r="A165" s="17" t="s">
        <v>179</v>
      </c>
      <c r="B165" s="17" t="s">
        <v>180</v>
      </c>
      <c r="C165" s="17" t="s">
        <v>1125</v>
      </c>
      <c r="D165" s="17" t="s">
        <v>98</v>
      </c>
      <c r="E165" s="18" t="n">
        <v>4735</v>
      </c>
      <c r="F165" s="17" t="s">
        <v>825</v>
      </c>
      <c r="G165" s="23" t="n">
        <v>0.731573389651531</v>
      </c>
      <c r="H165" s="19" t="n">
        <v>63.7</v>
      </c>
      <c r="I165" s="17" t="n">
        <f aca="false">IF(H165="","",RANK(H165,$H$5:$H$430))</f>
        <v>161</v>
      </c>
      <c r="J165" s="24" t="n">
        <v>0.13142174432497</v>
      </c>
      <c r="K165" s="19" t="n">
        <v>73.2</v>
      </c>
      <c r="L165" s="17" t="n">
        <f aca="false">IF(K165="","",RANK(K165,$K$5:$K$430))</f>
        <v>115</v>
      </c>
      <c r="M165" s="25" t="n">
        <v>0.142335766423358</v>
      </c>
      <c r="N165" s="19" t="n">
        <v>54.3</v>
      </c>
      <c r="O165" s="17" t="n">
        <f aca="false">IF(N165="","",RANK(N165,$N$5:$N$430))</f>
        <v>172</v>
      </c>
      <c r="P165" s="17" t="str">
        <f aca="false">IF(AND(N(H165)&gt;=N(K165),N(H165)&gt;=N(N165)),"The Pulse",IF(N(K165)&gt;=N(N165),"The Lens","The Hub"))</f>
        <v>The Lens</v>
      </c>
      <c r="Q165" s="21" t="s">
        <v>79</v>
      </c>
      <c r="R165" s="26" t="s">
        <v>822</v>
      </c>
      <c r="S165" s="17" t="s">
        <v>88</v>
      </c>
    </row>
    <row r="166" customFormat="false" ht="15" hidden="false" customHeight="false" outlineLevel="0" collapsed="false">
      <c r="A166" s="17" t="s">
        <v>303</v>
      </c>
      <c r="B166" s="17" t="s">
        <v>304</v>
      </c>
      <c r="C166" s="17" t="s">
        <v>1126</v>
      </c>
      <c r="D166" s="17" t="s">
        <v>162</v>
      </c>
      <c r="E166" s="18" t="n">
        <v>487480</v>
      </c>
      <c r="F166" s="17" t="s">
        <v>827</v>
      </c>
      <c r="G166" s="23" t="n">
        <v>0.724573315828342</v>
      </c>
      <c r="H166" s="19" t="n">
        <v>63.5</v>
      </c>
      <c r="I166" s="17" t="n">
        <f aca="false">IF(H166="","",RANK(H166,$H$5:$H$430))</f>
        <v>162</v>
      </c>
      <c r="J166" s="24" t="n">
        <v>0.1456485948911</v>
      </c>
      <c r="K166" s="19" t="n">
        <v>80.7</v>
      </c>
      <c r="L166" s="17" t="n">
        <f aca="false">IF(K166="","",RANK(K166,$K$5:$K$430))</f>
        <v>85</v>
      </c>
      <c r="M166" s="25" t="n">
        <v>0.167371209559238</v>
      </c>
      <c r="N166" s="19" t="n">
        <v>65</v>
      </c>
      <c r="O166" s="17" t="n">
        <f aca="false">IF(N166="","",RANK(N166,$N$5:$N$430))</f>
        <v>135</v>
      </c>
      <c r="P166" s="17" t="str">
        <f aca="false">IF(AND(N(H166)&gt;=N(K166),N(H166)&gt;=N(N166)),"The Pulse",IF(N(K166)&gt;=N(N166),"The Lens","The Hub"))</f>
        <v>The Lens</v>
      </c>
      <c r="Q166" s="21" t="s">
        <v>79</v>
      </c>
      <c r="R166" s="26" t="s">
        <v>822</v>
      </c>
      <c r="S166" s="17" t="s">
        <v>88</v>
      </c>
    </row>
    <row r="167" customFormat="false" ht="15" hidden="false" customHeight="false" outlineLevel="0" collapsed="false">
      <c r="A167" s="17" t="s">
        <v>1127</v>
      </c>
      <c r="B167" s="17" t="s">
        <v>1128</v>
      </c>
      <c r="C167" s="17" t="s">
        <v>1129</v>
      </c>
      <c r="D167" s="17" t="s">
        <v>162</v>
      </c>
      <c r="E167" s="18" t="n">
        <v>614970</v>
      </c>
      <c r="F167" s="17" t="s">
        <v>827</v>
      </c>
      <c r="G167" s="23" t="n">
        <v>0.722306779192481</v>
      </c>
      <c r="H167" s="19" t="n">
        <v>63.3</v>
      </c>
      <c r="I167" s="17" t="n">
        <f aca="false">IF(H167="","",RANK(H167,$H$5:$H$430))</f>
        <v>163</v>
      </c>
      <c r="J167" s="24" t="n">
        <v>0.0891750203676809</v>
      </c>
      <c r="K167" s="19" t="n">
        <v>55.7</v>
      </c>
      <c r="L167" s="17" t="n">
        <f aca="false">IF(K167="","",RANK(K167,$K$5:$K$430))</f>
        <v>187</v>
      </c>
      <c r="M167" s="25" t="n">
        <v>0.0827390939597315</v>
      </c>
      <c r="N167" s="19" t="n">
        <v>27.7</v>
      </c>
      <c r="O167" s="17" t="n">
        <f aca="false">IF(N167="","",RANK(N167,$N$5:$N$430))</f>
        <v>280</v>
      </c>
      <c r="P167" s="17" t="str">
        <f aca="false">IF(AND(N(H167)&gt;=N(K167),N(H167)&gt;=N(N167)),"The Pulse",IF(N(K167)&gt;=N(N167),"The Lens","The Hub"))</f>
        <v>The Pulse</v>
      </c>
      <c r="Q167" s="20" t="s">
        <v>74</v>
      </c>
      <c r="R167" s="27" t="s">
        <v>832</v>
      </c>
      <c r="S167" s="17" t="s">
        <v>24</v>
      </c>
    </row>
    <row r="168" customFormat="false" ht="15" hidden="false" customHeight="false" outlineLevel="0" collapsed="false">
      <c r="A168" s="17" t="s">
        <v>1130</v>
      </c>
      <c r="B168" s="17" t="s">
        <v>1131</v>
      </c>
      <c r="C168" s="17" t="s">
        <v>1132</v>
      </c>
      <c r="D168" s="17" t="s">
        <v>115</v>
      </c>
      <c r="E168" s="18" t="n">
        <v>71130</v>
      </c>
      <c r="F168" s="17" t="s">
        <v>821</v>
      </c>
      <c r="G168" s="23" t="n">
        <v>0.722170673414874</v>
      </c>
      <c r="H168" s="19" t="n">
        <v>63.1</v>
      </c>
      <c r="I168" s="17" t="n">
        <f aca="false">IF(H168="","",RANK(H168,$H$5:$H$430))</f>
        <v>164</v>
      </c>
      <c r="J168" s="24" t="n">
        <v>0.0448002350176263</v>
      </c>
      <c r="K168" s="19" t="n">
        <v>24.1</v>
      </c>
      <c r="L168" s="17" t="n">
        <f aca="false">IF(K168="","",RANK(K168,$K$5:$K$430))</f>
        <v>316</v>
      </c>
      <c r="M168" s="25" t="n">
        <v>0.0902654867256637</v>
      </c>
      <c r="N168" s="19" t="n">
        <v>32.2</v>
      </c>
      <c r="O168" s="17" t="n">
        <f aca="false">IF(N168="","",RANK(N168,$N$5:$N$430))</f>
        <v>263</v>
      </c>
      <c r="P168" s="17" t="str">
        <f aca="false">IF(AND(N(H168)&gt;=N(K168),N(H168)&gt;=N(N168)),"The Pulse",IF(N(K168)&gt;=N(N168),"The Lens","The Hub"))</f>
        <v>The Pulse</v>
      </c>
      <c r="Q168" s="20" t="s">
        <v>74</v>
      </c>
      <c r="R168" s="27" t="s">
        <v>832</v>
      </c>
      <c r="S168" s="17" t="s">
        <v>24</v>
      </c>
    </row>
    <row r="169" customFormat="false" ht="15" hidden="false" customHeight="false" outlineLevel="0" collapsed="false">
      <c r="A169" s="17" t="s">
        <v>369</v>
      </c>
      <c r="B169" s="17" t="s">
        <v>370</v>
      </c>
      <c r="C169" s="17" t="s">
        <v>1133</v>
      </c>
      <c r="D169" s="17" t="s">
        <v>86</v>
      </c>
      <c r="E169" s="18" t="n">
        <v>10450</v>
      </c>
      <c r="F169" s="17" t="s">
        <v>821</v>
      </c>
      <c r="G169" s="23" t="n">
        <v>0.72133971291866</v>
      </c>
      <c r="H169" s="19" t="n">
        <v>62.9</v>
      </c>
      <c r="I169" s="17" t="n">
        <f aca="false">IF(H169="","",RANK(H169,$H$5:$H$430))</f>
        <v>165</v>
      </c>
      <c r="J169" s="24" t="n">
        <v>0.118843683083512</v>
      </c>
      <c r="K169" s="19" t="n">
        <v>63.2</v>
      </c>
      <c r="L169" s="17" t="n">
        <f aca="false">IF(K169="","",RANK(K169,$K$5:$K$430))</f>
        <v>159</v>
      </c>
      <c r="M169" s="25" t="n">
        <v>0.0581717451523546</v>
      </c>
      <c r="N169" s="19" t="n">
        <v>19.3</v>
      </c>
      <c r="O169" s="17" t="n">
        <f aca="false">IF(N169="","",RANK(N169,$N$5:$N$430))</f>
        <v>312</v>
      </c>
      <c r="P169" s="17" t="str">
        <f aca="false">IF(AND(N(H169)&gt;=N(K169),N(H169)&gt;=N(N169)),"The Pulse",IF(N(K169)&gt;=N(N169),"The Lens","The Hub"))</f>
        <v>The Lens</v>
      </c>
      <c r="Q169" s="20" t="s">
        <v>74</v>
      </c>
      <c r="R169" s="26" t="s">
        <v>822</v>
      </c>
      <c r="S169" s="17" t="s">
        <v>24</v>
      </c>
    </row>
    <row r="170" customFormat="false" ht="15" hidden="false" customHeight="false" outlineLevel="0" collapsed="false">
      <c r="A170" s="17" t="s">
        <v>145</v>
      </c>
      <c r="B170" s="17" t="s">
        <v>146</v>
      </c>
      <c r="C170" s="17" t="s">
        <v>1134</v>
      </c>
      <c r="D170" s="17" t="s">
        <v>86</v>
      </c>
      <c r="E170" s="18" t="n">
        <v>46031</v>
      </c>
      <c r="F170" s="17" t="s">
        <v>821</v>
      </c>
      <c r="G170" s="23" t="n">
        <v>0.713453976667898</v>
      </c>
      <c r="H170" s="19" t="n">
        <v>62.6</v>
      </c>
      <c r="I170" s="17" t="n">
        <f aca="false">IF(H170="","",RANK(H170,$H$5:$H$430))</f>
        <v>166</v>
      </c>
      <c r="J170" s="24" t="n">
        <v>-0.00320491998527469</v>
      </c>
      <c r="K170" s="19" t="n">
        <v>9.3</v>
      </c>
      <c r="L170" s="17" t="n">
        <f aca="false">IF(K170="","",RANK(K170,$K$5:$K$430))</f>
        <v>384</v>
      </c>
      <c r="M170" s="25" t="n">
        <v>0.203603603603604</v>
      </c>
      <c r="N170" s="19" t="n">
        <v>74.6</v>
      </c>
      <c r="O170" s="17" t="n">
        <f aca="false">IF(N170="","",RANK(N170,$N$5:$N$430))</f>
        <v>98</v>
      </c>
      <c r="P170" s="17" t="str">
        <f aca="false">IF(AND(N(H170)&gt;=N(K170),N(H170)&gt;=N(N170)),"The Pulse",IF(N(K170)&gt;=N(N170),"The Lens","The Hub"))</f>
        <v>The Hub</v>
      </c>
      <c r="Q170" s="21" t="s">
        <v>79</v>
      </c>
      <c r="R170" s="26" t="s">
        <v>822</v>
      </c>
      <c r="S170" s="17" t="s">
        <v>22</v>
      </c>
    </row>
    <row r="171" customFormat="false" ht="15" hidden="false" customHeight="false" outlineLevel="0" collapsed="false">
      <c r="A171" s="17" t="s">
        <v>499</v>
      </c>
      <c r="B171" s="17" t="s">
        <v>500</v>
      </c>
      <c r="C171" s="17" t="s">
        <v>1135</v>
      </c>
      <c r="D171" s="17" t="s">
        <v>98</v>
      </c>
      <c r="E171" s="18" t="n">
        <v>58280</v>
      </c>
      <c r="F171" s="17" t="s">
        <v>821</v>
      </c>
      <c r="G171" s="23" t="n">
        <v>0.711616334934798</v>
      </c>
      <c r="H171" s="19" t="n">
        <v>62.4</v>
      </c>
      <c r="I171" s="17" t="n">
        <f aca="false">IF(H171="","",RANK(H171,$H$5:$H$430))</f>
        <v>167</v>
      </c>
      <c r="J171" s="24" t="n">
        <v>0.0416443252904379</v>
      </c>
      <c r="K171" s="19" t="n">
        <v>23</v>
      </c>
      <c r="L171" s="17" t="n">
        <f aca="false">IF(K171="","",RANK(K171,$K$5:$K$430))</f>
        <v>322</v>
      </c>
      <c r="M171" s="28" t="s">
        <v>857</v>
      </c>
      <c r="N171" s="19"/>
      <c r="O171" s="17" t="str">
        <f aca="false">IF(N171="","",RANK(N171,$N$5:$N$430))</f>
        <v/>
      </c>
      <c r="P171" s="17" t="str">
        <f aca="false">IF(AND(N(H171)&gt;=N(K171),N(H171)&gt;=N(N171)),"The Pulse",IF(N(K171)&gt;=N(N171),"The Lens","The Hub"))</f>
        <v>The Pulse</v>
      </c>
      <c r="Q171" s="20" t="s">
        <v>74</v>
      </c>
      <c r="R171" s="26" t="s">
        <v>822</v>
      </c>
      <c r="S171" s="17" t="s">
        <v>24</v>
      </c>
    </row>
    <row r="172" customFormat="false" ht="15" hidden="false" customHeight="false" outlineLevel="0" collapsed="false">
      <c r="A172" s="17" t="s">
        <v>603</v>
      </c>
      <c r="B172" s="17" t="s">
        <v>604</v>
      </c>
      <c r="C172" s="17" t="s">
        <v>1136</v>
      </c>
      <c r="D172" s="17" t="s">
        <v>77</v>
      </c>
      <c r="E172" s="18" t="n">
        <v>17410</v>
      </c>
      <c r="F172" s="17" t="s">
        <v>821</v>
      </c>
      <c r="G172" s="23" t="n">
        <v>0.711545089029294</v>
      </c>
      <c r="H172" s="19" t="n">
        <v>62.2</v>
      </c>
      <c r="I172" s="17" t="n">
        <f aca="false">IF(H172="","",RANK(H172,$H$5:$H$430))</f>
        <v>168</v>
      </c>
      <c r="J172" s="24" t="n">
        <v>0.159893404397069</v>
      </c>
      <c r="K172" s="19" t="n">
        <v>79</v>
      </c>
      <c r="L172" s="17" t="n">
        <f aca="false">IF(K172="","",RANK(K172,$K$5:$K$430))</f>
        <v>91</v>
      </c>
      <c r="M172" s="25" t="n">
        <v>0.064334085778781</v>
      </c>
      <c r="N172" s="19" t="n">
        <v>21.9</v>
      </c>
      <c r="O172" s="17" t="n">
        <f aca="false">IF(N172="","",RANK(N172,$N$5:$N$430))</f>
        <v>302</v>
      </c>
      <c r="P172" s="17" t="str">
        <f aca="false">IF(AND(N(H172)&gt;=N(K172),N(H172)&gt;=N(N172)),"The Pulse",IF(N(K172)&gt;=N(N172),"The Lens","The Hub"))</f>
        <v>The Lens</v>
      </c>
      <c r="Q172" s="20" t="s">
        <v>74</v>
      </c>
      <c r="R172" s="26" t="s">
        <v>822</v>
      </c>
      <c r="S172" s="17" t="s">
        <v>24</v>
      </c>
    </row>
    <row r="173" customFormat="false" ht="15" hidden="false" customHeight="false" outlineLevel="0" collapsed="false">
      <c r="A173" s="17" t="s">
        <v>1137</v>
      </c>
      <c r="B173" s="17" t="s">
        <v>1138</v>
      </c>
      <c r="C173" s="17" t="s">
        <v>1139</v>
      </c>
      <c r="D173" s="17" t="s">
        <v>91</v>
      </c>
      <c r="E173" s="18" t="n">
        <v>10440</v>
      </c>
      <c r="F173" s="17" t="s">
        <v>821</v>
      </c>
      <c r="G173" s="23" t="n">
        <v>0.711302681992337</v>
      </c>
      <c r="H173" s="19" t="n">
        <v>62</v>
      </c>
      <c r="I173" s="17" t="n">
        <f aca="false">IF(H173="","",RANK(H173,$H$5:$H$430))</f>
        <v>169</v>
      </c>
      <c r="J173" s="24" t="n">
        <v>0.138495092693566</v>
      </c>
      <c r="K173" s="19" t="n">
        <v>73.2</v>
      </c>
      <c r="L173" s="17" t="n">
        <f aca="false">IF(K173="","",RANK(K173,$K$5:$K$430))</f>
        <v>115</v>
      </c>
      <c r="M173" s="25" t="n">
        <v>0.109034267912773</v>
      </c>
      <c r="N173" s="19" t="n">
        <v>39.6</v>
      </c>
      <c r="O173" s="17" t="n">
        <f aca="false">IF(N173="","",RANK(N173,$N$5:$N$430))</f>
        <v>233</v>
      </c>
      <c r="P173" s="17" t="str">
        <f aca="false">IF(AND(N(H173)&gt;=N(K173),N(H173)&gt;=N(N173)),"The Pulse",IF(N(K173)&gt;=N(N173),"The Lens","The Hub"))</f>
        <v>The Lens</v>
      </c>
      <c r="Q173" s="20" t="s">
        <v>74</v>
      </c>
      <c r="R173" s="27" t="s">
        <v>832</v>
      </c>
      <c r="S173" s="17" t="s">
        <v>24</v>
      </c>
    </row>
    <row r="174" customFormat="false" ht="15" hidden="false" customHeight="false" outlineLevel="0" collapsed="false">
      <c r="A174" s="17" t="s">
        <v>295</v>
      </c>
      <c r="B174" s="17" t="s">
        <v>296</v>
      </c>
      <c r="C174" s="17" t="s">
        <v>1140</v>
      </c>
      <c r="D174" s="17" t="s">
        <v>95</v>
      </c>
      <c r="E174" s="18" t="n">
        <v>276412</v>
      </c>
      <c r="F174" s="17" t="s">
        <v>827</v>
      </c>
      <c r="G174" s="23" t="n">
        <v>0.703967266254721</v>
      </c>
      <c r="H174" s="19" t="n">
        <v>61.8</v>
      </c>
      <c r="I174" s="17" t="n">
        <f aca="false">IF(H174="","",RANK(H174,$H$5:$H$430))</f>
        <v>170</v>
      </c>
      <c r="J174" s="24" t="n">
        <v>0.206075494255682</v>
      </c>
      <c r="K174" s="19" t="n">
        <v>95</v>
      </c>
      <c r="L174" s="17" t="n">
        <f aca="false">IF(K174="","",RANK(K174,$K$5:$K$430))</f>
        <v>22</v>
      </c>
      <c r="M174" s="25" t="n">
        <v>0.139047102431968</v>
      </c>
      <c r="N174" s="19" t="n">
        <v>52.9</v>
      </c>
      <c r="O174" s="17" t="n">
        <f aca="false">IF(N174="","",RANK(N174,$N$5:$N$430))</f>
        <v>178</v>
      </c>
      <c r="P174" s="17" t="str">
        <f aca="false">IF(AND(N(H174)&gt;=N(K174),N(H174)&gt;=N(N174)),"The Pulse",IF(N(K174)&gt;=N(N174),"The Lens","The Hub"))</f>
        <v>The Lens</v>
      </c>
      <c r="Q174" s="21" t="s">
        <v>79</v>
      </c>
      <c r="R174" s="26" t="s">
        <v>822</v>
      </c>
      <c r="S174" s="17" t="s">
        <v>22</v>
      </c>
    </row>
    <row r="175" customFormat="false" ht="15" hidden="false" customHeight="false" outlineLevel="0" collapsed="false">
      <c r="A175" s="17" t="s">
        <v>359</v>
      </c>
      <c r="B175" s="17" t="s">
        <v>360</v>
      </c>
      <c r="C175" s="17" t="s">
        <v>1141</v>
      </c>
      <c r="D175" s="17" t="s">
        <v>95</v>
      </c>
      <c r="E175" s="18" t="n">
        <v>6100</v>
      </c>
      <c r="F175" s="17" t="s">
        <v>825</v>
      </c>
      <c r="G175" s="23" t="n">
        <v>0.701967213114754</v>
      </c>
      <c r="H175" s="19" t="n">
        <v>61.6</v>
      </c>
      <c r="I175" s="17" t="n">
        <f aca="false">IF(H175="","",RANK(H175,$H$5:$H$430))</f>
        <v>171</v>
      </c>
      <c r="J175" s="24" t="n">
        <v>0.0407780242279475</v>
      </c>
      <c r="K175" s="19" t="n">
        <v>14.1</v>
      </c>
      <c r="L175" s="17" t="n">
        <f aca="false">IF(K175="","",RANK(K175,$K$5:$K$430))</f>
        <v>361</v>
      </c>
      <c r="M175" s="25" t="n">
        <v>0.0534351145038168</v>
      </c>
      <c r="N175" s="19" t="n">
        <v>16.8</v>
      </c>
      <c r="O175" s="17" t="n">
        <f aca="false">IF(N175="","",RANK(N175,$N$5:$N$430))</f>
        <v>322</v>
      </c>
      <c r="P175" s="17" t="str">
        <f aca="false">IF(AND(N(H175)&gt;=N(K175),N(H175)&gt;=N(N175)),"The Pulse",IF(N(K175)&gt;=N(N175),"The Lens","The Hub"))</f>
        <v>The Pulse</v>
      </c>
      <c r="Q175" s="21" t="s">
        <v>79</v>
      </c>
      <c r="R175" s="26" t="s">
        <v>822</v>
      </c>
      <c r="S175" s="17" t="s">
        <v>22</v>
      </c>
    </row>
    <row r="176" customFormat="false" ht="15" hidden="false" customHeight="false" outlineLevel="0" collapsed="false">
      <c r="A176" s="17" t="s">
        <v>637</v>
      </c>
      <c r="B176" s="17" t="s">
        <v>638</v>
      </c>
      <c r="C176" s="17" t="s">
        <v>1142</v>
      </c>
      <c r="D176" s="17" t="s">
        <v>77</v>
      </c>
      <c r="E176" s="18" t="n">
        <v>17498</v>
      </c>
      <c r="F176" s="17" t="s">
        <v>821</v>
      </c>
      <c r="G176" s="23" t="n">
        <v>0.70185164018745</v>
      </c>
      <c r="H176" s="19" t="n">
        <v>61.4</v>
      </c>
      <c r="I176" s="17" t="n">
        <f aca="false">IF(H176="","",RANK(H176,$H$5:$H$430))</f>
        <v>172</v>
      </c>
      <c r="J176" s="24" t="n">
        <v>0.108310108943501</v>
      </c>
      <c r="K176" s="19" t="n">
        <v>56.7</v>
      </c>
      <c r="L176" s="17" t="n">
        <f aca="false">IF(K176="","",RANK(K176,$K$5:$K$430))</f>
        <v>184</v>
      </c>
      <c r="M176" s="25" t="n">
        <v>0.0925058548009368</v>
      </c>
      <c r="N176" s="19" t="n">
        <v>33.1</v>
      </c>
      <c r="O176" s="17" t="n">
        <f aca="false">IF(N176="","",RANK(N176,$N$5:$N$430))</f>
        <v>259</v>
      </c>
      <c r="P176" s="17" t="str">
        <f aca="false">IF(AND(N(H176)&gt;=N(K176),N(H176)&gt;=N(N176)),"The Pulse",IF(N(K176)&gt;=N(N176),"The Lens","The Hub"))</f>
        <v>The Pulse</v>
      </c>
      <c r="Q176" s="21" t="s">
        <v>79</v>
      </c>
      <c r="R176" s="26" t="s">
        <v>822</v>
      </c>
      <c r="S176" s="17" t="s">
        <v>22</v>
      </c>
    </row>
    <row r="177" customFormat="false" ht="15" hidden="false" customHeight="false" outlineLevel="0" collapsed="false">
      <c r="A177" s="17" t="s">
        <v>1143</v>
      </c>
      <c r="B177" s="17" t="s">
        <v>1144</v>
      </c>
      <c r="C177" s="17" t="s">
        <v>1145</v>
      </c>
      <c r="D177" s="17" t="s">
        <v>123</v>
      </c>
      <c r="E177" s="18" t="n">
        <v>15820</v>
      </c>
      <c r="F177" s="17" t="s">
        <v>821</v>
      </c>
      <c r="G177" s="23" t="n">
        <v>0.700884955752212</v>
      </c>
      <c r="H177" s="19" t="n">
        <v>61.2</v>
      </c>
      <c r="I177" s="17" t="n">
        <f aca="false">IF(H177="","",RANK(H177,$H$5:$H$430))</f>
        <v>173</v>
      </c>
      <c r="J177" s="24" t="n">
        <v>0.264588329336531</v>
      </c>
      <c r="K177" s="19" t="n">
        <v>99</v>
      </c>
      <c r="L177" s="17" t="n">
        <f aca="false">IF(K177="","",RANK(K177,$K$5:$K$430))</f>
        <v>6</v>
      </c>
      <c r="M177" s="25" t="n">
        <v>0.273946360153257</v>
      </c>
      <c r="N177" s="19" t="n">
        <v>86.2</v>
      </c>
      <c r="O177" s="17" t="n">
        <f aca="false">IF(N177="","",RANK(N177,$N$5:$N$430))</f>
        <v>54</v>
      </c>
      <c r="P177" s="17" t="str">
        <f aca="false">IF(AND(N(H177)&gt;=N(K177),N(H177)&gt;=N(N177)),"The Pulse",IF(N(K177)&gt;=N(N177),"The Lens","The Hub"))</f>
        <v>The Lens</v>
      </c>
      <c r="Q177" s="20" t="s">
        <v>74</v>
      </c>
      <c r="R177" s="27" t="s">
        <v>832</v>
      </c>
      <c r="S177" s="17" t="s">
        <v>24</v>
      </c>
    </row>
    <row r="178" customFormat="false" ht="15" hidden="false" customHeight="false" outlineLevel="0" collapsed="false">
      <c r="A178" s="17" t="s">
        <v>319</v>
      </c>
      <c r="B178" s="17" t="s">
        <v>320</v>
      </c>
      <c r="C178" s="17" t="s">
        <v>1146</v>
      </c>
      <c r="D178" s="17" t="s">
        <v>98</v>
      </c>
      <c r="E178" s="18" t="n">
        <v>120497</v>
      </c>
      <c r="F178" s="17" t="s">
        <v>827</v>
      </c>
      <c r="G178" s="23" t="n">
        <v>0.698706191855399</v>
      </c>
      <c r="H178" s="19" t="n">
        <v>61.1</v>
      </c>
      <c r="I178" s="17" t="n">
        <f aca="false">IF(H178="","",RANK(H178,$H$5:$H$430))</f>
        <v>174</v>
      </c>
      <c r="J178" s="24" t="n">
        <v>0.00262102477908505</v>
      </c>
      <c r="K178" s="19" t="n">
        <v>12.9</v>
      </c>
      <c r="L178" s="17" t="n">
        <f aca="false">IF(K178="","",RANK(K178,$K$5:$K$430))</f>
        <v>367</v>
      </c>
      <c r="M178" s="25" t="n">
        <v>0.27278278125477</v>
      </c>
      <c r="N178" s="19" t="n">
        <v>85.8</v>
      </c>
      <c r="O178" s="17" t="n">
        <f aca="false">IF(N178="","",RANK(N178,$N$5:$N$430))</f>
        <v>56</v>
      </c>
      <c r="P178" s="17" t="str">
        <f aca="false">IF(AND(N(H178)&gt;=N(K178),N(H178)&gt;=N(N178)),"The Pulse",IF(N(K178)&gt;=N(N178),"The Lens","The Hub"))</f>
        <v>The Hub</v>
      </c>
      <c r="Q178" s="21" t="s">
        <v>79</v>
      </c>
      <c r="R178" s="26" t="s">
        <v>822</v>
      </c>
      <c r="S178" s="17" t="s">
        <v>22</v>
      </c>
    </row>
    <row r="179" customFormat="false" ht="15" hidden="false" customHeight="false" outlineLevel="0" collapsed="false">
      <c r="A179" s="17" t="s">
        <v>171</v>
      </c>
      <c r="B179" s="17" t="s">
        <v>172</v>
      </c>
      <c r="C179" s="17" t="s">
        <v>1147</v>
      </c>
      <c r="D179" s="17" t="s">
        <v>91</v>
      </c>
      <c r="E179" s="18" t="n">
        <v>44780</v>
      </c>
      <c r="F179" s="17" t="s">
        <v>821</v>
      </c>
      <c r="G179" s="23" t="n">
        <v>0.69696292987941</v>
      </c>
      <c r="H179" s="19" t="n">
        <v>60.9</v>
      </c>
      <c r="I179" s="17" t="n">
        <f aca="false">IF(H179="","",RANK(H179,$H$5:$H$430))</f>
        <v>175</v>
      </c>
      <c r="J179" s="24" t="n">
        <v>0.117265469061876</v>
      </c>
      <c r="K179" s="19" t="n">
        <v>61.2</v>
      </c>
      <c r="L179" s="17" t="n">
        <f aca="false">IF(K179="","",RANK(K179,$K$5:$K$430))</f>
        <v>165</v>
      </c>
      <c r="M179" s="25" t="n">
        <v>0.116368903911154</v>
      </c>
      <c r="N179" s="19" t="n">
        <v>42.9</v>
      </c>
      <c r="O179" s="17" t="n">
        <f aca="false">IF(N179="","",RANK(N179,$N$5:$N$430))</f>
        <v>219</v>
      </c>
      <c r="P179" s="17" t="str">
        <f aca="false">IF(AND(N(H179)&gt;=N(K179),N(H179)&gt;=N(N179)),"The Pulse",IF(N(K179)&gt;=N(N179),"The Lens","The Hub"))</f>
        <v>The Lens</v>
      </c>
      <c r="Q179" s="21" t="s">
        <v>79</v>
      </c>
      <c r="R179" s="26" t="s">
        <v>822</v>
      </c>
      <c r="S179" s="17" t="s">
        <v>88</v>
      </c>
    </row>
    <row r="180" customFormat="false" ht="15" hidden="false" customHeight="false" outlineLevel="0" collapsed="false">
      <c r="A180" s="17" t="s">
        <v>323</v>
      </c>
      <c r="B180" s="17" t="s">
        <v>324</v>
      </c>
      <c r="C180" s="17" t="s">
        <v>1148</v>
      </c>
      <c r="D180" s="17" t="s">
        <v>82</v>
      </c>
      <c r="E180" s="18" t="n">
        <v>3737</v>
      </c>
      <c r="F180" s="17" t="s">
        <v>825</v>
      </c>
      <c r="G180" s="23" t="n">
        <v>0.696815627508697</v>
      </c>
      <c r="H180" s="19" t="n">
        <v>60.7</v>
      </c>
      <c r="I180" s="17" t="n">
        <f aca="false">IF(H180="","",RANK(H180,$H$5:$H$430))</f>
        <v>176</v>
      </c>
      <c r="J180" s="24" t="n">
        <v>0.146319018404908</v>
      </c>
      <c r="K180" s="19" t="n">
        <v>81.7</v>
      </c>
      <c r="L180" s="17" t="n">
        <f aca="false">IF(K180="","",RANK(K180,$K$5:$K$430))</f>
        <v>80</v>
      </c>
      <c r="M180" s="25" t="n">
        <v>0.287234042553192</v>
      </c>
      <c r="N180" s="19" t="n">
        <v>88.8</v>
      </c>
      <c r="O180" s="17" t="n">
        <f aca="false">IF(N180="","",RANK(N180,$N$5:$N$430))</f>
        <v>43</v>
      </c>
      <c r="P180" s="17" t="str">
        <f aca="false">IF(AND(N(H180)&gt;=N(K180),N(H180)&gt;=N(N180)),"The Pulse",IF(N(K180)&gt;=N(N180),"The Lens","The Hub"))</f>
        <v>The Hub</v>
      </c>
      <c r="Q180" s="21" t="s">
        <v>79</v>
      </c>
      <c r="R180" s="26" t="s">
        <v>822</v>
      </c>
      <c r="S180" s="17" t="s">
        <v>22</v>
      </c>
    </row>
    <row r="181" customFormat="false" ht="15" hidden="false" customHeight="false" outlineLevel="0" collapsed="false">
      <c r="A181" s="17" t="s">
        <v>333</v>
      </c>
      <c r="B181" s="17" t="s">
        <v>334</v>
      </c>
      <c r="C181" s="17" t="s">
        <v>1149</v>
      </c>
      <c r="D181" s="17" t="s">
        <v>95</v>
      </c>
      <c r="E181" s="18" t="n">
        <v>4540</v>
      </c>
      <c r="F181" s="17" t="s">
        <v>825</v>
      </c>
      <c r="G181" s="23" t="n">
        <v>0.677753303964758</v>
      </c>
      <c r="H181" s="19" t="n">
        <v>60.3</v>
      </c>
      <c r="I181" s="17" t="n">
        <f aca="false">IF(H181="","",RANK(H181,$H$5:$H$430))</f>
        <v>177</v>
      </c>
      <c r="J181" s="24" t="n">
        <v>0.104622871046229</v>
      </c>
      <c r="K181" s="19" t="n">
        <v>57.7</v>
      </c>
      <c r="L181" s="17" t="n">
        <f aca="false">IF(K181="","",RANK(K181,$K$5:$K$430))</f>
        <v>182</v>
      </c>
      <c r="M181" s="25" t="n">
        <v>0.246305418719212</v>
      </c>
      <c r="N181" s="19" t="n">
        <v>81.8</v>
      </c>
      <c r="O181" s="17" t="n">
        <f aca="false">IF(N181="","",RANK(N181,$N$5:$N$430))</f>
        <v>72</v>
      </c>
      <c r="P181" s="17" t="str">
        <f aca="false">IF(AND(N(H181)&gt;=N(K181),N(H181)&gt;=N(N181)),"The Pulse",IF(N(K181)&gt;=N(N181),"The Lens","The Hub"))</f>
        <v>The Hub</v>
      </c>
      <c r="Q181" s="21" t="s">
        <v>79</v>
      </c>
      <c r="R181" s="26" t="s">
        <v>822</v>
      </c>
      <c r="S181" s="17" t="s">
        <v>88</v>
      </c>
    </row>
    <row r="182" customFormat="false" ht="15" hidden="false" customHeight="false" outlineLevel="0" collapsed="false">
      <c r="A182" s="17" t="s">
        <v>267</v>
      </c>
      <c r="B182" s="17" t="s">
        <v>268</v>
      </c>
      <c r="C182" s="17" t="s">
        <v>1150</v>
      </c>
      <c r="D182" s="17" t="s">
        <v>91</v>
      </c>
      <c r="E182" s="18" t="n">
        <v>7026670</v>
      </c>
      <c r="F182" s="17" t="s">
        <v>935</v>
      </c>
      <c r="G182" s="23" t="n">
        <v>0.675413531587509</v>
      </c>
      <c r="H182" s="19" t="n">
        <v>60.1</v>
      </c>
      <c r="I182" s="17" t="n">
        <f aca="false">IF(H182="","",RANK(H182,$H$5:$H$430))</f>
        <v>178</v>
      </c>
      <c r="J182" s="24" t="n">
        <v>0.0803746048536882</v>
      </c>
      <c r="K182" s="19" t="n">
        <v>29.4</v>
      </c>
      <c r="L182" s="17" t="n">
        <f aca="false">IF(K182="","",RANK(K182,$K$5:$K$430))</f>
        <v>293</v>
      </c>
      <c r="M182" s="25" t="n">
        <v>0.052894969601915</v>
      </c>
      <c r="N182" s="19" t="n">
        <v>16.6</v>
      </c>
      <c r="O182" s="17" t="n">
        <f aca="false">IF(N182="","",RANK(N182,$N$5:$N$430))</f>
        <v>323</v>
      </c>
      <c r="P182" s="17" t="str">
        <f aca="false">IF(AND(N(H182)&gt;=N(K182),N(H182)&gt;=N(N182)),"The Pulse",IF(N(K182)&gt;=N(N182),"The Lens","The Hub"))</f>
        <v>The Pulse</v>
      </c>
      <c r="Q182" s="20" t="s">
        <v>74</v>
      </c>
      <c r="R182" s="26" t="s">
        <v>822</v>
      </c>
      <c r="S182" s="17" t="s">
        <v>24</v>
      </c>
    </row>
    <row r="183" customFormat="false" ht="15" hidden="false" customHeight="false" outlineLevel="0" collapsed="false">
      <c r="A183" s="17" t="s">
        <v>1151</v>
      </c>
      <c r="B183" s="17" t="s">
        <v>1152</v>
      </c>
      <c r="C183" s="17" t="s">
        <v>1153</v>
      </c>
      <c r="D183" s="17" t="s">
        <v>98</v>
      </c>
      <c r="E183" s="18" t="n">
        <v>127470</v>
      </c>
      <c r="F183" s="17" t="s">
        <v>827</v>
      </c>
      <c r="G183" s="23" t="n">
        <v>0.675335373028948</v>
      </c>
      <c r="H183" s="19" t="n">
        <v>59.9</v>
      </c>
      <c r="I183" s="17" t="n">
        <f aca="false">IF(H183="","",RANK(H183,$H$5:$H$430))</f>
        <v>179</v>
      </c>
      <c r="J183" s="24" t="n">
        <v>0.144152230499955</v>
      </c>
      <c r="K183" s="19" t="n">
        <v>80</v>
      </c>
      <c r="L183" s="17" t="n">
        <f aca="false">IF(K183="","",RANK(K183,$K$5:$K$430))</f>
        <v>88</v>
      </c>
      <c r="M183" s="25" t="n">
        <v>0.329446064139942</v>
      </c>
      <c r="N183" s="19" t="n">
        <v>93.2</v>
      </c>
      <c r="O183" s="17" t="n">
        <f aca="false">IF(N183="","",RANK(N183,$N$5:$N$430))</f>
        <v>26</v>
      </c>
      <c r="P183" s="17" t="str">
        <f aca="false">IF(AND(N(H183)&gt;=N(K183),N(H183)&gt;=N(N183)),"The Pulse",IF(N(K183)&gt;=N(N183),"The Lens","The Hub"))</f>
        <v>The Hub</v>
      </c>
      <c r="Q183" s="20" t="s">
        <v>74</v>
      </c>
      <c r="R183" s="27" t="s">
        <v>832</v>
      </c>
      <c r="S183" s="17" t="s">
        <v>24</v>
      </c>
    </row>
    <row r="184" customFormat="false" ht="15" hidden="false" customHeight="false" outlineLevel="0" collapsed="false">
      <c r="A184" s="17" t="s">
        <v>1154</v>
      </c>
      <c r="B184" s="17" t="s">
        <v>1155</v>
      </c>
      <c r="C184" s="17" t="s">
        <v>1156</v>
      </c>
      <c r="D184" s="17" t="s">
        <v>86</v>
      </c>
      <c r="E184" s="18" t="n">
        <v>49575</v>
      </c>
      <c r="F184" s="17" t="s">
        <v>821</v>
      </c>
      <c r="G184" s="23" t="n">
        <v>0.67505799293999</v>
      </c>
      <c r="H184" s="19" t="n">
        <v>59.7</v>
      </c>
      <c r="I184" s="17" t="n">
        <f aca="false">IF(H184="","",RANK(H184,$H$5:$H$430))</f>
        <v>180</v>
      </c>
      <c r="J184" s="24" t="n">
        <v>0.202663690837195</v>
      </c>
      <c r="K184" s="19" t="n">
        <v>91.8</v>
      </c>
      <c r="L184" s="17" t="n">
        <f aca="false">IF(K184="","",RANK(K184,$K$5:$K$430))</f>
        <v>36</v>
      </c>
      <c r="M184" s="25" t="n">
        <v>0.133145275035261</v>
      </c>
      <c r="N184" s="19" t="n">
        <v>49.7</v>
      </c>
      <c r="O184" s="17" t="n">
        <f aca="false">IF(N184="","",RANK(N184,$N$5:$N$430))</f>
        <v>192</v>
      </c>
      <c r="P184" s="17" t="str">
        <f aca="false">IF(AND(N(H184)&gt;=N(K184),N(H184)&gt;=N(N184)),"The Pulse",IF(N(K184)&gt;=N(N184),"The Lens","The Hub"))</f>
        <v>The Lens</v>
      </c>
      <c r="Q184" s="21" t="s">
        <v>79</v>
      </c>
      <c r="R184" s="27" t="s">
        <v>832</v>
      </c>
      <c r="S184" s="17" t="s">
        <v>88</v>
      </c>
    </row>
    <row r="185" customFormat="false" ht="15" hidden="false" customHeight="false" outlineLevel="0" collapsed="false">
      <c r="A185" s="17" t="s">
        <v>1157</v>
      </c>
      <c r="B185" s="17" t="s">
        <v>1158</v>
      </c>
      <c r="C185" s="17" t="s">
        <v>1159</v>
      </c>
      <c r="D185" s="17" t="s">
        <v>86</v>
      </c>
      <c r="E185" s="18" t="n">
        <v>93990</v>
      </c>
      <c r="F185" s="17" t="s">
        <v>821</v>
      </c>
      <c r="G185" s="23" t="n">
        <v>0.661123523779125</v>
      </c>
      <c r="H185" s="19" t="n">
        <v>59.2</v>
      </c>
      <c r="I185" s="17" t="n">
        <f aca="false">IF(H185="","",RANK(H185,$H$5:$H$430))</f>
        <v>181</v>
      </c>
      <c r="J185" s="24" t="n">
        <v>0.0212974030207541</v>
      </c>
      <c r="K185" s="19" t="n">
        <v>13.1</v>
      </c>
      <c r="L185" s="17" t="n">
        <f aca="false">IF(K185="","",RANK(K185,$K$5:$K$430))</f>
        <v>366</v>
      </c>
      <c r="M185" s="25" t="n">
        <v>0.187780772686433</v>
      </c>
      <c r="N185" s="19" t="n">
        <v>69.7</v>
      </c>
      <c r="O185" s="17" t="n">
        <f aca="false">IF(N185="","",RANK(N185,$N$5:$N$430))</f>
        <v>117</v>
      </c>
      <c r="P185" s="17" t="str">
        <f aca="false">IF(AND(N(H185)&gt;=N(K185),N(H185)&gt;=N(N185)),"The Pulse",IF(N(K185)&gt;=N(N185),"The Lens","The Hub"))</f>
        <v>The Hub</v>
      </c>
      <c r="Q185" s="20" t="s">
        <v>74</v>
      </c>
      <c r="R185" s="27" t="s">
        <v>832</v>
      </c>
      <c r="S185" s="17" t="s">
        <v>24</v>
      </c>
    </row>
    <row r="186" customFormat="false" ht="15" hidden="false" customHeight="false" outlineLevel="0" collapsed="false">
      <c r="A186" s="17" t="s">
        <v>1160</v>
      </c>
      <c r="B186" s="17" t="s">
        <v>1161</v>
      </c>
      <c r="C186" s="17" t="s">
        <v>1162</v>
      </c>
      <c r="D186" s="17" t="s">
        <v>98</v>
      </c>
      <c r="E186" s="18" t="n">
        <v>273400</v>
      </c>
      <c r="F186" s="17" t="s">
        <v>827</v>
      </c>
      <c r="G186" s="23" t="n">
        <v>0.660248719824433</v>
      </c>
      <c r="H186" s="19" t="n">
        <v>59</v>
      </c>
      <c r="I186" s="17" t="n">
        <f aca="false">IF(H186="","",RANK(H186,$H$5:$H$430))</f>
        <v>182</v>
      </c>
      <c r="J186" s="24" t="n">
        <v>0.0476701410177805</v>
      </c>
      <c r="K186" s="19" t="n">
        <v>27.9</v>
      </c>
      <c r="L186" s="17" t="n">
        <f aca="false">IF(K186="","",RANK(K186,$K$5:$K$430))</f>
        <v>299</v>
      </c>
      <c r="M186" s="25" t="n">
        <v>0.133658834299664</v>
      </c>
      <c r="N186" s="19" t="n">
        <v>49.9</v>
      </c>
      <c r="O186" s="17" t="n">
        <f aca="false">IF(N186="","",RANK(N186,$N$5:$N$430))</f>
        <v>191</v>
      </c>
      <c r="P186" s="17" t="str">
        <f aca="false">IF(AND(N(H186)&gt;=N(K186),N(H186)&gt;=N(N186)),"The Pulse",IF(N(K186)&gt;=N(N186),"The Lens","The Hub"))</f>
        <v>The Pulse</v>
      </c>
      <c r="Q186" s="20" t="s">
        <v>74</v>
      </c>
      <c r="R186" s="27" t="s">
        <v>832</v>
      </c>
      <c r="S186" s="17" t="s">
        <v>24</v>
      </c>
    </row>
    <row r="187" customFormat="false" ht="15" hidden="false" customHeight="false" outlineLevel="0" collapsed="false">
      <c r="A187" s="17" t="s">
        <v>1163</v>
      </c>
      <c r="B187" s="17" t="s">
        <v>1164</v>
      </c>
      <c r="C187" s="17" t="s">
        <v>1165</v>
      </c>
      <c r="D187" s="17" t="s">
        <v>162</v>
      </c>
      <c r="E187" s="18" t="n">
        <v>262020</v>
      </c>
      <c r="F187" s="17" t="s">
        <v>827</v>
      </c>
      <c r="G187" s="23" t="n">
        <v>0.658819937409358</v>
      </c>
      <c r="H187" s="19" t="n">
        <v>58.8</v>
      </c>
      <c r="I187" s="17" t="n">
        <f aca="false">IF(H187="","",RANK(H187,$H$5:$H$430))</f>
        <v>183</v>
      </c>
      <c r="J187" s="24" t="n">
        <v>0.165984336062656</v>
      </c>
      <c r="K187" s="19" t="n">
        <v>82.9</v>
      </c>
      <c r="L187" s="17" t="n">
        <f aca="false">IF(K187="","",RANK(K187,$K$5:$K$430))</f>
        <v>73</v>
      </c>
      <c r="M187" s="25" t="n">
        <v>0.118736035748484</v>
      </c>
      <c r="N187" s="19" t="n">
        <v>44.3</v>
      </c>
      <c r="O187" s="17" t="n">
        <f aca="false">IF(N187="","",RANK(N187,$N$5:$N$430))</f>
        <v>214</v>
      </c>
      <c r="P187" s="17" t="str">
        <f aca="false">IF(AND(N(H187)&gt;=N(K187),N(H187)&gt;=N(N187)),"The Pulse",IF(N(K187)&gt;=N(N187),"The Lens","The Hub"))</f>
        <v>The Lens</v>
      </c>
      <c r="Q187" s="20" t="s">
        <v>74</v>
      </c>
      <c r="R187" s="27" t="s">
        <v>832</v>
      </c>
      <c r="S187" s="17" t="s">
        <v>24</v>
      </c>
    </row>
    <row r="188" customFormat="false" ht="15" hidden="false" customHeight="false" outlineLevel="0" collapsed="false">
      <c r="A188" s="17" t="s">
        <v>185</v>
      </c>
      <c r="B188" s="17" t="s">
        <v>186</v>
      </c>
      <c r="C188" s="17" t="s">
        <v>1166</v>
      </c>
      <c r="D188" s="17" t="s">
        <v>86</v>
      </c>
      <c r="E188" s="18" t="n">
        <v>33790</v>
      </c>
      <c r="F188" s="17" t="s">
        <v>821</v>
      </c>
      <c r="G188" s="23" t="n">
        <v>0.648475880437999</v>
      </c>
      <c r="H188" s="19" t="n">
        <v>58.6</v>
      </c>
      <c r="I188" s="17" t="n">
        <f aca="false">IF(H188="","",RANK(H188,$H$5:$H$430))</f>
        <v>184</v>
      </c>
      <c r="J188" s="24" t="n">
        <v>-0.0147135492092916</v>
      </c>
      <c r="K188" s="19" t="n">
        <v>7.2</v>
      </c>
      <c r="L188" s="17" t="n">
        <f aca="false">IF(K188="","",RANK(K188,$K$5:$K$430))</f>
        <v>394</v>
      </c>
      <c r="M188" s="25" t="n">
        <v>0.0813793103448276</v>
      </c>
      <c r="N188" s="19" t="n">
        <v>26.8</v>
      </c>
      <c r="O188" s="17" t="n">
        <f aca="false">IF(N188="","",RANK(N188,$N$5:$N$430))</f>
        <v>284</v>
      </c>
      <c r="P188" s="17" t="str">
        <f aca="false">IF(AND(N(H188)&gt;=N(K188),N(H188)&gt;=N(N188)),"The Pulse",IF(N(K188)&gt;=N(N188),"The Lens","The Hub"))</f>
        <v>The Pulse</v>
      </c>
      <c r="Q188" s="21" t="s">
        <v>79</v>
      </c>
      <c r="R188" s="26" t="s">
        <v>822</v>
      </c>
      <c r="S188" s="17" t="s">
        <v>88</v>
      </c>
    </row>
    <row r="189" customFormat="false" ht="15" hidden="false" customHeight="false" outlineLevel="0" collapsed="false">
      <c r="A189" s="17" t="s">
        <v>1167</v>
      </c>
      <c r="B189" s="17" t="s">
        <v>1168</v>
      </c>
      <c r="C189" s="17" t="s">
        <v>1169</v>
      </c>
      <c r="D189" s="17" t="s">
        <v>77</v>
      </c>
      <c r="E189" s="18" t="n">
        <v>29100</v>
      </c>
      <c r="F189" s="17" t="s">
        <v>821</v>
      </c>
      <c r="G189" s="23" t="n">
        <v>0.647972508591065</v>
      </c>
      <c r="H189" s="19" t="n">
        <v>58.4</v>
      </c>
      <c r="I189" s="17" t="n">
        <f aca="false">IF(H189="","",RANK(H189,$H$5:$H$430))</f>
        <v>185</v>
      </c>
      <c r="J189" s="24" t="n">
        <v>0.0846067834513604</v>
      </c>
      <c r="K189" s="19" t="n">
        <v>45.4</v>
      </c>
      <c r="L189" s="17" t="n">
        <f aca="false">IF(K189="","",RANK(K189,$K$5:$K$430))</f>
        <v>229</v>
      </c>
      <c r="M189" s="25" t="n">
        <v>0.203389830508475</v>
      </c>
      <c r="N189" s="19" t="n">
        <v>74.4</v>
      </c>
      <c r="O189" s="17" t="n">
        <f aca="false">IF(N189="","",RANK(N189,$N$5:$N$430))</f>
        <v>99</v>
      </c>
      <c r="P189" s="17" t="str">
        <f aca="false">IF(AND(N(H189)&gt;=N(K189),N(H189)&gt;=N(N189)),"The Pulse",IF(N(K189)&gt;=N(N189),"The Lens","The Hub"))</f>
        <v>The Hub</v>
      </c>
      <c r="Q189" s="20" t="s">
        <v>74</v>
      </c>
      <c r="R189" s="27" t="s">
        <v>832</v>
      </c>
      <c r="S189" s="17" t="s">
        <v>24</v>
      </c>
    </row>
    <row r="190" customFormat="false" ht="15" hidden="false" customHeight="false" outlineLevel="0" collapsed="false">
      <c r="A190" s="17" t="s">
        <v>481</v>
      </c>
      <c r="B190" s="17" t="s">
        <v>482</v>
      </c>
      <c r="C190" s="17" t="s">
        <v>1170</v>
      </c>
      <c r="D190" s="17" t="s">
        <v>123</v>
      </c>
      <c r="E190" s="18" t="n">
        <v>56430</v>
      </c>
      <c r="F190" s="17" t="s">
        <v>821</v>
      </c>
      <c r="G190" s="23" t="n">
        <v>0.643895091263512</v>
      </c>
      <c r="H190" s="19" t="n">
        <v>58.2</v>
      </c>
      <c r="I190" s="17" t="n">
        <f aca="false">IF(H190="","",RANK(H190,$H$5:$H$430))</f>
        <v>186</v>
      </c>
      <c r="J190" s="24" t="n">
        <v>0.0781429117309897</v>
      </c>
      <c r="K190" s="19" t="n">
        <v>41.6</v>
      </c>
      <c r="L190" s="17" t="n">
        <f aca="false">IF(K190="","",RANK(K190,$K$5:$K$430))</f>
        <v>245</v>
      </c>
      <c r="M190" s="25" t="n">
        <v>0.197701149425287</v>
      </c>
      <c r="N190" s="19" t="n">
        <v>72.3</v>
      </c>
      <c r="O190" s="17" t="n">
        <f aca="false">IF(N190="","",RANK(N190,$N$5:$N$430))</f>
        <v>108</v>
      </c>
      <c r="P190" s="17" t="str">
        <f aca="false">IF(AND(N(H190)&gt;=N(K190),N(H190)&gt;=N(N190)),"The Pulse",IF(N(K190)&gt;=N(N190),"The Lens","The Hub"))</f>
        <v>The Hub</v>
      </c>
      <c r="Q190" s="20" t="s">
        <v>74</v>
      </c>
      <c r="R190" s="26" t="s">
        <v>822</v>
      </c>
      <c r="S190" s="17" t="s">
        <v>24</v>
      </c>
    </row>
    <row r="191" customFormat="false" ht="15" hidden="false" customHeight="false" outlineLevel="0" collapsed="false">
      <c r="A191" s="17" t="s">
        <v>1171</v>
      </c>
      <c r="B191" s="17" t="s">
        <v>1172</v>
      </c>
      <c r="C191" s="17" t="s">
        <v>1173</v>
      </c>
      <c r="D191" s="17" t="s">
        <v>72</v>
      </c>
      <c r="E191" s="18" t="n">
        <v>23940</v>
      </c>
      <c r="F191" s="17" t="s">
        <v>821</v>
      </c>
      <c r="G191" s="23" t="n">
        <v>0.640977443609023</v>
      </c>
      <c r="H191" s="19" t="n">
        <v>58</v>
      </c>
      <c r="I191" s="17" t="n">
        <f aca="false">IF(H191="","",RANK(H191,$H$5:$H$430))</f>
        <v>187</v>
      </c>
      <c r="J191" s="24" t="n">
        <v>0.0764388489208633</v>
      </c>
      <c r="K191" s="19" t="n">
        <v>41.2</v>
      </c>
      <c r="L191" s="17" t="n">
        <f aca="false">IF(K191="","",RANK(K191,$K$5:$K$430))</f>
        <v>247</v>
      </c>
      <c r="M191" s="25" t="n">
        <v>0.210695187165775</v>
      </c>
      <c r="N191" s="19" t="n">
        <v>75.3</v>
      </c>
      <c r="O191" s="17" t="n">
        <f aca="false">IF(N191="","",RANK(N191,$N$5:$N$430))</f>
        <v>95</v>
      </c>
      <c r="P191" s="17" t="str">
        <f aca="false">IF(AND(N(H191)&gt;=N(K191),N(H191)&gt;=N(N191)),"The Pulse",IF(N(K191)&gt;=N(N191),"The Lens","The Hub"))</f>
        <v>The Hub</v>
      </c>
      <c r="Q191" s="20" t="s">
        <v>74</v>
      </c>
      <c r="R191" s="27" t="s">
        <v>832</v>
      </c>
      <c r="S191" s="17" t="s">
        <v>24</v>
      </c>
    </row>
    <row r="192" customFormat="false" ht="15" hidden="false" customHeight="false" outlineLevel="0" collapsed="false">
      <c r="A192" s="17" t="s">
        <v>197</v>
      </c>
      <c r="B192" s="17" t="s">
        <v>198</v>
      </c>
      <c r="C192" s="17" t="s">
        <v>1174</v>
      </c>
      <c r="D192" s="17" t="s">
        <v>95</v>
      </c>
      <c r="E192" s="18" t="n">
        <v>15810</v>
      </c>
      <c r="F192" s="17" t="s">
        <v>821</v>
      </c>
      <c r="G192" s="23" t="n">
        <v>0.638393421884883</v>
      </c>
      <c r="H192" s="19" t="n">
        <v>57.8</v>
      </c>
      <c r="I192" s="17" t="n">
        <f aca="false">IF(H192="","",RANK(H192,$H$5:$H$430))</f>
        <v>188</v>
      </c>
      <c r="J192" s="24" t="n">
        <v>0.148982558139535</v>
      </c>
      <c r="K192" s="19" t="n">
        <v>75.9</v>
      </c>
      <c r="L192" s="17" t="n">
        <f aca="false">IF(K192="","",RANK(K192,$K$5:$K$430))</f>
        <v>104</v>
      </c>
      <c r="M192" s="25" t="n">
        <v>0.0182341650671785</v>
      </c>
      <c r="N192" s="19" t="n">
        <v>5.1</v>
      </c>
      <c r="O192" s="17" t="n">
        <f aca="false">IF(N192="","",RANK(N192,$N$5:$N$430))</f>
        <v>368</v>
      </c>
      <c r="P192" s="17" t="str">
        <f aca="false">IF(AND(N(H192)&gt;=N(K192),N(H192)&gt;=N(N192)),"The Pulse",IF(N(K192)&gt;=N(N192),"The Lens","The Hub"))</f>
        <v>The Lens</v>
      </c>
      <c r="Q192" s="20" t="s">
        <v>74</v>
      </c>
      <c r="R192" s="26" t="s">
        <v>822</v>
      </c>
      <c r="S192" s="17" t="s">
        <v>24</v>
      </c>
    </row>
    <row r="193" customFormat="false" ht="15" hidden="false" customHeight="false" outlineLevel="0" collapsed="false">
      <c r="A193" s="17" t="s">
        <v>1175</v>
      </c>
      <c r="B193" s="17" t="s">
        <v>1176</v>
      </c>
      <c r="C193" s="17" t="s">
        <v>1177</v>
      </c>
      <c r="D193" s="17" t="s">
        <v>77</v>
      </c>
      <c r="E193" s="18" t="n">
        <v>23520</v>
      </c>
      <c r="F193" s="17" t="s">
        <v>821</v>
      </c>
      <c r="G193" s="23" t="n">
        <v>0.634566326530612</v>
      </c>
      <c r="H193" s="19" t="n">
        <v>57.5</v>
      </c>
      <c r="I193" s="17" t="n">
        <f aca="false">IF(H193="","",RANK(H193,$H$5:$H$430))</f>
        <v>189</v>
      </c>
      <c r="J193" s="24" t="n">
        <v>0.024390243902439</v>
      </c>
      <c r="K193" s="19" t="n">
        <v>15.1</v>
      </c>
      <c r="L193" s="17" t="n">
        <f aca="false">IF(K193="","",RANK(K193,$K$5:$K$430))</f>
        <v>358</v>
      </c>
      <c r="M193" s="25" t="n">
        <v>0.15530303030303</v>
      </c>
      <c r="N193" s="19" t="n">
        <v>60.4</v>
      </c>
      <c r="O193" s="17" t="n">
        <f aca="false">IF(N193="","",RANK(N193,$N$5:$N$430))</f>
        <v>150</v>
      </c>
      <c r="P193" s="17" t="str">
        <f aca="false">IF(AND(N(H193)&gt;=N(K193),N(H193)&gt;=N(N193)),"The Pulse",IF(N(K193)&gt;=N(N193),"The Lens","The Hub"))</f>
        <v>The Hub</v>
      </c>
      <c r="Q193" s="20" t="s">
        <v>74</v>
      </c>
      <c r="R193" s="27" t="s">
        <v>832</v>
      </c>
      <c r="S193" s="17" t="s">
        <v>24</v>
      </c>
    </row>
    <row r="194" customFormat="false" ht="15" hidden="false" customHeight="false" outlineLevel="0" collapsed="false">
      <c r="A194" s="17" t="s">
        <v>317</v>
      </c>
      <c r="B194" s="17" t="s">
        <v>318</v>
      </c>
      <c r="C194" s="17" t="s">
        <v>1178</v>
      </c>
      <c r="D194" s="17" t="s">
        <v>95</v>
      </c>
      <c r="E194" s="18" t="n">
        <v>52005</v>
      </c>
      <c r="F194" s="17" t="s">
        <v>821</v>
      </c>
      <c r="G194" s="23" t="n">
        <v>0.630862417075281</v>
      </c>
      <c r="H194" s="19" t="n">
        <v>57.3</v>
      </c>
      <c r="I194" s="17" t="n">
        <f aca="false">IF(H194="","",RANK(H194,$H$5:$H$430))</f>
        <v>190</v>
      </c>
      <c r="J194" s="24" t="n">
        <v>0.10266522485847</v>
      </c>
      <c r="K194" s="19" t="n">
        <v>54.3</v>
      </c>
      <c r="L194" s="17" t="n">
        <f aca="false">IF(K194="","",RANK(K194,$K$5:$K$430))</f>
        <v>192</v>
      </c>
      <c r="M194" s="25" t="n">
        <v>0.0554166666666667</v>
      </c>
      <c r="N194" s="19" t="n">
        <v>17.9</v>
      </c>
      <c r="O194" s="17" t="n">
        <f aca="false">IF(N194="","",RANK(N194,$N$5:$N$430))</f>
        <v>317</v>
      </c>
      <c r="P194" s="17" t="str">
        <f aca="false">IF(AND(N(H194)&gt;=N(K194),N(H194)&gt;=N(N194)),"The Pulse",IF(N(K194)&gt;=N(N194),"The Lens","The Hub"))</f>
        <v>The Pulse</v>
      </c>
      <c r="Q194" s="21" t="s">
        <v>79</v>
      </c>
      <c r="R194" s="26" t="s">
        <v>822</v>
      </c>
      <c r="S194" s="17" t="s">
        <v>22</v>
      </c>
    </row>
    <row r="195" customFormat="false" ht="15" hidden="false" customHeight="false" outlineLevel="0" collapsed="false">
      <c r="A195" s="17" t="s">
        <v>329</v>
      </c>
      <c r="B195" s="17" t="s">
        <v>330</v>
      </c>
      <c r="C195" s="17" t="s">
        <v>1179</v>
      </c>
      <c r="D195" s="17" t="s">
        <v>123</v>
      </c>
      <c r="E195" s="18" t="n">
        <v>275285</v>
      </c>
      <c r="F195" s="17" t="s">
        <v>827</v>
      </c>
      <c r="G195" s="23" t="n">
        <v>0.629859963310751</v>
      </c>
      <c r="H195" s="19" t="n">
        <v>57.1</v>
      </c>
      <c r="I195" s="17" t="n">
        <f aca="false">IF(H195="","",RANK(H195,$H$5:$H$430))</f>
        <v>191</v>
      </c>
      <c r="J195" s="24" t="n">
        <v>-0.0152108665400287</v>
      </c>
      <c r="K195" s="19" t="n">
        <v>10</v>
      </c>
      <c r="L195" s="17" t="n">
        <f aca="false">IF(K195="","",RANK(K195,$K$5:$K$430))</f>
        <v>381</v>
      </c>
      <c r="M195" s="25" t="n">
        <v>0.108831819605387</v>
      </c>
      <c r="N195" s="19" t="n">
        <v>39.4</v>
      </c>
      <c r="O195" s="17" t="n">
        <f aca="false">IF(N195="","",RANK(N195,$N$5:$N$430))</f>
        <v>234</v>
      </c>
      <c r="P195" s="17" t="str">
        <f aca="false">IF(AND(N(H195)&gt;=N(K195),N(H195)&gt;=N(N195)),"The Pulse",IF(N(K195)&gt;=N(N195),"The Lens","The Hub"))</f>
        <v>The Pulse</v>
      </c>
      <c r="Q195" s="21" t="s">
        <v>79</v>
      </c>
      <c r="R195" s="26" t="s">
        <v>822</v>
      </c>
      <c r="S195" s="17" t="s">
        <v>22</v>
      </c>
    </row>
    <row r="196" customFormat="false" ht="15" hidden="false" customHeight="false" outlineLevel="0" collapsed="false">
      <c r="A196" s="17" t="s">
        <v>685</v>
      </c>
      <c r="B196" s="17" t="s">
        <v>686</v>
      </c>
      <c r="C196" s="17" t="s">
        <v>1180</v>
      </c>
      <c r="D196" s="17" t="s">
        <v>82</v>
      </c>
      <c r="E196" s="18" t="n">
        <v>55650</v>
      </c>
      <c r="F196" s="17" t="s">
        <v>821</v>
      </c>
      <c r="G196" s="23" t="n">
        <v>0.620790655884996</v>
      </c>
      <c r="H196" s="19" t="n">
        <v>56.9</v>
      </c>
      <c r="I196" s="17" t="n">
        <f aca="false">IF(H196="","",RANK(H196,$H$5:$H$430))</f>
        <v>192</v>
      </c>
      <c r="J196" s="24" t="n">
        <v>0.117918842908799</v>
      </c>
      <c r="K196" s="19" t="n">
        <v>61.5</v>
      </c>
      <c r="L196" s="17" t="n">
        <f aca="false">IF(K196="","",RANK(K196,$K$5:$K$430))</f>
        <v>164</v>
      </c>
      <c r="M196" s="25" t="n">
        <v>0.0386029411764706</v>
      </c>
      <c r="N196" s="19" t="n">
        <v>12.1</v>
      </c>
      <c r="O196" s="17" t="n">
        <f aca="false">IF(N196="","",RANK(N196,$N$5:$N$430))</f>
        <v>339</v>
      </c>
      <c r="P196" s="17" t="str">
        <f aca="false">IF(AND(N(H196)&gt;=N(K196),N(H196)&gt;=N(N196)),"The Pulse",IF(N(K196)&gt;=N(N196),"The Lens","The Hub"))</f>
        <v>The Lens</v>
      </c>
      <c r="Q196" s="20" t="s">
        <v>74</v>
      </c>
      <c r="R196" s="26" t="s">
        <v>822</v>
      </c>
      <c r="S196" s="17" t="s">
        <v>24</v>
      </c>
    </row>
    <row r="197" customFormat="false" ht="15" hidden="false" customHeight="false" outlineLevel="0" collapsed="false">
      <c r="A197" s="17" t="s">
        <v>1181</v>
      </c>
      <c r="B197" s="17" t="s">
        <v>1182</v>
      </c>
      <c r="C197" s="17" t="s">
        <v>1183</v>
      </c>
      <c r="D197" s="17" t="s">
        <v>115</v>
      </c>
      <c r="E197" s="18" t="n">
        <v>51300</v>
      </c>
      <c r="F197" s="17" t="s">
        <v>821</v>
      </c>
      <c r="G197" s="23" t="n">
        <v>0.620311890838207</v>
      </c>
      <c r="H197" s="19" t="n">
        <v>56.7</v>
      </c>
      <c r="I197" s="17" t="n">
        <f aca="false">IF(H197="","",RANK(H197,$H$5:$H$430))</f>
        <v>193</v>
      </c>
      <c r="J197" s="24" t="n">
        <v>-0.0295119182746879</v>
      </c>
      <c r="K197" s="19" t="n">
        <v>3.4</v>
      </c>
      <c r="L197" s="17" t="n">
        <f aca="false">IF(K197="","",RANK(K197,$K$5:$K$430))</f>
        <v>414</v>
      </c>
      <c r="M197" s="25" t="n">
        <v>0.3375</v>
      </c>
      <c r="N197" s="19" t="n">
        <v>94.6</v>
      </c>
      <c r="O197" s="17" t="n">
        <f aca="false">IF(N197="","",RANK(N197,$N$5:$N$430))</f>
        <v>21</v>
      </c>
      <c r="P197" s="17" t="str">
        <f aca="false">IF(AND(N(H197)&gt;=N(K197),N(H197)&gt;=N(N197)),"The Pulse",IF(N(K197)&gt;=N(N197),"The Lens","The Hub"))</f>
        <v>The Hub</v>
      </c>
      <c r="Q197" s="20" t="s">
        <v>74</v>
      </c>
      <c r="R197" s="27" t="s">
        <v>832</v>
      </c>
      <c r="S197" s="17" t="s">
        <v>24</v>
      </c>
    </row>
    <row r="198" customFormat="false" ht="15" hidden="false" customHeight="false" outlineLevel="0" collapsed="false">
      <c r="A198" s="17" t="s">
        <v>1184</v>
      </c>
      <c r="B198" s="17" t="s">
        <v>1185</v>
      </c>
      <c r="C198" s="17" t="s">
        <v>1186</v>
      </c>
      <c r="D198" s="17" t="s">
        <v>77</v>
      </c>
      <c r="E198" s="18" t="n">
        <v>2281430</v>
      </c>
      <c r="F198" s="17" t="s">
        <v>935</v>
      </c>
      <c r="G198" s="23" t="n">
        <v>0.61833674493629</v>
      </c>
      <c r="H198" s="19" t="n">
        <v>56.5</v>
      </c>
      <c r="I198" s="17" t="n">
        <f aca="false">IF(H198="","",RANK(H198,$H$5:$H$430))</f>
        <v>194</v>
      </c>
      <c r="J198" s="24" t="n">
        <v>0.207987842975294</v>
      </c>
      <c r="K198" s="19" t="n">
        <v>100</v>
      </c>
      <c r="L198" s="17" t="n">
        <f aca="false">IF(K198="","",RANK(K198,$K$5:$K$430))</f>
        <v>1</v>
      </c>
      <c r="M198" s="25" t="n">
        <v>0.0837522329774417</v>
      </c>
      <c r="N198" s="19" t="n">
        <v>28</v>
      </c>
      <c r="O198" s="17" t="n">
        <f aca="false">IF(N198="","",RANK(N198,$N$5:$N$430))</f>
        <v>279</v>
      </c>
      <c r="P198" s="17" t="str">
        <f aca="false">IF(AND(N(H198)&gt;=N(K198),N(H198)&gt;=N(N198)),"The Pulse",IF(N(K198)&gt;=N(N198),"The Lens","The Hub"))</f>
        <v>The Lens</v>
      </c>
      <c r="Q198" s="20" t="s">
        <v>74</v>
      </c>
      <c r="R198" s="27" t="s">
        <v>832</v>
      </c>
      <c r="S198" s="17" t="s">
        <v>24</v>
      </c>
    </row>
    <row r="199" customFormat="false" ht="15" hidden="false" customHeight="false" outlineLevel="0" collapsed="false">
      <c r="A199" s="17" t="s">
        <v>379</v>
      </c>
      <c r="B199" s="17" t="s">
        <v>380</v>
      </c>
      <c r="C199" s="17" t="s">
        <v>1187</v>
      </c>
      <c r="D199" s="17" t="s">
        <v>95</v>
      </c>
      <c r="E199" s="18" t="n">
        <v>308810</v>
      </c>
      <c r="F199" s="17" t="s">
        <v>827</v>
      </c>
      <c r="G199" s="23" t="n">
        <v>0.617353712638839</v>
      </c>
      <c r="H199" s="19" t="n">
        <v>56.3</v>
      </c>
      <c r="I199" s="17" t="n">
        <f aca="false">IF(H199="","",RANK(H199,$H$5:$H$430))</f>
        <v>195</v>
      </c>
      <c r="J199" s="24" t="n">
        <v>0.0742206914897341</v>
      </c>
      <c r="K199" s="19" t="n">
        <v>43.6</v>
      </c>
      <c r="L199" s="17" t="n">
        <f aca="false">IF(K199="","",RANK(K199,$K$5:$K$430))</f>
        <v>236</v>
      </c>
      <c r="M199" s="25" t="n">
        <v>0.29692994962456</v>
      </c>
      <c r="N199" s="19" t="n">
        <v>90</v>
      </c>
      <c r="O199" s="17" t="n">
        <f aca="false">IF(N199="","",RANK(N199,$N$5:$N$430))</f>
        <v>39</v>
      </c>
      <c r="P199" s="17" t="str">
        <f aca="false">IF(AND(N(H199)&gt;=N(K199),N(H199)&gt;=N(N199)),"The Pulse",IF(N(K199)&gt;=N(N199),"The Lens","The Hub"))</f>
        <v>The Hub</v>
      </c>
      <c r="Q199" s="21" t="s">
        <v>79</v>
      </c>
      <c r="R199" s="26" t="s">
        <v>822</v>
      </c>
      <c r="S199" s="17" t="s">
        <v>88</v>
      </c>
    </row>
    <row r="200" customFormat="false" ht="15" hidden="false" customHeight="false" outlineLevel="0" collapsed="false">
      <c r="A200" s="17" t="s">
        <v>301</v>
      </c>
      <c r="B200" s="17" t="s">
        <v>302</v>
      </c>
      <c r="C200" s="17" t="s">
        <v>1188</v>
      </c>
      <c r="D200" s="17" t="s">
        <v>162</v>
      </c>
      <c r="E200" s="18" t="n">
        <v>1683510</v>
      </c>
      <c r="F200" s="17" t="s">
        <v>935</v>
      </c>
      <c r="G200" s="23" t="n">
        <v>0.615459367630724</v>
      </c>
      <c r="H200" s="19" t="n">
        <v>56</v>
      </c>
      <c r="I200" s="17" t="n">
        <f aca="false">IF(H200="","",RANK(H200,$H$5:$H$430))</f>
        <v>196</v>
      </c>
      <c r="J200" s="24" t="n">
        <v>0.0751824957369762</v>
      </c>
      <c r="K200" s="19" t="n">
        <v>23.5</v>
      </c>
      <c r="L200" s="17" t="n">
        <f aca="false">IF(K200="","",RANK(K200,$K$5:$K$430))</f>
        <v>320</v>
      </c>
      <c r="M200" s="25" t="n">
        <v>0.146388630434386</v>
      </c>
      <c r="N200" s="19" t="n">
        <v>55.9</v>
      </c>
      <c r="O200" s="17" t="n">
        <f aca="false">IF(N200="","",RANK(N200,$N$5:$N$430))</f>
        <v>166</v>
      </c>
      <c r="P200" s="17" t="str">
        <f aca="false">IF(AND(N(H200)&gt;=N(K200),N(H200)&gt;=N(N200)),"The Pulse",IF(N(K200)&gt;=N(N200),"The Lens","The Hub"))</f>
        <v>The Pulse</v>
      </c>
      <c r="Q200" s="20" t="s">
        <v>74</v>
      </c>
      <c r="R200" s="26" t="s">
        <v>822</v>
      </c>
      <c r="S200" s="17" t="s">
        <v>24</v>
      </c>
    </row>
    <row r="201" customFormat="false" ht="15" hidden="false" customHeight="false" outlineLevel="0" collapsed="false">
      <c r="A201" s="17" t="s">
        <v>1189</v>
      </c>
      <c r="B201" s="17" t="s">
        <v>1190</v>
      </c>
      <c r="C201" s="17" t="s">
        <v>1191</v>
      </c>
      <c r="D201" s="17" t="s">
        <v>98</v>
      </c>
      <c r="E201" s="18" t="n">
        <v>39810</v>
      </c>
      <c r="F201" s="17" t="s">
        <v>821</v>
      </c>
      <c r="G201" s="23" t="n">
        <v>0.615222305953278</v>
      </c>
      <c r="H201" s="19" t="n">
        <v>55.8</v>
      </c>
      <c r="I201" s="17" t="n">
        <f aca="false">IF(H201="","",RANK(H201,$H$5:$H$430))</f>
        <v>197</v>
      </c>
      <c r="J201" s="24" t="n">
        <v>0.152576722640417</v>
      </c>
      <c r="K201" s="19" t="n">
        <v>77</v>
      </c>
      <c r="L201" s="17" t="n">
        <f aca="false">IF(K201="","",RANK(K201,$K$5:$K$430))</f>
        <v>99</v>
      </c>
      <c r="M201" s="25" t="n">
        <v>0.0520425293788472</v>
      </c>
      <c r="N201" s="19" t="n">
        <v>16.1</v>
      </c>
      <c r="O201" s="17" t="n">
        <f aca="false">IF(N201="","",RANK(N201,$N$5:$N$430))</f>
        <v>325</v>
      </c>
      <c r="P201" s="17" t="str">
        <f aca="false">IF(AND(N(H201)&gt;=N(K201),N(H201)&gt;=N(N201)),"The Pulse",IF(N(K201)&gt;=N(N201),"The Lens","The Hub"))</f>
        <v>The Lens</v>
      </c>
      <c r="Q201" s="20" t="s">
        <v>74</v>
      </c>
      <c r="R201" s="27" t="s">
        <v>832</v>
      </c>
      <c r="S201" s="17" t="s">
        <v>24</v>
      </c>
    </row>
    <row r="202" customFormat="false" ht="15" hidden="false" customHeight="false" outlineLevel="0" collapsed="false">
      <c r="A202" s="17" t="s">
        <v>677</v>
      </c>
      <c r="B202" s="17" t="s">
        <v>678</v>
      </c>
      <c r="C202" s="17" t="s">
        <v>1192</v>
      </c>
      <c r="D202" s="17" t="s">
        <v>72</v>
      </c>
      <c r="E202" s="18" t="n">
        <v>73960</v>
      </c>
      <c r="F202" s="17" t="s">
        <v>821</v>
      </c>
      <c r="G202" s="23" t="n">
        <v>0.614250946457545</v>
      </c>
      <c r="H202" s="19" t="n">
        <v>55.6</v>
      </c>
      <c r="I202" s="17" t="n">
        <f aca="false">IF(H202="","",RANK(H202,$H$5:$H$430))</f>
        <v>198</v>
      </c>
      <c r="J202" s="24" t="n">
        <v>0.0468506723283793</v>
      </c>
      <c r="K202" s="19" t="n">
        <v>25.8</v>
      </c>
      <c r="L202" s="17" t="n">
        <f aca="false">IF(K202="","",RANK(K202,$K$5:$K$430))</f>
        <v>307</v>
      </c>
      <c r="M202" s="25" t="n">
        <v>0.201976528721433</v>
      </c>
      <c r="N202" s="19" t="n">
        <v>74.1</v>
      </c>
      <c r="O202" s="17" t="n">
        <f aca="false">IF(N202="","",RANK(N202,$N$5:$N$430))</f>
        <v>100</v>
      </c>
      <c r="P202" s="17" t="str">
        <f aca="false">IF(AND(N(H202)&gt;=N(K202),N(H202)&gt;=N(N202)),"The Pulse",IF(N(K202)&gt;=N(N202),"The Lens","The Hub"))</f>
        <v>The Hub</v>
      </c>
      <c r="Q202" s="20" t="s">
        <v>74</v>
      </c>
      <c r="R202" s="26" t="s">
        <v>822</v>
      </c>
      <c r="S202" s="17" t="s">
        <v>24</v>
      </c>
    </row>
    <row r="203" customFormat="false" ht="15" hidden="false" customHeight="false" outlineLevel="0" collapsed="false">
      <c r="A203" s="17" t="s">
        <v>211</v>
      </c>
      <c r="B203" s="17" t="s">
        <v>212</v>
      </c>
      <c r="C203" s="17" t="s">
        <v>1193</v>
      </c>
      <c r="D203" s="17" t="s">
        <v>123</v>
      </c>
      <c r="E203" s="18" t="n">
        <v>18840</v>
      </c>
      <c r="F203" s="17" t="s">
        <v>821</v>
      </c>
      <c r="G203" s="23" t="n">
        <v>0.61380042462845</v>
      </c>
      <c r="H203" s="19" t="n">
        <v>55.4</v>
      </c>
      <c r="I203" s="17" t="n">
        <f aca="false">IF(H203="","",RANK(H203,$H$5:$H$430))</f>
        <v>199</v>
      </c>
      <c r="J203" s="24" t="n">
        <v>0.0716723549488055</v>
      </c>
      <c r="K203" s="19" t="n">
        <v>38.5</v>
      </c>
      <c r="L203" s="17" t="n">
        <f aca="false">IF(K203="","",RANK(K203,$K$5:$K$430))</f>
        <v>260</v>
      </c>
      <c r="M203" s="25" t="n">
        <v>0.121951219512195</v>
      </c>
      <c r="N203" s="19" t="n">
        <v>45.7</v>
      </c>
      <c r="O203" s="17" t="n">
        <f aca="false">IF(N203="","",RANK(N203,$N$5:$N$430))</f>
        <v>208</v>
      </c>
      <c r="P203" s="17" t="str">
        <f aca="false">IF(AND(N(H203)&gt;=N(K203),N(H203)&gt;=N(N203)),"The Pulse",IF(N(K203)&gt;=N(N203),"The Lens","The Hub"))</f>
        <v>The Pulse</v>
      </c>
      <c r="Q203" s="20" t="s">
        <v>74</v>
      </c>
      <c r="R203" s="26" t="s">
        <v>822</v>
      </c>
      <c r="S203" s="17" t="s">
        <v>24</v>
      </c>
    </row>
    <row r="204" customFormat="false" ht="15" hidden="false" customHeight="false" outlineLevel="0" collapsed="false">
      <c r="A204" s="17" t="s">
        <v>1194</v>
      </c>
      <c r="B204" s="17" t="s">
        <v>1195</v>
      </c>
      <c r="C204" s="17" t="s">
        <v>1196</v>
      </c>
      <c r="D204" s="17" t="s">
        <v>77</v>
      </c>
      <c r="E204" s="18" t="n">
        <v>88780</v>
      </c>
      <c r="F204" s="17" t="s">
        <v>821</v>
      </c>
      <c r="G204" s="23" t="n">
        <v>0.613470055269723</v>
      </c>
      <c r="H204" s="19" t="n">
        <v>55.2</v>
      </c>
      <c r="I204" s="17" t="n">
        <f aca="false">IF(H204="","",RANK(H204,$H$5:$H$430))</f>
        <v>200</v>
      </c>
      <c r="J204" s="24" t="n">
        <v>0.0984904726552834</v>
      </c>
      <c r="K204" s="19" t="n">
        <v>51.9</v>
      </c>
      <c r="L204" s="17" t="n">
        <f aca="false">IF(K204="","",RANK(K204,$K$5:$K$430))</f>
        <v>206</v>
      </c>
      <c r="M204" s="25" t="n">
        <v>0.0783034257748776</v>
      </c>
      <c r="N204" s="19" t="n">
        <v>25.2</v>
      </c>
      <c r="O204" s="17" t="n">
        <f aca="false">IF(N204="","",RANK(N204,$N$5:$N$430))</f>
        <v>291</v>
      </c>
      <c r="P204" s="17" t="str">
        <f aca="false">IF(AND(N(H204)&gt;=N(K204),N(H204)&gt;=N(N204)),"The Pulse",IF(N(K204)&gt;=N(N204),"The Lens","The Hub"))</f>
        <v>The Pulse</v>
      </c>
      <c r="Q204" s="21" t="s">
        <v>79</v>
      </c>
      <c r="R204" s="27" t="s">
        <v>832</v>
      </c>
      <c r="S204" s="17" t="s">
        <v>88</v>
      </c>
    </row>
    <row r="205" customFormat="false" ht="15" hidden="false" customHeight="false" outlineLevel="0" collapsed="false">
      <c r="A205" s="17" t="s">
        <v>387</v>
      </c>
      <c r="B205" s="17" t="s">
        <v>388</v>
      </c>
      <c r="C205" s="17" t="s">
        <v>1197</v>
      </c>
      <c r="D205" s="17" t="s">
        <v>82</v>
      </c>
      <c r="E205" s="18" t="n">
        <v>6994</v>
      </c>
      <c r="F205" s="17" t="s">
        <v>825</v>
      </c>
      <c r="G205" s="23" t="n">
        <v>0.611810122962539</v>
      </c>
      <c r="H205" s="19" t="n">
        <v>55</v>
      </c>
      <c r="I205" s="17" t="n">
        <f aca="false">IF(H205="","",RANK(H205,$H$5:$H$430))</f>
        <v>201</v>
      </c>
      <c r="J205" s="24" t="n">
        <v>0.0829978321461753</v>
      </c>
      <c r="K205" s="19" t="n">
        <v>39.4</v>
      </c>
      <c r="L205" s="17" t="n">
        <f aca="false">IF(K205="","",RANK(K205,$K$5:$K$430))</f>
        <v>255</v>
      </c>
      <c r="M205" s="25" t="n">
        <v>0.0873015873015873</v>
      </c>
      <c r="N205" s="19" t="n">
        <v>30.3</v>
      </c>
      <c r="O205" s="17" t="n">
        <f aca="false">IF(N205="","",RANK(N205,$N$5:$N$430))</f>
        <v>271</v>
      </c>
      <c r="P205" s="17" t="str">
        <f aca="false">IF(AND(N(H205)&gt;=N(K205),N(H205)&gt;=N(N205)),"The Pulse",IF(N(K205)&gt;=N(N205),"The Lens","The Hub"))</f>
        <v>The Pulse</v>
      </c>
      <c r="Q205" s="21" t="s">
        <v>79</v>
      </c>
      <c r="R205" s="26" t="s">
        <v>822</v>
      </c>
      <c r="S205" s="17" t="s">
        <v>22</v>
      </c>
    </row>
    <row r="206" customFormat="false" ht="15" hidden="false" customHeight="false" outlineLevel="0" collapsed="false">
      <c r="A206" s="17" t="s">
        <v>447</v>
      </c>
      <c r="B206" s="17" t="s">
        <v>448</v>
      </c>
      <c r="C206" s="17" t="s">
        <v>1198</v>
      </c>
      <c r="D206" s="17" t="s">
        <v>82</v>
      </c>
      <c r="E206" s="18" t="n">
        <v>21060</v>
      </c>
      <c r="F206" s="17" t="s">
        <v>821</v>
      </c>
      <c r="G206" s="23" t="n">
        <v>0.609259259259259</v>
      </c>
      <c r="H206" s="19" t="n">
        <v>54.8</v>
      </c>
      <c r="I206" s="17" t="n">
        <f aca="false">IF(H206="","",RANK(H206,$H$5:$H$430))</f>
        <v>202</v>
      </c>
      <c r="J206" s="24" t="n">
        <v>0.152330925804334</v>
      </c>
      <c r="K206" s="19" t="n">
        <v>76.6</v>
      </c>
      <c r="L206" s="17" t="n">
        <f aca="false">IF(K206="","",RANK(K206,$K$5:$K$430))</f>
        <v>100</v>
      </c>
      <c r="M206" s="25" t="n">
        <v>0.0200752823086575</v>
      </c>
      <c r="N206" s="19" t="n">
        <v>5.8</v>
      </c>
      <c r="O206" s="17" t="n">
        <f aca="false">IF(N206="","",RANK(N206,$N$5:$N$430))</f>
        <v>365</v>
      </c>
      <c r="P206" s="17" t="str">
        <f aca="false">IF(AND(N(H206)&gt;=N(K206),N(H206)&gt;=N(N206)),"The Pulse",IF(N(K206)&gt;=N(N206),"The Lens","The Hub"))</f>
        <v>The Lens</v>
      </c>
      <c r="Q206" s="21" t="s">
        <v>79</v>
      </c>
      <c r="R206" s="26" t="s">
        <v>822</v>
      </c>
      <c r="S206" s="17" t="s">
        <v>22</v>
      </c>
    </row>
    <row r="207" customFormat="false" ht="15" hidden="false" customHeight="false" outlineLevel="0" collapsed="false">
      <c r="A207" s="17" t="s">
        <v>407</v>
      </c>
      <c r="B207" s="17" t="s">
        <v>408</v>
      </c>
      <c r="C207" s="17" t="s">
        <v>1199</v>
      </c>
      <c r="D207" s="17" t="s">
        <v>91</v>
      </c>
      <c r="E207" s="18" t="n">
        <v>31570</v>
      </c>
      <c r="F207" s="17" t="s">
        <v>821</v>
      </c>
      <c r="G207" s="23" t="n">
        <v>0.608900855242319</v>
      </c>
      <c r="H207" s="19" t="n">
        <v>54.6</v>
      </c>
      <c r="I207" s="17" t="n">
        <f aca="false">IF(H207="","",RANK(H207,$H$5:$H$430))</f>
        <v>203</v>
      </c>
      <c r="J207" s="24" t="n">
        <v>0.0104953687604717</v>
      </c>
      <c r="K207" s="19" t="n">
        <v>11.3</v>
      </c>
      <c r="L207" s="17" t="n">
        <f aca="false">IF(K207="","",RANK(K207,$K$5:$K$430))</f>
        <v>375</v>
      </c>
      <c r="M207" s="25" t="n">
        <v>0.155197657393851</v>
      </c>
      <c r="N207" s="19" t="n">
        <v>60.1</v>
      </c>
      <c r="O207" s="17" t="n">
        <f aca="false">IF(N207="","",RANK(N207,$N$5:$N$430))</f>
        <v>151</v>
      </c>
      <c r="P207" s="17" t="str">
        <f aca="false">IF(AND(N(H207)&gt;=N(K207),N(H207)&gt;=N(N207)),"The Pulse",IF(N(K207)&gt;=N(N207),"The Lens","The Hub"))</f>
        <v>The Hub</v>
      </c>
      <c r="Q207" s="21" t="s">
        <v>79</v>
      </c>
      <c r="R207" s="26" t="s">
        <v>822</v>
      </c>
      <c r="S207" s="17" t="s">
        <v>88</v>
      </c>
    </row>
    <row r="208" customFormat="false" ht="15" hidden="false" customHeight="false" outlineLevel="0" collapsed="false">
      <c r="A208" s="17" t="s">
        <v>501</v>
      </c>
      <c r="B208" s="17" t="s">
        <v>502</v>
      </c>
      <c r="C208" s="17" t="s">
        <v>1200</v>
      </c>
      <c r="D208" s="17" t="s">
        <v>86</v>
      </c>
      <c r="E208" s="18" t="n">
        <v>16410</v>
      </c>
      <c r="F208" s="17" t="s">
        <v>821</v>
      </c>
      <c r="G208" s="23" t="n">
        <v>0.604265691651432</v>
      </c>
      <c r="H208" s="19" t="n">
        <v>54.4</v>
      </c>
      <c r="I208" s="17" t="n">
        <f aca="false">IF(H208="","",RANK(H208,$H$5:$H$430))</f>
        <v>204</v>
      </c>
      <c r="J208" s="24" t="n">
        <v>0.123203285420945</v>
      </c>
      <c r="K208" s="19" t="n">
        <v>67.4</v>
      </c>
      <c r="L208" s="17" t="n">
        <f aca="false">IF(K208="","",RANK(K208,$K$5:$K$430))</f>
        <v>140</v>
      </c>
      <c r="M208" s="25" t="n">
        <v>0.231147540983607</v>
      </c>
      <c r="N208" s="19" t="n">
        <v>78.8</v>
      </c>
      <c r="O208" s="17" t="n">
        <f aca="false">IF(N208="","",RANK(N208,$N$5:$N$430))</f>
        <v>84</v>
      </c>
      <c r="P208" s="17" t="str">
        <f aca="false">IF(AND(N(H208)&gt;=N(K208),N(H208)&gt;=N(N208)),"The Pulse",IF(N(K208)&gt;=N(N208),"The Lens","The Hub"))</f>
        <v>The Hub</v>
      </c>
      <c r="Q208" s="20" t="s">
        <v>74</v>
      </c>
      <c r="R208" s="26" t="s">
        <v>822</v>
      </c>
      <c r="S208" s="17" t="s">
        <v>24</v>
      </c>
    </row>
    <row r="209" customFormat="false" ht="15" hidden="false" customHeight="false" outlineLevel="0" collapsed="false">
      <c r="A209" s="17" t="s">
        <v>517</v>
      </c>
      <c r="B209" s="17" t="s">
        <v>518</v>
      </c>
      <c r="C209" s="17" t="s">
        <v>1201</v>
      </c>
      <c r="D209" s="17" t="s">
        <v>123</v>
      </c>
      <c r="E209" s="18" t="n">
        <v>15810</v>
      </c>
      <c r="F209" s="17" t="s">
        <v>821</v>
      </c>
      <c r="G209" s="23" t="n">
        <v>0.602277039848197</v>
      </c>
      <c r="H209" s="19" t="n">
        <v>54.3</v>
      </c>
      <c r="I209" s="17" t="n">
        <f aca="false">IF(H209="","",RANK(H209,$H$5:$H$430))</f>
        <v>205</v>
      </c>
      <c r="J209" s="24" t="n">
        <v>0.147314949201742</v>
      </c>
      <c r="K209" s="19" t="n">
        <v>75.3</v>
      </c>
      <c r="L209" s="17" t="n">
        <f aca="false">IF(K209="","",RANK(K209,$K$5:$K$430))</f>
        <v>107</v>
      </c>
      <c r="M209" s="25" t="n">
        <v>0.220512820512821</v>
      </c>
      <c r="N209" s="19" t="n">
        <v>76.9</v>
      </c>
      <c r="O209" s="17" t="n">
        <f aca="false">IF(N209="","",RANK(N209,$N$5:$N$430))</f>
        <v>91</v>
      </c>
      <c r="P209" s="17" t="str">
        <f aca="false">IF(AND(N(H209)&gt;=N(K209),N(H209)&gt;=N(N209)),"The Pulse",IF(N(K209)&gt;=N(N209),"The Lens","The Hub"))</f>
        <v>The Hub</v>
      </c>
      <c r="Q209" s="20" t="s">
        <v>74</v>
      </c>
      <c r="R209" s="26" t="s">
        <v>822</v>
      </c>
      <c r="S209" s="17" t="s">
        <v>24</v>
      </c>
    </row>
    <row r="210" customFormat="false" ht="15" hidden="false" customHeight="false" outlineLevel="0" collapsed="false">
      <c r="A210" s="17" t="s">
        <v>713</v>
      </c>
      <c r="B210" s="17" t="s">
        <v>714</v>
      </c>
      <c r="C210" s="17" t="s">
        <v>1202</v>
      </c>
      <c r="D210" s="17" t="s">
        <v>77</v>
      </c>
      <c r="E210" s="18" t="n">
        <v>21140</v>
      </c>
      <c r="F210" s="17" t="s">
        <v>821</v>
      </c>
      <c r="G210" s="23" t="n">
        <v>0.601844843897824</v>
      </c>
      <c r="H210" s="19" t="n">
        <v>54.1</v>
      </c>
      <c r="I210" s="17" t="n">
        <f aca="false">IF(H210="","",RANK(H210,$H$5:$H$430))</f>
        <v>206</v>
      </c>
      <c r="J210" s="24" t="n">
        <v>0.179029559397658</v>
      </c>
      <c r="K210" s="19" t="n">
        <v>86.6</v>
      </c>
      <c r="L210" s="17" t="n">
        <f aca="false">IF(K210="","",RANK(K210,$K$5:$K$430))</f>
        <v>59</v>
      </c>
      <c r="M210" s="25" t="n">
        <v>0.406173842404549</v>
      </c>
      <c r="N210" s="19" t="n">
        <v>97.9</v>
      </c>
      <c r="O210" s="17" t="n">
        <f aca="false">IF(N210="","",RANK(N210,$N$5:$N$430))</f>
        <v>9</v>
      </c>
      <c r="P210" s="17" t="str">
        <f aca="false">IF(AND(N(H210)&gt;=N(K210),N(H210)&gt;=N(N210)),"The Pulse",IF(N(K210)&gt;=N(N210),"The Lens","The Hub"))</f>
        <v>The Hub</v>
      </c>
      <c r="Q210" s="20" t="s">
        <v>74</v>
      </c>
      <c r="R210" s="26" t="s">
        <v>822</v>
      </c>
      <c r="S210" s="17" t="s">
        <v>24</v>
      </c>
    </row>
    <row r="211" customFormat="false" ht="15" hidden="false" customHeight="false" outlineLevel="0" collapsed="false">
      <c r="A211" s="17" t="s">
        <v>697</v>
      </c>
      <c r="B211" s="17" t="s">
        <v>698</v>
      </c>
      <c r="C211" s="17" t="s">
        <v>1203</v>
      </c>
      <c r="D211" s="17" t="s">
        <v>95</v>
      </c>
      <c r="E211" s="18" t="n">
        <v>182210</v>
      </c>
      <c r="F211" s="17" t="s">
        <v>827</v>
      </c>
      <c r="G211" s="23" t="n">
        <v>0.601152516327315</v>
      </c>
      <c r="H211" s="19" t="n">
        <v>53.9</v>
      </c>
      <c r="I211" s="17" t="n">
        <f aca="false">IF(H211="","",RANK(H211,$H$5:$H$430))</f>
        <v>207</v>
      </c>
      <c r="J211" s="24" t="n">
        <v>0.0573318632855568</v>
      </c>
      <c r="K211" s="19" t="n">
        <v>32.9</v>
      </c>
      <c r="L211" s="17" t="n">
        <f aca="false">IF(K211="","",RANK(K211,$K$5:$K$430))</f>
        <v>279</v>
      </c>
      <c r="M211" s="25" t="n">
        <v>0.149148936170213</v>
      </c>
      <c r="N211" s="19" t="n">
        <v>57.3</v>
      </c>
      <c r="O211" s="17" t="n">
        <f aca="false">IF(N211="","",RANK(N211,$N$5:$N$430))</f>
        <v>162</v>
      </c>
      <c r="P211" s="17" t="str">
        <f aca="false">IF(AND(N(H211)&gt;=N(K211),N(H211)&gt;=N(N211)),"The Pulse",IF(N(K211)&gt;=N(N211),"The Lens","The Hub"))</f>
        <v>The Hub</v>
      </c>
      <c r="Q211" s="20" t="s">
        <v>74</v>
      </c>
      <c r="R211" s="26" t="s">
        <v>822</v>
      </c>
      <c r="S211" s="17" t="s">
        <v>24</v>
      </c>
    </row>
    <row r="212" customFormat="false" ht="15" hidden="false" customHeight="false" outlineLevel="0" collapsed="false">
      <c r="A212" s="17" t="s">
        <v>687</v>
      </c>
      <c r="B212" s="17" t="s">
        <v>688</v>
      </c>
      <c r="C212" s="17" t="s">
        <v>1204</v>
      </c>
      <c r="D212" s="17" t="s">
        <v>91</v>
      </c>
      <c r="E212" s="18" t="n">
        <v>117610</v>
      </c>
      <c r="F212" s="17" t="s">
        <v>827</v>
      </c>
      <c r="G212" s="23" t="n">
        <v>0.600374117847122</v>
      </c>
      <c r="H212" s="19" t="n">
        <v>53.7</v>
      </c>
      <c r="I212" s="17" t="n">
        <f aca="false">IF(H212="","",RANK(H212,$H$5:$H$430))</f>
        <v>208</v>
      </c>
      <c r="J212" s="24" t="n">
        <v>0.172465357392085</v>
      </c>
      <c r="K212" s="19" t="n">
        <v>85</v>
      </c>
      <c r="L212" s="17" t="n">
        <f aca="false">IF(K212="","",RANK(K212,$K$5:$K$430))</f>
        <v>64</v>
      </c>
      <c r="M212" s="25" t="n">
        <v>0.137094946748244</v>
      </c>
      <c r="N212" s="19" t="n">
        <v>52</v>
      </c>
      <c r="O212" s="17" t="n">
        <f aca="false">IF(N212="","",RANK(N212,$N$5:$N$430))</f>
        <v>182</v>
      </c>
      <c r="P212" s="17" t="str">
        <f aca="false">IF(AND(N(H212)&gt;=N(K212),N(H212)&gt;=N(N212)),"The Pulse",IF(N(K212)&gt;=N(N212),"The Lens","The Hub"))</f>
        <v>The Lens</v>
      </c>
      <c r="Q212" s="20" t="s">
        <v>74</v>
      </c>
      <c r="R212" s="26" t="s">
        <v>822</v>
      </c>
      <c r="S212" s="17" t="s">
        <v>24</v>
      </c>
    </row>
    <row r="213" customFormat="false" ht="15" hidden="false" customHeight="false" outlineLevel="0" collapsed="false">
      <c r="A213" s="17" t="s">
        <v>439</v>
      </c>
      <c r="B213" s="17" t="s">
        <v>440</v>
      </c>
      <c r="C213" s="17" t="s">
        <v>1205</v>
      </c>
      <c r="D213" s="17" t="s">
        <v>123</v>
      </c>
      <c r="E213" s="18" t="n">
        <v>80060</v>
      </c>
      <c r="F213" s="17" t="s">
        <v>821</v>
      </c>
      <c r="G213" s="23" t="n">
        <v>0.597052210841869</v>
      </c>
      <c r="H213" s="19" t="n">
        <v>53.5</v>
      </c>
      <c r="I213" s="17" t="n">
        <f aca="false">IF(H213="","",RANK(H213,$H$5:$H$430))</f>
        <v>209</v>
      </c>
      <c r="J213" s="24" t="n">
        <v>0.063072633116452</v>
      </c>
      <c r="K213" s="19" t="n">
        <v>35.1</v>
      </c>
      <c r="L213" s="17" t="n">
        <f aca="false">IF(K213="","",RANK(K213,$K$5:$K$430))</f>
        <v>270</v>
      </c>
      <c r="M213" s="25" t="n">
        <v>0.308207115181402</v>
      </c>
      <c r="N213" s="19" t="n">
        <v>91.1</v>
      </c>
      <c r="O213" s="17" t="n">
        <f aca="false">IF(N213="","",RANK(N213,$N$5:$N$430))</f>
        <v>34</v>
      </c>
      <c r="P213" s="17" t="str">
        <f aca="false">IF(AND(N(H213)&gt;=N(K213),N(H213)&gt;=N(N213)),"The Pulse",IF(N(K213)&gt;=N(N213),"The Lens","The Hub"))</f>
        <v>The Hub</v>
      </c>
      <c r="Q213" s="20" t="s">
        <v>74</v>
      </c>
      <c r="R213" s="26" t="s">
        <v>822</v>
      </c>
      <c r="S213" s="17" t="s">
        <v>24</v>
      </c>
    </row>
    <row r="214" customFormat="false" ht="15" hidden="false" customHeight="false" outlineLevel="0" collapsed="false">
      <c r="A214" s="17" t="s">
        <v>1206</v>
      </c>
      <c r="B214" s="17" t="s">
        <v>1207</v>
      </c>
      <c r="C214" s="17" t="s">
        <v>1208</v>
      </c>
      <c r="D214" s="17" t="s">
        <v>82</v>
      </c>
      <c r="E214" s="18" t="n">
        <v>105190</v>
      </c>
      <c r="F214" s="17" t="s">
        <v>827</v>
      </c>
      <c r="G214" s="23" t="n">
        <v>0.595978705200114</v>
      </c>
      <c r="H214" s="19" t="n">
        <v>53.3</v>
      </c>
      <c r="I214" s="17" t="n">
        <f aca="false">IF(H214="","",RANK(H214,$H$5:$H$430))</f>
        <v>210</v>
      </c>
      <c r="J214" s="24" t="n">
        <v>0.046875</v>
      </c>
      <c r="K214" s="19" t="n">
        <v>27.1</v>
      </c>
      <c r="L214" s="17" t="n">
        <f aca="false">IF(K214="","",RANK(K214,$K$5:$K$430))</f>
        <v>302</v>
      </c>
      <c r="M214" s="25" t="n">
        <v>0.186038854132368</v>
      </c>
      <c r="N214" s="19" t="n">
        <v>69</v>
      </c>
      <c r="O214" s="17" t="n">
        <f aca="false">IF(N214="","",RANK(N214,$N$5:$N$430))</f>
        <v>120</v>
      </c>
      <c r="P214" s="17" t="str">
        <f aca="false">IF(AND(N(H214)&gt;=N(K214),N(H214)&gt;=N(N214)),"The Pulse",IF(N(K214)&gt;=N(N214),"The Lens","The Hub"))</f>
        <v>The Hub</v>
      </c>
      <c r="Q214" s="20" t="s">
        <v>74</v>
      </c>
      <c r="R214" s="27" t="s">
        <v>832</v>
      </c>
      <c r="S214" s="17" t="s">
        <v>24</v>
      </c>
    </row>
    <row r="215" customFormat="false" ht="15" hidden="false" customHeight="false" outlineLevel="0" collapsed="false">
      <c r="A215" s="17" t="s">
        <v>285</v>
      </c>
      <c r="B215" s="17" t="s">
        <v>286</v>
      </c>
      <c r="C215" s="17" t="s">
        <v>1209</v>
      </c>
      <c r="D215" s="17" t="s">
        <v>72</v>
      </c>
      <c r="E215" s="18" t="n">
        <v>34210</v>
      </c>
      <c r="F215" s="17" t="s">
        <v>821</v>
      </c>
      <c r="G215" s="23" t="n">
        <v>0.593306050862321</v>
      </c>
      <c r="H215" s="19" t="n">
        <v>53.1</v>
      </c>
      <c r="I215" s="17" t="n">
        <f aca="false">IF(H215="","",RANK(H215,$H$5:$H$430))</f>
        <v>211</v>
      </c>
      <c r="J215" s="24" t="n">
        <v>0.0395016712245518</v>
      </c>
      <c r="K215" s="19" t="n">
        <v>22.3</v>
      </c>
      <c r="L215" s="17" t="n">
        <f aca="false">IF(K215="","",RANK(K215,$K$5:$K$430))</f>
        <v>325</v>
      </c>
      <c r="M215" s="28" t="s">
        <v>857</v>
      </c>
      <c r="N215" s="19"/>
      <c r="O215" s="17" t="str">
        <f aca="false">IF(N215="","",RANK(N215,$N$5:$N$430))</f>
        <v/>
      </c>
      <c r="P215" s="17" t="str">
        <f aca="false">IF(AND(N(H215)&gt;=N(K215),N(H215)&gt;=N(N215)),"The Pulse",IF(N(K215)&gt;=N(N215),"The Lens","The Hub"))</f>
        <v>The Pulse</v>
      </c>
      <c r="Q215" s="20" t="s">
        <v>74</v>
      </c>
      <c r="R215" s="26" t="s">
        <v>822</v>
      </c>
      <c r="S215" s="17" t="s">
        <v>24</v>
      </c>
    </row>
    <row r="216" customFormat="false" ht="15" hidden="false" customHeight="false" outlineLevel="0" collapsed="false">
      <c r="A216" s="17" t="s">
        <v>273</v>
      </c>
      <c r="B216" s="17" t="s">
        <v>274</v>
      </c>
      <c r="C216" s="17" t="s">
        <v>1210</v>
      </c>
      <c r="D216" s="17" t="s">
        <v>91</v>
      </c>
      <c r="E216" s="18" t="n">
        <v>42310</v>
      </c>
      <c r="F216" s="17" t="s">
        <v>821</v>
      </c>
      <c r="G216" s="23" t="n">
        <v>0.591798629165682</v>
      </c>
      <c r="H216" s="19" t="n">
        <v>52.9</v>
      </c>
      <c r="I216" s="17" t="n">
        <f aca="false">IF(H216="","",RANK(H216,$H$5:$H$430))</f>
        <v>212</v>
      </c>
      <c r="J216" s="24" t="n">
        <v>0.233887430737824</v>
      </c>
      <c r="K216" s="19" t="n">
        <v>96.9</v>
      </c>
      <c r="L216" s="17" t="n">
        <f aca="false">IF(K216="","",RANK(K216,$K$5:$K$430))</f>
        <v>16</v>
      </c>
      <c r="M216" s="25" t="n">
        <v>0.194295900178253</v>
      </c>
      <c r="N216" s="19" t="n">
        <v>71.6</v>
      </c>
      <c r="O216" s="17" t="n">
        <f aca="false">IF(N216="","",RANK(N216,$N$5:$N$430))</f>
        <v>111</v>
      </c>
      <c r="P216" s="17" t="str">
        <f aca="false">IF(AND(N(H216)&gt;=N(K216),N(H216)&gt;=N(N216)),"The Pulse",IF(N(K216)&gt;=N(N216),"The Lens","The Hub"))</f>
        <v>The Lens</v>
      </c>
      <c r="Q216" s="20" t="s">
        <v>74</v>
      </c>
      <c r="R216" s="26" t="s">
        <v>822</v>
      </c>
      <c r="S216" s="17" t="s">
        <v>24</v>
      </c>
    </row>
    <row r="217" customFormat="false" ht="15" hidden="false" customHeight="false" outlineLevel="0" collapsed="false">
      <c r="A217" s="17" t="s">
        <v>607</v>
      </c>
      <c r="B217" s="17" t="s">
        <v>608</v>
      </c>
      <c r="C217" s="17" t="s">
        <v>1211</v>
      </c>
      <c r="D217" s="17" t="s">
        <v>95</v>
      </c>
      <c r="E217" s="18" t="n">
        <v>215000</v>
      </c>
      <c r="F217" s="17" t="s">
        <v>827</v>
      </c>
      <c r="G217" s="23" t="n">
        <v>0.589260465116279</v>
      </c>
      <c r="H217" s="19" t="n">
        <v>52.7</v>
      </c>
      <c r="I217" s="17" t="n">
        <f aca="false">IF(H217="","",RANK(H217,$H$5:$H$430))</f>
        <v>213</v>
      </c>
      <c r="J217" s="24" t="n">
        <v>0.085474832130055</v>
      </c>
      <c r="K217" s="19" t="n">
        <v>52.1</v>
      </c>
      <c r="L217" s="17" t="n">
        <f aca="false">IF(K217="","",RANK(K217,$K$5:$K$430))</f>
        <v>204</v>
      </c>
      <c r="M217" s="28" t="s">
        <v>857</v>
      </c>
      <c r="N217" s="19"/>
      <c r="O217" s="17" t="str">
        <f aca="false">IF(N217="","",RANK(N217,$N$5:$N$430))</f>
        <v/>
      </c>
      <c r="P217" s="17" t="str">
        <f aca="false">IF(AND(N(H217)&gt;=N(K217),N(H217)&gt;=N(N217)),"The Pulse",IF(N(K217)&gt;=N(N217),"The Lens","The Hub"))</f>
        <v>The Pulse</v>
      </c>
      <c r="Q217" s="20" t="s">
        <v>74</v>
      </c>
      <c r="R217" s="26" t="s">
        <v>822</v>
      </c>
      <c r="S217" s="17" t="s">
        <v>24</v>
      </c>
    </row>
    <row r="218" customFormat="false" ht="15" hidden="false" customHeight="false" outlineLevel="0" collapsed="false">
      <c r="A218" s="17" t="s">
        <v>443</v>
      </c>
      <c r="B218" s="17" t="s">
        <v>444</v>
      </c>
      <c r="C218" s="17" t="s">
        <v>1212</v>
      </c>
      <c r="D218" s="17" t="s">
        <v>162</v>
      </c>
      <c r="E218" s="18" t="n">
        <v>24450</v>
      </c>
      <c r="F218" s="17" t="s">
        <v>821</v>
      </c>
      <c r="G218" s="23" t="n">
        <v>0.588425357873211</v>
      </c>
      <c r="H218" s="19" t="n">
        <v>52.6</v>
      </c>
      <c r="I218" s="17" t="n">
        <f aca="false">IF(H218="","",RANK(H218,$H$5:$H$430))</f>
        <v>214</v>
      </c>
      <c r="J218" s="24" t="n">
        <v>0.137209302325581</v>
      </c>
      <c r="K218" s="19" t="n">
        <v>72.5</v>
      </c>
      <c r="L218" s="17" t="n">
        <f aca="false">IF(K218="","",RANK(K218,$K$5:$K$430))</f>
        <v>119</v>
      </c>
      <c r="M218" s="28" t="s">
        <v>857</v>
      </c>
      <c r="N218" s="19"/>
      <c r="O218" s="17" t="str">
        <f aca="false">IF(N218="","",RANK(N218,$N$5:$N$430))</f>
        <v/>
      </c>
      <c r="P218" s="17" t="str">
        <f aca="false">IF(AND(N(H218)&gt;=N(K218),N(H218)&gt;=N(N218)),"The Pulse",IF(N(K218)&gt;=N(N218),"The Lens","The Hub"))</f>
        <v>The Lens</v>
      </c>
      <c r="Q218" s="20" t="s">
        <v>74</v>
      </c>
      <c r="R218" s="26" t="s">
        <v>822</v>
      </c>
      <c r="S218" s="17" t="s">
        <v>24</v>
      </c>
    </row>
    <row r="219" customFormat="false" ht="15" hidden="false" customHeight="false" outlineLevel="0" collapsed="false">
      <c r="A219" s="17" t="s">
        <v>1213</v>
      </c>
      <c r="B219" s="17" t="s">
        <v>1214</v>
      </c>
      <c r="C219" s="17" t="s">
        <v>1215</v>
      </c>
      <c r="D219" s="17" t="s">
        <v>95</v>
      </c>
      <c r="E219" s="18" t="n">
        <v>30670</v>
      </c>
      <c r="F219" s="17" t="s">
        <v>821</v>
      </c>
      <c r="G219" s="23" t="n">
        <v>0.578513205086404</v>
      </c>
      <c r="H219" s="19" t="n">
        <v>52.2</v>
      </c>
      <c r="I219" s="17" t="n">
        <f aca="false">IF(H219="","",RANK(H219,$H$5:$H$430))</f>
        <v>215</v>
      </c>
      <c r="J219" s="24" t="n">
        <v>0.2268</v>
      </c>
      <c r="K219" s="19" t="n">
        <v>96.2</v>
      </c>
      <c r="L219" s="17" t="n">
        <f aca="false">IF(K219="","",RANK(K219,$K$5:$K$430))</f>
        <v>18</v>
      </c>
      <c r="M219" s="28" t="s">
        <v>857</v>
      </c>
      <c r="N219" s="19"/>
      <c r="O219" s="17" t="str">
        <f aca="false">IF(N219="","",RANK(N219,$N$5:$N$430))</f>
        <v/>
      </c>
      <c r="P219" s="17" t="str">
        <f aca="false">IF(AND(N(H219)&gt;=N(K219),N(H219)&gt;=N(N219)),"The Pulse",IF(N(K219)&gt;=N(N219),"The Lens","The Hub"))</f>
        <v>The Lens</v>
      </c>
      <c r="Q219" s="20" t="s">
        <v>74</v>
      </c>
      <c r="R219" s="27" t="s">
        <v>832</v>
      </c>
      <c r="S219" s="17" t="s">
        <v>24</v>
      </c>
    </row>
    <row r="220" customFormat="false" ht="15" hidden="false" customHeight="false" outlineLevel="0" collapsed="false">
      <c r="A220" s="17" t="s">
        <v>451</v>
      </c>
      <c r="B220" s="17" t="s">
        <v>452</v>
      </c>
      <c r="C220" s="17" t="s">
        <v>1216</v>
      </c>
      <c r="D220" s="17" t="s">
        <v>86</v>
      </c>
      <c r="E220" s="18" t="n">
        <v>66750</v>
      </c>
      <c r="F220" s="17" t="s">
        <v>821</v>
      </c>
      <c r="G220" s="23" t="n">
        <v>0.577722846441948</v>
      </c>
      <c r="H220" s="19" t="n">
        <v>52</v>
      </c>
      <c r="I220" s="17" t="n">
        <f aca="false">IF(H220="","",RANK(H220,$H$5:$H$430))</f>
        <v>216</v>
      </c>
      <c r="J220" s="24" t="n">
        <v>0.0360080707744839</v>
      </c>
      <c r="K220" s="19" t="n">
        <v>21.3</v>
      </c>
      <c r="L220" s="17" t="n">
        <f aca="false">IF(K220="","",RANK(K220,$K$5:$K$430))</f>
        <v>330</v>
      </c>
      <c r="M220" s="25" t="n">
        <v>0.365683229813665</v>
      </c>
      <c r="N220" s="19" t="n">
        <v>95.6</v>
      </c>
      <c r="O220" s="17" t="n">
        <f aca="false">IF(N220="","",RANK(N220,$N$5:$N$430))</f>
        <v>17</v>
      </c>
      <c r="P220" s="17" t="str">
        <f aca="false">IF(AND(N(H220)&gt;=N(K220),N(H220)&gt;=N(N220)),"The Pulse",IF(N(K220)&gt;=N(N220),"The Lens","The Hub"))</f>
        <v>The Hub</v>
      </c>
      <c r="Q220" s="20" t="s">
        <v>74</v>
      </c>
      <c r="R220" s="26" t="s">
        <v>822</v>
      </c>
      <c r="S220" s="17" t="s">
        <v>24</v>
      </c>
    </row>
    <row r="221" customFormat="false" ht="15" hidden="false" customHeight="false" outlineLevel="0" collapsed="false">
      <c r="A221" s="17" t="s">
        <v>467</v>
      </c>
      <c r="B221" s="17" t="s">
        <v>468</v>
      </c>
      <c r="C221" s="17" t="s">
        <v>1217</v>
      </c>
      <c r="D221" s="17" t="s">
        <v>77</v>
      </c>
      <c r="E221" s="18" t="n">
        <v>63840</v>
      </c>
      <c r="F221" s="17" t="s">
        <v>821</v>
      </c>
      <c r="G221" s="23" t="n">
        <v>0.577537593984962</v>
      </c>
      <c r="H221" s="19" t="n">
        <v>51.8</v>
      </c>
      <c r="I221" s="17" t="n">
        <f aca="false">IF(H221="","",RANK(H221,$H$5:$H$430))</f>
        <v>217</v>
      </c>
      <c r="J221" s="24" t="n">
        <v>0.0271922767497989</v>
      </c>
      <c r="K221" s="19" t="n">
        <v>16.5</v>
      </c>
      <c r="L221" s="17" t="n">
        <f aca="false">IF(K221="","",RANK(K221,$K$5:$K$430))</f>
        <v>352</v>
      </c>
      <c r="M221" s="25" t="n">
        <v>0.0348027842227378</v>
      </c>
      <c r="N221" s="19" t="n">
        <v>11</v>
      </c>
      <c r="O221" s="17" t="n">
        <f aca="false">IF(N221="","",RANK(N221,$N$5:$N$430))</f>
        <v>344</v>
      </c>
      <c r="P221" s="17" t="str">
        <f aca="false">IF(AND(N(H221)&gt;=N(K221),N(H221)&gt;=N(N221)),"The Pulse",IF(N(K221)&gt;=N(N221),"The Lens","The Hub"))</f>
        <v>The Pulse</v>
      </c>
      <c r="Q221" s="20" t="s">
        <v>74</v>
      </c>
      <c r="R221" s="26" t="s">
        <v>822</v>
      </c>
      <c r="S221" s="17" t="s">
        <v>24</v>
      </c>
    </row>
    <row r="222" customFormat="false" ht="15" hidden="false" customHeight="false" outlineLevel="0" collapsed="false">
      <c r="A222" s="17" t="s">
        <v>1218</v>
      </c>
      <c r="B222" s="17" t="s">
        <v>1219</v>
      </c>
      <c r="C222" s="17" t="s">
        <v>1220</v>
      </c>
      <c r="D222" s="17" t="s">
        <v>77</v>
      </c>
      <c r="E222" s="18" t="n">
        <v>39150</v>
      </c>
      <c r="F222" s="17" t="s">
        <v>821</v>
      </c>
      <c r="G222" s="23" t="n">
        <v>0.576679438058748</v>
      </c>
      <c r="H222" s="19" t="n">
        <v>51.6</v>
      </c>
      <c r="I222" s="17" t="n">
        <f aca="false">IF(H222="","",RANK(H222,$H$5:$H$430))</f>
        <v>218</v>
      </c>
      <c r="J222" s="24" t="n">
        <v>-0.154975178070365</v>
      </c>
      <c r="K222" s="19" t="n">
        <v>0.7</v>
      </c>
      <c r="L222" s="17" t="n">
        <f aca="false">IF(K222="","",RANK(K222,$K$5:$K$430))</f>
        <v>424</v>
      </c>
      <c r="M222" s="25" t="n">
        <v>0.193939393939394</v>
      </c>
      <c r="N222" s="19" t="n">
        <v>71.3</v>
      </c>
      <c r="O222" s="17" t="n">
        <f aca="false">IF(N222="","",RANK(N222,$N$5:$N$430))</f>
        <v>112</v>
      </c>
      <c r="P222" s="17" t="str">
        <f aca="false">IF(AND(N(H222)&gt;=N(K222),N(H222)&gt;=N(N222)),"The Pulse",IF(N(K222)&gt;=N(N222),"The Lens","The Hub"))</f>
        <v>The Hub</v>
      </c>
      <c r="Q222" s="20" t="s">
        <v>74</v>
      </c>
      <c r="R222" s="27" t="s">
        <v>832</v>
      </c>
      <c r="S222" s="17" t="s">
        <v>24</v>
      </c>
    </row>
    <row r="223" customFormat="false" ht="15" hidden="false" customHeight="false" outlineLevel="0" collapsed="false">
      <c r="A223" s="17" t="s">
        <v>547</v>
      </c>
      <c r="B223" s="17" t="s">
        <v>548</v>
      </c>
      <c r="C223" s="17" t="s">
        <v>1221</v>
      </c>
      <c r="D223" s="17" t="s">
        <v>91</v>
      </c>
      <c r="E223" s="18" t="n">
        <v>20230</v>
      </c>
      <c r="F223" s="17" t="s">
        <v>821</v>
      </c>
      <c r="G223" s="23" t="n">
        <v>0.568956994562531</v>
      </c>
      <c r="H223" s="19" t="n">
        <v>51</v>
      </c>
      <c r="I223" s="17" t="n">
        <f aca="false">IF(H223="","",RANK(H223,$H$5:$H$430))</f>
        <v>219</v>
      </c>
      <c r="J223" s="24" t="n">
        <v>0.166283180874348</v>
      </c>
      <c r="K223" s="19" t="n">
        <v>80.8</v>
      </c>
      <c r="L223" s="17" t="n">
        <f aca="false">IF(K223="","",RANK(K223,$K$5:$K$430))</f>
        <v>84</v>
      </c>
      <c r="M223" s="28" t="s">
        <v>857</v>
      </c>
      <c r="N223" s="19"/>
      <c r="O223" s="17" t="str">
        <f aca="false">IF(N223="","",RANK(N223,$N$5:$N$430))</f>
        <v/>
      </c>
      <c r="P223" s="17" t="str">
        <f aca="false">IF(AND(N(H223)&gt;=N(K223),N(H223)&gt;=N(N223)),"The Pulse",IF(N(K223)&gt;=N(N223),"The Lens","The Hub"))</f>
        <v>The Lens</v>
      </c>
      <c r="Q223" s="21" t="s">
        <v>79</v>
      </c>
      <c r="R223" s="26" t="s">
        <v>822</v>
      </c>
      <c r="S223" s="17" t="s">
        <v>88</v>
      </c>
    </row>
    <row r="224" customFormat="false" ht="15" hidden="false" customHeight="false" outlineLevel="0" collapsed="false">
      <c r="A224" s="17" t="s">
        <v>1222</v>
      </c>
      <c r="B224" s="17" t="s">
        <v>1223</v>
      </c>
      <c r="C224" s="17" t="s">
        <v>1224</v>
      </c>
      <c r="D224" s="17" t="s">
        <v>115</v>
      </c>
      <c r="E224" s="18" t="n">
        <v>182110</v>
      </c>
      <c r="F224" s="17" t="s">
        <v>827</v>
      </c>
      <c r="G224" s="23" t="n">
        <v>0.56641041128988</v>
      </c>
      <c r="H224" s="19" t="n">
        <v>50.7</v>
      </c>
      <c r="I224" s="17" t="n">
        <f aca="false">IF(H224="","",RANK(H224,$H$5:$H$430))</f>
        <v>220</v>
      </c>
      <c r="J224" s="24" t="n">
        <v>0.12434401432364</v>
      </c>
      <c r="K224" s="19" t="n">
        <v>70</v>
      </c>
      <c r="L224" s="17" t="n">
        <f aca="false">IF(K224="","",RANK(K224,$K$5:$K$430))</f>
        <v>130</v>
      </c>
      <c r="M224" s="25" t="n">
        <v>0.321480861744405</v>
      </c>
      <c r="N224" s="19" t="n">
        <v>92.3</v>
      </c>
      <c r="O224" s="17" t="n">
        <f aca="false">IF(N224="","",RANK(N224,$N$5:$N$430))</f>
        <v>30</v>
      </c>
      <c r="P224" s="17" t="str">
        <f aca="false">IF(AND(N(H224)&gt;=N(K224),N(H224)&gt;=N(N224)),"The Pulse",IF(N(K224)&gt;=N(N224),"The Lens","The Hub"))</f>
        <v>The Hub</v>
      </c>
      <c r="Q224" s="20" t="s">
        <v>74</v>
      </c>
      <c r="R224" s="27" t="s">
        <v>832</v>
      </c>
      <c r="S224" s="17" t="s">
        <v>24</v>
      </c>
    </row>
    <row r="225" customFormat="false" ht="15" hidden="false" customHeight="false" outlineLevel="0" collapsed="false">
      <c r="A225" s="17" t="s">
        <v>1225</v>
      </c>
      <c r="B225" s="17" t="s">
        <v>1226</v>
      </c>
      <c r="C225" s="17" t="s">
        <v>1227</v>
      </c>
      <c r="D225" s="17" t="s">
        <v>86</v>
      </c>
      <c r="E225" s="18" t="n">
        <v>200360</v>
      </c>
      <c r="F225" s="17" t="s">
        <v>827</v>
      </c>
      <c r="G225" s="23" t="n">
        <v>0.565337392693152</v>
      </c>
      <c r="H225" s="19" t="n">
        <v>50.5</v>
      </c>
      <c r="I225" s="17" t="n">
        <f aca="false">IF(H225="","",RANK(H225,$H$5:$H$430))</f>
        <v>221</v>
      </c>
      <c r="J225" s="24" t="n">
        <v>0.120895104895105</v>
      </c>
      <c r="K225" s="19" t="n">
        <v>69.3</v>
      </c>
      <c r="L225" s="17" t="n">
        <f aca="false">IF(K225="","",RANK(K225,$K$5:$K$430))</f>
        <v>133</v>
      </c>
      <c r="M225" s="25" t="n">
        <v>0.13753459655099</v>
      </c>
      <c r="N225" s="19" t="n">
        <v>52.2</v>
      </c>
      <c r="O225" s="17" t="n">
        <f aca="false">IF(N225="","",RANK(N225,$N$5:$N$430))</f>
        <v>181</v>
      </c>
      <c r="P225" s="17" t="str">
        <f aca="false">IF(AND(N(H225)&gt;=N(K225),N(H225)&gt;=N(N225)),"The Pulse",IF(N(K225)&gt;=N(N225),"The Lens","The Hub"))</f>
        <v>The Lens</v>
      </c>
      <c r="Q225" s="20" t="s">
        <v>74</v>
      </c>
      <c r="R225" s="27" t="s">
        <v>832</v>
      </c>
      <c r="S225" s="17" t="s">
        <v>24</v>
      </c>
    </row>
    <row r="226" customFormat="false" ht="15" hidden="false" customHeight="false" outlineLevel="0" collapsed="false">
      <c r="A226" s="17" t="s">
        <v>1228</v>
      </c>
      <c r="B226" s="17" t="s">
        <v>1229</v>
      </c>
      <c r="C226" s="17" t="s">
        <v>1230</v>
      </c>
      <c r="D226" s="17" t="s">
        <v>115</v>
      </c>
      <c r="E226" s="18" t="n">
        <v>127280</v>
      </c>
      <c r="F226" s="17" t="s">
        <v>827</v>
      </c>
      <c r="G226" s="23" t="n">
        <v>0.564739157762414</v>
      </c>
      <c r="H226" s="19" t="n">
        <v>50.3</v>
      </c>
      <c r="I226" s="17" t="n">
        <f aca="false">IF(H226="","",RANK(H226,$H$5:$H$430))</f>
        <v>222</v>
      </c>
      <c r="J226" s="24" t="n">
        <v>0.102946273830156</v>
      </c>
      <c r="K226" s="19" t="n">
        <v>60</v>
      </c>
      <c r="L226" s="17" t="n">
        <f aca="false">IF(K226="","",RANK(K226,$K$5:$K$430))</f>
        <v>171</v>
      </c>
      <c r="M226" s="25" t="n">
        <v>0.175215845606907</v>
      </c>
      <c r="N226" s="19" t="n">
        <v>66.4</v>
      </c>
      <c r="O226" s="17" t="n">
        <f aca="false">IF(N226="","",RANK(N226,$N$5:$N$430))</f>
        <v>129</v>
      </c>
      <c r="P226" s="17" t="str">
        <f aca="false">IF(AND(N(H226)&gt;=N(K226),N(H226)&gt;=N(N226)),"The Pulse",IF(N(K226)&gt;=N(N226),"The Lens","The Hub"))</f>
        <v>The Hub</v>
      </c>
      <c r="Q226" s="20" t="s">
        <v>74</v>
      </c>
      <c r="R226" s="27" t="s">
        <v>832</v>
      </c>
      <c r="S226" s="17" t="s">
        <v>24</v>
      </c>
    </row>
    <row r="227" customFormat="false" ht="15" hidden="false" customHeight="false" outlineLevel="0" collapsed="false">
      <c r="A227" s="17" t="s">
        <v>297</v>
      </c>
      <c r="B227" s="17" t="s">
        <v>298</v>
      </c>
      <c r="C227" s="17" t="s">
        <v>1231</v>
      </c>
      <c r="D227" s="17" t="s">
        <v>115</v>
      </c>
      <c r="E227" s="18" t="n">
        <v>21740</v>
      </c>
      <c r="F227" s="17" t="s">
        <v>821</v>
      </c>
      <c r="G227" s="23" t="n">
        <v>0.564121435142594</v>
      </c>
      <c r="H227" s="19" t="n">
        <v>50.1</v>
      </c>
      <c r="I227" s="17" t="n">
        <f aca="false">IF(H227="","",RANK(H227,$H$5:$H$430))</f>
        <v>223</v>
      </c>
      <c r="J227" s="24" t="n">
        <v>0.322384428223844</v>
      </c>
      <c r="K227" s="19" t="n">
        <v>100</v>
      </c>
      <c r="L227" s="17" t="n">
        <f aca="false">IF(K227="","",RANK(K227,$K$5:$K$430))</f>
        <v>1</v>
      </c>
      <c r="M227" s="28" t="s">
        <v>857</v>
      </c>
      <c r="N227" s="19"/>
      <c r="O227" s="17" t="str">
        <f aca="false">IF(N227="","",RANK(N227,$N$5:$N$430))</f>
        <v/>
      </c>
      <c r="P227" s="17" t="str">
        <f aca="false">IF(AND(N(H227)&gt;=N(K227),N(H227)&gt;=N(N227)),"The Pulse",IF(N(K227)&gt;=N(N227),"The Lens","The Hub"))</f>
        <v>The Lens</v>
      </c>
      <c r="Q227" s="20" t="s">
        <v>74</v>
      </c>
      <c r="R227" s="26" t="s">
        <v>822</v>
      </c>
      <c r="S227" s="17" t="s">
        <v>24</v>
      </c>
    </row>
    <row r="228" customFormat="false" ht="15" hidden="false" customHeight="false" outlineLevel="0" collapsed="false">
      <c r="A228" s="17" t="s">
        <v>1232</v>
      </c>
      <c r="B228" s="17" t="s">
        <v>1233</v>
      </c>
      <c r="C228" s="17" t="s">
        <v>1234</v>
      </c>
      <c r="D228" s="17" t="s">
        <v>115</v>
      </c>
      <c r="E228" s="18" t="n">
        <v>62945</v>
      </c>
      <c r="F228" s="17" t="s">
        <v>821</v>
      </c>
      <c r="G228" s="23" t="n">
        <v>0.563793788227818</v>
      </c>
      <c r="H228" s="19" t="n">
        <v>49.9</v>
      </c>
      <c r="I228" s="17" t="n">
        <f aca="false">IF(H228="","",RANK(H228,$H$5:$H$430))</f>
        <v>224</v>
      </c>
      <c r="J228" s="24" t="n">
        <v>0.0312935201114115</v>
      </c>
      <c r="K228" s="19" t="n">
        <v>18.6</v>
      </c>
      <c r="L228" s="17" t="n">
        <f aca="false">IF(K228="","",RANK(K228,$K$5:$K$430))</f>
        <v>342</v>
      </c>
      <c r="M228" s="25" t="n">
        <v>0.160891938250429</v>
      </c>
      <c r="N228" s="19" t="n">
        <v>62.5</v>
      </c>
      <c r="O228" s="17" t="n">
        <f aca="false">IF(N228="","",RANK(N228,$N$5:$N$430))</f>
        <v>143</v>
      </c>
      <c r="P228" s="17" t="str">
        <f aca="false">IF(AND(N(H228)&gt;=N(K228),N(H228)&gt;=N(N228)),"The Pulse",IF(N(K228)&gt;=N(N228),"The Lens","The Hub"))</f>
        <v>The Hub</v>
      </c>
      <c r="Q228" s="21" t="s">
        <v>79</v>
      </c>
      <c r="R228" s="27" t="s">
        <v>832</v>
      </c>
      <c r="S228" s="17" t="s">
        <v>22</v>
      </c>
    </row>
    <row r="229" customFormat="false" ht="15" hidden="false" customHeight="false" outlineLevel="0" collapsed="false">
      <c r="A229" s="17" t="s">
        <v>563</v>
      </c>
      <c r="B229" s="17" t="s">
        <v>564</v>
      </c>
      <c r="C229" s="17" t="s">
        <v>1235</v>
      </c>
      <c r="D229" s="17" t="s">
        <v>86</v>
      </c>
      <c r="E229" s="18" t="n">
        <v>2440</v>
      </c>
      <c r="F229" s="17" t="s">
        <v>825</v>
      </c>
      <c r="G229" s="23" t="n">
        <v>0.563114754098361</v>
      </c>
      <c r="H229" s="19" t="n">
        <v>49.7</v>
      </c>
      <c r="I229" s="17" t="n">
        <f aca="false">IF(H229="","",RANK(H229,$H$5:$H$430))</f>
        <v>225</v>
      </c>
      <c r="J229" s="24" t="n">
        <v>0.12082957619477</v>
      </c>
      <c r="K229" s="19" t="n">
        <v>63.4</v>
      </c>
      <c r="L229" s="17" t="n">
        <f aca="false">IF(K229="","",RANK(K229,$K$5:$K$430))</f>
        <v>158</v>
      </c>
      <c r="M229" s="25" t="n">
        <v>0.150537634408602</v>
      </c>
      <c r="N229" s="19" t="n">
        <v>58</v>
      </c>
      <c r="O229" s="17" t="n">
        <f aca="false">IF(N229="","",RANK(N229,$N$5:$N$430))</f>
        <v>159</v>
      </c>
      <c r="P229" s="17" t="str">
        <f aca="false">IF(AND(N(H229)&gt;=N(K229),N(H229)&gt;=N(N229)),"The Pulse",IF(N(K229)&gt;=N(N229),"The Lens","The Hub"))</f>
        <v>The Lens</v>
      </c>
      <c r="Q229" s="21" t="s">
        <v>79</v>
      </c>
      <c r="R229" s="26" t="s">
        <v>822</v>
      </c>
      <c r="S229" s="17" t="s">
        <v>88</v>
      </c>
    </row>
    <row r="230" customFormat="false" ht="15" hidden="false" customHeight="false" outlineLevel="0" collapsed="false">
      <c r="A230" s="17" t="s">
        <v>373</v>
      </c>
      <c r="B230" s="17" t="s">
        <v>374</v>
      </c>
      <c r="C230" s="17" t="s">
        <v>1236</v>
      </c>
      <c r="D230" s="17" t="s">
        <v>86</v>
      </c>
      <c r="E230" s="18" t="n">
        <v>68400</v>
      </c>
      <c r="F230" s="17" t="s">
        <v>821</v>
      </c>
      <c r="G230" s="23" t="n">
        <v>0.562280701754386</v>
      </c>
      <c r="H230" s="19" t="n">
        <v>49.5</v>
      </c>
      <c r="I230" s="17" t="n">
        <f aca="false">IF(H230="","",RANK(H230,$H$5:$H$430))</f>
        <v>226</v>
      </c>
      <c r="J230" s="24" t="n">
        <v>0.0064743967039435</v>
      </c>
      <c r="K230" s="19" t="n">
        <v>10.7</v>
      </c>
      <c r="L230" s="17" t="n">
        <f aca="false">IF(K230="","",RANK(K230,$K$5:$K$430))</f>
        <v>378</v>
      </c>
      <c r="M230" s="25" t="n">
        <v>0.152278177458034</v>
      </c>
      <c r="N230" s="19" t="n">
        <v>58.7</v>
      </c>
      <c r="O230" s="17" t="n">
        <f aca="false">IF(N230="","",RANK(N230,$N$5:$N$430))</f>
        <v>156</v>
      </c>
      <c r="P230" s="17" t="str">
        <f aca="false">IF(AND(N(H230)&gt;=N(K230),N(H230)&gt;=N(N230)),"The Pulse",IF(N(K230)&gt;=N(N230),"The Lens","The Hub"))</f>
        <v>The Hub</v>
      </c>
      <c r="Q230" s="20" t="s">
        <v>74</v>
      </c>
      <c r="R230" s="26" t="s">
        <v>822</v>
      </c>
      <c r="S230" s="17" t="s">
        <v>24</v>
      </c>
    </row>
    <row r="231" customFormat="false" ht="15" hidden="false" customHeight="false" outlineLevel="0" collapsed="false">
      <c r="A231" s="17" t="s">
        <v>489</v>
      </c>
      <c r="B231" s="17" t="s">
        <v>490</v>
      </c>
      <c r="C231" s="17" t="s">
        <v>1237</v>
      </c>
      <c r="D231" s="17" t="s">
        <v>77</v>
      </c>
      <c r="E231" s="18" t="n">
        <v>234840</v>
      </c>
      <c r="F231" s="17" t="s">
        <v>827</v>
      </c>
      <c r="G231" s="23" t="n">
        <v>0.560824391074774</v>
      </c>
      <c r="H231" s="19" t="n">
        <v>49.3</v>
      </c>
      <c r="I231" s="17" t="n">
        <f aca="false">IF(H231="","",RANK(H231,$H$5:$H$430))</f>
        <v>227</v>
      </c>
      <c r="J231" s="24" t="n">
        <v>0.184564943253468</v>
      </c>
      <c r="K231" s="19" t="n">
        <v>91.4</v>
      </c>
      <c r="L231" s="17" t="n">
        <f aca="false">IF(K231="","",RANK(K231,$K$5:$K$430))</f>
        <v>38</v>
      </c>
      <c r="M231" s="25" t="n">
        <v>0.107478614381299</v>
      </c>
      <c r="N231" s="19" t="n">
        <v>38.5</v>
      </c>
      <c r="O231" s="17" t="n">
        <f aca="false">IF(N231="","",RANK(N231,$N$5:$N$430))</f>
        <v>238</v>
      </c>
      <c r="P231" s="17" t="str">
        <f aca="false">IF(AND(N(H231)&gt;=N(K231),N(H231)&gt;=N(N231)),"The Pulse",IF(N(K231)&gt;=N(N231),"The Lens","The Hub"))</f>
        <v>The Lens</v>
      </c>
      <c r="Q231" s="20" t="s">
        <v>74</v>
      </c>
      <c r="R231" s="26" t="s">
        <v>822</v>
      </c>
      <c r="S231" s="17" t="s">
        <v>24</v>
      </c>
    </row>
    <row r="232" customFormat="false" ht="15" hidden="false" customHeight="false" outlineLevel="0" collapsed="false">
      <c r="A232" s="17" t="s">
        <v>1238</v>
      </c>
      <c r="B232" s="17" t="s">
        <v>1239</v>
      </c>
      <c r="C232" s="17" t="s">
        <v>1240</v>
      </c>
      <c r="D232" s="17" t="s">
        <v>82</v>
      </c>
      <c r="E232" s="18" t="n">
        <v>53700</v>
      </c>
      <c r="F232" s="17" t="s">
        <v>821</v>
      </c>
      <c r="G232" s="23" t="n">
        <v>0.559143389199255</v>
      </c>
      <c r="H232" s="19" t="n">
        <v>49.1</v>
      </c>
      <c r="I232" s="17" t="n">
        <f aca="false">IF(H232="","",RANK(H232,$H$5:$H$430))</f>
        <v>228</v>
      </c>
      <c r="J232" s="24" t="n">
        <v>0.0604265402843602</v>
      </c>
      <c r="K232" s="19" t="n">
        <v>33</v>
      </c>
      <c r="L232" s="17" t="n">
        <f aca="false">IF(K232="","",RANK(K232,$K$5:$K$430))</f>
        <v>278</v>
      </c>
      <c r="M232" s="28" t="s">
        <v>857</v>
      </c>
      <c r="N232" s="19"/>
      <c r="O232" s="17" t="str">
        <f aca="false">IF(N232="","",RANK(N232,$N$5:$N$430))</f>
        <v/>
      </c>
      <c r="P232" s="17" t="str">
        <f aca="false">IF(AND(N(H232)&gt;=N(K232),N(H232)&gt;=N(N232)),"The Pulse",IF(N(K232)&gt;=N(N232),"The Lens","The Hub"))</f>
        <v>The Pulse</v>
      </c>
      <c r="Q232" s="20" t="s">
        <v>74</v>
      </c>
      <c r="R232" s="27" t="s">
        <v>832</v>
      </c>
      <c r="S232" s="17" t="s">
        <v>24</v>
      </c>
    </row>
    <row r="233" customFormat="false" ht="15" hidden="false" customHeight="false" outlineLevel="0" collapsed="false">
      <c r="A233" s="17" t="s">
        <v>493</v>
      </c>
      <c r="B233" s="17" t="s">
        <v>494</v>
      </c>
      <c r="C233" s="17" t="s">
        <v>1241</v>
      </c>
      <c r="D233" s="17" t="s">
        <v>77</v>
      </c>
      <c r="E233" s="18" t="n">
        <v>86110</v>
      </c>
      <c r="F233" s="17" t="s">
        <v>821</v>
      </c>
      <c r="G233" s="23" t="n">
        <v>0.555823946115434</v>
      </c>
      <c r="H233" s="19" t="n">
        <v>48.8</v>
      </c>
      <c r="I233" s="17" t="n">
        <f aca="false">IF(H233="","",RANK(H233,$H$5:$H$430))</f>
        <v>229</v>
      </c>
      <c r="J233" s="24" t="n">
        <v>0.0448974639000121</v>
      </c>
      <c r="K233" s="19" t="n">
        <v>24.4</v>
      </c>
      <c r="L233" s="17" t="n">
        <f aca="false">IF(K233="","",RANK(K233,$K$5:$K$430))</f>
        <v>314</v>
      </c>
      <c r="M233" s="28" t="s">
        <v>857</v>
      </c>
      <c r="N233" s="19"/>
      <c r="O233" s="17" t="str">
        <f aca="false">IF(N233="","",RANK(N233,$N$5:$N$430))</f>
        <v/>
      </c>
      <c r="P233" s="17" t="str">
        <f aca="false">IF(AND(N(H233)&gt;=N(K233),N(H233)&gt;=N(N233)),"The Pulse",IF(N(K233)&gt;=N(N233),"The Lens","The Hub"))</f>
        <v>The Pulse</v>
      </c>
      <c r="Q233" s="20" t="s">
        <v>74</v>
      </c>
      <c r="R233" s="26" t="s">
        <v>822</v>
      </c>
      <c r="S233" s="17" t="s">
        <v>24</v>
      </c>
    </row>
    <row r="234" customFormat="false" ht="15" hidden="false" customHeight="false" outlineLevel="0" collapsed="false">
      <c r="A234" s="17" t="s">
        <v>1242</v>
      </c>
      <c r="B234" s="17" t="s">
        <v>1243</v>
      </c>
      <c r="C234" s="17" t="s">
        <v>1244</v>
      </c>
      <c r="D234" s="17" t="s">
        <v>162</v>
      </c>
      <c r="E234" s="18" t="n">
        <v>82280</v>
      </c>
      <c r="F234" s="17" t="s">
        <v>821</v>
      </c>
      <c r="G234" s="23" t="n">
        <v>0.549562469615946</v>
      </c>
      <c r="H234" s="19" t="n">
        <v>48.6</v>
      </c>
      <c r="I234" s="17" t="n">
        <f aca="false">IF(H234="","",RANK(H234,$H$5:$H$430))</f>
        <v>230</v>
      </c>
      <c r="J234" s="24" t="n">
        <v>0.0319829424307036</v>
      </c>
      <c r="K234" s="19" t="n">
        <v>19.2</v>
      </c>
      <c r="L234" s="17" t="n">
        <f aca="false">IF(K234="","",RANK(K234,$K$5:$K$430))</f>
        <v>340</v>
      </c>
      <c r="M234" s="25" t="n">
        <v>0.177190406265296</v>
      </c>
      <c r="N234" s="19" t="n">
        <v>67.1</v>
      </c>
      <c r="O234" s="17" t="n">
        <f aca="false">IF(N234="","",RANK(N234,$N$5:$N$430))</f>
        <v>126</v>
      </c>
      <c r="P234" s="17" t="str">
        <f aca="false">IF(AND(N(H234)&gt;=N(K234),N(H234)&gt;=N(N234)),"The Pulse",IF(N(K234)&gt;=N(N234),"The Lens","The Hub"))</f>
        <v>The Hub</v>
      </c>
      <c r="Q234" s="21" t="s">
        <v>79</v>
      </c>
      <c r="R234" s="27" t="s">
        <v>832</v>
      </c>
      <c r="S234" s="17" t="s">
        <v>88</v>
      </c>
    </row>
    <row r="235" customFormat="false" ht="15" hidden="false" customHeight="false" outlineLevel="0" collapsed="false">
      <c r="A235" s="17" t="s">
        <v>457</v>
      </c>
      <c r="B235" s="17" t="s">
        <v>458</v>
      </c>
      <c r="C235" s="17" t="s">
        <v>1245</v>
      </c>
      <c r="D235" s="17" t="s">
        <v>86</v>
      </c>
      <c r="E235" s="18" t="n">
        <v>8810</v>
      </c>
      <c r="F235" s="17" t="s">
        <v>825</v>
      </c>
      <c r="G235" s="23" t="n">
        <v>0.546651532349603</v>
      </c>
      <c r="H235" s="19" t="n">
        <v>48.2</v>
      </c>
      <c r="I235" s="17" t="n">
        <f aca="false">IF(H235="","",RANK(H235,$H$5:$H$430))</f>
        <v>231</v>
      </c>
      <c r="J235" s="24" t="n">
        <v>0.0783353733170135</v>
      </c>
      <c r="K235" s="19" t="n">
        <v>36.6</v>
      </c>
      <c r="L235" s="17" t="n">
        <f aca="false">IF(K235="","",RANK(K235,$K$5:$K$430))</f>
        <v>266</v>
      </c>
      <c r="M235" s="25" t="n">
        <v>0.153153153153153</v>
      </c>
      <c r="N235" s="19" t="n">
        <v>59.2</v>
      </c>
      <c r="O235" s="17" t="n">
        <f aca="false">IF(N235="","",RANK(N235,$N$5:$N$430))</f>
        <v>154</v>
      </c>
      <c r="P235" s="17" t="str">
        <f aca="false">IF(AND(N(H235)&gt;=N(K235),N(H235)&gt;=N(N235)),"The Pulse",IF(N(K235)&gt;=N(N235),"The Lens","The Hub"))</f>
        <v>The Hub</v>
      </c>
      <c r="Q235" s="20" t="s">
        <v>74</v>
      </c>
      <c r="R235" s="26" t="s">
        <v>822</v>
      </c>
      <c r="S235" s="17" t="s">
        <v>24</v>
      </c>
    </row>
    <row r="236" customFormat="false" ht="15" hidden="false" customHeight="false" outlineLevel="0" collapsed="false">
      <c r="A236" s="17" t="s">
        <v>1246</v>
      </c>
      <c r="B236" s="17" t="s">
        <v>1247</v>
      </c>
      <c r="C236" s="17" t="s">
        <v>1248</v>
      </c>
      <c r="D236" s="17" t="s">
        <v>72</v>
      </c>
      <c r="E236" s="18" t="n">
        <v>60300</v>
      </c>
      <c r="F236" s="17" t="s">
        <v>821</v>
      </c>
      <c r="G236" s="23" t="n">
        <v>0.545970149253731</v>
      </c>
      <c r="H236" s="19" t="n">
        <v>48</v>
      </c>
      <c r="I236" s="17" t="n">
        <f aca="false">IF(H236="","",RANK(H236,$H$5:$H$430))</f>
        <v>232</v>
      </c>
      <c r="J236" s="24" t="n">
        <v>0.0230743128605361</v>
      </c>
      <c r="K236" s="19" t="n">
        <v>13.7</v>
      </c>
      <c r="L236" s="17" t="n">
        <f aca="false">IF(K236="","",RANK(K236,$K$5:$K$430))</f>
        <v>363</v>
      </c>
      <c r="M236" s="25" t="n">
        <v>0.016772269847186</v>
      </c>
      <c r="N236" s="19" t="n">
        <v>4.2</v>
      </c>
      <c r="O236" s="17" t="n">
        <f aca="false">IF(N236="","",RANK(N236,$N$5:$N$430))</f>
        <v>372</v>
      </c>
      <c r="P236" s="17" t="str">
        <f aca="false">IF(AND(N(H236)&gt;=N(K236),N(H236)&gt;=N(N236)),"The Pulse",IF(N(K236)&gt;=N(N236),"The Lens","The Hub"))</f>
        <v>The Pulse</v>
      </c>
      <c r="Q236" s="20" t="s">
        <v>74</v>
      </c>
      <c r="R236" s="27" t="s">
        <v>832</v>
      </c>
      <c r="S236" s="17" t="s">
        <v>24</v>
      </c>
    </row>
    <row r="237" customFormat="false" ht="15" hidden="false" customHeight="false" outlineLevel="0" collapsed="false">
      <c r="A237" s="17" t="s">
        <v>419</v>
      </c>
      <c r="B237" s="17" t="s">
        <v>420</v>
      </c>
      <c r="C237" s="17" t="s">
        <v>1249</v>
      </c>
      <c r="D237" s="17" t="s">
        <v>162</v>
      </c>
      <c r="E237" s="18" t="n">
        <v>17340</v>
      </c>
      <c r="F237" s="17" t="s">
        <v>821</v>
      </c>
      <c r="G237" s="23" t="n">
        <v>0.542848904267589</v>
      </c>
      <c r="H237" s="19" t="n">
        <v>47.8</v>
      </c>
      <c r="I237" s="17" t="n">
        <f aca="false">IF(H237="","",RANK(H237,$H$5:$H$430))</f>
        <v>233</v>
      </c>
      <c r="J237" s="24" t="n">
        <v>-0.020865577529378</v>
      </c>
      <c r="K237" s="19" t="n">
        <v>5.8</v>
      </c>
      <c r="L237" s="17" t="n">
        <f aca="false">IF(K237="","",RANK(K237,$K$5:$K$430))</f>
        <v>402</v>
      </c>
      <c r="M237" s="28" t="s">
        <v>857</v>
      </c>
      <c r="N237" s="19"/>
      <c r="O237" s="17" t="str">
        <f aca="false">IF(N237="","",RANK(N237,$N$5:$N$430))</f>
        <v/>
      </c>
      <c r="P237" s="17" t="str">
        <f aca="false">IF(AND(N(H237)&gt;=N(K237),N(H237)&gt;=N(N237)),"The Pulse",IF(N(K237)&gt;=N(N237),"The Lens","The Hub"))</f>
        <v>The Pulse</v>
      </c>
      <c r="Q237" s="21" t="s">
        <v>79</v>
      </c>
      <c r="R237" s="26" t="s">
        <v>822</v>
      </c>
      <c r="S237" s="17" t="s">
        <v>88</v>
      </c>
    </row>
    <row r="238" customFormat="false" ht="15" hidden="false" customHeight="false" outlineLevel="0" collapsed="false">
      <c r="A238" s="17" t="s">
        <v>511</v>
      </c>
      <c r="B238" s="17" t="s">
        <v>512</v>
      </c>
      <c r="C238" s="17" t="s">
        <v>1250</v>
      </c>
      <c r="D238" s="17" t="s">
        <v>91</v>
      </c>
      <c r="E238" s="18" t="n">
        <v>1998</v>
      </c>
      <c r="F238" s="17" t="s">
        <v>825</v>
      </c>
      <c r="G238" s="23" t="n">
        <v>0.542542542542543</v>
      </c>
      <c r="H238" s="19" t="n">
        <v>47.6</v>
      </c>
      <c r="I238" s="17" t="n">
        <f aca="false">IF(H238="","",RANK(H238,$H$5:$H$430))</f>
        <v>234</v>
      </c>
      <c r="J238" s="24" t="n">
        <v>0.125</v>
      </c>
      <c r="K238" s="19" t="n">
        <v>66.2</v>
      </c>
      <c r="L238" s="17" t="n">
        <f aca="false">IF(K238="","",RANK(K238,$K$5:$K$430))</f>
        <v>144</v>
      </c>
      <c r="M238" s="25" t="n">
        <v>0.114754098360656</v>
      </c>
      <c r="N238" s="19" t="n">
        <v>42</v>
      </c>
      <c r="O238" s="17" t="n">
        <f aca="false">IF(N238="","",RANK(N238,$N$5:$N$430))</f>
        <v>223</v>
      </c>
      <c r="P238" s="17" t="str">
        <f aca="false">IF(AND(N(H238)&gt;=N(K238),N(H238)&gt;=N(N238)),"The Pulse",IF(N(K238)&gt;=N(N238),"The Lens","The Hub"))</f>
        <v>The Lens</v>
      </c>
      <c r="Q238" s="21" t="s">
        <v>79</v>
      </c>
      <c r="R238" s="26" t="s">
        <v>822</v>
      </c>
      <c r="S238" s="17" t="s">
        <v>22</v>
      </c>
    </row>
    <row r="239" customFormat="false" ht="15" hidden="false" customHeight="false" outlineLevel="0" collapsed="false">
      <c r="A239" s="17" t="s">
        <v>1251</v>
      </c>
      <c r="B239" s="17" t="s">
        <v>1252</v>
      </c>
      <c r="C239" s="17" t="s">
        <v>1253</v>
      </c>
      <c r="D239" s="17" t="s">
        <v>95</v>
      </c>
      <c r="E239" s="18" t="n">
        <v>339130</v>
      </c>
      <c r="F239" s="17" t="s">
        <v>827</v>
      </c>
      <c r="G239" s="23" t="n">
        <v>0.541904284492673</v>
      </c>
      <c r="H239" s="19" t="n">
        <v>47.4</v>
      </c>
      <c r="I239" s="17" t="n">
        <f aca="false">IF(H239="","",RANK(H239,$H$5:$H$430))</f>
        <v>235</v>
      </c>
      <c r="J239" s="24" t="n">
        <v>0.0477323282254078</v>
      </c>
      <c r="K239" s="19" t="n">
        <v>28.6</v>
      </c>
      <c r="L239" s="17" t="n">
        <f aca="false">IF(K239="","",RANK(K239,$K$5:$K$430))</f>
        <v>296</v>
      </c>
      <c r="M239" s="25" t="n">
        <v>0.151137320977254</v>
      </c>
      <c r="N239" s="19" t="n">
        <v>58.3</v>
      </c>
      <c r="O239" s="17" t="n">
        <f aca="false">IF(N239="","",RANK(N239,$N$5:$N$430))</f>
        <v>158</v>
      </c>
      <c r="P239" s="17" t="str">
        <f aca="false">IF(AND(N(H239)&gt;=N(K239),N(H239)&gt;=N(N239)),"The Pulse",IF(N(K239)&gt;=N(N239),"The Lens","The Hub"))</f>
        <v>The Hub</v>
      </c>
      <c r="Q239" s="20" t="s">
        <v>74</v>
      </c>
      <c r="R239" s="27" t="s">
        <v>832</v>
      </c>
      <c r="S239" s="17" t="s">
        <v>24</v>
      </c>
    </row>
    <row r="240" customFormat="false" ht="15" hidden="false" customHeight="false" outlineLevel="0" collapsed="false">
      <c r="A240" s="17" t="s">
        <v>277</v>
      </c>
      <c r="B240" s="17" t="s">
        <v>278</v>
      </c>
      <c r="C240" s="17" t="s">
        <v>1254</v>
      </c>
      <c r="D240" s="17" t="s">
        <v>91</v>
      </c>
      <c r="E240" s="18" t="n">
        <v>16390</v>
      </c>
      <c r="F240" s="17" t="s">
        <v>821</v>
      </c>
      <c r="G240" s="23" t="n">
        <v>0.539353264185479</v>
      </c>
      <c r="H240" s="19" t="n">
        <v>47.1</v>
      </c>
      <c r="I240" s="17" t="n">
        <f aca="false">IF(H240="","",RANK(H240,$H$5:$H$430))</f>
        <v>236</v>
      </c>
      <c r="J240" s="24" t="n">
        <v>0.0649772579597141</v>
      </c>
      <c r="K240" s="19" t="n">
        <v>36.4</v>
      </c>
      <c r="L240" s="17" t="n">
        <f aca="false">IF(K240="","",RANK(K240,$K$5:$K$430))</f>
        <v>267</v>
      </c>
      <c r="M240" s="25" t="n">
        <v>0.180645161290323</v>
      </c>
      <c r="N240" s="19" t="n">
        <v>68.3</v>
      </c>
      <c r="O240" s="17" t="n">
        <f aca="false">IF(N240="","",RANK(N240,$N$5:$N$430))</f>
        <v>122</v>
      </c>
      <c r="P240" s="17" t="str">
        <f aca="false">IF(AND(N(H240)&gt;=N(K240),N(H240)&gt;=N(N240)),"The Pulse",IF(N(K240)&gt;=N(N240),"The Lens","The Hub"))</f>
        <v>The Hub</v>
      </c>
      <c r="Q240" s="20" t="s">
        <v>74</v>
      </c>
      <c r="R240" s="26" t="s">
        <v>822</v>
      </c>
      <c r="S240" s="17" t="s">
        <v>24</v>
      </c>
    </row>
    <row r="241" customFormat="false" ht="15" hidden="false" customHeight="false" outlineLevel="0" collapsed="false">
      <c r="A241" s="17" t="s">
        <v>505</v>
      </c>
      <c r="B241" s="17" t="s">
        <v>506</v>
      </c>
      <c r="C241" s="17" t="s">
        <v>1255</v>
      </c>
      <c r="D241" s="17" t="s">
        <v>123</v>
      </c>
      <c r="E241" s="18" t="n">
        <v>9560</v>
      </c>
      <c r="F241" s="17" t="s">
        <v>825</v>
      </c>
      <c r="G241" s="23" t="n">
        <v>0.537238493723849</v>
      </c>
      <c r="H241" s="19" t="n">
        <v>46.7</v>
      </c>
      <c r="I241" s="17" t="n">
        <f aca="false">IF(H241="","",RANK(H241,$H$5:$H$430))</f>
        <v>237</v>
      </c>
      <c r="J241" s="24" t="n">
        <v>-0.0599803343166175</v>
      </c>
      <c r="K241" s="19" t="n">
        <v>1.4</v>
      </c>
      <c r="L241" s="17" t="n">
        <f aca="false">IF(K241="","",RANK(K241,$K$5:$K$430))</f>
        <v>421</v>
      </c>
      <c r="M241" s="28" t="s">
        <v>857</v>
      </c>
      <c r="N241" s="19"/>
      <c r="O241" s="17" t="str">
        <f aca="false">IF(N241="","",RANK(N241,$N$5:$N$430))</f>
        <v/>
      </c>
      <c r="P241" s="17" t="str">
        <f aca="false">IF(AND(N(H241)&gt;=N(K241),N(H241)&gt;=N(N241)),"The Pulse",IF(N(K241)&gt;=N(N241),"The Lens","The Hub"))</f>
        <v>The Pulse</v>
      </c>
      <c r="Q241" s="20" t="s">
        <v>74</v>
      </c>
      <c r="R241" s="26" t="s">
        <v>822</v>
      </c>
      <c r="S241" s="17" t="s">
        <v>24</v>
      </c>
    </row>
    <row r="242" customFormat="false" ht="15" hidden="false" customHeight="false" outlineLevel="0" collapsed="false">
      <c r="A242" s="17" t="s">
        <v>243</v>
      </c>
      <c r="B242" s="17" t="s">
        <v>244</v>
      </c>
      <c r="C242" s="17" t="s">
        <v>1256</v>
      </c>
      <c r="D242" s="17" t="s">
        <v>91</v>
      </c>
      <c r="E242" s="18" t="n">
        <v>6630</v>
      </c>
      <c r="F242" s="17" t="s">
        <v>825</v>
      </c>
      <c r="G242" s="23" t="n">
        <v>0.536802413273002</v>
      </c>
      <c r="H242" s="19" t="n">
        <v>46.5</v>
      </c>
      <c r="I242" s="17" t="n">
        <f aca="false">IF(H242="","",RANK(H242,$H$5:$H$430))</f>
        <v>238</v>
      </c>
      <c r="J242" s="24" t="n">
        <v>0.0922570016474465</v>
      </c>
      <c r="K242" s="19" t="n">
        <v>45.1</v>
      </c>
      <c r="L242" s="17" t="n">
        <f aca="false">IF(K242="","",RANK(K242,$K$5:$K$430))</f>
        <v>230</v>
      </c>
      <c r="M242" s="25" t="n">
        <v>0.197674418604651</v>
      </c>
      <c r="N242" s="19" t="n">
        <v>72</v>
      </c>
      <c r="O242" s="17" t="n">
        <f aca="false">IF(N242="","",RANK(N242,$N$5:$N$430))</f>
        <v>109</v>
      </c>
      <c r="P242" s="17" t="str">
        <f aca="false">IF(AND(N(H242)&gt;=N(K242),N(H242)&gt;=N(N242)),"The Pulse",IF(N(K242)&gt;=N(N242),"The Lens","The Hub"))</f>
        <v>The Hub</v>
      </c>
      <c r="Q242" s="20" t="s">
        <v>74</v>
      </c>
      <c r="R242" s="26" t="s">
        <v>822</v>
      </c>
      <c r="S242" s="17" t="s">
        <v>24</v>
      </c>
    </row>
    <row r="243" customFormat="false" ht="15" hidden="false" customHeight="false" outlineLevel="0" collapsed="false">
      <c r="A243" s="17" t="s">
        <v>715</v>
      </c>
      <c r="B243" s="17" t="s">
        <v>716</v>
      </c>
      <c r="C243" s="17" t="s">
        <v>1257</v>
      </c>
      <c r="D243" s="17" t="s">
        <v>91</v>
      </c>
      <c r="E243" s="18" t="n">
        <v>24850</v>
      </c>
      <c r="F243" s="17" t="s">
        <v>821</v>
      </c>
      <c r="G243" s="23" t="n">
        <v>0.534969818913481</v>
      </c>
      <c r="H243" s="19" t="n">
        <v>46.3</v>
      </c>
      <c r="I243" s="17" t="n">
        <f aca="false">IF(H243="","",RANK(H243,$H$5:$H$430))</f>
        <v>239</v>
      </c>
      <c r="J243" s="24" t="n">
        <v>0.109375</v>
      </c>
      <c r="K243" s="19" t="n">
        <v>58.4</v>
      </c>
      <c r="L243" s="17" t="n">
        <f aca="false">IF(K243="","",RANK(K243,$K$5:$K$430))</f>
        <v>180</v>
      </c>
      <c r="M243" s="25" t="n">
        <v>0.190301921317475</v>
      </c>
      <c r="N243" s="19" t="n">
        <v>69.9</v>
      </c>
      <c r="O243" s="17" t="n">
        <f aca="false">IF(N243="","",RANK(N243,$N$5:$N$430))</f>
        <v>116</v>
      </c>
      <c r="P243" s="17" t="str">
        <f aca="false">IF(AND(N(H243)&gt;=N(K243),N(H243)&gt;=N(N243)),"The Pulse",IF(N(K243)&gt;=N(N243),"The Lens","The Hub"))</f>
        <v>The Hub</v>
      </c>
      <c r="Q243" s="20" t="s">
        <v>74</v>
      </c>
      <c r="R243" s="26" t="s">
        <v>822</v>
      </c>
      <c r="S243" s="17" t="s">
        <v>24</v>
      </c>
    </row>
    <row r="244" customFormat="false" ht="15" hidden="false" customHeight="false" outlineLevel="0" collapsed="false">
      <c r="A244" s="17" t="s">
        <v>605</v>
      </c>
      <c r="B244" s="17" t="s">
        <v>606</v>
      </c>
      <c r="C244" s="17" t="s">
        <v>1258</v>
      </c>
      <c r="D244" s="17" t="s">
        <v>91</v>
      </c>
      <c r="E244" s="18" t="n">
        <v>414550</v>
      </c>
      <c r="F244" s="17" t="s">
        <v>827</v>
      </c>
      <c r="G244" s="23" t="n">
        <v>0.533655771318297</v>
      </c>
      <c r="H244" s="19" t="n">
        <v>46.1</v>
      </c>
      <c r="I244" s="17" t="n">
        <f aca="false">IF(H244="","",RANK(H244,$H$5:$H$430))</f>
        <v>240</v>
      </c>
      <c r="J244" s="24" t="n">
        <v>0.0696408298069976</v>
      </c>
      <c r="K244" s="19" t="n">
        <v>40</v>
      </c>
      <c r="L244" s="17" t="n">
        <f aca="false">IF(K244="","",RANK(K244,$K$5:$K$430))</f>
        <v>253</v>
      </c>
      <c r="M244" s="28" t="s">
        <v>857</v>
      </c>
      <c r="N244" s="19"/>
      <c r="O244" s="17" t="str">
        <f aca="false">IF(N244="","",RANK(N244,$N$5:$N$430))</f>
        <v/>
      </c>
      <c r="P244" s="17" t="str">
        <f aca="false">IF(AND(N(H244)&gt;=N(K244),N(H244)&gt;=N(N244)),"The Pulse",IF(N(K244)&gt;=N(N244),"The Lens","The Hub"))</f>
        <v>The Pulse</v>
      </c>
      <c r="Q244" s="20" t="s">
        <v>74</v>
      </c>
      <c r="R244" s="26" t="s">
        <v>822</v>
      </c>
      <c r="S244" s="17" t="s">
        <v>24</v>
      </c>
    </row>
    <row r="245" customFormat="false" ht="15" hidden="false" customHeight="false" outlineLevel="0" collapsed="false">
      <c r="A245" s="17" t="s">
        <v>1259</v>
      </c>
      <c r="B245" s="17" t="s">
        <v>1260</v>
      </c>
      <c r="C245" s="17" t="s">
        <v>1261</v>
      </c>
      <c r="D245" s="17" t="s">
        <v>98</v>
      </c>
      <c r="E245" s="18" t="n">
        <v>104370</v>
      </c>
      <c r="F245" s="17" t="s">
        <v>827</v>
      </c>
      <c r="G245" s="23" t="n">
        <v>0.530909265114497</v>
      </c>
      <c r="H245" s="19" t="n">
        <v>45.7</v>
      </c>
      <c r="I245" s="17" t="n">
        <f aca="false">IF(H245="","",RANK(H245,$H$5:$H$430))</f>
        <v>241</v>
      </c>
      <c r="J245" s="24" t="n">
        <v>-0.0454545454545455</v>
      </c>
      <c r="K245" s="19" t="n">
        <v>4.3</v>
      </c>
      <c r="L245" s="17" t="n">
        <f aca="false">IF(K245="","",RANK(K245,$K$5:$K$430))</f>
        <v>409</v>
      </c>
      <c r="M245" s="25" t="n">
        <v>0.121231979030144</v>
      </c>
      <c r="N245" s="19" t="n">
        <v>45.2</v>
      </c>
      <c r="O245" s="17" t="n">
        <f aca="false">IF(N245="","",RANK(N245,$N$5:$N$430))</f>
        <v>210</v>
      </c>
      <c r="P245" s="17" t="str">
        <f aca="false">IF(AND(N(H245)&gt;=N(K245),N(H245)&gt;=N(N245)),"The Pulse",IF(N(K245)&gt;=N(N245),"The Lens","The Hub"))</f>
        <v>The Pulse</v>
      </c>
      <c r="Q245" s="20" t="s">
        <v>74</v>
      </c>
      <c r="R245" s="27" t="s">
        <v>832</v>
      </c>
      <c r="S245" s="17" t="s">
        <v>24</v>
      </c>
    </row>
    <row r="246" customFormat="false" ht="15" hidden="false" customHeight="false" outlineLevel="0" collapsed="false">
      <c r="A246" s="17" t="s">
        <v>529</v>
      </c>
      <c r="B246" s="17" t="s">
        <v>530</v>
      </c>
      <c r="C246" s="17" t="s">
        <v>1262</v>
      </c>
      <c r="D246" s="17" t="s">
        <v>77</v>
      </c>
      <c r="E246" s="18" t="n">
        <v>207820</v>
      </c>
      <c r="F246" s="17" t="s">
        <v>827</v>
      </c>
      <c r="G246" s="23" t="n">
        <v>0.529515927244731</v>
      </c>
      <c r="H246" s="19" t="n">
        <v>45.6</v>
      </c>
      <c r="I246" s="17" t="n">
        <f aca="false">IF(H246="","",RANK(H246,$H$5:$H$430))</f>
        <v>242</v>
      </c>
      <c r="J246" s="24" t="n">
        <v>0.0301378011301675</v>
      </c>
      <c r="K246" s="19" t="n">
        <v>22.1</v>
      </c>
      <c r="L246" s="17" t="n">
        <f aca="false">IF(K246="","",RANK(K246,$K$5:$K$430))</f>
        <v>326</v>
      </c>
      <c r="M246" s="25" t="n">
        <v>0.244176013805004</v>
      </c>
      <c r="N246" s="19" t="n">
        <v>81.1</v>
      </c>
      <c r="O246" s="17" t="n">
        <f aca="false">IF(N246="","",RANK(N246,$N$5:$N$430))</f>
        <v>75</v>
      </c>
      <c r="P246" s="17" t="str">
        <f aca="false">IF(AND(N(H246)&gt;=N(K246),N(H246)&gt;=N(N246)),"The Pulse",IF(N(K246)&gt;=N(N246),"The Lens","The Hub"))</f>
        <v>The Hub</v>
      </c>
      <c r="Q246" s="20" t="s">
        <v>74</v>
      </c>
      <c r="R246" s="26" t="s">
        <v>822</v>
      </c>
      <c r="S246" s="17" t="s">
        <v>24</v>
      </c>
    </row>
    <row r="247" customFormat="false" ht="15" hidden="false" customHeight="false" outlineLevel="0" collapsed="false">
      <c r="A247" s="17" t="s">
        <v>1263</v>
      </c>
      <c r="B247" s="17" t="s">
        <v>1264</v>
      </c>
      <c r="C247" s="17" t="s">
        <v>1265</v>
      </c>
      <c r="D247" s="17" t="s">
        <v>86</v>
      </c>
      <c r="E247" s="18" t="n">
        <v>203770</v>
      </c>
      <c r="F247" s="17" t="s">
        <v>827</v>
      </c>
      <c r="G247" s="23" t="n">
        <v>0.528998380527065</v>
      </c>
      <c r="H247" s="19" t="n">
        <v>45.4</v>
      </c>
      <c r="I247" s="17" t="n">
        <f aca="false">IF(H247="","",RANK(H247,$H$5:$H$430))</f>
        <v>243</v>
      </c>
      <c r="J247" s="24" t="n">
        <v>0.0492790937178167</v>
      </c>
      <c r="K247" s="19" t="n">
        <v>29.3</v>
      </c>
      <c r="L247" s="17" t="n">
        <f aca="false">IF(K247="","",RANK(K247,$K$5:$K$430))</f>
        <v>294</v>
      </c>
      <c r="M247" s="25" t="n">
        <v>0.18650935526159</v>
      </c>
      <c r="N247" s="19" t="n">
        <v>69.2</v>
      </c>
      <c r="O247" s="17" t="n">
        <f aca="false">IF(N247="","",RANK(N247,$N$5:$N$430))</f>
        <v>119</v>
      </c>
      <c r="P247" s="17" t="str">
        <f aca="false">IF(AND(N(H247)&gt;=N(K247),N(H247)&gt;=N(N247)),"The Pulse",IF(N(K247)&gt;=N(N247),"The Lens","The Hub"))</f>
        <v>The Hub</v>
      </c>
      <c r="Q247" s="20" t="s">
        <v>74</v>
      </c>
      <c r="R247" s="27" t="s">
        <v>832</v>
      </c>
      <c r="S247" s="17" t="s">
        <v>24</v>
      </c>
    </row>
    <row r="248" customFormat="false" ht="15" hidden="false" customHeight="false" outlineLevel="0" collapsed="false">
      <c r="A248" s="17" t="s">
        <v>721</v>
      </c>
      <c r="B248" s="17" t="s">
        <v>722</v>
      </c>
      <c r="C248" s="17" t="s">
        <v>1266</v>
      </c>
      <c r="D248" s="17" t="s">
        <v>77</v>
      </c>
      <c r="E248" s="18" t="n">
        <v>22200</v>
      </c>
      <c r="F248" s="17" t="s">
        <v>821</v>
      </c>
      <c r="G248" s="23" t="n">
        <v>0.528918918918919</v>
      </c>
      <c r="H248" s="19" t="n">
        <v>45.2</v>
      </c>
      <c r="I248" s="17" t="n">
        <f aca="false">IF(H248="","",RANK(H248,$H$5:$H$430))</f>
        <v>244</v>
      </c>
      <c r="J248" s="24" t="n">
        <v>0.0526315789473684</v>
      </c>
      <c r="K248" s="19" t="n">
        <v>29.6</v>
      </c>
      <c r="L248" s="17" t="n">
        <f aca="false">IF(K248="","",RANK(K248,$K$5:$K$430))</f>
        <v>291</v>
      </c>
      <c r="M248" s="25" t="n">
        <v>0.257383966244726</v>
      </c>
      <c r="N248" s="19" t="n">
        <v>83.4</v>
      </c>
      <c r="O248" s="17" t="n">
        <f aca="false">IF(N248="","",RANK(N248,$N$5:$N$430))</f>
        <v>65</v>
      </c>
      <c r="P248" s="17" t="str">
        <f aca="false">IF(AND(N(H248)&gt;=N(K248),N(H248)&gt;=N(N248)),"The Pulse",IF(N(K248)&gt;=N(N248),"The Lens","The Hub"))</f>
        <v>The Hub</v>
      </c>
      <c r="Q248" s="20" t="s">
        <v>74</v>
      </c>
      <c r="R248" s="26" t="s">
        <v>822</v>
      </c>
      <c r="S248" s="17" t="s">
        <v>24</v>
      </c>
    </row>
    <row r="249" customFormat="false" ht="15" hidden="false" customHeight="false" outlineLevel="0" collapsed="false">
      <c r="A249" s="17" t="s">
        <v>1267</v>
      </c>
      <c r="B249" s="17" t="s">
        <v>1268</v>
      </c>
      <c r="C249" s="17" t="s">
        <v>1269</v>
      </c>
      <c r="D249" s="17" t="s">
        <v>95</v>
      </c>
      <c r="E249" s="18" t="n">
        <v>86250</v>
      </c>
      <c r="F249" s="17" t="s">
        <v>821</v>
      </c>
      <c r="G249" s="23" t="n">
        <v>0.526655072463768</v>
      </c>
      <c r="H249" s="19" t="n">
        <v>45</v>
      </c>
      <c r="I249" s="17" t="n">
        <f aca="false">IF(H249="","",RANK(H249,$H$5:$H$430))</f>
        <v>245</v>
      </c>
      <c r="J249" s="24" t="n">
        <v>0.119257721256164</v>
      </c>
      <c r="K249" s="19" t="n">
        <v>63.9</v>
      </c>
      <c r="L249" s="17" t="n">
        <f aca="false">IF(K249="","",RANK(K249,$K$5:$K$430))</f>
        <v>156</v>
      </c>
      <c r="M249" s="28" t="s">
        <v>857</v>
      </c>
      <c r="N249" s="19"/>
      <c r="O249" s="17" t="str">
        <f aca="false">IF(N249="","",RANK(N249,$N$5:$N$430))</f>
        <v/>
      </c>
      <c r="P249" s="17" t="str">
        <f aca="false">IF(AND(N(H249)&gt;=N(K249),N(H249)&gt;=N(N249)),"The Pulse",IF(N(K249)&gt;=N(N249),"The Lens","The Hub"))</f>
        <v>The Lens</v>
      </c>
      <c r="Q249" s="20" t="s">
        <v>74</v>
      </c>
      <c r="R249" s="27" t="s">
        <v>832</v>
      </c>
      <c r="S249" s="17" t="s">
        <v>24</v>
      </c>
    </row>
    <row r="250" customFormat="false" ht="15" hidden="false" customHeight="false" outlineLevel="0" collapsed="false">
      <c r="A250" s="17" t="s">
        <v>717</v>
      </c>
      <c r="B250" s="17" t="s">
        <v>718</v>
      </c>
      <c r="C250" s="17" t="s">
        <v>1270</v>
      </c>
      <c r="D250" s="17" t="s">
        <v>91</v>
      </c>
      <c r="E250" s="18" t="n">
        <v>605680</v>
      </c>
      <c r="F250" s="17" t="s">
        <v>827</v>
      </c>
      <c r="G250" s="23" t="n">
        <v>0.523570202086911</v>
      </c>
      <c r="H250" s="19" t="n">
        <v>44.6</v>
      </c>
      <c r="I250" s="17" t="n">
        <f aca="false">IF(H250="","",RANK(H250,$H$5:$H$430))</f>
        <v>246</v>
      </c>
      <c r="J250" s="24" t="n">
        <v>0.0992976024102946</v>
      </c>
      <c r="K250" s="19" t="n">
        <v>58.6</v>
      </c>
      <c r="L250" s="17" t="n">
        <f aca="false">IF(K250="","",RANK(K250,$K$5:$K$430))</f>
        <v>179</v>
      </c>
      <c r="M250" s="25" t="n">
        <v>0.0852281062050756</v>
      </c>
      <c r="N250" s="19" t="n">
        <v>28.9</v>
      </c>
      <c r="O250" s="17" t="n">
        <f aca="false">IF(N250="","",RANK(N250,$N$5:$N$430))</f>
        <v>276</v>
      </c>
      <c r="P250" s="17" t="str">
        <f aca="false">IF(AND(N(H250)&gt;=N(K250),N(H250)&gt;=N(N250)),"The Pulse",IF(N(K250)&gt;=N(N250),"The Lens","The Hub"))</f>
        <v>The Lens</v>
      </c>
      <c r="Q250" s="20" t="s">
        <v>74</v>
      </c>
      <c r="R250" s="26" t="s">
        <v>822</v>
      </c>
      <c r="S250" s="17" t="s">
        <v>24</v>
      </c>
    </row>
    <row r="251" customFormat="false" ht="15" hidden="false" customHeight="false" outlineLevel="0" collapsed="false">
      <c r="A251" s="17" t="s">
        <v>227</v>
      </c>
      <c r="B251" s="17" t="s">
        <v>228</v>
      </c>
      <c r="C251" s="17" t="s">
        <v>1271</v>
      </c>
      <c r="D251" s="17" t="s">
        <v>98</v>
      </c>
      <c r="E251" s="18" t="n">
        <v>261296</v>
      </c>
      <c r="F251" s="17" t="s">
        <v>827</v>
      </c>
      <c r="G251" s="23" t="n">
        <v>0.519847223072684</v>
      </c>
      <c r="H251" s="19" t="n">
        <v>44.4</v>
      </c>
      <c r="I251" s="17" t="n">
        <f aca="false">IF(H251="","",RANK(H251,$H$5:$H$430))</f>
        <v>247</v>
      </c>
      <c r="J251" s="24" t="n">
        <v>0.184500172260603</v>
      </c>
      <c r="K251" s="19" t="n">
        <v>90.7</v>
      </c>
      <c r="L251" s="17" t="n">
        <f aca="false">IF(K251="","",RANK(K251,$K$5:$K$430))</f>
        <v>41</v>
      </c>
      <c r="M251" s="25" t="n">
        <v>0.0435425193269668</v>
      </c>
      <c r="N251" s="19" t="n">
        <v>13.5</v>
      </c>
      <c r="O251" s="17" t="n">
        <f aca="false">IF(N251="","",RANK(N251,$N$5:$N$430))</f>
        <v>335</v>
      </c>
      <c r="P251" s="17" t="str">
        <f aca="false">IF(AND(N(H251)&gt;=N(K251),N(H251)&gt;=N(N251)),"The Pulse",IF(N(K251)&gt;=N(N251),"The Lens","The Hub"))</f>
        <v>The Lens</v>
      </c>
      <c r="Q251" s="21" t="s">
        <v>79</v>
      </c>
      <c r="R251" s="26" t="s">
        <v>822</v>
      </c>
      <c r="S251" s="17" t="s">
        <v>22</v>
      </c>
    </row>
    <row r="252" customFormat="false" ht="15" hidden="false" customHeight="false" outlineLevel="0" collapsed="false">
      <c r="A252" s="17" t="s">
        <v>1272</v>
      </c>
      <c r="B252" s="17" t="s">
        <v>1273</v>
      </c>
      <c r="C252" s="17" t="s">
        <v>1274</v>
      </c>
      <c r="D252" s="17" t="s">
        <v>162</v>
      </c>
      <c r="E252" s="18" t="n">
        <v>6348</v>
      </c>
      <c r="F252" s="17" t="s">
        <v>825</v>
      </c>
      <c r="G252" s="23" t="n">
        <v>0.519061121613107</v>
      </c>
      <c r="H252" s="19" t="n">
        <v>44</v>
      </c>
      <c r="I252" s="17" t="n">
        <f aca="false">IF(H252="","",RANK(H252,$H$5:$H$430))</f>
        <v>248</v>
      </c>
      <c r="J252" s="24" t="n">
        <v>0.100745621640368</v>
      </c>
      <c r="K252" s="19" t="n">
        <v>50.7</v>
      </c>
      <c r="L252" s="17" t="n">
        <f aca="false">IF(K252="","",RANK(K252,$K$5:$K$430))</f>
        <v>211</v>
      </c>
      <c r="M252" s="25" t="n">
        <v>0.0344827586206897</v>
      </c>
      <c r="N252" s="19" t="n">
        <v>10.7</v>
      </c>
      <c r="O252" s="17" t="n">
        <f aca="false">IF(N252="","",RANK(N252,$N$5:$N$430))</f>
        <v>345</v>
      </c>
      <c r="P252" s="17" t="str">
        <f aca="false">IF(AND(N(H252)&gt;=N(K252),N(H252)&gt;=N(N252)),"The Pulse",IF(N(K252)&gt;=N(N252),"The Lens","The Hub"))</f>
        <v>The Lens</v>
      </c>
      <c r="Q252" s="21" t="s">
        <v>79</v>
      </c>
      <c r="R252" s="27" t="s">
        <v>832</v>
      </c>
      <c r="S252" s="17" t="s">
        <v>22</v>
      </c>
    </row>
    <row r="253" customFormat="false" ht="15" hidden="false" customHeight="false" outlineLevel="0" collapsed="false">
      <c r="A253" s="17" t="s">
        <v>1275</v>
      </c>
      <c r="B253" s="17" t="s">
        <v>1276</v>
      </c>
      <c r="C253" s="17" t="s">
        <v>1277</v>
      </c>
      <c r="D253" s="17" t="s">
        <v>91</v>
      </c>
      <c r="E253" s="18" t="n">
        <v>960</v>
      </c>
      <c r="F253" s="17" t="s">
        <v>825</v>
      </c>
      <c r="G253" s="23" t="n">
        <v>0.51875</v>
      </c>
      <c r="H253" s="19" t="n">
        <v>43.9</v>
      </c>
      <c r="I253" s="17" t="n">
        <f aca="false">IF(H253="","",RANK(H253,$H$5:$H$430))</f>
        <v>249</v>
      </c>
      <c r="J253" s="24" t="n">
        <v>0.10128055878929</v>
      </c>
      <c r="K253" s="19" t="n">
        <v>52.1</v>
      </c>
      <c r="L253" s="17" t="n">
        <f aca="false">IF(K253="","",RANK(K253,$K$5:$K$430))</f>
        <v>204</v>
      </c>
      <c r="M253" s="25" t="n">
        <v>0.448979591836735</v>
      </c>
      <c r="N253" s="19" t="n">
        <v>99.5</v>
      </c>
      <c r="O253" s="17" t="n">
        <f aca="false">IF(N253="","",RANK(N253,$N$5:$N$430))</f>
        <v>3</v>
      </c>
      <c r="P253" s="17" t="str">
        <f aca="false">IF(AND(N(H253)&gt;=N(K253),N(H253)&gt;=N(N253)),"The Pulse",IF(N(K253)&gt;=N(N253),"The Lens","The Hub"))</f>
        <v>The Hub</v>
      </c>
      <c r="Q253" s="21" t="s">
        <v>79</v>
      </c>
      <c r="R253" s="27" t="s">
        <v>832</v>
      </c>
      <c r="S253" s="17" t="s">
        <v>88</v>
      </c>
    </row>
    <row r="254" customFormat="false" ht="15" hidden="false" customHeight="false" outlineLevel="0" collapsed="false">
      <c r="A254" s="17" t="s">
        <v>1278</v>
      </c>
      <c r="B254" s="17" t="s">
        <v>1279</v>
      </c>
      <c r="C254" s="17" t="s">
        <v>1280</v>
      </c>
      <c r="D254" s="17" t="s">
        <v>86</v>
      </c>
      <c r="E254" s="18" t="n">
        <v>136210</v>
      </c>
      <c r="F254" s="17" t="s">
        <v>827</v>
      </c>
      <c r="G254" s="23" t="n">
        <v>0.518398061816313</v>
      </c>
      <c r="H254" s="19" t="n">
        <v>43.7</v>
      </c>
      <c r="I254" s="17" t="n">
        <f aca="false">IF(H254="","",RANK(H254,$H$5:$H$430))</f>
        <v>250</v>
      </c>
      <c r="J254" s="24" t="n">
        <v>0.00209867452135493</v>
      </c>
      <c r="K254" s="19" t="n">
        <v>12.1</v>
      </c>
      <c r="L254" s="17" t="n">
        <f aca="false">IF(K254="","",RANK(K254,$K$5:$K$430))</f>
        <v>371</v>
      </c>
      <c r="M254" s="25" t="n">
        <v>0.0647925033467202</v>
      </c>
      <c r="N254" s="19" t="n">
        <v>22.1</v>
      </c>
      <c r="O254" s="17" t="n">
        <f aca="false">IF(N254="","",RANK(N254,$N$5:$N$430))</f>
        <v>301</v>
      </c>
      <c r="P254" s="17" t="str">
        <f aca="false">IF(AND(N(H254)&gt;=N(K254),N(H254)&gt;=N(N254)),"The Pulse",IF(N(K254)&gt;=N(N254),"The Lens","The Hub"))</f>
        <v>The Pulse</v>
      </c>
      <c r="Q254" s="21" t="s">
        <v>79</v>
      </c>
      <c r="R254" s="27" t="s">
        <v>832</v>
      </c>
      <c r="S254" s="17" t="s">
        <v>88</v>
      </c>
    </row>
    <row r="255" customFormat="false" ht="15" hidden="false" customHeight="false" outlineLevel="0" collapsed="false">
      <c r="A255" s="17" t="s">
        <v>541</v>
      </c>
      <c r="B255" s="17" t="s">
        <v>542</v>
      </c>
      <c r="C255" s="17" t="s">
        <v>1281</v>
      </c>
      <c r="D255" s="17" t="s">
        <v>72</v>
      </c>
      <c r="E255" s="18" t="n">
        <v>29210</v>
      </c>
      <c r="F255" s="17" t="s">
        <v>821</v>
      </c>
      <c r="G255" s="23" t="n">
        <v>0.518374909926912</v>
      </c>
      <c r="H255" s="19" t="n">
        <v>43.5</v>
      </c>
      <c r="I255" s="17" t="n">
        <f aca="false">IF(H255="","",RANK(H255,$H$5:$H$430))</f>
        <v>251</v>
      </c>
      <c r="J255" s="24" t="n">
        <v>0.16281847133758</v>
      </c>
      <c r="K255" s="19" t="n">
        <v>79.4</v>
      </c>
      <c r="L255" s="17" t="n">
        <f aca="false">IF(K255="","",RANK(K255,$K$5:$K$430))</f>
        <v>89</v>
      </c>
      <c r="M255" s="25" t="n">
        <v>0.175392670157068</v>
      </c>
      <c r="N255" s="19" t="n">
        <v>66.9</v>
      </c>
      <c r="O255" s="17" t="n">
        <f aca="false">IF(N255="","",RANK(N255,$N$5:$N$430))</f>
        <v>127</v>
      </c>
      <c r="P255" s="17" t="str">
        <f aca="false">IF(AND(N(H255)&gt;=N(K255),N(H255)&gt;=N(N255)),"The Pulse",IF(N(K255)&gt;=N(N255),"The Lens","The Hub"))</f>
        <v>The Lens</v>
      </c>
      <c r="Q255" s="21" t="s">
        <v>79</v>
      </c>
      <c r="R255" s="26" t="s">
        <v>822</v>
      </c>
      <c r="S255" s="17" t="s">
        <v>88</v>
      </c>
    </row>
    <row r="256" customFormat="false" ht="15" hidden="false" customHeight="false" outlineLevel="0" collapsed="false">
      <c r="A256" s="17" t="s">
        <v>1282</v>
      </c>
      <c r="B256" s="17" t="s">
        <v>1283</v>
      </c>
      <c r="C256" s="17" t="s">
        <v>1284</v>
      </c>
      <c r="D256" s="17" t="s">
        <v>72</v>
      </c>
      <c r="E256" s="18" t="n">
        <v>46690</v>
      </c>
      <c r="F256" s="17" t="s">
        <v>821</v>
      </c>
      <c r="G256" s="23" t="n">
        <v>0.518226600985222</v>
      </c>
      <c r="H256" s="19" t="n">
        <v>43.3</v>
      </c>
      <c r="I256" s="17" t="n">
        <f aca="false">IF(H256="","",RANK(H256,$H$5:$H$430))</f>
        <v>252</v>
      </c>
      <c r="J256" s="24" t="n">
        <v>0.0466263169692894</v>
      </c>
      <c r="K256" s="19" t="n">
        <v>25.4</v>
      </c>
      <c r="L256" s="17" t="n">
        <f aca="false">IF(K256="","",RANK(K256,$K$5:$K$430))</f>
        <v>309</v>
      </c>
      <c r="M256" s="25" t="n">
        <v>0.241706161137441</v>
      </c>
      <c r="N256" s="19" t="n">
        <v>80.9</v>
      </c>
      <c r="O256" s="17" t="n">
        <f aca="false">IF(N256="","",RANK(N256,$N$5:$N$430))</f>
        <v>76</v>
      </c>
      <c r="P256" s="17" t="str">
        <f aca="false">IF(AND(N(H256)&gt;=N(K256),N(H256)&gt;=N(N256)),"The Pulse",IF(N(K256)&gt;=N(N256),"The Lens","The Hub"))</f>
        <v>The Hub</v>
      </c>
      <c r="Q256" s="20" t="s">
        <v>74</v>
      </c>
      <c r="R256" s="27" t="s">
        <v>832</v>
      </c>
      <c r="S256" s="17" t="s">
        <v>24</v>
      </c>
    </row>
    <row r="257" customFormat="false" ht="15" hidden="false" customHeight="false" outlineLevel="0" collapsed="false">
      <c r="A257" s="17" t="s">
        <v>479</v>
      </c>
      <c r="B257" s="17" t="s">
        <v>480</v>
      </c>
      <c r="C257" s="17" t="s">
        <v>1285</v>
      </c>
      <c r="D257" s="17" t="s">
        <v>91</v>
      </c>
      <c r="E257" s="18" t="n">
        <v>18930</v>
      </c>
      <c r="F257" s="17" t="s">
        <v>821</v>
      </c>
      <c r="G257" s="23" t="n">
        <v>0.514949815108294</v>
      </c>
      <c r="H257" s="19" t="n">
        <v>42.9</v>
      </c>
      <c r="I257" s="17" t="n">
        <f aca="false">IF(H257="","",RANK(H257,$H$5:$H$430))</f>
        <v>253</v>
      </c>
      <c r="J257" s="24" t="n">
        <v>-0.0247295208655332</v>
      </c>
      <c r="K257" s="19" t="n">
        <v>4.8</v>
      </c>
      <c r="L257" s="17" t="n">
        <f aca="false">IF(K257="","",RANK(K257,$K$5:$K$430))</f>
        <v>407</v>
      </c>
      <c r="M257" s="25" t="n">
        <v>0.0232142857142857</v>
      </c>
      <c r="N257" s="19" t="n">
        <v>7</v>
      </c>
      <c r="O257" s="17" t="n">
        <f aca="false">IF(N257="","",RANK(N257,$N$5:$N$430))</f>
        <v>360</v>
      </c>
      <c r="P257" s="17" t="str">
        <f aca="false">IF(AND(N(H257)&gt;=N(K257),N(H257)&gt;=N(N257)),"The Pulse",IF(N(K257)&gt;=N(N257),"The Lens","The Hub"))</f>
        <v>The Pulse</v>
      </c>
      <c r="Q257" s="20" t="s">
        <v>74</v>
      </c>
      <c r="R257" s="26" t="s">
        <v>822</v>
      </c>
      <c r="S257" s="17" t="s">
        <v>24</v>
      </c>
    </row>
    <row r="258" customFormat="false" ht="15" hidden="false" customHeight="false" outlineLevel="0" collapsed="false">
      <c r="A258" s="17" t="s">
        <v>737</v>
      </c>
      <c r="B258" s="17" t="s">
        <v>738</v>
      </c>
      <c r="C258" s="17" t="s">
        <v>1286</v>
      </c>
      <c r="D258" s="17" t="s">
        <v>77</v>
      </c>
      <c r="E258" s="18" t="n">
        <v>143820</v>
      </c>
      <c r="F258" s="17" t="s">
        <v>827</v>
      </c>
      <c r="G258" s="23" t="n">
        <v>0.510082047003199</v>
      </c>
      <c r="H258" s="19" t="n">
        <v>42.5</v>
      </c>
      <c r="I258" s="17" t="n">
        <f aca="false">IF(H258="","",RANK(H258,$H$5:$H$430))</f>
        <v>254</v>
      </c>
      <c r="J258" s="24" t="n">
        <v>0.115748642358417</v>
      </c>
      <c r="K258" s="19" t="n">
        <v>67.1</v>
      </c>
      <c r="L258" s="17" t="n">
        <f aca="false">IF(K258="","",RANK(K258,$K$5:$K$430))</f>
        <v>141</v>
      </c>
      <c r="M258" s="25" t="n">
        <v>0.13640873015873</v>
      </c>
      <c r="N258" s="19" t="n">
        <v>51</v>
      </c>
      <c r="O258" s="17" t="n">
        <f aca="false">IF(N258="","",RANK(N258,$N$5:$N$430))</f>
        <v>186</v>
      </c>
      <c r="P258" s="17" t="str">
        <f aca="false">IF(AND(N(H258)&gt;=N(K258),N(H258)&gt;=N(N258)),"The Pulse",IF(N(K258)&gt;=N(N258),"The Lens","The Hub"))</f>
        <v>The Lens</v>
      </c>
      <c r="Q258" s="20" t="s">
        <v>74</v>
      </c>
      <c r="R258" s="26" t="s">
        <v>822</v>
      </c>
      <c r="S258" s="17" t="s">
        <v>24</v>
      </c>
    </row>
    <row r="259" customFormat="false" ht="15" hidden="false" customHeight="false" outlineLevel="0" collapsed="false">
      <c r="A259" s="17" t="s">
        <v>1287</v>
      </c>
      <c r="B259" s="17" t="s">
        <v>1288</v>
      </c>
      <c r="C259" s="17" t="s">
        <v>1289</v>
      </c>
      <c r="D259" s="17" t="s">
        <v>98</v>
      </c>
      <c r="E259" s="18" t="n">
        <v>53040</v>
      </c>
      <c r="F259" s="17" t="s">
        <v>821</v>
      </c>
      <c r="G259" s="23" t="n">
        <v>0.509521116138763</v>
      </c>
      <c r="H259" s="19" t="n">
        <v>42.3</v>
      </c>
      <c r="I259" s="17" t="n">
        <f aca="false">IF(H259="","",RANK(H259,$H$5:$H$430))</f>
        <v>255</v>
      </c>
      <c r="J259" s="24" t="n">
        <v>0.0233455527686668</v>
      </c>
      <c r="K259" s="19" t="n">
        <v>14.4</v>
      </c>
      <c r="L259" s="17" t="n">
        <f aca="false">IF(K259="","",RANK(K259,$K$5:$K$430))</f>
        <v>360</v>
      </c>
      <c r="M259" s="28" t="s">
        <v>857</v>
      </c>
      <c r="N259" s="19"/>
      <c r="O259" s="17" t="str">
        <f aca="false">IF(N259="","",RANK(N259,$N$5:$N$430))</f>
        <v/>
      </c>
      <c r="P259" s="17" t="str">
        <f aca="false">IF(AND(N(H259)&gt;=N(K259),N(H259)&gt;=N(N259)),"The Pulse",IF(N(K259)&gt;=N(N259),"The Lens","The Hub"))</f>
        <v>The Pulse</v>
      </c>
      <c r="Q259" s="20" t="s">
        <v>74</v>
      </c>
      <c r="R259" s="27" t="s">
        <v>832</v>
      </c>
      <c r="S259" s="17" t="s">
        <v>24</v>
      </c>
    </row>
    <row r="260" customFormat="false" ht="15" hidden="false" customHeight="false" outlineLevel="0" collapsed="false">
      <c r="A260" s="17" t="s">
        <v>1290</v>
      </c>
      <c r="B260" s="17" t="s">
        <v>1291</v>
      </c>
      <c r="C260" s="17" t="s">
        <v>1292</v>
      </c>
      <c r="D260" s="17" t="s">
        <v>95</v>
      </c>
      <c r="E260" s="18" t="n">
        <v>253160</v>
      </c>
      <c r="F260" s="17" t="s">
        <v>827</v>
      </c>
      <c r="G260" s="23" t="n">
        <v>0.506000158002844</v>
      </c>
      <c r="H260" s="19" t="n">
        <v>42.2</v>
      </c>
      <c r="I260" s="17" t="n">
        <f aca="false">IF(H260="","",RANK(H260,$H$5:$H$430))</f>
        <v>256</v>
      </c>
      <c r="J260" s="24" t="n">
        <v>0.253888063397722</v>
      </c>
      <c r="K260" s="19" t="n">
        <v>97.9</v>
      </c>
      <c r="L260" s="17" t="n">
        <f aca="false">IF(K260="","",RANK(K260,$K$5:$K$430))</f>
        <v>11</v>
      </c>
      <c r="M260" s="25" t="n">
        <v>0.0765049599130317</v>
      </c>
      <c r="N260" s="19" t="n">
        <v>24.5</v>
      </c>
      <c r="O260" s="17" t="n">
        <f aca="false">IF(N260="","",RANK(N260,$N$5:$N$430))</f>
        <v>294</v>
      </c>
      <c r="P260" s="17" t="str">
        <f aca="false">IF(AND(N(H260)&gt;=N(K260),N(H260)&gt;=N(N260)),"The Pulse",IF(N(K260)&gt;=N(N260),"The Lens","The Hub"))</f>
        <v>The Lens</v>
      </c>
      <c r="Q260" s="20" t="s">
        <v>74</v>
      </c>
      <c r="R260" s="27" t="s">
        <v>832</v>
      </c>
      <c r="S260" s="17" t="s">
        <v>24</v>
      </c>
    </row>
    <row r="261" customFormat="false" ht="15" hidden="false" customHeight="false" outlineLevel="0" collapsed="false">
      <c r="A261" s="17" t="s">
        <v>735</v>
      </c>
      <c r="B261" s="17" t="s">
        <v>736</v>
      </c>
      <c r="C261" s="17" t="s">
        <v>1293</v>
      </c>
      <c r="D261" s="17" t="s">
        <v>95</v>
      </c>
      <c r="E261" s="18" t="n">
        <v>32866</v>
      </c>
      <c r="F261" s="17" t="s">
        <v>821</v>
      </c>
      <c r="G261" s="23" t="n">
        <v>0.505902756648208</v>
      </c>
      <c r="H261" s="19" t="n">
        <v>42</v>
      </c>
      <c r="I261" s="17" t="n">
        <f aca="false">IF(H261="","",RANK(H261,$H$5:$H$430))</f>
        <v>257</v>
      </c>
      <c r="J261" s="24" t="n">
        <v>0.0795204467071769</v>
      </c>
      <c r="K261" s="19" t="n">
        <v>42.6</v>
      </c>
      <c r="L261" s="17" t="n">
        <f aca="false">IF(K261="","",RANK(K261,$K$5:$K$430))</f>
        <v>241</v>
      </c>
      <c r="M261" s="25" t="n">
        <v>0.114737883283877</v>
      </c>
      <c r="N261" s="19" t="n">
        <v>41.7</v>
      </c>
      <c r="O261" s="17" t="n">
        <f aca="false">IF(N261="","",RANK(N261,$N$5:$N$430))</f>
        <v>224</v>
      </c>
      <c r="P261" s="17" t="str">
        <f aca="false">IF(AND(N(H261)&gt;=N(K261),N(H261)&gt;=N(N261)),"The Pulse",IF(N(K261)&gt;=N(N261),"The Lens","The Hub"))</f>
        <v>The Lens</v>
      </c>
      <c r="Q261" s="21" t="s">
        <v>79</v>
      </c>
      <c r="R261" s="26" t="s">
        <v>822</v>
      </c>
      <c r="S261" s="17" t="s">
        <v>22</v>
      </c>
    </row>
    <row r="262" customFormat="false" ht="15" hidden="false" customHeight="false" outlineLevel="0" collapsed="false">
      <c r="A262" s="17" t="s">
        <v>1294</v>
      </c>
      <c r="B262" s="17" t="s">
        <v>1295</v>
      </c>
      <c r="C262" s="17" t="s">
        <v>1296</v>
      </c>
      <c r="D262" s="17" t="s">
        <v>123</v>
      </c>
      <c r="E262" s="18" t="n">
        <v>94730</v>
      </c>
      <c r="F262" s="17" t="s">
        <v>821</v>
      </c>
      <c r="G262" s="23" t="n">
        <v>0.505594848516837</v>
      </c>
      <c r="H262" s="19" t="n">
        <v>41.8</v>
      </c>
      <c r="I262" s="17" t="n">
        <f aca="false">IF(H262="","",RANK(H262,$H$5:$H$430))</f>
        <v>258</v>
      </c>
      <c r="J262" s="24" t="n">
        <v>0.0342112642636813</v>
      </c>
      <c r="K262" s="19" t="n">
        <v>20.3</v>
      </c>
      <c r="L262" s="17" t="n">
        <f aca="false">IF(K262="","",RANK(K262,$K$5:$K$430))</f>
        <v>335</v>
      </c>
      <c r="M262" s="25" t="n">
        <v>0.107572919454108</v>
      </c>
      <c r="N262" s="19" t="n">
        <v>38.7</v>
      </c>
      <c r="O262" s="17" t="n">
        <f aca="false">IF(N262="","",RANK(N262,$N$5:$N$430))</f>
        <v>237</v>
      </c>
      <c r="P262" s="17" t="str">
        <f aca="false">IF(AND(N(H262)&gt;=N(K262),N(H262)&gt;=N(N262)),"The Pulse",IF(N(K262)&gt;=N(N262),"The Lens","The Hub"))</f>
        <v>The Pulse</v>
      </c>
      <c r="Q262" s="21" t="s">
        <v>79</v>
      </c>
      <c r="R262" s="27" t="s">
        <v>832</v>
      </c>
      <c r="S262" s="17" t="s">
        <v>88</v>
      </c>
    </row>
    <row r="263" customFormat="false" ht="15" hidden="false" customHeight="false" outlineLevel="0" collapsed="false">
      <c r="A263" s="17" t="s">
        <v>1297</v>
      </c>
      <c r="B263" s="17" t="s">
        <v>1298</v>
      </c>
      <c r="C263" s="17" t="s">
        <v>1299</v>
      </c>
      <c r="D263" s="17" t="s">
        <v>162</v>
      </c>
      <c r="E263" s="18" t="n">
        <v>1670</v>
      </c>
      <c r="F263" s="17" t="s">
        <v>825</v>
      </c>
      <c r="G263" s="23" t="n">
        <v>0.49607250755287</v>
      </c>
      <c r="H263" s="19" t="n">
        <v>41.6</v>
      </c>
      <c r="I263" s="17" t="n">
        <f aca="false">IF(H263="","",RANK(H263,$H$5:$H$430))</f>
        <v>259</v>
      </c>
      <c r="J263" s="24" t="n">
        <v>0.0548119821542384</v>
      </c>
      <c r="K263" s="19" t="n">
        <v>23.9</v>
      </c>
      <c r="L263" s="17" t="n">
        <f aca="false">IF(K263="","",RANK(K263,$K$5:$K$430))</f>
        <v>317</v>
      </c>
      <c r="M263" s="25" t="n">
        <v>0.037037037037037</v>
      </c>
      <c r="N263" s="19" t="n">
        <v>11.9</v>
      </c>
      <c r="O263" s="17" t="n">
        <f aca="false">IF(N263="","",RANK(N263,$N$5:$N$430))</f>
        <v>340</v>
      </c>
      <c r="P263" s="17" t="str">
        <f aca="false">IF(AND(N(H263)&gt;=N(K263),N(H263)&gt;=N(N263)),"The Pulse",IF(N(K263)&gt;=N(N263),"The Lens","The Hub"))</f>
        <v>The Pulse</v>
      </c>
      <c r="Q263" s="21" t="s">
        <v>79</v>
      </c>
      <c r="R263" s="27" t="s">
        <v>832</v>
      </c>
      <c r="S263" s="17" t="s">
        <v>88</v>
      </c>
    </row>
    <row r="264" customFormat="false" ht="15" hidden="false" customHeight="false" outlineLevel="0" collapsed="false">
      <c r="A264" s="17" t="s">
        <v>645</v>
      </c>
      <c r="B264" s="17" t="s">
        <v>646</v>
      </c>
      <c r="C264" s="17" t="s">
        <v>1300</v>
      </c>
      <c r="D264" s="17" t="s">
        <v>123</v>
      </c>
      <c r="E264" s="18" t="n">
        <v>174530</v>
      </c>
      <c r="F264" s="17" t="s">
        <v>827</v>
      </c>
      <c r="G264" s="23" t="n">
        <v>0.493880708187704</v>
      </c>
      <c r="H264" s="19" t="n">
        <v>41.4</v>
      </c>
      <c r="I264" s="17" t="n">
        <f aca="false">IF(H264="","",RANK(H264,$H$5:$H$430))</f>
        <v>260</v>
      </c>
      <c r="J264" s="24" t="n">
        <v>0.0727764460015981</v>
      </c>
      <c r="K264" s="19" t="n">
        <v>41.4</v>
      </c>
      <c r="L264" s="17" t="n">
        <f aca="false">IF(K264="","",RANK(K264,$K$5:$K$430))</f>
        <v>246</v>
      </c>
      <c r="M264" s="25" t="n">
        <v>0.228930307941653</v>
      </c>
      <c r="N264" s="19" t="n">
        <v>78.3</v>
      </c>
      <c r="O264" s="17" t="n">
        <f aca="false">IF(N264="","",RANK(N264,$N$5:$N$430))</f>
        <v>86</v>
      </c>
      <c r="P264" s="17" t="str">
        <f aca="false">IF(AND(N(H264)&gt;=N(K264),N(H264)&gt;=N(N264)),"The Pulse",IF(N(K264)&gt;=N(N264),"The Lens","The Hub"))</f>
        <v>The Hub</v>
      </c>
      <c r="Q264" s="20" t="s">
        <v>74</v>
      </c>
      <c r="R264" s="26" t="s">
        <v>822</v>
      </c>
      <c r="S264" s="17" t="s">
        <v>24</v>
      </c>
    </row>
    <row r="265" customFormat="false" ht="15" hidden="false" customHeight="false" outlineLevel="0" collapsed="false">
      <c r="A265" s="17" t="s">
        <v>661</v>
      </c>
      <c r="B265" s="17" t="s">
        <v>662</v>
      </c>
      <c r="C265" s="17" t="s">
        <v>1301</v>
      </c>
      <c r="D265" s="17" t="s">
        <v>91</v>
      </c>
      <c r="E265" s="18" t="n">
        <v>57810</v>
      </c>
      <c r="F265" s="17" t="s">
        <v>821</v>
      </c>
      <c r="G265" s="23" t="n">
        <v>0.488687078360145</v>
      </c>
      <c r="H265" s="19" t="n">
        <v>41</v>
      </c>
      <c r="I265" s="17" t="n">
        <f aca="false">IF(H265="","",RANK(H265,$H$5:$H$430))</f>
        <v>261</v>
      </c>
      <c r="J265" s="24" t="n">
        <v>0.0717463848720801</v>
      </c>
      <c r="K265" s="19" t="n">
        <v>38.8</v>
      </c>
      <c r="L265" s="17" t="n">
        <f aca="false">IF(K265="","",RANK(K265,$K$5:$K$430))</f>
        <v>258</v>
      </c>
      <c r="M265" s="25" t="n">
        <v>0.175243393602225</v>
      </c>
      <c r="N265" s="19" t="n">
        <v>66.7</v>
      </c>
      <c r="O265" s="17" t="n">
        <f aca="false">IF(N265="","",RANK(N265,$N$5:$N$430))</f>
        <v>128</v>
      </c>
      <c r="P265" s="17" t="str">
        <f aca="false">IF(AND(N(H265)&gt;=N(K265),N(H265)&gt;=N(N265)),"The Pulse",IF(N(K265)&gt;=N(N265),"The Lens","The Hub"))</f>
        <v>The Hub</v>
      </c>
      <c r="Q265" s="20" t="s">
        <v>74</v>
      </c>
      <c r="R265" s="26" t="s">
        <v>822</v>
      </c>
      <c r="S265" s="17" t="s">
        <v>24</v>
      </c>
    </row>
    <row r="266" customFormat="false" ht="15" hidden="false" customHeight="false" outlineLevel="0" collapsed="false">
      <c r="A266" s="17" t="s">
        <v>1302</v>
      </c>
      <c r="B266" s="17" t="s">
        <v>1303</v>
      </c>
      <c r="C266" s="17" t="s">
        <v>1304</v>
      </c>
      <c r="D266" s="17" t="s">
        <v>86</v>
      </c>
      <c r="E266" s="18" t="n">
        <v>17390</v>
      </c>
      <c r="F266" s="17" t="s">
        <v>821</v>
      </c>
      <c r="G266" s="23" t="n">
        <v>0.48487636572743</v>
      </c>
      <c r="H266" s="19" t="n">
        <v>40.8</v>
      </c>
      <c r="I266" s="17" t="n">
        <f aca="false">IF(H266="","",RANK(H266,$H$5:$H$430))</f>
        <v>262</v>
      </c>
      <c r="J266" s="24" t="n">
        <v>0.0603658536585366</v>
      </c>
      <c r="K266" s="19" t="n">
        <v>32.6</v>
      </c>
      <c r="L266" s="17" t="n">
        <f aca="false">IF(K266="","",RANK(K266,$K$5:$K$430))</f>
        <v>280</v>
      </c>
      <c r="M266" s="25" t="n">
        <v>0.0449275362318841</v>
      </c>
      <c r="N266" s="19" t="n">
        <v>14.2</v>
      </c>
      <c r="O266" s="17" t="n">
        <f aca="false">IF(N266="","",RANK(N266,$N$5:$N$430))</f>
        <v>333</v>
      </c>
      <c r="P266" s="17" t="str">
        <f aca="false">IF(AND(N(H266)&gt;=N(K266),N(H266)&gt;=N(N266)),"The Pulse",IF(N(K266)&gt;=N(N266),"The Lens","The Hub"))</f>
        <v>The Pulse</v>
      </c>
      <c r="Q266" s="20" t="s">
        <v>74</v>
      </c>
      <c r="R266" s="27" t="s">
        <v>832</v>
      </c>
      <c r="S266" s="17" t="s">
        <v>24</v>
      </c>
    </row>
    <row r="267" customFormat="false" ht="15" hidden="false" customHeight="false" outlineLevel="0" collapsed="false">
      <c r="A267" s="17" t="s">
        <v>593</v>
      </c>
      <c r="B267" s="17" t="s">
        <v>594</v>
      </c>
      <c r="C267" s="17" t="s">
        <v>1305</v>
      </c>
      <c r="D267" s="17" t="s">
        <v>91</v>
      </c>
      <c r="E267" s="18" t="n">
        <v>128678</v>
      </c>
      <c r="F267" s="17" t="s">
        <v>827</v>
      </c>
      <c r="G267" s="23" t="n">
        <v>0.484053218110322</v>
      </c>
      <c r="H267" s="19" t="n">
        <v>40.6</v>
      </c>
      <c r="I267" s="17" t="n">
        <f aca="false">IF(H267="","",RANK(H267,$H$5:$H$430))</f>
        <v>263</v>
      </c>
      <c r="J267" s="24" t="n">
        <v>0.0884069494019928</v>
      </c>
      <c r="K267" s="19" t="n">
        <v>54.3</v>
      </c>
      <c r="L267" s="17" t="n">
        <f aca="false">IF(K267="","",RANK(K267,$K$5:$K$430))</f>
        <v>192</v>
      </c>
      <c r="M267" s="25" t="n">
        <v>0.186861313868613</v>
      </c>
      <c r="N267" s="19" t="n">
        <v>69.5</v>
      </c>
      <c r="O267" s="17" t="n">
        <f aca="false">IF(N267="","",RANK(N267,$N$5:$N$430))</f>
        <v>118</v>
      </c>
      <c r="P267" s="17" t="str">
        <f aca="false">IF(AND(N(H267)&gt;=N(K267),N(H267)&gt;=N(N267)),"The Pulse",IF(N(K267)&gt;=N(N267),"The Lens","The Hub"))</f>
        <v>The Hub</v>
      </c>
      <c r="Q267" s="21" t="s">
        <v>79</v>
      </c>
      <c r="R267" s="26" t="s">
        <v>822</v>
      </c>
      <c r="S267" s="17" t="s">
        <v>22</v>
      </c>
    </row>
    <row r="268" customFormat="false" ht="15" hidden="false" customHeight="false" outlineLevel="0" collapsed="false">
      <c r="A268" s="17" t="s">
        <v>533</v>
      </c>
      <c r="B268" s="17" t="s">
        <v>534</v>
      </c>
      <c r="C268" s="17" t="s">
        <v>1306</v>
      </c>
      <c r="D268" s="17" t="s">
        <v>123</v>
      </c>
      <c r="E268" s="18" t="n">
        <v>92750</v>
      </c>
      <c r="F268" s="17" t="s">
        <v>821</v>
      </c>
      <c r="G268" s="23" t="n">
        <v>0.483719676549865</v>
      </c>
      <c r="H268" s="19" t="n">
        <v>40.5</v>
      </c>
      <c r="I268" s="17" t="n">
        <f aca="false">IF(H268="","",RANK(H268,$H$5:$H$430))</f>
        <v>264</v>
      </c>
      <c r="J268" s="24" t="n">
        <v>0.0217008151575237</v>
      </c>
      <c r="K268" s="19" t="n">
        <v>13.4</v>
      </c>
      <c r="L268" s="17" t="n">
        <f aca="false">IF(K268="","",RANK(K268,$K$5:$K$430))</f>
        <v>365</v>
      </c>
      <c r="M268" s="25" t="n">
        <v>0.0500517777010701</v>
      </c>
      <c r="N268" s="19" t="n">
        <v>15.2</v>
      </c>
      <c r="O268" s="17" t="n">
        <f aca="false">IF(N268="","",RANK(N268,$N$5:$N$430))</f>
        <v>329</v>
      </c>
      <c r="P268" s="17" t="str">
        <f aca="false">IF(AND(N(H268)&gt;=N(K268),N(H268)&gt;=N(N268)),"The Pulse",IF(N(K268)&gt;=N(N268),"The Lens","The Hub"))</f>
        <v>The Pulse</v>
      </c>
      <c r="Q268" s="20" t="s">
        <v>74</v>
      </c>
      <c r="R268" s="26" t="s">
        <v>822</v>
      </c>
      <c r="S268" s="17" t="s">
        <v>24</v>
      </c>
    </row>
    <row r="269" customFormat="false" ht="15" hidden="false" customHeight="false" outlineLevel="0" collapsed="false">
      <c r="A269" s="17" t="s">
        <v>1307</v>
      </c>
      <c r="B269" s="17" t="s">
        <v>1308</v>
      </c>
      <c r="C269" s="17" t="s">
        <v>1309</v>
      </c>
      <c r="D269" s="17" t="s">
        <v>72</v>
      </c>
      <c r="E269" s="18" t="n">
        <v>24420</v>
      </c>
      <c r="F269" s="17" t="s">
        <v>821</v>
      </c>
      <c r="G269" s="23" t="n">
        <v>0.483497133497134</v>
      </c>
      <c r="H269" s="19" t="n">
        <v>40.3</v>
      </c>
      <c r="I269" s="17" t="n">
        <f aca="false">IF(H269="","",RANK(H269,$H$5:$H$430))</f>
        <v>265</v>
      </c>
      <c r="J269" s="24" t="n">
        <v>0.188321167883212</v>
      </c>
      <c r="K269" s="19" t="n">
        <v>89</v>
      </c>
      <c r="L269" s="17" t="n">
        <f aca="false">IF(K269="","",RANK(K269,$K$5:$K$430))</f>
        <v>47</v>
      </c>
      <c r="M269" s="25" t="n">
        <v>0.0813397129186603</v>
      </c>
      <c r="N269" s="19" t="n">
        <v>26.6</v>
      </c>
      <c r="O269" s="17" t="n">
        <f aca="false">IF(N269="","",RANK(N269,$N$5:$N$430))</f>
        <v>285</v>
      </c>
      <c r="P269" s="17" t="str">
        <f aca="false">IF(AND(N(H269)&gt;=N(K269),N(H269)&gt;=N(N269)),"The Pulse",IF(N(K269)&gt;=N(N269),"The Lens","The Hub"))</f>
        <v>The Lens</v>
      </c>
      <c r="Q269" s="20" t="s">
        <v>74</v>
      </c>
      <c r="R269" s="27" t="s">
        <v>832</v>
      </c>
      <c r="S269" s="17" t="s">
        <v>24</v>
      </c>
    </row>
    <row r="270" customFormat="false" ht="15" hidden="false" customHeight="false" outlineLevel="0" collapsed="false">
      <c r="A270" s="17" t="s">
        <v>237</v>
      </c>
      <c r="B270" s="17" t="s">
        <v>238</v>
      </c>
      <c r="C270" s="17" t="s">
        <v>1310</v>
      </c>
      <c r="D270" s="17" t="s">
        <v>72</v>
      </c>
      <c r="E270" s="18" t="n">
        <v>117660</v>
      </c>
      <c r="F270" s="17" t="s">
        <v>827</v>
      </c>
      <c r="G270" s="23" t="n">
        <v>0.482100968893422</v>
      </c>
      <c r="H270" s="19" t="n">
        <v>40.1</v>
      </c>
      <c r="I270" s="17" t="n">
        <f aca="false">IF(H270="","",RANK(H270,$H$5:$H$430))</f>
        <v>266</v>
      </c>
      <c r="J270" s="24" t="n">
        <v>0.0791525268274787</v>
      </c>
      <c r="K270" s="19" t="n">
        <v>45.7</v>
      </c>
      <c r="L270" s="17" t="n">
        <f aca="false">IF(K270="","",RANK(K270,$K$5:$K$430))</f>
        <v>227</v>
      </c>
      <c r="M270" s="25" t="n">
        <v>0.0317535545023697</v>
      </c>
      <c r="N270" s="19" t="n">
        <v>9.6</v>
      </c>
      <c r="O270" s="17" t="n">
        <f aca="false">IF(N270="","",RANK(N270,$N$5:$N$430))</f>
        <v>349</v>
      </c>
      <c r="P270" s="17" t="str">
        <f aca="false">IF(AND(N(H270)&gt;=N(K270),N(H270)&gt;=N(N270)),"The Pulse",IF(N(K270)&gt;=N(N270),"The Lens","The Hub"))</f>
        <v>The Lens</v>
      </c>
      <c r="Q270" s="20" t="s">
        <v>74</v>
      </c>
      <c r="R270" s="26" t="s">
        <v>822</v>
      </c>
      <c r="S270" s="17" t="s">
        <v>24</v>
      </c>
    </row>
    <row r="271" customFormat="false" ht="15" hidden="false" customHeight="false" outlineLevel="0" collapsed="false">
      <c r="A271" s="17" t="s">
        <v>1311</v>
      </c>
      <c r="B271" s="17" t="s">
        <v>1312</v>
      </c>
      <c r="C271" s="17" t="s">
        <v>1313</v>
      </c>
      <c r="D271" s="17" t="s">
        <v>115</v>
      </c>
      <c r="E271" s="18" t="n">
        <v>249400</v>
      </c>
      <c r="F271" s="17" t="s">
        <v>827</v>
      </c>
      <c r="G271" s="23" t="n">
        <v>0.48107858861267</v>
      </c>
      <c r="H271" s="19" t="n">
        <v>39.9</v>
      </c>
      <c r="I271" s="17" t="n">
        <f aca="false">IF(H271="","",RANK(H271,$H$5:$H$430))</f>
        <v>267</v>
      </c>
      <c r="J271" s="24" t="n">
        <v>0.140583554376658</v>
      </c>
      <c r="K271" s="19" t="n">
        <v>79.3</v>
      </c>
      <c r="L271" s="17" t="n">
        <f aca="false">IF(K271="","",RANK(K271,$K$5:$K$430))</f>
        <v>90</v>
      </c>
      <c r="M271" s="25" t="n">
        <v>0.154430914338002</v>
      </c>
      <c r="N271" s="19" t="n">
        <v>59.7</v>
      </c>
      <c r="O271" s="17" t="n">
        <f aca="false">IF(N271="","",RANK(N271,$N$5:$N$430))</f>
        <v>152</v>
      </c>
      <c r="P271" s="17" t="str">
        <f aca="false">IF(AND(N(H271)&gt;=N(K271),N(H271)&gt;=N(N271)),"The Pulse",IF(N(K271)&gt;=N(N271),"The Lens","The Hub"))</f>
        <v>The Lens</v>
      </c>
      <c r="Q271" s="20" t="s">
        <v>74</v>
      </c>
      <c r="R271" s="27" t="s">
        <v>832</v>
      </c>
      <c r="S271" s="17" t="s">
        <v>24</v>
      </c>
    </row>
    <row r="272" customFormat="false" ht="15" hidden="false" customHeight="false" outlineLevel="0" collapsed="false">
      <c r="A272" s="17" t="s">
        <v>625</v>
      </c>
      <c r="B272" s="17" t="s">
        <v>626</v>
      </c>
      <c r="C272" s="17" t="s">
        <v>1314</v>
      </c>
      <c r="D272" s="17" t="s">
        <v>162</v>
      </c>
      <c r="E272" s="18" t="n">
        <v>112480</v>
      </c>
      <c r="F272" s="17" t="s">
        <v>827</v>
      </c>
      <c r="G272" s="23" t="n">
        <v>0.480556543385491</v>
      </c>
      <c r="H272" s="19" t="n">
        <v>39.7</v>
      </c>
      <c r="I272" s="17" t="n">
        <f aca="false">IF(H272="","",RANK(H272,$H$5:$H$430))</f>
        <v>268</v>
      </c>
      <c r="J272" s="24" t="n">
        <v>0.0846673095467695</v>
      </c>
      <c r="K272" s="19" t="n">
        <v>49.3</v>
      </c>
      <c r="L272" s="17" t="n">
        <f aca="false">IF(K272="","",RANK(K272,$K$5:$K$430))</f>
        <v>218</v>
      </c>
      <c r="M272" s="25" t="n">
        <v>0.13880303456027</v>
      </c>
      <c r="N272" s="19" t="n">
        <v>52.7</v>
      </c>
      <c r="O272" s="17" t="n">
        <f aca="false">IF(N272="","",RANK(N272,$N$5:$N$430))</f>
        <v>179</v>
      </c>
      <c r="P272" s="17" t="str">
        <f aca="false">IF(AND(N(H272)&gt;=N(K272),N(H272)&gt;=N(N272)),"The Pulse",IF(N(K272)&gt;=N(N272),"The Lens","The Hub"))</f>
        <v>The Hub</v>
      </c>
      <c r="Q272" s="20" t="s">
        <v>74</v>
      </c>
      <c r="R272" s="26" t="s">
        <v>822</v>
      </c>
      <c r="S272" s="17" t="s">
        <v>24</v>
      </c>
    </row>
    <row r="273" customFormat="false" ht="15" hidden="false" customHeight="false" outlineLevel="0" collapsed="false">
      <c r="A273" s="17" t="s">
        <v>221</v>
      </c>
      <c r="B273" s="17" t="s">
        <v>222</v>
      </c>
      <c r="C273" s="17" t="s">
        <v>1315</v>
      </c>
      <c r="D273" s="17" t="s">
        <v>72</v>
      </c>
      <c r="E273" s="18" t="n">
        <v>24180</v>
      </c>
      <c r="F273" s="17" t="s">
        <v>821</v>
      </c>
      <c r="G273" s="23" t="n">
        <v>0.478453267162945</v>
      </c>
      <c r="H273" s="19" t="n">
        <v>39.5</v>
      </c>
      <c r="I273" s="17" t="n">
        <f aca="false">IF(H273="","",RANK(H273,$H$5:$H$430))</f>
        <v>269</v>
      </c>
      <c r="J273" s="24" t="n">
        <v>0.0458477508650519</v>
      </c>
      <c r="K273" s="19" t="n">
        <v>24.7</v>
      </c>
      <c r="L273" s="17" t="n">
        <f aca="false">IF(K273="","",RANK(K273,$K$5:$K$430))</f>
        <v>313</v>
      </c>
      <c r="M273" s="25" t="n">
        <v>0.244791666666667</v>
      </c>
      <c r="N273" s="19" t="n">
        <v>81.4</v>
      </c>
      <c r="O273" s="17" t="n">
        <f aca="false">IF(N273="","",RANK(N273,$N$5:$N$430))</f>
        <v>74</v>
      </c>
      <c r="P273" s="17" t="str">
        <f aca="false">IF(AND(N(H273)&gt;=N(K273),N(H273)&gt;=N(N273)),"The Pulse",IF(N(K273)&gt;=N(N273),"The Lens","The Hub"))</f>
        <v>The Hub</v>
      </c>
      <c r="Q273" s="20" t="s">
        <v>74</v>
      </c>
      <c r="R273" s="26" t="s">
        <v>822</v>
      </c>
      <c r="S273" s="17" t="s">
        <v>24</v>
      </c>
    </row>
    <row r="274" customFormat="false" ht="15" hidden="false" customHeight="false" outlineLevel="0" collapsed="false">
      <c r="A274" s="17" t="s">
        <v>1316</v>
      </c>
      <c r="B274" s="17" t="s">
        <v>1317</v>
      </c>
      <c r="C274" s="17" t="s">
        <v>1318</v>
      </c>
      <c r="D274" s="17" t="s">
        <v>82</v>
      </c>
      <c r="E274" s="18" t="n">
        <v>54880</v>
      </c>
      <c r="F274" s="17" t="s">
        <v>821</v>
      </c>
      <c r="G274" s="23" t="n">
        <v>0.475491982507289</v>
      </c>
      <c r="H274" s="19" t="n">
        <v>39.3</v>
      </c>
      <c r="I274" s="17" t="n">
        <f aca="false">IF(H274="","",RANK(H274,$H$5:$H$430))</f>
        <v>270</v>
      </c>
      <c r="J274" s="24" t="n">
        <v>0.147636971978252</v>
      </c>
      <c r="K274" s="19" t="n">
        <v>75.6</v>
      </c>
      <c r="L274" s="17" t="n">
        <f aca="false">IF(K274="","",RANK(K274,$K$5:$K$430))</f>
        <v>106</v>
      </c>
      <c r="M274" s="25" t="n">
        <v>0.113783533765032</v>
      </c>
      <c r="N274" s="19" t="n">
        <v>41.3</v>
      </c>
      <c r="O274" s="17" t="n">
        <f aca="false">IF(N274="","",RANK(N274,$N$5:$N$430))</f>
        <v>226</v>
      </c>
      <c r="P274" s="17" t="str">
        <f aca="false">IF(AND(N(H274)&gt;=N(K274),N(H274)&gt;=N(N274)),"The Pulse",IF(N(K274)&gt;=N(N274),"The Lens","The Hub"))</f>
        <v>The Lens</v>
      </c>
      <c r="Q274" s="20" t="s">
        <v>74</v>
      </c>
      <c r="R274" s="27" t="s">
        <v>832</v>
      </c>
      <c r="S274" s="17" t="s">
        <v>24</v>
      </c>
    </row>
    <row r="275" customFormat="false" ht="15" hidden="false" customHeight="false" outlineLevel="0" collapsed="false">
      <c r="A275" s="17" t="s">
        <v>209</v>
      </c>
      <c r="B275" s="17" t="s">
        <v>210</v>
      </c>
      <c r="C275" s="17" t="s">
        <v>1319</v>
      </c>
      <c r="D275" s="17" t="s">
        <v>162</v>
      </c>
      <c r="E275" s="18" t="n">
        <v>624180</v>
      </c>
      <c r="F275" s="17" t="s">
        <v>827</v>
      </c>
      <c r="G275" s="23" t="n">
        <v>0.475446185395239</v>
      </c>
      <c r="H275" s="19" t="n">
        <v>39.1</v>
      </c>
      <c r="I275" s="17" t="n">
        <f aca="false">IF(H275="","",RANK(H275,$H$5:$H$430))</f>
        <v>271</v>
      </c>
      <c r="J275" s="24" t="n">
        <v>-0.0367592592592593</v>
      </c>
      <c r="K275" s="19" t="n">
        <v>7.1</v>
      </c>
      <c r="L275" s="17" t="n">
        <f aca="false">IF(K275="","",RANK(K275,$K$5:$K$430))</f>
        <v>395</v>
      </c>
      <c r="M275" s="25" t="n">
        <v>0.217905405405405</v>
      </c>
      <c r="N275" s="19" t="n">
        <v>76.2</v>
      </c>
      <c r="O275" s="17" t="n">
        <f aca="false">IF(N275="","",RANK(N275,$N$5:$N$430))</f>
        <v>92</v>
      </c>
      <c r="P275" s="17" t="str">
        <f aca="false">IF(AND(N(H275)&gt;=N(K275),N(H275)&gt;=N(N275)),"The Pulse",IF(N(K275)&gt;=N(N275),"The Lens","The Hub"))</f>
        <v>The Hub</v>
      </c>
      <c r="Q275" s="20" t="s">
        <v>74</v>
      </c>
      <c r="R275" s="26" t="s">
        <v>822</v>
      </c>
      <c r="S275" s="17" t="s">
        <v>24</v>
      </c>
    </row>
    <row r="276" customFormat="false" ht="15" hidden="false" customHeight="false" outlineLevel="0" collapsed="false">
      <c r="A276" s="17" t="s">
        <v>707</v>
      </c>
      <c r="B276" s="17" t="s">
        <v>708</v>
      </c>
      <c r="C276" s="17" t="s">
        <v>1320</v>
      </c>
      <c r="D276" s="17" t="s">
        <v>115</v>
      </c>
      <c r="E276" s="18" t="n">
        <v>89530</v>
      </c>
      <c r="F276" s="17" t="s">
        <v>821</v>
      </c>
      <c r="G276" s="23" t="n">
        <v>0.473606612308723</v>
      </c>
      <c r="H276" s="19" t="n">
        <v>38.9</v>
      </c>
      <c r="I276" s="17" t="n">
        <f aca="false">IF(H276="","",RANK(H276,$H$5:$H$430))</f>
        <v>272</v>
      </c>
      <c r="J276" s="24" t="n">
        <v>0.120946538124452</v>
      </c>
      <c r="K276" s="19" t="n">
        <v>65.6</v>
      </c>
      <c r="L276" s="17" t="n">
        <f aca="false">IF(K276="","",RANK(K276,$K$5:$K$430))</f>
        <v>147</v>
      </c>
      <c r="M276" s="25" t="n">
        <v>0.215366242038217</v>
      </c>
      <c r="N276" s="19" t="n">
        <v>76</v>
      </c>
      <c r="O276" s="17" t="n">
        <f aca="false">IF(N276="","",RANK(N276,$N$5:$N$430))</f>
        <v>93</v>
      </c>
      <c r="P276" s="17" t="str">
        <f aca="false">IF(AND(N(H276)&gt;=N(K276),N(H276)&gt;=N(N276)),"The Pulse",IF(N(K276)&gt;=N(N276),"The Lens","The Hub"))</f>
        <v>The Hub</v>
      </c>
      <c r="Q276" s="20" t="s">
        <v>74</v>
      </c>
      <c r="R276" s="26" t="s">
        <v>822</v>
      </c>
      <c r="S276" s="17" t="s">
        <v>24</v>
      </c>
    </row>
    <row r="277" customFormat="false" ht="15" hidden="false" customHeight="false" outlineLevel="0" collapsed="false">
      <c r="A277" s="17" t="s">
        <v>1321</v>
      </c>
      <c r="B277" s="17" t="s">
        <v>1322</v>
      </c>
      <c r="C277" s="17" t="s">
        <v>1323</v>
      </c>
      <c r="D277" s="17" t="s">
        <v>95</v>
      </c>
      <c r="E277" s="18" t="n">
        <v>95960</v>
      </c>
      <c r="F277" s="17" t="s">
        <v>821</v>
      </c>
      <c r="G277" s="23" t="n">
        <v>0.473332638599416</v>
      </c>
      <c r="H277" s="19" t="n">
        <v>38.8</v>
      </c>
      <c r="I277" s="17" t="n">
        <f aca="false">IF(H277="","",RANK(H277,$H$5:$H$430))</f>
        <v>273</v>
      </c>
      <c r="J277" s="24" t="n">
        <v>0.123521835850603</v>
      </c>
      <c r="K277" s="19" t="n">
        <v>67.7</v>
      </c>
      <c r="L277" s="17" t="n">
        <f aca="false">IF(K277="","",RANK(K277,$K$5:$K$430))</f>
        <v>138</v>
      </c>
      <c r="M277" s="25" t="n">
        <v>0.0884749708963912</v>
      </c>
      <c r="N277" s="19" t="n">
        <v>30.8</v>
      </c>
      <c r="O277" s="17" t="n">
        <f aca="false">IF(N277="","",RANK(N277,$N$5:$N$430))</f>
        <v>269</v>
      </c>
      <c r="P277" s="17" t="str">
        <f aca="false">IF(AND(N(H277)&gt;=N(K277),N(H277)&gt;=N(N277)),"The Pulse",IF(N(K277)&gt;=N(N277),"The Lens","The Hub"))</f>
        <v>The Lens</v>
      </c>
      <c r="Q277" s="20" t="s">
        <v>74</v>
      </c>
      <c r="R277" s="27" t="s">
        <v>832</v>
      </c>
      <c r="S277" s="17" t="s">
        <v>24</v>
      </c>
    </row>
    <row r="278" customFormat="false" ht="15" hidden="false" customHeight="false" outlineLevel="0" collapsed="false">
      <c r="A278" s="17" t="s">
        <v>1324</v>
      </c>
      <c r="B278" s="17" t="s">
        <v>1325</v>
      </c>
      <c r="C278" s="17" t="s">
        <v>1326</v>
      </c>
      <c r="D278" s="17" t="s">
        <v>95</v>
      </c>
      <c r="E278" s="18" t="n">
        <v>21947</v>
      </c>
      <c r="F278" s="17" t="s">
        <v>821</v>
      </c>
      <c r="G278" s="23" t="n">
        <v>0.470314849409942</v>
      </c>
      <c r="H278" s="19" t="n">
        <v>38.4</v>
      </c>
      <c r="I278" s="17" t="n">
        <f aca="false">IF(H278="","",RANK(H278,$H$5:$H$430))</f>
        <v>274</v>
      </c>
      <c r="J278" s="24" t="n">
        <v>0.0292159069592947</v>
      </c>
      <c r="K278" s="19" t="n">
        <v>17.2</v>
      </c>
      <c r="L278" s="17" t="n">
        <f aca="false">IF(K278="","",RANK(K278,$K$5:$K$430))</f>
        <v>348</v>
      </c>
      <c r="M278" s="25" t="n">
        <v>0.235294117647059</v>
      </c>
      <c r="N278" s="19" t="n">
        <v>80.2</v>
      </c>
      <c r="O278" s="17" t="n">
        <f aca="false">IF(N278="","",RANK(N278,$N$5:$N$430))</f>
        <v>79</v>
      </c>
      <c r="P278" s="17" t="str">
        <f aca="false">IF(AND(N(H278)&gt;=N(K278),N(H278)&gt;=N(N278)),"The Pulse",IF(N(K278)&gt;=N(N278),"The Lens","The Hub"))</f>
        <v>The Hub</v>
      </c>
      <c r="Q278" s="21" t="s">
        <v>79</v>
      </c>
      <c r="R278" s="27" t="s">
        <v>832</v>
      </c>
      <c r="S278" s="17" t="s">
        <v>22</v>
      </c>
    </row>
    <row r="279" customFormat="false" ht="15" hidden="false" customHeight="false" outlineLevel="0" collapsed="false">
      <c r="A279" s="17" t="s">
        <v>503</v>
      </c>
      <c r="B279" s="17" t="s">
        <v>504</v>
      </c>
      <c r="C279" s="17" t="s">
        <v>1327</v>
      </c>
      <c r="D279" s="17" t="s">
        <v>77</v>
      </c>
      <c r="E279" s="18" t="n">
        <v>9980</v>
      </c>
      <c r="F279" s="17" t="s">
        <v>825</v>
      </c>
      <c r="G279" s="23" t="n">
        <v>0.470140280561122</v>
      </c>
      <c r="H279" s="19" t="n">
        <v>38.2</v>
      </c>
      <c r="I279" s="17" t="n">
        <f aca="false">IF(H279="","",RANK(H279,$H$5:$H$430))</f>
        <v>275</v>
      </c>
      <c r="J279" s="24" t="n">
        <v>0.163170163170163</v>
      </c>
      <c r="K279" s="19" t="n">
        <v>88.7</v>
      </c>
      <c r="L279" s="17" t="n">
        <f aca="false">IF(K279="","",RANK(K279,$K$5:$K$430))</f>
        <v>48</v>
      </c>
      <c r="M279" s="25" t="n">
        <v>0.318181818181818</v>
      </c>
      <c r="N279" s="19" t="n">
        <v>92.1</v>
      </c>
      <c r="O279" s="17" t="n">
        <f aca="false">IF(N279="","",RANK(N279,$N$5:$N$430))</f>
        <v>31</v>
      </c>
      <c r="P279" s="17" t="str">
        <f aca="false">IF(AND(N(H279)&gt;=N(K279),N(H279)&gt;=N(N279)),"The Pulse",IF(N(K279)&gt;=N(N279),"The Lens","The Hub"))</f>
        <v>The Hub</v>
      </c>
      <c r="Q279" s="20" t="s">
        <v>74</v>
      </c>
      <c r="R279" s="26" t="s">
        <v>822</v>
      </c>
      <c r="S279" s="17" t="s">
        <v>24</v>
      </c>
    </row>
    <row r="280" customFormat="false" ht="15" hidden="false" customHeight="false" outlineLevel="0" collapsed="false">
      <c r="A280" s="17" t="s">
        <v>551</v>
      </c>
      <c r="B280" s="17" t="s">
        <v>552</v>
      </c>
      <c r="C280" s="17" t="s">
        <v>1328</v>
      </c>
      <c r="D280" s="17" t="s">
        <v>77</v>
      </c>
      <c r="E280" s="18" t="n">
        <v>125750</v>
      </c>
      <c r="F280" s="17" t="s">
        <v>827</v>
      </c>
      <c r="G280" s="23" t="n">
        <v>0.46534393638171</v>
      </c>
      <c r="H280" s="19" t="n">
        <v>37.8</v>
      </c>
      <c r="I280" s="17" t="n">
        <f aca="false">IF(H280="","",RANK(H280,$H$5:$H$430))</f>
        <v>276</v>
      </c>
      <c r="J280" s="24" t="n">
        <v>0.0990211501485754</v>
      </c>
      <c r="K280" s="19" t="n">
        <v>57.9</v>
      </c>
      <c r="L280" s="17" t="n">
        <f aca="false">IF(K280="","",RANK(K280,$K$5:$K$430))</f>
        <v>181</v>
      </c>
      <c r="M280" s="25" t="n">
        <v>0.123227917121047</v>
      </c>
      <c r="N280" s="19" t="n">
        <v>46.2</v>
      </c>
      <c r="O280" s="17" t="n">
        <f aca="false">IF(N280="","",RANK(N280,$N$5:$N$430))</f>
        <v>206</v>
      </c>
      <c r="P280" s="17" t="str">
        <f aca="false">IF(AND(N(H280)&gt;=N(K280),N(H280)&gt;=N(N280)),"The Pulse",IF(N(K280)&gt;=N(N280),"The Lens","The Hub"))</f>
        <v>The Lens</v>
      </c>
      <c r="Q280" s="20" t="s">
        <v>74</v>
      </c>
      <c r="R280" s="26" t="s">
        <v>822</v>
      </c>
      <c r="S280" s="17" t="s">
        <v>24</v>
      </c>
    </row>
    <row r="281" customFormat="false" ht="15" hidden="false" customHeight="false" outlineLevel="0" collapsed="false">
      <c r="A281" s="17" t="s">
        <v>497</v>
      </c>
      <c r="B281" s="17" t="s">
        <v>498</v>
      </c>
      <c r="C281" s="17" t="s">
        <v>1329</v>
      </c>
      <c r="D281" s="17" t="s">
        <v>86</v>
      </c>
      <c r="E281" s="18" t="n">
        <v>8910</v>
      </c>
      <c r="F281" s="17" t="s">
        <v>825</v>
      </c>
      <c r="G281" s="23" t="n">
        <v>0.464085297418631</v>
      </c>
      <c r="H281" s="19" t="n">
        <v>37.6</v>
      </c>
      <c r="I281" s="17" t="n">
        <f aca="false">IF(H281="","",RANK(H281,$H$5:$H$430))</f>
        <v>277</v>
      </c>
      <c r="J281" s="24" t="n">
        <v>0.18958611481976</v>
      </c>
      <c r="K281" s="19" t="n">
        <v>91.5</v>
      </c>
      <c r="L281" s="17" t="n">
        <f aca="false">IF(K281="","",RANK(K281,$K$5:$K$430))</f>
        <v>37</v>
      </c>
      <c r="M281" s="28" t="s">
        <v>857</v>
      </c>
      <c r="N281" s="19"/>
      <c r="O281" s="17" t="str">
        <f aca="false">IF(N281="","",RANK(N281,$N$5:$N$430))</f>
        <v/>
      </c>
      <c r="P281" s="17" t="str">
        <f aca="false">IF(AND(N(H281)&gt;=N(K281),N(H281)&gt;=N(N281)),"The Pulse",IF(N(K281)&gt;=N(N281),"The Lens","The Hub"))</f>
        <v>The Lens</v>
      </c>
      <c r="Q281" s="20" t="s">
        <v>74</v>
      </c>
      <c r="R281" s="26" t="s">
        <v>822</v>
      </c>
      <c r="S281" s="17" t="s">
        <v>24</v>
      </c>
    </row>
    <row r="282" customFormat="false" ht="15" hidden="false" customHeight="false" outlineLevel="0" collapsed="false">
      <c r="A282" s="17" t="s">
        <v>1330</v>
      </c>
      <c r="B282" s="17" t="s">
        <v>1331</v>
      </c>
      <c r="C282" s="17" t="s">
        <v>1332</v>
      </c>
      <c r="D282" s="17" t="s">
        <v>95</v>
      </c>
      <c r="E282" s="18" t="n">
        <v>34990</v>
      </c>
      <c r="F282" s="17" t="s">
        <v>821</v>
      </c>
      <c r="G282" s="23" t="n">
        <v>0.463675335810232</v>
      </c>
      <c r="H282" s="19" t="n">
        <v>37.4</v>
      </c>
      <c r="I282" s="17" t="n">
        <f aca="false">IF(H282="","",RANK(H282,$H$5:$H$430))</f>
        <v>278</v>
      </c>
      <c r="J282" s="24" t="n">
        <v>0.197636400790137</v>
      </c>
      <c r="K282" s="19" t="n">
        <v>90.7</v>
      </c>
      <c r="L282" s="17" t="n">
        <f aca="false">IF(K282="","",RANK(K282,$K$5:$K$430))</f>
        <v>41</v>
      </c>
      <c r="M282" s="25" t="n">
        <v>0.0304878048780488</v>
      </c>
      <c r="N282" s="19" t="n">
        <v>8.4</v>
      </c>
      <c r="O282" s="17" t="n">
        <f aca="false">IF(N282="","",RANK(N282,$N$5:$N$430))</f>
        <v>354</v>
      </c>
      <c r="P282" s="17" t="str">
        <f aca="false">IF(AND(N(H282)&gt;=N(K282),N(H282)&gt;=N(N282)),"The Pulse",IF(N(K282)&gt;=N(N282),"The Lens","The Hub"))</f>
        <v>The Lens</v>
      </c>
      <c r="Q282" s="21" t="s">
        <v>79</v>
      </c>
      <c r="R282" s="27" t="s">
        <v>832</v>
      </c>
      <c r="S282" s="17" t="s">
        <v>88</v>
      </c>
    </row>
    <row r="283" customFormat="false" ht="15" hidden="false" customHeight="false" outlineLevel="0" collapsed="false">
      <c r="A283" s="17" t="s">
        <v>345</v>
      </c>
      <c r="B283" s="17" t="s">
        <v>346</v>
      </c>
      <c r="C283" s="17" t="s">
        <v>1333</v>
      </c>
      <c r="D283" s="17" t="s">
        <v>72</v>
      </c>
      <c r="E283" s="18" t="n">
        <v>155750</v>
      </c>
      <c r="F283" s="17" t="s">
        <v>827</v>
      </c>
      <c r="G283" s="23" t="n">
        <v>0.463492776886035</v>
      </c>
      <c r="H283" s="19" t="n">
        <v>37.2</v>
      </c>
      <c r="I283" s="17" t="n">
        <f aca="false">IF(H283="","",RANK(H283,$H$5:$H$430))</f>
        <v>279</v>
      </c>
      <c r="J283" s="24" t="n">
        <v>0.0537889039242219</v>
      </c>
      <c r="K283" s="19" t="n">
        <v>30.7</v>
      </c>
      <c r="L283" s="17" t="n">
        <f aca="false">IF(K283="","",RANK(K283,$K$5:$K$430))</f>
        <v>287</v>
      </c>
      <c r="M283" s="25" t="n">
        <v>0.122275306061511</v>
      </c>
      <c r="N283" s="19" t="n">
        <v>45.9</v>
      </c>
      <c r="O283" s="17" t="n">
        <f aca="false">IF(N283="","",RANK(N283,$N$5:$N$430))</f>
        <v>207</v>
      </c>
      <c r="P283" s="17" t="str">
        <f aca="false">IF(AND(N(H283)&gt;=N(K283),N(H283)&gt;=N(N283)),"The Pulse",IF(N(K283)&gt;=N(N283),"The Lens","The Hub"))</f>
        <v>The Hub</v>
      </c>
      <c r="Q283" s="20" t="s">
        <v>74</v>
      </c>
      <c r="R283" s="26" t="s">
        <v>822</v>
      </c>
      <c r="S283" s="17" t="s">
        <v>24</v>
      </c>
    </row>
    <row r="284" customFormat="false" ht="15" hidden="false" customHeight="false" outlineLevel="0" collapsed="false">
      <c r="A284" s="17" t="s">
        <v>615</v>
      </c>
      <c r="B284" s="17" t="s">
        <v>616</v>
      </c>
      <c r="C284" s="17" t="s">
        <v>1334</v>
      </c>
      <c r="D284" s="17" t="s">
        <v>82</v>
      </c>
      <c r="E284" s="18" t="n">
        <v>23900</v>
      </c>
      <c r="F284" s="17" t="s">
        <v>821</v>
      </c>
      <c r="G284" s="23" t="n">
        <v>0.461882845188285</v>
      </c>
      <c r="H284" s="19" t="n">
        <v>36.9</v>
      </c>
      <c r="I284" s="17" t="n">
        <f aca="false">IF(H284="","",RANK(H284,$H$5:$H$430))</f>
        <v>280</v>
      </c>
      <c r="J284" s="24" t="n">
        <v>0.0258722899728997</v>
      </c>
      <c r="K284" s="19" t="n">
        <v>15.5</v>
      </c>
      <c r="L284" s="17" t="n">
        <f aca="false">IF(K284="","",RANK(K284,$K$5:$K$430))</f>
        <v>356</v>
      </c>
      <c r="M284" s="25" t="n">
        <v>0.178321678321678</v>
      </c>
      <c r="N284" s="19" t="n">
        <v>67.6</v>
      </c>
      <c r="O284" s="17" t="n">
        <f aca="false">IF(N284="","",RANK(N284,$N$5:$N$430))</f>
        <v>124</v>
      </c>
      <c r="P284" s="17" t="str">
        <f aca="false">IF(AND(N(H284)&gt;=N(K284),N(H284)&gt;=N(N284)),"The Pulse",IF(N(K284)&gt;=N(N284),"The Lens","The Hub"))</f>
        <v>The Hub</v>
      </c>
      <c r="Q284" s="21" t="s">
        <v>79</v>
      </c>
      <c r="R284" s="26" t="s">
        <v>822</v>
      </c>
      <c r="S284" s="17" t="s">
        <v>88</v>
      </c>
    </row>
    <row r="285" customFormat="false" ht="15" hidden="false" customHeight="false" outlineLevel="0" collapsed="false">
      <c r="A285" s="17" t="s">
        <v>1335</v>
      </c>
      <c r="B285" s="17" t="s">
        <v>1336</v>
      </c>
      <c r="C285" s="17" t="s">
        <v>1337</v>
      </c>
      <c r="D285" s="17" t="s">
        <v>123</v>
      </c>
      <c r="E285" s="18" t="n">
        <v>81114</v>
      </c>
      <c r="F285" s="17" t="s">
        <v>821</v>
      </c>
      <c r="G285" s="23" t="n">
        <v>0.460253470424341</v>
      </c>
      <c r="H285" s="19" t="n">
        <v>36.5</v>
      </c>
      <c r="I285" s="17" t="n">
        <f aca="false">IF(H285="","",RANK(H285,$H$5:$H$430))</f>
        <v>281</v>
      </c>
      <c r="J285" s="24" t="n">
        <v>0.0174096279758172</v>
      </c>
      <c r="K285" s="19" t="n">
        <v>12.4</v>
      </c>
      <c r="L285" s="17" t="n">
        <f aca="false">IF(K285="","",RANK(K285,$K$5:$K$430))</f>
        <v>370</v>
      </c>
      <c r="M285" s="25" t="n">
        <v>0.283492222779729</v>
      </c>
      <c r="N285" s="19" t="n">
        <v>88.3</v>
      </c>
      <c r="O285" s="17" t="n">
        <f aca="false">IF(N285="","",RANK(N285,$N$5:$N$430))</f>
        <v>45</v>
      </c>
      <c r="P285" s="17" t="str">
        <f aca="false">IF(AND(N(H285)&gt;=N(K285),N(H285)&gt;=N(N285)),"The Pulse",IF(N(K285)&gt;=N(N285),"The Lens","The Hub"))</f>
        <v>The Hub</v>
      </c>
      <c r="Q285" s="21" t="s">
        <v>79</v>
      </c>
      <c r="R285" s="27" t="s">
        <v>832</v>
      </c>
      <c r="S285" s="17" t="s">
        <v>22</v>
      </c>
    </row>
    <row r="286" customFormat="false" ht="15" hidden="false" customHeight="false" outlineLevel="0" collapsed="false">
      <c r="A286" s="17" t="s">
        <v>1338</v>
      </c>
      <c r="B286" s="17" t="s">
        <v>1339</v>
      </c>
      <c r="C286" s="17" t="s">
        <v>1340</v>
      </c>
      <c r="D286" s="17" t="s">
        <v>77</v>
      </c>
      <c r="E286" s="18" t="n">
        <v>3207</v>
      </c>
      <c r="F286" s="17" t="s">
        <v>825</v>
      </c>
      <c r="G286" s="23" t="n">
        <v>0.458372310570627</v>
      </c>
      <c r="H286" s="19" t="n">
        <v>36.3</v>
      </c>
      <c r="I286" s="17" t="n">
        <f aca="false">IF(H286="","",RANK(H286,$H$5:$H$430))</f>
        <v>282</v>
      </c>
      <c r="J286" s="24" t="n">
        <v>0.0975359342915811</v>
      </c>
      <c r="K286" s="19" t="n">
        <v>47.9</v>
      </c>
      <c r="L286" s="17" t="n">
        <f aca="false">IF(K286="","",RANK(K286,$K$5:$K$430))</f>
        <v>223</v>
      </c>
      <c r="M286" s="25" t="n">
        <v>0.0888888888888889</v>
      </c>
      <c r="N286" s="19" t="n">
        <v>31.2</v>
      </c>
      <c r="O286" s="17" t="n">
        <f aca="false">IF(N286="","",RANK(N286,$N$5:$N$430))</f>
        <v>267</v>
      </c>
      <c r="P286" s="17" t="str">
        <f aca="false">IF(AND(N(H286)&gt;=N(K286),N(H286)&gt;=N(N286)),"The Pulse",IF(N(K286)&gt;=N(N286),"The Lens","The Hub"))</f>
        <v>The Lens</v>
      </c>
      <c r="Q286" s="21" t="s">
        <v>79</v>
      </c>
      <c r="R286" s="27" t="s">
        <v>832</v>
      </c>
      <c r="S286" s="17" t="s">
        <v>22</v>
      </c>
    </row>
    <row r="287" customFormat="false" ht="15" hidden="false" customHeight="false" outlineLevel="0" collapsed="false">
      <c r="A287" s="17" t="s">
        <v>445</v>
      </c>
      <c r="B287" s="17" t="s">
        <v>446</v>
      </c>
      <c r="C287" s="17" t="s">
        <v>1341</v>
      </c>
      <c r="D287" s="17" t="s">
        <v>95</v>
      </c>
      <c r="E287" s="18" t="n">
        <v>46580</v>
      </c>
      <c r="F287" s="17" t="s">
        <v>821</v>
      </c>
      <c r="G287" s="23" t="n">
        <v>0.454680120223272</v>
      </c>
      <c r="H287" s="19" t="n">
        <v>36.1</v>
      </c>
      <c r="I287" s="17" t="n">
        <f aca="false">IF(H287="","",RANK(H287,$H$5:$H$430))</f>
        <v>283</v>
      </c>
      <c r="J287" s="24" t="n">
        <v>0.097808154607589</v>
      </c>
      <c r="K287" s="19" t="n">
        <v>51.2</v>
      </c>
      <c r="L287" s="17" t="n">
        <f aca="false">IF(K287="","",RANK(K287,$K$5:$K$430))</f>
        <v>209</v>
      </c>
      <c r="M287" s="25" t="n">
        <v>0.115011202389843</v>
      </c>
      <c r="N287" s="19" t="n">
        <v>42.2</v>
      </c>
      <c r="O287" s="17" t="n">
        <f aca="false">IF(N287="","",RANK(N287,$N$5:$N$430))</f>
        <v>222</v>
      </c>
      <c r="P287" s="17" t="str">
        <f aca="false">IF(AND(N(H287)&gt;=N(K287),N(H287)&gt;=N(N287)),"The Pulse",IF(N(K287)&gt;=N(N287),"The Lens","The Hub"))</f>
        <v>The Lens</v>
      </c>
      <c r="Q287" s="20" t="s">
        <v>74</v>
      </c>
      <c r="R287" s="26" t="s">
        <v>822</v>
      </c>
      <c r="S287" s="17" t="s">
        <v>24</v>
      </c>
    </row>
    <row r="288" customFormat="false" ht="15" hidden="false" customHeight="false" outlineLevel="0" collapsed="false">
      <c r="A288" s="17" t="s">
        <v>413</v>
      </c>
      <c r="B288" s="17" t="s">
        <v>414</v>
      </c>
      <c r="C288" s="17" t="s">
        <v>1342</v>
      </c>
      <c r="D288" s="17" t="s">
        <v>77</v>
      </c>
      <c r="E288" s="18" t="n">
        <v>44020</v>
      </c>
      <c r="F288" s="17" t="s">
        <v>821</v>
      </c>
      <c r="G288" s="23" t="n">
        <v>0.451635620172649</v>
      </c>
      <c r="H288" s="19" t="n">
        <v>35.5</v>
      </c>
      <c r="I288" s="17" t="n">
        <f aca="false">IF(H288="","",RANK(H288,$H$5:$H$430))</f>
        <v>284</v>
      </c>
      <c r="J288" s="24" t="n">
        <v>0.0156898938624827</v>
      </c>
      <c r="K288" s="19" t="n">
        <v>12</v>
      </c>
      <c r="L288" s="17" t="n">
        <f aca="false">IF(K288="","",RANK(K288,$K$5:$K$430))</f>
        <v>372</v>
      </c>
      <c r="M288" s="28" t="s">
        <v>857</v>
      </c>
      <c r="N288" s="19"/>
      <c r="O288" s="17" t="str">
        <f aca="false">IF(N288="","",RANK(N288,$N$5:$N$430))</f>
        <v/>
      </c>
      <c r="P288" s="17" t="str">
        <f aca="false">IF(AND(N(H288)&gt;=N(K288),N(H288)&gt;=N(N288)),"The Pulse",IF(N(K288)&gt;=N(N288),"The Lens","The Hub"))</f>
        <v>The Pulse</v>
      </c>
      <c r="Q288" s="20" t="s">
        <v>74</v>
      </c>
      <c r="R288" s="26" t="s">
        <v>822</v>
      </c>
      <c r="S288" s="17" t="s">
        <v>24</v>
      </c>
    </row>
    <row r="289" customFormat="false" ht="15" hidden="false" customHeight="false" outlineLevel="0" collapsed="false">
      <c r="A289" s="17" t="s">
        <v>463</v>
      </c>
      <c r="B289" s="17" t="s">
        <v>464</v>
      </c>
      <c r="C289" s="17" t="s">
        <v>1343</v>
      </c>
      <c r="D289" s="17" t="s">
        <v>72</v>
      </c>
      <c r="E289" s="18" t="n">
        <v>69470</v>
      </c>
      <c r="F289" s="17" t="s">
        <v>821</v>
      </c>
      <c r="G289" s="23" t="n">
        <v>0.451576219951058</v>
      </c>
      <c r="H289" s="19" t="n">
        <v>35.3</v>
      </c>
      <c r="I289" s="17" t="n">
        <f aca="false">IF(H289="","",RANK(H289,$H$5:$H$430))</f>
        <v>285</v>
      </c>
      <c r="J289" s="24" t="n">
        <v>0.137733377006223</v>
      </c>
      <c r="K289" s="19" t="n">
        <v>72.9</v>
      </c>
      <c r="L289" s="17" t="n">
        <f aca="false">IF(K289="","",RANK(K289,$K$5:$K$430))</f>
        <v>117</v>
      </c>
      <c r="M289" s="28" t="s">
        <v>857</v>
      </c>
      <c r="N289" s="19"/>
      <c r="O289" s="17" t="str">
        <f aca="false">IF(N289="","",RANK(N289,$N$5:$N$430))</f>
        <v/>
      </c>
      <c r="P289" s="17" t="str">
        <f aca="false">IF(AND(N(H289)&gt;=N(K289),N(H289)&gt;=N(N289)),"The Pulse",IF(N(K289)&gt;=N(N289),"The Lens","The Hub"))</f>
        <v>The Lens</v>
      </c>
      <c r="Q289" s="20" t="s">
        <v>74</v>
      </c>
      <c r="R289" s="26" t="s">
        <v>822</v>
      </c>
      <c r="S289" s="17" t="s">
        <v>24</v>
      </c>
    </row>
    <row r="290" customFormat="false" ht="15" hidden="false" customHeight="false" outlineLevel="0" collapsed="false">
      <c r="A290" s="17" t="s">
        <v>1344</v>
      </c>
      <c r="B290" s="17" t="s">
        <v>1345</v>
      </c>
      <c r="C290" s="17" t="s">
        <v>1346</v>
      </c>
      <c r="D290" s="17" t="s">
        <v>115</v>
      </c>
      <c r="E290" s="18" t="n">
        <v>10020</v>
      </c>
      <c r="F290" s="17" t="s">
        <v>821</v>
      </c>
      <c r="G290" s="23" t="n">
        <v>0.450499001996008</v>
      </c>
      <c r="H290" s="19" t="n">
        <v>35.2</v>
      </c>
      <c r="I290" s="17" t="n">
        <f aca="false">IF(H290="","",RANK(H290,$H$5:$H$430))</f>
        <v>286</v>
      </c>
      <c r="J290" s="24" t="n">
        <v>0.0728051391862955</v>
      </c>
      <c r="K290" s="19" t="n">
        <v>39.5</v>
      </c>
      <c r="L290" s="17" t="n">
        <f aca="false">IF(K290="","",RANK(K290,$K$5:$K$430))</f>
        <v>254</v>
      </c>
      <c r="M290" s="25" t="n">
        <v>0.03601108033241</v>
      </c>
      <c r="N290" s="19" t="n">
        <v>11.4</v>
      </c>
      <c r="O290" s="17" t="n">
        <f aca="false">IF(N290="","",RANK(N290,$N$5:$N$430))</f>
        <v>342</v>
      </c>
      <c r="P290" s="17" t="str">
        <f aca="false">IF(AND(N(H290)&gt;=N(K290),N(H290)&gt;=N(N290)),"The Pulse",IF(N(K290)&gt;=N(N290),"The Lens","The Hub"))</f>
        <v>The Lens</v>
      </c>
      <c r="Q290" s="20" t="s">
        <v>74</v>
      </c>
      <c r="R290" s="27" t="s">
        <v>832</v>
      </c>
      <c r="S290" s="17" t="s">
        <v>24</v>
      </c>
    </row>
    <row r="291" customFormat="false" ht="15" hidden="false" customHeight="false" outlineLevel="0" collapsed="false">
      <c r="A291" s="17" t="s">
        <v>1347</v>
      </c>
      <c r="B291" s="17" t="s">
        <v>1348</v>
      </c>
      <c r="C291" s="17" t="s">
        <v>1349</v>
      </c>
      <c r="D291" s="17" t="s">
        <v>98</v>
      </c>
      <c r="E291" s="18" t="n">
        <v>3045</v>
      </c>
      <c r="F291" s="17" t="s">
        <v>825</v>
      </c>
      <c r="G291" s="23" t="n">
        <v>0.449589490968801</v>
      </c>
      <c r="H291" s="19" t="n">
        <v>35</v>
      </c>
      <c r="I291" s="17" t="n">
        <f aca="false">IF(H291="","",RANK(H291,$H$5:$H$430))</f>
        <v>287</v>
      </c>
      <c r="J291" s="24" t="n">
        <v>0.29080118694362</v>
      </c>
      <c r="K291" s="19" t="n">
        <v>100</v>
      </c>
      <c r="L291" s="17" t="n">
        <f aca="false">IF(K291="","",RANK(K291,$K$5:$K$430))</f>
        <v>1</v>
      </c>
      <c r="M291" s="25" t="n">
        <v>0.156862745098039</v>
      </c>
      <c r="N291" s="19" t="n">
        <v>61.1</v>
      </c>
      <c r="O291" s="17" t="n">
        <f aca="false">IF(N291="","",RANK(N291,$N$5:$N$430))</f>
        <v>148</v>
      </c>
      <c r="P291" s="17" t="str">
        <f aca="false">IF(AND(N(H291)&gt;=N(K291),N(H291)&gt;=N(N291)),"The Pulse",IF(N(K291)&gt;=N(N291),"The Lens","The Hub"))</f>
        <v>The Lens</v>
      </c>
      <c r="Q291" s="21" t="s">
        <v>79</v>
      </c>
      <c r="R291" s="27" t="s">
        <v>832</v>
      </c>
      <c r="S291" s="17" t="s">
        <v>22</v>
      </c>
    </row>
    <row r="292" customFormat="false" ht="15" hidden="false" customHeight="false" outlineLevel="0" collapsed="false">
      <c r="A292" s="17" t="s">
        <v>405</v>
      </c>
      <c r="B292" s="17" t="s">
        <v>406</v>
      </c>
      <c r="C292" s="17" t="s">
        <v>1350</v>
      </c>
      <c r="D292" s="17" t="s">
        <v>123</v>
      </c>
      <c r="E292" s="18" t="n">
        <v>3050</v>
      </c>
      <c r="F292" s="17" t="s">
        <v>825</v>
      </c>
      <c r="G292" s="23" t="n">
        <v>0.449180327868853</v>
      </c>
      <c r="H292" s="19" t="n">
        <v>34.8</v>
      </c>
      <c r="I292" s="17" t="n">
        <f aca="false">IF(H292="","",RANK(H292,$H$5:$H$430))</f>
        <v>288</v>
      </c>
      <c r="J292" s="24" t="n">
        <v>0.120682964687621</v>
      </c>
      <c r="K292" s="19" t="n">
        <v>62</v>
      </c>
      <c r="L292" s="17" t="n">
        <f aca="false">IF(K292="","",RANK(K292,$K$5:$K$430))</f>
        <v>162</v>
      </c>
      <c r="M292" s="25" t="n">
        <v>0.0408163265306122</v>
      </c>
      <c r="N292" s="19" t="n">
        <v>12.4</v>
      </c>
      <c r="O292" s="17" t="n">
        <f aca="false">IF(N292="","",RANK(N292,$N$5:$N$430))</f>
        <v>338</v>
      </c>
      <c r="P292" s="17" t="str">
        <f aca="false">IF(AND(N(H292)&gt;=N(K292),N(H292)&gt;=N(N292)),"The Pulse",IF(N(K292)&gt;=N(N292),"The Lens","The Hub"))</f>
        <v>The Lens</v>
      </c>
      <c r="Q292" s="21" t="s">
        <v>79</v>
      </c>
      <c r="R292" s="26" t="s">
        <v>822</v>
      </c>
      <c r="S292" s="17" t="s">
        <v>88</v>
      </c>
    </row>
    <row r="293" customFormat="false" ht="15" hidden="false" customHeight="false" outlineLevel="0" collapsed="false">
      <c r="A293" s="17" t="s">
        <v>1351</v>
      </c>
      <c r="B293" s="17" t="s">
        <v>1352</v>
      </c>
      <c r="C293" s="17" t="s">
        <v>1353</v>
      </c>
      <c r="D293" s="17" t="s">
        <v>95</v>
      </c>
      <c r="E293" s="18" t="n">
        <v>10010</v>
      </c>
      <c r="F293" s="17" t="s">
        <v>821</v>
      </c>
      <c r="G293" s="23" t="n">
        <v>0.448851148851149</v>
      </c>
      <c r="H293" s="19" t="n">
        <v>34.6</v>
      </c>
      <c r="I293" s="17" t="n">
        <f aca="false">IF(H293="","",RANK(H293,$H$5:$H$430))</f>
        <v>289</v>
      </c>
      <c r="J293" s="24" t="n">
        <v>0.179034157832744</v>
      </c>
      <c r="K293" s="19" t="n">
        <v>86.9</v>
      </c>
      <c r="L293" s="17" t="n">
        <f aca="false">IF(K293="","",RANK(K293,$K$5:$K$430))</f>
        <v>58</v>
      </c>
      <c r="M293" s="25" t="n">
        <v>0.151898734177215</v>
      </c>
      <c r="N293" s="19" t="n">
        <v>58.5</v>
      </c>
      <c r="O293" s="17" t="n">
        <f aca="false">IF(N293="","",RANK(N293,$N$5:$N$430))</f>
        <v>157</v>
      </c>
      <c r="P293" s="17" t="str">
        <f aca="false">IF(AND(N(H293)&gt;=N(K293),N(H293)&gt;=N(N293)),"The Pulse",IF(N(K293)&gt;=N(N293),"The Lens","The Hub"))</f>
        <v>The Lens</v>
      </c>
      <c r="Q293" s="20" t="s">
        <v>74</v>
      </c>
      <c r="R293" s="27" t="s">
        <v>832</v>
      </c>
      <c r="S293" s="17" t="s">
        <v>24</v>
      </c>
    </row>
    <row r="294" customFormat="false" ht="15" hidden="false" customHeight="false" outlineLevel="0" collapsed="false">
      <c r="A294" s="17" t="s">
        <v>1354</v>
      </c>
      <c r="B294" s="17" t="s">
        <v>1355</v>
      </c>
      <c r="C294" s="17" t="s">
        <v>1356</v>
      </c>
      <c r="D294" s="17" t="s">
        <v>82</v>
      </c>
      <c r="E294" s="18" t="n">
        <v>930800</v>
      </c>
      <c r="F294" s="17" t="s">
        <v>827</v>
      </c>
      <c r="G294" s="23" t="n">
        <v>0.448250966910185</v>
      </c>
      <c r="H294" s="19" t="n">
        <v>34.4</v>
      </c>
      <c r="I294" s="17" t="n">
        <f aca="false">IF(H294="","",RANK(H294,$H$5:$H$430))</f>
        <v>290</v>
      </c>
      <c r="J294" s="24" t="n">
        <v>0.157006302129299</v>
      </c>
      <c r="K294" s="19" t="n">
        <v>81.4</v>
      </c>
      <c r="L294" s="17" t="n">
        <f aca="false">IF(K294="","",RANK(K294,$K$5:$K$430))</f>
        <v>81</v>
      </c>
      <c r="M294" s="25" t="n">
        <v>0.0580460093368581</v>
      </c>
      <c r="N294" s="19" t="n">
        <v>19.1</v>
      </c>
      <c r="O294" s="17" t="n">
        <f aca="false">IF(N294="","",RANK(N294,$N$5:$N$430))</f>
        <v>313</v>
      </c>
      <c r="P294" s="17" t="str">
        <f aca="false">IF(AND(N(H294)&gt;=N(K294),N(H294)&gt;=N(N294)),"The Pulse",IF(N(K294)&gt;=N(N294),"The Lens","The Hub"))</f>
        <v>The Lens</v>
      </c>
      <c r="Q294" s="20" t="s">
        <v>74</v>
      </c>
      <c r="R294" s="27" t="s">
        <v>832</v>
      </c>
      <c r="S294" s="17" t="s">
        <v>24</v>
      </c>
    </row>
    <row r="295" customFormat="false" ht="15" hidden="false" customHeight="false" outlineLevel="0" collapsed="false">
      <c r="A295" s="17" t="s">
        <v>253</v>
      </c>
      <c r="B295" s="17" t="s">
        <v>254</v>
      </c>
      <c r="C295" s="17" t="s">
        <v>1357</v>
      </c>
      <c r="D295" s="17" t="s">
        <v>95</v>
      </c>
      <c r="E295" s="18" t="n">
        <v>50400</v>
      </c>
      <c r="F295" s="17" t="s">
        <v>821</v>
      </c>
      <c r="G295" s="23" t="n">
        <v>0.446289682539683</v>
      </c>
      <c r="H295" s="19" t="n">
        <v>34.2</v>
      </c>
      <c r="I295" s="17" t="n">
        <f aca="false">IF(H295="","",RANK(H295,$H$5:$H$430))</f>
        <v>291</v>
      </c>
      <c r="J295" s="24" t="n">
        <v>0.07600341588386</v>
      </c>
      <c r="K295" s="19" t="n">
        <v>40.9</v>
      </c>
      <c r="L295" s="17" t="n">
        <f aca="false">IF(K295="","",RANK(K295,$K$5:$K$430))</f>
        <v>249</v>
      </c>
      <c r="M295" s="25" t="n">
        <v>0.24954954954955</v>
      </c>
      <c r="N295" s="19" t="n">
        <v>82.1</v>
      </c>
      <c r="O295" s="17" t="n">
        <f aca="false">IF(N295="","",RANK(N295,$N$5:$N$430))</f>
        <v>71</v>
      </c>
      <c r="P295" s="17" t="str">
        <f aca="false">IF(AND(N(H295)&gt;=N(K295),N(H295)&gt;=N(N295)),"The Pulse",IF(N(K295)&gt;=N(N295),"The Lens","The Hub"))</f>
        <v>The Hub</v>
      </c>
      <c r="Q295" s="20" t="s">
        <v>74</v>
      </c>
      <c r="R295" s="26" t="s">
        <v>822</v>
      </c>
      <c r="S295" s="17" t="s">
        <v>24</v>
      </c>
    </row>
    <row r="296" customFormat="false" ht="15" hidden="false" customHeight="false" outlineLevel="0" collapsed="false">
      <c r="A296" s="17" t="s">
        <v>455</v>
      </c>
      <c r="B296" s="17" t="s">
        <v>456</v>
      </c>
      <c r="C296" s="17" t="s">
        <v>1358</v>
      </c>
      <c r="D296" s="17" t="s">
        <v>86</v>
      </c>
      <c r="E296" s="18" t="n">
        <v>41320</v>
      </c>
      <c r="F296" s="17" t="s">
        <v>821</v>
      </c>
      <c r="G296" s="23" t="n">
        <v>0.44622458857696</v>
      </c>
      <c r="H296" s="19" t="n">
        <v>34</v>
      </c>
      <c r="I296" s="17" t="n">
        <f aca="false">IF(H296="","",RANK(H296,$H$5:$H$430))</f>
        <v>292</v>
      </c>
      <c r="J296" s="24" t="n">
        <v>0.0260740004966476</v>
      </c>
      <c r="K296" s="19" t="n">
        <v>15.8</v>
      </c>
      <c r="L296" s="17" t="n">
        <f aca="false">IF(K296="","",RANK(K296,$K$5:$K$430))</f>
        <v>354</v>
      </c>
      <c r="M296" s="25" t="n">
        <v>0.113417346182357</v>
      </c>
      <c r="N296" s="19" t="n">
        <v>41</v>
      </c>
      <c r="O296" s="17" t="n">
        <f aca="false">IF(N296="","",RANK(N296,$N$5:$N$430))</f>
        <v>227</v>
      </c>
      <c r="P296" s="17" t="str">
        <f aca="false">IF(AND(N(H296)&gt;=N(K296),N(H296)&gt;=N(N296)),"The Pulse",IF(N(K296)&gt;=N(N296),"The Lens","The Hub"))</f>
        <v>The Hub</v>
      </c>
      <c r="Q296" s="20" t="s">
        <v>74</v>
      </c>
      <c r="R296" s="26" t="s">
        <v>822</v>
      </c>
      <c r="S296" s="17" t="s">
        <v>24</v>
      </c>
    </row>
    <row r="297" customFormat="false" ht="15" hidden="false" customHeight="false" outlineLevel="0" collapsed="false">
      <c r="A297" s="17" t="s">
        <v>1359</v>
      </c>
      <c r="B297" s="17" t="s">
        <v>1360</v>
      </c>
      <c r="C297" s="17" t="s">
        <v>1361</v>
      </c>
      <c r="D297" s="17" t="s">
        <v>77</v>
      </c>
      <c r="E297" s="18" t="n">
        <v>126000</v>
      </c>
      <c r="F297" s="17" t="s">
        <v>827</v>
      </c>
      <c r="G297" s="23" t="n">
        <v>0.444619047619048</v>
      </c>
      <c r="H297" s="19" t="n">
        <v>33.8</v>
      </c>
      <c r="I297" s="17" t="n">
        <f aca="false">IF(H297="","",RANK(H297,$H$5:$H$430))</f>
        <v>293</v>
      </c>
      <c r="J297" s="24" t="n">
        <v>0.124598357729382</v>
      </c>
      <c r="K297" s="19" t="n">
        <v>70.7</v>
      </c>
      <c r="L297" s="17" t="n">
        <f aca="false">IF(K297="","",RANK(K297,$K$5:$K$430))</f>
        <v>125</v>
      </c>
      <c r="M297" s="25" t="n">
        <v>0.135323599912835</v>
      </c>
      <c r="N297" s="19" t="n">
        <v>50.6</v>
      </c>
      <c r="O297" s="17" t="n">
        <f aca="false">IF(N297="","",RANK(N297,$N$5:$N$430))</f>
        <v>188</v>
      </c>
      <c r="P297" s="17" t="str">
        <f aca="false">IF(AND(N(H297)&gt;=N(K297),N(H297)&gt;=N(N297)),"The Pulse",IF(N(K297)&gt;=N(N297),"The Lens","The Hub"))</f>
        <v>The Lens</v>
      </c>
      <c r="Q297" s="20" t="s">
        <v>74</v>
      </c>
      <c r="R297" s="27" t="s">
        <v>832</v>
      </c>
      <c r="S297" s="17" t="s">
        <v>24</v>
      </c>
    </row>
    <row r="298" customFormat="false" ht="15" hidden="false" customHeight="false" outlineLevel="0" collapsed="false">
      <c r="A298" s="17" t="s">
        <v>599</v>
      </c>
      <c r="B298" s="17" t="s">
        <v>600</v>
      </c>
      <c r="C298" s="17" t="s">
        <v>1362</v>
      </c>
      <c r="D298" s="17" t="s">
        <v>77</v>
      </c>
      <c r="E298" s="18" t="n">
        <v>1330960</v>
      </c>
      <c r="F298" s="17" t="s">
        <v>935</v>
      </c>
      <c r="G298" s="23" t="n">
        <v>0.443365690929855</v>
      </c>
      <c r="H298" s="19" t="n">
        <v>33.6</v>
      </c>
      <c r="I298" s="17" t="n">
        <f aca="false">IF(H298="","",RANK(H298,$H$5:$H$430))</f>
        <v>294</v>
      </c>
      <c r="J298" s="24" t="n">
        <v>0.169159953970081</v>
      </c>
      <c r="K298" s="19" t="n">
        <v>94.1</v>
      </c>
      <c r="L298" s="17" t="n">
        <f aca="false">IF(K298="","",RANK(K298,$K$5:$K$430))</f>
        <v>28</v>
      </c>
      <c r="M298" s="25" t="n">
        <v>0.253379165695642</v>
      </c>
      <c r="N298" s="19" t="n">
        <v>82.5</v>
      </c>
      <c r="O298" s="17" t="n">
        <f aca="false">IF(N298="","",RANK(N298,$N$5:$N$430))</f>
        <v>69</v>
      </c>
      <c r="P298" s="17" t="str">
        <f aca="false">IF(AND(N(H298)&gt;=N(K298),N(H298)&gt;=N(N298)),"The Pulse",IF(N(K298)&gt;=N(N298),"The Lens","The Hub"))</f>
        <v>The Lens</v>
      </c>
      <c r="Q298" s="20" t="s">
        <v>74</v>
      </c>
      <c r="R298" s="26" t="s">
        <v>822</v>
      </c>
      <c r="S298" s="17" t="s">
        <v>24</v>
      </c>
    </row>
    <row r="299" customFormat="false" ht="15" hidden="false" customHeight="false" outlineLevel="0" collapsed="false">
      <c r="A299" s="17" t="s">
        <v>1363</v>
      </c>
      <c r="B299" s="17" t="s">
        <v>1364</v>
      </c>
      <c r="C299" s="17" t="s">
        <v>1365</v>
      </c>
      <c r="D299" s="17" t="s">
        <v>77</v>
      </c>
      <c r="E299" s="18" t="n">
        <v>12610</v>
      </c>
      <c r="F299" s="17" t="s">
        <v>821</v>
      </c>
      <c r="G299" s="23" t="n">
        <v>0.443061062648692</v>
      </c>
      <c r="H299" s="19" t="n">
        <v>33.3</v>
      </c>
      <c r="I299" s="17" t="n">
        <f aca="false">IF(H299="","",RANK(H299,$H$5:$H$430))</f>
        <v>295</v>
      </c>
      <c r="J299" s="24" t="n">
        <v>0.132973944294699</v>
      </c>
      <c r="K299" s="19" t="n">
        <v>70.4</v>
      </c>
      <c r="L299" s="17" t="n">
        <f aca="false">IF(K299="","",RANK(K299,$K$5:$K$430))</f>
        <v>127</v>
      </c>
      <c r="M299" s="25" t="n">
        <v>0.0173611111111111</v>
      </c>
      <c r="N299" s="19" t="n">
        <v>4.4</v>
      </c>
      <c r="O299" s="17" t="n">
        <f aca="false">IF(N299="","",RANK(N299,$N$5:$N$430))</f>
        <v>371</v>
      </c>
      <c r="P299" s="17" t="str">
        <f aca="false">IF(AND(N(H299)&gt;=N(K299),N(H299)&gt;=N(N299)),"The Pulse",IF(N(K299)&gt;=N(N299),"The Lens","The Hub"))</f>
        <v>The Lens</v>
      </c>
      <c r="Q299" s="20" t="s">
        <v>74</v>
      </c>
      <c r="R299" s="27" t="s">
        <v>832</v>
      </c>
      <c r="S299" s="17" t="s">
        <v>24</v>
      </c>
    </row>
    <row r="300" customFormat="false" ht="15" hidden="false" customHeight="false" outlineLevel="0" collapsed="false">
      <c r="A300" s="17" t="s">
        <v>1366</v>
      </c>
      <c r="B300" s="17" t="s">
        <v>1367</v>
      </c>
      <c r="C300" s="17" t="s">
        <v>1368</v>
      </c>
      <c r="D300" s="17" t="s">
        <v>95</v>
      </c>
      <c r="E300" s="18" t="n">
        <v>32180</v>
      </c>
      <c r="F300" s="17" t="s">
        <v>821</v>
      </c>
      <c r="G300" s="23" t="n">
        <v>0.44136109384711</v>
      </c>
      <c r="H300" s="19" t="n">
        <v>33.1</v>
      </c>
      <c r="I300" s="17" t="n">
        <f aca="false">IF(H300="","",RANK(H300,$H$5:$H$430))</f>
        <v>296</v>
      </c>
      <c r="J300" s="24" t="n">
        <v>0.114265927977839</v>
      </c>
      <c r="K300" s="19" t="n">
        <v>60.5</v>
      </c>
      <c r="L300" s="17" t="n">
        <f aca="false">IF(K300="","",RANK(K300,$K$5:$K$430))</f>
        <v>169</v>
      </c>
      <c r="M300" s="25" t="n">
        <v>0.230916030534351</v>
      </c>
      <c r="N300" s="19" t="n">
        <v>78.6</v>
      </c>
      <c r="O300" s="17" t="n">
        <f aca="false">IF(N300="","",RANK(N300,$N$5:$N$430))</f>
        <v>85</v>
      </c>
      <c r="P300" s="17" t="str">
        <f aca="false">IF(AND(N(H300)&gt;=N(K300),N(H300)&gt;=N(N300)),"The Pulse",IF(N(K300)&gt;=N(N300),"The Lens","The Hub"))</f>
        <v>The Hub</v>
      </c>
      <c r="Q300" s="20" t="s">
        <v>74</v>
      </c>
      <c r="R300" s="27" t="s">
        <v>832</v>
      </c>
      <c r="S300" s="17" t="s">
        <v>24</v>
      </c>
    </row>
    <row r="301" customFormat="false" ht="15" hidden="false" customHeight="false" outlineLevel="0" collapsed="false">
      <c r="A301" s="17" t="s">
        <v>633</v>
      </c>
      <c r="B301" s="17" t="s">
        <v>634</v>
      </c>
      <c r="C301" s="17" t="s">
        <v>1369</v>
      </c>
      <c r="D301" s="17" t="s">
        <v>123</v>
      </c>
      <c r="E301" s="18" t="n">
        <v>522030</v>
      </c>
      <c r="F301" s="17" t="s">
        <v>827</v>
      </c>
      <c r="G301" s="23" t="n">
        <v>0.438298565216558</v>
      </c>
      <c r="H301" s="19" t="n">
        <v>32.9</v>
      </c>
      <c r="I301" s="17" t="n">
        <f aca="false">IF(H301="","",RANK(H301,$H$5:$H$430))</f>
        <v>297</v>
      </c>
      <c r="J301" s="24" t="n">
        <v>0.176909550004509</v>
      </c>
      <c r="K301" s="19" t="n">
        <v>88.6</v>
      </c>
      <c r="L301" s="17" t="n">
        <f aca="false">IF(K301="","",RANK(K301,$K$5:$K$430))</f>
        <v>49</v>
      </c>
      <c r="M301" s="25" t="n">
        <v>0.0787111622554661</v>
      </c>
      <c r="N301" s="19" t="n">
        <v>25.6</v>
      </c>
      <c r="O301" s="17" t="n">
        <f aca="false">IF(N301="","",RANK(N301,$N$5:$N$430))</f>
        <v>289</v>
      </c>
      <c r="P301" s="17" t="str">
        <f aca="false">IF(AND(N(H301)&gt;=N(K301),N(H301)&gt;=N(N301)),"The Pulse",IF(N(K301)&gt;=N(N301),"The Lens","The Hub"))</f>
        <v>The Lens</v>
      </c>
      <c r="Q301" s="20" t="s">
        <v>74</v>
      </c>
      <c r="R301" s="26" t="s">
        <v>822</v>
      </c>
      <c r="S301" s="17" t="s">
        <v>24</v>
      </c>
    </row>
    <row r="302" customFormat="false" ht="15" hidden="false" customHeight="false" outlineLevel="0" collapsed="false">
      <c r="A302" s="17" t="s">
        <v>1370</v>
      </c>
      <c r="B302" s="17" t="s">
        <v>1371</v>
      </c>
      <c r="C302" s="17" t="s">
        <v>1372</v>
      </c>
      <c r="D302" s="17" t="s">
        <v>98</v>
      </c>
      <c r="E302" s="18" t="n">
        <v>190160</v>
      </c>
      <c r="F302" s="17" t="s">
        <v>827</v>
      </c>
      <c r="G302" s="23" t="n">
        <v>0.434718132099285</v>
      </c>
      <c r="H302" s="19" t="n">
        <v>32.7</v>
      </c>
      <c r="I302" s="17" t="n">
        <f aca="false">IF(H302="","",RANK(H302,$H$5:$H$430))</f>
        <v>298</v>
      </c>
      <c r="J302" s="24" t="n">
        <v>0.132039528515299</v>
      </c>
      <c r="K302" s="19" t="n">
        <v>75</v>
      </c>
      <c r="L302" s="17" t="n">
        <f aca="false">IF(K302="","",RANK(K302,$K$5:$K$430))</f>
        <v>108</v>
      </c>
      <c r="M302" s="25" t="n">
        <v>0.198079042670446</v>
      </c>
      <c r="N302" s="19" t="n">
        <v>72.5</v>
      </c>
      <c r="O302" s="17" t="n">
        <f aca="false">IF(N302="","",RANK(N302,$N$5:$N$430))</f>
        <v>107</v>
      </c>
      <c r="P302" s="17" t="str">
        <f aca="false">IF(AND(N(H302)&gt;=N(K302),N(H302)&gt;=N(N302)),"The Pulse",IF(N(K302)&gt;=N(N302),"The Lens","The Hub"))</f>
        <v>The Lens</v>
      </c>
      <c r="Q302" s="20" t="s">
        <v>74</v>
      </c>
      <c r="R302" s="27" t="s">
        <v>832</v>
      </c>
      <c r="S302" s="17" t="s">
        <v>24</v>
      </c>
    </row>
    <row r="303" customFormat="false" ht="15" hidden="false" customHeight="false" outlineLevel="0" collapsed="false">
      <c r="A303" s="17" t="s">
        <v>1373</v>
      </c>
      <c r="B303" s="17" t="s">
        <v>1374</v>
      </c>
      <c r="C303" s="17" t="s">
        <v>1375</v>
      </c>
      <c r="D303" s="17" t="s">
        <v>72</v>
      </c>
      <c r="E303" s="18" t="n">
        <v>9240</v>
      </c>
      <c r="F303" s="17" t="s">
        <v>825</v>
      </c>
      <c r="G303" s="23" t="n">
        <v>0.431818181818182</v>
      </c>
      <c r="H303" s="19" t="n">
        <v>32.3</v>
      </c>
      <c r="I303" s="17" t="n">
        <f aca="false">IF(H303="","",RANK(H303,$H$5:$H$430))</f>
        <v>299</v>
      </c>
      <c r="J303" s="24" t="n">
        <v>0.124087591240876</v>
      </c>
      <c r="K303" s="19" t="n">
        <v>64.8</v>
      </c>
      <c r="L303" s="17" t="n">
        <f aca="false">IF(K303="","",RANK(K303,$K$5:$K$430))</f>
        <v>151</v>
      </c>
      <c r="M303" s="25" t="n">
        <v>0.0588235294117647</v>
      </c>
      <c r="N303" s="19" t="n">
        <v>19.6</v>
      </c>
      <c r="O303" s="17" t="n">
        <f aca="false">IF(N303="","",RANK(N303,$N$5:$N$430))</f>
        <v>311</v>
      </c>
      <c r="P303" s="17" t="str">
        <f aca="false">IF(AND(N(H303)&gt;=N(K303),N(H303)&gt;=N(N303)),"The Pulse",IF(N(K303)&gt;=N(N303),"The Lens","The Hub"))</f>
        <v>The Lens</v>
      </c>
      <c r="Q303" s="20" t="s">
        <v>74</v>
      </c>
      <c r="R303" s="27" t="s">
        <v>832</v>
      </c>
      <c r="S303" s="17" t="s">
        <v>24</v>
      </c>
    </row>
    <row r="304" customFormat="false" ht="15" hidden="false" customHeight="false" outlineLevel="0" collapsed="false">
      <c r="A304" s="17" t="s">
        <v>265</v>
      </c>
      <c r="B304" s="17" t="s">
        <v>266</v>
      </c>
      <c r="C304" s="17" t="s">
        <v>1376</v>
      </c>
      <c r="D304" s="17" t="s">
        <v>115</v>
      </c>
      <c r="E304" s="18" t="n">
        <v>132640</v>
      </c>
      <c r="F304" s="17" t="s">
        <v>827</v>
      </c>
      <c r="G304" s="23" t="n">
        <v>0.431755126658625</v>
      </c>
      <c r="H304" s="19" t="n">
        <v>32.1</v>
      </c>
      <c r="I304" s="17" t="n">
        <f aca="false">IF(H304="","",RANK(H304,$H$5:$H$430))</f>
        <v>300</v>
      </c>
      <c r="J304" s="24" t="n">
        <v>0.107086219848093</v>
      </c>
      <c r="K304" s="19" t="n">
        <v>64.3</v>
      </c>
      <c r="L304" s="17" t="n">
        <f aca="false">IF(K304="","",RANK(K304,$K$5:$K$430))</f>
        <v>154</v>
      </c>
      <c r="M304" s="25" t="n">
        <v>0.130284728213978</v>
      </c>
      <c r="N304" s="19" t="n">
        <v>48</v>
      </c>
      <c r="O304" s="17" t="n">
        <f aca="false">IF(N304="","",RANK(N304,$N$5:$N$430))</f>
        <v>199</v>
      </c>
      <c r="P304" s="17" t="str">
        <f aca="false">IF(AND(N(H304)&gt;=N(K304),N(H304)&gt;=N(N304)),"The Pulse",IF(N(K304)&gt;=N(N304),"The Lens","The Hub"))</f>
        <v>The Lens</v>
      </c>
      <c r="Q304" s="20" t="s">
        <v>74</v>
      </c>
      <c r="R304" s="26" t="s">
        <v>822</v>
      </c>
      <c r="S304" s="17" t="s">
        <v>24</v>
      </c>
    </row>
    <row r="305" customFormat="false" ht="15" hidden="false" customHeight="false" outlineLevel="0" collapsed="false">
      <c r="A305" s="17" t="s">
        <v>755</v>
      </c>
      <c r="B305" s="17" t="s">
        <v>756</v>
      </c>
      <c r="C305" s="17" t="s">
        <v>1377</v>
      </c>
      <c r="D305" s="17" t="s">
        <v>86</v>
      </c>
      <c r="E305" s="18" t="n">
        <v>699880</v>
      </c>
      <c r="F305" s="17" t="s">
        <v>827</v>
      </c>
      <c r="G305" s="23" t="n">
        <v>0.429730810996171</v>
      </c>
      <c r="H305" s="19" t="n">
        <v>31.9</v>
      </c>
      <c r="I305" s="17" t="n">
        <f aca="false">IF(H305="","",RANK(H305,$H$5:$H$430))</f>
        <v>301</v>
      </c>
      <c r="J305" s="24" t="n">
        <v>0.0509971167707833</v>
      </c>
      <c r="K305" s="19" t="n">
        <v>30</v>
      </c>
      <c r="L305" s="17" t="n">
        <f aca="false">IF(K305="","",RANK(K305,$K$5:$K$430))</f>
        <v>289</v>
      </c>
      <c r="M305" s="25" t="n">
        <v>0.226806013934727</v>
      </c>
      <c r="N305" s="19" t="n">
        <v>77.9</v>
      </c>
      <c r="O305" s="17" t="n">
        <f aca="false">IF(N305="","",RANK(N305,$N$5:$N$430))</f>
        <v>88</v>
      </c>
      <c r="P305" s="17" t="str">
        <f aca="false">IF(AND(N(H305)&gt;=N(K305),N(H305)&gt;=N(N305)),"The Pulse",IF(N(K305)&gt;=N(N305),"The Lens","The Hub"))</f>
        <v>The Hub</v>
      </c>
      <c r="Q305" s="20" t="s">
        <v>74</v>
      </c>
      <c r="R305" s="26" t="s">
        <v>822</v>
      </c>
      <c r="S305" s="17" t="s">
        <v>24</v>
      </c>
    </row>
    <row r="306" customFormat="false" ht="15" hidden="false" customHeight="false" outlineLevel="0" collapsed="false">
      <c r="A306" s="17" t="s">
        <v>291</v>
      </c>
      <c r="B306" s="17" t="s">
        <v>292</v>
      </c>
      <c r="C306" s="17" t="s">
        <v>1378</v>
      </c>
      <c r="D306" s="17" t="s">
        <v>123</v>
      </c>
      <c r="E306" s="18" t="n">
        <v>9834</v>
      </c>
      <c r="F306" s="17" t="s">
        <v>825</v>
      </c>
      <c r="G306" s="23" t="n">
        <v>0.427394752898109</v>
      </c>
      <c r="H306" s="19" t="n">
        <v>31.8</v>
      </c>
      <c r="I306" s="17" t="n">
        <f aca="false">IF(H306="","",RANK(H306,$H$5:$H$430))</f>
        <v>302</v>
      </c>
      <c r="J306" s="24" t="n">
        <v>0.0390955198647506</v>
      </c>
      <c r="K306" s="19" t="n">
        <v>12.7</v>
      </c>
      <c r="L306" s="17" t="n">
        <f aca="false">IF(K306="","",RANK(K306,$K$5:$K$430))</f>
        <v>368</v>
      </c>
      <c r="M306" s="25" t="n">
        <v>0.233243967828418</v>
      </c>
      <c r="N306" s="19" t="n">
        <v>79.7</v>
      </c>
      <c r="O306" s="17" t="n">
        <f aca="false">IF(N306="","",RANK(N306,$N$5:$N$430))</f>
        <v>81</v>
      </c>
      <c r="P306" s="17" t="str">
        <f aca="false">IF(AND(N(H306)&gt;=N(K306),N(H306)&gt;=N(N306)),"The Pulse",IF(N(K306)&gt;=N(N306),"The Lens","The Hub"))</f>
        <v>The Hub</v>
      </c>
      <c r="Q306" s="22" t="s">
        <v>109</v>
      </c>
      <c r="R306" s="26" t="s">
        <v>822</v>
      </c>
      <c r="S306" s="17" t="s">
        <v>155</v>
      </c>
    </row>
    <row r="307" customFormat="false" ht="15" hidden="false" customHeight="false" outlineLevel="0" collapsed="false">
      <c r="A307" s="17" t="s">
        <v>1379</v>
      </c>
      <c r="B307" s="17" t="s">
        <v>1380</v>
      </c>
      <c r="C307" s="17" t="s">
        <v>1381</v>
      </c>
      <c r="D307" s="17" t="s">
        <v>77</v>
      </c>
      <c r="E307" s="18" t="n">
        <v>93220</v>
      </c>
      <c r="F307" s="17" t="s">
        <v>821</v>
      </c>
      <c r="G307" s="23" t="n">
        <v>0.42400113594163</v>
      </c>
      <c r="H307" s="19" t="n">
        <v>31.4</v>
      </c>
      <c r="I307" s="17" t="n">
        <f aca="false">IF(H307="","",RANK(H307,$H$5:$H$430))</f>
        <v>303</v>
      </c>
      <c r="J307" s="24" t="n">
        <v>0.0300552486187845</v>
      </c>
      <c r="K307" s="19" t="n">
        <v>18.2</v>
      </c>
      <c r="L307" s="17" t="n">
        <f aca="false">IF(K307="","",RANK(K307,$K$5:$K$430))</f>
        <v>345</v>
      </c>
      <c r="M307" s="25" t="n">
        <v>0.437540453074434</v>
      </c>
      <c r="N307" s="19" t="n">
        <v>99.3</v>
      </c>
      <c r="O307" s="17" t="n">
        <f aca="false">IF(N307="","",RANK(N307,$N$5:$N$430))</f>
        <v>4</v>
      </c>
      <c r="P307" s="17" t="str">
        <f aca="false">IF(AND(N(H307)&gt;=N(K307),N(H307)&gt;=N(N307)),"The Pulse",IF(N(K307)&gt;=N(N307),"The Lens","The Hub"))</f>
        <v>The Hub</v>
      </c>
      <c r="Q307" s="21" t="s">
        <v>79</v>
      </c>
      <c r="R307" s="27" t="s">
        <v>832</v>
      </c>
      <c r="S307" s="17" t="s">
        <v>88</v>
      </c>
    </row>
    <row r="308" customFormat="false" ht="15" hidden="false" customHeight="false" outlineLevel="0" collapsed="false">
      <c r="A308" s="17" t="s">
        <v>1382</v>
      </c>
      <c r="B308" s="17" t="s">
        <v>1383</v>
      </c>
      <c r="C308" s="17" t="s">
        <v>1384</v>
      </c>
      <c r="D308" s="17" t="s">
        <v>115</v>
      </c>
      <c r="E308" s="18" t="n">
        <v>92300</v>
      </c>
      <c r="F308" s="17" t="s">
        <v>821</v>
      </c>
      <c r="G308" s="23" t="n">
        <v>0.421592632719393</v>
      </c>
      <c r="H308" s="19" t="n">
        <v>31</v>
      </c>
      <c r="I308" s="17" t="n">
        <f aca="false">IF(H308="","",RANK(H308,$H$5:$H$430))</f>
        <v>304</v>
      </c>
      <c r="J308" s="24" t="n">
        <v>0.0501763568096484</v>
      </c>
      <c r="K308" s="19" t="n">
        <v>27.8</v>
      </c>
      <c r="L308" s="17" t="n">
        <f aca="false">IF(K308="","",RANK(K308,$K$5:$K$430))</f>
        <v>300</v>
      </c>
      <c r="M308" s="25" t="n">
        <v>0.0177819372952738</v>
      </c>
      <c r="N308" s="19" t="n">
        <v>4.7</v>
      </c>
      <c r="O308" s="17" t="n">
        <f aca="false">IF(N308="","",RANK(N308,$N$5:$N$430))</f>
        <v>370</v>
      </c>
      <c r="P308" s="17" t="str">
        <f aca="false">IF(AND(N(H308)&gt;=N(K308),N(H308)&gt;=N(N308)),"The Pulse",IF(N(K308)&gt;=N(N308),"The Lens","The Hub"))</f>
        <v>The Pulse</v>
      </c>
      <c r="Q308" s="20" t="s">
        <v>74</v>
      </c>
      <c r="R308" s="27" t="s">
        <v>832</v>
      </c>
      <c r="S308" s="17" t="s">
        <v>24</v>
      </c>
    </row>
    <row r="309" customFormat="false" ht="15" hidden="false" customHeight="false" outlineLevel="0" collapsed="false">
      <c r="A309" s="17" t="s">
        <v>679</v>
      </c>
      <c r="B309" s="17" t="s">
        <v>680</v>
      </c>
      <c r="C309" s="17" t="s">
        <v>1385</v>
      </c>
      <c r="D309" s="17" t="s">
        <v>95</v>
      </c>
      <c r="E309" s="18" t="n">
        <v>1336470</v>
      </c>
      <c r="F309" s="17" t="s">
        <v>935</v>
      </c>
      <c r="G309" s="23" t="n">
        <v>0.418280993961705</v>
      </c>
      <c r="H309" s="19" t="n">
        <v>30.8</v>
      </c>
      <c r="I309" s="17" t="n">
        <f aca="false">IF(H309="","",RANK(H309,$H$5:$H$430))</f>
        <v>305</v>
      </c>
      <c r="J309" s="24" t="n">
        <v>0.0953953839092519</v>
      </c>
      <c r="K309" s="19" t="n">
        <v>58.8</v>
      </c>
      <c r="L309" s="17" t="n">
        <f aca="false">IF(K309="","",RANK(K309,$K$5:$K$430))</f>
        <v>177</v>
      </c>
      <c r="M309" s="25" t="n">
        <v>0.0909758376718729</v>
      </c>
      <c r="N309" s="19" t="n">
        <v>32.9</v>
      </c>
      <c r="O309" s="17" t="n">
        <f aca="false">IF(N309="","",RANK(N309,$N$5:$N$430))</f>
        <v>260</v>
      </c>
      <c r="P309" s="17" t="str">
        <f aca="false">IF(AND(N(H309)&gt;=N(K309),N(H309)&gt;=N(N309)),"The Pulse",IF(N(K309)&gt;=N(N309),"The Lens","The Hub"))</f>
        <v>The Lens</v>
      </c>
      <c r="Q309" s="21" t="s">
        <v>79</v>
      </c>
      <c r="R309" s="26" t="s">
        <v>822</v>
      </c>
      <c r="S309" s="17" t="s">
        <v>88</v>
      </c>
    </row>
    <row r="310" customFormat="false" ht="15" hidden="false" customHeight="false" outlineLevel="0" collapsed="false">
      <c r="A310" s="17" t="s">
        <v>641</v>
      </c>
      <c r="B310" s="17" t="s">
        <v>642</v>
      </c>
      <c r="C310" s="17" t="s">
        <v>1386</v>
      </c>
      <c r="D310" s="17" t="s">
        <v>95</v>
      </c>
      <c r="E310" s="18" t="n">
        <v>8257</v>
      </c>
      <c r="F310" s="17" t="s">
        <v>825</v>
      </c>
      <c r="G310" s="23" t="n">
        <v>0.413467361027007</v>
      </c>
      <c r="H310" s="19" t="n">
        <v>30.6</v>
      </c>
      <c r="I310" s="17" t="n">
        <f aca="false">IF(H310="","",RANK(H310,$H$5:$H$430))</f>
        <v>306</v>
      </c>
      <c r="J310" s="24" t="n">
        <v>-0.0202895111532985</v>
      </c>
      <c r="K310" s="19" t="n">
        <v>4.2</v>
      </c>
      <c r="L310" s="17" t="n">
        <f aca="false">IF(K310="","",RANK(K310,$K$5:$K$430))</f>
        <v>410</v>
      </c>
      <c r="M310" s="25" t="n">
        <v>0.257352941176471</v>
      </c>
      <c r="N310" s="19" t="n">
        <v>83.2</v>
      </c>
      <c r="O310" s="17" t="n">
        <f aca="false">IF(N310="","",RANK(N310,$N$5:$N$430))</f>
        <v>66</v>
      </c>
      <c r="P310" s="17" t="str">
        <f aca="false">IF(AND(N(H310)&gt;=N(K310),N(H310)&gt;=N(N310)),"The Pulse",IF(N(K310)&gt;=N(N310),"The Lens","The Hub"))</f>
        <v>The Hub</v>
      </c>
      <c r="Q310" s="21" t="s">
        <v>79</v>
      </c>
      <c r="R310" s="26" t="s">
        <v>822</v>
      </c>
      <c r="S310" s="17" t="s">
        <v>22</v>
      </c>
    </row>
    <row r="311" customFormat="false" ht="15" hidden="false" customHeight="false" outlineLevel="0" collapsed="false">
      <c r="A311" s="17" t="s">
        <v>655</v>
      </c>
      <c r="B311" s="17" t="s">
        <v>656</v>
      </c>
      <c r="C311" s="17" t="s">
        <v>1387</v>
      </c>
      <c r="D311" s="17" t="s">
        <v>72</v>
      </c>
      <c r="E311" s="18" t="n">
        <v>140009</v>
      </c>
      <c r="F311" s="17" t="s">
        <v>827</v>
      </c>
      <c r="G311" s="23" t="n">
        <v>0.406473869536958</v>
      </c>
      <c r="H311" s="19" t="n">
        <v>30.1</v>
      </c>
      <c r="I311" s="17" t="n">
        <f aca="false">IF(H311="","",RANK(H311,$H$5:$H$430))</f>
        <v>307</v>
      </c>
      <c r="J311" s="24" t="n">
        <v>0.0852233090982374</v>
      </c>
      <c r="K311" s="19" t="n">
        <v>51.4</v>
      </c>
      <c r="L311" s="17" t="n">
        <f aca="false">IF(K311="","",RANK(K311,$K$5:$K$430))</f>
        <v>208</v>
      </c>
      <c r="M311" s="25" t="n">
        <v>0.330665543386689</v>
      </c>
      <c r="N311" s="19" t="n">
        <v>93.7</v>
      </c>
      <c r="O311" s="17" t="n">
        <f aca="false">IF(N311="","",RANK(N311,$N$5:$N$430))</f>
        <v>24</v>
      </c>
      <c r="P311" s="17" t="str">
        <f aca="false">IF(AND(N(H311)&gt;=N(K311),N(H311)&gt;=N(N311)),"The Pulse",IF(N(K311)&gt;=N(N311),"The Lens","The Hub"))</f>
        <v>The Hub</v>
      </c>
      <c r="Q311" s="21" t="s">
        <v>79</v>
      </c>
      <c r="R311" s="26" t="s">
        <v>822</v>
      </c>
      <c r="S311" s="17" t="s">
        <v>22</v>
      </c>
    </row>
    <row r="312" customFormat="false" ht="15" hidden="false" customHeight="false" outlineLevel="0" collapsed="false">
      <c r="A312" s="17" t="s">
        <v>367</v>
      </c>
      <c r="B312" s="17" t="s">
        <v>368</v>
      </c>
      <c r="C312" s="17" t="s">
        <v>1388</v>
      </c>
      <c r="D312" s="17" t="s">
        <v>82</v>
      </c>
      <c r="E312" s="18" t="n">
        <v>101987</v>
      </c>
      <c r="F312" s="17" t="s">
        <v>827</v>
      </c>
      <c r="G312" s="23" t="n">
        <v>0.403698510594488</v>
      </c>
      <c r="H312" s="19" t="n">
        <v>29.9</v>
      </c>
      <c r="I312" s="17" t="n">
        <f aca="false">IF(H312="","",RANK(H312,$H$5:$H$430))</f>
        <v>308</v>
      </c>
      <c r="J312" s="24" t="n">
        <v>0.176700664574488</v>
      </c>
      <c r="K312" s="19" t="n">
        <v>87.9</v>
      </c>
      <c r="L312" s="17" t="n">
        <f aca="false">IF(K312="","",RANK(K312,$K$5:$K$430))</f>
        <v>53</v>
      </c>
      <c r="M312" s="25" t="n">
        <v>0.0219594594594595</v>
      </c>
      <c r="N312" s="19" t="n">
        <v>6.3</v>
      </c>
      <c r="O312" s="17" t="n">
        <f aca="false">IF(N312="","",RANK(N312,$N$5:$N$430))</f>
        <v>363</v>
      </c>
      <c r="P312" s="17" t="str">
        <f aca="false">IF(AND(N(H312)&gt;=N(K312),N(H312)&gt;=N(N312)),"The Pulse",IF(N(K312)&gt;=N(N312),"The Lens","The Hub"))</f>
        <v>The Lens</v>
      </c>
      <c r="Q312" s="21" t="s">
        <v>79</v>
      </c>
      <c r="R312" s="26" t="s">
        <v>822</v>
      </c>
      <c r="S312" s="17" t="s">
        <v>22</v>
      </c>
    </row>
    <row r="313" customFormat="false" ht="15" hidden="false" customHeight="false" outlineLevel="0" collapsed="false">
      <c r="A313" s="17" t="s">
        <v>299</v>
      </c>
      <c r="B313" s="17" t="s">
        <v>300</v>
      </c>
      <c r="C313" s="17" t="s">
        <v>1389</v>
      </c>
      <c r="D313" s="17" t="s">
        <v>72</v>
      </c>
      <c r="E313" s="18" t="n">
        <v>15950</v>
      </c>
      <c r="F313" s="17" t="s">
        <v>821</v>
      </c>
      <c r="G313" s="23" t="n">
        <v>0.402068965517241</v>
      </c>
      <c r="H313" s="19" t="n">
        <v>29.5</v>
      </c>
      <c r="I313" s="17" t="n">
        <f aca="false">IF(H313="","",RANK(H313,$H$5:$H$430))</f>
        <v>309</v>
      </c>
      <c r="J313" s="24" t="n">
        <v>0.0992419021364576</v>
      </c>
      <c r="K313" s="19" t="n">
        <v>52.2</v>
      </c>
      <c r="L313" s="17" t="n">
        <f aca="false">IF(K313="","",RANK(K313,$K$5:$K$430))</f>
        <v>203</v>
      </c>
      <c r="M313" s="25" t="n">
        <v>0.280542986425339</v>
      </c>
      <c r="N313" s="19" t="n">
        <v>87.6</v>
      </c>
      <c r="O313" s="17" t="n">
        <f aca="false">IF(N313="","",RANK(N313,$N$5:$N$430))</f>
        <v>48</v>
      </c>
      <c r="P313" s="17" t="str">
        <f aca="false">IF(AND(N(H313)&gt;=N(K313),N(H313)&gt;=N(N313)),"The Pulse",IF(N(K313)&gt;=N(N313),"The Lens","The Hub"))</f>
        <v>The Hub</v>
      </c>
      <c r="Q313" s="20" t="s">
        <v>74</v>
      </c>
      <c r="R313" s="26" t="s">
        <v>822</v>
      </c>
      <c r="S313" s="17" t="s">
        <v>24</v>
      </c>
    </row>
    <row r="314" customFormat="false" ht="15" hidden="false" customHeight="false" outlineLevel="0" collapsed="false">
      <c r="A314" s="17" t="s">
        <v>283</v>
      </c>
      <c r="B314" s="17" t="s">
        <v>284</v>
      </c>
      <c r="C314" s="17" t="s">
        <v>1390</v>
      </c>
      <c r="D314" s="17" t="s">
        <v>162</v>
      </c>
      <c r="E314" s="18" t="n">
        <v>173520</v>
      </c>
      <c r="F314" s="17" t="s">
        <v>827</v>
      </c>
      <c r="G314" s="23" t="n">
        <v>0.39974642692485</v>
      </c>
      <c r="H314" s="19" t="n">
        <v>29.3</v>
      </c>
      <c r="I314" s="17" t="n">
        <f aca="false">IF(H314="","",RANK(H314,$H$5:$H$430))</f>
        <v>310</v>
      </c>
      <c r="J314" s="24" t="n">
        <v>0.0620639001101726</v>
      </c>
      <c r="K314" s="19" t="n">
        <v>35</v>
      </c>
      <c r="L314" s="17" t="n">
        <f aca="false">IF(K314="","",RANK(K314,$K$5:$K$430))</f>
        <v>271</v>
      </c>
      <c r="M314" s="25" t="n">
        <v>0.323447636700649</v>
      </c>
      <c r="N314" s="19" t="n">
        <v>92.5</v>
      </c>
      <c r="O314" s="17" t="n">
        <f aca="false">IF(N314="","",RANK(N314,$N$5:$N$430))</f>
        <v>29</v>
      </c>
      <c r="P314" s="17" t="str">
        <f aca="false">IF(AND(N(H314)&gt;=N(K314),N(H314)&gt;=N(N314)),"The Pulse",IF(N(K314)&gt;=N(N314),"The Lens","The Hub"))</f>
        <v>The Hub</v>
      </c>
      <c r="Q314" s="21" t="s">
        <v>79</v>
      </c>
      <c r="R314" s="26" t="s">
        <v>822</v>
      </c>
      <c r="S314" s="17" t="s">
        <v>88</v>
      </c>
    </row>
    <row r="315" customFormat="false" ht="15" hidden="false" customHeight="false" outlineLevel="0" collapsed="false">
      <c r="A315" s="17" t="s">
        <v>569</v>
      </c>
      <c r="B315" s="17" t="s">
        <v>570</v>
      </c>
      <c r="C315" s="17" t="s">
        <v>1391</v>
      </c>
      <c r="D315" s="17" t="s">
        <v>86</v>
      </c>
      <c r="E315" s="18" t="n">
        <v>117080</v>
      </c>
      <c r="F315" s="17" t="s">
        <v>827</v>
      </c>
      <c r="G315" s="23" t="n">
        <v>0.397745131533994</v>
      </c>
      <c r="H315" s="19" t="n">
        <v>29.1</v>
      </c>
      <c r="I315" s="17" t="n">
        <f aca="false">IF(H315="","",RANK(H315,$H$5:$H$430))</f>
        <v>311</v>
      </c>
      <c r="J315" s="24" t="n">
        <v>0.036509791423209</v>
      </c>
      <c r="K315" s="19" t="n">
        <v>23.6</v>
      </c>
      <c r="L315" s="17" t="n">
        <f aca="false">IF(K315="","",RANK(K315,$K$5:$K$430))</f>
        <v>319</v>
      </c>
      <c r="M315" s="25" t="n">
        <v>0.112275108175814</v>
      </c>
      <c r="N315" s="19" t="n">
        <v>40.3</v>
      </c>
      <c r="O315" s="17" t="n">
        <f aca="false">IF(N315="","",RANK(N315,$N$5:$N$430))</f>
        <v>230</v>
      </c>
      <c r="P315" s="17" t="str">
        <f aca="false">IF(AND(N(H315)&gt;=N(K315),N(H315)&gt;=N(N315)),"The Pulse",IF(N(K315)&gt;=N(N315),"The Lens","The Hub"))</f>
        <v>The Hub</v>
      </c>
      <c r="Q315" s="21" t="s">
        <v>79</v>
      </c>
      <c r="R315" s="26" t="s">
        <v>822</v>
      </c>
      <c r="S315" s="17" t="s">
        <v>22</v>
      </c>
    </row>
    <row r="316" customFormat="false" ht="15" hidden="false" customHeight="false" outlineLevel="0" collapsed="false">
      <c r="A316" s="17" t="s">
        <v>787</v>
      </c>
      <c r="B316" s="17" t="s">
        <v>788</v>
      </c>
      <c r="C316" s="17" t="s">
        <v>1392</v>
      </c>
      <c r="D316" s="17" t="s">
        <v>77</v>
      </c>
      <c r="E316" s="18" t="n">
        <v>40060</v>
      </c>
      <c r="F316" s="17" t="s">
        <v>821</v>
      </c>
      <c r="G316" s="23" t="n">
        <v>0.394033949076385</v>
      </c>
      <c r="H316" s="19" t="n">
        <v>28.9</v>
      </c>
      <c r="I316" s="17" t="n">
        <f aca="false">IF(H316="","",RANK(H316,$H$5:$H$430))</f>
        <v>312</v>
      </c>
      <c r="J316" s="24" t="n">
        <v>0.118057493720346</v>
      </c>
      <c r="K316" s="19" t="n">
        <v>62.2</v>
      </c>
      <c r="L316" s="17" t="n">
        <f aca="false">IF(K316="","",RANK(K316,$K$5:$K$430))</f>
        <v>161</v>
      </c>
      <c r="M316" s="25" t="n">
        <v>0.30151024811219</v>
      </c>
      <c r="N316" s="19" t="n">
        <v>90.4</v>
      </c>
      <c r="O316" s="17" t="n">
        <f aca="false">IF(N316="","",RANK(N316,$N$5:$N$430))</f>
        <v>37</v>
      </c>
      <c r="P316" s="17" t="str">
        <f aca="false">IF(AND(N(H316)&gt;=N(K316),N(H316)&gt;=N(N316)),"The Pulse",IF(N(K316)&gt;=N(N316),"The Lens","The Hub"))</f>
        <v>The Hub</v>
      </c>
      <c r="Q316" s="21" t="s">
        <v>79</v>
      </c>
      <c r="R316" s="26" t="s">
        <v>822</v>
      </c>
      <c r="S316" s="17" t="s">
        <v>88</v>
      </c>
    </row>
    <row r="317" customFormat="false" ht="15" hidden="false" customHeight="false" outlineLevel="0" collapsed="false">
      <c r="A317" s="17" t="s">
        <v>1393</v>
      </c>
      <c r="B317" s="17" t="s">
        <v>1394</v>
      </c>
      <c r="C317" s="17" t="s">
        <v>1395</v>
      </c>
      <c r="D317" s="17" t="s">
        <v>77</v>
      </c>
      <c r="E317" s="18" t="n">
        <v>39320</v>
      </c>
      <c r="F317" s="17" t="s">
        <v>821</v>
      </c>
      <c r="G317" s="23" t="n">
        <v>0.393896236012208</v>
      </c>
      <c r="H317" s="19" t="n">
        <v>28.7</v>
      </c>
      <c r="I317" s="17" t="n">
        <f aca="false">IF(H317="","",RANK(H317,$H$5:$H$430))</f>
        <v>313</v>
      </c>
      <c r="J317" s="24" t="n">
        <v>0.018916817828453</v>
      </c>
      <c r="K317" s="19" t="n">
        <v>12.7</v>
      </c>
      <c r="L317" s="17" t="n">
        <f aca="false">IF(K317="","",RANK(K317,$K$5:$K$430))</f>
        <v>368</v>
      </c>
      <c r="M317" s="25" t="n">
        <v>0.152494729444835</v>
      </c>
      <c r="N317" s="19" t="n">
        <v>59</v>
      </c>
      <c r="O317" s="17" t="n">
        <f aca="false">IF(N317="","",RANK(N317,$N$5:$N$430))</f>
        <v>155</v>
      </c>
      <c r="P317" s="17" t="str">
        <f aca="false">IF(AND(N(H317)&gt;=N(K317),N(H317)&gt;=N(N317)),"The Pulse",IF(N(K317)&gt;=N(N317),"The Lens","The Hub"))</f>
        <v>The Hub</v>
      </c>
      <c r="Q317" s="20" t="s">
        <v>74</v>
      </c>
      <c r="R317" s="27" t="s">
        <v>832</v>
      </c>
      <c r="S317" s="17" t="s">
        <v>24</v>
      </c>
    </row>
    <row r="318" customFormat="false" ht="15" hidden="false" customHeight="false" outlineLevel="0" collapsed="false">
      <c r="A318" s="17" t="s">
        <v>305</v>
      </c>
      <c r="B318" s="17" t="s">
        <v>306</v>
      </c>
      <c r="C318" s="17" t="s">
        <v>1396</v>
      </c>
      <c r="D318" s="17" t="s">
        <v>91</v>
      </c>
      <c r="E318" s="18" t="n">
        <v>146070</v>
      </c>
      <c r="F318" s="17" t="s">
        <v>827</v>
      </c>
      <c r="G318" s="23" t="n">
        <v>0.391168617785993</v>
      </c>
      <c r="H318" s="19" t="n">
        <v>28.5</v>
      </c>
      <c r="I318" s="17" t="n">
        <f aca="false">IF(H318="","",RANK(H318,$H$5:$H$430))</f>
        <v>314</v>
      </c>
      <c r="J318" s="24" t="n">
        <v>-0.00841762270042767</v>
      </c>
      <c r="K318" s="19" t="n">
        <v>10.7</v>
      </c>
      <c r="L318" s="17" t="n">
        <f aca="false">IF(K318="","",RANK(K318,$K$5:$K$430))</f>
        <v>378</v>
      </c>
      <c r="M318" s="25" t="n">
        <v>0.130449947680502</v>
      </c>
      <c r="N318" s="19" t="n">
        <v>48.3</v>
      </c>
      <c r="O318" s="17" t="n">
        <f aca="false">IF(N318="","",RANK(N318,$N$5:$N$430))</f>
        <v>198</v>
      </c>
      <c r="P318" s="17" t="str">
        <f aca="false">IF(AND(N(H318)&gt;=N(K318),N(H318)&gt;=N(N318)),"The Pulse",IF(N(K318)&gt;=N(N318),"The Lens","The Hub"))</f>
        <v>The Hub</v>
      </c>
      <c r="Q318" s="20" t="s">
        <v>74</v>
      </c>
      <c r="R318" s="26" t="s">
        <v>822</v>
      </c>
      <c r="S318" s="17" t="s">
        <v>24</v>
      </c>
    </row>
    <row r="319" customFormat="false" ht="15" hidden="false" customHeight="false" outlineLevel="0" collapsed="false">
      <c r="A319" s="17" t="s">
        <v>699</v>
      </c>
      <c r="B319" s="17" t="s">
        <v>700</v>
      </c>
      <c r="C319" s="17" t="s">
        <v>1397</v>
      </c>
      <c r="D319" s="17" t="s">
        <v>115</v>
      </c>
      <c r="E319" s="18" t="n">
        <v>103010</v>
      </c>
      <c r="F319" s="17" t="s">
        <v>827</v>
      </c>
      <c r="G319" s="23" t="n">
        <v>0.390263081254247</v>
      </c>
      <c r="H319" s="19" t="n">
        <v>28.4</v>
      </c>
      <c r="I319" s="17" t="n">
        <f aca="false">IF(H319="","",RANK(H319,$H$5:$H$430))</f>
        <v>315</v>
      </c>
      <c r="J319" s="24" t="n">
        <v>0.0784128978224456</v>
      </c>
      <c r="K319" s="19" t="n">
        <v>45</v>
      </c>
      <c r="L319" s="17" t="n">
        <f aca="false">IF(K319="","",RANK(K319,$K$5:$K$430))</f>
        <v>231</v>
      </c>
      <c r="M319" s="25" t="n">
        <v>0.260802469135803</v>
      </c>
      <c r="N319" s="19" t="n">
        <v>84.4</v>
      </c>
      <c r="O319" s="17" t="n">
        <f aca="false">IF(N319="","",RANK(N319,$N$5:$N$430))</f>
        <v>61</v>
      </c>
      <c r="P319" s="17" t="str">
        <f aca="false">IF(AND(N(H319)&gt;=N(K319),N(H319)&gt;=N(N319)),"The Pulse",IF(N(K319)&gt;=N(N319),"The Lens","The Hub"))</f>
        <v>The Hub</v>
      </c>
      <c r="Q319" s="20" t="s">
        <v>74</v>
      </c>
      <c r="R319" s="26" t="s">
        <v>822</v>
      </c>
      <c r="S319" s="17" t="s">
        <v>24</v>
      </c>
    </row>
    <row r="320" customFormat="false" ht="15" hidden="false" customHeight="false" outlineLevel="0" collapsed="false">
      <c r="A320" s="17" t="s">
        <v>1398</v>
      </c>
      <c r="B320" s="17" t="s">
        <v>1399</v>
      </c>
      <c r="C320" s="17" t="s">
        <v>1400</v>
      </c>
      <c r="D320" s="17" t="s">
        <v>98</v>
      </c>
      <c r="E320" s="18" t="n">
        <v>344680</v>
      </c>
      <c r="F320" s="17" t="s">
        <v>827</v>
      </c>
      <c r="G320" s="23" t="n">
        <v>0.387547870488569</v>
      </c>
      <c r="H320" s="19" t="n">
        <v>28</v>
      </c>
      <c r="I320" s="17" t="n">
        <f aca="false">IF(H320="","",RANK(H320,$H$5:$H$430))</f>
        <v>316</v>
      </c>
      <c r="J320" s="24" t="n">
        <v>0.18933094096132</v>
      </c>
      <c r="K320" s="19" t="n">
        <v>92.9</v>
      </c>
      <c r="L320" s="17" t="n">
        <f aca="false">IF(K320="","",RANK(K320,$K$5:$K$430))</f>
        <v>32</v>
      </c>
      <c r="M320" s="25" t="n">
        <v>0.200502652890254</v>
      </c>
      <c r="N320" s="19" t="n">
        <v>73.4</v>
      </c>
      <c r="O320" s="17" t="n">
        <f aca="false">IF(N320="","",RANK(N320,$N$5:$N$430))</f>
        <v>103</v>
      </c>
      <c r="P320" s="17" t="str">
        <f aca="false">IF(AND(N(H320)&gt;=N(K320),N(H320)&gt;=N(N320)),"The Pulse",IF(N(K320)&gt;=N(N320),"The Lens","The Hub"))</f>
        <v>The Lens</v>
      </c>
      <c r="Q320" s="20" t="s">
        <v>74</v>
      </c>
      <c r="R320" s="27" t="s">
        <v>832</v>
      </c>
      <c r="S320" s="17" t="s">
        <v>24</v>
      </c>
    </row>
    <row r="321" customFormat="false" ht="15" hidden="false" customHeight="false" outlineLevel="0" collapsed="false">
      <c r="A321" s="17" t="s">
        <v>1401</v>
      </c>
      <c r="B321" s="17" t="s">
        <v>1402</v>
      </c>
      <c r="C321" s="17" t="s">
        <v>1403</v>
      </c>
      <c r="D321" s="17" t="s">
        <v>91</v>
      </c>
      <c r="E321" s="18" t="n">
        <v>21250</v>
      </c>
      <c r="F321" s="17" t="s">
        <v>821</v>
      </c>
      <c r="G321" s="23" t="n">
        <v>0.384941176470588</v>
      </c>
      <c r="H321" s="19" t="n">
        <v>27.6</v>
      </c>
      <c r="I321" s="17" t="n">
        <f aca="false">IF(H321="","",RANK(H321,$H$5:$H$430))</f>
        <v>317</v>
      </c>
      <c r="J321" s="24" t="n">
        <v>0.136363636363636</v>
      </c>
      <c r="K321" s="19" t="n">
        <v>72.2</v>
      </c>
      <c r="L321" s="17" t="n">
        <f aca="false">IF(K321="","",RANK(K321,$K$5:$K$430))</f>
        <v>120</v>
      </c>
      <c r="M321" s="25" t="n">
        <v>0.0305084745762712</v>
      </c>
      <c r="N321" s="19" t="n">
        <v>8.6</v>
      </c>
      <c r="O321" s="17" t="n">
        <f aca="false">IF(N321="","",RANK(N321,$N$5:$N$430))</f>
        <v>353</v>
      </c>
      <c r="P321" s="17" t="str">
        <f aca="false">IF(AND(N(H321)&gt;=N(K321),N(H321)&gt;=N(N321)),"The Pulse",IF(N(K321)&gt;=N(N321),"The Lens","The Hub"))</f>
        <v>The Lens</v>
      </c>
      <c r="Q321" s="20" t="s">
        <v>74</v>
      </c>
      <c r="R321" s="27" t="s">
        <v>832</v>
      </c>
      <c r="S321" s="17" t="s">
        <v>24</v>
      </c>
    </row>
    <row r="322" customFormat="false" ht="15" hidden="false" customHeight="false" outlineLevel="0" collapsed="false">
      <c r="A322" s="17" t="s">
        <v>1404</v>
      </c>
      <c r="B322" s="17" t="s">
        <v>1405</v>
      </c>
      <c r="C322" s="17" t="s">
        <v>1406</v>
      </c>
      <c r="D322" s="17" t="s">
        <v>77</v>
      </c>
      <c r="E322" s="18" t="n">
        <v>20690</v>
      </c>
      <c r="F322" s="17" t="s">
        <v>821</v>
      </c>
      <c r="G322" s="23" t="n">
        <v>0.384775253745771</v>
      </c>
      <c r="H322" s="19" t="n">
        <v>27.4</v>
      </c>
      <c r="I322" s="17" t="n">
        <f aca="false">IF(H322="","",RANK(H322,$H$5:$H$430))</f>
        <v>318</v>
      </c>
      <c r="J322" s="24" t="n">
        <v>0.0417925478348439</v>
      </c>
      <c r="K322" s="19" t="n">
        <v>23.4</v>
      </c>
      <c r="L322" s="17" t="n">
        <f aca="false">IF(K322="","",RANK(K322,$K$5:$K$430))</f>
        <v>321</v>
      </c>
      <c r="M322" s="25" t="n">
        <v>0.0104821802935011</v>
      </c>
      <c r="N322" s="19" t="n">
        <v>2.8</v>
      </c>
      <c r="O322" s="17" t="n">
        <f aca="false">IF(N322="","",RANK(N322,$N$5:$N$430))</f>
        <v>376</v>
      </c>
      <c r="P322" s="17" t="str">
        <f aca="false">IF(AND(N(H322)&gt;=N(K322),N(H322)&gt;=N(N322)),"The Pulse",IF(N(K322)&gt;=N(N322),"The Lens","The Hub"))</f>
        <v>The Pulse</v>
      </c>
      <c r="Q322" s="20" t="s">
        <v>74</v>
      </c>
      <c r="R322" s="27" t="s">
        <v>832</v>
      </c>
      <c r="S322" s="17" t="s">
        <v>24</v>
      </c>
    </row>
    <row r="323" customFormat="false" ht="15" hidden="false" customHeight="false" outlineLevel="0" collapsed="false">
      <c r="A323" s="17" t="s">
        <v>535</v>
      </c>
      <c r="B323" s="17" t="s">
        <v>536</v>
      </c>
      <c r="C323" s="17" t="s">
        <v>1407</v>
      </c>
      <c r="D323" s="17" t="s">
        <v>115</v>
      </c>
      <c r="E323" s="18" t="n">
        <v>24539</v>
      </c>
      <c r="F323" s="17" t="s">
        <v>821</v>
      </c>
      <c r="G323" s="23" t="n">
        <v>0.382615428501569</v>
      </c>
      <c r="H323" s="19" t="n">
        <v>27.2</v>
      </c>
      <c r="I323" s="17" t="n">
        <f aca="false">IF(H323="","",RANK(H323,$H$5:$H$430))</f>
        <v>319</v>
      </c>
      <c r="J323" s="24" t="n">
        <v>0.0357941834451902</v>
      </c>
      <c r="K323" s="19" t="n">
        <v>21</v>
      </c>
      <c r="L323" s="17" t="n">
        <f aca="false">IF(K323="","",RANK(K323,$K$5:$K$430))</f>
        <v>332</v>
      </c>
      <c r="M323" s="25" t="n">
        <v>0.0472972972972973</v>
      </c>
      <c r="N323" s="19" t="n">
        <v>14.7</v>
      </c>
      <c r="O323" s="17" t="n">
        <f aca="false">IF(N323="","",RANK(N323,$N$5:$N$430))</f>
        <v>331</v>
      </c>
      <c r="P323" s="17" t="str">
        <f aca="false">IF(AND(N(H323)&gt;=N(K323),N(H323)&gt;=N(N323)),"The Pulse",IF(N(K323)&gt;=N(N323),"The Lens","The Hub"))</f>
        <v>The Pulse</v>
      </c>
      <c r="Q323" s="21" t="s">
        <v>79</v>
      </c>
      <c r="R323" s="26" t="s">
        <v>822</v>
      </c>
      <c r="S323" s="17" t="s">
        <v>88</v>
      </c>
    </row>
    <row r="324" customFormat="false" ht="15" hidden="false" customHeight="false" outlineLevel="0" collapsed="false">
      <c r="A324" s="17" t="s">
        <v>487</v>
      </c>
      <c r="B324" s="17" t="s">
        <v>488</v>
      </c>
      <c r="C324" s="17" t="s">
        <v>1408</v>
      </c>
      <c r="D324" s="17" t="s">
        <v>91</v>
      </c>
      <c r="E324" s="18" t="n">
        <v>59393</v>
      </c>
      <c r="F324" s="17" t="s">
        <v>821</v>
      </c>
      <c r="G324" s="23" t="n">
        <v>0.382132574545822</v>
      </c>
      <c r="H324" s="19" t="n">
        <v>27</v>
      </c>
      <c r="I324" s="17" t="n">
        <f aca="false">IF(H324="","",RANK(H324,$H$5:$H$430))</f>
        <v>320</v>
      </c>
      <c r="J324" s="24" t="n">
        <v>0.0898398076958365</v>
      </c>
      <c r="K324" s="19" t="n">
        <v>47.1</v>
      </c>
      <c r="L324" s="17" t="n">
        <f aca="false">IF(K324="","",RANK(K324,$K$5:$K$430))</f>
        <v>225</v>
      </c>
      <c r="M324" s="25" t="n">
        <v>0.2</v>
      </c>
      <c r="N324" s="19" t="n">
        <v>73</v>
      </c>
      <c r="O324" s="17" t="n">
        <f aca="false">IF(N324="","",RANK(N324,$N$5:$N$430))</f>
        <v>105</v>
      </c>
      <c r="P324" s="17" t="str">
        <f aca="false">IF(AND(N(H324)&gt;=N(K324),N(H324)&gt;=N(N324)),"The Pulse",IF(N(K324)&gt;=N(N324),"The Lens","The Hub"))</f>
        <v>The Hub</v>
      </c>
      <c r="Q324" s="21" t="s">
        <v>79</v>
      </c>
      <c r="R324" s="26" t="s">
        <v>822</v>
      </c>
      <c r="S324" s="17" t="s">
        <v>22</v>
      </c>
    </row>
    <row r="325" customFormat="false" ht="15" hidden="false" customHeight="false" outlineLevel="0" collapsed="false">
      <c r="A325" s="17" t="s">
        <v>1409</v>
      </c>
      <c r="B325" s="17" t="s">
        <v>1410</v>
      </c>
      <c r="C325" s="17" t="s">
        <v>1411</v>
      </c>
      <c r="D325" s="17" t="s">
        <v>77</v>
      </c>
      <c r="E325" s="18" t="n">
        <v>5541</v>
      </c>
      <c r="F325" s="17" t="s">
        <v>825</v>
      </c>
      <c r="G325" s="23" t="n">
        <v>0.381700054141852</v>
      </c>
      <c r="H325" s="19" t="n">
        <v>26.7</v>
      </c>
      <c r="I325" s="17" t="n">
        <f aca="false">IF(H325="","",RANK(H325,$H$5:$H$430))</f>
        <v>321</v>
      </c>
      <c r="J325" s="24" t="n">
        <v>0.0905333595748868</v>
      </c>
      <c r="K325" s="19" t="n">
        <v>42.3</v>
      </c>
      <c r="L325" s="17" t="n">
        <f aca="false">IF(K325="","",RANK(K325,$K$5:$K$430))</f>
        <v>242</v>
      </c>
      <c r="M325" s="25" t="n">
        <v>0.192307692307692</v>
      </c>
      <c r="N325" s="19" t="n">
        <v>70.4</v>
      </c>
      <c r="O325" s="17" t="n">
        <f aca="false">IF(N325="","",RANK(N325,$N$5:$N$430))</f>
        <v>115</v>
      </c>
      <c r="P325" s="17" t="str">
        <f aca="false">IF(AND(N(H325)&gt;=N(K325),N(H325)&gt;=N(N325)),"The Pulse",IF(N(K325)&gt;=N(N325),"The Lens","The Hub"))</f>
        <v>The Hub</v>
      </c>
      <c r="Q325" s="21" t="s">
        <v>79</v>
      </c>
      <c r="R325" s="27" t="s">
        <v>832</v>
      </c>
      <c r="S325" s="17" t="s">
        <v>22</v>
      </c>
    </row>
    <row r="326" customFormat="false" ht="15" hidden="false" customHeight="false" outlineLevel="0" collapsed="false">
      <c r="A326" s="17" t="s">
        <v>347</v>
      </c>
      <c r="B326" s="17" t="s">
        <v>348</v>
      </c>
      <c r="C326" s="17" t="s">
        <v>1412</v>
      </c>
      <c r="D326" s="17" t="s">
        <v>77</v>
      </c>
      <c r="E326" s="18" t="n">
        <v>214370</v>
      </c>
      <c r="F326" s="17" t="s">
        <v>827</v>
      </c>
      <c r="G326" s="23" t="n">
        <v>0.378695713019546</v>
      </c>
      <c r="H326" s="19" t="n">
        <v>26.5</v>
      </c>
      <c r="I326" s="17" t="n">
        <f aca="false">IF(H326="","",RANK(H326,$H$5:$H$430))</f>
        <v>322</v>
      </c>
      <c r="J326" s="24" t="n">
        <v>0.128797851613922</v>
      </c>
      <c r="K326" s="19" t="n">
        <v>72.9</v>
      </c>
      <c r="L326" s="17" t="n">
        <f aca="false">IF(K326="","",RANK(K326,$K$5:$K$430))</f>
        <v>117</v>
      </c>
      <c r="M326" s="25" t="n">
        <v>0.147841255996511</v>
      </c>
      <c r="N326" s="19" t="n">
        <v>56.6</v>
      </c>
      <c r="O326" s="17" t="n">
        <f aca="false">IF(N326="","",RANK(N326,$N$5:$N$430))</f>
        <v>164</v>
      </c>
      <c r="P326" s="17" t="str">
        <f aca="false">IF(AND(N(H326)&gt;=N(K326),N(H326)&gt;=N(N326)),"The Pulse",IF(N(K326)&gt;=N(N326),"The Lens","The Hub"))</f>
        <v>The Lens</v>
      </c>
      <c r="Q326" s="20" t="s">
        <v>74</v>
      </c>
      <c r="R326" s="26" t="s">
        <v>822</v>
      </c>
      <c r="S326" s="17" t="s">
        <v>24</v>
      </c>
    </row>
    <row r="327" customFormat="false" ht="15" hidden="false" customHeight="false" outlineLevel="0" collapsed="false">
      <c r="A327" s="17" t="s">
        <v>631</v>
      </c>
      <c r="B327" s="17" t="s">
        <v>632</v>
      </c>
      <c r="C327" s="17" t="s">
        <v>1413</v>
      </c>
      <c r="D327" s="17" t="s">
        <v>95</v>
      </c>
      <c r="E327" s="18" t="n">
        <v>12340</v>
      </c>
      <c r="F327" s="17" t="s">
        <v>821</v>
      </c>
      <c r="G327" s="23" t="n">
        <v>0.377228525121556</v>
      </c>
      <c r="H327" s="19" t="n">
        <v>26.3</v>
      </c>
      <c r="I327" s="17" t="n">
        <f aca="false">IF(H327="","",RANK(H327,$H$5:$H$430))</f>
        <v>323</v>
      </c>
      <c r="J327" s="24" t="n">
        <v>0.252919078078993</v>
      </c>
      <c r="K327" s="19" t="n">
        <v>98.3</v>
      </c>
      <c r="L327" s="17" t="n">
        <f aca="false">IF(K327="","",RANK(K327,$K$5:$K$430))</f>
        <v>10</v>
      </c>
      <c r="M327" s="25" t="n">
        <v>0.12972972972973</v>
      </c>
      <c r="N327" s="19" t="n">
        <v>47.6</v>
      </c>
      <c r="O327" s="17" t="n">
        <f aca="false">IF(N327="","",RANK(N327,$N$5:$N$430))</f>
        <v>201</v>
      </c>
      <c r="P327" s="17" t="str">
        <f aca="false">IF(AND(N(H327)&gt;=N(K327),N(H327)&gt;=N(N327)),"The Pulse",IF(N(K327)&gt;=N(N327),"The Lens","The Hub"))</f>
        <v>The Lens</v>
      </c>
      <c r="Q327" s="21" t="s">
        <v>79</v>
      </c>
      <c r="R327" s="26" t="s">
        <v>822</v>
      </c>
      <c r="S327" s="17" t="s">
        <v>88</v>
      </c>
    </row>
    <row r="328" customFormat="false" ht="15" hidden="false" customHeight="false" outlineLevel="0" collapsed="false">
      <c r="A328" s="17" t="s">
        <v>437</v>
      </c>
      <c r="B328" s="17" t="s">
        <v>438</v>
      </c>
      <c r="C328" s="17" t="s">
        <v>1414</v>
      </c>
      <c r="D328" s="17" t="s">
        <v>123</v>
      </c>
      <c r="E328" s="18" t="n">
        <v>41170</v>
      </c>
      <c r="F328" s="17" t="s">
        <v>821</v>
      </c>
      <c r="G328" s="23" t="n">
        <v>0.373354384260384</v>
      </c>
      <c r="H328" s="19" t="n">
        <v>25.9</v>
      </c>
      <c r="I328" s="17" t="n">
        <f aca="false">IF(H328="","",RANK(H328,$H$5:$H$430))</f>
        <v>324</v>
      </c>
      <c r="J328" s="24" t="n">
        <v>0.0575391728743899</v>
      </c>
      <c r="K328" s="19" t="n">
        <v>31.3</v>
      </c>
      <c r="L328" s="17" t="n">
        <f aca="false">IF(K328="","",RANK(K328,$K$5:$K$430))</f>
        <v>285</v>
      </c>
      <c r="M328" s="25" t="n">
        <v>0.030812324929972</v>
      </c>
      <c r="N328" s="19" t="n">
        <v>8.9</v>
      </c>
      <c r="O328" s="17" t="n">
        <f aca="false">IF(N328="","",RANK(N328,$N$5:$N$430))</f>
        <v>352</v>
      </c>
      <c r="P328" s="17" t="str">
        <f aca="false">IF(AND(N(H328)&gt;=N(K328),N(H328)&gt;=N(N328)),"The Pulse",IF(N(K328)&gt;=N(N328),"The Lens","The Hub"))</f>
        <v>The Lens</v>
      </c>
      <c r="Q328" s="20" t="s">
        <v>74</v>
      </c>
      <c r="R328" s="26" t="s">
        <v>822</v>
      </c>
      <c r="S328" s="17" t="s">
        <v>24</v>
      </c>
    </row>
    <row r="329" customFormat="false" ht="15" hidden="false" customHeight="false" outlineLevel="0" collapsed="false">
      <c r="A329" s="17" t="s">
        <v>723</v>
      </c>
      <c r="B329" s="17" t="s">
        <v>724</v>
      </c>
      <c r="C329" s="17" t="s">
        <v>1415</v>
      </c>
      <c r="D329" s="17" t="s">
        <v>162</v>
      </c>
      <c r="E329" s="18" t="n">
        <v>23430</v>
      </c>
      <c r="F329" s="17" t="s">
        <v>821</v>
      </c>
      <c r="G329" s="23" t="n">
        <v>0.37251387110542</v>
      </c>
      <c r="H329" s="19" t="n">
        <v>25.7</v>
      </c>
      <c r="I329" s="17" t="n">
        <f aca="false">IF(H329="","",RANK(H329,$H$5:$H$430))</f>
        <v>325</v>
      </c>
      <c r="J329" s="24" t="n">
        <v>0.194798572157063</v>
      </c>
      <c r="K329" s="19" t="n">
        <v>90</v>
      </c>
      <c r="L329" s="17" t="n">
        <f aca="false">IF(K329="","",RANK(K329,$K$5:$K$430))</f>
        <v>44</v>
      </c>
      <c r="M329" s="25" t="n">
        <v>0.0876777251184834</v>
      </c>
      <c r="N329" s="19" t="n">
        <v>30.5</v>
      </c>
      <c r="O329" s="17" t="n">
        <f aca="false">IF(N329="","",RANK(N329,$N$5:$N$430))</f>
        <v>270</v>
      </c>
      <c r="P329" s="17" t="str">
        <f aca="false">IF(AND(N(H329)&gt;=N(K329),N(H329)&gt;=N(N329)),"The Pulse",IF(N(K329)&gt;=N(N329),"The Lens","The Hub"))</f>
        <v>The Lens</v>
      </c>
      <c r="Q329" s="20" t="s">
        <v>74</v>
      </c>
      <c r="R329" s="26" t="s">
        <v>822</v>
      </c>
      <c r="S329" s="17" t="s">
        <v>24</v>
      </c>
    </row>
    <row r="330" customFormat="false" ht="15" hidden="false" customHeight="false" outlineLevel="0" collapsed="false">
      <c r="A330" s="17" t="s">
        <v>1416</v>
      </c>
      <c r="B330" s="17" t="s">
        <v>1417</v>
      </c>
      <c r="C330" s="17" t="s">
        <v>1418</v>
      </c>
      <c r="D330" s="17" t="s">
        <v>98</v>
      </c>
      <c r="E330" s="18" t="n">
        <v>101460</v>
      </c>
      <c r="F330" s="17" t="s">
        <v>827</v>
      </c>
      <c r="G330" s="23" t="n">
        <v>0.363098758131283</v>
      </c>
      <c r="H330" s="19" t="n">
        <v>25.3</v>
      </c>
      <c r="I330" s="17" t="n">
        <f aca="false">IF(H330="","",RANK(H330,$H$5:$H$430))</f>
        <v>326</v>
      </c>
      <c r="J330" s="24" t="n">
        <v>0.087459807073955</v>
      </c>
      <c r="K330" s="19" t="n">
        <v>53.6</v>
      </c>
      <c r="L330" s="17" t="n">
        <f aca="false">IF(K330="","",RANK(K330,$K$5:$K$430))</f>
        <v>195</v>
      </c>
      <c r="M330" s="25" t="n">
        <v>0.26859250153657</v>
      </c>
      <c r="N330" s="19" t="n">
        <v>85.3</v>
      </c>
      <c r="O330" s="17" t="n">
        <f aca="false">IF(N330="","",RANK(N330,$N$5:$N$430))</f>
        <v>58</v>
      </c>
      <c r="P330" s="17" t="str">
        <f aca="false">IF(AND(N(H330)&gt;=N(K330),N(H330)&gt;=N(N330)),"The Pulse",IF(N(K330)&gt;=N(N330),"The Lens","The Hub"))</f>
        <v>The Hub</v>
      </c>
      <c r="Q330" s="20" t="s">
        <v>74</v>
      </c>
      <c r="R330" s="27" t="s">
        <v>832</v>
      </c>
      <c r="S330" s="17" t="s">
        <v>24</v>
      </c>
    </row>
    <row r="331" customFormat="false" ht="15" hidden="false" customHeight="false" outlineLevel="0" collapsed="false">
      <c r="A331" s="17" t="s">
        <v>1419</v>
      </c>
      <c r="B331" s="17" t="s">
        <v>1420</v>
      </c>
      <c r="C331" s="17" t="s">
        <v>1421</v>
      </c>
      <c r="D331" s="17" t="s">
        <v>98</v>
      </c>
      <c r="E331" s="18" t="n">
        <v>108000</v>
      </c>
      <c r="F331" s="17" t="s">
        <v>827</v>
      </c>
      <c r="G331" s="23" t="n">
        <v>0.361611111111111</v>
      </c>
      <c r="H331" s="19" t="n">
        <v>25.1</v>
      </c>
      <c r="I331" s="17" t="n">
        <f aca="false">IF(H331="","",RANK(H331,$H$5:$H$430))</f>
        <v>327</v>
      </c>
      <c r="J331" s="24" t="n">
        <v>0.127113337507827</v>
      </c>
      <c r="K331" s="19" t="n">
        <v>72.1</v>
      </c>
      <c r="L331" s="17" t="n">
        <f aca="false">IF(K331="","",RANK(K331,$K$5:$K$430))</f>
        <v>121</v>
      </c>
      <c r="M331" s="25" t="n">
        <v>0.0309843707156567</v>
      </c>
      <c r="N331" s="19" t="n">
        <v>9.1</v>
      </c>
      <c r="O331" s="17" t="n">
        <f aca="false">IF(N331="","",RANK(N331,$N$5:$N$430))</f>
        <v>351</v>
      </c>
      <c r="P331" s="17" t="str">
        <f aca="false">IF(AND(N(H331)&gt;=N(K331),N(H331)&gt;=N(N331)),"The Pulse",IF(N(K331)&gt;=N(N331),"The Lens","The Hub"))</f>
        <v>The Lens</v>
      </c>
      <c r="Q331" s="20" t="s">
        <v>74</v>
      </c>
      <c r="R331" s="27" t="s">
        <v>832</v>
      </c>
      <c r="S331" s="17" t="s">
        <v>24</v>
      </c>
    </row>
    <row r="332" customFormat="false" ht="15" hidden="false" customHeight="false" outlineLevel="0" collapsed="false">
      <c r="A332" s="17" t="s">
        <v>1422</v>
      </c>
      <c r="B332" s="17" t="s">
        <v>1423</v>
      </c>
      <c r="C332" s="17" t="s">
        <v>1424</v>
      </c>
      <c r="D332" s="17" t="s">
        <v>86</v>
      </c>
      <c r="E332" s="18" t="n">
        <v>4720</v>
      </c>
      <c r="F332" s="17" t="s">
        <v>825</v>
      </c>
      <c r="G332" s="23" t="n">
        <v>0.353813559322034</v>
      </c>
      <c r="H332" s="19" t="n">
        <v>24.4</v>
      </c>
      <c r="I332" s="17" t="n">
        <f aca="false">IF(H332="","",RANK(H332,$H$5:$H$430))</f>
        <v>328</v>
      </c>
      <c r="J332" s="24" t="n">
        <v>0.00979325353645267</v>
      </c>
      <c r="K332" s="19" t="n">
        <v>8.5</v>
      </c>
      <c r="L332" s="17" t="n">
        <f aca="false">IF(K332="","",RANK(K332,$K$5:$K$430))</f>
        <v>389</v>
      </c>
      <c r="M332" s="25" t="n">
        <v>0.181818181818182</v>
      </c>
      <c r="N332" s="19" t="n">
        <v>68.5</v>
      </c>
      <c r="O332" s="17" t="n">
        <f aca="false">IF(N332="","",RANK(N332,$N$5:$N$430))</f>
        <v>121</v>
      </c>
      <c r="P332" s="17" t="str">
        <f aca="false">IF(AND(N(H332)&gt;=N(K332),N(H332)&gt;=N(N332)),"The Pulse",IF(N(K332)&gt;=N(N332),"The Lens","The Hub"))</f>
        <v>The Hub</v>
      </c>
      <c r="Q332" s="21" t="s">
        <v>79</v>
      </c>
      <c r="R332" s="27" t="s">
        <v>832</v>
      </c>
      <c r="S332" s="17" t="s">
        <v>88</v>
      </c>
    </row>
    <row r="333" customFormat="false" ht="15" hidden="false" customHeight="false" outlineLevel="0" collapsed="false">
      <c r="A333" s="17" t="s">
        <v>653</v>
      </c>
      <c r="B333" s="17" t="s">
        <v>654</v>
      </c>
      <c r="C333" s="17" t="s">
        <v>1425</v>
      </c>
      <c r="D333" s="17" t="s">
        <v>86</v>
      </c>
      <c r="E333" s="18" t="n">
        <v>804080</v>
      </c>
      <c r="F333" s="17" t="s">
        <v>827</v>
      </c>
      <c r="G333" s="23" t="n">
        <v>0.345662123171824</v>
      </c>
      <c r="H333" s="19" t="n">
        <v>24</v>
      </c>
      <c r="I333" s="17" t="n">
        <f aca="false">IF(H333="","",RANK(H333,$H$5:$H$430))</f>
        <v>329</v>
      </c>
      <c r="J333" s="24" t="n">
        <v>0.0613096102319074</v>
      </c>
      <c r="K333" s="19" t="n">
        <v>33.6</v>
      </c>
      <c r="L333" s="17" t="n">
        <f aca="false">IF(K333="","",RANK(K333,$K$5:$K$430))</f>
        <v>277</v>
      </c>
      <c r="M333" s="25" t="n">
        <v>0.14184625281441</v>
      </c>
      <c r="N333" s="19" t="n">
        <v>54.1</v>
      </c>
      <c r="O333" s="17" t="n">
        <f aca="false">IF(N333="","",RANK(N333,$N$5:$N$430))</f>
        <v>173</v>
      </c>
      <c r="P333" s="17" t="str">
        <f aca="false">IF(AND(N(H333)&gt;=N(K333),N(H333)&gt;=N(N333)),"The Pulse",IF(N(K333)&gt;=N(N333),"The Lens","The Hub"))</f>
        <v>The Hub</v>
      </c>
      <c r="Q333" s="20" t="s">
        <v>74</v>
      </c>
      <c r="R333" s="26" t="s">
        <v>822</v>
      </c>
      <c r="S333" s="17" t="s">
        <v>24</v>
      </c>
    </row>
    <row r="334" customFormat="false" ht="15" hidden="false" customHeight="false" outlineLevel="0" collapsed="false">
      <c r="A334" s="17" t="s">
        <v>309</v>
      </c>
      <c r="B334" s="17" t="s">
        <v>310</v>
      </c>
      <c r="C334" s="17" t="s">
        <v>1426</v>
      </c>
      <c r="D334" s="17" t="s">
        <v>98</v>
      </c>
      <c r="E334" s="18" t="n">
        <v>25720</v>
      </c>
      <c r="F334" s="17" t="s">
        <v>821</v>
      </c>
      <c r="G334" s="23" t="n">
        <v>0.345139968895801</v>
      </c>
      <c r="H334" s="19" t="n">
        <v>23.8</v>
      </c>
      <c r="I334" s="17" t="n">
        <f aca="false">IF(H334="","",RANK(H334,$H$5:$H$430))</f>
        <v>330</v>
      </c>
      <c r="J334" s="24" t="n">
        <v>0.134539038376709</v>
      </c>
      <c r="K334" s="19" t="n">
        <v>71.8</v>
      </c>
      <c r="L334" s="17" t="n">
        <f aca="false">IF(K334="","",RANK(K334,$K$5:$K$430))</f>
        <v>122</v>
      </c>
      <c r="M334" s="25" t="n">
        <v>0.106896551724138</v>
      </c>
      <c r="N334" s="19" t="n">
        <v>37.1</v>
      </c>
      <c r="O334" s="17" t="n">
        <f aca="false">IF(N334="","",RANK(N334,$N$5:$N$430))</f>
        <v>244</v>
      </c>
      <c r="P334" s="17" t="str">
        <f aca="false">IF(AND(N(H334)&gt;=N(K334),N(H334)&gt;=N(N334)),"The Pulse",IF(N(K334)&gt;=N(N334),"The Lens","The Hub"))</f>
        <v>The Lens</v>
      </c>
      <c r="Q334" s="20" t="s">
        <v>74</v>
      </c>
      <c r="R334" s="26" t="s">
        <v>822</v>
      </c>
      <c r="S334" s="17" t="s">
        <v>24</v>
      </c>
    </row>
    <row r="335" customFormat="false" ht="15" hidden="false" customHeight="false" outlineLevel="0" collapsed="false">
      <c r="A335" s="17" t="s">
        <v>1427</v>
      </c>
      <c r="B335" s="17" t="s">
        <v>1428</v>
      </c>
      <c r="C335" s="17" t="s">
        <v>1429</v>
      </c>
      <c r="D335" s="17" t="s">
        <v>77</v>
      </c>
      <c r="E335" s="18" t="n">
        <v>42220</v>
      </c>
      <c r="F335" s="17" t="s">
        <v>821</v>
      </c>
      <c r="G335" s="23" t="n">
        <v>0.344552344860256</v>
      </c>
      <c r="H335" s="19" t="n">
        <v>23.6</v>
      </c>
      <c r="I335" s="17" t="n">
        <f aca="false">IF(H335="","",RANK(H335,$H$5:$H$430))</f>
        <v>331</v>
      </c>
      <c r="J335" s="24" t="n">
        <v>0.19366694939214</v>
      </c>
      <c r="K335" s="19" t="n">
        <v>89.7</v>
      </c>
      <c r="L335" s="17" t="n">
        <f aca="false">IF(K335="","",RANK(K335,$K$5:$K$430))</f>
        <v>45</v>
      </c>
      <c r="M335" s="25" t="n">
        <v>0.10951526032316</v>
      </c>
      <c r="N335" s="19" t="n">
        <v>40.1</v>
      </c>
      <c r="O335" s="17" t="n">
        <f aca="false">IF(N335="","",RANK(N335,$N$5:$N$430))</f>
        <v>231</v>
      </c>
      <c r="P335" s="17" t="str">
        <f aca="false">IF(AND(N(H335)&gt;=N(K335),N(H335)&gt;=N(N335)),"The Pulse",IF(N(K335)&gt;=N(N335),"The Lens","The Hub"))</f>
        <v>The Lens</v>
      </c>
      <c r="Q335" s="20" t="s">
        <v>74</v>
      </c>
      <c r="R335" s="27" t="s">
        <v>832</v>
      </c>
      <c r="S335" s="17" t="s">
        <v>24</v>
      </c>
    </row>
    <row r="336" customFormat="false" ht="15" hidden="false" customHeight="false" outlineLevel="0" collapsed="false">
      <c r="A336" s="17" t="s">
        <v>789</v>
      </c>
      <c r="B336" s="17" t="s">
        <v>790</v>
      </c>
      <c r="C336" s="17" t="s">
        <v>1430</v>
      </c>
      <c r="D336" s="17" t="s">
        <v>77</v>
      </c>
      <c r="E336" s="18" t="n">
        <v>40770</v>
      </c>
      <c r="F336" s="17" t="s">
        <v>821</v>
      </c>
      <c r="G336" s="23" t="n">
        <v>0.343291636006868</v>
      </c>
      <c r="H336" s="19" t="n">
        <v>23.4</v>
      </c>
      <c r="I336" s="17" t="n">
        <f aca="false">IF(H336="","",RANK(H336,$H$5:$H$430))</f>
        <v>332</v>
      </c>
      <c r="J336" s="24" t="n">
        <v>0.130929264909847</v>
      </c>
      <c r="K336" s="19" t="n">
        <v>69.8</v>
      </c>
      <c r="L336" s="17" t="n">
        <f aca="false">IF(K336="","",RANK(K336,$K$5:$K$430))</f>
        <v>131</v>
      </c>
      <c r="M336" s="25" t="n">
        <v>0.103746397694525</v>
      </c>
      <c r="N336" s="19" t="n">
        <v>36.8</v>
      </c>
      <c r="O336" s="17" t="n">
        <f aca="false">IF(N336="","",RANK(N336,$N$5:$N$430))</f>
        <v>245</v>
      </c>
      <c r="P336" s="17" t="str">
        <f aca="false">IF(AND(N(H336)&gt;=N(K336),N(H336)&gt;=N(N336)),"The Pulse",IF(N(K336)&gt;=N(N336),"The Lens","The Hub"))</f>
        <v>The Lens</v>
      </c>
      <c r="Q336" s="20" t="s">
        <v>74</v>
      </c>
      <c r="R336" s="26" t="s">
        <v>822</v>
      </c>
      <c r="S336" s="17" t="s">
        <v>24</v>
      </c>
    </row>
    <row r="337" customFormat="false" ht="15" hidden="false" customHeight="false" outlineLevel="0" collapsed="false">
      <c r="A337" s="17" t="s">
        <v>1431</v>
      </c>
      <c r="B337" s="17" t="s">
        <v>1432</v>
      </c>
      <c r="C337" s="17" t="s">
        <v>1433</v>
      </c>
      <c r="D337" s="17" t="s">
        <v>95</v>
      </c>
      <c r="E337" s="18" t="n">
        <v>4160</v>
      </c>
      <c r="F337" s="17" t="s">
        <v>825</v>
      </c>
      <c r="G337" s="23" t="n">
        <v>0.343269230769231</v>
      </c>
      <c r="H337" s="19" t="n">
        <v>23.3</v>
      </c>
      <c r="I337" s="17" t="n">
        <f aca="false">IF(H337="","",RANK(H337,$H$5:$H$430))</f>
        <v>333</v>
      </c>
      <c r="J337" s="24" t="n">
        <v>0.136612021857924</v>
      </c>
      <c r="K337" s="19" t="n">
        <v>76.1</v>
      </c>
      <c r="L337" s="17" t="n">
        <f aca="false">IF(K337="","",RANK(K337,$K$5:$K$430))</f>
        <v>103</v>
      </c>
      <c r="M337" s="25" t="n">
        <v>0.0535714285714286</v>
      </c>
      <c r="N337" s="19" t="n">
        <v>17</v>
      </c>
      <c r="O337" s="17" t="n">
        <f aca="false">IF(N337="","",RANK(N337,$N$5:$N$430))</f>
        <v>321</v>
      </c>
      <c r="P337" s="17" t="str">
        <f aca="false">IF(AND(N(H337)&gt;=N(K337),N(H337)&gt;=N(N337)),"The Pulse",IF(N(K337)&gt;=N(N337),"The Lens","The Hub"))</f>
        <v>The Lens</v>
      </c>
      <c r="Q337" s="20" t="s">
        <v>74</v>
      </c>
      <c r="R337" s="27" t="s">
        <v>832</v>
      </c>
      <c r="S337" s="17" t="s">
        <v>24</v>
      </c>
    </row>
    <row r="338" customFormat="false" ht="15" hidden="false" customHeight="false" outlineLevel="0" collapsed="false">
      <c r="A338" s="17" t="s">
        <v>495</v>
      </c>
      <c r="B338" s="17" t="s">
        <v>496</v>
      </c>
      <c r="C338" s="17" t="s">
        <v>1434</v>
      </c>
      <c r="D338" s="17" t="s">
        <v>77</v>
      </c>
      <c r="E338" s="18" t="n">
        <v>6040</v>
      </c>
      <c r="F338" s="17" t="s">
        <v>825</v>
      </c>
      <c r="G338" s="23" t="n">
        <v>0.341059602649007</v>
      </c>
      <c r="H338" s="19" t="n">
        <v>23.1</v>
      </c>
      <c r="I338" s="17" t="n">
        <f aca="false">IF(H338="","",RANK(H338,$H$5:$H$430))</f>
        <v>334</v>
      </c>
      <c r="J338" s="24" t="n">
        <v>0.0634701621248706</v>
      </c>
      <c r="K338" s="19" t="n">
        <v>28.2</v>
      </c>
      <c r="L338" s="17" t="n">
        <f aca="false">IF(K338="","",RANK(K338,$K$5:$K$430))</f>
        <v>297</v>
      </c>
      <c r="M338" s="25" t="n">
        <v>0.330882352941177</v>
      </c>
      <c r="N338" s="19" t="n">
        <v>93.9</v>
      </c>
      <c r="O338" s="17" t="n">
        <f aca="false">IF(N338="","",RANK(N338,$N$5:$N$430))</f>
        <v>23</v>
      </c>
      <c r="P338" s="17" t="str">
        <f aca="false">IF(AND(N(H338)&gt;=N(K338),N(H338)&gt;=N(N338)),"The Pulse",IF(N(K338)&gt;=N(N338),"The Lens","The Hub"))</f>
        <v>The Hub</v>
      </c>
      <c r="Q338" s="21" t="s">
        <v>79</v>
      </c>
      <c r="R338" s="26" t="s">
        <v>822</v>
      </c>
      <c r="S338" s="17" t="s">
        <v>88</v>
      </c>
    </row>
    <row r="339" customFormat="false" ht="15" hidden="false" customHeight="false" outlineLevel="0" collapsed="false">
      <c r="A339" s="17" t="s">
        <v>509</v>
      </c>
      <c r="B339" s="17" t="s">
        <v>510</v>
      </c>
      <c r="C339" s="17" t="s">
        <v>1435</v>
      </c>
      <c r="D339" s="17" t="s">
        <v>95</v>
      </c>
      <c r="E339" s="18" t="n">
        <v>81360</v>
      </c>
      <c r="F339" s="17" t="s">
        <v>821</v>
      </c>
      <c r="G339" s="23" t="n">
        <v>0.337598328416913</v>
      </c>
      <c r="H339" s="19" t="n">
        <v>22.7</v>
      </c>
      <c r="I339" s="17" t="n">
        <f aca="false">IF(H339="","",RANK(H339,$H$5:$H$430))</f>
        <v>335</v>
      </c>
      <c r="J339" s="24" t="n">
        <v>-0.0298115907464822</v>
      </c>
      <c r="K339" s="19" t="n">
        <v>3.1</v>
      </c>
      <c r="L339" s="17" t="n">
        <f aca="false">IF(K339="","",RANK(K339,$K$5:$K$430))</f>
        <v>415</v>
      </c>
      <c r="M339" s="25" t="n">
        <v>0.225806451612903</v>
      </c>
      <c r="N339" s="19" t="n">
        <v>77.4</v>
      </c>
      <c r="O339" s="17" t="n">
        <f aca="false">IF(N339="","",RANK(N339,$N$5:$N$430))</f>
        <v>89</v>
      </c>
      <c r="P339" s="17" t="str">
        <f aca="false">IF(AND(N(H339)&gt;=N(K339),N(H339)&gt;=N(N339)),"The Pulse",IF(N(K339)&gt;=N(N339),"The Lens","The Hub"))</f>
        <v>The Hub</v>
      </c>
      <c r="Q339" s="20" t="s">
        <v>74</v>
      </c>
      <c r="R339" s="26" t="s">
        <v>822</v>
      </c>
      <c r="S339" s="17" t="s">
        <v>24</v>
      </c>
    </row>
    <row r="340" customFormat="false" ht="15" hidden="false" customHeight="false" outlineLevel="0" collapsed="false">
      <c r="A340" s="17" t="s">
        <v>743</v>
      </c>
      <c r="B340" s="17" t="s">
        <v>744</v>
      </c>
      <c r="C340" s="17" t="s">
        <v>1436</v>
      </c>
      <c r="D340" s="17" t="s">
        <v>98</v>
      </c>
      <c r="E340" s="18" t="n">
        <v>996530</v>
      </c>
      <c r="F340" s="17" t="s">
        <v>827</v>
      </c>
      <c r="G340" s="23" t="n">
        <v>0.335037580404002</v>
      </c>
      <c r="H340" s="19" t="n">
        <v>22.5</v>
      </c>
      <c r="I340" s="17" t="n">
        <f aca="false">IF(H340="","",RANK(H340,$H$5:$H$430))</f>
        <v>336</v>
      </c>
      <c r="J340" s="24" t="n">
        <v>0.163246486436009</v>
      </c>
      <c r="K340" s="19" t="n">
        <v>82.1</v>
      </c>
      <c r="L340" s="17" t="n">
        <f aca="false">IF(K340="","",RANK(K340,$K$5:$K$430))</f>
        <v>77</v>
      </c>
      <c r="M340" s="25" t="n">
        <v>0.0949481375719145</v>
      </c>
      <c r="N340" s="19" t="n">
        <v>34.3</v>
      </c>
      <c r="O340" s="17" t="n">
        <f aca="false">IF(N340="","",RANK(N340,$N$5:$N$430))</f>
        <v>255</v>
      </c>
      <c r="P340" s="17" t="str">
        <f aca="false">IF(AND(N(H340)&gt;=N(K340),N(H340)&gt;=N(N340)),"The Pulse",IF(N(K340)&gt;=N(N340),"The Lens","The Hub"))</f>
        <v>The Lens</v>
      </c>
      <c r="Q340" s="21" t="s">
        <v>79</v>
      </c>
      <c r="R340" s="26" t="s">
        <v>822</v>
      </c>
      <c r="S340" s="17" t="s">
        <v>88</v>
      </c>
    </row>
    <row r="341" customFormat="false" ht="15" hidden="false" customHeight="false" outlineLevel="0" collapsed="false">
      <c r="A341" s="17" t="s">
        <v>1437</v>
      </c>
      <c r="B341" s="17" t="s">
        <v>1438</v>
      </c>
      <c r="C341" s="17" t="s">
        <v>1439</v>
      </c>
      <c r="D341" s="17" t="s">
        <v>82</v>
      </c>
      <c r="E341" s="18" t="n">
        <v>102830</v>
      </c>
      <c r="F341" s="17" t="s">
        <v>827</v>
      </c>
      <c r="G341" s="23" t="n">
        <v>0.334007585335019</v>
      </c>
      <c r="H341" s="19" t="n">
        <v>22.1</v>
      </c>
      <c r="I341" s="17" t="n">
        <f aca="false">IF(H341="","",RANK(H341,$H$5:$H$430))</f>
        <v>337</v>
      </c>
      <c r="J341" s="24" t="n">
        <v>0.0418439716312057</v>
      </c>
      <c r="K341" s="19" t="n">
        <v>25</v>
      </c>
      <c r="L341" s="17" t="n">
        <f aca="false">IF(K341="","",RANK(K341,$K$5:$K$430))</f>
        <v>312</v>
      </c>
      <c r="M341" s="25" t="n">
        <v>0.0287162162162162</v>
      </c>
      <c r="N341" s="19" t="n">
        <v>7.5</v>
      </c>
      <c r="O341" s="17" t="n">
        <f aca="false">IF(N341="","",RANK(N341,$N$5:$N$430))</f>
        <v>358</v>
      </c>
      <c r="P341" s="17" t="str">
        <f aca="false">IF(AND(N(H341)&gt;=N(K341),N(H341)&gt;=N(N341)),"The Pulse",IF(N(K341)&gt;=N(N341),"The Lens","The Hub"))</f>
        <v>The Lens</v>
      </c>
      <c r="Q341" s="20" t="s">
        <v>74</v>
      </c>
      <c r="R341" s="27" t="s">
        <v>832</v>
      </c>
      <c r="S341" s="17" t="s">
        <v>24</v>
      </c>
    </row>
    <row r="342" customFormat="false" ht="15" hidden="false" customHeight="false" outlineLevel="0" collapsed="false">
      <c r="A342" s="17" t="s">
        <v>1440</v>
      </c>
      <c r="B342" s="17" t="s">
        <v>1441</v>
      </c>
      <c r="C342" s="17" t="s">
        <v>1442</v>
      </c>
      <c r="D342" s="17" t="s">
        <v>72</v>
      </c>
      <c r="E342" s="18" t="n">
        <v>4077</v>
      </c>
      <c r="F342" s="17" t="s">
        <v>825</v>
      </c>
      <c r="G342" s="23" t="n">
        <v>0.329899435859701</v>
      </c>
      <c r="H342" s="19" t="n">
        <v>21.7</v>
      </c>
      <c r="I342" s="17" t="n">
        <f aca="false">IF(H342="","",RANK(H342,$H$5:$H$430))</f>
        <v>338</v>
      </c>
      <c r="J342" s="24" t="n">
        <v>0.0745914602003163</v>
      </c>
      <c r="K342" s="19" t="n">
        <v>32.4</v>
      </c>
      <c r="L342" s="17" t="n">
        <f aca="false">IF(K342="","",RANK(K342,$K$5:$K$430))</f>
        <v>281</v>
      </c>
      <c r="M342" s="25" t="n">
        <v>0.0638297872340426</v>
      </c>
      <c r="N342" s="19" t="n">
        <v>21.7</v>
      </c>
      <c r="O342" s="17" t="n">
        <f aca="false">IF(N342="","",RANK(N342,$N$5:$N$430))</f>
        <v>303</v>
      </c>
      <c r="P342" s="17" t="str">
        <f aca="false">IF(AND(N(H342)&gt;=N(K342),N(H342)&gt;=N(N342)),"The Pulse",IF(N(K342)&gt;=N(N342),"The Lens","The Hub"))</f>
        <v>The Lens</v>
      </c>
      <c r="Q342" s="21" t="s">
        <v>79</v>
      </c>
      <c r="R342" s="27" t="s">
        <v>832</v>
      </c>
      <c r="S342" s="17" t="s">
        <v>88</v>
      </c>
    </row>
    <row r="343" customFormat="false" ht="15" hidden="false" customHeight="false" outlineLevel="0" collapsed="false">
      <c r="A343" s="17" t="s">
        <v>1443</v>
      </c>
      <c r="B343" s="17" t="s">
        <v>1444</v>
      </c>
      <c r="C343" s="17" t="s">
        <v>1445</v>
      </c>
      <c r="D343" s="17" t="s">
        <v>123</v>
      </c>
      <c r="E343" s="18" t="n">
        <v>229816</v>
      </c>
      <c r="F343" s="17" t="s">
        <v>827</v>
      </c>
      <c r="G343" s="23" t="n">
        <v>0.329106763671807</v>
      </c>
      <c r="H343" s="19" t="n">
        <v>21.4</v>
      </c>
      <c r="I343" s="17" t="n">
        <f aca="false">IF(H343="","",RANK(H343,$H$5:$H$430))</f>
        <v>339</v>
      </c>
      <c r="J343" s="24" t="n">
        <v>-0.0301567339911041</v>
      </c>
      <c r="K343" s="19" t="n">
        <v>8.6</v>
      </c>
      <c r="L343" s="17" t="n">
        <f aca="false">IF(K343="","",RANK(K343,$K$5:$K$430))</f>
        <v>387</v>
      </c>
      <c r="M343" s="25" t="n">
        <v>0.0504201680672269</v>
      </c>
      <c r="N343" s="19" t="n">
        <v>15.6</v>
      </c>
      <c r="O343" s="17" t="n">
        <f aca="false">IF(N343="","",RANK(N343,$N$5:$N$430))</f>
        <v>327</v>
      </c>
      <c r="P343" s="17" t="str">
        <f aca="false">IF(AND(N(H343)&gt;=N(K343),N(H343)&gt;=N(N343)),"The Pulse",IF(N(K343)&gt;=N(N343),"The Lens","The Hub"))</f>
        <v>The Pulse</v>
      </c>
      <c r="Q343" s="21" t="s">
        <v>79</v>
      </c>
      <c r="R343" s="27" t="s">
        <v>832</v>
      </c>
      <c r="S343" s="17" t="s">
        <v>22</v>
      </c>
    </row>
    <row r="344" customFormat="false" ht="15" hidden="false" customHeight="false" outlineLevel="0" collapsed="false">
      <c r="A344" s="17" t="s">
        <v>749</v>
      </c>
      <c r="B344" s="17" t="s">
        <v>750</v>
      </c>
      <c r="C344" s="17" t="s">
        <v>1446</v>
      </c>
      <c r="D344" s="17" t="s">
        <v>91</v>
      </c>
      <c r="E344" s="18" t="n">
        <v>306450</v>
      </c>
      <c r="F344" s="17" t="s">
        <v>827</v>
      </c>
      <c r="G344" s="23" t="n">
        <v>0.329100995268396</v>
      </c>
      <c r="H344" s="19" t="n">
        <v>21.2</v>
      </c>
      <c r="I344" s="17" t="n">
        <f aca="false">IF(H344="","",RANK(H344,$H$5:$H$430))</f>
        <v>340</v>
      </c>
      <c r="J344" s="24" t="n">
        <v>0.106757195998411</v>
      </c>
      <c r="K344" s="19" t="n">
        <v>63.6</v>
      </c>
      <c r="L344" s="17" t="n">
        <f aca="false">IF(K344="","",RANK(K344,$K$5:$K$430))</f>
        <v>157</v>
      </c>
      <c r="M344" s="25" t="n">
        <v>0.0783592644978784</v>
      </c>
      <c r="N344" s="19" t="n">
        <v>25.4</v>
      </c>
      <c r="O344" s="17" t="n">
        <f aca="false">IF(N344="","",RANK(N344,$N$5:$N$430))</f>
        <v>290</v>
      </c>
      <c r="P344" s="17" t="str">
        <f aca="false">IF(AND(N(H344)&gt;=N(K344),N(H344)&gt;=N(N344)),"The Pulse",IF(N(K344)&gt;=N(N344),"The Lens","The Hub"))</f>
        <v>The Lens</v>
      </c>
      <c r="Q344" s="20" t="s">
        <v>74</v>
      </c>
      <c r="R344" s="26" t="s">
        <v>822</v>
      </c>
      <c r="S344" s="17" t="s">
        <v>24</v>
      </c>
    </row>
    <row r="345" customFormat="false" ht="15" hidden="false" customHeight="false" outlineLevel="0" collapsed="false">
      <c r="A345" s="17" t="s">
        <v>421</v>
      </c>
      <c r="B345" s="17" t="s">
        <v>422</v>
      </c>
      <c r="C345" s="17" t="s">
        <v>1447</v>
      </c>
      <c r="D345" s="17" t="s">
        <v>98</v>
      </c>
      <c r="E345" s="18" t="n">
        <v>78590</v>
      </c>
      <c r="F345" s="17" t="s">
        <v>821</v>
      </c>
      <c r="G345" s="23" t="n">
        <v>0.328349662806973</v>
      </c>
      <c r="H345" s="19" t="n">
        <v>20.8</v>
      </c>
      <c r="I345" s="17" t="n">
        <f aca="false">IF(H345="","",RANK(H345,$H$5:$H$430))</f>
        <v>341</v>
      </c>
      <c r="J345" s="24" t="n">
        <v>0.169668105372823</v>
      </c>
      <c r="K345" s="19" t="n">
        <v>82.5</v>
      </c>
      <c r="L345" s="17" t="n">
        <f aca="false">IF(K345="","",RANK(K345,$K$5:$K$430))</f>
        <v>75</v>
      </c>
      <c r="M345" s="25" t="n">
        <v>0.0896980461811723</v>
      </c>
      <c r="N345" s="19" t="n">
        <v>31.7</v>
      </c>
      <c r="O345" s="17" t="n">
        <f aca="false">IF(N345="","",RANK(N345,$N$5:$N$430))</f>
        <v>265</v>
      </c>
      <c r="P345" s="17" t="str">
        <f aca="false">IF(AND(N(H345)&gt;=N(K345),N(H345)&gt;=N(N345)),"The Pulse",IF(N(K345)&gt;=N(N345),"The Lens","The Hub"))</f>
        <v>The Lens</v>
      </c>
      <c r="Q345" s="20" t="s">
        <v>74</v>
      </c>
      <c r="R345" s="26" t="s">
        <v>822</v>
      </c>
      <c r="S345" s="17" t="s">
        <v>24</v>
      </c>
    </row>
    <row r="346" customFormat="false" ht="15" hidden="false" customHeight="false" outlineLevel="0" collapsed="false">
      <c r="A346" s="17" t="s">
        <v>1448</v>
      </c>
      <c r="B346" s="17" t="s">
        <v>1449</v>
      </c>
      <c r="C346" s="17" t="s">
        <v>1450</v>
      </c>
      <c r="D346" s="17" t="s">
        <v>95</v>
      </c>
      <c r="E346" s="18" t="n">
        <v>55030</v>
      </c>
      <c r="F346" s="17" t="s">
        <v>821</v>
      </c>
      <c r="G346" s="23" t="n">
        <v>0.328002907504997</v>
      </c>
      <c r="H346" s="19" t="n">
        <v>20.6</v>
      </c>
      <c r="I346" s="17" t="n">
        <f aca="false">IF(H346="","",RANK(H346,$H$5:$H$430))</f>
        <v>342</v>
      </c>
      <c r="J346" s="24" t="n">
        <v>0.0314901593252109</v>
      </c>
      <c r="K346" s="19" t="n">
        <v>18.9</v>
      </c>
      <c r="L346" s="17" t="n">
        <f aca="false">IF(K346="","",RANK(K346,$K$5:$K$430))</f>
        <v>341</v>
      </c>
      <c r="M346" s="25" t="n">
        <v>0.251623376623377</v>
      </c>
      <c r="N346" s="19" t="n">
        <v>82.3</v>
      </c>
      <c r="O346" s="17" t="n">
        <f aca="false">IF(N346="","",RANK(N346,$N$5:$N$430))</f>
        <v>70</v>
      </c>
      <c r="P346" s="17" t="str">
        <f aca="false">IF(AND(N(H346)&gt;=N(K346),N(H346)&gt;=N(N346)),"The Pulse",IF(N(K346)&gt;=N(N346),"The Lens","The Hub"))</f>
        <v>The Hub</v>
      </c>
      <c r="Q346" s="20" t="s">
        <v>74</v>
      </c>
      <c r="R346" s="27" t="s">
        <v>832</v>
      </c>
      <c r="S346" s="17" t="s">
        <v>24</v>
      </c>
    </row>
    <row r="347" customFormat="false" ht="15" hidden="false" customHeight="false" outlineLevel="0" collapsed="false">
      <c r="A347" s="17" t="s">
        <v>725</v>
      </c>
      <c r="B347" s="17" t="s">
        <v>726</v>
      </c>
      <c r="C347" s="17" t="s">
        <v>1451</v>
      </c>
      <c r="D347" s="17" t="s">
        <v>115</v>
      </c>
      <c r="E347" s="18" t="n">
        <v>22580</v>
      </c>
      <c r="F347" s="17" t="s">
        <v>821</v>
      </c>
      <c r="G347" s="23" t="n">
        <v>0.325819309123118</v>
      </c>
      <c r="H347" s="19" t="n">
        <v>20.4</v>
      </c>
      <c r="I347" s="17" t="n">
        <f aca="false">IF(H347="","",RANK(H347,$H$5:$H$430))</f>
        <v>343</v>
      </c>
      <c r="J347" s="24" t="n">
        <v>0.0788342092689919</v>
      </c>
      <c r="K347" s="19" t="n">
        <v>41.9</v>
      </c>
      <c r="L347" s="17" t="n">
        <f aca="false">IF(K347="","",RANK(K347,$K$5:$K$430))</f>
        <v>244</v>
      </c>
      <c r="M347" s="25" t="n">
        <v>0.0938628158844765</v>
      </c>
      <c r="N347" s="19" t="n">
        <v>33.8</v>
      </c>
      <c r="O347" s="17" t="n">
        <f aca="false">IF(N347="","",RANK(N347,$N$5:$N$430))</f>
        <v>257</v>
      </c>
      <c r="P347" s="17" t="str">
        <f aca="false">IF(AND(N(H347)&gt;=N(K347),N(H347)&gt;=N(N347)),"The Pulse",IF(N(K347)&gt;=N(N347),"The Lens","The Hub"))</f>
        <v>The Lens</v>
      </c>
      <c r="Q347" s="20" t="s">
        <v>74</v>
      </c>
      <c r="R347" s="26" t="s">
        <v>822</v>
      </c>
      <c r="S347" s="17" t="s">
        <v>24</v>
      </c>
    </row>
    <row r="348" customFormat="false" ht="15" hidden="false" customHeight="false" outlineLevel="0" collapsed="false">
      <c r="A348" s="17" t="s">
        <v>521</v>
      </c>
      <c r="B348" s="17" t="s">
        <v>522</v>
      </c>
      <c r="C348" s="17" t="s">
        <v>1452</v>
      </c>
      <c r="D348" s="17" t="s">
        <v>77</v>
      </c>
      <c r="E348" s="18" t="n">
        <v>240672</v>
      </c>
      <c r="F348" s="17" t="s">
        <v>827</v>
      </c>
      <c r="G348" s="23" t="n">
        <v>0.324030215396889</v>
      </c>
      <c r="H348" s="19" t="n">
        <v>20.2</v>
      </c>
      <c r="I348" s="17" t="n">
        <f aca="false">IF(H348="","",RANK(H348,$H$5:$H$430))</f>
        <v>344</v>
      </c>
      <c r="J348" s="24" t="n">
        <v>0.138176624703245</v>
      </c>
      <c r="K348" s="19" t="n">
        <v>77.9</v>
      </c>
      <c r="L348" s="17" t="n">
        <f aca="false">IF(K348="","",RANK(K348,$K$5:$K$430))</f>
        <v>95</v>
      </c>
      <c r="M348" s="25" t="n">
        <v>0.00769026783346593</v>
      </c>
      <c r="N348" s="19" t="n">
        <v>2.6</v>
      </c>
      <c r="O348" s="17" t="n">
        <f aca="false">IF(N348="","",RANK(N348,$N$5:$N$430))</f>
        <v>377</v>
      </c>
      <c r="P348" s="17" t="str">
        <f aca="false">IF(AND(N(H348)&gt;=N(K348),N(H348)&gt;=N(N348)),"The Pulse",IF(N(K348)&gt;=N(N348),"The Lens","The Hub"))</f>
        <v>The Lens</v>
      </c>
      <c r="Q348" s="21" t="s">
        <v>79</v>
      </c>
      <c r="R348" s="26" t="s">
        <v>822</v>
      </c>
      <c r="S348" s="17" t="s">
        <v>22</v>
      </c>
    </row>
    <row r="349" customFormat="false" ht="15" hidden="false" customHeight="false" outlineLevel="0" collapsed="false">
      <c r="A349" s="17" t="s">
        <v>629</v>
      </c>
      <c r="B349" s="17" t="s">
        <v>630</v>
      </c>
      <c r="C349" s="17" t="s">
        <v>1453</v>
      </c>
      <c r="D349" s="17" t="s">
        <v>77</v>
      </c>
      <c r="E349" s="18" t="n">
        <v>64690</v>
      </c>
      <c r="F349" s="17" t="s">
        <v>821</v>
      </c>
      <c r="G349" s="23" t="n">
        <v>0.320791466996445</v>
      </c>
      <c r="H349" s="19" t="n">
        <v>20</v>
      </c>
      <c r="I349" s="17" t="n">
        <f aca="false">IF(H349="","",RANK(H349,$H$5:$H$430))</f>
        <v>345</v>
      </c>
      <c r="J349" s="24" t="n">
        <v>0.0874096486804505</v>
      </c>
      <c r="K349" s="19" t="n">
        <v>46.7</v>
      </c>
      <c r="L349" s="17" t="n">
        <f aca="false">IF(K349="","",RANK(K349,$K$5:$K$430))</f>
        <v>226</v>
      </c>
      <c r="M349" s="25" t="n">
        <v>0.063003663003663</v>
      </c>
      <c r="N349" s="19" t="n">
        <v>21.2</v>
      </c>
      <c r="O349" s="17" t="n">
        <f aca="false">IF(N349="","",RANK(N349,$N$5:$N$430))</f>
        <v>305</v>
      </c>
      <c r="P349" s="17" t="str">
        <f aca="false">IF(AND(N(H349)&gt;=N(K349),N(H349)&gt;=N(N349)),"The Pulse",IF(N(K349)&gt;=N(N349),"The Lens","The Hub"))</f>
        <v>The Lens</v>
      </c>
      <c r="Q349" s="20" t="s">
        <v>74</v>
      </c>
      <c r="R349" s="26" t="s">
        <v>822</v>
      </c>
      <c r="S349" s="17" t="s">
        <v>24</v>
      </c>
    </row>
    <row r="350" customFormat="false" ht="15" hidden="false" customHeight="false" outlineLevel="0" collapsed="false">
      <c r="A350" s="17" t="s">
        <v>693</v>
      </c>
      <c r="B350" s="17" t="s">
        <v>694</v>
      </c>
      <c r="C350" s="17" t="s">
        <v>1454</v>
      </c>
      <c r="D350" s="17" t="s">
        <v>95</v>
      </c>
      <c r="E350" s="18" t="n">
        <v>11810</v>
      </c>
      <c r="F350" s="17" t="s">
        <v>821</v>
      </c>
      <c r="G350" s="23" t="n">
        <v>0.318882303132938</v>
      </c>
      <c r="H350" s="19" t="n">
        <v>19.8</v>
      </c>
      <c r="I350" s="17" t="n">
        <f aca="false">IF(H350="","",RANK(H350,$H$5:$H$430))</f>
        <v>346</v>
      </c>
      <c r="J350" s="24" t="n">
        <v>0.0975836431226766</v>
      </c>
      <c r="K350" s="19" t="n">
        <v>50.5</v>
      </c>
      <c r="L350" s="17" t="n">
        <f aca="false">IF(K350="","",RANK(K350,$K$5:$K$430))</f>
        <v>213</v>
      </c>
      <c r="M350" s="25" t="n">
        <v>0.108374384236453</v>
      </c>
      <c r="N350" s="19" t="n">
        <v>39.2</v>
      </c>
      <c r="O350" s="17" t="n">
        <f aca="false">IF(N350="","",RANK(N350,$N$5:$N$430))</f>
        <v>235</v>
      </c>
      <c r="P350" s="17" t="str">
        <f aca="false">IF(AND(N(H350)&gt;=N(K350),N(H350)&gt;=N(N350)),"The Pulse",IF(N(K350)&gt;=N(N350),"The Lens","The Hub"))</f>
        <v>The Lens</v>
      </c>
      <c r="Q350" s="21" t="s">
        <v>79</v>
      </c>
      <c r="R350" s="26" t="s">
        <v>822</v>
      </c>
      <c r="S350" s="17" t="s">
        <v>88</v>
      </c>
    </row>
    <row r="351" customFormat="false" ht="15" hidden="false" customHeight="false" outlineLevel="0" collapsed="false">
      <c r="A351" s="17" t="s">
        <v>393</v>
      </c>
      <c r="B351" s="17" t="s">
        <v>394</v>
      </c>
      <c r="C351" s="17" t="s">
        <v>1455</v>
      </c>
      <c r="D351" s="17" t="s">
        <v>115</v>
      </c>
      <c r="E351" s="18" t="n">
        <v>16700</v>
      </c>
      <c r="F351" s="17" t="s">
        <v>821</v>
      </c>
      <c r="G351" s="23" t="n">
        <v>0.317555422408628</v>
      </c>
      <c r="H351" s="19" t="n">
        <v>19.7</v>
      </c>
      <c r="I351" s="17" t="n">
        <f aca="false">IF(H351="","",RANK(H351,$H$5:$H$430))</f>
        <v>347</v>
      </c>
      <c r="J351" s="24" t="n">
        <v>0.214545454545455</v>
      </c>
      <c r="K351" s="19" t="n">
        <v>94.2</v>
      </c>
      <c r="L351" s="17" t="n">
        <f aca="false">IF(K351="","",RANK(K351,$K$5:$K$430))</f>
        <v>27</v>
      </c>
      <c r="M351" s="25" t="n">
        <v>0.121739130434783</v>
      </c>
      <c r="N351" s="19" t="n">
        <v>45.5</v>
      </c>
      <c r="O351" s="17" t="n">
        <f aca="false">IF(N351="","",RANK(N351,$N$5:$N$430))</f>
        <v>209</v>
      </c>
      <c r="P351" s="17" t="str">
        <f aca="false">IF(AND(N(H351)&gt;=N(K351),N(H351)&gt;=N(N351)),"The Pulse",IF(N(K351)&gt;=N(N351),"The Lens","The Hub"))</f>
        <v>The Lens</v>
      </c>
      <c r="Q351" s="21" t="s">
        <v>79</v>
      </c>
      <c r="R351" s="26" t="s">
        <v>822</v>
      </c>
      <c r="S351" s="17" t="s">
        <v>88</v>
      </c>
    </row>
    <row r="352" customFormat="false" ht="15" hidden="false" customHeight="false" outlineLevel="0" collapsed="false">
      <c r="A352" s="17" t="s">
        <v>441</v>
      </c>
      <c r="B352" s="17" t="s">
        <v>442</v>
      </c>
      <c r="C352" s="17" t="s">
        <v>1456</v>
      </c>
      <c r="D352" s="17" t="s">
        <v>77</v>
      </c>
      <c r="E352" s="18" t="n">
        <v>1380272</v>
      </c>
      <c r="F352" s="17" t="s">
        <v>935</v>
      </c>
      <c r="G352" s="23" t="n">
        <v>0.315748635051642</v>
      </c>
      <c r="H352" s="19" t="n">
        <v>19.5</v>
      </c>
      <c r="I352" s="17" t="n">
        <f aca="false">IF(H352="","",RANK(H352,$H$5:$H$430))</f>
        <v>348</v>
      </c>
      <c r="J352" s="24" t="n">
        <v>0.110600442865235</v>
      </c>
      <c r="K352" s="19" t="n">
        <v>70.6</v>
      </c>
      <c r="L352" s="17" t="n">
        <f aca="false">IF(K352="","",RANK(K352,$K$5:$K$430))</f>
        <v>126</v>
      </c>
      <c r="M352" s="25" t="n">
        <v>0.473283053060789</v>
      </c>
      <c r="N352" s="19" t="n">
        <v>100</v>
      </c>
      <c r="O352" s="17" t="n">
        <f aca="false">IF(N352="","",RANK(N352,$N$5:$N$430))</f>
        <v>1</v>
      </c>
      <c r="P352" s="17" t="str">
        <f aca="false">IF(AND(N(H352)&gt;=N(K352),N(H352)&gt;=N(N352)),"The Pulse",IF(N(K352)&gt;=N(N352),"The Lens","The Hub"))</f>
        <v>The Hub</v>
      </c>
      <c r="Q352" s="21" t="s">
        <v>79</v>
      </c>
      <c r="R352" s="26" t="s">
        <v>822</v>
      </c>
      <c r="S352" s="17" t="s">
        <v>22</v>
      </c>
    </row>
    <row r="353" customFormat="false" ht="15" hidden="false" customHeight="false" outlineLevel="0" collapsed="false">
      <c r="A353" s="17" t="s">
        <v>1457</v>
      </c>
      <c r="B353" s="17" t="s">
        <v>1458</v>
      </c>
      <c r="C353" s="17" t="s">
        <v>1459</v>
      </c>
      <c r="D353" s="17" t="s">
        <v>77</v>
      </c>
      <c r="E353" s="18" t="n">
        <v>67150</v>
      </c>
      <c r="F353" s="17" t="s">
        <v>821</v>
      </c>
      <c r="G353" s="23" t="n">
        <v>0.308518242740134</v>
      </c>
      <c r="H353" s="19" t="n">
        <v>19.1</v>
      </c>
      <c r="I353" s="17" t="n">
        <f aca="false">IF(H353="","",RANK(H353,$H$5:$H$430))</f>
        <v>349</v>
      </c>
      <c r="J353" s="24" t="n">
        <v>0.0521780006267628</v>
      </c>
      <c r="K353" s="19" t="n">
        <v>28.9</v>
      </c>
      <c r="L353" s="17" t="n">
        <f aca="false">IF(K353="","",RANK(K353,$K$5:$K$430))</f>
        <v>295</v>
      </c>
      <c r="M353" s="25" t="n">
        <v>0.120165745856354</v>
      </c>
      <c r="N353" s="19" t="n">
        <v>44.8</v>
      </c>
      <c r="O353" s="17" t="n">
        <f aca="false">IF(N353="","",RANK(N353,$N$5:$N$430))</f>
        <v>212</v>
      </c>
      <c r="P353" s="17" t="str">
        <f aca="false">IF(AND(N(H353)&gt;=N(K353),N(H353)&gt;=N(N353)),"The Pulse",IF(N(K353)&gt;=N(N353),"The Lens","The Hub"))</f>
        <v>The Hub</v>
      </c>
      <c r="Q353" s="20" t="s">
        <v>74</v>
      </c>
      <c r="R353" s="27" t="s">
        <v>832</v>
      </c>
      <c r="S353" s="17" t="s">
        <v>24</v>
      </c>
    </row>
    <row r="354" customFormat="false" ht="15" hidden="false" customHeight="false" outlineLevel="0" collapsed="false">
      <c r="A354" s="17" t="s">
        <v>765</v>
      </c>
      <c r="B354" s="17" t="s">
        <v>766</v>
      </c>
      <c r="C354" s="17" t="s">
        <v>1460</v>
      </c>
      <c r="D354" s="17" t="s">
        <v>115</v>
      </c>
      <c r="E354" s="18" t="n">
        <v>29060</v>
      </c>
      <c r="F354" s="17" t="s">
        <v>821</v>
      </c>
      <c r="G354" s="23" t="n">
        <v>0.307949070887818</v>
      </c>
      <c r="H354" s="19" t="n">
        <v>18.9</v>
      </c>
      <c r="I354" s="17" t="n">
        <f aca="false">IF(H354="","",RANK(H354,$H$5:$H$430))</f>
        <v>350</v>
      </c>
      <c r="J354" s="24" t="n">
        <v>0.258553486357731</v>
      </c>
      <c r="K354" s="19" t="n">
        <v>98.6</v>
      </c>
      <c r="L354" s="17" t="n">
        <f aca="false">IF(K354="","",RANK(K354,$K$5:$K$430))</f>
        <v>7</v>
      </c>
      <c r="M354" s="25" t="n">
        <v>0.0554156171284635</v>
      </c>
      <c r="N354" s="19" t="n">
        <v>17.7</v>
      </c>
      <c r="O354" s="17" t="n">
        <f aca="false">IF(N354="","",RANK(N354,$N$5:$N$430))</f>
        <v>318</v>
      </c>
      <c r="P354" s="17" t="str">
        <f aca="false">IF(AND(N(H354)&gt;=N(K354),N(H354)&gt;=N(N354)),"The Pulse",IF(N(K354)&gt;=N(N354),"The Lens","The Hub"))</f>
        <v>The Lens</v>
      </c>
      <c r="Q354" s="20" t="s">
        <v>74</v>
      </c>
      <c r="R354" s="26" t="s">
        <v>822</v>
      </c>
      <c r="S354" s="17" t="s">
        <v>24</v>
      </c>
    </row>
    <row r="355" customFormat="false" ht="15" hidden="false" customHeight="false" outlineLevel="0" collapsed="false">
      <c r="A355" s="17" t="s">
        <v>1461</v>
      </c>
      <c r="B355" s="17" t="s">
        <v>1462</v>
      </c>
      <c r="C355" s="17" t="s">
        <v>1463</v>
      </c>
      <c r="D355" s="17" t="s">
        <v>162</v>
      </c>
      <c r="E355" s="18" t="n">
        <v>137830</v>
      </c>
      <c r="F355" s="17" t="s">
        <v>827</v>
      </c>
      <c r="G355" s="23" t="n">
        <v>0.306362910832185</v>
      </c>
      <c r="H355" s="19" t="n">
        <v>18.7</v>
      </c>
      <c r="I355" s="17" t="n">
        <f aca="false">IF(H355="","",RANK(H355,$H$5:$H$430))</f>
        <v>351</v>
      </c>
      <c r="J355" s="24" t="n">
        <v>0.103257824381654</v>
      </c>
      <c r="K355" s="19" t="n">
        <v>60.7</v>
      </c>
      <c r="L355" s="17" t="n">
        <f aca="false">IF(K355="","",RANK(K355,$K$5:$K$430))</f>
        <v>167</v>
      </c>
      <c r="M355" s="25" t="n">
        <v>0.118610421836228</v>
      </c>
      <c r="N355" s="19" t="n">
        <v>44.1</v>
      </c>
      <c r="O355" s="17" t="n">
        <f aca="false">IF(N355="","",RANK(N355,$N$5:$N$430))</f>
        <v>215</v>
      </c>
      <c r="P355" s="17" t="str">
        <f aca="false">IF(AND(N(H355)&gt;=N(K355),N(H355)&gt;=N(N355)),"The Pulse",IF(N(K355)&gt;=N(N355),"The Lens","The Hub"))</f>
        <v>The Lens</v>
      </c>
      <c r="Q355" s="20" t="s">
        <v>74</v>
      </c>
      <c r="R355" s="27" t="s">
        <v>832</v>
      </c>
      <c r="S355" s="17" t="s">
        <v>24</v>
      </c>
    </row>
    <row r="356" customFormat="false" ht="15" hidden="false" customHeight="false" outlineLevel="0" collapsed="false">
      <c r="A356" s="17" t="s">
        <v>597</v>
      </c>
      <c r="B356" s="17" t="s">
        <v>598</v>
      </c>
      <c r="C356" s="17" t="s">
        <v>1464</v>
      </c>
      <c r="D356" s="17" t="s">
        <v>115</v>
      </c>
      <c r="E356" s="18" t="n">
        <v>158193</v>
      </c>
      <c r="F356" s="17" t="s">
        <v>827</v>
      </c>
      <c r="G356" s="23" t="n">
        <v>0.304887068327929</v>
      </c>
      <c r="H356" s="19" t="n">
        <v>18.5</v>
      </c>
      <c r="I356" s="17" t="n">
        <f aca="false">IF(H356="","",RANK(H356,$H$5:$H$430))</f>
        <v>352</v>
      </c>
      <c r="J356" s="24" t="n">
        <v>0.130450628135317</v>
      </c>
      <c r="K356" s="19" t="n">
        <v>73.6</v>
      </c>
      <c r="L356" s="17" t="n">
        <f aca="false">IF(K356="","",RANK(K356,$K$5:$K$430))</f>
        <v>113</v>
      </c>
      <c r="M356" s="25" t="n">
        <v>0.141272775283866</v>
      </c>
      <c r="N356" s="19" t="n">
        <v>53.6</v>
      </c>
      <c r="O356" s="17" t="n">
        <f aca="false">IF(N356="","",RANK(N356,$N$5:$N$430))</f>
        <v>175</v>
      </c>
      <c r="P356" s="17" t="str">
        <f aca="false">IF(AND(N(H356)&gt;=N(K356),N(H356)&gt;=N(N356)),"The Pulse",IF(N(K356)&gt;=N(N356),"The Lens","The Hub"))</f>
        <v>The Lens</v>
      </c>
      <c r="Q356" s="21" t="s">
        <v>79</v>
      </c>
      <c r="R356" s="26" t="s">
        <v>822</v>
      </c>
      <c r="S356" s="17" t="s">
        <v>88</v>
      </c>
    </row>
    <row r="357" customFormat="false" ht="15" hidden="false" customHeight="false" outlineLevel="0" collapsed="false">
      <c r="A357" s="17" t="s">
        <v>349</v>
      </c>
      <c r="B357" s="17" t="s">
        <v>350</v>
      </c>
      <c r="C357" s="17" t="s">
        <v>1465</v>
      </c>
      <c r="D357" s="17" t="s">
        <v>77</v>
      </c>
      <c r="E357" s="18" t="n">
        <v>10271</v>
      </c>
      <c r="F357" s="17" t="s">
        <v>821</v>
      </c>
      <c r="G357" s="23" t="n">
        <v>0.302404829130562</v>
      </c>
      <c r="H357" s="19" t="n">
        <v>18.3</v>
      </c>
      <c r="I357" s="17" t="n">
        <f aca="false">IF(H357="","",RANK(H357,$H$5:$H$430))</f>
        <v>353</v>
      </c>
      <c r="J357" s="24" t="n">
        <v>0.24210908211392</v>
      </c>
      <c r="K357" s="19" t="n">
        <v>97.9</v>
      </c>
      <c r="L357" s="17" t="n">
        <f aca="false">IF(K357="","",RANK(K357,$K$5:$K$430))</f>
        <v>11</v>
      </c>
      <c r="M357" s="25" t="n">
        <v>0.146919431279621</v>
      </c>
      <c r="N357" s="19" t="n">
        <v>56.4</v>
      </c>
      <c r="O357" s="17" t="n">
        <f aca="false">IF(N357="","",RANK(N357,$N$5:$N$430))</f>
        <v>165</v>
      </c>
      <c r="P357" s="17" t="str">
        <f aca="false">IF(AND(N(H357)&gt;=N(K357),N(H357)&gt;=N(N357)),"The Pulse",IF(N(K357)&gt;=N(N357),"The Lens","The Hub"))</f>
        <v>The Lens</v>
      </c>
      <c r="Q357" s="21" t="s">
        <v>79</v>
      </c>
      <c r="R357" s="26" t="s">
        <v>822</v>
      </c>
      <c r="S357" s="17" t="s">
        <v>22</v>
      </c>
    </row>
    <row r="358" customFormat="false" ht="15" hidden="false" customHeight="false" outlineLevel="0" collapsed="false">
      <c r="A358" s="17" t="s">
        <v>763</v>
      </c>
      <c r="B358" s="17" t="s">
        <v>764</v>
      </c>
      <c r="C358" s="17" t="s">
        <v>1466</v>
      </c>
      <c r="D358" s="17" t="s">
        <v>82</v>
      </c>
      <c r="E358" s="18" t="n">
        <v>115300</v>
      </c>
      <c r="F358" s="17" t="s">
        <v>827</v>
      </c>
      <c r="G358" s="23" t="n">
        <v>0.300112749349523</v>
      </c>
      <c r="H358" s="19" t="n">
        <v>18</v>
      </c>
      <c r="I358" s="17" t="n">
        <f aca="false">IF(H358="","",RANK(H358,$H$5:$H$430))</f>
        <v>354</v>
      </c>
      <c r="J358" s="24" t="n">
        <v>0.0677903315428783</v>
      </c>
      <c r="K358" s="19" t="n">
        <v>39.3</v>
      </c>
      <c r="L358" s="17" t="n">
        <f aca="false">IF(K358="","",RANK(K358,$K$5:$K$430))</f>
        <v>256</v>
      </c>
      <c r="M358" s="25" t="n">
        <v>0.0821964529331514</v>
      </c>
      <c r="N358" s="19" t="n">
        <v>27.5</v>
      </c>
      <c r="O358" s="17" t="n">
        <f aca="false">IF(N358="","",RANK(N358,$N$5:$N$430))</f>
        <v>281</v>
      </c>
      <c r="P358" s="17" t="str">
        <f aca="false">IF(AND(N(H358)&gt;=N(K358),N(H358)&gt;=N(N358)),"The Pulse",IF(N(K358)&gt;=N(N358),"The Lens","The Hub"))</f>
        <v>The Lens</v>
      </c>
      <c r="Q358" s="21" t="s">
        <v>79</v>
      </c>
      <c r="R358" s="26" t="s">
        <v>822</v>
      </c>
      <c r="S358" s="17" t="s">
        <v>88</v>
      </c>
    </row>
    <row r="359" customFormat="false" ht="15" hidden="false" customHeight="false" outlineLevel="0" collapsed="false">
      <c r="A359" s="17" t="s">
        <v>583</v>
      </c>
      <c r="B359" s="17" t="s">
        <v>584</v>
      </c>
      <c r="C359" s="17" t="s">
        <v>1467</v>
      </c>
      <c r="D359" s="17" t="s">
        <v>162</v>
      </c>
      <c r="E359" s="18" t="n">
        <v>74780</v>
      </c>
      <c r="F359" s="17" t="s">
        <v>821</v>
      </c>
      <c r="G359" s="23" t="n">
        <v>0.298181331906927</v>
      </c>
      <c r="H359" s="19" t="n">
        <v>17.8</v>
      </c>
      <c r="I359" s="17" t="n">
        <f aca="false">IF(H359="","",RANK(H359,$H$5:$H$430))</f>
        <v>355</v>
      </c>
      <c r="J359" s="24" t="n">
        <v>0.0818865740740741</v>
      </c>
      <c r="K359" s="19" t="n">
        <v>44.3</v>
      </c>
      <c r="L359" s="17" t="n">
        <f aca="false">IF(K359="","",RANK(K359,$K$5:$K$430))</f>
        <v>233</v>
      </c>
      <c r="M359" s="25" t="n">
        <v>0.0527045769764216</v>
      </c>
      <c r="N359" s="19" t="n">
        <v>16.3</v>
      </c>
      <c r="O359" s="17" t="n">
        <f aca="false">IF(N359="","",RANK(N359,$N$5:$N$430))</f>
        <v>324</v>
      </c>
      <c r="P359" s="17" t="str">
        <f aca="false">IF(AND(N(H359)&gt;=N(K359),N(H359)&gt;=N(N359)),"The Pulse",IF(N(K359)&gt;=N(N359),"The Lens","The Hub"))</f>
        <v>The Lens</v>
      </c>
      <c r="Q359" s="20" t="s">
        <v>74</v>
      </c>
      <c r="R359" s="26" t="s">
        <v>822</v>
      </c>
      <c r="S359" s="17" t="s">
        <v>24</v>
      </c>
    </row>
    <row r="360" customFormat="false" ht="15" hidden="false" customHeight="false" outlineLevel="0" collapsed="false">
      <c r="A360" s="17" t="s">
        <v>769</v>
      </c>
      <c r="B360" s="17" t="s">
        <v>770</v>
      </c>
      <c r="C360" s="17" t="s">
        <v>1468</v>
      </c>
      <c r="D360" s="17" t="s">
        <v>82</v>
      </c>
      <c r="E360" s="18" t="n">
        <v>34920</v>
      </c>
      <c r="F360" s="17" t="s">
        <v>821</v>
      </c>
      <c r="G360" s="23" t="n">
        <v>0.297966781214204</v>
      </c>
      <c r="H360" s="19" t="n">
        <v>17.6</v>
      </c>
      <c r="I360" s="17" t="n">
        <f aca="false">IF(H360="","",RANK(H360,$H$5:$H$430))</f>
        <v>356</v>
      </c>
      <c r="J360" s="24" t="n">
        <v>0.113165444692381</v>
      </c>
      <c r="K360" s="19" t="n">
        <v>60.1</v>
      </c>
      <c r="L360" s="17" t="n">
        <f aca="false">IF(K360="","",RANK(K360,$K$5:$K$430))</f>
        <v>170</v>
      </c>
      <c r="M360" s="28" t="s">
        <v>857</v>
      </c>
      <c r="N360" s="19"/>
      <c r="O360" s="17" t="str">
        <f aca="false">IF(N360="","",RANK(N360,$N$5:$N$430))</f>
        <v/>
      </c>
      <c r="P360" s="17" t="str">
        <f aca="false">IF(AND(N(H360)&gt;=N(K360),N(H360)&gt;=N(N360)),"The Pulse",IF(N(K360)&gt;=N(N360),"The Lens","The Hub"))</f>
        <v>The Lens</v>
      </c>
      <c r="Q360" s="20" t="s">
        <v>74</v>
      </c>
      <c r="R360" s="26" t="s">
        <v>822</v>
      </c>
      <c r="S360" s="17" t="s">
        <v>24</v>
      </c>
    </row>
    <row r="361" customFormat="false" ht="15" hidden="false" customHeight="false" outlineLevel="0" collapsed="false">
      <c r="A361" s="17" t="s">
        <v>773</v>
      </c>
      <c r="B361" s="17" t="s">
        <v>774</v>
      </c>
      <c r="C361" s="17" t="s">
        <v>1469</v>
      </c>
      <c r="D361" s="17" t="s">
        <v>98</v>
      </c>
      <c r="E361" s="18" t="n">
        <v>2750</v>
      </c>
      <c r="F361" s="17" t="s">
        <v>825</v>
      </c>
      <c r="G361" s="23" t="n">
        <v>0.297090909090909</v>
      </c>
      <c r="H361" s="19" t="n">
        <v>17.2</v>
      </c>
      <c r="I361" s="17" t="n">
        <f aca="false">IF(H361="","",RANK(H361,$H$5:$H$430))</f>
        <v>357</v>
      </c>
      <c r="J361" s="24" t="n">
        <v>0.15850622406639</v>
      </c>
      <c r="K361" s="19" t="n">
        <v>85.9</v>
      </c>
      <c r="L361" s="17" t="n">
        <f aca="false">IF(K361="","",RANK(K361,$K$5:$K$430))</f>
        <v>60</v>
      </c>
      <c r="M361" s="25" t="n">
        <v>0.05</v>
      </c>
      <c r="N361" s="19" t="n">
        <v>14.9</v>
      </c>
      <c r="O361" s="17" t="n">
        <f aca="false">IF(N361="","",RANK(N361,$N$5:$N$430))</f>
        <v>330</v>
      </c>
      <c r="P361" s="17" t="str">
        <f aca="false">IF(AND(N(H361)&gt;=N(K361),N(H361)&gt;=N(N361)),"The Pulse",IF(N(K361)&gt;=N(N361),"The Lens","The Hub"))</f>
        <v>The Lens</v>
      </c>
      <c r="Q361" s="21" t="s">
        <v>79</v>
      </c>
      <c r="R361" s="26" t="s">
        <v>822</v>
      </c>
      <c r="S361" s="17" t="s">
        <v>88</v>
      </c>
    </row>
    <row r="362" customFormat="false" ht="15" hidden="false" customHeight="false" outlineLevel="0" collapsed="false">
      <c r="A362" s="17" t="s">
        <v>775</v>
      </c>
      <c r="B362" s="17" t="s">
        <v>776</v>
      </c>
      <c r="C362" s="17" t="s">
        <v>1470</v>
      </c>
      <c r="D362" s="17" t="s">
        <v>82</v>
      </c>
      <c r="E362" s="18" t="n">
        <v>89620</v>
      </c>
      <c r="F362" s="17" t="s">
        <v>821</v>
      </c>
      <c r="G362" s="23" t="n">
        <v>0.296697165811203</v>
      </c>
      <c r="H362" s="19" t="n">
        <v>17</v>
      </c>
      <c r="I362" s="17" t="n">
        <f aca="false">IF(H362="","",RANK(H362,$H$5:$H$430))</f>
        <v>358</v>
      </c>
      <c r="J362" s="24" t="n">
        <v>-0.0104891244341393</v>
      </c>
      <c r="K362" s="19" t="n">
        <v>8.2</v>
      </c>
      <c r="L362" s="17" t="n">
        <f aca="false">IF(K362="","",RANK(K362,$K$5:$K$430))</f>
        <v>390</v>
      </c>
      <c r="M362" s="25" t="n">
        <v>0.106939704209329</v>
      </c>
      <c r="N362" s="19" t="n">
        <v>37.3</v>
      </c>
      <c r="O362" s="17" t="n">
        <f aca="false">IF(N362="","",RANK(N362,$N$5:$N$430))</f>
        <v>243</v>
      </c>
      <c r="P362" s="17" t="str">
        <f aca="false">IF(AND(N(H362)&gt;=N(K362),N(H362)&gt;=N(N362)),"The Pulse",IF(N(K362)&gt;=N(N362),"The Lens","The Hub"))</f>
        <v>The Hub</v>
      </c>
      <c r="Q362" s="20" t="s">
        <v>74</v>
      </c>
      <c r="R362" s="26" t="s">
        <v>822</v>
      </c>
      <c r="S362" s="17" t="s">
        <v>24</v>
      </c>
    </row>
    <row r="363" customFormat="false" ht="15" hidden="false" customHeight="false" outlineLevel="0" collapsed="false">
      <c r="A363" s="17" t="s">
        <v>1471</v>
      </c>
      <c r="B363" s="17" t="s">
        <v>1472</v>
      </c>
      <c r="C363" s="17" t="s">
        <v>1473</v>
      </c>
      <c r="D363" s="17" t="s">
        <v>98</v>
      </c>
      <c r="E363" s="18" t="n">
        <v>18570</v>
      </c>
      <c r="F363" s="17" t="s">
        <v>821</v>
      </c>
      <c r="G363" s="23" t="n">
        <v>0.293537964458805</v>
      </c>
      <c r="H363" s="19" t="n">
        <v>16.6</v>
      </c>
      <c r="I363" s="17" t="n">
        <f aca="false">IF(H363="","",RANK(H363,$H$5:$H$430))</f>
        <v>359</v>
      </c>
      <c r="J363" s="24" t="n">
        <v>0.0356943669827105</v>
      </c>
      <c r="K363" s="19" t="n">
        <v>20.6</v>
      </c>
      <c r="L363" s="17" t="n">
        <f aca="false">IF(K363="","",RANK(K363,$K$5:$K$430))</f>
        <v>334</v>
      </c>
      <c r="M363" s="25" t="n">
        <v>0.307547169811321</v>
      </c>
      <c r="N363" s="19" t="n">
        <v>90.9</v>
      </c>
      <c r="O363" s="17" t="n">
        <f aca="false">IF(N363="","",RANK(N363,$N$5:$N$430))</f>
        <v>35</v>
      </c>
      <c r="P363" s="17" t="str">
        <f aca="false">IF(AND(N(H363)&gt;=N(K363),N(H363)&gt;=N(N363)),"The Pulse",IF(N(K363)&gt;=N(N363),"The Lens","The Hub"))</f>
        <v>The Hub</v>
      </c>
      <c r="Q363" s="20" t="s">
        <v>74</v>
      </c>
      <c r="R363" s="27" t="s">
        <v>832</v>
      </c>
      <c r="S363" s="17" t="s">
        <v>24</v>
      </c>
    </row>
    <row r="364" customFormat="false" ht="15" hidden="false" customHeight="false" outlineLevel="0" collapsed="false">
      <c r="A364" s="17" t="s">
        <v>1474</v>
      </c>
      <c r="B364" s="17" t="s">
        <v>1475</v>
      </c>
      <c r="C364" s="17" t="s">
        <v>1476</v>
      </c>
      <c r="D364" s="17" t="s">
        <v>86</v>
      </c>
      <c r="E364" s="18" t="n">
        <v>47730</v>
      </c>
      <c r="F364" s="17" t="s">
        <v>821</v>
      </c>
      <c r="G364" s="23" t="n">
        <v>0.291242405195894</v>
      </c>
      <c r="H364" s="19" t="n">
        <v>16.4</v>
      </c>
      <c r="I364" s="17" t="n">
        <f aca="false">IF(H364="","",RANK(H364,$H$5:$H$430))</f>
        <v>360</v>
      </c>
      <c r="J364" s="24" t="n">
        <v>0.17330383480826</v>
      </c>
      <c r="K364" s="19" t="n">
        <v>84.5</v>
      </c>
      <c r="L364" s="17" t="n">
        <f aca="false">IF(K364="","",RANK(K364,$K$5:$K$430))</f>
        <v>66</v>
      </c>
      <c r="M364" s="25" t="n">
        <v>0.345029239766082</v>
      </c>
      <c r="N364" s="19" t="n">
        <v>94.9</v>
      </c>
      <c r="O364" s="17" t="n">
        <f aca="false">IF(N364="","",RANK(N364,$N$5:$N$430))</f>
        <v>20</v>
      </c>
      <c r="P364" s="17" t="str">
        <f aca="false">IF(AND(N(H364)&gt;=N(K364),N(H364)&gt;=N(N364)),"The Pulse",IF(N(K364)&gt;=N(N364),"The Lens","The Hub"))</f>
        <v>The Hub</v>
      </c>
      <c r="Q364" s="20" t="s">
        <v>74</v>
      </c>
      <c r="R364" s="27" t="s">
        <v>832</v>
      </c>
      <c r="S364" s="17" t="s">
        <v>24</v>
      </c>
    </row>
    <row r="365" customFormat="false" ht="15" hidden="false" customHeight="false" outlineLevel="0" collapsed="false">
      <c r="A365" s="17" t="s">
        <v>753</v>
      </c>
      <c r="B365" s="17" t="s">
        <v>754</v>
      </c>
      <c r="C365" s="17" t="s">
        <v>1477</v>
      </c>
      <c r="D365" s="17" t="s">
        <v>72</v>
      </c>
      <c r="E365" s="18" t="n">
        <v>177829</v>
      </c>
      <c r="F365" s="17" t="s">
        <v>827</v>
      </c>
      <c r="G365" s="23" t="n">
        <v>0.290588149289486</v>
      </c>
      <c r="H365" s="19" t="n">
        <v>16.3</v>
      </c>
      <c r="I365" s="17" t="n">
        <f aca="false">IF(H365="","",RANK(H365,$H$5:$H$430))</f>
        <v>361</v>
      </c>
      <c r="J365" s="24" t="n">
        <v>0.00337978897477854</v>
      </c>
      <c r="K365" s="19" t="n">
        <v>13.6</v>
      </c>
      <c r="L365" s="17" t="n">
        <f aca="false">IF(K365="","",RANK(K365,$K$5:$K$430))</f>
        <v>364</v>
      </c>
      <c r="M365" s="25" t="n">
        <v>0.159420289855073</v>
      </c>
      <c r="N365" s="19" t="n">
        <v>61.5</v>
      </c>
      <c r="O365" s="17" t="n">
        <f aca="false">IF(N365="","",RANK(N365,$N$5:$N$430))</f>
        <v>146</v>
      </c>
      <c r="P365" s="17" t="str">
        <f aca="false">IF(AND(N(H365)&gt;=N(K365),N(H365)&gt;=N(N365)),"The Pulse",IF(N(K365)&gt;=N(N365),"The Lens","The Hub"))</f>
        <v>The Hub</v>
      </c>
      <c r="Q365" s="21" t="s">
        <v>79</v>
      </c>
      <c r="R365" s="26" t="s">
        <v>822</v>
      </c>
      <c r="S365" s="17" t="s">
        <v>88</v>
      </c>
    </row>
    <row r="366" customFormat="false" ht="15" hidden="false" customHeight="false" outlineLevel="0" collapsed="false">
      <c r="A366" s="17" t="s">
        <v>461</v>
      </c>
      <c r="B366" s="17" t="s">
        <v>462</v>
      </c>
      <c r="C366" s="17" t="s">
        <v>1478</v>
      </c>
      <c r="D366" s="17" t="s">
        <v>115</v>
      </c>
      <c r="E366" s="18" t="n">
        <v>163950</v>
      </c>
      <c r="F366" s="17" t="s">
        <v>827</v>
      </c>
      <c r="G366" s="23" t="n">
        <v>0.286556877096676</v>
      </c>
      <c r="H366" s="19" t="n">
        <v>15.7</v>
      </c>
      <c r="I366" s="17" t="n">
        <f aca="false">IF(H366="","",RANK(H366,$H$5:$H$430))</f>
        <v>362</v>
      </c>
      <c r="J366" s="24" t="n">
        <v>0.0568555405144073</v>
      </c>
      <c r="K366" s="19" t="n">
        <v>32.1</v>
      </c>
      <c r="L366" s="17" t="n">
        <f aca="false">IF(K366="","",RANK(K366,$K$5:$K$430))</f>
        <v>283</v>
      </c>
      <c r="M366" s="25" t="n">
        <v>0.0539436044135676</v>
      </c>
      <c r="N366" s="19" t="n">
        <v>17.5</v>
      </c>
      <c r="O366" s="17" t="n">
        <f aca="false">IF(N366="","",RANK(N366,$N$5:$N$430))</f>
        <v>319</v>
      </c>
      <c r="P366" s="17" t="str">
        <f aca="false">IF(AND(N(H366)&gt;=N(K366),N(H366)&gt;=N(N366)),"The Pulse",IF(N(K366)&gt;=N(N366),"The Lens","The Hub"))</f>
        <v>The Lens</v>
      </c>
      <c r="Q366" s="20" t="s">
        <v>74</v>
      </c>
      <c r="R366" s="26" t="s">
        <v>822</v>
      </c>
      <c r="S366" s="17" t="s">
        <v>24</v>
      </c>
    </row>
    <row r="367" customFormat="false" ht="15" hidden="false" customHeight="false" outlineLevel="0" collapsed="false">
      <c r="A367" s="17" t="s">
        <v>577</v>
      </c>
      <c r="B367" s="17" t="s">
        <v>578</v>
      </c>
      <c r="C367" s="17" t="s">
        <v>1479</v>
      </c>
      <c r="D367" s="17" t="s">
        <v>77</v>
      </c>
      <c r="E367" s="18" t="n">
        <v>172805</v>
      </c>
      <c r="F367" s="17" t="s">
        <v>827</v>
      </c>
      <c r="G367" s="23" t="n">
        <v>0.280553224733081</v>
      </c>
      <c r="H367" s="19" t="n">
        <v>15.3</v>
      </c>
      <c r="I367" s="17" t="n">
        <f aca="false">IF(H367="","",RANK(H367,$H$5:$H$430))</f>
        <v>363</v>
      </c>
      <c r="J367" s="24" t="n">
        <v>0.256800197823937</v>
      </c>
      <c r="K367" s="19" t="n">
        <v>98.6</v>
      </c>
      <c r="L367" s="17" t="n">
        <f aca="false">IF(K367="","",RANK(K367,$K$5:$K$430))</f>
        <v>7</v>
      </c>
      <c r="M367" s="25" t="n">
        <v>0.259698025551684</v>
      </c>
      <c r="N367" s="19" t="n">
        <v>84.1</v>
      </c>
      <c r="O367" s="17" t="n">
        <f aca="false">IF(N367="","",RANK(N367,$N$5:$N$430))</f>
        <v>62</v>
      </c>
      <c r="P367" s="17" t="str">
        <f aca="false">IF(AND(N(H367)&gt;=N(K367),N(H367)&gt;=N(N367)),"The Pulse",IF(N(K367)&gt;=N(N367),"The Lens","The Hub"))</f>
        <v>The Lens</v>
      </c>
      <c r="Q367" s="21" t="s">
        <v>79</v>
      </c>
      <c r="R367" s="26" t="s">
        <v>822</v>
      </c>
      <c r="S367" s="17" t="s">
        <v>22</v>
      </c>
    </row>
    <row r="368" customFormat="false" ht="15" hidden="false" customHeight="false" outlineLevel="0" collapsed="false">
      <c r="A368" s="17" t="s">
        <v>527</v>
      </c>
      <c r="B368" s="17" t="s">
        <v>528</v>
      </c>
      <c r="C368" s="17" t="s">
        <v>1480</v>
      </c>
      <c r="D368" s="17" t="s">
        <v>115</v>
      </c>
      <c r="E368" s="18" t="n">
        <v>99730</v>
      </c>
      <c r="F368" s="17" t="s">
        <v>821</v>
      </c>
      <c r="G368" s="23" t="n">
        <v>0.275383535545974</v>
      </c>
      <c r="H368" s="19" t="n">
        <v>15.1</v>
      </c>
      <c r="I368" s="17" t="n">
        <f aca="false">IF(H368="","",RANK(H368,$H$5:$H$430))</f>
        <v>364</v>
      </c>
      <c r="J368" s="24" t="n">
        <v>0.0527815897814842</v>
      </c>
      <c r="K368" s="19" t="n">
        <v>29.9</v>
      </c>
      <c r="L368" s="17" t="n">
        <f aca="false">IF(K368="","",RANK(K368,$K$5:$K$430))</f>
        <v>290</v>
      </c>
      <c r="M368" s="25" t="n">
        <v>0.0959860383944154</v>
      </c>
      <c r="N368" s="19" t="n">
        <v>35</v>
      </c>
      <c r="O368" s="17" t="n">
        <f aca="false">IF(N368="","",RANK(N368,$N$5:$N$430))</f>
        <v>252</v>
      </c>
      <c r="P368" s="17" t="str">
        <f aca="false">IF(AND(N(H368)&gt;=N(K368),N(H368)&gt;=N(N368)),"The Pulse",IF(N(K368)&gt;=N(N368),"The Lens","The Hub"))</f>
        <v>The Hub</v>
      </c>
      <c r="Q368" s="20" t="s">
        <v>74</v>
      </c>
      <c r="R368" s="26" t="s">
        <v>822</v>
      </c>
      <c r="S368" s="17" t="s">
        <v>24</v>
      </c>
    </row>
    <row r="369" customFormat="false" ht="15" hidden="false" customHeight="false" outlineLevel="0" collapsed="false">
      <c r="A369" s="17" t="s">
        <v>1481</v>
      </c>
      <c r="B369" s="17" t="s">
        <v>1482</v>
      </c>
      <c r="C369" s="17" t="s">
        <v>1483</v>
      </c>
      <c r="D369" s="17" t="s">
        <v>98</v>
      </c>
      <c r="E369" s="18" t="n">
        <v>32110</v>
      </c>
      <c r="F369" s="17" t="s">
        <v>821</v>
      </c>
      <c r="G369" s="23" t="n">
        <v>0.274244783556524</v>
      </c>
      <c r="H369" s="19" t="n">
        <v>14.7</v>
      </c>
      <c r="I369" s="17" t="n">
        <f aca="false">IF(H369="","",RANK(H369,$H$5:$H$430))</f>
        <v>365</v>
      </c>
      <c r="J369" s="24" t="n">
        <v>0.0807808818579603</v>
      </c>
      <c r="K369" s="19" t="n">
        <v>43.6</v>
      </c>
      <c r="L369" s="17" t="n">
        <f aca="false">IF(K369="","",RANK(K369,$K$5:$K$430))</f>
        <v>236</v>
      </c>
      <c r="M369" s="25" t="n">
        <v>0.0681063122923588</v>
      </c>
      <c r="N369" s="19" t="n">
        <v>23.1</v>
      </c>
      <c r="O369" s="17" t="n">
        <f aca="false">IF(N369="","",RANK(N369,$N$5:$N$430))</f>
        <v>300</v>
      </c>
      <c r="P369" s="17" t="str">
        <f aca="false">IF(AND(N(H369)&gt;=N(K369),N(H369)&gt;=N(N369)),"The Pulse",IF(N(K369)&gt;=N(N369),"The Lens","The Hub"))</f>
        <v>The Lens</v>
      </c>
      <c r="Q369" s="20" t="s">
        <v>74</v>
      </c>
      <c r="R369" s="27" t="s">
        <v>832</v>
      </c>
      <c r="S369" s="17" t="s">
        <v>24</v>
      </c>
    </row>
    <row r="370" customFormat="false" ht="15" hidden="false" customHeight="false" outlineLevel="0" collapsed="false">
      <c r="A370" s="17" t="s">
        <v>585</v>
      </c>
      <c r="B370" s="17" t="s">
        <v>586</v>
      </c>
      <c r="C370" s="17" t="s">
        <v>1484</v>
      </c>
      <c r="D370" s="17" t="s">
        <v>123</v>
      </c>
      <c r="E370" s="18" t="n">
        <v>7980</v>
      </c>
      <c r="F370" s="17" t="s">
        <v>825</v>
      </c>
      <c r="G370" s="23" t="n">
        <v>0.272681704260652</v>
      </c>
      <c r="H370" s="19" t="n">
        <v>14.6</v>
      </c>
      <c r="I370" s="17" t="n">
        <f aca="false">IF(H370="","",RANK(H370,$H$5:$H$430))</f>
        <v>366</v>
      </c>
      <c r="J370" s="24" t="n">
        <v>0.0754716981132075</v>
      </c>
      <c r="K370" s="19" t="n">
        <v>33.8</v>
      </c>
      <c r="L370" s="17" t="n">
        <f aca="false">IF(K370="","",RANK(K370,$K$5:$K$430))</f>
        <v>275</v>
      </c>
      <c r="M370" s="25" t="n">
        <v>0.127450980392157</v>
      </c>
      <c r="N370" s="19" t="n">
        <v>46.6</v>
      </c>
      <c r="O370" s="17" t="n">
        <f aca="false">IF(N370="","",RANK(N370,$N$5:$N$430))</f>
        <v>204</v>
      </c>
      <c r="P370" s="17" t="str">
        <f aca="false">IF(AND(N(H370)&gt;=N(K370),N(H370)&gt;=N(N370)),"The Pulse",IF(N(K370)&gt;=N(N370),"The Lens","The Hub"))</f>
        <v>The Hub</v>
      </c>
      <c r="Q370" s="20" t="s">
        <v>74</v>
      </c>
      <c r="R370" s="26" t="s">
        <v>822</v>
      </c>
      <c r="S370" s="17" t="s">
        <v>24</v>
      </c>
    </row>
    <row r="371" customFormat="false" ht="15" hidden="false" customHeight="false" outlineLevel="0" collapsed="false">
      <c r="A371" s="17" t="s">
        <v>1485</v>
      </c>
      <c r="B371" s="17" t="s">
        <v>1486</v>
      </c>
      <c r="C371" s="17" t="s">
        <v>1487</v>
      </c>
      <c r="D371" s="17" t="s">
        <v>82</v>
      </c>
      <c r="E371" s="18" t="n">
        <v>106810</v>
      </c>
      <c r="F371" s="17" t="s">
        <v>827</v>
      </c>
      <c r="G371" s="23" t="n">
        <v>0.271912742252598</v>
      </c>
      <c r="H371" s="19" t="n">
        <v>14.4</v>
      </c>
      <c r="I371" s="17" t="n">
        <f aca="false">IF(H371="","",RANK(H371,$H$5:$H$430))</f>
        <v>367</v>
      </c>
      <c r="J371" s="24" t="n">
        <v>-0.0381809995497524</v>
      </c>
      <c r="K371" s="19" t="n">
        <v>6.4</v>
      </c>
      <c r="L371" s="17" t="n">
        <f aca="false">IF(K371="","",RANK(K371,$K$5:$K$430))</f>
        <v>399</v>
      </c>
      <c r="M371" s="25" t="n">
        <v>0.277894736842105</v>
      </c>
      <c r="N371" s="19" t="n">
        <v>86.9</v>
      </c>
      <c r="O371" s="17" t="n">
        <f aca="false">IF(N371="","",RANK(N371,$N$5:$N$430))</f>
        <v>51</v>
      </c>
      <c r="P371" s="17" t="str">
        <f aca="false">IF(AND(N(H371)&gt;=N(K371),N(H371)&gt;=N(N371)),"The Pulse",IF(N(K371)&gt;=N(N371),"The Lens","The Hub"))</f>
        <v>The Hub</v>
      </c>
      <c r="Q371" s="20" t="s">
        <v>74</v>
      </c>
      <c r="R371" s="27" t="s">
        <v>832</v>
      </c>
      <c r="S371" s="17" t="s">
        <v>24</v>
      </c>
    </row>
    <row r="372" customFormat="false" ht="15" hidden="false" customHeight="false" outlineLevel="0" collapsed="false">
      <c r="A372" s="17" t="s">
        <v>1488</v>
      </c>
      <c r="B372" s="17" t="s">
        <v>1489</v>
      </c>
      <c r="C372" s="17" t="s">
        <v>1490</v>
      </c>
      <c r="D372" s="17" t="s">
        <v>115</v>
      </c>
      <c r="E372" s="18" t="n">
        <v>8030</v>
      </c>
      <c r="F372" s="17" t="s">
        <v>825</v>
      </c>
      <c r="G372" s="23" t="n">
        <v>0.261082506592993</v>
      </c>
      <c r="H372" s="19" t="n">
        <v>14.2</v>
      </c>
      <c r="I372" s="17" t="n">
        <f aca="false">IF(H372="","",RANK(H372,$H$5:$H$430))</f>
        <v>368</v>
      </c>
      <c r="J372" s="24" t="n">
        <v>0.0541435001323802</v>
      </c>
      <c r="K372" s="19" t="n">
        <v>22.5</v>
      </c>
      <c r="L372" s="17" t="n">
        <f aca="false">IF(K372="","",RANK(K372,$K$5:$K$430))</f>
        <v>324</v>
      </c>
      <c r="M372" s="25" t="n">
        <v>0.0819672131147541</v>
      </c>
      <c r="N372" s="19" t="n">
        <v>27</v>
      </c>
      <c r="O372" s="17" t="n">
        <f aca="false">IF(N372="","",RANK(N372,$N$5:$N$430))</f>
        <v>283</v>
      </c>
      <c r="P372" s="17" t="str">
        <f aca="false">IF(AND(N(H372)&gt;=N(K372),N(H372)&gt;=N(N372)),"The Pulse",IF(N(K372)&gt;=N(N372),"The Lens","The Hub"))</f>
        <v>The Hub</v>
      </c>
      <c r="Q372" s="21" t="s">
        <v>79</v>
      </c>
      <c r="R372" s="27" t="s">
        <v>832</v>
      </c>
      <c r="S372" s="17" t="s">
        <v>88</v>
      </c>
    </row>
    <row r="373" customFormat="false" ht="15" hidden="false" customHeight="false" outlineLevel="0" collapsed="false">
      <c r="A373" s="17" t="s">
        <v>587</v>
      </c>
      <c r="B373" s="17" t="s">
        <v>588</v>
      </c>
      <c r="C373" s="17" t="s">
        <v>1491</v>
      </c>
      <c r="D373" s="17" t="s">
        <v>82</v>
      </c>
      <c r="E373" s="18" t="n">
        <v>35070</v>
      </c>
      <c r="F373" s="17" t="s">
        <v>821</v>
      </c>
      <c r="G373" s="23" t="n">
        <v>0.260079840319361</v>
      </c>
      <c r="H373" s="19" t="n">
        <v>14</v>
      </c>
      <c r="I373" s="17" t="n">
        <f aca="false">IF(H373="","",RANK(H373,$H$5:$H$430))</f>
        <v>369</v>
      </c>
      <c r="J373" s="24" t="n">
        <v>0.139006170834687</v>
      </c>
      <c r="K373" s="19" t="n">
        <v>73.5</v>
      </c>
      <c r="L373" s="17" t="n">
        <f aca="false">IF(K373="","",RANK(K373,$K$5:$K$430))</f>
        <v>114</v>
      </c>
      <c r="M373" s="25" t="n">
        <v>0.0909090909090909</v>
      </c>
      <c r="N373" s="19" t="n">
        <v>32.6</v>
      </c>
      <c r="O373" s="17" t="n">
        <f aca="false">IF(N373="","",RANK(N373,$N$5:$N$430))</f>
        <v>261</v>
      </c>
      <c r="P373" s="17" t="str">
        <f aca="false">IF(AND(N(H373)&gt;=N(K373),N(H373)&gt;=N(N373)),"The Pulse",IF(N(K373)&gt;=N(N373),"The Lens","The Hub"))</f>
        <v>The Lens</v>
      </c>
      <c r="Q373" s="20" t="s">
        <v>74</v>
      </c>
      <c r="R373" s="26" t="s">
        <v>822</v>
      </c>
      <c r="S373" s="17" t="s">
        <v>24</v>
      </c>
    </row>
    <row r="374" customFormat="false" ht="15" hidden="false" customHeight="false" outlineLevel="0" collapsed="false">
      <c r="A374" s="17" t="s">
        <v>1492</v>
      </c>
      <c r="B374" s="17" t="s">
        <v>1493</v>
      </c>
      <c r="C374" s="17" t="s">
        <v>1494</v>
      </c>
      <c r="D374" s="17" t="s">
        <v>98</v>
      </c>
      <c r="E374" s="18" t="n">
        <v>10484</v>
      </c>
      <c r="F374" s="17" t="s">
        <v>821</v>
      </c>
      <c r="G374" s="23" t="n">
        <v>0.257153758107593</v>
      </c>
      <c r="H374" s="19" t="n">
        <v>13.8</v>
      </c>
      <c r="I374" s="17" t="n">
        <f aca="false">IF(H374="","",RANK(H374,$H$5:$H$430))</f>
        <v>370</v>
      </c>
      <c r="J374" s="24" t="n">
        <v>0.0797116374871267</v>
      </c>
      <c r="K374" s="19" t="n">
        <v>43</v>
      </c>
      <c r="L374" s="17" t="n">
        <f aca="false">IF(K374="","",RANK(K374,$K$5:$K$430))</f>
        <v>239</v>
      </c>
      <c r="M374" s="25" t="n">
        <v>0.285714285714286</v>
      </c>
      <c r="N374" s="19" t="n">
        <v>88.6</v>
      </c>
      <c r="O374" s="17" t="n">
        <f aca="false">IF(N374="","",RANK(N374,$N$5:$N$430))</f>
        <v>44</v>
      </c>
      <c r="P374" s="17" t="str">
        <f aca="false">IF(AND(N(H374)&gt;=N(K374),N(H374)&gt;=N(N374)),"The Pulse",IF(N(K374)&gt;=N(N374),"The Lens","The Hub"))</f>
        <v>The Hub</v>
      </c>
      <c r="Q374" s="21" t="s">
        <v>79</v>
      </c>
      <c r="R374" s="27" t="s">
        <v>832</v>
      </c>
      <c r="S374" s="17" t="s">
        <v>22</v>
      </c>
    </row>
    <row r="375" customFormat="false" ht="15" hidden="false" customHeight="false" outlineLevel="0" collapsed="false">
      <c r="A375" s="17" t="s">
        <v>1495</v>
      </c>
      <c r="B375" s="17" t="s">
        <v>1496</v>
      </c>
      <c r="C375" s="17" t="s">
        <v>1497</v>
      </c>
      <c r="D375" s="17" t="s">
        <v>123</v>
      </c>
      <c r="E375" s="18" t="n">
        <v>27100</v>
      </c>
      <c r="F375" s="17" t="s">
        <v>821</v>
      </c>
      <c r="G375" s="23" t="n">
        <v>0.256273062730627</v>
      </c>
      <c r="H375" s="19" t="n">
        <v>13.6</v>
      </c>
      <c r="I375" s="17" t="n">
        <f aca="false">IF(H375="","",RANK(H375,$H$5:$H$430))</f>
        <v>371</v>
      </c>
      <c r="J375" s="24" t="n">
        <v>-0.00535714285714286</v>
      </c>
      <c r="K375" s="19" t="n">
        <v>8.9</v>
      </c>
      <c r="L375" s="17" t="n">
        <f aca="false">IF(K375="","",RANK(K375,$K$5:$K$430))</f>
        <v>386</v>
      </c>
      <c r="M375" s="25" t="n">
        <v>0.200564971751412</v>
      </c>
      <c r="N375" s="19" t="n">
        <v>73.7</v>
      </c>
      <c r="O375" s="17" t="n">
        <f aca="false">IF(N375="","",RANK(N375,$N$5:$N$430))</f>
        <v>102</v>
      </c>
      <c r="P375" s="17" t="str">
        <f aca="false">IF(AND(N(H375)&gt;=N(K375),N(H375)&gt;=N(N375)),"The Pulse",IF(N(K375)&gt;=N(N375),"The Lens","The Hub"))</f>
        <v>The Hub</v>
      </c>
      <c r="Q375" s="21" t="s">
        <v>79</v>
      </c>
      <c r="R375" s="27" t="s">
        <v>832</v>
      </c>
      <c r="S375" s="17" t="s">
        <v>88</v>
      </c>
    </row>
    <row r="376" customFormat="false" ht="15" hidden="false" customHeight="false" outlineLevel="0" collapsed="false">
      <c r="A376" s="17" t="s">
        <v>1498</v>
      </c>
      <c r="B376" s="17" t="s">
        <v>1499</v>
      </c>
      <c r="C376" s="17" t="s">
        <v>1500</v>
      </c>
      <c r="D376" s="17" t="s">
        <v>123</v>
      </c>
      <c r="E376" s="18" t="n">
        <v>132460</v>
      </c>
      <c r="F376" s="17" t="s">
        <v>827</v>
      </c>
      <c r="G376" s="23" t="n">
        <v>0.255171372489808</v>
      </c>
      <c r="H376" s="19" t="n">
        <v>13.4</v>
      </c>
      <c r="I376" s="17" t="n">
        <f aca="false">IF(H376="","",RANK(H376,$H$5:$H$430))</f>
        <v>372</v>
      </c>
      <c r="J376" s="24" t="n">
        <v>0.139734985372569</v>
      </c>
      <c r="K376" s="19" t="n">
        <v>78.6</v>
      </c>
      <c r="L376" s="17" t="n">
        <f aca="false">IF(K376="","",RANK(K376,$K$5:$K$430))</f>
        <v>94</v>
      </c>
      <c r="M376" s="25" t="n">
        <v>0.0959232613908873</v>
      </c>
      <c r="N376" s="19" t="n">
        <v>34.7</v>
      </c>
      <c r="O376" s="17" t="n">
        <f aca="false">IF(N376="","",RANK(N376,$N$5:$N$430))</f>
        <v>253</v>
      </c>
      <c r="P376" s="17" t="str">
        <f aca="false">IF(AND(N(H376)&gt;=N(K376),N(H376)&gt;=N(N376)),"The Pulse",IF(N(K376)&gt;=N(N376),"The Lens","The Hub"))</f>
        <v>The Lens</v>
      </c>
      <c r="Q376" s="20" t="s">
        <v>74</v>
      </c>
      <c r="R376" s="27" t="s">
        <v>832</v>
      </c>
      <c r="S376" s="17" t="s">
        <v>24</v>
      </c>
    </row>
    <row r="377" customFormat="false" ht="15" hidden="false" customHeight="false" outlineLevel="0" collapsed="false">
      <c r="A377" s="17" t="s">
        <v>1501</v>
      </c>
      <c r="B377" s="17" t="s">
        <v>1502</v>
      </c>
      <c r="C377" s="17" t="s">
        <v>1503</v>
      </c>
      <c r="D377" s="17" t="s">
        <v>115</v>
      </c>
      <c r="E377" s="18" t="n">
        <v>68520</v>
      </c>
      <c r="F377" s="17" t="s">
        <v>821</v>
      </c>
      <c r="G377" s="23" t="n">
        <v>0.25379451255108</v>
      </c>
      <c r="H377" s="19" t="n">
        <v>13.2</v>
      </c>
      <c r="I377" s="17" t="n">
        <f aca="false">IF(H377="","",RANK(H377,$H$5:$H$430))</f>
        <v>373</v>
      </c>
      <c r="J377" s="24" t="n">
        <v>-0.00839363241678726</v>
      </c>
      <c r="K377" s="19" t="n">
        <v>8.6</v>
      </c>
      <c r="L377" s="17" t="n">
        <f aca="false">IF(K377="","",RANK(K377,$K$5:$K$430))</f>
        <v>387</v>
      </c>
      <c r="M377" s="25" t="n">
        <v>0.0574121679520137</v>
      </c>
      <c r="N377" s="19" t="n">
        <v>18.9</v>
      </c>
      <c r="O377" s="17" t="n">
        <f aca="false">IF(N377="","",RANK(N377,$N$5:$N$430))</f>
        <v>314</v>
      </c>
      <c r="P377" s="17" t="str">
        <f aca="false">IF(AND(N(H377)&gt;=N(K377),N(H377)&gt;=N(N377)),"The Pulse",IF(N(K377)&gt;=N(N377),"The Lens","The Hub"))</f>
        <v>The Hub</v>
      </c>
      <c r="Q377" s="20" t="s">
        <v>74</v>
      </c>
      <c r="R377" s="27" t="s">
        <v>832</v>
      </c>
      <c r="S377" s="17" t="s">
        <v>24</v>
      </c>
    </row>
    <row r="378" customFormat="false" ht="15" hidden="false" customHeight="false" outlineLevel="0" collapsed="false">
      <c r="A378" s="17" t="s">
        <v>709</v>
      </c>
      <c r="B378" s="17" t="s">
        <v>710</v>
      </c>
      <c r="C378" s="17" t="s">
        <v>1504</v>
      </c>
      <c r="D378" s="17" t="s">
        <v>123</v>
      </c>
      <c r="E378" s="18" t="n">
        <v>694040</v>
      </c>
      <c r="F378" s="17" t="s">
        <v>827</v>
      </c>
      <c r="G378" s="23" t="n">
        <v>0.25214685032563</v>
      </c>
      <c r="H378" s="19" t="n">
        <v>13</v>
      </c>
      <c r="I378" s="17" t="n">
        <f aca="false">IF(H378="","",RANK(H378,$H$5:$H$430))</f>
        <v>374</v>
      </c>
      <c r="J378" s="24" t="n">
        <v>0.102893737386579</v>
      </c>
      <c r="K378" s="19" t="n">
        <v>59.3</v>
      </c>
      <c r="L378" s="17" t="n">
        <f aca="false">IF(K378="","",RANK(K378,$K$5:$K$430))</f>
        <v>174</v>
      </c>
      <c r="M378" s="25" t="n">
        <v>0.0953568842037499</v>
      </c>
      <c r="N378" s="19" t="n">
        <v>34.5</v>
      </c>
      <c r="O378" s="17" t="n">
        <f aca="false">IF(N378="","",RANK(N378,$N$5:$N$430))</f>
        <v>254</v>
      </c>
      <c r="P378" s="17" t="str">
        <f aca="false">IF(AND(N(H378)&gt;=N(K378),N(H378)&gt;=N(N378)),"The Pulse",IF(N(K378)&gt;=N(N378),"The Lens","The Hub"))</f>
        <v>The Lens</v>
      </c>
      <c r="Q378" s="20" t="s">
        <v>74</v>
      </c>
      <c r="R378" s="26" t="s">
        <v>822</v>
      </c>
      <c r="S378" s="17" t="s">
        <v>24</v>
      </c>
    </row>
    <row r="379" customFormat="false" ht="15" hidden="false" customHeight="false" outlineLevel="0" collapsed="false">
      <c r="A379" s="17" t="s">
        <v>1505</v>
      </c>
      <c r="B379" s="17" t="s">
        <v>1506</v>
      </c>
      <c r="C379" s="17" t="s">
        <v>1507</v>
      </c>
      <c r="D379" s="17" t="s">
        <v>72</v>
      </c>
      <c r="E379" s="18" t="n">
        <v>99620</v>
      </c>
      <c r="F379" s="17" t="s">
        <v>821</v>
      </c>
      <c r="G379" s="23" t="n">
        <v>0.250682593856655</v>
      </c>
      <c r="H379" s="19" t="n">
        <v>12.9</v>
      </c>
      <c r="I379" s="17" t="n">
        <f aca="false">IF(H379="","",RANK(H379,$H$5:$H$430))</f>
        <v>375</v>
      </c>
      <c r="J379" s="24" t="n">
        <v>-0.0233333333333333</v>
      </c>
      <c r="K379" s="19" t="n">
        <v>5.5</v>
      </c>
      <c r="L379" s="17" t="n">
        <f aca="false">IF(K379="","",RANK(K379,$K$5:$K$430))</f>
        <v>405</v>
      </c>
      <c r="M379" s="28" t="s">
        <v>857</v>
      </c>
      <c r="N379" s="19"/>
      <c r="O379" s="17" t="str">
        <f aca="false">IF(N379="","",RANK(N379,$N$5:$N$430))</f>
        <v/>
      </c>
      <c r="P379" s="17" t="str">
        <f aca="false">IF(AND(N(H379)&gt;=N(K379),N(H379)&gt;=N(N379)),"The Pulse",IF(N(K379)&gt;=N(N379),"The Lens","The Hub"))</f>
        <v>The Pulse</v>
      </c>
      <c r="Q379" s="20" t="s">
        <v>74</v>
      </c>
      <c r="R379" s="27" t="s">
        <v>832</v>
      </c>
      <c r="S379" s="17" t="s">
        <v>24</v>
      </c>
    </row>
    <row r="380" customFormat="false" ht="15" hidden="false" customHeight="false" outlineLevel="0" collapsed="false">
      <c r="A380" s="17" t="s">
        <v>643</v>
      </c>
      <c r="B380" s="17" t="s">
        <v>644</v>
      </c>
      <c r="C380" s="17" t="s">
        <v>1508</v>
      </c>
      <c r="D380" s="17" t="s">
        <v>86</v>
      </c>
      <c r="E380" s="18" t="n">
        <v>1420030</v>
      </c>
      <c r="F380" s="17" t="s">
        <v>935</v>
      </c>
      <c r="G380" s="23" t="n">
        <v>0.249268677422308</v>
      </c>
      <c r="H380" s="19" t="n">
        <v>12.7</v>
      </c>
      <c r="I380" s="17" t="n">
        <f aca="false">IF(H380="","",RANK(H380,$H$5:$H$430))</f>
        <v>376</v>
      </c>
      <c r="J380" s="24" t="n">
        <v>0.108541050281423</v>
      </c>
      <c r="K380" s="19" t="n">
        <v>64.7</v>
      </c>
      <c r="L380" s="17" t="n">
        <f aca="false">IF(K380="","",RANK(K380,$K$5:$K$430))</f>
        <v>152</v>
      </c>
      <c r="M380" s="25" t="n">
        <v>0.0156597342291162</v>
      </c>
      <c r="N380" s="19" t="n">
        <v>4</v>
      </c>
      <c r="O380" s="17" t="n">
        <f aca="false">IF(N380="","",RANK(N380,$N$5:$N$430))</f>
        <v>373</v>
      </c>
      <c r="P380" s="17" t="str">
        <f aca="false">IF(AND(N(H380)&gt;=N(K380),N(H380)&gt;=N(N380)),"The Pulse",IF(N(K380)&gt;=N(N380),"The Lens","The Hub"))</f>
        <v>The Lens</v>
      </c>
      <c r="Q380" s="20" t="s">
        <v>74</v>
      </c>
      <c r="R380" s="26" t="s">
        <v>822</v>
      </c>
      <c r="S380" s="17" t="s">
        <v>24</v>
      </c>
    </row>
    <row r="381" customFormat="false" ht="15" hidden="false" customHeight="false" outlineLevel="0" collapsed="false">
      <c r="A381" s="17" t="s">
        <v>793</v>
      </c>
      <c r="B381" s="17" t="s">
        <v>794</v>
      </c>
      <c r="C381" s="17" t="s">
        <v>1509</v>
      </c>
      <c r="D381" s="17" t="s">
        <v>123</v>
      </c>
      <c r="E381" s="18" t="n">
        <v>149030</v>
      </c>
      <c r="F381" s="17" t="s">
        <v>827</v>
      </c>
      <c r="G381" s="23" t="n">
        <v>0.247909816815406</v>
      </c>
      <c r="H381" s="19" t="n">
        <v>12.5</v>
      </c>
      <c r="I381" s="17" t="n">
        <f aca="false">IF(H381="","",RANK(H381,$H$5:$H$430))</f>
        <v>377</v>
      </c>
      <c r="J381" s="24" t="n">
        <v>0.173095088161209</v>
      </c>
      <c r="K381" s="19" t="n">
        <v>85.7</v>
      </c>
      <c r="L381" s="17" t="n">
        <f aca="false">IF(K381="","",RANK(K381,$K$5:$K$430))</f>
        <v>62</v>
      </c>
      <c r="M381" s="25" t="n">
        <v>0.0456273764258555</v>
      </c>
      <c r="N381" s="19" t="n">
        <v>14.5</v>
      </c>
      <c r="O381" s="17" t="n">
        <f aca="false">IF(N381="","",RANK(N381,$N$5:$N$430))</f>
        <v>332</v>
      </c>
      <c r="P381" s="17" t="str">
        <f aca="false">IF(AND(N(H381)&gt;=N(K381),N(H381)&gt;=N(N381)),"The Pulse",IF(N(K381)&gt;=N(N381),"The Lens","The Hub"))</f>
        <v>The Lens</v>
      </c>
      <c r="Q381" s="20" t="s">
        <v>74</v>
      </c>
      <c r="R381" s="26" t="s">
        <v>822</v>
      </c>
      <c r="S381" s="17" t="s">
        <v>24</v>
      </c>
    </row>
    <row r="382" customFormat="false" ht="15" hidden="false" customHeight="false" outlineLevel="0" collapsed="false">
      <c r="A382" s="17" t="s">
        <v>423</v>
      </c>
      <c r="B382" s="17" t="s">
        <v>424</v>
      </c>
      <c r="C382" s="17" t="s">
        <v>1510</v>
      </c>
      <c r="D382" s="17" t="s">
        <v>86</v>
      </c>
      <c r="E382" s="18" t="n">
        <v>226611</v>
      </c>
      <c r="F382" s="17" t="s">
        <v>827</v>
      </c>
      <c r="G382" s="23" t="n">
        <v>0.246828265176889</v>
      </c>
      <c r="H382" s="19" t="n">
        <v>12.3</v>
      </c>
      <c r="I382" s="17" t="n">
        <f aca="false">IF(H382="","",RANK(H382,$H$5:$H$430))</f>
        <v>378</v>
      </c>
      <c r="J382" s="24" t="n">
        <v>-0.126558127702875</v>
      </c>
      <c r="K382" s="19" t="n">
        <v>0.7</v>
      </c>
      <c r="L382" s="17" t="n">
        <f aca="false">IF(K382="","",RANK(K382,$K$5:$K$430))</f>
        <v>424</v>
      </c>
      <c r="M382" s="25" t="n">
        <v>0.0812710911136108</v>
      </c>
      <c r="N382" s="19" t="n">
        <v>26.1</v>
      </c>
      <c r="O382" s="17" t="n">
        <f aca="false">IF(N382="","",RANK(N382,$N$5:$N$430))</f>
        <v>287</v>
      </c>
      <c r="P382" s="17" t="str">
        <f aca="false">IF(AND(N(H382)&gt;=N(K382),N(H382)&gt;=N(N382)),"The Pulse",IF(N(K382)&gt;=N(N382),"The Lens","The Hub"))</f>
        <v>The Hub</v>
      </c>
      <c r="Q382" s="21" t="s">
        <v>79</v>
      </c>
      <c r="R382" s="26" t="s">
        <v>822</v>
      </c>
      <c r="S382" s="17" t="s">
        <v>22</v>
      </c>
    </row>
    <row r="383" customFormat="false" ht="15" hidden="false" customHeight="false" outlineLevel="0" collapsed="false">
      <c r="A383" s="17" t="s">
        <v>1511</v>
      </c>
      <c r="B383" s="17" t="s">
        <v>1512</v>
      </c>
      <c r="C383" s="17" t="s">
        <v>1513</v>
      </c>
      <c r="D383" s="17" t="s">
        <v>82</v>
      </c>
      <c r="E383" s="18" t="n">
        <v>1281870</v>
      </c>
      <c r="F383" s="17" t="s">
        <v>935</v>
      </c>
      <c r="G383" s="23" t="n">
        <v>0.246782435036314</v>
      </c>
      <c r="H383" s="19" t="n">
        <v>12.1</v>
      </c>
      <c r="I383" s="17" t="n">
        <f aca="false">IF(H383="","",RANK(H383,$H$5:$H$430))</f>
        <v>379</v>
      </c>
      <c r="J383" s="24" t="n">
        <v>0.155222912141885</v>
      </c>
      <c r="K383" s="19" t="n">
        <v>88.2</v>
      </c>
      <c r="L383" s="17" t="n">
        <f aca="false">IF(K383="","",RANK(K383,$K$5:$K$430))</f>
        <v>51</v>
      </c>
      <c r="M383" s="25" t="n">
        <v>0.148964896489649</v>
      </c>
      <c r="N383" s="19" t="n">
        <v>57.1</v>
      </c>
      <c r="O383" s="17" t="n">
        <f aca="false">IF(N383="","",RANK(N383,$N$5:$N$430))</f>
        <v>163</v>
      </c>
      <c r="P383" s="17" t="str">
        <f aca="false">IF(AND(N(H383)&gt;=N(K383),N(H383)&gt;=N(N383)),"The Pulse",IF(N(K383)&gt;=N(N383),"The Lens","The Hub"))</f>
        <v>The Lens</v>
      </c>
      <c r="Q383" s="20" t="s">
        <v>74</v>
      </c>
      <c r="R383" s="27" t="s">
        <v>832</v>
      </c>
      <c r="S383" s="17" t="s">
        <v>24</v>
      </c>
    </row>
    <row r="384" customFormat="false" ht="15" hidden="false" customHeight="false" outlineLevel="0" collapsed="false">
      <c r="A384" s="17" t="s">
        <v>1514</v>
      </c>
      <c r="B384" s="17" t="s">
        <v>1515</v>
      </c>
      <c r="C384" s="17" t="s">
        <v>1516</v>
      </c>
      <c r="D384" s="17" t="s">
        <v>98</v>
      </c>
      <c r="E384" s="18" t="n">
        <v>5920</v>
      </c>
      <c r="F384" s="17" t="s">
        <v>825</v>
      </c>
      <c r="G384" s="23" t="n">
        <v>0.241891891891892</v>
      </c>
      <c r="H384" s="19" t="n">
        <v>11.9</v>
      </c>
      <c r="I384" s="17" t="n">
        <f aca="false">IF(H384="","",RANK(H384,$H$5:$H$430))</f>
        <v>380</v>
      </c>
      <c r="J384" s="24" t="n">
        <v>0.0467764540995095</v>
      </c>
      <c r="K384" s="19" t="n">
        <v>18.3</v>
      </c>
      <c r="L384" s="17" t="n">
        <f aca="false">IF(K384="","",RANK(K384,$K$5:$K$430))</f>
        <v>344</v>
      </c>
      <c r="M384" s="25" t="n">
        <v>0.0769230769230769</v>
      </c>
      <c r="N384" s="19" t="n">
        <v>24.7</v>
      </c>
      <c r="O384" s="17" t="n">
        <f aca="false">IF(N384="","",RANK(N384,$N$5:$N$430))</f>
        <v>293</v>
      </c>
      <c r="P384" s="17" t="str">
        <f aca="false">IF(AND(N(H384)&gt;=N(K384),N(H384)&gt;=N(N384)),"The Pulse",IF(N(K384)&gt;=N(N384),"The Lens","The Hub"))</f>
        <v>The Hub</v>
      </c>
      <c r="Q384" s="22" t="s">
        <v>109</v>
      </c>
      <c r="R384" s="27" t="s">
        <v>832</v>
      </c>
      <c r="S384" s="17" t="s">
        <v>155</v>
      </c>
    </row>
    <row r="385" customFormat="false" ht="15" hidden="false" customHeight="false" outlineLevel="0" collapsed="false">
      <c r="A385" s="17" t="s">
        <v>1517</v>
      </c>
      <c r="B385" s="17" t="s">
        <v>1518</v>
      </c>
      <c r="C385" s="17" t="s">
        <v>1519</v>
      </c>
      <c r="D385" s="17" t="s">
        <v>77</v>
      </c>
      <c r="E385" s="18" t="n">
        <v>64690</v>
      </c>
      <c r="F385" s="17" t="s">
        <v>821</v>
      </c>
      <c r="G385" s="23" t="n">
        <v>0.241706600711084</v>
      </c>
      <c r="H385" s="19" t="n">
        <v>11.7</v>
      </c>
      <c r="I385" s="17" t="n">
        <f aca="false">IF(H385="","",RANK(H385,$H$5:$H$430))</f>
        <v>381</v>
      </c>
      <c r="J385" s="24" t="n">
        <v>0.0386962106615286</v>
      </c>
      <c r="K385" s="19" t="n">
        <v>21.6</v>
      </c>
      <c r="L385" s="17" t="n">
        <f aca="false">IF(K385="","",RANK(K385,$K$5:$K$430))</f>
        <v>328</v>
      </c>
      <c r="M385" s="25" t="n">
        <v>0.142367066895369</v>
      </c>
      <c r="N385" s="19" t="n">
        <v>54.5</v>
      </c>
      <c r="O385" s="17" t="n">
        <f aca="false">IF(N385="","",RANK(N385,$N$5:$N$430))</f>
        <v>171</v>
      </c>
      <c r="P385" s="17" t="str">
        <f aca="false">IF(AND(N(H385)&gt;=N(K385),N(H385)&gt;=N(N385)),"The Pulse",IF(N(K385)&gt;=N(N385),"The Lens","The Hub"))</f>
        <v>The Hub</v>
      </c>
      <c r="Q385" s="20" t="s">
        <v>74</v>
      </c>
      <c r="R385" s="27" t="s">
        <v>832</v>
      </c>
      <c r="S385" s="17" t="s">
        <v>24</v>
      </c>
    </row>
    <row r="386" customFormat="false" ht="15" hidden="false" customHeight="false" outlineLevel="0" collapsed="false">
      <c r="A386" s="17" t="s">
        <v>545</v>
      </c>
      <c r="B386" s="17" t="s">
        <v>546</v>
      </c>
      <c r="C386" s="17" t="s">
        <v>1520</v>
      </c>
      <c r="D386" s="17" t="s">
        <v>123</v>
      </c>
      <c r="E386" s="18" t="n">
        <v>1100</v>
      </c>
      <c r="F386" s="17" t="s">
        <v>825</v>
      </c>
      <c r="G386" s="23" t="n">
        <v>0.236363636363636</v>
      </c>
      <c r="H386" s="19" t="n">
        <v>11.3</v>
      </c>
      <c r="I386" s="17" t="n">
        <f aca="false">IF(H386="","",RANK(H386,$H$5:$H$430))</f>
        <v>382</v>
      </c>
      <c r="J386" s="24" t="n">
        <v>0.0635673624288425</v>
      </c>
      <c r="K386" s="19" t="n">
        <v>29.6</v>
      </c>
      <c r="L386" s="17" t="n">
        <f aca="false">IF(K386="","",RANK(K386,$K$5:$K$430))</f>
        <v>291</v>
      </c>
      <c r="M386" s="25" t="n">
        <v>0</v>
      </c>
      <c r="N386" s="19" t="n">
        <v>1.3</v>
      </c>
      <c r="O386" s="17" t="n">
        <f aca="false">IF(N386="","",RANK(N386,$N$5:$N$430))</f>
        <v>378</v>
      </c>
      <c r="P386" s="17" t="str">
        <f aca="false">IF(AND(N(H386)&gt;=N(K386),N(H386)&gt;=N(N386)),"The Pulse",IF(N(K386)&gt;=N(N386),"The Lens","The Hub"))</f>
        <v>The Lens</v>
      </c>
      <c r="Q386" s="21" t="s">
        <v>79</v>
      </c>
      <c r="R386" s="26" t="s">
        <v>822</v>
      </c>
      <c r="S386" s="17" t="s">
        <v>88</v>
      </c>
    </row>
    <row r="387" customFormat="false" ht="15" hidden="false" customHeight="false" outlineLevel="0" collapsed="false">
      <c r="A387" s="17" t="s">
        <v>567</v>
      </c>
      <c r="B387" s="17" t="s">
        <v>568</v>
      </c>
      <c r="C387" s="17" t="s">
        <v>1521</v>
      </c>
      <c r="D387" s="17" t="s">
        <v>123</v>
      </c>
      <c r="E387" s="18" t="n">
        <v>50870</v>
      </c>
      <c r="F387" s="17" t="s">
        <v>821</v>
      </c>
      <c r="G387" s="23" t="n">
        <v>0.232494594063299</v>
      </c>
      <c r="H387" s="19" t="n">
        <v>11.2</v>
      </c>
      <c r="I387" s="17" t="n">
        <f aca="false">IF(H387="","",RANK(H387,$H$5:$H$430))</f>
        <v>383</v>
      </c>
      <c r="J387" s="24" t="n">
        <v>0.184400465657742</v>
      </c>
      <c r="K387" s="19" t="n">
        <v>87.6</v>
      </c>
      <c r="L387" s="17" t="n">
        <f aca="false">IF(K387="","",RANK(K387,$K$5:$K$430))</f>
        <v>54</v>
      </c>
      <c r="M387" s="25" t="n">
        <v>0.288184438040346</v>
      </c>
      <c r="N387" s="19" t="n">
        <v>89</v>
      </c>
      <c r="O387" s="17" t="n">
        <f aca="false">IF(N387="","",RANK(N387,$N$5:$N$430))</f>
        <v>42</v>
      </c>
      <c r="P387" s="17" t="str">
        <f aca="false">IF(AND(N(H387)&gt;=N(K387),N(H387)&gt;=N(N387)),"The Pulse",IF(N(K387)&gt;=N(N387),"The Lens","The Hub"))</f>
        <v>The Hub</v>
      </c>
      <c r="Q387" s="20" t="s">
        <v>74</v>
      </c>
      <c r="R387" s="26" t="s">
        <v>822</v>
      </c>
      <c r="S387" s="17" t="s">
        <v>24</v>
      </c>
    </row>
    <row r="388" customFormat="false" ht="15" hidden="false" customHeight="false" outlineLevel="0" collapsed="false">
      <c r="A388" s="17" t="s">
        <v>619</v>
      </c>
      <c r="B388" s="17" t="s">
        <v>620</v>
      </c>
      <c r="C388" s="17" t="s">
        <v>1522</v>
      </c>
      <c r="D388" s="17" t="s">
        <v>115</v>
      </c>
      <c r="E388" s="18" t="n">
        <v>13310</v>
      </c>
      <c r="F388" s="17" t="s">
        <v>821</v>
      </c>
      <c r="G388" s="23" t="n">
        <v>0.226070623591285</v>
      </c>
      <c r="H388" s="19" t="n">
        <v>10.6</v>
      </c>
      <c r="I388" s="17" t="n">
        <f aca="false">IF(H388="","",RANK(H388,$H$5:$H$430))</f>
        <v>384</v>
      </c>
      <c r="J388" s="24" t="n">
        <v>0.0597133757961783</v>
      </c>
      <c r="K388" s="19" t="n">
        <v>31.6</v>
      </c>
      <c r="L388" s="17" t="n">
        <f aca="false">IF(K388="","",RANK(K388,$K$5:$K$430))</f>
        <v>284</v>
      </c>
      <c r="M388" s="25" t="n">
        <v>0.120300751879699</v>
      </c>
      <c r="N388" s="19" t="n">
        <v>45</v>
      </c>
      <c r="O388" s="17" t="n">
        <f aca="false">IF(N388="","",RANK(N388,$N$5:$N$430))</f>
        <v>211</v>
      </c>
      <c r="P388" s="17" t="str">
        <f aca="false">IF(AND(N(H388)&gt;=N(K388),N(H388)&gt;=N(N388)),"The Pulse",IF(N(K388)&gt;=N(N388),"The Lens","The Hub"))</f>
        <v>The Hub</v>
      </c>
      <c r="Q388" s="20" t="s">
        <v>74</v>
      </c>
      <c r="R388" s="26" t="s">
        <v>822</v>
      </c>
      <c r="S388" s="17" t="s">
        <v>24</v>
      </c>
    </row>
    <row r="389" customFormat="false" ht="15" hidden="false" customHeight="false" outlineLevel="0" collapsed="false">
      <c r="A389" s="17" t="s">
        <v>797</v>
      </c>
      <c r="B389" s="17" t="s">
        <v>798</v>
      </c>
      <c r="C389" s="17" t="s">
        <v>1523</v>
      </c>
      <c r="D389" s="17" t="s">
        <v>98</v>
      </c>
      <c r="E389" s="18" t="n">
        <v>36450</v>
      </c>
      <c r="F389" s="17" t="s">
        <v>821</v>
      </c>
      <c r="G389" s="23" t="n">
        <v>0.223429355281207</v>
      </c>
      <c r="H389" s="19" t="n">
        <v>10.4</v>
      </c>
      <c r="I389" s="17" t="n">
        <f aca="false">IF(H389="","",RANK(H389,$H$5:$H$430))</f>
        <v>385</v>
      </c>
      <c r="J389" s="24" t="n">
        <v>0.0969003912127596</v>
      </c>
      <c r="K389" s="19" t="n">
        <v>49.5</v>
      </c>
      <c r="L389" s="17" t="n">
        <f aca="false">IF(K389="","",RANK(K389,$K$5:$K$430))</f>
        <v>217</v>
      </c>
      <c r="M389" s="28" t="s">
        <v>857</v>
      </c>
      <c r="N389" s="19"/>
      <c r="O389" s="17" t="str">
        <f aca="false">IF(N389="","",RANK(N389,$N$5:$N$430))</f>
        <v/>
      </c>
      <c r="P389" s="17" t="str">
        <f aca="false">IF(AND(N(H389)&gt;=N(K389),N(H389)&gt;=N(N389)),"The Pulse",IF(N(K389)&gt;=N(N389),"The Lens","The Hub"))</f>
        <v>The Lens</v>
      </c>
      <c r="Q389" s="20" t="s">
        <v>74</v>
      </c>
      <c r="R389" s="26" t="s">
        <v>822</v>
      </c>
      <c r="S389" s="17" t="s">
        <v>24</v>
      </c>
    </row>
    <row r="390" customFormat="false" ht="15" hidden="false" customHeight="false" outlineLevel="0" collapsed="false">
      <c r="A390" s="17" t="s">
        <v>571</v>
      </c>
      <c r="B390" s="17" t="s">
        <v>572</v>
      </c>
      <c r="C390" s="17" t="s">
        <v>1524</v>
      </c>
      <c r="D390" s="17" t="s">
        <v>115</v>
      </c>
      <c r="E390" s="18" t="n">
        <v>3080</v>
      </c>
      <c r="F390" s="17" t="s">
        <v>825</v>
      </c>
      <c r="G390" s="23" t="n">
        <v>0.218831168831169</v>
      </c>
      <c r="H390" s="19" t="n">
        <v>10.2</v>
      </c>
      <c r="I390" s="17" t="n">
        <f aca="false">IF(H390="","",RANK(H390,$H$5:$H$430))</f>
        <v>386</v>
      </c>
      <c r="J390" s="24" t="n">
        <v>0.131617647058824</v>
      </c>
      <c r="K390" s="19" t="n">
        <v>74.6</v>
      </c>
      <c r="L390" s="17" t="n">
        <f aca="false">IF(K390="","",RANK(K390,$K$5:$K$430))</f>
        <v>109</v>
      </c>
      <c r="M390" s="25" t="n">
        <v>0.142857142857143</v>
      </c>
      <c r="N390" s="19" t="n">
        <v>54.9</v>
      </c>
      <c r="O390" s="17" t="n">
        <f aca="false">IF(N390="","",RANK(N390,$N$5:$N$430))</f>
        <v>170</v>
      </c>
      <c r="P390" s="17" t="str">
        <f aca="false">IF(AND(N(H390)&gt;=N(K390),N(H390)&gt;=N(N390)),"The Pulse",IF(N(K390)&gt;=N(N390),"The Lens","The Hub"))</f>
        <v>The Lens</v>
      </c>
      <c r="Q390" s="21" t="s">
        <v>79</v>
      </c>
      <c r="R390" s="26" t="s">
        <v>822</v>
      </c>
      <c r="S390" s="17" t="s">
        <v>88</v>
      </c>
    </row>
    <row r="391" customFormat="false" ht="15" hidden="false" customHeight="false" outlineLevel="0" collapsed="false">
      <c r="A391" s="17" t="s">
        <v>719</v>
      </c>
      <c r="B391" s="17" t="s">
        <v>720</v>
      </c>
      <c r="C391" s="17" t="s">
        <v>1525</v>
      </c>
      <c r="D391" s="17" t="s">
        <v>98</v>
      </c>
      <c r="E391" s="18" t="n">
        <v>38700</v>
      </c>
      <c r="F391" s="17" t="s">
        <v>821</v>
      </c>
      <c r="G391" s="23" t="n">
        <v>0.216692506459948</v>
      </c>
      <c r="H391" s="19" t="n">
        <v>10</v>
      </c>
      <c r="I391" s="17" t="n">
        <f aca="false">IF(H391="","",RANK(H391,$H$5:$H$430))</f>
        <v>387</v>
      </c>
      <c r="J391" s="24" t="n">
        <v>-0.0150165436497837</v>
      </c>
      <c r="K391" s="19" t="n">
        <v>6.9</v>
      </c>
      <c r="L391" s="17" t="n">
        <f aca="false">IF(K391="","",RANK(K391,$K$5:$K$430))</f>
        <v>397</v>
      </c>
      <c r="M391" s="25" t="n">
        <v>0.0298507462686567</v>
      </c>
      <c r="N391" s="19" t="n">
        <v>8.2</v>
      </c>
      <c r="O391" s="17" t="n">
        <f aca="false">IF(N391="","",RANK(N391,$N$5:$N$430))</f>
        <v>355</v>
      </c>
      <c r="P391" s="17" t="str">
        <f aca="false">IF(AND(N(H391)&gt;=N(K391),N(H391)&gt;=N(N391)),"The Pulse",IF(N(K391)&gt;=N(N391),"The Lens","The Hub"))</f>
        <v>The Pulse</v>
      </c>
      <c r="Q391" s="21" t="s">
        <v>79</v>
      </c>
      <c r="R391" s="26" t="s">
        <v>822</v>
      </c>
      <c r="S391" s="17" t="s">
        <v>88</v>
      </c>
    </row>
    <row r="392" customFormat="false" ht="15" hidden="false" customHeight="false" outlineLevel="0" collapsed="false">
      <c r="A392" s="17" t="s">
        <v>669</v>
      </c>
      <c r="B392" s="17" t="s">
        <v>670</v>
      </c>
      <c r="C392" s="17" t="s">
        <v>1526</v>
      </c>
      <c r="D392" s="17" t="s">
        <v>86</v>
      </c>
      <c r="E392" s="18" t="n">
        <v>8363</v>
      </c>
      <c r="F392" s="17" t="s">
        <v>825</v>
      </c>
      <c r="G392" s="23" t="n">
        <v>0.206265694128901</v>
      </c>
      <c r="H392" s="19" t="n">
        <v>9.8</v>
      </c>
      <c r="I392" s="17" t="n">
        <f aca="false">IF(H392="","",RANK(H392,$H$5:$H$430))</f>
        <v>388</v>
      </c>
      <c r="J392" s="24" t="n">
        <v>0.0485205616850552</v>
      </c>
      <c r="K392" s="19" t="n">
        <v>19.7</v>
      </c>
      <c r="L392" s="17" t="n">
        <f aca="false">IF(K392="","",RANK(K392,$K$5:$K$430))</f>
        <v>338</v>
      </c>
      <c r="M392" s="25" t="n">
        <v>0.246031746031746</v>
      </c>
      <c r="N392" s="19" t="n">
        <v>81.6</v>
      </c>
      <c r="O392" s="17" t="n">
        <f aca="false">IF(N392="","",RANK(N392,$N$5:$N$430))</f>
        <v>73</v>
      </c>
      <c r="P392" s="17" t="str">
        <f aca="false">IF(AND(N(H392)&gt;=N(K392),N(H392)&gt;=N(N392)),"The Pulse",IF(N(K392)&gt;=N(N392),"The Lens","The Hub"))</f>
        <v>The Hub</v>
      </c>
      <c r="Q392" s="21" t="s">
        <v>79</v>
      </c>
      <c r="R392" s="26" t="s">
        <v>822</v>
      </c>
      <c r="S392" s="17" t="s">
        <v>22</v>
      </c>
    </row>
    <row r="393" customFormat="false" ht="15" hidden="false" customHeight="false" outlineLevel="0" collapsed="false">
      <c r="A393" s="17" t="s">
        <v>681</v>
      </c>
      <c r="B393" s="17" t="s">
        <v>682</v>
      </c>
      <c r="C393" s="17" t="s">
        <v>1527</v>
      </c>
      <c r="D393" s="17" t="s">
        <v>98</v>
      </c>
      <c r="E393" s="18" t="n">
        <v>44360</v>
      </c>
      <c r="F393" s="17" t="s">
        <v>821</v>
      </c>
      <c r="G393" s="23" t="n">
        <v>0.204914337240757</v>
      </c>
      <c r="H393" s="19" t="n">
        <v>9.5</v>
      </c>
      <c r="I393" s="17" t="n">
        <f aca="false">IF(H393="","",RANK(H393,$H$5:$H$430))</f>
        <v>389</v>
      </c>
      <c r="J393" s="24" t="n">
        <v>0.0622605363984674</v>
      </c>
      <c r="K393" s="19" t="n">
        <v>34.4</v>
      </c>
      <c r="L393" s="17" t="n">
        <f aca="false">IF(K393="","",RANK(K393,$K$5:$K$430))</f>
        <v>273</v>
      </c>
      <c r="M393" s="25" t="n">
        <v>0.143487858719647</v>
      </c>
      <c r="N393" s="19" t="n">
        <v>55.5</v>
      </c>
      <c r="O393" s="17" t="n">
        <f aca="false">IF(N393="","",RANK(N393,$N$5:$N$430))</f>
        <v>168</v>
      </c>
      <c r="P393" s="17" t="str">
        <f aca="false">IF(AND(N(H393)&gt;=N(K393),N(H393)&gt;=N(N393)),"The Pulse",IF(N(K393)&gt;=N(N393),"The Lens","The Hub"))</f>
        <v>The Hub</v>
      </c>
      <c r="Q393" s="20" t="s">
        <v>74</v>
      </c>
      <c r="R393" s="26" t="s">
        <v>822</v>
      </c>
      <c r="S393" s="17" t="s">
        <v>24</v>
      </c>
    </row>
    <row r="394" customFormat="false" ht="15" hidden="false" customHeight="false" outlineLevel="0" collapsed="false">
      <c r="A394" s="17" t="s">
        <v>727</v>
      </c>
      <c r="B394" s="17" t="s">
        <v>728</v>
      </c>
      <c r="C394" s="17" t="s">
        <v>1528</v>
      </c>
      <c r="D394" s="17" t="s">
        <v>86</v>
      </c>
      <c r="E394" s="18" t="n">
        <v>12800</v>
      </c>
      <c r="F394" s="17" t="s">
        <v>821</v>
      </c>
      <c r="G394" s="23" t="n">
        <v>0.204765625</v>
      </c>
      <c r="H394" s="19" t="n">
        <v>9.3</v>
      </c>
      <c r="I394" s="17" t="n">
        <f aca="false">IF(H394="","",RANK(H394,$H$5:$H$430))</f>
        <v>390</v>
      </c>
      <c r="J394" s="24" t="n">
        <v>-0.0383170548459805</v>
      </c>
      <c r="K394" s="19" t="n">
        <v>2.7</v>
      </c>
      <c r="L394" s="17" t="n">
        <f aca="false">IF(K394="","",RANK(K394,$K$5:$K$430))</f>
        <v>417</v>
      </c>
      <c r="M394" s="25" t="n">
        <v>0</v>
      </c>
      <c r="N394" s="19" t="n">
        <v>1.3</v>
      </c>
      <c r="O394" s="17" t="n">
        <f aca="false">IF(N394="","",RANK(N394,$N$5:$N$430))</f>
        <v>378</v>
      </c>
      <c r="P394" s="17" t="str">
        <f aca="false">IF(AND(N(H394)&gt;=N(K394),N(H394)&gt;=N(N394)),"The Pulse",IF(N(K394)&gt;=N(N394),"The Lens","The Hub"))</f>
        <v>The Pulse</v>
      </c>
      <c r="Q394" s="20" t="s">
        <v>74</v>
      </c>
      <c r="R394" s="26" t="s">
        <v>822</v>
      </c>
      <c r="S394" s="17" t="s">
        <v>24</v>
      </c>
    </row>
    <row r="395" customFormat="false" ht="15" hidden="false" customHeight="false" outlineLevel="0" collapsed="false">
      <c r="A395" s="17" t="s">
        <v>1529</v>
      </c>
      <c r="B395" s="17" t="s">
        <v>1530</v>
      </c>
      <c r="C395" s="17" t="s">
        <v>1531</v>
      </c>
      <c r="D395" s="17" t="s">
        <v>98</v>
      </c>
      <c r="E395" s="18" t="n">
        <v>62980</v>
      </c>
      <c r="F395" s="17" t="s">
        <v>821</v>
      </c>
      <c r="G395" s="23" t="n">
        <v>0.203667831057479</v>
      </c>
      <c r="H395" s="19" t="n">
        <v>8.9</v>
      </c>
      <c r="I395" s="17" t="n">
        <f aca="false">IF(H395="","",RANK(H395,$H$5:$H$430))</f>
        <v>391</v>
      </c>
      <c r="J395" s="24" t="n">
        <v>0.199619047619048</v>
      </c>
      <c r="K395" s="19" t="n">
        <v>91.1</v>
      </c>
      <c r="L395" s="17" t="n">
        <f aca="false">IF(K395="","",RANK(K395,$K$5:$K$430))</f>
        <v>40</v>
      </c>
      <c r="M395" s="25" t="n">
        <v>0.323699421965318</v>
      </c>
      <c r="N395" s="19" t="n">
        <v>92.8</v>
      </c>
      <c r="O395" s="17" t="n">
        <f aca="false">IF(N395="","",RANK(N395,$N$5:$N$430))</f>
        <v>28</v>
      </c>
      <c r="P395" s="17" t="str">
        <f aca="false">IF(AND(N(H395)&gt;=N(K395),N(H395)&gt;=N(N395)),"The Pulse",IF(N(K395)&gt;=N(N395),"The Lens","The Hub"))</f>
        <v>The Hub</v>
      </c>
      <c r="Q395" s="21" t="s">
        <v>79</v>
      </c>
      <c r="R395" s="27" t="s">
        <v>832</v>
      </c>
      <c r="S395" s="17" t="s">
        <v>88</v>
      </c>
    </row>
    <row r="396" customFormat="false" ht="15" hidden="false" customHeight="false" outlineLevel="0" collapsed="false">
      <c r="A396" s="17" t="s">
        <v>759</v>
      </c>
      <c r="B396" s="17" t="s">
        <v>760</v>
      </c>
      <c r="C396" s="17" t="s">
        <v>1532</v>
      </c>
      <c r="D396" s="17" t="s">
        <v>77</v>
      </c>
      <c r="E396" s="18" t="n">
        <v>29430</v>
      </c>
      <c r="F396" s="17" t="s">
        <v>821</v>
      </c>
      <c r="G396" s="23" t="n">
        <v>0.202514441046551</v>
      </c>
      <c r="H396" s="19" t="n">
        <v>8.7</v>
      </c>
      <c r="I396" s="17" t="n">
        <f aca="false">IF(H396="","",RANK(H396,$H$5:$H$430))</f>
        <v>392</v>
      </c>
      <c r="J396" s="24" t="n">
        <v>0.122270742358079</v>
      </c>
      <c r="K396" s="19" t="n">
        <v>66</v>
      </c>
      <c r="L396" s="17" t="n">
        <f aca="false">IF(K396="","",RANK(K396,$K$5:$K$430))</f>
        <v>145</v>
      </c>
      <c r="M396" s="25" t="n">
        <v>0.0135135135135135</v>
      </c>
      <c r="N396" s="19" t="n">
        <v>3.5</v>
      </c>
      <c r="O396" s="17" t="n">
        <f aca="false">IF(N396="","",RANK(N396,$N$5:$N$430))</f>
        <v>374</v>
      </c>
      <c r="P396" s="17" t="str">
        <f aca="false">IF(AND(N(H396)&gt;=N(K396),N(H396)&gt;=N(N396)),"The Pulse",IF(N(K396)&gt;=N(N396),"The Lens","The Hub"))</f>
        <v>The Lens</v>
      </c>
      <c r="Q396" s="22" t="s">
        <v>109</v>
      </c>
      <c r="R396" s="26" t="s">
        <v>822</v>
      </c>
      <c r="S396" s="17" t="s">
        <v>155</v>
      </c>
    </row>
    <row r="397" customFormat="false" ht="15" hidden="false" customHeight="false" outlineLevel="0" collapsed="false">
      <c r="A397" s="17" t="s">
        <v>1533</v>
      </c>
      <c r="B397" s="17" t="s">
        <v>1534</v>
      </c>
      <c r="C397" s="17" t="s">
        <v>1535</v>
      </c>
      <c r="D397" s="17" t="s">
        <v>123</v>
      </c>
      <c r="E397" s="18" t="n">
        <v>88250</v>
      </c>
      <c r="F397" s="17" t="s">
        <v>821</v>
      </c>
      <c r="G397" s="23" t="n">
        <v>0.200351274787535</v>
      </c>
      <c r="H397" s="19" t="n">
        <v>8.5</v>
      </c>
      <c r="I397" s="17" t="n">
        <f aca="false">IF(H397="","",RANK(H397,$H$5:$H$430))</f>
        <v>393</v>
      </c>
      <c r="J397" s="24" t="n">
        <v>0.117937674182924</v>
      </c>
      <c r="K397" s="19" t="n">
        <v>61.9</v>
      </c>
      <c r="L397" s="17" t="n">
        <f aca="false">IF(K397="","",RANK(K397,$K$5:$K$430))</f>
        <v>163</v>
      </c>
      <c r="M397" s="25" t="n">
        <v>0.0204520990312164</v>
      </c>
      <c r="N397" s="19" t="n">
        <v>6.1</v>
      </c>
      <c r="O397" s="17" t="n">
        <f aca="false">IF(N397="","",RANK(N397,$N$5:$N$430))</f>
        <v>364</v>
      </c>
      <c r="P397" s="17" t="str">
        <f aca="false">IF(AND(N(H397)&gt;=N(K397),N(H397)&gt;=N(N397)),"The Pulse",IF(N(K397)&gt;=N(N397),"The Lens","The Hub"))</f>
        <v>The Lens</v>
      </c>
      <c r="Q397" s="20" t="s">
        <v>74</v>
      </c>
      <c r="R397" s="27" t="s">
        <v>832</v>
      </c>
      <c r="S397" s="17" t="s">
        <v>24</v>
      </c>
    </row>
    <row r="398" customFormat="false" ht="15" hidden="false" customHeight="false" outlineLevel="0" collapsed="false">
      <c r="A398" s="17" t="s">
        <v>279</v>
      </c>
      <c r="B398" s="17" t="s">
        <v>280</v>
      </c>
      <c r="C398" s="17" t="s">
        <v>1536</v>
      </c>
      <c r="D398" s="17" t="s">
        <v>86</v>
      </c>
      <c r="E398" s="18" t="n">
        <v>178040</v>
      </c>
      <c r="F398" s="17" t="s">
        <v>827</v>
      </c>
      <c r="G398" s="23" t="n">
        <v>0.195860480790834</v>
      </c>
      <c r="H398" s="19" t="n">
        <v>8.3</v>
      </c>
      <c r="I398" s="17" t="n">
        <f aca="false">IF(H398="","",RANK(H398,$H$5:$H$430))</f>
        <v>394</v>
      </c>
      <c r="J398" s="24" t="n">
        <v>0.0850804485616772</v>
      </c>
      <c r="K398" s="19" t="n">
        <v>50</v>
      </c>
      <c r="L398" s="17" t="n">
        <f aca="false">IF(K398="","",RANK(K398,$K$5:$K$430))</f>
        <v>215</v>
      </c>
      <c r="M398" s="25" t="n">
        <v>0.24109362054681</v>
      </c>
      <c r="N398" s="19" t="n">
        <v>80.7</v>
      </c>
      <c r="O398" s="17" t="n">
        <f aca="false">IF(N398="","",RANK(N398,$N$5:$N$430))</f>
        <v>77</v>
      </c>
      <c r="P398" s="17" t="str">
        <f aca="false">IF(AND(N(H398)&gt;=N(K398),N(H398)&gt;=N(N398)),"The Pulse",IF(N(K398)&gt;=N(N398),"The Lens","The Hub"))</f>
        <v>The Hub</v>
      </c>
      <c r="Q398" s="20" t="s">
        <v>74</v>
      </c>
      <c r="R398" s="26" t="s">
        <v>822</v>
      </c>
      <c r="S398" s="17" t="s">
        <v>24</v>
      </c>
    </row>
    <row r="399" customFormat="false" ht="15" hidden="false" customHeight="false" outlineLevel="0" collapsed="false">
      <c r="A399" s="17" t="s">
        <v>491</v>
      </c>
      <c r="B399" s="17" t="s">
        <v>492</v>
      </c>
      <c r="C399" s="17" t="s">
        <v>1537</v>
      </c>
      <c r="D399" s="17" t="s">
        <v>82</v>
      </c>
      <c r="E399" s="18" t="n">
        <v>24490</v>
      </c>
      <c r="F399" s="17" t="s">
        <v>821</v>
      </c>
      <c r="G399" s="23" t="n">
        <v>0.19138423846468</v>
      </c>
      <c r="H399" s="19" t="n">
        <v>8.1</v>
      </c>
      <c r="I399" s="17" t="n">
        <f aca="false">IF(H399="","",RANK(H399,$H$5:$H$430))</f>
        <v>395</v>
      </c>
      <c r="J399" s="24" t="n">
        <v>0.100674157303371</v>
      </c>
      <c r="K399" s="19" t="n">
        <v>52.9</v>
      </c>
      <c r="L399" s="17" t="n">
        <f aca="false">IF(K399="","",RANK(K399,$K$5:$K$430))</f>
        <v>199</v>
      </c>
      <c r="M399" s="25" t="n">
        <v>0.12987012987013</v>
      </c>
      <c r="N399" s="19" t="n">
        <v>47.8</v>
      </c>
      <c r="O399" s="17" t="n">
        <f aca="false">IF(N399="","",RANK(N399,$N$5:$N$430))</f>
        <v>200</v>
      </c>
      <c r="P399" s="17" t="str">
        <f aca="false">IF(AND(N(H399)&gt;=N(K399),N(H399)&gt;=N(N399)),"The Pulse",IF(N(K399)&gt;=N(N399),"The Lens","The Hub"))</f>
        <v>The Lens</v>
      </c>
      <c r="Q399" s="20" t="s">
        <v>74</v>
      </c>
      <c r="R399" s="26" t="s">
        <v>822</v>
      </c>
      <c r="S399" s="17" t="s">
        <v>24</v>
      </c>
    </row>
    <row r="400" customFormat="false" ht="15" hidden="false" customHeight="false" outlineLevel="0" collapsed="false">
      <c r="A400" s="17" t="s">
        <v>1538</v>
      </c>
      <c r="B400" s="17" t="s">
        <v>1539</v>
      </c>
      <c r="C400" s="17" t="s">
        <v>1540</v>
      </c>
      <c r="D400" s="17" t="s">
        <v>72</v>
      </c>
      <c r="E400" s="18" t="n">
        <v>49638</v>
      </c>
      <c r="F400" s="17" t="s">
        <v>821</v>
      </c>
      <c r="G400" s="23" t="n">
        <v>0.188263024295902</v>
      </c>
      <c r="H400" s="19" t="n">
        <v>7.9</v>
      </c>
      <c r="I400" s="17" t="n">
        <f aca="false">IF(H400="","",RANK(H400,$H$5:$H$430))</f>
        <v>396</v>
      </c>
      <c r="J400" s="24" t="n">
        <v>0.127393308955461</v>
      </c>
      <c r="K400" s="19" t="n">
        <v>69.1</v>
      </c>
      <c r="L400" s="17" t="n">
        <f aca="false">IF(K400="","",RANK(K400,$K$5:$K$430))</f>
        <v>134</v>
      </c>
      <c r="M400" s="28" t="s">
        <v>857</v>
      </c>
      <c r="N400" s="19"/>
      <c r="O400" s="17" t="str">
        <f aca="false">IF(N400="","",RANK(N400,$N$5:$N$430))</f>
        <v/>
      </c>
      <c r="P400" s="17" t="str">
        <f aca="false">IF(AND(N(H400)&gt;=N(K400),N(H400)&gt;=N(N400)),"The Pulse",IF(N(K400)&gt;=N(N400),"The Lens","The Hub"))</f>
        <v>The Lens</v>
      </c>
      <c r="Q400" s="21" t="s">
        <v>79</v>
      </c>
      <c r="R400" s="27" t="s">
        <v>832</v>
      </c>
      <c r="S400" s="17" t="s">
        <v>22</v>
      </c>
    </row>
    <row r="401" customFormat="false" ht="15" hidden="false" customHeight="false" outlineLevel="0" collapsed="false">
      <c r="A401" s="17" t="s">
        <v>683</v>
      </c>
      <c r="B401" s="17" t="s">
        <v>684</v>
      </c>
      <c r="C401" s="17" t="s">
        <v>1541</v>
      </c>
      <c r="D401" s="17" t="s">
        <v>72</v>
      </c>
      <c r="E401" s="18" t="n">
        <v>19512</v>
      </c>
      <c r="F401" s="17" t="s">
        <v>821</v>
      </c>
      <c r="G401" s="23" t="n">
        <v>0.179735547355474</v>
      </c>
      <c r="H401" s="19" t="n">
        <v>7.8</v>
      </c>
      <c r="I401" s="17" t="n">
        <f aca="false">IF(H401="","",RANK(H401,$H$5:$H$430))</f>
        <v>397</v>
      </c>
      <c r="J401" s="24" t="n">
        <v>0.0340222575516693</v>
      </c>
      <c r="K401" s="19" t="n">
        <v>19.9</v>
      </c>
      <c r="L401" s="17" t="n">
        <f aca="false">IF(K401="","",RANK(K401,$K$5:$K$430))</f>
        <v>337</v>
      </c>
      <c r="M401" s="25" t="n">
        <v>0.0186567164179105</v>
      </c>
      <c r="N401" s="19" t="n">
        <v>5.4</v>
      </c>
      <c r="O401" s="17" t="n">
        <f aca="false">IF(N401="","",RANK(N401,$N$5:$N$430))</f>
        <v>367</v>
      </c>
      <c r="P401" s="17" t="str">
        <f aca="false">IF(AND(N(H401)&gt;=N(K401),N(H401)&gt;=N(N401)),"The Pulse",IF(N(K401)&gt;=N(N401),"The Lens","The Hub"))</f>
        <v>The Lens</v>
      </c>
      <c r="Q401" s="21" t="s">
        <v>79</v>
      </c>
      <c r="R401" s="26" t="s">
        <v>822</v>
      </c>
      <c r="S401" s="17" t="s">
        <v>22</v>
      </c>
    </row>
    <row r="402" customFormat="false" ht="15" hidden="false" customHeight="false" outlineLevel="0" collapsed="false">
      <c r="A402" s="17" t="s">
        <v>1542</v>
      </c>
      <c r="B402" s="17" t="s">
        <v>1543</v>
      </c>
      <c r="C402" s="17" t="s">
        <v>1544</v>
      </c>
      <c r="D402" s="17" t="s">
        <v>72</v>
      </c>
      <c r="E402" s="18" t="n">
        <v>78770</v>
      </c>
      <c r="F402" s="17" t="s">
        <v>821</v>
      </c>
      <c r="G402" s="23" t="n">
        <v>0.174431890313571</v>
      </c>
      <c r="H402" s="19" t="n">
        <v>7.4</v>
      </c>
      <c r="I402" s="17" t="n">
        <f aca="false">IF(H402="","",RANK(H402,$H$5:$H$430))</f>
        <v>398</v>
      </c>
      <c r="J402" s="24" t="n">
        <v>0.0969224342013647</v>
      </c>
      <c r="K402" s="19" t="n">
        <v>49.8</v>
      </c>
      <c r="L402" s="17" t="n">
        <f aca="false">IF(K402="","",RANK(K402,$K$5:$K$430))</f>
        <v>216</v>
      </c>
      <c r="M402" s="28" t="s">
        <v>857</v>
      </c>
      <c r="N402" s="19"/>
      <c r="O402" s="17" t="str">
        <f aca="false">IF(N402="","",RANK(N402,$N$5:$N$430))</f>
        <v/>
      </c>
      <c r="P402" s="17" t="str">
        <f aca="false">IF(AND(N(H402)&gt;=N(K402),N(H402)&gt;=N(N402)),"The Pulse",IF(N(K402)&gt;=N(N402),"The Lens","The Hub"))</f>
        <v>The Lens</v>
      </c>
      <c r="Q402" s="20" t="s">
        <v>74</v>
      </c>
      <c r="R402" s="27" t="s">
        <v>832</v>
      </c>
      <c r="S402" s="17" t="s">
        <v>24</v>
      </c>
    </row>
    <row r="403" customFormat="false" ht="15" hidden="false" customHeight="false" outlineLevel="0" collapsed="false">
      <c r="A403" s="17" t="s">
        <v>1545</v>
      </c>
      <c r="B403" s="17" t="s">
        <v>1546</v>
      </c>
      <c r="C403" s="17" t="s">
        <v>1547</v>
      </c>
      <c r="D403" s="17" t="s">
        <v>98</v>
      </c>
      <c r="E403" s="18" t="n">
        <v>24914</v>
      </c>
      <c r="F403" s="17" t="s">
        <v>821</v>
      </c>
      <c r="G403" s="23" t="n">
        <v>0.173276069679698</v>
      </c>
      <c r="H403" s="19" t="n">
        <v>7.2</v>
      </c>
      <c r="I403" s="17" t="n">
        <f aca="false">IF(H403="","",RANK(H403,$H$5:$H$430))</f>
        <v>399</v>
      </c>
      <c r="J403" s="24" t="n">
        <v>0.0468507080129417</v>
      </c>
      <c r="K403" s="19" t="n">
        <v>26.1</v>
      </c>
      <c r="L403" s="17" t="n">
        <f aca="false">IF(K403="","",RANK(K403,$K$5:$K$430))</f>
        <v>306</v>
      </c>
      <c r="M403" s="25" t="n">
        <v>0.143712574850299</v>
      </c>
      <c r="N403" s="19" t="n">
        <v>55.7</v>
      </c>
      <c r="O403" s="17" t="n">
        <f aca="false">IF(N403="","",RANK(N403,$N$5:$N$430))</f>
        <v>167</v>
      </c>
      <c r="P403" s="17" t="str">
        <f aca="false">IF(AND(N(H403)&gt;=N(K403),N(H403)&gt;=N(N403)),"The Pulse",IF(N(K403)&gt;=N(N403),"The Lens","The Hub"))</f>
        <v>The Hub</v>
      </c>
      <c r="Q403" s="21" t="s">
        <v>79</v>
      </c>
      <c r="R403" s="27" t="s">
        <v>832</v>
      </c>
      <c r="S403" s="17" t="s">
        <v>22</v>
      </c>
    </row>
    <row r="404" customFormat="false" ht="15" hidden="false" customHeight="false" outlineLevel="0" collapsed="false">
      <c r="A404" s="17" t="s">
        <v>635</v>
      </c>
      <c r="B404" s="17" t="s">
        <v>636</v>
      </c>
      <c r="C404" s="17" t="s">
        <v>1548</v>
      </c>
      <c r="D404" s="17" t="s">
        <v>82</v>
      </c>
      <c r="E404" s="18" t="n">
        <v>9240</v>
      </c>
      <c r="F404" s="17" t="s">
        <v>825</v>
      </c>
      <c r="G404" s="23" t="n">
        <v>0.173051948051948</v>
      </c>
      <c r="H404" s="19" t="n">
        <v>7</v>
      </c>
      <c r="I404" s="17" t="n">
        <f aca="false">IF(H404="","",RANK(H404,$H$5:$H$430))</f>
        <v>400</v>
      </c>
      <c r="J404" s="24" t="n">
        <v>0.130966952264382</v>
      </c>
      <c r="K404" s="19" t="n">
        <v>71.8</v>
      </c>
      <c r="L404" s="17" t="n">
        <f aca="false">IF(K404="","",RANK(K404,$K$5:$K$430))</f>
        <v>122</v>
      </c>
      <c r="M404" s="25" t="n">
        <v>0</v>
      </c>
      <c r="N404" s="19" t="n">
        <v>1.3</v>
      </c>
      <c r="O404" s="17" t="n">
        <f aca="false">IF(N404="","",RANK(N404,$N$5:$N$430))</f>
        <v>378</v>
      </c>
      <c r="P404" s="17" t="str">
        <f aca="false">IF(AND(N(H404)&gt;=N(K404),N(H404)&gt;=N(N404)),"The Pulse",IF(N(K404)&gt;=N(N404),"The Lens","The Hub"))</f>
        <v>The Lens</v>
      </c>
      <c r="Q404" s="20" t="s">
        <v>74</v>
      </c>
      <c r="R404" s="26" t="s">
        <v>822</v>
      </c>
      <c r="S404" s="17" t="s">
        <v>24</v>
      </c>
    </row>
    <row r="405" customFormat="false" ht="15" hidden="false" customHeight="false" outlineLevel="0" collapsed="false">
      <c r="A405" s="17" t="s">
        <v>1549</v>
      </c>
      <c r="B405" s="17" t="s">
        <v>1550</v>
      </c>
      <c r="C405" s="17" t="s">
        <v>1551</v>
      </c>
      <c r="D405" s="17" t="s">
        <v>98</v>
      </c>
      <c r="E405" s="18" t="n">
        <v>24740</v>
      </c>
      <c r="F405" s="17" t="s">
        <v>821</v>
      </c>
      <c r="G405" s="23" t="n">
        <v>0.166976556184317</v>
      </c>
      <c r="H405" s="19" t="n">
        <v>6.6</v>
      </c>
      <c r="I405" s="17" t="n">
        <f aca="false">IF(H405="","",RANK(H405,$H$5:$H$430))</f>
        <v>401</v>
      </c>
      <c r="J405" s="24" t="n">
        <v>0.173067804646752</v>
      </c>
      <c r="K405" s="19" t="n">
        <v>84.2</v>
      </c>
      <c r="L405" s="17" t="n">
        <f aca="false">IF(K405="","",RANK(K405,$K$5:$K$430))</f>
        <v>69</v>
      </c>
      <c r="M405" s="25" t="n">
        <v>0.116504854368932</v>
      </c>
      <c r="N405" s="19" t="n">
        <v>43.4</v>
      </c>
      <c r="O405" s="17" t="n">
        <f aca="false">IF(N405="","",RANK(N405,$N$5:$N$430))</f>
        <v>218</v>
      </c>
      <c r="P405" s="17" t="str">
        <f aca="false">IF(AND(N(H405)&gt;=N(K405),N(H405)&gt;=N(N405)),"The Pulse",IF(N(K405)&gt;=N(N405),"The Lens","The Hub"))</f>
        <v>The Lens</v>
      </c>
      <c r="Q405" s="20" t="s">
        <v>74</v>
      </c>
      <c r="R405" s="27" t="s">
        <v>832</v>
      </c>
      <c r="S405" s="17" t="s">
        <v>24</v>
      </c>
    </row>
    <row r="406" customFormat="false" ht="15" hidden="false" customHeight="false" outlineLevel="0" collapsed="false">
      <c r="A406" s="17" t="s">
        <v>1552</v>
      </c>
      <c r="B406" s="17" t="s">
        <v>1553</v>
      </c>
      <c r="C406" s="17" t="s">
        <v>1554</v>
      </c>
      <c r="D406" s="17" t="s">
        <v>162</v>
      </c>
      <c r="E406" s="18" t="n">
        <v>14700</v>
      </c>
      <c r="F406" s="17" t="s">
        <v>821</v>
      </c>
      <c r="G406" s="23" t="n">
        <v>0.160136054421769</v>
      </c>
      <c r="H406" s="19" t="n">
        <v>6.4</v>
      </c>
      <c r="I406" s="17" t="n">
        <f aca="false">IF(H406="","",RANK(H406,$H$5:$H$430))</f>
        <v>402</v>
      </c>
      <c r="J406" s="24" t="n">
        <v>0.214876033057851</v>
      </c>
      <c r="K406" s="19" t="n">
        <v>94.5</v>
      </c>
      <c r="L406" s="17" t="n">
        <f aca="false">IF(K406="","",RANK(K406,$K$5:$K$430))</f>
        <v>24</v>
      </c>
      <c r="M406" s="25" t="n">
        <v>0.407821229050279</v>
      </c>
      <c r="N406" s="19" t="n">
        <v>98.1</v>
      </c>
      <c r="O406" s="17" t="n">
        <f aca="false">IF(N406="","",RANK(N406,$N$5:$N$430))</f>
        <v>8</v>
      </c>
      <c r="P406" s="17" t="str">
        <f aca="false">IF(AND(N(H406)&gt;=N(K406),N(H406)&gt;=N(N406)),"The Pulse",IF(N(K406)&gt;=N(N406),"The Lens","The Hub"))</f>
        <v>The Hub</v>
      </c>
      <c r="Q406" s="20" t="s">
        <v>74</v>
      </c>
      <c r="R406" s="27" t="s">
        <v>832</v>
      </c>
      <c r="S406" s="17" t="s">
        <v>24</v>
      </c>
    </row>
    <row r="407" customFormat="false" ht="15" hidden="false" customHeight="false" outlineLevel="0" collapsed="false">
      <c r="A407" s="17" t="s">
        <v>519</v>
      </c>
      <c r="B407" s="17" t="s">
        <v>520</v>
      </c>
      <c r="C407" s="17" t="s">
        <v>1555</v>
      </c>
      <c r="D407" s="17" t="s">
        <v>123</v>
      </c>
      <c r="E407" s="18" t="n">
        <v>17016</v>
      </c>
      <c r="F407" s="17" t="s">
        <v>821</v>
      </c>
      <c r="G407" s="23" t="n">
        <v>0.157616361071932</v>
      </c>
      <c r="H407" s="19" t="n">
        <v>6</v>
      </c>
      <c r="I407" s="17" t="n">
        <f aca="false">IF(H407="","",RANK(H407,$H$5:$H$430))</f>
        <v>403</v>
      </c>
      <c r="J407" s="24" t="n">
        <v>0.0674361708801204</v>
      </c>
      <c r="K407" s="19" t="n">
        <v>37.1</v>
      </c>
      <c r="L407" s="17" t="n">
        <f aca="false">IF(K407="","",RANK(K407,$K$5:$K$430))</f>
        <v>264</v>
      </c>
      <c r="M407" s="25" t="n">
        <v>0.0853658536585366</v>
      </c>
      <c r="N407" s="19" t="n">
        <v>29.1</v>
      </c>
      <c r="O407" s="17" t="n">
        <f aca="false">IF(N407="","",RANK(N407,$N$5:$N$430))</f>
        <v>275</v>
      </c>
      <c r="P407" s="17" t="str">
        <f aca="false">IF(AND(N(H407)&gt;=N(K407),N(H407)&gt;=N(N407)),"The Pulse",IF(N(K407)&gt;=N(N407),"The Lens","The Hub"))</f>
        <v>The Lens</v>
      </c>
      <c r="Q407" s="22" t="s">
        <v>109</v>
      </c>
      <c r="R407" s="26" t="s">
        <v>822</v>
      </c>
      <c r="S407" s="17" t="s">
        <v>110</v>
      </c>
    </row>
    <row r="408" customFormat="false" ht="15" hidden="false" customHeight="false" outlineLevel="0" collapsed="false">
      <c r="A408" s="17" t="s">
        <v>1556</v>
      </c>
      <c r="B408" s="17" t="s">
        <v>1557</v>
      </c>
      <c r="C408" s="17" t="s">
        <v>1558</v>
      </c>
      <c r="D408" s="17" t="s">
        <v>98</v>
      </c>
      <c r="E408" s="18" t="n">
        <v>123330</v>
      </c>
      <c r="F408" s="17" t="s">
        <v>827</v>
      </c>
      <c r="G408" s="23" t="n">
        <v>0.156223141165978</v>
      </c>
      <c r="H408" s="19" t="n">
        <v>5.9</v>
      </c>
      <c r="I408" s="17" t="n">
        <f aca="false">IF(H408="","",RANK(H408,$H$5:$H$430))</f>
        <v>404</v>
      </c>
      <c r="J408" s="24" t="n">
        <v>0.0157472532902865</v>
      </c>
      <c r="K408" s="19" t="n">
        <v>17.9</v>
      </c>
      <c r="L408" s="17" t="n">
        <f aca="false">IF(K408="","",RANK(K408,$K$5:$K$430))</f>
        <v>346</v>
      </c>
      <c r="M408" s="25" t="n">
        <v>0.0237341772151899</v>
      </c>
      <c r="N408" s="19" t="n">
        <v>7.2</v>
      </c>
      <c r="O408" s="17" t="n">
        <f aca="false">IF(N408="","",RANK(N408,$N$5:$N$430))</f>
        <v>359</v>
      </c>
      <c r="P408" s="17" t="str">
        <f aca="false">IF(AND(N(H408)&gt;=N(K408),N(H408)&gt;=N(N408)),"The Pulse",IF(N(K408)&gt;=N(N408),"The Lens","The Hub"))</f>
        <v>The Lens</v>
      </c>
      <c r="Q408" s="21" t="s">
        <v>79</v>
      </c>
      <c r="R408" s="27" t="s">
        <v>832</v>
      </c>
      <c r="S408" s="17" t="s">
        <v>22</v>
      </c>
    </row>
    <row r="409" customFormat="false" ht="15" hidden="false" customHeight="false" outlineLevel="0" collapsed="false">
      <c r="A409" s="17" t="s">
        <v>657</v>
      </c>
      <c r="B409" s="17" t="s">
        <v>658</v>
      </c>
      <c r="C409" s="17" t="s">
        <v>1559</v>
      </c>
      <c r="D409" s="17" t="s">
        <v>162</v>
      </c>
      <c r="E409" s="18" t="n">
        <v>25760</v>
      </c>
      <c r="F409" s="17" t="s">
        <v>821</v>
      </c>
      <c r="G409" s="23" t="n">
        <v>0.149763531266421</v>
      </c>
      <c r="H409" s="19" t="n">
        <v>5.7</v>
      </c>
      <c r="I409" s="17" t="n">
        <f aca="false">IF(H409="","",RANK(H409,$H$5:$H$430))</f>
        <v>405</v>
      </c>
      <c r="J409" s="24" t="n">
        <v>0.109866436880655</v>
      </c>
      <c r="K409" s="19" t="n">
        <v>59.5</v>
      </c>
      <c r="L409" s="17" t="n">
        <f aca="false">IF(K409="","",RANK(K409,$K$5:$K$430))</f>
        <v>173</v>
      </c>
      <c r="M409" s="25" t="n">
        <v>0.103626943005181</v>
      </c>
      <c r="N409" s="19" t="n">
        <v>36.6</v>
      </c>
      <c r="O409" s="17" t="n">
        <f aca="false">IF(N409="","",RANK(N409,$N$5:$N$430))</f>
        <v>246</v>
      </c>
      <c r="P409" s="17" t="str">
        <f aca="false">IF(AND(N(H409)&gt;=N(K409),N(H409)&gt;=N(N409)),"The Pulse",IF(N(K409)&gt;=N(N409),"The Lens","The Hub"))</f>
        <v>The Lens</v>
      </c>
      <c r="Q409" s="21" t="s">
        <v>79</v>
      </c>
      <c r="R409" s="26" t="s">
        <v>822</v>
      </c>
      <c r="S409" s="17" t="s">
        <v>88</v>
      </c>
    </row>
    <row r="410" customFormat="false" ht="15" hidden="false" customHeight="false" outlineLevel="0" collapsed="false">
      <c r="A410" s="17" t="s">
        <v>1560</v>
      </c>
      <c r="B410" s="17" t="s">
        <v>1561</v>
      </c>
      <c r="C410" s="17" t="s">
        <v>1562</v>
      </c>
      <c r="D410" s="17" t="s">
        <v>115</v>
      </c>
      <c r="E410" s="18" t="n">
        <v>23850</v>
      </c>
      <c r="F410" s="17" t="s">
        <v>821</v>
      </c>
      <c r="G410" s="23" t="n">
        <v>0.149406056550109</v>
      </c>
      <c r="H410" s="19" t="n">
        <v>5.5</v>
      </c>
      <c r="I410" s="17" t="n">
        <f aca="false">IF(H410="","",RANK(H410,$H$5:$H$430))</f>
        <v>406</v>
      </c>
      <c r="J410" s="24" t="n">
        <v>0.125</v>
      </c>
      <c r="K410" s="19" t="n">
        <v>68</v>
      </c>
      <c r="L410" s="17" t="n">
        <f aca="false">IF(K410="","",RANK(K410,$K$5:$K$430))</f>
        <v>136</v>
      </c>
      <c r="M410" s="25" t="n">
        <v>0.135416666666667</v>
      </c>
      <c r="N410" s="19" t="n">
        <v>50.8</v>
      </c>
      <c r="O410" s="17" t="n">
        <f aca="false">IF(N410="","",RANK(N410,$N$5:$N$430))</f>
        <v>187</v>
      </c>
      <c r="P410" s="17" t="str">
        <f aca="false">IF(AND(N(H410)&gt;=N(K410),N(H410)&gt;=N(N410)),"The Pulse",IF(N(K410)&gt;=N(N410),"The Lens","The Hub"))</f>
        <v>The Lens</v>
      </c>
      <c r="Q410" s="21" t="s">
        <v>79</v>
      </c>
      <c r="R410" s="27" t="s">
        <v>832</v>
      </c>
      <c r="S410" s="17" t="s">
        <v>88</v>
      </c>
    </row>
    <row r="411" customFormat="false" ht="15" hidden="false" customHeight="false" outlineLevel="0" collapsed="false">
      <c r="A411" s="17" t="s">
        <v>675</v>
      </c>
      <c r="B411" s="17" t="s">
        <v>676</v>
      </c>
      <c r="C411" s="17" t="s">
        <v>1563</v>
      </c>
      <c r="D411" s="17" t="s">
        <v>91</v>
      </c>
      <c r="E411" s="18" t="n">
        <v>317500</v>
      </c>
      <c r="F411" s="17" t="s">
        <v>827</v>
      </c>
      <c r="G411" s="23" t="n">
        <v>0.146995275590551</v>
      </c>
      <c r="H411" s="19" t="n">
        <v>5.3</v>
      </c>
      <c r="I411" s="17" t="n">
        <f aca="false">IF(H411="","",RANK(H411,$H$5:$H$430))</f>
        <v>407</v>
      </c>
      <c r="J411" s="24" t="n">
        <v>0.137055473982022</v>
      </c>
      <c r="K411" s="19" t="n">
        <v>77.1</v>
      </c>
      <c r="L411" s="17" t="n">
        <f aca="false">IF(K411="","",RANK(K411,$K$5:$K$430))</f>
        <v>98</v>
      </c>
      <c r="M411" s="25" t="n">
        <v>0.257026476578411</v>
      </c>
      <c r="N411" s="19" t="n">
        <v>83</v>
      </c>
      <c r="O411" s="17" t="n">
        <f aca="false">IF(N411="","",RANK(N411,$N$5:$N$430))</f>
        <v>67</v>
      </c>
      <c r="P411" s="17" t="str">
        <f aca="false">IF(AND(N(H411)&gt;=N(K411),N(H411)&gt;=N(N411)),"The Pulse",IF(N(K411)&gt;=N(N411),"The Lens","The Hub"))</f>
        <v>The Hub</v>
      </c>
      <c r="Q411" s="20" t="s">
        <v>74</v>
      </c>
      <c r="R411" s="26" t="s">
        <v>822</v>
      </c>
      <c r="S411" s="17" t="s">
        <v>24</v>
      </c>
    </row>
    <row r="412" customFormat="false" ht="15" hidden="false" customHeight="false" outlineLevel="0" collapsed="false">
      <c r="A412" s="17" t="s">
        <v>623</v>
      </c>
      <c r="B412" s="17" t="s">
        <v>624</v>
      </c>
      <c r="C412" s="17" t="s">
        <v>1564</v>
      </c>
      <c r="D412" s="17" t="s">
        <v>86</v>
      </c>
      <c r="E412" s="18" t="n">
        <v>72490</v>
      </c>
      <c r="F412" s="17" t="s">
        <v>821</v>
      </c>
      <c r="G412" s="23" t="n">
        <v>0.146392605876673</v>
      </c>
      <c r="H412" s="19" t="n">
        <v>5.1</v>
      </c>
      <c r="I412" s="17" t="n">
        <f aca="false">IF(H412="","",RANK(H412,$H$5:$H$430))</f>
        <v>408</v>
      </c>
      <c r="J412" s="24" t="n">
        <v>0.0976680799515445</v>
      </c>
      <c r="K412" s="19" t="n">
        <v>50.9</v>
      </c>
      <c r="L412" s="17" t="n">
        <f aca="false">IF(K412="","",RANK(K412,$K$5:$K$430))</f>
        <v>210</v>
      </c>
      <c r="M412" s="25" t="n">
        <v>0.161397670549085</v>
      </c>
      <c r="N412" s="19" t="n">
        <v>62.9</v>
      </c>
      <c r="O412" s="17" t="n">
        <f aca="false">IF(N412="","",RANK(N412,$N$5:$N$430))</f>
        <v>141</v>
      </c>
      <c r="P412" s="17" t="str">
        <f aca="false">IF(AND(N(H412)&gt;=N(K412),N(H412)&gt;=N(N412)),"The Pulse",IF(N(K412)&gt;=N(N412),"The Lens","The Hub"))</f>
        <v>The Hub</v>
      </c>
      <c r="Q412" s="21" t="s">
        <v>79</v>
      </c>
      <c r="R412" s="26" t="s">
        <v>822</v>
      </c>
      <c r="S412" s="17" t="s">
        <v>88</v>
      </c>
    </row>
    <row r="413" customFormat="false" ht="15" hidden="false" customHeight="false" outlineLevel="0" collapsed="false">
      <c r="A413" s="17" t="s">
        <v>385</v>
      </c>
      <c r="B413" s="17" t="s">
        <v>386</v>
      </c>
      <c r="C413" s="17" t="s">
        <v>1565</v>
      </c>
      <c r="D413" s="17" t="s">
        <v>95</v>
      </c>
      <c r="E413" s="18" t="n">
        <v>5229</v>
      </c>
      <c r="F413" s="17" t="s">
        <v>825</v>
      </c>
      <c r="G413" s="23" t="n">
        <v>0.144578313253012</v>
      </c>
      <c r="H413" s="19" t="n">
        <v>4.9</v>
      </c>
      <c r="I413" s="17" t="n">
        <f aca="false">IF(H413="","",RANK(H413,$H$5:$H$430))</f>
        <v>409</v>
      </c>
      <c r="J413" s="24" t="n">
        <v>0.215198698582384</v>
      </c>
      <c r="K413" s="19" t="n">
        <v>94.4</v>
      </c>
      <c r="L413" s="17" t="n">
        <f aca="false">IF(K413="","",RANK(K413,$K$5:$K$430))</f>
        <v>25</v>
      </c>
      <c r="M413" s="25" t="n">
        <v>0.0289855072463768</v>
      </c>
      <c r="N413" s="19" t="n">
        <v>7.7</v>
      </c>
      <c r="O413" s="17" t="n">
        <f aca="false">IF(N413="","",RANK(N413,$N$5:$N$430))</f>
        <v>357</v>
      </c>
      <c r="P413" s="17" t="str">
        <f aca="false">IF(AND(N(H413)&gt;=N(K413),N(H413)&gt;=N(N413)),"The Pulse",IF(N(K413)&gt;=N(N413),"The Lens","The Hub"))</f>
        <v>The Lens</v>
      </c>
      <c r="Q413" s="21" t="s">
        <v>79</v>
      </c>
      <c r="R413" s="26" t="s">
        <v>822</v>
      </c>
      <c r="S413" s="17" t="s">
        <v>22</v>
      </c>
    </row>
    <row r="414" customFormat="false" ht="15" hidden="false" customHeight="false" outlineLevel="0" collapsed="false">
      <c r="A414" s="17" t="s">
        <v>795</v>
      </c>
      <c r="B414" s="17" t="s">
        <v>796</v>
      </c>
      <c r="C414" s="17" t="s">
        <v>1566</v>
      </c>
      <c r="D414" s="17" t="s">
        <v>72</v>
      </c>
      <c r="E414" s="18" t="n">
        <v>290640</v>
      </c>
      <c r="F414" s="17" t="s">
        <v>827</v>
      </c>
      <c r="G414" s="23" t="n">
        <v>0.144450178915497</v>
      </c>
      <c r="H414" s="19" t="n">
        <v>4.7</v>
      </c>
      <c r="I414" s="17" t="n">
        <f aca="false">IF(H414="","",RANK(H414,$H$5:$H$430))</f>
        <v>410</v>
      </c>
      <c r="J414" s="24" t="n">
        <v>0.0285956964892412</v>
      </c>
      <c r="K414" s="19" t="n">
        <v>20.7</v>
      </c>
      <c r="L414" s="17" t="n">
        <f aca="false">IF(K414="","",RANK(K414,$K$5:$K$430))</f>
        <v>333</v>
      </c>
      <c r="M414" s="28" t="s">
        <v>857</v>
      </c>
      <c r="N414" s="19"/>
      <c r="O414" s="17" t="str">
        <f aca="false">IF(N414="","",RANK(N414,$N$5:$N$430))</f>
        <v/>
      </c>
      <c r="P414" s="17" t="str">
        <f aca="false">IF(AND(N(H414)&gt;=N(K414),N(H414)&gt;=N(N414)),"The Pulse",IF(N(K414)&gt;=N(N414),"The Lens","The Hub"))</f>
        <v>The Lens</v>
      </c>
      <c r="Q414" s="20" t="s">
        <v>74</v>
      </c>
      <c r="R414" s="26" t="s">
        <v>822</v>
      </c>
      <c r="S414" s="17" t="s">
        <v>24</v>
      </c>
    </row>
    <row r="415" customFormat="false" ht="15" hidden="false" customHeight="false" outlineLevel="0" collapsed="false">
      <c r="A415" s="17" t="s">
        <v>1567</v>
      </c>
      <c r="B415" s="17" t="s">
        <v>1568</v>
      </c>
      <c r="C415" s="17" t="s">
        <v>1569</v>
      </c>
      <c r="D415" s="17" t="s">
        <v>95</v>
      </c>
      <c r="E415" s="18" t="n">
        <v>112627</v>
      </c>
      <c r="F415" s="17" t="s">
        <v>827</v>
      </c>
      <c r="G415" s="23" t="n">
        <v>0.141928667193479</v>
      </c>
      <c r="H415" s="19" t="n">
        <v>4.5</v>
      </c>
      <c r="I415" s="17" t="n">
        <f aca="false">IF(H415="","",RANK(H415,$H$5:$H$430))</f>
        <v>411</v>
      </c>
      <c r="J415" s="24" t="n">
        <v>0.0663113147704572</v>
      </c>
      <c r="K415" s="19" t="n">
        <v>37.9</v>
      </c>
      <c r="L415" s="17" t="n">
        <f aca="false">IF(K415="","",RANK(K415,$K$5:$K$430))</f>
        <v>263</v>
      </c>
      <c r="M415" s="25" t="n">
        <v>0.0726172465960666</v>
      </c>
      <c r="N415" s="19" t="n">
        <v>23.8</v>
      </c>
      <c r="O415" s="17" t="n">
        <f aca="false">IF(N415="","",RANK(N415,$N$5:$N$430))</f>
        <v>297</v>
      </c>
      <c r="P415" s="17" t="str">
        <f aca="false">IF(AND(N(H415)&gt;=N(K415),N(H415)&gt;=N(N415)),"The Pulse",IF(N(K415)&gt;=N(N415),"The Lens","The Hub"))</f>
        <v>The Lens</v>
      </c>
      <c r="Q415" s="21" t="s">
        <v>79</v>
      </c>
      <c r="R415" s="27" t="s">
        <v>832</v>
      </c>
      <c r="S415" s="17" t="s">
        <v>22</v>
      </c>
    </row>
    <row r="416" customFormat="false" ht="15" hidden="false" customHeight="false" outlineLevel="0" collapsed="false">
      <c r="A416" s="17" t="s">
        <v>1570</v>
      </c>
      <c r="B416" s="17" t="s">
        <v>1571</v>
      </c>
      <c r="C416" s="17" t="s">
        <v>1572</v>
      </c>
      <c r="D416" s="17" t="s">
        <v>82</v>
      </c>
      <c r="E416" s="18" t="n">
        <v>13630</v>
      </c>
      <c r="F416" s="17" t="s">
        <v>821</v>
      </c>
      <c r="G416" s="23" t="n">
        <v>0.13969185619956</v>
      </c>
      <c r="H416" s="19" t="n">
        <v>4.3</v>
      </c>
      <c r="I416" s="17" t="n">
        <f aca="false">IF(H416="","",RANK(H416,$H$5:$H$430))</f>
        <v>412</v>
      </c>
      <c r="J416" s="24" t="n">
        <v>0.122734761120264</v>
      </c>
      <c r="K416" s="19" t="n">
        <v>66.7</v>
      </c>
      <c r="L416" s="17" t="n">
        <f aca="false">IF(K416="","",RANK(K416,$K$5:$K$430))</f>
        <v>142</v>
      </c>
      <c r="M416" s="25" t="n">
        <v>0.1125</v>
      </c>
      <c r="N416" s="19" t="n">
        <v>40.6</v>
      </c>
      <c r="O416" s="17" t="n">
        <f aca="false">IF(N416="","",RANK(N416,$N$5:$N$430))</f>
        <v>229</v>
      </c>
      <c r="P416" s="17" t="str">
        <f aca="false">IF(AND(N(H416)&gt;=N(K416),N(H416)&gt;=N(N416)),"The Pulse",IF(N(K416)&gt;=N(N416),"The Lens","The Hub"))</f>
        <v>The Lens</v>
      </c>
      <c r="Q416" s="20" t="s">
        <v>74</v>
      </c>
      <c r="R416" s="27" t="s">
        <v>832</v>
      </c>
      <c r="S416" s="17" t="s">
        <v>24</v>
      </c>
    </row>
    <row r="417" customFormat="false" ht="15" hidden="false" customHeight="false" outlineLevel="0" collapsed="false">
      <c r="A417" s="17" t="s">
        <v>399</v>
      </c>
      <c r="B417" s="17" t="s">
        <v>400</v>
      </c>
      <c r="C417" s="17" t="s">
        <v>1573</v>
      </c>
      <c r="D417" s="17" t="s">
        <v>98</v>
      </c>
      <c r="E417" s="18" t="n">
        <v>175580</v>
      </c>
      <c r="F417" s="17" t="s">
        <v>827</v>
      </c>
      <c r="G417" s="23" t="n">
        <v>0.131176671602688</v>
      </c>
      <c r="H417" s="19" t="n">
        <v>4.2</v>
      </c>
      <c r="I417" s="17" t="n">
        <f aca="false">IF(H417="","",RANK(H417,$H$5:$H$430))</f>
        <v>413</v>
      </c>
      <c r="J417" s="24" t="n">
        <v>0.19158466236851</v>
      </c>
      <c r="K417" s="19" t="n">
        <v>93.6</v>
      </c>
      <c r="L417" s="17" t="n">
        <f aca="false">IF(K417="","",RANK(K417,$K$5:$K$430))</f>
        <v>30</v>
      </c>
      <c r="M417" s="25" t="n">
        <v>0.195448460508702</v>
      </c>
      <c r="N417" s="19" t="n">
        <v>71.8</v>
      </c>
      <c r="O417" s="17" t="n">
        <f aca="false">IF(N417="","",RANK(N417,$N$5:$N$430))</f>
        <v>110</v>
      </c>
      <c r="P417" s="17" t="str">
        <f aca="false">IF(AND(N(H417)&gt;=N(K417),N(H417)&gt;=N(N417)),"The Pulse",IF(N(K417)&gt;=N(N417),"The Lens","The Hub"))</f>
        <v>The Lens</v>
      </c>
      <c r="Q417" s="21" t="s">
        <v>79</v>
      </c>
      <c r="R417" s="26" t="s">
        <v>822</v>
      </c>
      <c r="S417" s="17" t="s">
        <v>88</v>
      </c>
    </row>
    <row r="418" customFormat="false" ht="15" hidden="false" customHeight="false" outlineLevel="0" collapsed="false">
      <c r="A418" s="17" t="s">
        <v>1574</v>
      </c>
      <c r="B418" s="17" t="s">
        <v>1575</v>
      </c>
      <c r="C418" s="17" t="s">
        <v>1576</v>
      </c>
      <c r="D418" s="17" t="s">
        <v>72</v>
      </c>
      <c r="E418" s="18" t="n">
        <v>45097</v>
      </c>
      <c r="F418" s="17" t="s">
        <v>821</v>
      </c>
      <c r="G418" s="23" t="n">
        <v>0.124376344324456</v>
      </c>
      <c r="H418" s="19" t="n">
        <v>3.6</v>
      </c>
      <c r="I418" s="17" t="n">
        <f aca="false">IF(H418="","",RANK(H418,$H$5:$H$430))</f>
        <v>414</v>
      </c>
      <c r="J418" s="24" t="n">
        <v>-0.0581834889209114</v>
      </c>
      <c r="K418" s="19" t="n">
        <v>2.4</v>
      </c>
      <c r="L418" s="17" t="n">
        <f aca="false">IF(K418="","",RANK(K418,$K$5:$K$430))</f>
        <v>418</v>
      </c>
      <c r="M418" s="25" t="n">
        <v>0.310975609756098</v>
      </c>
      <c r="N418" s="19" t="n">
        <v>91.4</v>
      </c>
      <c r="O418" s="17" t="n">
        <f aca="false">IF(N418="","",RANK(N418,$N$5:$N$430))</f>
        <v>33</v>
      </c>
      <c r="P418" s="17" t="str">
        <f aca="false">IF(AND(N(H418)&gt;=N(K418),N(H418)&gt;=N(N418)),"The Pulse",IF(N(K418)&gt;=N(N418),"The Lens","The Hub"))</f>
        <v>The Hub</v>
      </c>
      <c r="Q418" s="21" t="s">
        <v>79</v>
      </c>
      <c r="R418" s="27" t="s">
        <v>832</v>
      </c>
      <c r="S418" s="17" t="s">
        <v>22</v>
      </c>
    </row>
    <row r="419" customFormat="false" ht="15" hidden="false" customHeight="false" outlineLevel="0" collapsed="false">
      <c r="A419" s="17" t="s">
        <v>691</v>
      </c>
      <c r="B419" s="17" t="s">
        <v>692</v>
      </c>
      <c r="C419" s="17" t="s">
        <v>1577</v>
      </c>
      <c r="D419" s="17" t="s">
        <v>123</v>
      </c>
      <c r="E419" s="18" t="n">
        <v>1085367</v>
      </c>
      <c r="F419" s="17" t="s">
        <v>935</v>
      </c>
      <c r="G419" s="23" t="n">
        <v>0.123230206925399</v>
      </c>
      <c r="H419" s="19" t="n">
        <v>3.4</v>
      </c>
      <c r="I419" s="17" t="n">
        <f aca="false">IF(H419="","",RANK(H419,$H$5:$H$430))</f>
        <v>415</v>
      </c>
      <c r="J419" s="24" t="n">
        <v>0.0872762571074807</v>
      </c>
      <c r="K419" s="19" t="n">
        <v>41.2</v>
      </c>
      <c r="L419" s="17" t="n">
        <f aca="false">IF(K419="","",RANK(K419,$K$5:$K$430))</f>
        <v>247</v>
      </c>
      <c r="M419" s="25" t="n">
        <v>0.238639695104075</v>
      </c>
      <c r="N419" s="19" t="n">
        <v>80.4</v>
      </c>
      <c r="O419" s="17" t="n">
        <f aca="false">IF(N419="","",RANK(N419,$N$5:$N$430))</f>
        <v>78</v>
      </c>
      <c r="P419" s="17" t="str">
        <f aca="false">IF(AND(N(H419)&gt;=N(K419),N(H419)&gt;=N(N419)),"The Pulse",IF(N(K419)&gt;=N(N419),"The Lens","The Hub"))</f>
        <v>The Hub</v>
      </c>
      <c r="Q419" s="21" t="s">
        <v>79</v>
      </c>
      <c r="R419" s="26" t="s">
        <v>822</v>
      </c>
      <c r="S419" s="17" t="s">
        <v>22</v>
      </c>
    </row>
    <row r="420" customFormat="false" ht="15" hidden="false" customHeight="false" outlineLevel="0" collapsed="false">
      <c r="A420" s="17" t="s">
        <v>1578</v>
      </c>
      <c r="B420" s="17" t="s">
        <v>1579</v>
      </c>
      <c r="C420" s="17" t="s">
        <v>1580</v>
      </c>
      <c r="D420" s="17" t="s">
        <v>86</v>
      </c>
      <c r="E420" s="18" t="n">
        <v>58970</v>
      </c>
      <c r="F420" s="17" t="s">
        <v>821</v>
      </c>
      <c r="G420" s="23" t="n">
        <v>0.122774292012888</v>
      </c>
      <c r="H420" s="19" t="n">
        <v>3.2</v>
      </c>
      <c r="I420" s="17" t="n">
        <f aca="false">IF(H420="","",RANK(H420,$H$5:$H$430))</f>
        <v>416</v>
      </c>
      <c r="J420" s="24" t="n">
        <v>-0.011565538048944</v>
      </c>
      <c r="K420" s="19" t="n">
        <v>7.9</v>
      </c>
      <c r="L420" s="17" t="n">
        <f aca="false">IF(K420="","",RANK(K420,$K$5:$K$430))</f>
        <v>391</v>
      </c>
      <c r="M420" s="25" t="n">
        <v>0.0975232198142415</v>
      </c>
      <c r="N420" s="19" t="n">
        <v>35.7</v>
      </c>
      <c r="O420" s="17" t="n">
        <f aca="false">IF(N420="","",RANK(N420,$N$5:$N$430))</f>
        <v>250</v>
      </c>
      <c r="P420" s="17" t="str">
        <f aca="false">IF(AND(N(H420)&gt;=N(K420),N(H420)&gt;=N(N420)),"The Pulse",IF(N(K420)&gt;=N(N420),"The Lens","The Hub"))</f>
        <v>The Hub</v>
      </c>
      <c r="Q420" s="20" t="s">
        <v>74</v>
      </c>
      <c r="R420" s="27" t="s">
        <v>832</v>
      </c>
      <c r="S420" s="17" t="s">
        <v>24</v>
      </c>
    </row>
    <row r="421" customFormat="false" ht="15" hidden="false" customHeight="false" outlineLevel="0" collapsed="false">
      <c r="A421" s="17" t="s">
        <v>335</v>
      </c>
      <c r="B421" s="17" t="s">
        <v>336</v>
      </c>
      <c r="C421" s="17" t="s">
        <v>1581</v>
      </c>
      <c r="D421" s="17" t="s">
        <v>72</v>
      </c>
      <c r="E421" s="18" t="n">
        <v>98700</v>
      </c>
      <c r="F421" s="17" t="s">
        <v>821</v>
      </c>
      <c r="G421" s="23" t="n">
        <v>0.120202634245187</v>
      </c>
      <c r="H421" s="19" t="n">
        <v>3</v>
      </c>
      <c r="I421" s="17" t="n">
        <f aca="false">IF(H421="","",RANK(H421,$H$5:$H$430))</f>
        <v>417</v>
      </c>
      <c r="J421" s="24" t="n">
        <v>0.167770941788926</v>
      </c>
      <c r="K421" s="19" t="n">
        <v>81.4</v>
      </c>
      <c r="L421" s="17" t="n">
        <f aca="false">IF(K421="","",RANK(K421,$K$5:$K$430))</f>
        <v>81</v>
      </c>
      <c r="M421" s="25" t="n">
        <v>0.373949579831933</v>
      </c>
      <c r="N421" s="19" t="n">
        <v>96.3</v>
      </c>
      <c r="O421" s="17" t="n">
        <f aca="false">IF(N421="","",RANK(N421,$N$5:$N$430))</f>
        <v>14</v>
      </c>
      <c r="P421" s="17" t="str">
        <f aca="false">IF(AND(N(H421)&gt;=N(K421),N(H421)&gt;=N(N421)),"The Pulse",IF(N(K421)&gt;=N(N421),"The Lens","The Hub"))</f>
        <v>The Hub</v>
      </c>
      <c r="Q421" s="20" t="s">
        <v>74</v>
      </c>
      <c r="R421" s="26" t="s">
        <v>822</v>
      </c>
      <c r="S421" s="17" t="s">
        <v>24</v>
      </c>
    </row>
    <row r="422" customFormat="false" ht="15" hidden="false" customHeight="false" outlineLevel="0" collapsed="false">
      <c r="A422" s="17" t="s">
        <v>1582</v>
      </c>
      <c r="B422" s="17" t="s">
        <v>1583</v>
      </c>
      <c r="C422" s="17" t="s">
        <v>1584</v>
      </c>
      <c r="D422" s="17" t="s">
        <v>98</v>
      </c>
      <c r="E422" s="18" t="n">
        <v>52648</v>
      </c>
      <c r="F422" s="17" t="s">
        <v>821</v>
      </c>
      <c r="G422" s="23" t="n">
        <v>0.113907460872208</v>
      </c>
      <c r="H422" s="19" t="n">
        <v>2.6</v>
      </c>
      <c r="I422" s="17" t="n">
        <f aca="false">IF(H422="","",RANK(H422,$H$5:$H$430))</f>
        <v>418</v>
      </c>
      <c r="J422" s="24" t="n">
        <v>0.159085905508344</v>
      </c>
      <c r="K422" s="19" t="n">
        <v>78.7</v>
      </c>
      <c r="L422" s="17" t="n">
        <f aca="false">IF(K422="","",RANK(K422,$K$5:$K$430))</f>
        <v>93</v>
      </c>
      <c r="M422" s="25" t="n">
        <v>0.333333333333333</v>
      </c>
      <c r="N422" s="19" t="n">
        <v>94.2</v>
      </c>
      <c r="O422" s="17" t="n">
        <f aca="false">IF(N422="","",RANK(N422,$N$5:$N$430))</f>
        <v>22</v>
      </c>
      <c r="P422" s="17" t="str">
        <f aca="false">IF(AND(N(H422)&gt;=N(K422),N(H422)&gt;=N(N422)),"The Pulse",IF(N(K422)&gt;=N(N422),"The Lens","The Hub"))</f>
        <v>The Hub</v>
      </c>
      <c r="Q422" s="21" t="s">
        <v>79</v>
      </c>
      <c r="R422" s="27" t="s">
        <v>832</v>
      </c>
      <c r="S422" s="17" t="s">
        <v>22</v>
      </c>
    </row>
    <row r="423" customFormat="false" ht="15" hidden="false" customHeight="false" outlineLevel="0" collapsed="false">
      <c r="A423" s="17" t="s">
        <v>741</v>
      </c>
      <c r="B423" s="17" t="s">
        <v>742</v>
      </c>
      <c r="C423" s="17" t="s">
        <v>1585</v>
      </c>
      <c r="D423" s="17" t="s">
        <v>72</v>
      </c>
      <c r="E423" s="18" t="n">
        <v>23430</v>
      </c>
      <c r="F423" s="17" t="s">
        <v>821</v>
      </c>
      <c r="G423" s="23" t="n">
        <v>0.10734101579172</v>
      </c>
      <c r="H423" s="19" t="n">
        <v>2.5</v>
      </c>
      <c r="I423" s="17" t="n">
        <f aca="false">IF(H423="","",RANK(H423,$H$5:$H$430))</f>
        <v>419</v>
      </c>
      <c r="J423" s="24" t="n">
        <v>0.169745381927109</v>
      </c>
      <c r="K423" s="19" t="n">
        <v>82.8</v>
      </c>
      <c r="L423" s="17" t="n">
        <f aca="false">IF(K423="","",RANK(K423,$K$5:$K$430))</f>
        <v>74</v>
      </c>
      <c r="M423" s="25" t="n">
        <v>0.107317073170732</v>
      </c>
      <c r="N423" s="19" t="n">
        <v>38</v>
      </c>
      <c r="O423" s="17" t="n">
        <f aca="false">IF(N423="","",RANK(N423,$N$5:$N$430))</f>
        <v>240</v>
      </c>
      <c r="P423" s="17" t="str">
        <f aca="false">IF(AND(N(H423)&gt;=N(K423),N(H423)&gt;=N(N423)),"The Pulse",IF(N(K423)&gt;=N(N423),"The Lens","The Hub"))</f>
        <v>The Lens</v>
      </c>
      <c r="Q423" s="20" t="s">
        <v>74</v>
      </c>
      <c r="R423" s="26" t="s">
        <v>822</v>
      </c>
      <c r="S423" s="17" t="s">
        <v>24</v>
      </c>
    </row>
    <row r="424" customFormat="false" ht="15" hidden="false" customHeight="false" outlineLevel="0" collapsed="false">
      <c r="A424" s="17" t="s">
        <v>543</v>
      </c>
      <c r="B424" s="17" t="s">
        <v>544</v>
      </c>
      <c r="C424" s="17" t="s">
        <v>1586</v>
      </c>
      <c r="D424" s="17" t="s">
        <v>115</v>
      </c>
      <c r="E424" s="18" t="n">
        <v>74270</v>
      </c>
      <c r="F424" s="17" t="s">
        <v>821</v>
      </c>
      <c r="G424" s="23" t="n">
        <v>0.106112831560522</v>
      </c>
      <c r="H424" s="19" t="n">
        <v>2.3</v>
      </c>
      <c r="I424" s="17" t="n">
        <f aca="false">IF(H424="","",RANK(H424,$H$5:$H$430))</f>
        <v>420</v>
      </c>
      <c r="J424" s="24" t="n">
        <v>0.129238254523339</v>
      </c>
      <c r="K424" s="19" t="n">
        <v>69.4</v>
      </c>
      <c r="L424" s="17" t="n">
        <f aca="false">IF(K424="","",RANK(K424,$K$5:$K$430))</f>
        <v>132</v>
      </c>
      <c r="M424" s="25" t="n">
        <v>0.199335548172758</v>
      </c>
      <c r="N424" s="19" t="n">
        <v>72.7</v>
      </c>
      <c r="O424" s="17" t="n">
        <f aca="false">IF(N424="","",RANK(N424,$N$5:$N$430))</f>
        <v>106</v>
      </c>
      <c r="P424" s="17" t="str">
        <f aca="false">IF(AND(N(H424)&gt;=N(K424),N(H424)&gt;=N(N424)),"The Pulse",IF(N(K424)&gt;=N(N424),"The Lens","The Hub"))</f>
        <v>The Hub</v>
      </c>
      <c r="Q424" s="21" t="s">
        <v>79</v>
      </c>
      <c r="R424" s="26" t="s">
        <v>822</v>
      </c>
      <c r="S424" s="17" t="s">
        <v>88</v>
      </c>
    </row>
    <row r="425" customFormat="false" ht="15" hidden="false" customHeight="false" outlineLevel="0" collapsed="false">
      <c r="A425" s="17" t="s">
        <v>431</v>
      </c>
      <c r="B425" s="17" t="s">
        <v>432</v>
      </c>
      <c r="C425" s="17" t="s">
        <v>1587</v>
      </c>
      <c r="D425" s="17" t="s">
        <v>91</v>
      </c>
      <c r="E425" s="18" t="n">
        <v>130290</v>
      </c>
      <c r="F425" s="17" t="s">
        <v>827</v>
      </c>
      <c r="G425" s="23" t="n">
        <v>0.100502053856686</v>
      </c>
      <c r="H425" s="19" t="n">
        <v>1.9</v>
      </c>
      <c r="I425" s="17" t="n">
        <f aca="false">IF(H425="","",RANK(H425,$H$5:$H$430))</f>
        <v>421</v>
      </c>
      <c r="J425" s="24" t="n">
        <v>0.167682380354902</v>
      </c>
      <c r="K425" s="19" t="n">
        <v>83.6</v>
      </c>
      <c r="L425" s="17" t="n">
        <f aca="false">IF(K425="","",RANK(K425,$K$5:$K$430))</f>
        <v>71</v>
      </c>
      <c r="M425" s="25" t="n">
        <v>0.204819277108434</v>
      </c>
      <c r="N425" s="19" t="n">
        <v>75.1</v>
      </c>
      <c r="O425" s="17" t="n">
        <f aca="false">IF(N425="","",RANK(N425,$N$5:$N$430))</f>
        <v>96</v>
      </c>
      <c r="P425" s="17" t="str">
        <f aca="false">IF(AND(N(H425)&gt;=N(K425),N(H425)&gt;=N(N425)),"The Pulse",IF(N(K425)&gt;=N(N425),"The Lens","The Hub"))</f>
        <v>The Lens</v>
      </c>
      <c r="Q425" s="21" t="s">
        <v>79</v>
      </c>
      <c r="R425" s="26" t="s">
        <v>822</v>
      </c>
      <c r="S425" s="17" t="s">
        <v>88</v>
      </c>
    </row>
    <row r="426" customFormat="false" ht="15" hidden="false" customHeight="false" outlineLevel="0" collapsed="false">
      <c r="A426" s="17" t="s">
        <v>553</v>
      </c>
      <c r="B426" s="17" t="s">
        <v>554</v>
      </c>
      <c r="C426" s="17" t="s">
        <v>1588</v>
      </c>
      <c r="D426" s="17" t="s">
        <v>95</v>
      </c>
      <c r="E426" s="18" t="n">
        <v>56720</v>
      </c>
      <c r="F426" s="17" t="s">
        <v>821</v>
      </c>
      <c r="G426" s="23" t="n">
        <v>0.0945698166431594</v>
      </c>
      <c r="H426" s="19" t="n">
        <v>1.5</v>
      </c>
      <c r="I426" s="17" t="n">
        <f aca="false">IF(H426="","",RANK(H426,$H$5:$H$430))</f>
        <v>422</v>
      </c>
      <c r="J426" s="24" t="n">
        <v>0.171174891596118</v>
      </c>
      <c r="K426" s="19" t="n">
        <v>83.5</v>
      </c>
      <c r="L426" s="17" t="n">
        <f aca="false">IF(K426="","",RANK(K426,$K$5:$K$430))</f>
        <v>72</v>
      </c>
      <c r="M426" s="25" t="n">
        <v>0.408839779005525</v>
      </c>
      <c r="N426" s="19" t="n">
        <v>98.4</v>
      </c>
      <c r="O426" s="17" t="n">
        <f aca="false">IF(N426="","",RANK(N426,$N$5:$N$430))</f>
        <v>7</v>
      </c>
      <c r="P426" s="17" t="str">
        <f aca="false">IF(AND(N(H426)&gt;=N(K426),N(H426)&gt;=N(N426)),"The Pulse",IF(N(K426)&gt;=N(N426),"The Lens","The Hub"))</f>
        <v>The Hub</v>
      </c>
      <c r="Q426" s="20" t="s">
        <v>74</v>
      </c>
      <c r="R426" s="26" t="s">
        <v>822</v>
      </c>
      <c r="S426" s="17" t="s">
        <v>24</v>
      </c>
    </row>
    <row r="427" customFormat="false" ht="15" hidden="false" customHeight="false" outlineLevel="0" collapsed="false">
      <c r="A427" s="17" t="s">
        <v>1589</v>
      </c>
      <c r="B427" s="17" t="s">
        <v>1590</v>
      </c>
      <c r="C427" s="17" t="s">
        <v>1591</v>
      </c>
      <c r="D427" s="17" t="s">
        <v>115</v>
      </c>
      <c r="E427" s="18" t="n">
        <v>141250</v>
      </c>
      <c r="F427" s="17" t="s">
        <v>827</v>
      </c>
      <c r="G427" s="23" t="n">
        <v>0.0908955752212389</v>
      </c>
      <c r="H427" s="19" t="n">
        <v>1.3</v>
      </c>
      <c r="I427" s="17" t="n">
        <f aca="false">IF(H427="","",RANK(H427,$H$5:$H$430))</f>
        <v>423</v>
      </c>
      <c r="J427" s="24" t="n">
        <v>0.0422046779310854</v>
      </c>
      <c r="K427" s="19" t="n">
        <v>25.7</v>
      </c>
      <c r="L427" s="17" t="n">
        <f aca="false">IF(K427="","",RANK(K427,$K$5:$K$430))</f>
        <v>308</v>
      </c>
      <c r="M427" s="25" t="n">
        <v>0.0320366132723112</v>
      </c>
      <c r="N427" s="19" t="n">
        <v>10</v>
      </c>
      <c r="O427" s="17" t="n">
        <f aca="false">IF(N427="","",RANK(N427,$N$5:$N$430))</f>
        <v>347</v>
      </c>
      <c r="P427" s="17" t="str">
        <f aca="false">IF(AND(N(H427)&gt;=N(K427),N(H427)&gt;=N(N427)),"The Pulse",IF(N(K427)&gt;=N(N427),"The Lens","The Hub"))</f>
        <v>The Lens</v>
      </c>
      <c r="Q427" s="21" t="s">
        <v>79</v>
      </c>
      <c r="R427" s="27" t="s">
        <v>832</v>
      </c>
      <c r="S427" s="17" t="s">
        <v>88</v>
      </c>
    </row>
    <row r="428" customFormat="false" ht="15" hidden="false" customHeight="false" outlineLevel="0" collapsed="false">
      <c r="A428" s="17" t="s">
        <v>667</v>
      </c>
      <c r="B428" s="17" t="s">
        <v>668</v>
      </c>
      <c r="C428" s="17" t="s">
        <v>1592</v>
      </c>
      <c r="D428" s="17" t="s">
        <v>82</v>
      </c>
      <c r="E428" s="18" t="n">
        <v>88040</v>
      </c>
      <c r="F428" s="17" t="s">
        <v>821</v>
      </c>
      <c r="G428" s="23" t="n">
        <v>0.0738073602907769</v>
      </c>
      <c r="H428" s="19" t="n">
        <v>0.8</v>
      </c>
      <c r="I428" s="17" t="n">
        <f aca="false">IF(H428="","",RANK(H428,$H$5:$H$430))</f>
        <v>424</v>
      </c>
      <c r="J428" s="24" t="n">
        <v>0.0536282714634626</v>
      </c>
      <c r="K428" s="19" t="n">
        <v>30.9</v>
      </c>
      <c r="L428" s="17" t="n">
        <f aca="false">IF(K428="","",RANK(K428,$K$5:$K$430))</f>
        <v>286</v>
      </c>
      <c r="M428" s="25" t="n">
        <v>0.149746192893401</v>
      </c>
      <c r="N428" s="19" t="n">
        <v>57.8</v>
      </c>
      <c r="O428" s="17" t="n">
        <f aca="false">IF(N428="","",RANK(N428,$N$5:$N$430))</f>
        <v>160</v>
      </c>
      <c r="P428" s="17" t="str">
        <f aca="false">IF(AND(N(H428)&gt;=N(K428),N(H428)&gt;=N(N428)),"The Pulse",IF(N(K428)&gt;=N(N428),"The Lens","The Hub"))</f>
        <v>The Hub</v>
      </c>
      <c r="Q428" s="21" t="s">
        <v>79</v>
      </c>
      <c r="R428" s="26" t="s">
        <v>822</v>
      </c>
      <c r="S428" s="17" t="s">
        <v>88</v>
      </c>
    </row>
    <row r="429" customFormat="false" ht="15" hidden="false" customHeight="false" outlineLevel="0" collapsed="false">
      <c r="A429" s="17" t="s">
        <v>1593</v>
      </c>
      <c r="B429" s="17" t="s">
        <v>1594</v>
      </c>
      <c r="C429" s="17" t="s">
        <v>1595</v>
      </c>
      <c r="D429" s="17" t="s">
        <v>162</v>
      </c>
      <c r="E429" s="18" t="n">
        <v>21250</v>
      </c>
      <c r="F429" s="17" t="s">
        <v>821</v>
      </c>
      <c r="G429" s="23" t="n">
        <v>0.063764705882353</v>
      </c>
      <c r="H429" s="19" t="n">
        <v>0.4</v>
      </c>
      <c r="I429" s="17" t="n">
        <f aca="false">IF(H429="","",RANK(H429,$H$5:$H$430))</f>
        <v>425</v>
      </c>
      <c r="J429" s="24" t="n">
        <v>0.241238317757009</v>
      </c>
      <c r="K429" s="19" t="n">
        <v>97.6</v>
      </c>
      <c r="L429" s="17" t="n">
        <f aca="false">IF(K429="","",RANK(K429,$K$5:$K$430))</f>
        <v>13</v>
      </c>
      <c r="M429" s="25" t="n">
        <v>0.425531914893617</v>
      </c>
      <c r="N429" s="19" t="n">
        <v>99.1</v>
      </c>
      <c r="O429" s="17" t="n">
        <f aca="false">IF(N429="","",RANK(N429,$N$5:$N$430))</f>
        <v>5</v>
      </c>
      <c r="P429" s="17" t="str">
        <f aca="false">IF(AND(N(H429)&gt;=N(K429),N(H429)&gt;=N(N429)),"The Pulse",IF(N(K429)&gt;=N(N429),"The Lens","The Hub"))</f>
        <v>The Hub</v>
      </c>
      <c r="Q429" s="20" t="s">
        <v>74</v>
      </c>
      <c r="R429" s="27" t="s">
        <v>832</v>
      </c>
      <c r="S429" s="17" t="s">
        <v>24</v>
      </c>
    </row>
    <row r="430" customFormat="false" ht="15" hidden="false" customHeight="false" outlineLevel="0" collapsed="false">
      <c r="A430" s="17" t="s">
        <v>425</v>
      </c>
      <c r="B430" s="17" t="s">
        <v>426</v>
      </c>
      <c r="C430" s="17" t="s">
        <v>1596</v>
      </c>
      <c r="D430" s="17" t="s">
        <v>95</v>
      </c>
      <c r="E430" s="18" t="n">
        <v>33280</v>
      </c>
      <c r="F430" s="17" t="s">
        <v>821</v>
      </c>
      <c r="G430" s="23" t="n">
        <v>0.05625</v>
      </c>
      <c r="H430" s="19" t="n">
        <v>0.2</v>
      </c>
      <c r="I430" s="17" t="n">
        <f aca="false">IF(H430="","",RANK(H430,$H$5:$H$430))</f>
        <v>426</v>
      </c>
      <c r="J430" s="24" t="n">
        <v>0.213270142180095</v>
      </c>
      <c r="K430" s="19" t="n">
        <v>93.8</v>
      </c>
      <c r="L430" s="17" t="n">
        <f aca="false">IF(K430="","",RANK(K430,$K$5:$K$430))</f>
        <v>29</v>
      </c>
      <c r="M430" s="25" t="n">
        <v>0.117647058823529</v>
      </c>
      <c r="N430" s="19" t="n">
        <v>43.8</v>
      </c>
      <c r="O430" s="17" t="n">
        <f aca="false">IF(N430="","",RANK(N430,$N$5:$N$430))</f>
        <v>216</v>
      </c>
      <c r="P430" s="17" t="str">
        <f aca="false">IF(AND(N(H430)&gt;=N(K430),N(H430)&gt;=N(N430)),"The Pulse",IF(N(K430)&gt;=N(N430),"The Lens","The Hub"))</f>
        <v>The Lens</v>
      </c>
      <c r="Q430" s="20" t="s">
        <v>74</v>
      </c>
      <c r="R430" s="26" t="s">
        <v>822</v>
      </c>
      <c r="S430" s="17" t="s">
        <v>24</v>
      </c>
    </row>
  </sheetData>
  <autoFilter ref="A4:S430"/>
  <conditionalFormatting sqref="H5:H430">
    <cfRule type="colorScale" priority="2">
      <colorScale>
        <cfvo type="num" val="0"/>
        <cfvo type="num" val="100"/>
        <color rgb="FFFFFFFF"/>
        <color rgb="FFF97316"/>
      </colorScale>
    </cfRule>
  </conditionalFormatting>
  <conditionalFormatting sqref="K5:K430">
    <cfRule type="colorScale" priority="3">
      <colorScale>
        <cfvo type="num" val="0"/>
        <cfvo type="num" val="100"/>
        <color rgb="FFFFFFFF"/>
        <color rgb="FFF97316"/>
      </colorScale>
    </cfRule>
  </conditionalFormatting>
  <conditionalFormatting sqref="N5:N430">
    <cfRule type="colorScale" priority="4">
      <colorScale>
        <cfvo type="num" val="0"/>
        <cfvo type="num" val="100"/>
        <color rgb="FFFFFFFF"/>
        <color rgb="FFF9731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24"/>
    <col collapsed="false" customWidth="true" hidden="false" outlineLevel="0" max="4" min="4" style="0" width="9"/>
    <col collapsed="false" customWidth="true" hidden="false" outlineLevel="0" max="5" min="5" style="0" width="12"/>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9"/>
    <col collapsed="false" customWidth="true" hidden="false" outlineLevel="0" max="10" min="10" style="0" width="13"/>
    <col collapsed="false" customWidth="true" hidden="false" outlineLevel="0" max="11" min="11" style="0" width="10"/>
    <col collapsed="false" customWidth="true" hidden="false" outlineLevel="0" max="12" min="12" style="0" width="9"/>
    <col collapsed="false" customWidth="true" hidden="false" outlineLevel="0" max="13" min="13" style="0" width="13"/>
    <col collapsed="false" customWidth="true" hidden="false" outlineLevel="0" max="14" min="14" style="0" width="10"/>
    <col collapsed="false" customWidth="true" hidden="false" outlineLevel="0" max="15" min="15" style="0" width="9"/>
    <col collapsed="false" customWidth="true" hidden="false" outlineLevel="0" max="16" min="16" style="0" width="13"/>
    <col collapsed="false" customWidth="true" hidden="false" outlineLevel="0" max="17" min="17" style="0" width="11"/>
    <col collapsed="false" customWidth="true" hidden="false" outlineLevel="0" max="18" min="18" style="0" width="13"/>
    <col collapsed="false" customWidth="true" hidden="false" outlineLevel="0" max="19" min="19" style="0" width="22"/>
  </cols>
  <sheetData>
    <row r="1" customFormat="false" ht="17.35" hidden="false" customHeight="false" outlineLevel="0" collapsed="false">
      <c r="A1" s="1" t="s">
        <v>1597</v>
      </c>
      <c r="B1" s="2"/>
      <c r="C1" s="2"/>
      <c r="D1" s="2"/>
      <c r="E1" s="2"/>
      <c r="F1" s="2"/>
      <c r="G1" s="2"/>
      <c r="H1" s="2"/>
      <c r="I1" s="2"/>
      <c r="J1" s="2"/>
      <c r="K1" s="2"/>
      <c r="L1" s="2"/>
      <c r="M1" s="2"/>
      <c r="N1" s="2"/>
      <c r="O1" s="2"/>
      <c r="P1" s="2"/>
      <c r="Q1" s="2"/>
      <c r="R1" s="2"/>
      <c r="S1" s="2"/>
    </row>
    <row r="2" customFormat="false" ht="15" hidden="false" customHeight="false" outlineLevel="0" collapsed="false">
      <c r="A2" s="3" t="s">
        <v>812</v>
      </c>
      <c r="B2" s="2"/>
      <c r="C2" s="2"/>
      <c r="D2" s="2"/>
      <c r="E2" s="2"/>
      <c r="F2" s="2"/>
      <c r="G2" s="2"/>
      <c r="H2" s="2"/>
      <c r="I2" s="2"/>
      <c r="J2" s="2"/>
      <c r="K2" s="2"/>
      <c r="L2" s="2"/>
      <c r="M2" s="2"/>
      <c r="N2" s="2"/>
      <c r="O2" s="2"/>
      <c r="P2" s="2"/>
      <c r="Q2" s="2"/>
      <c r="R2" s="2"/>
      <c r="S2" s="2"/>
    </row>
    <row r="3" customFormat="false" ht="15" hidden="false" customHeight="false" outlineLevel="0" collapsed="false">
      <c r="A3" s="2"/>
      <c r="B3" s="2"/>
      <c r="C3" s="2"/>
      <c r="D3" s="2"/>
      <c r="E3" s="2"/>
      <c r="F3" s="2"/>
      <c r="G3" s="2"/>
      <c r="H3" s="2"/>
      <c r="I3" s="2"/>
      <c r="J3" s="2"/>
      <c r="K3" s="2"/>
      <c r="L3" s="2"/>
      <c r="M3" s="2"/>
      <c r="N3" s="2"/>
      <c r="O3" s="2"/>
      <c r="P3" s="2"/>
      <c r="Q3" s="2"/>
      <c r="R3" s="2"/>
      <c r="S3" s="2"/>
    </row>
    <row r="4" customFormat="false" ht="31.5" hidden="false" customHeight="true" outlineLevel="0" collapsed="false">
      <c r="A4" s="8" t="s">
        <v>55</v>
      </c>
      <c r="B4" s="8" t="s">
        <v>56</v>
      </c>
      <c r="C4" s="8" t="s">
        <v>813</v>
      </c>
      <c r="D4" s="8" t="s">
        <v>57</v>
      </c>
      <c r="E4" s="8" t="s">
        <v>814</v>
      </c>
      <c r="F4" s="8" t="s">
        <v>815</v>
      </c>
      <c r="G4" s="10" t="s">
        <v>816</v>
      </c>
      <c r="H4" s="10" t="s">
        <v>61</v>
      </c>
      <c r="I4" s="10" t="s">
        <v>62</v>
      </c>
      <c r="J4" s="10" t="s">
        <v>817</v>
      </c>
      <c r="K4" s="10" t="s">
        <v>63</v>
      </c>
      <c r="L4" s="10" t="s">
        <v>64</v>
      </c>
      <c r="M4" s="10" t="s">
        <v>818</v>
      </c>
      <c r="N4" s="10" t="s">
        <v>65</v>
      </c>
      <c r="O4" s="10" t="s">
        <v>66</v>
      </c>
      <c r="P4" s="8" t="s">
        <v>67</v>
      </c>
      <c r="Q4" s="8" t="s">
        <v>68</v>
      </c>
      <c r="R4" s="8" t="s">
        <v>819</v>
      </c>
      <c r="S4" s="8" t="s">
        <v>69</v>
      </c>
    </row>
    <row r="5" customFormat="false" ht="15" hidden="false" customHeight="false" outlineLevel="0" collapsed="false">
      <c r="A5" s="17" t="s">
        <v>1598</v>
      </c>
      <c r="B5" s="17" t="s">
        <v>1599</v>
      </c>
      <c r="C5" s="17" t="s">
        <v>1600</v>
      </c>
      <c r="D5" s="17" t="s">
        <v>72</v>
      </c>
      <c r="E5" s="18" t="n">
        <v>5020</v>
      </c>
      <c r="F5" s="17" t="s">
        <v>825</v>
      </c>
      <c r="G5" s="23" t="n">
        <v>25.6215139442231</v>
      </c>
      <c r="H5" s="19" t="n">
        <v>100</v>
      </c>
      <c r="I5" s="17" t="n">
        <f aca="false">IF(H5="","",RANK(H5,$H$5:$H$389))</f>
        <v>1</v>
      </c>
      <c r="J5" s="24" t="n">
        <v>0.123042505592841</v>
      </c>
      <c r="K5" s="19" t="n">
        <v>56.6</v>
      </c>
      <c r="L5" s="17" t="n">
        <f aca="false">IF(K5="","",RANK(K5,$K$5:$K$389))</f>
        <v>169</v>
      </c>
      <c r="M5" s="25" t="n">
        <v>0.266773162939297</v>
      </c>
      <c r="N5" s="19" t="n">
        <v>83.9</v>
      </c>
      <c r="O5" s="17" t="n">
        <f aca="false">IF(N5="","",RANK(N5,$N$5:$N$389))</f>
        <v>62</v>
      </c>
      <c r="P5" s="17" t="str">
        <f aca="false">IF(AND(N(H5)&gt;=N(K5),N(H5)&gt;=N(N5)),"The Pulse",IF(N(K5)&gt;=N(N5),"The Lens","The Hub"))</f>
        <v>The Pulse</v>
      </c>
      <c r="Q5" s="21" t="s">
        <v>79</v>
      </c>
      <c r="R5" s="27" t="s">
        <v>832</v>
      </c>
      <c r="S5" s="17" t="s">
        <v>88</v>
      </c>
    </row>
    <row r="6" customFormat="false" ht="15" hidden="false" customHeight="false" outlineLevel="0" collapsed="false">
      <c r="A6" s="17" t="s">
        <v>247</v>
      </c>
      <c r="B6" s="17" t="s">
        <v>248</v>
      </c>
      <c r="C6" s="17" t="s">
        <v>1601</v>
      </c>
      <c r="D6" s="17" t="s">
        <v>123</v>
      </c>
      <c r="E6" s="18" t="n">
        <v>410680</v>
      </c>
      <c r="F6" s="17" t="s">
        <v>827</v>
      </c>
      <c r="G6" s="23" t="n">
        <v>19.6092943410928</v>
      </c>
      <c r="H6" s="19" t="n">
        <v>99.8</v>
      </c>
      <c r="I6" s="17" t="n">
        <f aca="false">IF(H6="","",RANK(H6,$H$5:$H$389))</f>
        <v>2</v>
      </c>
      <c r="J6" s="24" t="n">
        <v>0.129234491860977</v>
      </c>
      <c r="K6" s="19" t="n">
        <v>75.2</v>
      </c>
      <c r="L6" s="17" t="n">
        <f aca="false">IF(K6="","",RANK(K6,$K$5:$K$389))</f>
        <v>93</v>
      </c>
      <c r="M6" s="25" t="n">
        <v>0.274063415957622</v>
      </c>
      <c r="N6" s="19" t="n">
        <v>85.2</v>
      </c>
      <c r="O6" s="17" t="n">
        <f aca="false">IF(N6="","",RANK(N6,$N$5:$N$389))</f>
        <v>56</v>
      </c>
      <c r="P6" s="17" t="str">
        <f aca="false">IF(AND(N(H6)&gt;=N(K6),N(H6)&gt;=N(N6)),"The Pulse",IF(N(K6)&gt;=N(N6),"The Lens","The Hub"))</f>
        <v>The Pulse</v>
      </c>
      <c r="Q6" s="20" t="s">
        <v>74</v>
      </c>
      <c r="R6" s="26" t="s">
        <v>822</v>
      </c>
      <c r="S6" s="17" t="s">
        <v>24</v>
      </c>
    </row>
    <row r="7" customFormat="false" ht="15" hidden="false" customHeight="false" outlineLevel="0" collapsed="false">
      <c r="A7" s="17" t="s">
        <v>145</v>
      </c>
      <c r="B7" s="17" t="s">
        <v>146</v>
      </c>
      <c r="C7" s="17" t="s">
        <v>1602</v>
      </c>
      <c r="D7" s="17" t="s">
        <v>86</v>
      </c>
      <c r="E7" s="18" t="n">
        <v>201170</v>
      </c>
      <c r="F7" s="17" t="s">
        <v>827</v>
      </c>
      <c r="G7" s="23" t="n">
        <v>18.1730178456032</v>
      </c>
      <c r="H7" s="19" t="n">
        <v>99.6</v>
      </c>
      <c r="I7" s="17" t="n">
        <f aca="false">IF(H7="","",RANK(H7,$H$5:$H$389))</f>
        <v>3</v>
      </c>
      <c r="J7" s="24" t="n">
        <v>-0.0210705596107056</v>
      </c>
      <c r="K7" s="19" t="n">
        <v>7.6</v>
      </c>
      <c r="L7" s="17" t="n">
        <f aca="false">IF(K7="","",RANK(K7,$K$5:$K$389))</f>
        <v>359</v>
      </c>
      <c r="M7" s="25" t="n">
        <v>0.211542547786</v>
      </c>
      <c r="N7" s="19" t="n">
        <v>71.5</v>
      </c>
      <c r="O7" s="17" t="n">
        <f aca="false">IF(N7="","",RANK(N7,$N$5:$N$389))</f>
        <v>111</v>
      </c>
      <c r="P7" s="17" t="str">
        <f aca="false">IF(AND(N(H7)&gt;=N(K7),N(H7)&gt;=N(N7)),"The Pulse",IF(N(K7)&gt;=N(N7),"The Lens","The Hub"))</f>
        <v>The Pulse</v>
      </c>
      <c r="Q7" s="20" t="s">
        <v>74</v>
      </c>
      <c r="R7" s="26" t="s">
        <v>822</v>
      </c>
      <c r="S7" s="17" t="s">
        <v>24</v>
      </c>
    </row>
    <row r="8" customFormat="false" ht="15" hidden="false" customHeight="false" outlineLevel="0" collapsed="false">
      <c r="A8" s="17" t="s">
        <v>858</v>
      </c>
      <c r="B8" s="17" t="s">
        <v>859</v>
      </c>
      <c r="C8" s="17" t="s">
        <v>1603</v>
      </c>
      <c r="D8" s="17" t="s">
        <v>82</v>
      </c>
      <c r="E8" s="18" t="n">
        <v>37019</v>
      </c>
      <c r="F8" s="17" t="s">
        <v>821</v>
      </c>
      <c r="G8" s="23" t="n">
        <v>17.8501040006483</v>
      </c>
      <c r="H8" s="19" t="n">
        <v>99.4</v>
      </c>
      <c r="I8" s="17" t="n">
        <f aca="false">IF(H8="","",RANK(H8,$H$5:$H$389))</f>
        <v>4</v>
      </c>
      <c r="J8" s="24" t="n">
        <v>0.0854420172995162</v>
      </c>
      <c r="K8" s="19" t="n">
        <v>51.6</v>
      </c>
      <c r="L8" s="17" t="n">
        <f aca="false">IF(K8="","",RANK(K8,$K$5:$K$389))</f>
        <v>189</v>
      </c>
      <c r="M8" s="25" t="n">
        <v>0.183887513716284</v>
      </c>
      <c r="N8" s="19" t="n">
        <v>65.3</v>
      </c>
      <c r="O8" s="17" t="n">
        <f aca="false">IF(N8="","",RANK(N8,$N$5:$N$389))</f>
        <v>138</v>
      </c>
      <c r="P8" s="17" t="str">
        <f aca="false">IF(AND(N(H8)&gt;=N(K8),N(H8)&gt;=N(N8)),"The Pulse",IF(N(K8)&gt;=N(N8),"The Lens","The Hub"))</f>
        <v>The Pulse</v>
      </c>
      <c r="Q8" s="22" t="s">
        <v>109</v>
      </c>
      <c r="R8" s="27" t="s">
        <v>832</v>
      </c>
      <c r="S8" s="17" t="s">
        <v>155</v>
      </c>
    </row>
    <row r="9" customFormat="false" ht="15" hidden="false" customHeight="false" outlineLevel="0" collapsed="false">
      <c r="A9" s="17" t="s">
        <v>1604</v>
      </c>
      <c r="B9" s="17" t="s">
        <v>1605</v>
      </c>
      <c r="C9" s="17" t="s">
        <v>1606</v>
      </c>
      <c r="D9" s="17" t="s">
        <v>72</v>
      </c>
      <c r="E9" s="18" t="n">
        <v>17460</v>
      </c>
      <c r="F9" s="17" t="s">
        <v>821</v>
      </c>
      <c r="G9" s="23" t="n">
        <v>17.8077319587629</v>
      </c>
      <c r="H9" s="19" t="n">
        <v>99.2</v>
      </c>
      <c r="I9" s="17" t="n">
        <f aca="false">IF(H9="","",RANK(H9,$H$5:$H$389))</f>
        <v>5</v>
      </c>
      <c r="J9" s="24" t="n">
        <v>0.167892976588629</v>
      </c>
      <c r="K9" s="19" t="n">
        <v>85.1</v>
      </c>
      <c r="L9" s="17" t="n">
        <f aca="false">IF(K9="","",RANK(K9,$K$5:$K$389))</f>
        <v>55</v>
      </c>
      <c r="M9" s="25" t="n">
        <v>0.0309359433714935</v>
      </c>
      <c r="N9" s="19" t="n">
        <v>6.8</v>
      </c>
      <c r="O9" s="17" t="n">
        <f aca="false">IF(N9="","",RANK(N9,$N$5:$N$389))</f>
        <v>358</v>
      </c>
      <c r="P9" s="17" t="str">
        <f aca="false">IF(AND(N(H9)&gt;=N(K9),N(H9)&gt;=N(N9)),"The Pulse",IF(N(K9)&gt;=N(N9),"The Lens","The Hub"))</f>
        <v>The Pulse</v>
      </c>
      <c r="Q9" s="20" t="s">
        <v>74</v>
      </c>
      <c r="R9" s="27" t="s">
        <v>832</v>
      </c>
      <c r="S9" s="17" t="s">
        <v>24</v>
      </c>
    </row>
    <row r="10" customFormat="false" ht="15" hidden="false" customHeight="false" outlineLevel="0" collapsed="false">
      <c r="A10" s="17" t="s">
        <v>341</v>
      </c>
      <c r="B10" s="17" t="s">
        <v>342</v>
      </c>
      <c r="C10" s="17" t="s">
        <v>1607</v>
      </c>
      <c r="D10" s="17" t="s">
        <v>82</v>
      </c>
      <c r="E10" s="18" t="n">
        <v>14650</v>
      </c>
      <c r="F10" s="17" t="s">
        <v>821</v>
      </c>
      <c r="G10" s="23" t="n">
        <v>16.9550853242321</v>
      </c>
      <c r="H10" s="19" t="n">
        <v>98.8</v>
      </c>
      <c r="I10" s="17" t="n">
        <f aca="false">IF(H10="","",RANK(H10,$H$5:$H$389))</f>
        <v>6</v>
      </c>
      <c r="J10" s="24" t="n">
        <v>0.145426114151681</v>
      </c>
      <c r="K10" s="19" t="n">
        <v>78.9</v>
      </c>
      <c r="L10" s="17" t="n">
        <f aca="false">IF(K10="","",RANK(K10,$K$5:$K$389))</f>
        <v>78</v>
      </c>
      <c r="M10" s="25" t="n">
        <v>0.324214987478328</v>
      </c>
      <c r="N10" s="19" t="n">
        <v>92.1</v>
      </c>
      <c r="O10" s="17" t="n">
        <f aca="false">IF(N10="","",RANK(N10,$N$5:$N$389))</f>
        <v>32</v>
      </c>
      <c r="P10" s="17" t="str">
        <f aca="false">IF(AND(N(H10)&gt;=N(K10),N(H10)&gt;=N(N10)),"The Pulse",IF(N(K10)&gt;=N(N10),"The Lens","The Hub"))</f>
        <v>The Pulse</v>
      </c>
      <c r="Q10" s="20" t="s">
        <v>74</v>
      </c>
      <c r="R10" s="26" t="s">
        <v>822</v>
      </c>
      <c r="S10" s="17" t="s">
        <v>24</v>
      </c>
    </row>
    <row r="11" customFormat="false" ht="15" hidden="false" customHeight="false" outlineLevel="0" collapsed="false">
      <c r="A11" s="17" t="s">
        <v>273</v>
      </c>
      <c r="B11" s="17" t="s">
        <v>274</v>
      </c>
      <c r="C11" s="17" t="s">
        <v>1608</v>
      </c>
      <c r="D11" s="17" t="s">
        <v>91</v>
      </c>
      <c r="E11" s="18" t="n">
        <v>844210</v>
      </c>
      <c r="F11" s="17" t="s">
        <v>827</v>
      </c>
      <c r="G11" s="23" t="n">
        <v>15.9878039824214</v>
      </c>
      <c r="H11" s="19" t="n">
        <v>98.6</v>
      </c>
      <c r="I11" s="17" t="n">
        <f aca="false">IF(H11="","",RANK(H11,$H$5:$H$389))</f>
        <v>7</v>
      </c>
      <c r="J11" s="24" t="n">
        <v>0.050744299512098</v>
      </c>
      <c r="K11" s="19" t="n">
        <v>35.7</v>
      </c>
      <c r="L11" s="17" t="n">
        <f aca="false">IF(K11="","",RANK(K11,$K$5:$K$389))</f>
        <v>253</v>
      </c>
      <c r="M11" s="25" t="n">
        <v>0.0563931705003557</v>
      </c>
      <c r="N11" s="19" t="n">
        <v>13.7</v>
      </c>
      <c r="O11" s="17" t="n">
        <f aca="false">IF(N11="","",RANK(N11,$N$5:$N$389))</f>
        <v>331</v>
      </c>
      <c r="P11" s="17" t="str">
        <f aca="false">IF(AND(N(H11)&gt;=N(K11),N(H11)&gt;=N(N11)),"The Pulse",IF(N(K11)&gt;=N(N11),"The Lens","The Hub"))</f>
        <v>The Pulse</v>
      </c>
      <c r="Q11" s="20" t="s">
        <v>74</v>
      </c>
      <c r="R11" s="26" t="s">
        <v>822</v>
      </c>
      <c r="S11" s="17" t="s">
        <v>24</v>
      </c>
    </row>
    <row r="12" customFormat="false" ht="15" hidden="false" customHeight="false" outlineLevel="0" collapsed="false">
      <c r="A12" s="17" t="s">
        <v>1609</v>
      </c>
      <c r="B12" s="17" t="s">
        <v>1610</v>
      </c>
      <c r="C12" s="17" t="s">
        <v>1611</v>
      </c>
      <c r="D12" s="17" t="s">
        <v>91</v>
      </c>
      <c r="E12" s="18" t="n">
        <v>64513</v>
      </c>
      <c r="F12" s="17" t="s">
        <v>821</v>
      </c>
      <c r="G12" s="23" t="n">
        <v>15.7657991412584</v>
      </c>
      <c r="H12" s="19" t="n">
        <v>98.4</v>
      </c>
      <c r="I12" s="17" t="n">
        <f aca="false">IF(H12="","",RANK(H12,$H$5:$H$389))</f>
        <v>8</v>
      </c>
      <c r="J12" s="24" t="n">
        <v>-0.030885246886689</v>
      </c>
      <c r="K12" s="19" t="n">
        <v>6.9</v>
      </c>
      <c r="L12" s="17" t="n">
        <f aca="false">IF(K12="","",RANK(K12,$K$5:$K$389))</f>
        <v>361</v>
      </c>
      <c r="M12" s="25" t="n">
        <v>0.440091159209796</v>
      </c>
      <c r="N12" s="19" t="n">
        <v>98.5</v>
      </c>
      <c r="O12" s="17" t="n">
        <f aca="false">IF(N12="","",RANK(N12,$N$5:$N$389))</f>
        <v>7</v>
      </c>
      <c r="P12" s="17" t="str">
        <f aca="false">IF(AND(N(H12)&gt;=N(K12),N(H12)&gt;=N(N12)),"The Pulse",IF(N(K12)&gt;=N(N12),"The Lens","The Hub"))</f>
        <v>The Hub</v>
      </c>
      <c r="Q12" s="21" t="s">
        <v>79</v>
      </c>
      <c r="R12" s="27" t="s">
        <v>832</v>
      </c>
      <c r="S12" s="17" t="s">
        <v>22</v>
      </c>
    </row>
    <row r="13" customFormat="false" ht="15" hidden="false" customHeight="false" outlineLevel="0" collapsed="false">
      <c r="A13" s="17" t="s">
        <v>299</v>
      </c>
      <c r="B13" s="17" t="s">
        <v>300</v>
      </c>
      <c r="C13" s="17" t="s">
        <v>1612</v>
      </c>
      <c r="D13" s="17" t="s">
        <v>72</v>
      </c>
      <c r="E13" s="18" t="n">
        <v>57158</v>
      </c>
      <c r="F13" s="17" t="s">
        <v>821</v>
      </c>
      <c r="G13" s="23" t="n">
        <v>15.7136183911264</v>
      </c>
      <c r="H13" s="19" t="n">
        <v>98.2</v>
      </c>
      <c r="I13" s="17" t="n">
        <f aca="false">IF(H13="","",RANK(H13,$H$5:$H$389))</f>
        <v>9</v>
      </c>
      <c r="J13" s="24" t="n">
        <v>0.176235749269457</v>
      </c>
      <c r="K13" s="19" t="n">
        <v>87.3</v>
      </c>
      <c r="L13" s="17" t="n">
        <f aca="false">IF(K13="","",RANK(K13,$K$5:$K$389))</f>
        <v>47</v>
      </c>
      <c r="M13" s="25" t="n">
        <v>0.266221744453403</v>
      </c>
      <c r="N13" s="19" t="n">
        <v>83.7</v>
      </c>
      <c r="O13" s="17" t="n">
        <f aca="false">IF(N13="","",RANK(N13,$N$5:$N$389))</f>
        <v>63</v>
      </c>
      <c r="P13" s="17" t="str">
        <f aca="false">IF(AND(N(H13)&gt;=N(K13),N(H13)&gt;=N(N13)),"The Pulse",IF(N(K13)&gt;=N(N13),"The Lens","The Hub"))</f>
        <v>The Pulse</v>
      </c>
      <c r="Q13" s="21" t="s">
        <v>79</v>
      </c>
      <c r="R13" s="26" t="s">
        <v>822</v>
      </c>
      <c r="S13" s="17" t="s">
        <v>22</v>
      </c>
    </row>
    <row r="14" customFormat="false" ht="15" hidden="false" customHeight="false" outlineLevel="0" collapsed="false">
      <c r="A14" s="17" t="s">
        <v>227</v>
      </c>
      <c r="B14" s="17" t="s">
        <v>228</v>
      </c>
      <c r="C14" s="17" t="s">
        <v>1613</v>
      </c>
      <c r="D14" s="17" t="s">
        <v>98</v>
      </c>
      <c r="E14" s="18" t="n">
        <v>54360</v>
      </c>
      <c r="F14" s="17" t="s">
        <v>821</v>
      </c>
      <c r="G14" s="23" t="n">
        <v>15.6263061074319</v>
      </c>
      <c r="H14" s="19" t="n">
        <v>98</v>
      </c>
      <c r="I14" s="17" t="n">
        <f aca="false">IF(H14="","",RANK(H14,$H$5:$H$389))</f>
        <v>10</v>
      </c>
      <c r="J14" s="24" t="n">
        <v>0.171299288946348</v>
      </c>
      <c r="K14" s="19" t="n">
        <v>85.8</v>
      </c>
      <c r="L14" s="17" t="n">
        <f aca="false">IF(K14="","",RANK(K14,$K$5:$K$389))</f>
        <v>52</v>
      </c>
      <c r="M14" s="25" t="n">
        <v>0.077877574577066</v>
      </c>
      <c r="N14" s="19" t="n">
        <v>24.5</v>
      </c>
      <c r="O14" s="17" t="n">
        <f aca="false">IF(N14="","",RANK(N14,$N$5:$N$389))</f>
        <v>292</v>
      </c>
      <c r="P14" s="17" t="str">
        <f aca="false">IF(AND(N(H14)&gt;=N(K14),N(H14)&gt;=N(N14)),"The Pulse",IF(N(K14)&gt;=N(N14),"The Lens","The Hub"))</f>
        <v>The Pulse</v>
      </c>
      <c r="Q14" s="20" t="s">
        <v>74</v>
      </c>
      <c r="R14" s="26" t="s">
        <v>822</v>
      </c>
      <c r="S14" s="17" t="s">
        <v>24</v>
      </c>
    </row>
    <row r="15" customFormat="false" ht="15" hidden="false" customHeight="false" outlineLevel="0" collapsed="false">
      <c r="A15" s="17" t="s">
        <v>103</v>
      </c>
      <c r="B15" s="17" t="s">
        <v>104</v>
      </c>
      <c r="C15" s="17" t="s">
        <v>1614</v>
      </c>
      <c r="D15" s="17" t="s">
        <v>95</v>
      </c>
      <c r="E15" s="18" t="n">
        <v>123830</v>
      </c>
      <c r="F15" s="17" t="s">
        <v>827</v>
      </c>
      <c r="G15" s="23" t="n">
        <v>15.6017927804248</v>
      </c>
      <c r="H15" s="19" t="n">
        <v>97.8</v>
      </c>
      <c r="I15" s="17" t="n">
        <f aca="false">IF(H15="","",RANK(H15,$H$5:$H$389))</f>
        <v>11</v>
      </c>
      <c r="J15" s="24" t="n">
        <v>0.0771572720946416</v>
      </c>
      <c r="K15" s="19" t="n">
        <v>51</v>
      </c>
      <c r="L15" s="17" t="n">
        <f aca="false">IF(K15="","",RANK(K15,$K$5:$K$389))</f>
        <v>192</v>
      </c>
      <c r="M15" s="25" t="n">
        <v>0.133263009845288</v>
      </c>
      <c r="N15" s="19" t="n">
        <v>50.6</v>
      </c>
      <c r="O15" s="17" t="n">
        <f aca="false">IF(N15="","",RANK(N15,$N$5:$N$389))</f>
        <v>190</v>
      </c>
      <c r="P15" s="17" t="str">
        <f aca="false">IF(AND(N(H15)&gt;=N(K15),N(H15)&gt;=N(N15)),"The Pulse",IF(N(K15)&gt;=N(N15),"The Lens","The Hub"))</f>
        <v>The Pulse</v>
      </c>
      <c r="Q15" s="20" t="s">
        <v>74</v>
      </c>
      <c r="R15" s="26" t="s">
        <v>822</v>
      </c>
      <c r="S15" s="17" t="s">
        <v>24</v>
      </c>
    </row>
    <row r="16" customFormat="false" ht="15" hidden="false" customHeight="false" outlineLevel="0" collapsed="false">
      <c r="A16" s="17" t="s">
        <v>181</v>
      </c>
      <c r="B16" s="17" t="s">
        <v>182</v>
      </c>
      <c r="C16" s="17" t="s">
        <v>1615</v>
      </c>
      <c r="D16" s="17" t="s">
        <v>115</v>
      </c>
      <c r="E16" s="18" t="n">
        <v>119732</v>
      </c>
      <c r="F16" s="17" t="s">
        <v>827</v>
      </c>
      <c r="G16" s="23" t="n">
        <v>15.0115591487656</v>
      </c>
      <c r="H16" s="19" t="n">
        <v>97.6</v>
      </c>
      <c r="I16" s="17" t="n">
        <f aca="false">IF(H16="","",RANK(H16,$H$5:$H$389))</f>
        <v>12</v>
      </c>
      <c r="J16" s="24" t="n">
        <v>0.0521542747172597</v>
      </c>
      <c r="K16" s="19" t="n">
        <v>36.9</v>
      </c>
      <c r="L16" s="17" t="n">
        <f aca="false">IF(K16="","",RANK(K16,$K$5:$K$389))</f>
        <v>249</v>
      </c>
      <c r="M16" s="25" t="n">
        <v>0.36907803710474</v>
      </c>
      <c r="N16" s="19" t="n">
        <v>95.6</v>
      </c>
      <c r="O16" s="17" t="n">
        <f aca="false">IF(N16="","",RANK(N16,$N$5:$N$389))</f>
        <v>19</v>
      </c>
      <c r="P16" s="17" t="str">
        <f aca="false">IF(AND(N(H16)&gt;=N(K16),N(H16)&gt;=N(N16)),"The Pulse",IF(N(K16)&gt;=N(N16),"The Lens","The Hub"))</f>
        <v>The Pulse</v>
      </c>
      <c r="Q16" s="22" t="s">
        <v>109</v>
      </c>
      <c r="R16" s="26" t="s">
        <v>822</v>
      </c>
      <c r="S16" s="17" t="s">
        <v>155</v>
      </c>
    </row>
    <row r="17" customFormat="false" ht="15" hidden="false" customHeight="false" outlineLevel="0" collapsed="false">
      <c r="A17" s="17" t="s">
        <v>409</v>
      </c>
      <c r="B17" s="17" t="s">
        <v>410</v>
      </c>
      <c r="C17" s="17" t="s">
        <v>1616</v>
      </c>
      <c r="D17" s="17" t="s">
        <v>95</v>
      </c>
      <c r="E17" s="18" t="n">
        <v>337180</v>
      </c>
      <c r="F17" s="17" t="s">
        <v>827</v>
      </c>
      <c r="G17" s="23" t="n">
        <v>13.6849397947684</v>
      </c>
      <c r="H17" s="19" t="n">
        <v>97.4</v>
      </c>
      <c r="I17" s="17" t="n">
        <f aca="false">IF(H17="","",RANK(H17,$H$5:$H$389))</f>
        <v>13</v>
      </c>
      <c r="J17" s="24" t="n">
        <v>0.17431128757009</v>
      </c>
      <c r="K17" s="19" t="n">
        <v>93.6</v>
      </c>
      <c r="L17" s="17" t="n">
        <f aca="false">IF(K17="","",RANK(K17,$K$5:$K$389))</f>
        <v>25</v>
      </c>
      <c r="M17" s="25" t="n">
        <v>0.208459419944919</v>
      </c>
      <c r="N17" s="19" t="n">
        <v>70.9</v>
      </c>
      <c r="O17" s="17" t="n">
        <f aca="false">IF(N17="","",RANK(N17,$N$5:$N$389))</f>
        <v>114</v>
      </c>
      <c r="P17" s="17" t="str">
        <f aca="false">IF(AND(N(H17)&gt;=N(K17),N(H17)&gt;=N(N17)),"The Pulse",IF(N(K17)&gt;=N(N17),"The Lens","The Hub"))</f>
        <v>The Pulse</v>
      </c>
      <c r="Q17" s="20" t="s">
        <v>74</v>
      </c>
      <c r="R17" s="26" t="s">
        <v>822</v>
      </c>
      <c r="S17" s="17" t="s">
        <v>24</v>
      </c>
    </row>
    <row r="18" customFormat="false" ht="15" hidden="false" customHeight="false" outlineLevel="0" collapsed="false">
      <c r="A18" s="17" t="s">
        <v>163</v>
      </c>
      <c r="B18" s="17" t="s">
        <v>164</v>
      </c>
      <c r="C18" s="17" t="s">
        <v>1617</v>
      </c>
      <c r="D18" s="17" t="s">
        <v>115</v>
      </c>
      <c r="E18" s="18" t="n">
        <v>6970</v>
      </c>
      <c r="F18" s="17" t="s">
        <v>825</v>
      </c>
      <c r="G18" s="23" t="n">
        <v>12.4791965566715</v>
      </c>
      <c r="H18" s="19" t="n">
        <v>97.2</v>
      </c>
      <c r="I18" s="17" t="n">
        <f aca="false">IF(H18="","",RANK(H18,$H$5:$H$389))</f>
        <v>14</v>
      </c>
      <c r="J18" s="24" t="n">
        <v>0.0789473684210526</v>
      </c>
      <c r="K18" s="19" t="n">
        <v>24.5</v>
      </c>
      <c r="L18" s="17" t="n">
        <f aca="false">IF(K18="","",RANK(K18,$K$5:$K$389))</f>
        <v>294</v>
      </c>
      <c r="M18" s="25" t="n">
        <v>0.0687077251690993</v>
      </c>
      <c r="N18" s="19" t="n">
        <v>19.4</v>
      </c>
      <c r="O18" s="17" t="n">
        <f aca="false">IF(N18="","",RANK(N18,$N$5:$N$389))</f>
        <v>309</v>
      </c>
      <c r="P18" s="17" t="str">
        <f aca="false">IF(AND(N(H18)&gt;=N(K18),N(H18)&gt;=N(N18)),"The Pulse",IF(N(K18)&gt;=N(N18),"The Lens","The Hub"))</f>
        <v>The Pulse</v>
      </c>
      <c r="Q18" s="20" t="s">
        <v>74</v>
      </c>
      <c r="R18" s="26" t="s">
        <v>822</v>
      </c>
      <c r="S18" s="17" t="s">
        <v>24</v>
      </c>
    </row>
    <row r="19" customFormat="false" ht="15" hidden="false" customHeight="false" outlineLevel="0" collapsed="false">
      <c r="A19" s="17" t="s">
        <v>1618</v>
      </c>
      <c r="B19" s="17" t="s">
        <v>1619</v>
      </c>
      <c r="C19" s="17" t="s">
        <v>1620</v>
      </c>
      <c r="D19" s="17" t="s">
        <v>98</v>
      </c>
      <c r="E19" s="18" t="n">
        <v>34100</v>
      </c>
      <c r="F19" s="17" t="s">
        <v>821</v>
      </c>
      <c r="G19" s="23" t="n">
        <v>11.8980938416422</v>
      </c>
      <c r="H19" s="19" t="n">
        <v>97.1</v>
      </c>
      <c r="I19" s="17" t="n">
        <f aca="false">IF(H19="","",RANK(H19,$H$5:$H$389))</f>
        <v>15</v>
      </c>
      <c r="J19" s="24" t="n">
        <v>0.0121697833184921</v>
      </c>
      <c r="K19" s="19" t="n">
        <v>16.7</v>
      </c>
      <c r="L19" s="17" t="n">
        <f aca="false">IF(K19="","",RANK(K19,$K$5:$K$389))</f>
        <v>321</v>
      </c>
      <c r="M19" s="25" t="n">
        <v>0.118561414202987</v>
      </c>
      <c r="N19" s="19" t="n">
        <v>44.8</v>
      </c>
      <c r="O19" s="17" t="n">
        <f aca="false">IF(N19="","",RANK(N19,$N$5:$N$389))</f>
        <v>214</v>
      </c>
      <c r="P19" s="17" t="str">
        <f aca="false">IF(AND(N(H19)&gt;=N(K19),N(H19)&gt;=N(N19)),"The Pulse",IF(N(K19)&gt;=N(N19),"The Lens","The Hub"))</f>
        <v>The Pulse</v>
      </c>
      <c r="Q19" s="20" t="s">
        <v>74</v>
      </c>
      <c r="R19" s="27" t="s">
        <v>832</v>
      </c>
      <c r="S19" s="17" t="s">
        <v>24</v>
      </c>
    </row>
    <row r="20" customFormat="false" ht="15" hidden="false" customHeight="false" outlineLevel="0" collapsed="false">
      <c r="A20" s="17" t="s">
        <v>317</v>
      </c>
      <c r="B20" s="17" t="s">
        <v>318</v>
      </c>
      <c r="C20" s="17" t="s">
        <v>1621</v>
      </c>
      <c r="D20" s="17" t="s">
        <v>95</v>
      </c>
      <c r="E20" s="18" t="n">
        <v>9010</v>
      </c>
      <c r="F20" s="17" t="s">
        <v>825</v>
      </c>
      <c r="G20" s="23" t="n">
        <v>11.7005549389567</v>
      </c>
      <c r="H20" s="19" t="n">
        <v>96.9</v>
      </c>
      <c r="I20" s="17" t="n">
        <f aca="false">IF(H20="","",RANK(H20,$H$5:$H$389))</f>
        <v>16</v>
      </c>
      <c r="J20" s="24" t="n">
        <v>0.146310432569975</v>
      </c>
      <c r="K20" s="19" t="n">
        <v>66</v>
      </c>
      <c r="L20" s="17" t="n">
        <f aca="false">IF(K20="","",RANK(K20,$K$5:$K$389))</f>
        <v>127</v>
      </c>
      <c r="M20" s="25" t="n">
        <v>0.0635634931795809</v>
      </c>
      <c r="N20" s="19" t="n">
        <v>17.2</v>
      </c>
      <c r="O20" s="17" t="n">
        <f aca="false">IF(N20="","",RANK(N20,$N$5:$N$389))</f>
        <v>318</v>
      </c>
      <c r="P20" s="17" t="str">
        <f aca="false">IF(AND(N(H20)&gt;=N(K20),N(H20)&gt;=N(N20)),"The Pulse",IF(N(K20)&gt;=N(N20),"The Lens","The Hub"))</f>
        <v>The Pulse</v>
      </c>
      <c r="Q20" s="20" t="s">
        <v>74</v>
      </c>
      <c r="R20" s="26" t="s">
        <v>822</v>
      </c>
      <c r="S20" s="17" t="s">
        <v>24</v>
      </c>
    </row>
    <row r="21" customFormat="false" ht="15" hidden="false" customHeight="false" outlineLevel="0" collapsed="false">
      <c r="A21" s="17" t="s">
        <v>183</v>
      </c>
      <c r="B21" s="17" t="s">
        <v>184</v>
      </c>
      <c r="C21" s="17" t="s">
        <v>1622</v>
      </c>
      <c r="D21" s="17" t="s">
        <v>98</v>
      </c>
      <c r="E21" s="18" t="n">
        <v>106120</v>
      </c>
      <c r="F21" s="17" t="s">
        <v>827</v>
      </c>
      <c r="G21" s="23" t="n">
        <v>11.5735770825481</v>
      </c>
      <c r="H21" s="19" t="n">
        <v>96.7</v>
      </c>
      <c r="I21" s="17" t="n">
        <f aca="false">IF(H21="","",RANK(H21,$H$5:$H$389))</f>
        <v>17</v>
      </c>
      <c r="J21" s="24" t="n">
        <v>0.0157940078491433</v>
      </c>
      <c r="K21" s="19" t="n">
        <v>19.1</v>
      </c>
      <c r="L21" s="17" t="n">
        <f aca="false">IF(K21="","",RANK(K21,$K$5:$K$389))</f>
        <v>311</v>
      </c>
      <c r="M21" s="25" t="n">
        <v>0.0478024691358025</v>
      </c>
      <c r="N21" s="19" t="n">
        <v>11.5</v>
      </c>
      <c r="O21" s="17" t="n">
        <f aca="false">IF(N21="","",RANK(N21,$N$5:$N$389))</f>
        <v>341</v>
      </c>
      <c r="P21" s="17" t="str">
        <f aca="false">IF(AND(N(H21)&gt;=N(K21),N(H21)&gt;=N(N21)),"The Pulse",IF(N(K21)&gt;=N(N21),"The Lens","The Hub"))</f>
        <v>The Pulse</v>
      </c>
      <c r="Q21" s="20" t="s">
        <v>74</v>
      </c>
      <c r="R21" s="26" t="s">
        <v>822</v>
      </c>
      <c r="S21" s="17" t="s">
        <v>24</v>
      </c>
    </row>
    <row r="22" customFormat="false" ht="15" hidden="false" customHeight="false" outlineLevel="0" collapsed="false">
      <c r="A22" s="17" t="s">
        <v>335</v>
      </c>
      <c r="B22" s="17" t="s">
        <v>336</v>
      </c>
      <c r="C22" s="17" t="s">
        <v>1623</v>
      </c>
      <c r="D22" s="17" t="s">
        <v>72</v>
      </c>
      <c r="E22" s="18" t="n">
        <v>330670</v>
      </c>
      <c r="F22" s="17" t="s">
        <v>827</v>
      </c>
      <c r="G22" s="23" t="n">
        <v>11.4517736716364</v>
      </c>
      <c r="H22" s="19" t="n">
        <v>96.5</v>
      </c>
      <c r="I22" s="17" t="n">
        <f aca="false">IF(H22="","",RANK(H22,$H$5:$H$389))</f>
        <v>18</v>
      </c>
      <c r="J22" s="24" t="n">
        <v>0.0110686439382357</v>
      </c>
      <c r="K22" s="19" t="n">
        <v>17.2</v>
      </c>
      <c r="L22" s="17" t="n">
        <f aca="false">IF(K22="","",RANK(K22,$K$5:$K$389))</f>
        <v>319</v>
      </c>
      <c r="M22" s="25" t="n">
        <v>0.134858535119354</v>
      </c>
      <c r="N22" s="19" t="n">
        <v>50.8</v>
      </c>
      <c r="O22" s="17" t="n">
        <f aca="false">IF(N22="","",RANK(N22,$N$5:$N$389))</f>
        <v>189</v>
      </c>
      <c r="P22" s="17" t="str">
        <f aca="false">IF(AND(N(H22)&gt;=N(K22),N(H22)&gt;=N(N22)),"The Pulse",IF(N(K22)&gt;=N(N22),"The Lens","The Hub"))</f>
        <v>The Pulse</v>
      </c>
      <c r="Q22" s="20" t="s">
        <v>74</v>
      </c>
      <c r="R22" s="26" t="s">
        <v>822</v>
      </c>
      <c r="S22" s="17" t="s">
        <v>24</v>
      </c>
    </row>
    <row r="23" customFormat="false" ht="15" hidden="false" customHeight="false" outlineLevel="0" collapsed="false">
      <c r="A23" s="17" t="s">
        <v>1624</v>
      </c>
      <c r="B23" s="17" t="s">
        <v>1625</v>
      </c>
      <c r="C23" s="17" t="s">
        <v>1626</v>
      </c>
      <c r="D23" s="17" t="s">
        <v>86</v>
      </c>
      <c r="E23" s="18" t="n">
        <v>276960</v>
      </c>
      <c r="F23" s="17" t="s">
        <v>827</v>
      </c>
      <c r="G23" s="23" t="n">
        <v>11.1753249566724</v>
      </c>
      <c r="H23" s="19" t="n">
        <v>96.3</v>
      </c>
      <c r="I23" s="17" t="n">
        <f aca="false">IF(H23="","",RANK(H23,$H$5:$H$389))</f>
        <v>19</v>
      </c>
      <c r="J23" s="24" t="n">
        <v>0.107373407109323</v>
      </c>
      <c r="K23" s="19" t="n">
        <v>65.6</v>
      </c>
      <c r="L23" s="17" t="n">
        <f aca="false">IF(K23="","",RANK(K23,$K$5:$K$389))</f>
        <v>129</v>
      </c>
      <c r="M23" s="25" t="n">
        <v>0.179305818406581</v>
      </c>
      <c r="N23" s="19" t="n">
        <v>64</v>
      </c>
      <c r="O23" s="17" t="n">
        <f aca="false">IF(N23="","",RANK(N23,$N$5:$N$389))</f>
        <v>143</v>
      </c>
      <c r="P23" s="17" t="str">
        <f aca="false">IF(AND(N(H23)&gt;=N(K23),N(H23)&gt;=N(N23)),"The Pulse",IF(N(K23)&gt;=N(N23),"The Lens","The Hub"))</f>
        <v>The Pulse</v>
      </c>
      <c r="Q23" s="21" t="s">
        <v>79</v>
      </c>
      <c r="R23" s="27" t="s">
        <v>832</v>
      </c>
      <c r="S23" s="17" t="s">
        <v>88</v>
      </c>
    </row>
    <row r="24" customFormat="false" ht="15" hidden="false" customHeight="false" outlineLevel="0" collapsed="false">
      <c r="A24" s="17" t="s">
        <v>143</v>
      </c>
      <c r="B24" s="17" t="s">
        <v>144</v>
      </c>
      <c r="C24" s="17" t="s">
        <v>1627</v>
      </c>
      <c r="D24" s="17" t="s">
        <v>98</v>
      </c>
      <c r="E24" s="18" t="n">
        <v>22160</v>
      </c>
      <c r="F24" s="17" t="s">
        <v>821</v>
      </c>
      <c r="G24" s="23" t="n">
        <v>10.9742328519856</v>
      </c>
      <c r="H24" s="19" t="n">
        <v>96.1</v>
      </c>
      <c r="I24" s="17" t="n">
        <f aca="false">IF(H24="","",RANK(H24,$H$5:$H$389))</f>
        <v>20</v>
      </c>
      <c r="J24" s="24" t="n">
        <v>0.0700144857556736</v>
      </c>
      <c r="K24" s="19" t="n">
        <v>41.1</v>
      </c>
      <c r="L24" s="17" t="n">
        <f aca="false">IF(K24="","",RANK(K24,$K$5:$K$389))</f>
        <v>232</v>
      </c>
      <c r="M24" s="25" t="n">
        <v>0.219035458206463</v>
      </c>
      <c r="N24" s="19" t="n">
        <v>74</v>
      </c>
      <c r="O24" s="17" t="n">
        <f aca="false">IF(N24="","",RANK(N24,$N$5:$N$389))</f>
        <v>101</v>
      </c>
      <c r="P24" s="17" t="str">
        <f aca="false">IF(AND(N(H24)&gt;=N(K24),N(H24)&gt;=N(N24)),"The Pulse",IF(N(K24)&gt;=N(N24),"The Lens","The Hub"))</f>
        <v>The Pulse</v>
      </c>
      <c r="Q24" s="20" t="s">
        <v>74</v>
      </c>
      <c r="R24" s="26" t="s">
        <v>822</v>
      </c>
      <c r="S24" s="17" t="s">
        <v>24</v>
      </c>
    </row>
    <row r="25" customFormat="false" ht="15" hidden="false" customHeight="false" outlineLevel="0" collapsed="false">
      <c r="A25" s="17" t="s">
        <v>391</v>
      </c>
      <c r="B25" s="17" t="s">
        <v>392</v>
      </c>
      <c r="C25" s="17" t="s">
        <v>1628</v>
      </c>
      <c r="D25" s="17" t="s">
        <v>91</v>
      </c>
      <c r="E25" s="18" t="n">
        <v>2200</v>
      </c>
      <c r="F25" s="17" t="s">
        <v>825</v>
      </c>
      <c r="G25" s="23" t="n">
        <v>10.8304545454546</v>
      </c>
      <c r="H25" s="19" t="n">
        <v>95.5</v>
      </c>
      <c r="I25" s="17" t="n">
        <f aca="false">IF(H25="","",RANK(H25,$H$5:$H$389))</f>
        <v>21</v>
      </c>
      <c r="J25" s="24" t="n">
        <v>0.200873362445415</v>
      </c>
      <c r="K25" s="19" t="n">
        <v>92.5</v>
      </c>
      <c r="L25" s="17" t="n">
        <f aca="false">IF(K25="","",RANK(K25,$K$5:$K$389))</f>
        <v>28</v>
      </c>
      <c r="M25" s="25" t="n">
        <v>0.243927125506073</v>
      </c>
      <c r="N25" s="19" t="n">
        <v>81</v>
      </c>
      <c r="O25" s="17" t="n">
        <f aca="false">IF(N25="","",RANK(N25,$N$5:$N$389))</f>
        <v>74</v>
      </c>
      <c r="P25" s="17" t="str">
        <f aca="false">IF(AND(N(H25)&gt;=N(K25),N(H25)&gt;=N(N25)),"The Pulse",IF(N(K25)&gt;=N(N25),"The Lens","The Hub"))</f>
        <v>The Pulse</v>
      </c>
      <c r="Q25" s="21" t="s">
        <v>79</v>
      </c>
      <c r="R25" s="26" t="s">
        <v>822</v>
      </c>
      <c r="S25" s="17" t="s">
        <v>22</v>
      </c>
    </row>
    <row r="26" customFormat="false" ht="15" hidden="false" customHeight="false" outlineLevel="0" collapsed="false">
      <c r="A26" s="17" t="s">
        <v>191</v>
      </c>
      <c r="B26" s="17" t="s">
        <v>192</v>
      </c>
      <c r="C26" s="17" t="s">
        <v>1629</v>
      </c>
      <c r="D26" s="17" t="s">
        <v>82</v>
      </c>
      <c r="E26" s="18" t="n">
        <v>14820</v>
      </c>
      <c r="F26" s="17" t="s">
        <v>821</v>
      </c>
      <c r="G26" s="23" t="n">
        <v>10.7238866396761</v>
      </c>
      <c r="H26" s="19" t="n">
        <v>95.3</v>
      </c>
      <c r="I26" s="17" t="n">
        <f aca="false">IF(H26="","",RANK(H26,$H$5:$H$389))</f>
        <v>22</v>
      </c>
      <c r="J26" s="24" t="n">
        <v>0.101040118870728</v>
      </c>
      <c r="K26" s="19" t="n">
        <v>58.2</v>
      </c>
      <c r="L26" s="17" t="n">
        <f aca="false">IF(K26="","",RANK(K26,$K$5:$K$389))</f>
        <v>162</v>
      </c>
      <c r="M26" s="25" t="n">
        <v>0.292263610315186</v>
      </c>
      <c r="N26" s="19" t="n">
        <v>87.4</v>
      </c>
      <c r="O26" s="17" t="n">
        <f aca="false">IF(N26="","",RANK(N26,$N$5:$N$389))</f>
        <v>49</v>
      </c>
      <c r="P26" s="17" t="str">
        <f aca="false">IF(AND(N(H26)&gt;=N(K26),N(H26)&gt;=N(N26)),"The Pulse",IF(N(K26)&gt;=N(N26),"The Lens","The Hub"))</f>
        <v>The Pulse</v>
      </c>
      <c r="Q26" s="20" t="s">
        <v>74</v>
      </c>
      <c r="R26" s="26" t="s">
        <v>822</v>
      </c>
      <c r="S26" s="17" t="s">
        <v>24</v>
      </c>
    </row>
    <row r="27" customFormat="false" ht="15" hidden="false" customHeight="false" outlineLevel="0" collapsed="false">
      <c r="A27" s="17" t="s">
        <v>243</v>
      </c>
      <c r="B27" s="17" t="s">
        <v>244</v>
      </c>
      <c r="C27" s="17" t="s">
        <v>1630</v>
      </c>
      <c r="D27" s="17" t="s">
        <v>91</v>
      </c>
      <c r="E27" s="18" t="n">
        <v>36374</v>
      </c>
      <c r="F27" s="17" t="s">
        <v>821</v>
      </c>
      <c r="G27" s="23" t="n">
        <v>10.5687304118326</v>
      </c>
      <c r="H27" s="19" t="n">
        <v>95.1</v>
      </c>
      <c r="I27" s="17" t="n">
        <f aca="false">IF(H27="","",RANK(H27,$H$5:$H$389))</f>
        <v>23</v>
      </c>
      <c r="J27" s="24" t="n">
        <v>0.00466786355475763</v>
      </c>
      <c r="K27" s="19" t="n">
        <v>13.1</v>
      </c>
      <c r="L27" s="17" t="n">
        <f aca="false">IF(K27="","",RANK(K27,$K$5:$K$389))</f>
        <v>338</v>
      </c>
      <c r="M27" s="25" t="n">
        <v>0.197996230532685</v>
      </c>
      <c r="N27" s="19" t="n">
        <v>68.9</v>
      </c>
      <c r="O27" s="17" t="n">
        <f aca="false">IF(N27="","",RANK(N27,$N$5:$N$389))</f>
        <v>123</v>
      </c>
      <c r="P27" s="17" t="str">
        <f aca="false">IF(AND(N(H27)&gt;=N(K27),N(H27)&gt;=N(N27)),"The Pulse",IF(N(K27)&gt;=N(N27),"The Lens","The Hub"))</f>
        <v>The Pulse</v>
      </c>
      <c r="Q27" s="21" t="s">
        <v>79</v>
      </c>
      <c r="R27" s="26" t="s">
        <v>822</v>
      </c>
      <c r="S27" s="17" t="s">
        <v>22</v>
      </c>
    </row>
    <row r="28" customFormat="false" ht="15" hidden="false" customHeight="false" outlineLevel="0" collapsed="false">
      <c r="A28" s="17" t="s">
        <v>1631</v>
      </c>
      <c r="B28" s="17" t="s">
        <v>1632</v>
      </c>
      <c r="C28" s="17" t="s">
        <v>1633</v>
      </c>
      <c r="D28" s="17" t="s">
        <v>162</v>
      </c>
      <c r="E28" s="18" t="n">
        <v>68320</v>
      </c>
      <c r="F28" s="17" t="s">
        <v>821</v>
      </c>
      <c r="G28" s="23" t="n">
        <v>10.5230971896956</v>
      </c>
      <c r="H28" s="19" t="n">
        <v>94.9</v>
      </c>
      <c r="I28" s="17" t="n">
        <f aca="false">IF(H28="","",RANK(H28,$H$5:$H$389))</f>
        <v>24</v>
      </c>
      <c r="J28" s="24" t="n">
        <v>0.220435869953555</v>
      </c>
      <c r="K28" s="19" t="n">
        <v>96.7</v>
      </c>
      <c r="L28" s="17" t="n">
        <f aca="false">IF(K28="","",RANK(K28,$K$5:$K$389))</f>
        <v>14</v>
      </c>
      <c r="M28" s="25" t="n">
        <v>0.329818221047522</v>
      </c>
      <c r="N28" s="19" t="n">
        <v>93.2</v>
      </c>
      <c r="O28" s="17" t="n">
        <f aca="false">IF(N28="","",RANK(N28,$N$5:$N$389))</f>
        <v>28</v>
      </c>
      <c r="P28" s="17" t="str">
        <f aca="false">IF(AND(N(H28)&gt;=N(K28),N(H28)&gt;=N(N28)),"The Pulse",IF(N(K28)&gt;=N(N28),"The Lens","The Hub"))</f>
        <v>The Lens</v>
      </c>
      <c r="Q28" s="20" t="s">
        <v>74</v>
      </c>
      <c r="R28" s="27" t="s">
        <v>832</v>
      </c>
      <c r="S28" s="17" t="s">
        <v>24</v>
      </c>
    </row>
    <row r="29" customFormat="false" ht="15" hidden="false" customHeight="false" outlineLevel="0" collapsed="false">
      <c r="A29" s="17" t="s">
        <v>1634</v>
      </c>
      <c r="B29" s="17" t="s">
        <v>1635</v>
      </c>
      <c r="C29" s="17" t="s">
        <v>1636</v>
      </c>
      <c r="D29" s="17" t="s">
        <v>162</v>
      </c>
      <c r="E29" s="18" t="n">
        <v>29230</v>
      </c>
      <c r="F29" s="17" t="s">
        <v>821</v>
      </c>
      <c r="G29" s="23" t="n">
        <v>10.258159425248</v>
      </c>
      <c r="H29" s="19" t="n">
        <v>94.7</v>
      </c>
      <c r="I29" s="17" t="n">
        <f aca="false">IF(H29="","",RANK(H29,$H$5:$H$389))</f>
        <v>25</v>
      </c>
      <c r="J29" s="24" t="n">
        <v>0.0854066097289268</v>
      </c>
      <c r="K29" s="19" t="n">
        <v>51.3</v>
      </c>
      <c r="L29" s="17" t="n">
        <f aca="false">IF(K29="","",RANK(K29,$K$5:$K$389))</f>
        <v>191</v>
      </c>
      <c r="M29" s="25" t="n">
        <v>0.00690936106983655</v>
      </c>
      <c r="N29" s="19" t="n">
        <v>0.9</v>
      </c>
      <c r="O29" s="17" t="n">
        <f aca="false">IF(N29="","",RANK(N29,$N$5:$N$389))</f>
        <v>382</v>
      </c>
      <c r="P29" s="17" t="str">
        <f aca="false">IF(AND(N(H29)&gt;=N(K29),N(H29)&gt;=N(N29)),"The Pulse",IF(N(K29)&gt;=N(N29),"The Lens","The Hub"))</f>
        <v>The Pulse</v>
      </c>
      <c r="Q29" s="20" t="s">
        <v>74</v>
      </c>
      <c r="R29" s="27" t="s">
        <v>832</v>
      </c>
      <c r="S29" s="17" t="s">
        <v>24</v>
      </c>
    </row>
    <row r="30" customFormat="false" ht="15" hidden="false" customHeight="false" outlineLevel="0" collapsed="false">
      <c r="A30" s="17" t="s">
        <v>185</v>
      </c>
      <c r="B30" s="17" t="s">
        <v>186</v>
      </c>
      <c r="C30" s="17" t="s">
        <v>1637</v>
      </c>
      <c r="D30" s="17" t="s">
        <v>86</v>
      </c>
      <c r="E30" s="18" t="n">
        <v>28930</v>
      </c>
      <c r="F30" s="17" t="s">
        <v>821</v>
      </c>
      <c r="G30" s="23" t="n">
        <v>10.125198755617</v>
      </c>
      <c r="H30" s="19" t="n">
        <v>94.5</v>
      </c>
      <c r="I30" s="17" t="n">
        <f aca="false">IF(H30="","",RANK(H30,$H$5:$H$389))</f>
        <v>26</v>
      </c>
      <c r="J30" s="24" t="n">
        <v>0.0531488896978522</v>
      </c>
      <c r="K30" s="19" t="n">
        <v>32</v>
      </c>
      <c r="L30" s="17" t="n">
        <f aca="false">IF(K30="","",RANK(K30,$K$5:$K$389))</f>
        <v>269</v>
      </c>
      <c r="M30" s="25" t="n">
        <v>0.108274565115186</v>
      </c>
      <c r="N30" s="19" t="n">
        <v>40.6</v>
      </c>
      <c r="O30" s="17" t="n">
        <f aca="false">IF(N30="","",RANK(N30,$N$5:$N$389))</f>
        <v>229</v>
      </c>
      <c r="P30" s="17" t="str">
        <f aca="false">IF(AND(N(H30)&gt;=N(K30),N(H30)&gt;=N(N30)),"The Pulse",IF(N(K30)&gt;=N(N30),"The Lens","The Hub"))</f>
        <v>The Pulse</v>
      </c>
      <c r="Q30" s="20" t="s">
        <v>74</v>
      </c>
      <c r="R30" s="26" t="s">
        <v>822</v>
      </c>
      <c r="S30" s="17" t="s">
        <v>24</v>
      </c>
    </row>
    <row r="31" customFormat="false" ht="15" hidden="false" customHeight="false" outlineLevel="0" collapsed="false">
      <c r="A31" s="17" t="s">
        <v>367</v>
      </c>
      <c r="B31" s="17" t="s">
        <v>368</v>
      </c>
      <c r="C31" s="17" t="s">
        <v>1638</v>
      </c>
      <c r="D31" s="17" t="s">
        <v>82</v>
      </c>
      <c r="E31" s="18" t="n">
        <v>62880</v>
      </c>
      <c r="F31" s="17" t="s">
        <v>821</v>
      </c>
      <c r="G31" s="23" t="n">
        <v>10.0271787531807</v>
      </c>
      <c r="H31" s="19" t="n">
        <v>94.3</v>
      </c>
      <c r="I31" s="17" t="n">
        <f aca="false">IF(H31="","",RANK(H31,$H$5:$H$389))</f>
        <v>27</v>
      </c>
      <c r="J31" s="24" t="n">
        <v>-0.0572713643178411</v>
      </c>
      <c r="K31" s="19" t="n">
        <v>3.3</v>
      </c>
      <c r="L31" s="17" t="n">
        <f aca="false">IF(K31="","",RANK(K31,$K$5:$K$389))</f>
        <v>375</v>
      </c>
      <c r="M31" s="25" t="n">
        <v>0.499322807142603</v>
      </c>
      <c r="N31" s="19" t="n">
        <v>99.3</v>
      </c>
      <c r="O31" s="17" t="n">
        <f aca="false">IF(N31="","",RANK(N31,$N$5:$N$389))</f>
        <v>4</v>
      </c>
      <c r="P31" s="17" t="str">
        <f aca="false">IF(AND(N(H31)&gt;=N(K31),N(H31)&gt;=N(N31)),"The Pulse",IF(N(K31)&gt;=N(N31),"The Lens","The Hub"))</f>
        <v>The Hub</v>
      </c>
      <c r="Q31" s="20" t="s">
        <v>74</v>
      </c>
      <c r="R31" s="26" t="s">
        <v>822</v>
      </c>
      <c r="S31" s="17" t="s">
        <v>24</v>
      </c>
    </row>
    <row r="32" customFormat="false" ht="15" hidden="false" customHeight="false" outlineLevel="0" collapsed="false">
      <c r="A32" s="17" t="s">
        <v>100</v>
      </c>
      <c r="B32" s="17" t="s">
        <v>101</v>
      </c>
      <c r="C32" s="17" t="s">
        <v>1639</v>
      </c>
      <c r="D32" s="17" t="s">
        <v>72</v>
      </c>
      <c r="E32" s="18" t="n">
        <v>43020</v>
      </c>
      <c r="F32" s="17" t="s">
        <v>821</v>
      </c>
      <c r="G32" s="23" t="n">
        <v>9.96664342166434</v>
      </c>
      <c r="H32" s="19" t="n">
        <v>94.1</v>
      </c>
      <c r="I32" s="17" t="n">
        <f aca="false">IF(H32="","",RANK(H32,$H$5:$H$389))</f>
        <v>28</v>
      </c>
      <c r="J32" s="24" t="n">
        <v>0.0744255744255744</v>
      </c>
      <c r="K32" s="19" t="n">
        <v>43.6</v>
      </c>
      <c r="L32" s="17" t="n">
        <f aca="false">IF(K32="","",RANK(K32,$K$5:$K$389))</f>
        <v>221</v>
      </c>
      <c r="M32" s="25" t="n">
        <v>0.21765364518537</v>
      </c>
      <c r="N32" s="19" t="n">
        <v>73.7</v>
      </c>
      <c r="O32" s="17" t="n">
        <f aca="false">IF(N32="","",RANK(N32,$N$5:$N$389))</f>
        <v>102</v>
      </c>
      <c r="P32" s="17" t="str">
        <f aca="false">IF(AND(N(H32)&gt;=N(K32),N(H32)&gt;=N(N32)),"The Pulse",IF(N(K32)&gt;=N(N32),"The Lens","The Hub"))</f>
        <v>The Pulse</v>
      </c>
      <c r="Q32" s="20" t="s">
        <v>74</v>
      </c>
      <c r="R32" s="26" t="s">
        <v>822</v>
      </c>
      <c r="S32" s="17" t="s">
        <v>24</v>
      </c>
    </row>
    <row r="33" customFormat="false" ht="15" hidden="false" customHeight="false" outlineLevel="0" collapsed="false">
      <c r="A33" s="17" t="s">
        <v>197</v>
      </c>
      <c r="B33" s="17" t="s">
        <v>198</v>
      </c>
      <c r="C33" s="17" t="s">
        <v>1640</v>
      </c>
      <c r="D33" s="17" t="s">
        <v>95</v>
      </c>
      <c r="E33" s="18" t="n">
        <v>70360</v>
      </c>
      <c r="F33" s="17" t="s">
        <v>821</v>
      </c>
      <c r="G33" s="23" t="n">
        <v>9.84950255827175</v>
      </c>
      <c r="H33" s="19" t="n">
        <v>93.9</v>
      </c>
      <c r="I33" s="17" t="n">
        <f aca="false">IF(H33="","",RANK(H33,$H$5:$H$389))</f>
        <v>29</v>
      </c>
      <c r="J33" s="24" t="n">
        <v>0.178756910705311</v>
      </c>
      <c r="K33" s="19" t="n">
        <v>88.4</v>
      </c>
      <c r="L33" s="17" t="n">
        <f aca="false">IF(K33="","",RANK(K33,$K$5:$K$389))</f>
        <v>45</v>
      </c>
      <c r="M33" s="25" t="n">
        <v>0.0967848092934479</v>
      </c>
      <c r="N33" s="19" t="n">
        <v>35.1</v>
      </c>
      <c r="O33" s="17" t="n">
        <f aca="false">IF(N33="","",RANK(N33,$N$5:$N$389))</f>
        <v>252</v>
      </c>
      <c r="P33" s="17" t="str">
        <f aca="false">IF(AND(N(H33)&gt;=N(K33),N(H33)&gt;=N(N33)),"The Pulse",IF(N(K33)&gt;=N(N33),"The Lens","The Hub"))</f>
        <v>The Pulse</v>
      </c>
      <c r="Q33" s="20" t="s">
        <v>74</v>
      </c>
      <c r="R33" s="26" t="s">
        <v>822</v>
      </c>
      <c r="S33" s="17" t="s">
        <v>24</v>
      </c>
    </row>
    <row r="34" customFormat="false" ht="15" hidden="false" customHeight="false" outlineLevel="0" collapsed="false">
      <c r="A34" s="17" t="s">
        <v>431</v>
      </c>
      <c r="B34" s="17" t="s">
        <v>432</v>
      </c>
      <c r="C34" s="17" t="s">
        <v>1641</v>
      </c>
      <c r="D34" s="17" t="s">
        <v>91</v>
      </c>
      <c r="E34" s="18" t="n">
        <v>49870</v>
      </c>
      <c r="F34" s="17" t="s">
        <v>821</v>
      </c>
      <c r="G34" s="23" t="n">
        <v>9.79963906156006</v>
      </c>
      <c r="H34" s="19" t="n">
        <v>93.7</v>
      </c>
      <c r="I34" s="17" t="n">
        <f aca="false">IF(H34="","",RANK(H34,$H$5:$H$389))</f>
        <v>30</v>
      </c>
      <c r="J34" s="24" t="n">
        <v>0.0621938232161874</v>
      </c>
      <c r="K34" s="19" t="n">
        <v>35.3</v>
      </c>
      <c r="L34" s="17" t="n">
        <f aca="false">IF(K34="","",RANK(K34,$K$5:$K$389))</f>
        <v>254</v>
      </c>
      <c r="M34" s="25" t="n">
        <v>0.0120040910803682</v>
      </c>
      <c r="N34" s="19" t="n">
        <v>1.5</v>
      </c>
      <c r="O34" s="17" t="n">
        <f aca="false">IF(N34="","",RANK(N34,$N$5:$N$389))</f>
        <v>379</v>
      </c>
      <c r="P34" s="17" t="str">
        <f aca="false">IF(AND(N(H34)&gt;=N(K34),N(H34)&gt;=N(N34)),"The Pulse",IF(N(K34)&gt;=N(N34),"The Lens","The Hub"))</f>
        <v>The Pulse</v>
      </c>
      <c r="Q34" s="20" t="s">
        <v>74</v>
      </c>
      <c r="R34" s="26" t="s">
        <v>822</v>
      </c>
      <c r="S34" s="17" t="s">
        <v>24</v>
      </c>
    </row>
    <row r="35" customFormat="false" ht="15" hidden="false" customHeight="false" outlineLevel="0" collapsed="false">
      <c r="A35" s="17" t="s">
        <v>1642</v>
      </c>
      <c r="B35" s="17" t="s">
        <v>1643</v>
      </c>
      <c r="C35" s="17" t="s">
        <v>1644</v>
      </c>
      <c r="D35" s="17" t="s">
        <v>123</v>
      </c>
      <c r="E35" s="18" t="n">
        <v>20880</v>
      </c>
      <c r="F35" s="17" t="s">
        <v>821</v>
      </c>
      <c r="G35" s="23" t="n">
        <v>9.76068007662835</v>
      </c>
      <c r="H35" s="19" t="n">
        <v>93.5</v>
      </c>
      <c r="I35" s="17" t="n">
        <f aca="false">IF(H35="","",RANK(H35,$H$5:$H$389))</f>
        <v>31</v>
      </c>
      <c r="J35" s="24" t="n">
        <v>0.219626168224299</v>
      </c>
      <c r="K35" s="19" t="n">
        <v>96.4</v>
      </c>
      <c r="L35" s="17" t="n">
        <f aca="false">IF(K35="","",RANK(K35,$K$5:$K$389))</f>
        <v>15</v>
      </c>
      <c r="M35" s="25" t="n">
        <v>0.262901135757299</v>
      </c>
      <c r="N35" s="19" t="n">
        <v>83.2</v>
      </c>
      <c r="O35" s="17" t="n">
        <f aca="false">IF(N35="","",RANK(N35,$N$5:$N$389))</f>
        <v>65</v>
      </c>
      <c r="P35" s="17" t="str">
        <f aca="false">IF(AND(N(H35)&gt;=N(K35),N(H35)&gt;=N(N35)),"The Pulse",IF(N(K35)&gt;=N(N35),"The Lens","The Hub"))</f>
        <v>The Lens</v>
      </c>
      <c r="Q35" s="20" t="s">
        <v>74</v>
      </c>
      <c r="R35" s="27" t="s">
        <v>832</v>
      </c>
      <c r="S35" s="17" t="s">
        <v>24</v>
      </c>
    </row>
    <row r="36" customFormat="false" ht="15" hidden="false" customHeight="false" outlineLevel="0" collapsed="false">
      <c r="A36" s="17" t="s">
        <v>385</v>
      </c>
      <c r="B36" s="17" t="s">
        <v>386</v>
      </c>
      <c r="C36" s="17" t="s">
        <v>1645</v>
      </c>
      <c r="D36" s="17" t="s">
        <v>95</v>
      </c>
      <c r="E36" s="18" t="n">
        <v>12962</v>
      </c>
      <c r="F36" s="17" t="s">
        <v>821</v>
      </c>
      <c r="G36" s="23" t="n">
        <v>9.65846320012344</v>
      </c>
      <c r="H36" s="19" t="n">
        <v>93.3</v>
      </c>
      <c r="I36" s="17" t="n">
        <f aca="false">IF(H36="","",RANK(H36,$H$5:$H$389))</f>
        <v>32</v>
      </c>
      <c r="J36" s="24" t="n">
        <v>-0.033552042946615</v>
      </c>
      <c r="K36" s="19" t="n">
        <v>6.2</v>
      </c>
      <c r="L36" s="17" t="n">
        <f aca="false">IF(K36="","",RANK(K36,$K$5:$K$389))</f>
        <v>363</v>
      </c>
      <c r="M36" s="25" t="n">
        <v>0.284130568671731</v>
      </c>
      <c r="N36" s="19" t="n">
        <v>86.5</v>
      </c>
      <c r="O36" s="17" t="n">
        <f aca="false">IF(N36="","",RANK(N36,$N$5:$N$389))</f>
        <v>51</v>
      </c>
      <c r="P36" s="17" t="str">
        <f aca="false">IF(AND(N(H36)&gt;=N(K36),N(H36)&gt;=N(N36)),"The Pulse",IF(N(K36)&gt;=N(N36),"The Lens","The Hub"))</f>
        <v>The Pulse</v>
      </c>
      <c r="Q36" s="21" t="s">
        <v>79</v>
      </c>
      <c r="R36" s="26" t="s">
        <v>822</v>
      </c>
      <c r="S36" s="17" t="s">
        <v>22</v>
      </c>
    </row>
    <row r="37" customFormat="false" ht="15" hidden="false" customHeight="false" outlineLevel="0" collapsed="false">
      <c r="A37" s="17" t="s">
        <v>457</v>
      </c>
      <c r="B37" s="17" t="s">
        <v>458</v>
      </c>
      <c r="C37" s="17" t="s">
        <v>1646</v>
      </c>
      <c r="D37" s="17" t="s">
        <v>86</v>
      </c>
      <c r="E37" s="18" t="n">
        <v>472070</v>
      </c>
      <c r="F37" s="17" t="s">
        <v>827</v>
      </c>
      <c r="G37" s="23" t="n">
        <v>9.61415679877984</v>
      </c>
      <c r="H37" s="19" t="n">
        <v>93.1</v>
      </c>
      <c r="I37" s="17" t="n">
        <f aca="false">IF(H37="","",RANK(H37,$H$5:$H$389))</f>
        <v>33</v>
      </c>
      <c r="J37" s="24" t="n">
        <v>0.0888674778776361</v>
      </c>
      <c r="K37" s="19" t="n">
        <v>56.1</v>
      </c>
      <c r="L37" s="17" t="n">
        <f aca="false">IF(K37="","",RANK(K37,$K$5:$K$389))</f>
        <v>171</v>
      </c>
      <c r="M37" s="25" t="n">
        <v>0.169403894684437</v>
      </c>
      <c r="N37" s="19" t="n">
        <v>61.4</v>
      </c>
      <c r="O37" s="17" t="n">
        <f aca="false">IF(N37="","",RANK(N37,$N$5:$N$389))</f>
        <v>153</v>
      </c>
      <c r="P37" s="17" t="str">
        <f aca="false">IF(AND(N(H37)&gt;=N(K37),N(H37)&gt;=N(N37)),"The Pulse",IF(N(K37)&gt;=N(N37),"The Lens","The Hub"))</f>
        <v>The Pulse</v>
      </c>
      <c r="Q37" s="21" t="s">
        <v>79</v>
      </c>
      <c r="R37" s="26" t="s">
        <v>822</v>
      </c>
      <c r="S37" s="17" t="s">
        <v>88</v>
      </c>
    </row>
    <row r="38" customFormat="false" ht="15" hidden="false" customHeight="false" outlineLevel="0" collapsed="false">
      <c r="A38" s="17" t="s">
        <v>209</v>
      </c>
      <c r="B38" s="17" t="s">
        <v>210</v>
      </c>
      <c r="C38" s="17" t="s">
        <v>1647</v>
      </c>
      <c r="D38" s="17" t="s">
        <v>162</v>
      </c>
      <c r="E38" s="18" t="n">
        <v>22330</v>
      </c>
      <c r="F38" s="17" t="s">
        <v>821</v>
      </c>
      <c r="G38" s="23" t="n">
        <v>9.46220331392745</v>
      </c>
      <c r="H38" s="19" t="n">
        <v>92.7</v>
      </c>
      <c r="I38" s="17" t="n">
        <f aca="false">IF(H38="","",RANK(H38,$H$5:$H$389))</f>
        <v>34</v>
      </c>
      <c r="J38" s="24" t="n">
        <v>0.0813559322033898</v>
      </c>
      <c r="K38" s="19" t="n">
        <v>48</v>
      </c>
      <c r="L38" s="17" t="n">
        <f aca="false">IF(K38="","",RANK(K38,$K$5:$K$389))</f>
        <v>205</v>
      </c>
      <c r="M38" s="25" t="n">
        <v>0.0794754846066135</v>
      </c>
      <c r="N38" s="19" t="n">
        <v>25.2</v>
      </c>
      <c r="O38" s="17" t="n">
        <f aca="false">IF(N38="","",RANK(N38,$N$5:$N$389))</f>
        <v>289</v>
      </c>
      <c r="P38" s="17" t="str">
        <f aca="false">IF(AND(N(H38)&gt;=N(K38),N(H38)&gt;=N(N38)),"The Pulse",IF(N(K38)&gt;=N(N38),"The Lens","The Hub"))</f>
        <v>The Pulse</v>
      </c>
      <c r="Q38" s="20" t="s">
        <v>74</v>
      </c>
      <c r="R38" s="26" t="s">
        <v>822</v>
      </c>
      <c r="S38" s="17" t="s">
        <v>24</v>
      </c>
    </row>
    <row r="39" customFormat="false" ht="15" hidden="false" customHeight="false" outlineLevel="0" collapsed="false">
      <c r="A39" s="17" t="s">
        <v>111</v>
      </c>
      <c r="B39" s="17" t="s">
        <v>112</v>
      </c>
      <c r="C39" s="17" t="s">
        <v>1648</v>
      </c>
      <c r="D39" s="17" t="s">
        <v>72</v>
      </c>
      <c r="E39" s="18" t="n">
        <v>30230</v>
      </c>
      <c r="F39" s="17" t="s">
        <v>821</v>
      </c>
      <c r="G39" s="23" t="n">
        <v>9.45391994707244</v>
      </c>
      <c r="H39" s="19" t="n">
        <v>92.5</v>
      </c>
      <c r="I39" s="17" t="n">
        <f aca="false">IF(H39="","",RANK(H39,$H$5:$H$389))</f>
        <v>35</v>
      </c>
      <c r="J39" s="24" t="n">
        <v>0.0651867512332629</v>
      </c>
      <c r="K39" s="19" t="n">
        <v>38.5</v>
      </c>
      <c r="L39" s="17" t="n">
        <f aca="false">IF(K39="","",RANK(K39,$K$5:$K$389))</f>
        <v>241</v>
      </c>
      <c r="M39" s="25" t="n">
        <v>0.358074804291099</v>
      </c>
      <c r="N39" s="19" t="n">
        <v>94.7</v>
      </c>
      <c r="O39" s="17" t="n">
        <f aca="false">IF(N39="","",RANK(N39,$N$5:$N$389))</f>
        <v>23</v>
      </c>
      <c r="P39" s="17" t="str">
        <f aca="false">IF(AND(N(H39)&gt;=N(K39),N(H39)&gt;=N(N39)),"The Pulse",IF(N(K39)&gt;=N(N39),"The Lens","The Hub"))</f>
        <v>The Hub</v>
      </c>
      <c r="Q39" s="20" t="s">
        <v>74</v>
      </c>
      <c r="R39" s="26" t="s">
        <v>822</v>
      </c>
      <c r="S39" s="17" t="s">
        <v>24</v>
      </c>
    </row>
    <row r="40" customFormat="false" ht="15" hidden="false" customHeight="false" outlineLevel="0" collapsed="false">
      <c r="A40" s="17" t="s">
        <v>167</v>
      </c>
      <c r="B40" s="17" t="s">
        <v>168</v>
      </c>
      <c r="C40" s="17" t="s">
        <v>1649</v>
      </c>
      <c r="D40" s="17" t="s">
        <v>98</v>
      </c>
      <c r="E40" s="18" t="n">
        <v>70279</v>
      </c>
      <c r="F40" s="17" t="s">
        <v>821</v>
      </c>
      <c r="G40" s="23" t="n">
        <v>9.27064983850083</v>
      </c>
      <c r="H40" s="19" t="n">
        <v>92.1</v>
      </c>
      <c r="I40" s="17" t="n">
        <f aca="false">IF(H40="","",RANK(H40,$H$5:$H$389))</f>
        <v>36</v>
      </c>
      <c r="J40" s="24" t="n">
        <v>0.0723069880988709</v>
      </c>
      <c r="K40" s="19" t="n">
        <v>42.5</v>
      </c>
      <c r="L40" s="17" t="n">
        <f aca="false">IF(K40="","",RANK(K40,$K$5:$K$389))</f>
        <v>226</v>
      </c>
      <c r="M40" s="25" t="n">
        <v>0.103629528593766</v>
      </c>
      <c r="N40" s="19" t="n">
        <v>38.4</v>
      </c>
      <c r="O40" s="17" t="n">
        <f aca="false">IF(N40="","",RANK(N40,$N$5:$N$389))</f>
        <v>239</v>
      </c>
      <c r="P40" s="17" t="str">
        <f aca="false">IF(AND(N(H40)&gt;=N(K40),N(H40)&gt;=N(N40)),"The Pulse",IF(N(K40)&gt;=N(N40),"The Lens","The Hub"))</f>
        <v>The Pulse</v>
      </c>
      <c r="Q40" s="21" t="s">
        <v>79</v>
      </c>
      <c r="R40" s="26" t="s">
        <v>822</v>
      </c>
      <c r="S40" s="17" t="s">
        <v>22</v>
      </c>
    </row>
    <row r="41" customFormat="false" ht="15" hidden="false" customHeight="false" outlineLevel="0" collapsed="false">
      <c r="A41" s="17" t="s">
        <v>150</v>
      </c>
      <c r="B41" s="17" t="s">
        <v>151</v>
      </c>
      <c r="C41" s="17" t="s">
        <v>1650</v>
      </c>
      <c r="D41" s="17" t="s">
        <v>77</v>
      </c>
      <c r="E41" s="18" t="n">
        <v>73390</v>
      </c>
      <c r="F41" s="17" t="s">
        <v>821</v>
      </c>
      <c r="G41" s="23" t="n">
        <v>9.16575827769451</v>
      </c>
      <c r="H41" s="19" t="n">
        <v>91.9</v>
      </c>
      <c r="I41" s="17" t="n">
        <f aca="false">IF(H41="","",RANK(H41,$H$5:$H$389))</f>
        <v>37</v>
      </c>
      <c r="J41" s="24" t="n">
        <v>0.176876202694035</v>
      </c>
      <c r="K41" s="19" t="n">
        <v>87.6</v>
      </c>
      <c r="L41" s="17" t="n">
        <f aca="false">IF(K41="","",RANK(K41,$K$5:$K$389))</f>
        <v>46</v>
      </c>
      <c r="M41" s="25" t="n">
        <v>0.41808341292582</v>
      </c>
      <c r="N41" s="19" t="n">
        <v>97.8</v>
      </c>
      <c r="O41" s="17" t="n">
        <f aca="false">IF(N41="","",RANK(N41,$N$5:$N$389))</f>
        <v>10</v>
      </c>
      <c r="P41" s="17" t="str">
        <f aca="false">IF(AND(N(H41)&gt;=N(K41),N(H41)&gt;=N(N41)),"The Pulse",IF(N(K41)&gt;=N(N41),"The Lens","The Hub"))</f>
        <v>The Hub</v>
      </c>
      <c r="Q41" s="20" t="s">
        <v>74</v>
      </c>
      <c r="R41" s="26" t="s">
        <v>822</v>
      </c>
      <c r="S41" s="17" t="s">
        <v>24</v>
      </c>
    </row>
    <row r="42" customFormat="false" ht="15" hidden="false" customHeight="false" outlineLevel="0" collapsed="false">
      <c r="A42" s="17" t="s">
        <v>217</v>
      </c>
      <c r="B42" s="17" t="s">
        <v>218</v>
      </c>
      <c r="C42" s="17" t="s">
        <v>1651</v>
      </c>
      <c r="D42" s="17" t="s">
        <v>72</v>
      </c>
      <c r="E42" s="18" t="n">
        <v>1016260</v>
      </c>
      <c r="F42" s="17" t="s">
        <v>935</v>
      </c>
      <c r="G42" s="23" t="n">
        <v>9.13635486981678</v>
      </c>
      <c r="H42" s="19" t="n">
        <v>91.7</v>
      </c>
      <c r="I42" s="17" t="n">
        <f aca="false">IF(H42="","",RANK(H42,$H$5:$H$389))</f>
        <v>38</v>
      </c>
      <c r="J42" s="24" t="n">
        <v>0.119710007602384</v>
      </c>
      <c r="K42" s="19" t="n">
        <v>66.7</v>
      </c>
      <c r="L42" s="17" t="n">
        <f aca="false">IF(K42="","",RANK(K42,$K$5:$K$389))</f>
        <v>124</v>
      </c>
      <c r="M42" s="25" t="n">
        <v>0.174733761403234</v>
      </c>
      <c r="N42" s="19" t="n">
        <v>62.7</v>
      </c>
      <c r="O42" s="17" t="n">
        <f aca="false">IF(N42="","",RANK(N42,$N$5:$N$389))</f>
        <v>148</v>
      </c>
      <c r="P42" s="17" t="str">
        <f aca="false">IF(AND(N(H42)&gt;=N(K42),N(H42)&gt;=N(N42)),"The Pulse",IF(N(K42)&gt;=N(N42),"The Lens","The Hub"))</f>
        <v>The Pulse</v>
      </c>
      <c r="Q42" s="20" t="s">
        <v>74</v>
      </c>
      <c r="R42" s="26" t="s">
        <v>822</v>
      </c>
      <c r="S42" s="17" t="s">
        <v>24</v>
      </c>
    </row>
    <row r="43" customFormat="false" ht="15" hidden="false" customHeight="false" outlineLevel="0" collapsed="false">
      <c r="A43" s="17" t="s">
        <v>1652</v>
      </c>
      <c r="B43" s="17" t="s">
        <v>1653</v>
      </c>
      <c r="C43" s="17" t="s">
        <v>1654</v>
      </c>
      <c r="D43" s="17" t="s">
        <v>91</v>
      </c>
      <c r="E43" s="18" t="n">
        <v>1992390</v>
      </c>
      <c r="F43" s="17" t="s">
        <v>935</v>
      </c>
      <c r="G43" s="23" t="n">
        <v>8.99984842325047</v>
      </c>
      <c r="H43" s="19" t="n">
        <v>91.6</v>
      </c>
      <c r="I43" s="17" t="n">
        <f aca="false">IF(H43="","",RANK(H43,$H$5:$H$389))</f>
        <v>39</v>
      </c>
      <c r="J43" s="24" t="n">
        <v>0.0757057937446347</v>
      </c>
      <c r="K43" s="19" t="n">
        <v>25</v>
      </c>
      <c r="L43" s="17" t="n">
        <f aca="false">IF(K43="","",RANK(K43,$K$5:$K$389))</f>
        <v>292</v>
      </c>
      <c r="M43" s="25" t="n">
        <v>0.240948724112355</v>
      </c>
      <c r="N43" s="19" t="n">
        <v>79.5</v>
      </c>
      <c r="O43" s="17" t="n">
        <f aca="false">IF(N43="","",RANK(N43,$N$5:$N$389))</f>
        <v>80</v>
      </c>
      <c r="P43" s="17" t="str">
        <f aca="false">IF(AND(N(H43)&gt;=N(K43),N(H43)&gt;=N(N43)),"The Pulse",IF(N(K43)&gt;=N(N43),"The Lens","The Hub"))</f>
        <v>The Pulse</v>
      </c>
      <c r="Q43" s="20" t="s">
        <v>74</v>
      </c>
      <c r="R43" s="27" t="s">
        <v>832</v>
      </c>
      <c r="S43" s="17" t="s">
        <v>24</v>
      </c>
    </row>
    <row r="44" customFormat="false" ht="15" hidden="false" customHeight="false" outlineLevel="0" collapsed="false">
      <c r="A44" s="17" t="s">
        <v>495</v>
      </c>
      <c r="B44" s="17" t="s">
        <v>496</v>
      </c>
      <c r="C44" s="17" t="s">
        <v>1655</v>
      </c>
      <c r="D44" s="17" t="s">
        <v>77</v>
      </c>
      <c r="E44" s="18" t="n">
        <v>422370</v>
      </c>
      <c r="F44" s="17" t="s">
        <v>827</v>
      </c>
      <c r="G44" s="23" t="n">
        <v>8.86592561024694</v>
      </c>
      <c r="H44" s="19" t="n">
        <v>91.4</v>
      </c>
      <c r="I44" s="17" t="n">
        <f aca="false">IF(H44="","",RANK(H44,$H$5:$H$389))</f>
        <v>40</v>
      </c>
      <c r="J44" s="24" t="n">
        <v>0.169255045262021</v>
      </c>
      <c r="K44" s="19" t="n">
        <v>92.4</v>
      </c>
      <c r="L44" s="17" t="n">
        <f aca="false">IF(K44="","",RANK(K44,$K$5:$K$389))</f>
        <v>29</v>
      </c>
      <c r="M44" s="25" t="n">
        <v>0.0969012865145251</v>
      </c>
      <c r="N44" s="19" t="n">
        <v>35.3</v>
      </c>
      <c r="O44" s="17" t="n">
        <f aca="false">IF(N44="","",RANK(N44,$N$5:$N$389))</f>
        <v>251</v>
      </c>
      <c r="P44" s="17" t="str">
        <f aca="false">IF(AND(N(H44)&gt;=N(K44),N(H44)&gt;=N(N44)),"The Pulse",IF(N(K44)&gt;=N(N44),"The Lens","The Hub"))</f>
        <v>The Lens</v>
      </c>
      <c r="Q44" s="20" t="s">
        <v>74</v>
      </c>
      <c r="R44" s="26" t="s">
        <v>822</v>
      </c>
      <c r="S44" s="17" t="s">
        <v>24</v>
      </c>
    </row>
    <row r="45" customFormat="false" ht="15" hidden="false" customHeight="false" outlineLevel="0" collapsed="false">
      <c r="A45" s="17" t="s">
        <v>329</v>
      </c>
      <c r="B45" s="17" t="s">
        <v>330</v>
      </c>
      <c r="C45" s="17" t="s">
        <v>1656</v>
      </c>
      <c r="D45" s="17" t="s">
        <v>123</v>
      </c>
      <c r="E45" s="18" t="n">
        <v>19676</v>
      </c>
      <c r="F45" s="17" t="s">
        <v>821</v>
      </c>
      <c r="G45" s="23" t="n">
        <v>8.78425492986379</v>
      </c>
      <c r="H45" s="19" t="n">
        <v>91.2</v>
      </c>
      <c r="I45" s="17" t="n">
        <f aca="false">IF(H45="","",RANK(H45,$H$5:$H$389))</f>
        <v>41</v>
      </c>
      <c r="J45" s="24" t="n">
        <v>-0.0116039584065907</v>
      </c>
      <c r="K45" s="19" t="n">
        <v>11.6</v>
      </c>
      <c r="L45" s="17" t="n">
        <f aca="false">IF(K45="","",RANK(K45,$K$5:$K$389))</f>
        <v>344</v>
      </c>
      <c r="M45" s="25" t="n">
        <v>0.150882600168114</v>
      </c>
      <c r="N45" s="19" t="n">
        <v>55.8</v>
      </c>
      <c r="O45" s="17" t="n">
        <f aca="false">IF(N45="","",RANK(N45,$N$5:$N$389))</f>
        <v>174</v>
      </c>
      <c r="P45" s="17" t="str">
        <f aca="false">IF(AND(N(H45)&gt;=N(K45),N(H45)&gt;=N(N45)),"The Pulse",IF(N(K45)&gt;=N(N45),"The Lens","The Hub"))</f>
        <v>The Pulse</v>
      </c>
      <c r="Q45" s="21" t="s">
        <v>79</v>
      </c>
      <c r="R45" s="26" t="s">
        <v>822</v>
      </c>
      <c r="S45" s="17" t="s">
        <v>22</v>
      </c>
    </row>
    <row r="46" customFormat="false" ht="15" hidden="false" customHeight="false" outlineLevel="0" collapsed="false">
      <c r="A46" s="17" t="s">
        <v>213</v>
      </c>
      <c r="B46" s="17" t="s">
        <v>214</v>
      </c>
      <c r="C46" s="17" t="s">
        <v>1657</v>
      </c>
      <c r="D46" s="17" t="s">
        <v>77</v>
      </c>
      <c r="E46" s="18" t="n">
        <v>38510</v>
      </c>
      <c r="F46" s="17" t="s">
        <v>821</v>
      </c>
      <c r="G46" s="23" t="n">
        <v>8.68184887042327</v>
      </c>
      <c r="H46" s="19" t="n">
        <v>91</v>
      </c>
      <c r="I46" s="17" t="n">
        <f aca="false">IF(H46="","",RANK(H46,$H$5:$H$389))</f>
        <v>42</v>
      </c>
      <c r="J46" s="24" t="n">
        <v>0.164851784633999</v>
      </c>
      <c r="K46" s="19" t="n">
        <v>84</v>
      </c>
      <c r="L46" s="17" t="n">
        <f aca="false">IF(K46="","",RANK(K46,$K$5:$K$389))</f>
        <v>59</v>
      </c>
      <c r="M46" s="25" t="n">
        <v>0.0811022849857801</v>
      </c>
      <c r="N46" s="19" t="n">
        <v>26.5</v>
      </c>
      <c r="O46" s="17" t="n">
        <f aca="false">IF(N46="","",RANK(N46,$N$5:$N$389))</f>
        <v>285</v>
      </c>
      <c r="P46" s="17" t="str">
        <f aca="false">IF(AND(N(H46)&gt;=N(K46),N(H46)&gt;=N(N46)),"The Pulse",IF(N(K46)&gt;=N(N46),"The Lens","The Hub"))</f>
        <v>The Pulse</v>
      </c>
      <c r="Q46" s="20" t="s">
        <v>74</v>
      </c>
      <c r="R46" s="26" t="s">
        <v>822</v>
      </c>
      <c r="S46" s="17" t="s">
        <v>24</v>
      </c>
    </row>
    <row r="47" customFormat="false" ht="15" hidden="false" customHeight="false" outlineLevel="0" collapsed="false">
      <c r="A47" s="17" t="s">
        <v>1658</v>
      </c>
      <c r="B47" s="17" t="s">
        <v>1659</v>
      </c>
      <c r="C47" s="17" t="s">
        <v>1660</v>
      </c>
      <c r="D47" s="17" t="s">
        <v>82</v>
      </c>
      <c r="E47" s="18" t="n">
        <v>11610</v>
      </c>
      <c r="F47" s="17" t="s">
        <v>821</v>
      </c>
      <c r="G47" s="23" t="n">
        <v>8.55745047372954</v>
      </c>
      <c r="H47" s="19" t="n">
        <v>90.8</v>
      </c>
      <c r="I47" s="17" t="n">
        <f aca="false">IF(H47="","",RANK(H47,$H$5:$H$389))</f>
        <v>43</v>
      </c>
      <c r="J47" s="24" t="n">
        <v>0.175101214574899</v>
      </c>
      <c r="K47" s="19" t="n">
        <v>86.5</v>
      </c>
      <c r="L47" s="17" t="n">
        <f aca="false">IF(K47="","",RANK(K47,$K$5:$K$389))</f>
        <v>50</v>
      </c>
      <c r="M47" s="25" t="n">
        <v>0.297497155858931</v>
      </c>
      <c r="N47" s="19" t="n">
        <v>88.1</v>
      </c>
      <c r="O47" s="17" t="n">
        <f aca="false">IF(N47="","",RANK(N47,$N$5:$N$389))</f>
        <v>46</v>
      </c>
      <c r="P47" s="17" t="str">
        <f aca="false">IF(AND(N(H47)&gt;=N(K47),N(H47)&gt;=N(N47)),"The Pulse",IF(N(K47)&gt;=N(N47),"The Lens","The Hub"))</f>
        <v>The Pulse</v>
      </c>
      <c r="Q47" s="20" t="s">
        <v>74</v>
      </c>
      <c r="R47" s="27" t="s">
        <v>832</v>
      </c>
      <c r="S47" s="17" t="s">
        <v>24</v>
      </c>
    </row>
    <row r="48" customFormat="false" ht="15" hidden="false" customHeight="false" outlineLevel="0" collapsed="false">
      <c r="A48" s="17" t="s">
        <v>463</v>
      </c>
      <c r="B48" s="17" t="s">
        <v>464</v>
      </c>
      <c r="C48" s="17" t="s">
        <v>1661</v>
      </c>
      <c r="D48" s="17" t="s">
        <v>72</v>
      </c>
      <c r="E48" s="18" t="n">
        <v>11130</v>
      </c>
      <c r="F48" s="17" t="s">
        <v>821</v>
      </c>
      <c r="G48" s="23" t="n">
        <v>8.46129837702871</v>
      </c>
      <c r="H48" s="19" t="n">
        <v>90.6</v>
      </c>
      <c r="I48" s="17" t="n">
        <f aca="false">IF(H48="","",RANK(H48,$H$5:$H$389))</f>
        <v>44</v>
      </c>
      <c r="J48" s="24" t="n">
        <v>-0.0127652082049476</v>
      </c>
      <c r="K48" s="19" t="n">
        <v>10.9</v>
      </c>
      <c r="L48" s="17" t="n">
        <f aca="false">IF(K48="","",RANK(K48,$K$5:$K$389))</f>
        <v>347</v>
      </c>
      <c r="M48" s="25" t="n">
        <v>0.0684190902311708</v>
      </c>
      <c r="N48" s="19" t="n">
        <v>19</v>
      </c>
      <c r="O48" s="17" t="n">
        <f aca="false">IF(N48="","",RANK(N48,$N$5:$N$389))</f>
        <v>311</v>
      </c>
      <c r="P48" s="17" t="str">
        <f aca="false">IF(AND(N(H48)&gt;=N(K48),N(H48)&gt;=N(N48)),"The Pulse",IF(N(K48)&gt;=N(N48),"The Lens","The Hub"))</f>
        <v>The Pulse</v>
      </c>
      <c r="Q48" s="21" t="s">
        <v>79</v>
      </c>
      <c r="R48" s="26" t="s">
        <v>822</v>
      </c>
      <c r="S48" s="17" t="s">
        <v>88</v>
      </c>
    </row>
    <row r="49" customFormat="false" ht="15" hidden="false" customHeight="false" outlineLevel="0" collapsed="false">
      <c r="A49" s="17" t="s">
        <v>315</v>
      </c>
      <c r="B49" s="17" t="s">
        <v>316</v>
      </c>
      <c r="C49" s="17" t="s">
        <v>1662</v>
      </c>
      <c r="D49" s="17" t="s">
        <v>95</v>
      </c>
      <c r="E49" s="18" t="n">
        <v>125700</v>
      </c>
      <c r="F49" s="17" t="s">
        <v>827</v>
      </c>
      <c r="G49" s="23" t="n">
        <v>8.30011137629276</v>
      </c>
      <c r="H49" s="19" t="n">
        <v>90.4</v>
      </c>
      <c r="I49" s="17" t="n">
        <f aca="false">IF(H49="","",RANK(H49,$H$5:$H$389))</f>
        <v>45</v>
      </c>
      <c r="J49" s="24" t="n">
        <v>0.0145278450363196</v>
      </c>
      <c r="K49" s="19" t="n">
        <v>18.5</v>
      </c>
      <c r="L49" s="17" t="n">
        <f aca="false">IF(K49="","",RANK(K49,$K$5:$K$389))</f>
        <v>314</v>
      </c>
      <c r="M49" s="25" t="n">
        <v>0.252646251687938</v>
      </c>
      <c r="N49" s="19" t="n">
        <v>82.1</v>
      </c>
      <c r="O49" s="17" t="n">
        <f aca="false">IF(N49="","",RANK(N49,$N$5:$N$389))</f>
        <v>70</v>
      </c>
      <c r="P49" s="17" t="str">
        <f aca="false">IF(AND(N(H49)&gt;=N(K49),N(H49)&gt;=N(N49)),"The Pulse",IF(N(K49)&gt;=N(N49),"The Lens","The Hub"))</f>
        <v>The Pulse</v>
      </c>
      <c r="Q49" s="20" t="s">
        <v>74</v>
      </c>
      <c r="R49" s="26" t="s">
        <v>822</v>
      </c>
      <c r="S49" s="17" t="s">
        <v>24</v>
      </c>
    </row>
    <row r="50" customFormat="false" ht="15" hidden="false" customHeight="false" outlineLevel="0" collapsed="false">
      <c r="A50" s="17" t="s">
        <v>437</v>
      </c>
      <c r="B50" s="17" t="s">
        <v>438</v>
      </c>
      <c r="C50" s="17" t="s">
        <v>1663</v>
      </c>
      <c r="D50" s="17" t="s">
        <v>123</v>
      </c>
      <c r="E50" s="18" t="n">
        <v>18130</v>
      </c>
      <c r="F50" s="17" t="s">
        <v>821</v>
      </c>
      <c r="G50" s="23" t="n">
        <v>7.99972421400993</v>
      </c>
      <c r="H50" s="19" t="n">
        <v>90</v>
      </c>
      <c r="I50" s="17" t="n">
        <f aca="false">IF(H50="","",RANK(H50,$H$5:$H$389))</f>
        <v>46</v>
      </c>
      <c r="J50" s="24" t="n">
        <v>-0.0159717552118359</v>
      </c>
      <c r="K50" s="19" t="n">
        <v>9.8</v>
      </c>
      <c r="L50" s="17" t="n">
        <f aca="false">IF(K50="","",RANK(K50,$K$5:$K$389))</f>
        <v>351</v>
      </c>
      <c r="M50" s="25" t="n">
        <v>0.270054730258014</v>
      </c>
      <c r="N50" s="19" t="n">
        <v>84.1</v>
      </c>
      <c r="O50" s="17" t="n">
        <f aca="false">IF(N50="","",RANK(N50,$N$5:$N$389))</f>
        <v>61</v>
      </c>
      <c r="P50" s="17" t="str">
        <f aca="false">IF(AND(N(H50)&gt;=N(K50),N(H50)&gt;=N(N50)),"The Pulse",IF(N(K50)&gt;=N(N50),"The Lens","The Hub"))</f>
        <v>The Pulse</v>
      </c>
      <c r="Q50" s="22" t="s">
        <v>109</v>
      </c>
      <c r="R50" s="26" t="s">
        <v>822</v>
      </c>
      <c r="S50" s="17" t="s">
        <v>155</v>
      </c>
    </row>
    <row r="51" customFormat="false" ht="15" hidden="false" customHeight="false" outlineLevel="0" collapsed="false">
      <c r="A51" s="17" t="s">
        <v>497</v>
      </c>
      <c r="B51" s="17" t="s">
        <v>498</v>
      </c>
      <c r="C51" s="17" t="s">
        <v>1664</v>
      </c>
      <c r="D51" s="17" t="s">
        <v>86</v>
      </c>
      <c r="E51" s="18" t="n">
        <v>4580</v>
      </c>
      <c r="F51" s="17" t="s">
        <v>825</v>
      </c>
      <c r="G51" s="23" t="n">
        <v>7.98951965065502</v>
      </c>
      <c r="H51" s="19" t="n">
        <v>89.8</v>
      </c>
      <c r="I51" s="17" t="n">
        <f aca="false">IF(H51="","",RANK(H51,$H$5:$H$389))</f>
        <v>47</v>
      </c>
      <c r="J51" s="24" t="n">
        <v>0.205263157894737</v>
      </c>
      <c r="K51" s="19" t="n">
        <v>94.3</v>
      </c>
      <c r="L51" s="17" t="n">
        <f aca="false">IF(K51="","",RANK(K51,$K$5:$K$389))</f>
        <v>22</v>
      </c>
      <c r="M51" s="25" t="n">
        <v>0.137790697674419</v>
      </c>
      <c r="N51" s="19" t="n">
        <v>51.7</v>
      </c>
      <c r="O51" s="17" t="n">
        <f aca="false">IF(N51="","",RANK(N51,$N$5:$N$389))</f>
        <v>186</v>
      </c>
      <c r="P51" s="17" t="str">
        <f aca="false">IF(AND(N(H51)&gt;=N(K51),N(H51)&gt;=N(N51)),"The Pulse",IF(N(K51)&gt;=N(N51),"The Lens","The Hub"))</f>
        <v>The Lens</v>
      </c>
      <c r="Q51" s="20" t="s">
        <v>74</v>
      </c>
      <c r="R51" s="26" t="s">
        <v>822</v>
      </c>
      <c r="S51" s="17" t="s">
        <v>24</v>
      </c>
    </row>
    <row r="52" customFormat="false" ht="15" hidden="false" customHeight="false" outlineLevel="0" collapsed="false">
      <c r="A52" s="17" t="s">
        <v>269</v>
      </c>
      <c r="B52" s="17" t="s">
        <v>270</v>
      </c>
      <c r="C52" s="17" t="s">
        <v>1665</v>
      </c>
      <c r="D52" s="17" t="s">
        <v>115</v>
      </c>
      <c r="E52" s="18" t="n">
        <v>233135</v>
      </c>
      <c r="F52" s="17" t="s">
        <v>827</v>
      </c>
      <c r="G52" s="23" t="n">
        <v>7.95687477212774</v>
      </c>
      <c r="H52" s="19" t="n">
        <v>89.6</v>
      </c>
      <c r="I52" s="17" t="n">
        <f aca="false">IF(H52="","",RANK(H52,$H$5:$H$389))</f>
        <v>48</v>
      </c>
      <c r="J52" s="24" t="n">
        <v>0.141889442904303</v>
      </c>
      <c r="K52" s="19" t="n">
        <v>82.2</v>
      </c>
      <c r="L52" s="17" t="n">
        <f aca="false">IF(K52="","",RANK(K52,$K$5:$K$389))</f>
        <v>66</v>
      </c>
      <c r="M52" s="25" t="n">
        <v>0.0902296535052377</v>
      </c>
      <c r="N52" s="19" t="n">
        <v>32.9</v>
      </c>
      <c r="O52" s="17" t="n">
        <f aca="false">IF(N52="","",RANK(N52,$N$5:$N$389))</f>
        <v>261</v>
      </c>
      <c r="P52" s="17" t="str">
        <f aca="false">IF(AND(N(H52)&gt;=N(K52),N(H52)&gt;=N(N52)),"The Pulse",IF(N(K52)&gt;=N(N52),"The Lens","The Hub"))</f>
        <v>The Pulse</v>
      </c>
      <c r="Q52" s="21" t="s">
        <v>79</v>
      </c>
      <c r="R52" s="26" t="s">
        <v>822</v>
      </c>
      <c r="S52" s="17" t="s">
        <v>22</v>
      </c>
    </row>
    <row r="53" customFormat="false" ht="15" hidden="false" customHeight="false" outlineLevel="0" collapsed="false">
      <c r="A53" s="17" t="s">
        <v>96</v>
      </c>
      <c r="B53" s="17" t="s">
        <v>97</v>
      </c>
      <c r="C53" s="17" t="s">
        <v>1666</v>
      </c>
      <c r="D53" s="17" t="s">
        <v>98</v>
      </c>
      <c r="E53" s="18" t="n">
        <v>112300</v>
      </c>
      <c r="F53" s="17" t="s">
        <v>827</v>
      </c>
      <c r="G53" s="23" t="n">
        <v>7.79560106856634</v>
      </c>
      <c r="H53" s="19" t="n">
        <v>89.2</v>
      </c>
      <c r="I53" s="17" t="n">
        <f aca="false">IF(H53="","",RANK(H53,$H$5:$H$389))</f>
        <v>49</v>
      </c>
      <c r="J53" s="24" t="n">
        <v>0.148966646204215</v>
      </c>
      <c r="K53" s="19" t="n">
        <v>88.5</v>
      </c>
      <c r="L53" s="17" t="n">
        <f aca="false">IF(K53="","",RANK(K53,$K$5:$K$389))</f>
        <v>44</v>
      </c>
      <c r="M53" s="25" t="n">
        <v>0.0973490323262946</v>
      </c>
      <c r="N53" s="19" t="n">
        <v>35.8</v>
      </c>
      <c r="O53" s="17" t="n">
        <f aca="false">IF(N53="","",RANK(N53,$N$5:$N$389))</f>
        <v>249</v>
      </c>
      <c r="P53" s="17" t="str">
        <f aca="false">IF(AND(N(H53)&gt;=N(K53),N(H53)&gt;=N(N53)),"The Pulse",IF(N(K53)&gt;=N(N53),"The Lens","The Hub"))</f>
        <v>The Pulse</v>
      </c>
      <c r="Q53" s="20" t="s">
        <v>74</v>
      </c>
      <c r="R53" s="26" t="s">
        <v>822</v>
      </c>
      <c r="S53" s="17" t="s">
        <v>24</v>
      </c>
    </row>
    <row r="54" customFormat="false" ht="15" hidden="false" customHeight="false" outlineLevel="0" collapsed="false">
      <c r="A54" s="17" t="s">
        <v>405</v>
      </c>
      <c r="B54" s="17" t="s">
        <v>406</v>
      </c>
      <c r="C54" s="17" t="s">
        <v>1667</v>
      </c>
      <c r="D54" s="17" t="s">
        <v>123</v>
      </c>
      <c r="E54" s="18" t="n">
        <v>29390</v>
      </c>
      <c r="F54" s="17" t="s">
        <v>821</v>
      </c>
      <c r="G54" s="23" t="n">
        <v>7.67968696835658</v>
      </c>
      <c r="H54" s="19" t="n">
        <v>89</v>
      </c>
      <c r="I54" s="17" t="n">
        <f aca="false">IF(H54="","",RANK(H54,$H$5:$H$389))</f>
        <v>50</v>
      </c>
      <c r="J54" s="24" t="n">
        <v>0.0667876588021779</v>
      </c>
      <c r="K54" s="19" t="n">
        <v>39.3</v>
      </c>
      <c r="L54" s="17" t="n">
        <f aca="false">IF(K54="","",RANK(K54,$K$5:$K$389))</f>
        <v>238</v>
      </c>
      <c r="M54" s="25" t="n">
        <v>0.159467604218985</v>
      </c>
      <c r="N54" s="19" t="n">
        <v>58.5</v>
      </c>
      <c r="O54" s="17" t="n">
        <f aca="false">IF(N54="","",RANK(N54,$N$5:$N$389))</f>
        <v>162</v>
      </c>
      <c r="P54" s="17" t="str">
        <f aca="false">IF(AND(N(H54)&gt;=N(K54),N(H54)&gt;=N(N54)),"The Pulse",IF(N(K54)&gt;=N(N54),"The Lens","The Hub"))</f>
        <v>The Pulse</v>
      </c>
      <c r="Q54" s="20" t="s">
        <v>74</v>
      </c>
      <c r="R54" s="26" t="s">
        <v>822</v>
      </c>
      <c r="S54" s="17" t="s">
        <v>24</v>
      </c>
    </row>
    <row r="55" customFormat="false" ht="15" hidden="false" customHeight="false" outlineLevel="0" collapsed="false">
      <c r="A55" s="17" t="s">
        <v>1668</v>
      </c>
      <c r="B55" s="17" t="s">
        <v>1669</v>
      </c>
      <c r="C55" s="17" t="s">
        <v>1670</v>
      </c>
      <c r="D55" s="17" t="s">
        <v>162</v>
      </c>
      <c r="E55" s="18" t="n">
        <v>216800</v>
      </c>
      <c r="F55" s="17" t="s">
        <v>827</v>
      </c>
      <c r="G55" s="23" t="n">
        <v>7.66921125461255</v>
      </c>
      <c r="H55" s="19" t="n">
        <v>88.8</v>
      </c>
      <c r="I55" s="17" t="n">
        <f aca="false">IF(H55="","",RANK(H55,$H$5:$H$389))</f>
        <v>51</v>
      </c>
      <c r="J55" s="24" t="n">
        <v>0.0170763745543254</v>
      </c>
      <c r="K55" s="19" t="n">
        <v>20.4</v>
      </c>
      <c r="L55" s="17" t="n">
        <f aca="false">IF(K55="","",RANK(K55,$K$5:$K$389))</f>
        <v>307</v>
      </c>
      <c r="M55" s="25" t="n">
        <v>0.0681704816272239</v>
      </c>
      <c r="N55" s="19" t="n">
        <v>18.8</v>
      </c>
      <c r="O55" s="17" t="n">
        <f aca="false">IF(N55="","",RANK(N55,$N$5:$N$389))</f>
        <v>312</v>
      </c>
      <c r="P55" s="17" t="str">
        <f aca="false">IF(AND(N(H55)&gt;=N(K55),N(H55)&gt;=N(N55)),"The Pulse",IF(N(K55)&gt;=N(N55),"The Lens","The Hub"))</f>
        <v>The Pulse</v>
      </c>
      <c r="Q55" s="20" t="s">
        <v>74</v>
      </c>
      <c r="R55" s="27" t="s">
        <v>832</v>
      </c>
      <c r="S55" s="17" t="s">
        <v>24</v>
      </c>
    </row>
    <row r="56" customFormat="false" ht="15" hidden="false" customHeight="false" outlineLevel="0" collapsed="false">
      <c r="A56" s="17" t="s">
        <v>543</v>
      </c>
      <c r="B56" s="17" t="s">
        <v>544</v>
      </c>
      <c r="C56" s="17" t="s">
        <v>1671</v>
      </c>
      <c r="D56" s="17" t="s">
        <v>115</v>
      </c>
      <c r="E56" s="18" t="n">
        <v>952460</v>
      </c>
      <c r="F56" s="17" t="s">
        <v>827</v>
      </c>
      <c r="G56" s="23" t="n">
        <v>7.50844234928501</v>
      </c>
      <c r="H56" s="19" t="n">
        <v>88.4</v>
      </c>
      <c r="I56" s="17" t="n">
        <f aca="false">IF(H56="","",RANK(H56,$H$5:$H$389))</f>
        <v>52</v>
      </c>
      <c r="J56" s="24" t="n">
        <v>0.0621598715318048</v>
      </c>
      <c r="K56" s="19" t="n">
        <v>42.7</v>
      </c>
      <c r="L56" s="17" t="n">
        <f aca="false">IF(K56="","",RANK(K56,$K$5:$K$389))</f>
        <v>225</v>
      </c>
      <c r="M56" s="25" t="n">
        <v>0.0428596747089057</v>
      </c>
      <c r="N56" s="19" t="n">
        <v>9.5</v>
      </c>
      <c r="O56" s="17" t="n">
        <f aca="false">IF(N56="","",RANK(N56,$N$5:$N$389))</f>
        <v>349</v>
      </c>
      <c r="P56" s="17" t="str">
        <f aca="false">IF(AND(N(H56)&gt;=N(K56),N(H56)&gt;=N(N56)),"The Pulse",IF(N(K56)&gt;=N(N56),"The Lens","The Hub"))</f>
        <v>The Pulse</v>
      </c>
      <c r="Q56" s="20" t="s">
        <v>74</v>
      </c>
      <c r="R56" s="26" t="s">
        <v>822</v>
      </c>
      <c r="S56" s="17" t="s">
        <v>24</v>
      </c>
    </row>
    <row r="57" customFormat="false" ht="15" hidden="false" customHeight="false" outlineLevel="0" collapsed="false">
      <c r="A57" s="17" t="s">
        <v>1672</v>
      </c>
      <c r="B57" s="17" t="s">
        <v>1673</v>
      </c>
      <c r="C57" s="17" t="s">
        <v>1674</v>
      </c>
      <c r="D57" s="17" t="s">
        <v>115</v>
      </c>
      <c r="E57" s="18" t="n">
        <v>75520</v>
      </c>
      <c r="F57" s="17" t="s">
        <v>821</v>
      </c>
      <c r="G57" s="23" t="n">
        <v>7.44931144067797</v>
      </c>
      <c r="H57" s="19" t="n">
        <v>88.2</v>
      </c>
      <c r="I57" s="17" t="n">
        <f aca="false">IF(H57="","",RANK(H57,$H$5:$H$389))</f>
        <v>53</v>
      </c>
      <c r="J57" s="24" t="n">
        <v>-0.00749112892627152</v>
      </c>
      <c r="K57" s="19" t="n">
        <v>12.4</v>
      </c>
      <c r="L57" s="17" t="n">
        <f aca="false">IF(K57="","",RANK(K57,$K$5:$K$389))</f>
        <v>341</v>
      </c>
      <c r="M57" s="25" t="n">
        <v>0.365747619833801</v>
      </c>
      <c r="N57" s="19" t="n">
        <v>95.1</v>
      </c>
      <c r="O57" s="17" t="n">
        <f aca="false">IF(N57="","",RANK(N57,$N$5:$N$389))</f>
        <v>21</v>
      </c>
      <c r="P57" s="17" t="str">
        <f aca="false">IF(AND(N(H57)&gt;=N(K57),N(H57)&gt;=N(N57)),"The Pulse",IF(N(K57)&gt;=N(N57),"The Lens","The Hub"))</f>
        <v>The Hub</v>
      </c>
      <c r="Q57" s="20" t="s">
        <v>74</v>
      </c>
      <c r="R57" s="27" t="s">
        <v>832</v>
      </c>
      <c r="S57" s="17" t="s">
        <v>24</v>
      </c>
    </row>
    <row r="58" customFormat="false" ht="15" hidden="false" customHeight="false" outlineLevel="0" collapsed="false">
      <c r="A58" s="17" t="s">
        <v>295</v>
      </c>
      <c r="B58" s="17" t="s">
        <v>296</v>
      </c>
      <c r="C58" s="17" t="s">
        <v>1675</v>
      </c>
      <c r="D58" s="17" t="s">
        <v>95</v>
      </c>
      <c r="E58" s="18" t="n">
        <v>25070</v>
      </c>
      <c r="F58" s="17" t="s">
        <v>821</v>
      </c>
      <c r="G58" s="23" t="n">
        <v>7.3856003191065</v>
      </c>
      <c r="H58" s="19" t="n">
        <v>88</v>
      </c>
      <c r="I58" s="17" t="n">
        <f aca="false">IF(H58="","",RANK(H58,$H$5:$H$389))</f>
        <v>54</v>
      </c>
      <c r="J58" s="24" t="n">
        <v>0.101493848857645</v>
      </c>
      <c r="K58" s="19" t="n">
        <v>58.5</v>
      </c>
      <c r="L58" s="17" t="n">
        <f aca="false">IF(K58="","",RANK(K58,$K$5:$K$389))</f>
        <v>159</v>
      </c>
      <c r="M58" s="25" t="n">
        <v>0.124579720403468</v>
      </c>
      <c r="N58" s="19" t="n">
        <v>47</v>
      </c>
      <c r="O58" s="17" t="n">
        <f aca="false">IF(N58="","",RANK(N58,$N$5:$N$389))</f>
        <v>205</v>
      </c>
      <c r="P58" s="17" t="str">
        <f aca="false">IF(AND(N(H58)&gt;=N(K58),N(H58)&gt;=N(N58)),"The Pulse",IF(N(K58)&gt;=N(N58),"The Lens","The Hub"))</f>
        <v>The Pulse</v>
      </c>
      <c r="Q58" s="20" t="s">
        <v>74</v>
      </c>
      <c r="R58" s="26" t="s">
        <v>822</v>
      </c>
      <c r="S58" s="17" t="s">
        <v>24</v>
      </c>
    </row>
    <row r="59" customFormat="false" ht="15" hidden="false" customHeight="false" outlineLevel="0" collapsed="false">
      <c r="A59" s="17" t="s">
        <v>1676</v>
      </c>
      <c r="B59" s="17" t="s">
        <v>1677</v>
      </c>
      <c r="C59" s="17" t="s">
        <v>1678</v>
      </c>
      <c r="D59" s="17" t="s">
        <v>82</v>
      </c>
      <c r="E59" s="18" t="n">
        <v>52677</v>
      </c>
      <c r="F59" s="17" t="s">
        <v>821</v>
      </c>
      <c r="G59" s="23" t="n">
        <v>7.18791882605312</v>
      </c>
      <c r="H59" s="19" t="n">
        <v>87.2</v>
      </c>
      <c r="I59" s="17" t="n">
        <f aca="false">IF(H59="","",RANK(H59,$H$5:$H$389))</f>
        <v>55</v>
      </c>
      <c r="J59" s="24" t="n">
        <v>-0.0260511037976556</v>
      </c>
      <c r="K59" s="19" t="n">
        <v>7.3</v>
      </c>
      <c r="L59" s="17" t="n">
        <f aca="false">IF(K59="","",RANK(K59,$K$5:$K$389))</f>
        <v>360</v>
      </c>
      <c r="M59" s="25" t="n">
        <v>0.223416674773811</v>
      </c>
      <c r="N59" s="19" t="n">
        <v>75.1</v>
      </c>
      <c r="O59" s="17" t="n">
        <f aca="false">IF(N59="","",RANK(N59,$N$5:$N$389))</f>
        <v>96</v>
      </c>
      <c r="P59" s="17" t="str">
        <f aca="false">IF(AND(N(H59)&gt;=N(K59),N(H59)&gt;=N(N59)),"The Pulse",IF(N(K59)&gt;=N(N59),"The Lens","The Hub"))</f>
        <v>The Pulse</v>
      </c>
      <c r="Q59" s="21" t="s">
        <v>79</v>
      </c>
      <c r="R59" s="27" t="s">
        <v>832</v>
      </c>
      <c r="S59" s="17" t="s">
        <v>22</v>
      </c>
    </row>
    <row r="60" customFormat="false" ht="15" hidden="false" customHeight="false" outlineLevel="0" collapsed="false">
      <c r="A60" s="17" t="s">
        <v>1679</v>
      </c>
      <c r="B60" s="17" t="s">
        <v>1680</v>
      </c>
      <c r="C60" s="17" t="s">
        <v>1681</v>
      </c>
      <c r="D60" s="17" t="s">
        <v>95</v>
      </c>
      <c r="E60" s="18" t="n">
        <v>759270</v>
      </c>
      <c r="F60" s="17" t="s">
        <v>827</v>
      </c>
      <c r="G60" s="23" t="n">
        <v>7.18766315013105</v>
      </c>
      <c r="H60" s="19" t="n">
        <v>87</v>
      </c>
      <c r="I60" s="17" t="n">
        <f aca="false">IF(H60="","",RANK(H60,$H$5:$H$389))</f>
        <v>56</v>
      </c>
      <c r="J60" s="24" t="n">
        <v>0.0100705068511374</v>
      </c>
      <c r="K60" s="19" t="n">
        <v>15.9</v>
      </c>
      <c r="L60" s="17" t="n">
        <f aca="false">IF(K60="","",RANK(K60,$K$5:$K$389))</f>
        <v>326</v>
      </c>
      <c r="M60" s="25" t="n">
        <v>0.457698277397522</v>
      </c>
      <c r="N60" s="19" t="n">
        <v>98.7</v>
      </c>
      <c r="O60" s="17" t="n">
        <f aca="false">IF(N60="","",RANK(N60,$N$5:$N$389))</f>
        <v>6</v>
      </c>
      <c r="P60" s="17" t="str">
        <f aca="false">IF(AND(N(H60)&gt;=N(K60),N(H60)&gt;=N(N60)),"The Pulse",IF(N(K60)&gt;=N(N60),"The Lens","The Hub"))</f>
        <v>The Hub</v>
      </c>
      <c r="Q60" s="20" t="s">
        <v>74</v>
      </c>
      <c r="R60" s="27" t="s">
        <v>832</v>
      </c>
      <c r="S60" s="17" t="s">
        <v>24</v>
      </c>
    </row>
    <row r="61" customFormat="false" ht="15" hidden="false" customHeight="false" outlineLevel="0" collapsed="false">
      <c r="A61" s="17" t="s">
        <v>279</v>
      </c>
      <c r="B61" s="17" t="s">
        <v>280</v>
      </c>
      <c r="C61" s="17" t="s">
        <v>1682</v>
      </c>
      <c r="D61" s="17" t="s">
        <v>86</v>
      </c>
      <c r="E61" s="18" t="n">
        <v>32370</v>
      </c>
      <c r="F61" s="17" t="s">
        <v>821</v>
      </c>
      <c r="G61" s="23" t="n">
        <v>7.17951807228916</v>
      </c>
      <c r="H61" s="19" t="n">
        <v>86.8</v>
      </c>
      <c r="I61" s="17" t="n">
        <f aca="false">IF(H61="","",RANK(H61,$H$5:$H$389))</f>
        <v>57</v>
      </c>
      <c r="J61" s="24" t="n">
        <v>0.203793231684641</v>
      </c>
      <c r="K61" s="19" t="n">
        <v>94.9</v>
      </c>
      <c r="L61" s="17" t="n">
        <f aca="false">IF(K61="","",RANK(K61,$K$5:$K$389))</f>
        <v>19</v>
      </c>
      <c r="M61" s="25" t="n">
        <v>0.310848791455874</v>
      </c>
      <c r="N61" s="19" t="n">
        <v>90.9</v>
      </c>
      <c r="O61" s="17" t="n">
        <f aca="false">IF(N61="","",RANK(N61,$N$5:$N$389))</f>
        <v>36</v>
      </c>
      <c r="P61" s="17" t="str">
        <f aca="false">IF(AND(N(H61)&gt;=N(K61),N(H61)&gt;=N(N61)),"The Pulse",IF(N(K61)&gt;=N(N61),"The Lens","The Hub"))</f>
        <v>The Lens</v>
      </c>
      <c r="Q61" s="20" t="s">
        <v>74</v>
      </c>
      <c r="R61" s="26" t="s">
        <v>822</v>
      </c>
      <c r="S61" s="17" t="s">
        <v>24</v>
      </c>
    </row>
    <row r="62" customFormat="false" ht="15" hidden="false" customHeight="false" outlineLevel="0" collapsed="false">
      <c r="A62" s="17" t="s">
        <v>1683</v>
      </c>
      <c r="B62" s="17" t="s">
        <v>1684</v>
      </c>
      <c r="C62" s="17" t="s">
        <v>1685</v>
      </c>
      <c r="D62" s="17" t="s">
        <v>82</v>
      </c>
      <c r="E62" s="18" t="n">
        <v>70660</v>
      </c>
      <c r="F62" s="17" t="s">
        <v>821</v>
      </c>
      <c r="G62" s="23" t="n">
        <v>7.13594678743278</v>
      </c>
      <c r="H62" s="19" t="n">
        <v>86.4</v>
      </c>
      <c r="I62" s="17" t="n">
        <f aca="false">IF(H62="","",RANK(H62,$H$5:$H$389))</f>
        <v>58</v>
      </c>
      <c r="J62" s="24" t="n">
        <v>0.0999377334993773</v>
      </c>
      <c r="K62" s="19" t="n">
        <v>57.5</v>
      </c>
      <c r="L62" s="17" t="n">
        <f aca="false">IF(K62="","",RANK(K62,$K$5:$K$389))</f>
        <v>165</v>
      </c>
      <c r="M62" s="25" t="n">
        <v>0.0975742037274431</v>
      </c>
      <c r="N62" s="19" t="n">
        <v>36</v>
      </c>
      <c r="O62" s="17" t="n">
        <f aca="false">IF(N62="","",RANK(N62,$N$5:$N$389))</f>
        <v>248</v>
      </c>
      <c r="P62" s="17" t="str">
        <f aca="false">IF(AND(N(H62)&gt;=N(K62),N(H62)&gt;=N(N62)),"The Pulse",IF(N(K62)&gt;=N(N62),"The Lens","The Hub"))</f>
        <v>The Pulse</v>
      </c>
      <c r="Q62" s="20" t="s">
        <v>74</v>
      </c>
      <c r="R62" s="27" t="s">
        <v>832</v>
      </c>
      <c r="S62" s="17" t="s">
        <v>24</v>
      </c>
    </row>
    <row r="63" customFormat="false" ht="15" hidden="false" customHeight="false" outlineLevel="0" collapsed="false">
      <c r="A63" s="17" t="s">
        <v>1578</v>
      </c>
      <c r="B63" s="17" t="s">
        <v>1579</v>
      </c>
      <c r="C63" s="17" t="s">
        <v>1686</v>
      </c>
      <c r="D63" s="17" t="s">
        <v>86</v>
      </c>
      <c r="E63" s="18" t="n">
        <v>71595</v>
      </c>
      <c r="F63" s="17" t="s">
        <v>821</v>
      </c>
      <c r="G63" s="23" t="n">
        <v>7.05140023744675</v>
      </c>
      <c r="H63" s="19" t="n">
        <v>86.1</v>
      </c>
      <c r="I63" s="17" t="n">
        <f aca="false">IF(H63="","",RANK(H63,$H$5:$H$389))</f>
        <v>59</v>
      </c>
      <c r="J63" s="24" t="n">
        <v>0.0924863429670095</v>
      </c>
      <c r="K63" s="19" t="n">
        <v>54.2</v>
      </c>
      <c r="L63" s="17" t="n">
        <f aca="false">IF(K63="","",RANK(K63,$K$5:$K$389))</f>
        <v>178</v>
      </c>
      <c r="M63" s="25" t="n">
        <v>0.0659902349710101</v>
      </c>
      <c r="N63" s="19" t="n">
        <v>17.7</v>
      </c>
      <c r="O63" s="17" t="n">
        <f aca="false">IF(N63="","",RANK(N63,$N$5:$N$389))</f>
        <v>316</v>
      </c>
      <c r="P63" s="17" t="str">
        <f aca="false">IF(AND(N(H63)&gt;=N(K63),N(H63)&gt;=N(N63)),"The Pulse",IF(N(K63)&gt;=N(N63),"The Lens","The Hub"))</f>
        <v>The Pulse</v>
      </c>
      <c r="Q63" s="21" t="s">
        <v>79</v>
      </c>
      <c r="R63" s="27" t="s">
        <v>832</v>
      </c>
      <c r="S63" s="17" t="s">
        <v>22</v>
      </c>
    </row>
    <row r="64" customFormat="false" ht="15" hidden="false" customHeight="false" outlineLevel="0" collapsed="false">
      <c r="A64" s="17" t="s">
        <v>1687</v>
      </c>
      <c r="B64" s="17" t="s">
        <v>1688</v>
      </c>
      <c r="C64" s="17" t="s">
        <v>1689</v>
      </c>
      <c r="D64" s="17" t="s">
        <v>123</v>
      </c>
      <c r="E64" s="18" t="n">
        <v>38800</v>
      </c>
      <c r="F64" s="17" t="s">
        <v>821</v>
      </c>
      <c r="G64" s="23" t="n">
        <v>7.02237113402062</v>
      </c>
      <c r="H64" s="19" t="n">
        <v>85.9</v>
      </c>
      <c r="I64" s="17" t="n">
        <f aca="false">IF(H64="","",RANK(H64,$H$5:$H$389))</f>
        <v>60</v>
      </c>
      <c r="J64" s="24" t="n">
        <v>-0.0388902650483032</v>
      </c>
      <c r="K64" s="19" t="n">
        <v>5.8</v>
      </c>
      <c r="L64" s="17" t="n">
        <f aca="false">IF(K64="","",RANK(K64,$K$5:$K$389))</f>
        <v>364</v>
      </c>
      <c r="M64" s="25" t="n">
        <v>0.0883712156936716</v>
      </c>
      <c r="N64" s="19" t="n">
        <v>31.6</v>
      </c>
      <c r="O64" s="17" t="n">
        <f aca="false">IF(N64="","",RANK(N64,$N$5:$N$389))</f>
        <v>267</v>
      </c>
      <c r="P64" s="17" t="str">
        <f aca="false">IF(AND(N(H64)&gt;=N(K64),N(H64)&gt;=N(N64)),"The Pulse",IF(N(K64)&gt;=N(N64),"The Lens","The Hub"))</f>
        <v>The Pulse</v>
      </c>
      <c r="Q64" s="20" t="s">
        <v>74</v>
      </c>
      <c r="R64" s="27" t="s">
        <v>832</v>
      </c>
      <c r="S64" s="17" t="s">
        <v>24</v>
      </c>
    </row>
    <row r="65" customFormat="false" ht="15" hidden="false" customHeight="false" outlineLevel="0" collapsed="false">
      <c r="A65" s="17" t="s">
        <v>305</v>
      </c>
      <c r="B65" s="17" t="s">
        <v>306</v>
      </c>
      <c r="C65" s="17" t="s">
        <v>1690</v>
      </c>
      <c r="D65" s="17" t="s">
        <v>91</v>
      </c>
      <c r="E65" s="18" t="n">
        <v>2990</v>
      </c>
      <c r="F65" s="17" t="s">
        <v>825</v>
      </c>
      <c r="G65" s="23" t="n">
        <v>7.0093896713615</v>
      </c>
      <c r="H65" s="19" t="n">
        <v>85.7</v>
      </c>
      <c r="I65" s="17" t="n">
        <f aca="false">IF(H65="","",RANK(H65,$H$5:$H$389))</f>
        <v>61</v>
      </c>
      <c r="J65" s="24" t="n">
        <v>0.099963113242346</v>
      </c>
      <c r="K65" s="19" t="n">
        <v>45.3</v>
      </c>
      <c r="L65" s="17" t="n">
        <f aca="false">IF(K65="","",RANK(K65,$K$5:$K$389))</f>
        <v>216</v>
      </c>
      <c r="M65" s="25" t="n">
        <v>0.199651770168311</v>
      </c>
      <c r="N65" s="19" t="n">
        <v>69.3</v>
      </c>
      <c r="O65" s="17" t="n">
        <f aca="false">IF(N65="","",RANK(N65,$N$5:$N$389))</f>
        <v>121</v>
      </c>
      <c r="P65" s="17" t="str">
        <f aca="false">IF(AND(N(H65)&gt;=N(K65),N(H65)&gt;=N(N65)),"The Pulse",IF(N(K65)&gt;=N(N65),"The Lens","The Hub"))</f>
        <v>The Pulse</v>
      </c>
      <c r="Q65" s="21" t="s">
        <v>79</v>
      </c>
      <c r="R65" s="26" t="s">
        <v>822</v>
      </c>
      <c r="S65" s="17" t="s">
        <v>88</v>
      </c>
    </row>
    <row r="66" customFormat="false" ht="15" hidden="false" customHeight="false" outlineLevel="0" collapsed="false">
      <c r="A66" s="17" t="s">
        <v>1691</v>
      </c>
      <c r="B66" s="17" t="s">
        <v>1692</v>
      </c>
      <c r="C66" s="17" t="s">
        <v>1693</v>
      </c>
      <c r="D66" s="17" t="s">
        <v>115</v>
      </c>
      <c r="E66" s="18" t="n">
        <v>48150</v>
      </c>
      <c r="F66" s="17" t="s">
        <v>821</v>
      </c>
      <c r="G66" s="23" t="n">
        <v>6.87767393561786</v>
      </c>
      <c r="H66" s="19" t="n">
        <v>85.1</v>
      </c>
      <c r="I66" s="17" t="n">
        <f aca="false">IF(H66="","",RANK(H66,$H$5:$H$389))</f>
        <v>62</v>
      </c>
      <c r="J66" s="24" t="n">
        <v>0.0117671779785669</v>
      </c>
      <c r="K66" s="19" t="n">
        <v>16.4</v>
      </c>
      <c r="L66" s="17" t="n">
        <f aca="false">IF(K66="","",RANK(K66,$K$5:$K$389))</f>
        <v>324</v>
      </c>
      <c r="M66" s="25" t="n">
        <v>0.0826951889462294</v>
      </c>
      <c r="N66" s="19" t="n">
        <v>28</v>
      </c>
      <c r="O66" s="17" t="n">
        <f aca="false">IF(N66="","",RANK(N66,$N$5:$N$389))</f>
        <v>279</v>
      </c>
      <c r="P66" s="17" t="str">
        <f aca="false">IF(AND(N(H66)&gt;=N(K66),N(H66)&gt;=N(N66)),"The Pulse",IF(N(K66)&gt;=N(N66),"The Lens","The Hub"))</f>
        <v>The Pulse</v>
      </c>
      <c r="Q66" s="20" t="s">
        <v>74</v>
      </c>
      <c r="R66" s="27" t="s">
        <v>832</v>
      </c>
      <c r="S66" s="17" t="s">
        <v>24</v>
      </c>
    </row>
    <row r="67" customFormat="false" ht="15" hidden="false" customHeight="false" outlineLevel="0" collapsed="false">
      <c r="A67" s="17" t="s">
        <v>277</v>
      </c>
      <c r="B67" s="17" t="s">
        <v>278</v>
      </c>
      <c r="C67" s="17" t="s">
        <v>1694</v>
      </c>
      <c r="D67" s="17" t="s">
        <v>91</v>
      </c>
      <c r="E67" s="18" t="n">
        <v>23170</v>
      </c>
      <c r="F67" s="17" t="s">
        <v>821</v>
      </c>
      <c r="G67" s="23" t="n">
        <v>6.8775571860164</v>
      </c>
      <c r="H67" s="19" t="n">
        <v>84.9</v>
      </c>
      <c r="I67" s="17" t="n">
        <f aca="false">IF(H67="","",RANK(H67,$H$5:$H$389))</f>
        <v>63</v>
      </c>
      <c r="J67" s="24" t="n">
        <v>0.0796831314072693</v>
      </c>
      <c r="K67" s="19" t="n">
        <v>47.6</v>
      </c>
      <c r="L67" s="17" t="n">
        <f aca="false">IF(K67="","",RANK(K67,$K$5:$K$389))</f>
        <v>207</v>
      </c>
      <c r="M67" s="25" t="n">
        <v>0.17035157665821</v>
      </c>
      <c r="N67" s="19" t="n">
        <v>61.6</v>
      </c>
      <c r="O67" s="17" t="n">
        <f aca="false">IF(N67="","",RANK(N67,$N$5:$N$389))</f>
        <v>152</v>
      </c>
      <c r="P67" s="17" t="str">
        <f aca="false">IF(AND(N(H67)&gt;=N(K67),N(H67)&gt;=N(N67)),"The Pulse",IF(N(K67)&gt;=N(N67),"The Lens","The Hub"))</f>
        <v>The Pulse</v>
      </c>
      <c r="Q67" s="20" t="s">
        <v>74</v>
      </c>
      <c r="R67" s="26" t="s">
        <v>822</v>
      </c>
      <c r="S67" s="17" t="s">
        <v>24</v>
      </c>
    </row>
    <row r="68" customFormat="false" ht="15" hidden="false" customHeight="false" outlineLevel="0" collapsed="false">
      <c r="A68" s="17" t="s">
        <v>583</v>
      </c>
      <c r="B68" s="17" t="s">
        <v>584</v>
      </c>
      <c r="C68" s="17" t="s">
        <v>1695</v>
      </c>
      <c r="D68" s="17" t="s">
        <v>162</v>
      </c>
      <c r="E68" s="18" t="n">
        <v>2330</v>
      </c>
      <c r="F68" s="17" t="s">
        <v>825</v>
      </c>
      <c r="G68" s="23" t="n">
        <v>6.62789699570816</v>
      </c>
      <c r="H68" s="19" t="n">
        <v>84.1</v>
      </c>
      <c r="I68" s="17" t="n">
        <f aca="false">IF(H68="","",RANK(H68,$H$5:$H$389))</f>
        <v>64</v>
      </c>
      <c r="J68" s="24" t="n">
        <v>0.116908212560387</v>
      </c>
      <c r="K68" s="19" t="n">
        <v>52.8</v>
      </c>
      <c r="L68" s="17" t="n">
        <f aca="false">IF(K68="","",RANK(K68,$K$5:$K$389))</f>
        <v>185</v>
      </c>
      <c r="M68" s="25" t="n">
        <v>0.261447562776957</v>
      </c>
      <c r="N68" s="19" t="n">
        <v>83</v>
      </c>
      <c r="O68" s="17" t="n">
        <f aca="false">IF(N68="","",RANK(N68,$N$5:$N$389))</f>
        <v>66</v>
      </c>
      <c r="P68" s="17" t="str">
        <f aca="false">IF(AND(N(H68)&gt;=N(K68),N(H68)&gt;=N(N68)),"The Pulse",IF(N(K68)&gt;=N(N68),"The Lens","The Hub"))</f>
        <v>The Pulse</v>
      </c>
      <c r="Q68" s="21" t="s">
        <v>79</v>
      </c>
      <c r="R68" s="26" t="s">
        <v>822</v>
      </c>
      <c r="S68" s="17" t="s">
        <v>88</v>
      </c>
    </row>
    <row r="69" customFormat="false" ht="15" hidden="false" customHeight="false" outlineLevel="0" collapsed="false">
      <c r="A69" s="17" t="s">
        <v>113</v>
      </c>
      <c r="B69" s="17" t="s">
        <v>114</v>
      </c>
      <c r="C69" s="17" t="s">
        <v>1696</v>
      </c>
      <c r="D69" s="17" t="s">
        <v>115</v>
      </c>
      <c r="E69" s="18" t="n">
        <v>58535</v>
      </c>
      <c r="F69" s="17" t="s">
        <v>821</v>
      </c>
      <c r="G69" s="23" t="n">
        <v>6.567540787563</v>
      </c>
      <c r="H69" s="19" t="n">
        <v>83.9</v>
      </c>
      <c r="I69" s="17" t="n">
        <f aca="false">IF(H69="","",RANK(H69,$H$5:$H$389))</f>
        <v>65</v>
      </c>
      <c r="J69" s="24" t="n">
        <v>0.0734458096460664</v>
      </c>
      <c r="K69" s="19" t="n">
        <v>42.9</v>
      </c>
      <c r="L69" s="17" t="n">
        <f aca="false">IF(K69="","",RANK(K69,$K$5:$K$389))</f>
        <v>224</v>
      </c>
      <c r="M69" s="25" t="n">
        <v>0.0363132608247119</v>
      </c>
      <c r="N69" s="19" t="n">
        <v>7.5</v>
      </c>
      <c r="O69" s="17" t="n">
        <f aca="false">IF(N69="","",RANK(N69,$N$5:$N$389))</f>
        <v>357</v>
      </c>
      <c r="P69" s="17" t="str">
        <f aca="false">IF(AND(N(H69)&gt;=N(K69),N(H69)&gt;=N(N69)),"The Pulse",IF(N(K69)&gt;=N(N69),"The Lens","The Hub"))</f>
        <v>The Pulse</v>
      </c>
      <c r="Q69" s="21" t="s">
        <v>79</v>
      </c>
      <c r="R69" s="26" t="s">
        <v>822</v>
      </c>
      <c r="S69" s="17" t="s">
        <v>22</v>
      </c>
    </row>
    <row r="70" customFormat="false" ht="15" hidden="false" customHeight="false" outlineLevel="0" collapsed="false">
      <c r="A70" s="17" t="s">
        <v>293</v>
      </c>
      <c r="B70" s="17" t="s">
        <v>294</v>
      </c>
      <c r="C70" s="17" t="s">
        <v>1697</v>
      </c>
      <c r="D70" s="17" t="s">
        <v>91</v>
      </c>
      <c r="E70" s="18" t="n">
        <v>7685</v>
      </c>
      <c r="F70" s="17" t="s">
        <v>825</v>
      </c>
      <c r="G70" s="23" t="n">
        <v>6.55901106050748</v>
      </c>
      <c r="H70" s="19" t="n">
        <v>83.7</v>
      </c>
      <c r="I70" s="17" t="n">
        <f aca="false">IF(H70="","",RANK(H70,$H$5:$H$389))</f>
        <v>66</v>
      </c>
      <c r="J70" s="24" t="n">
        <v>0.0986418870621873</v>
      </c>
      <c r="K70" s="19" t="n">
        <v>41.5</v>
      </c>
      <c r="L70" s="17" t="n">
        <f aca="false">IF(K70="","",RANK(K70,$K$5:$K$389))</f>
        <v>230</v>
      </c>
      <c r="M70" s="25" t="n">
        <v>0.317127071823204</v>
      </c>
      <c r="N70" s="19" t="n">
        <v>91.6</v>
      </c>
      <c r="O70" s="17" t="n">
        <f aca="false">IF(N70="","",RANK(N70,$N$5:$N$389))</f>
        <v>34</v>
      </c>
      <c r="P70" s="17" t="str">
        <f aca="false">IF(AND(N(H70)&gt;=N(K70),N(H70)&gt;=N(N70)),"The Pulse",IF(N(K70)&gt;=N(N70),"The Lens","The Hub"))</f>
        <v>The Hub</v>
      </c>
      <c r="Q70" s="21" t="s">
        <v>79</v>
      </c>
      <c r="R70" s="26" t="s">
        <v>822</v>
      </c>
      <c r="S70" s="17" t="s">
        <v>22</v>
      </c>
    </row>
    <row r="71" customFormat="false" ht="15" hidden="false" customHeight="false" outlineLevel="0" collapsed="false">
      <c r="A71" s="17" t="s">
        <v>1698</v>
      </c>
      <c r="B71" s="17" t="s">
        <v>1699</v>
      </c>
      <c r="C71" s="17" t="s">
        <v>1700</v>
      </c>
      <c r="D71" s="17" t="s">
        <v>115</v>
      </c>
      <c r="E71" s="18" t="n">
        <v>60670</v>
      </c>
      <c r="F71" s="17" t="s">
        <v>821</v>
      </c>
      <c r="G71" s="23" t="n">
        <v>6.53372342179001</v>
      </c>
      <c r="H71" s="19" t="n">
        <v>83.5</v>
      </c>
      <c r="I71" s="17" t="n">
        <f aca="false">IF(H71="","",RANK(H71,$H$5:$H$389))</f>
        <v>67</v>
      </c>
      <c r="J71" s="24" t="n">
        <v>0.109749405524053</v>
      </c>
      <c r="K71" s="19" t="n">
        <v>64.4</v>
      </c>
      <c r="L71" s="17" t="n">
        <f aca="false">IF(K71="","",RANK(K71,$K$5:$K$389))</f>
        <v>134</v>
      </c>
      <c r="M71" s="25" t="n">
        <v>0.104855053308662</v>
      </c>
      <c r="N71" s="19" t="n">
        <v>39.5</v>
      </c>
      <c r="O71" s="17" t="n">
        <f aca="false">IF(N71="","",RANK(N71,$N$5:$N$389))</f>
        <v>234</v>
      </c>
      <c r="P71" s="17" t="str">
        <f aca="false">IF(AND(N(H71)&gt;=N(K71),N(H71)&gt;=N(N71)),"The Pulse",IF(N(K71)&gt;=N(N71),"The Lens","The Hub"))</f>
        <v>The Pulse</v>
      </c>
      <c r="Q71" s="20" t="s">
        <v>74</v>
      </c>
      <c r="R71" s="27" t="s">
        <v>832</v>
      </c>
      <c r="S71" s="17" t="s">
        <v>24</v>
      </c>
    </row>
    <row r="72" customFormat="false" ht="15" hidden="false" customHeight="false" outlineLevel="0" collapsed="false">
      <c r="A72" s="17" t="s">
        <v>137</v>
      </c>
      <c r="B72" s="17" t="s">
        <v>138</v>
      </c>
      <c r="C72" s="17" t="s">
        <v>1701</v>
      </c>
      <c r="D72" s="17" t="s">
        <v>82</v>
      </c>
      <c r="E72" s="18" t="n">
        <v>35830</v>
      </c>
      <c r="F72" s="17" t="s">
        <v>821</v>
      </c>
      <c r="G72" s="23" t="n">
        <v>6.46784817192297</v>
      </c>
      <c r="H72" s="19" t="n">
        <v>82.9</v>
      </c>
      <c r="I72" s="17" t="n">
        <f aca="false">IF(H72="","",RANK(H72,$H$5:$H$389))</f>
        <v>68</v>
      </c>
      <c r="J72" s="24" t="n">
        <v>-0.122673849167483</v>
      </c>
      <c r="K72" s="19" t="n">
        <v>0.7</v>
      </c>
      <c r="L72" s="17" t="n">
        <f aca="false">IF(K72="","",RANK(K72,$K$5:$K$389))</f>
        <v>384</v>
      </c>
      <c r="M72" s="25" t="n">
        <v>0.121209203812458</v>
      </c>
      <c r="N72" s="19" t="n">
        <v>45.5</v>
      </c>
      <c r="O72" s="17" t="n">
        <f aca="false">IF(N72="","",RANK(N72,$N$5:$N$389))</f>
        <v>211</v>
      </c>
      <c r="P72" s="17" t="str">
        <f aca="false">IF(AND(N(H72)&gt;=N(K72),N(H72)&gt;=N(N72)),"The Pulse",IF(N(K72)&gt;=N(N72),"The Lens","The Hub"))</f>
        <v>The Pulse</v>
      </c>
      <c r="Q72" s="20" t="s">
        <v>74</v>
      </c>
      <c r="R72" s="26" t="s">
        <v>822</v>
      </c>
      <c r="S72" s="17" t="s">
        <v>24</v>
      </c>
    </row>
    <row r="73" customFormat="false" ht="15" hidden="false" customHeight="false" outlineLevel="0" collapsed="false">
      <c r="A73" s="17" t="s">
        <v>387</v>
      </c>
      <c r="B73" s="17" t="s">
        <v>388</v>
      </c>
      <c r="C73" s="17" t="s">
        <v>1702</v>
      </c>
      <c r="D73" s="17" t="s">
        <v>82</v>
      </c>
      <c r="E73" s="18" t="n">
        <v>123720</v>
      </c>
      <c r="F73" s="17" t="s">
        <v>827</v>
      </c>
      <c r="G73" s="23" t="n">
        <v>6.37988199159392</v>
      </c>
      <c r="H73" s="19" t="n">
        <v>82.1</v>
      </c>
      <c r="I73" s="17" t="n">
        <f aca="false">IF(H73="","",RANK(H73,$H$5:$H$389))</f>
        <v>69</v>
      </c>
      <c r="J73" s="24" t="n">
        <v>0.199185809828439</v>
      </c>
      <c r="K73" s="19" t="n">
        <v>97.5</v>
      </c>
      <c r="L73" s="17" t="n">
        <f aca="false">IF(K73="","",RANK(K73,$K$5:$K$389))</f>
        <v>11</v>
      </c>
      <c r="M73" s="25" t="n">
        <v>0.0606178963402726</v>
      </c>
      <c r="N73" s="19" t="n">
        <v>16.1</v>
      </c>
      <c r="O73" s="17" t="n">
        <f aca="false">IF(N73="","",RANK(N73,$N$5:$N$389))</f>
        <v>322</v>
      </c>
      <c r="P73" s="17" t="str">
        <f aca="false">IF(AND(N(H73)&gt;=N(K73),N(H73)&gt;=N(N73)),"The Pulse",IF(N(K73)&gt;=N(N73),"The Lens","The Hub"))</f>
        <v>The Lens</v>
      </c>
      <c r="Q73" s="21" t="s">
        <v>79</v>
      </c>
      <c r="R73" s="26" t="s">
        <v>822</v>
      </c>
      <c r="S73" s="17" t="s">
        <v>88</v>
      </c>
    </row>
    <row r="74" customFormat="false" ht="15" hidden="false" customHeight="false" outlineLevel="0" collapsed="false">
      <c r="A74" s="17" t="s">
        <v>487</v>
      </c>
      <c r="B74" s="17" t="s">
        <v>488</v>
      </c>
      <c r="C74" s="17" t="s">
        <v>1703</v>
      </c>
      <c r="D74" s="17" t="s">
        <v>91</v>
      </c>
      <c r="E74" s="18" t="n">
        <v>303830</v>
      </c>
      <c r="F74" s="17" t="s">
        <v>827</v>
      </c>
      <c r="G74" s="23" t="n">
        <v>6.33092189711352</v>
      </c>
      <c r="H74" s="19" t="n">
        <v>81.7</v>
      </c>
      <c r="I74" s="17" t="n">
        <f aca="false">IF(H74="","",RANK(H74,$H$5:$H$389))</f>
        <v>70</v>
      </c>
      <c r="J74" s="24" t="n">
        <v>0.11085517896969</v>
      </c>
      <c r="K74" s="19" t="n">
        <v>68.2</v>
      </c>
      <c r="L74" s="17" t="n">
        <f aca="false">IF(K74="","",RANK(K74,$K$5:$K$389))</f>
        <v>116</v>
      </c>
      <c r="M74" s="25" t="n">
        <v>0.501228176751803</v>
      </c>
      <c r="N74" s="19" t="n">
        <v>99.6</v>
      </c>
      <c r="O74" s="17" t="n">
        <f aca="false">IF(N74="","",RANK(N74,$N$5:$N$389))</f>
        <v>3</v>
      </c>
      <c r="P74" s="17" t="str">
        <f aca="false">IF(AND(N(H74)&gt;=N(K74),N(H74)&gt;=N(N74)),"The Pulse",IF(N(K74)&gt;=N(N74),"The Lens","The Hub"))</f>
        <v>The Hub</v>
      </c>
      <c r="Q74" s="20" t="s">
        <v>74</v>
      </c>
      <c r="R74" s="26" t="s">
        <v>822</v>
      </c>
      <c r="S74" s="17" t="s">
        <v>24</v>
      </c>
    </row>
    <row r="75" customFormat="false" ht="15" hidden="false" customHeight="false" outlineLevel="0" collapsed="false">
      <c r="A75" s="17" t="s">
        <v>1704</v>
      </c>
      <c r="B75" s="17" t="s">
        <v>1705</v>
      </c>
      <c r="C75" s="17" t="s">
        <v>1706</v>
      </c>
      <c r="D75" s="17" t="s">
        <v>77</v>
      </c>
      <c r="E75" s="18" t="n">
        <v>402170</v>
      </c>
      <c r="F75" s="17" t="s">
        <v>827</v>
      </c>
      <c r="G75" s="23" t="n">
        <v>6.32027998110252</v>
      </c>
      <c r="H75" s="19" t="n">
        <v>81.5</v>
      </c>
      <c r="I75" s="17" t="n">
        <f aca="false">IF(H75="","",RANK(H75,$H$5:$H$389))</f>
        <v>71</v>
      </c>
      <c r="J75" s="24" t="n">
        <v>0.00532446755324468</v>
      </c>
      <c r="K75" s="19" t="n">
        <v>14</v>
      </c>
      <c r="L75" s="17" t="n">
        <f aca="false">IF(K75="","",RANK(K75,$K$5:$K$389))</f>
        <v>334</v>
      </c>
      <c r="M75" s="25" t="n">
        <v>0.409158674942111</v>
      </c>
      <c r="N75" s="19" t="n">
        <v>97.4</v>
      </c>
      <c r="O75" s="17" t="n">
        <f aca="false">IF(N75="","",RANK(N75,$N$5:$N$389))</f>
        <v>11</v>
      </c>
      <c r="P75" s="17" t="str">
        <f aca="false">IF(AND(N(H75)&gt;=N(K75),N(H75)&gt;=N(N75)),"The Pulse",IF(N(K75)&gt;=N(N75),"The Lens","The Hub"))</f>
        <v>The Hub</v>
      </c>
      <c r="Q75" s="20" t="s">
        <v>74</v>
      </c>
      <c r="R75" s="27" t="s">
        <v>832</v>
      </c>
      <c r="S75" s="17" t="s">
        <v>24</v>
      </c>
    </row>
    <row r="76" customFormat="false" ht="15" hidden="false" customHeight="false" outlineLevel="0" collapsed="false">
      <c r="A76" s="17" t="s">
        <v>156</v>
      </c>
      <c r="B76" s="17" t="s">
        <v>157</v>
      </c>
      <c r="C76" s="17" t="s">
        <v>1707</v>
      </c>
      <c r="D76" s="17" t="s">
        <v>72</v>
      </c>
      <c r="E76" s="18" t="n">
        <v>19368</v>
      </c>
      <c r="F76" s="17" t="s">
        <v>821</v>
      </c>
      <c r="G76" s="23" t="n">
        <v>6.22924411400248</v>
      </c>
      <c r="H76" s="19" t="n">
        <v>81.3</v>
      </c>
      <c r="I76" s="17" t="n">
        <f aca="false">IF(H76="","",RANK(H76,$H$5:$H$389))</f>
        <v>72</v>
      </c>
      <c r="J76" s="24" t="n">
        <v>0.241618052439259</v>
      </c>
      <c r="K76" s="19" t="n">
        <v>97.5</v>
      </c>
      <c r="L76" s="17" t="n">
        <f aca="false">IF(K76="","",RANK(K76,$K$5:$K$389))</f>
        <v>11</v>
      </c>
      <c r="M76" s="25" t="n">
        <v>0.305962607377463</v>
      </c>
      <c r="N76" s="19" t="n">
        <v>89.8</v>
      </c>
      <c r="O76" s="17" t="n">
        <f aca="false">IF(N76="","",RANK(N76,$N$5:$N$389))</f>
        <v>40</v>
      </c>
      <c r="P76" s="17" t="str">
        <f aca="false">IF(AND(N(H76)&gt;=N(K76),N(H76)&gt;=N(N76)),"The Pulse",IF(N(K76)&gt;=N(N76),"The Lens","The Hub"))</f>
        <v>The Lens</v>
      </c>
      <c r="Q76" s="21" t="s">
        <v>79</v>
      </c>
      <c r="R76" s="26" t="s">
        <v>822</v>
      </c>
      <c r="S76" s="17" t="s">
        <v>88</v>
      </c>
    </row>
    <row r="77" customFormat="false" ht="15" hidden="false" customHeight="false" outlineLevel="0" collapsed="false">
      <c r="A77" s="17" t="s">
        <v>587</v>
      </c>
      <c r="B77" s="17" t="s">
        <v>588</v>
      </c>
      <c r="C77" s="17" t="s">
        <v>1708</v>
      </c>
      <c r="D77" s="17" t="s">
        <v>82</v>
      </c>
      <c r="E77" s="18" t="n">
        <v>367390</v>
      </c>
      <c r="F77" s="17" t="s">
        <v>827</v>
      </c>
      <c r="G77" s="23" t="n">
        <v>6.1648847274014</v>
      </c>
      <c r="H77" s="19" t="n">
        <v>81.1</v>
      </c>
      <c r="I77" s="17" t="n">
        <f aca="false">IF(H77="","",RANK(H77,$H$5:$H$389))</f>
        <v>73</v>
      </c>
      <c r="J77" s="24" t="n">
        <v>0.0280094017572332</v>
      </c>
      <c r="K77" s="19" t="n">
        <v>24.2</v>
      </c>
      <c r="L77" s="17" t="n">
        <f aca="false">IF(K77="","",RANK(K77,$K$5:$K$389))</f>
        <v>296</v>
      </c>
      <c r="M77" s="25" t="n">
        <v>0.324793984142136</v>
      </c>
      <c r="N77" s="19" t="n">
        <v>92.5</v>
      </c>
      <c r="O77" s="17" t="n">
        <f aca="false">IF(N77="","",RANK(N77,$N$5:$N$389))</f>
        <v>30</v>
      </c>
      <c r="P77" s="17" t="str">
        <f aca="false">IF(AND(N(H77)&gt;=N(K77),N(H77)&gt;=N(N77)),"The Pulse",IF(N(K77)&gt;=N(N77),"The Lens","The Hub"))</f>
        <v>The Hub</v>
      </c>
      <c r="Q77" s="20" t="s">
        <v>74</v>
      </c>
      <c r="R77" s="26" t="s">
        <v>822</v>
      </c>
      <c r="S77" s="17" t="s">
        <v>24</v>
      </c>
    </row>
    <row r="78" customFormat="false" ht="15" hidden="false" customHeight="false" outlineLevel="0" collapsed="false">
      <c r="A78" s="17" t="s">
        <v>253</v>
      </c>
      <c r="B78" s="17" t="s">
        <v>254</v>
      </c>
      <c r="C78" s="17" t="s">
        <v>1709</v>
      </c>
      <c r="D78" s="17" t="s">
        <v>95</v>
      </c>
      <c r="E78" s="18" t="n">
        <v>13960</v>
      </c>
      <c r="F78" s="17" t="s">
        <v>821</v>
      </c>
      <c r="G78" s="23" t="n">
        <v>6.09613180515759</v>
      </c>
      <c r="H78" s="19" t="n">
        <v>80.7</v>
      </c>
      <c r="I78" s="17" t="n">
        <f aca="false">IF(H78="","",RANK(H78,$H$5:$H$389))</f>
        <v>74</v>
      </c>
      <c r="J78" s="24" t="n">
        <v>0.0115381892829334</v>
      </c>
      <c r="K78" s="19" t="n">
        <v>16</v>
      </c>
      <c r="L78" s="17" t="n">
        <f aca="false">IF(K78="","",RANK(K78,$K$5:$K$389))</f>
        <v>325</v>
      </c>
      <c r="M78" s="25" t="n">
        <v>0.187226762972819</v>
      </c>
      <c r="N78" s="19" t="n">
        <v>66</v>
      </c>
      <c r="O78" s="17" t="n">
        <f aca="false">IF(N78="","",RANK(N78,$N$5:$N$389))</f>
        <v>135</v>
      </c>
      <c r="P78" s="17" t="str">
        <f aca="false">IF(AND(N(H78)&gt;=N(K78),N(H78)&gt;=N(N78)),"The Pulse",IF(N(K78)&gt;=N(N78),"The Lens","The Hub"))</f>
        <v>The Pulse</v>
      </c>
      <c r="Q78" s="21" t="s">
        <v>79</v>
      </c>
      <c r="R78" s="26" t="s">
        <v>822</v>
      </c>
      <c r="S78" s="17" t="s">
        <v>88</v>
      </c>
    </row>
    <row r="79" customFormat="false" ht="15" hidden="false" customHeight="false" outlineLevel="0" collapsed="false">
      <c r="A79" s="17" t="s">
        <v>549</v>
      </c>
      <c r="B79" s="17" t="s">
        <v>550</v>
      </c>
      <c r="C79" s="17" t="s">
        <v>1710</v>
      </c>
      <c r="D79" s="17" t="s">
        <v>82</v>
      </c>
      <c r="E79" s="18" t="n">
        <v>43420</v>
      </c>
      <c r="F79" s="17" t="s">
        <v>821</v>
      </c>
      <c r="G79" s="23" t="n">
        <v>6.0953247351451</v>
      </c>
      <c r="H79" s="19" t="n">
        <v>80.6</v>
      </c>
      <c r="I79" s="17" t="n">
        <f aca="false">IF(H79="","",RANK(H79,$H$5:$H$389))</f>
        <v>75</v>
      </c>
      <c r="J79" s="24" t="n">
        <v>0.062133072407045</v>
      </c>
      <c r="K79" s="19" t="n">
        <v>34.9</v>
      </c>
      <c r="L79" s="17" t="n">
        <f aca="false">IF(K79="","",RANK(K79,$K$5:$K$389))</f>
        <v>256</v>
      </c>
      <c r="M79" s="25" t="n">
        <v>0.329470955938405</v>
      </c>
      <c r="N79" s="19" t="n">
        <v>92.9</v>
      </c>
      <c r="O79" s="17" t="n">
        <f aca="false">IF(N79="","",RANK(N79,$N$5:$N$389))</f>
        <v>29</v>
      </c>
      <c r="P79" s="17" t="str">
        <f aca="false">IF(AND(N(H79)&gt;=N(K79),N(H79)&gt;=N(N79)),"The Pulse",IF(N(K79)&gt;=N(N79),"The Lens","The Hub"))</f>
        <v>The Hub</v>
      </c>
      <c r="Q79" s="20" t="s">
        <v>74</v>
      </c>
      <c r="R79" s="26" t="s">
        <v>822</v>
      </c>
      <c r="S79" s="17" t="s">
        <v>24</v>
      </c>
    </row>
    <row r="80" customFormat="false" ht="15" hidden="false" customHeight="false" outlineLevel="0" collapsed="false">
      <c r="A80" s="17" t="s">
        <v>541</v>
      </c>
      <c r="B80" s="17" t="s">
        <v>542</v>
      </c>
      <c r="C80" s="17" t="s">
        <v>1711</v>
      </c>
      <c r="D80" s="17" t="s">
        <v>72</v>
      </c>
      <c r="E80" s="18" t="n">
        <v>381600</v>
      </c>
      <c r="F80" s="17" t="s">
        <v>827</v>
      </c>
      <c r="G80" s="23" t="n">
        <v>6.04507075471698</v>
      </c>
      <c r="H80" s="19" t="n">
        <v>80.4</v>
      </c>
      <c r="I80" s="17" t="n">
        <f aca="false">IF(H80="","",RANK(H80,$H$5:$H$389))</f>
        <v>76</v>
      </c>
      <c r="J80" s="24" t="n">
        <v>0.159561214257498</v>
      </c>
      <c r="K80" s="19" t="n">
        <v>89.8</v>
      </c>
      <c r="L80" s="17" t="n">
        <f aca="false">IF(K80="","",RANK(K80,$K$5:$K$389))</f>
        <v>38</v>
      </c>
      <c r="M80" s="25" t="n">
        <v>0.0431424161946618</v>
      </c>
      <c r="N80" s="19" t="n">
        <v>9.7</v>
      </c>
      <c r="O80" s="17" t="n">
        <f aca="false">IF(N80="","",RANK(N80,$N$5:$N$389))</f>
        <v>348</v>
      </c>
      <c r="P80" s="17" t="str">
        <f aca="false">IF(AND(N(H80)&gt;=N(K80),N(H80)&gt;=N(N80)),"The Pulse",IF(N(K80)&gt;=N(N80),"The Lens","The Hub"))</f>
        <v>The Lens</v>
      </c>
      <c r="Q80" s="20" t="s">
        <v>74</v>
      </c>
      <c r="R80" s="26" t="s">
        <v>822</v>
      </c>
      <c r="S80" s="17" t="s">
        <v>24</v>
      </c>
    </row>
    <row r="81" customFormat="false" ht="15" hidden="false" customHeight="false" outlineLevel="0" collapsed="false">
      <c r="A81" s="17" t="s">
        <v>441</v>
      </c>
      <c r="B81" s="17" t="s">
        <v>442</v>
      </c>
      <c r="C81" s="17" t="s">
        <v>1712</v>
      </c>
      <c r="D81" s="17" t="s">
        <v>77</v>
      </c>
      <c r="E81" s="18" t="n">
        <v>88771</v>
      </c>
      <c r="F81" s="17" t="s">
        <v>821</v>
      </c>
      <c r="G81" s="23" t="n">
        <v>6.02658525869935</v>
      </c>
      <c r="H81" s="19" t="n">
        <v>80.2</v>
      </c>
      <c r="I81" s="17" t="n">
        <f aca="false">IF(H81="","",RANK(H81,$H$5:$H$389))</f>
        <v>77</v>
      </c>
      <c r="J81" s="24" t="n">
        <v>0.0507184622304287</v>
      </c>
      <c r="K81" s="19" t="n">
        <v>30.9</v>
      </c>
      <c r="L81" s="17" t="n">
        <f aca="false">IF(K81="","",RANK(K81,$K$5:$K$389))</f>
        <v>273</v>
      </c>
      <c r="M81" s="25" t="n">
        <v>0.229320966290579</v>
      </c>
      <c r="N81" s="19" t="n">
        <v>76.4</v>
      </c>
      <c r="O81" s="17" t="n">
        <f aca="false">IF(N81="","",RANK(N81,$N$5:$N$389))</f>
        <v>91</v>
      </c>
      <c r="P81" s="17" t="str">
        <f aca="false">IF(AND(N(H81)&gt;=N(K81),N(H81)&gt;=N(N81)),"The Pulse",IF(N(K81)&gt;=N(N81),"The Lens","The Hub"))</f>
        <v>The Pulse</v>
      </c>
      <c r="Q81" s="21" t="s">
        <v>79</v>
      </c>
      <c r="R81" s="26" t="s">
        <v>822</v>
      </c>
      <c r="S81" s="17" t="s">
        <v>22</v>
      </c>
    </row>
    <row r="82" customFormat="false" ht="15" hidden="false" customHeight="false" outlineLevel="0" collapsed="false">
      <c r="A82" s="17" t="s">
        <v>221</v>
      </c>
      <c r="B82" s="17" t="s">
        <v>222</v>
      </c>
      <c r="C82" s="17" t="s">
        <v>1713</v>
      </c>
      <c r="D82" s="17" t="s">
        <v>72</v>
      </c>
      <c r="E82" s="18" t="n">
        <v>26690</v>
      </c>
      <c r="F82" s="17" t="s">
        <v>821</v>
      </c>
      <c r="G82" s="23" t="n">
        <v>5.99539153240914</v>
      </c>
      <c r="H82" s="19" t="n">
        <v>80</v>
      </c>
      <c r="I82" s="17" t="n">
        <f aca="false">IF(H82="","",RANK(H82,$H$5:$H$389))</f>
        <v>78</v>
      </c>
      <c r="J82" s="24" t="n">
        <v>0.472145615002758</v>
      </c>
      <c r="K82" s="19" t="n">
        <v>100</v>
      </c>
      <c r="L82" s="17" t="n">
        <f aca="false">IF(K82="","",RANK(K82,$K$5:$K$389))</f>
        <v>1</v>
      </c>
      <c r="M82" s="25" t="n">
        <v>0.236724828159227</v>
      </c>
      <c r="N82" s="19" t="n">
        <v>78.1</v>
      </c>
      <c r="O82" s="17" t="n">
        <f aca="false">IF(N82="","",RANK(N82,$N$5:$N$389))</f>
        <v>85</v>
      </c>
      <c r="P82" s="17" t="str">
        <f aca="false">IF(AND(N(H82)&gt;=N(K82),N(H82)&gt;=N(N82)),"The Pulse",IF(N(K82)&gt;=N(N82),"The Lens","The Hub"))</f>
        <v>The Lens</v>
      </c>
      <c r="Q82" s="20" t="s">
        <v>74</v>
      </c>
      <c r="R82" s="26" t="s">
        <v>822</v>
      </c>
      <c r="S82" s="17" t="s">
        <v>24</v>
      </c>
    </row>
    <row r="83" customFormat="false" ht="15" hidden="false" customHeight="false" outlineLevel="0" collapsed="false">
      <c r="A83" s="17" t="s">
        <v>1714</v>
      </c>
      <c r="B83" s="17" t="s">
        <v>1715</v>
      </c>
      <c r="C83" s="17" t="s">
        <v>1716</v>
      </c>
      <c r="D83" s="17" t="s">
        <v>77</v>
      </c>
      <c r="E83" s="18" t="n">
        <v>19260</v>
      </c>
      <c r="F83" s="17" t="s">
        <v>821</v>
      </c>
      <c r="G83" s="23" t="n">
        <v>5.89745586708204</v>
      </c>
      <c r="H83" s="19" t="n">
        <v>79.4</v>
      </c>
      <c r="I83" s="17" t="n">
        <f aca="false">IF(H83="","",RANK(H83,$H$5:$H$389))</f>
        <v>79</v>
      </c>
      <c r="J83" s="24" t="n">
        <v>0.07</v>
      </c>
      <c r="K83" s="19" t="n">
        <v>40.7</v>
      </c>
      <c r="L83" s="17" t="n">
        <f aca="false">IF(K83="","",RANK(K83,$K$5:$K$389))</f>
        <v>233</v>
      </c>
      <c r="M83" s="25" t="n">
        <v>0.17684816290394</v>
      </c>
      <c r="N83" s="19" t="n">
        <v>63.4</v>
      </c>
      <c r="O83" s="17" t="n">
        <f aca="false">IF(N83="","",RANK(N83,$N$5:$N$389))</f>
        <v>145</v>
      </c>
      <c r="P83" s="17" t="str">
        <f aca="false">IF(AND(N(H83)&gt;=N(K83),N(H83)&gt;=N(N83)),"The Pulse",IF(N(K83)&gt;=N(N83),"The Lens","The Hub"))</f>
        <v>The Pulse</v>
      </c>
      <c r="Q83" s="20" t="s">
        <v>74</v>
      </c>
      <c r="R83" s="27" t="s">
        <v>832</v>
      </c>
      <c r="S83" s="17" t="s">
        <v>24</v>
      </c>
    </row>
    <row r="84" customFormat="false" ht="15" hidden="false" customHeight="false" outlineLevel="0" collapsed="false">
      <c r="A84" s="17" t="s">
        <v>349</v>
      </c>
      <c r="B84" s="17" t="s">
        <v>350</v>
      </c>
      <c r="C84" s="17" t="s">
        <v>1717</v>
      </c>
      <c r="D84" s="17" t="s">
        <v>77</v>
      </c>
      <c r="E84" s="18" t="n">
        <v>828970</v>
      </c>
      <c r="F84" s="17" t="s">
        <v>827</v>
      </c>
      <c r="G84" s="23" t="n">
        <v>5.88553747421499</v>
      </c>
      <c r="H84" s="19" t="n">
        <v>79.2</v>
      </c>
      <c r="I84" s="17" t="n">
        <f aca="false">IF(H84="","",RANK(H84,$H$5:$H$389))</f>
        <v>80</v>
      </c>
      <c r="J84" s="24" t="n">
        <v>0.0619923646519255</v>
      </c>
      <c r="K84" s="19" t="n">
        <v>42</v>
      </c>
      <c r="L84" s="17" t="n">
        <f aca="false">IF(K84="","",RANK(K84,$K$5:$K$389))</f>
        <v>228</v>
      </c>
      <c r="M84" s="25" t="n">
        <v>0.224096671101121</v>
      </c>
      <c r="N84" s="19" t="n">
        <v>75.3</v>
      </c>
      <c r="O84" s="17" t="n">
        <f aca="false">IF(N84="","",RANK(N84,$N$5:$N$389))</f>
        <v>95</v>
      </c>
      <c r="P84" s="17" t="str">
        <f aca="false">IF(AND(N(H84)&gt;=N(K84),N(H84)&gt;=N(N84)),"The Pulse",IF(N(K84)&gt;=N(N84),"The Lens","The Hub"))</f>
        <v>The Pulse</v>
      </c>
      <c r="Q84" s="20" t="s">
        <v>74</v>
      </c>
      <c r="R84" s="26" t="s">
        <v>822</v>
      </c>
      <c r="S84" s="17" t="s">
        <v>24</v>
      </c>
    </row>
    <row r="85" customFormat="false" ht="15" hidden="false" customHeight="false" outlineLevel="0" collapsed="false">
      <c r="A85" s="17" t="s">
        <v>425</v>
      </c>
      <c r="B85" s="17" t="s">
        <v>426</v>
      </c>
      <c r="C85" s="17" t="s">
        <v>1718</v>
      </c>
      <c r="D85" s="17" t="s">
        <v>95</v>
      </c>
      <c r="E85" s="18" t="n">
        <v>56020</v>
      </c>
      <c r="F85" s="17" t="s">
        <v>821</v>
      </c>
      <c r="G85" s="23" t="n">
        <v>5.84277043912888</v>
      </c>
      <c r="H85" s="19" t="n">
        <v>79</v>
      </c>
      <c r="I85" s="17" t="n">
        <f aca="false">IF(H85="","",RANK(H85,$H$5:$H$389))</f>
        <v>81</v>
      </c>
      <c r="J85" s="24" t="n">
        <v>0.106677202686685</v>
      </c>
      <c r="K85" s="19" t="n">
        <v>62.2</v>
      </c>
      <c r="L85" s="17" t="n">
        <f aca="false">IF(K85="","",RANK(K85,$K$5:$K$389))</f>
        <v>144</v>
      </c>
      <c r="M85" s="25" t="n">
        <v>0.0498055378185407</v>
      </c>
      <c r="N85" s="19" t="n">
        <v>12.1</v>
      </c>
      <c r="O85" s="17" t="n">
        <f aca="false">IF(N85="","",RANK(N85,$N$5:$N$389))</f>
        <v>338</v>
      </c>
      <c r="P85" s="17" t="str">
        <f aca="false">IF(AND(N(H85)&gt;=N(K85),N(H85)&gt;=N(N85)),"The Pulse",IF(N(K85)&gt;=N(N85),"The Lens","The Hub"))</f>
        <v>The Pulse</v>
      </c>
      <c r="Q85" s="20" t="s">
        <v>74</v>
      </c>
      <c r="R85" s="26" t="s">
        <v>822</v>
      </c>
      <c r="S85" s="17" t="s">
        <v>24</v>
      </c>
    </row>
    <row r="86" customFormat="false" ht="15" hidden="false" customHeight="false" outlineLevel="0" collapsed="false">
      <c r="A86" s="17" t="s">
        <v>1719</v>
      </c>
      <c r="B86" s="17" t="s">
        <v>1720</v>
      </c>
      <c r="C86" s="17" t="s">
        <v>1721</v>
      </c>
      <c r="D86" s="17" t="s">
        <v>95</v>
      </c>
      <c r="E86" s="18" t="n">
        <v>25475</v>
      </c>
      <c r="F86" s="17" t="s">
        <v>821</v>
      </c>
      <c r="G86" s="23" t="n">
        <v>5.83497546614328</v>
      </c>
      <c r="H86" s="19" t="n">
        <v>78.8</v>
      </c>
      <c r="I86" s="17" t="n">
        <f aca="false">IF(H86="","",RANK(H86,$H$5:$H$389))</f>
        <v>82</v>
      </c>
      <c r="J86" s="24" t="n">
        <v>0.0636299110684314</v>
      </c>
      <c r="K86" s="19" t="n">
        <v>37.1</v>
      </c>
      <c r="L86" s="17" t="n">
        <f aca="false">IF(K86="","",RANK(K86,$K$5:$K$389))</f>
        <v>248</v>
      </c>
      <c r="M86" s="25" t="n">
        <v>0.300776332354175</v>
      </c>
      <c r="N86" s="19" t="n">
        <v>88.7</v>
      </c>
      <c r="O86" s="17" t="n">
        <f aca="false">IF(N86="","",RANK(N86,$N$5:$N$389))</f>
        <v>43</v>
      </c>
      <c r="P86" s="17" t="str">
        <f aca="false">IF(AND(N(H86)&gt;=N(K86),N(H86)&gt;=N(N86)),"The Pulse",IF(N(K86)&gt;=N(N86),"The Lens","The Hub"))</f>
        <v>The Hub</v>
      </c>
      <c r="Q86" s="21" t="s">
        <v>79</v>
      </c>
      <c r="R86" s="27" t="s">
        <v>832</v>
      </c>
      <c r="S86" s="17" t="s">
        <v>22</v>
      </c>
    </row>
    <row r="87" customFormat="false" ht="15" hidden="false" customHeight="false" outlineLevel="0" collapsed="false">
      <c r="A87" s="17" t="s">
        <v>283</v>
      </c>
      <c r="B87" s="17" t="s">
        <v>284</v>
      </c>
      <c r="C87" s="17" t="s">
        <v>1722</v>
      </c>
      <c r="D87" s="17" t="s">
        <v>162</v>
      </c>
      <c r="E87" s="18" t="n">
        <v>5959</v>
      </c>
      <c r="F87" s="17" t="s">
        <v>825</v>
      </c>
      <c r="G87" s="23" t="n">
        <v>5.79778486323209</v>
      </c>
      <c r="H87" s="19" t="n">
        <v>78.6</v>
      </c>
      <c r="I87" s="17" t="n">
        <f aca="false">IF(H87="","",RANK(H87,$H$5:$H$389))</f>
        <v>83</v>
      </c>
      <c r="J87" s="24" t="n">
        <v>0.00539902142736629</v>
      </c>
      <c r="K87" s="19" t="n">
        <v>3.8</v>
      </c>
      <c r="L87" s="17" t="n">
        <f aca="false">IF(K87="","",RANK(K87,$K$5:$K$389))</f>
        <v>372</v>
      </c>
      <c r="M87" s="25" t="n">
        <v>0.114450391107452</v>
      </c>
      <c r="N87" s="19" t="n">
        <v>42.2</v>
      </c>
      <c r="O87" s="17" t="n">
        <f aca="false">IF(N87="","",RANK(N87,$N$5:$N$389))</f>
        <v>223</v>
      </c>
      <c r="P87" s="17" t="str">
        <f aca="false">IF(AND(N(H87)&gt;=N(K87),N(H87)&gt;=N(N87)),"The Pulse",IF(N(K87)&gt;=N(N87),"The Lens","The Hub"))</f>
        <v>The Pulse</v>
      </c>
      <c r="Q87" s="21" t="s">
        <v>79</v>
      </c>
      <c r="R87" s="26" t="s">
        <v>822</v>
      </c>
      <c r="S87" s="17" t="s">
        <v>22</v>
      </c>
    </row>
    <row r="88" customFormat="false" ht="15" hidden="false" customHeight="false" outlineLevel="0" collapsed="false">
      <c r="A88" s="17" t="s">
        <v>423</v>
      </c>
      <c r="B88" s="17" t="s">
        <v>424</v>
      </c>
      <c r="C88" s="17" t="s">
        <v>1723</v>
      </c>
      <c r="D88" s="17" t="s">
        <v>86</v>
      </c>
      <c r="E88" s="18" t="n">
        <v>49090</v>
      </c>
      <c r="F88" s="17" t="s">
        <v>821</v>
      </c>
      <c r="G88" s="23" t="n">
        <v>5.7696272153188</v>
      </c>
      <c r="H88" s="19" t="n">
        <v>78.4</v>
      </c>
      <c r="I88" s="17" t="n">
        <f aca="false">IF(H88="","",RANK(H88,$H$5:$H$389))</f>
        <v>84</v>
      </c>
      <c r="J88" s="24" t="n">
        <v>0.00723736519133147</v>
      </c>
      <c r="K88" s="19" t="n">
        <v>14.5</v>
      </c>
      <c r="L88" s="17" t="n">
        <f aca="false">IF(K88="","",RANK(K88,$K$5:$K$389))</f>
        <v>332</v>
      </c>
      <c r="M88" s="25" t="n">
        <v>0.0836843583263128</v>
      </c>
      <c r="N88" s="19" t="n">
        <v>28.5</v>
      </c>
      <c r="O88" s="17" t="n">
        <f aca="false">IF(N88="","",RANK(N88,$N$5:$N$389))</f>
        <v>277</v>
      </c>
      <c r="P88" s="17" t="str">
        <f aca="false">IF(AND(N(H88)&gt;=N(K88),N(H88)&gt;=N(N88)),"The Pulse",IF(N(K88)&gt;=N(N88),"The Lens","The Hub"))</f>
        <v>The Pulse</v>
      </c>
      <c r="Q88" s="21" t="s">
        <v>79</v>
      </c>
      <c r="R88" s="26" t="s">
        <v>822</v>
      </c>
      <c r="S88" s="17" t="s">
        <v>88</v>
      </c>
    </row>
    <row r="89" customFormat="false" ht="15" hidden="false" customHeight="false" outlineLevel="0" collapsed="false">
      <c r="A89" s="17" t="s">
        <v>203</v>
      </c>
      <c r="B89" s="17" t="s">
        <v>204</v>
      </c>
      <c r="C89" s="17" t="s">
        <v>1724</v>
      </c>
      <c r="D89" s="17" t="s">
        <v>86</v>
      </c>
      <c r="E89" s="18" t="n">
        <v>193090</v>
      </c>
      <c r="F89" s="17" t="s">
        <v>827</v>
      </c>
      <c r="G89" s="23" t="n">
        <v>5.68875135946968</v>
      </c>
      <c r="H89" s="19" t="n">
        <v>78</v>
      </c>
      <c r="I89" s="17" t="n">
        <f aca="false">IF(H89="","",RANK(H89,$H$5:$H$389))</f>
        <v>85</v>
      </c>
      <c r="J89" s="24" t="n">
        <v>-0.0105052782617608</v>
      </c>
      <c r="K89" s="19" t="n">
        <v>9.6</v>
      </c>
      <c r="L89" s="17" t="n">
        <f aca="false">IF(K89="","",RANK(K89,$K$5:$K$389))</f>
        <v>352</v>
      </c>
      <c r="M89" s="25" t="n">
        <v>0.0684883401920439</v>
      </c>
      <c r="N89" s="19" t="n">
        <v>19.2</v>
      </c>
      <c r="O89" s="17" t="n">
        <f aca="false">IF(N89="","",RANK(N89,$N$5:$N$389))</f>
        <v>310</v>
      </c>
      <c r="P89" s="17" t="str">
        <f aca="false">IF(AND(N(H89)&gt;=N(K89),N(H89)&gt;=N(N89)),"The Pulse",IF(N(K89)&gt;=N(N89),"The Lens","The Hub"))</f>
        <v>The Pulse</v>
      </c>
      <c r="Q89" s="20" t="s">
        <v>74</v>
      </c>
      <c r="R89" s="26" t="s">
        <v>822</v>
      </c>
      <c r="S89" s="17" t="s">
        <v>24</v>
      </c>
    </row>
    <row r="90" customFormat="false" ht="15" hidden="false" customHeight="false" outlineLevel="0" collapsed="false">
      <c r="A90" s="17" t="s">
        <v>297</v>
      </c>
      <c r="B90" s="17" t="s">
        <v>298</v>
      </c>
      <c r="C90" s="17" t="s">
        <v>1725</v>
      </c>
      <c r="D90" s="17" t="s">
        <v>115</v>
      </c>
      <c r="E90" s="18" t="n">
        <v>17505</v>
      </c>
      <c r="F90" s="17" t="s">
        <v>821</v>
      </c>
      <c r="G90" s="23" t="n">
        <v>5.68123393316195</v>
      </c>
      <c r="H90" s="19" t="n">
        <v>77.8</v>
      </c>
      <c r="I90" s="17" t="n">
        <f aca="false">IF(H90="","",RANK(H90,$H$5:$H$389))</f>
        <v>86</v>
      </c>
      <c r="J90" s="24" t="n">
        <v>-0.117469120241997</v>
      </c>
      <c r="K90" s="19" t="n">
        <v>1.1</v>
      </c>
      <c r="L90" s="17" t="n">
        <f aca="false">IF(K90="","",RANK(K90,$K$5:$K$389))</f>
        <v>383</v>
      </c>
      <c r="M90" s="25" t="n">
        <v>0.0729108244531688</v>
      </c>
      <c r="N90" s="19" t="n">
        <v>21.4</v>
      </c>
      <c r="O90" s="17" t="n">
        <f aca="false">IF(N90="","",RANK(N90,$N$5:$N$389))</f>
        <v>302</v>
      </c>
      <c r="P90" s="17" t="str">
        <f aca="false">IF(AND(N(H90)&gt;=N(K90),N(H90)&gt;=N(N90)),"The Pulse",IF(N(K90)&gt;=N(N90),"The Lens","The Hub"))</f>
        <v>The Pulse</v>
      </c>
      <c r="Q90" s="21" t="s">
        <v>79</v>
      </c>
      <c r="R90" s="26" t="s">
        <v>822</v>
      </c>
      <c r="S90" s="17" t="s">
        <v>88</v>
      </c>
    </row>
    <row r="91" customFormat="false" ht="15" hidden="false" customHeight="false" outlineLevel="0" collapsed="false">
      <c r="A91" s="17" t="s">
        <v>1726</v>
      </c>
      <c r="B91" s="17" t="s">
        <v>1727</v>
      </c>
      <c r="C91" s="17" t="s">
        <v>1728</v>
      </c>
      <c r="D91" s="17" t="s">
        <v>82</v>
      </c>
      <c r="E91" s="18" t="n">
        <v>76780</v>
      </c>
      <c r="F91" s="17" t="s">
        <v>821</v>
      </c>
      <c r="G91" s="23" t="n">
        <v>5.65626465225319</v>
      </c>
      <c r="H91" s="19" t="n">
        <v>77.6</v>
      </c>
      <c r="I91" s="17" t="n">
        <f aca="false">IF(H91="","",RANK(H91,$H$5:$H$389))</f>
        <v>87</v>
      </c>
      <c r="J91" s="24" t="n">
        <v>0.174724602203182</v>
      </c>
      <c r="K91" s="19" t="n">
        <v>86.2</v>
      </c>
      <c r="L91" s="17" t="n">
        <f aca="false">IF(K91="","",RANK(K91,$K$5:$K$389))</f>
        <v>51</v>
      </c>
      <c r="M91" s="25" t="n">
        <v>0.081553230130589</v>
      </c>
      <c r="N91" s="19" t="n">
        <v>26.9</v>
      </c>
      <c r="O91" s="17" t="n">
        <f aca="false">IF(N91="","",RANK(N91,$N$5:$N$389))</f>
        <v>283</v>
      </c>
      <c r="P91" s="17" t="str">
        <f aca="false">IF(AND(N(H91)&gt;=N(K91),N(H91)&gt;=N(N91)),"The Pulse",IF(N(K91)&gt;=N(N91),"The Lens","The Hub"))</f>
        <v>The Lens</v>
      </c>
      <c r="Q91" s="20" t="s">
        <v>74</v>
      </c>
      <c r="R91" s="27" t="s">
        <v>832</v>
      </c>
      <c r="S91" s="17" t="s">
        <v>24</v>
      </c>
    </row>
    <row r="92" customFormat="false" ht="15" hidden="false" customHeight="false" outlineLevel="0" collapsed="false">
      <c r="A92" s="17" t="s">
        <v>311</v>
      </c>
      <c r="B92" s="17" t="s">
        <v>312</v>
      </c>
      <c r="C92" s="17" t="s">
        <v>1729</v>
      </c>
      <c r="D92" s="17" t="s">
        <v>82</v>
      </c>
      <c r="E92" s="18" t="n">
        <v>118500</v>
      </c>
      <c r="F92" s="17" t="s">
        <v>827</v>
      </c>
      <c r="G92" s="23" t="n">
        <v>5.59275105485232</v>
      </c>
      <c r="H92" s="19" t="n">
        <v>77.4</v>
      </c>
      <c r="I92" s="17" t="n">
        <f aca="false">IF(H92="","",RANK(H92,$H$5:$H$389))</f>
        <v>88</v>
      </c>
      <c r="J92" s="24" t="n">
        <v>0.0828840354564562</v>
      </c>
      <c r="K92" s="19" t="n">
        <v>53.5</v>
      </c>
      <c r="L92" s="17" t="n">
        <f aca="false">IF(K92="","",RANK(K92,$K$5:$K$389))</f>
        <v>181</v>
      </c>
      <c r="M92" s="25" t="n">
        <v>0.0858208955223881</v>
      </c>
      <c r="N92" s="19" t="n">
        <v>29.8</v>
      </c>
      <c r="O92" s="17" t="n">
        <f aca="false">IF(N92="","",RANK(N92,$N$5:$N$389))</f>
        <v>274</v>
      </c>
      <c r="P92" s="17" t="str">
        <f aca="false">IF(AND(N(H92)&gt;=N(K92),N(H92)&gt;=N(N92)),"The Pulse",IF(N(K92)&gt;=N(N92),"The Lens","The Hub"))</f>
        <v>The Pulse</v>
      </c>
      <c r="Q92" s="20" t="s">
        <v>74</v>
      </c>
      <c r="R92" s="26" t="s">
        <v>822</v>
      </c>
      <c r="S92" s="17" t="s">
        <v>24</v>
      </c>
    </row>
    <row r="93" customFormat="false" ht="15" hidden="false" customHeight="false" outlineLevel="0" collapsed="false">
      <c r="A93" s="17" t="s">
        <v>327</v>
      </c>
      <c r="B93" s="17" t="s">
        <v>328</v>
      </c>
      <c r="C93" s="17" t="s">
        <v>1730</v>
      </c>
      <c r="D93" s="17" t="s">
        <v>77</v>
      </c>
      <c r="E93" s="18" t="n">
        <v>89980</v>
      </c>
      <c r="F93" s="17" t="s">
        <v>821</v>
      </c>
      <c r="G93" s="23" t="n">
        <v>5.55745721271394</v>
      </c>
      <c r="H93" s="19" t="n">
        <v>77</v>
      </c>
      <c r="I93" s="17" t="n">
        <f aca="false">IF(H93="","",RANK(H93,$H$5:$H$389))</f>
        <v>89</v>
      </c>
      <c r="J93" s="24" t="n">
        <v>0.0595854922279793</v>
      </c>
      <c r="K93" s="19" t="n">
        <v>34.2</v>
      </c>
      <c r="L93" s="17" t="n">
        <f aca="false">IF(K93="","",RANK(K93,$K$5:$K$389))</f>
        <v>259</v>
      </c>
      <c r="M93" s="25" t="n">
        <v>0.0188956154833975</v>
      </c>
      <c r="N93" s="19" t="n">
        <v>3.1</v>
      </c>
      <c r="O93" s="17" t="n">
        <f aca="false">IF(N93="","",RANK(N93,$N$5:$N$389))</f>
        <v>372</v>
      </c>
      <c r="P93" s="17" t="str">
        <f aca="false">IF(AND(N(H93)&gt;=N(K93),N(H93)&gt;=N(N93)),"The Pulse",IF(N(K93)&gt;=N(N93),"The Lens","The Hub"))</f>
        <v>The Pulse</v>
      </c>
      <c r="Q93" s="20" t="s">
        <v>74</v>
      </c>
      <c r="R93" s="26" t="s">
        <v>822</v>
      </c>
      <c r="S93" s="17" t="s">
        <v>24</v>
      </c>
    </row>
    <row r="94" customFormat="false" ht="15" hidden="false" customHeight="false" outlineLevel="0" collapsed="false">
      <c r="A94" s="17" t="s">
        <v>223</v>
      </c>
      <c r="B94" s="17" t="s">
        <v>224</v>
      </c>
      <c r="C94" s="17" t="s">
        <v>1731</v>
      </c>
      <c r="D94" s="17" t="s">
        <v>82</v>
      </c>
      <c r="E94" s="18" t="n">
        <v>194560</v>
      </c>
      <c r="F94" s="17" t="s">
        <v>827</v>
      </c>
      <c r="G94" s="23" t="n">
        <v>5.54848375822368</v>
      </c>
      <c r="H94" s="19" t="n">
        <v>76.6</v>
      </c>
      <c r="I94" s="17" t="n">
        <f aca="false">IF(H94="","",RANK(H94,$H$5:$H$389))</f>
        <v>90</v>
      </c>
      <c r="J94" s="24" t="n">
        <v>-0.15742064007622</v>
      </c>
      <c r="K94" s="19" t="n">
        <v>0.6</v>
      </c>
      <c r="L94" s="17" t="n">
        <f aca="false">IF(K94="","",RANK(K94,$K$5:$K$389))</f>
        <v>385</v>
      </c>
      <c r="M94" s="25" t="n">
        <v>0.171029983115031</v>
      </c>
      <c r="N94" s="19" t="n">
        <v>61.8</v>
      </c>
      <c r="O94" s="17" t="n">
        <f aca="false">IF(N94="","",RANK(N94,$N$5:$N$389))</f>
        <v>151</v>
      </c>
      <c r="P94" s="17" t="str">
        <f aca="false">IF(AND(N(H94)&gt;=N(K94),N(H94)&gt;=N(N94)),"The Pulse",IF(N(K94)&gt;=N(N94),"The Lens","The Hub"))</f>
        <v>The Pulse</v>
      </c>
      <c r="Q94" s="20" t="s">
        <v>74</v>
      </c>
      <c r="R94" s="26" t="s">
        <v>822</v>
      </c>
      <c r="S94" s="17" t="s">
        <v>24</v>
      </c>
    </row>
    <row r="95" customFormat="false" ht="15" hidden="false" customHeight="false" outlineLevel="0" collapsed="false">
      <c r="A95" s="17" t="s">
        <v>421</v>
      </c>
      <c r="B95" s="17" t="s">
        <v>422</v>
      </c>
      <c r="C95" s="17" t="s">
        <v>1732</v>
      </c>
      <c r="D95" s="17" t="s">
        <v>98</v>
      </c>
      <c r="E95" s="18" t="n">
        <v>97970</v>
      </c>
      <c r="F95" s="17" t="s">
        <v>821</v>
      </c>
      <c r="G95" s="23" t="n">
        <v>5.50824742268041</v>
      </c>
      <c r="H95" s="19" t="n">
        <v>76.2</v>
      </c>
      <c r="I95" s="17" t="n">
        <f aca="false">IF(H95="","",RANK(H95,$H$5:$H$389))</f>
        <v>91</v>
      </c>
      <c r="J95" s="24" t="n">
        <v>0.126480395538692</v>
      </c>
      <c r="K95" s="19" t="n">
        <v>71.6</v>
      </c>
      <c r="L95" s="17" t="n">
        <f aca="false">IF(K95="","",RANK(K95,$K$5:$K$389))</f>
        <v>103</v>
      </c>
      <c r="M95" s="25" t="n">
        <v>0.0768082565677243</v>
      </c>
      <c r="N95" s="19" t="n">
        <v>24.1</v>
      </c>
      <c r="O95" s="17" t="n">
        <f aca="false">IF(N95="","",RANK(N95,$N$5:$N$389))</f>
        <v>293</v>
      </c>
      <c r="P95" s="17" t="str">
        <f aca="false">IF(AND(N(H95)&gt;=N(K95),N(H95)&gt;=N(N95)),"The Pulse",IF(N(K95)&gt;=N(N95),"The Lens","The Hub"))</f>
        <v>The Pulse</v>
      </c>
      <c r="Q95" s="21" t="s">
        <v>79</v>
      </c>
      <c r="R95" s="26" t="s">
        <v>822</v>
      </c>
      <c r="S95" s="17" t="s">
        <v>88</v>
      </c>
    </row>
    <row r="96" customFormat="false" ht="15" hidden="false" customHeight="false" outlineLevel="0" collapsed="false">
      <c r="A96" s="17" t="s">
        <v>683</v>
      </c>
      <c r="B96" s="17" t="s">
        <v>684</v>
      </c>
      <c r="C96" s="17" t="s">
        <v>1733</v>
      </c>
      <c r="D96" s="17" t="s">
        <v>72</v>
      </c>
      <c r="E96" s="18" t="n">
        <v>426590</v>
      </c>
      <c r="F96" s="17" t="s">
        <v>827</v>
      </c>
      <c r="G96" s="23" t="n">
        <v>5.47594177078694</v>
      </c>
      <c r="H96" s="19" t="n">
        <v>76</v>
      </c>
      <c r="I96" s="17" t="n">
        <f aca="false">IF(H96="","",RANK(H96,$H$5:$H$389))</f>
        <v>92</v>
      </c>
      <c r="J96" s="24" t="n">
        <v>0.0134464162687383</v>
      </c>
      <c r="K96" s="19" t="n">
        <v>17.8</v>
      </c>
      <c r="L96" s="17" t="n">
        <f aca="false">IF(K96="","",RANK(K96,$K$5:$K$389))</f>
        <v>316</v>
      </c>
      <c r="M96" s="25" t="n">
        <v>0.108571458686876</v>
      </c>
      <c r="N96" s="19" t="n">
        <v>40.8</v>
      </c>
      <c r="O96" s="17" t="n">
        <f aca="false">IF(N96="","",RANK(N96,$N$5:$N$389))</f>
        <v>228</v>
      </c>
      <c r="P96" s="17" t="str">
        <f aca="false">IF(AND(N(H96)&gt;=N(K96),N(H96)&gt;=N(N96)),"The Pulse",IF(N(K96)&gt;=N(N96),"The Lens","The Hub"))</f>
        <v>The Pulse</v>
      </c>
      <c r="Q96" s="20" t="s">
        <v>74</v>
      </c>
      <c r="R96" s="26" t="s">
        <v>822</v>
      </c>
      <c r="S96" s="17" t="s">
        <v>24</v>
      </c>
    </row>
    <row r="97" customFormat="false" ht="15" hidden="false" customHeight="false" outlineLevel="0" collapsed="false">
      <c r="A97" s="17" t="s">
        <v>1734</v>
      </c>
      <c r="B97" s="17" t="s">
        <v>1735</v>
      </c>
      <c r="C97" s="17" t="s">
        <v>1736</v>
      </c>
      <c r="D97" s="17" t="s">
        <v>123</v>
      </c>
      <c r="E97" s="18" t="n">
        <v>43870</v>
      </c>
      <c r="F97" s="17" t="s">
        <v>821</v>
      </c>
      <c r="G97" s="23" t="n">
        <v>5.39717346706177</v>
      </c>
      <c r="H97" s="19" t="n">
        <v>75.4</v>
      </c>
      <c r="I97" s="17" t="n">
        <f aca="false">IF(H97="","",RANK(H97,$H$5:$H$389))</f>
        <v>93</v>
      </c>
      <c r="J97" s="24" t="n">
        <v>0.128633907898122</v>
      </c>
      <c r="K97" s="19" t="n">
        <v>72</v>
      </c>
      <c r="L97" s="17" t="n">
        <f aca="false">IF(K97="","",RANK(K97,$K$5:$K$389))</f>
        <v>101</v>
      </c>
      <c r="M97" s="25" t="n">
        <v>0.0820343164741505</v>
      </c>
      <c r="N97" s="19" t="n">
        <v>27.4</v>
      </c>
      <c r="O97" s="17" t="n">
        <f aca="false">IF(N97="","",RANK(N97,$N$5:$N$389))</f>
        <v>281</v>
      </c>
      <c r="P97" s="17" t="str">
        <f aca="false">IF(AND(N(H97)&gt;=N(K97),N(H97)&gt;=N(N97)),"The Pulse",IF(N(K97)&gt;=N(N97),"The Lens","The Hub"))</f>
        <v>The Pulse</v>
      </c>
      <c r="Q97" s="20" t="s">
        <v>74</v>
      </c>
      <c r="R97" s="27" t="s">
        <v>832</v>
      </c>
      <c r="S97" s="17" t="s">
        <v>24</v>
      </c>
    </row>
    <row r="98" customFormat="false" ht="15" hidden="false" customHeight="false" outlineLevel="0" collapsed="false">
      <c r="A98" s="17" t="s">
        <v>1737</v>
      </c>
      <c r="B98" s="17" t="s">
        <v>1738</v>
      </c>
      <c r="C98" s="17" t="s">
        <v>1739</v>
      </c>
      <c r="D98" s="17" t="s">
        <v>123</v>
      </c>
      <c r="E98" s="18" t="n">
        <v>27980</v>
      </c>
      <c r="F98" s="17" t="s">
        <v>821</v>
      </c>
      <c r="G98" s="23" t="n">
        <v>5.39599714081487</v>
      </c>
      <c r="H98" s="19" t="n">
        <v>75.2</v>
      </c>
      <c r="I98" s="17" t="n">
        <f aca="false">IF(H98="","",RANK(H98,$H$5:$H$389))</f>
        <v>94</v>
      </c>
      <c r="J98" s="24" t="n">
        <v>0.0487256371814093</v>
      </c>
      <c r="K98" s="19" t="n">
        <v>29.5</v>
      </c>
      <c r="L98" s="17" t="n">
        <f aca="false">IF(K98="","",RANK(K98,$K$5:$K$389))</f>
        <v>280</v>
      </c>
      <c r="M98" s="25" t="n">
        <v>0.324418843859288</v>
      </c>
      <c r="N98" s="19" t="n">
        <v>92.3</v>
      </c>
      <c r="O98" s="17" t="n">
        <f aca="false">IF(N98="","",RANK(N98,$N$5:$N$389))</f>
        <v>31</v>
      </c>
      <c r="P98" s="17" t="str">
        <f aca="false">IF(AND(N(H98)&gt;=N(K98),N(H98)&gt;=N(N98)),"The Pulse",IF(N(K98)&gt;=N(N98),"The Lens","The Hub"))</f>
        <v>The Hub</v>
      </c>
      <c r="Q98" s="20" t="s">
        <v>74</v>
      </c>
      <c r="R98" s="27" t="s">
        <v>832</v>
      </c>
      <c r="S98" s="17" t="s">
        <v>24</v>
      </c>
    </row>
    <row r="99" customFormat="false" ht="15" hidden="false" customHeight="false" outlineLevel="0" collapsed="false">
      <c r="A99" s="17" t="s">
        <v>1127</v>
      </c>
      <c r="B99" s="17" t="s">
        <v>1128</v>
      </c>
      <c r="C99" s="17" t="s">
        <v>1740</v>
      </c>
      <c r="D99" s="17" t="s">
        <v>162</v>
      </c>
      <c r="E99" s="18" t="n">
        <v>23130</v>
      </c>
      <c r="F99" s="17" t="s">
        <v>821</v>
      </c>
      <c r="G99" s="23" t="n">
        <v>5.39057501080847</v>
      </c>
      <c r="H99" s="19" t="n">
        <v>75</v>
      </c>
      <c r="I99" s="17" t="n">
        <f aca="false">IF(H99="","",RANK(H99,$H$5:$H$389))</f>
        <v>95</v>
      </c>
      <c r="J99" s="24" t="n">
        <v>0.104320840296013</v>
      </c>
      <c r="K99" s="19" t="n">
        <v>60.4</v>
      </c>
      <c r="L99" s="17" t="n">
        <f aca="false">IF(K99="","",RANK(K99,$K$5:$K$389))</f>
        <v>150</v>
      </c>
      <c r="M99" s="25" t="n">
        <v>0.112051882543686</v>
      </c>
      <c r="N99" s="19" t="n">
        <v>41.7</v>
      </c>
      <c r="O99" s="17" t="n">
        <f aca="false">IF(N99="","",RANK(N99,$N$5:$N$389))</f>
        <v>225</v>
      </c>
      <c r="P99" s="17" t="str">
        <f aca="false">IF(AND(N(H99)&gt;=N(K99),N(H99)&gt;=N(N99)),"The Pulse",IF(N(K99)&gt;=N(N99),"The Lens","The Hub"))</f>
        <v>The Pulse</v>
      </c>
      <c r="Q99" s="21" t="s">
        <v>79</v>
      </c>
      <c r="R99" s="27" t="s">
        <v>832</v>
      </c>
      <c r="S99" s="17" t="s">
        <v>22</v>
      </c>
    </row>
    <row r="100" customFormat="false" ht="15" hidden="false" customHeight="false" outlineLevel="0" collapsed="false">
      <c r="A100" s="17" t="s">
        <v>201</v>
      </c>
      <c r="B100" s="17" t="s">
        <v>202</v>
      </c>
      <c r="C100" s="17" t="s">
        <v>1741</v>
      </c>
      <c r="D100" s="17" t="s">
        <v>82</v>
      </c>
      <c r="E100" s="18" t="n">
        <v>39400</v>
      </c>
      <c r="F100" s="17" t="s">
        <v>821</v>
      </c>
      <c r="G100" s="23" t="n">
        <v>5.35502538071066</v>
      </c>
      <c r="H100" s="19" t="n">
        <v>74.9</v>
      </c>
      <c r="I100" s="17" t="n">
        <f aca="false">IF(H100="","",RANK(H100,$H$5:$H$389))</f>
        <v>96</v>
      </c>
      <c r="J100" s="24" t="n">
        <v>0.104569666386319</v>
      </c>
      <c r="K100" s="19" t="n">
        <v>60.7</v>
      </c>
      <c r="L100" s="17" t="n">
        <f aca="false">IF(K100="","",RANK(K100,$K$5:$K$389))</f>
        <v>149</v>
      </c>
      <c r="M100" s="25" t="n">
        <v>0.270870232613059</v>
      </c>
      <c r="N100" s="19" t="n">
        <v>84.3</v>
      </c>
      <c r="O100" s="17" t="n">
        <f aca="false">IF(N100="","",RANK(N100,$N$5:$N$389))</f>
        <v>60</v>
      </c>
      <c r="P100" s="17" t="str">
        <f aca="false">IF(AND(N(H100)&gt;=N(K100),N(H100)&gt;=N(N100)),"The Pulse",IF(N(K100)&gt;=N(N100),"The Lens","The Hub"))</f>
        <v>The Hub</v>
      </c>
      <c r="Q100" s="20" t="s">
        <v>74</v>
      </c>
      <c r="R100" s="26" t="s">
        <v>822</v>
      </c>
      <c r="S100" s="17" t="s">
        <v>24</v>
      </c>
    </row>
    <row r="101" customFormat="false" ht="15" hidden="false" customHeight="false" outlineLevel="0" collapsed="false">
      <c r="A101" s="17" t="s">
        <v>657</v>
      </c>
      <c r="B101" s="17" t="s">
        <v>658</v>
      </c>
      <c r="C101" s="17" t="s">
        <v>1742</v>
      </c>
      <c r="D101" s="17" t="s">
        <v>162</v>
      </c>
      <c r="E101" s="18" t="n">
        <v>27720</v>
      </c>
      <c r="F101" s="17" t="s">
        <v>821</v>
      </c>
      <c r="G101" s="23" t="n">
        <v>5.29805194805195</v>
      </c>
      <c r="H101" s="19" t="n">
        <v>74.7</v>
      </c>
      <c r="I101" s="17" t="n">
        <f aca="false">IF(H101="","",RANK(H101,$H$5:$H$389))</f>
        <v>97</v>
      </c>
      <c r="J101" s="24" t="n">
        <v>0.115044247787611</v>
      </c>
      <c r="K101" s="19" t="n">
        <v>66.2</v>
      </c>
      <c r="L101" s="17" t="n">
        <f aca="false">IF(K101="","",RANK(K101,$K$5:$K$389))</f>
        <v>126</v>
      </c>
      <c r="M101" s="25" t="n">
        <v>0.355142503097893</v>
      </c>
      <c r="N101" s="19" t="n">
        <v>94.5</v>
      </c>
      <c r="O101" s="17" t="n">
        <f aca="false">IF(N101="","",RANK(N101,$N$5:$N$389))</f>
        <v>24</v>
      </c>
      <c r="P101" s="17" t="str">
        <f aca="false">IF(AND(N(H101)&gt;=N(K101),N(H101)&gt;=N(N101)),"The Pulse",IF(N(K101)&gt;=N(N101),"The Lens","The Hub"))</f>
        <v>The Hub</v>
      </c>
      <c r="Q101" s="20" t="s">
        <v>74</v>
      </c>
      <c r="R101" s="26" t="s">
        <v>822</v>
      </c>
      <c r="S101" s="17" t="s">
        <v>24</v>
      </c>
    </row>
    <row r="102" customFormat="false" ht="15" hidden="false" customHeight="false" outlineLevel="0" collapsed="false">
      <c r="A102" s="17" t="s">
        <v>205</v>
      </c>
      <c r="B102" s="17" t="s">
        <v>206</v>
      </c>
      <c r="C102" s="17" t="s">
        <v>1743</v>
      </c>
      <c r="D102" s="17" t="s">
        <v>115</v>
      </c>
      <c r="E102" s="18" t="n">
        <v>35302</v>
      </c>
      <c r="F102" s="17" t="s">
        <v>821</v>
      </c>
      <c r="G102" s="23" t="n">
        <v>5.27202424791797</v>
      </c>
      <c r="H102" s="19" t="n">
        <v>74.5</v>
      </c>
      <c r="I102" s="17" t="n">
        <f aca="false">IF(H102="","",RANK(H102,$H$5:$H$389))</f>
        <v>98</v>
      </c>
      <c r="J102" s="24" t="n">
        <v>0.186063701115442</v>
      </c>
      <c r="K102" s="19" t="n">
        <v>90.2</v>
      </c>
      <c r="L102" s="17" t="n">
        <f aca="false">IF(K102="","",RANK(K102,$K$5:$K$389))</f>
        <v>37</v>
      </c>
      <c r="M102" s="25" t="n">
        <v>0.0763955039055058</v>
      </c>
      <c r="N102" s="19" t="n">
        <v>23.6</v>
      </c>
      <c r="O102" s="17" t="n">
        <f aca="false">IF(N102="","",RANK(N102,$N$5:$N$389))</f>
        <v>294</v>
      </c>
      <c r="P102" s="17" t="str">
        <f aca="false">IF(AND(N(H102)&gt;=N(K102),N(H102)&gt;=N(N102)),"The Pulse",IF(N(K102)&gt;=N(N102),"The Lens","The Hub"))</f>
        <v>The Lens</v>
      </c>
      <c r="Q102" s="21" t="s">
        <v>79</v>
      </c>
      <c r="R102" s="26" t="s">
        <v>822</v>
      </c>
      <c r="S102" s="17" t="s">
        <v>22</v>
      </c>
    </row>
    <row r="103" customFormat="false" ht="15" hidden="false" customHeight="false" outlineLevel="0" collapsed="false">
      <c r="A103" s="17" t="s">
        <v>1457</v>
      </c>
      <c r="B103" s="17" t="s">
        <v>1458</v>
      </c>
      <c r="C103" s="17" t="s">
        <v>1744</v>
      </c>
      <c r="D103" s="17" t="s">
        <v>77</v>
      </c>
      <c r="E103" s="18" t="n">
        <v>171000</v>
      </c>
      <c r="F103" s="17" t="s">
        <v>827</v>
      </c>
      <c r="G103" s="23" t="n">
        <v>5.26343859649123</v>
      </c>
      <c r="H103" s="19" t="n">
        <v>74.3</v>
      </c>
      <c r="I103" s="17" t="n">
        <f aca="false">IF(H103="","",RANK(H103,$H$5:$H$389))</f>
        <v>99</v>
      </c>
      <c r="J103" s="24" t="n">
        <v>0.031425297062549</v>
      </c>
      <c r="K103" s="19" t="n">
        <v>25.5</v>
      </c>
      <c r="L103" s="17" t="n">
        <f aca="false">IF(K103="","",RANK(K103,$K$5:$K$389))</f>
        <v>290</v>
      </c>
      <c r="M103" s="25" t="n">
        <v>0.242300578374094</v>
      </c>
      <c r="N103" s="19" t="n">
        <v>80.4</v>
      </c>
      <c r="O103" s="17" t="n">
        <f aca="false">IF(N103="","",RANK(N103,$N$5:$N$389))</f>
        <v>77</v>
      </c>
      <c r="P103" s="17" t="str">
        <f aca="false">IF(AND(N(H103)&gt;=N(K103),N(H103)&gt;=N(N103)),"The Pulse",IF(N(K103)&gt;=N(N103),"The Lens","The Hub"))</f>
        <v>The Hub</v>
      </c>
      <c r="Q103" s="20" t="s">
        <v>74</v>
      </c>
      <c r="R103" s="27" t="s">
        <v>832</v>
      </c>
      <c r="S103" s="17" t="s">
        <v>24</v>
      </c>
    </row>
    <row r="104" customFormat="false" ht="15" hidden="false" customHeight="false" outlineLevel="0" collapsed="false">
      <c r="A104" s="17" t="s">
        <v>211</v>
      </c>
      <c r="B104" s="17" t="s">
        <v>212</v>
      </c>
      <c r="C104" s="17" t="s">
        <v>1745</v>
      </c>
      <c r="D104" s="17" t="s">
        <v>123</v>
      </c>
      <c r="E104" s="18" t="n">
        <v>9240</v>
      </c>
      <c r="F104" s="17" t="s">
        <v>825</v>
      </c>
      <c r="G104" s="23" t="n">
        <v>5.20746753246753</v>
      </c>
      <c r="H104" s="19" t="n">
        <v>74.1</v>
      </c>
      <c r="I104" s="17" t="n">
        <f aca="false">IF(H104="","",RANK(H104,$H$5:$H$389))</f>
        <v>100</v>
      </c>
      <c r="J104" s="24" t="n">
        <v>0.098692033293698</v>
      </c>
      <c r="K104" s="19" t="n">
        <v>43.4</v>
      </c>
      <c r="L104" s="17" t="n">
        <f aca="false">IF(K104="","",RANK(K104,$K$5:$K$389))</f>
        <v>222</v>
      </c>
      <c r="M104" s="25" t="n">
        <v>0.150474469046543</v>
      </c>
      <c r="N104" s="19" t="n">
        <v>55.2</v>
      </c>
      <c r="O104" s="17" t="n">
        <f aca="false">IF(N104="","",RANK(N104,$N$5:$N$389))</f>
        <v>176</v>
      </c>
      <c r="P104" s="17" t="str">
        <f aca="false">IF(AND(N(H104)&gt;=N(K104),N(H104)&gt;=N(N104)),"The Pulse",IF(N(K104)&gt;=N(N104),"The Lens","The Hub"))</f>
        <v>The Pulse</v>
      </c>
      <c r="Q104" s="20" t="s">
        <v>74</v>
      </c>
      <c r="R104" s="26" t="s">
        <v>822</v>
      </c>
      <c r="S104" s="17" t="s">
        <v>24</v>
      </c>
    </row>
    <row r="105" customFormat="false" ht="15" hidden="false" customHeight="false" outlineLevel="0" collapsed="false">
      <c r="A105" s="17" t="s">
        <v>1746</v>
      </c>
      <c r="B105" s="17" t="s">
        <v>1747</v>
      </c>
      <c r="C105" s="17" t="s">
        <v>1748</v>
      </c>
      <c r="D105" s="17" t="s">
        <v>86</v>
      </c>
      <c r="E105" s="18" t="n">
        <v>978930</v>
      </c>
      <c r="F105" s="17" t="s">
        <v>827</v>
      </c>
      <c r="G105" s="23" t="n">
        <v>5.19209136506185</v>
      </c>
      <c r="H105" s="19" t="n">
        <v>73.9</v>
      </c>
      <c r="I105" s="17" t="n">
        <f aca="false">IF(H105="","",RANK(H105,$H$5:$H$389))</f>
        <v>101</v>
      </c>
      <c r="J105" s="24" t="n">
        <v>0.0772862330802245</v>
      </c>
      <c r="K105" s="19" t="n">
        <v>51.6</v>
      </c>
      <c r="L105" s="17" t="n">
        <f aca="false">IF(K105="","",RANK(K105,$K$5:$K$389))</f>
        <v>189</v>
      </c>
      <c r="M105" s="25" t="n">
        <v>0.0261394766927673</v>
      </c>
      <c r="N105" s="19" t="n">
        <v>5.7</v>
      </c>
      <c r="O105" s="17" t="n">
        <f aca="false">IF(N105="","",RANK(N105,$N$5:$N$389))</f>
        <v>363</v>
      </c>
      <c r="P105" s="17" t="str">
        <f aca="false">IF(AND(N(H105)&gt;=N(K105),N(H105)&gt;=N(N105)),"The Pulse",IF(N(K105)&gt;=N(N105),"The Lens","The Hub"))</f>
        <v>The Pulse</v>
      </c>
      <c r="Q105" s="20" t="s">
        <v>74</v>
      </c>
      <c r="R105" s="27" t="s">
        <v>832</v>
      </c>
      <c r="S105" s="17" t="s">
        <v>24</v>
      </c>
    </row>
    <row r="106" customFormat="false" ht="15" hidden="false" customHeight="false" outlineLevel="0" collapsed="false">
      <c r="A106" s="17" t="s">
        <v>1749</v>
      </c>
      <c r="B106" s="17" t="s">
        <v>1750</v>
      </c>
      <c r="C106" s="17" t="s">
        <v>1751</v>
      </c>
      <c r="D106" s="17" t="s">
        <v>82</v>
      </c>
      <c r="E106" s="18" t="n">
        <v>66550</v>
      </c>
      <c r="F106" s="17" t="s">
        <v>821</v>
      </c>
      <c r="G106" s="23" t="n">
        <v>5.189166040571</v>
      </c>
      <c r="H106" s="19" t="n">
        <v>73.7</v>
      </c>
      <c r="I106" s="17" t="n">
        <f aca="false">IF(H106="","",RANK(H106,$H$5:$H$389))</f>
        <v>102</v>
      </c>
      <c r="J106" s="24" t="n">
        <v>0.111946532999165</v>
      </c>
      <c r="K106" s="19" t="n">
        <v>65.1</v>
      </c>
      <c r="L106" s="17" t="n">
        <f aca="false">IF(K106="","",RANK(K106,$K$5:$K$389))</f>
        <v>131</v>
      </c>
      <c r="M106" s="25" t="n">
        <v>0.239080371536041</v>
      </c>
      <c r="N106" s="19" t="n">
        <v>79</v>
      </c>
      <c r="O106" s="17" t="n">
        <f aca="false">IF(N106="","",RANK(N106,$N$5:$N$389))</f>
        <v>82</v>
      </c>
      <c r="P106" s="17" t="str">
        <f aca="false">IF(AND(N(H106)&gt;=N(K106),N(H106)&gt;=N(N106)),"The Pulse",IF(N(K106)&gt;=N(N106),"The Lens","The Hub"))</f>
        <v>The Hub</v>
      </c>
      <c r="Q106" s="20" t="s">
        <v>74</v>
      </c>
      <c r="R106" s="27" t="s">
        <v>832</v>
      </c>
      <c r="S106" s="17" t="s">
        <v>24</v>
      </c>
    </row>
    <row r="107" customFormat="false" ht="15" hidden="false" customHeight="false" outlineLevel="0" collapsed="false">
      <c r="A107" s="17" t="s">
        <v>1363</v>
      </c>
      <c r="B107" s="17" t="s">
        <v>1364</v>
      </c>
      <c r="C107" s="17" t="s">
        <v>1752</v>
      </c>
      <c r="D107" s="17" t="s">
        <v>77</v>
      </c>
      <c r="E107" s="18" t="n">
        <v>372250</v>
      </c>
      <c r="F107" s="17" t="s">
        <v>827</v>
      </c>
      <c r="G107" s="23" t="n">
        <v>5.15247817327065</v>
      </c>
      <c r="H107" s="19" t="n">
        <v>73.5</v>
      </c>
      <c r="I107" s="17" t="n">
        <f aca="false">IF(H107="","",RANK(H107,$H$5:$H$389))</f>
        <v>103</v>
      </c>
      <c r="J107" s="24" t="n">
        <v>0.0460280439486329</v>
      </c>
      <c r="K107" s="19" t="n">
        <v>32.5</v>
      </c>
      <c r="L107" s="17" t="n">
        <f aca="false">IF(K107="","",RANK(K107,$K$5:$K$389))</f>
        <v>266</v>
      </c>
      <c r="M107" s="25" t="n">
        <v>0.142313561505381</v>
      </c>
      <c r="N107" s="19" t="n">
        <v>53.2</v>
      </c>
      <c r="O107" s="17" t="n">
        <f aca="false">IF(N107="","",RANK(N107,$N$5:$N$389))</f>
        <v>183</v>
      </c>
      <c r="P107" s="17" t="str">
        <f aca="false">IF(AND(N(H107)&gt;=N(K107),N(H107)&gt;=N(N107)),"The Pulse",IF(N(K107)&gt;=N(N107),"The Lens","The Hub"))</f>
        <v>The Pulse</v>
      </c>
      <c r="Q107" s="20" t="s">
        <v>74</v>
      </c>
      <c r="R107" s="27" t="s">
        <v>832</v>
      </c>
      <c r="S107" s="17" t="s">
        <v>24</v>
      </c>
    </row>
    <row r="108" customFormat="false" ht="15" hidden="false" customHeight="false" outlineLevel="0" collapsed="false">
      <c r="A108" s="17" t="s">
        <v>345</v>
      </c>
      <c r="B108" s="17" t="s">
        <v>346</v>
      </c>
      <c r="C108" s="17" t="s">
        <v>1753</v>
      </c>
      <c r="D108" s="17" t="s">
        <v>72</v>
      </c>
      <c r="E108" s="18" t="n">
        <v>202500</v>
      </c>
      <c r="F108" s="17" t="s">
        <v>827</v>
      </c>
      <c r="G108" s="23" t="n">
        <v>5.15033580246914</v>
      </c>
      <c r="H108" s="19" t="n">
        <v>73.3</v>
      </c>
      <c r="I108" s="17" t="n">
        <f aca="false">IF(H108="","",RANK(H108,$H$5:$H$389))</f>
        <v>104</v>
      </c>
      <c r="J108" s="24" t="n">
        <v>0.0994082197730604</v>
      </c>
      <c r="K108" s="19" t="n">
        <v>61.1</v>
      </c>
      <c r="L108" s="17" t="n">
        <f aca="false">IF(K108="","",RANK(K108,$K$5:$K$389))</f>
        <v>147</v>
      </c>
      <c r="M108" s="25" t="n">
        <v>0.368962476731655</v>
      </c>
      <c r="N108" s="19" t="n">
        <v>95.4</v>
      </c>
      <c r="O108" s="17" t="n">
        <f aca="false">IF(N108="","",RANK(N108,$N$5:$N$389))</f>
        <v>20</v>
      </c>
      <c r="P108" s="17" t="str">
        <f aca="false">IF(AND(N(H108)&gt;=N(K108),N(H108)&gt;=N(N108)),"The Pulse",IF(N(K108)&gt;=N(N108),"The Lens","The Hub"))</f>
        <v>The Hub</v>
      </c>
      <c r="Q108" s="20" t="s">
        <v>74</v>
      </c>
      <c r="R108" s="26" t="s">
        <v>822</v>
      </c>
      <c r="S108" s="17" t="s">
        <v>24</v>
      </c>
    </row>
    <row r="109" customFormat="false" ht="15" hidden="false" customHeight="false" outlineLevel="0" collapsed="false">
      <c r="A109" s="17" t="s">
        <v>1754</v>
      </c>
      <c r="B109" s="17" t="s">
        <v>1755</v>
      </c>
      <c r="C109" s="17" t="s">
        <v>1756</v>
      </c>
      <c r="D109" s="17" t="s">
        <v>162</v>
      </c>
      <c r="E109" s="18" t="n">
        <v>143900</v>
      </c>
      <c r="F109" s="17" t="s">
        <v>827</v>
      </c>
      <c r="G109" s="23" t="n">
        <v>5.14178596247394</v>
      </c>
      <c r="H109" s="19" t="n">
        <v>72.9</v>
      </c>
      <c r="I109" s="17" t="n">
        <f aca="false">IF(H109="","",RANK(H109,$H$5:$H$389))</f>
        <v>105</v>
      </c>
      <c r="J109" s="24" t="n">
        <v>0.125713838692013</v>
      </c>
      <c r="K109" s="19" t="n">
        <v>73.2</v>
      </c>
      <c r="L109" s="17" t="n">
        <f aca="false">IF(K109="","",RANK(K109,$K$5:$K$389))</f>
        <v>98</v>
      </c>
      <c r="M109" s="25" t="n">
        <v>0.100575282682008</v>
      </c>
      <c r="N109" s="19" t="n">
        <v>37.3</v>
      </c>
      <c r="O109" s="17" t="n">
        <f aca="false">IF(N109="","",RANK(N109,$N$5:$N$389))</f>
        <v>243</v>
      </c>
      <c r="P109" s="17" t="str">
        <f aca="false">IF(AND(N(H109)&gt;=N(K109),N(H109)&gt;=N(N109)),"The Pulse",IF(N(K109)&gt;=N(N109),"The Lens","The Hub"))</f>
        <v>The Lens</v>
      </c>
      <c r="Q109" s="20" t="s">
        <v>74</v>
      </c>
      <c r="R109" s="27" t="s">
        <v>832</v>
      </c>
      <c r="S109" s="17" t="s">
        <v>24</v>
      </c>
    </row>
    <row r="110" customFormat="false" ht="15" hidden="false" customHeight="false" outlineLevel="0" collapsed="false">
      <c r="A110" s="17" t="s">
        <v>1757</v>
      </c>
      <c r="B110" s="17" t="s">
        <v>1758</v>
      </c>
      <c r="C110" s="17" t="s">
        <v>1759</v>
      </c>
      <c r="D110" s="17" t="s">
        <v>82</v>
      </c>
      <c r="E110" s="18" t="n">
        <v>11030</v>
      </c>
      <c r="F110" s="17" t="s">
        <v>821</v>
      </c>
      <c r="G110" s="23" t="n">
        <v>4.96355394378966</v>
      </c>
      <c r="H110" s="19" t="n">
        <v>72.3</v>
      </c>
      <c r="I110" s="17" t="n">
        <f aca="false">IF(H110="","",RANK(H110,$H$5:$H$389))</f>
        <v>106</v>
      </c>
      <c r="J110" s="24" t="n">
        <v>0.0358847108226761</v>
      </c>
      <c r="K110" s="19" t="n">
        <v>24</v>
      </c>
      <c r="L110" s="17" t="n">
        <f aca="false">IF(K110="","",RANK(K110,$K$5:$K$389))</f>
        <v>297</v>
      </c>
      <c r="M110" s="25" t="n">
        <v>0.028209556706966</v>
      </c>
      <c r="N110" s="19" t="n">
        <v>6</v>
      </c>
      <c r="O110" s="17" t="n">
        <f aca="false">IF(N110="","",RANK(N110,$N$5:$N$389))</f>
        <v>362</v>
      </c>
      <c r="P110" s="17" t="str">
        <f aca="false">IF(AND(N(H110)&gt;=N(K110),N(H110)&gt;=N(N110)),"The Pulse",IF(N(K110)&gt;=N(N110),"The Lens","The Hub"))</f>
        <v>The Pulse</v>
      </c>
      <c r="Q110" s="21" t="s">
        <v>79</v>
      </c>
      <c r="R110" s="27" t="s">
        <v>832</v>
      </c>
      <c r="S110" s="17" t="s">
        <v>88</v>
      </c>
    </row>
    <row r="111" customFormat="false" ht="15" hidden="false" customHeight="false" outlineLevel="0" collapsed="false">
      <c r="A111" s="17" t="s">
        <v>1760</v>
      </c>
      <c r="B111" s="17" t="s">
        <v>1761</v>
      </c>
      <c r="C111" s="17" t="s">
        <v>1762</v>
      </c>
      <c r="D111" s="17" t="s">
        <v>162</v>
      </c>
      <c r="E111" s="18" t="n">
        <v>418030</v>
      </c>
      <c r="F111" s="17" t="s">
        <v>827</v>
      </c>
      <c r="G111" s="23" t="n">
        <v>4.94944621199436</v>
      </c>
      <c r="H111" s="19" t="n">
        <v>72.1</v>
      </c>
      <c r="I111" s="17" t="n">
        <f aca="false">IF(H111="","",RANK(H111,$H$5:$H$389))</f>
        <v>107</v>
      </c>
      <c r="J111" s="24" t="n">
        <v>0.109215379308515</v>
      </c>
      <c r="K111" s="19" t="n">
        <v>66.9</v>
      </c>
      <c r="L111" s="17" t="n">
        <f aca="false">IF(K111="","",RANK(K111,$K$5:$K$389))</f>
        <v>122</v>
      </c>
      <c r="M111" s="25" t="n">
        <v>0.135563849640096</v>
      </c>
      <c r="N111" s="19" t="n">
        <v>51</v>
      </c>
      <c r="O111" s="17" t="n">
        <f aca="false">IF(N111="","",RANK(N111,$N$5:$N$389))</f>
        <v>188</v>
      </c>
      <c r="P111" s="17" t="str">
        <f aca="false">IF(AND(N(H111)&gt;=N(K111),N(H111)&gt;=N(N111)),"The Pulse",IF(N(K111)&gt;=N(N111),"The Lens","The Hub"))</f>
        <v>The Pulse</v>
      </c>
      <c r="Q111" s="20" t="s">
        <v>74</v>
      </c>
      <c r="R111" s="27" t="s">
        <v>832</v>
      </c>
      <c r="S111" s="17" t="s">
        <v>24</v>
      </c>
    </row>
    <row r="112" customFormat="false" ht="15" hidden="false" customHeight="false" outlineLevel="0" collapsed="false">
      <c r="A112" s="17" t="s">
        <v>1763</v>
      </c>
      <c r="B112" s="17" t="s">
        <v>1764</v>
      </c>
      <c r="C112" s="17" t="s">
        <v>1765</v>
      </c>
      <c r="D112" s="17" t="s">
        <v>82</v>
      </c>
      <c r="E112" s="18" t="n">
        <v>114460</v>
      </c>
      <c r="F112" s="17" t="s">
        <v>827</v>
      </c>
      <c r="G112" s="23" t="n">
        <v>4.87371134020619</v>
      </c>
      <c r="H112" s="19" t="n">
        <v>71.9</v>
      </c>
      <c r="I112" s="17" t="n">
        <f aca="false">IF(H112="","",RANK(H112,$H$5:$H$389))</f>
        <v>108</v>
      </c>
      <c r="J112" s="24" t="n">
        <v>0.148274478330658</v>
      </c>
      <c r="K112" s="19" t="n">
        <v>87.3</v>
      </c>
      <c r="L112" s="17" t="n">
        <f aca="false">IF(K112="","",RANK(K112,$K$5:$K$389))</f>
        <v>47</v>
      </c>
      <c r="M112" s="25" t="n">
        <v>0.208005756469365</v>
      </c>
      <c r="N112" s="19" t="n">
        <v>70.6</v>
      </c>
      <c r="O112" s="17" t="n">
        <f aca="false">IF(N112="","",RANK(N112,$N$5:$N$389))</f>
        <v>115</v>
      </c>
      <c r="P112" s="17" t="str">
        <f aca="false">IF(AND(N(H112)&gt;=N(K112),N(H112)&gt;=N(N112)),"The Pulse",IF(N(K112)&gt;=N(N112),"The Lens","The Hub"))</f>
        <v>The Lens</v>
      </c>
      <c r="Q112" s="20" t="s">
        <v>74</v>
      </c>
      <c r="R112" s="27" t="s">
        <v>832</v>
      </c>
      <c r="S112" s="17" t="s">
        <v>24</v>
      </c>
    </row>
    <row r="113" customFormat="false" ht="15" hidden="false" customHeight="false" outlineLevel="0" collapsed="false">
      <c r="A113" s="17" t="s">
        <v>1766</v>
      </c>
      <c r="B113" s="17" t="s">
        <v>1767</v>
      </c>
      <c r="C113" s="17" t="s">
        <v>1768</v>
      </c>
      <c r="D113" s="17" t="s">
        <v>123</v>
      </c>
      <c r="E113" s="18" t="n">
        <v>63210</v>
      </c>
      <c r="F113" s="17" t="s">
        <v>821</v>
      </c>
      <c r="G113" s="23" t="n">
        <v>4.86419870273691</v>
      </c>
      <c r="H113" s="19" t="n">
        <v>71.7</v>
      </c>
      <c r="I113" s="17" t="n">
        <f aca="false">IF(H113="","",RANK(H113,$H$5:$H$389))</f>
        <v>109</v>
      </c>
      <c r="J113" s="24" t="n">
        <v>0.10487676979549</v>
      </c>
      <c r="K113" s="19" t="n">
        <v>61.1</v>
      </c>
      <c r="L113" s="17" t="n">
        <f aca="false">IF(K113="","",RANK(K113,$K$5:$K$389))</f>
        <v>147</v>
      </c>
      <c r="M113" s="25" t="n">
        <v>0.221043458492782</v>
      </c>
      <c r="N113" s="19" t="n">
        <v>74.4</v>
      </c>
      <c r="O113" s="17" t="n">
        <f aca="false">IF(N113="","",RANK(N113,$N$5:$N$389))</f>
        <v>99</v>
      </c>
      <c r="P113" s="17" t="str">
        <f aca="false">IF(AND(N(H113)&gt;=N(K113),N(H113)&gt;=N(N113)),"The Pulse",IF(N(K113)&gt;=N(N113),"The Lens","The Hub"))</f>
        <v>The Hub</v>
      </c>
      <c r="Q113" s="21" t="s">
        <v>79</v>
      </c>
      <c r="R113" s="27" t="s">
        <v>832</v>
      </c>
      <c r="S113" s="17" t="s">
        <v>88</v>
      </c>
    </row>
    <row r="114" customFormat="false" ht="15" hidden="false" customHeight="false" outlineLevel="0" collapsed="false">
      <c r="A114" s="17" t="s">
        <v>301</v>
      </c>
      <c r="B114" s="17" t="s">
        <v>302</v>
      </c>
      <c r="C114" s="17" t="s">
        <v>1769</v>
      </c>
      <c r="D114" s="17" t="s">
        <v>162</v>
      </c>
      <c r="E114" s="18" t="n">
        <v>253310</v>
      </c>
      <c r="F114" s="17" t="s">
        <v>827</v>
      </c>
      <c r="G114" s="23" t="n">
        <v>4.80115273775216</v>
      </c>
      <c r="H114" s="19" t="n">
        <v>71.5</v>
      </c>
      <c r="I114" s="17" t="n">
        <f aca="false">IF(H114="","",RANK(H114,$H$5:$H$389))</f>
        <v>110</v>
      </c>
      <c r="J114" s="24" t="n">
        <v>-0.0650352489572953</v>
      </c>
      <c r="K114" s="19" t="n">
        <v>5.1</v>
      </c>
      <c r="L114" s="17" t="n">
        <f aca="false">IF(K114="","",RANK(K114,$K$5:$K$389))</f>
        <v>367</v>
      </c>
      <c r="M114" s="25" t="n">
        <v>0.0611937364869292</v>
      </c>
      <c r="N114" s="19" t="n">
        <v>16.3</v>
      </c>
      <c r="O114" s="17" t="n">
        <f aca="false">IF(N114="","",RANK(N114,$N$5:$N$389))</f>
        <v>321</v>
      </c>
      <c r="P114" s="17" t="str">
        <f aca="false">IF(AND(N(H114)&gt;=N(K114),N(H114)&gt;=N(N114)),"The Pulse",IF(N(K114)&gt;=N(N114),"The Lens","The Hub"))</f>
        <v>The Pulse</v>
      </c>
      <c r="Q114" s="20" t="s">
        <v>74</v>
      </c>
      <c r="R114" s="26" t="s">
        <v>822</v>
      </c>
      <c r="S114" s="17" t="s">
        <v>24</v>
      </c>
    </row>
    <row r="115" customFormat="false" ht="15" hidden="false" customHeight="false" outlineLevel="0" collapsed="false">
      <c r="A115" s="17" t="s">
        <v>347</v>
      </c>
      <c r="B115" s="17" t="s">
        <v>348</v>
      </c>
      <c r="C115" s="17" t="s">
        <v>1770</v>
      </c>
      <c r="D115" s="17" t="s">
        <v>77</v>
      </c>
      <c r="E115" s="18" t="n">
        <v>1018140</v>
      </c>
      <c r="F115" s="17" t="s">
        <v>935</v>
      </c>
      <c r="G115" s="23" t="n">
        <v>4.78061366806137</v>
      </c>
      <c r="H115" s="19" t="n">
        <v>71.3</v>
      </c>
      <c r="I115" s="17" t="n">
        <f aca="false">IF(H115="","",RANK(H115,$H$5:$H$389))</f>
        <v>111</v>
      </c>
      <c r="J115" s="24" t="n">
        <v>0.103029121164847</v>
      </c>
      <c r="K115" s="19" t="n">
        <v>41.7</v>
      </c>
      <c r="L115" s="17" t="n">
        <f aca="false">IF(K115="","",RANK(K115,$K$5:$K$389))</f>
        <v>229</v>
      </c>
      <c r="M115" s="25" t="n">
        <v>0.137109080385175</v>
      </c>
      <c r="N115" s="19" t="n">
        <v>51.4</v>
      </c>
      <c r="O115" s="17" t="n">
        <f aca="false">IF(N115="","",RANK(N115,$N$5:$N$389))</f>
        <v>187</v>
      </c>
      <c r="P115" s="17" t="str">
        <f aca="false">IF(AND(N(H115)&gt;=N(K115),N(H115)&gt;=N(N115)),"The Pulse",IF(N(K115)&gt;=N(N115),"The Lens","The Hub"))</f>
        <v>The Pulse</v>
      </c>
      <c r="Q115" s="20" t="s">
        <v>74</v>
      </c>
      <c r="R115" s="26" t="s">
        <v>822</v>
      </c>
      <c r="S115" s="17" t="s">
        <v>24</v>
      </c>
    </row>
    <row r="116" customFormat="false" ht="15" hidden="false" customHeight="false" outlineLevel="0" collapsed="false">
      <c r="A116" s="17" t="s">
        <v>275</v>
      </c>
      <c r="B116" s="17" t="s">
        <v>276</v>
      </c>
      <c r="C116" s="17" t="s">
        <v>1771</v>
      </c>
      <c r="D116" s="17" t="s">
        <v>82</v>
      </c>
      <c r="E116" s="18" t="n">
        <v>192590</v>
      </c>
      <c r="F116" s="17" t="s">
        <v>827</v>
      </c>
      <c r="G116" s="23" t="n">
        <v>4.76286930785607</v>
      </c>
      <c r="H116" s="19" t="n">
        <v>71.1</v>
      </c>
      <c r="I116" s="17" t="n">
        <f aca="false">IF(H116="","",RANK(H116,$H$5:$H$389))</f>
        <v>112</v>
      </c>
      <c r="J116" s="24" t="n">
        <v>0.0543055783653583</v>
      </c>
      <c r="K116" s="19" t="n">
        <v>38.9</v>
      </c>
      <c r="L116" s="17" t="n">
        <f aca="false">IF(K116="","",RANK(K116,$K$5:$K$389))</f>
        <v>239</v>
      </c>
      <c r="M116" s="25" t="n">
        <v>0.22729952186538</v>
      </c>
      <c r="N116" s="19" t="n">
        <v>75.9</v>
      </c>
      <c r="O116" s="17" t="n">
        <f aca="false">IF(N116="","",RANK(N116,$N$5:$N$389))</f>
        <v>92</v>
      </c>
      <c r="P116" s="17" t="str">
        <f aca="false">IF(AND(N(H116)&gt;=N(K116),N(H116)&gt;=N(N116)),"The Pulse",IF(N(K116)&gt;=N(N116),"The Lens","The Hub"))</f>
        <v>The Hub</v>
      </c>
      <c r="Q116" s="20" t="s">
        <v>74</v>
      </c>
      <c r="R116" s="26" t="s">
        <v>822</v>
      </c>
      <c r="S116" s="17" t="s">
        <v>24</v>
      </c>
    </row>
    <row r="117" customFormat="false" ht="15" hidden="false" customHeight="false" outlineLevel="0" collapsed="false">
      <c r="A117" s="17" t="s">
        <v>175</v>
      </c>
      <c r="B117" s="17" t="s">
        <v>176</v>
      </c>
      <c r="C117" s="17" t="s">
        <v>1772</v>
      </c>
      <c r="D117" s="17" t="s">
        <v>162</v>
      </c>
      <c r="E117" s="18" t="n">
        <v>91120</v>
      </c>
      <c r="F117" s="17" t="s">
        <v>821</v>
      </c>
      <c r="G117" s="23" t="n">
        <v>4.71871158911326</v>
      </c>
      <c r="H117" s="19" t="n">
        <v>70.7</v>
      </c>
      <c r="I117" s="17" t="n">
        <f aca="false">IF(H117="","",RANK(H117,$H$5:$H$389))</f>
        <v>113</v>
      </c>
      <c r="J117" s="24" t="n">
        <v>0.229689608636977</v>
      </c>
      <c r="K117" s="19" t="n">
        <v>97.1</v>
      </c>
      <c r="L117" s="17" t="n">
        <f aca="false">IF(K117="","",RANK(K117,$K$5:$K$389))</f>
        <v>13</v>
      </c>
      <c r="M117" s="25" t="n">
        <v>0.0760025873221216</v>
      </c>
      <c r="N117" s="19" t="n">
        <v>23.2</v>
      </c>
      <c r="O117" s="17" t="n">
        <f aca="false">IF(N117="","",RANK(N117,$N$5:$N$389))</f>
        <v>295</v>
      </c>
      <c r="P117" s="17" t="str">
        <f aca="false">IF(AND(N(H117)&gt;=N(K117),N(H117)&gt;=N(N117)),"The Pulse",IF(N(K117)&gt;=N(N117),"The Lens","The Hub"))</f>
        <v>The Lens</v>
      </c>
      <c r="Q117" s="20" t="s">
        <v>74</v>
      </c>
      <c r="R117" s="26" t="s">
        <v>822</v>
      </c>
      <c r="S117" s="17" t="s">
        <v>24</v>
      </c>
    </row>
    <row r="118" customFormat="false" ht="15" hidden="false" customHeight="false" outlineLevel="0" collapsed="false">
      <c r="A118" s="17" t="s">
        <v>669</v>
      </c>
      <c r="B118" s="17" t="s">
        <v>670</v>
      </c>
      <c r="C118" s="17" t="s">
        <v>1773</v>
      </c>
      <c r="D118" s="17" t="s">
        <v>86</v>
      </c>
      <c r="E118" s="18" t="n">
        <v>61080</v>
      </c>
      <c r="F118" s="17" t="s">
        <v>821</v>
      </c>
      <c r="G118" s="23" t="n">
        <v>4.70821872953504</v>
      </c>
      <c r="H118" s="19" t="n">
        <v>70.5</v>
      </c>
      <c r="I118" s="17" t="n">
        <f aca="false">IF(H118="","",RANK(H118,$H$5:$H$389))</f>
        <v>114</v>
      </c>
      <c r="J118" s="24" t="n">
        <v>-0.0519944125407419</v>
      </c>
      <c r="K118" s="19" t="n">
        <v>4</v>
      </c>
      <c r="L118" s="17" t="n">
        <f aca="false">IF(K118="","",RANK(K118,$K$5:$K$389))</f>
        <v>371</v>
      </c>
      <c r="M118" s="25" t="n">
        <v>0.204490127130106</v>
      </c>
      <c r="N118" s="19" t="n">
        <v>70.2</v>
      </c>
      <c r="O118" s="17" t="n">
        <f aca="false">IF(N118="","",RANK(N118,$N$5:$N$389))</f>
        <v>117</v>
      </c>
      <c r="P118" s="17" t="str">
        <f aca="false">IF(AND(N(H118)&gt;=N(K118),N(H118)&gt;=N(N118)),"The Pulse",IF(N(K118)&gt;=N(N118),"The Lens","The Hub"))</f>
        <v>The Pulse</v>
      </c>
      <c r="Q118" s="20" t="s">
        <v>74</v>
      </c>
      <c r="R118" s="26" t="s">
        <v>822</v>
      </c>
      <c r="S118" s="17" t="s">
        <v>24</v>
      </c>
    </row>
    <row r="119" customFormat="false" ht="15" hidden="false" customHeight="false" outlineLevel="0" collapsed="false">
      <c r="A119" s="17" t="s">
        <v>399</v>
      </c>
      <c r="B119" s="17" t="s">
        <v>400</v>
      </c>
      <c r="C119" s="17" t="s">
        <v>1774</v>
      </c>
      <c r="D119" s="17" t="s">
        <v>98</v>
      </c>
      <c r="E119" s="18" t="n">
        <v>26410</v>
      </c>
      <c r="F119" s="17" t="s">
        <v>821</v>
      </c>
      <c r="G119" s="23" t="n">
        <v>4.66660355925786</v>
      </c>
      <c r="H119" s="19" t="n">
        <v>70.3</v>
      </c>
      <c r="I119" s="17" t="n">
        <f aca="false">IF(H119="","",RANK(H119,$H$5:$H$389))</f>
        <v>115</v>
      </c>
      <c r="J119" s="24" t="n">
        <v>0.118120237087214</v>
      </c>
      <c r="K119" s="19" t="n">
        <v>67.6</v>
      </c>
      <c r="L119" s="17" t="n">
        <f aca="false">IF(K119="","",RANK(K119,$K$5:$K$389))</f>
        <v>119</v>
      </c>
      <c r="M119" s="25" t="n">
        <v>0.33164956590371</v>
      </c>
      <c r="N119" s="19" t="n">
        <v>93.4</v>
      </c>
      <c r="O119" s="17" t="n">
        <f aca="false">IF(N119="","",RANK(N119,$N$5:$N$389))</f>
        <v>27</v>
      </c>
      <c r="P119" s="17" t="str">
        <f aca="false">IF(AND(N(H119)&gt;=N(K119),N(H119)&gt;=N(N119)),"The Pulse",IF(N(K119)&gt;=N(N119),"The Lens","The Hub"))</f>
        <v>The Hub</v>
      </c>
      <c r="Q119" s="20" t="s">
        <v>74</v>
      </c>
      <c r="R119" s="26" t="s">
        <v>822</v>
      </c>
      <c r="S119" s="17" t="s">
        <v>24</v>
      </c>
    </row>
    <row r="120" customFormat="false" ht="15" hidden="false" customHeight="false" outlineLevel="0" collapsed="false">
      <c r="A120" s="17" t="s">
        <v>309</v>
      </c>
      <c r="B120" s="17" t="s">
        <v>310</v>
      </c>
      <c r="C120" s="17" t="s">
        <v>1775</v>
      </c>
      <c r="D120" s="17" t="s">
        <v>98</v>
      </c>
      <c r="E120" s="18" t="n">
        <v>20290</v>
      </c>
      <c r="F120" s="17" t="s">
        <v>821</v>
      </c>
      <c r="G120" s="23" t="n">
        <v>4.65470675209463</v>
      </c>
      <c r="H120" s="19" t="n">
        <v>70.1</v>
      </c>
      <c r="I120" s="17" t="n">
        <f aca="false">IF(H120="","",RANK(H120,$H$5:$H$389))</f>
        <v>116</v>
      </c>
      <c r="J120" s="24" t="n">
        <v>0.049663735126746</v>
      </c>
      <c r="K120" s="19" t="n">
        <v>30.2</v>
      </c>
      <c r="L120" s="17" t="n">
        <f aca="false">IF(K120="","",RANK(K120,$K$5:$K$389))</f>
        <v>276</v>
      </c>
      <c r="M120" s="25" t="n">
        <v>0.0510158683078748</v>
      </c>
      <c r="N120" s="19" t="n">
        <v>12.8</v>
      </c>
      <c r="O120" s="17" t="n">
        <f aca="false">IF(N120="","",RANK(N120,$N$5:$N$389))</f>
        <v>335</v>
      </c>
      <c r="P120" s="17" t="str">
        <f aca="false">IF(AND(N(H120)&gt;=N(K120),N(H120)&gt;=N(N120)),"The Pulse",IF(N(K120)&gt;=N(N120),"The Lens","The Hub"))</f>
        <v>The Pulse</v>
      </c>
      <c r="Q120" s="21" t="s">
        <v>79</v>
      </c>
      <c r="R120" s="26" t="s">
        <v>822</v>
      </c>
      <c r="S120" s="17" t="s">
        <v>88</v>
      </c>
    </row>
    <row r="121" customFormat="false" ht="15" hidden="false" customHeight="false" outlineLevel="0" collapsed="false">
      <c r="A121" s="17" t="s">
        <v>147</v>
      </c>
      <c r="B121" s="17" t="s">
        <v>148</v>
      </c>
      <c r="C121" s="17" t="s">
        <v>1776</v>
      </c>
      <c r="D121" s="17" t="s">
        <v>123</v>
      </c>
      <c r="E121" s="18" t="n">
        <v>63110</v>
      </c>
      <c r="F121" s="17" t="s">
        <v>821</v>
      </c>
      <c r="G121" s="23" t="n">
        <v>4.5809221993345</v>
      </c>
      <c r="H121" s="19" t="n">
        <v>69.7</v>
      </c>
      <c r="I121" s="17" t="n">
        <f aca="false">IF(H121="","",RANK(H121,$H$5:$H$389))</f>
        <v>117</v>
      </c>
      <c r="J121" s="24" t="n">
        <v>-0.107985865724382</v>
      </c>
      <c r="K121" s="19" t="n">
        <v>1.8</v>
      </c>
      <c r="L121" s="17" t="n">
        <f aca="false">IF(K121="","",RANK(K121,$K$5:$K$389))</f>
        <v>381</v>
      </c>
      <c r="M121" s="25" t="n">
        <v>0.128034216519469</v>
      </c>
      <c r="N121" s="19" t="n">
        <v>48.6</v>
      </c>
      <c r="O121" s="17" t="n">
        <f aca="false">IF(N121="","",RANK(N121,$N$5:$N$389))</f>
        <v>198</v>
      </c>
      <c r="P121" s="17" t="str">
        <f aca="false">IF(AND(N(H121)&gt;=N(K121),N(H121)&gt;=N(N121)),"The Pulse",IF(N(K121)&gt;=N(N121),"The Lens","The Hub"))</f>
        <v>The Pulse</v>
      </c>
      <c r="Q121" s="20" t="s">
        <v>74</v>
      </c>
      <c r="R121" s="26" t="s">
        <v>822</v>
      </c>
      <c r="S121" s="17" t="s">
        <v>24</v>
      </c>
    </row>
    <row r="122" customFormat="false" ht="15" hidden="false" customHeight="false" outlineLevel="0" collapsed="false">
      <c r="A122" s="17" t="s">
        <v>553</v>
      </c>
      <c r="B122" s="17" t="s">
        <v>554</v>
      </c>
      <c r="C122" s="17" t="s">
        <v>1777</v>
      </c>
      <c r="D122" s="17" t="s">
        <v>95</v>
      </c>
      <c r="E122" s="18" t="n">
        <v>45330</v>
      </c>
      <c r="F122" s="17" t="s">
        <v>821</v>
      </c>
      <c r="G122" s="23" t="n">
        <v>4.56298257224796</v>
      </c>
      <c r="H122" s="19" t="n">
        <v>69.5</v>
      </c>
      <c r="I122" s="17" t="n">
        <f aca="false">IF(H122="","",RANK(H122,$H$5:$H$389))</f>
        <v>118</v>
      </c>
      <c r="J122" s="24" t="n">
        <v>0.0172800718132855</v>
      </c>
      <c r="K122" s="19" t="n">
        <v>17.5</v>
      </c>
      <c r="L122" s="17" t="n">
        <f aca="false">IF(K122="","",RANK(K122,$K$5:$K$389))</f>
        <v>318</v>
      </c>
      <c r="M122" s="25" t="n">
        <v>0.103744071046523</v>
      </c>
      <c r="N122" s="19" t="n">
        <v>38.9</v>
      </c>
      <c r="O122" s="17" t="n">
        <f aca="false">IF(N122="","",RANK(N122,$N$5:$N$389))</f>
        <v>237</v>
      </c>
      <c r="P122" s="17" t="str">
        <f aca="false">IF(AND(N(H122)&gt;=N(K122),N(H122)&gt;=N(N122)),"The Pulse",IF(N(K122)&gt;=N(N122),"The Lens","The Hub"))</f>
        <v>The Pulse</v>
      </c>
      <c r="Q122" s="20" t="s">
        <v>74</v>
      </c>
      <c r="R122" s="26" t="s">
        <v>822</v>
      </c>
      <c r="S122" s="17" t="s">
        <v>24</v>
      </c>
    </row>
    <row r="123" customFormat="false" ht="15" hidden="false" customHeight="false" outlineLevel="0" collapsed="false">
      <c r="A123" s="17" t="s">
        <v>237</v>
      </c>
      <c r="B123" s="17" t="s">
        <v>238</v>
      </c>
      <c r="C123" s="17" t="s">
        <v>1778</v>
      </c>
      <c r="D123" s="17" t="s">
        <v>72</v>
      </c>
      <c r="E123" s="18" t="n">
        <v>58870</v>
      </c>
      <c r="F123" s="17" t="s">
        <v>821</v>
      </c>
      <c r="G123" s="23" t="n">
        <v>4.43111941566163</v>
      </c>
      <c r="H123" s="19" t="n">
        <v>69.4</v>
      </c>
      <c r="I123" s="17" t="n">
        <f aca="false">IF(H123="","",RANK(H123,$H$5:$H$389))</f>
        <v>119</v>
      </c>
      <c r="J123" s="24" t="n">
        <v>-0.114603699804482</v>
      </c>
      <c r="K123" s="19" t="n">
        <v>1.5</v>
      </c>
      <c r="L123" s="17" t="n">
        <f aca="false">IF(K123="","",RANK(K123,$K$5:$K$389))</f>
        <v>382</v>
      </c>
      <c r="M123" s="25" t="n">
        <v>0.212345496262305</v>
      </c>
      <c r="N123" s="19" t="n">
        <v>72.2</v>
      </c>
      <c r="O123" s="17" t="n">
        <f aca="false">IF(N123="","",RANK(N123,$N$5:$N$389))</f>
        <v>108</v>
      </c>
      <c r="P123" s="17" t="str">
        <f aca="false">IF(AND(N(H123)&gt;=N(K123),N(H123)&gt;=N(N123)),"The Pulse",IF(N(K123)&gt;=N(N123),"The Lens","The Hub"))</f>
        <v>The Hub</v>
      </c>
      <c r="Q123" s="20" t="s">
        <v>74</v>
      </c>
      <c r="R123" s="26" t="s">
        <v>822</v>
      </c>
      <c r="S123" s="17" t="s">
        <v>24</v>
      </c>
    </row>
    <row r="124" customFormat="false" ht="15" hidden="false" customHeight="false" outlineLevel="0" collapsed="false">
      <c r="A124" s="17" t="s">
        <v>471</v>
      </c>
      <c r="B124" s="17" t="s">
        <v>472</v>
      </c>
      <c r="C124" s="17" t="s">
        <v>1779</v>
      </c>
      <c r="D124" s="17" t="s">
        <v>115</v>
      </c>
      <c r="E124" s="18" t="n">
        <v>44900</v>
      </c>
      <c r="F124" s="17" t="s">
        <v>821</v>
      </c>
      <c r="G124" s="23" t="n">
        <v>4.43</v>
      </c>
      <c r="H124" s="19" t="n">
        <v>69.2</v>
      </c>
      <c r="I124" s="17" t="n">
        <f aca="false">IF(H124="","",RANK(H124,$H$5:$H$389))</f>
        <v>120</v>
      </c>
      <c r="J124" s="24" t="n">
        <v>0.0677764565992866</v>
      </c>
      <c r="K124" s="19" t="n">
        <v>39.6</v>
      </c>
      <c r="L124" s="17" t="n">
        <f aca="false">IF(K124="","",RANK(K124,$K$5:$K$389))</f>
        <v>236</v>
      </c>
      <c r="M124" s="25" t="n">
        <v>0.151062607696726</v>
      </c>
      <c r="N124" s="19" t="n">
        <v>56.1</v>
      </c>
      <c r="O124" s="17" t="n">
        <f aca="false">IF(N124="","",RANK(N124,$N$5:$N$389))</f>
        <v>173</v>
      </c>
      <c r="P124" s="17" t="str">
        <f aca="false">IF(AND(N(H124)&gt;=N(K124),N(H124)&gt;=N(N124)),"The Pulse",IF(N(K124)&gt;=N(N124),"The Lens","The Hub"))</f>
        <v>The Pulse</v>
      </c>
      <c r="Q124" s="20" t="s">
        <v>74</v>
      </c>
      <c r="R124" s="26" t="s">
        <v>822</v>
      </c>
      <c r="S124" s="17" t="s">
        <v>24</v>
      </c>
    </row>
    <row r="125" customFormat="false" ht="15" hidden="false" customHeight="false" outlineLevel="0" collapsed="false">
      <c r="A125" s="17" t="s">
        <v>313</v>
      </c>
      <c r="B125" s="17" t="s">
        <v>314</v>
      </c>
      <c r="C125" s="17" t="s">
        <v>1780</v>
      </c>
      <c r="D125" s="17" t="s">
        <v>162</v>
      </c>
      <c r="E125" s="18" t="n">
        <v>12010</v>
      </c>
      <c r="F125" s="17" t="s">
        <v>821</v>
      </c>
      <c r="G125" s="23" t="n">
        <v>4.42206494587844</v>
      </c>
      <c r="H125" s="19" t="n">
        <v>69</v>
      </c>
      <c r="I125" s="17" t="n">
        <f aca="false">IF(H125="","",RANK(H125,$H$5:$H$389))</f>
        <v>121</v>
      </c>
      <c r="J125" s="24" t="n">
        <v>0.100824931255729</v>
      </c>
      <c r="K125" s="19" t="n">
        <v>57.8</v>
      </c>
      <c r="L125" s="17" t="n">
        <f aca="false">IF(K125="","",RANK(K125,$K$5:$K$389))</f>
        <v>164</v>
      </c>
      <c r="M125" s="25" t="n">
        <v>0.18737388296339</v>
      </c>
      <c r="N125" s="19" t="n">
        <v>66.2</v>
      </c>
      <c r="O125" s="17" t="n">
        <f aca="false">IF(N125="","",RANK(N125,$N$5:$N$389))</f>
        <v>134</v>
      </c>
      <c r="P125" s="17" t="str">
        <f aca="false">IF(AND(N(H125)&gt;=N(K125),N(H125)&gt;=N(N125)),"The Pulse",IF(N(K125)&gt;=N(N125),"The Lens","The Hub"))</f>
        <v>The Pulse</v>
      </c>
      <c r="Q125" s="20" t="s">
        <v>74</v>
      </c>
      <c r="R125" s="26" t="s">
        <v>822</v>
      </c>
      <c r="S125" s="17" t="s">
        <v>24</v>
      </c>
    </row>
    <row r="126" customFormat="false" ht="15" hidden="false" customHeight="false" outlineLevel="0" collapsed="false">
      <c r="A126" s="17" t="s">
        <v>1781</v>
      </c>
      <c r="B126" s="17" t="s">
        <v>1782</v>
      </c>
      <c r="C126" s="17" t="s">
        <v>1783</v>
      </c>
      <c r="D126" s="17" t="s">
        <v>95</v>
      </c>
      <c r="E126" s="18" t="n">
        <v>135100</v>
      </c>
      <c r="F126" s="17" t="s">
        <v>827</v>
      </c>
      <c r="G126" s="23" t="n">
        <v>4.36516654330126</v>
      </c>
      <c r="H126" s="19" t="n">
        <v>68.8</v>
      </c>
      <c r="I126" s="17" t="n">
        <f aca="false">IF(H126="","",RANK(H126,$H$5:$H$389))</f>
        <v>122</v>
      </c>
      <c r="J126" s="24" t="n">
        <v>0.145983543981678</v>
      </c>
      <c r="K126" s="19" t="n">
        <v>85.4</v>
      </c>
      <c r="L126" s="17" t="n">
        <f aca="false">IF(K126="","",RANK(K126,$K$5:$K$389))</f>
        <v>54</v>
      </c>
      <c r="M126" s="25" t="n">
        <v>0.190638571658356</v>
      </c>
      <c r="N126" s="19" t="n">
        <v>66.7</v>
      </c>
      <c r="O126" s="17" t="n">
        <f aca="false">IF(N126="","",RANK(N126,$N$5:$N$389))</f>
        <v>132</v>
      </c>
      <c r="P126" s="17" t="str">
        <f aca="false">IF(AND(N(H126)&gt;=N(K126),N(H126)&gt;=N(N126)),"The Pulse",IF(N(K126)&gt;=N(N126),"The Lens","The Hub"))</f>
        <v>The Lens</v>
      </c>
      <c r="Q126" s="20" t="s">
        <v>74</v>
      </c>
      <c r="R126" s="27" t="s">
        <v>832</v>
      </c>
      <c r="S126" s="17" t="s">
        <v>24</v>
      </c>
    </row>
    <row r="127" customFormat="false" ht="15" hidden="false" customHeight="false" outlineLevel="0" collapsed="false">
      <c r="A127" s="17" t="s">
        <v>445</v>
      </c>
      <c r="B127" s="17" t="s">
        <v>446</v>
      </c>
      <c r="C127" s="17" t="s">
        <v>1784</v>
      </c>
      <c r="D127" s="17" t="s">
        <v>95</v>
      </c>
      <c r="E127" s="18" t="n">
        <v>15170</v>
      </c>
      <c r="F127" s="17" t="s">
        <v>821</v>
      </c>
      <c r="G127" s="23" t="n">
        <v>4.33019116677653</v>
      </c>
      <c r="H127" s="19" t="n">
        <v>68.6</v>
      </c>
      <c r="I127" s="17" t="n">
        <f aca="false">IF(H127="","",RANK(H127,$H$5:$H$389))</f>
        <v>123</v>
      </c>
      <c r="J127" s="24" t="n">
        <v>0.114621601763409</v>
      </c>
      <c r="K127" s="19" t="n">
        <v>65.8</v>
      </c>
      <c r="L127" s="17" t="n">
        <f aca="false">IF(K127="","",RANK(K127,$K$5:$K$389))</f>
        <v>128</v>
      </c>
      <c r="M127" s="25" t="n">
        <v>0.114915572232645</v>
      </c>
      <c r="N127" s="19" t="n">
        <v>42.6</v>
      </c>
      <c r="O127" s="17" t="n">
        <f aca="false">IF(N127="","",RANK(N127,$N$5:$N$389))</f>
        <v>221</v>
      </c>
      <c r="P127" s="17" t="str">
        <f aca="false">IF(AND(N(H127)&gt;=N(K127),N(H127)&gt;=N(N127)),"The Pulse",IF(N(K127)&gt;=N(N127),"The Lens","The Hub"))</f>
        <v>The Pulse</v>
      </c>
      <c r="Q127" s="20" t="s">
        <v>74</v>
      </c>
      <c r="R127" s="26" t="s">
        <v>822</v>
      </c>
      <c r="S127" s="17" t="s">
        <v>24</v>
      </c>
    </row>
    <row r="128" customFormat="false" ht="15" hidden="false" customHeight="false" outlineLevel="0" collapsed="false">
      <c r="A128" s="17" t="s">
        <v>241</v>
      </c>
      <c r="B128" s="17" t="s">
        <v>242</v>
      </c>
      <c r="C128" s="17" t="s">
        <v>1785</v>
      </c>
      <c r="D128" s="17" t="s">
        <v>115</v>
      </c>
      <c r="E128" s="18" t="n">
        <v>498970</v>
      </c>
      <c r="F128" s="17" t="s">
        <v>827</v>
      </c>
      <c r="G128" s="23" t="n">
        <v>4.28875082670301</v>
      </c>
      <c r="H128" s="19" t="n">
        <v>68.2</v>
      </c>
      <c r="I128" s="17" t="n">
        <f aca="false">IF(H128="","",RANK(H128,$H$5:$H$389))</f>
        <v>124</v>
      </c>
      <c r="J128" s="24" t="n">
        <v>-0.0377962473725823</v>
      </c>
      <c r="K128" s="19" t="n">
        <v>6.4</v>
      </c>
      <c r="L128" s="17" t="n">
        <f aca="false">IF(K128="","",RANK(K128,$K$5:$K$389))</f>
        <v>362</v>
      </c>
      <c r="M128" s="25" t="n">
        <v>0.164001051228624</v>
      </c>
      <c r="N128" s="19" t="n">
        <v>59.8</v>
      </c>
      <c r="O128" s="17" t="n">
        <f aca="false">IF(N128="","",RANK(N128,$N$5:$N$389))</f>
        <v>158</v>
      </c>
      <c r="P128" s="17" t="str">
        <f aca="false">IF(AND(N(H128)&gt;=N(K128),N(H128)&gt;=N(N128)),"The Pulse",IF(N(K128)&gt;=N(N128),"The Lens","The Hub"))</f>
        <v>The Pulse</v>
      </c>
      <c r="Q128" s="21" t="s">
        <v>79</v>
      </c>
      <c r="R128" s="26" t="s">
        <v>822</v>
      </c>
      <c r="S128" s="17" t="s">
        <v>88</v>
      </c>
    </row>
    <row r="129" customFormat="false" ht="15" hidden="false" customHeight="false" outlineLevel="0" collapsed="false">
      <c r="A129" s="17" t="s">
        <v>505</v>
      </c>
      <c r="B129" s="17" t="s">
        <v>506</v>
      </c>
      <c r="C129" s="17" t="s">
        <v>1786</v>
      </c>
      <c r="D129" s="17" t="s">
        <v>123</v>
      </c>
      <c r="E129" s="18" t="n">
        <v>25910</v>
      </c>
      <c r="F129" s="17" t="s">
        <v>821</v>
      </c>
      <c r="G129" s="23" t="n">
        <v>4.27684291779236</v>
      </c>
      <c r="H129" s="19" t="n">
        <v>68</v>
      </c>
      <c r="I129" s="17" t="n">
        <f aca="false">IF(H129="","",RANK(H129,$H$5:$H$389))</f>
        <v>125</v>
      </c>
      <c r="J129" s="24" t="n">
        <v>0.170280036133695</v>
      </c>
      <c r="K129" s="19" t="n">
        <v>85.5</v>
      </c>
      <c r="L129" s="17" t="n">
        <f aca="false">IF(K129="","",RANK(K129,$K$5:$K$389))</f>
        <v>53</v>
      </c>
      <c r="M129" s="25" t="n">
        <v>0.0469643508942694</v>
      </c>
      <c r="N129" s="19" t="n">
        <v>11</v>
      </c>
      <c r="O129" s="17" t="n">
        <f aca="false">IF(N129="","",RANK(N129,$N$5:$N$389))</f>
        <v>343</v>
      </c>
      <c r="P129" s="17" t="str">
        <f aca="false">IF(AND(N(H129)&gt;=N(K129),N(H129)&gt;=N(N129)),"The Pulse",IF(N(K129)&gt;=N(N129),"The Lens","The Hub"))</f>
        <v>The Lens</v>
      </c>
      <c r="Q129" s="20" t="s">
        <v>74</v>
      </c>
      <c r="R129" s="26" t="s">
        <v>822</v>
      </c>
      <c r="S129" s="17" t="s">
        <v>24</v>
      </c>
    </row>
    <row r="130" customFormat="false" ht="15" hidden="false" customHeight="false" outlineLevel="0" collapsed="false">
      <c r="A130" s="17" t="s">
        <v>633</v>
      </c>
      <c r="B130" s="17" t="s">
        <v>634</v>
      </c>
      <c r="C130" s="17" t="s">
        <v>1787</v>
      </c>
      <c r="D130" s="17" t="s">
        <v>123</v>
      </c>
      <c r="E130" s="18" t="n">
        <v>11710</v>
      </c>
      <c r="F130" s="17" t="s">
        <v>821</v>
      </c>
      <c r="G130" s="23" t="n">
        <v>4.27378309137489</v>
      </c>
      <c r="H130" s="19" t="n">
        <v>67.8</v>
      </c>
      <c r="I130" s="17" t="n">
        <f aca="false">IF(H130="","",RANK(H130,$H$5:$H$389))</f>
        <v>126</v>
      </c>
      <c r="J130" s="24" t="n">
        <v>0.036283185840708</v>
      </c>
      <c r="K130" s="19" t="n">
        <v>24.4</v>
      </c>
      <c r="L130" s="17" t="n">
        <f aca="false">IF(K130="","",RANK(K130,$K$5:$K$389))</f>
        <v>295</v>
      </c>
      <c r="M130" s="25" t="n">
        <v>0.153244130270134</v>
      </c>
      <c r="N130" s="19" t="n">
        <v>56.7</v>
      </c>
      <c r="O130" s="17" t="n">
        <f aca="false">IF(N130="","",RANK(N130,$N$5:$N$389))</f>
        <v>170</v>
      </c>
      <c r="P130" s="17" t="str">
        <f aca="false">IF(AND(N(H130)&gt;=N(K130),N(H130)&gt;=N(N130)),"The Pulse",IF(N(K130)&gt;=N(N130),"The Lens","The Hub"))</f>
        <v>The Pulse</v>
      </c>
      <c r="Q130" s="20" t="s">
        <v>74</v>
      </c>
      <c r="R130" s="26" t="s">
        <v>822</v>
      </c>
      <c r="S130" s="17" t="s">
        <v>24</v>
      </c>
    </row>
    <row r="131" customFormat="false" ht="15" hidden="false" customHeight="false" outlineLevel="0" collapsed="false">
      <c r="A131" s="17" t="s">
        <v>1788</v>
      </c>
      <c r="B131" s="17" t="s">
        <v>1789</v>
      </c>
      <c r="C131" s="17" t="s">
        <v>1790</v>
      </c>
      <c r="D131" s="17" t="s">
        <v>72</v>
      </c>
      <c r="E131" s="18" t="n">
        <v>4830</v>
      </c>
      <c r="F131" s="17" t="s">
        <v>825</v>
      </c>
      <c r="G131" s="23" t="n">
        <v>4.26149068322981</v>
      </c>
      <c r="H131" s="19" t="n">
        <v>67.4</v>
      </c>
      <c r="I131" s="17" t="n">
        <f aca="false">IF(H131="","",RANK(H131,$H$5:$H$389))</f>
        <v>127</v>
      </c>
      <c r="J131" s="24" t="n">
        <v>0.139150943396226</v>
      </c>
      <c r="K131" s="19" t="n">
        <v>64.2</v>
      </c>
      <c r="L131" s="17" t="n">
        <f aca="false">IF(K131="","",RANK(K131,$K$5:$K$389))</f>
        <v>136</v>
      </c>
      <c r="M131" s="25" t="n">
        <v>0.0418326693227092</v>
      </c>
      <c r="N131" s="19" t="n">
        <v>9.3</v>
      </c>
      <c r="O131" s="17" t="n">
        <f aca="false">IF(N131="","",RANK(N131,$N$5:$N$389))</f>
        <v>350</v>
      </c>
      <c r="P131" s="17" t="str">
        <f aca="false">IF(AND(N(H131)&gt;=N(K131),N(H131)&gt;=N(N131)),"The Pulse",IF(N(K131)&gt;=N(N131),"The Lens","The Hub"))</f>
        <v>The Pulse</v>
      </c>
      <c r="Q131" s="20" t="s">
        <v>74</v>
      </c>
      <c r="R131" s="27" t="s">
        <v>832</v>
      </c>
      <c r="S131" s="17" t="s">
        <v>24</v>
      </c>
    </row>
    <row r="132" customFormat="false" ht="15" hidden="false" customHeight="false" outlineLevel="0" collapsed="false">
      <c r="A132" s="17" t="s">
        <v>257</v>
      </c>
      <c r="B132" s="17" t="s">
        <v>258</v>
      </c>
      <c r="C132" s="17" t="s">
        <v>1791</v>
      </c>
      <c r="D132" s="17" t="s">
        <v>123</v>
      </c>
      <c r="E132" s="18" t="n">
        <v>66740</v>
      </c>
      <c r="F132" s="17" t="s">
        <v>821</v>
      </c>
      <c r="G132" s="23" t="n">
        <v>4.25052442313455</v>
      </c>
      <c r="H132" s="19" t="n">
        <v>67.2</v>
      </c>
      <c r="I132" s="17" t="n">
        <f aca="false">IF(H132="","",RANK(H132,$H$5:$H$389))</f>
        <v>128</v>
      </c>
      <c r="J132" s="24" t="n">
        <v>-0.0201145206283952</v>
      </c>
      <c r="K132" s="19" t="n">
        <v>8.4</v>
      </c>
      <c r="L132" s="17" t="n">
        <f aca="false">IF(K132="","",RANK(K132,$K$5:$K$389))</f>
        <v>356</v>
      </c>
      <c r="M132" s="25" t="n">
        <v>0.0888877981741435</v>
      </c>
      <c r="N132" s="19" t="n">
        <v>32.2</v>
      </c>
      <c r="O132" s="17" t="n">
        <f aca="false">IF(N132="","",RANK(N132,$N$5:$N$389))</f>
        <v>264</v>
      </c>
      <c r="P132" s="17" t="str">
        <f aca="false">IF(AND(N(H132)&gt;=N(K132),N(H132)&gt;=N(N132)),"The Pulse",IF(N(K132)&gt;=N(N132),"The Lens","The Hub"))</f>
        <v>The Pulse</v>
      </c>
      <c r="Q132" s="20" t="s">
        <v>74</v>
      </c>
      <c r="R132" s="26" t="s">
        <v>822</v>
      </c>
      <c r="S132" s="17" t="s">
        <v>24</v>
      </c>
    </row>
    <row r="133" customFormat="false" ht="15" hidden="false" customHeight="false" outlineLevel="0" collapsed="false">
      <c r="A133" s="17" t="s">
        <v>377</v>
      </c>
      <c r="B133" s="17" t="s">
        <v>378</v>
      </c>
      <c r="C133" s="17" t="s">
        <v>1792</v>
      </c>
      <c r="D133" s="17" t="s">
        <v>123</v>
      </c>
      <c r="E133" s="18" t="n">
        <v>268570</v>
      </c>
      <c r="F133" s="17" t="s">
        <v>827</v>
      </c>
      <c r="G133" s="23" t="n">
        <v>4.22489481327028</v>
      </c>
      <c r="H133" s="19" t="n">
        <v>67</v>
      </c>
      <c r="I133" s="17" t="n">
        <f aca="false">IF(H133="","",RANK(H133,$H$5:$H$389))</f>
        <v>129</v>
      </c>
      <c r="J133" s="24" t="n">
        <v>0.0847806769529041</v>
      </c>
      <c r="K133" s="19" t="n">
        <v>54.1</v>
      </c>
      <c r="L133" s="17" t="n">
        <f aca="false">IF(K133="","",RANK(K133,$K$5:$K$389))</f>
        <v>179</v>
      </c>
      <c r="M133" s="25" t="n">
        <v>0.00579437163790764</v>
      </c>
      <c r="N133" s="19" t="n">
        <v>0.4</v>
      </c>
      <c r="O133" s="17" t="n">
        <f aca="false">IF(N133="","",RANK(N133,$N$5:$N$389))</f>
        <v>384</v>
      </c>
      <c r="P133" s="17" t="str">
        <f aca="false">IF(AND(N(H133)&gt;=N(K133),N(H133)&gt;=N(N133)),"The Pulse",IF(N(K133)&gt;=N(N133),"The Lens","The Hub"))</f>
        <v>The Pulse</v>
      </c>
      <c r="Q133" s="20" t="s">
        <v>74</v>
      </c>
      <c r="R133" s="26" t="s">
        <v>822</v>
      </c>
      <c r="S133" s="17" t="s">
        <v>24</v>
      </c>
    </row>
    <row r="134" customFormat="false" ht="15" hidden="false" customHeight="false" outlineLevel="0" collapsed="false">
      <c r="A134" s="17" t="s">
        <v>1793</v>
      </c>
      <c r="B134" s="17" t="s">
        <v>1794</v>
      </c>
      <c r="C134" s="17" t="s">
        <v>1795</v>
      </c>
      <c r="D134" s="17" t="s">
        <v>72</v>
      </c>
      <c r="E134" s="18" t="n">
        <v>86490</v>
      </c>
      <c r="F134" s="17" t="s">
        <v>821</v>
      </c>
      <c r="G134" s="23" t="n">
        <v>4.20363047751185</v>
      </c>
      <c r="H134" s="19" t="n">
        <v>66.8</v>
      </c>
      <c r="I134" s="17" t="n">
        <f aca="false">IF(H134="","",RANK(H134,$H$5:$H$389))</f>
        <v>130</v>
      </c>
      <c r="J134" s="24" t="n">
        <v>-0.0591754595888176</v>
      </c>
      <c r="K134" s="19" t="n">
        <v>2.9</v>
      </c>
      <c r="L134" s="17" t="n">
        <f aca="false">IF(K134="","",RANK(K134,$K$5:$K$389))</f>
        <v>376</v>
      </c>
      <c r="M134" s="25" t="n">
        <v>0.075669951942657</v>
      </c>
      <c r="N134" s="19" t="n">
        <v>23</v>
      </c>
      <c r="O134" s="17" t="n">
        <f aca="false">IF(N134="","",RANK(N134,$N$5:$N$389))</f>
        <v>296</v>
      </c>
      <c r="P134" s="17" t="str">
        <f aca="false">IF(AND(N(H134)&gt;=N(K134),N(H134)&gt;=N(N134)),"The Pulse",IF(N(K134)&gt;=N(N134),"The Lens","The Hub"))</f>
        <v>The Pulse</v>
      </c>
      <c r="Q134" s="20" t="s">
        <v>74</v>
      </c>
      <c r="R134" s="27" t="s">
        <v>832</v>
      </c>
      <c r="S134" s="17" t="s">
        <v>24</v>
      </c>
    </row>
    <row r="135" customFormat="false" ht="15" hidden="false" customHeight="false" outlineLevel="0" collapsed="false">
      <c r="A135" s="17" t="s">
        <v>1796</v>
      </c>
      <c r="B135" s="17" t="s">
        <v>1797</v>
      </c>
      <c r="C135" s="17" t="s">
        <v>1798</v>
      </c>
      <c r="D135" s="17" t="s">
        <v>98</v>
      </c>
      <c r="E135" s="18" t="n">
        <v>248910</v>
      </c>
      <c r="F135" s="17" t="s">
        <v>827</v>
      </c>
      <c r="G135" s="23" t="n">
        <v>4.20176770720341</v>
      </c>
      <c r="H135" s="19" t="n">
        <v>66.6</v>
      </c>
      <c r="I135" s="17" t="n">
        <f aca="false">IF(H135="","",RANK(H135,$H$5:$H$389))</f>
        <v>131</v>
      </c>
      <c r="J135" s="24" t="n">
        <v>0.209298936015158</v>
      </c>
      <c r="K135" s="19" t="n">
        <v>98.1</v>
      </c>
      <c r="L135" s="17" t="n">
        <f aca="false">IF(K135="","",RANK(K135,$K$5:$K$389))</f>
        <v>8</v>
      </c>
      <c r="M135" s="25" t="n">
        <v>0.0664071102028592</v>
      </c>
      <c r="N135" s="19" t="n">
        <v>18.3</v>
      </c>
      <c r="O135" s="17" t="n">
        <f aca="false">IF(N135="","",RANK(N135,$N$5:$N$389))</f>
        <v>314</v>
      </c>
      <c r="P135" s="17" t="str">
        <f aca="false">IF(AND(N(H135)&gt;=N(K135),N(H135)&gt;=N(N135)),"The Pulse",IF(N(K135)&gt;=N(N135),"The Lens","The Hub"))</f>
        <v>The Lens</v>
      </c>
      <c r="Q135" s="20" t="s">
        <v>74</v>
      </c>
      <c r="R135" s="27" t="s">
        <v>832</v>
      </c>
      <c r="S135" s="17" t="s">
        <v>24</v>
      </c>
    </row>
    <row r="136" customFormat="false" ht="15" hidden="false" customHeight="false" outlineLevel="0" collapsed="false">
      <c r="A136" s="17" t="s">
        <v>265</v>
      </c>
      <c r="B136" s="17" t="s">
        <v>266</v>
      </c>
      <c r="C136" s="17" t="s">
        <v>1799</v>
      </c>
      <c r="D136" s="17" t="s">
        <v>115</v>
      </c>
      <c r="E136" s="18" t="n">
        <v>249480</v>
      </c>
      <c r="F136" s="17" t="s">
        <v>827</v>
      </c>
      <c r="G136" s="23" t="n">
        <v>4.18939319953774</v>
      </c>
      <c r="H136" s="19" t="n">
        <v>66.2</v>
      </c>
      <c r="I136" s="17" t="n">
        <f aca="false">IF(H136="","",RANK(H136,$H$5:$H$389))</f>
        <v>132</v>
      </c>
      <c r="J136" s="24" t="n">
        <v>-0.00239923224568138</v>
      </c>
      <c r="K136" s="19" t="n">
        <v>12.1</v>
      </c>
      <c r="L136" s="17" t="n">
        <f aca="false">IF(K136="","",RANK(K136,$K$5:$K$389))</f>
        <v>342</v>
      </c>
      <c r="M136" s="25" t="n">
        <v>0.294692872319876</v>
      </c>
      <c r="N136" s="19" t="n">
        <v>87.6</v>
      </c>
      <c r="O136" s="17" t="n">
        <f aca="false">IF(N136="","",RANK(N136,$N$5:$N$389))</f>
        <v>48</v>
      </c>
      <c r="P136" s="17" t="str">
        <f aca="false">IF(AND(N(H136)&gt;=N(K136),N(H136)&gt;=N(N136)),"The Pulse",IF(N(K136)&gt;=N(N136),"The Lens","The Hub"))</f>
        <v>The Hub</v>
      </c>
      <c r="Q136" s="22" t="s">
        <v>109</v>
      </c>
      <c r="R136" s="26" t="s">
        <v>822</v>
      </c>
      <c r="S136" s="17" t="s">
        <v>155</v>
      </c>
    </row>
    <row r="137" customFormat="false" ht="15" hidden="false" customHeight="false" outlineLevel="0" collapsed="false">
      <c r="A137" s="17" t="s">
        <v>1800</v>
      </c>
      <c r="B137" s="17" t="s">
        <v>1801</v>
      </c>
      <c r="C137" s="17" t="s">
        <v>1802</v>
      </c>
      <c r="D137" s="17" t="s">
        <v>82</v>
      </c>
      <c r="E137" s="18" t="n">
        <v>24880</v>
      </c>
      <c r="F137" s="17" t="s">
        <v>821</v>
      </c>
      <c r="G137" s="23" t="n">
        <v>4.14533762057878</v>
      </c>
      <c r="H137" s="19" t="n">
        <v>65.8</v>
      </c>
      <c r="I137" s="17" t="n">
        <f aca="false">IF(H137="","",RANK(H137,$H$5:$H$389))</f>
        <v>133</v>
      </c>
      <c r="J137" s="24" t="n">
        <v>0.101860053144376</v>
      </c>
      <c r="K137" s="19" t="n">
        <v>58.9</v>
      </c>
      <c r="L137" s="17" t="n">
        <f aca="false">IF(K137="","",RANK(K137,$K$5:$K$389))</f>
        <v>157</v>
      </c>
      <c r="M137" s="25" t="n">
        <v>0.0389570076051529</v>
      </c>
      <c r="N137" s="19" t="n">
        <v>7.9</v>
      </c>
      <c r="O137" s="17" t="n">
        <f aca="false">IF(N137="","",RANK(N137,$N$5:$N$389))</f>
        <v>355</v>
      </c>
      <c r="P137" s="17" t="str">
        <f aca="false">IF(AND(N(H137)&gt;=N(K137),N(H137)&gt;=N(N137)),"The Pulse",IF(N(K137)&gt;=N(N137),"The Lens","The Hub"))</f>
        <v>The Pulse</v>
      </c>
      <c r="Q137" s="20" t="s">
        <v>74</v>
      </c>
      <c r="R137" s="27" t="s">
        <v>832</v>
      </c>
      <c r="S137" s="17" t="s">
        <v>24</v>
      </c>
    </row>
    <row r="138" customFormat="false" ht="15" hidden="false" customHeight="false" outlineLevel="0" collapsed="false">
      <c r="A138" s="17" t="s">
        <v>363</v>
      </c>
      <c r="B138" s="17" t="s">
        <v>364</v>
      </c>
      <c r="C138" s="17" t="s">
        <v>1803</v>
      </c>
      <c r="D138" s="17" t="s">
        <v>95</v>
      </c>
      <c r="E138" s="18" t="n">
        <v>137760</v>
      </c>
      <c r="F138" s="17" t="s">
        <v>827</v>
      </c>
      <c r="G138" s="23" t="n">
        <v>4.14128919860627</v>
      </c>
      <c r="H138" s="19" t="n">
        <v>65.6</v>
      </c>
      <c r="I138" s="17" t="n">
        <f aca="false">IF(H138="","",RANK(H138,$H$5:$H$389))</f>
        <v>134</v>
      </c>
      <c r="J138" s="24" t="n">
        <v>0.211289897124769</v>
      </c>
      <c r="K138" s="19" t="n">
        <v>98.7</v>
      </c>
      <c r="L138" s="17" t="n">
        <f aca="false">IF(K138="","",RANK(K138,$K$5:$K$389))</f>
        <v>6</v>
      </c>
      <c r="M138" s="25" t="n">
        <v>0.381278183797232</v>
      </c>
      <c r="N138" s="19" t="n">
        <v>96.5</v>
      </c>
      <c r="O138" s="17" t="n">
        <f aca="false">IF(N138="","",RANK(N138,$N$5:$N$389))</f>
        <v>15</v>
      </c>
      <c r="P138" s="17" t="str">
        <f aca="false">IF(AND(N(H138)&gt;=N(K138),N(H138)&gt;=N(N138)),"The Pulse",IF(N(K138)&gt;=N(N138),"The Lens","The Hub"))</f>
        <v>The Lens</v>
      </c>
      <c r="Q138" s="20" t="s">
        <v>74</v>
      </c>
      <c r="R138" s="26" t="s">
        <v>822</v>
      </c>
      <c r="S138" s="17" t="s">
        <v>24</v>
      </c>
    </row>
    <row r="139" customFormat="false" ht="15" hidden="false" customHeight="false" outlineLevel="0" collapsed="false">
      <c r="A139" s="17" t="s">
        <v>1804</v>
      </c>
      <c r="B139" s="17" t="s">
        <v>1805</v>
      </c>
      <c r="C139" s="17" t="s">
        <v>1806</v>
      </c>
      <c r="D139" s="17" t="s">
        <v>77</v>
      </c>
      <c r="E139" s="18" t="n">
        <v>8460</v>
      </c>
      <c r="F139" s="17" t="s">
        <v>825</v>
      </c>
      <c r="G139" s="23" t="n">
        <v>4.12529550827423</v>
      </c>
      <c r="H139" s="19" t="n">
        <v>65.4</v>
      </c>
      <c r="I139" s="17" t="n">
        <f aca="false">IF(H139="","",RANK(H139,$H$5:$H$389))</f>
        <v>135</v>
      </c>
      <c r="J139" s="24" t="n">
        <v>0.134048257372654</v>
      </c>
      <c r="K139" s="19" t="n">
        <v>62.3</v>
      </c>
      <c r="L139" s="17" t="n">
        <f aca="false">IF(K139="","",RANK(K139,$K$5:$K$389))</f>
        <v>143</v>
      </c>
      <c r="M139" s="25" t="n">
        <v>0.131816398587681</v>
      </c>
      <c r="N139" s="19" t="n">
        <v>49.9</v>
      </c>
      <c r="O139" s="17" t="n">
        <f aca="false">IF(N139="","",RANK(N139,$N$5:$N$389))</f>
        <v>193</v>
      </c>
      <c r="P139" s="17" t="str">
        <f aca="false">IF(AND(N(H139)&gt;=N(K139),N(H139)&gt;=N(N139)),"The Pulse",IF(N(K139)&gt;=N(N139),"The Lens","The Hub"))</f>
        <v>The Pulse</v>
      </c>
      <c r="Q139" s="20" t="s">
        <v>74</v>
      </c>
      <c r="R139" s="27" t="s">
        <v>832</v>
      </c>
      <c r="S139" s="17" t="s">
        <v>24</v>
      </c>
    </row>
    <row r="140" customFormat="false" ht="15" hidden="false" customHeight="false" outlineLevel="0" collapsed="false">
      <c r="A140" s="17" t="s">
        <v>132</v>
      </c>
      <c r="B140" s="17" t="s">
        <v>133</v>
      </c>
      <c r="C140" s="17" t="s">
        <v>1807</v>
      </c>
      <c r="D140" s="17" t="s">
        <v>115</v>
      </c>
      <c r="E140" s="18" t="n">
        <v>96100</v>
      </c>
      <c r="F140" s="17" t="s">
        <v>821</v>
      </c>
      <c r="G140" s="23" t="n">
        <v>4.06107180020812</v>
      </c>
      <c r="H140" s="19" t="n">
        <v>65.2</v>
      </c>
      <c r="I140" s="17" t="n">
        <f aca="false">IF(H140="","",RANK(H140,$H$5:$H$389))</f>
        <v>136</v>
      </c>
      <c r="J140" s="24" t="n">
        <v>0.0534970401227801</v>
      </c>
      <c r="K140" s="19" t="n">
        <v>32.4</v>
      </c>
      <c r="L140" s="17" t="n">
        <f aca="false">IF(K140="","",RANK(K140,$K$5:$K$389))</f>
        <v>267</v>
      </c>
      <c r="M140" s="25" t="n">
        <v>0.0443530621236599</v>
      </c>
      <c r="N140" s="19" t="n">
        <v>10.2</v>
      </c>
      <c r="O140" s="17" t="n">
        <f aca="false">IF(N140="","",RANK(N140,$N$5:$N$389))</f>
        <v>346</v>
      </c>
      <c r="P140" s="17" t="str">
        <f aca="false">IF(AND(N(H140)&gt;=N(K140),N(H140)&gt;=N(N140)),"The Pulse",IF(N(K140)&gt;=N(N140),"The Lens","The Hub"))</f>
        <v>The Pulse</v>
      </c>
      <c r="Q140" s="20" t="s">
        <v>74</v>
      </c>
      <c r="R140" s="26" t="s">
        <v>822</v>
      </c>
      <c r="S140" s="17" t="s">
        <v>24</v>
      </c>
    </row>
    <row r="141" customFormat="false" ht="15" hidden="false" customHeight="false" outlineLevel="0" collapsed="false">
      <c r="A141" s="17" t="s">
        <v>287</v>
      </c>
      <c r="B141" s="17" t="s">
        <v>288</v>
      </c>
      <c r="C141" s="17" t="s">
        <v>1808</v>
      </c>
      <c r="D141" s="17" t="s">
        <v>95</v>
      </c>
      <c r="E141" s="18" t="n">
        <v>4770</v>
      </c>
      <c r="F141" s="17" t="s">
        <v>825</v>
      </c>
      <c r="G141" s="23" t="n">
        <v>4.04758909853249</v>
      </c>
      <c r="H141" s="19" t="n">
        <v>65</v>
      </c>
      <c r="I141" s="17" t="n">
        <f aca="false">IF(H141="","",RANK(H141,$H$5:$H$389))</f>
        <v>137</v>
      </c>
      <c r="J141" s="24" t="n">
        <v>0.160583941605839</v>
      </c>
      <c r="K141" s="19" t="n">
        <v>71.7</v>
      </c>
      <c r="L141" s="17" t="n">
        <f aca="false">IF(K141="","",RANK(K141,$K$5:$K$389))</f>
        <v>102</v>
      </c>
      <c r="M141" s="25" t="n">
        <v>0.00556715379262352</v>
      </c>
      <c r="N141" s="19" t="n">
        <v>0.2</v>
      </c>
      <c r="O141" s="17" t="n">
        <f aca="false">IF(N141="","",RANK(N141,$N$5:$N$389))</f>
        <v>385</v>
      </c>
      <c r="P141" s="17" t="str">
        <f aca="false">IF(AND(N(H141)&gt;=N(K141),N(H141)&gt;=N(N141)),"The Pulse",IF(N(K141)&gt;=N(N141),"The Lens","The Hub"))</f>
        <v>The Lens</v>
      </c>
      <c r="Q141" s="20" t="s">
        <v>74</v>
      </c>
      <c r="R141" s="26" t="s">
        <v>822</v>
      </c>
      <c r="S141" s="17" t="s">
        <v>24</v>
      </c>
    </row>
    <row r="142" customFormat="false" ht="15" hidden="false" customHeight="false" outlineLevel="0" collapsed="false">
      <c r="A142" s="17" t="s">
        <v>1809</v>
      </c>
      <c r="B142" s="17" t="s">
        <v>1810</v>
      </c>
      <c r="C142" s="17" t="s">
        <v>1811</v>
      </c>
      <c r="D142" s="17" t="s">
        <v>98</v>
      </c>
      <c r="E142" s="18" t="n">
        <v>1180880</v>
      </c>
      <c r="F142" s="17" t="s">
        <v>935</v>
      </c>
      <c r="G142" s="23" t="n">
        <v>4.03133002506605</v>
      </c>
      <c r="H142" s="19" t="n">
        <v>64.6</v>
      </c>
      <c r="I142" s="17" t="n">
        <f aca="false">IF(H142="","",RANK(H142,$H$5:$H$389))</f>
        <v>138</v>
      </c>
      <c r="J142" s="24" t="n">
        <v>0.0624583880661472</v>
      </c>
      <c r="K142" s="19" t="n">
        <v>16.7</v>
      </c>
      <c r="L142" s="17" t="n">
        <f aca="false">IF(K142="","",RANK(K142,$K$5:$K$389))</f>
        <v>321</v>
      </c>
      <c r="M142" s="25" t="n">
        <v>0.0503176600809692</v>
      </c>
      <c r="N142" s="19" t="n">
        <v>12.6</v>
      </c>
      <c r="O142" s="17" t="n">
        <f aca="false">IF(N142="","",RANK(N142,$N$5:$N$389))</f>
        <v>336</v>
      </c>
      <c r="P142" s="17" t="str">
        <f aca="false">IF(AND(N(H142)&gt;=N(K142),N(H142)&gt;=N(N142)),"The Pulse",IF(N(K142)&gt;=N(N142),"The Lens","The Hub"))</f>
        <v>The Pulse</v>
      </c>
      <c r="Q142" s="20" t="s">
        <v>74</v>
      </c>
      <c r="R142" s="27" t="s">
        <v>832</v>
      </c>
      <c r="S142" s="17" t="s">
        <v>24</v>
      </c>
    </row>
    <row r="143" customFormat="false" ht="15" hidden="false" customHeight="false" outlineLevel="0" collapsed="false">
      <c r="A143" s="17" t="s">
        <v>193</v>
      </c>
      <c r="B143" s="17" t="s">
        <v>194</v>
      </c>
      <c r="C143" s="17" t="s">
        <v>1812</v>
      </c>
      <c r="D143" s="17" t="s">
        <v>72</v>
      </c>
      <c r="E143" s="18" t="n">
        <v>42960</v>
      </c>
      <c r="F143" s="17" t="s">
        <v>821</v>
      </c>
      <c r="G143" s="23" t="n">
        <v>4.01454841713222</v>
      </c>
      <c r="H143" s="19" t="n">
        <v>64.4</v>
      </c>
      <c r="I143" s="17" t="n">
        <f aca="false">IF(H143="","",RANK(H143,$H$5:$H$389))</f>
        <v>139</v>
      </c>
      <c r="J143" s="24" t="n">
        <v>0.121085594989562</v>
      </c>
      <c r="K143" s="19" t="n">
        <v>68.7</v>
      </c>
      <c r="L143" s="17" t="n">
        <f aca="false">IF(K143="","",RANK(K143,$K$5:$K$389))</f>
        <v>114</v>
      </c>
      <c r="M143" s="25" t="n">
        <v>0.1970342093672</v>
      </c>
      <c r="N143" s="19" t="n">
        <v>68.7</v>
      </c>
      <c r="O143" s="17" t="n">
        <f aca="false">IF(N143="","",RANK(N143,$N$5:$N$389))</f>
        <v>124</v>
      </c>
      <c r="P143" s="17" t="str">
        <f aca="false">IF(AND(N(H143)&gt;=N(K143),N(H143)&gt;=N(N143)),"The Pulse",IF(N(K143)&gt;=N(N143),"The Lens","The Hub"))</f>
        <v>The Lens</v>
      </c>
      <c r="Q143" s="20" t="s">
        <v>74</v>
      </c>
      <c r="R143" s="26" t="s">
        <v>822</v>
      </c>
      <c r="S143" s="17" t="s">
        <v>24</v>
      </c>
    </row>
    <row r="144" customFormat="false" ht="15" hidden="false" customHeight="false" outlineLevel="0" collapsed="false">
      <c r="A144" s="17" t="s">
        <v>1813</v>
      </c>
      <c r="B144" s="17" t="s">
        <v>1814</v>
      </c>
      <c r="C144" s="17" t="s">
        <v>1815</v>
      </c>
      <c r="D144" s="17" t="s">
        <v>72</v>
      </c>
      <c r="E144" s="18" t="n">
        <v>40920</v>
      </c>
      <c r="F144" s="17" t="s">
        <v>821</v>
      </c>
      <c r="G144" s="23" t="n">
        <v>4.00405669599218</v>
      </c>
      <c r="H144" s="19" t="n">
        <v>64.2</v>
      </c>
      <c r="I144" s="17" t="n">
        <f aca="false">IF(H144="","",RANK(H144,$H$5:$H$389))</f>
        <v>140</v>
      </c>
      <c r="J144" s="24" t="n">
        <v>0.147504206393718</v>
      </c>
      <c r="K144" s="19" t="n">
        <v>80.4</v>
      </c>
      <c r="L144" s="17" t="n">
        <f aca="false">IF(K144="","",RANK(K144,$K$5:$K$389))</f>
        <v>73</v>
      </c>
      <c r="M144" s="25" t="n">
        <v>0.117997501681561</v>
      </c>
      <c r="N144" s="19" t="n">
        <v>44.4</v>
      </c>
      <c r="O144" s="17" t="n">
        <f aca="false">IF(N144="","",RANK(N144,$N$5:$N$389))</f>
        <v>216</v>
      </c>
      <c r="P144" s="17" t="str">
        <f aca="false">IF(AND(N(H144)&gt;=N(K144),N(H144)&gt;=N(N144)),"The Pulse",IF(N(K144)&gt;=N(N144),"The Lens","The Hub"))</f>
        <v>The Lens</v>
      </c>
      <c r="Q144" s="20" t="s">
        <v>74</v>
      </c>
      <c r="R144" s="27" t="s">
        <v>832</v>
      </c>
      <c r="S144" s="17" t="s">
        <v>24</v>
      </c>
    </row>
    <row r="145" customFormat="false" ht="15" hidden="false" customHeight="false" outlineLevel="0" collapsed="false">
      <c r="A145" s="17" t="s">
        <v>569</v>
      </c>
      <c r="B145" s="17" t="s">
        <v>570</v>
      </c>
      <c r="C145" s="17" t="s">
        <v>1816</v>
      </c>
      <c r="D145" s="17" t="s">
        <v>86</v>
      </c>
      <c r="E145" s="18" t="n">
        <v>7340</v>
      </c>
      <c r="F145" s="17" t="s">
        <v>825</v>
      </c>
      <c r="G145" s="23" t="n">
        <v>3.99223433242507</v>
      </c>
      <c r="H145" s="19" t="n">
        <v>63.9</v>
      </c>
      <c r="I145" s="17" t="n">
        <f aca="false">IF(H145="","",RANK(H145,$H$5:$H$389))</f>
        <v>141</v>
      </c>
      <c r="J145" s="24" t="n">
        <v>0.103759398496241</v>
      </c>
      <c r="K145" s="19" t="n">
        <v>47.2</v>
      </c>
      <c r="L145" s="17" t="n">
        <f aca="false">IF(K145="","",RANK(K145,$K$5:$K$389))</f>
        <v>208</v>
      </c>
      <c r="M145" s="25" t="n">
        <v>0.120468692786525</v>
      </c>
      <c r="N145" s="19" t="n">
        <v>45</v>
      </c>
      <c r="O145" s="17" t="n">
        <f aca="false">IF(N145="","",RANK(N145,$N$5:$N$389))</f>
        <v>213</v>
      </c>
      <c r="P145" s="17" t="str">
        <f aca="false">IF(AND(N(H145)&gt;=N(K145),N(H145)&gt;=N(N145)),"The Pulse",IF(N(K145)&gt;=N(N145),"The Lens","The Hub"))</f>
        <v>The Pulse</v>
      </c>
      <c r="Q145" s="20" t="s">
        <v>74</v>
      </c>
      <c r="R145" s="26" t="s">
        <v>822</v>
      </c>
      <c r="S145" s="17" t="s">
        <v>24</v>
      </c>
    </row>
    <row r="146" customFormat="false" ht="15" hidden="false" customHeight="false" outlineLevel="0" collapsed="false">
      <c r="A146" s="17" t="s">
        <v>1511</v>
      </c>
      <c r="B146" s="17" t="s">
        <v>1512</v>
      </c>
      <c r="C146" s="17" t="s">
        <v>1817</v>
      </c>
      <c r="D146" s="17" t="s">
        <v>82</v>
      </c>
      <c r="E146" s="18" t="n">
        <v>1608</v>
      </c>
      <c r="F146" s="17" t="s">
        <v>825</v>
      </c>
      <c r="G146" s="23" t="n">
        <v>3.97885572139304</v>
      </c>
      <c r="H146" s="19" t="n">
        <v>63.5</v>
      </c>
      <c r="I146" s="17" t="n">
        <f aca="false">IF(H146="","",RANK(H146,$H$5:$H$389))</f>
        <v>142</v>
      </c>
      <c r="J146" s="24" t="n">
        <v>0.0489236790606654</v>
      </c>
      <c r="K146" s="19" t="n">
        <v>11.3</v>
      </c>
      <c r="L146" s="17" t="n">
        <f aca="false">IF(K146="","",RANK(K146,$K$5:$K$389))</f>
        <v>346</v>
      </c>
      <c r="M146" s="25" t="n">
        <v>0.1931330472103</v>
      </c>
      <c r="N146" s="19" t="n">
        <v>67.8</v>
      </c>
      <c r="O146" s="17" t="n">
        <f aca="false">IF(N146="","",RANK(N146,$N$5:$N$389))</f>
        <v>128</v>
      </c>
      <c r="P146" s="17" t="str">
        <f aca="false">IF(AND(N(H146)&gt;=N(K146),N(H146)&gt;=N(N146)),"The Pulse",IF(N(K146)&gt;=N(N146),"The Lens","The Hub"))</f>
        <v>The Hub</v>
      </c>
      <c r="Q146" s="22" t="s">
        <v>109</v>
      </c>
      <c r="R146" s="27" t="s">
        <v>832</v>
      </c>
      <c r="S146" s="17" t="s">
        <v>155</v>
      </c>
    </row>
    <row r="147" customFormat="false" ht="15" hidden="false" customHeight="false" outlineLevel="0" collapsed="false">
      <c r="A147" s="17" t="s">
        <v>1818</v>
      </c>
      <c r="B147" s="17" t="s">
        <v>1819</v>
      </c>
      <c r="C147" s="17" t="s">
        <v>1820</v>
      </c>
      <c r="D147" s="17" t="s">
        <v>91</v>
      </c>
      <c r="E147" s="18" t="n">
        <v>14670</v>
      </c>
      <c r="F147" s="17" t="s">
        <v>821</v>
      </c>
      <c r="G147" s="23" t="n">
        <v>3.97000681663258</v>
      </c>
      <c r="H147" s="19" t="n">
        <v>63.3</v>
      </c>
      <c r="I147" s="17" t="n">
        <f aca="false">IF(H147="","",RANK(H147,$H$5:$H$389))</f>
        <v>143</v>
      </c>
      <c r="J147" s="24" t="n">
        <v>0.140746500777605</v>
      </c>
      <c r="K147" s="19" t="n">
        <v>76.7</v>
      </c>
      <c r="L147" s="17" t="n">
        <f aca="false">IF(K147="","",RANK(K147,$K$5:$K$389))</f>
        <v>87</v>
      </c>
      <c r="M147" s="25" t="n">
        <v>0.278054385292991</v>
      </c>
      <c r="N147" s="19" t="n">
        <v>85.9</v>
      </c>
      <c r="O147" s="17" t="n">
        <f aca="false">IF(N147="","",RANK(N147,$N$5:$N$389))</f>
        <v>53</v>
      </c>
      <c r="P147" s="17" t="str">
        <f aca="false">IF(AND(N(H147)&gt;=N(K147),N(H147)&gt;=N(N147)),"The Pulse",IF(N(K147)&gt;=N(N147),"The Lens","The Hub"))</f>
        <v>The Hub</v>
      </c>
      <c r="Q147" s="20" t="s">
        <v>74</v>
      </c>
      <c r="R147" s="27" t="s">
        <v>832</v>
      </c>
      <c r="S147" s="17" t="s">
        <v>24</v>
      </c>
    </row>
    <row r="148" customFormat="false" ht="15" hidden="false" customHeight="false" outlineLevel="0" collapsed="false">
      <c r="A148" s="17" t="s">
        <v>1821</v>
      </c>
      <c r="B148" s="17" t="s">
        <v>1822</v>
      </c>
      <c r="C148" s="17" t="s">
        <v>1823</v>
      </c>
      <c r="D148" s="17" t="s">
        <v>82</v>
      </c>
      <c r="E148" s="18" t="n">
        <v>38110</v>
      </c>
      <c r="F148" s="17" t="s">
        <v>821</v>
      </c>
      <c r="G148" s="23" t="n">
        <v>3.94668066124377</v>
      </c>
      <c r="H148" s="19" t="n">
        <v>62.7</v>
      </c>
      <c r="I148" s="17" t="n">
        <f aca="false">IF(H148="","",RANK(H148,$H$5:$H$389))</f>
        <v>144</v>
      </c>
      <c r="J148" s="24" t="n">
        <v>0.0829781187837454</v>
      </c>
      <c r="K148" s="19" t="n">
        <v>48.7</v>
      </c>
      <c r="L148" s="17" t="n">
        <f aca="false">IF(K148="","",RANK(K148,$K$5:$K$389))</f>
        <v>203</v>
      </c>
      <c r="M148" s="25" t="n">
        <v>0.0225547835382149</v>
      </c>
      <c r="N148" s="19" t="n">
        <v>4.9</v>
      </c>
      <c r="O148" s="17" t="n">
        <f aca="false">IF(N148="","",RANK(N148,$N$5:$N$389))</f>
        <v>367</v>
      </c>
      <c r="P148" s="17" t="str">
        <f aca="false">IF(AND(N(H148)&gt;=N(K148),N(H148)&gt;=N(N148)),"The Pulse",IF(N(K148)&gt;=N(N148),"The Lens","The Hub"))</f>
        <v>The Pulse</v>
      </c>
      <c r="Q148" s="20" t="s">
        <v>74</v>
      </c>
      <c r="R148" s="27" t="s">
        <v>832</v>
      </c>
      <c r="S148" s="17" t="s">
        <v>24</v>
      </c>
    </row>
    <row r="149" customFormat="false" ht="15" hidden="false" customHeight="false" outlineLevel="0" collapsed="false">
      <c r="A149" s="17" t="s">
        <v>343</v>
      </c>
      <c r="B149" s="17" t="s">
        <v>344</v>
      </c>
      <c r="C149" s="17" t="s">
        <v>1824</v>
      </c>
      <c r="D149" s="17" t="s">
        <v>72</v>
      </c>
      <c r="E149" s="18" t="n">
        <v>109790</v>
      </c>
      <c r="F149" s="17" t="s">
        <v>827</v>
      </c>
      <c r="G149" s="23" t="n">
        <v>3.9236906822115</v>
      </c>
      <c r="H149" s="19" t="n">
        <v>62.3</v>
      </c>
      <c r="I149" s="17" t="n">
        <f aca="false">IF(H149="","",RANK(H149,$H$5:$H$389))</f>
        <v>145</v>
      </c>
      <c r="J149" s="24" t="n">
        <v>0.110335760517799</v>
      </c>
      <c r="K149" s="19" t="n">
        <v>67.5</v>
      </c>
      <c r="L149" s="17" t="n">
        <f aca="false">IF(K149="","",RANK(K149,$K$5:$K$389))</f>
        <v>120</v>
      </c>
      <c r="M149" s="25" t="n">
        <v>0.0572041737586028</v>
      </c>
      <c r="N149" s="19" t="n">
        <v>14.6</v>
      </c>
      <c r="O149" s="17" t="n">
        <f aca="false">IF(N149="","",RANK(N149,$N$5:$N$389))</f>
        <v>328</v>
      </c>
      <c r="P149" s="17" t="str">
        <f aca="false">IF(AND(N(H149)&gt;=N(K149),N(H149)&gt;=N(N149)),"The Pulse",IF(N(K149)&gt;=N(N149),"The Lens","The Hub"))</f>
        <v>The Lens</v>
      </c>
      <c r="Q149" s="20" t="s">
        <v>74</v>
      </c>
      <c r="R149" s="26" t="s">
        <v>822</v>
      </c>
      <c r="S149" s="17" t="s">
        <v>24</v>
      </c>
    </row>
    <row r="150" customFormat="false" ht="15" hidden="false" customHeight="false" outlineLevel="0" collapsed="false">
      <c r="A150" s="17" t="s">
        <v>1246</v>
      </c>
      <c r="B150" s="17" t="s">
        <v>1247</v>
      </c>
      <c r="C150" s="17" t="s">
        <v>1825</v>
      </c>
      <c r="D150" s="17" t="s">
        <v>72</v>
      </c>
      <c r="E150" s="18" t="n">
        <v>41160</v>
      </c>
      <c r="F150" s="17" t="s">
        <v>821</v>
      </c>
      <c r="G150" s="23" t="n">
        <v>3.9033527696793</v>
      </c>
      <c r="H150" s="19" t="n">
        <v>62.1</v>
      </c>
      <c r="I150" s="17" t="n">
        <f aca="false">IF(H150="","",RANK(H150,$H$5:$H$389))</f>
        <v>146</v>
      </c>
      <c r="J150" s="24" t="n">
        <v>0.0917771883289125</v>
      </c>
      <c r="K150" s="19" t="n">
        <v>53.8</v>
      </c>
      <c r="L150" s="17" t="n">
        <f aca="false">IF(K150="","",RANK(K150,$K$5:$K$389))</f>
        <v>180</v>
      </c>
      <c r="M150" s="25" t="n">
        <v>0.0897198568431445</v>
      </c>
      <c r="N150" s="19" t="n">
        <v>32.7</v>
      </c>
      <c r="O150" s="17" t="n">
        <f aca="false">IF(N150="","",RANK(N150,$N$5:$N$389))</f>
        <v>262</v>
      </c>
      <c r="P150" s="17" t="str">
        <f aca="false">IF(AND(N(H150)&gt;=N(K150),N(H150)&gt;=N(N150)),"The Pulse",IF(N(K150)&gt;=N(N150),"The Lens","The Hub"))</f>
        <v>The Pulse</v>
      </c>
      <c r="Q150" s="20" t="s">
        <v>74</v>
      </c>
      <c r="R150" s="27" t="s">
        <v>832</v>
      </c>
      <c r="S150" s="17" t="s">
        <v>24</v>
      </c>
    </row>
    <row r="151" customFormat="false" ht="15" hidden="false" customHeight="false" outlineLevel="0" collapsed="false">
      <c r="A151" s="17" t="s">
        <v>245</v>
      </c>
      <c r="B151" s="17" t="s">
        <v>246</v>
      </c>
      <c r="C151" s="17" t="s">
        <v>1826</v>
      </c>
      <c r="D151" s="17" t="s">
        <v>91</v>
      </c>
      <c r="E151" s="18" t="n">
        <v>4750</v>
      </c>
      <c r="F151" s="17" t="s">
        <v>825</v>
      </c>
      <c r="G151" s="23" t="n">
        <v>3.89852631578947</v>
      </c>
      <c r="H151" s="19" t="n">
        <v>61.9</v>
      </c>
      <c r="I151" s="17" t="n">
        <f aca="false">IF(H151="","",RANK(H151,$H$5:$H$389))</f>
        <v>147</v>
      </c>
      <c r="J151" s="24" t="n">
        <v>0.158536585365854</v>
      </c>
      <c r="K151" s="19" t="n">
        <v>69.8</v>
      </c>
      <c r="L151" s="17" t="n">
        <f aca="false">IF(K151="","",RANK(K151,$K$5:$K$389))</f>
        <v>110</v>
      </c>
      <c r="M151" s="25" t="n">
        <v>0.220518867924528</v>
      </c>
      <c r="N151" s="19" t="n">
        <v>74.2</v>
      </c>
      <c r="O151" s="17" t="n">
        <f aca="false">IF(N151="","",RANK(N151,$N$5:$N$389))</f>
        <v>100</v>
      </c>
      <c r="P151" s="17" t="str">
        <f aca="false">IF(AND(N(H151)&gt;=N(K151),N(H151)&gt;=N(N151)),"The Pulse",IF(N(K151)&gt;=N(N151),"The Lens","The Hub"))</f>
        <v>The Hub</v>
      </c>
      <c r="Q151" s="20" t="s">
        <v>74</v>
      </c>
      <c r="R151" s="26" t="s">
        <v>822</v>
      </c>
      <c r="S151" s="17" t="s">
        <v>24</v>
      </c>
    </row>
    <row r="152" customFormat="false" ht="15" hidden="false" customHeight="false" outlineLevel="0" collapsed="false">
      <c r="A152" s="17" t="s">
        <v>169</v>
      </c>
      <c r="B152" s="17" t="s">
        <v>170</v>
      </c>
      <c r="C152" s="17" t="s">
        <v>1827</v>
      </c>
      <c r="D152" s="17" t="s">
        <v>82</v>
      </c>
      <c r="E152" s="18" t="n">
        <v>95980</v>
      </c>
      <c r="F152" s="17" t="s">
        <v>821</v>
      </c>
      <c r="G152" s="23" t="n">
        <v>3.8097937070223</v>
      </c>
      <c r="H152" s="19" t="n">
        <v>60.7</v>
      </c>
      <c r="I152" s="17" t="n">
        <f aca="false">IF(H152="","",RANK(H152,$H$5:$H$389))</f>
        <v>148</v>
      </c>
      <c r="J152" s="24" t="n">
        <v>0.154021882890465</v>
      </c>
      <c r="K152" s="19" t="n">
        <v>81.8</v>
      </c>
      <c r="L152" s="17" t="n">
        <f aca="false">IF(K152="","",RANK(K152,$K$5:$K$389))</f>
        <v>67</v>
      </c>
      <c r="M152" s="25" t="n">
        <v>0.12406234210424</v>
      </c>
      <c r="N152" s="19" t="n">
        <v>46.6</v>
      </c>
      <c r="O152" s="17" t="n">
        <f aca="false">IF(N152="","",RANK(N152,$N$5:$N$389))</f>
        <v>207</v>
      </c>
      <c r="P152" s="17" t="str">
        <f aca="false">IF(AND(N(H152)&gt;=N(K152),N(H152)&gt;=N(N152)),"The Pulse",IF(N(K152)&gt;=N(N152),"The Lens","The Hub"))</f>
        <v>The Lens</v>
      </c>
      <c r="Q152" s="20" t="s">
        <v>74</v>
      </c>
      <c r="R152" s="26" t="s">
        <v>822</v>
      </c>
      <c r="S152" s="17" t="s">
        <v>24</v>
      </c>
    </row>
    <row r="153" customFormat="false" ht="15" hidden="false" customHeight="false" outlineLevel="0" collapsed="false">
      <c r="A153" s="17" t="s">
        <v>158</v>
      </c>
      <c r="B153" s="17" t="s">
        <v>159</v>
      </c>
      <c r="C153" s="17" t="s">
        <v>1828</v>
      </c>
      <c r="D153" s="17" t="s">
        <v>86</v>
      </c>
      <c r="E153" s="18" t="n">
        <v>60110</v>
      </c>
      <c r="F153" s="17" t="s">
        <v>821</v>
      </c>
      <c r="G153" s="23" t="n">
        <v>3.80823490267842</v>
      </c>
      <c r="H153" s="19" t="n">
        <v>60.5</v>
      </c>
      <c r="I153" s="17" t="n">
        <f aca="false">IF(H153="","",RANK(H153,$H$5:$H$389))</f>
        <v>149</v>
      </c>
      <c r="J153" s="24" t="n">
        <v>0.0858020231213873</v>
      </c>
      <c r="K153" s="19" t="n">
        <v>52</v>
      </c>
      <c r="L153" s="17" t="n">
        <f aca="false">IF(K153="","",RANK(K153,$K$5:$K$389))</f>
        <v>188</v>
      </c>
      <c r="M153" s="25" t="n">
        <v>0.380927701477067</v>
      </c>
      <c r="N153" s="19" t="n">
        <v>96.2</v>
      </c>
      <c r="O153" s="17" t="n">
        <f aca="false">IF(N153="","",RANK(N153,$N$5:$N$389))</f>
        <v>16</v>
      </c>
      <c r="P153" s="17" t="str">
        <f aca="false">IF(AND(N(H153)&gt;=N(K153),N(H153)&gt;=N(N153)),"The Pulse",IF(N(K153)&gt;=N(N153),"The Lens","The Hub"))</f>
        <v>The Hub</v>
      </c>
      <c r="Q153" s="20" t="s">
        <v>74</v>
      </c>
      <c r="R153" s="26" t="s">
        <v>822</v>
      </c>
      <c r="S153" s="17" t="s">
        <v>24</v>
      </c>
    </row>
    <row r="154" customFormat="false" ht="15" hidden="false" customHeight="false" outlineLevel="0" collapsed="false">
      <c r="A154" s="17" t="s">
        <v>331</v>
      </c>
      <c r="B154" s="17" t="s">
        <v>332</v>
      </c>
      <c r="C154" s="17" t="s">
        <v>1829</v>
      </c>
      <c r="D154" s="17" t="s">
        <v>91</v>
      </c>
      <c r="E154" s="18" t="n">
        <v>76610</v>
      </c>
      <c r="F154" s="17" t="s">
        <v>821</v>
      </c>
      <c r="G154" s="23" t="n">
        <v>3.79056258974024</v>
      </c>
      <c r="H154" s="19" t="n">
        <v>60.3</v>
      </c>
      <c r="I154" s="17" t="n">
        <f aca="false">IF(H154="","",RANK(H154,$H$5:$H$389))</f>
        <v>150</v>
      </c>
      <c r="J154" s="24" t="n">
        <v>0.0963079564968517</v>
      </c>
      <c r="K154" s="19" t="n">
        <v>55.3</v>
      </c>
      <c r="L154" s="17" t="n">
        <f aca="false">IF(K154="","",RANK(K154,$K$5:$K$389))</f>
        <v>174</v>
      </c>
      <c r="M154" s="25" t="n">
        <v>0.0869886164963674</v>
      </c>
      <c r="N154" s="19" t="n">
        <v>30.5</v>
      </c>
      <c r="O154" s="17" t="n">
        <f aca="false">IF(N154="","",RANK(N154,$N$5:$N$389))</f>
        <v>272</v>
      </c>
      <c r="P154" s="17" t="str">
        <f aca="false">IF(AND(N(H154)&gt;=N(K154),N(H154)&gt;=N(N154)),"The Pulse",IF(N(K154)&gt;=N(N154),"The Lens","The Hub"))</f>
        <v>The Pulse</v>
      </c>
      <c r="Q154" s="20" t="s">
        <v>74</v>
      </c>
      <c r="R154" s="26" t="s">
        <v>822</v>
      </c>
      <c r="S154" s="17" t="s">
        <v>24</v>
      </c>
    </row>
    <row r="155" customFormat="false" ht="15" hidden="false" customHeight="false" outlineLevel="0" collapsed="false">
      <c r="A155" s="17" t="s">
        <v>339</v>
      </c>
      <c r="B155" s="17" t="s">
        <v>340</v>
      </c>
      <c r="C155" s="17" t="s">
        <v>1830</v>
      </c>
      <c r="D155" s="17" t="s">
        <v>82</v>
      </c>
      <c r="E155" s="18" t="n">
        <v>12740</v>
      </c>
      <c r="F155" s="17" t="s">
        <v>821</v>
      </c>
      <c r="G155" s="23" t="n">
        <v>3.77299843014129</v>
      </c>
      <c r="H155" s="19" t="n">
        <v>59.9</v>
      </c>
      <c r="I155" s="17" t="n">
        <f aca="false">IF(H155="","",RANK(H155,$H$5:$H$389))</f>
        <v>151</v>
      </c>
      <c r="J155" s="24" t="n">
        <v>0.0787468247248095</v>
      </c>
      <c r="K155" s="19" t="n">
        <v>46.5</v>
      </c>
      <c r="L155" s="17" t="n">
        <f aca="false">IF(K155="","",RANK(K155,$K$5:$K$389))</f>
        <v>211</v>
      </c>
      <c r="M155" s="25" t="n">
        <v>0.02455871066769</v>
      </c>
      <c r="N155" s="19" t="n">
        <v>5.1</v>
      </c>
      <c r="O155" s="17" t="n">
        <f aca="false">IF(N155="","",RANK(N155,$N$5:$N$389))</f>
        <v>366</v>
      </c>
      <c r="P155" s="17" t="str">
        <f aca="false">IF(AND(N(H155)&gt;=N(K155),N(H155)&gt;=N(N155)),"The Pulse",IF(N(K155)&gt;=N(N155),"The Lens","The Hub"))</f>
        <v>The Pulse</v>
      </c>
      <c r="Q155" s="20" t="s">
        <v>74</v>
      </c>
      <c r="R155" s="26" t="s">
        <v>822</v>
      </c>
      <c r="S155" s="17" t="s">
        <v>24</v>
      </c>
    </row>
    <row r="156" customFormat="false" ht="15" hidden="false" customHeight="false" outlineLevel="0" collapsed="false">
      <c r="A156" s="17" t="s">
        <v>1831</v>
      </c>
      <c r="B156" s="17" t="s">
        <v>1832</v>
      </c>
      <c r="C156" s="17" t="s">
        <v>1833</v>
      </c>
      <c r="D156" s="17" t="s">
        <v>115</v>
      </c>
      <c r="E156" s="18" t="n">
        <v>260580</v>
      </c>
      <c r="F156" s="17" t="s">
        <v>827</v>
      </c>
      <c r="G156" s="23" t="n">
        <v>3.71474403254279</v>
      </c>
      <c r="H156" s="19" t="n">
        <v>59.5</v>
      </c>
      <c r="I156" s="17" t="n">
        <f aca="false">IF(H156="","",RANK(H156,$H$5:$H$389))</f>
        <v>152</v>
      </c>
      <c r="J156" s="24" t="n">
        <v>0.0532859315276807</v>
      </c>
      <c r="K156" s="19" t="n">
        <v>38.2</v>
      </c>
      <c r="L156" s="17" t="n">
        <f aca="false">IF(K156="","",RANK(K156,$K$5:$K$389))</f>
        <v>242</v>
      </c>
      <c r="M156" s="25" t="n">
        <v>0.468574335495358</v>
      </c>
      <c r="N156" s="19" t="n">
        <v>98.9</v>
      </c>
      <c r="O156" s="17" t="n">
        <f aca="false">IF(N156="","",RANK(N156,$N$5:$N$389))</f>
        <v>5</v>
      </c>
      <c r="P156" s="17" t="str">
        <f aca="false">IF(AND(N(H156)&gt;=N(K156),N(H156)&gt;=N(N156)),"The Pulse",IF(N(K156)&gt;=N(N156),"The Lens","The Hub"))</f>
        <v>The Hub</v>
      </c>
      <c r="Q156" s="21" t="s">
        <v>79</v>
      </c>
      <c r="R156" s="27" t="s">
        <v>832</v>
      </c>
      <c r="S156" s="17" t="s">
        <v>88</v>
      </c>
    </row>
    <row r="157" customFormat="false" ht="15" hidden="false" customHeight="false" outlineLevel="0" collapsed="false">
      <c r="A157" s="17" t="s">
        <v>449</v>
      </c>
      <c r="B157" s="17" t="s">
        <v>450</v>
      </c>
      <c r="C157" s="17" t="s">
        <v>1834</v>
      </c>
      <c r="D157" s="17" t="s">
        <v>98</v>
      </c>
      <c r="E157" s="18" t="n">
        <v>14830</v>
      </c>
      <c r="F157" s="17" t="s">
        <v>821</v>
      </c>
      <c r="G157" s="23" t="n">
        <v>3.6627781523938</v>
      </c>
      <c r="H157" s="19" t="n">
        <v>59.3</v>
      </c>
      <c r="I157" s="17" t="n">
        <f aca="false">IF(H157="","",RANK(H157,$H$5:$H$389))</f>
        <v>153</v>
      </c>
      <c r="J157" s="24" t="n">
        <v>0.181673306772908</v>
      </c>
      <c r="K157" s="19" t="n">
        <v>88.7</v>
      </c>
      <c r="L157" s="17" t="n">
        <f aca="false">IF(K157="","",RANK(K157,$K$5:$K$389))</f>
        <v>42</v>
      </c>
      <c r="M157" s="25" t="n">
        <v>0.0283496456294296</v>
      </c>
      <c r="N157" s="19" t="n">
        <v>6.2</v>
      </c>
      <c r="O157" s="17" t="n">
        <f aca="false">IF(N157="","",RANK(N157,$N$5:$N$389))</f>
        <v>361</v>
      </c>
      <c r="P157" s="17" t="str">
        <f aca="false">IF(AND(N(H157)&gt;=N(K157),N(H157)&gt;=N(N157)),"The Pulse",IF(N(K157)&gt;=N(N157),"The Lens","The Hub"))</f>
        <v>The Lens</v>
      </c>
      <c r="Q157" s="20" t="s">
        <v>74</v>
      </c>
      <c r="R157" s="26" t="s">
        <v>822</v>
      </c>
      <c r="S157" s="17" t="s">
        <v>24</v>
      </c>
    </row>
    <row r="158" customFormat="false" ht="15" hidden="false" customHeight="false" outlineLevel="0" collapsed="false">
      <c r="A158" s="17" t="s">
        <v>353</v>
      </c>
      <c r="B158" s="17" t="s">
        <v>354</v>
      </c>
      <c r="C158" s="17" t="s">
        <v>1835</v>
      </c>
      <c r="D158" s="17" t="s">
        <v>72</v>
      </c>
      <c r="E158" s="18" t="n">
        <v>16960</v>
      </c>
      <c r="F158" s="17" t="s">
        <v>821</v>
      </c>
      <c r="G158" s="23" t="n">
        <v>3.65341981132076</v>
      </c>
      <c r="H158" s="19" t="n">
        <v>59.1</v>
      </c>
      <c r="I158" s="17" t="n">
        <f aca="false">IF(H158="","",RANK(H158,$H$5:$H$389))</f>
        <v>154</v>
      </c>
      <c r="J158" s="24" t="n">
        <v>0.0272562083585706</v>
      </c>
      <c r="K158" s="19" t="n">
        <v>20.4</v>
      </c>
      <c r="L158" s="17" t="n">
        <f aca="false">IF(K158="","",RANK(K158,$K$5:$K$389))</f>
        <v>307</v>
      </c>
      <c r="M158" s="25" t="n">
        <v>0.069177744953225</v>
      </c>
      <c r="N158" s="19" t="n">
        <v>19.9</v>
      </c>
      <c r="O158" s="17" t="n">
        <f aca="false">IF(N158="","",RANK(N158,$N$5:$N$389))</f>
        <v>308</v>
      </c>
      <c r="P158" s="17" t="str">
        <f aca="false">IF(AND(N(H158)&gt;=N(K158),N(H158)&gt;=N(N158)),"The Pulse",IF(N(K158)&gt;=N(N158),"The Lens","The Hub"))</f>
        <v>The Pulse</v>
      </c>
      <c r="Q158" s="20" t="s">
        <v>74</v>
      </c>
      <c r="R158" s="26" t="s">
        <v>822</v>
      </c>
      <c r="S158" s="17" t="s">
        <v>24</v>
      </c>
    </row>
    <row r="159" customFormat="false" ht="15" hidden="false" customHeight="false" outlineLevel="0" collapsed="false">
      <c r="A159" s="17" t="s">
        <v>357</v>
      </c>
      <c r="B159" s="17" t="s">
        <v>358</v>
      </c>
      <c r="C159" s="17" t="s">
        <v>1836</v>
      </c>
      <c r="D159" s="17" t="s">
        <v>77</v>
      </c>
      <c r="E159" s="18" t="n">
        <v>11990</v>
      </c>
      <c r="F159" s="17" t="s">
        <v>821</v>
      </c>
      <c r="G159" s="23" t="n">
        <v>3.64778982485405</v>
      </c>
      <c r="H159" s="19" t="n">
        <v>58.9</v>
      </c>
      <c r="I159" s="17" t="n">
        <f aca="false">IF(H159="","",RANK(H159,$H$5:$H$389))</f>
        <v>155</v>
      </c>
      <c r="J159" s="24" t="n">
        <v>0.0426086956521739</v>
      </c>
      <c r="K159" s="19" t="n">
        <v>27.3</v>
      </c>
      <c r="L159" s="17" t="n">
        <f aca="false">IF(K159="","",RANK(K159,$K$5:$K$389))</f>
        <v>286</v>
      </c>
      <c r="M159" s="25" t="n">
        <v>0.212798530312309</v>
      </c>
      <c r="N159" s="19" t="n">
        <v>72.4</v>
      </c>
      <c r="O159" s="17" t="n">
        <f aca="false">IF(N159="","",RANK(N159,$N$5:$N$389))</f>
        <v>107</v>
      </c>
      <c r="P159" s="17" t="str">
        <f aca="false">IF(AND(N(H159)&gt;=N(K159),N(H159)&gt;=N(N159)),"The Pulse",IF(N(K159)&gt;=N(N159),"The Lens","The Hub"))</f>
        <v>The Hub</v>
      </c>
      <c r="Q159" s="20" t="s">
        <v>74</v>
      </c>
      <c r="R159" s="26" t="s">
        <v>822</v>
      </c>
      <c r="S159" s="17" t="s">
        <v>24</v>
      </c>
    </row>
    <row r="160" customFormat="false" ht="15" hidden="false" customHeight="false" outlineLevel="0" collapsed="false">
      <c r="A160" s="17" t="s">
        <v>1837</v>
      </c>
      <c r="B160" s="17" t="s">
        <v>1838</v>
      </c>
      <c r="C160" s="17" t="s">
        <v>1839</v>
      </c>
      <c r="D160" s="17" t="s">
        <v>123</v>
      </c>
      <c r="E160" s="18" t="n">
        <v>29040</v>
      </c>
      <c r="F160" s="17" t="s">
        <v>821</v>
      </c>
      <c r="G160" s="23" t="n">
        <v>3.62382920110193</v>
      </c>
      <c r="H160" s="19" t="n">
        <v>58.7</v>
      </c>
      <c r="I160" s="17" t="n">
        <f aca="false">IF(H160="","",RANK(H160,$H$5:$H$389))</f>
        <v>156</v>
      </c>
      <c r="J160" s="24" t="n">
        <v>0.0367725812209925</v>
      </c>
      <c r="K160" s="19" t="n">
        <v>24.7</v>
      </c>
      <c r="L160" s="17" t="n">
        <f aca="false">IF(K160="","",RANK(K160,$K$5:$K$389))</f>
        <v>293</v>
      </c>
      <c r="M160" s="25" t="n">
        <v>0.2050190454851</v>
      </c>
      <c r="N160" s="19" t="n">
        <v>70.4</v>
      </c>
      <c r="O160" s="17" t="n">
        <f aca="false">IF(N160="","",RANK(N160,$N$5:$N$389))</f>
        <v>116</v>
      </c>
      <c r="P160" s="17" t="str">
        <f aca="false">IF(AND(N(H160)&gt;=N(K160),N(H160)&gt;=N(N160)),"The Pulse",IF(N(K160)&gt;=N(N160),"The Lens","The Hub"))</f>
        <v>The Hub</v>
      </c>
      <c r="Q160" s="20" t="s">
        <v>74</v>
      </c>
      <c r="R160" s="27" t="s">
        <v>832</v>
      </c>
      <c r="S160" s="17" t="s">
        <v>24</v>
      </c>
    </row>
    <row r="161" customFormat="false" ht="15" hidden="false" customHeight="false" outlineLevel="0" collapsed="false">
      <c r="A161" s="17" t="s">
        <v>413</v>
      </c>
      <c r="B161" s="17" t="s">
        <v>414</v>
      </c>
      <c r="C161" s="17" t="s">
        <v>1840</v>
      </c>
      <c r="D161" s="17" t="s">
        <v>77</v>
      </c>
      <c r="E161" s="18" t="n">
        <v>539450</v>
      </c>
      <c r="F161" s="17" t="s">
        <v>827</v>
      </c>
      <c r="G161" s="23" t="n">
        <v>3.61848178700528</v>
      </c>
      <c r="H161" s="19" t="n">
        <v>58.5</v>
      </c>
      <c r="I161" s="17" t="n">
        <f aca="false">IF(H161="","",RANK(H161,$H$5:$H$389))</f>
        <v>157</v>
      </c>
      <c r="J161" s="24" t="n">
        <v>0.0767035248093888</v>
      </c>
      <c r="K161" s="19" t="n">
        <v>49.7</v>
      </c>
      <c r="L161" s="17" t="n">
        <f aca="false">IF(K161="","",RANK(K161,$K$5:$K$389))</f>
        <v>198</v>
      </c>
      <c r="M161" s="25" t="n">
        <v>0.104692925293246</v>
      </c>
      <c r="N161" s="19" t="n">
        <v>39.3</v>
      </c>
      <c r="O161" s="17" t="n">
        <f aca="false">IF(N161="","",RANK(N161,$N$5:$N$389))</f>
        <v>235</v>
      </c>
      <c r="P161" s="17" t="str">
        <f aca="false">IF(AND(N(H161)&gt;=N(K161),N(H161)&gt;=N(N161)),"The Pulse",IF(N(K161)&gt;=N(N161),"The Lens","The Hub"))</f>
        <v>The Pulse</v>
      </c>
      <c r="Q161" s="20" t="s">
        <v>74</v>
      </c>
      <c r="R161" s="26" t="s">
        <v>822</v>
      </c>
      <c r="S161" s="17" t="s">
        <v>24</v>
      </c>
    </row>
    <row r="162" customFormat="false" ht="15" hidden="false" customHeight="false" outlineLevel="0" collapsed="false">
      <c r="A162" s="17" t="s">
        <v>1841</v>
      </c>
      <c r="B162" s="17" t="s">
        <v>1842</v>
      </c>
      <c r="C162" s="17" t="s">
        <v>1843</v>
      </c>
      <c r="D162" s="17" t="s">
        <v>115</v>
      </c>
      <c r="E162" s="18" t="n">
        <v>223020</v>
      </c>
      <c r="F162" s="17" t="s">
        <v>827</v>
      </c>
      <c r="G162" s="23" t="n">
        <v>3.60458703255313</v>
      </c>
      <c r="H162" s="19" t="n">
        <v>58.3</v>
      </c>
      <c r="I162" s="17" t="n">
        <f aca="false">IF(H162="","",RANK(H162,$H$5:$H$389))</f>
        <v>158</v>
      </c>
      <c r="J162" s="24" t="n">
        <v>0.119297365119197</v>
      </c>
      <c r="K162" s="19" t="n">
        <v>71.3</v>
      </c>
      <c r="L162" s="17" t="n">
        <f aca="false">IF(K162="","",RANK(K162,$K$5:$K$389))</f>
        <v>104</v>
      </c>
      <c r="M162" s="25" t="n">
        <v>0.181630082763584</v>
      </c>
      <c r="N162" s="19" t="n">
        <v>64.5</v>
      </c>
      <c r="O162" s="17" t="n">
        <f aca="false">IF(N162="","",RANK(N162,$N$5:$N$389))</f>
        <v>141</v>
      </c>
      <c r="P162" s="17" t="str">
        <f aca="false">IF(AND(N(H162)&gt;=N(K162),N(H162)&gt;=N(N162)),"The Pulse",IF(N(K162)&gt;=N(N162),"The Lens","The Hub"))</f>
        <v>The Lens</v>
      </c>
      <c r="Q162" s="20" t="s">
        <v>74</v>
      </c>
      <c r="R162" s="27" t="s">
        <v>832</v>
      </c>
      <c r="S162" s="17" t="s">
        <v>24</v>
      </c>
    </row>
    <row r="163" customFormat="false" ht="15" hidden="false" customHeight="false" outlineLevel="0" collapsed="false">
      <c r="A163" s="17" t="s">
        <v>521</v>
      </c>
      <c r="B163" s="17" t="s">
        <v>522</v>
      </c>
      <c r="C163" s="17" t="s">
        <v>1844</v>
      </c>
      <c r="D163" s="17" t="s">
        <v>77</v>
      </c>
      <c r="E163" s="18" t="n">
        <v>144788</v>
      </c>
      <c r="F163" s="17" t="s">
        <v>827</v>
      </c>
      <c r="G163" s="23" t="n">
        <v>3.58869519573445</v>
      </c>
      <c r="H163" s="19" t="n">
        <v>58</v>
      </c>
      <c r="I163" s="17" t="n">
        <f aca="false">IF(H163="","",RANK(H163,$H$5:$H$389))</f>
        <v>159</v>
      </c>
      <c r="J163" s="24" t="n">
        <v>0.0551215530810937</v>
      </c>
      <c r="K163" s="19" t="n">
        <v>39.5</v>
      </c>
      <c r="L163" s="17" t="n">
        <f aca="false">IF(K163="","",RANK(K163,$K$5:$K$389))</f>
        <v>237</v>
      </c>
      <c r="M163" s="25" t="n">
        <v>0.0785616493516953</v>
      </c>
      <c r="N163" s="19" t="n">
        <v>24.7</v>
      </c>
      <c r="O163" s="17" t="n">
        <f aca="false">IF(N163="","",RANK(N163,$N$5:$N$389))</f>
        <v>291</v>
      </c>
      <c r="P163" s="17" t="str">
        <f aca="false">IF(AND(N(H163)&gt;=N(K163),N(H163)&gt;=N(N163)),"The Pulse",IF(N(K163)&gt;=N(N163),"The Lens","The Hub"))</f>
        <v>The Pulse</v>
      </c>
      <c r="Q163" s="21" t="s">
        <v>79</v>
      </c>
      <c r="R163" s="26" t="s">
        <v>822</v>
      </c>
      <c r="S163" s="17" t="s">
        <v>22</v>
      </c>
    </row>
    <row r="164" customFormat="false" ht="15" hidden="false" customHeight="false" outlineLevel="0" collapsed="false">
      <c r="A164" s="17" t="s">
        <v>1845</v>
      </c>
      <c r="B164" s="17" t="s">
        <v>1846</v>
      </c>
      <c r="C164" s="17" t="s">
        <v>1847</v>
      </c>
      <c r="D164" s="17" t="s">
        <v>95</v>
      </c>
      <c r="E164" s="18" t="n">
        <v>30405</v>
      </c>
      <c r="F164" s="17" t="s">
        <v>821</v>
      </c>
      <c r="G164" s="23" t="n">
        <v>3.58687715836211</v>
      </c>
      <c r="H164" s="19" t="n">
        <v>57.8</v>
      </c>
      <c r="I164" s="17" t="n">
        <f aca="false">IF(H164="","",RANK(H164,$H$5:$H$389))</f>
        <v>160</v>
      </c>
      <c r="J164" s="24" t="n">
        <v>0.0564261144505055</v>
      </c>
      <c r="K164" s="19" t="n">
        <v>33.8</v>
      </c>
      <c r="L164" s="17" t="n">
        <f aca="false">IF(K164="","",RANK(K164,$K$5:$K$389))</f>
        <v>261</v>
      </c>
      <c r="M164" s="25" t="n">
        <v>0.435900575486715</v>
      </c>
      <c r="N164" s="19" t="n">
        <v>98.2</v>
      </c>
      <c r="O164" s="17" t="n">
        <f aca="false">IF(N164="","",RANK(N164,$N$5:$N$389))</f>
        <v>8</v>
      </c>
      <c r="P164" s="17" t="str">
        <f aca="false">IF(AND(N(H164)&gt;=N(K164),N(H164)&gt;=N(N164)),"The Pulse",IF(N(K164)&gt;=N(N164),"The Lens","The Hub"))</f>
        <v>The Hub</v>
      </c>
      <c r="Q164" s="21" t="s">
        <v>79</v>
      </c>
      <c r="R164" s="27" t="s">
        <v>832</v>
      </c>
      <c r="S164" s="17" t="s">
        <v>22</v>
      </c>
    </row>
    <row r="165" customFormat="false" ht="15" hidden="false" customHeight="false" outlineLevel="0" collapsed="false">
      <c r="A165" s="17" t="s">
        <v>1848</v>
      </c>
      <c r="B165" s="17" t="s">
        <v>1849</v>
      </c>
      <c r="C165" s="17" t="s">
        <v>1850</v>
      </c>
      <c r="D165" s="17" t="s">
        <v>123</v>
      </c>
      <c r="E165" s="18" t="n">
        <v>20030</v>
      </c>
      <c r="F165" s="17" t="s">
        <v>821</v>
      </c>
      <c r="G165" s="23" t="n">
        <v>3.56979530703944</v>
      </c>
      <c r="H165" s="19" t="n">
        <v>57.6</v>
      </c>
      <c r="I165" s="17" t="n">
        <f aca="false">IF(H165="","",RANK(H165,$H$5:$H$389))</f>
        <v>161</v>
      </c>
      <c r="J165" s="24" t="n">
        <v>0.184506209343584</v>
      </c>
      <c r="K165" s="19" t="n">
        <v>89.8</v>
      </c>
      <c r="L165" s="17" t="n">
        <f aca="false">IF(K165="","",RANK(K165,$K$5:$K$389))</f>
        <v>38</v>
      </c>
      <c r="M165" s="25" t="n">
        <v>0.0930546190155091</v>
      </c>
      <c r="N165" s="19" t="n">
        <v>34.2</v>
      </c>
      <c r="O165" s="17" t="n">
        <f aca="false">IF(N165="","",RANK(N165,$N$5:$N$389))</f>
        <v>256</v>
      </c>
      <c r="P165" s="17" t="str">
        <f aca="false">IF(AND(N(H165)&gt;=N(K165),N(H165)&gt;=N(N165)),"The Pulse",IF(N(K165)&gt;=N(N165),"The Lens","The Hub"))</f>
        <v>The Lens</v>
      </c>
      <c r="Q165" s="20" t="s">
        <v>74</v>
      </c>
      <c r="R165" s="27" t="s">
        <v>832</v>
      </c>
      <c r="S165" s="17" t="s">
        <v>24</v>
      </c>
    </row>
    <row r="166" customFormat="false" ht="15" hidden="false" customHeight="false" outlineLevel="0" collapsed="false">
      <c r="A166" s="17" t="s">
        <v>1851</v>
      </c>
      <c r="B166" s="17" t="s">
        <v>1852</v>
      </c>
      <c r="C166" s="17" t="s">
        <v>1853</v>
      </c>
      <c r="D166" s="17" t="s">
        <v>91</v>
      </c>
      <c r="E166" s="18" t="n">
        <v>32330</v>
      </c>
      <c r="F166" s="17" t="s">
        <v>821</v>
      </c>
      <c r="G166" s="23" t="n">
        <v>3.54624188060625</v>
      </c>
      <c r="H166" s="19" t="n">
        <v>57.2</v>
      </c>
      <c r="I166" s="17" t="n">
        <f aca="false">IF(H166="","",RANK(H166,$H$5:$H$389))</f>
        <v>162</v>
      </c>
      <c r="J166" s="24" t="n">
        <v>0.130814970269325</v>
      </c>
      <c r="K166" s="19" t="n">
        <v>72.7</v>
      </c>
      <c r="L166" s="17" t="n">
        <f aca="false">IF(K166="","",RANK(K166,$K$5:$K$389))</f>
        <v>99</v>
      </c>
      <c r="M166" s="25" t="n">
        <v>0.305781097759013</v>
      </c>
      <c r="N166" s="19" t="n">
        <v>89.6</v>
      </c>
      <c r="O166" s="17" t="n">
        <f aca="false">IF(N166="","",RANK(N166,$N$5:$N$389))</f>
        <v>41</v>
      </c>
      <c r="P166" s="17" t="str">
        <f aca="false">IF(AND(N(H166)&gt;=N(K166),N(H166)&gt;=N(N166)),"The Pulse",IF(N(K166)&gt;=N(N166),"The Lens","The Hub"))</f>
        <v>The Hub</v>
      </c>
      <c r="Q166" s="20" t="s">
        <v>74</v>
      </c>
      <c r="R166" s="27" t="s">
        <v>832</v>
      </c>
      <c r="S166" s="17" t="s">
        <v>24</v>
      </c>
    </row>
    <row r="167" customFormat="false" ht="15" hidden="false" customHeight="false" outlineLevel="0" collapsed="false">
      <c r="A167" s="17" t="s">
        <v>1175</v>
      </c>
      <c r="B167" s="17" t="s">
        <v>1176</v>
      </c>
      <c r="C167" s="17" t="s">
        <v>1854</v>
      </c>
      <c r="D167" s="17" t="s">
        <v>77</v>
      </c>
      <c r="E167" s="18" t="n">
        <v>2010</v>
      </c>
      <c r="F167" s="17" t="s">
        <v>825</v>
      </c>
      <c r="G167" s="23" t="n">
        <v>3.52487562189055</v>
      </c>
      <c r="H167" s="19" t="n">
        <v>57</v>
      </c>
      <c r="I167" s="17" t="n">
        <f aca="false">IF(H167="","",RANK(H167,$H$5:$H$389))</f>
        <v>163</v>
      </c>
      <c r="J167" s="24" t="n">
        <v>0.0506842372022301</v>
      </c>
      <c r="K167" s="19" t="n">
        <v>13.2</v>
      </c>
      <c r="L167" s="17" t="n">
        <f aca="false">IF(K167="","",RANK(K167,$K$5:$K$389))</f>
        <v>337</v>
      </c>
      <c r="M167" s="25" t="n">
        <v>0.0989583333333333</v>
      </c>
      <c r="N167" s="19" t="n">
        <v>36.6</v>
      </c>
      <c r="O167" s="17" t="n">
        <f aca="false">IF(N167="","",RANK(N167,$N$5:$N$389))</f>
        <v>246</v>
      </c>
      <c r="P167" s="17" t="str">
        <f aca="false">IF(AND(N(H167)&gt;=N(K167),N(H167)&gt;=N(N167)),"The Pulse",IF(N(K167)&gt;=N(N167),"The Lens","The Hub"))</f>
        <v>The Pulse</v>
      </c>
      <c r="Q167" s="21" t="s">
        <v>79</v>
      </c>
      <c r="R167" s="27" t="s">
        <v>832</v>
      </c>
      <c r="S167" s="17" t="s">
        <v>88</v>
      </c>
    </row>
    <row r="168" customFormat="false" ht="15" hidden="false" customHeight="false" outlineLevel="0" collapsed="false">
      <c r="A168" s="17" t="s">
        <v>393</v>
      </c>
      <c r="B168" s="17" t="s">
        <v>394</v>
      </c>
      <c r="C168" s="17" t="s">
        <v>1855</v>
      </c>
      <c r="D168" s="17" t="s">
        <v>115</v>
      </c>
      <c r="E168" s="18" t="n">
        <v>82620</v>
      </c>
      <c r="F168" s="17" t="s">
        <v>821</v>
      </c>
      <c r="G168" s="23" t="n">
        <v>3.5219922536916</v>
      </c>
      <c r="H168" s="19" t="n">
        <v>56.8</v>
      </c>
      <c r="I168" s="17" t="n">
        <f aca="false">IF(H168="","",RANK(H168,$H$5:$H$389))</f>
        <v>164</v>
      </c>
      <c r="J168" s="24" t="n">
        <v>0.157791479820628</v>
      </c>
      <c r="K168" s="19" t="n">
        <v>82.9</v>
      </c>
      <c r="L168" s="17" t="n">
        <f aca="false">IF(K168="","",RANK(K168,$K$5:$K$389))</f>
        <v>63</v>
      </c>
      <c r="M168" s="25" t="n">
        <v>0.0599198057265488</v>
      </c>
      <c r="N168" s="19" t="n">
        <v>15.9</v>
      </c>
      <c r="O168" s="17" t="n">
        <f aca="false">IF(N168="","",RANK(N168,$N$5:$N$389))</f>
        <v>323</v>
      </c>
      <c r="P168" s="17" t="str">
        <f aca="false">IF(AND(N(H168)&gt;=N(K168),N(H168)&gt;=N(N168)),"The Pulse",IF(N(K168)&gt;=N(N168),"The Lens","The Hub"))</f>
        <v>The Lens</v>
      </c>
      <c r="Q168" s="20" t="s">
        <v>74</v>
      </c>
      <c r="R168" s="26" t="s">
        <v>822</v>
      </c>
      <c r="S168" s="17" t="s">
        <v>24</v>
      </c>
    </row>
    <row r="169" customFormat="false" ht="15" hidden="false" customHeight="false" outlineLevel="0" collapsed="false">
      <c r="A169" s="17" t="s">
        <v>1856</v>
      </c>
      <c r="B169" s="17" t="s">
        <v>1857</v>
      </c>
      <c r="C169" s="17" t="s">
        <v>1858</v>
      </c>
      <c r="D169" s="17" t="s">
        <v>72</v>
      </c>
      <c r="E169" s="18" t="n">
        <v>142240</v>
      </c>
      <c r="F169" s="17" t="s">
        <v>827</v>
      </c>
      <c r="G169" s="23" t="n">
        <v>3.51847581552306</v>
      </c>
      <c r="H169" s="19" t="n">
        <v>56.6</v>
      </c>
      <c r="I169" s="17" t="n">
        <f aca="false">IF(H169="","",RANK(H169,$H$5:$H$389))</f>
        <v>165</v>
      </c>
      <c r="J169" s="24" t="n">
        <v>0.0740768707996678</v>
      </c>
      <c r="K169" s="19" t="n">
        <v>48.4</v>
      </c>
      <c r="L169" s="17" t="n">
        <f aca="false">IF(K169="","",RANK(K169,$K$5:$K$389))</f>
        <v>204</v>
      </c>
      <c r="M169" s="25" t="n">
        <v>0.179388763613683</v>
      </c>
      <c r="N169" s="19" t="n">
        <v>64.2</v>
      </c>
      <c r="O169" s="17" t="n">
        <f aca="false">IF(N169="","",RANK(N169,$N$5:$N$389))</f>
        <v>142</v>
      </c>
      <c r="P169" s="17" t="str">
        <f aca="false">IF(AND(N(H169)&gt;=N(K169),N(H169)&gt;=N(N169)),"The Pulse",IF(N(K169)&gt;=N(N169),"The Lens","The Hub"))</f>
        <v>The Hub</v>
      </c>
      <c r="Q169" s="20" t="s">
        <v>74</v>
      </c>
      <c r="R169" s="27" t="s">
        <v>832</v>
      </c>
      <c r="S169" s="17" t="s">
        <v>24</v>
      </c>
    </row>
    <row r="170" customFormat="false" ht="15" hidden="false" customHeight="false" outlineLevel="0" collapsed="false">
      <c r="A170" s="17" t="s">
        <v>517</v>
      </c>
      <c r="B170" s="17" t="s">
        <v>518</v>
      </c>
      <c r="C170" s="17" t="s">
        <v>1859</v>
      </c>
      <c r="D170" s="17" t="s">
        <v>123</v>
      </c>
      <c r="E170" s="18" t="n">
        <v>45610</v>
      </c>
      <c r="F170" s="17" t="s">
        <v>821</v>
      </c>
      <c r="G170" s="23" t="n">
        <v>3.47664985748739</v>
      </c>
      <c r="H170" s="19" t="n">
        <v>56</v>
      </c>
      <c r="I170" s="17" t="n">
        <f aca="false">IF(H170="","",RANK(H170,$H$5:$H$389))</f>
        <v>166</v>
      </c>
      <c r="J170" s="24" t="n">
        <v>0.0501957172461432</v>
      </c>
      <c r="K170" s="19" t="n">
        <v>30.5</v>
      </c>
      <c r="L170" s="17" t="n">
        <f aca="false">IF(K170="","",RANK(K170,$K$5:$K$389))</f>
        <v>275</v>
      </c>
      <c r="M170" s="25" t="n">
        <v>0.153436403793686</v>
      </c>
      <c r="N170" s="19" t="n">
        <v>57.2</v>
      </c>
      <c r="O170" s="17" t="n">
        <f aca="false">IF(N170="","",RANK(N170,$N$5:$N$389))</f>
        <v>168</v>
      </c>
      <c r="P170" s="17" t="str">
        <f aca="false">IF(AND(N(H170)&gt;=N(K170),N(H170)&gt;=N(N170)),"The Pulse",IF(N(K170)&gt;=N(N170),"The Lens","The Hub"))</f>
        <v>The Hub</v>
      </c>
      <c r="Q170" s="20" t="s">
        <v>74</v>
      </c>
      <c r="R170" s="26" t="s">
        <v>822</v>
      </c>
      <c r="S170" s="17" t="s">
        <v>24</v>
      </c>
    </row>
    <row r="171" customFormat="false" ht="15" hidden="false" customHeight="false" outlineLevel="0" collapsed="false">
      <c r="A171" s="17" t="s">
        <v>1860</v>
      </c>
      <c r="B171" s="17" t="s">
        <v>1861</v>
      </c>
      <c r="C171" s="17" t="s">
        <v>1862</v>
      </c>
      <c r="D171" s="17" t="s">
        <v>115</v>
      </c>
      <c r="E171" s="18" t="n">
        <v>106720</v>
      </c>
      <c r="F171" s="17" t="s">
        <v>827</v>
      </c>
      <c r="G171" s="23" t="n">
        <v>3.47331334332834</v>
      </c>
      <c r="H171" s="19" t="n">
        <v>55.6</v>
      </c>
      <c r="I171" s="17" t="n">
        <f aca="false">IF(H171="","",RANK(H171,$H$5:$H$389))</f>
        <v>167</v>
      </c>
      <c r="J171" s="24" t="n">
        <v>0.146787019127445</v>
      </c>
      <c r="K171" s="19" t="n">
        <v>86.6</v>
      </c>
      <c r="L171" s="17" t="n">
        <f aca="false">IF(K171="","",RANK(K171,$K$5:$K$389))</f>
        <v>49</v>
      </c>
      <c r="M171" s="25" t="n">
        <v>0.0804702451471794</v>
      </c>
      <c r="N171" s="19" t="n">
        <v>25.8</v>
      </c>
      <c r="O171" s="17" t="n">
        <f aca="false">IF(N171="","",RANK(N171,$N$5:$N$389))</f>
        <v>288</v>
      </c>
      <c r="P171" s="17" t="str">
        <f aca="false">IF(AND(N(H171)&gt;=N(K171),N(H171)&gt;=N(N171)),"The Pulse",IF(N(K171)&gt;=N(N171),"The Lens","The Hub"))</f>
        <v>The Lens</v>
      </c>
      <c r="Q171" s="20" t="s">
        <v>74</v>
      </c>
      <c r="R171" s="27" t="s">
        <v>832</v>
      </c>
      <c r="S171" s="17" t="s">
        <v>24</v>
      </c>
    </row>
    <row r="172" customFormat="false" ht="15" hidden="false" customHeight="false" outlineLevel="0" collapsed="false">
      <c r="A172" s="17" t="s">
        <v>509</v>
      </c>
      <c r="B172" s="17" t="s">
        <v>510</v>
      </c>
      <c r="C172" s="17" t="s">
        <v>1863</v>
      </c>
      <c r="D172" s="17" t="s">
        <v>95</v>
      </c>
      <c r="E172" s="18" t="n">
        <v>72840</v>
      </c>
      <c r="F172" s="17" t="s">
        <v>821</v>
      </c>
      <c r="G172" s="23" t="n">
        <v>3.45993959362987</v>
      </c>
      <c r="H172" s="19" t="n">
        <v>55.4</v>
      </c>
      <c r="I172" s="17" t="n">
        <f aca="false">IF(H172="","",RANK(H172,$H$5:$H$389))</f>
        <v>168</v>
      </c>
      <c r="J172" s="24" t="n">
        <v>0.0376068376068376</v>
      </c>
      <c r="K172" s="19" t="n">
        <v>25.5</v>
      </c>
      <c r="L172" s="17" t="n">
        <f aca="false">IF(K172="","",RANK(K172,$K$5:$K$389))</f>
        <v>290</v>
      </c>
      <c r="M172" s="25" t="n">
        <v>0.0391635329725764</v>
      </c>
      <c r="N172" s="19" t="n">
        <v>8.2</v>
      </c>
      <c r="O172" s="17" t="n">
        <f aca="false">IF(N172="","",RANK(N172,$N$5:$N$389))</f>
        <v>354</v>
      </c>
      <c r="P172" s="17" t="str">
        <f aca="false">IF(AND(N(H172)&gt;=N(K172),N(H172)&gt;=N(N172)),"The Pulse",IF(N(K172)&gt;=N(N172),"The Lens","The Hub"))</f>
        <v>The Pulse</v>
      </c>
      <c r="Q172" s="20" t="s">
        <v>74</v>
      </c>
      <c r="R172" s="26" t="s">
        <v>822</v>
      </c>
      <c r="S172" s="17" t="s">
        <v>24</v>
      </c>
    </row>
    <row r="173" customFormat="false" ht="15" hidden="false" customHeight="false" outlineLevel="0" collapsed="false">
      <c r="A173" s="17" t="s">
        <v>1324</v>
      </c>
      <c r="B173" s="17" t="s">
        <v>1325</v>
      </c>
      <c r="C173" s="17" t="s">
        <v>1864</v>
      </c>
      <c r="D173" s="17" t="s">
        <v>95</v>
      </c>
      <c r="E173" s="18" t="n">
        <v>2870</v>
      </c>
      <c r="F173" s="17" t="s">
        <v>825</v>
      </c>
      <c r="G173" s="23" t="n">
        <v>3.45121951219512</v>
      </c>
      <c r="H173" s="19" t="n">
        <v>55.2</v>
      </c>
      <c r="I173" s="17" t="n">
        <f aca="false">IF(H173="","",RANK(H173,$H$5:$H$389))</f>
        <v>169</v>
      </c>
      <c r="J173" s="24" t="n">
        <v>0.119148936170213</v>
      </c>
      <c r="K173" s="19" t="n">
        <v>54.7</v>
      </c>
      <c r="L173" s="17" t="n">
        <f aca="false">IF(K173="","",RANK(K173,$K$5:$K$389))</f>
        <v>177</v>
      </c>
      <c r="M173" s="25" t="n">
        <v>0.0566037735849057</v>
      </c>
      <c r="N173" s="19" t="n">
        <v>13.9</v>
      </c>
      <c r="O173" s="17" t="n">
        <f aca="false">IF(N173="","",RANK(N173,$N$5:$N$389))</f>
        <v>330</v>
      </c>
      <c r="P173" s="17" t="str">
        <f aca="false">IF(AND(N(H173)&gt;=N(K173),N(H173)&gt;=N(N173)),"The Pulse",IF(N(K173)&gt;=N(N173),"The Lens","The Hub"))</f>
        <v>The Pulse</v>
      </c>
      <c r="Q173" s="21" t="s">
        <v>79</v>
      </c>
      <c r="R173" s="27" t="s">
        <v>832</v>
      </c>
      <c r="S173" s="17" t="s">
        <v>88</v>
      </c>
    </row>
    <row r="174" customFormat="false" ht="15" hidden="false" customHeight="false" outlineLevel="0" collapsed="false">
      <c r="A174" s="17" t="s">
        <v>691</v>
      </c>
      <c r="B174" s="17" t="s">
        <v>692</v>
      </c>
      <c r="C174" s="17" t="s">
        <v>1865</v>
      </c>
      <c r="D174" s="17" t="s">
        <v>123</v>
      </c>
      <c r="E174" s="18" t="n">
        <v>516360</v>
      </c>
      <c r="F174" s="17" t="s">
        <v>827</v>
      </c>
      <c r="G174" s="23" t="n">
        <v>3.45004260593385</v>
      </c>
      <c r="H174" s="19" t="n">
        <v>55</v>
      </c>
      <c r="I174" s="17" t="n">
        <f aca="false">IF(H174="","",RANK(H174,$H$5:$H$389))</f>
        <v>170</v>
      </c>
      <c r="J174" s="24" t="n">
        <v>0.0785136913340435</v>
      </c>
      <c r="K174" s="19" t="n">
        <v>52.2</v>
      </c>
      <c r="L174" s="17" t="n">
        <f aca="false">IF(K174="","",RANK(K174,$K$5:$K$389))</f>
        <v>187</v>
      </c>
      <c r="M174" s="25" t="n">
        <v>0.105276377055198</v>
      </c>
      <c r="N174" s="19" t="n">
        <v>40</v>
      </c>
      <c r="O174" s="17" t="n">
        <f aca="false">IF(N174="","",RANK(N174,$N$5:$N$389))</f>
        <v>232</v>
      </c>
      <c r="P174" s="17" t="str">
        <f aca="false">IF(AND(N(H174)&gt;=N(K174),N(H174)&gt;=N(N174)),"The Pulse",IF(N(K174)&gt;=N(N174),"The Lens","The Hub"))</f>
        <v>The Pulse</v>
      </c>
      <c r="Q174" s="20" t="s">
        <v>74</v>
      </c>
      <c r="R174" s="26" t="s">
        <v>822</v>
      </c>
      <c r="S174" s="17" t="s">
        <v>24</v>
      </c>
    </row>
    <row r="175" customFormat="false" ht="15" hidden="false" customHeight="false" outlineLevel="0" collapsed="false">
      <c r="A175" s="17" t="s">
        <v>1866</v>
      </c>
      <c r="B175" s="17" t="s">
        <v>1867</v>
      </c>
      <c r="C175" s="17" t="s">
        <v>1868</v>
      </c>
      <c r="D175" s="17" t="s">
        <v>91</v>
      </c>
      <c r="E175" s="18" t="n">
        <v>8630</v>
      </c>
      <c r="F175" s="17" t="s">
        <v>825</v>
      </c>
      <c r="G175" s="23" t="n">
        <v>3.44356894553882</v>
      </c>
      <c r="H175" s="19" t="n">
        <v>54.6</v>
      </c>
      <c r="I175" s="17" t="n">
        <f aca="false">IF(H175="","",RANK(H175,$H$5:$H$389))</f>
        <v>171</v>
      </c>
      <c r="J175" s="24" t="n">
        <v>0.0951776649746193</v>
      </c>
      <c r="K175" s="19" t="n">
        <v>32.1</v>
      </c>
      <c r="L175" s="17" t="n">
        <f aca="false">IF(K175="","",RANK(K175,$K$5:$K$389))</f>
        <v>268</v>
      </c>
      <c r="M175" s="25" t="n">
        <v>0.0875</v>
      </c>
      <c r="N175" s="19" t="n">
        <v>30.9</v>
      </c>
      <c r="O175" s="17" t="n">
        <f aca="false">IF(N175="","",RANK(N175,$N$5:$N$389))</f>
        <v>270</v>
      </c>
      <c r="P175" s="17" t="str">
        <f aca="false">IF(AND(N(H175)&gt;=N(K175),N(H175)&gt;=N(N175)),"The Pulse",IF(N(K175)&gt;=N(N175),"The Lens","The Hub"))</f>
        <v>The Pulse</v>
      </c>
      <c r="Q175" s="20" t="s">
        <v>74</v>
      </c>
      <c r="R175" s="27" t="s">
        <v>832</v>
      </c>
      <c r="S175" s="17" t="s">
        <v>24</v>
      </c>
    </row>
    <row r="176" customFormat="false" ht="15" hidden="false" customHeight="false" outlineLevel="0" collapsed="false">
      <c r="A176" s="17" t="s">
        <v>1869</v>
      </c>
      <c r="B176" s="17" t="s">
        <v>1870</v>
      </c>
      <c r="C176" s="17" t="s">
        <v>1871</v>
      </c>
      <c r="D176" s="17" t="s">
        <v>95</v>
      </c>
      <c r="E176" s="18" t="n">
        <v>15330</v>
      </c>
      <c r="F176" s="17" t="s">
        <v>821</v>
      </c>
      <c r="G176" s="23" t="n">
        <v>3.43874755381605</v>
      </c>
      <c r="H176" s="19" t="n">
        <v>54.4</v>
      </c>
      <c r="I176" s="17" t="n">
        <f aca="false">IF(H176="","",RANK(H176,$H$5:$H$389))</f>
        <v>172</v>
      </c>
      <c r="J176" s="24" t="n">
        <v>0.0623700623700624</v>
      </c>
      <c r="K176" s="19" t="n">
        <v>36</v>
      </c>
      <c r="L176" s="17" t="n">
        <f aca="false">IF(K176="","",RANK(K176,$K$5:$K$389))</f>
        <v>251</v>
      </c>
      <c r="M176" s="25" t="n">
        <v>0.306207418622256</v>
      </c>
      <c r="N176" s="19" t="n">
        <v>90.1</v>
      </c>
      <c r="O176" s="17" t="n">
        <f aca="false">IF(N176="","",RANK(N176,$N$5:$N$389))</f>
        <v>39</v>
      </c>
      <c r="P176" s="17" t="str">
        <f aca="false">IF(AND(N(H176)&gt;=N(K176),N(H176)&gt;=N(N176)),"The Pulse",IF(N(K176)&gt;=N(N176),"The Lens","The Hub"))</f>
        <v>The Hub</v>
      </c>
      <c r="Q176" s="20" t="s">
        <v>74</v>
      </c>
      <c r="R176" s="27" t="s">
        <v>832</v>
      </c>
      <c r="S176" s="17" t="s">
        <v>24</v>
      </c>
    </row>
    <row r="177" customFormat="false" ht="15" hidden="false" customHeight="false" outlineLevel="0" collapsed="false">
      <c r="A177" s="17" t="s">
        <v>527</v>
      </c>
      <c r="B177" s="17" t="s">
        <v>528</v>
      </c>
      <c r="C177" s="17" t="s">
        <v>1872</v>
      </c>
      <c r="D177" s="17" t="s">
        <v>115</v>
      </c>
      <c r="E177" s="18" t="n">
        <v>36008</v>
      </c>
      <c r="F177" s="17" t="s">
        <v>821</v>
      </c>
      <c r="G177" s="23" t="n">
        <v>3.43368140413242</v>
      </c>
      <c r="H177" s="19" t="n">
        <v>54.2</v>
      </c>
      <c r="I177" s="17" t="n">
        <f aca="false">IF(H177="","",RANK(H177,$H$5:$H$389))</f>
        <v>173</v>
      </c>
      <c r="J177" s="24" t="n">
        <v>0.0355160613119374</v>
      </c>
      <c r="K177" s="19" t="n">
        <v>23.6</v>
      </c>
      <c r="L177" s="17" t="n">
        <f aca="false">IF(K177="","",RANK(K177,$K$5:$K$389))</f>
        <v>298</v>
      </c>
      <c r="M177" s="25" t="n">
        <v>0.105410447761194</v>
      </c>
      <c r="N177" s="19" t="n">
        <v>40.2</v>
      </c>
      <c r="O177" s="17" t="n">
        <f aca="false">IF(N177="","",RANK(N177,$N$5:$N$389))</f>
        <v>231</v>
      </c>
      <c r="P177" s="17" t="str">
        <f aca="false">IF(AND(N(H177)&gt;=N(K177),N(H177)&gt;=N(N177)),"The Pulse",IF(N(K177)&gt;=N(N177),"The Lens","The Hub"))</f>
        <v>The Pulse</v>
      </c>
      <c r="Q177" s="21" t="s">
        <v>79</v>
      </c>
      <c r="R177" s="26" t="s">
        <v>822</v>
      </c>
      <c r="S177" s="17" t="s">
        <v>22</v>
      </c>
    </row>
    <row r="178" customFormat="false" ht="15" hidden="false" customHeight="false" outlineLevel="0" collapsed="false">
      <c r="A178" s="17" t="s">
        <v>1873</v>
      </c>
      <c r="B178" s="17" t="s">
        <v>1874</v>
      </c>
      <c r="C178" s="17" t="s">
        <v>1875</v>
      </c>
      <c r="D178" s="17" t="s">
        <v>77</v>
      </c>
      <c r="E178" s="18" t="n">
        <v>20320</v>
      </c>
      <c r="F178" s="17" t="s">
        <v>821</v>
      </c>
      <c r="G178" s="23" t="n">
        <v>3.39990157480315</v>
      </c>
      <c r="H178" s="19" t="n">
        <v>53.8</v>
      </c>
      <c r="I178" s="17" t="n">
        <f aca="false">IF(H178="","",RANK(H178,$H$5:$H$389))</f>
        <v>174</v>
      </c>
      <c r="J178" s="24" t="n">
        <v>0.193188490898415</v>
      </c>
      <c r="K178" s="19" t="n">
        <v>92.4</v>
      </c>
      <c r="L178" s="17" t="n">
        <f aca="false">IF(K178="","",RANK(K178,$K$5:$K$389))</f>
        <v>29</v>
      </c>
      <c r="M178" s="25" t="n">
        <v>0.142967542503864</v>
      </c>
      <c r="N178" s="19" t="n">
        <v>53.4</v>
      </c>
      <c r="O178" s="17" t="n">
        <f aca="false">IF(N178="","",RANK(N178,$N$5:$N$389))</f>
        <v>182</v>
      </c>
      <c r="P178" s="17" t="str">
        <f aca="false">IF(AND(N(H178)&gt;=N(K178),N(H178)&gt;=N(N178)),"The Pulse",IF(N(K178)&gt;=N(N178),"The Lens","The Hub"))</f>
        <v>The Lens</v>
      </c>
      <c r="Q178" s="20" t="s">
        <v>74</v>
      </c>
      <c r="R178" s="27" t="s">
        <v>832</v>
      </c>
      <c r="S178" s="17" t="s">
        <v>24</v>
      </c>
    </row>
    <row r="179" customFormat="false" ht="15" hidden="false" customHeight="false" outlineLevel="0" collapsed="false">
      <c r="A179" s="17" t="s">
        <v>429</v>
      </c>
      <c r="B179" s="17" t="s">
        <v>430</v>
      </c>
      <c r="C179" s="17" t="s">
        <v>1876</v>
      </c>
      <c r="D179" s="17" t="s">
        <v>95</v>
      </c>
      <c r="E179" s="18" t="n">
        <v>302830</v>
      </c>
      <c r="F179" s="17" t="s">
        <v>827</v>
      </c>
      <c r="G179" s="23" t="n">
        <v>3.39790311395833</v>
      </c>
      <c r="H179" s="19" t="n">
        <v>53.6</v>
      </c>
      <c r="I179" s="17" t="n">
        <f aca="false">IF(H179="","",RANK(H179,$H$5:$H$389))</f>
        <v>175</v>
      </c>
      <c r="J179" s="24" t="n">
        <v>0.0716231996885948</v>
      </c>
      <c r="K179" s="19" t="n">
        <v>46.5</v>
      </c>
      <c r="L179" s="17" t="n">
        <f aca="false">IF(K179="","",RANK(K179,$K$5:$K$389))</f>
        <v>211</v>
      </c>
      <c r="M179" s="25" t="n">
        <v>0.166711835533702</v>
      </c>
      <c r="N179" s="19" t="n">
        <v>60.9</v>
      </c>
      <c r="O179" s="17" t="n">
        <f aca="false">IF(N179="","",RANK(N179,$N$5:$N$389))</f>
        <v>155</v>
      </c>
      <c r="P179" s="17" t="str">
        <f aca="false">IF(AND(N(H179)&gt;=N(K179),N(H179)&gt;=N(N179)),"The Pulse",IF(N(K179)&gt;=N(N179),"The Lens","The Hub"))</f>
        <v>The Hub</v>
      </c>
      <c r="Q179" s="20" t="s">
        <v>74</v>
      </c>
      <c r="R179" s="26" t="s">
        <v>822</v>
      </c>
      <c r="S179" s="17" t="s">
        <v>24</v>
      </c>
    </row>
    <row r="180" customFormat="false" ht="15" hidden="false" customHeight="false" outlineLevel="0" collapsed="false">
      <c r="A180" s="17" t="s">
        <v>944</v>
      </c>
      <c r="B180" s="17" t="s">
        <v>945</v>
      </c>
      <c r="C180" s="17" t="s">
        <v>1877</v>
      </c>
      <c r="D180" s="17" t="s">
        <v>123</v>
      </c>
      <c r="E180" s="18" t="n">
        <v>7920</v>
      </c>
      <c r="F180" s="17" t="s">
        <v>825</v>
      </c>
      <c r="G180" s="23" t="n">
        <v>3.38737373737374</v>
      </c>
      <c r="H180" s="19" t="n">
        <v>53.4</v>
      </c>
      <c r="I180" s="17" t="n">
        <f aca="false">IF(H180="","",RANK(H180,$H$5:$H$389))</f>
        <v>176</v>
      </c>
      <c r="J180" s="24" t="n">
        <v>0.0969529085872576</v>
      </c>
      <c r="K180" s="19" t="n">
        <v>35.8</v>
      </c>
      <c r="L180" s="17" t="n">
        <f aca="false">IF(K180="","",RANK(K180,$K$5:$K$389))</f>
        <v>252</v>
      </c>
      <c r="M180" s="25" t="n">
        <v>0.121470781352594</v>
      </c>
      <c r="N180" s="19" t="n">
        <v>45.9</v>
      </c>
      <c r="O180" s="17" t="n">
        <f aca="false">IF(N180="","",RANK(N180,$N$5:$N$389))</f>
        <v>209</v>
      </c>
      <c r="P180" s="17" t="str">
        <f aca="false">IF(AND(N(H180)&gt;=N(K180),N(H180)&gt;=N(N180)),"The Pulse",IF(N(K180)&gt;=N(N180),"The Lens","The Hub"))</f>
        <v>The Pulse</v>
      </c>
      <c r="Q180" s="20" t="s">
        <v>74</v>
      </c>
      <c r="R180" s="27" t="s">
        <v>832</v>
      </c>
      <c r="S180" s="17" t="s">
        <v>24</v>
      </c>
    </row>
    <row r="181" customFormat="false" ht="15" hidden="false" customHeight="false" outlineLevel="0" collapsed="false">
      <c r="A181" s="17" t="s">
        <v>435</v>
      </c>
      <c r="B181" s="17" t="s">
        <v>436</v>
      </c>
      <c r="C181" s="17" t="s">
        <v>1878</v>
      </c>
      <c r="D181" s="17" t="s">
        <v>77</v>
      </c>
      <c r="E181" s="18" t="n">
        <v>59959</v>
      </c>
      <c r="F181" s="17" t="s">
        <v>821</v>
      </c>
      <c r="G181" s="23" t="n">
        <v>3.36413215697393</v>
      </c>
      <c r="H181" s="19" t="n">
        <v>53.2</v>
      </c>
      <c r="I181" s="17" t="n">
        <f aca="false">IF(H181="","",RANK(H181,$H$5:$H$389))</f>
        <v>177</v>
      </c>
      <c r="J181" s="24" t="n">
        <v>0.143230308692585</v>
      </c>
      <c r="K181" s="19" t="n">
        <v>77.5</v>
      </c>
      <c r="L181" s="17" t="n">
        <f aca="false">IF(K181="","",RANK(K181,$K$5:$K$389))</f>
        <v>83</v>
      </c>
      <c r="M181" s="25" t="n">
        <v>0.271150814503416</v>
      </c>
      <c r="N181" s="19" t="n">
        <v>84.5</v>
      </c>
      <c r="O181" s="17" t="n">
        <f aca="false">IF(N181="","",RANK(N181,$N$5:$N$389))</f>
        <v>59</v>
      </c>
      <c r="P181" s="17" t="str">
        <f aca="false">IF(AND(N(H181)&gt;=N(K181),N(H181)&gt;=N(N181)),"The Pulse",IF(N(K181)&gt;=N(N181),"The Lens","The Hub"))</f>
        <v>The Hub</v>
      </c>
      <c r="Q181" s="21" t="s">
        <v>79</v>
      </c>
      <c r="R181" s="26" t="s">
        <v>822</v>
      </c>
      <c r="S181" s="17" t="s">
        <v>22</v>
      </c>
    </row>
    <row r="182" customFormat="false" ht="15" hidden="false" customHeight="false" outlineLevel="0" collapsed="false">
      <c r="A182" s="17" t="s">
        <v>523</v>
      </c>
      <c r="B182" s="17" t="s">
        <v>524</v>
      </c>
      <c r="C182" s="17" t="s">
        <v>1879</v>
      </c>
      <c r="D182" s="17" t="s">
        <v>162</v>
      </c>
      <c r="E182" s="18" t="n">
        <v>51430</v>
      </c>
      <c r="F182" s="17" t="s">
        <v>821</v>
      </c>
      <c r="G182" s="23" t="n">
        <v>3.3514874586817</v>
      </c>
      <c r="H182" s="19" t="n">
        <v>53</v>
      </c>
      <c r="I182" s="17" t="n">
        <f aca="false">IF(H182="","",RANK(H182,$H$5:$H$389))</f>
        <v>178</v>
      </c>
      <c r="J182" s="24" t="n">
        <v>0.0736951983298539</v>
      </c>
      <c r="K182" s="19" t="n">
        <v>43.3</v>
      </c>
      <c r="L182" s="17" t="n">
        <f aca="false">IF(K182="","",RANK(K182,$K$5:$K$389))</f>
        <v>223</v>
      </c>
      <c r="M182" s="25" t="n">
        <v>0.21706978893853</v>
      </c>
      <c r="N182" s="19" t="n">
        <v>73.5</v>
      </c>
      <c r="O182" s="17" t="n">
        <f aca="false">IF(N182="","",RANK(N182,$N$5:$N$389))</f>
        <v>103</v>
      </c>
      <c r="P182" s="17" t="str">
        <f aca="false">IF(AND(N(H182)&gt;=N(K182),N(H182)&gt;=N(N182)),"The Pulse",IF(N(K182)&gt;=N(N182),"The Lens","The Hub"))</f>
        <v>The Hub</v>
      </c>
      <c r="Q182" s="20" t="s">
        <v>74</v>
      </c>
      <c r="R182" s="26" t="s">
        <v>822</v>
      </c>
      <c r="S182" s="17" t="s">
        <v>24</v>
      </c>
    </row>
    <row r="183" customFormat="false" ht="15" hidden="false" customHeight="false" outlineLevel="0" collapsed="false">
      <c r="A183" s="17" t="s">
        <v>1880</v>
      </c>
      <c r="B183" s="17" t="s">
        <v>1881</v>
      </c>
      <c r="C183" s="17" t="s">
        <v>1882</v>
      </c>
      <c r="D183" s="17" t="s">
        <v>123</v>
      </c>
      <c r="E183" s="18" t="n">
        <v>61358</v>
      </c>
      <c r="F183" s="17" t="s">
        <v>821</v>
      </c>
      <c r="G183" s="23" t="n">
        <v>3.32740636917761</v>
      </c>
      <c r="H183" s="19" t="n">
        <v>52.8</v>
      </c>
      <c r="I183" s="17" t="n">
        <f aca="false">IF(H183="","",RANK(H183,$H$5:$H$389))</f>
        <v>179</v>
      </c>
      <c r="J183" s="24" t="n">
        <v>0.106586351175877</v>
      </c>
      <c r="K183" s="19" t="n">
        <v>61.8</v>
      </c>
      <c r="L183" s="17" t="n">
        <f aca="false">IF(K183="","",RANK(K183,$K$5:$K$389))</f>
        <v>145</v>
      </c>
      <c r="M183" s="25" t="n">
        <v>0.397993501681582</v>
      </c>
      <c r="N183" s="19" t="n">
        <v>96.9</v>
      </c>
      <c r="O183" s="17" t="n">
        <f aca="false">IF(N183="","",RANK(N183,$N$5:$N$389))</f>
        <v>13</v>
      </c>
      <c r="P183" s="17" t="str">
        <f aca="false">IF(AND(N(H183)&gt;=N(K183),N(H183)&gt;=N(N183)),"The Pulse",IF(N(K183)&gt;=N(N183),"The Lens","The Hub"))</f>
        <v>The Hub</v>
      </c>
      <c r="Q183" s="21" t="s">
        <v>79</v>
      </c>
      <c r="R183" s="27" t="s">
        <v>832</v>
      </c>
      <c r="S183" s="17" t="s">
        <v>22</v>
      </c>
    </row>
    <row r="184" customFormat="false" ht="15" hidden="false" customHeight="false" outlineLevel="0" collapsed="false">
      <c r="A184" s="17" t="s">
        <v>1883</v>
      </c>
      <c r="B184" s="17" t="s">
        <v>1884</v>
      </c>
      <c r="C184" s="17" t="s">
        <v>1885</v>
      </c>
      <c r="D184" s="17" t="s">
        <v>123</v>
      </c>
      <c r="E184" s="18" t="n">
        <v>168540</v>
      </c>
      <c r="F184" s="17" t="s">
        <v>827</v>
      </c>
      <c r="G184" s="23" t="n">
        <v>3.31201495194019</v>
      </c>
      <c r="H184" s="19" t="n">
        <v>52.7</v>
      </c>
      <c r="I184" s="17" t="n">
        <f aca="false">IF(H184="","",RANK(H184,$H$5:$H$389))</f>
        <v>180</v>
      </c>
      <c r="J184" s="24" t="n">
        <v>0.184898762654668</v>
      </c>
      <c r="K184" s="19" t="n">
        <v>94.9</v>
      </c>
      <c r="L184" s="17" t="n">
        <f aca="false">IF(K184="","",RANK(K184,$K$5:$K$389))</f>
        <v>19</v>
      </c>
      <c r="M184" s="25" t="n">
        <v>0.0528769976006157</v>
      </c>
      <c r="N184" s="19" t="n">
        <v>13</v>
      </c>
      <c r="O184" s="17" t="n">
        <f aca="false">IF(N184="","",RANK(N184,$N$5:$N$389))</f>
        <v>334</v>
      </c>
      <c r="P184" s="17" t="str">
        <f aca="false">IF(AND(N(H184)&gt;=N(K184),N(H184)&gt;=N(N184)),"The Pulse",IF(N(K184)&gt;=N(N184),"The Lens","The Hub"))</f>
        <v>The Lens</v>
      </c>
      <c r="Q184" s="20" t="s">
        <v>74</v>
      </c>
      <c r="R184" s="27" t="s">
        <v>832</v>
      </c>
      <c r="S184" s="17" t="s">
        <v>24</v>
      </c>
    </row>
    <row r="185" customFormat="false" ht="15" hidden="false" customHeight="false" outlineLevel="0" collapsed="false">
      <c r="A185" s="17" t="s">
        <v>1143</v>
      </c>
      <c r="B185" s="17" t="s">
        <v>1144</v>
      </c>
      <c r="C185" s="17" t="s">
        <v>1886</v>
      </c>
      <c r="D185" s="17" t="s">
        <v>123</v>
      </c>
      <c r="E185" s="18" t="n">
        <v>71380</v>
      </c>
      <c r="F185" s="17" t="s">
        <v>821</v>
      </c>
      <c r="G185" s="23" t="n">
        <v>3.29411599887924</v>
      </c>
      <c r="H185" s="19" t="n">
        <v>52.3</v>
      </c>
      <c r="I185" s="17" t="n">
        <f aca="false">IF(H185="","",RANK(H185,$H$5:$H$389))</f>
        <v>181</v>
      </c>
      <c r="J185" s="24" t="n">
        <v>0.083485124468731</v>
      </c>
      <c r="K185" s="19" t="n">
        <v>49.8</v>
      </c>
      <c r="L185" s="17" t="n">
        <f aca="false">IF(K185="","",RANK(K185,$K$5:$K$389))</f>
        <v>197</v>
      </c>
      <c r="M185" s="25" t="n">
        <v>0.0934549006838163</v>
      </c>
      <c r="N185" s="19" t="n">
        <v>34.4</v>
      </c>
      <c r="O185" s="17" t="n">
        <f aca="false">IF(N185="","",RANK(N185,$N$5:$N$389))</f>
        <v>255</v>
      </c>
      <c r="P185" s="17" t="str">
        <f aca="false">IF(AND(N(H185)&gt;=N(K185),N(H185)&gt;=N(N185)),"The Pulse",IF(N(K185)&gt;=N(N185),"The Lens","The Hub"))</f>
        <v>The Pulse</v>
      </c>
      <c r="Q185" s="20" t="s">
        <v>74</v>
      </c>
      <c r="R185" s="27" t="s">
        <v>832</v>
      </c>
      <c r="S185" s="17" t="s">
        <v>24</v>
      </c>
    </row>
    <row r="186" customFormat="false" ht="15" hidden="false" customHeight="false" outlineLevel="0" collapsed="false">
      <c r="A186" s="17" t="s">
        <v>719</v>
      </c>
      <c r="B186" s="17" t="s">
        <v>720</v>
      </c>
      <c r="C186" s="17" t="s">
        <v>1887</v>
      </c>
      <c r="D186" s="17" t="s">
        <v>98</v>
      </c>
      <c r="E186" s="18" t="n">
        <v>291450</v>
      </c>
      <c r="F186" s="17" t="s">
        <v>827</v>
      </c>
      <c r="G186" s="23" t="n">
        <v>3.29140504374678</v>
      </c>
      <c r="H186" s="19" t="n">
        <v>52.1</v>
      </c>
      <c r="I186" s="17" t="n">
        <f aca="false">IF(H186="","",RANK(H186,$H$5:$H$389))</f>
        <v>182</v>
      </c>
      <c r="J186" s="24" t="n">
        <v>0.0940315315315315</v>
      </c>
      <c r="K186" s="19" t="n">
        <v>58</v>
      </c>
      <c r="L186" s="17" t="n">
        <f aca="false">IF(K186="","",RANK(K186,$K$5:$K$389))</f>
        <v>163</v>
      </c>
      <c r="M186" s="25" t="n">
        <v>0.282623264719962</v>
      </c>
      <c r="N186" s="19" t="n">
        <v>86.1</v>
      </c>
      <c r="O186" s="17" t="n">
        <f aca="false">IF(N186="","",RANK(N186,$N$5:$N$389))</f>
        <v>52</v>
      </c>
      <c r="P186" s="17" t="str">
        <f aca="false">IF(AND(N(H186)&gt;=N(K186),N(H186)&gt;=N(N186)),"The Pulse",IF(N(K186)&gt;=N(N186),"The Lens","The Hub"))</f>
        <v>The Hub</v>
      </c>
      <c r="Q186" s="20" t="s">
        <v>74</v>
      </c>
      <c r="R186" s="26" t="s">
        <v>822</v>
      </c>
      <c r="S186" s="17" t="s">
        <v>24</v>
      </c>
    </row>
    <row r="187" customFormat="false" ht="15" hidden="false" customHeight="false" outlineLevel="0" collapsed="false">
      <c r="A187" s="17" t="s">
        <v>591</v>
      </c>
      <c r="B187" s="17" t="s">
        <v>592</v>
      </c>
      <c r="C187" s="17" t="s">
        <v>1888</v>
      </c>
      <c r="D187" s="17" t="s">
        <v>86</v>
      </c>
      <c r="E187" s="18" t="n">
        <v>148240</v>
      </c>
      <c r="F187" s="17" t="s">
        <v>827</v>
      </c>
      <c r="G187" s="23" t="n">
        <v>3.28600242849433</v>
      </c>
      <c r="H187" s="19" t="n">
        <v>51.9</v>
      </c>
      <c r="I187" s="17" t="n">
        <f aca="false">IF(H187="","",RANK(H187,$H$5:$H$389))</f>
        <v>183</v>
      </c>
      <c r="J187" s="24" t="n">
        <v>0.103468810480869</v>
      </c>
      <c r="K187" s="19" t="n">
        <v>63.7</v>
      </c>
      <c r="L187" s="17" t="n">
        <f aca="false">IF(K187="","",RANK(K187,$K$5:$K$389))</f>
        <v>138</v>
      </c>
      <c r="M187" s="25" t="n">
        <v>0.116763525084927</v>
      </c>
      <c r="N187" s="19" t="n">
        <v>44.2</v>
      </c>
      <c r="O187" s="17" t="n">
        <f aca="false">IF(N187="","",RANK(N187,$N$5:$N$389))</f>
        <v>217</v>
      </c>
      <c r="P187" s="17" t="str">
        <f aca="false">IF(AND(N(H187)&gt;=N(K187),N(H187)&gt;=N(N187)),"The Pulse",IF(N(K187)&gt;=N(N187),"The Lens","The Hub"))</f>
        <v>The Lens</v>
      </c>
      <c r="Q187" s="20" t="s">
        <v>74</v>
      </c>
      <c r="R187" s="26" t="s">
        <v>822</v>
      </c>
      <c r="S187" s="17" t="s">
        <v>24</v>
      </c>
    </row>
    <row r="188" customFormat="false" ht="15" hidden="false" customHeight="false" outlineLevel="0" collapsed="false">
      <c r="A188" s="17" t="s">
        <v>1889</v>
      </c>
      <c r="B188" s="17" t="s">
        <v>1890</v>
      </c>
      <c r="C188" s="17" t="s">
        <v>1891</v>
      </c>
      <c r="D188" s="17" t="s">
        <v>162</v>
      </c>
      <c r="E188" s="18" t="n">
        <v>7660</v>
      </c>
      <c r="F188" s="17" t="s">
        <v>825</v>
      </c>
      <c r="G188" s="23" t="n">
        <v>3.24362719065321</v>
      </c>
      <c r="H188" s="19" t="n">
        <v>51.3</v>
      </c>
      <c r="I188" s="17" t="n">
        <f aca="false">IF(H188="","",RANK(H188,$H$5:$H$389))</f>
        <v>184</v>
      </c>
      <c r="J188" s="24" t="n">
        <v>0.114992721979622</v>
      </c>
      <c r="K188" s="19" t="n">
        <v>50.9</v>
      </c>
      <c r="L188" s="17" t="n">
        <f aca="false">IF(K188="","",RANK(K188,$K$5:$K$389))</f>
        <v>193</v>
      </c>
      <c r="M188" s="25" t="n">
        <v>0.0818070818070818</v>
      </c>
      <c r="N188" s="19" t="n">
        <v>27.2</v>
      </c>
      <c r="O188" s="17" t="n">
        <f aca="false">IF(N188="","",RANK(N188,$N$5:$N$389))</f>
        <v>282</v>
      </c>
      <c r="P188" s="17" t="str">
        <f aca="false">IF(AND(N(H188)&gt;=N(K188),N(H188)&gt;=N(N188)),"The Pulse",IF(N(K188)&gt;=N(N188),"The Lens","The Hub"))</f>
        <v>The Pulse</v>
      </c>
      <c r="Q188" s="21" t="s">
        <v>79</v>
      </c>
      <c r="R188" s="27" t="s">
        <v>832</v>
      </c>
      <c r="S188" s="17" t="s">
        <v>88</v>
      </c>
    </row>
    <row r="189" customFormat="false" ht="15" hidden="false" customHeight="false" outlineLevel="0" collapsed="false">
      <c r="A189" s="17" t="s">
        <v>1892</v>
      </c>
      <c r="B189" s="17" t="s">
        <v>1893</v>
      </c>
      <c r="C189" s="17" t="s">
        <v>1894</v>
      </c>
      <c r="D189" s="17" t="s">
        <v>123</v>
      </c>
      <c r="E189" s="18" t="n">
        <v>421260</v>
      </c>
      <c r="F189" s="17" t="s">
        <v>827</v>
      </c>
      <c r="G189" s="23" t="n">
        <v>3.21927075915112</v>
      </c>
      <c r="H189" s="19" t="n">
        <v>51.1</v>
      </c>
      <c r="I189" s="17" t="n">
        <f aca="false">IF(H189="","",RANK(H189,$H$5:$H$389))</f>
        <v>185</v>
      </c>
      <c r="J189" s="24" t="n">
        <v>0.00898182079471151</v>
      </c>
      <c r="K189" s="19" t="n">
        <v>14.6</v>
      </c>
      <c r="L189" s="17" t="n">
        <f aca="false">IF(K189="","",RANK(K189,$K$5:$K$389))</f>
        <v>331</v>
      </c>
      <c r="M189" s="25" t="n">
        <v>0.132215147279598</v>
      </c>
      <c r="N189" s="19" t="n">
        <v>50.1</v>
      </c>
      <c r="O189" s="17" t="n">
        <f aca="false">IF(N189="","",RANK(N189,$N$5:$N$389))</f>
        <v>192</v>
      </c>
      <c r="P189" s="17" t="str">
        <f aca="false">IF(AND(N(H189)&gt;=N(K189),N(H189)&gt;=N(N189)),"The Pulse",IF(N(K189)&gt;=N(N189),"The Lens","The Hub"))</f>
        <v>The Pulse</v>
      </c>
      <c r="Q189" s="20" t="s">
        <v>74</v>
      </c>
      <c r="R189" s="27" t="s">
        <v>832</v>
      </c>
      <c r="S189" s="17" t="s">
        <v>24</v>
      </c>
    </row>
    <row r="190" customFormat="false" ht="15" hidden="false" customHeight="false" outlineLevel="0" collapsed="false">
      <c r="A190" s="17" t="s">
        <v>415</v>
      </c>
      <c r="B190" s="17" t="s">
        <v>416</v>
      </c>
      <c r="C190" s="17" t="s">
        <v>1895</v>
      </c>
      <c r="D190" s="17" t="s">
        <v>86</v>
      </c>
      <c r="E190" s="18" t="n">
        <v>61860</v>
      </c>
      <c r="F190" s="17" t="s">
        <v>821</v>
      </c>
      <c r="G190" s="23" t="n">
        <v>3.21590688651794</v>
      </c>
      <c r="H190" s="19" t="n">
        <v>50.9</v>
      </c>
      <c r="I190" s="17" t="n">
        <f aca="false">IF(H190="","",RANK(H190,$H$5:$H$389))</f>
        <v>186</v>
      </c>
      <c r="J190" s="24" t="n">
        <v>0.124318429661941</v>
      </c>
      <c r="K190" s="19" t="n">
        <v>70.9</v>
      </c>
      <c r="L190" s="17" t="n">
        <f aca="false">IF(K190="","",RANK(K190,$K$5:$K$389))</f>
        <v>106</v>
      </c>
      <c r="M190" s="25" t="n">
        <v>0.309618071727993</v>
      </c>
      <c r="N190" s="19" t="n">
        <v>90.7</v>
      </c>
      <c r="O190" s="17" t="n">
        <f aca="false">IF(N190="","",RANK(N190,$N$5:$N$389))</f>
        <v>37</v>
      </c>
      <c r="P190" s="17" t="str">
        <f aca="false">IF(AND(N(H190)&gt;=N(K190),N(H190)&gt;=N(N190)),"The Pulse",IF(N(K190)&gt;=N(N190),"The Lens","The Hub"))</f>
        <v>The Hub</v>
      </c>
      <c r="Q190" s="21" t="s">
        <v>79</v>
      </c>
      <c r="R190" s="26" t="s">
        <v>822</v>
      </c>
      <c r="S190" s="17" t="s">
        <v>88</v>
      </c>
    </row>
    <row r="191" customFormat="false" ht="15" hidden="false" customHeight="false" outlineLevel="0" collapsed="false">
      <c r="A191" s="17" t="s">
        <v>473</v>
      </c>
      <c r="B191" s="17" t="s">
        <v>474</v>
      </c>
      <c r="C191" s="17" t="s">
        <v>1896</v>
      </c>
      <c r="D191" s="17" t="s">
        <v>82</v>
      </c>
      <c r="E191" s="18" t="n">
        <v>489170</v>
      </c>
      <c r="F191" s="17" t="s">
        <v>827</v>
      </c>
      <c r="G191" s="23" t="n">
        <v>3.21557331806938</v>
      </c>
      <c r="H191" s="19" t="n">
        <v>50.7</v>
      </c>
      <c r="I191" s="17" t="n">
        <f aca="false">IF(H191="","",RANK(H191,$H$5:$H$389))</f>
        <v>187</v>
      </c>
      <c r="J191" s="24" t="n">
        <v>0.119054373089804</v>
      </c>
      <c r="K191" s="19" t="n">
        <v>70.1</v>
      </c>
      <c r="L191" s="17" t="n">
        <f aca="false">IF(K191="","",RANK(K191,$K$5:$K$389))</f>
        <v>109</v>
      </c>
      <c r="M191" s="25" t="n">
        <v>0.168769047303564</v>
      </c>
      <c r="N191" s="19" t="n">
        <v>61.1</v>
      </c>
      <c r="O191" s="17" t="n">
        <f aca="false">IF(N191="","",RANK(N191,$N$5:$N$389))</f>
        <v>154</v>
      </c>
      <c r="P191" s="17" t="str">
        <f aca="false">IF(AND(N(H191)&gt;=N(K191),N(H191)&gt;=N(N191)),"The Pulse",IF(N(K191)&gt;=N(N191),"The Lens","The Hub"))</f>
        <v>The Lens</v>
      </c>
      <c r="Q191" s="21" t="s">
        <v>79</v>
      </c>
      <c r="R191" s="26" t="s">
        <v>822</v>
      </c>
      <c r="S191" s="17" t="s">
        <v>22</v>
      </c>
    </row>
    <row r="192" customFormat="false" ht="15" hidden="false" customHeight="false" outlineLevel="0" collapsed="false">
      <c r="A192" s="17" t="s">
        <v>249</v>
      </c>
      <c r="B192" s="17" t="s">
        <v>250</v>
      </c>
      <c r="C192" s="17" t="s">
        <v>1897</v>
      </c>
      <c r="D192" s="17" t="s">
        <v>72</v>
      </c>
      <c r="E192" s="18" t="n">
        <v>301720</v>
      </c>
      <c r="F192" s="17" t="s">
        <v>827</v>
      </c>
      <c r="G192" s="23" t="n">
        <v>3.17424101816254</v>
      </c>
      <c r="H192" s="19" t="n">
        <v>50.3</v>
      </c>
      <c r="I192" s="17" t="n">
        <f aca="false">IF(H192="","",RANK(H192,$H$5:$H$389))</f>
        <v>188</v>
      </c>
      <c r="J192" s="24" t="n">
        <v>0.0796536176912617</v>
      </c>
      <c r="K192" s="19" t="n">
        <v>52.9</v>
      </c>
      <c r="L192" s="17" t="n">
        <f aca="false">IF(K192="","",RANK(K192,$K$5:$K$389))</f>
        <v>184</v>
      </c>
      <c r="M192" s="25" t="n">
        <v>0.152691248913358</v>
      </c>
      <c r="N192" s="19" t="n">
        <v>56.5</v>
      </c>
      <c r="O192" s="17" t="n">
        <f aca="false">IF(N192="","",RANK(N192,$N$5:$N$389))</f>
        <v>171</v>
      </c>
      <c r="P192" s="17" t="str">
        <f aca="false">IF(AND(N(H192)&gt;=N(K192),N(H192)&gt;=N(N192)),"The Pulse",IF(N(K192)&gt;=N(N192),"The Lens","The Hub"))</f>
        <v>The Hub</v>
      </c>
      <c r="Q192" s="20" t="s">
        <v>74</v>
      </c>
      <c r="R192" s="26" t="s">
        <v>822</v>
      </c>
      <c r="S192" s="17" t="s">
        <v>24</v>
      </c>
    </row>
    <row r="193" customFormat="false" ht="15" hidden="false" customHeight="false" outlineLevel="0" collapsed="false">
      <c r="A193" s="17" t="s">
        <v>1898</v>
      </c>
      <c r="B193" s="17" t="s">
        <v>1899</v>
      </c>
      <c r="C193" s="17" t="s">
        <v>1900</v>
      </c>
      <c r="D193" s="17" t="s">
        <v>98</v>
      </c>
      <c r="E193" s="18" t="n">
        <v>79300</v>
      </c>
      <c r="F193" s="17" t="s">
        <v>821</v>
      </c>
      <c r="G193" s="23" t="n">
        <v>3.16517023959647</v>
      </c>
      <c r="H193" s="19" t="n">
        <v>49.9</v>
      </c>
      <c r="I193" s="17" t="n">
        <f aca="false">IF(H193="","",RANK(H193,$H$5:$H$389))</f>
        <v>189</v>
      </c>
      <c r="J193" s="24" t="n">
        <v>0.144300144300144</v>
      </c>
      <c r="K193" s="19" t="n">
        <v>77.8</v>
      </c>
      <c r="L193" s="17" t="n">
        <f aca="false">IF(K193="","",RANK(K193,$K$5:$K$389))</f>
        <v>81</v>
      </c>
      <c r="M193" s="25" t="n">
        <v>0.101962189767942</v>
      </c>
      <c r="N193" s="19" t="n">
        <v>38</v>
      </c>
      <c r="O193" s="17" t="n">
        <f aca="false">IF(N193="","",RANK(N193,$N$5:$N$389))</f>
        <v>240</v>
      </c>
      <c r="P193" s="17" t="str">
        <f aca="false">IF(AND(N(H193)&gt;=N(K193),N(H193)&gt;=N(N193)),"The Pulse",IF(N(K193)&gt;=N(N193),"The Lens","The Hub"))</f>
        <v>The Lens</v>
      </c>
      <c r="Q193" s="20" t="s">
        <v>74</v>
      </c>
      <c r="R193" s="27" t="s">
        <v>832</v>
      </c>
      <c r="S193" s="17" t="s">
        <v>24</v>
      </c>
    </row>
    <row r="194" customFormat="false" ht="15" hidden="false" customHeight="false" outlineLevel="0" collapsed="false">
      <c r="A194" s="17" t="s">
        <v>229</v>
      </c>
      <c r="B194" s="17" t="s">
        <v>230</v>
      </c>
      <c r="C194" s="17" t="s">
        <v>1901</v>
      </c>
      <c r="D194" s="17" t="s">
        <v>82</v>
      </c>
      <c r="E194" s="18" t="n">
        <v>110270</v>
      </c>
      <c r="F194" s="17" t="s">
        <v>827</v>
      </c>
      <c r="G194" s="23" t="n">
        <v>3.16058764849914</v>
      </c>
      <c r="H194" s="19" t="n">
        <v>49.7</v>
      </c>
      <c r="I194" s="17" t="n">
        <f aca="false">IF(H194="","",RANK(H194,$H$5:$H$389))</f>
        <v>190</v>
      </c>
      <c r="J194" s="24" t="n">
        <v>0.138658846368311</v>
      </c>
      <c r="K194" s="19" t="n">
        <v>80.3</v>
      </c>
      <c r="L194" s="17" t="n">
        <f aca="false">IF(K194="","",RANK(K194,$K$5:$K$389))</f>
        <v>74</v>
      </c>
      <c r="M194" s="25" t="n">
        <v>0.4083920758386</v>
      </c>
      <c r="N194" s="19" t="n">
        <v>97.1</v>
      </c>
      <c r="O194" s="17" t="n">
        <f aca="false">IF(N194="","",RANK(N194,$N$5:$N$389))</f>
        <v>12</v>
      </c>
      <c r="P194" s="17" t="str">
        <f aca="false">IF(AND(N(H194)&gt;=N(K194),N(H194)&gt;=N(N194)),"The Pulse",IF(N(K194)&gt;=N(N194),"The Lens","The Hub"))</f>
        <v>The Hub</v>
      </c>
      <c r="Q194" s="21" t="s">
        <v>79</v>
      </c>
      <c r="R194" s="26" t="s">
        <v>822</v>
      </c>
      <c r="S194" s="17" t="s">
        <v>22</v>
      </c>
    </row>
    <row r="195" customFormat="false" ht="15" hidden="false" customHeight="false" outlineLevel="0" collapsed="false">
      <c r="A195" s="17" t="s">
        <v>1005</v>
      </c>
      <c r="B195" s="17" t="s">
        <v>1006</v>
      </c>
      <c r="C195" s="17" t="s">
        <v>1902</v>
      </c>
      <c r="D195" s="17" t="s">
        <v>72</v>
      </c>
      <c r="E195" s="18" t="n">
        <v>40220</v>
      </c>
      <c r="F195" s="17" t="s">
        <v>821</v>
      </c>
      <c r="G195" s="23" t="n">
        <v>3.15193933366484</v>
      </c>
      <c r="H195" s="19" t="n">
        <v>49.3</v>
      </c>
      <c r="I195" s="17" t="n">
        <f aca="false">IF(H195="","",RANK(H195,$H$5:$H$389))</f>
        <v>191</v>
      </c>
      <c r="J195" s="24" t="n">
        <v>0.167150319210679</v>
      </c>
      <c r="K195" s="19" t="n">
        <v>84.7</v>
      </c>
      <c r="L195" s="17" t="n">
        <f aca="false">IF(K195="","",RANK(K195,$K$5:$K$389))</f>
        <v>56</v>
      </c>
      <c r="M195" s="25" t="n">
        <v>0.0888273511556076</v>
      </c>
      <c r="N195" s="19" t="n">
        <v>31.8</v>
      </c>
      <c r="O195" s="17" t="n">
        <f aca="false">IF(N195="","",RANK(N195,$N$5:$N$389))</f>
        <v>266</v>
      </c>
      <c r="P195" s="17" t="str">
        <f aca="false">IF(AND(N(H195)&gt;=N(K195),N(H195)&gt;=N(N195)),"The Pulse",IF(N(K195)&gt;=N(N195),"The Lens","The Hub"))</f>
        <v>The Lens</v>
      </c>
      <c r="Q195" s="21" t="s">
        <v>79</v>
      </c>
      <c r="R195" s="27" t="s">
        <v>832</v>
      </c>
      <c r="S195" s="17" t="s">
        <v>88</v>
      </c>
    </row>
    <row r="196" customFormat="false" ht="15" hidden="false" customHeight="false" outlineLevel="0" collapsed="false">
      <c r="A196" s="17" t="s">
        <v>419</v>
      </c>
      <c r="B196" s="17" t="s">
        <v>420</v>
      </c>
      <c r="C196" s="17" t="s">
        <v>1903</v>
      </c>
      <c r="D196" s="17" t="s">
        <v>162</v>
      </c>
      <c r="E196" s="18" t="n">
        <v>18970</v>
      </c>
      <c r="F196" s="17" t="s">
        <v>821</v>
      </c>
      <c r="G196" s="23" t="n">
        <v>3.14992092778071</v>
      </c>
      <c r="H196" s="19" t="n">
        <v>49.1</v>
      </c>
      <c r="I196" s="17" t="n">
        <f aca="false">IF(H196="","",RANK(H196,$H$5:$H$389))</f>
        <v>192</v>
      </c>
      <c r="J196" s="24" t="n">
        <v>0.144840072420036</v>
      </c>
      <c r="K196" s="19" t="n">
        <v>78.5</v>
      </c>
      <c r="L196" s="17" t="n">
        <f aca="false">IF(K196="","",RANK(K196,$K$5:$K$389))</f>
        <v>79</v>
      </c>
      <c r="M196" s="25" t="n">
        <v>0.0617900954111767</v>
      </c>
      <c r="N196" s="19" t="n">
        <v>16.6</v>
      </c>
      <c r="O196" s="17" t="n">
        <f aca="false">IF(N196="","",RANK(N196,$N$5:$N$389))</f>
        <v>320</v>
      </c>
      <c r="P196" s="17" t="str">
        <f aca="false">IF(AND(N(H196)&gt;=N(K196),N(H196)&gt;=N(N196)),"The Pulse",IF(N(K196)&gt;=N(N196),"The Lens","The Hub"))</f>
        <v>The Lens</v>
      </c>
      <c r="Q196" s="20" t="s">
        <v>74</v>
      </c>
      <c r="R196" s="26" t="s">
        <v>822</v>
      </c>
      <c r="S196" s="17" t="s">
        <v>24</v>
      </c>
    </row>
    <row r="197" customFormat="false" ht="15" hidden="false" customHeight="false" outlineLevel="0" collapsed="false">
      <c r="A197" s="17" t="s">
        <v>1904</v>
      </c>
      <c r="B197" s="17" t="s">
        <v>1905</v>
      </c>
      <c r="C197" s="17" t="s">
        <v>1906</v>
      </c>
      <c r="D197" s="17" t="s">
        <v>86</v>
      </c>
      <c r="E197" s="18" t="n">
        <v>55870</v>
      </c>
      <c r="F197" s="17" t="s">
        <v>821</v>
      </c>
      <c r="G197" s="23" t="n">
        <v>3.08097368892071</v>
      </c>
      <c r="H197" s="19" t="n">
        <v>47.9</v>
      </c>
      <c r="I197" s="17" t="n">
        <f aca="false">IF(H197="","",RANK(H197,$H$5:$H$389))</f>
        <v>193</v>
      </c>
      <c r="J197" s="24" t="n">
        <v>-0.0444672481614503</v>
      </c>
      <c r="K197" s="19" t="n">
        <v>4.7</v>
      </c>
      <c r="L197" s="17" t="n">
        <f aca="false">IF(K197="","",RANK(K197,$K$5:$K$389))</f>
        <v>369</v>
      </c>
      <c r="M197" s="25" t="n">
        <v>0.0990234709611102</v>
      </c>
      <c r="N197" s="19" t="n">
        <v>36.9</v>
      </c>
      <c r="O197" s="17" t="n">
        <f aca="false">IF(N197="","",RANK(N197,$N$5:$N$389))</f>
        <v>245</v>
      </c>
      <c r="P197" s="17" t="str">
        <f aca="false">IF(AND(N(H197)&gt;=N(K197),N(H197)&gt;=N(N197)),"The Pulse",IF(N(K197)&gt;=N(N197),"The Lens","The Hub"))</f>
        <v>The Pulse</v>
      </c>
      <c r="Q197" s="20" t="s">
        <v>74</v>
      </c>
      <c r="R197" s="27" t="s">
        <v>832</v>
      </c>
      <c r="S197" s="17" t="s">
        <v>24</v>
      </c>
    </row>
    <row r="198" customFormat="false" ht="15" hidden="false" customHeight="false" outlineLevel="0" collapsed="false">
      <c r="A198" s="17" t="s">
        <v>1907</v>
      </c>
      <c r="B198" s="17" t="s">
        <v>1908</v>
      </c>
      <c r="C198" s="17" t="s">
        <v>1909</v>
      </c>
      <c r="D198" s="17" t="s">
        <v>162</v>
      </c>
      <c r="E198" s="18" t="n">
        <v>241850</v>
      </c>
      <c r="F198" s="17" t="s">
        <v>827</v>
      </c>
      <c r="G198" s="23" t="n">
        <v>3.08072358900145</v>
      </c>
      <c r="H198" s="19" t="n">
        <v>47.7</v>
      </c>
      <c r="I198" s="17" t="n">
        <f aca="false">IF(H198="","",RANK(H198,$H$5:$H$389))</f>
        <v>194</v>
      </c>
      <c r="J198" s="24" t="n">
        <v>0.0171166624610985</v>
      </c>
      <c r="K198" s="19" t="n">
        <v>21</v>
      </c>
      <c r="L198" s="17" t="n">
        <f aca="false">IF(K198="","",RANK(K198,$K$5:$K$389))</f>
        <v>306</v>
      </c>
      <c r="M198" s="25" t="n">
        <v>0.0561667807958609</v>
      </c>
      <c r="N198" s="19" t="n">
        <v>13.5</v>
      </c>
      <c r="O198" s="17" t="n">
        <f aca="false">IF(N198="","",RANK(N198,$N$5:$N$389))</f>
        <v>332</v>
      </c>
      <c r="P198" s="17" t="str">
        <f aca="false">IF(AND(N(H198)&gt;=N(K198),N(H198)&gt;=N(N198)),"The Pulse",IF(N(K198)&gt;=N(N198),"The Lens","The Hub"))</f>
        <v>The Pulse</v>
      </c>
      <c r="Q198" s="20" t="s">
        <v>74</v>
      </c>
      <c r="R198" s="27" t="s">
        <v>832</v>
      </c>
      <c r="S198" s="17" t="s">
        <v>24</v>
      </c>
    </row>
    <row r="199" customFormat="false" ht="15" hidden="false" customHeight="false" outlineLevel="0" collapsed="false">
      <c r="A199" s="17" t="s">
        <v>1910</v>
      </c>
      <c r="B199" s="17" t="s">
        <v>1911</v>
      </c>
      <c r="C199" s="17" t="s">
        <v>1912</v>
      </c>
      <c r="D199" s="17" t="s">
        <v>77</v>
      </c>
      <c r="E199" s="18" t="n">
        <v>986040</v>
      </c>
      <c r="F199" s="17" t="s">
        <v>827</v>
      </c>
      <c r="G199" s="23" t="n">
        <v>3.06731775587197</v>
      </c>
      <c r="H199" s="19" t="n">
        <v>47.3</v>
      </c>
      <c r="I199" s="17" t="n">
        <f aca="false">IF(H199="","",RANK(H199,$H$5:$H$389))</f>
        <v>195</v>
      </c>
      <c r="J199" s="24" t="n">
        <v>0.0879480983747642</v>
      </c>
      <c r="K199" s="19" t="n">
        <v>54.8</v>
      </c>
      <c r="L199" s="17" t="n">
        <f aca="false">IF(K199="","",RANK(K199,$K$5:$K$389))</f>
        <v>176</v>
      </c>
      <c r="M199" s="25" t="n">
        <v>0.0970939875935993</v>
      </c>
      <c r="N199" s="19" t="n">
        <v>35.5</v>
      </c>
      <c r="O199" s="17" t="n">
        <f aca="false">IF(N199="","",RANK(N199,$N$5:$N$389))</f>
        <v>250</v>
      </c>
      <c r="P199" s="17" t="str">
        <f aca="false">IF(AND(N(H199)&gt;=N(K199),N(H199)&gt;=N(N199)),"The Pulse",IF(N(K199)&gt;=N(N199),"The Lens","The Hub"))</f>
        <v>The Lens</v>
      </c>
      <c r="Q199" s="20" t="s">
        <v>74</v>
      </c>
      <c r="R199" s="27" t="s">
        <v>832</v>
      </c>
      <c r="S199" s="17" t="s">
        <v>24</v>
      </c>
    </row>
    <row r="200" customFormat="false" ht="15" hidden="false" customHeight="false" outlineLevel="0" collapsed="false">
      <c r="A200" s="17" t="s">
        <v>960</v>
      </c>
      <c r="B200" s="17" t="s">
        <v>961</v>
      </c>
      <c r="C200" s="17" t="s">
        <v>1913</v>
      </c>
      <c r="D200" s="17" t="s">
        <v>123</v>
      </c>
      <c r="E200" s="18" t="n">
        <v>51140</v>
      </c>
      <c r="F200" s="17" t="s">
        <v>821</v>
      </c>
      <c r="G200" s="23" t="n">
        <v>3.06040281579977</v>
      </c>
      <c r="H200" s="19" t="n">
        <v>47.2</v>
      </c>
      <c r="I200" s="17" t="n">
        <f aca="false">IF(H200="","",RANK(H200,$H$5:$H$389))</f>
        <v>196</v>
      </c>
      <c r="J200" s="24" t="n">
        <v>0.0866978325541861</v>
      </c>
      <c r="K200" s="19" t="n">
        <v>52.7</v>
      </c>
      <c r="L200" s="17" t="n">
        <f aca="false">IF(K200="","",RANK(K200,$K$5:$K$389))</f>
        <v>186</v>
      </c>
      <c r="M200" s="25" t="n">
        <v>0.126189676408017</v>
      </c>
      <c r="N200" s="19" t="n">
        <v>47.7</v>
      </c>
      <c r="O200" s="17" t="n">
        <f aca="false">IF(N200="","",RANK(N200,$N$5:$N$389))</f>
        <v>202</v>
      </c>
      <c r="P200" s="17" t="str">
        <f aca="false">IF(AND(N(H200)&gt;=N(K200),N(H200)&gt;=N(N200)),"The Pulse",IF(N(K200)&gt;=N(N200),"The Lens","The Hub"))</f>
        <v>The Lens</v>
      </c>
      <c r="Q200" s="20" t="s">
        <v>74</v>
      </c>
      <c r="R200" s="27" t="s">
        <v>832</v>
      </c>
      <c r="S200" s="17" t="s">
        <v>24</v>
      </c>
    </row>
    <row r="201" customFormat="false" ht="15" hidden="false" customHeight="false" outlineLevel="0" collapsed="false">
      <c r="A201" s="17" t="s">
        <v>285</v>
      </c>
      <c r="B201" s="17" t="s">
        <v>286</v>
      </c>
      <c r="C201" s="17" t="s">
        <v>1914</v>
      </c>
      <c r="D201" s="17" t="s">
        <v>72</v>
      </c>
      <c r="E201" s="18" t="n">
        <v>27750</v>
      </c>
      <c r="F201" s="17" t="s">
        <v>821</v>
      </c>
      <c r="G201" s="23" t="n">
        <v>3.05246846846847</v>
      </c>
      <c r="H201" s="19" t="n">
        <v>47</v>
      </c>
      <c r="I201" s="17" t="n">
        <f aca="false">IF(H201="","",RANK(H201,$H$5:$H$389))</f>
        <v>197</v>
      </c>
      <c r="J201" s="24" t="n">
        <v>0.125760649087221</v>
      </c>
      <c r="K201" s="19" t="n">
        <v>71.3</v>
      </c>
      <c r="L201" s="17" t="n">
        <f aca="false">IF(K201="","",RANK(K201,$K$5:$K$389))</f>
        <v>104</v>
      </c>
      <c r="M201" s="25" t="n">
        <v>0.016254100805249</v>
      </c>
      <c r="N201" s="19" t="n">
        <v>2.4</v>
      </c>
      <c r="O201" s="17" t="n">
        <f aca="false">IF(N201="","",RANK(N201,$N$5:$N$389))</f>
        <v>375</v>
      </c>
      <c r="P201" s="17" t="str">
        <f aca="false">IF(AND(N(H201)&gt;=N(K201),N(H201)&gt;=N(N201)),"The Pulse",IF(N(K201)&gt;=N(N201),"The Lens","The Hub"))</f>
        <v>The Lens</v>
      </c>
      <c r="Q201" s="20" t="s">
        <v>74</v>
      </c>
      <c r="R201" s="26" t="s">
        <v>822</v>
      </c>
      <c r="S201" s="17" t="s">
        <v>24</v>
      </c>
    </row>
    <row r="202" customFormat="false" ht="15" hidden="false" customHeight="false" outlineLevel="0" collapsed="false">
      <c r="A202" s="17" t="s">
        <v>535</v>
      </c>
      <c r="B202" s="17" t="s">
        <v>536</v>
      </c>
      <c r="C202" s="17" t="s">
        <v>1915</v>
      </c>
      <c r="D202" s="17" t="s">
        <v>115</v>
      </c>
      <c r="E202" s="18" t="n">
        <v>113880</v>
      </c>
      <c r="F202" s="17" t="s">
        <v>827</v>
      </c>
      <c r="G202" s="23" t="n">
        <v>3.04059536354057</v>
      </c>
      <c r="H202" s="19" t="n">
        <v>46.8</v>
      </c>
      <c r="I202" s="17" t="n">
        <f aca="false">IF(H202="","",RANK(H202,$H$5:$H$389))</f>
        <v>198</v>
      </c>
      <c r="J202" s="24" t="n">
        <v>0.0482326951399116</v>
      </c>
      <c r="K202" s="19" t="n">
        <v>34.4</v>
      </c>
      <c r="L202" s="17" t="n">
        <f aca="false">IF(K202="","",RANK(K202,$K$5:$K$389))</f>
        <v>258</v>
      </c>
      <c r="M202" s="25" t="n">
        <v>0.0755825838103025</v>
      </c>
      <c r="N202" s="19" t="n">
        <v>22.7</v>
      </c>
      <c r="O202" s="17" t="n">
        <f aca="false">IF(N202="","",RANK(N202,$N$5:$N$389))</f>
        <v>297</v>
      </c>
      <c r="P202" s="17" t="str">
        <f aca="false">IF(AND(N(H202)&gt;=N(K202),N(H202)&gt;=N(N202)),"The Pulse",IF(N(K202)&gt;=N(N202),"The Lens","The Hub"))</f>
        <v>The Pulse</v>
      </c>
      <c r="Q202" s="20" t="s">
        <v>74</v>
      </c>
      <c r="R202" s="26" t="s">
        <v>822</v>
      </c>
      <c r="S202" s="17" t="s">
        <v>24</v>
      </c>
    </row>
    <row r="203" customFormat="false" ht="15" hidden="false" customHeight="false" outlineLevel="0" collapsed="false">
      <c r="A203" s="17" t="s">
        <v>1474</v>
      </c>
      <c r="B203" s="17" t="s">
        <v>1475</v>
      </c>
      <c r="C203" s="17" t="s">
        <v>1916</v>
      </c>
      <c r="D203" s="17" t="s">
        <v>86</v>
      </c>
      <c r="E203" s="18" t="n">
        <v>11240</v>
      </c>
      <c r="F203" s="17" t="s">
        <v>821</v>
      </c>
      <c r="G203" s="23" t="n">
        <v>3.01174377224199</v>
      </c>
      <c r="H203" s="19" t="n">
        <v>46.4</v>
      </c>
      <c r="I203" s="17" t="n">
        <f aca="false">IF(H203="","",RANK(H203,$H$5:$H$389))</f>
        <v>199</v>
      </c>
      <c r="J203" s="24" t="n">
        <v>0.033986581920904</v>
      </c>
      <c r="K203" s="19" t="n">
        <v>22.9</v>
      </c>
      <c r="L203" s="17" t="n">
        <f aca="false">IF(K203="","",RANK(K203,$K$5:$K$389))</f>
        <v>301</v>
      </c>
      <c r="M203" s="25" t="n">
        <v>0.162287480680062</v>
      </c>
      <c r="N203" s="19" t="n">
        <v>59.2</v>
      </c>
      <c r="O203" s="17" t="n">
        <f aca="false">IF(N203="","",RANK(N203,$N$5:$N$389))</f>
        <v>160</v>
      </c>
      <c r="P203" s="17" t="str">
        <f aca="false">IF(AND(N(H203)&gt;=N(K203),N(H203)&gt;=N(N203)),"The Pulse",IF(N(K203)&gt;=N(N203),"The Lens","The Hub"))</f>
        <v>The Hub</v>
      </c>
      <c r="Q203" s="21" t="s">
        <v>79</v>
      </c>
      <c r="R203" s="27" t="s">
        <v>832</v>
      </c>
      <c r="S203" s="17" t="s">
        <v>88</v>
      </c>
    </row>
    <row r="204" customFormat="false" ht="15" hidden="false" customHeight="false" outlineLevel="0" collapsed="false">
      <c r="A204" s="17" t="s">
        <v>519</v>
      </c>
      <c r="B204" s="17" t="s">
        <v>520</v>
      </c>
      <c r="C204" s="17" t="s">
        <v>1917</v>
      </c>
      <c r="D204" s="17" t="s">
        <v>123</v>
      </c>
      <c r="E204" s="18" t="n">
        <v>11241</v>
      </c>
      <c r="F204" s="17" t="s">
        <v>821</v>
      </c>
      <c r="G204" s="23" t="n">
        <v>2.99003647362334</v>
      </c>
      <c r="H204" s="19" t="n">
        <v>46.2</v>
      </c>
      <c r="I204" s="17" t="n">
        <f aca="false">IF(H204="","",RANK(H204,$H$5:$H$389))</f>
        <v>200</v>
      </c>
      <c r="J204" s="24" t="n">
        <v>0.0179299103504483</v>
      </c>
      <c r="K204" s="19" t="n">
        <v>17.8</v>
      </c>
      <c r="L204" s="17" t="n">
        <f aca="false">IF(K204="","",RANK(K204,$K$5:$K$389))</f>
        <v>316</v>
      </c>
      <c r="M204" s="25" t="n">
        <v>0.22507403751234</v>
      </c>
      <c r="N204" s="19" t="n">
        <v>75.5</v>
      </c>
      <c r="O204" s="17" t="n">
        <f aca="false">IF(N204="","",RANK(N204,$N$5:$N$389))</f>
        <v>94</v>
      </c>
      <c r="P204" s="17" t="str">
        <f aca="false">IF(AND(N(H204)&gt;=N(K204),N(H204)&gt;=N(N204)),"The Pulse",IF(N(K204)&gt;=N(N204),"The Lens","The Hub"))</f>
        <v>The Hub</v>
      </c>
      <c r="Q204" s="21" t="s">
        <v>79</v>
      </c>
      <c r="R204" s="26" t="s">
        <v>822</v>
      </c>
      <c r="S204" s="17" t="s">
        <v>22</v>
      </c>
    </row>
    <row r="205" customFormat="false" ht="15" hidden="false" customHeight="false" outlineLevel="0" collapsed="false">
      <c r="A205" s="17" t="s">
        <v>585</v>
      </c>
      <c r="B205" s="17" t="s">
        <v>586</v>
      </c>
      <c r="C205" s="17" t="s">
        <v>1918</v>
      </c>
      <c r="D205" s="17" t="s">
        <v>123</v>
      </c>
      <c r="E205" s="18" t="n">
        <v>279740</v>
      </c>
      <c r="F205" s="17" t="s">
        <v>827</v>
      </c>
      <c r="G205" s="23" t="n">
        <v>2.97267462643884</v>
      </c>
      <c r="H205" s="19" t="n">
        <v>46</v>
      </c>
      <c r="I205" s="17" t="n">
        <f aca="false">IF(H205="","",RANK(H205,$H$5:$H$389))</f>
        <v>201</v>
      </c>
      <c r="J205" s="24" t="n">
        <v>0.143102321019941</v>
      </c>
      <c r="K205" s="19" t="n">
        <v>82.8</v>
      </c>
      <c r="L205" s="17" t="n">
        <f aca="false">IF(K205="","",RANK(K205,$K$5:$K$389))</f>
        <v>64</v>
      </c>
      <c r="M205" s="25" t="n">
        <v>0.243366186504928</v>
      </c>
      <c r="N205" s="19" t="n">
        <v>80.6</v>
      </c>
      <c r="O205" s="17" t="n">
        <f aca="false">IF(N205="","",RANK(N205,$N$5:$N$389))</f>
        <v>76</v>
      </c>
      <c r="P205" s="17" t="str">
        <f aca="false">IF(AND(N(H205)&gt;=N(K205),N(H205)&gt;=N(N205)),"The Pulse",IF(N(K205)&gt;=N(N205),"The Lens","The Hub"))</f>
        <v>The Lens</v>
      </c>
      <c r="Q205" s="20" t="s">
        <v>74</v>
      </c>
      <c r="R205" s="26" t="s">
        <v>822</v>
      </c>
      <c r="S205" s="17" t="s">
        <v>24</v>
      </c>
    </row>
    <row r="206" customFormat="false" ht="15" hidden="false" customHeight="false" outlineLevel="0" collapsed="false">
      <c r="A206" s="17" t="s">
        <v>525</v>
      </c>
      <c r="B206" s="17" t="s">
        <v>526</v>
      </c>
      <c r="C206" s="17" t="s">
        <v>1919</v>
      </c>
      <c r="D206" s="17" t="s">
        <v>77</v>
      </c>
      <c r="E206" s="18" t="n">
        <v>831600</v>
      </c>
      <c r="F206" s="17" t="s">
        <v>827</v>
      </c>
      <c r="G206" s="23" t="n">
        <v>2.95628776697948</v>
      </c>
      <c r="H206" s="19" t="n">
        <v>45.8</v>
      </c>
      <c r="I206" s="17" t="n">
        <f aca="false">IF(H206="","",RANK(H206,$H$5:$H$389))</f>
        <v>202</v>
      </c>
      <c r="J206" s="24" t="n">
        <v>0.103649635036496</v>
      </c>
      <c r="K206" s="19" t="n">
        <v>64.3</v>
      </c>
      <c r="L206" s="17" t="n">
        <f aca="false">IF(K206="","",RANK(K206,$K$5:$K$389))</f>
        <v>135</v>
      </c>
      <c r="M206" s="25" t="n">
        <v>0.23791681046525</v>
      </c>
      <c r="N206" s="19" t="n">
        <v>78.6</v>
      </c>
      <c r="O206" s="17" t="n">
        <f aca="false">IF(N206="","",RANK(N206,$N$5:$N$389))</f>
        <v>83</v>
      </c>
      <c r="P206" s="17" t="str">
        <f aca="false">IF(AND(N(H206)&gt;=N(K206),N(H206)&gt;=N(N206)),"The Pulse",IF(N(K206)&gt;=N(N206),"The Lens","The Hub"))</f>
        <v>The Hub</v>
      </c>
      <c r="Q206" s="21" t="s">
        <v>79</v>
      </c>
      <c r="R206" s="26" t="s">
        <v>822</v>
      </c>
      <c r="S206" s="17" t="s">
        <v>88</v>
      </c>
    </row>
    <row r="207" customFormat="false" ht="15" hidden="false" customHeight="false" outlineLevel="0" collapsed="false">
      <c r="A207" s="17" t="s">
        <v>1920</v>
      </c>
      <c r="B207" s="17" t="s">
        <v>1921</v>
      </c>
      <c r="C207" s="17" t="s">
        <v>1922</v>
      </c>
      <c r="D207" s="17" t="s">
        <v>72</v>
      </c>
      <c r="E207" s="18" t="n">
        <v>65960</v>
      </c>
      <c r="F207" s="17" t="s">
        <v>821</v>
      </c>
      <c r="G207" s="23" t="n">
        <v>2.95409338993329</v>
      </c>
      <c r="H207" s="19" t="n">
        <v>45.6</v>
      </c>
      <c r="I207" s="17" t="n">
        <f aca="false">IF(H207="","",RANK(H207,$H$5:$H$389))</f>
        <v>203</v>
      </c>
      <c r="J207" s="24" t="n">
        <v>0.0595983935742972</v>
      </c>
      <c r="K207" s="19" t="n">
        <v>34.5</v>
      </c>
      <c r="L207" s="17" t="n">
        <f aca="false">IF(K207="","",RANK(K207,$K$5:$K$389))</f>
        <v>257</v>
      </c>
      <c r="M207" s="25" t="n">
        <v>0.156094839609484</v>
      </c>
      <c r="N207" s="19" t="n">
        <v>57.8</v>
      </c>
      <c r="O207" s="17" t="n">
        <f aca="false">IF(N207="","",RANK(N207,$N$5:$N$389))</f>
        <v>165</v>
      </c>
      <c r="P207" s="17" t="str">
        <f aca="false">IF(AND(N(H207)&gt;=N(K207),N(H207)&gt;=N(N207)),"The Pulse",IF(N(K207)&gt;=N(N207),"The Lens","The Hub"))</f>
        <v>The Hub</v>
      </c>
      <c r="Q207" s="20" t="s">
        <v>74</v>
      </c>
      <c r="R207" s="27" t="s">
        <v>832</v>
      </c>
      <c r="S207" s="17" t="s">
        <v>24</v>
      </c>
    </row>
    <row r="208" customFormat="false" ht="15" hidden="false" customHeight="false" outlineLevel="0" collapsed="false">
      <c r="A208" s="17" t="s">
        <v>623</v>
      </c>
      <c r="B208" s="17" t="s">
        <v>624</v>
      </c>
      <c r="C208" s="17" t="s">
        <v>1923</v>
      </c>
      <c r="D208" s="17" t="s">
        <v>86</v>
      </c>
      <c r="E208" s="18" t="n">
        <v>217320</v>
      </c>
      <c r="F208" s="17" t="s">
        <v>827</v>
      </c>
      <c r="G208" s="23" t="n">
        <v>2.93914964108228</v>
      </c>
      <c r="H208" s="19" t="n">
        <v>45.4</v>
      </c>
      <c r="I208" s="17" t="n">
        <f aca="false">IF(H208="","",RANK(H208,$H$5:$H$389))</f>
        <v>204</v>
      </c>
      <c r="J208" s="24" t="n">
        <v>0.139949643306756</v>
      </c>
      <c r="K208" s="19" t="n">
        <v>80.9</v>
      </c>
      <c r="L208" s="17" t="n">
        <f aca="false">IF(K208="","",RANK(K208,$K$5:$K$389))</f>
        <v>72</v>
      </c>
      <c r="M208" s="25" t="n">
        <v>0.0865199155007195</v>
      </c>
      <c r="N208" s="19" t="n">
        <v>30</v>
      </c>
      <c r="O208" s="17" t="n">
        <f aca="false">IF(N208="","",RANK(N208,$N$5:$N$389))</f>
        <v>273</v>
      </c>
      <c r="P208" s="17" t="str">
        <f aca="false">IF(AND(N(H208)&gt;=N(K208),N(H208)&gt;=N(N208)),"The Pulse",IF(N(K208)&gt;=N(N208),"The Lens","The Hub"))</f>
        <v>The Lens</v>
      </c>
      <c r="Q208" s="20" t="s">
        <v>74</v>
      </c>
      <c r="R208" s="26" t="s">
        <v>822</v>
      </c>
      <c r="S208" s="17" t="s">
        <v>24</v>
      </c>
    </row>
    <row r="209" customFormat="false" ht="15" hidden="false" customHeight="false" outlineLevel="0" collapsed="false">
      <c r="A209" s="17" t="s">
        <v>637</v>
      </c>
      <c r="B209" s="17" t="s">
        <v>638</v>
      </c>
      <c r="C209" s="17" t="s">
        <v>1924</v>
      </c>
      <c r="D209" s="17" t="s">
        <v>77</v>
      </c>
      <c r="E209" s="18" t="n">
        <v>17080</v>
      </c>
      <c r="F209" s="17" t="s">
        <v>821</v>
      </c>
      <c r="G209" s="23" t="n">
        <v>2.93384074941452</v>
      </c>
      <c r="H209" s="19" t="n">
        <v>45.2</v>
      </c>
      <c r="I209" s="17" t="n">
        <f aca="false">IF(H209="","",RANK(H209,$H$5:$H$389))</f>
        <v>205</v>
      </c>
      <c r="J209" s="24" t="n">
        <v>0.199438202247191</v>
      </c>
      <c r="K209" s="19" t="n">
        <v>93.8</v>
      </c>
      <c r="L209" s="17" t="n">
        <f aca="false">IF(K209="","",RANK(K209,$K$5:$K$389))</f>
        <v>24</v>
      </c>
      <c r="M209" s="25" t="n">
        <v>0.011994669035984</v>
      </c>
      <c r="N209" s="19" t="n">
        <v>1.3</v>
      </c>
      <c r="O209" s="17" t="n">
        <f aca="false">IF(N209="","",RANK(N209,$N$5:$N$389))</f>
        <v>380</v>
      </c>
      <c r="P209" s="17" t="str">
        <f aca="false">IF(AND(N(H209)&gt;=N(K209),N(H209)&gt;=N(N209)),"The Pulse",IF(N(K209)&gt;=N(N209),"The Lens","The Hub"))</f>
        <v>The Lens</v>
      </c>
      <c r="Q209" s="20" t="s">
        <v>74</v>
      </c>
      <c r="R209" s="26" t="s">
        <v>822</v>
      </c>
      <c r="S209" s="17" t="s">
        <v>24</v>
      </c>
    </row>
    <row r="210" customFormat="false" ht="15" hidden="false" customHeight="false" outlineLevel="0" collapsed="false">
      <c r="A210" s="17" t="s">
        <v>1925</v>
      </c>
      <c r="B210" s="17" t="s">
        <v>1926</v>
      </c>
      <c r="C210" s="17" t="s">
        <v>1927</v>
      </c>
      <c r="D210" s="17" t="s">
        <v>86</v>
      </c>
      <c r="E210" s="18" t="n">
        <v>14950</v>
      </c>
      <c r="F210" s="17" t="s">
        <v>821</v>
      </c>
      <c r="G210" s="23" t="n">
        <v>2.92608695652174</v>
      </c>
      <c r="H210" s="19" t="n">
        <v>45</v>
      </c>
      <c r="I210" s="17" t="n">
        <f aca="false">IF(H210="","",RANK(H210,$H$5:$H$389))</f>
        <v>206</v>
      </c>
      <c r="J210" s="24" t="n">
        <v>0.0786435786435786</v>
      </c>
      <c r="K210" s="19" t="n">
        <v>45.8</v>
      </c>
      <c r="L210" s="17" t="n">
        <f aca="false">IF(K210="","",RANK(K210,$K$5:$K$389))</f>
        <v>214</v>
      </c>
      <c r="M210" s="25" t="n">
        <v>0.0908304498269896</v>
      </c>
      <c r="N210" s="19" t="n">
        <v>33.6</v>
      </c>
      <c r="O210" s="17" t="n">
        <f aca="false">IF(N210="","",RANK(N210,$N$5:$N$389))</f>
        <v>259</v>
      </c>
      <c r="P210" s="17" t="str">
        <f aca="false">IF(AND(N(H210)&gt;=N(K210),N(H210)&gt;=N(N210)),"The Pulse",IF(N(K210)&gt;=N(N210),"The Lens","The Hub"))</f>
        <v>The Lens</v>
      </c>
      <c r="Q210" s="20" t="s">
        <v>74</v>
      </c>
      <c r="R210" s="27" t="s">
        <v>832</v>
      </c>
      <c r="S210" s="17" t="s">
        <v>24</v>
      </c>
    </row>
    <row r="211" customFormat="false" ht="15" hidden="false" customHeight="false" outlineLevel="0" collapsed="false">
      <c r="A211" s="17" t="s">
        <v>1928</v>
      </c>
      <c r="B211" s="17" t="s">
        <v>1929</v>
      </c>
      <c r="C211" s="17" t="s">
        <v>1930</v>
      </c>
      <c r="D211" s="17" t="s">
        <v>115</v>
      </c>
      <c r="E211" s="18" t="n">
        <v>7690</v>
      </c>
      <c r="F211" s="17" t="s">
        <v>825</v>
      </c>
      <c r="G211" s="23" t="n">
        <v>2.90858257477243</v>
      </c>
      <c r="H211" s="19" t="n">
        <v>44.8</v>
      </c>
      <c r="I211" s="17" t="n">
        <f aca="false">IF(H211="","",RANK(H211,$H$5:$H$389))</f>
        <v>207</v>
      </c>
      <c r="J211" s="24" t="n">
        <v>0.168693009118541</v>
      </c>
      <c r="K211" s="19" t="n">
        <v>81.1</v>
      </c>
      <c r="L211" s="17" t="n">
        <f aca="false">IF(K211="","",RANK(K211,$K$5:$K$389))</f>
        <v>70</v>
      </c>
      <c r="M211" s="25" t="n">
        <v>0.232425585813806</v>
      </c>
      <c r="N211" s="19" t="n">
        <v>77</v>
      </c>
      <c r="O211" s="17" t="n">
        <f aca="false">IF(N211="","",RANK(N211,$N$5:$N$389))</f>
        <v>89</v>
      </c>
      <c r="P211" s="17" t="str">
        <f aca="false">IF(AND(N(H211)&gt;=N(K211),N(H211)&gt;=N(N211)),"The Pulse",IF(N(K211)&gt;=N(N211),"The Lens","The Hub"))</f>
        <v>The Lens</v>
      </c>
      <c r="Q211" s="20" t="s">
        <v>74</v>
      </c>
      <c r="R211" s="27" t="s">
        <v>832</v>
      </c>
      <c r="S211" s="17" t="s">
        <v>24</v>
      </c>
    </row>
    <row r="212" customFormat="false" ht="15" hidden="false" customHeight="false" outlineLevel="0" collapsed="false">
      <c r="A212" s="17" t="s">
        <v>1931</v>
      </c>
      <c r="B212" s="17" t="s">
        <v>1932</v>
      </c>
      <c r="C212" s="17" t="s">
        <v>1933</v>
      </c>
      <c r="D212" s="17" t="s">
        <v>98</v>
      </c>
      <c r="E212" s="18" t="n">
        <v>31860</v>
      </c>
      <c r="F212" s="17" t="s">
        <v>821</v>
      </c>
      <c r="G212" s="23" t="n">
        <v>2.90128688010044</v>
      </c>
      <c r="H212" s="19" t="n">
        <v>44.6</v>
      </c>
      <c r="I212" s="17" t="n">
        <f aca="false">IF(H212="","",RANK(H212,$H$5:$H$389))</f>
        <v>208</v>
      </c>
      <c r="J212" s="24" t="n">
        <v>0.0648395721925134</v>
      </c>
      <c r="K212" s="19" t="n">
        <v>37.8</v>
      </c>
      <c r="L212" s="17" t="n">
        <f aca="false">IF(K212="","",RANK(K212,$K$5:$K$389))</f>
        <v>244</v>
      </c>
      <c r="M212" s="25" t="n">
        <v>0.332916319154851</v>
      </c>
      <c r="N212" s="19" t="n">
        <v>93.6</v>
      </c>
      <c r="O212" s="17" t="n">
        <f aca="false">IF(N212="","",RANK(N212,$N$5:$N$389))</f>
        <v>26</v>
      </c>
      <c r="P212" s="17" t="str">
        <f aca="false">IF(AND(N(H212)&gt;=N(K212),N(H212)&gt;=N(N212)),"The Pulse",IF(N(K212)&gt;=N(N212),"The Lens","The Hub"))</f>
        <v>The Hub</v>
      </c>
      <c r="Q212" s="20" t="s">
        <v>74</v>
      </c>
      <c r="R212" s="27" t="s">
        <v>832</v>
      </c>
      <c r="S212" s="17" t="s">
        <v>24</v>
      </c>
    </row>
    <row r="213" customFormat="false" ht="15" hidden="false" customHeight="false" outlineLevel="0" collapsed="false">
      <c r="A213" s="17" t="s">
        <v>1934</v>
      </c>
      <c r="B213" s="17" t="s">
        <v>1935</v>
      </c>
      <c r="C213" s="17" t="s">
        <v>1936</v>
      </c>
      <c r="D213" s="17" t="s">
        <v>72</v>
      </c>
      <c r="E213" s="18" t="n">
        <v>146730</v>
      </c>
      <c r="F213" s="17" t="s">
        <v>827</v>
      </c>
      <c r="G213" s="23" t="n">
        <v>2.83839705581681</v>
      </c>
      <c r="H213" s="19" t="n">
        <v>44.2</v>
      </c>
      <c r="I213" s="17" t="n">
        <f aca="false">IF(H213="","",RANK(H213,$H$5:$H$389))</f>
        <v>209</v>
      </c>
      <c r="J213" s="24" t="n">
        <v>0.133225208526413</v>
      </c>
      <c r="K213" s="19" t="n">
        <v>77.1</v>
      </c>
      <c r="L213" s="17" t="n">
        <f aca="false">IF(K213="","",RANK(K213,$K$5:$K$389))</f>
        <v>85</v>
      </c>
      <c r="M213" s="25" t="n">
        <v>0.132883124307714</v>
      </c>
      <c r="N213" s="19" t="n">
        <v>50.3</v>
      </c>
      <c r="O213" s="17" t="n">
        <f aca="false">IF(N213="","",RANK(N213,$N$5:$N$389))</f>
        <v>191</v>
      </c>
      <c r="P213" s="17" t="str">
        <f aca="false">IF(AND(N(H213)&gt;=N(K213),N(H213)&gt;=N(N213)),"The Pulse",IF(N(K213)&gt;=N(N213),"The Lens","The Hub"))</f>
        <v>The Lens</v>
      </c>
      <c r="Q213" s="20" t="s">
        <v>74</v>
      </c>
      <c r="R213" s="27" t="s">
        <v>832</v>
      </c>
      <c r="S213" s="17" t="s">
        <v>24</v>
      </c>
    </row>
    <row r="214" customFormat="false" ht="15" hidden="false" customHeight="false" outlineLevel="0" collapsed="false">
      <c r="A214" s="17" t="s">
        <v>1937</v>
      </c>
      <c r="B214" s="17" t="s">
        <v>1938</v>
      </c>
      <c r="C214" s="17" t="s">
        <v>1939</v>
      </c>
      <c r="D214" s="17"/>
      <c r="E214" s="18" t="n">
        <v>172540</v>
      </c>
      <c r="F214" s="17" t="s">
        <v>827</v>
      </c>
      <c r="G214" s="23" t="n">
        <v>2.83211429233801</v>
      </c>
      <c r="H214" s="19" t="n">
        <v>44</v>
      </c>
      <c r="I214" s="17" t="n">
        <f aca="false">IF(H214="","",RANK(H214,$H$5:$H$389))</f>
        <v>210</v>
      </c>
      <c r="J214" s="24" t="n">
        <v>0.0264739127848177</v>
      </c>
      <c r="K214" s="19" t="n">
        <v>23.6</v>
      </c>
      <c r="L214" s="17" t="n">
        <f aca="false">IF(K214="","",RANK(K214,$K$5:$K$389))</f>
        <v>298</v>
      </c>
      <c r="M214" s="25" t="n">
        <v>0.374193134012011</v>
      </c>
      <c r="N214" s="19" t="n">
        <v>95.8</v>
      </c>
      <c r="O214" s="17" t="n">
        <f aca="false">IF(N214="","",RANK(N214,$N$5:$N$389))</f>
        <v>18</v>
      </c>
      <c r="P214" s="17" t="str">
        <f aca="false">IF(AND(N(H214)&gt;=N(K214),N(H214)&gt;=N(N214)),"The Pulse",IF(N(K214)&gt;=N(N214),"The Lens","The Hub"))</f>
        <v>The Hub</v>
      </c>
      <c r="Q214" s="20" t="s">
        <v>74</v>
      </c>
      <c r="R214" s="27" t="s">
        <v>832</v>
      </c>
      <c r="S214" s="17" t="s">
        <v>24</v>
      </c>
    </row>
    <row r="215" customFormat="false" ht="15" hidden="false" customHeight="false" outlineLevel="0" collapsed="false">
      <c r="A215" s="17" t="s">
        <v>1940</v>
      </c>
      <c r="B215" s="17" t="s">
        <v>1941</v>
      </c>
      <c r="C215" s="17" t="s">
        <v>1942</v>
      </c>
      <c r="D215" s="17" t="s">
        <v>86</v>
      </c>
      <c r="E215" s="18" t="n">
        <v>124880</v>
      </c>
      <c r="F215" s="17" t="s">
        <v>827</v>
      </c>
      <c r="G215" s="23" t="n">
        <v>2.81563901345292</v>
      </c>
      <c r="H215" s="19" t="n">
        <v>43.8</v>
      </c>
      <c r="I215" s="17" t="n">
        <f aca="false">IF(H215="","",RANK(H215,$H$5:$H$389))</f>
        <v>211</v>
      </c>
      <c r="J215" s="24" t="n">
        <v>0.0678980673849838</v>
      </c>
      <c r="K215" s="19" t="n">
        <v>43.9</v>
      </c>
      <c r="L215" s="17" t="n">
        <f aca="false">IF(K215="","",RANK(K215,$K$5:$K$389))</f>
        <v>220</v>
      </c>
      <c r="M215" s="25" t="n">
        <v>0.127537109966677</v>
      </c>
      <c r="N215" s="19" t="n">
        <v>48.3</v>
      </c>
      <c r="O215" s="17" t="n">
        <f aca="false">IF(N215="","",RANK(N215,$N$5:$N$389))</f>
        <v>199</v>
      </c>
      <c r="P215" s="17" t="str">
        <f aca="false">IF(AND(N(H215)&gt;=N(K215),N(H215)&gt;=N(N215)),"The Pulse",IF(N(K215)&gt;=N(N215),"The Lens","The Hub"))</f>
        <v>The Hub</v>
      </c>
      <c r="Q215" s="20" t="s">
        <v>74</v>
      </c>
      <c r="R215" s="27" t="s">
        <v>832</v>
      </c>
      <c r="S215" s="17" t="s">
        <v>24</v>
      </c>
    </row>
    <row r="216" customFormat="false" ht="15" hidden="false" customHeight="false" outlineLevel="0" collapsed="false">
      <c r="A216" s="17" t="s">
        <v>605</v>
      </c>
      <c r="B216" s="17" t="s">
        <v>606</v>
      </c>
      <c r="C216" s="17" t="s">
        <v>1943</v>
      </c>
      <c r="D216" s="17" t="s">
        <v>91</v>
      </c>
      <c r="E216" s="18" t="n">
        <v>155440</v>
      </c>
      <c r="F216" s="17" t="s">
        <v>827</v>
      </c>
      <c r="G216" s="23" t="n">
        <v>2.80683865156974</v>
      </c>
      <c r="H216" s="19" t="n">
        <v>43.6</v>
      </c>
      <c r="I216" s="17" t="n">
        <f aca="false">IF(H216="","",RANK(H216,$H$5:$H$389))</f>
        <v>212</v>
      </c>
      <c r="J216" s="24" t="n">
        <v>0.0435016111707841</v>
      </c>
      <c r="K216" s="19" t="n">
        <v>30.6</v>
      </c>
      <c r="L216" s="17" t="n">
        <f aca="false">IF(K216="","",RANK(K216,$K$5:$K$389))</f>
        <v>274</v>
      </c>
      <c r="M216" s="25" t="n">
        <v>0.0857015135066096</v>
      </c>
      <c r="N216" s="19" t="n">
        <v>29.6</v>
      </c>
      <c r="O216" s="17" t="n">
        <f aca="false">IF(N216="","",RANK(N216,$N$5:$N$389))</f>
        <v>275</v>
      </c>
      <c r="P216" s="17" t="str">
        <f aca="false">IF(AND(N(H216)&gt;=N(K216),N(H216)&gt;=N(N216)),"The Pulse",IF(N(K216)&gt;=N(N216),"The Lens","The Hub"))</f>
        <v>The Pulse</v>
      </c>
      <c r="Q216" s="20" t="s">
        <v>74</v>
      </c>
      <c r="R216" s="26" t="s">
        <v>822</v>
      </c>
      <c r="S216" s="17" t="s">
        <v>24</v>
      </c>
    </row>
    <row r="217" customFormat="false" ht="15" hidden="false" customHeight="false" outlineLevel="0" collapsed="false">
      <c r="A217" s="17" t="s">
        <v>401</v>
      </c>
      <c r="B217" s="17" t="s">
        <v>402</v>
      </c>
      <c r="C217" s="17" t="s">
        <v>1944</v>
      </c>
      <c r="D217" s="17" t="s">
        <v>91</v>
      </c>
      <c r="E217" s="18" t="n">
        <v>109220</v>
      </c>
      <c r="F217" s="17" t="s">
        <v>827</v>
      </c>
      <c r="G217" s="23" t="n">
        <v>2.78841787218458</v>
      </c>
      <c r="H217" s="19" t="n">
        <v>43.4</v>
      </c>
      <c r="I217" s="17" t="n">
        <f aca="false">IF(H217="","",RANK(H217,$H$5:$H$389))</f>
        <v>213</v>
      </c>
      <c r="J217" s="24" t="n">
        <v>0.112559845166548</v>
      </c>
      <c r="K217" s="19" t="n">
        <v>68.8</v>
      </c>
      <c r="L217" s="17" t="n">
        <f aca="false">IF(K217="","",RANK(K217,$K$5:$K$389))</f>
        <v>113</v>
      </c>
      <c r="M217" s="25" t="n">
        <v>0.0713215808272843</v>
      </c>
      <c r="N217" s="19" t="n">
        <v>21.2</v>
      </c>
      <c r="O217" s="17" t="n">
        <f aca="false">IF(N217="","",RANK(N217,$N$5:$N$389))</f>
        <v>303</v>
      </c>
      <c r="P217" s="17" t="str">
        <f aca="false">IF(AND(N(H217)&gt;=N(K217),N(H217)&gt;=N(N217)),"The Pulse",IF(N(K217)&gt;=N(N217),"The Lens","The Hub"))</f>
        <v>The Lens</v>
      </c>
      <c r="Q217" s="20" t="s">
        <v>74</v>
      </c>
      <c r="R217" s="26" t="s">
        <v>822</v>
      </c>
      <c r="S217" s="17" t="s">
        <v>24</v>
      </c>
    </row>
    <row r="218" customFormat="false" ht="15" hidden="false" customHeight="false" outlineLevel="0" collapsed="false">
      <c r="A218" s="17" t="s">
        <v>1945</v>
      </c>
      <c r="B218" s="17" t="s">
        <v>1946</v>
      </c>
      <c r="C218" s="17" t="s">
        <v>1947</v>
      </c>
      <c r="D218" s="17" t="s">
        <v>77</v>
      </c>
      <c r="E218" s="18" t="n">
        <v>5810</v>
      </c>
      <c r="F218" s="17" t="s">
        <v>825</v>
      </c>
      <c r="G218" s="23" t="n">
        <v>2.77418244406196</v>
      </c>
      <c r="H218" s="19" t="n">
        <v>43.2</v>
      </c>
      <c r="I218" s="17" t="n">
        <f aca="false">IF(H218="","",RANK(H218,$H$5:$H$389))</f>
        <v>214</v>
      </c>
      <c r="J218" s="24" t="n">
        <v>0.0974222896133434</v>
      </c>
      <c r="K218" s="19" t="n">
        <v>37.7</v>
      </c>
      <c r="L218" s="17" t="n">
        <f aca="false">IF(K218="","",RANK(K218,$K$5:$K$389))</f>
        <v>245</v>
      </c>
      <c r="M218" s="25" t="n">
        <v>0.016246953696182</v>
      </c>
      <c r="N218" s="19" t="n">
        <v>2.2</v>
      </c>
      <c r="O218" s="17" t="n">
        <f aca="false">IF(N218="","",RANK(N218,$N$5:$N$389))</f>
        <v>376</v>
      </c>
      <c r="P218" s="17" t="str">
        <f aca="false">IF(AND(N(H218)&gt;=N(K218),N(H218)&gt;=N(N218)),"The Pulse",IF(N(K218)&gt;=N(N218),"The Lens","The Hub"))</f>
        <v>The Pulse</v>
      </c>
      <c r="Q218" s="22" t="s">
        <v>109</v>
      </c>
      <c r="R218" s="27" t="s">
        <v>832</v>
      </c>
      <c r="S218" s="17" t="s">
        <v>155</v>
      </c>
    </row>
    <row r="219" customFormat="false" ht="15" hidden="false" customHeight="false" outlineLevel="0" collapsed="false">
      <c r="A219" s="17" t="s">
        <v>501</v>
      </c>
      <c r="B219" s="17" t="s">
        <v>502</v>
      </c>
      <c r="C219" s="17" t="s">
        <v>1948</v>
      </c>
      <c r="D219" s="17" t="s">
        <v>86</v>
      </c>
      <c r="E219" s="18" t="n">
        <v>173470</v>
      </c>
      <c r="F219" s="17" t="s">
        <v>827</v>
      </c>
      <c r="G219" s="23" t="n">
        <v>2.74941488441806</v>
      </c>
      <c r="H219" s="19" t="n">
        <v>42.8</v>
      </c>
      <c r="I219" s="17" t="n">
        <f aca="false">IF(H219="","",RANK(H219,$H$5:$H$389))</f>
        <v>215</v>
      </c>
      <c r="J219" s="24" t="n">
        <v>0.106243224284166</v>
      </c>
      <c r="K219" s="19" t="n">
        <v>65</v>
      </c>
      <c r="L219" s="17" t="n">
        <f aca="false">IF(K219="","",RANK(K219,$K$5:$K$389))</f>
        <v>132</v>
      </c>
      <c r="M219" s="25" t="n">
        <v>0.0164426523297491</v>
      </c>
      <c r="N219" s="19" t="n">
        <v>2.6</v>
      </c>
      <c r="O219" s="17" t="n">
        <f aca="false">IF(N219="","",RANK(N219,$N$5:$N$389))</f>
        <v>374</v>
      </c>
      <c r="P219" s="17" t="str">
        <f aca="false">IF(AND(N(H219)&gt;=N(K219),N(H219)&gt;=N(N219)),"The Pulse",IF(N(K219)&gt;=N(N219),"The Lens","The Hub"))</f>
        <v>The Lens</v>
      </c>
      <c r="Q219" s="20" t="s">
        <v>74</v>
      </c>
      <c r="R219" s="26" t="s">
        <v>822</v>
      </c>
      <c r="S219" s="17" t="s">
        <v>24</v>
      </c>
    </row>
    <row r="220" customFormat="false" ht="15" hidden="false" customHeight="false" outlineLevel="0" collapsed="false">
      <c r="A220" s="17" t="s">
        <v>1949</v>
      </c>
      <c r="B220" s="17" t="s">
        <v>1950</v>
      </c>
      <c r="C220" s="17" t="s">
        <v>1951</v>
      </c>
      <c r="D220" s="17" t="s">
        <v>162</v>
      </c>
      <c r="E220" s="18" t="n">
        <v>28430</v>
      </c>
      <c r="F220" s="17" t="s">
        <v>821</v>
      </c>
      <c r="G220" s="23" t="n">
        <v>2.70875835385157</v>
      </c>
      <c r="H220" s="19" t="n">
        <v>42.2</v>
      </c>
      <c r="I220" s="17" t="n">
        <f aca="false">IF(H220="","",RANK(H220,$H$5:$H$389))</f>
        <v>216</v>
      </c>
      <c r="J220" s="24" t="n">
        <v>0.0417735434224991</v>
      </c>
      <c r="K220" s="19" t="n">
        <v>26.9</v>
      </c>
      <c r="L220" s="17" t="n">
        <f aca="false">IF(K220="","",RANK(K220,$K$5:$K$389))</f>
        <v>287</v>
      </c>
      <c r="M220" s="25" t="n">
        <v>0.0412048877522023</v>
      </c>
      <c r="N220" s="19" t="n">
        <v>8.8</v>
      </c>
      <c r="O220" s="17" t="n">
        <f aca="false">IF(N220="","",RANK(N220,$N$5:$N$389))</f>
        <v>352</v>
      </c>
      <c r="P220" s="17" t="str">
        <f aca="false">IF(AND(N(H220)&gt;=N(K220),N(H220)&gt;=N(N220)),"The Pulse",IF(N(K220)&gt;=N(N220),"The Lens","The Hub"))</f>
        <v>The Pulse</v>
      </c>
      <c r="Q220" s="20" t="s">
        <v>74</v>
      </c>
      <c r="R220" s="27" t="s">
        <v>832</v>
      </c>
      <c r="S220" s="17" t="s">
        <v>24</v>
      </c>
    </row>
    <row r="221" customFormat="false" ht="15" hidden="false" customHeight="false" outlineLevel="0" collapsed="false">
      <c r="A221" s="17" t="s">
        <v>403</v>
      </c>
      <c r="B221" s="17" t="s">
        <v>404</v>
      </c>
      <c r="C221" s="17" t="s">
        <v>1952</v>
      </c>
      <c r="D221" s="17" t="s">
        <v>86</v>
      </c>
      <c r="E221" s="18" t="n">
        <v>3860</v>
      </c>
      <c r="F221" s="17" t="s">
        <v>825</v>
      </c>
      <c r="G221" s="23" t="n">
        <v>2.7059585492228</v>
      </c>
      <c r="H221" s="19" t="n">
        <v>42</v>
      </c>
      <c r="I221" s="17" t="n">
        <f aca="false">IF(H221="","",RANK(H221,$H$5:$H$389))</f>
        <v>217</v>
      </c>
      <c r="J221" s="24" t="n">
        <v>0.0962536023054755</v>
      </c>
      <c r="K221" s="19" t="n">
        <v>34</v>
      </c>
      <c r="L221" s="17" t="n">
        <f aca="false">IF(K221="","",RANK(K221,$K$5:$K$389))</f>
        <v>260</v>
      </c>
      <c r="M221" s="25" t="n">
        <v>0.156084656084656</v>
      </c>
      <c r="N221" s="19" t="n">
        <v>57.6</v>
      </c>
      <c r="O221" s="17" t="n">
        <f aca="false">IF(N221="","",RANK(N221,$N$5:$N$389))</f>
        <v>166</v>
      </c>
      <c r="P221" s="17" t="str">
        <f aca="false">IF(AND(N(H221)&gt;=N(K221),N(H221)&gt;=N(N221)),"The Pulse",IF(N(K221)&gt;=N(N221),"The Lens","The Hub"))</f>
        <v>The Hub</v>
      </c>
      <c r="Q221" s="21" t="s">
        <v>79</v>
      </c>
      <c r="R221" s="26" t="s">
        <v>822</v>
      </c>
      <c r="S221" s="17" t="s">
        <v>88</v>
      </c>
    </row>
    <row r="222" customFormat="false" ht="15" hidden="false" customHeight="false" outlineLevel="0" collapsed="false">
      <c r="A222" s="17" t="s">
        <v>1953</v>
      </c>
      <c r="B222" s="17" t="s">
        <v>1954</v>
      </c>
      <c r="C222" s="17" t="s">
        <v>1955</v>
      </c>
      <c r="D222" s="17" t="s">
        <v>72</v>
      </c>
      <c r="E222" s="18" t="n">
        <v>211630</v>
      </c>
      <c r="F222" s="17" t="s">
        <v>827</v>
      </c>
      <c r="G222" s="23" t="n">
        <v>2.68244577800879</v>
      </c>
      <c r="H222" s="19" t="n">
        <v>41.7</v>
      </c>
      <c r="I222" s="17" t="n">
        <f aca="false">IF(H222="","",RANK(H222,$H$5:$H$389))</f>
        <v>218</v>
      </c>
      <c r="J222" s="24" t="n">
        <v>0.0768330534778405</v>
      </c>
      <c r="K222" s="19" t="n">
        <v>50.3</v>
      </c>
      <c r="L222" s="17" t="n">
        <f aca="false">IF(K222="","",RANK(K222,$K$5:$K$389))</f>
        <v>194</v>
      </c>
      <c r="M222" s="25" t="n">
        <v>0.229366861248316</v>
      </c>
      <c r="N222" s="19" t="n">
        <v>76.6</v>
      </c>
      <c r="O222" s="17" t="n">
        <f aca="false">IF(N222="","",RANK(N222,$N$5:$N$389))</f>
        <v>90</v>
      </c>
      <c r="P222" s="17" t="str">
        <f aca="false">IF(AND(N(H222)&gt;=N(K222),N(H222)&gt;=N(N222)),"The Pulse",IF(N(K222)&gt;=N(N222),"The Lens","The Hub"))</f>
        <v>The Hub</v>
      </c>
      <c r="Q222" s="20" t="s">
        <v>74</v>
      </c>
      <c r="R222" s="27" t="s">
        <v>832</v>
      </c>
      <c r="S222" s="17" t="s">
        <v>24</v>
      </c>
    </row>
    <row r="223" customFormat="false" ht="15" hidden="false" customHeight="false" outlineLevel="0" collapsed="false">
      <c r="A223" s="17" t="s">
        <v>957</v>
      </c>
      <c r="B223" s="17" t="s">
        <v>958</v>
      </c>
      <c r="C223" s="17" t="s">
        <v>1956</v>
      </c>
      <c r="D223" s="17" t="s">
        <v>95</v>
      </c>
      <c r="E223" s="18" t="n">
        <v>64610</v>
      </c>
      <c r="F223" s="17" t="s">
        <v>821</v>
      </c>
      <c r="G223" s="23" t="n">
        <v>2.67710880668627</v>
      </c>
      <c r="H223" s="19" t="n">
        <v>41.5</v>
      </c>
      <c r="I223" s="17" t="n">
        <f aca="false">IF(H223="","",RANK(H223,$H$5:$H$389))</f>
        <v>219</v>
      </c>
      <c r="J223" s="24" t="n">
        <v>0.104255682789267</v>
      </c>
      <c r="K223" s="19" t="n">
        <v>60</v>
      </c>
      <c r="L223" s="17" t="n">
        <f aca="false">IF(K223="","",RANK(K223,$K$5:$K$389))</f>
        <v>152</v>
      </c>
      <c r="M223" s="25" t="n">
        <v>0.178070599613153</v>
      </c>
      <c r="N223" s="19" t="n">
        <v>63.8</v>
      </c>
      <c r="O223" s="17" t="n">
        <f aca="false">IF(N223="","",RANK(N223,$N$5:$N$389))</f>
        <v>144</v>
      </c>
      <c r="P223" s="17" t="str">
        <f aca="false">IF(AND(N(H223)&gt;=N(K223),N(H223)&gt;=N(N223)),"The Pulse",IF(N(K223)&gt;=N(N223),"The Lens","The Hub"))</f>
        <v>The Hub</v>
      </c>
      <c r="Q223" s="20" t="s">
        <v>74</v>
      </c>
      <c r="R223" s="27" t="s">
        <v>832</v>
      </c>
      <c r="S223" s="17" t="s">
        <v>24</v>
      </c>
    </row>
    <row r="224" customFormat="false" ht="15" hidden="false" customHeight="false" outlineLevel="0" collapsed="false">
      <c r="A224" s="17" t="s">
        <v>239</v>
      </c>
      <c r="B224" s="17" t="s">
        <v>240</v>
      </c>
      <c r="C224" s="17" t="s">
        <v>1957</v>
      </c>
      <c r="D224" s="17" t="s">
        <v>82</v>
      </c>
      <c r="E224" s="18" t="n">
        <v>36080</v>
      </c>
      <c r="F224" s="17" t="s">
        <v>821</v>
      </c>
      <c r="G224" s="23" t="n">
        <v>2.67649667405765</v>
      </c>
      <c r="H224" s="19" t="n">
        <v>41.3</v>
      </c>
      <c r="I224" s="17" t="n">
        <f aca="false">IF(H224="","",RANK(H224,$H$5:$H$389))</f>
        <v>220</v>
      </c>
      <c r="J224" s="24" t="n">
        <v>0.133521834747094</v>
      </c>
      <c r="K224" s="19" t="n">
        <v>74.2</v>
      </c>
      <c r="L224" s="17" t="n">
        <f aca="false">IF(K224="","",RANK(K224,$K$5:$K$389))</f>
        <v>96</v>
      </c>
      <c r="M224" s="25" t="n">
        <v>0.115473441108545</v>
      </c>
      <c r="N224" s="19" t="n">
        <v>43</v>
      </c>
      <c r="O224" s="17" t="n">
        <f aca="false">IF(N224="","",RANK(N224,$N$5:$N$389))</f>
        <v>219</v>
      </c>
      <c r="P224" s="17" t="str">
        <f aca="false">IF(AND(N(H224)&gt;=N(K224),N(H224)&gt;=N(N224)),"The Pulse",IF(N(K224)&gt;=N(N224),"The Lens","The Hub"))</f>
        <v>The Lens</v>
      </c>
      <c r="Q224" s="20" t="s">
        <v>74</v>
      </c>
      <c r="R224" s="26" t="s">
        <v>822</v>
      </c>
      <c r="S224" s="17" t="s">
        <v>24</v>
      </c>
    </row>
    <row r="225" customFormat="false" ht="15" hidden="false" customHeight="false" outlineLevel="0" collapsed="false">
      <c r="A225" s="17" t="s">
        <v>567</v>
      </c>
      <c r="B225" s="17" t="s">
        <v>568</v>
      </c>
      <c r="C225" s="17" t="s">
        <v>1958</v>
      </c>
      <c r="D225" s="17" t="s">
        <v>123</v>
      </c>
      <c r="E225" s="18" t="n">
        <v>20010</v>
      </c>
      <c r="F225" s="17" t="s">
        <v>821</v>
      </c>
      <c r="G225" s="23" t="n">
        <v>2.67366316841579</v>
      </c>
      <c r="H225" s="19" t="n">
        <v>41.1</v>
      </c>
      <c r="I225" s="17" t="n">
        <f aca="false">IF(H225="","",RANK(H225,$H$5:$H$389))</f>
        <v>221</v>
      </c>
      <c r="J225" s="24" t="n">
        <v>0.0689102564102564</v>
      </c>
      <c r="K225" s="19" t="n">
        <v>40.4</v>
      </c>
      <c r="L225" s="17" t="n">
        <f aca="false">IF(K225="","",RANK(K225,$K$5:$K$389))</f>
        <v>234</v>
      </c>
      <c r="M225" s="25" t="n">
        <v>0.107074569789675</v>
      </c>
      <c r="N225" s="19" t="n">
        <v>40.4</v>
      </c>
      <c r="O225" s="17" t="n">
        <f aca="false">IF(N225="","",RANK(N225,$N$5:$N$389))</f>
        <v>230</v>
      </c>
      <c r="P225" s="17" t="str">
        <f aca="false">IF(AND(N(H225)&gt;=N(K225),N(H225)&gt;=N(N225)),"The Pulse",IF(N(K225)&gt;=N(N225),"The Lens","The Hub"))</f>
        <v>The Pulse</v>
      </c>
      <c r="Q225" s="20" t="s">
        <v>74</v>
      </c>
      <c r="R225" s="26" t="s">
        <v>822</v>
      </c>
      <c r="S225" s="17" t="s">
        <v>24</v>
      </c>
    </row>
    <row r="226" customFormat="false" ht="15" hidden="false" customHeight="false" outlineLevel="0" collapsed="false">
      <c r="A226" s="17" t="s">
        <v>579</v>
      </c>
      <c r="B226" s="17" t="s">
        <v>580</v>
      </c>
      <c r="C226" s="17" t="s">
        <v>1959</v>
      </c>
      <c r="D226" s="17" t="s">
        <v>162</v>
      </c>
      <c r="E226" s="18" t="n">
        <v>171990</v>
      </c>
      <c r="F226" s="17" t="s">
        <v>827</v>
      </c>
      <c r="G226" s="23" t="n">
        <v>2.61916390487819</v>
      </c>
      <c r="H226" s="19" t="n">
        <v>40.9</v>
      </c>
      <c r="I226" s="17" t="n">
        <f aca="false">IF(H226="","",RANK(H226,$H$5:$H$389))</f>
        <v>222</v>
      </c>
      <c r="J226" s="24" t="n">
        <v>0.140063635158425</v>
      </c>
      <c r="K226" s="19" t="n">
        <v>81.5</v>
      </c>
      <c r="L226" s="17" t="n">
        <f aca="false">IF(K226="","",RANK(K226,$K$5:$K$389))</f>
        <v>68</v>
      </c>
      <c r="M226" s="25" t="n">
        <v>0.272634520693785</v>
      </c>
      <c r="N226" s="19" t="n">
        <v>85</v>
      </c>
      <c r="O226" s="17" t="n">
        <f aca="false">IF(N226="","",RANK(N226,$N$5:$N$389))</f>
        <v>57</v>
      </c>
      <c r="P226" s="17" t="str">
        <f aca="false">IF(AND(N(H226)&gt;=N(K226),N(H226)&gt;=N(N226)),"The Pulse",IF(N(K226)&gt;=N(N226),"The Lens","The Hub"))</f>
        <v>The Hub</v>
      </c>
      <c r="Q226" s="20" t="s">
        <v>74</v>
      </c>
      <c r="R226" s="26" t="s">
        <v>822</v>
      </c>
      <c r="S226" s="17" t="s">
        <v>24</v>
      </c>
    </row>
    <row r="227" customFormat="false" ht="15" hidden="false" customHeight="false" outlineLevel="0" collapsed="false">
      <c r="A227" s="17" t="s">
        <v>389</v>
      </c>
      <c r="B227" s="17" t="s">
        <v>390</v>
      </c>
      <c r="C227" s="17" t="s">
        <v>1960</v>
      </c>
      <c r="D227" s="17" t="s">
        <v>115</v>
      </c>
      <c r="E227" s="18" t="n">
        <v>1465190</v>
      </c>
      <c r="F227" s="17" t="s">
        <v>935</v>
      </c>
      <c r="G227" s="23" t="n">
        <v>2.61570990793003</v>
      </c>
      <c r="H227" s="19" t="n">
        <v>40.7</v>
      </c>
      <c r="I227" s="17" t="n">
        <f aca="false">IF(H227="","",RANK(H227,$H$5:$H$389))</f>
        <v>223</v>
      </c>
      <c r="J227" s="24" t="n">
        <v>0.145646326588059</v>
      </c>
      <c r="K227" s="19" t="n">
        <v>100</v>
      </c>
      <c r="L227" s="17" t="n">
        <f aca="false">IF(K227="","",RANK(K227,$K$5:$K$389))</f>
        <v>1</v>
      </c>
      <c r="M227" s="25" t="n">
        <v>0.0622365927967936</v>
      </c>
      <c r="N227" s="19" t="n">
        <v>16.8</v>
      </c>
      <c r="O227" s="17" t="n">
        <f aca="false">IF(N227="","",RANK(N227,$N$5:$N$389))</f>
        <v>319</v>
      </c>
      <c r="P227" s="17" t="str">
        <f aca="false">IF(AND(N(H227)&gt;=N(K227),N(H227)&gt;=N(N227)),"The Pulse",IF(N(K227)&gt;=N(N227),"The Lens","The Hub"))</f>
        <v>The Lens</v>
      </c>
      <c r="Q227" s="20" t="s">
        <v>74</v>
      </c>
      <c r="R227" s="26" t="s">
        <v>822</v>
      </c>
      <c r="S227" s="17" t="s">
        <v>24</v>
      </c>
    </row>
    <row r="228" customFormat="false" ht="15" hidden="false" customHeight="false" outlineLevel="0" collapsed="false">
      <c r="A228" s="17" t="s">
        <v>515</v>
      </c>
      <c r="B228" s="17" t="s">
        <v>516</v>
      </c>
      <c r="C228" s="17" t="s">
        <v>1961</v>
      </c>
      <c r="D228" s="17" t="s">
        <v>98</v>
      </c>
      <c r="E228" s="18" t="n">
        <v>595450</v>
      </c>
      <c r="F228" s="17" t="s">
        <v>827</v>
      </c>
      <c r="G228" s="23" t="n">
        <v>2.61402972541775</v>
      </c>
      <c r="H228" s="19" t="n">
        <v>40.5</v>
      </c>
      <c r="I228" s="17" t="n">
        <f aca="false">IF(H228="","",RANK(H228,$H$5:$H$389))</f>
        <v>224</v>
      </c>
      <c r="J228" s="24" t="n">
        <v>-0.00529551301326384</v>
      </c>
      <c r="K228" s="19" t="n">
        <v>11.5</v>
      </c>
      <c r="L228" s="17" t="n">
        <f aca="false">IF(K228="","",RANK(K228,$K$5:$K$389))</f>
        <v>345</v>
      </c>
      <c r="M228" s="25" t="n">
        <v>0.0966574839302112</v>
      </c>
      <c r="N228" s="19" t="n">
        <v>34.9</v>
      </c>
      <c r="O228" s="17" t="n">
        <f aca="false">IF(N228="","",RANK(N228,$N$5:$N$389))</f>
        <v>253</v>
      </c>
      <c r="P228" s="17" t="str">
        <f aca="false">IF(AND(N(H228)&gt;=N(K228),N(H228)&gt;=N(N228)),"The Pulse",IF(N(K228)&gt;=N(N228),"The Lens","The Hub"))</f>
        <v>The Pulse</v>
      </c>
      <c r="Q228" s="20" t="s">
        <v>74</v>
      </c>
      <c r="R228" s="26" t="s">
        <v>822</v>
      </c>
      <c r="S228" s="17" t="s">
        <v>24</v>
      </c>
    </row>
    <row r="229" customFormat="false" ht="15" hidden="false" customHeight="false" outlineLevel="0" collapsed="false">
      <c r="A229" s="17" t="s">
        <v>1485</v>
      </c>
      <c r="B229" s="17" t="s">
        <v>1486</v>
      </c>
      <c r="C229" s="17" t="s">
        <v>1962</v>
      </c>
      <c r="D229" s="17" t="s">
        <v>82</v>
      </c>
      <c r="E229" s="18" t="n">
        <v>56980</v>
      </c>
      <c r="F229" s="17" t="s">
        <v>821</v>
      </c>
      <c r="G229" s="23" t="n">
        <v>2.61182871182871</v>
      </c>
      <c r="H229" s="19" t="n">
        <v>40.3</v>
      </c>
      <c r="I229" s="17" t="n">
        <f aca="false">IF(H229="","",RANK(H229,$H$5:$H$389))</f>
        <v>225</v>
      </c>
      <c r="J229" s="24" t="n">
        <v>0.115068493150685</v>
      </c>
      <c r="K229" s="19" t="n">
        <v>66.5</v>
      </c>
      <c r="L229" s="17" t="n">
        <f aca="false">IF(K229="","",RANK(K229,$K$5:$K$389))</f>
        <v>125</v>
      </c>
      <c r="M229" s="25" t="n">
        <v>0.0290246371920351</v>
      </c>
      <c r="N229" s="19" t="n">
        <v>6.4</v>
      </c>
      <c r="O229" s="17" t="n">
        <f aca="false">IF(N229="","",RANK(N229,$N$5:$N$389))</f>
        <v>360</v>
      </c>
      <c r="P229" s="17" t="str">
        <f aca="false">IF(AND(N(H229)&gt;=N(K229),N(H229)&gt;=N(N229)),"The Pulse",IF(N(K229)&gt;=N(N229),"The Lens","The Hub"))</f>
        <v>The Lens</v>
      </c>
      <c r="Q229" s="20" t="s">
        <v>74</v>
      </c>
      <c r="R229" s="27" t="s">
        <v>832</v>
      </c>
      <c r="S229" s="17" t="s">
        <v>24</v>
      </c>
    </row>
    <row r="230" customFormat="false" ht="15" hidden="false" customHeight="false" outlineLevel="0" collapsed="false">
      <c r="A230" s="17" t="s">
        <v>1036</v>
      </c>
      <c r="B230" s="17" t="s">
        <v>1037</v>
      </c>
      <c r="C230" s="17" t="s">
        <v>1963</v>
      </c>
      <c r="D230" s="17" t="s">
        <v>72</v>
      </c>
      <c r="E230" s="18" t="n">
        <v>1278060</v>
      </c>
      <c r="F230" s="17" t="s">
        <v>935</v>
      </c>
      <c r="G230" s="23" t="n">
        <v>2.59817770683693</v>
      </c>
      <c r="H230" s="19" t="n">
        <v>39.9</v>
      </c>
      <c r="I230" s="17" t="n">
        <f aca="false">IF(H230="","",RANK(H230,$H$5:$H$389))</f>
        <v>226</v>
      </c>
      <c r="J230" s="24" t="n">
        <v>0.0148729880174378</v>
      </c>
      <c r="K230" s="19" t="n">
        <v>8.3</v>
      </c>
      <c r="L230" s="17" t="n">
        <f aca="false">IF(K230="","",RANK(K230,$K$5:$K$389))</f>
        <v>357</v>
      </c>
      <c r="M230" s="25" t="n">
        <v>0.158893506607736</v>
      </c>
      <c r="N230" s="19" t="n">
        <v>58.3</v>
      </c>
      <c r="O230" s="17" t="n">
        <f aca="false">IF(N230="","",RANK(N230,$N$5:$N$389))</f>
        <v>163</v>
      </c>
      <c r="P230" s="17" t="str">
        <f aca="false">IF(AND(N(H230)&gt;=N(K230),N(H230)&gt;=N(N230)),"The Pulse",IF(N(K230)&gt;=N(N230),"The Lens","The Hub"))</f>
        <v>The Hub</v>
      </c>
      <c r="Q230" s="20" t="s">
        <v>74</v>
      </c>
      <c r="R230" s="27" t="s">
        <v>832</v>
      </c>
      <c r="S230" s="17" t="s">
        <v>24</v>
      </c>
    </row>
    <row r="231" customFormat="false" ht="15" hidden="false" customHeight="false" outlineLevel="0" collapsed="false">
      <c r="A231" s="17" t="s">
        <v>571</v>
      </c>
      <c r="B231" s="17" t="s">
        <v>572</v>
      </c>
      <c r="C231" s="17" t="s">
        <v>1964</v>
      </c>
      <c r="D231" s="17" t="s">
        <v>115</v>
      </c>
      <c r="E231" s="18" t="n">
        <v>57180</v>
      </c>
      <c r="F231" s="17" t="s">
        <v>821</v>
      </c>
      <c r="G231" s="23" t="n">
        <v>2.55169639734173</v>
      </c>
      <c r="H231" s="19" t="n">
        <v>39.5</v>
      </c>
      <c r="I231" s="17" t="n">
        <f aca="false">IF(H231="","",RANK(H231,$H$5:$H$389))</f>
        <v>227</v>
      </c>
      <c r="J231" s="24" t="n">
        <v>0.122276741903827</v>
      </c>
      <c r="K231" s="19" t="n">
        <v>70.5</v>
      </c>
      <c r="L231" s="17" t="n">
        <f aca="false">IF(K231="","",RANK(K231,$K$5:$K$389))</f>
        <v>108</v>
      </c>
      <c r="M231" s="25" t="n">
        <v>0.150771309537214</v>
      </c>
      <c r="N231" s="19" t="n">
        <v>55.6</v>
      </c>
      <c r="O231" s="17" t="n">
        <f aca="false">IF(N231="","",RANK(N231,$N$5:$N$389))</f>
        <v>175</v>
      </c>
      <c r="P231" s="17" t="str">
        <f aca="false">IF(AND(N(H231)&gt;=N(K231),N(H231)&gt;=N(N231)),"The Pulse",IF(N(K231)&gt;=N(N231),"The Lens","The Hub"))</f>
        <v>The Lens</v>
      </c>
      <c r="Q231" s="20" t="s">
        <v>74</v>
      </c>
      <c r="R231" s="26" t="s">
        <v>822</v>
      </c>
      <c r="S231" s="17" t="s">
        <v>24</v>
      </c>
    </row>
    <row r="232" customFormat="false" ht="15" hidden="false" customHeight="false" outlineLevel="0" collapsed="false">
      <c r="A232" s="17" t="s">
        <v>1965</v>
      </c>
      <c r="B232" s="17" t="s">
        <v>1966</v>
      </c>
      <c r="C232" s="17" t="s">
        <v>1967</v>
      </c>
      <c r="D232" s="17" t="s">
        <v>98</v>
      </c>
      <c r="E232" s="18" t="n">
        <v>69750</v>
      </c>
      <c r="F232" s="17" t="s">
        <v>821</v>
      </c>
      <c r="G232" s="23" t="n">
        <v>2.53959856630824</v>
      </c>
      <c r="H232" s="19" t="n">
        <v>39.3</v>
      </c>
      <c r="I232" s="17" t="n">
        <f aca="false">IF(H232="","",RANK(H232,$H$5:$H$389))</f>
        <v>228</v>
      </c>
      <c r="J232" s="24" t="n">
        <v>0.137104662536681</v>
      </c>
      <c r="K232" s="19" t="n">
        <v>76</v>
      </c>
      <c r="L232" s="17" t="n">
        <f aca="false">IF(K232="","",RANK(K232,$K$5:$K$389))</f>
        <v>89</v>
      </c>
      <c r="M232" s="25" t="n">
        <v>0.12733019415597</v>
      </c>
      <c r="N232" s="19" t="n">
        <v>48.1</v>
      </c>
      <c r="O232" s="17" t="n">
        <f aca="false">IF(N232="","",RANK(N232,$N$5:$N$389))</f>
        <v>200</v>
      </c>
      <c r="P232" s="17" t="str">
        <f aca="false">IF(AND(N(H232)&gt;=N(K232),N(H232)&gt;=N(N232)),"The Pulse",IF(N(K232)&gt;=N(N232),"The Lens","The Hub"))</f>
        <v>The Lens</v>
      </c>
      <c r="Q232" s="21" t="s">
        <v>79</v>
      </c>
      <c r="R232" s="27" t="s">
        <v>832</v>
      </c>
      <c r="S232" s="17" t="s">
        <v>88</v>
      </c>
    </row>
    <row r="233" customFormat="false" ht="15" hidden="false" customHeight="false" outlineLevel="0" collapsed="false">
      <c r="A233" s="17" t="s">
        <v>383</v>
      </c>
      <c r="B233" s="17" t="s">
        <v>384</v>
      </c>
      <c r="C233" s="17" t="s">
        <v>1968</v>
      </c>
      <c r="D233" s="17" t="s">
        <v>95</v>
      </c>
      <c r="E233" s="18" t="n">
        <v>600160</v>
      </c>
      <c r="F233" s="17" t="s">
        <v>827</v>
      </c>
      <c r="G233" s="23" t="n">
        <v>2.5393295121301</v>
      </c>
      <c r="H233" s="19" t="n">
        <v>39.1</v>
      </c>
      <c r="I233" s="17" t="n">
        <f aca="false">IF(H233="","",RANK(H233,$H$5:$H$389))</f>
        <v>229</v>
      </c>
      <c r="J233" s="24" t="n">
        <v>0.0504060487258471</v>
      </c>
      <c r="K233" s="19" t="n">
        <v>35</v>
      </c>
      <c r="L233" s="17" t="n">
        <f aca="false">IF(K233="","",RANK(K233,$K$5:$K$389))</f>
        <v>255</v>
      </c>
      <c r="M233" s="25" t="n">
        <v>0.0877166117959319</v>
      </c>
      <c r="N233" s="19" t="n">
        <v>31.1</v>
      </c>
      <c r="O233" s="17" t="n">
        <f aca="false">IF(N233="","",RANK(N233,$N$5:$N$389))</f>
        <v>269</v>
      </c>
      <c r="P233" s="17" t="str">
        <f aca="false">IF(AND(N(H233)&gt;=N(K233),N(H233)&gt;=N(N233)),"The Pulse",IF(N(K233)&gt;=N(N233),"The Lens","The Hub"))</f>
        <v>The Pulse</v>
      </c>
      <c r="Q233" s="20" t="s">
        <v>74</v>
      </c>
      <c r="R233" s="26" t="s">
        <v>822</v>
      </c>
      <c r="S233" s="17" t="s">
        <v>24</v>
      </c>
    </row>
    <row r="234" customFormat="false" ht="15" hidden="false" customHeight="false" outlineLevel="0" collapsed="false">
      <c r="A234" s="17" t="s">
        <v>615</v>
      </c>
      <c r="B234" s="17" t="s">
        <v>616</v>
      </c>
      <c r="C234" s="17" t="s">
        <v>1969</v>
      </c>
      <c r="D234" s="17" t="s">
        <v>82</v>
      </c>
      <c r="E234" s="18" t="n">
        <v>319390</v>
      </c>
      <c r="F234" s="17" t="s">
        <v>827</v>
      </c>
      <c r="G234" s="23" t="n">
        <v>2.53661980650615</v>
      </c>
      <c r="H234" s="19" t="n">
        <v>38.9</v>
      </c>
      <c r="I234" s="17" t="n">
        <f aca="false">IF(H234="","",RANK(H234,$H$5:$H$389))</f>
        <v>230</v>
      </c>
      <c r="J234" s="24" t="n">
        <v>0.0966556791649499</v>
      </c>
      <c r="K234" s="19" t="n">
        <v>59.9</v>
      </c>
      <c r="L234" s="17" t="n">
        <f aca="false">IF(K234="","",RANK(K234,$K$5:$K$389))</f>
        <v>153</v>
      </c>
      <c r="M234" s="25" t="n">
        <v>0.0498260437375746</v>
      </c>
      <c r="N234" s="19" t="n">
        <v>12.4</v>
      </c>
      <c r="O234" s="17" t="n">
        <f aca="false">IF(N234="","",RANK(N234,$N$5:$N$389))</f>
        <v>337</v>
      </c>
      <c r="P234" s="17" t="str">
        <f aca="false">IF(AND(N(H234)&gt;=N(K234),N(H234)&gt;=N(N234)),"The Pulse",IF(N(K234)&gt;=N(N234),"The Lens","The Hub"))</f>
        <v>The Lens</v>
      </c>
      <c r="Q234" s="20" t="s">
        <v>74</v>
      </c>
      <c r="R234" s="26" t="s">
        <v>822</v>
      </c>
      <c r="S234" s="17" t="s">
        <v>24</v>
      </c>
    </row>
    <row r="235" customFormat="false" ht="15" hidden="false" customHeight="false" outlineLevel="0" collapsed="false">
      <c r="A235" s="17" t="s">
        <v>693</v>
      </c>
      <c r="B235" s="17" t="s">
        <v>694</v>
      </c>
      <c r="C235" s="17" t="s">
        <v>1970</v>
      </c>
      <c r="D235" s="17" t="s">
        <v>95</v>
      </c>
      <c r="E235" s="18" t="n">
        <v>115320</v>
      </c>
      <c r="F235" s="17" t="s">
        <v>827</v>
      </c>
      <c r="G235" s="23" t="n">
        <v>2.51181061394381</v>
      </c>
      <c r="H235" s="19" t="n">
        <v>38.7</v>
      </c>
      <c r="I235" s="17" t="n">
        <f aca="false">IF(H235="","",RANK(H235,$H$5:$H$389))</f>
        <v>231</v>
      </c>
      <c r="J235" s="24" t="n">
        <v>0.0680744651292026</v>
      </c>
      <c r="K235" s="19" t="n">
        <v>44.6</v>
      </c>
      <c r="L235" s="17" t="n">
        <f aca="false">IF(K235="","",RANK(K235,$K$5:$K$389))</f>
        <v>218</v>
      </c>
      <c r="M235" s="25" t="n">
        <v>0.313449400013873</v>
      </c>
      <c r="N235" s="19" t="n">
        <v>91.2</v>
      </c>
      <c r="O235" s="17" t="n">
        <f aca="false">IF(N235="","",RANK(N235,$N$5:$N$389))</f>
        <v>35</v>
      </c>
      <c r="P235" s="17" t="str">
        <f aca="false">IF(AND(N(H235)&gt;=N(K235),N(H235)&gt;=N(N235)),"The Pulse",IF(N(K235)&gt;=N(N235),"The Lens","The Hub"))</f>
        <v>The Hub</v>
      </c>
      <c r="Q235" s="20" t="s">
        <v>74</v>
      </c>
      <c r="R235" s="26" t="s">
        <v>822</v>
      </c>
      <c r="S235" s="17" t="s">
        <v>24</v>
      </c>
    </row>
    <row r="236" customFormat="false" ht="15" hidden="false" customHeight="false" outlineLevel="0" collapsed="false">
      <c r="A236" s="17" t="s">
        <v>1971</v>
      </c>
      <c r="B236" s="17" t="s">
        <v>1972</v>
      </c>
      <c r="C236" s="17" t="s">
        <v>1973</v>
      </c>
      <c r="D236" s="17" t="s">
        <v>72</v>
      </c>
      <c r="E236" s="18" t="n">
        <v>66250</v>
      </c>
      <c r="F236" s="17" t="s">
        <v>821</v>
      </c>
      <c r="G236" s="23" t="n">
        <v>2.50931320754717</v>
      </c>
      <c r="H236" s="19" t="n">
        <v>38.5</v>
      </c>
      <c r="I236" s="17" t="n">
        <f aca="false">IF(H236="","",RANK(H236,$H$5:$H$389))</f>
        <v>232</v>
      </c>
      <c r="J236" s="24" t="n">
        <v>0.00714502888415932</v>
      </c>
      <c r="K236" s="19" t="n">
        <v>13.8</v>
      </c>
      <c r="L236" s="17" t="n">
        <f aca="false">IF(K236="","",RANK(K236,$K$5:$K$389))</f>
        <v>335</v>
      </c>
      <c r="M236" s="25" t="n">
        <v>0.21607027724049</v>
      </c>
      <c r="N236" s="19" t="n">
        <v>73.3</v>
      </c>
      <c r="O236" s="17" t="n">
        <f aca="false">IF(N236="","",RANK(N236,$N$5:$N$389))</f>
        <v>104</v>
      </c>
      <c r="P236" s="17" t="str">
        <f aca="false">IF(AND(N(H236)&gt;=N(K236),N(H236)&gt;=N(N236)),"The Pulse",IF(N(K236)&gt;=N(N236),"The Lens","The Hub"))</f>
        <v>The Hub</v>
      </c>
      <c r="Q236" s="20" t="s">
        <v>74</v>
      </c>
      <c r="R236" s="27" t="s">
        <v>832</v>
      </c>
      <c r="S236" s="17" t="s">
        <v>24</v>
      </c>
    </row>
    <row r="237" customFormat="false" ht="15" hidden="false" customHeight="false" outlineLevel="0" collapsed="false">
      <c r="A237" s="17" t="s">
        <v>1974</v>
      </c>
      <c r="B237" s="17" t="s">
        <v>1975</v>
      </c>
      <c r="C237" s="17" t="s">
        <v>1976</v>
      </c>
      <c r="D237" s="17" t="s">
        <v>115</v>
      </c>
      <c r="E237" s="18" t="n">
        <v>8030</v>
      </c>
      <c r="F237" s="17" t="s">
        <v>825</v>
      </c>
      <c r="G237" s="23" t="n">
        <v>2.49128268991283</v>
      </c>
      <c r="H237" s="19" t="n">
        <v>38.3</v>
      </c>
      <c r="I237" s="17" t="n">
        <f aca="false">IF(H237="","",RANK(H237,$H$5:$H$389))</f>
        <v>233</v>
      </c>
      <c r="J237" s="24" t="n">
        <v>0.152080344332855</v>
      </c>
      <c r="K237" s="19" t="n">
        <v>67.9</v>
      </c>
      <c r="L237" s="17" t="n">
        <f aca="false">IF(K237="","",RANK(K237,$K$5:$K$389))</f>
        <v>118</v>
      </c>
      <c r="M237" s="25" t="n">
        <v>0.0254957507082153</v>
      </c>
      <c r="N237" s="19" t="n">
        <v>5.5</v>
      </c>
      <c r="O237" s="17" t="n">
        <f aca="false">IF(N237="","",RANK(N237,$N$5:$N$389))</f>
        <v>364</v>
      </c>
      <c r="P237" s="17" t="str">
        <f aca="false">IF(AND(N(H237)&gt;=N(K237),N(H237)&gt;=N(N237)),"The Pulse",IF(N(K237)&gt;=N(N237),"The Lens","The Hub"))</f>
        <v>The Lens</v>
      </c>
      <c r="Q237" s="20" t="s">
        <v>74</v>
      </c>
      <c r="R237" s="27" t="s">
        <v>832</v>
      </c>
      <c r="S237" s="17" t="s">
        <v>24</v>
      </c>
    </row>
    <row r="238" customFormat="false" ht="15" hidden="false" customHeight="false" outlineLevel="0" collapsed="false">
      <c r="A238" s="17" t="s">
        <v>613</v>
      </c>
      <c r="B238" s="17" t="s">
        <v>614</v>
      </c>
      <c r="C238" s="17" t="s">
        <v>1977</v>
      </c>
      <c r="D238" s="17" t="s">
        <v>162</v>
      </c>
      <c r="E238" s="18" t="n">
        <v>9120</v>
      </c>
      <c r="F238" s="17" t="s">
        <v>825</v>
      </c>
      <c r="G238" s="23" t="n">
        <v>2.49046052631579</v>
      </c>
      <c r="H238" s="19" t="n">
        <v>38.1</v>
      </c>
      <c r="I238" s="17" t="n">
        <f aca="false">IF(H238="","",RANK(H238,$H$5:$H$389))</f>
        <v>234</v>
      </c>
      <c r="J238" s="24" t="n">
        <v>0.130111524163569</v>
      </c>
      <c r="K238" s="19" t="n">
        <v>58.5</v>
      </c>
      <c r="L238" s="17" t="n">
        <f aca="false">IF(K238="","",RANK(K238,$K$5:$K$389))</f>
        <v>159</v>
      </c>
      <c r="M238" s="25" t="n">
        <v>0.14968152866242</v>
      </c>
      <c r="N238" s="19" t="n">
        <v>55</v>
      </c>
      <c r="O238" s="17" t="n">
        <f aca="false">IF(N238="","",RANK(N238,$N$5:$N$389))</f>
        <v>177</v>
      </c>
      <c r="P238" s="17" t="str">
        <f aca="false">IF(AND(N(H238)&gt;=N(K238),N(H238)&gt;=N(N238)),"The Pulse",IF(N(K238)&gt;=N(N238),"The Lens","The Hub"))</f>
        <v>The Lens</v>
      </c>
      <c r="Q238" s="20" t="s">
        <v>74</v>
      </c>
      <c r="R238" s="26" t="s">
        <v>822</v>
      </c>
      <c r="S238" s="17" t="s">
        <v>24</v>
      </c>
    </row>
    <row r="239" customFormat="false" ht="15" hidden="false" customHeight="false" outlineLevel="0" collapsed="false">
      <c r="A239" s="17" t="s">
        <v>759</v>
      </c>
      <c r="B239" s="17" t="s">
        <v>760</v>
      </c>
      <c r="C239" s="17" t="s">
        <v>1978</v>
      </c>
      <c r="D239" s="17" t="s">
        <v>77</v>
      </c>
      <c r="E239" s="18" t="n">
        <v>125650</v>
      </c>
      <c r="F239" s="17" t="s">
        <v>827</v>
      </c>
      <c r="G239" s="23" t="n">
        <v>2.47986470354158</v>
      </c>
      <c r="H239" s="19" t="n">
        <v>37.9</v>
      </c>
      <c r="I239" s="17" t="n">
        <f aca="false">IF(H239="","",RANK(H239,$H$5:$H$389))</f>
        <v>235</v>
      </c>
      <c r="J239" s="24" t="n">
        <v>0.237199684915321</v>
      </c>
      <c r="K239" s="19" t="n">
        <v>99.4</v>
      </c>
      <c r="L239" s="17" t="n">
        <f aca="false">IF(K239="","",RANK(K239,$K$5:$K$389))</f>
        <v>4</v>
      </c>
      <c r="M239" s="25" t="n">
        <v>0.081377353623936</v>
      </c>
      <c r="N239" s="19" t="n">
        <v>26.7</v>
      </c>
      <c r="O239" s="17" t="n">
        <f aca="false">IF(N239="","",RANK(N239,$N$5:$N$389))</f>
        <v>284</v>
      </c>
      <c r="P239" s="17" t="str">
        <f aca="false">IF(AND(N(H239)&gt;=N(K239),N(H239)&gt;=N(N239)),"The Pulse",IF(N(K239)&gt;=N(N239),"The Lens","The Hub"))</f>
        <v>The Lens</v>
      </c>
      <c r="Q239" s="20" t="s">
        <v>74</v>
      </c>
      <c r="R239" s="26" t="s">
        <v>822</v>
      </c>
      <c r="S239" s="17" t="s">
        <v>24</v>
      </c>
    </row>
    <row r="240" customFormat="false" ht="15" hidden="false" customHeight="false" outlineLevel="0" collapsed="false">
      <c r="A240" s="17" t="s">
        <v>439</v>
      </c>
      <c r="B240" s="17" t="s">
        <v>440</v>
      </c>
      <c r="C240" s="17" t="s">
        <v>1979</v>
      </c>
      <c r="D240" s="17" t="s">
        <v>123</v>
      </c>
      <c r="E240" s="18" t="n">
        <v>74760</v>
      </c>
      <c r="F240" s="17" t="s">
        <v>821</v>
      </c>
      <c r="G240" s="23" t="n">
        <v>2.47458533975388</v>
      </c>
      <c r="H240" s="19" t="n">
        <v>37.7</v>
      </c>
      <c r="I240" s="17" t="n">
        <f aca="false">IF(H240="","",RANK(H240,$H$5:$H$389))</f>
        <v>236</v>
      </c>
      <c r="J240" s="24" t="n">
        <v>0.0208930766079476</v>
      </c>
      <c r="K240" s="19" t="n">
        <v>18.9</v>
      </c>
      <c r="L240" s="17" t="n">
        <f aca="false">IF(K240="","",RANK(K240,$K$5:$K$389))</f>
        <v>312</v>
      </c>
      <c r="M240" s="25" t="n">
        <v>0.241339668914776</v>
      </c>
      <c r="N240" s="19" t="n">
        <v>79.7</v>
      </c>
      <c r="O240" s="17" t="n">
        <f aca="false">IF(N240="","",RANK(N240,$N$5:$N$389))</f>
        <v>79</v>
      </c>
      <c r="P240" s="17" t="str">
        <f aca="false">IF(AND(N(H240)&gt;=N(K240),N(H240)&gt;=N(N240)),"The Pulse",IF(N(K240)&gt;=N(N240),"The Lens","The Hub"))</f>
        <v>The Hub</v>
      </c>
      <c r="Q240" s="20" t="s">
        <v>74</v>
      </c>
      <c r="R240" s="26" t="s">
        <v>822</v>
      </c>
      <c r="S240" s="17" t="s">
        <v>24</v>
      </c>
    </row>
    <row r="241" customFormat="false" ht="15" hidden="false" customHeight="false" outlineLevel="0" collapsed="false">
      <c r="A241" s="17" t="s">
        <v>1980</v>
      </c>
      <c r="B241" s="17" t="s">
        <v>1981</v>
      </c>
      <c r="C241" s="17" t="s">
        <v>1982</v>
      </c>
      <c r="D241" s="17" t="s">
        <v>95</v>
      </c>
      <c r="E241" s="18" t="n">
        <v>6050</v>
      </c>
      <c r="F241" s="17" t="s">
        <v>825</v>
      </c>
      <c r="G241" s="23" t="n">
        <v>2.46727272727273</v>
      </c>
      <c r="H241" s="19" t="n">
        <v>37.3</v>
      </c>
      <c r="I241" s="17" t="n">
        <f aca="false">IF(H241="","",RANK(H241,$H$5:$H$389))</f>
        <v>237</v>
      </c>
      <c r="J241" s="24" t="n">
        <v>0.200396825396825</v>
      </c>
      <c r="K241" s="19" t="n">
        <v>90.6</v>
      </c>
      <c r="L241" s="17" t="n">
        <f aca="false">IF(K241="","",RANK(K241,$K$5:$K$389))</f>
        <v>35</v>
      </c>
      <c r="M241" s="25" t="n">
        <v>0.304132231404959</v>
      </c>
      <c r="N241" s="19" t="n">
        <v>89.2</v>
      </c>
      <c r="O241" s="17" t="n">
        <f aca="false">IF(N241="","",RANK(N241,$N$5:$N$389))</f>
        <v>42</v>
      </c>
      <c r="P241" s="17" t="str">
        <f aca="false">IF(AND(N(H241)&gt;=N(K241),N(H241)&gt;=N(N241)),"The Pulse",IF(N(K241)&gt;=N(N241),"The Lens","The Hub"))</f>
        <v>The Lens</v>
      </c>
      <c r="Q241" s="20" t="s">
        <v>74</v>
      </c>
      <c r="R241" s="27" t="s">
        <v>832</v>
      </c>
      <c r="S241" s="17" t="s">
        <v>24</v>
      </c>
    </row>
    <row r="242" customFormat="false" ht="15" hidden="false" customHeight="false" outlineLevel="0" collapsed="false">
      <c r="A242" s="17" t="s">
        <v>645</v>
      </c>
      <c r="B242" s="17" t="s">
        <v>646</v>
      </c>
      <c r="C242" s="17" t="s">
        <v>1983</v>
      </c>
      <c r="D242" s="17" t="s">
        <v>123</v>
      </c>
      <c r="E242" s="18" t="n">
        <v>4031</v>
      </c>
      <c r="F242" s="17" t="s">
        <v>825</v>
      </c>
      <c r="G242" s="23" t="n">
        <v>2.45398164227239</v>
      </c>
      <c r="H242" s="19" t="n">
        <v>37.1</v>
      </c>
      <c r="I242" s="17" t="n">
        <f aca="false">IF(H242="","",RANK(H242,$H$5:$H$389))</f>
        <v>238</v>
      </c>
      <c r="J242" s="24" t="n">
        <v>0.0735019973368842</v>
      </c>
      <c r="K242" s="19" t="n">
        <v>18.9</v>
      </c>
      <c r="L242" s="17" t="n">
        <f aca="false">IF(K242="","",RANK(K242,$K$5:$K$389))</f>
        <v>312</v>
      </c>
      <c r="M242" s="25" t="n">
        <v>0.299674267100977</v>
      </c>
      <c r="N242" s="19" t="n">
        <v>88.5</v>
      </c>
      <c r="O242" s="17" t="n">
        <f aca="false">IF(N242="","",RANK(N242,$N$5:$N$389))</f>
        <v>44</v>
      </c>
      <c r="P242" s="17" t="str">
        <f aca="false">IF(AND(N(H242)&gt;=N(K242),N(H242)&gt;=N(N242)),"The Pulse",IF(N(K242)&gt;=N(N242),"The Lens","The Hub"))</f>
        <v>The Hub</v>
      </c>
      <c r="Q242" s="21" t="s">
        <v>79</v>
      </c>
      <c r="R242" s="26" t="s">
        <v>822</v>
      </c>
      <c r="S242" s="17" t="s">
        <v>22</v>
      </c>
    </row>
    <row r="243" customFormat="false" ht="15" hidden="false" customHeight="false" outlineLevel="0" collapsed="false">
      <c r="A243" s="17" t="s">
        <v>1984</v>
      </c>
      <c r="B243" s="17" t="s">
        <v>1985</v>
      </c>
      <c r="C243" s="17" t="s">
        <v>1986</v>
      </c>
      <c r="D243" s="17" t="s">
        <v>82</v>
      </c>
      <c r="E243" s="18" t="n">
        <v>98330</v>
      </c>
      <c r="F243" s="17" t="s">
        <v>821</v>
      </c>
      <c r="G243" s="23" t="n">
        <v>2.45038136885996</v>
      </c>
      <c r="H243" s="19" t="n">
        <v>36.9</v>
      </c>
      <c r="I243" s="17" t="n">
        <f aca="false">IF(H243="","",RANK(H243,$H$5:$H$389))</f>
        <v>239</v>
      </c>
      <c r="J243" s="24" t="n">
        <v>0.106696679797411</v>
      </c>
      <c r="K243" s="19" t="n">
        <v>62.5</v>
      </c>
      <c r="L243" s="17" t="n">
        <f aca="false">IF(K243="","",RANK(K243,$K$5:$K$389))</f>
        <v>142</v>
      </c>
      <c r="M243" s="25" t="n">
        <v>0.0928729930818431</v>
      </c>
      <c r="N243" s="19" t="n">
        <v>34</v>
      </c>
      <c r="O243" s="17" t="n">
        <f aca="false">IF(N243="","",RANK(N243,$N$5:$N$389))</f>
        <v>257</v>
      </c>
      <c r="P243" s="17" t="str">
        <f aca="false">IF(AND(N(H243)&gt;=N(K243),N(H243)&gt;=N(N243)),"The Pulse",IF(N(K243)&gt;=N(N243),"The Lens","The Hub"))</f>
        <v>The Lens</v>
      </c>
      <c r="Q243" s="20" t="s">
        <v>74</v>
      </c>
      <c r="R243" s="27" t="s">
        <v>832</v>
      </c>
      <c r="S243" s="17" t="s">
        <v>24</v>
      </c>
    </row>
    <row r="244" customFormat="false" ht="15" hidden="false" customHeight="false" outlineLevel="0" collapsed="false">
      <c r="A244" s="17" t="s">
        <v>533</v>
      </c>
      <c r="B244" s="17" t="s">
        <v>534</v>
      </c>
      <c r="C244" s="17" t="s">
        <v>1987</v>
      </c>
      <c r="D244" s="17" t="s">
        <v>123</v>
      </c>
      <c r="E244" s="18" t="n">
        <v>19450</v>
      </c>
      <c r="F244" s="17" t="s">
        <v>821</v>
      </c>
      <c r="G244" s="23" t="n">
        <v>2.44210796915167</v>
      </c>
      <c r="H244" s="19" t="n">
        <v>36.3</v>
      </c>
      <c r="I244" s="17" t="n">
        <f aca="false">IF(H244="","",RANK(H244,$H$5:$H$389))</f>
        <v>240</v>
      </c>
      <c r="J244" s="24" t="n">
        <v>0.243606138107417</v>
      </c>
      <c r="K244" s="19" t="n">
        <v>97.8</v>
      </c>
      <c r="L244" s="17" t="n">
        <f aca="false">IF(K244="","",RANK(K244,$K$5:$K$389))</f>
        <v>10</v>
      </c>
      <c r="M244" s="25" t="n">
        <v>0.0794638583054093</v>
      </c>
      <c r="N244" s="19" t="n">
        <v>24.9</v>
      </c>
      <c r="O244" s="17" t="n">
        <f aca="false">IF(N244="","",RANK(N244,$N$5:$N$389))</f>
        <v>290</v>
      </c>
      <c r="P244" s="17" t="str">
        <f aca="false">IF(AND(N(H244)&gt;=N(K244),N(H244)&gt;=N(N244)),"The Pulse",IF(N(K244)&gt;=N(N244),"The Lens","The Hub"))</f>
        <v>The Lens</v>
      </c>
      <c r="Q244" s="20" t="s">
        <v>74</v>
      </c>
      <c r="R244" s="26" t="s">
        <v>822</v>
      </c>
      <c r="S244" s="17" t="s">
        <v>24</v>
      </c>
    </row>
    <row r="245" customFormat="false" ht="15" hidden="false" customHeight="false" outlineLevel="0" collapsed="false">
      <c r="A245" s="17" t="s">
        <v>1988</v>
      </c>
      <c r="B245" s="17" t="s">
        <v>1989</v>
      </c>
      <c r="C245" s="17" t="s">
        <v>1990</v>
      </c>
      <c r="D245" s="17" t="s">
        <v>123</v>
      </c>
      <c r="E245" s="18" t="n">
        <v>21990</v>
      </c>
      <c r="F245" s="17" t="s">
        <v>821</v>
      </c>
      <c r="G245" s="23" t="n">
        <v>2.4331059572533</v>
      </c>
      <c r="H245" s="19" t="n">
        <v>36.1</v>
      </c>
      <c r="I245" s="17" t="n">
        <f aca="false">IF(H245="","",RANK(H245,$H$5:$H$389))</f>
        <v>241</v>
      </c>
      <c r="J245" s="24" t="n">
        <v>0.0869995056846268</v>
      </c>
      <c r="K245" s="19" t="n">
        <v>53.1</v>
      </c>
      <c r="L245" s="17" t="n">
        <f aca="false">IF(K245="","",RANK(K245,$K$5:$K$389))</f>
        <v>183</v>
      </c>
      <c r="M245" s="25" t="n">
        <v>0.0741467242055708</v>
      </c>
      <c r="N245" s="19" t="n">
        <v>21.9</v>
      </c>
      <c r="O245" s="17" t="n">
        <f aca="false">IF(N245="","",RANK(N245,$N$5:$N$389))</f>
        <v>300</v>
      </c>
      <c r="P245" s="17" t="str">
        <f aca="false">IF(AND(N(H245)&gt;=N(K245),N(H245)&gt;=N(N245)),"The Pulse",IF(N(K245)&gt;=N(N245),"The Lens","The Hub"))</f>
        <v>The Lens</v>
      </c>
      <c r="Q245" s="20" t="s">
        <v>74</v>
      </c>
      <c r="R245" s="27" t="s">
        <v>832</v>
      </c>
      <c r="S245" s="17" t="s">
        <v>24</v>
      </c>
    </row>
    <row r="246" customFormat="false" ht="15" hidden="false" customHeight="false" outlineLevel="0" collapsed="false">
      <c r="A246" s="17" t="s">
        <v>639</v>
      </c>
      <c r="B246" s="17" t="s">
        <v>640</v>
      </c>
      <c r="C246" s="17" t="s">
        <v>1991</v>
      </c>
      <c r="D246" s="17" t="s">
        <v>86</v>
      </c>
      <c r="E246" s="18" t="n">
        <v>119110</v>
      </c>
      <c r="F246" s="17" t="s">
        <v>827</v>
      </c>
      <c r="G246" s="23" t="n">
        <v>2.42736965829905</v>
      </c>
      <c r="H246" s="19" t="n">
        <v>36</v>
      </c>
      <c r="I246" s="17" t="n">
        <f aca="false">IF(H246="","",RANK(H246,$H$5:$H$389))</f>
        <v>242</v>
      </c>
      <c r="J246" s="24" t="n">
        <v>0.0108631078672664</v>
      </c>
      <c r="K246" s="19" t="n">
        <v>16.6</v>
      </c>
      <c r="L246" s="17" t="n">
        <f aca="false">IF(K246="","",RANK(K246,$K$5:$K$389))</f>
        <v>323</v>
      </c>
      <c r="M246" s="25" t="n">
        <v>0.235096074889144</v>
      </c>
      <c r="N246" s="19" t="n">
        <v>77.5</v>
      </c>
      <c r="O246" s="17" t="n">
        <f aca="false">IF(N246="","",RANK(N246,$N$5:$N$389))</f>
        <v>88</v>
      </c>
      <c r="P246" s="17" t="str">
        <f aca="false">IF(AND(N(H246)&gt;=N(K246),N(H246)&gt;=N(N246)),"The Pulse",IF(N(K246)&gt;=N(N246),"The Lens","The Hub"))</f>
        <v>The Hub</v>
      </c>
      <c r="Q246" s="20" t="s">
        <v>74</v>
      </c>
      <c r="R246" s="26" t="s">
        <v>822</v>
      </c>
      <c r="S246" s="17" t="s">
        <v>24</v>
      </c>
    </row>
    <row r="247" customFormat="false" ht="15" hidden="false" customHeight="false" outlineLevel="0" collapsed="false">
      <c r="A247" s="17" t="s">
        <v>575</v>
      </c>
      <c r="B247" s="17" t="s">
        <v>576</v>
      </c>
      <c r="C247" s="17" t="s">
        <v>1992</v>
      </c>
      <c r="D247" s="17" t="s">
        <v>115</v>
      </c>
      <c r="E247" s="18" t="n">
        <v>14480</v>
      </c>
      <c r="F247" s="17" t="s">
        <v>821</v>
      </c>
      <c r="G247" s="23" t="n">
        <v>2.41691988950276</v>
      </c>
      <c r="H247" s="19" t="n">
        <v>35.8</v>
      </c>
      <c r="I247" s="17" t="n">
        <f aca="false">IF(H247="","",RANK(H247,$H$5:$H$389))</f>
        <v>243</v>
      </c>
      <c r="J247" s="24" t="n">
        <v>0.0781831720029784</v>
      </c>
      <c r="K247" s="19" t="n">
        <v>45.5</v>
      </c>
      <c r="L247" s="17" t="n">
        <f aca="false">IF(K247="","",RANK(K247,$K$5:$K$389))</f>
        <v>215</v>
      </c>
      <c r="M247" s="25" t="n">
        <v>0.253797158255757</v>
      </c>
      <c r="N247" s="19" t="n">
        <v>82.3</v>
      </c>
      <c r="O247" s="17" t="n">
        <f aca="false">IF(N247="","",RANK(N247,$N$5:$N$389))</f>
        <v>69</v>
      </c>
      <c r="P247" s="17" t="str">
        <f aca="false">IF(AND(N(H247)&gt;=N(K247),N(H247)&gt;=N(N247)),"The Pulse",IF(N(K247)&gt;=N(N247),"The Lens","The Hub"))</f>
        <v>The Hub</v>
      </c>
      <c r="Q247" s="20" t="s">
        <v>74</v>
      </c>
      <c r="R247" s="26" t="s">
        <v>822</v>
      </c>
      <c r="S247" s="17" t="s">
        <v>24</v>
      </c>
    </row>
    <row r="248" customFormat="false" ht="15" hidden="false" customHeight="false" outlineLevel="0" collapsed="false">
      <c r="A248" s="17" t="s">
        <v>325</v>
      </c>
      <c r="B248" s="17" t="s">
        <v>326</v>
      </c>
      <c r="C248" s="17" t="s">
        <v>1993</v>
      </c>
      <c r="D248" s="17" t="s">
        <v>95</v>
      </c>
      <c r="E248" s="18" t="n">
        <v>219670</v>
      </c>
      <c r="F248" s="17" t="s">
        <v>827</v>
      </c>
      <c r="G248" s="23" t="n">
        <v>2.40798470432922</v>
      </c>
      <c r="H248" s="19" t="n">
        <v>35.6</v>
      </c>
      <c r="I248" s="17" t="n">
        <f aca="false">IF(H248="","",RANK(H248,$H$5:$H$389))</f>
        <v>244</v>
      </c>
      <c r="J248" s="24" t="n">
        <v>-0.0685239367340881</v>
      </c>
      <c r="K248" s="19" t="n">
        <v>4.5</v>
      </c>
      <c r="L248" s="17" t="n">
        <f aca="false">IF(K248="","",RANK(K248,$K$5:$K$389))</f>
        <v>370</v>
      </c>
      <c r="M248" s="25" t="n">
        <v>0.101608031001129</v>
      </c>
      <c r="N248" s="19" t="n">
        <v>37.7</v>
      </c>
      <c r="O248" s="17" t="n">
        <f aca="false">IF(N248="","",RANK(N248,$N$5:$N$389))</f>
        <v>241</v>
      </c>
      <c r="P248" s="17" t="str">
        <f aca="false">IF(AND(N(H248)&gt;=N(K248),N(H248)&gt;=N(N248)),"The Pulse",IF(N(K248)&gt;=N(N248),"The Lens","The Hub"))</f>
        <v>The Hub</v>
      </c>
      <c r="Q248" s="20" t="s">
        <v>74</v>
      </c>
      <c r="R248" s="26" t="s">
        <v>822</v>
      </c>
      <c r="S248" s="17" t="s">
        <v>24</v>
      </c>
    </row>
    <row r="249" customFormat="false" ht="15" hidden="false" customHeight="false" outlineLevel="0" collapsed="false">
      <c r="A249" s="17" t="s">
        <v>411</v>
      </c>
      <c r="B249" s="17" t="s">
        <v>412</v>
      </c>
      <c r="C249" s="17" t="s">
        <v>1994</v>
      </c>
      <c r="D249" s="17" t="s">
        <v>91</v>
      </c>
      <c r="E249" s="18" t="n">
        <v>72250</v>
      </c>
      <c r="F249" s="17" t="s">
        <v>821</v>
      </c>
      <c r="G249" s="23" t="n">
        <v>2.40591003460208</v>
      </c>
      <c r="H249" s="19" t="n">
        <v>35.4</v>
      </c>
      <c r="I249" s="17" t="n">
        <f aca="false">IF(H249="","",RANK(H249,$H$5:$H$389))</f>
        <v>245</v>
      </c>
      <c r="J249" s="24" t="n">
        <v>0.184426229508197</v>
      </c>
      <c r="K249" s="19" t="n">
        <v>89.5</v>
      </c>
      <c r="L249" s="17" t="n">
        <f aca="false">IF(K249="","",RANK(K249,$K$5:$K$389))</f>
        <v>40</v>
      </c>
      <c r="M249" s="25" t="n">
        <v>0.191898673676664</v>
      </c>
      <c r="N249" s="19" t="n">
        <v>67.1</v>
      </c>
      <c r="O249" s="17" t="n">
        <f aca="false">IF(N249="","",RANK(N249,$N$5:$N$389))</f>
        <v>130</v>
      </c>
      <c r="P249" s="17" t="str">
        <f aca="false">IF(AND(N(H249)&gt;=N(K249),N(H249)&gt;=N(N249)),"The Pulse",IF(N(K249)&gt;=N(N249),"The Lens","The Hub"))</f>
        <v>The Lens</v>
      </c>
      <c r="Q249" s="20" t="s">
        <v>74</v>
      </c>
      <c r="R249" s="26" t="s">
        <v>822</v>
      </c>
      <c r="S249" s="17" t="s">
        <v>24</v>
      </c>
    </row>
    <row r="250" customFormat="false" ht="15" hidden="false" customHeight="false" outlineLevel="0" collapsed="false">
      <c r="A250" s="17" t="s">
        <v>731</v>
      </c>
      <c r="B250" s="17" t="s">
        <v>732</v>
      </c>
      <c r="C250" s="17" t="s">
        <v>1995</v>
      </c>
      <c r="D250" s="17" t="s">
        <v>86</v>
      </c>
      <c r="E250" s="18" t="n">
        <v>334300</v>
      </c>
      <c r="F250" s="17" t="s">
        <v>827</v>
      </c>
      <c r="G250" s="23" t="n">
        <v>2.39276697577027</v>
      </c>
      <c r="H250" s="19" t="n">
        <v>35</v>
      </c>
      <c r="I250" s="17" t="n">
        <f aca="false">IF(H250="","",RANK(H250,$H$5:$H$389))</f>
        <v>246</v>
      </c>
      <c r="J250" s="24" t="n">
        <v>0.0734009761109684</v>
      </c>
      <c r="K250" s="19" t="n">
        <v>47.8</v>
      </c>
      <c r="L250" s="17" t="n">
        <f aca="false">IF(K250="","",RANK(K250,$K$5:$K$389))</f>
        <v>206</v>
      </c>
      <c r="M250" s="25" t="n">
        <v>0.187133831131534</v>
      </c>
      <c r="N250" s="19" t="n">
        <v>65.8</v>
      </c>
      <c r="O250" s="17" t="n">
        <f aca="false">IF(N250="","",RANK(N250,$N$5:$N$389))</f>
        <v>136</v>
      </c>
      <c r="P250" s="17" t="str">
        <f aca="false">IF(AND(N(H250)&gt;=N(K250),N(H250)&gt;=N(N250)),"The Pulse",IF(N(K250)&gt;=N(N250),"The Lens","The Hub"))</f>
        <v>The Hub</v>
      </c>
      <c r="Q250" s="20" t="s">
        <v>74</v>
      </c>
      <c r="R250" s="26" t="s">
        <v>822</v>
      </c>
      <c r="S250" s="17" t="s">
        <v>24</v>
      </c>
    </row>
    <row r="251" customFormat="false" ht="15" hidden="false" customHeight="false" outlineLevel="0" collapsed="false">
      <c r="A251" s="17" t="s">
        <v>1008</v>
      </c>
      <c r="B251" s="17" t="s">
        <v>1009</v>
      </c>
      <c r="C251" s="17" t="s">
        <v>1996</v>
      </c>
      <c r="D251" s="17" t="s">
        <v>91</v>
      </c>
      <c r="E251" s="18" t="n">
        <v>200420</v>
      </c>
      <c r="F251" s="17" t="s">
        <v>827</v>
      </c>
      <c r="G251" s="23" t="n">
        <v>2.38298572996707</v>
      </c>
      <c r="H251" s="19" t="n">
        <v>34.6</v>
      </c>
      <c r="I251" s="17" t="n">
        <f aca="false">IF(H251="","",RANK(H251,$H$5:$H$389))</f>
        <v>247</v>
      </c>
      <c r="J251" s="24" t="n">
        <v>0.102723521320495</v>
      </c>
      <c r="K251" s="19" t="n">
        <v>63.1</v>
      </c>
      <c r="L251" s="17" t="n">
        <f aca="false">IF(K251="","",RANK(K251,$K$5:$K$389))</f>
        <v>140</v>
      </c>
      <c r="M251" s="25" t="n">
        <v>0.198582194024961</v>
      </c>
      <c r="N251" s="19" t="n">
        <v>69.1</v>
      </c>
      <c r="O251" s="17" t="n">
        <f aca="false">IF(N251="","",RANK(N251,$N$5:$N$389))</f>
        <v>122</v>
      </c>
      <c r="P251" s="17" t="str">
        <f aca="false">IF(AND(N(H251)&gt;=N(K251),N(H251)&gt;=N(N251)),"The Pulse",IF(N(K251)&gt;=N(N251),"The Lens","The Hub"))</f>
        <v>The Hub</v>
      </c>
      <c r="Q251" s="20" t="s">
        <v>74</v>
      </c>
      <c r="R251" s="27" t="s">
        <v>832</v>
      </c>
      <c r="S251" s="17" t="s">
        <v>24</v>
      </c>
    </row>
    <row r="252" customFormat="false" ht="15" hidden="false" customHeight="false" outlineLevel="0" collapsed="false">
      <c r="A252" s="17" t="s">
        <v>1997</v>
      </c>
      <c r="B252" s="17" t="s">
        <v>1998</v>
      </c>
      <c r="C252" s="17" t="s">
        <v>1999</v>
      </c>
      <c r="D252" s="17" t="s">
        <v>162</v>
      </c>
      <c r="E252" s="18" t="n">
        <v>36880</v>
      </c>
      <c r="F252" s="17" t="s">
        <v>821</v>
      </c>
      <c r="G252" s="23" t="n">
        <v>2.37852494577007</v>
      </c>
      <c r="H252" s="19" t="n">
        <v>34.4</v>
      </c>
      <c r="I252" s="17" t="n">
        <f aca="false">IF(H252="","",RANK(H252,$H$5:$H$389))</f>
        <v>248</v>
      </c>
      <c r="J252" s="24" t="n">
        <v>0.0979458172075022</v>
      </c>
      <c r="K252" s="19" t="n">
        <v>56</v>
      </c>
      <c r="L252" s="17" t="n">
        <f aca="false">IF(K252="","",RANK(K252,$K$5:$K$389))</f>
        <v>172</v>
      </c>
      <c r="M252" s="25" t="n">
        <v>0.114925807390166</v>
      </c>
      <c r="N252" s="19" t="n">
        <v>42.8</v>
      </c>
      <c r="O252" s="17" t="n">
        <f aca="false">IF(N252="","",RANK(N252,$N$5:$N$389))</f>
        <v>220</v>
      </c>
      <c r="P252" s="17" t="str">
        <f aca="false">IF(AND(N(H252)&gt;=N(K252),N(H252)&gt;=N(N252)),"The Pulse",IF(N(K252)&gt;=N(N252),"The Lens","The Hub"))</f>
        <v>The Lens</v>
      </c>
      <c r="Q252" s="20" t="s">
        <v>74</v>
      </c>
      <c r="R252" s="27" t="s">
        <v>832</v>
      </c>
      <c r="S252" s="17" t="s">
        <v>24</v>
      </c>
    </row>
    <row r="253" customFormat="false" ht="15" hidden="false" customHeight="false" outlineLevel="0" collapsed="false">
      <c r="A253" s="17" t="s">
        <v>355</v>
      </c>
      <c r="B253" s="17" t="s">
        <v>356</v>
      </c>
      <c r="C253" s="17" t="s">
        <v>2000</v>
      </c>
      <c r="D253" s="17" t="s">
        <v>91</v>
      </c>
      <c r="E253" s="18" t="n">
        <v>34730</v>
      </c>
      <c r="F253" s="17" t="s">
        <v>821</v>
      </c>
      <c r="G253" s="23" t="n">
        <v>2.36927728188886</v>
      </c>
      <c r="H253" s="19" t="n">
        <v>34.2</v>
      </c>
      <c r="I253" s="17" t="n">
        <f aca="false">IF(H253="","",RANK(H253,$H$5:$H$389))</f>
        <v>249</v>
      </c>
      <c r="J253" s="24" t="n">
        <v>0.189791024323398</v>
      </c>
      <c r="K253" s="19" t="n">
        <v>91.3</v>
      </c>
      <c r="L253" s="17" t="n">
        <f aca="false">IF(K253="","",RANK(K253,$K$5:$K$389))</f>
        <v>33</v>
      </c>
      <c r="M253" s="25" t="n">
        <v>0.276487252124646</v>
      </c>
      <c r="N253" s="19" t="n">
        <v>85.7</v>
      </c>
      <c r="O253" s="17" t="n">
        <f aca="false">IF(N253="","",RANK(N253,$N$5:$N$389))</f>
        <v>54</v>
      </c>
      <c r="P253" s="17" t="str">
        <f aca="false">IF(AND(N(H253)&gt;=N(K253),N(H253)&gt;=N(N253)),"The Pulse",IF(N(K253)&gt;=N(N253),"The Lens","The Hub"))</f>
        <v>The Lens</v>
      </c>
      <c r="Q253" s="20" t="s">
        <v>74</v>
      </c>
      <c r="R253" s="26" t="s">
        <v>822</v>
      </c>
      <c r="S253" s="17" t="s">
        <v>24</v>
      </c>
    </row>
    <row r="254" customFormat="false" ht="15" hidden="false" customHeight="false" outlineLevel="0" collapsed="false">
      <c r="A254" s="17" t="s">
        <v>219</v>
      </c>
      <c r="B254" s="17" t="s">
        <v>220</v>
      </c>
      <c r="C254" s="17" t="s">
        <v>2001</v>
      </c>
      <c r="D254" s="17" t="s">
        <v>98</v>
      </c>
      <c r="E254" s="18" t="n">
        <v>51530</v>
      </c>
      <c r="F254" s="17" t="s">
        <v>821</v>
      </c>
      <c r="G254" s="23" t="n">
        <v>2.3613623132156</v>
      </c>
      <c r="H254" s="19" t="n">
        <v>34</v>
      </c>
      <c r="I254" s="17" t="n">
        <f aca="false">IF(H254="","",RANK(H254,$H$5:$H$389))</f>
        <v>250</v>
      </c>
      <c r="J254" s="24" t="n">
        <v>0.0312187312387433</v>
      </c>
      <c r="K254" s="19" t="n">
        <v>22.2</v>
      </c>
      <c r="L254" s="17" t="n">
        <f aca="false">IF(K254="","",RANK(K254,$K$5:$K$389))</f>
        <v>304</v>
      </c>
      <c r="M254" s="25" t="n">
        <v>0.247946611909651</v>
      </c>
      <c r="N254" s="19" t="n">
        <v>81.5</v>
      </c>
      <c r="O254" s="17" t="n">
        <f aca="false">IF(N254="","",RANK(N254,$N$5:$N$389))</f>
        <v>73</v>
      </c>
      <c r="P254" s="17" t="str">
        <f aca="false">IF(AND(N(H254)&gt;=N(K254),N(H254)&gt;=N(N254)),"The Pulse",IF(N(K254)&gt;=N(N254),"The Lens","The Hub"))</f>
        <v>The Hub</v>
      </c>
      <c r="Q254" s="20" t="s">
        <v>74</v>
      </c>
      <c r="R254" s="26" t="s">
        <v>822</v>
      </c>
      <c r="S254" s="17" t="s">
        <v>24</v>
      </c>
    </row>
    <row r="255" customFormat="false" ht="15" hidden="false" customHeight="false" outlineLevel="0" collapsed="false">
      <c r="A255" s="17" t="s">
        <v>659</v>
      </c>
      <c r="B255" s="17" t="s">
        <v>660</v>
      </c>
      <c r="C255" s="17" t="s">
        <v>2002</v>
      </c>
      <c r="D255" s="17" t="s">
        <v>82</v>
      </c>
      <c r="E255" s="18" t="n">
        <v>31340</v>
      </c>
      <c r="F255" s="17" t="s">
        <v>821</v>
      </c>
      <c r="G255" s="23" t="n">
        <v>2.35861518825782</v>
      </c>
      <c r="H255" s="19" t="n">
        <v>33.8</v>
      </c>
      <c r="I255" s="17" t="n">
        <f aca="false">IF(H255="","",RANK(H255,$H$5:$H$389))</f>
        <v>251</v>
      </c>
      <c r="J255" s="24" t="n">
        <v>0.0198503091441588</v>
      </c>
      <c r="K255" s="19" t="n">
        <v>18.5</v>
      </c>
      <c r="L255" s="17" t="n">
        <f aca="false">IF(K255="","",RANK(K255,$K$5:$K$389))</f>
        <v>314</v>
      </c>
      <c r="M255" s="25" t="n">
        <v>0.0926301555104801</v>
      </c>
      <c r="N255" s="19" t="n">
        <v>33.8</v>
      </c>
      <c r="O255" s="17" t="n">
        <f aca="false">IF(N255="","",RANK(N255,$N$5:$N$389))</f>
        <v>258</v>
      </c>
      <c r="P255" s="17" t="str">
        <f aca="false">IF(AND(N(H255)&gt;=N(K255),N(H255)&gt;=N(N255)),"The Pulse",IF(N(K255)&gt;=N(N255),"The Lens","The Hub"))</f>
        <v>The Pulse</v>
      </c>
      <c r="Q255" s="20" t="s">
        <v>74</v>
      </c>
      <c r="R255" s="26" t="s">
        <v>822</v>
      </c>
      <c r="S255" s="17" t="s">
        <v>24</v>
      </c>
    </row>
    <row r="256" customFormat="false" ht="15" hidden="false" customHeight="false" outlineLevel="0" collapsed="false">
      <c r="A256" s="17" t="s">
        <v>321</v>
      </c>
      <c r="B256" s="17" t="s">
        <v>322</v>
      </c>
      <c r="C256" s="17" t="s">
        <v>2003</v>
      </c>
      <c r="D256" s="17" t="s">
        <v>95</v>
      </c>
      <c r="E256" s="18" t="n">
        <v>32665</v>
      </c>
      <c r="F256" s="17" t="s">
        <v>821</v>
      </c>
      <c r="G256" s="23" t="n">
        <v>2.3465789070871</v>
      </c>
      <c r="H256" s="19" t="n">
        <v>33.6</v>
      </c>
      <c r="I256" s="17" t="n">
        <f aca="false">IF(H256="","",RANK(H256,$H$5:$H$389))</f>
        <v>252</v>
      </c>
      <c r="J256" s="24" t="n">
        <v>0.119853268881347</v>
      </c>
      <c r="K256" s="19" t="n">
        <v>68.4</v>
      </c>
      <c r="L256" s="17" t="n">
        <f aca="false">IF(K256="","",RANK(K256,$K$5:$K$389))</f>
        <v>115</v>
      </c>
      <c r="M256" s="25" t="n">
        <v>0.175027870680045</v>
      </c>
      <c r="N256" s="19" t="n">
        <v>62.9</v>
      </c>
      <c r="O256" s="17" t="n">
        <f aca="false">IF(N256="","",RANK(N256,$N$5:$N$389))</f>
        <v>147</v>
      </c>
      <c r="P256" s="17" t="str">
        <f aca="false">IF(AND(N(H256)&gt;=N(K256),N(H256)&gt;=N(N256)),"The Pulse",IF(N(K256)&gt;=N(N256),"The Lens","The Hub"))</f>
        <v>The Lens</v>
      </c>
      <c r="Q256" s="21" t="s">
        <v>79</v>
      </c>
      <c r="R256" s="26" t="s">
        <v>822</v>
      </c>
      <c r="S256" s="17" t="s">
        <v>22</v>
      </c>
    </row>
    <row r="257" customFormat="false" ht="15" hidden="false" customHeight="false" outlineLevel="0" collapsed="false">
      <c r="A257" s="17" t="s">
        <v>665</v>
      </c>
      <c r="B257" s="17" t="s">
        <v>666</v>
      </c>
      <c r="C257" s="17" t="s">
        <v>2004</v>
      </c>
      <c r="D257" s="17" t="s">
        <v>86</v>
      </c>
      <c r="E257" s="18" t="n">
        <v>285960</v>
      </c>
      <c r="F257" s="17" t="s">
        <v>827</v>
      </c>
      <c r="G257" s="23" t="n">
        <v>2.326437263953</v>
      </c>
      <c r="H257" s="19" t="n">
        <v>33.4</v>
      </c>
      <c r="I257" s="17" t="n">
        <f aca="false">IF(H257="","",RANK(H257,$H$5:$H$389))</f>
        <v>253</v>
      </c>
      <c r="J257" s="24" t="n">
        <v>0.0377789874795863</v>
      </c>
      <c r="K257" s="19" t="n">
        <v>28</v>
      </c>
      <c r="L257" s="17" t="n">
        <f aca="false">IF(K257="","",RANK(K257,$K$5:$K$389))</f>
        <v>284</v>
      </c>
      <c r="M257" s="25" t="n">
        <v>0.0496391914302362</v>
      </c>
      <c r="N257" s="19" t="n">
        <v>11.9</v>
      </c>
      <c r="O257" s="17" t="n">
        <f aca="false">IF(N257="","",RANK(N257,$N$5:$N$389))</f>
        <v>339</v>
      </c>
      <c r="P257" s="17" t="str">
        <f aca="false">IF(AND(N(H257)&gt;=N(K257),N(H257)&gt;=N(N257)),"The Pulse",IF(N(K257)&gt;=N(N257),"The Lens","The Hub"))</f>
        <v>The Pulse</v>
      </c>
      <c r="Q257" s="20" t="s">
        <v>74</v>
      </c>
      <c r="R257" s="26" t="s">
        <v>822</v>
      </c>
      <c r="S257" s="17" t="s">
        <v>24</v>
      </c>
    </row>
    <row r="258" customFormat="false" ht="15" hidden="false" customHeight="false" outlineLevel="0" collapsed="false">
      <c r="A258" s="17" t="s">
        <v>917</v>
      </c>
      <c r="B258" s="17" t="s">
        <v>918</v>
      </c>
      <c r="C258" s="17" t="s">
        <v>2005</v>
      </c>
      <c r="D258" s="17" t="s">
        <v>72</v>
      </c>
      <c r="E258" s="18" t="n">
        <v>47590</v>
      </c>
      <c r="F258" s="17" t="s">
        <v>821</v>
      </c>
      <c r="G258" s="23" t="n">
        <v>2.31920571548645</v>
      </c>
      <c r="H258" s="19" t="n">
        <v>33.2</v>
      </c>
      <c r="I258" s="17" t="n">
        <f aca="false">IF(H258="","",RANK(H258,$H$5:$H$389))</f>
        <v>254</v>
      </c>
      <c r="J258" s="24" t="n">
        <v>0.0830678197542103</v>
      </c>
      <c r="K258" s="19" t="n">
        <v>49.5</v>
      </c>
      <c r="L258" s="17" t="n">
        <f aca="false">IF(K258="","",RANK(K258,$K$5:$K$389))</f>
        <v>199</v>
      </c>
      <c r="M258" s="25" t="n">
        <v>0.0208217656857302</v>
      </c>
      <c r="N258" s="19" t="n">
        <v>3.8</v>
      </c>
      <c r="O258" s="17" t="n">
        <f aca="false">IF(N258="","",RANK(N258,$N$5:$N$389))</f>
        <v>370</v>
      </c>
      <c r="P258" s="17" t="str">
        <f aca="false">IF(AND(N(H258)&gt;=N(K258),N(H258)&gt;=N(N258)),"The Pulse",IF(N(K258)&gt;=N(N258),"The Lens","The Hub"))</f>
        <v>The Lens</v>
      </c>
      <c r="Q258" s="20" t="s">
        <v>74</v>
      </c>
      <c r="R258" s="27" t="s">
        <v>832</v>
      </c>
      <c r="S258" s="17" t="s">
        <v>24</v>
      </c>
    </row>
    <row r="259" customFormat="false" ht="15" hidden="false" customHeight="false" outlineLevel="0" collapsed="false">
      <c r="A259" s="17" t="s">
        <v>2006</v>
      </c>
      <c r="B259" s="17" t="s">
        <v>2007</v>
      </c>
      <c r="C259" s="17" t="s">
        <v>2008</v>
      </c>
      <c r="D259" s="17" t="s">
        <v>82</v>
      </c>
      <c r="E259" s="18" t="n">
        <v>42370</v>
      </c>
      <c r="F259" s="17" t="s">
        <v>821</v>
      </c>
      <c r="G259" s="23" t="n">
        <v>2.31463299504366</v>
      </c>
      <c r="H259" s="19" t="n">
        <v>33</v>
      </c>
      <c r="I259" s="17" t="n">
        <f aca="false">IF(H259="","",RANK(H259,$H$5:$H$389))</f>
        <v>255</v>
      </c>
      <c r="J259" s="24" t="n">
        <v>0.0751078406495813</v>
      </c>
      <c r="K259" s="19" t="n">
        <v>44</v>
      </c>
      <c r="L259" s="17" t="n">
        <f aca="false">IF(K259="","",RANK(K259,$K$5:$K$389))</f>
        <v>219</v>
      </c>
      <c r="M259" s="25" t="n">
        <v>0.591196994095545</v>
      </c>
      <c r="N259" s="19" t="n">
        <v>100</v>
      </c>
      <c r="O259" s="17" t="n">
        <f aca="false">IF(N259="","",RANK(N259,$N$5:$N$389))</f>
        <v>1</v>
      </c>
      <c r="P259" s="17" t="str">
        <f aca="false">IF(AND(N(H259)&gt;=N(K259),N(H259)&gt;=N(N259)),"The Pulse",IF(N(K259)&gt;=N(N259),"The Lens","The Hub"))</f>
        <v>The Hub</v>
      </c>
      <c r="Q259" s="20" t="s">
        <v>74</v>
      </c>
      <c r="R259" s="27" t="s">
        <v>832</v>
      </c>
      <c r="S259" s="17" t="s">
        <v>24</v>
      </c>
    </row>
    <row r="260" customFormat="false" ht="15" hidden="false" customHeight="false" outlineLevel="0" collapsed="false">
      <c r="A260" s="17" t="s">
        <v>599</v>
      </c>
      <c r="B260" s="17" t="s">
        <v>600</v>
      </c>
      <c r="C260" s="17" t="s">
        <v>2009</v>
      </c>
      <c r="D260" s="17" t="s">
        <v>77</v>
      </c>
      <c r="E260" s="18" t="n">
        <v>24010</v>
      </c>
      <c r="F260" s="17" t="s">
        <v>821</v>
      </c>
      <c r="G260" s="23" t="n">
        <v>2.29479383590171</v>
      </c>
      <c r="H260" s="19" t="n">
        <v>32.8</v>
      </c>
      <c r="I260" s="17" t="n">
        <f aca="false">IF(H260="","",RANK(H260,$H$5:$H$389))</f>
        <v>256</v>
      </c>
      <c r="J260" s="24" t="n">
        <v>0.134152102031176</v>
      </c>
      <c r="K260" s="19" t="n">
        <v>74.9</v>
      </c>
      <c r="L260" s="17" t="n">
        <f aca="false">IF(K260="","",RANK(K260,$K$5:$K$389))</f>
        <v>95</v>
      </c>
      <c r="M260" s="25" t="n">
        <v>0.0755813953488372</v>
      </c>
      <c r="N260" s="19" t="n">
        <v>22.5</v>
      </c>
      <c r="O260" s="17" t="n">
        <f aca="false">IF(N260="","",RANK(N260,$N$5:$N$389))</f>
        <v>298</v>
      </c>
      <c r="P260" s="17" t="str">
        <f aca="false">IF(AND(N(H260)&gt;=N(K260),N(H260)&gt;=N(N260)),"The Pulse",IF(N(K260)&gt;=N(N260),"The Lens","The Hub"))</f>
        <v>The Lens</v>
      </c>
      <c r="Q260" s="20" t="s">
        <v>74</v>
      </c>
      <c r="R260" s="26" t="s">
        <v>822</v>
      </c>
      <c r="S260" s="17" t="s">
        <v>24</v>
      </c>
    </row>
    <row r="261" customFormat="false" ht="15" hidden="false" customHeight="false" outlineLevel="0" collapsed="false">
      <c r="A261" s="17" t="s">
        <v>763</v>
      </c>
      <c r="B261" s="17" t="s">
        <v>764</v>
      </c>
      <c r="C261" s="17" t="s">
        <v>2010</v>
      </c>
      <c r="D261" s="17" t="s">
        <v>82</v>
      </c>
      <c r="E261" s="18" t="n">
        <v>71490</v>
      </c>
      <c r="F261" s="17" t="s">
        <v>821</v>
      </c>
      <c r="G261" s="23" t="n">
        <v>2.28861379213876</v>
      </c>
      <c r="H261" s="19" t="n">
        <v>32.6</v>
      </c>
      <c r="I261" s="17" t="n">
        <f aca="false">IF(H261="","",RANK(H261,$H$5:$H$389))</f>
        <v>257</v>
      </c>
      <c r="J261" s="24" t="n">
        <v>0.0381934359570142</v>
      </c>
      <c r="K261" s="19" t="n">
        <v>25.8</v>
      </c>
      <c r="L261" s="17" t="n">
        <f aca="false">IF(K261="","",RANK(K261,$K$5:$K$389))</f>
        <v>289</v>
      </c>
      <c r="M261" s="25" t="n">
        <v>0.352750809061489</v>
      </c>
      <c r="N261" s="19" t="n">
        <v>94.3</v>
      </c>
      <c r="O261" s="17" t="n">
        <f aca="false">IF(N261="","",RANK(N261,$N$5:$N$389))</f>
        <v>25</v>
      </c>
      <c r="P261" s="17" t="str">
        <f aca="false">IF(AND(N(H261)&gt;=N(K261),N(H261)&gt;=N(N261)),"The Pulse",IF(N(K261)&gt;=N(N261),"The Lens","The Hub"))</f>
        <v>The Hub</v>
      </c>
      <c r="Q261" s="21" t="s">
        <v>79</v>
      </c>
      <c r="R261" s="26" t="s">
        <v>822</v>
      </c>
      <c r="S261" s="17" t="s">
        <v>88</v>
      </c>
    </row>
    <row r="262" customFormat="false" ht="15" hidden="false" customHeight="false" outlineLevel="0" collapsed="false">
      <c r="A262" s="17" t="s">
        <v>681</v>
      </c>
      <c r="B262" s="17" t="s">
        <v>682</v>
      </c>
      <c r="C262" s="17" t="s">
        <v>2011</v>
      </c>
      <c r="D262" s="17" t="s">
        <v>98</v>
      </c>
      <c r="E262" s="18" t="n">
        <v>20600</v>
      </c>
      <c r="F262" s="17" t="s">
        <v>821</v>
      </c>
      <c r="G262" s="23" t="n">
        <v>2.26281553398058</v>
      </c>
      <c r="H262" s="19" t="n">
        <v>32.2</v>
      </c>
      <c r="I262" s="17" t="n">
        <f aca="false">IF(H262="","",RANK(H262,$H$5:$H$389))</f>
        <v>258</v>
      </c>
      <c r="J262" s="24" t="n">
        <v>0.0542476970317298</v>
      </c>
      <c r="K262" s="19" t="n">
        <v>32.7</v>
      </c>
      <c r="L262" s="17" t="n">
        <f aca="false">IF(K262="","",RANK(K262,$K$5:$K$389))</f>
        <v>265</v>
      </c>
      <c r="M262" s="25" t="n">
        <v>0.260688981187393</v>
      </c>
      <c r="N262" s="19" t="n">
        <v>82.8</v>
      </c>
      <c r="O262" s="17" t="n">
        <f aca="false">IF(N262="","",RANK(N262,$N$5:$N$389))</f>
        <v>67</v>
      </c>
      <c r="P262" s="17" t="str">
        <f aca="false">IF(AND(N(H262)&gt;=N(K262),N(H262)&gt;=N(N262)),"The Pulse",IF(N(K262)&gt;=N(N262),"The Lens","The Hub"))</f>
        <v>The Hub</v>
      </c>
      <c r="Q262" s="20" t="s">
        <v>74</v>
      </c>
      <c r="R262" s="26" t="s">
        <v>822</v>
      </c>
      <c r="S262" s="17" t="s">
        <v>24</v>
      </c>
    </row>
    <row r="263" customFormat="false" ht="15" hidden="false" customHeight="false" outlineLevel="0" collapsed="false">
      <c r="A263" s="17" t="s">
        <v>2012</v>
      </c>
      <c r="B263" s="17" t="s">
        <v>2013</v>
      </c>
      <c r="C263" s="17" t="s">
        <v>2014</v>
      </c>
      <c r="D263" s="17" t="s">
        <v>82</v>
      </c>
      <c r="E263" s="18" t="n">
        <v>253760</v>
      </c>
      <c r="F263" s="17" t="s">
        <v>827</v>
      </c>
      <c r="G263" s="23" t="n">
        <v>2.24052648171501</v>
      </c>
      <c r="H263" s="19" t="n">
        <v>31.6</v>
      </c>
      <c r="I263" s="17" t="n">
        <f aca="false">IF(H263="","",RANK(H263,$H$5:$H$389))</f>
        <v>259</v>
      </c>
      <c r="J263" s="24" t="n">
        <v>0.144764740379844</v>
      </c>
      <c r="K263" s="19" t="n">
        <v>84.1</v>
      </c>
      <c r="L263" s="17" t="n">
        <f aca="false">IF(K263="","",RANK(K263,$K$5:$K$389))</f>
        <v>58</v>
      </c>
      <c r="M263" s="25" t="n">
        <v>0.0409085205170034</v>
      </c>
      <c r="N263" s="19" t="n">
        <v>8.6</v>
      </c>
      <c r="O263" s="17" t="n">
        <f aca="false">IF(N263="","",RANK(N263,$N$5:$N$389))</f>
        <v>353</v>
      </c>
      <c r="P263" s="17" t="str">
        <f aca="false">IF(AND(N(H263)&gt;=N(K263),N(H263)&gt;=N(N263)),"The Pulse",IF(N(K263)&gt;=N(N263),"The Lens","The Hub"))</f>
        <v>The Lens</v>
      </c>
      <c r="Q263" s="20" t="s">
        <v>74</v>
      </c>
      <c r="R263" s="27" t="s">
        <v>832</v>
      </c>
      <c r="S263" s="17" t="s">
        <v>24</v>
      </c>
    </row>
    <row r="264" customFormat="false" ht="15" hidden="false" customHeight="false" outlineLevel="0" collapsed="false">
      <c r="A264" s="17" t="s">
        <v>595</v>
      </c>
      <c r="B264" s="17" t="s">
        <v>596</v>
      </c>
      <c r="C264" s="17" t="s">
        <v>2015</v>
      </c>
      <c r="D264" s="17" t="s">
        <v>95</v>
      </c>
      <c r="E264" s="18" t="n">
        <v>155540</v>
      </c>
      <c r="F264" s="17" t="s">
        <v>827</v>
      </c>
      <c r="G264" s="23" t="n">
        <v>2.24047079492794</v>
      </c>
      <c r="H264" s="19" t="n">
        <v>31.4</v>
      </c>
      <c r="I264" s="17" t="n">
        <f aca="false">IF(H264="","",RANK(H264,$H$5:$H$389))</f>
        <v>260</v>
      </c>
      <c r="J264" s="24" t="n">
        <v>0.000241948834188644</v>
      </c>
      <c r="K264" s="19" t="n">
        <v>12.7</v>
      </c>
      <c r="L264" s="17" t="n">
        <f aca="false">IF(K264="","",RANK(K264,$K$5:$K$389))</f>
        <v>339</v>
      </c>
      <c r="M264" s="25" t="n">
        <v>0.155702479338843</v>
      </c>
      <c r="N264" s="19" t="n">
        <v>57.4</v>
      </c>
      <c r="O264" s="17" t="n">
        <f aca="false">IF(N264="","",RANK(N264,$N$5:$N$389))</f>
        <v>167</v>
      </c>
      <c r="P264" s="17" t="str">
        <f aca="false">IF(AND(N(H264)&gt;=N(K264),N(H264)&gt;=N(N264)),"The Pulse",IF(N(K264)&gt;=N(N264),"The Lens","The Hub"))</f>
        <v>The Hub</v>
      </c>
      <c r="Q264" s="21" t="s">
        <v>79</v>
      </c>
      <c r="R264" s="26" t="s">
        <v>822</v>
      </c>
      <c r="S264" s="17" t="s">
        <v>88</v>
      </c>
    </row>
    <row r="265" customFormat="false" ht="15" hidden="false" customHeight="false" outlineLevel="0" collapsed="false">
      <c r="A265" s="17" t="s">
        <v>231</v>
      </c>
      <c r="B265" s="17" t="s">
        <v>232</v>
      </c>
      <c r="C265" s="17" t="s">
        <v>2016</v>
      </c>
      <c r="D265" s="17" t="s">
        <v>98</v>
      </c>
      <c r="E265" s="18" t="n">
        <v>80670</v>
      </c>
      <c r="F265" s="17" t="s">
        <v>821</v>
      </c>
      <c r="G265" s="23" t="n">
        <v>2.22196603446139</v>
      </c>
      <c r="H265" s="19" t="n">
        <v>31</v>
      </c>
      <c r="I265" s="17" t="n">
        <f aca="false">IF(H265="","",RANK(H265,$H$5:$H$389))</f>
        <v>261</v>
      </c>
      <c r="J265" s="24" t="n">
        <v>-0.0418101912341133</v>
      </c>
      <c r="K265" s="19" t="n">
        <v>5.1</v>
      </c>
      <c r="L265" s="17" t="n">
        <f aca="false">IF(K265="","",RANK(K265,$K$5:$K$389))</f>
        <v>367</v>
      </c>
      <c r="M265" s="25" t="n">
        <v>0.0462855484619849</v>
      </c>
      <c r="N265" s="19" t="n">
        <v>10.8</v>
      </c>
      <c r="O265" s="17" t="n">
        <f aca="false">IF(N265="","",RANK(N265,$N$5:$N$389))</f>
        <v>344</v>
      </c>
      <c r="P265" s="17" t="str">
        <f aca="false">IF(AND(N(H265)&gt;=N(K265),N(H265)&gt;=N(N265)),"The Pulse",IF(N(K265)&gt;=N(N265),"The Lens","The Hub"))</f>
        <v>The Pulse</v>
      </c>
      <c r="Q265" s="21" t="s">
        <v>79</v>
      </c>
      <c r="R265" s="26" t="s">
        <v>822</v>
      </c>
      <c r="S265" s="17" t="s">
        <v>88</v>
      </c>
    </row>
    <row r="266" customFormat="false" ht="15" hidden="false" customHeight="false" outlineLevel="0" collapsed="false">
      <c r="A266" s="17" t="s">
        <v>2017</v>
      </c>
      <c r="B266" s="17" t="s">
        <v>2018</v>
      </c>
      <c r="C266" s="17" t="s">
        <v>2019</v>
      </c>
      <c r="D266" s="17" t="s">
        <v>123</v>
      </c>
      <c r="E266" s="18" t="n">
        <v>122400</v>
      </c>
      <c r="F266" s="17" t="s">
        <v>827</v>
      </c>
      <c r="G266" s="23" t="n">
        <v>2.18964052287582</v>
      </c>
      <c r="H266" s="19" t="n">
        <v>30.6</v>
      </c>
      <c r="I266" s="17" t="n">
        <f aca="false">IF(H266="","",RANK(H266,$H$5:$H$389))</f>
        <v>262</v>
      </c>
      <c r="J266" s="24" t="n">
        <v>-0.00657414170927684</v>
      </c>
      <c r="K266" s="19" t="n">
        <v>10.8</v>
      </c>
      <c r="L266" s="17" t="n">
        <f aca="false">IF(K266="","",RANK(K266,$K$5:$K$389))</f>
        <v>348</v>
      </c>
      <c r="M266" s="25" t="n">
        <v>0.243721955443596</v>
      </c>
      <c r="N266" s="19" t="n">
        <v>80.8</v>
      </c>
      <c r="O266" s="17" t="n">
        <f aca="false">IF(N266="","",RANK(N266,$N$5:$N$389))</f>
        <v>75</v>
      </c>
      <c r="P266" s="17" t="str">
        <f aca="false">IF(AND(N(H266)&gt;=N(K266),N(H266)&gt;=N(N266)),"The Pulse",IF(N(K266)&gt;=N(N266),"The Lens","The Hub"))</f>
        <v>The Hub</v>
      </c>
      <c r="Q266" s="21" t="s">
        <v>79</v>
      </c>
      <c r="R266" s="27" t="s">
        <v>832</v>
      </c>
      <c r="S266" s="17" t="s">
        <v>88</v>
      </c>
    </row>
    <row r="267" customFormat="false" ht="15" hidden="false" customHeight="false" outlineLevel="0" collapsed="false">
      <c r="A267" s="17" t="s">
        <v>307</v>
      </c>
      <c r="B267" s="17" t="s">
        <v>308</v>
      </c>
      <c r="C267" s="17" t="s">
        <v>2020</v>
      </c>
      <c r="D267" s="17" t="s">
        <v>77</v>
      </c>
      <c r="E267" s="18" t="n">
        <v>2940</v>
      </c>
      <c r="F267" s="17" t="s">
        <v>825</v>
      </c>
      <c r="G267" s="23" t="n">
        <v>2.16224489795918</v>
      </c>
      <c r="H267" s="19" t="n">
        <v>30.3</v>
      </c>
      <c r="I267" s="17" t="n">
        <f aca="false">IF(H267="","",RANK(H267,$H$5:$H$389))</f>
        <v>263</v>
      </c>
      <c r="J267" s="24" t="n">
        <v>0.195121951219512</v>
      </c>
      <c r="K267" s="19" t="n">
        <v>88.7</v>
      </c>
      <c r="L267" s="17" t="n">
        <f aca="false">IF(K267="","",RANK(K267,$K$5:$K$389))</f>
        <v>42</v>
      </c>
      <c r="M267" s="25" t="n">
        <v>0.251948051948052</v>
      </c>
      <c r="N267" s="19" t="n">
        <v>81.9</v>
      </c>
      <c r="O267" s="17" t="n">
        <f aca="false">IF(N267="","",RANK(N267,$N$5:$N$389))</f>
        <v>71</v>
      </c>
      <c r="P267" s="17" t="str">
        <f aca="false">IF(AND(N(H267)&gt;=N(K267),N(H267)&gt;=N(N267)),"The Pulse",IF(N(K267)&gt;=N(N267),"The Lens","The Hub"))</f>
        <v>The Lens</v>
      </c>
      <c r="Q267" s="20" t="s">
        <v>74</v>
      </c>
      <c r="R267" s="26" t="s">
        <v>822</v>
      </c>
      <c r="S267" s="17" t="s">
        <v>24</v>
      </c>
    </row>
    <row r="268" customFormat="false" ht="15" hidden="false" customHeight="false" outlineLevel="0" collapsed="false">
      <c r="A268" s="17" t="s">
        <v>597</v>
      </c>
      <c r="B268" s="17" t="s">
        <v>598</v>
      </c>
      <c r="C268" s="17" t="s">
        <v>2021</v>
      </c>
      <c r="D268" s="17" t="s">
        <v>115</v>
      </c>
      <c r="E268" s="18" t="n">
        <v>124860</v>
      </c>
      <c r="F268" s="17" t="s">
        <v>827</v>
      </c>
      <c r="G268" s="23" t="n">
        <v>2.15768861124459</v>
      </c>
      <c r="H268" s="19" t="n">
        <v>30.1</v>
      </c>
      <c r="I268" s="17" t="n">
        <f aca="false">IF(H268="","",RANK(H268,$H$5:$H$389))</f>
        <v>264</v>
      </c>
      <c r="J268" s="24" t="n">
        <v>0.116216699445736</v>
      </c>
      <c r="K268" s="19" t="n">
        <v>69.4</v>
      </c>
      <c r="L268" s="17" t="n">
        <f aca="false">IF(K268="","",RANK(K268,$K$5:$K$389))</f>
        <v>112</v>
      </c>
      <c r="M268" s="25" t="n">
        <v>0.114707451538325</v>
      </c>
      <c r="N268" s="19" t="n">
        <v>42.4</v>
      </c>
      <c r="O268" s="17" t="n">
        <f aca="false">IF(N268="","",RANK(N268,$N$5:$N$389))</f>
        <v>222</v>
      </c>
      <c r="P268" s="17" t="str">
        <f aca="false">IF(AND(N(H268)&gt;=N(K268),N(H268)&gt;=N(N268)),"The Pulse",IF(N(K268)&gt;=N(N268),"The Lens","The Hub"))</f>
        <v>The Lens</v>
      </c>
      <c r="Q268" s="20" t="s">
        <v>74</v>
      </c>
      <c r="R268" s="26" t="s">
        <v>822</v>
      </c>
      <c r="S268" s="17" t="s">
        <v>24</v>
      </c>
    </row>
    <row r="269" customFormat="false" ht="15" hidden="false" customHeight="false" outlineLevel="0" collapsed="false">
      <c r="A269" s="17" t="s">
        <v>351</v>
      </c>
      <c r="B269" s="17" t="s">
        <v>352</v>
      </c>
      <c r="C269" s="17" t="s">
        <v>2022</v>
      </c>
      <c r="D269" s="17" t="s">
        <v>86</v>
      </c>
      <c r="E269" s="18" t="n">
        <v>74060</v>
      </c>
      <c r="F269" s="17" t="s">
        <v>821</v>
      </c>
      <c r="G269" s="23" t="n">
        <v>2.14671887658655</v>
      </c>
      <c r="H269" s="19" t="n">
        <v>29.9</v>
      </c>
      <c r="I269" s="17" t="n">
        <f aca="false">IF(H269="","",RANK(H269,$H$5:$H$389))</f>
        <v>265</v>
      </c>
      <c r="J269" s="24" t="n">
        <v>0.183823529411765</v>
      </c>
      <c r="K269" s="19" t="n">
        <v>89.1</v>
      </c>
      <c r="L269" s="17" t="n">
        <f aca="false">IF(K269="","",RANK(K269,$K$5:$K$389))</f>
        <v>41</v>
      </c>
      <c r="M269" s="25" t="n">
        <v>0.118297042573936</v>
      </c>
      <c r="N269" s="19" t="n">
        <v>44.6</v>
      </c>
      <c r="O269" s="17" t="n">
        <f aca="false">IF(N269="","",RANK(N269,$N$5:$N$389))</f>
        <v>215</v>
      </c>
      <c r="P269" s="17" t="str">
        <f aca="false">IF(AND(N(H269)&gt;=N(K269),N(H269)&gt;=N(N269)),"The Pulse",IF(N(K269)&gt;=N(N269),"The Lens","The Hub"))</f>
        <v>The Lens</v>
      </c>
      <c r="Q269" s="20" t="s">
        <v>74</v>
      </c>
      <c r="R269" s="26" t="s">
        <v>822</v>
      </c>
      <c r="S269" s="17" t="s">
        <v>24</v>
      </c>
    </row>
    <row r="270" customFormat="false" ht="15" hidden="false" customHeight="false" outlineLevel="0" collapsed="false">
      <c r="A270" s="17" t="s">
        <v>2023</v>
      </c>
      <c r="B270" s="17" t="s">
        <v>2024</v>
      </c>
      <c r="C270" s="17" t="s">
        <v>2025</v>
      </c>
      <c r="D270" s="17" t="s">
        <v>98</v>
      </c>
      <c r="E270" s="18" t="n">
        <v>101890</v>
      </c>
      <c r="F270" s="17" t="s">
        <v>827</v>
      </c>
      <c r="G270" s="23" t="n">
        <v>2.104161350476</v>
      </c>
      <c r="H270" s="19" t="n">
        <v>29.7</v>
      </c>
      <c r="I270" s="17" t="n">
        <f aca="false">IF(H270="","",RANK(H270,$H$5:$H$389))</f>
        <v>266</v>
      </c>
      <c r="J270" s="24" t="n">
        <v>0.132111111111111</v>
      </c>
      <c r="K270" s="19" t="n">
        <v>76.4</v>
      </c>
      <c r="L270" s="17" t="n">
        <f aca="false">IF(K270="","",RANK(K270,$K$5:$K$389))</f>
        <v>88</v>
      </c>
      <c r="M270" s="25" t="n">
        <v>0.287613140072157</v>
      </c>
      <c r="N270" s="19" t="n">
        <v>87</v>
      </c>
      <c r="O270" s="17" t="n">
        <f aca="false">IF(N270="","",RANK(N270,$N$5:$N$389))</f>
        <v>50</v>
      </c>
      <c r="P270" s="17" t="str">
        <f aca="false">IF(AND(N(H270)&gt;=N(K270),N(H270)&gt;=N(N270)),"The Pulse",IF(N(K270)&gt;=N(N270),"The Lens","The Hub"))</f>
        <v>The Hub</v>
      </c>
      <c r="Q270" s="20" t="s">
        <v>74</v>
      </c>
      <c r="R270" s="27" t="s">
        <v>832</v>
      </c>
      <c r="S270" s="17" t="s">
        <v>24</v>
      </c>
    </row>
    <row r="271" customFormat="false" ht="15" hidden="false" customHeight="false" outlineLevel="0" collapsed="false">
      <c r="A271" s="17" t="s">
        <v>655</v>
      </c>
      <c r="B271" s="17" t="s">
        <v>656</v>
      </c>
      <c r="C271" s="17" t="s">
        <v>2026</v>
      </c>
      <c r="D271" s="17" t="s">
        <v>72</v>
      </c>
      <c r="E271" s="18" t="n">
        <v>3680</v>
      </c>
      <c r="F271" s="17" t="s">
        <v>825</v>
      </c>
      <c r="G271" s="23" t="n">
        <v>2.10135869565217</v>
      </c>
      <c r="H271" s="19" t="n">
        <v>29.5</v>
      </c>
      <c r="I271" s="17" t="n">
        <f aca="false">IF(H271="","",RANK(H271,$H$5:$H$389))</f>
        <v>267</v>
      </c>
      <c r="J271" s="24" t="n">
        <v>0.132307692307692</v>
      </c>
      <c r="K271" s="19" t="n">
        <v>60.4</v>
      </c>
      <c r="L271" s="17" t="n">
        <f aca="false">IF(K271="","",RANK(K271,$K$5:$K$389))</f>
        <v>150</v>
      </c>
      <c r="M271" s="25" t="n">
        <v>0.0640113798008535</v>
      </c>
      <c r="N271" s="19" t="n">
        <v>17.4</v>
      </c>
      <c r="O271" s="17" t="n">
        <f aca="false">IF(N271="","",RANK(N271,$N$5:$N$389))</f>
        <v>317</v>
      </c>
      <c r="P271" s="17" t="str">
        <f aca="false">IF(AND(N(H271)&gt;=N(K271),N(H271)&gt;=N(N271)),"The Pulse",IF(N(K271)&gt;=N(N271),"The Lens","The Hub"))</f>
        <v>The Lens</v>
      </c>
      <c r="Q271" s="20" t="s">
        <v>74</v>
      </c>
      <c r="R271" s="26" t="s">
        <v>822</v>
      </c>
      <c r="S271" s="17" t="s">
        <v>24</v>
      </c>
    </row>
    <row r="272" customFormat="false" ht="15" hidden="false" customHeight="false" outlineLevel="0" collapsed="false">
      <c r="A272" s="17" t="s">
        <v>281</v>
      </c>
      <c r="B272" s="17" t="s">
        <v>282</v>
      </c>
      <c r="C272" s="17" t="s">
        <v>2027</v>
      </c>
      <c r="D272" s="17" t="s">
        <v>98</v>
      </c>
      <c r="E272" s="18" t="n">
        <v>174250</v>
      </c>
      <c r="F272" s="17" t="s">
        <v>827</v>
      </c>
      <c r="G272" s="23" t="n">
        <v>2.08762697274032</v>
      </c>
      <c r="H272" s="19" t="n">
        <v>29.3</v>
      </c>
      <c r="I272" s="17" t="n">
        <f aca="false">IF(H272="","",RANK(H272,$H$5:$H$389))</f>
        <v>268</v>
      </c>
      <c r="J272" s="24" t="n">
        <v>0.119139370584457</v>
      </c>
      <c r="K272" s="19" t="n">
        <v>70.7</v>
      </c>
      <c r="L272" s="17" t="n">
        <f aca="false">IF(K272="","",RANK(K272,$K$5:$K$389))</f>
        <v>107</v>
      </c>
      <c r="M272" s="25" t="n">
        <v>0.193213499633162</v>
      </c>
      <c r="N272" s="19" t="n">
        <v>68</v>
      </c>
      <c r="O272" s="17" t="n">
        <f aca="false">IF(N272="","",RANK(N272,$N$5:$N$389))</f>
        <v>127</v>
      </c>
      <c r="P272" s="17" t="str">
        <f aca="false">IF(AND(N(H272)&gt;=N(K272),N(H272)&gt;=N(N272)),"The Pulse",IF(N(K272)&gt;=N(N272),"The Lens","The Hub"))</f>
        <v>The Lens</v>
      </c>
      <c r="Q272" s="20" t="s">
        <v>74</v>
      </c>
      <c r="R272" s="26" t="s">
        <v>822</v>
      </c>
      <c r="S272" s="17" t="s">
        <v>24</v>
      </c>
    </row>
    <row r="273" customFormat="false" ht="15" hidden="false" customHeight="false" outlineLevel="0" collapsed="false">
      <c r="A273" s="17" t="s">
        <v>2028</v>
      </c>
      <c r="B273" s="17" t="s">
        <v>2029</v>
      </c>
      <c r="C273" s="17" t="s">
        <v>2030</v>
      </c>
      <c r="D273" s="17" t="s">
        <v>123</v>
      </c>
      <c r="E273" s="18" t="n">
        <v>79553</v>
      </c>
      <c r="F273" s="17" t="s">
        <v>821</v>
      </c>
      <c r="G273" s="23" t="n">
        <v>2.07664073007932</v>
      </c>
      <c r="H273" s="19" t="n">
        <v>29.1</v>
      </c>
      <c r="I273" s="17" t="n">
        <f aca="false">IF(H273="","",RANK(H273,$H$5:$H$389))</f>
        <v>269</v>
      </c>
      <c r="J273" s="24" t="n">
        <v>0.112256025949332</v>
      </c>
      <c r="K273" s="19" t="n">
        <v>65.5</v>
      </c>
      <c r="L273" s="17" t="n">
        <f aca="false">IF(K273="","",RANK(K273,$K$5:$K$389))</f>
        <v>130</v>
      </c>
      <c r="M273" s="25" t="n">
        <v>0.173088972431078</v>
      </c>
      <c r="N273" s="19" t="n">
        <v>62.3</v>
      </c>
      <c r="O273" s="17" t="n">
        <f aca="false">IF(N273="","",RANK(N273,$N$5:$N$389))</f>
        <v>149</v>
      </c>
      <c r="P273" s="17" t="str">
        <f aca="false">IF(AND(N(H273)&gt;=N(K273),N(H273)&gt;=N(N273)),"The Pulse",IF(N(K273)&gt;=N(N273),"The Lens","The Hub"))</f>
        <v>The Lens</v>
      </c>
      <c r="Q273" s="21" t="s">
        <v>79</v>
      </c>
      <c r="R273" s="27" t="s">
        <v>832</v>
      </c>
      <c r="S273" s="17" t="s">
        <v>22</v>
      </c>
    </row>
    <row r="274" customFormat="false" ht="15" hidden="false" customHeight="false" outlineLevel="0" collapsed="false">
      <c r="A274" s="17" t="s">
        <v>695</v>
      </c>
      <c r="B274" s="17" t="s">
        <v>696</v>
      </c>
      <c r="C274" s="17" t="s">
        <v>2031</v>
      </c>
      <c r="D274" s="17" t="s">
        <v>72</v>
      </c>
      <c r="E274" s="18" t="n">
        <v>387410</v>
      </c>
      <c r="F274" s="17" t="s">
        <v>827</v>
      </c>
      <c r="G274" s="23" t="n">
        <v>2.06855527735474</v>
      </c>
      <c r="H274" s="19" t="n">
        <v>28.9</v>
      </c>
      <c r="I274" s="17" t="n">
        <f aca="false">IF(H274="","",RANK(H274,$H$5:$H$389))</f>
        <v>270</v>
      </c>
      <c r="J274" s="24" t="n">
        <v>-0.0689066973323271</v>
      </c>
      <c r="K274" s="19" t="n">
        <v>3.8</v>
      </c>
      <c r="L274" s="17" t="n">
        <f aca="false">IF(K274="","",RANK(K274,$K$5:$K$389))</f>
        <v>372</v>
      </c>
      <c r="M274" s="25" t="n">
        <v>0.193959030100334</v>
      </c>
      <c r="N274" s="19" t="n">
        <v>68.2</v>
      </c>
      <c r="O274" s="17" t="n">
        <f aca="false">IF(N274="","",RANK(N274,$N$5:$N$389))</f>
        <v>126</v>
      </c>
      <c r="P274" s="17" t="str">
        <f aca="false">IF(AND(N(H274)&gt;=N(K274),N(H274)&gt;=N(N274)),"The Pulse",IF(N(K274)&gt;=N(N274),"The Lens","The Hub"))</f>
        <v>The Hub</v>
      </c>
      <c r="Q274" s="22" t="s">
        <v>109</v>
      </c>
      <c r="R274" s="26" t="s">
        <v>822</v>
      </c>
      <c r="S274" s="17" t="s">
        <v>155</v>
      </c>
    </row>
    <row r="275" customFormat="false" ht="15" hidden="false" customHeight="false" outlineLevel="0" collapsed="false">
      <c r="A275" s="17" t="s">
        <v>715</v>
      </c>
      <c r="B275" s="17" t="s">
        <v>716</v>
      </c>
      <c r="C275" s="17" t="s">
        <v>2032</v>
      </c>
      <c r="D275" s="17" t="s">
        <v>91</v>
      </c>
      <c r="E275" s="18" t="n">
        <v>14812</v>
      </c>
      <c r="F275" s="17" t="s">
        <v>821</v>
      </c>
      <c r="G275" s="23" t="n">
        <v>2.03733459357278</v>
      </c>
      <c r="H275" s="19" t="n">
        <v>28.7</v>
      </c>
      <c r="I275" s="17" t="n">
        <f aca="false">IF(H275="","",RANK(H275,$H$5:$H$389))</f>
        <v>271</v>
      </c>
      <c r="J275" s="24" t="n">
        <v>0.0444961568295607</v>
      </c>
      <c r="K275" s="19" t="n">
        <v>28.4</v>
      </c>
      <c r="L275" s="17" t="n">
        <f aca="false">IF(K275="","",RANK(K275,$K$5:$K$389))</f>
        <v>283</v>
      </c>
      <c r="M275" s="25" t="n">
        <v>0.143540669856459</v>
      </c>
      <c r="N275" s="19" t="n">
        <v>53.9</v>
      </c>
      <c r="O275" s="17" t="n">
        <f aca="false">IF(N275="","",RANK(N275,$N$5:$N$389))</f>
        <v>181</v>
      </c>
      <c r="P275" s="17" t="str">
        <f aca="false">IF(AND(N(H275)&gt;=N(K275),N(H275)&gt;=N(N275)),"The Pulse",IF(N(K275)&gt;=N(N275),"The Lens","The Hub"))</f>
        <v>The Hub</v>
      </c>
      <c r="Q275" s="22" t="s">
        <v>109</v>
      </c>
      <c r="R275" s="26" t="s">
        <v>822</v>
      </c>
      <c r="S275" s="17" t="s">
        <v>155</v>
      </c>
    </row>
    <row r="276" customFormat="false" ht="15" hidden="false" customHeight="false" outlineLevel="0" collapsed="false">
      <c r="A276" s="17" t="s">
        <v>2033</v>
      </c>
      <c r="B276" s="17" t="s">
        <v>2034</v>
      </c>
      <c r="C276" s="17" t="s">
        <v>2035</v>
      </c>
      <c r="D276" s="17" t="s">
        <v>115</v>
      </c>
      <c r="E276" s="18" t="n">
        <v>21010</v>
      </c>
      <c r="F276" s="17" t="s">
        <v>821</v>
      </c>
      <c r="G276" s="23" t="n">
        <v>2.02836744407425</v>
      </c>
      <c r="H276" s="19" t="n">
        <v>28.3</v>
      </c>
      <c r="I276" s="17" t="n">
        <f aca="false">IF(H276="","",RANK(H276,$H$5:$H$389))</f>
        <v>272</v>
      </c>
      <c r="J276" s="24" t="n">
        <v>0.0531328320802005</v>
      </c>
      <c r="K276" s="19" t="n">
        <v>31.6</v>
      </c>
      <c r="L276" s="17" t="n">
        <f aca="false">IF(K276="","",RANK(K276,$K$5:$K$389))</f>
        <v>270</v>
      </c>
      <c r="M276" s="25" t="n">
        <v>0.103711503027112</v>
      </c>
      <c r="N276" s="19" t="n">
        <v>38.6</v>
      </c>
      <c r="O276" s="17" t="n">
        <f aca="false">IF(N276="","",RANK(N276,$N$5:$N$389))</f>
        <v>238</v>
      </c>
      <c r="P276" s="17" t="str">
        <f aca="false">IF(AND(N(H276)&gt;=N(K276),N(H276)&gt;=N(N276)),"The Pulse",IF(N(K276)&gt;=N(N276),"The Lens","The Hub"))</f>
        <v>The Hub</v>
      </c>
      <c r="Q276" s="20" t="s">
        <v>74</v>
      </c>
      <c r="R276" s="27" t="s">
        <v>832</v>
      </c>
      <c r="S276" s="17" t="s">
        <v>24</v>
      </c>
    </row>
    <row r="277" customFormat="false" ht="15" hidden="false" customHeight="false" outlineLevel="0" collapsed="false">
      <c r="A277" s="17" t="s">
        <v>649</v>
      </c>
      <c r="B277" s="17" t="s">
        <v>650</v>
      </c>
      <c r="C277" s="17" t="s">
        <v>2036</v>
      </c>
      <c r="D277" s="17" t="s">
        <v>115</v>
      </c>
      <c r="E277" s="18" t="n">
        <v>26800</v>
      </c>
      <c r="F277" s="17" t="s">
        <v>821</v>
      </c>
      <c r="G277" s="23" t="n">
        <v>2.02738805970149</v>
      </c>
      <c r="H277" s="19" t="n">
        <v>28.1</v>
      </c>
      <c r="I277" s="17" t="n">
        <f aca="false">IF(H277="","",RANK(H277,$H$5:$H$389))</f>
        <v>273</v>
      </c>
      <c r="J277" s="24" t="n">
        <v>0.0997127615921215</v>
      </c>
      <c r="K277" s="19" t="n">
        <v>56.7</v>
      </c>
      <c r="L277" s="17" t="n">
        <f aca="false">IF(K277="","",RANK(K277,$K$5:$K$389))</f>
        <v>167</v>
      </c>
      <c r="M277" s="25" t="n">
        <v>0.306712962962963</v>
      </c>
      <c r="N277" s="19" t="n">
        <v>90.3</v>
      </c>
      <c r="O277" s="17" t="n">
        <f aca="false">IF(N277="","",RANK(N277,$N$5:$N$389))</f>
        <v>38</v>
      </c>
      <c r="P277" s="17" t="str">
        <f aca="false">IF(AND(N(H277)&gt;=N(K277),N(H277)&gt;=N(N277)),"The Pulse",IF(N(K277)&gt;=N(N277),"The Lens","The Hub"))</f>
        <v>The Hub</v>
      </c>
      <c r="Q277" s="20" t="s">
        <v>74</v>
      </c>
      <c r="R277" s="26" t="s">
        <v>822</v>
      </c>
      <c r="S277" s="17" t="s">
        <v>24</v>
      </c>
    </row>
    <row r="278" customFormat="false" ht="15" hidden="false" customHeight="false" outlineLevel="0" collapsed="false">
      <c r="A278" s="17" t="s">
        <v>2037</v>
      </c>
      <c r="B278" s="17" t="s">
        <v>2038</v>
      </c>
      <c r="C278" s="17" t="s">
        <v>2039</v>
      </c>
      <c r="D278" s="17" t="s">
        <v>98</v>
      </c>
      <c r="E278" s="18" t="n">
        <v>15780</v>
      </c>
      <c r="F278" s="17" t="s">
        <v>821</v>
      </c>
      <c r="G278" s="23" t="n">
        <v>2.02357414448669</v>
      </c>
      <c r="H278" s="19" t="n">
        <v>27.9</v>
      </c>
      <c r="I278" s="17" t="n">
        <f aca="false">IF(H278="","",RANK(H278,$H$5:$H$389))</f>
        <v>274</v>
      </c>
      <c r="J278" s="24" t="n">
        <v>0.119148936170213</v>
      </c>
      <c r="K278" s="19" t="n">
        <v>68</v>
      </c>
      <c r="L278" s="17" t="n">
        <f aca="false">IF(K278="","",RANK(K278,$K$5:$K$389))</f>
        <v>117</v>
      </c>
      <c r="M278" s="25" t="n">
        <v>0.213227783452503</v>
      </c>
      <c r="N278" s="19" t="n">
        <v>72.6</v>
      </c>
      <c r="O278" s="17" t="n">
        <f aca="false">IF(N278="","",RANK(N278,$N$5:$N$389))</f>
        <v>106</v>
      </c>
      <c r="P278" s="17" t="str">
        <f aca="false">IF(AND(N(H278)&gt;=N(K278),N(H278)&gt;=N(N278)),"The Pulse",IF(N(K278)&gt;=N(N278),"The Lens","The Hub"))</f>
        <v>The Hub</v>
      </c>
      <c r="Q278" s="20" t="s">
        <v>74</v>
      </c>
      <c r="R278" s="27" t="s">
        <v>832</v>
      </c>
      <c r="S278" s="17" t="s">
        <v>24</v>
      </c>
    </row>
    <row r="279" customFormat="false" ht="15" hidden="false" customHeight="false" outlineLevel="0" collapsed="false">
      <c r="A279" s="17" t="s">
        <v>479</v>
      </c>
      <c r="B279" s="17" t="s">
        <v>480</v>
      </c>
      <c r="C279" s="17" t="s">
        <v>2040</v>
      </c>
      <c r="D279" s="17" t="s">
        <v>91</v>
      </c>
      <c r="E279" s="18" t="n">
        <v>201270</v>
      </c>
      <c r="F279" s="17" t="s">
        <v>827</v>
      </c>
      <c r="G279" s="23" t="n">
        <v>1.98558155711234</v>
      </c>
      <c r="H279" s="19" t="n">
        <v>27.5</v>
      </c>
      <c r="I279" s="17" t="n">
        <f aca="false">IF(H279="","",RANK(H279,$H$5:$H$389))</f>
        <v>275</v>
      </c>
      <c r="J279" s="24" t="n">
        <v>-0.104949526393027</v>
      </c>
      <c r="K279" s="19" t="n">
        <v>1.9</v>
      </c>
      <c r="L279" s="17" t="n">
        <f aca="false">IF(K279="","",RANK(K279,$K$5:$K$389))</f>
        <v>380</v>
      </c>
      <c r="M279" s="25" t="n">
        <v>0.226569126378287</v>
      </c>
      <c r="N279" s="19" t="n">
        <v>75.7</v>
      </c>
      <c r="O279" s="17" t="n">
        <f aca="false">IF(N279="","",RANK(N279,$N$5:$N$389))</f>
        <v>93</v>
      </c>
      <c r="P279" s="17" t="str">
        <f aca="false">IF(AND(N(H279)&gt;=N(K279),N(H279)&gt;=N(N279)),"The Pulse",IF(N(K279)&gt;=N(N279),"The Lens","The Hub"))</f>
        <v>The Hub</v>
      </c>
      <c r="Q279" s="20" t="s">
        <v>74</v>
      </c>
      <c r="R279" s="26" t="s">
        <v>822</v>
      </c>
      <c r="S279" s="17" t="s">
        <v>24</v>
      </c>
    </row>
    <row r="280" customFormat="false" ht="15" hidden="false" customHeight="false" outlineLevel="0" collapsed="false">
      <c r="A280" s="17" t="s">
        <v>577</v>
      </c>
      <c r="B280" s="17" t="s">
        <v>578</v>
      </c>
      <c r="C280" s="17" t="s">
        <v>2041</v>
      </c>
      <c r="D280" s="17" t="s">
        <v>77</v>
      </c>
      <c r="E280" s="18" t="n">
        <v>49830</v>
      </c>
      <c r="F280" s="17" t="s">
        <v>821</v>
      </c>
      <c r="G280" s="23" t="n">
        <v>1.98308248043347</v>
      </c>
      <c r="H280" s="19" t="n">
        <v>27.3</v>
      </c>
      <c r="I280" s="17" t="n">
        <f aca="false">IF(H280="","",RANK(H280,$H$5:$H$389))</f>
        <v>276</v>
      </c>
      <c r="J280" s="24" t="n">
        <v>0.0830254292545099</v>
      </c>
      <c r="K280" s="19" t="n">
        <v>49.1</v>
      </c>
      <c r="L280" s="17" t="n">
        <f aca="false">IF(K280="","",RANK(K280,$K$5:$K$389))</f>
        <v>200</v>
      </c>
      <c r="M280" s="25" t="n">
        <v>0.210537870472009</v>
      </c>
      <c r="N280" s="19" t="n">
        <v>71.1</v>
      </c>
      <c r="O280" s="17" t="n">
        <f aca="false">IF(N280="","",RANK(N280,$N$5:$N$389))</f>
        <v>113</v>
      </c>
      <c r="P280" s="17" t="str">
        <f aca="false">IF(AND(N(H280)&gt;=N(K280),N(H280)&gt;=N(N280)),"The Pulse",IF(N(K280)&gt;=N(N280),"The Lens","The Hub"))</f>
        <v>The Hub</v>
      </c>
      <c r="Q280" s="20" t="s">
        <v>74</v>
      </c>
      <c r="R280" s="26" t="s">
        <v>822</v>
      </c>
      <c r="S280" s="17" t="s">
        <v>24</v>
      </c>
    </row>
    <row r="281" customFormat="false" ht="15" hidden="false" customHeight="false" outlineLevel="0" collapsed="false">
      <c r="A281" s="17" t="s">
        <v>711</v>
      </c>
      <c r="B281" s="17" t="s">
        <v>712</v>
      </c>
      <c r="C281" s="17" t="s">
        <v>2042</v>
      </c>
      <c r="D281" s="17" t="s">
        <v>123</v>
      </c>
      <c r="E281" s="18" t="n">
        <v>279470</v>
      </c>
      <c r="F281" s="17" t="s">
        <v>827</v>
      </c>
      <c r="G281" s="23" t="n">
        <v>1.95540845171217</v>
      </c>
      <c r="H281" s="19" t="n">
        <v>26.9</v>
      </c>
      <c r="I281" s="17" t="n">
        <f aca="false">IF(H281="","",RANK(H281,$H$5:$H$389))</f>
        <v>277</v>
      </c>
      <c r="J281" s="24" t="n">
        <v>0.0948444723027501</v>
      </c>
      <c r="K281" s="19" t="n">
        <v>59.2</v>
      </c>
      <c r="L281" s="17" t="n">
        <f aca="false">IF(K281="","",RANK(K281,$K$5:$K$389))</f>
        <v>156</v>
      </c>
      <c r="M281" s="25" t="n">
        <v>0.152658193248599</v>
      </c>
      <c r="N281" s="19" t="n">
        <v>56.3</v>
      </c>
      <c r="O281" s="17" t="n">
        <f aca="false">IF(N281="","",RANK(N281,$N$5:$N$389))</f>
        <v>172</v>
      </c>
      <c r="P281" s="17" t="str">
        <f aca="false">IF(AND(N(H281)&gt;=N(K281),N(H281)&gt;=N(N281)),"The Pulse",IF(N(K281)&gt;=N(N281),"The Lens","The Hub"))</f>
        <v>The Lens</v>
      </c>
      <c r="Q281" s="20" t="s">
        <v>74</v>
      </c>
      <c r="R281" s="26" t="s">
        <v>822</v>
      </c>
      <c r="S281" s="17" t="s">
        <v>24</v>
      </c>
    </row>
    <row r="282" customFormat="false" ht="15" hidden="false" customHeight="false" outlineLevel="0" collapsed="false">
      <c r="A282" s="17" t="s">
        <v>661</v>
      </c>
      <c r="B282" s="17" t="s">
        <v>662</v>
      </c>
      <c r="C282" s="17" t="s">
        <v>2043</v>
      </c>
      <c r="D282" s="17" t="s">
        <v>91</v>
      </c>
      <c r="E282" s="18" t="n">
        <v>314370</v>
      </c>
      <c r="F282" s="17" t="s">
        <v>827</v>
      </c>
      <c r="G282" s="23" t="n">
        <v>1.93531825555874</v>
      </c>
      <c r="H282" s="19" t="n">
        <v>26.5</v>
      </c>
      <c r="I282" s="17" t="n">
        <f aca="false">IF(H282="","",RANK(H282,$H$5:$H$389))</f>
        <v>278</v>
      </c>
      <c r="J282" s="24" t="n">
        <v>0.136920907019638</v>
      </c>
      <c r="K282" s="19" t="n">
        <v>79</v>
      </c>
      <c r="L282" s="17" t="n">
        <f aca="false">IF(K282="","",RANK(K282,$K$5:$K$389))</f>
        <v>77</v>
      </c>
      <c r="M282" s="25" t="n">
        <v>0.195996789405037</v>
      </c>
      <c r="N282" s="19" t="n">
        <v>68.4</v>
      </c>
      <c r="O282" s="17" t="n">
        <f aca="false">IF(N282="","",RANK(N282,$N$5:$N$389))</f>
        <v>125</v>
      </c>
      <c r="P282" s="17" t="str">
        <f aca="false">IF(AND(N(H282)&gt;=N(K282),N(H282)&gt;=N(N282)),"The Pulse",IF(N(K282)&gt;=N(N282),"The Lens","The Hub"))</f>
        <v>The Lens</v>
      </c>
      <c r="Q282" s="20" t="s">
        <v>74</v>
      </c>
      <c r="R282" s="26" t="s">
        <v>822</v>
      </c>
      <c r="S282" s="17" t="s">
        <v>24</v>
      </c>
    </row>
    <row r="283" customFormat="false" ht="15" hidden="false" customHeight="false" outlineLevel="0" collapsed="false">
      <c r="A283" s="17" t="s">
        <v>513</v>
      </c>
      <c r="B283" s="17" t="s">
        <v>514</v>
      </c>
      <c r="C283" s="17" t="s">
        <v>2044</v>
      </c>
      <c r="D283" s="17" t="s">
        <v>72</v>
      </c>
      <c r="E283" s="18" t="n">
        <v>21500</v>
      </c>
      <c r="F283" s="17" t="s">
        <v>821</v>
      </c>
      <c r="G283" s="23" t="n">
        <v>1.93032558139535</v>
      </c>
      <c r="H283" s="19" t="n">
        <v>26.3</v>
      </c>
      <c r="I283" s="17" t="n">
        <f aca="false">IF(H283="","",RANK(H283,$H$5:$H$389))</f>
        <v>279</v>
      </c>
      <c r="J283" s="24" t="n">
        <v>-0.0397498883430103</v>
      </c>
      <c r="K283" s="19" t="n">
        <v>5.5</v>
      </c>
      <c r="L283" s="17" t="n">
        <f aca="false">IF(K283="","",RANK(K283,$K$5:$K$389))</f>
        <v>366</v>
      </c>
      <c r="M283" s="25" t="n">
        <v>0.153434800493624</v>
      </c>
      <c r="N283" s="19" t="n">
        <v>57</v>
      </c>
      <c r="O283" s="17" t="n">
        <f aca="false">IF(N283="","",RANK(N283,$N$5:$N$389))</f>
        <v>169</v>
      </c>
      <c r="P283" s="17" t="str">
        <f aca="false">IF(AND(N(H283)&gt;=N(K283),N(H283)&gt;=N(N283)),"The Pulse",IF(N(K283)&gt;=N(N283),"The Lens","The Hub"))</f>
        <v>The Hub</v>
      </c>
      <c r="Q283" s="20" t="s">
        <v>74</v>
      </c>
      <c r="R283" s="26" t="s">
        <v>822</v>
      </c>
      <c r="S283" s="17" t="s">
        <v>24</v>
      </c>
    </row>
    <row r="284" customFormat="false" ht="15" hidden="false" customHeight="false" outlineLevel="0" collapsed="false">
      <c r="A284" s="17" t="s">
        <v>741</v>
      </c>
      <c r="B284" s="17" t="s">
        <v>742</v>
      </c>
      <c r="C284" s="17" t="s">
        <v>2045</v>
      </c>
      <c r="D284" s="17" t="s">
        <v>72</v>
      </c>
      <c r="E284" s="18" t="n">
        <v>79150</v>
      </c>
      <c r="F284" s="17" t="s">
        <v>821</v>
      </c>
      <c r="G284" s="23" t="n">
        <v>1.92136449778901</v>
      </c>
      <c r="H284" s="19" t="n">
        <v>26.1</v>
      </c>
      <c r="I284" s="17" t="n">
        <f aca="false">IF(H284="","",RANK(H284,$H$5:$H$389))</f>
        <v>280</v>
      </c>
      <c r="J284" s="24" t="n">
        <v>0.00763844684914068</v>
      </c>
      <c r="K284" s="19" t="n">
        <v>14.9</v>
      </c>
      <c r="L284" s="17" t="n">
        <f aca="false">IF(K284="","",RANK(K284,$K$5:$K$389))</f>
        <v>330</v>
      </c>
      <c r="M284" s="25" t="n">
        <v>0.148381672971837</v>
      </c>
      <c r="N284" s="19" t="n">
        <v>54.7</v>
      </c>
      <c r="O284" s="17" t="n">
        <f aca="false">IF(N284="","",RANK(N284,$N$5:$N$389))</f>
        <v>178</v>
      </c>
      <c r="P284" s="17" t="str">
        <f aca="false">IF(AND(N(H284)&gt;=N(K284),N(H284)&gt;=N(N284)),"The Pulse",IF(N(K284)&gt;=N(N284),"The Lens","The Hub"))</f>
        <v>The Hub</v>
      </c>
      <c r="Q284" s="20" t="s">
        <v>74</v>
      </c>
      <c r="R284" s="26" t="s">
        <v>822</v>
      </c>
      <c r="S284" s="17" t="s">
        <v>24</v>
      </c>
    </row>
    <row r="285" customFormat="false" ht="15" hidden="false" customHeight="false" outlineLevel="0" collapsed="false">
      <c r="A285" s="17" t="s">
        <v>561</v>
      </c>
      <c r="B285" s="17" t="s">
        <v>562</v>
      </c>
      <c r="C285" s="17" t="s">
        <v>2046</v>
      </c>
      <c r="D285" s="17" t="s">
        <v>77</v>
      </c>
      <c r="E285" s="18" t="n">
        <v>137500</v>
      </c>
      <c r="F285" s="17" t="s">
        <v>827</v>
      </c>
      <c r="G285" s="23" t="n">
        <v>1.91205090909091</v>
      </c>
      <c r="H285" s="19" t="n">
        <v>25.9</v>
      </c>
      <c r="I285" s="17" t="n">
        <f aca="false">IF(H285="","",RANK(H285,$H$5:$H$389))</f>
        <v>281</v>
      </c>
      <c r="J285" s="24" t="n">
        <v>-0.0503487809931625</v>
      </c>
      <c r="K285" s="19" t="n">
        <v>5.7</v>
      </c>
      <c r="L285" s="17" t="n">
        <f aca="false">IF(K285="","",RANK(K285,$K$5:$K$389))</f>
        <v>365</v>
      </c>
      <c r="M285" s="25" t="n">
        <v>0.088091269014378</v>
      </c>
      <c r="N285" s="19" t="n">
        <v>31.3</v>
      </c>
      <c r="O285" s="17" t="n">
        <f aca="false">IF(N285="","",RANK(N285,$N$5:$N$389))</f>
        <v>268</v>
      </c>
      <c r="P285" s="17" t="str">
        <f aca="false">IF(AND(N(H285)&gt;=N(K285),N(H285)&gt;=N(N285)),"The Pulse",IF(N(K285)&gt;=N(N285),"The Lens","The Hub"))</f>
        <v>The Hub</v>
      </c>
      <c r="Q285" s="20" t="s">
        <v>74</v>
      </c>
      <c r="R285" s="26" t="s">
        <v>822</v>
      </c>
      <c r="S285" s="17" t="s">
        <v>24</v>
      </c>
    </row>
    <row r="286" customFormat="false" ht="15" hidden="false" customHeight="false" outlineLevel="0" collapsed="false">
      <c r="A286" s="17" t="s">
        <v>529</v>
      </c>
      <c r="B286" s="17" t="s">
        <v>530</v>
      </c>
      <c r="C286" s="17" t="s">
        <v>2047</v>
      </c>
      <c r="D286" s="17" t="s">
        <v>77</v>
      </c>
      <c r="E286" s="18" t="n">
        <v>23120</v>
      </c>
      <c r="F286" s="17" t="s">
        <v>821</v>
      </c>
      <c r="G286" s="23" t="n">
        <v>1.87257785467128</v>
      </c>
      <c r="H286" s="19" t="n">
        <v>25.7</v>
      </c>
      <c r="I286" s="17" t="n">
        <f aca="false">IF(H286="","",RANK(H286,$H$5:$H$389))</f>
        <v>282</v>
      </c>
      <c r="J286" s="24" t="n">
        <v>0.136117936117936</v>
      </c>
      <c r="K286" s="19" t="n">
        <v>75.6</v>
      </c>
      <c r="L286" s="17" t="n">
        <f aca="false">IF(K286="","",RANK(K286,$K$5:$K$389))</f>
        <v>91</v>
      </c>
      <c r="M286" s="25" t="n">
        <v>0.0890233362143475</v>
      </c>
      <c r="N286" s="19" t="n">
        <v>32.5</v>
      </c>
      <c r="O286" s="17" t="n">
        <f aca="false">IF(N286="","",RANK(N286,$N$5:$N$389))</f>
        <v>263</v>
      </c>
      <c r="P286" s="17" t="str">
        <f aca="false">IF(AND(N(H286)&gt;=N(K286),N(H286)&gt;=N(N286)),"The Pulse",IF(N(K286)&gt;=N(N286),"The Lens","The Hub"))</f>
        <v>The Lens</v>
      </c>
      <c r="Q286" s="20" t="s">
        <v>74</v>
      </c>
      <c r="R286" s="26" t="s">
        <v>822</v>
      </c>
      <c r="S286" s="17" t="s">
        <v>24</v>
      </c>
    </row>
    <row r="287" customFormat="false" ht="15" hidden="false" customHeight="false" outlineLevel="0" collapsed="false">
      <c r="A287" s="17" t="s">
        <v>369</v>
      </c>
      <c r="B287" s="17" t="s">
        <v>370</v>
      </c>
      <c r="C287" s="17" t="s">
        <v>2048</v>
      </c>
      <c r="D287" s="17" t="s">
        <v>86</v>
      </c>
      <c r="E287" s="18" t="n">
        <v>57220</v>
      </c>
      <c r="F287" s="17" t="s">
        <v>821</v>
      </c>
      <c r="G287" s="23" t="n">
        <v>1.86062565536526</v>
      </c>
      <c r="H287" s="19" t="n">
        <v>25.5</v>
      </c>
      <c r="I287" s="17" t="n">
        <f aca="false">IF(H287="","",RANK(H287,$H$5:$H$389))</f>
        <v>283</v>
      </c>
      <c r="J287" s="24" t="n">
        <v>0.202606137032367</v>
      </c>
      <c r="K287" s="19" t="n">
        <v>94.5</v>
      </c>
      <c r="L287" s="17" t="n">
        <f aca="false">IF(K287="","",RANK(K287,$K$5:$K$389))</f>
        <v>21</v>
      </c>
      <c r="M287" s="25" t="n">
        <v>0.087242962667199</v>
      </c>
      <c r="N287" s="19" t="n">
        <v>30.7</v>
      </c>
      <c r="O287" s="17" t="n">
        <f aca="false">IF(N287="","",RANK(N287,$N$5:$N$389))</f>
        <v>271</v>
      </c>
      <c r="P287" s="17" t="str">
        <f aca="false">IF(AND(N(H287)&gt;=N(K287),N(H287)&gt;=N(N287)),"The Pulse",IF(N(K287)&gt;=N(N287),"The Lens","The Hub"))</f>
        <v>The Lens</v>
      </c>
      <c r="Q287" s="20" t="s">
        <v>74</v>
      </c>
      <c r="R287" s="26" t="s">
        <v>822</v>
      </c>
      <c r="S287" s="17" t="s">
        <v>24</v>
      </c>
    </row>
    <row r="288" customFormat="false" ht="15" hidden="false" customHeight="false" outlineLevel="0" collapsed="false">
      <c r="A288" s="17" t="s">
        <v>2049</v>
      </c>
      <c r="B288" s="17" t="s">
        <v>2050</v>
      </c>
      <c r="C288" s="17" t="s">
        <v>2051</v>
      </c>
      <c r="D288" s="17" t="s">
        <v>98</v>
      </c>
      <c r="E288" s="18" t="n">
        <v>59920</v>
      </c>
      <c r="F288" s="17" t="s">
        <v>821</v>
      </c>
      <c r="G288" s="23" t="n">
        <v>1.84934913217624</v>
      </c>
      <c r="H288" s="19" t="n">
        <v>25.1</v>
      </c>
      <c r="I288" s="17" t="n">
        <f aca="false">IF(H288="","",RANK(H288,$H$5:$H$389))</f>
        <v>284</v>
      </c>
      <c r="J288" s="24" t="n">
        <v>-0.0829507193143557</v>
      </c>
      <c r="K288" s="19" t="n">
        <v>2.5</v>
      </c>
      <c r="L288" s="17" t="n">
        <f aca="false">IF(K288="","",RANK(K288,$K$5:$K$389))</f>
        <v>377</v>
      </c>
      <c r="M288" s="25" t="n">
        <v>0.23732132367339</v>
      </c>
      <c r="N288" s="19" t="n">
        <v>78.4</v>
      </c>
      <c r="O288" s="17" t="n">
        <f aca="false">IF(N288="","",RANK(N288,$N$5:$N$389))</f>
        <v>84</v>
      </c>
      <c r="P288" s="17" t="str">
        <f aca="false">IF(AND(N(H288)&gt;=N(K288),N(H288)&gt;=N(N288)),"The Pulse",IF(N(K288)&gt;=N(N288),"The Lens","The Hub"))</f>
        <v>The Hub</v>
      </c>
      <c r="Q288" s="20" t="s">
        <v>74</v>
      </c>
      <c r="R288" s="27" t="s">
        <v>832</v>
      </c>
      <c r="S288" s="17" t="s">
        <v>24</v>
      </c>
    </row>
    <row r="289" customFormat="false" ht="15" hidden="false" customHeight="false" outlineLevel="0" collapsed="false">
      <c r="A289" s="17" t="s">
        <v>635</v>
      </c>
      <c r="B289" s="17" t="s">
        <v>636</v>
      </c>
      <c r="C289" s="17" t="s">
        <v>2052</v>
      </c>
      <c r="D289" s="17" t="s">
        <v>82</v>
      </c>
      <c r="E289" s="18" t="n">
        <v>178430</v>
      </c>
      <c r="F289" s="17" t="s">
        <v>827</v>
      </c>
      <c r="G289" s="23" t="n">
        <v>1.84111976685535</v>
      </c>
      <c r="H289" s="19" t="n">
        <v>24.8</v>
      </c>
      <c r="I289" s="17" t="n">
        <f aca="false">IF(H289="","",RANK(H289,$H$5:$H$389))</f>
        <v>285</v>
      </c>
      <c r="J289" s="24" t="n">
        <v>0.0719735656353259</v>
      </c>
      <c r="K289" s="19" t="n">
        <v>47.1</v>
      </c>
      <c r="L289" s="17" t="n">
        <f aca="false">IF(K289="","",RANK(K289,$K$5:$K$389))</f>
        <v>209</v>
      </c>
      <c r="M289" s="25" t="n">
        <v>0.260439451183138</v>
      </c>
      <c r="N289" s="19" t="n">
        <v>82.6</v>
      </c>
      <c r="O289" s="17" t="n">
        <f aca="false">IF(N289="","",RANK(N289,$N$5:$N$389))</f>
        <v>68</v>
      </c>
      <c r="P289" s="17" t="str">
        <f aca="false">IF(AND(N(H289)&gt;=N(K289),N(H289)&gt;=N(N289)),"The Pulse",IF(N(K289)&gt;=N(N289),"The Lens","The Hub"))</f>
        <v>The Hub</v>
      </c>
      <c r="Q289" s="20" t="s">
        <v>74</v>
      </c>
      <c r="R289" s="26" t="s">
        <v>822</v>
      </c>
      <c r="S289" s="17" t="s">
        <v>24</v>
      </c>
    </row>
    <row r="290" customFormat="false" ht="15" hidden="false" customHeight="false" outlineLevel="0" collapsed="false">
      <c r="A290" s="17" t="s">
        <v>397</v>
      </c>
      <c r="B290" s="17" t="s">
        <v>398</v>
      </c>
      <c r="C290" s="17" t="s">
        <v>2053</v>
      </c>
      <c r="D290" s="17" t="s">
        <v>82</v>
      </c>
      <c r="E290" s="18" t="n">
        <v>12200</v>
      </c>
      <c r="F290" s="17" t="s">
        <v>821</v>
      </c>
      <c r="G290" s="23" t="n">
        <v>1.83434426229508</v>
      </c>
      <c r="H290" s="19" t="n">
        <v>24.6</v>
      </c>
      <c r="I290" s="17" t="n">
        <f aca="false">IF(H290="","",RANK(H290,$H$5:$H$389))</f>
        <v>286</v>
      </c>
      <c r="J290" s="24" t="n">
        <v>0.150943396226415</v>
      </c>
      <c r="K290" s="19" t="n">
        <v>81.5</v>
      </c>
      <c r="L290" s="17" t="n">
        <f aca="false">IF(K290="","",RANK(K290,$K$5:$K$389))</f>
        <v>68</v>
      </c>
      <c r="M290" s="25" t="n">
        <v>0.0695067264573991</v>
      </c>
      <c r="N290" s="19" t="n">
        <v>20.1</v>
      </c>
      <c r="O290" s="17" t="n">
        <f aca="false">IF(N290="","",RANK(N290,$N$5:$N$389))</f>
        <v>307</v>
      </c>
      <c r="P290" s="17" t="str">
        <f aca="false">IF(AND(N(H290)&gt;=N(K290),N(H290)&gt;=N(N290)),"The Pulse",IF(N(K290)&gt;=N(N290),"The Lens","The Hub"))</f>
        <v>The Lens</v>
      </c>
      <c r="Q290" s="20" t="s">
        <v>74</v>
      </c>
      <c r="R290" s="26" t="s">
        <v>822</v>
      </c>
      <c r="S290" s="17" t="s">
        <v>24</v>
      </c>
    </row>
    <row r="291" customFormat="false" ht="15" hidden="false" customHeight="false" outlineLevel="0" collapsed="false">
      <c r="A291" s="17" t="s">
        <v>729</v>
      </c>
      <c r="B291" s="17" t="s">
        <v>730</v>
      </c>
      <c r="C291" s="17" t="s">
        <v>2054</v>
      </c>
      <c r="D291" s="17" t="s">
        <v>98</v>
      </c>
      <c r="E291" s="18" t="n">
        <v>116900</v>
      </c>
      <c r="F291" s="17" t="s">
        <v>827</v>
      </c>
      <c r="G291" s="23" t="n">
        <v>1.83119760479042</v>
      </c>
      <c r="H291" s="19" t="n">
        <v>24.4</v>
      </c>
      <c r="I291" s="17" t="n">
        <f aca="false">IF(H291="","",RANK(H291,$H$5:$H$389))</f>
        <v>287</v>
      </c>
      <c r="J291" s="24" t="n">
        <v>0.166433845539812</v>
      </c>
      <c r="K291" s="19" t="n">
        <v>91.7</v>
      </c>
      <c r="L291" s="17" t="n">
        <f aca="false">IF(K291="","",RANK(K291,$K$5:$K$389))</f>
        <v>31</v>
      </c>
      <c r="M291" s="25" t="n">
        <v>0.0806845965770171</v>
      </c>
      <c r="N291" s="19" t="n">
        <v>26.3</v>
      </c>
      <c r="O291" s="17" t="n">
        <f aca="false">IF(N291="","",RANK(N291,$N$5:$N$389))</f>
        <v>286</v>
      </c>
      <c r="P291" s="17" t="str">
        <f aca="false">IF(AND(N(H291)&gt;=N(K291),N(H291)&gt;=N(N291)),"The Pulse",IF(N(K291)&gt;=N(N291),"The Lens","The Hub"))</f>
        <v>The Lens</v>
      </c>
      <c r="Q291" s="20" t="s">
        <v>74</v>
      </c>
      <c r="R291" s="26" t="s">
        <v>822</v>
      </c>
      <c r="S291" s="17" t="s">
        <v>24</v>
      </c>
    </row>
    <row r="292" customFormat="false" ht="15" hidden="false" customHeight="false" outlineLevel="0" collapsed="false">
      <c r="A292" s="17" t="s">
        <v>607</v>
      </c>
      <c r="B292" s="17" t="s">
        <v>608</v>
      </c>
      <c r="C292" s="17" t="s">
        <v>2055</v>
      </c>
      <c r="D292" s="17" t="s">
        <v>95</v>
      </c>
      <c r="E292" s="18" t="n">
        <v>141060</v>
      </c>
      <c r="F292" s="17" t="s">
        <v>827</v>
      </c>
      <c r="G292" s="23" t="n">
        <v>1.82564866014462</v>
      </c>
      <c r="H292" s="19" t="n">
        <v>24.2</v>
      </c>
      <c r="I292" s="17" t="n">
        <f aca="false">IF(H292="","",RANK(H292,$H$5:$H$389))</f>
        <v>288</v>
      </c>
      <c r="J292" s="24" t="n">
        <v>0.0758904736480818</v>
      </c>
      <c r="K292" s="19" t="n">
        <v>49</v>
      </c>
      <c r="L292" s="17" t="n">
        <f aca="false">IF(K292="","",RANK(K292,$K$5:$K$389))</f>
        <v>202</v>
      </c>
      <c r="M292" s="25" t="n">
        <v>0.200290608748853</v>
      </c>
      <c r="N292" s="19" t="n">
        <v>69.8</v>
      </c>
      <c r="O292" s="17" t="n">
        <f aca="false">IF(N292="","",RANK(N292,$N$5:$N$389))</f>
        <v>119</v>
      </c>
      <c r="P292" s="17" t="str">
        <f aca="false">IF(AND(N(H292)&gt;=N(K292),N(H292)&gt;=N(N292)),"The Pulse",IF(N(K292)&gt;=N(N292),"The Lens","The Hub"))</f>
        <v>The Hub</v>
      </c>
      <c r="Q292" s="20" t="s">
        <v>74</v>
      </c>
      <c r="R292" s="26" t="s">
        <v>822</v>
      </c>
      <c r="S292" s="17" t="s">
        <v>24</v>
      </c>
    </row>
    <row r="293" customFormat="false" ht="15" hidden="false" customHeight="false" outlineLevel="0" collapsed="false">
      <c r="A293" s="17" t="s">
        <v>455</v>
      </c>
      <c r="B293" s="17" t="s">
        <v>456</v>
      </c>
      <c r="C293" s="17" t="s">
        <v>2056</v>
      </c>
      <c r="D293" s="17" t="s">
        <v>86</v>
      </c>
      <c r="E293" s="18" t="n">
        <v>26410</v>
      </c>
      <c r="F293" s="17" t="s">
        <v>821</v>
      </c>
      <c r="G293" s="23" t="n">
        <v>1.81385838697463</v>
      </c>
      <c r="H293" s="19" t="n">
        <v>24</v>
      </c>
      <c r="I293" s="17" t="n">
        <f aca="false">IF(H293="","",RANK(H293,$H$5:$H$389))</f>
        <v>289</v>
      </c>
      <c r="J293" s="24" t="n">
        <v>-0.0877374784110536</v>
      </c>
      <c r="K293" s="19" t="n">
        <v>2.2</v>
      </c>
      <c r="L293" s="17" t="n">
        <f aca="false">IF(K293="","",RANK(K293,$K$5:$K$389))</f>
        <v>379</v>
      </c>
      <c r="M293" s="25" t="n">
        <v>0.0365031388049291</v>
      </c>
      <c r="N293" s="19" t="n">
        <v>7.7</v>
      </c>
      <c r="O293" s="17" t="n">
        <f aca="false">IF(N293="","",RANK(N293,$N$5:$N$389))</f>
        <v>356</v>
      </c>
      <c r="P293" s="17" t="str">
        <f aca="false">IF(AND(N(H293)&gt;=N(K293),N(H293)&gt;=N(N293)),"The Pulse",IF(N(K293)&gt;=N(N293),"The Lens","The Hub"))</f>
        <v>The Pulse</v>
      </c>
      <c r="Q293" s="20" t="s">
        <v>74</v>
      </c>
      <c r="R293" s="26" t="s">
        <v>822</v>
      </c>
      <c r="S293" s="17" t="s">
        <v>24</v>
      </c>
    </row>
    <row r="294" customFormat="false" ht="15" hidden="false" customHeight="false" outlineLevel="0" collapsed="false">
      <c r="A294" s="17" t="s">
        <v>733</v>
      </c>
      <c r="B294" s="17" t="s">
        <v>734</v>
      </c>
      <c r="C294" s="17" t="s">
        <v>2057</v>
      </c>
      <c r="D294" s="17" t="s">
        <v>95</v>
      </c>
      <c r="E294" s="18" t="n">
        <v>52450</v>
      </c>
      <c r="F294" s="17" t="s">
        <v>821</v>
      </c>
      <c r="G294" s="23" t="n">
        <v>1.8112869399428</v>
      </c>
      <c r="H294" s="19" t="n">
        <v>23.8</v>
      </c>
      <c r="I294" s="17" t="n">
        <f aca="false">IF(H294="","",RANK(H294,$H$5:$H$389))</f>
        <v>290</v>
      </c>
      <c r="J294" s="24" t="n">
        <v>0.166592526690392</v>
      </c>
      <c r="K294" s="19" t="n">
        <v>84.4</v>
      </c>
      <c r="L294" s="17" t="n">
        <f aca="false">IF(K294="","",RANK(K294,$K$5:$K$389))</f>
        <v>57</v>
      </c>
      <c r="M294" s="25" t="n">
        <v>0.0115178469608849</v>
      </c>
      <c r="N294" s="19" t="n">
        <v>1.1</v>
      </c>
      <c r="O294" s="17" t="n">
        <f aca="false">IF(N294="","",RANK(N294,$N$5:$N$389))</f>
        <v>381</v>
      </c>
      <c r="P294" s="17" t="str">
        <f aca="false">IF(AND(N(H294)&gt;=N(K294),N(H294)&gt;=N(N294)),"The Pulse",IF(N(K294)&gt;=N(N294),"The Lens","The Hub"))</f>
        <v>The Lens</v>
      </c>
      <c r="Q294" s="20" t="s">
        <v>74</v>
      </c>
      <c r="R294" s="26" t="s">
        <v>822</v>
      </c>
      <c r="S294" s="17" t="s">
        <v>24</v>
      </c>
    </row>
    <row r="295" customFormat="false" ht="15" hidden="false" customHeight="false" outlineLevel="0" collapsed="false">
      <c r="A295" s="17" t="s">
        <v>483</v>
      </c>
      <c r="B295" s="17" t="s">
        <v>484</v>
      </c>
      <c r="C295" s="17" t="s">
        <v>2058</v>
      </c>
      <c r="D295" s="17" t="s">
        <v>123</v>
      </c>
      <c r="E295" s="18" t="n">
        <v>9139</v>
      </c>
      <c r="F295" s="17" t="s">
        <v>825</v>
      </c>
      <c r="G295" s="23" t="n">
        <v>1.79330342488237</v>
      </c>
      <c r="H295" s="19" t="n">
        <v>23.6</v>
      </c>
      <c r="I295" s="17" t="n">
        <f aca="false">IF(H295="","",RANK(H295,$H$5:$H$389))</f>
        <v>291</v>
      </c>
      <c r="J295" s="24" t="n">
        <v>0.0508221225710015</v>
      </c>
      <c r="K295" s="19" t="n">
        <v>15.1</v>
      </c>
      <c r="L295" s="17" t="n">
        <f aca="false">IF(K295="","",RANK(K295,$K$5:$K$389))</f>
        <v>329</v>
      </c>
      <c r="M295" s="25" t="n">
        <v>0.164206642066421</v>
      </c>
      <c r="N295" s="19" t="n">
        <v>60</v>
      </c>
      <c r="O295" s="17" t="n">
        <f aca="false">IF(N295="","",RANK(N295,$N$5:$N$389))</f>
        <v>157</v>
      </c>
      <c r="P295" s="17" t="str">
        <f aca="false">IF(AND(N(H295)&gt;=N(K295),N(H295)&gt;=N(N295)),"The Pulse",IF(N(K295)&gt;=N(N295),"The Lens","The Hub"))</f>
        <v>The Hub</v>
      </c>
      <c r="Q295" s="21" t="s">
        <v>79</v>
      </c>
      <c r="R295" s="26" t="s">
        <v>822</v>
      </c>
      <c r="S295" s="17" t="s">
        <v>22</v>
      </c>
    </row>
    <row r="296" customFormat="false" ht="15" hidden="false" customHeight="false" outlineLevel="0" collapsed="false">
      <c r="A296" s="17" t="s">
        <v>2059</v>
      </c>
      <c r="B296" s="17" t="s">
        <v>2060</v>
      </c>
      <c r="C296" s="17" t="s">
        <v>2061</v>
      </c>
      <c r="D296" s="17" t="s">
        <v>91</v>
      </c>
      <c r="E296" s="18" t="n">
        <v>116717</v>
      </c>
      <c r="F296" s="17" t="s">
        <v>827</v>
      </c>
      <c r="G296" s="23" t="n">
        <v>1.78375900682848</v>
      </c>
      <c r="H296" s="19" t="n">
        <v>23.4</v>
      </c>
      <c r="I296" s="17" t="n">
        <f aca="false">IF(H296="","",RANK(H296,$H$5:$H$389))</f>
        <v>292</v>
      </c>
      <c r="J296" s="24" t="n">
        <v>0.134287019310197</v>
      </c>
      <c r="K296" s="19" t="n">
        <v>77.7</v>
      </c>
      <c r="L296" s="17" t="n">
        <f aca="false">IF(K296="","",RANK(K296,$K$5:$K$389))</f>
        <v>82</v>
      </c>
      <c r="M296" s="25" t="n">
        <v>0.00637290604515659</v>
      </c>
      <c r="N296" s="19" t="n">
        <v>0.7</v>
      </c>
      <c r="O296" s="17" t="n">
        <f aca="false">IF(N296="","",RANK(N296,$N$5:$N$389))</f>
        <v>383</v>
      </c>
      <c r="P296" s="17" t="str">
        <f aca="false">IF(AND(N(H296)&gt;=N(K296),N(H296)&gt;=N(N296)),"The Pulse",IF(N(K296)&gt;=N(N296),"The Lens","The Hub"))</f>
        <v>The Lens</v>
      </c>
      <c r="Q296" s="21" t="s">
        <v>79</v>
      </c>
      <c r="R296" s="27" t="s">
        <v>832</v>
      </c>
      <c r="S296" s="17" t="s">
        <v>22</v>
      </c>
    </row>
    <row r="297" customFormat="false" ht="15" hidden="false" customHeight="false" outlineLevel="0" collapsed="false">
      <c r="A297" s="17" t="s">
        <v>2062</v>
      </c>
      <c r="B297" s="17" t="s">
        <v>2063</v>
      </c>
      <c r="C297" s="17" t="s">
        <v>2064</v>
      </c>
      <c r="D297" s="17" t="s">
        <v>82</v>
      </c>
      <c r="E297" s="18" t="n">
        <v>32640</v>
      </c>
      <c r="F297" s="17" t="s">
        <v>821</v>
      </c>
      <c r="G297" s="23" t="n">
        <v>1.78348651960784</v>
      </c>
      <c r="H297" s="19" t="n">
        <v>23.2</v>
      </c>
      <c r="I297" s="17" t="n">
        <f aca="false">IF(H297="","",RANK(H297,$H$5:$H$389))</f>
        <v>293</v>
      </c>
      <c r="J297" s="24" t="n">
        <v>0.0978809283551968</v>
      </c>
      <c r="K297" s="19" t="n">
        <v>55.6</v>
      </c>
      <c r="L297" s="17" t="n">
        <f aca="false">IF(K297="","",RANK(K297,$K$5:$K$389))</f>
        <v>173</v>
      </c>
      <c r="M297" s="25" t="n">
        <v>0.43242542153048</v>
      </c>
      <c r="N297" s="19" t="n">
        <v>98</v>
      </c>
      <c r="O297" s="17" t="n">
        <f aca="false">IF(N297="","",RANK(N297,$N$5:$N$389))</f>
        <v>9</v>
      </c>
      <c r="P297" s="17" t="str">
        <f aca="false">IF(AND(N(H297)&gt;=N(K297),N(H297)&gt;=N(N297)),"The Pulse",IF(N(K297)&gt;=N(N297),"The Lens","The Hub"))</f>
        <v>The Hub</v>
      </c>
      <c r="Q297" s="20" t="s">
        <v>74</v>
      </c>
      <c r="R297" s="27" t="s">
        <v>832</v>
      </c>
      <c r="S297" s="17" t="s">
        <v>24</v>
      </c>
    </row>
    <row r="298" customFormat="false" ht="15" hidden="false" customHeight="false" outlineLevel="0" collapsed="false">
      <c r="A298" s="17" t="s">
        <v>589</v>
      </c>
      <c r="B298" s="17" t="s">
        <v>590</v>
      </c>
      <c r="C298" s="17" t="s">
        <v>2065</v>
      </c>
      <c r="D298" s="17" t="s">
        <v>82</v>
      </c>
      <c r="E298" s="18" t="n">
        <v>432750</v>
      </c>
      <c r="F298" s="17" t="s">
        <v>827</v>
      </c>
      <c r="G298" s="23" t="n">
        <v>1.78330906990179</v>
      </c>
      <c r="H298" s="19" t="n">
        <v>23</v>
      </c>
      <c r="I298" s="17" t="n">
        <f aca="false">IF(H298="","",RANK(H298,$H$5:$H$389))</f>
        <v>294</v>
      </c>
      <c r="J298" s="24" t="n">
        <v>0.0420930960579864</v>
      </c>
      <c r="K298" s="19" t="n">
        <v>29.9</v>
      </c>
      <c r="L298" s="17" t="n">
        <f aca="false">IF(K298="","",RANK(K298,$K$5:$K$389))</f>
        <v>278</v>
      </c>
      <c r="M298" s="25" t="n">
        <v>0.212128245084712</v>
      </c>
      <c r="N298" s="19" t="n">
        <v>72</v>
      </c>
      <c r="O298" s="17" t="n">
        <f aca="false">IF(N298="","",RANK(N298,$N$5:$N$389))</f>
        <v>109</v>
      </c>
      <c r="P298" s="17" t="str">
        <f aca="false">IF(AND(N(H298)&gt;=N(K298),N(H298)&gt;=N(N298)),"The Pulse",IF(N(K298)&gt;=N(N298),"The Lens","The Hub"))</f>
        <v>The Hub</v>
      </c>
      <c r="Q298" s="20" t="s">
        <v>74</v>
      </c>
      <c r="R298" s="26" t="s">
        <v>822</v>
      </c>
      <c r="S298" s="17" t="s">
        <v>24</v>
      </c>
    </row>
    <row r="299" customFormat="false" ht="15" hidden="false" customHeight="false" outlineLevel="0" collapsed="false">
      <c r="A299" s="17" t="s">
        <v>739</v>
      </c>
      <c r="B299" s="17" t="s">
        <v>740</v>
      </c>
      <c r="C299" s="17" t="s">
        <v>2066</v>
      </c>
      <c r="D299" s="17" t="s">
        <v>77</v>
      </c>
      <c r="E299" s="18" t="n">
        <v>8950</v>
      </c>
      <c r="F299" s="17" t="s">
        <v>825</v>
      </c>
      <c r="G299" s="23" t="n">
        <v>1.77664804469274</v>
      </c>
      <c r="H299" s="19" t="n">
        <v>22.8</v>
      </c>
      <c r="I299" s="17" t="n">
        <f aca="false">IF(H299="","",RANK(H299,$H$5:$H$389))</f>
        <v>295</v>
      </c>
      <c r="J299" s="24" t="n">
        <v>0.106304079110012</v>
      </c>
      <c r="K299" s="19" t="n">
        <v>49.1</v>
      </c>
      <c r="L299" s="17" t="n">
        <f aca="false">IF(K299="","",RANK(K299,$K$5:$K$389))</f>
        <v>200</v>
      </c>
      <c r="M299" s="25" t="n">
        <v>0.0434782608695652</v>
      </c>
      <c r="N299" s="19" t="n">
        <v>9.9</v>
      </c>
      <c r="O299" s="17" t="n">
        <f aca="false">IF(N299="","",RANK(N299,$N$5:$N$389))</f>
        <v>347</v>
      </c>
      <c r="P299" s="17" t="str">
        <f aca="false">IF(AND(N(H299)&gt;=N(K299),N(H299)&gt;=N(N299)),"The Pulse",IF(N(K299)&gt;=N(N299),"The Lens","The Hub"))</f>
        <v>The Lens</v>
      </c>
      <c r="Q299" s="20" t="s">
        <v>74</v>
      </c>
      <c r="R299" s="26" t="s">
        <v>822</v>
      </c>
      <c r="S299" s="17" t="s">
        <v>24</v>
      </c>
    </row>
    <row r="300" customFormat="false" ht="15" hidden="false" customHeight="false" outlineLevel="0" collapsed="false">
      <c r="A300" s="17" t="s">
        <v>359</v>
      </c>
      <c r="B300" s="17" t="s">
        <v>360</v>
      </c>
      <c r="C300" s="17" t="s">
        <v>2067</v>
      </c>
      <c r="D300" s="17" t="s">
        <v>95</v>
      </c>
      <c r="E300" s="18" t="n">
        <v>180980</v>
      </c>
      <c r="F300" s="17" t="s">
        <v>827</v>
      </c>
      <c r="G300" s="23" t="n">
        <v>1.73204221460935</v>
      </c>
      <c r="H300" s="19" t="n">
        <v>22.4</v>
      </c>
      <c r="I300" s="17" t="n">
        <f aca="false">IF(H300="","",RANK(H300,$H$5:$H$389))</f>
        <v>296</v>
      </c>
      <c r="J300" s="24" t="n">
        <v>0.0379078970006309</v>
      </c>
      <c r="K300" s="19" t="n">
        <v>29.3</v>
      </c>
      <c r="L300" s="17" t="n">
        <f aca="false">IF(K300="","",RANK(K300,$K$5:$K$389))</f>
        <v>281</v>
      </c>
      <c r="M300" s="25" t="n">
        <v>0.124920534011443</v>
      </c>
      <c r="N300" s="19" t="n">
        <v>47.2</v>
      </c>
      <c r="O300" s="17" t="n">
        <f aca="false">IF(N300="","",RANK(N300,$N$5:$N$389))</f>
        <v>204</v>
      </c>
      <c r="P300" s="17" t="str">
        <f aca="false">IF(AND(N(H300)&gt;=N(K300),N(H300)&gt;=N(N300)),"The Pulse",IF(N(K300)&gt;=N(N300),"The Lens","The Hub"))</f>
        <v>The Hub</v>
      </c>
      <c r="Q300" s="20" t="s">
        <v>74</v>
      </c>
      <c r="R300" s="26" t="s">
        <v>822</v>
      </c>
      <c r="S300" s="17" t="s">
        <v>24</v>
      </c>
    </row>
    <row r="301" customFormat="false" ht="15" hidden="false" customHeight="false" outlineLevel="0" collapsed="false">
      <c r="A301" s="17" t="s">
        <v>2068</v>
      </c>
      <c r="B301" s="17" t="s">
        <v>2069</v>
      </c>
      <c r="C301" s="17" t="s">
        <v>2070</v>
      </c>
      <c r="D301" s="17" t="s">
        <v>162</v>
      </c>
      <c r="E301" s="18" t="n">
        <v>56740</v>
      </c>
      <c r="F301" s="17" t="s">
        <v>821</v>
      </c>
      <c r="G301" s="23" t="n">
        <v>1.72870990482905</v>
      </c>
      <c r="H301" s="19" t="n">
        <v>22.2</v>
      </c>
      <c r="I301" s="17" t="n">
        <f aca="false">IF(H301="","",RANK(H301,$H$5:$H$389))</f>
        <v>297</v>
      </c>
      <c r="J301" s="24" t="n">
        <v>0.144413069786204</v>
      </c>
      <c r="K301" s="19" t="n">
        <v>78.2</v>
      </c>
      <c r="L301" s="17" t="n">
        <f aca="false">IF(K301="","",RANK(K301,$K$5:$K$389))</f>
        <v>80</v>
      </c>
      <c r="M301" s="25" t="n">
        <v>0.0155038759689923</v>
      </c>
      <c r="N301" s="19" t="n">
        <v>2</v>
      </c>
      <c r="O301" s="17" t="n">
        <f aca="false">IF(N301="","",RANK(N301,$N$5:$N$389))</f>
        <v>377</v>
      </c>
      <c r="P301" s="17" t="str">
        <f aca="false">IF(AND(N(H301)&gt;=N(K301),N(H301)&gt;=N(N301)),"The Pulse",IF(N(K301)&gt;=N(N301),"The Lens","The Hub"))</f>
        <v>The Lens</v>
      </c>
      <c r="Q301" s="20" t="s">
        <v>74</v>
      </c>
      <c r="R301" s="27" t="s">
        <v>832</v>
      </c>
      <c r="S301" s="17" t="s">
        <v>24</v>
      </c>
    </row>
    <row r="302" customFormat="false" ht="15" hidden="false" customHeight="false" outlineLevel="0" collapsed="false">
      <c r="A302" s="17" t="s">
        <v>477</v>
      </c>
      <c r="B302" s="17" t="s">
        <v>478</v>
      </c>
      <c r="C302" s="17" t="s">
        <v>2071</v>
      </c>
      <c r="D302" s="17" t="s">
        <v>115</v>
      </c>
      <c r="E302" s="18" t="n">
        <v>7281</v>
      </c>
      <c r="F302" s="17" t="s">
        <v>825</v>
      </c>
      <c r="G302" s="23" t="n">
        <v>1.72696058233759</v>
      </c>
      <c r="H302" s="19" t="n">
        <v>22</v>
      </c>
      <c r="I302" s="17" t="n">
        <f aca="false">IF(H302="","",RANK(H302,$H$5:$H$389))</f>
        <v>298</v>
      </c>
      <c r="J302" s="24" t="n">
        <v>0.0431232091690544</v>
      </c>
      <c r="K302" s="19" t="n">
        <v>9.4</v>
      </c>
      <c r="L302" s="17" t="n">
        <f aca="false">IF(K302="","",RANK(K302,$K$5:$K$389))</f>
        <v>354</v>
      </c>
      <c r="M302" s="25" t="n">
        <v>0.0569230769230769</v>
      </c>
      <c r="N302" s="19" t="n">
        <v>14.1</v>
      </c>
      <c r="O302" s="17" t="n">
        <f aca="false">IF(N302="","",RANK(N302,$N$5:$N$389))</f>
        <v>329</v>
      </c>
      <c r="P302" s="17" t="str">
        <f aca="false">IF(AND(N(H302)&gt;=N(K302),N(H302)&gt;=N(N302)),"The Pulse",IF(N(K302)&gt;=N(N302),"The Lens","The Hub"))</f>
        <v>The Pulse</v>
      </c>
      <c r="Q302" s="21" t="s">
        <v>79</v>
      </c>
      <c r="R302" s="26" t="s">
        <v>822</v>
      </c>
      <c r="S302" s="17" t="s">
        <v>22</v>
      </c>
    </row>
    <row r="303" customFormat="false" ht="15" hidden="false" customHeight="false" outlineLevel="0" collapsed="false">
      <c r="A303" s="17" t="s">
        <v>1574</v>
      </c>
      <c r="B303" s="17" t="s">
        <v>1575</v>
      </c>
      <c r="C303" s="17" t="s">
        <v>2072</v>
      </c>
      <c r="D303" s="17" t="s">
        <v>72</v>
      </c>
      <c r="E303" s="18" t="n">
        <v>69540</v>
      </c>
      <c r="F303" s="17" t="s">
        <v>821</v>
      </c>
      <c r="G303" s="23" t="n">
        <v>1.72412999712396</v>
      </c>
      <c r="H303" s="19" t="n">
        <v>21.8</v>
      </c>
      <c r="I303" s="17" t="n">
        <f aca="false">IF(H303="","",RANK(H303,$H$5:$H$389))</f>
        <v>299</v>
      </c>
      <c r="J303" s="24" t="n">
        <v>0.109798914778168</v>
      </c>
      <c r="K303" s="19" t="n">
        <v>64.7</v>
      </c>
      <c r="L303" s="17" t="n">
        <f aca="false">IF(K303="","",RANK(K303,$K$5:$K$389))</f>
        <v>133</v>
      </c>
      <c r="M303" s="25" t="n">
        <v>0.12646484375</v>
      </c>
      <c r="N303" s="19" t="n">
        <v>47.9</v>
      </c>
      <c r="O303" s="17" t="n">
        <f aca="false">IF(N303="","",RANK(N303,$N$5:$N$389))</f>
        <v>201</v>
      </c>
      <c r="P303" s="17" t="str">
        <f aca="false">IF(AND(N(H303)&gt;=N(K303),N(H303)&gt;=N(N303)),"The Pulse",IF(N(K303)&gt;=N(N303),"The Lens","The Hub"))</f>
        <v>The Lens</v>
      </c>
      <c r="Q303" s="20" t="s">
        <v>74</v>
      </c>
      <c r="R303" s="27" t="s">
        <v>832</v>
      </c>
      <c r="S303" s="17" t="s">
        <v>24</v>
      </c>
    </row>
    <row r="304" customFormat="false" ht="15" hidden="false" customHeight="false" outlineLevel="0" collapsed="false">
      <c r="A304" s="17" t="s">
        <v>2073</v>
      </c>
      <c r="B304" s="17" t="s">
        <v>2074</v>
      </c>
      <c r="C304" s="17" t="s">
        <v>2075</v>
      </c>
      <c r="D304" s="17" t="s">
        <v>95</v>
      </c>
      <c r="E304" s="18" t="n">
        <v>12610</v>
      </c>
      <c r="F304" s="17" t="s">
        <v>821</v>
      </c>
      <c r="G304" s="23" t="n">
        <v>1.70832672482157</v>
      </c>
      <c r="H304" s="19" t="n">
        <v>21.4</v>
      </c>
      <c r="I304" s="17" t="n">
        <f aca="false">IF(H304="","",RANK(H304,$H$5:$H$389))</f>
        <v>300</v>
      </c>
      <c r="J304" s="24" t="n">
        <v>-0.0165606072222648</v>
      </c>
      <c r="K304" s="19" t="n">
        <v>9.5</v>
      </c>
      <c r="L304" s="17" t="n">
        <f aca="false">IF(K304="","",RANK(K304,$K$5:$K$389))</f>
        <v>353</v>
      </c>
      <c r="M304" s="25" t="n">
        <v>0.0578358208955224</v>
      </c>
      <c r="N304" s="19" t="n">
        <v>15</v>
      </c>
      <c r="O304" s="17" t="n">
        <f aca="false">IF(N304="","",RANK(N304,$N$5:$N$389))</f>
        <v>326</v>
      </c>
      <c r="P304" s="17" t="str">
        <f aca="false">IF(AND(N(H304)&gt;=N(K304),N(H304)&gt;=N(N304)),"The Pulse",IF(N(K304)&gt;=N(N304),"The Lens","The Hub"))</f>
        <v>The Pulse</v>
      </c>
      <c r="Q304" s="21" t="s">
        <v>79</v>
      </c>
      <c r="R304" s="27" t="s">
        <v>832</v>
      </c>
      <c r="S304" s="17" t="s">
        <v>88</v>
      </c>
    </row>
    <row r="305" customFormat="false" ht="15" hidden="false" customHeight="false" outlineLevel="0" collapsed="false">
      <c r="A305" s="17" t="s">
        <v>593</v>
      </c>
      <c r="B305" s="17" t="s">
        <v>594</v>
      </c>
      <c r="C305" s="17" t="s">
        <v>2076</v>
      </c>
      <c r="D305" s="17" t="s">
        <v>91</v>
      </c>
      <c r="E305" s="18" t="n">
        <v>87890</v>
      </c>
      <c r="F305" s="17" t="s">
        <v>821</v>
      </c>
      <c r="G305" s="23" t="n">
        <v>1.70628057799522</v>
      </c>
      <c r="H305" s="19" t="n">
        <v>21.2</v>
      </c>
      <c r="I305" s="17" t="n">
        <f aca="false">IF(H305="","",RANK(H305,$H$5:$H$389))</f>
        <v>301</v>
      </c>
      <c r="J305" s="24" t="n">
        <v>0.307303287222966</v>
      </c>
      <c r="K305" s="19" t="n">
        <v>99.3</v>
      </c>
      <c r="L305" s="17" t="n">
        <f aca="false">IF(K305="","",RANK(K305,$K$5:$K$389))</f>
        <v>5</v>
      </c>
      <c r="M305" s="25" t="n">
        <v>0.104957295060315</v>
      </c>
      <c r="N305" s="19" t="n">
        <v>39.7</v>
      </c>
      <c r="O305" s="17" t="n">
        <f aca="false">IF(N305="","",RANK(N305,$N$5:$N$389))</f>
        <v>233</v>
      </c>
      <c r="P305" s="17" t="str">
        <f aca="false">IF(AND(N(H305)&gt;=N(K305),N(H305)&gt;=N(N305)),"The Pulse",IF(N(K305)&gt;=N(N305),"The Lens","The Hub"))</f>
        <v>The Lens</v>
      </c>
      <c r="Q305" s="20" t="s">
        <v>74</v>
      </c>
      <c r="R305" s="26" t="s">
        <v>822</v>
      </c>
      <c r="S305" s="17" t="s">
        <v>24</v>
      </c>
    </row>
    <row r="306" customFormat="false" ht="15" hidden="false" customHeight="false" outlineLevel="0" collapsed="false">
      <c r="A306" s="17" t="s">
        <v>2077</v>
      </c>
      <c r="B306" s="17" t="s">
        <v>2078</v>
      </c>
      <c r="C306" s="17" t="s">
        <v>2079</v>
      </c>
      <c r="D306" s="17" t="s">
        <v>72</v>
      </c>
      <c r="E306" s="18" t="n">
        <v>12540</v>
      </c>
      <c r="F306" s="17" t="s">
        <v>821</v>
      </c>
      <c r="G306" s="23" t="n">
        <v>1.69904306220096</v>
      </c>
      <c r="H306" s="19" t="n">
        <v>21</v>
      </c>
      <c r="I306" s="17" t="n">
        <f aca="false">IF(H306="","",RANK(H306,$H$5:$H$389))</f>
        <v>302</v>
      </c>
      <c r="J306" s="24" t="n">
        <v>0.102281273502131</v>
      </c>
      <c r="K306" s="19" t="n">
        <v>59.3</v>
      </c>
      <c r="L306" s="17" t="n">
        <f aca="false">IF(K306="","",RANK(K306,$K$5:$K$389))</f>
        <v>155</v>
      </c>
      <c r="M306" s="25" t="n">
        <v>0.0848930481283423</v>
      </c>
      <c r="N306" s="19" t="n">
        <v>28.9</v>
      </c>
      <c r="O306" s="17" t="n">
        <f aca="false">IF(N306="","",RANK(N306,$N$5:$N$389))</f>
        <v>276</v>
      </c>
      <c r="P306" s="17" t="str">
        <f aca="false">IF(AND(N(H306)&gt;=N(K306),N(H306)&gt;=N(N306)),"The Pulse",IF(N(K306)&gt;=N(N306),"The Lens","The Hub"))</f>
        <v>The Lens</v>
      </c>
      <c r="Q306" s="21" t="s">
        <v>79</v>
      </c>
      <c r="R306" s="27" t="s">
        <v>832</v>
      </c>
      <c r="S306" s="17" t="s">
        <v>88</v>
      </c>
    </row>
    <row r="307" customFormat="false" ht="15" hidden="false" customHeight="false" outlineLevel="0" collapsed="false">
      <c r="A307" s="17" t="s">
        <v>685</v>
      </c>
      <c r="B307" s="17" t="s">
        <v>686</v>
      </c>
      <c r="C307" s="17" t="s">
        <v>2080</v>
      </c>
      <c r="D307" s="17" t="s">
        <v>82</v>
      </c>
      <c r="E307" s="18" t="n">
        <v>29180</v>
      </c>
      <c r="F307" s="17" t="s">
        <v>821</v>
      </c>
      <c r="G307" s="23" t="n">
        <v>1.69256339958876</v>
      </c>
      <c r="H307" s="19" t="n">
        <v>20.8</v>
      </c>
      <c r="I307" s="17" t="n">
        <f aca="false">IF(H307="","",RANK(H307,$H$5:$H$389))</f>
        <v>303</v>
      </c>
      <c r="J307" s="24" t="n">
        <v>0.0637987604812249</v>
      </c>
      <c r="K307" s="19" t="n">
        <v>37.5</v>
      </c>
      <c r="L307" s="17" t="n">
        <f aca="false">IF(K307="","",RANK(K307,$K$5:$K$389))</f>
        <v>247</v>
      </c>
      <c r="M307" s="25" t="n">
        <v>0.264502762430939</v>
      </c>
      <c r="N307" s="19" t="n">
        <v>83.4</v>
      </c>
      <c r="O307" s="17" t="n">
        <f aca="false">IF(N307="","",RANK(N307,$N$5:$N$389))</f>
        <v>64</v>
      </c>
      <c r="P307" s="17" t="str">
        <f aca="false">IF(AND(N(H307)&gt;=N(K307),N(H307)&gt;=N(N307)),"The Pulse",IF(N(K307)&gt;=N(N307),"The Lens","The Hub"))</f>
        <v>The Hub</v>
      </c>
      <c r="Q307" s="20" t="s">
        <v>74</v>
      </c>
      <c r="R307" s="26" t="s">
        <v>822</v>
      </c>
      <c r="S307" s="17" t="s">
        <v>24</v>
      </c>
    </row>
    <row r="308" customFormat="false" ht="15" hidden="false" customHeight="false" outlineLevel="0" collapsed="false">
      <c r="A308" s="17" t="s">
        <v>289</v>
      </c>
      <c r="B308" s="17" t="s">
        <v>290</v>
      </c>
      <c r="C308" s="17" t="s">
        <v>2081</v>
      </c>
      <c r="D308" s="17" t="s">
        <v>91</v>
      </c>
      <c r="E308" s="18" t="n">
        <v>104700</v>
      </c>
      <c r="F308" s="17" t="s">
        <v>827</v>
      </c>
      <c r="G308" s="23" t="n">
        <v>1.69122254059217</v>
      </c>
      <c r="H308" s="19" t="n">
        <v>20.6</v>
      </c>
      <c r="I308" s="17" t="n">
        <f aca="false">IF(H308="","",RANK(H308,$H$5:$H$389))</f>
        <v>304</v>
      </c>
      <c r="J308" s="24" t="n">
        <v>0.268783325254484</v>
      </c>
      <c r="K308" s="19" t="n">
        <v>100</v>
      </c>
      <c r="L308" s="17" t="n">
        <f aca="false">IF(K308="","",RANK(K308,$K$5:$K$389))</f>
        <v>1</v>
      </c>
      <c r="M308" s="25" t="n">
        <v>0.298018626164135</v>
      </c>
      <c r="N308" s="19" t="n">
        <v>88.3</v>
      </c>
      <c r="O308" s="17" t="n">
        <f aca="false">IF(N308="","",RANK(N308,$N$5:$N$389))</f>
        <v>45</v>
      </c>
      <c r="P308" s="17" t="str">
        <f aca="false">IF(AND(N(H308)&gt;=N(K308),N(H308)&gt;=N(N308)),"The Pulse",IF(N(K308)&gt;=N(N308),"The Lens","The Hub"))</f>
        <v>The Lens</v>
      </c>
      <c r="Q308" s="20" t="s">
        <v>74</v>
      </c>
      <c r="R308" s="26" t="s">
        <v>822</v>
      </c>
      <c r="S308" s="17" t="s">
        <v>24</v>
      </c>
    </row>
    <row r="309" customFormat="false" ht="15" hidden="false" customHeight="false" outlineLevel="0" collapsed="false">
      <c r="A309" s="17" t="s">
        <v>677</v>
      </c>
      <c r="B309" s="17" t="s">
        <v>678</v>
      </c>
      <c r="C309" s="17" t="s">
        <v>2082</v>
      </c>
      <c r="D309" s="17" t="s">
        <v>72</v>
      </c>
      <c r="E309" s="18" t="n">
        <v>142920</v>
      </c>
      <c r="F309" s="17" t="s">
        <v>827</v>
      </c>
      <c r="G309" s="23" t="n">
        <v>1.67230618527848</v>
      </c>
      <c r="H309" s="19" t="n">
        <v>20.4</v>
      </c>
      <c r="I309" s="17" t="n">
        <f aca="false">IF(H309="","",RANK(H309,$H$5:$H$389))</f>
        <v>305</v>
      </c>
      <c r="J309" s="24" t="n">
        <v>0.056163168785102</v>
      </c>
      <c r="K309" s="19" t="n">
        <v>40.1</v>
      </c>
      <c r="L309" s="17" t="n">
        <f aca="false">IF(K309="","",RANK(K309,$K$5:$K$389))</f>
        <v>235</v>
      </c>
      <c r="M309" s="25" t="n">
        <v>0.183260610868703</v>
      </c>
      <c r="N309" s="19" t="n">
        <v>65.1</v>
      </c>
      <c r="O309" s="17" t="n">
        <f aca="false">IF(N309="","",RANK(N309,$N$5:$N$389))</f>
        <v>139</v>
      </c>
      <c r="P309" s="17" t="str">
        <f aca="false">IF(AND(N(H309)&gt;=N(K309),N(H309)&gt;=N(N309)),"The Pulse",IF(N(K309)&gt;=N(N309),"The Lens","The Hub"))</f>
        <v>The Hub</v>
      </c>
      <c r="Q309" s="20" t="s">
        <v>74</v>
      </c>
      <c r="R309" s="26" t="s">
        <v>822</v>
      </c>
      <c r="S309" s="17" t="s">
        <v>24</v>
      </c>
    </row>
    <row r="310" customFormat="false" ht="15" hidden="false" customHeight="false" outlineLevel="0" collapsed="false">
      <c r="A310" s="17" t="s">
        <v>2083</v>
      </c>
      <c r="B310" s="17" t="s">
        <v>2084</v>
      </c>
      <c r="C310" s="17" t="s">
        <v>2085</v>
      </c>
      <c r="D310" s="17" t="s">
        <v>162</v>
      </c>
      <c r="E310" s="18" t="n">
        <v>555680</v>
      </c>
      <c r="F310" s="17" t="s">
        <v>827</v>
      </c>
      <c r="G310" s="23" t="n">
        <v>1.64666534696228</v>
      </c>
      <c r="H310" s="19" t="n">
        <v>19.4</v>
      </c>
      <c r="I310" s="17" t="n">
        <f aca="false">IF(H310="","",RANK(H310,$H$5:$H$389))</f>
        <v>306</v>
      </c>
      <c r="J310" s="24" t="n">
        <v>0.165998699036868</v>
      </c>
      <c r="K310" s="19" t="n">
        <v>91.1</v>
      </c>
      <c r="L310" s="17" t="n">
        <f aca="false">IF(K310="","",RANK(K310,$K$5:$K$389))</f>
        <v>34</v>
      </c>
      <c r="M310" s="25" t="n">
        <v>0.0412921944660675</v>
      </c>
      <c r="N310" s="19" t="n">
        <v>9.1</v>
      </c>
      <c r="O310" s="17" t="n">
        <f aca="false">IF(N310="","",RANK(N310,$N$5:$N$389))</f>
        <v>351</v>
      </c>
      <c r="P310" s="17" t="str">
        <f aca="false">IF(AND(N(H310)&gt;=N(K310),N(H310)&gt;=N(N310)),"The Pulse",IF(N(K310)&gt;=N(N310),"The Lens","The Hub"))</f>
        <v>The Lens</v>
      </c>
      <c r="Q310" s="20" t="s">
        <v>74</v>
      </c>
      <c r="R310" s="27" t="s">
        <v>832</v>
      </c>
      <c r="S310" s="17" t="s">
        <v>24</v>
      </c>
    </row>
    <row r="311" customFormat="false" ht="15" hidden="false" customHeight="false" outlineLevel="0" collapsed="false">
      <c r="A311" s="17" t="s">
        <v>761</v>
      </c>
      <c r="B311" s="17" t="s">
        <v>762</v>
      </c>
      <c r="C311" s="17" t="s">
        <v>2086</v>
      </c>
      <c r="D311" s="17" t="s">
        <v>72</v>
      </c>
      <c r="E311" s="18" t="n">
        <v>5288</v>
      </c>
      <c r="F311" s="17" t="s">
        <v>825</v>
      </c>
      <c r="G311" s="23" t="n">
        <v>1.63672465960666</v>
      </c>
      <c r="H311" s="19" t="n">
        <v>19.3</v>
      </c>
      <c r="I311" s="17" t="n">
        <f aca="false">IF(H311="","",RANK(H311,$H$5:$H$389))</f>
        <v>307</v>
      </c>
      <c r="J311" s="24" t="n">
        <v>0.0838286534125846</v>
      </c>
      <c r="K311" s="19" t="n">
        <v>30.2</v>
      </c>
      <c r="L311" s="17" t="n">
        <f aca="false">IF(K311="","",RANK(K311,$K$5:$K$389))</f>
        <v>276</v>
      </c>
      <c r="M311" s="25" t="n">
        <v>0.242125984251969</v>
      </c>
      <c r="N311" s="19" t="n">
        <v>79.9</v>
      </c>
      <c r="O311" s="17" t="n">
        <f aca="false">IF(N311="","",RANK(N311,$N$5:$N$389))</f>
        <v>78</v>
      </c>
      <c r="P311" s="17" t="str">
        <f aca="false">IF(AND(N(H311)&gt;=N(K311),N(H311)&gt;=N(N311)),"The Pulse",IF(N(K311)&gt;=N(N311),"The Lens","The Hub"))</f>
        <v>The Hub</v>
      </c>
      <c r="Q311" s="21" t="s">
        <v>79</v>
      </c>
      <c r="R311" s="26" t="s">
        <v>822</v>
      </c>
      <c r="S311" s="17" t="s">
        <v>22</v>
      </c>
    </row>
    <row r="312" customFormat="false" ht="15" hidden="false" customHeight="false" outlineLevel="0" collapsed="false">
      <c r="A312" s="17" t="s">
        <v>365</v>
      </c>
      <c r="B312" s="17" t="s">
        <v>366</v>
      </c>
      <c r="C312" s="17" t="s">
        <v>2087</v>
      </c>
      <c r="D312" s="17" t="s">
        <v>86</v>
      </c>
      <c r="E312" s="18" t="n">
        <v>8720</v>
      </c>
      <c r="F312" s="17" t="s">
        <v>825</v>
      </c>
      <c r="G312" s="23" t="n">
        <v>1.62316513761468</v>
      </c>
      <c r="H312" s="19" t="n">
        <v>19.1</v>
      </c>
      <c r="I312" s="17" t="n">
        <f aca="false">IF(H312="","",RANK(H312,$H$5:$H$389))</f>
        <v>308</v>
      </c>
      <c r="J312" s="24" t="n">
        <v>0.249283667621777</v>
      </c>
      <c r="K312" s="19" t="n">
        <v>98.1</v>
      </c>
      <c r="L312" s="17" t="n">
        <f aca="false">IF(K312="","",RANK(K312,$K$5:$K$389))</f>
        <v>8</v>
      </c>
      <c r="M312" s="25" t="n">
        <v>0.125435540069686</v>
      </c>
      <c r="N312" s="19" t="n">
        <v>47.5</v>
      </c>
      <c r="O312" s="17" t="n">
        <f aca="false">IF(N312="","",RANK(N312,$N$5:$N$389))</f>
        <v>203</v>
      </c>
      <c r="P312" s="17" t="str">
        <f aca="false">IF(AND(N(H312)&gt;=N(K312),N(H312)&gt;=N(N312)),"The Pulse",IF(N(K312)&gt;=N(N312),"The Lens","The Hub"))</f>
        <v>The Lens</v>
      </c>
      <c r="Q312" s="20" t="s">
        <v>74</v>
      </c>
      <c r="R312" s="26" t="s">
        <v>822</v>
      </c>
      <c r="S312" s="17" t="s">
        <v>24</v>
      </c>
    </row>
    <row r="313" customFormat="false" ht="15" hidden="false" customHeight="false" outlineLevel="0" collapsed="false">
      <c r="A313" s="17" t="s">
        <v>467</v>
      </c>
      <c r="B313" s="17" t="s">
        <v>468</v>
      </c>
      <c r="C313" s="17" t="s">
        <v>2088</v>
      </c>
      <c r="D313" s="17" t="s">
        <v>77</v>
      </c>
      <c r="E313" s="18" t="n">
        <v>22390</v>
      </c>
      <c r="F313" s="17" t="s">
        <v>821</v>
      </c>
      <c r="G313" s="23" t="n">
        <v>1.60714604734256</v>
      </c>
      <c r="H313" s="19" t="n">
        <v>18.9</v>
      </c>
      <c r="I313" s="17" t="n">
        <f aca="false">IF(H313="","",RANK(H313,$H$5:$H$389))</f>
        <v>309</v>
      </c>
      <c r="J313" s="24" t="n">
        <v>0.0656830080913851</v>
      </c>
      <c r="K313" s="19" t="n">
        <v>38.9</v>
      </c>
      <c r="L313" s="17" t="n">
        <f aca="false">IF(K313="","",RANK(K313,$K$5:$K$389))</f>
        <v>239</v>
      </c>
      <c r="M313" s="25" t="n">
        <v>0.112372304199773</v>
      </c>
      <c r="N313" s="19" t="n">
        <v>41.9</v>
      </c>
      <c r="O313" s="17" t="n">
        <f aca="false">IF(N313="","",RANK(N313,$N$5:$N$389))</f>
        <v>224</v>
      </c>
      <c r="P313" s="17" t="str">
        <f aca="false">IF(AND(N(H313)&gt;=N(K313),N(H313)&gt;=N(N313)),"The Pulse",IF(N(K313)&gt;=N(N313),"The Lens","The Hub"))</f>
        <v>The Hub</v>
      </c>
      <c r="Q313" s="20" t="s">
        <v>74</v>
      </c>
      <c r="R313" s="26" t="s">
        <v>822</v>
      </c>
      <c r="S313" s="17" t="s">
        <v>24</v>
      </c>
    </row>
    <row r="314" customFormat="false" ht="15" hidden="false" customHeight="false" outlineLevel="0" collapsed="false">
      <c r="A314" s="17" t="s">
        <v>2089</v>
      </c>
      <c r="B314" s="17" t="s">
        <v>2090</v>
      </c>
      <c r="C314" s="17" t="s">
        <v>2091</v>
      </c>
      <c r="D314" s="17" t="s">
        <v>95</v>
      </c>
      <c r="E314" s="18" t="n">
        <v>1109910</v>
      </c>
      <c r="F314" s="17" t="s">
        <v>935</v>
      </c>
      <c r="G314" s="23" t="n">
        <v>1.6028506815868</v>
      </c>
      <c r="H314" s="19" t="n">
        <v>18.7</v>
      </c>
      <c r="I314" s="17" t="n">
        <f aca="false">IF(H314="","",RANK(H314,$H$5:$H$389))</f>
        <v>310</v>
      </c>
      <c r="J314" s="24" t="n">
        <v>0.129966912700433</v>
      </c>
      <c r="K314" s="19" t="n">
        <v>75</v>
      </c>
      <c r="L314" s="17" t="n">
        <f aca="false">IF(K314="","",RANK(K314,$K$5:$K$389))</f>
        <v>94</v>
      </c>
      <c r="M314" s="25" t="n">
        <v>0.2230391818119</v>
      </c>
      <c r="N314" s="19" t="n">
        <v>74.8</v>
      </c>
      <c r="O314" s="17" t="n">
        <f aca="false">IF(N314="","",RANK(N314,$N$5:$N$389))</f>
        <v>97</v>
      </c>
      <c r="P314" s="17" t="str">
        <f aca="false">IF(AND(N(H314)&gt;=N(K314),N(H314)&gt;=N(N314)),"The Pulse",IF(N(K314)&gt;=N(N314),"The Lens","The Hub"))</f>
        <v>The Lens</v>
      </c>
      <c r="Q314" s="20" t="s">
        <v>74</v>
      </c>
      <c r="R314" s="27" t="s">
        <v>832</v>
      </c>
      <c r="S314" s="17" t="s">
        <v>24</v>
      </c>
    </row>
    <row r="315" customFormat="false" ht="15" hidden="false" customHeight="false" outlineLevel="0" collapsed="false">
      <c r="A315" s="17" t="s">
        <v>767</v>
      </c>
      <c r="B315" s="17" t="s">
        <v>768</v>
      </c>
      <c r="C315" s="17" t="s">
        <v>2092</v>
      </c>
      <c r="D315" s="17" t="s">
        <v>162</v>
      </c>
      <c r="E315" s="18" t="n">
        <v>84160</v>
      </c>
      <c r="F315" s="17" t="s">
        <v>821</v>
      </c>
      <c r="G315" s="23" t="n">
        <v>1.58714353612167</v>
      </c>
      <c r="H315" s="19" t="n">
        <v>18.5</v>
      </c>
      <c r="I315" s="17" t="n">
        <f aca="false">IF(H315="","",RANK(H315,$H$5:$H$389))</f>
        <v>311</v>
      </c>
      <c r="J315" s="24" t="n">
        <v>0.0551654964894684</v>
      </c>
      <c r="K315" s="19" t="n">
        <v>33.5</v>
      </c>
      <c r="L315" s="17" t="n">
        <f aca="false">IF(K315="","",RANK(K315,$K$5:$K$389))</f>
        <v>263</v>
      </c>
      <c r="M315" s="25" t="n">
        <v>0.192760447321954</v>
      </c>
      <c r="N315" s="19" t="n">
        <v>67.5</v>
      </c>
      <c r="O315" s="17" t="n">
        <f aca="false">IF(N315="","",RANK(N315,$N$5:$N$389))</f>
        <v>129</v>
      </c>
      <c r="P315" s="17" t="str">
        <f aca="false">IF(AND(N(H315)&gt;=N(K315),N(H315)&gt;=N(N315)),"The Pulse",IF(N(K315)&gt;=N(N315),"The Lens","The Hub"))</f>
        <v>The Hub</v>
      </c>
      <c r="Q315" s="20" t="s">
        <v>74</v>
      </c>
      <c r="R315" s="26" t="s">
        <v>822</v>
      </c>
      <c r="S315" s="17" t="s">
        <v>24</v>
      </c>
    </row>
    <row r="316" customFormat="false" ht="15" hidden="false" customHeight="false" outlineLevel="0" collapsed="false">
      <c r="A316" s="17" t="s">
        <v>2093</v>
      </c>
      <c r="B316" s="17" t="s">
        <v>2094</v>
      </c>
      <c r="C316" s="17" t="s">
        <v>2095</v>
      </c>
      <c r="D316" s="17" t="s">
        <v>72</v>
      </c>
      <c r="E316" s="18" t="n">
        <v>19960</v>
      </c>
      <c r="F316" s="17" t="s">
        <v>821</v>
      </c>
      <c r="G316" s="23" t="n">
        <v>1.5812625250501</v>
      </c>
      <c r="H316" s="19" t="n">
        <v>18.3</v>
      </c>
      <c r="I316" s="17" t="n">
        <f aca="false">IF(H316="","",RANK(H316,$H$5:$H$389))</f>
        <v>312</v>
      </c>
      <c r="J316" s="24" t="n">
        <v>0.0771721532649757</v>
      </c>
      <c r="K316" s="19" t="n">
        <v>44.7</v>
      </c>
      <c r="L316" s="17" t="n">
        <f aca="false">IF(K316="","",RANK(K316,$K$5:$K$389))</f>
        <v>217</v>
      </c>
      <c r="M316" s="25" t="n">
        <v>0.0820598006644518</v>
      </c>
      <c r="N316" s="19" t="n">
        <v>27.6</v>
      </c>
      <c r="O316" s="17" t="n">
        <f aca="false">IF(N316="","",RANK(N316,$N$5:$N$389))</f>
        <v>280</v>
      </c>
      <c r="P316" s="17" t="str">
        <f aca="false">IF(AND(N(H316)&gt;=N(K316),N(H316)&gt;=N(N316)),"The Pulse",IF(N(K316)&gt;=N(N316),"The Lens","The Hub"))</f>
        <v>The Lens</v>
      </c>
      <c r="Q316" s="20" t="s">
        <v>74</v>
      </c>
      <c r="R316" s="27" t="s">
        <v>832</v>
      </c>
      <c r="S316" s="17" t="s">
        <v>24</v>
      </c>
    </row>
    <row r="317" customFormat="false" ht="15" hidden="false" customHeight="false" outlineLevel="0" collapsed="false">
      <c r="A317" s="17" t="s">
        <v>555</v>
      </c>
      <c r="B317" s="17" t="s">
        <v>556</v>
      </c>
      <c r="C317" s="17" t="s">
        <v>2096</v>
      </c>
      <c r="D317" s="17" t="s">
        <v>95</v>
      </c>
      <c r="E317" s="18" t="n">
        <v>116250</v>
      </c>
      <c r="F317" s="17" t="s">
        <v>827</v>
      </c>
      <c r="G317" s="23" t="n">
        <v>1.58041290322581</v>
      </c>
      <c r="H317" s="19" t="n">
        <v>18.1</v>
      </c>
      <c r="I317" s="17" t="n">
        <f aca="false">IF(H317="","",RANK(H317,$H$5:$H$389))</f>
        <v>313</v>
      </c>
      <c r="J317" s="24" t="n">
        <v>0.192674669128963</v>
      </c>
      <c r="K317" s="19" t="n">
        <v>96.2</v>
      </c>
      <c r="L317" s="17" t="n">
        <f aca="false">IF(K317="","",RANK(K317,$K$5:$K$389))</f>
        <v>16</v>
      </c>
      <c r="M317" s="25" t="n">
        <v>0.386118038237739</v>
      </c>
      <c r="N317" s="19" t="n">
        <v>96.7</v>
      </c>
      <c r="O317" s="17" t="n">
        <f aca="false">IF(N317="","",RANK(N317,$N$5:$N$389))</f>
        <v>14</v>
      </c>
      <c r="P317" s="17" t="str">
        <f aca="false">IF(AND(N(H317)&gt;=N(K317),N(H317)&gt;=N(N317)),"The Pulse",IF(N(K317)&gt;=N(N317),"The Lens","The Hub"))</f>
        <v>The Hub</v>
      </c>
      <c r="Q317" s="20" t="s">
        <v>74</v>
      </c>
      <c r="R317" s="26" t="s">
        <v>822</v>
      </c>
      <c r="S317" s="17" t="s">
        <v>24</v>
      </c>
    </row>
    <row r="318" customFormat="false" ht="15" hidden="false" customHeight="false" outlineLevel="0" collapsed="false">
      <c r="A318" s="17" t="s">
        <v>713</v>
      </c>
      <c r="B318" s="17" t="s">
        <v>714</v>
      </c>
      <c r="C318" s="17" t="s">
        <v>2097</v>
      </c>
      <c r="D318" s="17" t="s">
        <v>77</v>
      </c>
      <c r="E318" s="18" t="n">
        <v>33640</v>
      </c>
      <c r="F318" s="17" t="s">
        <v>821</v>
      </c>
      <c r="G318" s="23" t="n">
        <v>1.56171224732461</v>
      </c>
      <c r="H318" s="19" t="n">
        <v>17.9</v>
      </c>
      <c r="I318" s="17" t="n">
        <f aca="false">IF(H318="","",RANK(H318,$H$5:$H$389))</f>
        <v>314</v>
      </c>
      <c r="J318" s="24" t="n">
        <v>0.0525657071339174</v>
      </c>
      <c r="K318" s="19" t="n">
        <v>31.3</v>
      </c>
      <c r="L318" s="17" t="n">
        <f aca="false">IF(K318="","",RANK(K318,$K$5:$K$389))</f>
        <v>271</v>
      </c>
      <c r="M318" s="25" t="n">
        <v>0.0836560805577072</v>
      </c>
      <c r="N318" s="19" t="n">
        <v>28.3</v>
      </c>
      <c r="O318" s="17" t="n">
        <f aca="false">IF(N318="","",RANK(N318,$N$5:$N$389))</f>
        <v>278</v>
      </c>
      <c r="P318" s="17" t="str">
        <f aca="false">IF(AND(N(H318)&gt;=N(K318),N(H318)&gt;=N(N318)),"The Pulse",IF(N(K318)&gt;=N(N318),"The Lens","The Hub"))</f>
        <v>The Lens</v>
      </c>
      <c r="Q318" s="20" t="s">
        <v>74</v>
      </c>
      <c r="R318" s="26" t="s">
        <v>822</v>
      </c>
      <c r="S318" s="17" t="s">
        <v>24</v>
      </c>
    </row>
    <row r="319" customFormat="false" ht="15" hidden="false" customHeight="false" outlineLevel="0" collapsed="false">
      <c r="A319" s="17" t="s">
        <v>481</v>
      </c>
      <c r="B319" s="17" t="s">
        <v>482</v>
      </c>
      <c r="C319" s="17" t="s">
        <v>2098</v>
      </c>
      <c r="D319" s="17" t="s">
        <v>123</v>
      </c>
      <c r="E319" s="18" t="n">
        <v>57650</v>
      </c>
      <c r="F319" s="17" t="s">
        <v>821</v>
      </c>
      <c r="G319" s="23" t="n">
        <v>1.54497831743278</v>
      </c>
      <c r="H319" s="19" t="n">
        <v>17.7</v>
      </c>
      <c r="I319" s="17" t="n">
        <f aca="false">IF(H319="","",RANK(H319,$H$5:$H$389))</f>
        <v>315</v>
      </c>
      <c r="J319" s="24" t="n">
        <v>0.107376104494814</v>
      </c>
      <c r="K319" s="19" t="n">
        <v>63.6</v>
      </c>
      <c r="L319" s="17" t="n">
        <f aca="false">IF(K319="","",RANK(K319,$K$5:$K$389))</f>
        <v>139</v>
      </c>
      <c r="M319" s="25" t="n">
        <v>0.057828073089701</v>
      </c>
      <c r="N319" s="19" t="n">
        <v>14.8</v>
      </c>
      <c r="O319" s="17" t="n">
        <f aca="false">IF(N319="","",RANK(N319,$N$5:$N$389))</f>
        <v>327</v>
      </c>
      <c r="P319" s="17" t="str">
        <f aca="false">IF(AND(N(H319)&gt;=N(K319),N(H319)&gt;=N(N319)),"The Pulse",IF(N(K319)&gt;=N(N319),"The Lens","The Hub"))</f>
        <v>The Lens</v>
      </c>
      <c r="Q319" s="21" t="s">
        <v>79</v>
      </c>
      <c r="R319" s="26" t="s">
        <v>822</v>
      </c>
      <c r="S319" s="17" t="s">
        <v>88</v>
      </c>
    </row>
    <row r="320" customFormat="false" ht="15" hidden="false" customHeight="false" outlineLevel="0" collapsed="false">
      <c r="A320" s="17" t="s">
        <v>565</v>
      </c>
      <c r="B320" s="17" t="s">
        <v>566</v>
      </c>
      <c r="C320" s="17" t="s">
        <v>2099</v>
      </c>
      <c r="D320" s="17" t="s">
        <v>98</v>
      </c>
      <c r="E320" s="18" t="n">
        <v>2795520</v>
      </c>
      <c r="F320" s="17" t="s">
        <v>935</v>
      </c>
      <c r="G320" s="23" t="n">
        <v>1.52417940132784</v>
      </c>
      <c r="H320" s="19" t="n">
        <v>17.5</v>
      </c>
      <c r="I320" s="17" t="n">
        <f aca="false">IF(H320="","",RANK(H320,$H$5:$H$389))</f>
        <v>316</v>
      </c>
      <c r="J320" s="24" t="n">
        <v>0.133997785160576</v>
      </c>
      <c r="K320" s="19" t="n">
        <v>83.3</v>
      </c>
      <c r="L320" s="17" t="n">
        <f aca="false">IF(K320="","",RANK(K320,$K$5:$K$389))</f>
        <v>61</v>
      </c>
      <c r="M320" s="25" t="n">
        <v>0.021695738541968</v>
      </c>
      <c r="N320" s="19" t="n">
        <v>4.6</v>
      </c>
      <c r="O320" s="17" t="n">
        <f aca="false">IF(N320="","",RANK(N320,$N$5:$N$389))</f>
        <v>368</v>
      </c>
      <c r="P320" s="17" t="str">
        <f aca="false">IF(AND(N(H320)&gt;=N(K320),N(H320)&gt;=N(N320)),"The Pulse",IF(N(K320)&gt;=N(N320),"The Lens","The Hub"))</f>
        <v>The Lens</v>
      </c>
      <c r="Q320" s="20" t="s">
        <v>74</v>
      </c>
      <c r="R320" s="26" t="s">
        <v>822</v>
      </c>
      <c r="S320" s="17" t="s">
        <v>24</v>
      </c>
    </row>
    <row r="321" customFormat="false" ht="15" hidden="false" customHeight="false" outlineLevel="0" collapsed="false">
      <c r="A321" s="17" t="s">
        <v>783</v>
      </c>
      <c r="B321" s="17" t="s">
        <v>784</v>
      </c>
      <c r="C321" s="17" t="s">
        <v>2100</v>
      </c>
      <c r="D321" s="17" t="s">
        <v>123</v>
      </c>
      <c r="E321" s="18" t="n">
        <v>46110</v>
      </c>
      <c r="F321" s="17" t="s">
        <v>821</v>
      </c>
      <c r="G321" s="23" t="n">
        <v>1.50503144654088</v>
      </c>
      <c r="H321" s="19" t="n">
        <v>17.3</v>
      </c>
      <c r="I321" s="17" t="n">
        <f aca="false">IF(H321="","",RANK(H321,$H$5:$H$389))</f>
        <v>317</v>
      </c>
      <c r="J321" s="24" t="n">
        <v>0.163512490537472</v>
      </c>
      <c r="K321" s="19" t="n">
        <v>83.6</v>
      </c>
      <c r="L321" s="17" t="n">
        <f aca="false">IF(K321="","",RANK(K321,$K$5:$K$389))</f>
        <v>60</v>
      </c>
      <c r="M321" s="25" t="n">
        <v>0.0805181610363221</v>
      </c>
      <c r="N321" s="19" t="n">
        <v>26</v>
      </c>
      <c r="O321" s="17" t="n">
        <f aca="false">IF(N321="","",RANK(N321,$N$5:$N$389))</f>
        <v>287</v>
      </c>
      <c r="P321" s="17" t="str">
        <f aca="false">IF(AND(N(H321)&gt;=N(K321),N(H321)&gt;=N(N321)),"The Pulse",IF(N(K321)&gt;=N(N321),"The Lens","The Hub"))</f>
        <v>The Lens</v>
      </c>
      <c r="Q321" s="20" t="s">
        <v>74</v>
      </c>
      <c r="R321" s="26" t="s">
        <v>822</v>
      </c>
      <c r="S321" s="17" t="s">
        <v>24</v>
      </c>
    </row>
    <row r="322" customFormat="false" ht="15" hidden="false" customHeight="false" outlineLevel="0" collapsed="false">
      <c r="A322" s="17" t="s">
        <v>2101</v>
      </c>
      <c r="B322" s="17" t="s">
        <v>2102</v>
      </c>
      <c r="C322" s="17" t="s">
        <v>2103</v>
      </c>
      <c r="D322" s="17" t="s">
        <v>123</v>
      </c>
      <c r="E322" s="18" t="n">
        <v>29790</v>
      </c>
      <c r="F322" s="17" t="s">
        <v>821</v>
      </c>
      <c r="G322" s="23" t="n">
        <v>1.49781805975159</v>
      </c>
      <c r="H322" s="19" t="n">
        <v>17.1</v>
      </c>
      <c r="I322" s="17" t="n">
        <f aca="false">IF(H322="","",RANK(H322,$H$5:$H$389))</f>
        <v>318</v>
      </c>
      <c r="J322" s="24" t="n">
        <v>0.00601430429128739</v>
      </c>
      <c r="K322" s="19" t="n">
        <v>13.5</v>
      </c>
      <c r="L322" s="17" t="n">
        <f aca="false">IF(K322="","",RANK(K322,$K$5:$K$389))</f>
        <v>336</v>
      </c>
      <c r="M322" s="25" t="n">
        <v>0.0958250497017893</v>
      </c>
      <c r="N322" s="19" t="n">
        <v>34.7</v>
      </c>
      <c r="O322" s="17" t="n">
        <f aca="false">IF(N322="","",RANK(N322,$N$5:$N$389))</f>
        <v>254</v>
      </c>
      <c r="P322" s="17" t="str">
        <f aca="false">IF(AND(N(H322)&gt;=N(K322),N(H322)&gt;=N(N322)),"The Pulse",IF(N(K322)&gt;=N(N322),"The Lens","The Hub"))</f>
        <v>The Hub</v>
      </c>
      <c r="Q322" s="21" t="s">
        <v>79</v>
      </c>
      <c r="R322" s="27" t="s">
        <v>832</v>
      </c>
      <c r="S322" s="17" t="s">
        <v>88</v>
      </c>
    </row>
    <row r="323" customFormat="false" ht="15" hidden="false" customHeight="false" outlineLevel="0" collapsed="false">
      <c r="A323" s="17" t="s">
        <v>725</v>
      </c>
      <c r="B323" s="17" t="s">
        <v>726</v>
      </c>
      <c r="C323" s="17" t="s">
        <v>2104</v>
      </c>
      <c r="D323" s="17" t="s">
        <v>115</v>
      </c>
      <c r="E323" s="18" t="n">
        <v>30080</v>
      </c>
      <c r="F323" s="17" t="s">
        <v>821</v>
      </c>
      <c r="G323" s="23" t="n">
        <v>1.49271941489362</v>
      </c>
      <c r="H323" s="19" t="n">
        <v>16.9</v>
      </c>
      <c r="I323" s="17" t="n">
        <f aca="false">IF(H323="","",RANK(H323,$H$5:$H$389))</f>
        <v>319</v>
      </c>
      <c r="J323" s="24" t="n">
        <v>0.107918968692449</v>
      </c>
      <c r="K323" s="19" t="n">
        <v>64</v>
      </c>
      <c r="L323" s="17" t="n">
        <f aca="false">IF(K323="","",RANK(K323,$K$5:$K$389))</f>
        <v>137</v>
      </c>
      <c r="M323" s="25" t="n">
        <v>0.0585305105853051</v>
      </c>
      <c r="N323" s="19" t="n">
        <v>15.5</v>
      </c>
      <c r="O323" s="17" t="n">
        <f aca="false">IF(N323="","",RANK(N323,$N$5:$N$389))</f>
        <v>324</v>
      </c>
      <c r="P323" s="17" t="str">
        <f aca="false">IF(AND(N(H323)&gt;=N(K323),N(H323)&gt;=N(N323)),"The Pulse",IF(N(K323)&gt;=N(N323),"The Lens","The Hub"))</f>
        <v>The Lens</v>
      </c>
      <c r="Q323" s="20" t="s">
        <v>74</v>
      </c>
      <c r="R323" s="26" t="s">
        <v>822</v>
      </c>
      <c r="S323" s="17" t="s">
        <v>24</v>
      </c>
    </row>
    <row r="324" customFormat="false" ht="15" hidden="false" customHeight="false" outlineLevel="0" collapsed="false">
      <c r="A324" s="17" t="s">
        <v>563</v>
      </c>
      <c r="B324" s="17" t="s">
        <v>564</v>
      </c>
      <c r="C324" s="17" t="s">
        <v>2105</v>
      </c>
      <c r="D324" s="17" t="s">
        <v>86</v>
      </c>
      <c r="E324" s="18" t="n">
        <v>36680</v>
      </c>
      <c r="F324" s="17" t="s">
        <v>821</v>
      </c>
      <c r="G324" s="23" t="n">
        <v>1.48732279171211</v>
      </c>
      <c r="H324" s="19" t="n">
        <v>16.7</v>
      </c>
      <c r="I324" s="17" t="n">
        <f aca="false">IF(H324="","",RANK(H324,$H$5:$H$389))</f>
        <v>320</v>
      </c>
      <c r="J324" s="24" t="n">
        <v>0.191295875284183</v>
      </c>
      <c r="K324" s="19" t="n">
        <v>91.6</v>
      </c>
      <c r="L324" s="17" t="n">
        <f aca="false">IF(K324="","",RANK(K324,$K$5:$K$389))</f>
        <v>32</v>
      </c>
      <c r="M324" s="25" t="n">
        <v>0.0456385719543614</v>
      </c>
      <c r="N324" s="19" t="n">
        <v>10.6</v>
      </c>
      <c r="O324" s="17" t="n">
        <f aca="false">IF(N324="","",RANK(N324,$N$5:$N$389))</f>
        <v>345</v>
      </c>
      <c r="P324" s="17" t="str">
        <f aca="false">IF(AND(N(H324)&gt;=N(K324),N(H324)&gt;=N(N324)),"The Pulse",IF(N(K324)&gt;=N(N324),"The Lens","The Hub"))</f>
        <v>The Lens</v>
      </c>
      <c r="Q324" s="21" t="s">
        <v>79</v>
      </c>
      <c r="R324" s="26" t="s">
        <v>822</v>
      </c>
      <c r="S324" s="17" t="s">
        <v>88</v>
      </c>
    </row>
    <row r="325" customFormat="false" ht="15" hidden="false" customHeight="false" outlineLevel="0" collapsed="false">
      <c r="A325" s="17" t="s">
        <v>547</v>
      </c>
      <c r="B325" s="17" t="s">
        <v>548</v>
      </c>
      <c r="C325" s="17" t="s">
        <v>2106</v>
      </c>
      <c r="D325" s="17" t="s">
        <v>91</v>
      </c>
      <c r="E325" s="18" t="n">
        <v>82700</v>
      </c>
      <c r="F325" s="17" t="s">
        <v>821</v>
      </c>
      <c r="G325" s="23" t="n">
        <v>1.48371221281741</v>
      </c>
      <c r="H325" s="19" t="n">
        <v>16.5</v>
      </c>
      <c r="I325" s="17" t="n">
        <f aca="false">IF(H325="","",RANK(H325,$H$5:$H$389))</f>
        <v>321</v>
      </c>
      <c r="J325" s="24" t="n">
        <v>0.117567567567568</v>
      </c>
      <c r="K325" s="19" t="n">
        <v>66.9</v>
      </c>
      <c r="L325" s="17" t="n">
        <f aca="false">IF(K325="","",RANK(K325,$K$5:$K$389))</f>
        <v>122</v>
      </c>
      <c r="M325" s="25" t="n">
        <v>0.108957018334836</v>
      </c>
      <c r="N325" s="19" t="n">
        <v>41.1</v>
      </c>
      <c r="O325" s="17" t="n">
        <f aca="false">IF(N325="","",RANK(N325,$N$5:$N$389))</f>
        <v>227</v>
      </c>
      <c r="P325" s="17" t="str">
        <f aca="false">IF(AND(N(H325)&gt;=N(K325),N(H325)&gt;=N(N325)),"The Pulse",IF(N(K325)&gt;=N(N325),"The Lens","The Hub"))</f>
        <v>The Lens</v>
      </c>
      <c r="Q325" s="20" t="s">
        <v>74</v>
      </c>
      <c r="R325" s="26" t="s">
        <v>822</v>
      </c>
      <c r="S325" s="17" t="s">
        <v>24</v>
      </c>
    </row>
    <row r="326" customFormat="false" ht="15" hidden="false" customHeight="false" outlineLevel="0" collapsed="false">
      <c r="A326" s="17" t="s">
        <v>581</v>
      </c>
      <c r="B326" s="17" t="s">
        <v>582</v>
      </c>
      <c r="C326" s="17" t="s">
        <v>2107</v>
      </c>
      <c r="D326" s="17" t="s">
        <v>82</v>
      </c>
      <c r="E326" s="18" t="n">
        <v>22870</v>
      </c>
      <c r="F326" s="17" t="s">
        <v>821</v>
      </c>
      <c r="G326" s="23" t="n">
        <v>1.4794490599038</v>
      </c>
      <c r="H326" s="19" t="n">
        <v>16.3</v>
      </c>
      <c r="I326" s="17" t="n">
        <f aca="false">IF(H326="","",RANK(H326,$H$5:$H$389))</f>
        <v>322</v>
      </c>
      <c r="J326" s="24" t="n">
        <v>0.0490825688073395</v>
      </c>
      <c r="K326" s="19" t="n">
        <v>29.8</v>
      </c>
      <c r="L326" s="17" t="n">
        <f aca="false">IF(K326="","",RANK(K326,$K$5:$K$389))</f>
        <v>279</v>
      </c>
      <c r="M326" s="25" t="n">
        <v>0.07</v>
      </c>
      <c r="N326" s="19" t="n">
        <v>20.8</v>
      </c>
      <c r="O326" s="17" t="n">
        <f aca="false">IF(N326="","",RANK(N326,$N$5:$N$389))</f>
        <v>305</v>
      </c>
      <c r="P326" s="17" t="str">
        <f aca="false">IF(AND(N(H326)&gt;=N(K326),N(H326)&gt;=N(N326)),"The Pulse",IF(N(K326)&gt;=N(N326),"The Lens","The Hub"))</f>
        <v>The Lens</v>
      </c>
      <c r="Q326" s="20" t="s">
        <v>74</v>
      </c>
      <c r="R326" s="26" t="s">
        <v>822</v>
      </c>
      <c r="S326" s="17" t="s">
        <v>24</v>
      </c>
    </row>
    <row r="327" customFormat="false" ht="15" hidden="false" customHeight="false" outlineLevel="0" collapsed="false">
      <c r="A327" s="17" t="s">
        <v>1533</v>
      </c>
      <c r="B327" s="17" t="s">
        <v>1534</v>
      </c>
      <c r="C327" s="17" t="s">
        <v>2108</v>
      </c>
      <c r="D327" s="17" t="s">
        <v>123</v>
      </c>
      <c r="E327" s="18" t="n">
        <v>51160</v>
      </c>
      <c r="F327" s="17" t="s">
        <v>821</v>
      </c>
      <c r="G327" s="23" t="n">
        <v>1.47541047693511</v>
      </c>
      <c r="H327" s="19" t="n">
        <v>15.9</v>
      </c>
      <c r="I327" s="17" t="n">
        <f aca="false">IF(H327="","",RANK(H327,$H$5:$H$389))</f>
        <v>323</v>
      </c>
      <c r="J327" s="24" t="n">
        <v>0.0841279932189023</v>
      </c>
      <c r="K327" s="19" t="n">
        <v>50.2</v>
      </c>
      <c r="L327" s="17" t="n">
        <f aca="false">IF(K327="","",RANK(K327,$K$5:$K$389))</f>
        <v>195</v>
      </c>
      <c r="M327" s="25" t="n">
        <v>0.199665551839465</v>
      </c>
      <c r="N327" s="19" t="n">
        <v>69.5</v>
      </c>
      <c r="O327" s="17" t="n">
        <f aca="false">IF(N327="","",RANK(N327,$N$5:$N$389))</f>
        <v>120</v>
      </c>
      <c r="P327" s="17" t="str">
        <f aca="false">IF(AND(N(H327)&gt;=N(K327),N(H327)&gt;=N(N327)),"The Pulse",IF(N(K327)&gt;=N(N327),"The Lens","The Hub"))</f>
        <v>The Hub</v>
      </c>
      <c r="Q327" s="20" t="s">
        <v>74</v>
      </c>
      <c r="R327" s="27" t="s">
        <v>832</v>
      </c>
      <c r="S327" s="17" t="s">
        <v>24</v>
      </c>
    </row>
    <row r="328" customFormat="false" ht="15" hidden="false" customHeight="false" outlineLevel="0" collapsed="false">
      <c r="A328" s="17" t="s">
        <v>709</v>
      </c>
      <c r="B328" s="17" t="s">
        <v>710</v>
      </c>
      <c r="C328" s="17" t="s">
        <v>2109</v>
      </c>
      <c r="D328" s="17" t="s">
        <v>123</v>
      </c>
      <c r="E328" s="18" t="n">
        <v>28401</v>
      </c>
      <c r="F328" s="17" t="s">
        <v>821</v>
      </c>
      <c r="G328" s="23" t="n">
        <v>1.47188479278899</v>
      </c>
      <c r="H328" s="19" t="n">
        <v>15.7</v>
      </c>
      <c r="I328" s="17" t="n">
        <f aca="false">IF(H328="","",RANK(H328,$H$5:$H$389))</f>
        <v>324</v>
      </c>
      <c r="J328" s="24" t="n">
        <v>0.0650641266031651</v>
      </c>
      <c r="K328" s="19" t="n">
        <v>38.2</v>
      </c>
      <c r="L328" s="17" t="n">
        <f aca="false">IF(K328="","",RANK(K328,$K$5:$K$389))</f>
        <v>242</v>
      </c>
      <c r="M328" s="25" t="n">
        <v>0.249379212486697</v>
      </c>
      <c r="N328" s="19" t="n">
        <v>81.7</v>
      </c>
      <c r="O328" s="17" t="n">
        <f aca="false">IF(N328="","",RANK(N328,$N$5:$N$389))</f>
        <v>72</v>
      </c>
      <c r="P328" s="17" t="str">
        <f aca="false">IF(AND(N(H328)&gt;=N(K328),N(H328)&gt;=N(N328)),"The Pulse",IF(N(K328)&gt;=N(N328),"The Lens","The Hub"))</f>
        <v>The Hub</v>
      </c>
      <c r="Q328" s="21" t="s">
        <v>79</v>
      </c>
      <c r="R328" s="26" t="s">
        <v>822</v>
      </c>
      <c r="S328" s="17" t="s">
        <v>88</v>
      </c>
    </row>
    <row r="329" customFormat="false" ht="15" hidden="false" customHeight="false" outlineLevel="0" collapsed="false">
      <c r="A329" s="17" t="s">
        <v>2110</v>
      </c>
      <c r="B329" s="17" t="s">
        <v>2111</v>
      </c>
      <c r="C329" s="17" t="s">
        <v>2112</v>
      </c>
      <c r="D329" s="17" t="s">
        <v>77</v>
      </c>
      <c r="E329" s="18" t="n">
        <v>51150</v>
      </c>
      <c r="F329" s="17" t="s">
        <v>821</v>
      </c>
      <c r="G329" s="23" t="n">
        <v>1.47038123167155</v>
      </c>
      <c r="H329" s="19" t="n">
        <v>15.5</v>
      </c>
      <c r="I329" s="17" t="n">
        <f aca="false">IF(H329="","",RANK(H329,$H$5:$H$389))</f>
        <v>325</v>
      </c>
      <c r="J329" s="24" t="n">
        <v>0.150057714505579</v>
      </c>
      <c r="K329" s="19" t="n">
        <v>81.1</v>
      </c>
      <c r="L329" s="17" t="n">
        <f aca="false">IF(K329="","",RANK(K329,$K$5:$K$389))</f>
        <v>70</v>
      </c>
      <c r="M329" s="25" t="n">
        <v>0.128440366972477</v>
      </c>
      <c r="N329" s="19" t="n">
        <v>48.8</v>
      </c>
      <c r="O329" s="17" t="n">
        <f aca="false">IF(N329="","",RANK(N329,$N$5:$N$389))</f>
        <v>197</v>
      </c>
      <c r="P329" s="17" t="str">
        <f aca="false">IF(AND(N(H329)&gt;=N(K329),N(H329)&gt;=N(N329)),"The Pulse",IF(N(K329)&gt;=N(N329),"The Lens","The Hub"))</f>
        <v>The Lens</v>
      </c>
      <c r="Q329" s="22" t="s">
        <v>109</v>
      </c>
      <c r="R329" s="27" t="s">
        <v>832</v>
      </c>
      <c r="S329" s="17" t="s">
        <v>155</v>
      </c>
    </row>
    <row r="330" customFormat="false" ht="15" hidden="false" customHeight="false" outlineLevel="0" collapsed="false">
      <c r="A330" s="17" t="s">
        <v>717</v>
      </c>
      <c r="B330" s="17" t="s">
        <v>718</v>
      </c>
      <c r="C330" s="17" t="s">
        <v>2113</v>
      </c>
      <c r="D330" s="17" t="s">
        <v>91</v>
      </c>
      <c r="E330" s="18" t="n">
        <v>71360</v>
      </c>
      <c r="F330" s="17" t="s">
        <v>821</v>
      </c>
      <c r="G330" s="23" t="n">
        <v>1.46258408071749</v>
      </c>
      <c r="H330" s="19" t="n">
        <v>15.3</v>
      </c>
      <c r="I330" s="17" t="n">
        <f aca="false">IF(H330="","",RANK(H330,$H$5:$H$389))</f>
        <v>326</v>
      </c>
      <c r="J330" s="24" t="n">
        <v>-0.00751043115438109</v>
      </c>
      <c r="K330" s="19" t="n">
        <v>12</v>
      </c>
      <c r="L330" s="17" t="n">
        <f aca="false">IF(K330="","",RANK(K330,$K$5:$K$389))</f>
        <v>343</v>
      </c>
      <c r="M330" s="25" t="n">
        <v>0.0699447804364975</v>
      </c>
      <c r="N330" s="19" t="n">
        <v>20.5</v>
      </c>
      <c r="O330" s="17" t="n">
        <f aca="false">IF(N330="","",RANK(N330,$N$5:$N$389))</f>
        <v>306</v>
      </c>
      <c r="P330" s="17" t="str">
        <f aca="false">IF(AND(N(H330)&gt;=N(K330),N(H330)&gt;=N(N330)),"The Pulse",IF(N(K330)&gt;=N(N330),"The Lens","The Hub"))</f>
        <v>The Hub</v>
      </c>
      <c r="Q330" s="20" t="s">
        <v>74</v>
      </c>
      <c r="R330" s="26" t="s">
        <v>822</v>
      </c>
      <c r="S330" s="17" t="s">
        <v>24</v>
      </c>
    </row>
    <row r="331" customFormat="false" ht="15" hidden="false" customHeight="false" outlineLevel="0" collapsed="false">
      <c r="A331" s="17" t="s">
        <v>601</v>
      </c>
      <c r="B331" s="17" t="s">
        <v>602</v>
      </c>
      <c r="C331" s="17" t="s">
        <v>2114</v>
      </c>
      <c r="D331" s="17" t="s">
        <v>77</v>
      </c>
      <c r="E331" s="18" t="n">
        <v>35052</v>
      </c>
      <c r="F331" s="17" t="s">
        <v>821</v>
      </c>
      <c r="G331" s="23" t="n">
        <v>1.45851877211001</v>
      </c>
      <c r="H331" s="19" t="n">
        <v>15.1</v>
      </c>
      <c r="I331" s="17" t="n">
        <f aca="false">IF(H331="","",RANK(H331,$H$5:$H$389))</f>
        <v>327</v>
      </c>
      <c r="J331" s="24" t="n">
        <v>0.00718349520142521</v>
      </c>
      <c r="K331" s="19" t="n">
        <v>14.2</v>
      </c>
      <c r="L331" s="17" t="n">
        <f aca="false">IF(K331="","",RANK(K331,$K$5:$K$389))</f>
        <v>333</v>
      </c>
      <c r="M331" s="25" t="n">
        <v>0.0197706603400554</v>
      </c>
      <c r="N331" s="19" t="n">
        <v>3.3</v>
      </c>
      <c r="O331" s="17" t="n">
        <f aca="false">IF(N331="","",RANK(N331,$N$5:$N$389))</f>
        <v>371</v>
      </c>
      <c r="P331" s="17" t="str">
        <f aca="false">IF(AND(N(H331)&gt;=N(K331),N(H331)&gt;=N(N331)),"The Pulse",IF(N(K331)&gt;=N(N331),"The Lens","The Hub"))</f>
        <v>The Pulse</v>
      </c>
      <c r="Q331" s="21" t="s">
        <v>79</v>
      </c>
      <c r="R331" s="26" t="s">
        <v>822</v>
      </c>
      <c r="S331" s="17" t="s">
        <v>22</v>
      </c>
    </row>
    <row r="332" customFormat="false" ht="15" hidden="false" customHeight="false" outlineLevel="0" collapsed="false">
      <c r="A332" s="17" t="s">
        <v>2115</v>
      </c>
      <c r="B332" s="17" t="s">
        <v>2116</v>
      </c>
      <c r="C332" s="17" t="s">
        <v>2117</v>
      </c>
      <c r="D332" s="17" t="s">
        <v>162</v>
      </c>
      <c r="E332" s="18" t="n">
        <v>14300</v>
      </c>
      <c r="F332" s="17" t="s">
        <v>821</v>
      </c>
      <c r="G332" s="23" t="n">
        <v>1.45125874125874</v>
      </c>
      <c r="H332" s="19" t="n">
        <v>14.9</v>
      </c>
      <c r="I332" s="17" t="n">
        <f aca="false">IF(H332="","",RANK(H332,$H$5:$H$389))</f>
        <v>328</v>
      </c>
      <c r="J332" s="24" t="n">
        <v>0.12156862745098</v>
      </c>
      <c r="K332" s="19" t="n">
        <v>69.8</v>
      </c>
      <c r="L332" s="17" t="n">
        <f aca="false">IF(K332="","",RANK(K332,$K$5:$K$389))</f>
        <v>110</v>
      </c>
      <c r="M332" s="25" t="n">
        <v>0.188368055555556</v>
      </c>
      <c r="N332" s="19" t="n">
        <v>66.4</v>
      </c>
      <c r="O332" s="17" t="n">
        <f aca="false">IF(N332="","",RANK(N332,$N$5:$N$389))</f>
        <v>133</v>
      </c>
      <c r="P332" s="17" t="str">
        <f aca="false">IF(AND(N(H332)&gt;=N(K332),N(H332)&gt;=N(N332)),"The Pulse",IF(N(K332)&gt;=N(N332),"The Lens","The Hub"))</f>
        <v>The Lens</v>
      </c>
      <c r="Q332" s="20" t="s">
        <v>74</v>
      </c>
      <c r="R332" s="27" t="s">
        <v>832</v>
      </c>
      <c r="S332" s="17" t="s">
        <v>24</v>
      </c>
    </row>
    <row r="333" customFormat="false" ht="15" hidden="false" customHeight="false" outlineLevel="0" collapsed="false">
      <c r="A333" s="17" t="s">
        <v>2118</v>
      </c>
      <c r="B333" s="17" t="s">
        <v>2119</v>
      </c>
      <c r="C333" s="17" t="s">
        <v>2120</v>
      </c>
      <c r="D333" s="17" t="s">
        <v>162</v>
      </c>
      <c r="E333" s="18" t="n">
        <v>170433</v>
      </c>
      <c r="F333" s="17" t="s">
        <v>827</v>
      </c>
      <c r="G333" s="23" t="n">
        <v>1.44511332899145</v>
      </c>
      <c r="H333" s="19" t="n">
        <v>14.5</v>
      </c>
      <c r="I333" s="17" t="n">
        <f aca="false">IF(H333="","",RANK(H333,$H$5:$H$389))</f>
        <v>329</v>
      </c>
      <c r="J333" s="24" t="n">
        <v>0.100753715293251</v>
      </c>
      <c r="K333" s="19" t="n">
        <v>61.8</v>
      </c>
      <c r="L333" s="17" t="n">
        <f aca="false">IF(K333="","",RANK(K333,$K$5:$K$389))</f>
        <v>145</v>
      </c>
      <c r="M333" s="25" t="n">
        <v>0.11016393442623</v>
      </c>
      <c r="N333" s="19" t="n">
        <v>41.3</v>
      </c>
      <c r="O333" s="17" t="n">
        <f aca="false">IF(N333="","",RANK(N333,$N$5:$N$389))</f>
        <v>226</v>
      </c>
      <c r="P333" s="17" t="str">
        <f aca="false">IF(AND(N(H333)&gt;=N(K333),N(H333)&gt;=N(N333)),"The Pulse",IF(N(K333)&gt;=N(N333),"The Lens","The Hub"))</f>
        <v>The Lens</v>
      </c>
      <c r="Q333" s="21" t="s">
        <v>79</v>
      </c>
      <c r="R333" s="27" t="s">
        <v>832</v>
      </c>
      <c r="S333" s="17" t="s">
        <v>22</v>
      </c>
    </row>
    <row r="334" customFormat="false" ht="15" hidden="false" customHeight="false" outlineLevel="0" collapsed="false">
      <c r="A334" s="17" t="s">
        <v>785</v>
      </c>
      <c r="B334" s="17" t="s">
        <v>786</v>
      </c>
      <c r="C334" s="17" t="s">
        <v>2121</v>
      </c>
      <c r="D334" s="17" t="s">
        <v>115</v>
      </c>
      <c r="E334" s="18" t="n">
        <v>262310</v>
      </c>
      <c r="F334" s="17" t="s">
        <v>827</v>
      </c>
      <c r="G334" s="23" t="n">
        <v>1.43785978422477</v>
      </c>
      <c r="H334" s="19" t="n">
        <v>14.1</v>
      </c>
      <c r="I334" s="17" t="n">
        <f aca="false">IF(H334="","",RANK(H334,$H$5:$H$389))</f>
        <v>330</v>
      </c>
      <c r="J334" s="24" t="n">
        <v>0.174750324689865</v>
      </c>
      <c r="K334" s="19" t="n">
        <v>94.3</v>
      </c>
      <c r="L334" s="17" t="n">
        <f aca="false">IF(K334="","",RANK(K334,$K$5:$K$389))</f>
        <v>22</v>
      </c>
      <c r="M334" s="25" t="n">
        <v>0.0746226785614094</v>
      </c>
      <c r="N334" s="19" t="n">
        <v>22.1</v>
      </c>
      <c r="O334" s="17" t="n">
        <f aca="false">IF(N334="","",RANK(N334,$N$5:$N$389))</f>
        <v>299</v>
      </c>
      <c r="P334" s="17" t="str">
        <f aca="false">IF(AND(N(H334)&gt;=N(K334),N(H334)&gt;=N(N334)),"The Pulse",IF(N(K334)&gt;=N(N334),"The Lens","The Hub"))</f>
        <v>The Lens</v>
      </c>
      <c r="Q334" s="20" t="s">
        <v>74</v>
      </c>
      <c r="R334" s="26" t="s">
        <v>822</v>
      </c>
      <c r="S334" s="17" t="s">
        <v>24</v>
      </c>
    </row>
    <row r="335" customFormat="false" ht="15" hidden="false" customHeight="false" outlineLevel="0" collapsed="false">
      <c r="A335" s="17" t="s">
        <v>427</v>
      </c>
      <c r="B335" s="17" t="s">
        <v>428</v>
      </c>
      <c r="C335" s="17" t="s">
        <v>2122</v>
      </c>
      <c r="D335" s="17" t="s">
        <v>95</v>
      </c>
      <c r="E335" s="18" t="n">
        <v>131140</v>
      </c>
      <c r="F335" s="17" t="s">
        <v>827</v>
      </c>
      <c r="G335" s="23" t="n">
        <v>1.42502668903462</v>
      </c>
      <c r="H335" s="19" t="n">
        <v>13.9</v>
      </c>
      <c r="I335" s="17" t="n">
        <f aca="false">IF(H335="","",RANK(H335,$H$5:$H$389))</f>
        <v>331</v>
      </c>
      <c r="J335" s="24" t="n">
        <v>0.0944750459021866</v>
      </c>
      <c r="K335" s="19" t="n">
        <v>58.6</v>
      </c>
      <c r="L335" s="17" t="n">
        <f aca="false">IF(K335="","",RANK(K335,$K$5:$K$389))</f>
        <v>158</v>
      </c>
      <c r="M335" s="25" t="n">
        <v>0.0297269711661138</v>
      </c>
      <c r="N335" s="19" t="n">
        <v>6.6</v>
      </c>
      <c r="O335" s="17" t="n">
        <f aca="false">IF(N335="","",RANK(N335,$N$5:$N$389))</f>
        <v>359</v>
      </c>
      <c r="P335" s="17" t="str">
        <f aca="false">IF(AND(N(H335)&gt;=N(K335),N(H335)&gt;=N(N335)),"The Pulse",IF(N(K335)&gt;=N(N335),"The Lens","The Hub"))</f>
        <v>The Lens</v>
      </c>
      <c r="Q335" s="20" t="s">
        <v>74</v>
      </c>
      <c r="R335" s="26" t="s">
        <v>822</v>
      </c>
      <c r="S335" s="17" t="s">
        <v>24</v>
      </c>
    </row>
    <row r="336" customFormat="false" ht="15" hidden="false" customHeight="false" outlineLevel="0" collapsed="false">
      <c r="A336" s="17" t="s">
        <v>643</v>
      </c>
      <c r="B336" s="17" t="s">
        <v>644</v>
      </c>
      <c r="C336" s="17" t="s">
        <v>2123</v>
      </c>
      <c r="D336" s="17" t="s">
        <v>86</v>
      </c>
      <c r="E336" s="18" t="n">
        <v>173250</v>
      </c>
      <c r="F336" s="17" t="s">
        <v>827</v>
      </c>
      <c r="G336" s="23" t="n">
        <v>1.42440404040404</v>
      </c>
      <c r="H336" s="19" t="n">
        <v>13.8</v>
      </c>
      <c r="I336" s="17" t="n">
        <f aca="false">IF(H336="","",RANK(H336,$H$5:$H$389))</f>
        <v>332</v>
      </c>
      <c r="J336" s="24" t="n">
        <v>0.164001612469766</v>
      </c>
      <c r="K336" s="19" t="n">
        <v>90.4</v>
      </c>
      <c r="L336" s="17" t="n">
        <f aca="false">IF(K336="","",RANK(K336,$K$5:$K$389))</f>
        <v>36</v>
      </c>
      <c r="M336" s="25" t="n">
        <v>0.158601638407316</v>
      </c>
      <c r="N336" s="19" t="n">
        <v>58.1</v>
      </c>
      <c r="O336" s="17" t="n">
        <f aca="false">IF(N336="","",RANK(N336,$N$5:$N$389))</f>
        <v>164</v>
      </c>
      <c r="P336" s="17" t="str">
        <f aca="false">IF(AND(N(H336)&gt;=N(K336),N(H336)&gt;=N(N336)),"The Pulse",IF(N(K336)&gt;=N(N336),"The Lens","The Hub"))</f>
        <v>The Lens</v>
      </c>
      <c r="Q336" s="20" t="s">
        <v>74</v>
      </c>
      <c r="R336" s="26" t="s">
        <v>822</v>
      </c>
      <c r="S336" s="17" t="s">
        <v>24</v>
      </c>
    </row>
    <row r="337" customFormat="false" ht="15" hidden="false" customHeight="false" outlineLevel="0" collapsed="false">
      <c r="A337" s="17" t="s">
        <v>233</v>
      </c>
      <c r="B337" s="17" t="s">
        <v>234</v>
      </c>
      <c r="C337" s="17" t="s">
        <v>2124</v>
      </c>
      <c r="D337" s="17" t="s">
        <v>86</v>
      </c>
      <c r="E337" s="18" t="n">
        <v>261820</v>
      </c>
      <c r="F337" s="17" t="s">
        <v>827</v>
      </c>
      <c r="G337" s="23" t="n">
        <v>1.41772209915209</v>
      </c>
      <c r="H337" s="19" t="n">
        <v>13.6</v>
      </c>
      <c r="I337" s="17" t="n">
        <f aca="false">IF(H337="","",RANK(H337,$H$5:$H$389))</f>
        <v>333</v>
      </c>
      <c r="J337" s="24" t="n">
        <v>-0.00694102029205386</v>
      </c>
      <c r="K337" s="19" t="n">
        <v>10.2</v>
      </c>
      <c r="L337" s="17" t="n">
        <f aca="false">IF(K337="","",RANK(K337,$K$5:$K$389))</f>
        <v>349</v>
      </c>
      <c r="M337" s="25" t="n">
        <v>0.130024019215372</v>
      </c>
      <c r="N337" s="19" t="n">
        <v>49</v>
      </c>
      <c r="O337" s="17" t="n">
        <f aca="false">IF(N337="","",RANK(N337,$N$5:$N$389))</f>
        <v>196</v>
      </c>
      <c r="P337" s="17" t="str">
        <f aca="false">IF(AND(N(H337)&gt;=N(K337),N(H337)&gt;=N(N337)),"The Pulse",IF(N(K337)&gt;=N(N337),"The Lens","The Hub"))</f>
        <v>The Hub</v>
      </c>
      <c r="Q337" s="20" t="s">
        <v>74</v>
      </c>
      <c r="R337" s="26" t="s">
        <v>822</v>
      </c>
      <c r="S337" s="17" t="s">
        <v>24</v>
      </c>
    </row>
    <row r="338" customFormat="false" ht="15" hidden="false" customHeight="false" outlineLevel="0" collapsed="false">
      <c r="A338" s="17" t="s">
        <v>2125</v>
      </c>
      <c r="B338" s="17" t="s">
        <v>2126</v>
      </c>
      <c r="C338" s="17" t="s">
        <v>2127</v>
      </c>
      <c r="D338" s="17" t="s">
        <v>86</v>
      </c>
      <c r="E338" s="18" t="n">
        <v>47630</v>
      </c>
      <c r="F338" s="17" t="s">
        <v>821</v>
      </c>
      <c r="G338" s="23" t="n">
        <v>1.39632584505564</v>
      </c>
      <c r="H338" s="19" t="n">
        <v>13.4</v>
      </c>
      <c r="I338" s="17" t="n">
        <f aca="false">IF(H338="","",RANK(H338,$H$5:$H$389))</f>
        <v>334</v>
      </c>
      <c r="J338" s="24" t="n">
        <v>-0.0189495365602472</v>
      </c>
      <c r="K338" s="19" t="n">
        <v>8.7</v>
      </c>
      <c r="L338" s="17" t="n">
        <f aca="false">IF(K338="","",RANK(K338,$K$5:$K$389))</f>
        <v>355</v>
      </c>
      <c r="M338" s="25" t="n">
        <v>0.160808709175739</v>
      </c>
      <c r="N338" s="19" t="n">
        <v>58.7</v>
      </c>
      <c r="O338" s="17" t="n">
        <f aca="false">IF(N338="","",RANK(N338,$N$5:$N$389))</f>
        <v>161</v>
      </c>
      <c r="P338" s="17" t="str">
        <f aca="false">IF(AND(N(H338)&gt;=N(K338),N(H338)&gt;=N(N338)),"The Pulse",IF(N(K338)&gt;=N(N338),"The Lens","The Hub"))</f>
        <v>The Hub</v>
      </c>
      <c r="Q338" s="20" t="s">
        <v>74</v>
      </c>
      <c r="R338" s="27" t="s">
        <v>832</v>
      </c>
      <c r="S338" s="17" t="s">
        <v>24</v>
      </c>
    </row>
    <row r="339" customFormat="false" ht="15" hidden="false" customHeight="false" outlineLevel="0" collapsed="false">
      <c r="A339" s="17" t="s">
        <v>381</v>
      </c>
      <c r="B339" s="17" t="s">
        <v>382</v>
      </c>
      <c r="C339" s="17" t="s">
        <v>2128</v>
      </c>
      <c r="D339" s="17" t="s">
        <v>162</v>
      </c>
      <c r="E339" s="18" t="n">
        <v>197590</v>
      </c>
      <c r="F339" s="17" t="s">
        <v>827</v>
      </c>
      <c r="G339" s="23" t="n">
        <v>1.39326889012602</v>
      </c>
      <c r="H339" s="19" t="n">
        <v>13.2</v>
      </c>
      <c r="I339" s="17" t="n">
        <f aca="false">IF(H339="","",RANK(H339,$H$5:$H$389))</f>
        <v>335</v>
      </c>
      <c r="J339" s="24" t="n">
        <v>0.0516259513545159</v>
      </c>
      <c r="K339" s="19" t="n">
        <v>36.3</v>
      </c>
      <c r="L339" s="17" t="n">
        <f aca="false">IF(K339="","",RANK(K339,$K$5:$K$389))</f>
        <v>250</v>
      </c>
      <c r="M339" s="25" t="n">
        <v>0.16266404785287</v>
      </c>
      <c r="N339" s="19" t="n">
        <v>59.4</v>
      </c>
      <c r="O339" s="17" t="n">
        <f aca="false">IF(N339="","",RANK(N339,$N$5:$N$389))</f>
        <v>159</v>
      </c>
      <c r="P339" s="17" t="str">
        <f aca="false">IF(AND(N(H339)&gt;=N(K339),N(H339)&gt;=N(N339)),"The Pulse",IF(N(K339)&gt;=N(N339),"The Lens","The Hub"))</f>
        <v>The Hub</v>
      </c>
      <c r="Q339" s="20" t="s">
        <v>74</v>
      </c>
      <c r="R339" s="26" t="s">
        <v>822</v>
      </c>
      <c r="S339" s="17" t="s">
        <v>24</v>
      </c>
    </row>
    <row r="340" customFormat="false" ht="15" hidden="false" customHeight="false" outlineLevel="0" collapsed="false">
      <c r="A340" s="17" t="s">
        <v>829</v>
      </c>
      <c r="B340" s="17" t="s">
        <v>830</v>
      </c>
      <c r="C340" s="17" t="s">
        <v>2129</v>
      </c>
      <c r="D340" s="17" t="s">
        <v>115</v>
      </c>
      <c r="E340" s="18" t="n">
        <v>122970</v>
      </c>
      <c r="F340" s="17" t="s">
        <v>827</v>
      </c>
      <c r="G340" s="23" t="n">
        <v>1.3640725380174</v>
      </c>
      <c r="H340" s="19" t="n">
        <v>12.8</v>
      </c>
      <c r="I340" s="17" t="n">
        <f aca="false">IF(H340="","",RANK(H340,$H$5:$H$389))</f>
        <v>336</v>
      </c>
      <c r="J340" s="24" t="n">
        <v>0.0598121175558045</v>
      </c>
      <c r="K340" s="19" t="n">
        <v>41.4</v>
      </c>
      <c r="L340" s="17" t="n">
        <f aca="false">IF(K340="","",RANK(K340,$K$5:$K$389))</f>
        <v>231</v>
      </c>
      <c r="M340" s="25" t="n">
        <v>0.275972574154121</v>
      </c>
      <c r="N340" s="19" t="n">
        <v>85.4</v>
      </c>
      <c r="O340" s="17" t="n">
        <f aca="false">IF(N340="","",RANK(N340,$N$5:$N$389))</f>
        <v>55</v>
      </c>
      <c r="P340" s="17" t="str">
        <f aca="false">IF(AND(N(H340)&gt;=N(K340),N(H340)&gt;=N(N340)),"The Pulse",IF(N(K340)&gt;=N(N340),"The Lens","The Hub"))</f>
        <v>The Hub</v>
      </c>
      <c r="Q340" s="20" t="s">
        <v>74</v>
      </c>
      <c r="R340" s="27" t="s">
        <v>832</v>
      </c>
      <c r="S340" s="17" t="s">
        <v>24</v>
      </c>
    </row>
    <row r="341" customFormat="false" ht="15" hidden="false" customHeight="false" outlineLevel="0" collapsed="false">
      <c r="A341" s="17" t="s">
        <v>791</v>
      </c>
      <c r="B341" s="17" t="s">
        <v>792</v>
      </c>
      <c r="C341" s="17" t="s">
        <v>2130</v>
      </c>
      <c r="D341" s="17" t="s">
        <v>95</v>
      </c>
      <c r="E341" s="18" t="n">
        <v>82670</v>
      </c>
      <c r="F341" s="17" t="s">
        <v>821</v>
      </c>
      <c r="G341" s="23" t="n">
        <v>1.35609048022257</v>
      </c>
      <c r="H341" s="19" t="n">
        <v>12.6</v>
      </c>
      <c r="I341" s="17" t="n">
        <f aca="false">IF(H341="","",RANK(H341,$H$5:$H$389))</f>
        <v>337</v>
      </c>
      <c r="J341" s="24" t="n">
        <v>0.273805855161787</v>
      </c>
      <c r="K341" s="19" t="n">
        <v>98.5</v>
      </c>
      <c r="L341" s="17" t="n">
        <f aca="false">IF(K341="","",RANK(K341,$K$5:$K$389))</f>
        <v>7</v>
      </c>
      <c r="M341" s="25" t="n">
        <v>0.0907997594708358</v>
      </c>
      <c r="N341" s="19" t="n">
        <v>33.3</v>
      </c>
      <c r="O341" s="17" t="n">
        <f aca="false">IF(N341="","",RANK(N341,$N$5:$N$389))</f>
        <v>260</v>
      </c>
      <c r="P341" s="17" t="str">
        <f aca="false">IF(AND(N(H341)&gt;=N(K341),N(H341)&gt;=N(N341)),"The Pulse",IF(N(K341)&gt;=N(N341),"The Lens","The Hub"))</f>
        <v>The Lens</v>
      </c>
      <c r="Q341" s="21" t="s">
        <v>79</v>
      </c>
      <c r="R341" s="26" t="s">
        <v>822</v>
      </c>
      <c r="S341" s="17" t="s">
        <v>88</v>
      </c>
    </row>
    <row r="342" customFormat="false" ht="15" hidden="false" customHeight="false" outlineLevel="0" collapsed="false">
      <c r="A342" s="17" t="s">
        <v>469</v>
      </c>
      <c r="B342" s="17" t="s">
        <v>470</v>
      </c>
      <c r="C342" s="17" t="s">
        <v>2131</v>
      </c>
      <c r="D342" s="17" t="s">
        <v>82</v>
      </c>
      <c r="E342" s="18" t="n">
        <v>50490</v>
      </c>
      <c r="F342" s="17" t="s">
        <v>821</v>
      </c>
      <c r="G342" s="23" t="n">
        <v>1.34531590413943</v>
      </c>
      <c r="H342" s="19" t="n">
        <v>12.2</v>
      </c>
      <c r="I342" s="17" t="n">
        <f aca="false">IF(H342="","",RANK(H342,$H$5:$H$389))</f>
        <v>338</v>
      </c>
      <c r="J342" s="24" t="n">
        <v>0.0788461538461538</v>
      </c>
      <c r="K342" s="19" t="n">
        <v>46.9</v>
      </c>
      <c r="L342" s="17" t="n">
        <f aca="false">IF(K342="","",RANK(K342,$K$5:$K$389))</f>
        <v>210</v>
      </c>
      <c r="M342" s="25" t="n">
        <v>0.0582010582010582</v>
      </c>
      <c r="N342" s="19" t="n">
        <v>15.2</v>
      </c>
      <c r="O342" s="17" t="n">
        <f aca="false">IF(N342="","",RANK(N342,$N$5:$N$389))</f>
        <v>325</v>
      </c>
      <c r="P342" s="17" t="str">
        <f aca="false">IF(AND(N(H342)&gt;=N(K342),N(H342)&gt;=N(N342)),"The Pulse",IF(N(K342)&gt;=N(N342),"The Lens","The Hub"))</f>
        <v>The Lens</v>
      </c>
      <c r="Q342" s="20" t="s">
        <v>74</v>
      </c>
      <c r="R342" s="26" t="s">
        <v>822</v>
      </c>
      <c r="S342" s="17" t="s">
        <v>24</v>
      </c>
    </row>
    <row r="343" customFormat="false" ht="15" hidden="false" customHeight="false" outlineLevel="0" collapsed="false">
      <c r="A343" s="17" t="s">
        <v>539</v>
      </c>
      <c r="B343" s="17" t="s">
        <v>540</v>
      </c>
      <c r="C343" s="17" t="s">
        <v>2132</v>
      </c>
      <c r="D343" s="17" t="s">
        <v>123</v>
      </c>
      <c r="E343" s="18" t="n">
        <v>8880</v>
      </c>
      <c r="F343" s="17" t="s">
        <v>825</v>
      </c>
      <c r="G343" s="23" t="n">
        <v>1.34132882882883</v>
      </c>
      <c r="H343" s="19" t="n">
        <v>12</v>
      </c>
      <c r="I343" s="17" t="n">
        <f aca="false">IF(H343="","",RANK(H343,$H$5:$H$389))</f>
        <v>339</v>
      </c>
      <c r="J343" s="24" t="n">
        <v>0.16688567674113</v>
      </c>
      <c r="K343" s="19" t="n">
        <v>77.4</v>
      </c>
      <c r="L343" s="17" t="n">
        <f aca="false">IF(K343="","",RANK(K343,$K$5:$K$389))</f>
        <v>84</v>
      </c>
      <c r="M343" s="25" t="n">
        <v>0.176328502415459</v>
      </c>
      <c r="N343" s="19" t="n">
        <v>63.1</v>
      </c>
      <c r="O343" s="17" t="n">
        <f aca="false">IF(N343="","",RANK(N343,$N$5:$N$389))</f>
        <v>146</v>
      </c>
      <c r="P343" s="17" t="str">
        <f aca="false">IF(AND(N(H343)&gt;=N(K343),N(H343)&gt;=N(N343)),"The Pulse",IF(N(K343)&gt;=N(N343),"The Lens","The Hub"))</f>
        <v>The Lens</v>
      </c>
      <c r="Q343" s="20" t="s">
        <v>74</v>
      </c>
      <c r="R343" s="26" t="s">
        <v>822</v>
      </c>
      <c r="S343" s="17" t="s">
        <v>24</v>
      </c>
    </row>
    <row r="344" customFormat="false" ht="15" hidden="false" customHeight="false" outlineLevel="0" collapsed="false">
      <c r="A344" s="17" t="s">
        <v>447</v>
      </c>
      <c r="B344" s="17" t="s">
        <v>448</v>
      </c>
      <c r="C344" s="17" t="s">
        <v>2133</v>
      </c>
      <c r="D344" s="17" t="s">
        <v>82</v>
      </c>
      <c r="E344" s="18" t="n">
        <v>56480</v>
      </c>
      <c r="F344" s="17" t="s">
        <v>821</v>
      </c>
      <c r="G344" s="23" t="n">
        <v>1.33314447592068</v>
      </c>
      <c r="H344" s="19" t="n">
        <v>11.8</v>
      </c>
      <c r="I344" s="17" t="n">
        <f aca="false">IF(H344="","",RANK(H344,$H$5:$H$389))</f>
        <v>340</v>
      </c>
      <c r="J344" s="24" t="n">
        <v>0.0246734397677794</v>
      </c>
      <c r="K344" s="19" t="n">
        <v>20</v>
      </c>
      <c r="L344" s="17" t="n">
        <f aca="false">IF(K344="","",RANK(K344,$K$5:$K$389))</f>
        <v>309</v>
      </c>
      <c r="M344" s="25" t="n">
        <v>0.124069478908189</v>
      </c>
      <c r="N344" s="19" t="n">
        <v>46.8</v>
      </c>
      <c r="O344" s="17" t="n">
        <f aca="false">IF(N344="","",RANK(N344,$N$5:$N$389))</f>
        <v>206</v>
      </c>
      <c r="P344" s="17" t="str">
        <f aca="false">IF(AND(N(H344)&gt;=N(K344),N(H344)&gt;=N(N344)),"The Pulse",IF(N(K344)&gt;=N(N344),"The Lens","The Hub"))</f>
        <v>The Hub</v>
      </c>
      <c r="Q344" s="20" t="s">
        <v>74</v>
      </c>
      <c r="R344" s="26" t="s">
        <v>822</v>
      </c>
      <c r="S344" s="17" t="s">
        <v>24</v>
      </c>
    </row>
    <row r="345" customFormat="false" ht="15" hidden="false" customHeight="false" outlineLevel="0" collapsed="false">
      <c r="A345" s="17" t="s">
        <v>751</v>
      </c>
      <c r="B345" s="17" t="s">
        <v>752</v>
      </c>
      <c r="C345" s="17" t="s">
        <v>2134</v>
      </c>
      <c r="D345" s="17" t="s">
        <v>98</v>
      </c>
      <c r="E345" s="18" t="n">
        <v>27500</v>
      </c>
      <c r="F345" s="17" t="s">
        <v>821</v>
      </c>
      <c r="G345" s="23" t="n">
        <v>1.33225454545455</v>
      </c>
      <c r="H345" s="19" t="n">
        <v>11.6</v>
      </c>
      <c r="I345" s="17" t="n">
        <f aca="false">IF(H345="","",RANK(H345,$H$5:$H$389))</f>
        <v>341</v>
      </c>
      <c r="J345" s="24" t="n">
        <v>0.156920488010097</v>
      </c>
      <c r="K345" s="19" t="n">
        <v>82.5</v>
      </c>
      <c r="L345" s="17" t="n">
        <f aca="false">IF(K345="","",RANK(K345,$K$5:$K$389))</f>
        <v>65</v>
      </c>
      <c r="M345" s="25" t="n">
        <v>0.240137221269297</v>
      </c>
      <c r="N345" s="19" t="n">
        <v>79.2</v>
      </c>
      <c r="O345" s="17" t="n">
        <f aca="false">IF(N345="","",RANK(N345,$N$5:$N$389))</f>
        <v>81</v>
      </c>
      <c r="P345" s="17" t="str">
        <f aca="false">IF(AND(N(H345)&gt;=N(K345),N(H345)&gt;=N(N345)),"The Pulse",IF(N(K345)&gt;=N(N345),"The Lens","The Hub"))</f>
        <v>The Lens</v>
      </c>
      <c r="Q345" s="20" t="s">
        <v>74</v>
      </c>
      <c r="R345" s="26" t="s">
        <v>822</v>
      </c>
      <c r="S345" s="17" t="s">
        <v>24</v>
      </c>
    </row>
    <row r="346" customFormat="false" ht="15" hidden="false" customHeight="false" outlineLevel="0" collapsed="false">
      <c r="A346" s="17" t="s">
        <v>2135</v>
      </c>
      <c r="B346" s="17" t="s">
        <v>2136</v>
      </c>
      <c r="C346" s="17" t="s">
        <v>2137</v>
      </c>
      <c r="D346" s="17" t="s">
        <v>98</v>
      </c>
      <c r="E346" s="18" t="n">
        <v>45437</v>
      </c>
      <c r="F346" s="17" t="s">
        <v>821</v>
      </c>
      <c r="G346" s="23" t="n">
        <v>1.31104606378062</v>
      </c>
      <c r="H346" s="19" t="n">
        <v>11.4</v>
      </c>
      <c r="I346" s="17" t="n">
        <f aca="false">IF(H346="","",RANK(H346,$H$5:$H$389))</f>
        <v>342</v>
      </c>
      <c r="J346" s="24" t="n">
        <v>0.0983610520208857</v>
      </c>
      <c r="K346" s="19" t="n">
        <v>56.4</v>
      </c>
      <c r="L346" s="17" t="n">
        <f aca="false">IF(K346="","",RANK(K346,$K$5:$K$389))</f>
        <v>170</v>
      </c>
      <c r="M346" s="25" t="n">
        <v>0.1008</v>
      </c>
      <c r="N346" s="19" t="n">
        <v>37.5</v>
      </c>
      <c r="O346" s="17" t="n">
        <f aca="false">IF(N346="","",RANK(N346,$N$5:$N$389))</f>
        <v>242</v>
      </c>
      <c r="P346" s="17" t="str">
        <f aca="false">IF(AND(N(H346)&gt;=N(K346),N(H346)&gt;=N(N346)),"The Pulse",IF(N(K346)&gt;=N(N346),"The Lens","The Hub"))</f>
        <v>The Lens</v>
      </c>
      <c r="Q346" s="21" t="s">
        <v>79</v>
      </c>
      <c r="R346" s="27" t="s">
        <v>832</v>
      </c>
      <c r="S346" s="17" t="s">
        <v>22</v>
      </c>
    </row>
    <row r="347" customFormat="false" ht="15" hidden="false" customHeight="false" outlineLevel="0" collapsed="false">
      <c r="A347" s="17" t="s">
        <v>551</v>
      </c>
      <c r="B347" s="17" t="s">
        <v>552</v>
      </c>
      <c r="C347" s="17" t="s">
        <v>2138</v>
      </c>
      <c r="D347" s="17" t="s">
        <v>77</v>
      </c>
      <c r="E347" s="18" t="n">
        <v>92800</v>
      </c>
      <c r="F347" s="17" t="s">
        <v>821</v>
      </c>
      <c r="G347" s="23" t="n">
        <v>1.31016163793104</v>
      </c>
      <c r="H347" s="19" t="n">
        <v>11.2</v>
      </c>
      <c r="I347" s="17" t="n">
        <f aca="false">IF(H347="","",RANK(H347,$H$5:$H$389))</f>
        <v>343</v>
      </c>
      <c r="J347" s="24" t="n">
        <v>0.0345596432552954</v>
      </c>
      <c r="K347" s="19" t="n">
        <v>23.3</v>
      </c>
      <c r="L347" s="17" t="n">
        <f aca="false">IF(K347="","",RANK(K347,$K$5:$K$389))</f>
        <v>300</v>
      </c>
      <c r="M347" s="25" t="n">
        <v>0.212111398963731</v>
      </c>
      <c r="N347" s="19" t="n">
        <v>71.7</v>
      </c>
      <c r="O347" s="17" t="n">
        <f aca="false">IF(N347="","",RANK(N347,$N$5:$N$389))</f>
        <v>110</v>
      </c>
      <c r="P347" s="17" t="str">
        <f aca="false">IF(AND(N(H347)&gt;=N(K347),N(H347)&gt;=N(N347)),"The Pulse",IF(N(K347)&gt;=N(N347),"The Lens","The Hub"))</f>
        <v>The Hub</v>
      </c>
      <c r="Q347" s="20" t="s">
        <v>74</v>
      </c>
      <c r="R347" s="26" t="s">
        <v>822</v>
      </c>
      <c r="S347" s="17" t="s">
        <v>24</v>
      </c>
    </row>
    <row r="348" customFormat="false" ht="15" hidden="false" customHeight="false" outlineLevel="0" collapsed="false">
      <c r="A348" s="17" t="s">
        <v>2139</v>
      </c>
      <c r="B348" s="17" t="s">
        <v>2140</v>
      </c>
      <c r="C348" s="17" t="s">
        <v>2141</v>
      </c>
      <c r="D348" s="17" t="s">
        <v>123</v>
      </c>
      <c r="E348" s="18" t="n">
        <v>97830</v>
      </c>
      <c r="F348" s="17" t="s">
        <v>821</v>
      </c>
      <c r="G348" s="23" t="n">
        <v>1.26319125012777</v>
      </c>
      <c r="H348" s="19" t="n">
        <v>10.8</v>
      </c>
      <c r="I348" s="17" t="n">
        <f aca="false">IF(H348="","",RANK(H348,$H$5:$H$389))</f>
        <v>344</v>
      </c>
      <c r="J348" s="24" t="n">
        <v>0.0436313206742053</v>
      </c>
      <c r="K348" s="19" t="n">
        <v>28</v>
      </c>
      <c r="L348" s="17" t="n">
        <f aca="false">IF(K348="","",RANK(K348,$K$5:$K$389))</f>
        <v>284</v>
      </c>
      <c r="M348" s="25" t="n">
        <v>0.100324981654262</v>
      </c>
      <c r="N348" s="19" t="n">
        <v>37.1</v>
      </c>
      <c r="O348" s="17" t="n">
        <f aca="false">IF(N348="","",RANK(N348,$N$5:$N$389))</f>
        <v>244</v>
      </c>
      <c r="P348" s="17" t="str">
        <f aca="false">IF(AND(N(H348)&gt;=N(K348),N(H348)&gt;=N(N348)),"The Pulse",IF(N(K348)&gt;=N(N348),"The Lens","The Hub"))</f>
        <v>The Hub</v>
      </c>
      <c r="Q348" s="20" t="s">
        <v>74</v>
      </c>
      <c r="R348" s="27" t="s">
        <v>832</v>
      </c>
      <c r="S348" s="17" t="s">
        <v>24</v>
      </c>
    </row>
    <row r="349" customFormat="false" ht="15" hidden="false" customHeight="false" outlineLevel="0" collapsed="false">
      <c r="A349" s="17" t="s">
        <v>619</v>
      </c>
      <c r="B349" s="17" t="s">
        <v>620</v>
      </c>
      <c r="C349" s="17" t="s">
        <v>2142</v>
      </c>
      <c r="D349" s="17" t="s">
        <v>115</v>
      </c>
      <c r="E349" s="18" t="n">
        <v>77739</v>
      </c>
      <c r="F349" s="17" t="s">
        <v>821</v>
      </c>
      <c r="G349" s="23" t="n">
        <v>1.23815588057474</v>
      </c>
      <c r="H349" s="19" t="n">
        <v>10.6</v>
      </c>
      <c r="I349" s="17" t="n">
        <f aca="false">IF(H349="","",RANK(H349,$H$5:$H$389))</f>
        <v>345</v>
      </c>
      <c r="J349" s="24" t="n">
        <v>0.212644485001638</v>
      </c>
      <c r="K349" s="19" t="n">
        <v>96</v>
      </c>
      <c r="L349" s="17" t="n">
        <f aca="false">IF(K349="","",RANK(K349,$K$5:$K$389))</f>
        <v>17</v>
      </c>
      <c r="M349" s="25" t="n">
        <v>0.0676664228237015</v>
      </c>
      <c r="N349" s="19" t="n">
        <v>18.5</v>
      </c>
      <c r="O349" s="17" t="n">
        <f aca="false">IF(N349="","",RANK(N349,$N$5:$N$389))</f>
        <v>313</v>
      </c>
      <c r="P349" s="17" t="str">
        <f aca="false">IF(AND(N(H349)&gt;=N(K349),N(H349)&gt;=N(N349)),"The Pulse",IF(N(K349)&gt;=N(N349),"The Lens","The Hub"))</f>
        <v>The Lens</v>
      </c>
      <c r="Q349" s="21" t="s">
        <v>79</v>
      </c>
      <c r="R349" s="26" t="s">
        <v>822</v>
      </c>
      <c r="S349" s="17" t="s">
        <v>88</v>
      </c>
    </row>
    <row r="350" customFormat="false" ht="15" hidden="false" customHeight="false" outlineLevel="0" collapsed="false">
      <c r="A350" s="17" t="s">
        <v>991</v>
      </c>
      <c r="B350" s="17" t="s">
        <v>992</v>
      </c>
      <c r="C350" s="17" t="s">
        <v>2143</v>
      </c>
      <c r="D350" s="17" t="s">
        <v>77</v>
      </c>
      <c r="E350" s="18" t="n">
        <v>60330</v>
      </c>
      <c r="F350" s="17" t="s">
        <v>821</v>
      </c>
      <c r="G350" s="23" t="n">
        <v>1.22337145698657</v>
      </c>
      <c r="H350" s="19" t="n">
        <v>10.4</v>
      </c>
      <c r="I350" s="17" t="n">
        <f aca="false">IF(H350="","",RANK(H350,$H$5:$H$389))</f>
        <v>346</v>
      </c>
      <c r="J350" s="24" t="n">
        <v>0.0298736770228747</v>
      </c>
      <c r="K350" s="19" t="n">
        <v>21.1</v>
      </c>
      <c r="L350" s="17" t="n">
        <f aca="false">IF(K350="","",RANK(K350,$K$5:$K$389))</f>
        <v>305</v>
      </c>
      <c r="M350" s="25" t="n">
        <v>0.271525610427758</v>
      </c>
      <c r="N350" s="19" t="n">
        <v>84.8</v>
      </c>
      <c r="O350" s="17" t="n">
        <f aca="false">IF(N350="","",RANK(N350,$N$5:$N$389))</f>
        <v>58</v>
      </c>
      <c r="P350" s="17" t="str">
        <f aca="false">IF(AND(N(H350)&gt;=N(K350),N(H350)&gt;=N(N350)),"The Pulse",IF(N(K350)&gt;=N(N350),"The Lens","The Hub"))</f>
        <v>The Hub</v>
      </c>
      <c r="Q350" s="20" t="s">
        <v>74</v>
      </c>
      <c r="R350" s="27" t="s">
        <v>832</v>
      </c>
      <c r="S350" s="17" t="s">
        <v>24</v>
      </c>
    </row>
    <row r="351" customFormat="false" ht="15" hidden="false" customHeight="false" outlineLevel="0" collapsed="false">
      <c r="A351" s="17" t="s">
        <v>625</v>
      </c>
      <c r="B351" s="17" t="s">
        <v>626</v>
      </c>
      <c r="C351" s="17" t="s">
        <v>2144</v>
      </c>
      <c r="D351" s="17" t="s">
        <v>162</v>
      </c>
      <c r="E351" s="18" t="n">
        <v>205320</v>
      </c>
      <c r="F351" s="17" t="s">
        <v>827</v>
      </c>
      <c r="G351" s="23" t="n">
        <v>1.21864893824274</v>
      </c>
      <c r="H351" s="19" t="n">
        <v>10.2</v>
      </c>
      <c r="I351" s="17" t="n">
        <f aca="false">IF(H351="","",RANK(H351,$H$5:$H$389))</f>
        <v>347</v>
      </c>
      <c r="J351" s="24" t="n">
        <v>0.185929648241206</v>
      </c>
      <c r="K351" s="19" t="n">
        <v>95.5</v>
      </c>
      <c r="L351" s="17" t="n">
        <f aca="false">IF(K351="","",RANK(K351,$K$5:$K$389))</f>
        <v>18</v>
      </c>
      <c r="M351" s="25" t="n">
        <v>0.184101669573885</v>
      </c>
      <c r="N351" s="19" t="n">
        <v>65.6</v>
      </c>
      <c r="O351" s="17" t="n">
        <f aca="false">IF(N351="","",RANK(N351,$N$5:$N$389))</f>
        <v>137</v>
      </c>
      <c r="P351" s="17" t="str">
        <f aca="false">IF(AND(N(H351)&gt;=N(K351),N(H351)&gt;=N(N351)),"The Pulse",IF(N(K351)&gt;=N(N351),"The Lens","The Hub"))</f>
        <v>The Lens</v>
      </c>
      <c r="Q351" s="20" t="s">
        <v>74</v>
      </c>
      <c r="R351" s="26" t="s">
        <v>822</v>
      </c>
      <c r="S351" s="17" t="s">
        <v>24</v>
      </c>
    </row>
    <row r="352" customFormat="false" ht="15" hidden="false" customHeight="false" outlineLevel="0" collapsed="false">
      <c r="A352" s="17" t="s">
        <v>775</v>
      </c>
      <c r="B352" s="17" t="s">
        <v>776</v>
      </c>
      <c r="C352" s="17" t="s">
        <v>2145</v>
      </c>
      <c r="D352" s="17" t="s">
        <v>82</v>
      </c>
      <c r="E352" s="18" t="n">
        <v>26000</v>
      </c>
      <c r="F352" s="17" t="s">
        <v>821</v>
      </c>
      <c r="G352" s="23" t="n">
        <v>1.19815384615385</v>
      </c>
      <c r="H352" s="19" t="n">
        <v>10</v>
      </c>
      <c r="I352" s="17" t="n">
        <f aca="false">IF(H352="","",RANK(H352,$H$5:$H$389))</f>
        <v>348</v>
      </c>
      <c r="J352" s="24" t="n">
        <v>0.146890163211292</v>
      </c>
      <c r="K352" s="19" t="n">
        <v>79.6</v>
      </c>
      <c r="L352" s="17" t="n">
        <f aca="false">IF(K352="","",RANK(K352,$K$5:$K$389))</f>
        <v>75</v>
      </c>
      <c r="M352" s="25" t="n">
        <v>0.147912243453645</v>
      </c>
      <c r="N352" s="19" t="n">
        <v>54.3</v>
      </c>
      <c r="O352" s="17" t="n">
        <f aca="false">IF(N352="","",RANK(N352,$N$5:$N$389))</f>
        <v>180</v>
      </c>
      <c r="P352" s="17" t="str">
        <f aca="false">IF(AND(N(H352)&gt;=N(K352),N(H352)&gt;=N(N352)),"The Pulse",IF(N(K352)&gt;=N(N352),"The Lens","The Hub"))</f>
        <v>The Lens</v>
      </c>
      <c r="Q352" s="20" t="s">
        <v>74</v>
      </c>
      <c r="R352" s="26" t="s">
        <v>822</v>
      </c>
      <c r="S352" s="17" t="s">
        <v>24</v>
      </c>
    </row>
    <row r="353" customFormat="false" ht="15" hidden="false" customHeight="false" outlineLevel="0" collapsed="false">
      <c r="A353" s="17" t="s">
        <v>787</v>
      </c>
      <c r="B353" s="17" t="s">
        <v>788</v>
      </c>
      <c r="C353" s="17" t="s">
        <v>2146</v>
      </c>
      <c r="D353" s="17" t="s">
        <v>77</v>
      </c>
      <c r="E353" s="18" t="n">
        <v>159950</v>
      </c>
      <c r="F353" s="17" t="s">
        <v>827</v>
      </c>
      <c r="G353" s="23" t="n">
        <v>1.17287902469522</v>
      </c>
      <c r="H353" s="19" t="n">
        <v>9.6</v>
      </c>
      <c r="I353" s="17" t="n">
        <f aca="false">IF(H353="","",RANK(H353,$H$5:$H$389))</f>
        <v>349</v>
      </c>
      <c r="J353" s="24" t="n">
        <v>0.037895010057751</v>
      </c>
      <c r="K353" s="19" t="n">
        <v>28.7</v>
      </c>
      <c r="L353" s="17" t="n">
        <f aca="false">IF(K353="","",RANK(K353,$K$5:$K$389))</f>
        <v>282</v>
      </c>
      <c r="M353" s="25" t="n">
        <v>0.0251659884343543</v>
      </c>
      <c r="N353" s="19" t="n">
        <v>5.3</v>
      </c>
      <c r="O353" s="17" t="n">
        <f aca="false">IF(N353="","",RANK(N353,$N$5:$N$389))</f>
        <v>365</v>
      </c>
      <c r="P353" s="17" t="str">
        <f aca="false">IF(AND(N(H353)&gt;=N(K353),N(H353)&gt;=N(N353)),"The Pulse",IF(N(K353)&gt;=N(N353),"The Lens","The Hub"))</f>
        <v>The Lens</v>
      </c>
      <c r="Q353" s="20" t="s">
        <v>74</v>
      </c>
      <c r="R353" s="26" t="s">
        <v>822</v>
      </c>
      <c r="S353" s="17" t="s">
        <v>24</v>
      </c>
    </row>
    <row r="354" customFormat="false" ht="15" hidden="false" customHeight="false" outlineLevel="0" collapsed="false">
      <c r="A354" s="17" t="s">
        <v>697</v>
      </c>
      <c r="B354" s="17" t="s">
        <v>698</v>
      </c>
      <c r="C354" s="17" t="s">
        <v>2147</v>
      </c>
      <c r="D354" s="17" t="s">
        <v>95</v>
      </c>
      <c r="E354" s="18" t="n">
        <v>79800</v>
      </c>
      <c r="F354" s="17" t="s">
        <v>821</v>
      </c>
      <c r="G354" s="23" t="n">
        <v>1.16300751879699</v>
      </c>
      <c r="H354" s="19" t="n">
        <v>9.2</v>
      </c>
      <c r="I354" s="17" t="n">
        <f aca="false">IF(H354="","",RANK(H354,$H$5:$H$389))</f>
        <v>350</v>
      </c>
      <c r="J354" s="24" t="n">
        <v>-0.052143960090272</v>
      </c>
      <c r="K354" s="19" t="n">
        <v>3.6</v>
      </c>
      <c r="L354" s="17" t="n">
        <f aca="false">IF(K354="","",RANK(K354,$K$5:$K$389))</f>
        <v>374</v>
      </c>
      <c r="M354" s="25" t="n">
        <v>0.35947446837329</v>
      </c>
      <c r="N354" s="19" t="n">
        <v>94.9</v>
      </c>
      <c r="O354" s="17" t="n">
        <f aca="false">IF(N354="","",RANK(N354,$N$5:$N$389))</f>
        <v>22</v>
      </c>
      <c r="P354" s="17" t="str">
        <f aca="false">IF(AND(N(H354)&gt;=N(K354),N(H354)&gt;=N(N354)),"The Pulse",IF(N(K354)&gt;=N(N354),"The Lens","The Hub"))</f>
        <v>The Hub</v>
      </c>
      <c r="Q354" s="20" t="s">
        <v>74</v>
      </c>
      <c r="R354" s="26" t="s">
        <v>822</v>
      </c>
      <c r="S354" s="17" t="s">
        <v>24</v>
      </c>
    </row>
    <row r="355" customFormat="false" ht="15" hidden="false" customHeight="false" outlineLevel="0" collapsed="false">
      <c r="A355" s="17" t="s">
        <v>2148</v>
      </c>
      <c r="B355" s="17" t="s">
        <v>2149</v>
      </c>
      <c r="C355" s="17" t="s">
        <v>2150</v>
      </c>
      <c r="D355" s="17" t="s">
        <v>77</v>
      </c>
      <c r="E355" s="18" t="n">
        <v>7460</v>
      </c>
      <c r="F355" s="17" t="s">
        <v>825</v>
      </c>
      <c r="G355" s="23" t="n">
        <v>1.16018766756032</v>
      </c>
      <c r="H355" s="19" t="n">
        <v>9</v>
      </c>
      <c r="I355" s="17" t="n">
        <f aca="false">IF(H355="","",RANK(H355,$H$5:$H$389))</f>
        <v>351</v>
      </c>
      <c r="J355" s="24" t="n">
        <v>0.0780346820809249</v>
      </c>
      <c r="K355" s="19" t="n">
        <v>22.6</v>
      </c>
      <c r="L355" s="17" t="n">
        <f aca="false">IF(K355="","",RANK(K355,$K$5:$K$389))</f>
        <v>302</v>
      </c>
      <c r="M355" s="25" t="n">
        <v>0.0976744186046512</v>
      </c>
      <c r="N355" s="19" t="n">
        <v>36.2</v>
      </c>
      <c r="O355" s="17" t="n">
        <f aca="false">IF(N355="","",RANK(N355,$N$5:$N$389))</f>
        <v>247</v>
      </c>
      <c r="P355" s="17" t="str">
        <f aca="false">IF(AND(N(H355)&gt;=N(K355),N(H355)&gt;=N(N355)),"The Pulse",IF(N(K355)&gt;=N(N355),"The Lens","The Hub"))</f>
        <v>The Hub</v>
      </c>
      <c r="Q355" s="20" t="s">
        <v>74</v>
      </c>
      <c r="R355" s="27" t="s">
        <v>832</v>
      </c>
      <c r="S355" s="17" t="s">
        <v>24</v>
      </c>
    </row>
    <row r="356" customFormat="false" ht="15" hidden="false" customHeight="false" outlineLevel="0" collapsed="false">
      <c r="A356" s="17" t="s">
        <v>1194</v>
      </c>
      <c r="B356" s="17" t="s">
        <v>1195</v>
      </c>
      <c r="C356" s="17" t="s">
        <v>2151</v>
      </c>
      <c r="D356" s="17" t="s">
        <v>77</v>
      </c>
      <c r="E356" s="18" t="n">
        <v>93520</v>
      </c>
      <c r="F356" s="17" t="s">
        <v>821</v>
      </c>
      <c r="G356" s="23" t="n">
        <v>1.13457014542344</v>
      </c>
      <c r="H356" s="19" t="n">
        <v>8.4</v>
      </c>
      <c r="I356" s="17" t="n">
        <f aca="false">IF(H356="","",RANK(H356,$H$5:$H$389))</f>
        <v>352</v>
      </c>
      <c r="J356" s="24" t="n">
        <v>0.0871890258079516</v>
      </c>
      <c r="K356" s="19" t="n">
        <v>53.5</v>
      </c>
      <c r="L356" s="17" t="n">
        <f aca="false">IF(K356="","",RANK(K356,$K$5:$K$389))</f>
        <v>181</v>
      </c>
      <c r="M356" s="25" t="n">
        <v>0.121626757886735</v>
      </c>
      <c r="N356" s="19" t="n">
        <v>46.1</v>
      </c>
      <c r="O356" s="17" t="n">
        <f aca="false">IF(N356="","",RANK(N356,$N$5:$N$389))</f>
        <v>208</v>
      </c>
      <c r="P356" s="17" t="str">
        <f aca="false">IF(AND(N(H356)&gt;=N(K356),N(H356)&gt;=N(N356)),"The Pulse",IF(N(K356)&gt;=N(N356),"The Lens","The Hub"))</f>
        <v>The Lens</v>
      </c>
      <c r="Q356" s="20" t="s">
        <v>74</v>
      </c>
      <c r="R356" s="27" t="s">
        <v>832</v>
      </c>
      <c r="S356" s="17" t="s">
        <v>24</v>
      </c>
    </row>
    <row r="357" customFormat="false" ht="15" hidden="false" customHeight="false" outlineLevel="0" collapsed="false">
      <c r="A357" s="17" t="s">
        <v>609</v>
      </c>
      <c r="B357" s="17" t="s">
        <v>610</v>
      </c>
      <c r="C357" s="17" t="s">
        <v>2152</v>
      </c>
      <c r="D357" s="17" t="s">
        <v>91</v>
      </c>
      <c r="E357" s="18" t="n">
        <v>190140</v>
      </c>
      <c r="F357" s="17" t="s">
        <v>827</v>
      </c>
      <c r="G357" s="23" t="n">
        <v>1.11708740927738</v>
      </c>
      <c r="H357" s="19" t="n">
        <v>8.3</v>
      </c>
      <c r="I357" s="17" t="n">
        <f aca="false">IF(H357="","",RANK(H357,$H$5:$H$389))</f>
        <v>353</v>
      </c>
      <c r="J357" s="24" t="n">
        <v>0.0465653896961691</v>
      </c>
      <c r="K357" s="19" t="n">
        <v>33.8</v>
      </c>
      <c r="L357" s="17" t="n">
        <f aca="false">IF(K357="","",RANK(K357,$K$5:$K$389))</f>
        <v>261</v>
      </c>
      <c r="M357" s="25" t="n">
        <v>0.165672556998718</v>
      </c>
      <c r="N357" s="19" t="n">
        <v>60.3</v>
      </c>
      <c r="O357" s="17" t="n">
        <f aca="false">IF(N357="","",RANK(N357,$N$5:$N$389))</f>
        <v>156</v>
      </c>
      <c r="P357" s="17" t="str">
        <f aca="false">IF(AND(N(H357)&gt;=N(K357),N(H357)&gt;=N(N357)),"The Pulse",IF(N(K357)&gt;=N(N357),"The Lens","The Hub"))</f>
        <v>The Hub</v>
      </c>
      <c r="Q357" s="20" t="s">
        <v>74</v>
      </c>
      <c r="R357" s="26" t="s">
        <v>822</v>
      </c>
      <c r="S357" s="17" t="s">
        <v>24</v>
      </c>
    </row>
    <row r="358" customFormat="false" ht="15" hidden="false" customHeight="false" outlineLevel="0" collapsed="false">
      <c r="A358" s="17" t="s">
        <v>537</v>
      </c>
      <c r="B358" s="17" t="s">
        <v>538</v>
      </c>
      <c r="C358" s="17" t="s">
        <v>2153</v>
      </c>
      <c r="D358" s="17" t="s">
        <v>72</v>
      </c>
      <c r="E358" s="18" t="n">
        <v>2192560</v>
      </c>
      <c r="F358" s="17" t="s">
        <v>935</v>
      </c>
      <c r="G358" s="23" t="n">
        <v>1.11607481665268</v>
      </c>
      <c r="H358" s="19" t="n">
        <v>8.1</v>
      </c>
      <c r="I358" s="17" t="n">
        <f aca="false">IF(H358="","",RANK(H358,$H$5:$H$389))</f>
        <v>354</v>
      </c>
      <c r="J358" s="24" t="n">
        <v>0.115982674111437</v>
      </c>
      <c r="K358" s="19" t="n">
        <v>58.3</v>
      </c>
      <c r="L358" s="17" t="n">
        <f aca="false">IF(K358="","",RANK(K358,$K$5:$K$389))</f>
        <v>161</v>
      </c>
      <c r="M358" s="25" t="n">
        <v>0.0120811411257339</v>
      </c>
      <c r="N358" s="19" t="n">
        <v>1.8</v>
      </c>
      <c r="O358" s="17" t="n">
        <f aca="false">IF(N358="","",RANK(N358,$N$5:$N$389))</f>
        <v>378</v>
      </c>
      <c r="P358" s="17" t="str">
        <f aca="false">IF(AND(N(H358)&gt;=N(K358),N(H358)&gt;=N(N358)),"The Pulse",IF(N(K358)&gt;=N(N358),"The Lens","The Hub"))</f>
        <v>The Lens</v>
      </c>
      <c r="Q358" s="21" t="s">
        <v>79</v>
      </c>
      <c r="R358" s="26" t="s">
        <v>822</v>
      </c>
      <c r="S358" s="17" t="s">
        <v>88</v>
      </c>
    </row>
    <row r="359" customFormat="false" ht="15" hidden="false" customHeight="false" outlineLevel="0" collapsed="false">
      <c r="A359" s="17" t="s">
        <v>459</v>
      </c>
      <c r="B359" s="17" t="s">
        <v>460</v>
      </c>
      <c r="C359" s="17" t="s">
        <v>2154</v>
      </c>
      <c r="D359" s="17" t="s">
        <v>95</v>
      </c>
      <c r="E359" s="18" t="n">
        <v>257950</v>
      </c>
      <c r="F359" s="17" t="s">
        <v>827</v>
      </c>
      <c r="G359" s="23" t="n">
        <v>1.07636751308393</v>
      </c>
      <c r="H359" s="19" t="n">
        <v>7.7</v>
      </c>
      <c r="I359" s="17" t="n">
        <f aca="false">IF(H359="","",RANK(H359,$H$5:$H$389))</f>
        <v>355</v>
      </c>
      <c r="J359" s="24" t="n">
        <v>-0.0847644053363611</v>
      </c>
      <c r="K359" s="19" t="n">
        <v>2.5</v>
      </c>
      <c r="L359" s="17" t="n">
        <f aca="false">IF(K359="","",RANK(K359,$K$5:$K$389))</f>
        <v>377</v>
      </c>
      <c r="M359" s="25" t="n">
        <v>0.05301701121367</v>
      </c>
      <c r="N359" s="19" t="n">
        <v>13.2</v>
      </c>
      <c r="O359" s="17" t="n">
        <f aca="false">IF(N359="","",RANK(N359,$N$5:$N$389))</f>
        <v>333</v>
      </c>
      <c r="P359" s="17" t="str">
        <f aca="false">IF(AND(N(H359)&gt;=N(K359),N(H359)&gt;=N(N359)),"The Pulse",IF(N(K359)&gt;=N(N359),"The Lens","The Hub"))</f>
        <v>The Hub</v>
      </c>
      <c r="Q359" s="20" t="s">
        <v>74</v>
      </c>
      <c r="R359" s="26" t="s">
        <v>822</v>
      </c>
      <c r="S359" s="17" t="s">
        <v>24</v>
      </c>
    </row>
    <row r="360" customFormat="false" ht="15" hidden="false" customHeight="false" outlineLevel="0" collapsed="false">
      <c r="A360" s="17" t="s">
        <v>737</v>
      </c>
      <c r="B360" s="17" t="s">
        <v>738</v>
      </c>
      <c r="C360" s="17" t="s">
        <v>2155</v>
      </c>
      <c r="D360" s="17" t="s">
        <v>77</v>
      </c>
      <c r="E360" s="18" t="n">
        <v>124840</v>
      </c>
      <c r="F360" s="17" t="s">
        <v>827</v>
      </c>
      <c r="G360" s="23" t="n">
        <v>1.03462031400192</v>
      </c>
      <c r="H360" s="19" t="n">
        <v>7.5</v>
      </c>
      <c r="I360" s="17" t="n">
        <f aca="false">IF(H360="","",RANK(H360,$H$5:$H$389))</f>
        <v>356</v>
      </c>
      <c r="J360" s="24" t="n">
        <v>-0.0173947264856356</v>
      </c>
      <c r="K360" s="19" t="n">
        <v>8.3</v>
      </c>
      <c r="L360" s="17" t="n">
        <f aca="false">IF(K360="","",RANK(K360,$K$5:$K$389))</f>
        <v>357</v>
      </c>
      <c r="M360" s="25" t="n">
        <v>0.235588972431078</v>
      </c>
      <c r="N360" s="19" t="n">
        <v>77.9</v>
      </c>
      <c r="O360" s="17" t="n">
        <f aca="false">IF(N360="","",RANK(N360,$N$5:$N$389))</f>
        <v>86</v>
      </c>
      <c r="P360" s="17" t="str">
        <f aca="false">IF(AND(N(H360)&gt;=N(K360),N(H360)&gt;=N(N360)),"The Pulse",IF(N(K360)&gt;=N(N360),"The Lens","The Hub"))</f>
        <v>The Hub</v>
      </c>
      <c r="Q360" s="20" t="s">
        <v>74</v>
      </c>
      <c r="R360" s="26" t="s">
        <v>822</v>
      </c>
      <c r="S360" s="17" t="s">
        <v>24</v>
      </c>
    </row>
    <row r="361" customFormat="false" ht="15" hidden="false" customHeight="false" outlineLevel="0" collapsed="false">
      <c r="A361" s="17" t="s">
        <v>2156</v>
      </c>
      <c r="B361" s="17" t="s">
        <v>2157</v>
      </c>
      <c r="C361" s="17" t="s">
        <v>2158</v>
      </c>
      <c r="D361" s="17" t="s">
        <v>123</v>
      </c>
      <c r="E361" s="18" t="n">
        <v>59220</v>
      </c>
      <c r="F361" s="17" t="s">
        <v>821</v>
      </c>
      <c r="G361" s="23" t="n">
        <v>1.01242823370483</v>
      </c>
      <c r="H361" s="19" t="n">
        <v>7.3</v>
      </c>
      <c r="I361" s="17" t="n">
        <f aca="false">IF(H361="","",RANK(H361,$H$5:$H$389))</f>
        <v>357</v>
      </c>
      <c r="J361" s="24" t="n">
        <v>0.0786885245901639</v>
      </c>
      <c r="K361" s="19" t="n">
        <v>46.2</v>
      </c>
      <c r="L361" s="17" t="n">
        <f aca="false">IF(K361="","",RANK(K361,$K$5:$K$389))</f>
        <v>213</v>
      </c>
      <c r="M361" s="25" t="n">
        <v>0.513450292397661</v>
      </c>
      <c r="N361" s="19" t="n">
        <v>99.8</v>
      </c>
      <c r="O361" s="17" t="n">
        <f aca="false">IF(N361="","",RANK(N361,$N$5:$N$389))</f>
        <v>2</v>
      </c>
      <c r="P361" s="17" t="str">
        <f aca="false">IF(AND(N(H361)&gt;=N(K361),N(H361)&gt;=N(N361)),"The Pulse",IF(N(K361)&gt;=N(N361),"The Lens","The Hub"))</f>
        <v>The Hub</v>
      </c>
      <c r="Q361" s="20" t="s">
        <v>74</v>
      </c>
      <c r="R361" s="27" t="s">
        <v>832</v>
      </c>
      <c r="S361" s="17" t="s">
        <v>24</v>
      </c>
    </row>
    <row r="362" customFormat="false" ht="15" hidden="false" customHeight="false" outlineLevel="0" collapsed="false">
      <c r="A362" s="17" t="s">
        <v>2159</v>
      </c>
      <c r="B362" s="17" t="s">
        <v>2160</v>
      </c>
      <c r="C362" s="17" t="s">
        <v>2161</v>
      </c>
      <c r="D362" s="17" t="s">
        <v>77</v>
      </c>
      <c r="E362" s="18" t="n">
        <v>109980</v>
      </c>
      <c r="F362" s="17" t="s">
        <v>827</v>
      </c>
      <c r="G362" s="23" t="n">
        <v>0.978632478632479</v>
      </c>
      <c r="H362" s="19" t="n">
        <v>7.1</v>
      </c>
      <c r="I362" s="17" t="n">
        <f aca="false">IF(H362="","",RANK(H362,$H$5:$H$389))</f>
        <v>358</v>
      </c>
      <c r="J362" s="24" t="n">
        <v>0.0169209431345354</v>
      </c>
      <c r="K362" s="19" t="n">
        <v>19.7</v>
      </c>
      <c r="L362" s="17" t="n">
        <f aca="false">IF(K362="","",RANK(K362,$K$5:$K$389))</f>
        <v>310</v>
      </c>
      <c r="M362" s="25" t="n">
        <v>0.116311561299336</v>
      </c>
      <c r="N362" s="19" t="n">
        <v>43.9</v>
      </c>
      <c r="O362" s="17" t="n">
        <f aca="false">IF(N362="","",RANK(N362,$N$5:$N$389))</f>
        <v>218</v>
      </c>
      <c r="P362" s="17" t="str">
        <f aca="false">IF(AND(N(H362)&gt;=N(K362),N(H362)&gt;=N(N362)),"The Pulse",IF(N(K362)&gt;=N(N362),"The Lens","The Hub"))</f>
        <v>The Hub</v>
      </c>
      <c r="Q362" s="20" t="s">
        <v>74</v>
      </c>
      <c r="R362" s="27" t="s">
        <v>832</v>
      </c>
      <c r="S362" s="17" t="s">
        <v>24</v>
      </c>
    </row>
    <row r="363" customFormat="false" ht="15" hidden="false" customHeight="false" outlineLevel="0" collapsed="false">
      <c r="A363" s="17" t="s">
        <v>689</v>
      </c>
      <c r="B363" s="17" t="s">
        <v>690</v>
      </c>
      <c r="C363" s="17" t="s">
        <v>2162</v>
      </c>
      <c r="D363" s="17" t="s">
        <v>82</v>
      </c>
      <c r="E363" s="18" t="n">
        <v>37910</v>
      </c>
      <c r="F363" s="17" t="s">
        <v>821</v>
      </c>
      <c r="G363" s="23" t="n">
        <v>0.945819045106832</v>
      </c>
      <c r="H363" s="19" t="n">
        <v>6.5</v>
      </c>
      <c r="I363" s="17" t="n">
        <f aca="false">IF(H363="","",RANK(H363,$H$5:$H$389))</f>
        <v>359</v>
      </c>
      <c r="J363" s="24" t="n">
        <v>0.146356214091321</v>
      </c>
      <c r="K363" s="19" t="n">
        <v>79.3</v>
      </c>
      <c r="L363" s="17" t="n">
        <f aca="false">IF(K363="","",RANK(K363,$K$5:$K$389))</f>
        <v>76</v>
      </c>
      <c r="M363" s="25" t="n">
        <v>0.191198786039454</v>
      </c>
      <c r="N363" s="19" t="n">
        <v>66.9</v>
      </c>
      <c r="O363" s="17" t="n">
        <f aca="false">IF(N363="","",RANK(N363,$N$5:$N$389))</f>
        <v>131</v>
      </c>
      <c r="P363" s="17" t="str">
        <f aca="false">IF(AND(N(H363)&gt;=N(K363),N(H363)&gt;=N(N363)),"The Pulse",IF(N(K363)&gt;=N(N363),"The Lens","The Hub"))</f>
        <v>The Lens</v>
      </c>
      <c r="Q363" s="21" t="s">
        <v>79</v>
      </c>
      <c r="R363" s="26" t="s">
        <v>822</v>
      </c>
      <c r="S363" s="17" t="s">
        <v>88</v>
      </c>
    </row>
    <row r="364" customFormat="false" ht="15" hidden="false" customHeight="false" outlineLevel="0" collapsed="false">
      <c r="A364" s="17" t="s">
        <v>721</v>
      </c>
      <c r="B364" s="17" t="s">
        <v>722</v>
      </c>
      <c r="C364" s="17" t="s">
        <v>2163</v>
      </c>
      <c r="D364" s="17" t="s">
        <v>77</v>
      </c>
      <c r="E364" s="18" t="n">
        <v>17290</v>
      </c>
      <c r="F364" s="17" t="s">
        <v>821</v>
      </c>
      <c r="G364" s="23" t="n">
        <v>0.942336610757663</v>
      </c>
      <c r="H364" s="19" t="n">
        <v>6.3</v>
      </c>
      <c r="I364" s="17" t="n">
        <f aca="false">IF(H364="","",RANK(H364,$H$5:$H$389))</f>
        <v>360</v>
      </c>
      <c r="J364" s="24" t="n">
        <v>0.193236714975845</v>
      </c>
      <c r="K364" s="19" t="n">
        <v>92.7</v>
      </c>
      <c r="L364" s="17" t="n">
        <f aca="false">IF(K364="","",RANK(K364,$K$5:$K$389))</f>
        <v>27</v>
      </c>
      <c r="M364" s="25" t="n">
        <v>0.0702247191011236</v>
      </c>
      <c r="N364" s="19" t="n">
        <v>21</v>
      </c>
      <c r="O364" s="17" t="n">
        <f aca="false">IF(N364="","",RANK(N364,$N$5:$N$389))</f>
        <v>304</v>
      </c>
      <c r="P364" s="17" t="str">
        <f aca="false">IF(AND(N(H364)&gt;=N(K364),N(H364)&gt;=N(N364)),"The Pulse",IF(N(K364)&gt;=N(N364),"The Lens","The Hub"))</f>
        <v>The Lens</v>
      </c>
      <c r="Q364" s="21" t="s">
        <v>79</v>
      </c>
      <c r="R364" s="26" t="s">
        <v>822</v>
      </c>
      <c r="S364" s="17" t="s">
        <v>88</v>
      </c>
    </row>
    <row r="365" customFormat="false" ht="15" hidden="false" customHeight="false" outlineLevel="0" collapsed="false">
      <c r="A365" s="17" t="s">
        <v>1002</v>
      </c>
      <c r="B365" s="17" t="s">
        <v>1003</v>
      </c>
      <c r="C365" s="17" t="s">
        <v>2164</v>
      </c>
      <c r="D365" s="17" t="s">
        <v>72</v>
      </c>
      <c r="E365" s="18" t="n">
        <v>13740</v>
      </c>
      <c r="F365" s="17" t="s">
        <v>821</v>
      </c>
      <c r="G365" s="23" t="n">
        <v>0.939592430858806</v>
      </c>
      <c r="H365" s="19" t="n">
        <v>6.1</v>
      </c>
      <c r="I365" s="17" t="n">
        <f aca="false">IF(H365="","",RANK(H365,$H$5:$H$389))</f>
        <v>361</v>
      </c>
      <c r="J365" s="24" t="n">
        <v>0.0717628705148206</v>
      </c>
      <c r="K365" s="19" t="n">
        <v>42.2</v>
      </c>
      <c r="L365" s="17" t="n">
        <f aca="false">IF(K365="","",RANK(K365,$K$5:$K$389))</f>
        <v>227</v>
      </c>
      <c r="M365" s="25" t="n">
        <v>0.0662983425414365</v>
      </c>
      <c r="N365" s="19" t="n">
        <v>18.1</v>
      </c>
      <c r="O365" s="17" t="n">
        <f aca="false">IF(N365="","",RANK(N365,$N$5:$N$389))</f>
        <v>315</v>
      </c>
      <c r="P365" s="17" t="str">
        <f aca="false">IF(AND(N(H365)&gt;=N(K365),N(H365)&gt;=N(N365)),"The Pulse",IF(N(K365)&gt;=N(N365),"The Lens","The Hub"))</f>
        <v>The Lens</v>
      </c>
      <c r="Q365" s="20" t="s">
        <v>74</v>
      </c>
      <c r="R365" s="27" t="s">
        <v>832</v>
      </c>
      <c r="S365" s="17" t="s">
        <v>24</v>
      </c>
    </row>
    <row r="366" customFormat="false" ht="15" hidden="false" customHeight="false" outlineLevel="0" collapsed="false">
      <c r="A366" s="17" t="s">
        <v>753</v>
      </c>
      <c r="B366" s="17" t="s">
        <v>754</v>
      </c>
      <c r="C366" s="17" t="s">
        <v>2165</v>
      </c>
      <c r="D366" s="17" t="s">
        <v>72</v>
      </c>
      <c r="E366" s="18" t="n">
        <v>40180</v>
      </c>
      <c r="F366" s="17" t="s">
        <v>821</v>
      </c>
      <c r="G366" s="23" t="n">
        <v>0.920905923344948</v>
      </c>
      <c r="H366" s="19" t="n">
        <v>5.9</v>
      </c>
      <c r="I366" s="17" t="n">
        <f aca="false">IF(H366="","",RANK(H366,$H$5:$H$389))</f>
        <v>362</v>
      </c>
      <c r="J366" s="24" t="n">
        <v>0.0999178757185875</v>
      </c>
      <c r="K366" s="19" t="n">
        <v>57.1</v>
      </c>
      <c r="L366" s="17" t="n">
        <f aca="false">IF(K366="","",RANK(K366,$K$5:$K$389))</f>
        <v>166</v>
      </c>
      <c r="M366" s="25" t="n">
        <v>0.210862619808307</v>
      </c>
      <c r="N366" s="19" t="n">
        <v>71.3</v>
      </c>
      <c r="O366" s="17" t="n">
        <f aca="false">IF(N366="","",RANK(N366,$N$5:$N$389))</f>
        <v>112</v>
      </c>
      <c r="P366" s="17" t="str">
        <f aca="false">IF(AND(N(H366)&gt;=N(K366),N(H366)&gt;=N(N366)),"The Pulse",IF(N(K366)&gt;=N(N366),"The Lens","The Hub"))</f>
        <v>The Hub</v>
      </c>
      <c r="Q366" s="20" t="s">
        <v>74</v>
      </c>
      <c r="R366" s="26" t="s">
        <v>822</v>
      </c>
      <c r="S366" s="17" t="s">
        <v>24</v>
      </c>
    </row>
    <row r="367" customFormat="false" ht="15" hidden="false" customHeight="false" outlineLevel="0" collapsed="false">
      <c r="A367" s="17" t="s">
        <v>2166</v>
      </c>
      <c r="B367" s="17" t="s">
        <v>2167</v>
      </c>
      <c r="C367" s="17" t="s">
        <v>2168</v>
      </c>
      <c r="D367" s="17" t="s">
        <v>91</v>
      </c>
      <c r="E367" s="18" t="n">
        <v>55410</v>
      </c>
      <c r="F367" s="17" t="s">
        <v>821</v>
      </c>
      <c r="G367" s="23" t="n">
        <v>0.914347590687602</v>
      </c>
      <c r="H367" s="19" t="n">
        <v>5.7</v>
      </c>
      <c r="I367" s="17" t="n">
        <f aca="false">IF(H367="","",RANK(H367,$H$5:$H$389))</f>
        <v>363</v>
      </c>
      <c r="J367" s="24" t="n">
        <v>0.130585594776576</v>
      </c>
      <c r="K367" s="19" t="n">
        <v>72.4</v>
      </c>
      <c r="L367" s="17" t="n">
        <f aca="false">IF(K367="","",RANK(K367,$K$5:$K$389))</f>
        <v>100</v>
      </c>
      <c r="M367" s="25" t="n">
        <v>0.0736503396496246</v>
      </c>
      <c r="N367" s="19" t="n">
        <v>21.6</v>
      </c>
      <c r="O367" s="17" t="n">
        <f aca="false">IF(N367="","",RANK(N367,$N$5:$N$389))</f>
        <v>301</v>
      </c>
      <c r="P367" s="17" t="str">
        <f aca="false">IF(AND(N(H367)&gt;=N(K367),N(H367)&gt;=N(N367)),"The Pulse",IF(N(K367)&gt;=N(N367),"The Lens","The Hub"))</f>
        <v>The Lens</v>
      </c>
      <c r="Q367" s="20" t="s">
        <v>74</v>
      </c>
      <c r="R367" s="27" t="s">
        <v>832</v>
      </c>
      <c r="S367" s="17" t="s">
        <v>24</v>
      </c>
    </row>
    <row r="368" customFormat="false" ht="15" hidden="false" customHeight="false" outlineLevel="0" collapsed="false">
      <c r="A368" s="17" t="s">
        <v>687</v>
      </c>
      <c r="B368" s="17" t="s">
        <v>688</v>
      </c>
      <c r="C368" s="17" t="s">
        <v>2169</v>
      </c>
      <c r="D368" s="17" t="s">
        <v>91</v>
      </c>
      <c r="E368" s="18" t="n">
        <v>8700</v>
      </c>
      <c r="F368" s="17" t="s">
        <v>825</v>
      </c>
      <c r="G368" s="23" t="n">
        <v>0.908739002932551</v>
      </c>
      <c r="H368" s="19" t="n">
        <v>5.5</v>
      </c>
      <c r="I368" s="17" t="n">
        <f aca="false">IF(H368="","",RANK(H368,$H$5:$H$389))</f>
        <v>364</v>
      </c>
      <c r="J368" s="24" t="n">
        <v>0.0532687651331719</v>
      </c>
      <c r="K368" s="19" t="n">
        <v>17</v>
      </c>
      <c r="L368" s="17" t="n">
        <f aca="false">IF(K368="","",RANK(K368,$K$5:$K$389))</f>
        <v>320</v>
      </c>
      <c r="M368" s="25" t="n">
        <v>0.379958246346555</v>
      </c>
      <c r="N368" s="19" t="n">
        <v>96</v>
      </c>
      <c r="O368" s="17" t="n">
        <f aca="false">IF(N368="","",RANK(N368,$N$5:$N$389))</f>
        <v>17</v>
      </c>
      <c r="P368" s="17" t="str">
        <f aca="false">IF(AND(N(H368)&gt;=N(K368),N(H368)&gt;=N(N368)),"The Pulse",IF(N(K368)&gt;=N(N368),"The Lens","The Hub"))</f>
        <v>The Hub</v>
      </c>
      <c r="Q368" s="21" t="s">
        <v>79</v>
      </c>
      <c r="R368" s="26" t="s">
        <v>822</v>
      </c>
      <c r="S368" s="17" t="s">
        <v>88</v>
      </c>
    </row>
    <row r="369" customFormat="false" ht="15" hidden="false" customHeight="false" outlineLevel="0" collapsed="false">
      <c r="A369" s="17" t="s">
        <v>2170</v>
      </c>
      <c r="B369" s="17" t="s">
        <v>2171</v>
      </c>
      <c r="C369" s="17" t="s">
        <v>2172</v>
      </c>
      <c r="D369" s="17" t="s">
        <v>162</v>
      </c>
      <c r="E369" s="18" t="n">
        <v>1300</v>
      </c>
      <c r="F369" s="17" t="s">
        <v>825</v>
      </c>
      <c r="G369" s="23" t="n">
        <v>0.871538461538462</v>
      </c>
      <c r="H369" s="19" t="n">
        <v>5.1</v>
      </c>
      <c r="I369" s="17" t="n">
        <f aca="false">IF(H369="","",RANK(H369,$H$5:$H$389))</f>
        <v>365</v>
      </c>
      <c r="J369" s="24" t="n">
        <v>0.166820276497696</v>
      </c>
      <c r="K369" s="19" t="n">
        <v>75.5</v>
      </c>
      <c r="L369" s="17" t="n">
        <f aca="false">IF(K369="","",RANK(K369,$K$5:$K$389))</f>
        <v>92</v>
      </c>
      <c r="M369" s="25" t="n">
        <v>0.121212121212121</v>
      </c>
      <c r="N369" s="19" t="n">
        <v>45.7</v>
      </c>
      <c r="O369" s="17" t="n">
        <f aca="false">IF(N369="","",RANK(N369,$N$5:$N$389))</f>
        <v>210</v>
      </c>
      <c r="P369" s="17" t="str">
        <f aca="false">IF(AND(N(H369)&gt;=N(K369),N(H369)&gt;=N(N369)),"The Pulse",IF(N(K369)&gt;=N(N369),"The Lens","The Hub"))</f>
        <v>The Lens</v>
      </c>
      <c r="Q369" s="21" t="s">
        <v>79</v>
      </c>
      <c r="R369" s="27" t="s">
        <v>832</v>
      </c>
      <c r="S369" s="17" t="s">
        <v>88</v>
      </c>
    </row>
    <row r="370" customFormat="false" ht="15" hidden="false" customHeight="false" outlineLevel="0" collapsed="false">
      <c r="A370" s="17" t="s">
        <v>735</v>
      </c>
      <c r="B370" s="17" t="s">
        <v>736</v>
      </c>
      <c r="C370" s="17" t="s">
        <v>2173</v>
      </c>
      <c r="D370" s="17" t="s">
        <v>95</v>
      </c>
      <c r="E370" s="18" t="n">
        <v>137690</v>
      </c>
      <c r="F370" s="17" t="s">
        <v>827</v>
      </c>
      <c r="G370" s="23" t="n">
        <v>0.846081777906892</v>
      </c>
      <c r="H370" s="19" t="n">
        <v>4.9</v>
      </c>
      <c r="I370" s="17" t="n">
        <f aca="false">IF(H370="","",RANK(H370,$H$5:$H$389))</f>
        <v>366</v>
      </c>
      <c r="J370" s="24" t="n">
        <v>0.0244029462093594</v>
      </c>
      <c r="K370" s="19" t="n">
        <v>22.3</v>
      </c>
      <c r="L370" s="17" t="n">
        <f aca="false">IF(K370="","",RANK(K370,$K$5:$K$389))</f>
        <v>303</v>
      </c>
      <c r="M370" s="25" t="n">
        <v>0.0187595712098009</v>
      </c>
      <c r="N370" s="19" t="n">
        <v>2.9</v>
      </c>
      <c r="O370" s="17" t="n">
        <f aca="false">IF(N370="","",RANK(N370,$N$5:$N$389))</f>
        <v>373</v>
      </c>
      <c r="P370" s="17" t="str">
        <f aca="false">IF(AND(N(H370)&gt;=N(K370),N(H370)&gt;=N(N370)),"The Pulse",IF(N(K370)&gt;=N(N370),"The Lens","The Hub"))</f>
        <v>The Lens</v>
      </c>
      <c r="Q370" s="20" t="s">
        <v>74</v>
      </c>
      <c r="R370" s="26" t="s">
        <v>822</v>
      </c>
      <c r="S370" s="17" t="s">
        <v>24</v>
      </c>
    </row>
    <row r="371" customFormat="false" ht="15" hidden="false" customHeight="false" outlineLevel="0" collapsed="false">
      <c r="A371" s="17" t="s">
        <v>2174</v>
      </c>
      <c r="B371" s="17" t="s">
        <v>2175</v>
      </c>
      <c r="C371" s="17" t="s">
        <v>2176</v>
      </c>
      <c r="D371" s="17" t="s">
        <v>95</v>
      </c>
      <c r="E371" s="18" t="n">
        <v>126120</v>
      </c>
      <c r="F371" s="17" t="s">
        <v>827</v>
      </c>
      <c r="G371" s="23" t="n">
        <v>0.842570567713289</v>
      </c>
      <c r="H371" s="19" t="n">
        <v>4.7</v>
      </c>
      <c r="I371" s="17" t="n">
        <f aca="false">IF(H371="","",RANK(H371,$H$5:$H$389))</f>
        <v>367</v>
      </c>
      <c r="J371" s="24" t="n">
        <v>0.0920426010910036</v>
      </c>
      <c r="K371" s="19" t="n">
        <v>56.7</v>
      </c>
      <c r="L371" s="17" t="n">
        <f aca="false">IF(K371="","",RANK(K371,$K$5:$K$389))</f>
        <v>167</v>
      </c>
      <c r="M371" s="25" t="n">
        <v>0.213458110516934</v>
      </c>
      <c r="N371" s="19" t="n">
        <v>72.8</v>
      </c>
      <c r="O371" s="17" t="n">
        <f aca="false">IF(N371="","",RANK(N371,$N$5:$N$389))</f>
        <v>105</v>
      </c>
      <c r="P371" s="17" t="str">
        <f aca="false">IF(AND(N(H371)&gt;=N(K371),N(H371)&gt;=N(N371)),"The Pulse",IF(N(K371)&gt;=N(N371),"The Lens","The Hub"))</f>
        <v>The Hub</v>
      </c>
      <c r="Q371" s="20" t="s">
        <v>74</v>
      </c>
      <c r="R371" s="27" t="s">
        <v>832</v>
      </c>
      <c r="S371" s="17" t="s">
        <v>24</v>
      </c>
    </row>
    <row r="372" customFormat="false" ht="15" hidden="false" customHeight="false" outlineLevel="0" collapsed="false">
      <c r="A372" s="17" t="s">
        <v>653</v>
      </c>
      <c r="B372" s="17" t="s">
        <v>654</v>
      </c>
      <c r="C372" s="17" t="s">
        <v>2177</v>
      </c>
      <c r="D372" s="17" t="s">
        <v>86</v>
      </c>
      <c r="E372" s="18" t="n">
        <v>121984</v>
      </c>
      <c r="F372" s="17" t="s">
        <v>827</v>
      </c>
      <c r="G372" s="23" t="n">
        <v>0.820837158971668</v>
      </c>
      <c r="H372" s="19" t="n">
        <v>4.5</v>
      </c>
      <c r="I372" s="17" t="n">
        <f aca="false">IF(H372="","",RANK(H372,$H$5:$H$389))</f>
        <v>368</v>
      </c>
      <c r="J372" s="24" t="n">
        <v>0.0461839295362739</v>
      </c>
      <c r="K372" s="19" t="n">
        <v>33.1</v>
      </c>
      <c r="L372" s="17" t="n">
        <f aca="false">IF(K372="","",RANK(K372,$K$5:$K$389))</f>
        <v>264</v>
      </c>
      <c r="M372" s="25" t="n">
        <v>0.103956228956229</v>
      </c>
      <c r="N372" s="19" t="n">
        <v>39.1</v>
      </c>
      <c r="O372" s="17" t="n">
        <f aca="false">IF(N372="","",RANK(N372,$N$5:$N$389))</f>
        <v>236</v>
      </c>
      <c r="P372" s="17" t="str">
        <f aca="false">IF(AND(N(H372)&gt;=N(K372),N(H372)&gt;=N(N372)),"The Pulse",IF(N(K372)&gt;=N(N372),"The Lens","The Hub"))</f>
        <v>The Hub</v>
      </c>
      <c r="Q372" s="21" t="s">
        <v>79</v>
      </c>
      <c r="R372" s="26" t="s">
        <v>822</v>
      </c>
      <c r="S372" s="17" t="s">
        <v>22</v>
      </c>
    </row>
    <row r="373" customFormat="false" ht="15" hidden="false" customHeight="false" outlineLevel="0" collapsed="false">
      <c r="A373" s="17" t="s">
        <v>371</v>
      </c>
      <c r="B373" s="17" t="s">
        <v>372</v>
      </c>
      <c r="C373" s="17" t="s">
        <v>2178</v>
      </c>
      <c r="D373" s="17" t="s">
        <v>95</v>
      </c>
      <c r="E373" s="18" t="n">
        <v>49050</v>
      </c>
      <c r="F373" s="17" t="s">
        <v>821</v>
      </c>
      <c r="G373" s="23" t="n">
        <v>0.812334352701325</v>
      </c>
      <c r="H373" s="19" t="n">
        <v>4.3</v>
      </c>
      <c r="I373" s="17" t="n">
        <f aca="false">IF(H373="","",RANK(H373,$H$5:$H$389))</f>
        <v>369</v>
      </c>
      <c r="J373" s="24" t="n">
        <v>0.00129517443074995</v>
      </c>
      <c r="K373" s="19" t="n">
        <v>12.7</v>
      </c>
      <c r="L373" s="17" t="n">
        <f aca="false">IF(K373="","",RANK(K373,$K$5:$K$389))</f>
        <v>339</v>
      </c>
      <c r="M373" s="25" t="n">
        <v>0.130283911671924</v>
      </c>
      <c r="N373" s="19" t="n">
        <v>49.2</v>
      </c>
      <c r="O373" s="17" t="n">
        <f aca="false">IF(N373="","",RANK(N373,$N$5:$N$389))</f>
        <v>195</v>
      </c>
      <c r="P373" s="17" t="str">
        <f aca="false">IF(AND(N(H373)&gt;=N(K373),N(H373)&gt;=N(N373)),"The Pulse",IF(N(K373)&gt;=N(N373),"The Lens","The Hub"))</f>
        <v>The Hub</v>
      </c>
      <c r="Q373" s="21" t="s">
        <v>79</v>
      </c>
      <c r="R373" s="26" t="s">
        <v>822</v>
      </c>
      <c r="S373" s="17" t="s">
        <v>88</v>
      </c>
    </row>
    <row r="374" customFormat="false" ht="15" hidden="false" customHeight="false" outlineLevel="0" collapsed="false">
      <c r="A374" s="17" t="s">
        <v>1567</v>
      </c>
      <c r="B374" s="17" t="s">
        <v>1568</v>
      </c>
      <c r="C374" s="17" t="s">
        <v>2179</v>
      </c>
      <c r="D374" s="17" t="s">
        <v>95</v>
      </c>
      <c r="E374" s="18" t="n">
        <v>650</v>
      </c>
      <c r="F374" s="17" t="s">
        <v>825</v>
      </c>
      <c r="G374" s="23" t="n">
        <v>0.792307692307692</v>
      </c>
      <c r="H374" s="19" t="n">
        <v>4.1</v>
      </c>
      <c r="I374" s="17" t="n">
        <f aca="false">IF(H374="","",RANK(H374,$H$5:$H$389))</f>
        <v>370</v>
      </c>
      <c r="J374" s="24" t="n">
        <v>0.171985815602837</v>
      </c>
      <c r="K374" s="19" t="n">
        <v>83</v>
      </c>
      <c r="L374" s="17" t="n">
        <f aca="false">IF(K374="","",RANK(K374,$K$5:$K$389))</f>
        <v>62</v>
      </c>
      <c r="M374" s="25" t="n">
        <v>0.137931034482759</v>
      </c>
      <c r="N374" s="19" t="n">
        <v>51.9</v>
      </c>
      <c r="O374" s="17" t="n">
        <f aca="false">IF(N374="","",RANK(N374,$N$5:$N$389))</f>
        <v>185</v>
      </c>
      <c r="P374" s="17" t="str">
        <f aca="false">IF(AND(N(H374)&gt;=N(K374),N(H374)&gt;=N(N374)),"The Pulse",IF(N(K374)&gt;=N(N374),"The Lens","The Hub"))</f>
        <v>The Lens</v>
      </c>
      <c r="Q374" s="21" t="s">
        <v>79</v>
      </c>
      <c r="R374" s="27" t="s">
        <v>832</v>
      </c>
      <c r="S374" s="17" t="s">
        <v>88</v>
      </c>
    </row>
    <row r="375" customFormat="false" ht="15" hidden="false" customHeight="false" outlineLevel="0" collapsed="false">
      <c r="A375" s="17" t="s">
        <v>2180</v>
      </c>
      <c r="B375" s="17" t="s">
        <v>2181</v>
      </c>
      <c r="C375" s="17" t="s">
        <v>2182</v>
      </c>
      <c r="D375" s="17" t="s">
        <v>123</v>
      </c>
      <c r="E375" s="18" t="n">
        <v>67130</v>
      </c>
      <c r="F375" s="17" t="s">
        <v>821</v>
      </c>
      <c r="G375" s="23" t="n">
        <v>0.788440339639505</v>
      </c>
      <c r="H375" s="19" t="n">
        <v>3.9</v>
      </c>
      <c r="I375" s="17" t="n">
        <f aca="false">IF(H375="","",RANK(H375,$H$5:$H$389))</f>
        <v>371</v>
      </c>
      <c r="J375" s="24" t="n">
        <v>0.193846701049262</v>
      </c>
      <c r="K375" s="19" t="n">
        <v>93.1</v>
      </c>
      <c r="L375" s="17" t="n">
        <f aca="false">IF(K375="","",RANK(K375,$K$5:$K$389))</f>
        <v>26</v>
      </c>
      <c r="M375" s="25" t="n">
        <v>0.202581926514399</v>
      </c>
      <c r="N375" s="19" t="n">
        <v>70</v>
      </c>
      <c r="O375" s="17" t="n">
        <f aca="false">IF(N375="","",RANK(N375,$N$5:$N$389))</f>
        <v>118</v>
      </c>
      <c r="P375" s="17" t="str">
        <f aca="false">IF(AND(N(H375)&gt;=N(K375),N(H375)&gt;=N(N375)),"The Pulse",IF(N(K375)&gt;=N(N375),"The Lens","The Hub"))</f>
        <v>The Lens</v>
      </c>
      <c r="Q375" s="20" t="s">
        <v>74</v>
      </c>
      <c r="R375" s="27" t="s">
        <v>832</v>
      </c>
      <c r="S375" s="17" t="s">
        <v>24</v>
      </c>
    </row>
    <row r="376" customFormat="false" ht="15" hidden="false" customHeight="false" outlineLevel="0" collapsed="false">
      <c r="A376" s="17" t="s">
        <v>799</v>
      </c>
      <c r="B376" s="17" t="s">
        <v>800</v>
      </c>
      <c r="C376" s="17" t="s">
        <v>2183</v>
      </c>
      <c r="D376" s="17" t="s">
        <v>77</v>
      </c>
      <c r="E376" s="18" t="n">
        <v>546080</v>
      </c>
      <c r="F376" s="17" t="s">
        <v>827</v>
      </c>
      <c r="G376" s="23" t="n">
        <v>0.707976853208321</v>
      </c>
      <c r="H376" s="19" t="n">
        <v>3.5</v>
      </c>
      <c r="I376" s="17" t="n">
        <f aca="false">IF(H376="","",RANK(H376,$H$5:$H$389))</f>
        <v>372</v>
      </c>
      <c r="J376" s="24" t="n">
        <v>0.00995006473090438</v>
      </c>
      <c r="K376" s="19" t="n">
        <v>15.3</v>
      </c>
      <c r="L376" s="17" t="n">
        <f aca="false">IF(K376="","",RANK(K376,$K$5:$K$389))</f>
        <v>327</v>
      </c>
      <c r="M376" s="25" t="n">
        <v>0.0888857880415824</v>
      </c>
      <c r="N376" s="19" t="n">
        <v>32</v>
      </c>
      <c r="O376" s="17" t="n">
        <f aca="false">IF(N376="","",RANK(N376,$N$5:$N$389))</f>
        <v>265</v>
      </c>
      <c r="P376" s="17" t="str">
        <f aca="false">IF(AND(N(H376)&gt;=N(K376),N(H376)&gt;=N(N376)),"The Pulse",IF(N(K376)&gt;=N(N376),"The Lens","The Hub"))</f>
        <v>The Hub</v>
      </c>
      <c r="Q376" s="20" t="s">
        <v>74</v>
      </c>
      <c r="R376" s="26" t="s">
        <v>822</v>
      </c>
      <c r="S376" s="17" t="s">
        <v>24</v>
      </c>
    </row>
    <row r="377" customFormat="false" ht="15" hidden="false" customHeight="false" outlineLevel="0" collapsed="false">
      <c r="A377" s="17" t="s">
        <v>707</v>
      </c>
      <c r="B377" s="17" t="s">
        <v>708</v>
      </c>
      <c r="C377" s="17" t="s">
        <v>2184</v>
      </c>
      <c r="D377" s="17" t="s">
        <v>115</v>
      </c>
      <c r="E377" s="18" t="n">
        <v>1201940</v>
      </c>
      <c r="F377" s="17" t="s">
        <v>935</v>
      </c>
      <c r="G377" s="23" t="n">
        <v>0.700795380801038</v>
      </c>
      <c r="H377" s="19" t="n">
        <v>3.3</v>
      </c>
      <c r="I377" s="17" t="n">
        <f aca="false">IF(H377="","",RANK(H377,$H$5:$H$389))</f>
        <v>373</v>
      </c>
      <c r="J377" s="24" t="n">
        <v>0.10793197216205</v>
      </c>
      <c r="K377" s="19" t="n">
        <v>50</v>
      </c>
      <c r="L377" s="17" t="n">
        <f aca="false">IF(K377="","",RANK(K377,$K$5:$K$389))</f>
        <v>196</v>
      </c>
      <c r="M377" s="25" t="n">
        <v>0.0482907612148939</v>
      </c>
      <c r="N377" s="19" t="n">
        <v>11.7</v>
      </c>
      <c r="O377" s="17" t="n">
        <f aca="false">IF(N377="","",RANK(N377,$N$5:$N$389))</f>
        <v>340</v>
      </c>
      <c r="P377" s="17" t="str">
        <f aca="false">IF(AND(N(H377)&gt;=N(K377),N(H377)&gt;=N(N377)),"The Pulse",IF(N(K377)&gt;=N(N377),"The Lens","The Hub"))</f>
        <v>The Lens</v>
      </c>
      <c r="Q377" s="21" t="s">
        <v>79</v>
      </c>
      <c r="R377" s="26" t="s">
        <v>822</v>
      </c>
      <c r="S377" s="17" t="s">
        <v>88</v>
      </c>
    </row>
    <row r="378" customFormat="false" ht="15" hidden="false" customHeight="false" outlineLevel="0" collapsed="false">
      <c r="A378" s="17" t="s">
        <v>2185</v>
      </c>
      <c r="B378" s="17" t="s">
        <v>2186</v>
      </c>
      <c r="C378" s="17" t="s">
        <v>2187</v>
      </c>
      <c r="D378" s="17" t="s">
        <v>82</v>
      </c>
      <c r="E378" s="18" t="n">
        <v>58500</v>
      </c>
      <c r="F378" s="17" t="s">
        <v>821</v>
      </c>
      <c r="G378" s="23" t="n">
        <v>0.684444444444444</v>
      </c>
      <c r="H378" s="19" t="n">
        <v>2.9</v>
      </c>
      <c r="I378" s="17" t="n">
        <f aca="false">IF(H378="","",RANK(H378,$H$5:$H$389))</f>
        <v>374</v>
      </c>
      <c r="J378" s="24" t="n">
        <v>-0.0138233310856372</v>
      </c>
      <c r="K378" s="19" t="n">
        <v>10.2</v>
      </c>
      <c r="L378" s="17" t="n">
        <f aca="false">IF(K378="","",RANK(K378,$K$5:$K$389))</f>
        <v>349</v>
      </c>
      <c r="M378" s="25" t="n">
        <v>0.0211930926216641</v>
      </c>
      <c r="N378" s="19" t="n">
        <v>4.2</v>
      </c>
      <c r="O378" s="17" t="n">
        <f aca="false">IF(N378="","",RANK(N378,$N$5:$N$389))</f>
        <v>369</v>
      </c>
      <c r="P378" s="17" t="str">
        <f aca="false">IF(AND(N(H378)&gt;=N(K378),N(H378)&gt;=N(N378)),"The Pulse",IF(N(K378)&gt;=N(N378),"The Lens","The Hub"))</f>
        <v>The Lens</v>
      </c>
      <c r="Q378" s="20" t="s">
        <v>74</v>
      </c>
      <c r="R378" s="27" t="s">
        <v>832</v>
      </c>
      <c r="S378" s="17" t="s">
        <v>24</v>
      </c>
    </row>
    <row r="379" customFormat="false" ht="15" hidden="false" customHeight="false" outlineLevel="0" collapsed="false">
      <c r="A379" s="17" t="s">
        <v>573</v>
      </c>
      <c r="B379" s="17" t="s">
        <v>574</v>
      </c>
      <c r="C379" s="17" t="s">
        <v>2188</v>
      </c>
      <c r="D379" s="17" t="s">
        <v>91</v>
      </c>
      <c r="E379" s="18" t="n">
        <v>11820</v>
      </c>
      <c r="F379" s="17" t="s">
        <v>821</v>
      </c>
      <c r="G379" s="23" t="n">
        <v>0.66497461928934</v>
      </c>
      <c r="H379" s="19" t="n">
        <v>2.8</v>
      </c>
      <c r="I379" s="17" t="n">
        <f aca="false">IF(H379="","",RANK(H379,$H$5:$H$389))</f>
        <v>375</v>
      </c>
      <c r="J379" s="24" t="n">
        <v>0.102611940298508</v>
      </c>
      <c r="K379" s="19" t="n">
        <v>59.6</v>
      </c>
      <c r="L379" s="17" t="n">
        <f aca="false">IF(K379="","",RANK(K379,$K$5:$K$389))</f>
        <v>154</v>
      </c>
      <c r="M379" s="25" t="n">
        <v>0.295112781954887</v>
      </c>
      <c r="N379" s="19" t="n">
        <v>87.9</v>
      </c>
      <c r="O379" s="17" t="n">
        <f aca="false">IF(N379="","",RANK(N379,$N$5:$N$389))</f>
        <v>47</v>
      </c>
      <c r="P379" s="17" t="str">
        <f aca="false">IF(AND(N(H379)&gt;=N(K379),N(H379)&gt;=N(N379)),"The Pulse",IF(N(K379)&gt;=N(N379),"The Lens","The Hub"))</f>
        <v>The Hub</v>
      </c>
      <c r="Q379" s="20" t="s">
        <v>74</v>
      </c>
      <c r="R379" s="26" t="s">
        <v>822</v>
      </c>
      <c r="S379" s="17" t="s">
        <v>24</v>
      </c>
    </row>
    <row r="380" customFormat="false" ht="15" hidden="false" customHeight="false" outlineLevel="0" collapsed="false">
      <c r="A380" s="17" t="s">
        <v>2189</v>
      </c>
      <c r="B380" s="17" t="s">
        <v>2190</v>
      </c>
      <c r="C380" s="17" t="s">
        <v>2191</v>
      </c>
      <c r="D380" s="17"/>
      <c r="E380" s="18" t="n">
        <v>178857</v>
      </c>
      <c r="F380" s="17" t="s">
        <v>827</v>
      </c>
      <c r="G380" s="23" t="n">
        <v>0.618404647288057</v>
      </c>
      <c r="H380" s="19" t="n">
        <v>2.4</v>
      </c>
      <c r="I380" s="17" t="n">
        <f aca="false">IF(H380="","",RANK(H380,$H$5:$H$389))</f>
        <v>376</v>
      </c>
      <c r="J380" s="24" t="n">
        <v>0.131326101394731</v>
      </c>
      <c r="K380" s="19" t="n">
        <v>75.8</v>
      </c>
      <c r="L380" s="17" t="n">
        <f aca="false">IF(K380="","",RANK(K380,$K$5:$K$389))</f>
        <v>90</v>
      </c>
      <c r="M380" s="25" t="n">
        <v>0.183077418662085</v>
      </c>
      <c r="N380" s="19" t="n">
        <v>64.7</v>
      </c>
      <c r="O380" s="17" t="n">
        <f aca="false">IF(N380="","",RANK(N380,$N$5:$N$389))</f>
        <v>140</v>
      </c>
      <c r="P380" s="17" t="str">
        <f aca="false">IF(AND(N(H380)&gt;=N(K380),N(H380)&gt;=N(N380)),"The Pulse",IF(N(K380)&gt;=N(N380),"The Lens","The Hub"))</f>
        <v>The Lens</v>
      </c>
      <c r="Q380" s="21" t="s">
        <v>79</v>
      </c>
      <c r="R380" s="27" t="s">
        <v>832</v>
      </c>
      <c r="S380" s="17" t="s">
        <v>22</v>
      </c>
    </row>
    <row r="381" customFormat="false" ht="15" hidden="false" customHeight="false" outlineLevel="0" collapsed="false">
      <c r="A381" s="17" t="s">
        <v>805</v>
      </c>
      <c r="B381" s="17" t="s">
        <v>806</v>
      </c>
      <c r="C381" s="17" t="s">
        <v>2192</v>
      </c>
      <c r="D381" s="17" t="s">
        <v>82</v>
      </c>
      <c r="E381" s="18" t="n">
        <v>95130</v>
      </c>
      <c r="F381" s="17" t="s">
        <v>821</v>
      </c>
      <c r="G381" s="23" t="n">
        <v>0.588710186061179</v>
      </c>
      <c r="H381" s="19" t="n">
        <v>2.2</v>
      </c>
      <c r="I381" s="17" t="n">
        <f aca="false">IF(H381="","",RANK(H381,$H$5:$H$389))</f>
        <v>377</v>
      </c>
      <c r="J381" s="24" t="n">
        <v>0.00805340680300943</v>
      </c>
      <c r="K381" s="19" t="n">
        <v>15.3</v>
      </c>
      <c r="L381" s="17" t="n">
        <f aca="false">IF(K381="","",RANK(K381,$K$5:$K$389))</f>
        <v>327</v>
      </c>
      <c r="M381" s="25" t="n">
        <v>0.222685571309425</v>
      </c>
      <c r="N381" s="19" t="n">
        <v>74.6</v>
      </c>
      <c r="O381" s="17" t="n">
        <f aca="false">IF(N381="","",RANK(N381,$N$5:$N$389))</f>
        <v>98</v>
      </c>
      <c r="P381" s="17" t="str">
        <f aca="false">IF(AND(N(H381)&gt;=N(K381),N(H381)&gt;=N(N381)),"The Pulse",IF(N(K381)&gt;=N(N381),"The Lens","The Hub"))</f>
        <v>The Hub</v>
      </c>
      <c r="Q381" s="20" t="s">
        <v>74</v>
      </c>
      <c r="R381" s="26" t="s">
        <v>822</v>
      </c>
      <c r="S381" s="17" t="s">
        <v>24</v>
      </c>
    </row>
    <row r="382" customFormat="false" ht="15" hidden="false" customHeight="false" outlineLevel="0" collapsed="false">
      <c r="A382" s="17" t="s">
        <v>2193</v>
      </c>
      <c r="B382" s="17" t="s">
        <v>2194</v>
      </c>
      <c r="C382" s="17" t="s">
        <v>2195</v>
      </c>
      <c r="D382" s="17" t="s">
        <v>77</v>
      </c>
      <c r="E382" s="18" t="n">
        <v>366330</v>
      </c>
      <c r="F382" s="17" t="s">
        <v>827</v>
      </c>
      <c r="G382" s="23" t="n">
        <v>0.558799443125051</v>
      </c>
      <c r="H382" s="19" t="n">
        <v>2</v>
      </c>
      <c r="I382" s="17" t="n">
        <f aca="false">IF(H382="","",RANK(H382,$H$5:$H$389))</f>
        <v>378</v>
      </c>
      <c r="J382" s="24" t="n">
        <v>0.053126347563605</v>
      </c>
      <c r="K382" s="19" t="n">
        <v>37.6</v>
      </c>
      <c r="L382" s="17" t="n">
        <f aca="false">IF(K382="","",RANK(K382,$K$5:$K$389))</f>
        <v>246</v>
      </c>
      <c r="M382" s="25" t="n">
        <v>0.047170935080405</v>
      </c>
      <c r="N382" s="19" t="n">
        <v>11.3</v>
      </c>
      <c r="O382" s="17" t="n">
        <f aca="false">IF(N382="","",RANK(N382,$N$5:$N$389))</f>
        <v>342</v>
      </c>
      <c r="P382" s="17" t="str">
        <f aca="false">IF(AND(N(H382)&gt;=N(K382),N(H382)&gt;=N(N382)),"The Pulse",IF(N(K382)&gt;=N(N382),"The Lens","The Hub"))</f>
        <v>The Lens</v>
      </c>
      <c r="Q382" s="20" t="s">
        <v>74</v>
      </c>
      <c r="R382" s="27" t="s">
        <v>832</v>
      </c>
      <c r="S382" s="17" t="s">
        <v>24</v>
      </c>
    </row>
    <row r="383" customFormat="false" ht="15" hidden="false" customHeight="false" outlineLevel="0" collapsed="false">
      <c r="A383" s="17" t="s">
        <v>789</v>
      </c>
      <c r="B383" s="17" t="s">
        <v>790</v>
      </c>
      <c r="C383" s="17" t="s">
        <v>2196</v>
      </c>
      <c r="D383" s="17" t="s">
        <v>77</v>
      </c>
      <c r="E383" s="18" t="n">
        <v>264420</v>
      </c>
      <c r="F383" s="17" t="s">
        <v>827</v>
      </c>
      <c r="G383" s="23" t="n">
        <v>0.514469404734891</v>
      </c>
      <c r="H383" s="19" t="n">
        <v>1.8</v>
      </c>
      <c r="I383" s="17" t="n">
        <f aca="false">IF(H383="","",RANK(H383,$H$5:$H$389))</f>
        <v>379</v>
      </c>
      <c r="J383" s="24" t="n">
        <v>0.0338194471595574</v>
      </c>
      <c r="K383" s="19" t="n">
        <v>26.1</v>
      </c>
      <c r="L383" s="17" t="n">
        <f aca="false">IF(K383="","",RANK(K383,$K$5:$K$389))</f>
        <v>288</v>
      </c>
      <c r="M383" s="25" t="n">
        <v>0.120542635658915</v>
      </c>
      <c r="N383" s="19" t="n">
        <v>45.3</v>
      </c>
      <c r="O383" s="17" t="n">
        <f aca="false">IF(N383="","",RANK(N383,$N$5:$N$389))</f>
        <v>212</v>
      </c>
      <c r="P383" s="17" t="str">
        <f aca="false">IF(AND(N(H383)&gt;=N(K383),N(H383)&gt;=N(N383)),"The Pulse",IF(N(K383)&gt;=N(N383),"The Lens","The Hub"))</f>
        <v>The Hub</v>
      </c>
      <c r="Q383" s="20" t="s">
        <v>74</v>
      </c>
      <c r="R383" s="26" t="s">
        <v>822</v>
      </c>
      <c r="S383" s="17" t="s">
        <v>24</v>
      </c>
    </row>
    <row r="384" customFormat="false" ht="15" hidden="false" customHeight="false" outlineLevel="0" collapsed="false">
      <c r="A384" s="17" t="s">
        <v>2197</v>
      </c>
      <c r="B384" s="17" t="s">
        <v>2198</v>
      </c>
      <c r="C384" s="17" t="s">
        <v>2199</v>
      </c>
      <c r="D384" s="17" t="s">
        <v>95</v>
      </c>
      <c r="E384" s="18" t="n">
        <v>53350</v>
      </c>
      <c r="F384" s="17" t="s">
        <v>821</v>
      </c>
      <c r="G384" s="23" t="n">
        <v>0.511471489425305</v>
      </c>
      <c r="H384" s="19" t="n">
        <v>1.6</v>
      </c>
      <c r="I384" s="17" t="n">
        <f aca="false">IF(H384="","",RANK(H384,$H$5:$H$389))</f>
        <v>380</v>
      </c>
      <c r="J384" s="24" t="n">
        <v>0.106846473029046</v>
      </c>
      <c r="K384" s="19" t="n">
        <v>62.9</v>
      </c>
      <c r="L384" s="17" t="n">
        <f aca="false">IF(K384="","",RANK(K384,$K$5:$K$389))</f>
        <v>141</v>
      </c>
      <c r="M384" s="25" t="n">
        <v>0.139502762430939</v>
      </c>
      <c r="N384" s="19" t="n">
        <v>52.3</v>
      </c>
      <c r="O384" s="17" t="n">
        <f aca="false">IF(N384="","",RANK(N384,$N$5:$N$389))</f>
        <v>184</v>
      </c>
      <c r="P384" s="17" t="str">
        <f aca="false">IF(AND(N(H384)&gt;=N(K384),N(H384)&gt;=N(N384)),"The Pulse",IF(N(K384)&gt;=N(N384),"The Lens","The Hub"))</f>
        <v>The Lens</v>
      </c>
      <c r="Q384" s="21" t="s">
        <v>79</v>
      </c>
      <c r="R384" s="27" t="s">
        <v>832</v>
      </c>
      <c r="S384" s="17" t="s">
        <v>88</v>
      </c>
    </row>
    <row r="385" customFormat="false" ht="15" hidden="false" customHeight="false" outlineLevel="0" collapsed="false">
      <c r="A385" s="17" t="s">
        <v>2200</v>
      </c>
      <c r="B385" s="17" t="s">
        <v>2201</v>
      </c>
      <c r="C385" s="17" t="s">
        <v>2202</v>
      </c>
      <c r="D385" s="17" t="s">
        <v>77</v>
      </c>
      <c r="E385" s="18" t="n">
        <v>29170</v>
      </c>
      <c r="F385" s="17" t="s">
        <v>821</v>
      </c>
      <c r="G385" s="23" t="n">
        <v>0.479945149125814</v>
      </c>
      <c r="H385" s="19" t="n">
        <v>1.4</v>
      </c>
      <c r="I385" s="17" t="n">
        <f aca="false">IF(H385="","",RANK(H385,$H$5:$H$389))</f>
        <v>381</v>
      </c>
      <c r="J385" s="24" t="n">
        <v>0.117624521072797</v>
      </c>
      <c r="K385" s="19" t="n">
        <v>67.3</v>
      </c>
      <c r="L385" s="17" t="n">
        <f aca="false">IF(K385="","",RANK(K385,$K$5:$K$389))</f>
        <v>121</v>
      </c>
      <c r="M385" s="25" t="n">
        <v>0.148296593186373</v>
      </c>
      <c r="N385" s="19" t="n">
        <v>54.5</v>
      </c>
      <c r="O385" s="17" t="n">
        <f aca="false">IF(N385="","",RANK(N385,$N$5:$N$389))</f>
        <v>179</v>
      </c>
      <c r="P385" s="17" t="str">
        <f aca="false">IF(AND(N(H385)&gt;=N(K385),N(H385)&gt;=N(N385)),"The Pulse",IF(N(K385)&gt;=N(N385),"The Lens","The Hub"))</f>
        <v>The Lens</v>
      </c>
      <c r="Q385" s="20" t="s">
        <v>74</v>
      </c>
      <c r="R385" s="27" t="s">
        <v>832</v>
      </c>
      <c r="S385" s="17" t="s">
        <v>24</v>
      </c>
    </row>
    <row r="386" customFormat="false" ht="15" hidden="false" customHeight="false" outlineLevel="0" collapsed="false">
      <c r="A386" s="17" t="s">
        <v>671</v>
      </c>
      <c r="B386" s="17" t="s">
        <v>672</v>
      </c>
      <c r="C386" s="17" t="s">
        <v>2203</v>
      </c>
      <c r="D386" s="17" t="s">
        <v>162</v>
      </c>
      <c r="E386" s="18" t="n">
        <v>137380</v>
      </c>
      <c r="F386" s="17" t="s">
        <v>827</v>
      </c>
      <c r="G386" s="23" t="n">
        <v>0.431482020672587</v>
      </c>
      <c r="H386" s="19" t="n">
        <v>0.8</v>
      </c>
      <c r="I386" s="17" t="n">
        <f aca="false">IF(H386="","",RANK(H386,$H$5:$H$389))</f>
        <v>382</v>
      </c>
      <c r="J386" s="24" t="n">
        <v>0.127174269773548</v>
      </c>
      <c r="K386" s="19" t="n">
        <v>73.9</v>
      </c>
      <c r="L386" s="17" t="n">
        <f aca="false">IF(K386="","",RANK(K386,$K$5:$K$389))</f>
        <v>97</v>
      </c>
      <c r="M386" s="25" t="n">
        <v>0.130488815244408</v>
      </c>
      <c r="N386" s="19" t="n">
        <v>49.4</v>
      </c>
      <c r="O386" s="17" t="n">
        <f aca="false">IF(N386="","",RANK(N386,$N$5:$N$389))</f>
        <v>194</v>
      </c>
      <c r="P386" s="17" t="str">
        <f aca="false">IF(AND(N(H386)&gt;=N(K386),N(H386)&gt;=N(N386)),"The Pulse",IF(N(K386)&gt;=N(N386),"The Lens","The Hub"))</f>
        <v>The Lens</v>
      </c>
      <c r="Q386" s="20" t="s">
        <v>74</v>
      </c>
      <c r="R386" s="26" t="s">
        <v>822</v>
      </c>
      <c r="S386" s="17" t="s">
        <v>24</v>
      </c>
    </row>
    <row r="387" customFormat="false" ht="15" hidden="false" customHeight="false" outlineLevel="0" collapsed="false">
      <c r="A387" s="17" t="s">
        <v>611</v>
      </c>
      <c r="B387" s="17" t="s">
        <v>612</v>
      </c>
      <c r="C387" s="17" t="s">
        <v>2204</v>
      </c>
      <c r="D387" s="17" t="s">
        <v>77</v>
      </c>
      <c r="E387" s="18" t="n">
        <v>99650</v>
      </c>
      <c r="F387" s="17" t="s">
        <v>821</v>
      </c>
      <c r="G387" s="23" t="n">
        <v>0.408309081786252</v>
      </c>
      <c r="H387" s="19" t="n">
        <v>0.6</v>
      </c>
      <c r="I387" s="17" t="n">
        <f aca="false">IF(H387="","",RANK(H387,$H$5:$H$389))</f>
        <v>383</v>
      </c>
      <c r="J387" s="24" t="n">
        <v>0.141858599747909</v>
      </c>
      <c r="K387" s="19" t="n">
        <v>77.1</v>
      </c>
      <c r="L387" s="17" t="n">
        <f aca="false">IF(K387="","",RANK(K387,$K$5:$K$389))</f>
        <v>85</v>
      </c>
      <c r="M387" s="25" t="n">
        <v>0.322964318389753</v>
      </c>
      <c r="N387" s="19" t="n">
        <v>91.8</v>
      </c>
      <c r="O387" s="17" t="n">
        <f aca="false">IF(N387="","",RANK(N387,$N$5:$N$389))</f>
        <v>33</v>
      </c>
      <c r="P387" s="17" t="str">
        <f aca="false">IF(AND(N(H387)&gt;=N(K387),N(H387)&gt;=N(N387)),"The Pulse",IF(N(K387)&gt;=N(N387),"The Lens","The Hub"))</f>
        <v>The Hub</v>
      </c>
      <c r="Q387" s="20" t="s">
        <v>74</v>
      </c>
      <c r="R387" s="26" t="s">
        <v>822</v>
      </c>
      <c r="S387" s="17" t="s">
        <v>24</v>
      </c>
    </row>
    <row r="388" customFormat="false" ht="15" hidden="false" customHeight="false" outlineLevel="0" collapsed="false">
      <c r="A388" s="17" t="s">
        <v>475</v>
      </c>
      <c r="B388" s="17" t="s">
        <v>476</v>
      </c>
      <c r="C388" s="17" t="s">
        <v>2205</v>
      </c>
      <c r="D388" s="17" t="s">
        <v>115</v>
      </c>
      <c r="E388" s="18" t="n">
        <v>20780</v>
      </c>
      <c r="F388" s="17" t="s">
        <v>821</v>
      </c>
      <c r="G388" s="23" t="n">
        <v>0.345233463035019</v>
      </c>
      <c r="H388" s="19" t="n">
        <v>0.4</v>
      </c>
      <c r="I388" s="17" t="n">
        <f aca="false">IF(H388="","",RANK(H388,$H$5:$H$389))</f>
        <v>384</v>
      </c>
      <c r="J388" s="24" t="n">
        <v>0.0948366701791359</v>
      </c>
      <c r="K388" s="19" t="n">
        <v>54.9</v>
      </c>
      <c r="L388" s="17" t="n">
        <f aca="false">IF(K388="","",RANK(K388,$K$5:$K$389))</f>
        <v>175</v>
      </c>
      <c r="M388" s="25" t="n">
        <v>0.171328671328671</v>
      </c>
      <c r="N388" s="19" t="n">
        <v>62</v>
      </c>
      <c r="O388" s="17" t="n">
        <f aca="false">IF(N388="","",RANK(N388,$N$5:$N$389))</f>
        <v>150</v>
      </c>
      <c r="P388" s="17" t="str">
        <f aca="false">IF(AND(N(H388)&gt;=N(K388),N(H388)&gt;=N(N388)),"The Pulse",IF(N(K388)&gt;=N(N388),"The Lens","The Hub"))</f>
        <v>The Hub</v>
      </c>
      <c r="Q388" s="21" t="s">
        <v>79</v>
      </c>
      <c r="R388" s="26" t="s">
        <v>822</v>
      </c>
      <c r="S388" s="17" t="s">
        <v>88</v>
      </c>
    </row>
    <row r="389" customFormat="false" ht="15" hidden="false" customHeight="false" outlineLevel="0" collapsed="false">
      <c r="A389" s="17" t="s">
        <v>2206</v>
      </c>
      <c r="B389" s="17" t="s">
        <v>2207</v>
      </c>
      <c r="C389" s="17" t="s">
        <v>2208</v>
      </c>
      <c r="D389" s="17" t="s">
        <v>95</v>
      </c>
      <c r="E389" s="18" t="n">
        <v>217990</v>
      </c>
      <c r="F389" s="17" t="s">
        <v>827</v>
      </c>
      <c r="G389" s="23" t="n">
        <v>0.275008027891188</v>
      </c>
      <c r="H389" s="19" t="n">
        <v>0.2</v>
      </c>
      <c r="I389" s="17" t="n">
        <f aca="false">IF(H389="","",RANK(H389,$H$5:$H$389))</f>
        <v>385</v>
      </c>
      <c r="J389" s="24" t="n">
        <v>0.045515587529976</v>
      </c>
      <c r="K389" s="19" t="n">
        <v>31.2</v>
      </c>
      <c r="L389" s="17" t="n">
        <f aca="false">IF(K389="","",RANK(K389,$K$5:$K$389))</f>
        <v>272</v>
      </c>
      <c r="M389" s="25" t="n">
        <v>0.235440340909091</v>
      </c>
      <c r="N389" s="19" t="n">
        <v>77.7</v>
      </c>
      <c r="O389" s="17" t="n">
        <f aca="false">IF(N389="","",RANK(N389,$N$5:$N$389))</f>
        <v>87</v>
      </c>
      <c r="P389" s="17" t="str">
        <f aca="false">IF(AND(N(H389)&gt;=N(K389),N(H389)&gt;=N(N389)),"The Pulse",IF(N(K389)&gt;=N(N389),"The Lens","The Hub"))</f>
        <v>The Hub</v>
      </c>
      <c r="Q389" s="20" t="s">
        <v>74</v>
      </c>
      <c r="R389" s="27" t="s">
        <v>832</v>
      </c>
      <c r="S389" s="17" t="s">
        <v>24</v>
      </c>
    </row>
  </sheetData>
  <autoFilter ref="A4:S389"/>
  <conditionalFormatting sqref="H5:H389">
    <cfRule type="colorScale" priority="2">
      <colorScale>
        <cfvo type="num" val="0"/>
        <cfvo type="num" val="100"/>
        <color rgb="FFFFFFFF"/>
        <color rgb="FFF97316"/>
      </colorScale>
    </cfRule>
  </conditionalFormatting>
  <conditionalFormatting sqref="K5:K389">
    <cfRule type="colorScale" priority="3">
      <colorScale>
        <cfvo type="num" val="0"/>
        <cfvo type="num" val="100"/>
        <color rgb="FFFFFFFF"/>
        <color rgb="FFF97316"/>
      </colorScale>
    </cfRule>
  </conditionalFormatting>
  <conditionalFormatting sqref="N5:N389">
    <cfRule type="colorScale" priority="4">
      <colorScale>
        <cfvo type="num" val="0"/>
        <cfvo type="num" val="100"/>
        <color rgb="FFFFFFFF"/>
        <color rgb="FFF9731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24"/>
    <col collapsed="false" customWidth="true" hidden="false" outlineLevel="0" max="4" min="4" style="0" width="9"/>
    <col collapsed="false" customWidth="true" hidden="false" outlineLevel="0" max="5" min="5" style="0" width="12"/>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9"/>
    <col collapsed="false" customWidth="true" hidden="false" outlineLevel="0" max="10" min="10" style="0" width="13"/>
    <col collapsed="false" customWidth="true" hidden="false" outlineLevel="0" max="11" min="11" style="0" width="10"/>
    <col collapsed="false" customWidth="true" hidden="false" outlineLevel="0" max="12" min="12" style="0" width="9"/>
    <col collapsed="false" customWidth="true" hidden="false" outlineLevel="0" max="13" min="13" style="0" width="13"/>
    <col collapsed="false" customWidth="true" hidden="false" outlineLevel="0" max="14" min="14" style="0" width="10"/>
    <col collapsed="false" customWidth="true" hidden="false" outlineLevel="0" max="15" min="15" style="0" width="9"/>
    <col collapsed="false" customWidth="true" hidden="false" outlineLevel="0" max="16" min="16" style="0" width="13"/>
    <col collapsed="false" customWidth="true" hidden="false" outlineLevel="0" max="17" min="17" style="0" width="11"/>
    <col collapsed="false" customWidth="true" hidden="false" outlineLevel="0" max="18" min="18" style="0" width="13"/>
    <col collapsed="false" customWidth="true" hidden="false" outlineLevel="0" max="19" min="19" style="0" width="22"/>
  </cols>
  <sheetData>
    <row r="1" customFormat="false" ht="17.35" hidden="false" customHeight="false" outlineLevel="0" collapsed="false">
      <c r="A1" s="1" t="s">
        <v>2209</v>
      </c>
      <c r="B1" s="2"/>
      <c r="C1" s="2"/>
      <c r="D1" s="2"/>
      <c r="E1" s="2"/>
      <c r="F1" s="2"/>
      <c r="G1" s="2"/>
      <c r="H1" s="2"/>
      <c r="I1" s="2"/>
      <c r="J1" s="2"/>
      <c r="K1" s="2"/>
      <c r="L1" s="2"/>
      <c r="M1" s="2"/>
      <c r="N1" s="2"/>
      <c r="O1" s="2"/>
      <c r="P1" s="2"/>
      <c r="Q1" s="2"/>
      <c r="R1" s="2"/>
      <c r="S1" s="2"/>
    </row>
    <row r="2" customFormat="false" ht="15" hidden="false" customHeight="false" outlineLevel="0" collapsed="false">
      <c r="A2" s="3" t="s">
        <v>812</v>
      </c>
      <c r="B2" s="2"/>
      <c r="C2" s="2"/>
      <c r="D2" s="2"/>
      <c r="E2" s="2"/>
      <c r="F2" s="2"/>
      <c r="G2" s="2"/>
      <c r="H2" s="2"/>
      <c r="I2" s="2"/>
      <c r="J2" s="2"/>
      <c r="K2" s="2"/>
      <c r="L2" s="2"/>
      <c r="M2" s="2"/>
      <c r="N2" s="2"/>
      <c r="O2" s="2"/>
      <c r="P2" s="2"/>
      <c r="Q2" s="2"/>
      <c r="R2" s="2"/>
      <c r="S2" s="2"/>
    </row>
    <row r="3" customFormat="false" ht="15" hidden="false" customHeight="false" outlineLevel="0" collapsed="false">
      <c r="A3" s="2"/>
      <c r="B3" s="2"/>
      <c r="C3" s="2"/>
      <c r="D3" s="2"/>
      <c r="E3" s="2"/>
      <c r="F3" s="2"/>
      <c r="G3" s="2"/>
      <c r="H3" s="2"/>
      <c r="I3" s="2"/>
      <c r="J3" s="2"/>
      <c r="K3" s="2"/>
      <c r="L3" s="2"/>
      <c r="M3" s="2"/>
      <c r="N3" s="2"/>
      <c r="O3" s="2"/>
      <c r="P3" s="2"/>
      <c r="Q3" s="2"/>
      <c r="R3" s="2"/>
      <c r="S3" s="2"/>
    </row>
    <row r="4" customFormat="false" ht="31.5" hidden="false" customHeight="true" outlineLevel="0" collapsed="false">
      <c r="A4" s="8" t="s">
        <v>55</v>
      </c>
      <c r="B4" s="8" t="s">
        <v>56</v>
      </c>
      <c r="C4" s="8" t="s">
        <v>813</v>
      </c>
      <c r="D4" s="8" t="s">
        <v>57</v>
      </c>
      <c r="E4" s="8" t="s">
        <v>814</v>
      </c>
      <c r="F4" s="8" t="s">
        <v>815</v>
      </c>
      <c r="G4" s="10" t="s">
        <v>816</v>
      </c>
      <c r="H4" s="10" t="s">
        <v>61</v>
      </c>
      <c r="I4" s="10" t="s">
        <v>62</v>
      </c>
      <c r="J4" s="10" t="s">
        <v>817</v>
      </c>
      <c r="K4" s="10" t="s">
        <v>63</v>
      </c>
      <c r="L4" s="10" t="s">
        <v>64</v>
      </c>
      <c r="M4" s="10" t="s">
        <v>818</v>
      </c>
      <c r="N4" s="10" t="s">
        <v>65</v>
      </c>
      <c r="O4" s="10" t="s">
        <v>66</v>
      </c>
      <c r="P4" s="8" t="s">
        <v>67</v>
      </c>
      <c r="Q4" s="8" t="s">
        <v>68</v>
      </c>
      <c r="R4" s="8" t="s">
        <v>819</v>
      </c>
      <c r="S4" s="8" t="s">
        <v>69</v>
      </c>
    </row>
    <row r="5" customFormat="false" ht="15" hidden="false" customHeight="false" outlineLevel="0" collapsed="false">
      <c r="A5" s="17" t="s">
        <v>265</v>
      </c>
      <c r="B5" s="17" t="s">
        <v>266</v>
      </c>
      <c r="C5" s="17" t="s">
        <v>2210</v>
      </c>
      <c r="D5" s="17" t="s">
        <v>115</v>
      </c>
      <c r="E5" s="18" t="n">
        <v>48271</v>
      </c>
      <c r="F5" s="17" t="s">
        <v>821</v>
      </c>
      <c r="G5" s="23" t="n">
        <v>10.0813531934288</v>
      </c>
      <c r="H5" s="19" t="n">
        <v>100</v>
      </c>
      <c r="I5" s="17" t="n">
        <f aca="false">IF(H5="","",RANK(H5,$H$5:$H$525))</f>
        <v>1</v>
      </c>
      <c r="J5" s="24" t="n">
        <v>0.112901738368608</v>
      </c>
      <c r="K5" s="19" t="n">
        <v>59.1</v>
      </c>
      <c r="L5" s="17" t="n">
        <f aca="false">IF(K5="","",RANK(K5,$K$5:$K$525))</f>
        <v>213</v>
      </c>
      <c r="M5" s="25" t="n">
        <v>0.0611965142465485</v>
      </c>
      <c r="N5" s="19" t="n">
        <v>39.1</v>
      </c>
      <c r="O5" s="17" t="n">
        <f aca="false">IF(N5="","",RANK(N5,$N$5:$N$525))</f>
        <v>318</v>
      </c>
      <c r="P5" s="17" t="str">
        <f aca="false">IF(AND(N(H5)&gt;=N(K5),N(H5)&gt;=N(N5)),"The Pulse",IF(N(K5)&gt;=N(N5),"The Lens","The Hub"))</f>
        <v>The Pulse</v>
      </c>
      <c r="Q5" s="21" t="s">
        <v>79</v>
      </c>
      <c r="R5" s="26" t="s">
        <v>822</v>
      </c>
      <c r="S5" s="17" t="s">
        <v>22</v>
      </c>
    </row>
    <row r="6" customFormat="false" ht="15" hidden="false" customHeight="false" outlineLevel="0" collapsed="false">
      <c r="A6" s="17" t="s">
        <v>2211</v>
      </c>
      <c r="B6" s="17" t="s">
        <v>2212</v>
      </c>
      <c r="C6" s="17" t="s">
        <v>2213</v>
      </c>
      <c r="D6" s="17" t="s">
        <v>72</v>
      </c>
      <c r="E6" s="18" t="n">
        <v>22258</v>
      </c>
      <c r="F6" s="17" t="s">
        <v>821</v>
      </c>
      <c r="G6" s="23" t="n">
        <v>9.11937280977626</v>
      </c>
      <c r="H6" s="19" t="n">
        <v>99.8</v>
      </c>
      <c r="I6" s="17" t="n">
        <f aca="false">IF(H6="","",RANK(H6,$H$5:$H$525))</f>
        <v>2</v>
      </c>
      <c r="J6" s="24" t="n">
        <v>0.0833252214542977</v>
      </c>
      <c r="K6" s="19" t="n">
        <v>41.9</v>
      </c>
      <c r="L6" s="17" t="n">
        <f aca="false">IF(K6="","",RANK(K6,$K$5:$K$525))</f>
        <v>304</v>
      </c>
      <c r="M6" s="25" t="n">
        <v>0.248128827398503</v>
      </c>
      <c r="N6" s="19" t="n">
        <v>92.3</v>
      </c>
      <c r="O6" s="17" t="n">
        <f aca="false">IF(N6="","",RANK(N6,$N$5:$N$525))</f>
        <v>41</v>
      </c>
      <c r="P6" s="17" t="str">
        <f aca="false">IF(AND(N(H6)&gt;=N(K6),N(H6)&gt;=N(N6)),"The Pulse",IF(N(K6)&gt;=N(N6),"The Lens","The Hub"))</f>
        <v>The Pulse</v>
      </c>
      <c r="Q6" s="21" t="s">
        <v>79</v>
      </c>
      <c r="R6" s="27" t="s">
        <v>832</v>
      </c>
      <c r="S6" s="17" t="s">
        <v>22</v>
      </c>
    </row>
    <row r="7" customFormat="false" ht="15" hidden="false" customHeight="false" outlineLevel="0" collapsed="false">
      <c r="A7" s="17" t="s">
        <v>113</v>
      </c>
      <c r="B7" s="17" t="s">
        <v>114</v>
      </c>
      <c r="C7" s="17" t="s">
        <v>2214</v>
      </c>
      <c r="D7" s="17" t="s">
        <v>115</v>
      </c>
      <c r="E7" s="18" t="n">
        <v>9430</v>
      </c>
      <c r="F7" s="17" t="s">
        <v>825</v>
      </c>
      <c r="G7" s="23" t="n">
        <v>7.7407211028632</v>
      </c>
      <c r="H7" s="19" t="n">
        <v>99.6</v>
      </c>
      <c r="I7" s="17" t="n">
        <f aca="false">IF(H7="","",RANK(H7,$H$5:$H$525))</f>
        <v>3</v>
      </c>
      <c r="J7" s="24" t="n">
        <v>0.0619369369369369</v>
      </c>
      <c r="K7" s="19" t="n">
        <v>30</v>
      </c>
      <c r="L7" s="17" t="n">
        <f aca="false">IF(K7="","",RANK(K7,$K$5:$K$525))</f>
        <v>365</v>
      </c>
      <c r="M7" s="25" t="n">
        <v>0.212235294117647</v>
      </c>
      <c r="N7" s="19" t="n">
        <v>87.5</v>
      </c>
      <c r="O7" s="17" t="n">
        <f aca="false">IF(N7="","",RANK(N7,$N$5:$N$525))</f>
        <v>67</v>
      </c>
      <c r="P7" s="17" t="str">
        <f aca="false">IF(AND(N(H7)&gt;=N(K7),N(H7)&gt;=N(N7)),"The Pulse",IF(N(K7)&gt;=N(N7),"The Lens","The Hub"))</f>
        <v>The Pulse</v>
      </c>
      <c r="Q7" s="20" t="s">
        <v>74</v>
      </c>
      <c r="R7" s="26" t="s">
        <v>822</v>
      </c>
      <c r="S7" s="17" t="s">
        <v>24</v>
      </c>
    </row>
    <row r="8" customFormat="false" ht="15" hidden="false" customHeight="false" outlineLevel="0" collapsed="false">
      <c r="A8" s="17" t="s">
        <v>1440</v>
      </c>
      <c r="B8" s="17" t="s">
        <v>1441</v>
      </c>
      <c r="C8" s="17" t="s">
        <v>2215</v>
      </c>
      <c r="D8" s="17" t="s">
        <v>72</v>
      </c>
      <c r="E8" s="18" t="n">
        <v>35228</v>
      </c>
      <c r="F8" s="17" t="s">
        <v>821</v>
      </c>
      <c r="G8" s="23" t="n">
        <v>7.35769842171</v>
      </c>
      <c r="H8" s="19" t="n">
        <v>99.5</v>
      </c>
      <c r="I8" s="17" t="n">
        <f aca="false">IF(H8="","",RANK(H8,$H$5:$H$525))</f>
        <v>4</v>
      </c>
      <c r="J8" s="24" t="n">
        <v>0.101012626578322</v>
      </c>
      <c r="K8" s="19" t="n">
        <v>53.2</v>
      </c>
      <c r="L8" s="17" t="n">
        <f aca="false">IF(K8="","",RANK(K8,$K$5:$K$525))</f>
        <v>244</v>
      </c>
      <c r="M8" s="25" t="n">
        <v>0.155302025294066</v>
      </c>
      <c r="N8" s="19" t="n">
        <v>74.9</v>
      </c>
      <c r="O8" s="17" t="n">
        <f aca="false">IF(N8="","",RANK(N8,$N$5:$N$525))</f>
        <v>130</v>
      </c>
      <c r="P8" s="17" t="str">
        <f aca="false">IF(AND(N(H8)&gt;=N(K8),N(H8)&gt;=N(N8)),"The Pulse",IF(N(K8)&gt;=N(N8),"The Lens","The Hub"))</f>
        <v>The Pulse</v>
      </c>
      <c r="Q8" s="21" t="s">
        <v>79</v>
      </c>
      <c r="R8" s="27" t="s">
        <v>832</v>
      </c>
      <c r="S8" s="17" t="s">
        <v>22</v>
      </c>
    </row>
    <row r="9" customFormat="false" ht="15" hidden="false" customHeight="false" outlineLevel="0" collapsed="false">
      <c r="A9" s="17" t="s">
        <v>233</v>
      </c>
      <c r="B9" s="17" t="s">
        <v>234</v>
      </c>
      <c r="C9" s="17" t="s">
        <v>2216</v>
      </c>
      <c r="D9" s="17" t="s">
        <v>86</v>
      </c>
      <c r="E9" s="18" t="n">
        <v>89220</v>
      </c>
      <c r="F9" s="17" t="s">
        <v>821</v>
      </c>
      <c r="G9" s="23" t="n">
        <v>6.89339834117911</v>
      </c>
      <c r="H9" s="19" t="n">
        <v>99.3</v>
      </c>
      <c r="I9" s="17" t="n">
        <f aca="false">IF(H9="","",RANK(H9,$H$5:$H$525))</f>
        <v>5</v>
      </c>
      <c r="J9" s="24" t="n">
        <v>0.0460780865283152</v>
      </c>
      <c r="K9" s="19" t="n">
        <v>26.3</v>
      </c>
      <c r="L9" s="17" t="n">
        <f aca="false">IF(K9="","",RANK(K9,$K$5:$K$525))</f>
        <v>385</v>
      </c>
      <c r="M9" s="25" t="n">
        <v>0.127274754683319</v>
      </c>
      <c r="N9" s="19" t="n">
        <v>67.4</v>
      </c>
      <c r="O9" s="17" t="n">
        <f aca="false">IF(N9="","",RANK(N9,$N$5:$N$525))</f>
        <v>168</v>
      </c>
      <c r="P9" s="17" t="str">
        <f aca="false">IF(AND(N(H9)&gt;=N(K9),N(H9)&gt;=N(N9)),"The Pulse",IF(N(K9)&gt;=N(N9),"The Lens","The Hub"))</f>
        <v>The Pulse</v>
      </c>
      <c r="Q9" s="20" t="s">
        <v>74</v>
      </c>
      <c r="R9" s="26" t="s">
        <v>822</v>
      </c>
      <c r="S9" s="17" t="s">
        <v>24</v>
      </c>
    </row>
    <row r="10" customFormat="false" ht="15" hidden="false" customHeight="false" outlineLevel="0" collapsed="false">
      <c r="A10" s="17" t="s">
        <v>237</v>
      </c>
      <c r="B10" s="17" t="s">
        <v>238</v>
      </c>
      <c r="C10" s="17" t="s">
        <v>2217</v>
      </c>
      <c r="D10" s="17" t="s">
        <v>72</v>
      </c>
      <c r="E10" s="18" t="n">
        <v>72696</v>
      </c>
      <c r="F10" s="17" t="s">
        <v>821</v>
      </c>
      <c r="G10" s="23" t="n">
        <v>6.80547760537031</v>
      </c>
      <c r="H10" s="19" t="n">
        <v>99.1</v>
      </c>
      <c r="I10" s="17" t="n">
        <f aca="false">IF(H10="","",RANK(H10,$H$5:$H$525))</f>
        <v>6</v>
      </c>
      <c r="J10" s="24" t="n">
        <v>0.253833284465065</v>
      </c>
      <c r="K10" s="19" t="n">
        <v>98.7</v>
      </c>
      <c r="L10" s="17" t="n">
        <f aca="false">IF(K10="","",RANK(K10,$K$5:$K$525))</f>
        <v>11</v>
      </c>
      <c r="M10" s="25" t="n">
        <v>0.134240402114568</v>
      </c>
      <c r="N10" s="19" t="n">
        <v>69.4</v>
      </c>
      <c r="O10" s="17" t="n">
        <f aca="false">IF(N10="","",RANK(N10,$N$5:$N$525))</f>
        <v>159</v>
      </c>
      <c r="P10" s="17" t="str">
        <f aca="false">IF(AND(N(H10)&gt;=N(K10),N(H10)&gt;=N(N10)),"The Pulse",IF(N(K10)&gt;=N(N10),"The Lens","The Hub"))</f>
        <v>The Pulse</v>
      </c>
      <c r="Q10" s="21" t="s">
        <v>79</v>
      </c>
      <c r="R10" s="26" t="s">
        <v>822</v>
      </c>
      <c r="S10" s="17" t="s">
        <v>22</v>
      </c>
    </row>
    <row r="11" customFormat="false" ht="15" hidden="false" customHeight="false" outlineLevel="0" collapsed="false">
      <c r="A11" s="17" t="s">
        <v>279</v>
      </c>
      <c r="B11" s="17" t="s">
        <v>280</v>
      </c>
      <c r="C11" s="17" t="s">
        <v>2218</v>
      </c>
      <c r="D11" s="17" t="s">
        <v>86</v>
      </c>
      <c r="E11" s="18" t="n">
        <v>29100</v>
      </c>
      <c r="F11" s="17" t="s">
        <v>821</v>
      </c>
      <c r="G11" s="23" t="n">
        <v>6.67034364261168</v>
      </c>
      <c r="H11" s="19" t="n">
        <v>98.9</v>
      </c>
      <c r="I11" s="17" t="n">
        <f aca="false">IF(H11="","",RANK(H11,$H$5:$H$525))</f>
        <v>7</v>
      </c>
      <c r="J11" s="24" t="n">
        <v>0.108993902439024</v>
      </c>
      <c r="K11" s="19" t="n">
        <v>57.1</v>
      </c>
      <c r="L11" s="17" t="n">
        <f aca="false">IF(K11="","",RANK(K11,$K$5:$K$525))</f>
        <v>223</v>
      </c>
      <c r="M11" s="25" t="n">
        <v>0.249021909233177</v>
      </c>
      <c r="N11" s="19" t="n">
        <v>92.5</v>
      </c>
      <c r="O11" s="17" t="n">
        <f aca="false">IF(N11="","",RANK(N11,$N$5:$N$525))</f>
        <v>40</v>
      </c>
      <c r="P11" s="17" t="str">
        <f aca="false">IF(AND(N(H11)&gt;=N(K11),N(H11)&gt;=N(N11)),"The Pulse",IF(N(K11)&gt;=N(N11),"The Lens","The Hub"))</f>
        <v>The Pulse</v>
      </c>
      <c r="Q11" s="20" t="s">
        <v>74</v>
      </c>
      <c r="R11" s="26" t="s">
        <v>822</v>
      </c>
      <c r="S11" s="17" t="s">
        <v>24</v>
      </c>
    </row>
    <row r="12" customFormat="false" ht="15" hidden="false" customHeight="false" outlineLevel="0" collapsed="false">
      <c r="A12" s="17" t="s">
        <v>2219</v>
      </c>
      <c r="B12" s="17" t="s">
        <v>2220</v>
      </c>
      <c r="C12" s="17" t="s">
        <v>2221</v>
      </c>
      <c r="D12" s="17" t="s">
        <v>115</v>
      </c>
      <c r="E12" s="18" t="n">
        <v>36469</v>
      </c>
      <c r="F12" s="17" t="s">
        <v>821</v>
      </c>
      <c r="G12" s="23" t="n">
        <v>6.22180482053251</v>
      </c>
      <c r="H12" s="19" t="n">
        <v>98.8</v>
      </c>
      <c r="I12" s="17" t="n">
        <f aca="false">IF(H12="","",RANK(H12,$H$5:$H$525))</f>
        <v>8</v>
      </c>
      <c r="J12" s="24" t="n">
        <v>0.0550235774004108</v>
      </c>
      <c r="K12" s="19" t="n">
        <v>30.8</v>
      </c>
      <c r="L12" s="17" t="n">
        <f aca="false">IF(K12="","",RANK(K12,$K$5:$K$525))</f>
        <v>361</v>
      </c>
      <c r="M12" s="25" t="n">
        <v>0.0838104435400428</v>
      </c>
      <c r="N12" s="19" t="n">
        <v>51.4</v>
      </c>
      <c r="O12" s="17" t="n">
        <f aca="false">IF(N12="","",RANK(N12,$N$5:$N$525))</f>
        <v>252</v>
      </c>
      <c r="P12" s="17" t="str">
        <f aca="false">IF(AND(N(H12)&gt;=N(K12),N(H12)&gt;=N(N12)),"The Pulse",IF(N(K12)&gt;=N(N12),"The Lens","The Hub"))</f>
        <v>The Pulse</v>
      </c>
      <c r="Q12" s="21" t="s">
        <v>79</v>
      </c>
      <c r="R12" s="27" t="s">
        <v>832</v>
      </c>
      <c r="S12" s="17" t="s">
        <v>22</v>
      </c>
    </row>
    <row r="13" customFormat="false" ht="15" hidden="false" customHeight="false" outlineLevel="0" collapsed="false">
      <c r="A13" s="17" t="s">
        <v>75</v>
      </c>
      <c r="B13" s="17" t="s">
        <v>76</v>
      </c>
      <c r="C13" s="17" t="s">
        <v>2222</v>
      </c>
      <c r="D13" s="17" t="s">
        <v>77</v>
      </c>
      <c r="E13" s="18" t="n">
        <v>6232</v>
      </c>
      <c r="F13" s="17" t="s">
        <v>825</v>
      </c>
      <c r="G13" s="23" t="n">
        <v>6.11681643132221</v>
      </c>
      <c r="H13" s="19" t="n">
        <v>98.6</v>
      </c>
      <c r="I13" s="17" t="n">
        <f aca="false">IF(H13="","",RANK(H13,$H$5:$H$525))</f>
        <v>9</v>
      </c>
      <c r="J13" s="24" t="n">
        <v>0.107320540156361</v>
      </c>
      <c r="K13" s="19" t="n">
        <v>48.8</v>
      </c>
      <c r="L13" s="17" t="n">
        <f aca="false">IF(K13="","",RANK(K13,$K$5:$K$525))</f>
        <v>268</v>
      </c>
      <c r="M13" s="25" t="n">
        <v>0.0825439783491204</v>
      </c>
      <c r="N13" s="19" t="n">
        <v>50.4</v>
      </c>
      <c r="O13" s="17" t="n">
        <f aca="false">IF(N13="","",RANK(N13,$N$5:$N$525))</f>
        <v>258</v>
      </c>
      <c r="P13" s="17" t="str">
        <f aca="false">IF(AND(N(H13)&gt;=N(K13),N(H13)&gt;=N(N13)),"The Pulse",IF(N(K13)&gt;=N(N13),"The Lens","The Hub"))</f>
        <v>The Pulse</v>
      </c>
      <c r="Q13" s="21" t="s">
        <v>79</v>
      </c>
      <c r="R13" s="26" t="s">
        <v>822</v>
      </c>
      <c r="S13" s="17" t="s">
        <v>22</v>
      </c>
    </row>
    <row r="14" customFormat="false" ht="15" hidden="false" customHeight="false" outlineLevel="0" collapsed="false">
      <c r="A14" s="17" t="s">
        <v>1668</v>
      </c>
      <c r="B14" s="17" t="s">
        <v>1669</v>
      </c>
      <c r="C14" s="17" t="s">
        <v>2223</v>
      </c>
      <c r="D14" s="17" t="s">
        <v>162</v>
      </c>
      <c r="E14" s="18" t="n">
        <v>7730</v>
      </c>
      <c r="F14" s="17" t="s">
        <v>825</v>
      </c>
      <c r="G14" s="23" t="n">
        <v>5.90310478654593</v>
      </c>
      <c r="H14" s="19" t="n">
        <v>98.4</v>
      </c>
      <c r="I14" s="17" t="n">
        <f aca="false">IF(H14="","",RANK(H14,$H$5:$H$525))</f>
        <v>10</v>
      </c>
      <c r="J14" s="24" t="n">
        <v>0.281923714759536</v>
      </c>
      <c r="K14" s="19" t="n">
        <v>98.8</v>
      </c>
      <c r="L14" s="17" t="n">
        <f aca="false">IF(K14="","",RANK(K14,$K$5:$K$525))</f>
        <v>9</v>
      </c>
      <c r="M14" s="25" t="n">
        <v>0.0803839232153569</v>
      </c>
      <c r="N14" s="19" t="n">
        <v>49.1</v>
      </c>
      <c r="O14" s="17" t="n">
        <f aca="false">IF(N14="","",RANK(N14,$N$5:$N$525))</f>
        <v>264</v>
      </c>
      <c r="P14" s="17" t="str">
        <f aca="false">IF(AND(N(H14)&gt;=N(K14),N(H14)&gt;=N(N14)),"The Pulse",IF(N(K14)&gt;=N(N14),"The Lens","The Hub"))</f>
        <v>The Lens</v>
      </c>
      <c r="Q14" s="20" t="s">
        <v>74</v>
      </c>
      <c r="R14" s="27" t="s">
        <v>832</v>
      </c>
      <c r="S14" s="17" t="s">
        <v>24</v>
      </c>
    </row>
    <row r="15" customFormat="false" ht="15" hidden="false" customHeight="false" outlineLevel="0" collapsed="false">
      <c r="A15" s="17" t="s">
        <v>2224</v>
      </c>
      <c r="B15" s="17" t="s">
        <v>2225</v>
      </c>
      <c r="C15" s="17" t="s">
        <v>2226</v>
      </c>
      <c r="D15" s="17" t="s">
        <v>115</v>
      </c>
      <c r="E15" s="18" t="n">
        <v>19152</v>
      </c>
      <c r="F15" s="17" t="s">
        <v>821</v>
      </c>
      <c r="G15" s="23" t="n">
        <v>5.69131161236424</v>
      </c>
      <c r="H15" s="19" t="n">
        <v>98.2</v>
      </c>
      <c r="I15" s="17" t="n">
        <f aca="false">IF(H15="","",RANK(H15,$H$5:$H$525))</f>
        <v>11</v>
      </c>
      <c r="J15" s="24" t="n">
        <v>0.0762573756673223</v>
      </c>
      <c r="K15" s="19" t="n">
        <v>38.6</v>
      </c>
      <c r="L15" s="17" t="n">
        <f aca="false">IF(K15="","",RANK(K15,$K$5:$K$525))</f>
        <v>320</v>
      </c>
      <c r="M15" s="25" t="n">
        <v>0.0612327656123277</v>
      </c>
      <c r="N15" s="19" t="n">
        <v>39.2</v>
      </c>
      <c r="O15" s="17" t="n">
        <f aca="false">IF(N15="","",RANK(N15,$N$5:$N$525))</f>
        <v>317</v>
      </c>
      <c r="P15" s="17" t="str">
        <f aca="false">IF(AND(N(H15)&gt;=N(K15),N(H15)&gt;=N(N15)),"The Pulse",IF(N(K15)&gt;=N(N15),"The Lens","The Hub"))</f>
        <v>The Pulse</v>
      </c>
      <c r="Q15" s="21" t="s">
        <v>79</v>
      </c>
      <c r="R15" s="27" t="s">
        <v>832</v>
      </c>
      <c r="S15" s="17" t="s">
        <v>22</v>
      </c>
    </row>
    <row r="16" customFormat="false" ht="15" hidden="false" customHeight="false" outlineLevel="0" collapsed="false">
      <c r="A16" s="17" t="s">
        <v>171</v>
      </c>
      <c r="B16" s="17" t="s">
        <v>172</v>
      </c>
      <c r="C16" s="17" t="s">
        <v>2227</v>
      </c>
      <c r="D16" s="17" t="s">
        <v>91</v>
      </c>
      <c r="E16" s="18" t="n">
        <v>101840</v>
      </c>
      <c r="F16" s="17" t="s">
        <v>827</v>
      </c>
      <c r="G16" s="23" t="n">
        <v>5.32942851531815</v>
      </c>
      <c r="H16" s="19" t="n">
        <v>98.1</v>
      </c>
      <c r="I16" s="17" t="n">
        <f aca="false">IF(H16="","",RANK(H16,$H$5:$H$525))</f>
        <v>12</v>
      </c>
      <c r="J16" s="24" t="n">
        <v>0.215709681270144</v>
      </c>
      <c r="K16" s="19" t="n">
        <v>96.3</v>
      </c>
      <c r="L16" s="17" t="n">
        <f aca="false">IF(K16="","",RANK(K16,$K$5:$K$525))</f>
        <v>23</v>
      </c>
      <c r="M16" s="25" t="n">
        <v>0.0742010021548926</v>
      </c>
      <c r="N16" s="19" t="n">
        <v>46.2</v>
      </c>
      <c r="O16" s="17" t="n">
        <f aca="false">IF(N16="","",RANK(N16,$N$5:$N$525))</f>
        <v>280</v>
      </c>
      <c r="P16" s="17" t="str">
        <f aca="false">IF(AND(N(H16)&gt;=N(K16),N(H16)&gt;=N(N16)),"The Pulse",IF(N(K16)&gt;=N(N16),"The Lens","The Hub"))</f>
        <v>The Pulse</v>
      </c>
      <c r="Q16" s="20" t="s">
        <v>74</v>
      </c>
      <c r="R16" s="26" t="s">
        <v>822</v>
      </c>
      <c r="S16" s="17" t="s">
        <v>24</v>
      </c>
    </row>
    <row r="17" customFormat="false" ht="15" hidden="false" customHeight="false" outlineLevel="0" collapsed="false">
      <c r="A17" s="17" t="s">
        <v>2059</v>
      </c>
      <c r="B17" s="17" t="s">
        <v>2060</v>
      </c>
      <c r="C17" s="17" t="s">
        <v>2228</v>
      </c>
      <c r="D17" s="17" t="s">
        <v>91</v>
      </c>
      <c r="E17" s="18" t="n">
        <v>1704557</v>
      </c>
      <c r="F17" s="17" t="s">
        <v>935</v>
      </c>
      <c r="G17" s="23" t="n">
        <v>4.79072920412752</v>
      </c>
      <c r="H17" s="19" t="n">
        <v>97.7</v>
      </c>
      <c r="I17" s="17" t="n">
        <f aca="false">IF(H17="","",RANK(H17,$H$5:$H$525))</f>
        <v>13</v>
      </c>
      <c r="J17" s="24" t="n">
        <v>0.0775309594098274</v>
      </c>
      <c r="K17" s="19" t="n">
        <v>42.9</v>
      </c>
      <c r="L17" s="17" t="n">
        <f aca="false">IF(K17="","",RANK(K17,$K$5:$K$525))</f>
        <v>297</v>
      </c>
      <c r="M17" s="25" t="n">
        <v>0.140629490942212</v>
      </c>
      <c r="N17" s="19" t="n">
        <v>71.1</v>
      </c>
      <c r="O17" s="17" t="n">
        <f aca="false">IF(N17="","",RANK(N17,$N$5:$N$525))</f>
        <v>149</v>
      </c>
      <c r="P17" s="17" t="str">
        <f aca="false">IF(AND(N(H17)&gt;=N(K17),N(H17)&gt;=N(N17)),"The Pulse",IF(N(K17)&gt;=N(N17),"The Lens","The Hub"))</f>
        <v>The Pulse</v>
      </c>
      <c r="Q17" s="21" t="s">
        <v>79</v>
      </c>
      <c r="R17" s="27" t="s">
        <v>832</v>
      </c>
      <c r="S17" s="17" t="s">
        <v>22</v>
      </c>
    </row>
    <row r="18" customFormat="false" ht="15" hidden="false" customHeight="false" outlineLevel="0" collapsed="false">
      <c r="A18" s="17" t="s">
        <v>80</v>
      </c>
      <c r="B18" s="17" t="s">
        <v>81</v>
      </c>
      <c r="C18" s="17" t="s">
        <v>2229</v>
      </c>
      <c r="D18" s="17" t="s">
        <v>82</v>
      </c>
      <c r="E18" s="18" t="n">
        <v>31387</v>
      </c>
      <c r="F18" s="17" t="s">
        <v>821</v>
      </c>
      <c r="G18" s="23" t="n">
        <v>4.78599420142097</v>
      </c>
      <c r="H18" s="19" t="n">
        <v>97.5</v>
      </c>
      <c r="I18" s="17" t="n">
        <f aca="false">IF(H18="","",RANK(H18,$H$5:$H$525))</f>
        <v>14</v>
      </c>
      <c r="J18" s="24" t="n">
        <v>0.151393983859134</v>
      </c>
      <c r="K18" s="19" t="n">
        <v>78.2</v>
      </c>
      <c r="L18" s="17" t="n">
        <f aca="false">IF(K18="","",RANK(K18,$K$5:$K$525))</f>
        <v>116</v>
      </c>
      <c r="M18" s="25" t="n">
        <v>0.0961358969572522</v>
      </c>
      <c r="N18" s="19" t="n">
        <v>57</v>
      </c>
      <c r="O18" s="17" t="n">
        <f aca="false">IF(N18="","",RANK(N18,$N$5:$N$525))</f>
        <v>225</v>
      </c>
      <c r="P18" s="17" t="str">
        <f aca="false">IF(AND(N(H18)&gt;=N(K18),N(H18)&gt;=N(N18)),"The Pulse",IF(N(K18)&gt;=N(N18),"The Lens","The Hub"))</f>
        <v>The Pulse</v>
      </c>
      <c r="Q18" s="21" t="s">
        <v>79</v>
      </c>
      <c r="R18" s="26" t="s">
        <v>822</v>
      </c>
      <c r="S18" s="17" t="s">
        <v>22</v>
      </c>
    </row>
    <row r="19" customFormat="false" ht="15" hidden="false" customHeight="false" outlineLevel="0" collapsed="false">
      <c r="A19" s="17" t="s">
        <v>89</v>
      </c>
      <c r="B19" s="17" t="s">
        <v>90</v>
      </c>
      <c r="C19" s="17" t="s">
        <v>2230</v>
      </c>
      <c r="D19" s="17" t="s">
        <v>91</v>
      </c>
      <c r="E19" s="18" t="n">
        <v>175579</v>
      </c>
      <c r="F19" s="17" t="s">
        <v>827</v>
      </c>
      <c r="G19" s="23" t="n">
        <v>4.74658131097683</v>
      </c>
      <c r="H19" s="19" t="n">
        <v>97.4</v>
      </c>
      <c r="I19" s="17" t="n">
        <f aca="false">IF(H19="","",RANK(H19,$H$5:$H$525))</f>
        <v>15</v>
      </c>
      <c r="J19" s="24" t="n">
        <v>0.0749954080695525</v>
      </c>
      <c r="K19" s="19" t="n">
        <v>45.3</v>
      </c>
      <c r="L19" s="17" t="n">
        <f aca="false">IF(K19="","",RANK(K19,$K$5:$K$525))</f>
        <v>285</v>
      </c>
      <c r="M19" s="25" t="n">
        <v>0.132590716042024</v>
      </c>
      <c r="N19" s="19" t="n">
        <v>69</v>
      </c>
      <c r="O19" s="17" t="n">
        <f aca="false">IF(N19="","",RANK(N19,$N$5:$N$525))</f>
        <v>160</v>
      </c>
      <c r="P19" s="17" t="str">
        <f aca="false">IF(AND(N(H19)&gt;=N(K19),N(H19)&gt;=N(N19)),"The Pulse",IF(N(K19)&gt;=N(N19),"The Lens","The Hub"))</f>
        <v>The Pulse</v>
      </c>
      <c r="Q19" s="21" t="s">
        <v>79</v>
      </c>
      <c r="R19" s="26" t="s">
        <v>822</v>
      </c>
      <c r="S19" s="17" t="s">
        <v>22</v>
      </c>
    </row>
    <row r="20" customFormat="false" ht="15" hidden="false" customHeight="false" outlineLevel="0" collapsed="false">
      <c r="A20" s="17" t="s">
        <v>455</v>
      </c>
      <c r="B20" s="17" t="s">
        <v>456</v>
      </c>
      <c r="C20" s="17" t="s">
        <v>2231</v>
      </c>
      <c r="D20" s="17" t="s">
        <v>86</v>
      </c>
      <c r="E20" s="18" t="n">
        <v>13935</v>
      </c>
      <c r="F20" s="17" t="s">
        <v>821</v>
      </c>
      <c r="G20" s="23" t="n">
        <v>4.74094007893793</v>
      </c>
      <c r="H20" s="19" t="n">
        <v>97.2</v>
      </c>
      <c r="I20" s="17" t="n">
        <f aca="false">IF(H20="","",RANK(H20,$H$5:$H$525))</f>
        <v>16</v>
      </c>
      <c r="J20" s="24" t="n">
        <v>0.0868886982294673</v>
      </c>
      <c r="K20" s="19" t="n">
        <v>45.8</v>
      </c>
      <c r="L20" s="17" t="n">
        <f aca="false">IF(K20="","",RANK(K20,$K$5:$K$525))</f>
        <v>283</v>
      </c>
      <c r="M20" s="25" t="n">
        <v>0.0217489805165383</v>
      </c>
      <c r="N20" s="19" t="n">
        <v>14.5</v>
      </c>
      <c r="O20" s="17" t="n">
        <f aca="false">IF(N20="","",RANK(N20,$N$5:$N$525))</f>
        <v>446</v>
      </c>
      <c r="P20" s="17" t="str">
        <f aca="false">IF(AND(N(H20)&gt;=N(K20),N(H20)&gt;=N(N20)),"The Pulse",IF(N(K20)&gt;=N(N20),"The Lens","The Hub"))</f>
        <v>The Pulse</v>
      </c>
      <c r="Q20" s="21" t="s">
        <v>79</v>
      </c>
      <c r="R20" s="26" t="s">
        <v>822</v>
      </c>
      <c r="S20" s="17" t="s">
        <v>22</v>
      </c>
    </row>
    <row r="21" customFormat="false" ht="15" hidden="false" customHeight="false" outlineLevel="0" collapsed="false">
      <c r="A21" s="17" t="s">
        <v>1542</v>
      </c>
      <c r="B21" s="17" t="s">
        <v>1543</v>
      </c>
      <c r="C21" s="17" t="s">
        <v>2232</v>
      </c>
      <c r="D21" s="17" t="s">
        <v>72</v>
      </c>
      <c r="E21" s="18" t="n">
        <v>152454</v>
      </c>
      <c r="F21" s="17" t="s">
        <v>827</v>
      </c>
      <c r="G21" s="23" t="n">
        <v>4.6213152819867</v>
      </c>
      <c r="H21" s="19" t="n">
        <v>97</v>
      </c>
      <c r="I21" s="17" t="n">
        <f aca="false">IF(H21="","",RANK(H21,$H$5:$H$525))</f>
        <v>17</v>
      </c>
      <c r="J21" s="24" t="n">
        <v>-0.129311920317997</v>
      </c>
      <c r="K21" s="19" t="n">
        <v>1.2</v>
      </c>
      <c r="L21" s="17" t="n">
        <f aca="false">IF(K21="","",RANK(K21,$K$5:$K$525))</f>
        <v>517</v>
      </c>
      <c r="M21" s="25" t="n">
        <v>0.0392086901363781</v>
      </c>
      <c r="N21" s="19" t="n">
        <v>25.6</v>
      </c>
      <c r="O21" s="17" t="n">
        <f aca="false">IF(N21="","",RANK(N21,$N$5:$N$525))</f>
        <v>389</v>
      </c>
      <c r="P21" s="17" t="str">
        <f aca="false">IF(AND(N(H21)&gt;=N(K21),N(H21)&gt;=N(N21)),"The Pulse",IF(N(K21)&gt;=N(N21),"The Lens","The Hub"))</f>
        <v>The Pulse</v>
      </c>
      <c r="Q21" s="21" t="s">
        <v>79</v>
      </c>
      <c r="R21" s="27" t="s">
        <v>832</v>
      </c>
      <c r="S21" s="17" t="s">
        <v>22</v>
      </c>
    </row>
    <row r="22" customFormat="false" ht="15" hidden="false" customHeight="false" outlineLevel="0" collapsed="false">
      <c r="A22" s="17" t="s">
        <v>132</v>
      </c>
      <c r="B22" s="17" t="s">
        <v>133</v>
      </c>
      <c r="C22" s="17" t="s">
        <v>2233</v>
      </c>
      <c r="D22" s="17" t="s">
        <v>115</v>
      </c>
      <c r="E22" s="18" t="n">
        <v>18043</v>
      </c>
      <c r="F22" s="17" t="s">
        <v>821</v>
      </c>
      <c r="G22" s="23" t="n">
        <v>4.58815052929114</v>
      </c>
      <c r="H22" s="19" t="n">
        <v>96.8</v>
      </c>
      <c r="I22" s="17" t="n">
        <f aca="false">IF(H22="","",RANK(H22,$H$5:$H$525))</f>
        <v>18</v>
      </c>
      <c r="J22" s="24" t="n">
        <v>0.224333310714528</v>
      </c>
      <c r="K22" s="19" t="n">
        <v>95.5</v>
      </c>
      <c r="L22" s="17" t="n">
        <f aca="false">IF(K22="","",RANK(K22,$K$5:$K$525))</f>
        <v>28</v>
      </c>
      <c r="M22" s="25" t="n">
        <v>0.214366872869587</v>
      </c>
      <c r="N22" s="19" t="n">
        <v>88</v>
      </c>
      <c r="O22" s="17" t="n">
        <f aca="false">IF(N22="","",RANK(N22,$N$5:$N$525))</f>
        <v>64</v>
      </c>
      <c r="P22" s="17" t="str">
        <f aca="false">IF(AND(N(H22)&gt;=N(K22),N(H22)&gt;=N(N22)),"The Pulse",IF(N(K22)&gt;=N(N22),"The Lens","The Hub"))</f>
        <v>The Pulse</v>
      </c>
      <c r="Q22" s="21" t="s">
        <v>79</v>
      </c>
      <c r="R22" s="26" t="s">
        <v>822</v>
      </c>
      <c r="S22" s="17" t="s">
        <v>22</v>
      </c>
    </row>
    <row r="23" customFormat="false" ht="15" hidden="false" customHeight="false" outlineLevel="0" collapsed="false">
      <c r="A23" s="17" t="s">
        <v>1086</v>
      </c>
      <c r="B23" s="17" t="s">
        <v>1087</v>
      </c>
      <c r="C23" s="17" t="s">
        <v>2234</v>
      </c>
      <c r="D23" s="17" t="s">
        <v>98</v>
      </c>
      <c r="E23" s="18" t="n">
        <v>3382</v>
      </c>
      <c r="F23" s="17" t="s">
        <v>825</v>
      </c>
      <c r="G23" s="23" t="n">
        <v>4.51419278533412</v>
      </c>
      <c r="H23" s="19" t="n">
        <v>96.6</v>
      </c>
      <c r="I23" s="17" t="n">
        <f aca="false">IF(H23="","",RANK(H23,$H$5:$H$525))</f>
        <v>19</v>
      </c>
      <c r="J23" s="24" t="n">
        <v>0.189170182841069</v>
      </c>
      <c r="K23" s="19" t="n">
        <v>83.8</v>
      </c>
      <c r="L23" s="17" t="n">
        <f aca="false">IF(K23="","",RANK(K23,$K$5:$K$525))</f>
        <v>88</v>
      </c>
      <c r="M23" s="25" t="n">
        <v>0.0349586016559338</v>
      </c>
      <c r="N23" s="19" t="n">
        <v>22.8</v>
      </c>
      <c r="O23" s="17" t="n">
        <f aca="false">IF(N23="","",RANK(N23,$N$5:$N$525))</f>
        <v>405</v>
      </c>
      <c r="P23" s="17" t="str">
        <f aca="false">IF(AND(N(H23)&gt;=N(K23),N(H23)&gt;=N(N23)),"The Pulse",IF(N(K23)&gt;=N(N23),"The Lens","The Hub"))</f>
        <v>The Pulse</v>
      </c>
      <c r="Q23" s="22" t="s">
        <v>109</v>
      </c>
      <c r="R23" s="27" t="s">
        <v>832</v>
      </c>
      <c r="S23" s="17" t="s">
        <v>110</v>
      </c>
    </row>
    <row r="24" customFormat="false" ht="15" hidden="false" customHeight="false" outlineLevel="0" collapsed="false">
      <c r="A24" s="17" t="s">
        <v>2235</v>
      </c>
      <c r="B24" s="17" t="s">
        <v>2236</v>
      </c>
      <c r="C24" s="17" t="s">
        <v>2237</v>
      </c>
      <c r="D24" s="17" t="s">
        <v>98</v>
      </c>
      <c r="E24" s="18" t="n">
        <v>375181</v>
      </c>
      <c r="F24" s="17" t="s">
        <v>827</v>
      </c>
      <c r="G24" s="23" t="n">
        <v>4.47529325845392</v>
      </c>
      <c r="H24" s="19" t="n">
        <v>96.5</v>
      </c>
      <c r="I24" s="17" t="n">
        <f aca="false">IF(H24="","",RANK(H24,$H$5:$H$525))</f>
        <v>20</v>
      </c>
      <c r="J24" s="24" t="n">
        <v>0.0218961600688562</v>
      </c>
      <c r="K24" s="19" t="n">
        <v>19.9</v>
      </c>
      <c r="L24" s="17" t="n">
        <f aca="false">IF(K24="","",RANK(K24,$K$5:$K$525))</f>
        <v>421</v>
      </c>
      <c r="M24" s="25" t="n">
        <v>0.138411701187788</v>
      </c>
      <c r="N24" s="19" t="n">
        <v>70.6</v>
      </c>
      <c r="O24" s="17" t="n">
        <f aca="false">IF(N24="","",RANK(N24,$N$5:$N$525))</f>
        <v>152</v>
      </c>
      <c r="P24" s="17" t="str">
        <f aca="false">IF(AND(N(H24)&gt;=N(K24),N(H24)&gt;=N(N24)),"The Pulse",IF(N(K24)&gt;=N(N24),"The Lens","The Hub"))</f>
        <v>The Pulse</v>
      </c>
      <c r="Q24" s="21" t="s">
        <v>79</v>
      </c>
      <c r="R24" s="27" t="s">
        <v>832</v>
      </c>
      <c r="S24" s="17" t="s">
        <v>22</v>
      </c>
    </row>
    <row r="25" customFormat="false" ht="15" hidden="false" customHeight="false" outlineLevel="0" collapsed="false">
      <c r="A25" s="17" t="s">
        <v>96</v>
      </c>
      <c r="B25" s="17" t="s">
        <v>97</v>
      </c>
      <c r="C25" s="17" t="s">
        <v>2238</v>
      </c>
      <c r="D25" s="17" t="s">
        <v>98</v>
      </c>
      <c r="E25" s="18" t="n">
        <v>285682</v>
      </c>
      <c r="F25" s="17" t="s">
        <v>827</v>
      </c>
      <c r="G25" s="23" t="n">
        <v>4.46292381039057</v>
      </c>
      <c r="H25" s="19" t="n">
        <v>96.3</v>
      </c>
      <c r="I25" s="17" t="n">
        <f aca="false">IF(H25="","",RANK(H25,$H$5:$H$525))</f>
        <v>21</v>
      </c>
      <c r="J25" s="24" t="n">
        <v>0.105452153387765</v>
      </c>
      <c r="K25" s="19" t="n">
        <v>62.7</v>
      </c>
      <c r="L25" s="17" t="n">
        <f aca="false">IF(K25="","",RANK(K25,$K$5:$K$525))</f>
        <v>194</v>
      </c>
      <c r="M25" s="25" t="n">
        <v>0.0690142233025654</v>
      </c>
      <c r="N25" s="19" t="n">
        <v>44.1</v>
      </c>
      <c r="O25" s="17" t="n">
        <f aca="false">IF(N25="","",RANK(N25,$N$5:$N$525))</f>
        <v>291</v>
      </c>
      <c r="P25" s="17" t="str">
        <f aca="false">IF(AND(N(H25)&gt;=N(K25),N(H25)&gt;=N(N25)),"The Pulse",IF(N(K25)&gt;=N(N25),"The Lens","The Hub"))</f>
        <v>The Pulse</v>
      </c>
      <c r="Q25" s="21" t="s">
        <v>79</v>
      </c>
      <c r="R25" s="26" t="s">
        <v>822</v>
      </c>
      <c r="S25" s="17" t="s">
        <v>22</v>
      </c>
    </row>
    <row r="26" customFormat="false" ht="15" hidden="false" customHeight="false" outlineLevel="0" collapsed="false">
      <c r="A26" s="17" t="s">
        <v>291</v>
      </c>
      <c r="B26" s="17" t="s">
        <v>292</v>
      </c>
      <c r="C26" s="17" t="s">
        <v>2239</v>
      </c>
      <c r="D26" s="17" t="s">
        <v>123</v>
      </c>
      <c r="E26" s="18" t="n">
        <v>105450</v>
      </c>
      <c r="F26" s="17" t="s">
        <v>827</v>
      </c>
      <c r="G26" s="23" t="n">
        <v>4.32615457562826</v>
      </c>
      <c r="H26" s="19" t="n">
        <v>96.1</v>
      </c>
      <c r="I26" s="17" t="n">
        <f aca="false">IF(H26="","",RANK(H26,$H$5:$H$525))</f>
        <v>22</v>
      </c>
      <c r="J26" s="24" t="n">
        <v>0.0740476675493991</v>
      </c>
      <c r="K26" s="19" t="n">
        <v>44.1</v>
      </c>
      <c r="L26" s="17" t="n">
        <f aca="false">IF(K26="","",RANK(K26,$K$5:$K$525))</f>
        <v>292</v>
      </c>
      <c r="M26" s="25" t="n">
        <v>0.318382834680061</v>
      </c>
      <c r="N26" s="19" t="n">
        <v>97.1</v>
      </c>
      <c r="O26" s="17" t="n">
        <f aca="false">IF(N26="","",RANK(N26,$N$5:$N$525))</f>
        <v>15</v>
      </c>
      <c r="P26" s="17" t="str">
        <f aca="false">IF(AND(N(H26)&gt;=N(K26),N(H26)&gt;=N(N26)),"The Pulse",IF(N(K26)&gt;=N(N26),"The Lens","The Hub"))</f>
        <v>The Hub</v>
      </c>
      <c r="Q26" s="20" t="s">
        <v>74</v>
      </c>
      <c r="R26" s="26" t="s">
        <v>822</v>
      </c>
      <c r="S26" s="17" t="s">
        <v>24</v>
      </c>
    </row>
    <row r="27" customFormat="false" ht="15" hidden="false" customHeight="false" outlineLevel="0" collapsed="false">
      <c r="A27" s="17" t="s">
        <v>910</v>
      </c>
      <c r="B27" s="17" t="s">
        <v>911</v>
      </c>
      <c r="C27" s="17" t="s">
        <v>2240</v>
      </c>
      <c r="D27" s="17" t="s">
        <v>86</v>
      </c>
      <c r="E27" s="18" t="n">
        <v>91550</v>
      </c>
      <c r="F27" s="17" t="s">
        <v>821</v>
      </c>
      <c r="G27" s="23" t="n">
        <v>4.30577826324413</v>
      </c>
      <c r="H27" s="19" t="n">
        <v>95.9</v>
      </c>
      <c r="I27" s="17" t="n">
        <f aca="false">IF(H27="","",RANK(H27,$H$5:$H$525))</f>
        <v>23</v>
      </c>
      <c r="J27" s="24" t="n">
        <v>0.0525408139802253</v>
      </c>
      <c r="K27" s="19" t="n">
        <v>29.5</v>
      </c>
      <c r="L27" s="17" t="n">
        <f aca="false">IF(K27="","",RANK(K27,$K$5:$K$525))</f>
        <v>368</v>
      </c>
      <c r="M27" s="25" t="n">
        <v>0.17195153390049</v>
      </c>
      <c r="N27" s="19" t="n">
        <v>79.2</v>
      </c>
      <c r="O27" s="17" t="n">
        <f aca="false">IF(N27="","",RANK(N27,$N$5:$N$525))</f>
        <v>108</v>
      </c>
      <c r="P27" s="17" t="str">
        <f aca="false">IF(AND(N(H27)&gt;=N(K27),N(H27)&gt;=N(N27)),"The Pulse",IF(N(K27)&gt;=N(N27),"The Lens","The Hub"))</f>
        <v>The Pulse</v>
      </c>
      <c r="Q27" s="20" t="s">
        <v>74</v>
      </c>
      <c r="R27" s="27" t="s">
        <v>832</v>
      </c>
      <c r="S27" s="17" t="s">
        <v>24</v>
      </c>
    </row>
    <row r="28" customFormat="false" ht="15" hidden="false" customHeight="false" outlineLevel="0" collapsed="false">
      <c r="A28" s="17" t="s">
        <v>221</v>
      </c>
      <c r="B28" s="17" t="s">
        <v>222</v>
      </c>
      <c r="C28" s="17" t="s">
        <v>2241</v>
      </c>
      <c r="D28" s="17" t="s">
        <v>72</v>
      </c>
      <c r="E28" s="18" t="n">
        <v>96079</v>
      </c>
      <c r="F28" s="17" t="s">
        <v>821</v>
      </c>
      <c r="G28" s="23" t="n">
        <v>4.26889330654982</v>
      </c>
      <c r="H28" s="19" t="n">
        <v>95.8</v>
      </c>
      <c r="I28" s="17" t="n">
        <f aca="false">IF(H28="","",RANK(H28,$H$5:$H$525))</f>
        <v>24</v>
      </c>
      <c r="J28" s="24" t="n">
        <v>0.0279017021322121</v>
      </c>
      <c r="K28" s="19" t="n">
        <v>20.8</v>
      </c>
      <c r="L28" s="17" t="n">
        <f aca="false">IF(K28="","",RANK(K28,$K$5:$K$525))</f>
        <v>416</v>
      </c>
      <c r="M28" s="25" t="n">
        <v>0.0602542841348812</v>
      </c>
      <c r="N28" s="19" t="n">
        <v>38</v>
      </c>
      <c r="O28" s="17" t="n">
        <f aca="false">IF(N28="","",RANK(N28,$N$5:$N$525))</f>
        <v>324</v>
      </c>
      <c r="P28" s="17" t="str">
        <f aca="false">IF(AND(N(H28)&gt;=N(K28),N(H28)&gt;=N(N28)),"The Pulse",IF(N(K28)&gt;=N(N28),"The Lens","The Hub"))</f>
        <v>The Pulse</v>
      </c>
      <c r="Q28" s="21" t="s">
        <v>79</v>
      </c>
      <c r="R28" s="26" t="s">
        <v>822</v>
      </c>
      <c r="S28" s="17" t="s">
        <v>22</v>
      </c>
    </row>
    <row r="29" customFormat="false" ht="15" hidden="false" customHeight="false" outlineLevel="0" collapsed="false">
      <c r="A29" s="17" t="s">
        <v>1652</v>
      </c>
      <c r="B29" s="17" t="s">
        <v>1653</v>
      </c>
      <c r="C29" s="17" t="s">
        <v>2242</v>
      </c>
      <c r="D29" s="17" t="s">
        <v>91</v>
      </c>
      <c r="E29" s="18" t="n">
        <v>538758</v>
      </c>
      <c r="F29" s="17" t="s">
        <v>827</v>
      </c>
      <c r="G29" s="23" t="n">
        <v>4.2382442580899</v>
      </c>
      <c r="H29" s="19" t="n">
        <v>95.6</v>
      </c>
      <c r="I29" s="17" t="n">
        <f aca="false">IF(H29="","",RANK(H29,$H$5:$H$525))</f>
        <v>25</v>
      </c>
      <c r="J29" s="24" t="n">
        <v>0.0416841486545798</v>
      </c>
      <c r="K29" s="19" t="n">
        <v>26.7</v>
      </c>
      <c r="L29" s="17" t="n">
        <f aca="false">IF(K29="","",RANK(K29,$K$5:$K$525))</f>
        <v>383</v>
      </c>
      <c r="M29" s="25" t="n">
        <v>0.0724845454232662</v>
      </c>
      <c r="N29" s="19" t="n">
        <v>45.3</v>
      </c>
      <c r="O29" s="17" t="n">
        <f aca="false">IF(N29="","",RANK(N29,$N$5:$N$525))</f>
        <v>284</v>
      </c>
      <c r="P29" s="17" t="str">
        <f aca="false">IF(AND(N(H29)&gt;=N(K29),N(H29)&gt;=N(N29)),"The Pulse",IF(N(K29)&gt;=N(N29),"The Lens","The Hub"))</f>
        <v>The Pulse</v>
      </c>
      <c r="Q29" s="21" t="s">
        <v>79</v>
      </c>
      <c r="R29" s="27" t="s">
        <v>832</v>
      </c>
      <c r="S29" s="17" t="s">
        <v>22</v>
      </c>
    </row>
    <row r="30" customFormat="false" ht="15" hidden="false" customHeight="false" outlineLevel="0" collapsed="false">
      <c r="A30" s="17" t="s">
        <v>836</v>
      </c>
      <c r="B30" s="17" t="s">
        <v>837</v>
      </c>
      <c r="C30" s="17" t="s">
        <v>2243</v>
      </c>
      <c r="D30" s="17" t="s">
        <v>86</v>
      </c>
      <c r="E30" s="18" t="n">
        <v>9623</v>
      </c>
      <c r="F30" s="17" t="s">
        <v>825</v>
      </c>
      <c r="G30" s="23" t="n">
        <v>4.11067234750078</v>
      </c>
      <c r="H30" s="19" t="n">
        <v>95.4</v>
      </c>
      <c r="I30" s="17" t="n">
        <f aca="false">IF(H30="","",RANK(H30,$H$5:$H$525))</f>
        <v>26</v>
      </c>
      <c r="J30" s="24" t="n">
        <v>0.19897832045851</v>
      </c>
      <c r="K30" s="19" t="n">
        <v>90</v>
      </c>
      <c r="L30" s="17" t="n">
        <f aca="false">IF(K30="","",RANK(K30,$K$5:$K$525))</f>
        <v>57</v>
      </c>
      <c r="M30" s="25" t="n">
        <v>0.343406593406593</v>
      </c>
      <c r="N30" s="19" t="n">
        <v>97.8</v>
      </c>
      <c r="O30" s="17" t="n">
        <f aca="false">IF(N30="","",RANK(N30,$N$5:$N$525))</f>
        <v>11</v>
      </c>
      <c r="P30" s="17" t="str">
        <f aca="false">IF(AND(N(H30)&gt;=N(K30),N(H30)&gt;=N(N30)),"The Pulse",IF(N(K30)&gt;=N(N30),"The Lens","The Hub"))</f>
        <v>The Hub</v>
      </c>
      <c r="Q30" s="21" t="s">
        <v>79</v>
      </c>
      <c r="R30" s="27" t="s">
        <v>832</v>
      </c>
      <c r="S30" s="17" t="s">
        <v>22</v>
      </c>
    </row>
    <row r="31" customFormat="false" ht="15" hidden="false" customHeight="false" outlineLevel="0" collapsed="false">
      <c r="A31" s="17" t="s">
        <v>169</v>
      </c>
      <c r="B31" s="17" t="s">
        <v>170</v>
      </c>
      <c r="C31" s="17" t="s">
        <v>2244</v>
      </c>
      <c r="D31" s="17" t="s">
        <v>82</v>
      </c>
      <c r="E31" s="18" t="n">
        <v>45026</v>
      </c>
      <c r="F31" s="17" t="s">
        <v>821</v>
      </c>
      <c r="G31" s="23" t="n">
        <v>4.06240838626571</v>
      </c>
      <c r="H31" s="19" t="n">
        <v>95.2</v>
      </c>
      <c r="I31" s="17" t="n">
        <f aca="false">IF(H31="","",RANK(H31,$H$5:$H$525))</f>
        <v>27</v>
      </c>
      <c r="J31" s="24" t="n">
        <v>0.0823297516886613</v>
      </c>
      <c r="K31" s="19" t="n">
        <v>41.2</v>
      </c>
      <c r="L31" s="17" t="n">
        <f aca="false">IF(K31="","",RANK(K31,$K$5:$K$525))</f>
        <v>307</v>
      </c>
      <c r="M31" s="25" t="n">
        <v>0.0634730538922156</v>
      </c>
      <c r="N31" s="19" t="n">
        <v>40.5</v>
      </c>
      <c r="O31" s="17" t="n">
        <f aca="false">IF(N31="","",RANK(N31,$N$5:$N$525))</f>
        <v>310</v>
      </c>
      <c r="P31" s="17" t="str">
        <f aca="false">IF(AND(N(H31)&gt;=N(K31),N(H31)&gt;=N(N31)),"The Pulse",IF(N(K31)&gt;=N(N31),"The Lens","The Hub"))</f>
        <v>The Pulse</v>
      </c>
      <c r="Q31" s="21" t="s">
        <v>79</v>
      </c>
      <c r="R31" s="26" t="s">
        <v>822</v>
      </c>
      <c r="S31" s="17" t="s">
        <v>22</v>
      </c>
    </row>
    <row r="32" customFormat="false" ht="15" hidden="false" customHeight="false" outlineLevel="0" collapsed="false">
      <c r="A32" s="17" t="s">
        <v>2245</v>
      </c>
      <c r="B32" s="17" t="s">
        <v>2246</v>
      </c>
      <c r="C32" s="17" t="s">
        <v>2247</v>
      </c>
      <c r="D32" s="17"/>
      <c r="E32" s="18" t="n">
        <v>14791</v>
      </c>
      <c r="F32" s="17" t="s">
        <v>821</v>
      </c>
      <c r="G32" s="23" t="n">
        <v>4.05956324792103</v>
      </c>
      <c r="H32" s="19" t="n">
        <v>95.1</v>
      </c>
      <c r="I32" s="17" t="n">
        <f aca="false">IF(H32="","",RANK(H32,$H$5:$H$525))</f>
        <v>28</v>
      </c>
      <c r="J32" s="24" t="n">
        <v>0.26203071672355</v>
      </c>
      <c r="K32" s="19" t="n">
        <v>99</v>
      </c>
      <c r="L32" s="17" t="n">
        <f aca="false">IF(K32="","",RANK(K32,$K$5:$K$525))</f>
        <v>8</v>
      </c>
      <c r="M32" s="25" t="n">
        <v>0.108734804142278</v>
      </c>
      <c r="N32" s="19" t="n">
        <v>62</v>
      </c>
      <c r="O32" s="17" t="n">
        <f aca="false">IF(N32="","",RANK(N32,$N$5:$N$525))</f>
        <v>198</v>
      </c>
      <c r="P32" s="17" t="str">
        <f aca="false">IF(AND(N(H32)&gt;=N(K32),N(H32)&gt;=N(N32)),"The Pulse",IF(N(K32)&gt;=N(N32),"The Lens","The Hub"))</f>
        <v>The Lens</v>
      </c>
      <c r="Q32" s="22" t="s">
        <v>109</v>
      </c>
      <c r="R32" s="27" t="s">
        <v>832</v>
      </c>
      <c r="S32" s="17" t="s">
        <v>19</v>
      </c>
    </row>
    <row r="33" customFormat="false" ht="15" hidden="false" customHeight="false" outlineLevel="0" collapsed="false">
      <c r="A33" s="17" t="s">
        <v>1953</v>
      </c>
      <c r="B33" s="17" t="s">
        <v>1954</v>
      </c>
      <c r="C33" s="17" t="s">
        <v>2248</v>
      </c>
      <c r="D33" s="17" t="s">
        <v>72</v>
      </c>
      <c r="E33" s="18" t="n">
        <v>35702</v>
      </c>
      <c r="F33" s="17" t="s">
        <v>821</v>
      </c>
      <c r="G33" s="23" t="n">
        <v>4.03187496498796</v>
      </c>
      <c r="H33" s="19" t="n">
        <v>94.9</v>
      </c>
      <c r="I33" s="17" t="n">
        <f aca="false">IF(H33="","",RANK(H33,$H$5:$H$525))</f>
        <v>29</v>
      </c>
      <c r="J33" s="24" t="n">
        <v>0.0798499788276571</v>
      </c>
      <c r="K33" s="19" t="n">
        <v>40.6</v>
      </c>
      <c r="L33" s="17" t="n">
        <f aca="false">IF(K33="","",RANK(K33,$K$5:$K$525))</f>
        <v>311</v>
      </c>
      <c r="M33" s="25" t="n">
        <v>0.0196430026897058</v>
      </c>
      <c r="N33" s="19" t="n">
        <v>13.1</v>
      </c>
      <c r="O33" s="17" t="n">
        <f aca="false">IF(N33="","",RANK(N33,$N$5:$N$525))</f>
        <v>454</v>
      </c>
      <c r="P33" s="17" t="str">
        <f aca="false">IF(AND(N(H33)&gt;=N(K33),N(H33)&gt;=N(N33)),"The Pulse",IF(N(K33)&gt;=N(N33),"The Lens","The Hub"))</f>
        <v>The Pulse</v>
      </c>
      <c r="Q33" s="21" t="s">
        <v>79</v>
      </c>
      <c r="R33" s="27" t="s">
        <v>832</v>
      </c>
      <c r="S33" s="17" t="s">
        <v>22</v>
      </c>
    </row>
    <row r="34" customFormat="false" ht="15" hidden="false" customHeight="false" outlineLevel="0" collapsed="false">
      <c r="A34" s="17" t="s">
        <v>2033</v>
      </c>
      <c r="B34" s="17" t="s">
        <v>2034</v>
      </c>
      <c r="C34" s="17" t="s">
        <v>2249</v>
      </c>
      <c r="D34" s="17" t="s">
        <v>115</v>
      </c>
      <c r="E34" s="18" t="n">
        <v>39670</v>
      </c>
      <c r="F34" s="17" t="s">
        <v>821</v>
      </c>
      <c r="G34" s="23" t="n">
        <v>4.02798084194606</v>
      </c>
      <c r="H34" s="19" t="n">
        <v>94.7</v>
      </c>
      <c r="I34" s="17" t="n">
        <f aca="false">IF(H34="","",RANK(H34,$H$5:$H$525))</f>
        <v>30</v>
      </c>
      <c r="J34" s="24" t="n">
        <v>0.0862541073384447</v>
      </c>
      <c r="K34" s="19" t="n">
        <v>44.8</v>
      </c>
      <c r="L34" s="17" t="n">
        <f aca="false">IF(K34="","",RANK(K34,$K$5:$K$525))</f>
        <v>288</v>
      </c>
      <c r="M34" s="25" t="n">
        <v>0.120543293718166</v>
      </c>
      <c r="N34" s="19" t="n">
        <v>65.9</v>
      </c>
      <c r="O34" s="17" t="n">
        <f aca="false">IF(N34="","",RANK(N34,$N$5:$N$525))</f>
        <v>176</v>
      </c>
      <c r="P34" s="17" t="str">
        <f aca="false">IF(AND(N(H34)&gt;=N(K34),N(H34)&gt;=N(N34)),"The Pulse",IF(N(K34)&gt;=N(N34),"The Lens","The Hub"))</f>
        <v>The Pulse</v>
      </c>
      <c r="Q34" s="20" t="s">
        <v>74</v>
      </c>
      <c r="R34" s="27" t="s">
        <v>832</v>
      </c>
      <c r="S34" s="17" t="s">
        <v>24</v>
      </c>
    </row>
    <row r="35" customFormat="false" ht="15" hidden="false" customHeight="false" outlineLevel="0" collapsed="false">
      <c r="A35" s="17" t="s">
        <v>2250</v>
      </c>
      <c r="B35" s="17" t="s">
        <v>2251</v>
      </c>
      <c r="C35" s="17" t="s">
        <v>2252</v>
      </c>
      <c r="D35" s="17" t="s">
        <v>98</v>
      </c>
      <c r="E35" s="18" t="n">
        <v>19106</v>
      </c>
      <c r="F35" s="17" t="s">
        <v>821</v>
      </c>
      <c r="G35" s="23" t="n">
        <v>4.02753061865383</v>
      </c>
      <c r="H35" s="19" t="n">
        <v>94.5</v>
      </c>
      <c r="I35" s="17" t="n">
        <f aca="false">IF(H35="","",RANK(H35,$H$5:$H$525))</f>
        <v>31</v>
      </c>
      <c r="J35" s="24" t="n">
        <v>0.11966713548992</v>
      </c>
      <c r="K35" s="19" t="n">
        <v>62.3</v>
      </c>
      <c r="L35" s="17" t="n">
        <f aca="false">IF(K35="","",RANK(K35,$K$5:$K$525))</f>
        <v>196</v>
      </c>
      <c r="M35" s="25" t="n">
        <v>0.0192864030858245</v>
      </c>
      <c r="N35" s="19" t="n">
        <v>12.7</v>
      </c>
      <c r="O35" s="17" t="n">
        <f aca="false">IF(N35="","",RANK(N35,$N$5:$N$525))</f>
        <v>456</v>
      </c>
      <c r="P35" s="17" t="str">
        <f aca="false">IF(AND(N(H35)&gt;=N(K35),N(H35)&gt;=N(N35)),"The Pulse",IF(N(K35)&gt;=N(N35),"The Lens","The Hub"))</f>
        <v>The Pulse</v>
      </c>
      <c r="Q35" s="21" t="s">
        <v>79</v>
      </c>
      <c r="R35" s="27" t="s">
        <v>832</v>
      </c>
      <c r="S35" s="17" t="s">
        <v>22</v>
      </c>
    </row>
    <row r="36" customFormat="false" ht="15" hidden="false" customHeight="false" outlineLevel="0" collapsed="false">
      <c r="A36" s="17" t="s">
        <v>309</v>
      </c>
      <c r="B36" s="17" t="s">
        <v>310</v>
      </c>
      <c r="C36" s="17" t="s">
        <v>2253</v>
      </c>
      <c r="D36" s="17" t="s">
        <v>98</v>
      </c>
      <c r="E36" s="18" t="n">
        <v>5730</v>
      </c>
      <c r="F36" s="17" t="s">
        <v>825</v>
      </c>
      <c r="G36" s="23" t="n">
        <v>3.98586387434555</v>
      </c>
      <c r="H36" s="19" t="n">
        <v>94.2</v>
      </c>
      <c r="I36" s="17" t="n">
        <f aca="false">IF(H36="","",RANK(H36,$H$5:$H$525))</f>
        <v>32</v>
      </c>
      <c r="J36" s="24" t="n">
        <v>0.064090655768159</v>
      </c>
      <c r="K36" s="19" t="n">
        <v>33.8</v>
      </c>
      <c r="L36" s="17" t="n">
        <f aca="false">IF(K36="","",RANK(K36,$K$5:$K$525))</f>
        <v>346</v>
      </c>
      <c r="M36" s="25" t="n">
        <v>0.0078003120124805</v>
      </c>
      <c r="N36" s="19" t="n">
        <v>5.7</v>
      </c>
      <c r="O36" s="17" t="n">
        <f aca="false">IF(N36="","",RANK(N36,$N$5:$N$525))</f>
        <v>492</v>
      </c>
      <c r="P36" s="17" t="str">
        <f aca="false">IF(AND(N(H36)&gt;=N(K36),N(H36)&gt;=N(N36)),"The Pulse",IF(N(K36)&gt;=N(N36),"The Lens","The Hub"))</f>
        <v>The Pulse</v>
      </c>
      <c r="Q36" s="21" t="s">
        <v>79</v>
      </c>
      <c r="R36" s="26" t="s">
        <v>822</v>
      </c>
      <c r="S36" s="17" t="s">
        <v>88</v>
      </c>
    </row>
    <row r="37" customFormat="false" ht="15" hidden="false" customHeight="false" outlineLevel="0" collapsed="false">
      <c r="A37" s="17" t="s">
        <v>2254</v>
      </c>
      <c r="B37" s="17" t="s">
        <v>2255</v>
      </c>
      <c r="C37" s="17" t="s">
        <v>2256</v>
      </c>
      <c r="D37" s="17" t="s">
        <v>91</v>
      </c>
      <c r="E37" s="18" t="n">
        <v>72746</v>
      </c>
      <c r="F37" s="17" t="s">
        <v>821</v>
      </c>
      <c r="G37" s="23" t="n">
        <v>3.90530063508647</v>
      </c>
      <c r="H37" s="19" t="n">
        <v>94</v>
      </c>
      <c r="I37" s="17" t="n">
        <f aca="false">IF(H37="","",RANK(H37,$H$5:$H$525))</f>
        <v>33</v>
      </c>
      <c r="J37" s="24" t="n">
        <v>-0.0380821410625975</v>
      </c>
      <c r="K37" s="19" t="n">
        <v>3.9</v>
      </c>
      <c r="L37" s="17" t="n">
        <f aca="false">IF(K37="","",RANK(K37,$K$5:$K$525))</f>
        <v>502</v>
      </c>
      <c r="M37" s="25" t="n">
        <v>0.128023818384816</v>
      </c>
      <c r="N37" s="19" t="n">
        <v>67.7</v>
      </c>
      <c r="O37" s="17" t="n">
        <f aca="false">IF(N37="","",RANK(N37,$N$5:$N$525))</f>
        <v>166</v>
      </c>
      <c r="P37" s="17" t="str">
        <f aca="false">IF(AND(N(H37)&gt;=N(K37),N(H37)&gt;=N(N37)),"The Pulse",IF(N(K37)&gt;=N(N37),"The Lens","The Hub"))</f>
        <v>The Pulse</v>
      </c>
      <c r="Q37" s="21" t="s">
        <v>79</v>
      </c>
      <c r="R37" s="27" t="s">
        <v>832</v>
      </c>
      <c r="S37" s="17" t="s">
        <v>22</v>
      </c>
    </row>
    <row r="38" customFormat="false" ht="15" hidden="false" customHeight="false" outlineLevel="0" collapsed="false">
      <c r="A38" s="17" t="s">
        <v>2257</v>
      </c>
      <c r="B38" s="17" t="s">
        <v>2258</v>
      </c>
      <c r="C38" s="17" t="s">
        <v>2259</v>
      </c>
      <c r="D38" s="17" t="s">
        <v>98</v>
      </c>
      <c r="E38" s="18" t="n">
        <v>44382</v>
      </c>
      <c r="F38" s="17" t="s">
        <v>821</v>
      </c>
      <c r="G38" s="23" t="n">
        <v>3.85566220539859</v>
      </c>
      <c r="H38" s="19" t="n">
        <v>93.8</v>
      </c>
      <c r="I38" s="17" t="n">
        <f aca="false">IF(H38="","",RANK(H38,$H$5:$H$525))</f>
        <v>34</v>
      </c>
      <c r="J38" s="24" t="n">
        <v>0.0022808879654931</v>
      </c>
      <c r="K38" s="19" t="n">
        <v>10.4</v>
      </c>
      <c r="L38" s="17" t="n">
        <f aca="false">IF(K38="","",RANK(K38,$K$5:$K$525))</f>
        <v>468</v>
      </c>
      <c r="M38" s="25" t="n">
        <v>0</v>
      </c>
      <c r="N38" s="19" t="n">
        <v>0.9</v>
      </c>
      <c r="O38" s="17" t="n">
        <f aca="false">IF(N38="","",RANK(N38,$N$5:$N$525))</f>
        <v>514</v>
      </c>
      <c r="P38" s="17" t="str">
        <f aca="false">IF(AND(N(H38)&gt;=N(K38),N(H38)&gt;=N(N38)),"The Pulse",IF(N(K38)&gt;=N(N38),"The Lens","The Hub"))</f>
        <v>The Pulse</v>
      </c>
      <c r="Q38" s="21" t="s">
        <v>79</v>
      </c>
      <c r="R38" s="27" t="s">
        <v>832</v>
      </c>
      <c r="S38" s="17" t="s">
        <v>22</v>
      </c>
    </row>
    <row r="39" customFormat="false" ht="15" hidden="false" customHeight="false" outlineLevel="0" collapsed="false">
      <c r="A39" s="17" t="s">
        <v>2260</v>
      </c>
      <c r="B39" s="17" t="s">
        <v>2261</v>
      </c>
      <c r="C39" s="17" t="s">
        <v>2262</v>
      </c>
      <c r="D39" s="17" t="s">
        <v>91</v>
      </c>
      <c r="E39" s="18" t="n">
        <v>2980</v>
      </c>
      <c r="F39" s="17" t="s">
        <v>825</v>
      </c>
      <c r="G39" s="23" t="n">
        <v>3.79060402684564</v>
      </c>
      <c r="H39" s="19" t="n">
        <v>93.7</v>
      </c>
      <c r="I39" s="17" t="n">
        <f aca="false">IF(H39="","",RANK(H39,$H$5:$H$525))</f>
        <v>35</v>
      </c>
      <c r="J39" s="24" t="n">
        <v>0.166930379746835</v>
      </c>
      <c r="K39" s="19" t="n">
        <v>77.5</v>
      </c>
      <c r="L39" s="17" t="n">
        <f aca="false">IF(K39="","",RANK(K39,$K$5:$K$525))</f>
        <v>120</v>
      </c>
      <c r="M39" s="25" t="n">
        <v>0.0573913043478261</v>
      </c>
      <c r="N39" s="19" t="n">
        <v>35.7</v>
      </c>
      <c r="O39" s="17" t="n">
        <f aca="false">IF(N39="","",RANK(N39,$N$5:$N$525))</f>
        <v>335</v>
      </c>
      <c r="P39" s="17" t="str">
        <f aca="false">IF(AND(N(H39)&gt;=N(K39),N(H39)&gt;=N(N39)),"The Pulse",IF(N(K39)&gt;=N(N39),"The Lens","The Hub"))</f>
        <v>The Pulse</v>
      </c>
      <c r="Q39" s="21" t="s">
        <v>79</v>
      </c>
      <c r="R39" s="27" t="s">
        <v>832</v>
      </c>
      <c r="S39" s="17" t="s">
        <v>88</v>
      </c>
    </row>
    <row r="40" customFormat="false" ht="15" hidden="false" customHeight="false" outlineLevel="0" collapsed="false">
      <c r="A40" s="17" t="s">
        <v>371</v>
      </c>
      <c r="B40" s="17" t="s">
        <v>372</v>
      </c>
      <c r="C40" s="17" t="s">
        <v>2263</v>
      </c>
      <c r="D40" s="17" t="s">
        <v>95</v>
      </c>
      <c r="E40" s="18" t="n">
        <v>4824440</v>
      </c>
      <c r="F40" s="17" t="s">
        <v>935</v>
      </c>
      <c r="G40" s="23" t="n">
        <v>3.62213396788021</v>
      </c>
      <c r="H40" s="19" t="n">
        <v>93.5</v>
      </c>
      <c r="I40" s="17" t="n">
        <f aca="false">IF(H40="","",RANK(H40,$H$5:$H$525))</f>
        <v>36</v>
      </c>
      <c r="J40" s="24" t="n">
        <v>0.103912537096911</v>
      </c>
      <c r="K40" s="19" t="n">
        <v>50</v>
      </c>
      <c r="L40" s="17" t="n">
        <f aca="false">IF(K40="","",RANK(K40,$K$5:$K$525))</f>
        <v>260</v>
      </c>
      <c r="M40" s="25" t="n">
        <v>0.0506406456012355</v>
      </c>
      <c r="N40" s="19" t="n">
        <v>33.2</v>
      </c>
      <c r="O40" s="17" t="n">
        <f aca="false">IF(N40="","",RANK(N40,$N$5:$N$525))</f>
        <v>349</v>
      </c>
      <c r="P40" s="17" t="str">
        <f aca="false">IF(AND(N(H40)&gt;=N(K40),N(H40)&gt;=N(N40)),"The Pulse",IF(N(K40)&gt;=N(N40),"The Lens","The Hub"))</f>
        <v>The Pulse</v>
      </c>
      <c r="Q40" s="20" t="s">
        <v>74</v>
      </c>
      <c r="R40" s="26" t="s">
        <v>822</v>
      </c>
      <c r="S40" s="17" t="s">
        <v>24</v>
      </c>
    </row>
    <row r="41" customFormat="false" ht="15" hidden="false" customHeight="false" outlineLevel="0" collapsed="false">
      <c r="A41" s="17" t="s">
        <v>1907</v>
      </c>
      <c r="B41" s="17" t="s">
        <v>1908</v>
      </c>
      <c r="C41" s="17" t="s">
        <v>2264</v>
      </c>
      <c r="D41" s="17" t="s">
        <v>162</v>
      </c>
      <c r="E41" s="18" t="n">
        <v>196244</v>
      </c>
      <c r="F41" s="17" t="s">
        <v>827</v>
      </c>
      <c r="G41" s="23" t="n">
        <v>3.60934347037362</v>
      </c>
      <c r="H41" s="19" t="n">
        <v>93.3</v>
      </c>
      <c r="I41" s="17" t="n">
        <f aca="false">IF(H41="","",RANK(H41,$H$5:$H$525))</f>
        <v>37</v>
      </c>
      <c r="J41" s="24" t="n">
        <v>0.0925509408751809</v>
      </c>
      <c r="K41" s="19" t="n">
        <v>54</v>
      </c>
      <c r="L41" s="17" t="n">
        <f aca="false">IF(K41="","",RANK(K41,$K$5:$K$525))</f>
        <v>240</v>
      </c>
      <c r="M41" s="25" t="n">
        <v>0.0979345751777481</v>
      </c>
      <c r="N41" s="19" t="n">
        <v>57.9</v>
      </c>
      <c r="O41" s="17" t="n">
        <f aca="false">IF(N41="","",RANK(N41,$N$5:$N$525))</f>
        <v>220</v>
      </c>
      <c r="P41" s="17" t="str">
        <f aca="false">IF(AND(N(H41)&gt;=N(K41),N(H41)&gt;=N(N41)),"The Pulse",IF(N(K41)&gt;=N(N41),"The Lens","The Hub"))</f>
        <v>The Pulse</v>
      </c>
      <c r="Q41" s="21" t="s">
        <v>79</v>
      </c>
      <c r="R41" s="27" t="s">
        <v>832</v>
      </c>
      <c r="S41" s="17" t="s">
        <v>22</v>
      </c>
    </row>
    <row r="42" customFormat="false" ht="15" hidden="false" customHeight="false" outlineLevel="0" collapsed="false">
      <c r="A42" s="17" t="s">
        <v>285</v>
      </c>
      <c r="B42" s="17" t="s">
        <v>286</v>
      </c>
      <c r="C42" s="17" t="s">
        <v>2265</v>
      </c>
      <c r="D42" s="17" t="s">
        <v>72</v>
      </c>
      <c r="E42" s="18" t="n">
        <v>6950</v>
      </c>
      <c r="F42" s="17" t="s">
        <v>825</v>
      </c>
      <c r="G42" s="23" t="n">
        <v>3.58978417266187</v>
      </c>
      <c r="H42" s="19" t="n">
        <v>93.1</v>
      </c>
      <c r="I42" s="17" t="n">
        <f aca="false">IF(H42="","",RANK(H42,$H$5:$H$525))</f>
        <v>38</v>
      </c>
      <c r="J42" s="24" t="n">
        <v>0.162207357859532</v>
      </c>
      <c r="K42" s="19" t="n">
        <v>75</v>
      </c>
      <c r="L42" s="17" t="n">
        <f aca="false">IF(K42="","",RANK(K42,$K$5:$K$525))</f>
        <v>132</v>
      </c>
      <c r="M42" s="25" t="n">
        <v>0.142798522773902</v>
      </c>
      <c r="N42" s="19" t="n">
        <v>72</v>
      </c>
      <c r="O42" s="17" t="n">
        <f aca="false">IF(N42="","",RANK(N42,$N$5:$N$525))</f>
        <v>145</v>
      </c>
      <c r="P42" s="17" t="str">
        <f aca="false">IF(AND(N(H42)&gt;=N(K42),N(H42)&gt;=N(N42)),"The Pulse",IF(N(K42)&gt;=N(N42),"The Lens","The Hub"))</f>
        <v>The Pulse</v>
      </c>
      <c r="Q42" s="20" t="s">
        <v>74</v>
      </c>
      <c r="R42" s="26" t="s">
        <v>822</v>
      </c>
      <c r="S42" s="17" t="s">
        <v>24</v>
      </c>
    </row>
    <row r="43" customFormat="false" ht="15" hidden="false" customHeight="false" outlineLevel="0" collapsed="false">
      <c r="A43" s="17" t="s">
        <v>1734</v>
      </c>
      <c r="B43" s="17" t="s">
        <v>1735</v>
      </c>
      <c r="C43" s="17" t="s">
        <v>2266</v>
      </c>
      <c r="D43" s="17" t="s">
        <v>123</v>
      </c>
      <c r="E43" s="18" t="n">
        <v>15198</v>
      </c>
      <c r="F43" s="17" t="s">
        <v>821</v>
      </c>
      <c r="G43" s="23" t="n">
        <v>3.56448216870641</v>
      </c>
      <c r="H43" s="19" t="n">
        <v>92.9</v>
      </c>
      <c r="I43" s="17" t="n">
        <f aca="false">IF(H43="","",RANK(H43,$H$5:$H$525))</f>
        <v>39</v>
      </c>
      <c r="J43" s="24" t="n">
        <v>0.177683068578071</v>
      </c>
      <c r="K43" s="19" t="n">
        <v>86.7</v>
      </c>
      <c r="L43" s="17" t="n">
        <f aca="false">IF(K43="","",RANK(K43,$K$5:$K$525))</f>
        <v>72</v>
      </c>
      <c r="M43" s="25" t="n">
        <v>0.0900718778077269</v>
      </c>
      <c r="N43" s="19" t="n">
        <v>54.1</v>
      </c>
      <c r="O43" s="17" t="n">
        <f aca="false">IF(N43="","",RANK(N43,$N$5:$N$525))</f>
        <v>239</v>
      </c>
      <c r="P43" s="17" t="str">
        <f aca="false">IF(AND(N(H43)&gt;=N(K43),N(H43)&gt;=N(N43)),"The Pulse",IF(N(K43)&gt;=N(N43),"The Lens","The Hub"))</f>
        <v>The Pulse</v>
      </c>
      <c r="Q43" s="21" t="s">
        <v>79</v>
      </c>
      <c r="R43" s="27" t="s">
        <v>832</v>
      </c>
      <c r="S43" s="17" t="s">
        <v>22</v>
      </c>
    </row>
    <row r="44" customFormat="false" ht="15" hidden="false" customHeight="false" outlineLevel="0" collapsed="false">
      <c r="A44" s="17" t="s">
        <v>107</v>
      </c>
      <c r="B44" s="17" t="s">
        <v>108</v>
      </c>
      <c r="C44" s="17" t="s">
        <v>2267</v>
      </c>
      <c r="D44" s="17" t="s">
        <v>77</v>
      </c>
      <c r="E44" s="18" t="n">
        <v>5060</v>
      </c>
      <c r="F44" s="17" t="s">
        <v>825</v>
      </c>
      <c r="G44" s="23" t="n">
        <v>3.51679841897233</v>
      </c>
      <c r="H44" s="19" t="n">
        <v>92.8</v>
      </c>
      <c r="I44" s="17" t="n">
        <f aca="false">IF(H44="","",RANK(H44,$H$5:$H$525))</f>
        <v>40</v>
      </c>
      <c r="J44" s="24" t="n">
        <v>0.0458867300537412</v>
      </c>
      <c r="K44" s="19" t="n">
        <v>25</v>
      </c>
      <c r="L44" s="17" t="n">
        <f aca="false">IF(K44="","",RANK(K44,$K$5:$K$525))</f>
        <v>391</v>
      </c>
      <c r="M44" s="25" t="n">
        <v>0.00909090909090909</v>
      </c>
      <c r="N44" s="19" t="n">
        <v>6.3</v>
      </c>
      <c r="O44" s="17" t="n">
        <f aca="false">IF(N44="","",RANK(N44,$N$5:$N$525))</f>
        <v>489</v>
      </c>
      <c r="P44" s="17" t="str">
        <f aca="false">IF(AND(N(H44)&gt;=N(K44),N(H44)&gt;=N(N44)),"The Pulse",IF(N(K44)&gt;=N(N44),"The Lens","The Hub"))</f>
        <v>The Pulse</v>
      </c>
      <c r="Q44" s="22" t="s">
        <v>109</v>
      </c>
      <c r="R44" s="26" t="s">
        <v>822</v>
      </c>
      <c r="S44" s="17" t="s">
        <v>110</v>
      </c>
    </row>
    <row r="45" customFormat="false" ht="15" hidden="false" customHeight="false" outlineLevel="0" collapsed="false">
      <c r="A45" s="17" t="s">
        <v>1818</v>
      </c>
      <c r="B45" s="17" t="s">
        <v>1819</v>
      </c>
      <c r="C45" s="17" t="s">
        <v>2268</v>
      </c>
      <c r="D45" s="17" t="s">
        <v>91</v>
      </c>
      <c r="E45" s="18" t="n">
        <v>102470</v>
      </c>
      <c r="F45" s="17" t="s">
        <v>827</v>
      </c>
      <c r="G45" s="23" t="n">
        <v>3.46972772518786</v>
      </c>
      <c r="H45" s="19" t="n">
        <v>92.6</v>
      </c>
      <c r="I45" s="17" t="n">
        <f aca="false">IF(H45="","",RANK(H45,$H$5:$H$525))</f>
        <v>41</v>
      </c>
      <c r="J45" s="24" t="n">
        <v>0.0719740558635841</v>
      </c>
      <c r="K45" s="19" t="n">
        <v>43.5</v>
      </c>
      <c r="L45" s="17" t="n">
        <f aca="false">IF(K45="","",RANK(K45,$K$5:$K$525))</f>
        <v>294</v>
      </c>
      <c r="M45" s="25" t="n">
        <v>0.173042591175721</v>
      </c>
      <c r="N45" s="19" t="n">
        <v>79.7</v>
      </c>
      <c r="O45" s="17" t="n">
        <f aca="false">IF(N45="","",RANK(N45,$N$5:$N$525))</f>
        <v>105</v>
      </c>
      <c r="P45" s="17" t="str">
        <f aca="false">IF(AND(N(H45)&gt;=N(K45),N(H45)&gt;=N(N45)),"The Pulse",IF(N(K45)&gt;=N(N45),"The Lens","The Hub"))</f>
        <v>The Pulse</v>
      </c>
      <c r="Q45" s="20" t="s">
        <v>74</v>
      </c>
      <c r="R45" s="27" t="s">
        <v>832</v>
      </c>
      <c r="S45" s="17" t="s">
        <v>24</v>
      </c>
    </row>
    <row r="46" customFormat="false" ht="15" hidden="false" customHeight="false" outlineLevel="0" collapsed="false">
      <c r="A46" s="17" t="s">
        <v>1213</v>
      </c>
      <c r="B46" s="17" t="s">
        <v>1214</v>
      </c>
      <c r="C46" s="17" t="s">
        <v>2269</v>
      </c>
      <c r="D46" s="17" t="s">
        <v>95</v>
      </c>
      <c r="E46" s="18" t="n">
        <v>72750</v>
      </c>
      <c r="F46" s="17" t="s">
        <v>821</v>
      </c>
      <c r="G46" s="23" t="n">
        <v>3.46967697594502</v>
      </c>
      <c r="H46" s="19" t="n">
        <v>92.4</v>
      </c>
      <c r="I46" s="17" t="n">
        <f aca="false">IF(H46="","",RANK(H46,$H$5:$H$525))</f>
        <v>42</v>
      </c>
      <c r="J46" s="24" t="n">
        <v>0.0135135135135135</v>
      </c>
      <c r="K46" s="19" t="n">
        <v>14</v>
      </c>
      <c r="L46" s="17" t="n">
        <f aca="false">IF(K46="","",RANK(K46,$K$5:$K$525))</f>
        <v>452</v>
      </c>
      <c r="M46" s="25" t="n">
        <v>0.0200835156094651</v>
      </c>
      <c r="N46" s="19" t="n">
        <v>13.6</v>
      </c>
      <c r="O46" s="17" t="n">
        <f aca="false">IF(N46="","",RANK(N46,$N$5:$N$525))</f>
        <v>451</v>
      </c>
      <c r="P46" s="17" t="str">
        <f aca="false">IF(AND(N(H46)&gt;=N(K46),N(H46)&gt;=N(N46)),"The Pulse",IF(N(K46)&gt;=N(N46),"The Lens","The Hub"))</f>
        <v>The Pulse</v>
      </c>
      <c r="Q46" s="20" t="s">
        <v>74</v>
      </c>
      <c r="R46" s="27" t="s">
        <v>832</v>
      </c>
      <c r="S46" s="17" t="s">
        <v>24</v>
      </c>
    </row>
    <row r="47" customFormat="false" ht="15" hidden="false" customHeight="false" outlineLevel="0" collapsed="false">
      <c r="A47" s="17" t="s">
        <v>211</v>
      </c>
      <c r="B47" s="17" t="s">
        <v>212</v>
      </c>
      <c r="C47" s="17" t="s">
        <v>2270</v>
      </c>
      <c r="D47" s="17" t="s">
        <v>123</v>
      </c>
      <c r="E47" s="18" t="n">
        <v>106910</v>
      </c>
      <c r="F47" s="17" t="s">
        <v>827</v>
      </c>
      <c r="G47" s="23" t="n">
        <v>3.42453465531756</v>
      </c>
      <c r="H47" s="19" t="n">
        <v>92.2</v>
      </c>
      <c r="I47" s="17" t="n">
        <f aca="false">IF(H47="","",RANK(H47,$H$5:$H$525))</f>
        <v>43</v>
      </c>
      <c r="J47" s="24" t="n">
        <v>-0.0202529325513197</v>
      </c>
      <c r="K47" s="19" t="n">
        <v>9.3</v>
      </c>
      <c r="L47" s="17" t="n">
        <f aca="false">IF(K47="","",RANK(K47,$K$5:$K$525))</f>
        <v>473</v>
      </c>
      <c r="M47" s="25" t="n">
        <v>0.165474427252387</v>
      </c>
      <c r="N47" s="19" t="n">
        <v>77.8</v>
      </c>
      <c r="O47" s="17" t="n">
        <f aca="false">IF(N47="","",RANK(N47,$N$5:$N$525))</f>
        <v>116</v>
      </c>
      <c r="P47" s="17" t="str">
        <f aca="false">IF(AND(N(H47)&gt;=N(K47),N(H47)&gt;=N(N47)),"The Pulse",IF(N(K47)&gt;=N(N47),"The Lens","The Hub"))</f>
        <v>The Pulse</v>
      </c>
      <c r="Q47" s="20" t="s">
        <v>74</v>
      </c>
      <c r="R47" s="26" t="s">
        <v>822</v>
      </c>
      <c r="S47" s="17" t="s">
        <v>24</v>
      </c>
    </row>
    <row r="48" customFormat="false" ht="15" hidden="false" customHeight="false" outlineLevel="0" collapsed="false">
      <c r="A48" s="17" t="s">
        <v>619</v>
      </c>
      <c r="B48" s="17" t="s">
        <v>620</v>
      </c>
      <c r="C48" s="17" t="s">
        <v>2271</v>
      </c>
      <c r="D48" s="17" t="s">
        <v>115</v>
      </c>
      <c r="E48" s="18" t="n">
        <v>27170</v>
      </c>
      <c r="F48" s="17" t="s">
        <v>821</v>
      </c>
      <c r="G48" s="23" t="n">
        <v>3.37975708502024</v>
      </c>
      <c r="H48" s="19" t="n">
        <v>92.1</v>
      </c>
      <c r="I48" s="17" t="n">
        <f aca="false">IF(H48="","",RANK(H48,$H$5:$H$525))</f>
        <v>44</v>
      </c>
      <c r="J48" s="24" t="n">
        <v>-0.0669642857142857</v>
      </c>
      <c r="K48" s="19" t="n">
        <v>1.3</v>
      </c>
      <c r="L48" s="17" t="n">
        <f aca="false">IF(K48="","",RANK(K48,$K$5:$K$525))</f>
        <v>516</v>
      </c>
      <c r="M48" s="25" t="n">
        <v>0.18227724385079</v>
      </c>
      <c r="N48" s="19" t="n">
        <v>80.8</v>
      </c>
      <c r="O48" s="17" t="n">
        <f aca="false">IF(N48="","",RANK(N48,$N$5:$N$525))</f>
        <v>99</v>
      </c>
      <c r="P48" s="17" t="str">
        <f aca="false">IF(AND(N(H48)&gt;=N(K48),N(H48)&gt;=N(N48)),"The Pulse",IF(N(K48)&gt;=N(N48),"The Lens","The Hub"))</f>
        <v>The Pulse</v>
      </c>
      <c r="Q48" s="20" t="s">
        <v>74</v>
      </c>
      <c r="R48" s="26" t="s">
        <v>822</v>
      </c>
      <c r="S48" s="17" t="s">
        <v>24</v>
      </c>
    </row>
    <row r="49" customFormat="false" ht="15" hidden="false" customHeight="false" outlineLevel="0" collapsed="false">
      <c r="A49" s="17" t="s">
        <v>359</v>
      </c>
      <c r="B49" s="17" t="s">
        <v>360</v>
      </c>
      <c r="C49" s="17" t="s">
        <v>2272</v>
      </c>
      <c r="D49" s="17" t="s">
        <v>95</v>
      </c>
      <c r="E49" s="18" t="n">
        <v>419156</v>
      </c>
      <c r="F49" s="17" t="s">
        <v>827</v>
      </c>
      <c r="G49" s="23" t="n">
        <v>3.34118084913493</v>
      </c>
      <c r="H49" s="19" t="n">
        <v>91.7</v>
      </c>
      <c r="I49" s="17" t="n">
        <f aca="false">IF(H49="","",RANK(H49,$H$5:$H$525))</f>
        <v>45</v>
      </c>
      <c r="J49" s="24" t="n">
        <v>0.132180865431365</v>
      </c>
      <c r="K49" s="19" t="n">
        <v>75.2</v>
      </c>
      <c r="L49" s="17" t="n">
        <f aca="false">IF(K49="","",RANK(K49,$K$5:$K$525))</f>
        <v>131</v>
      </c>
      <c r="M49" s="25" t="n">
        <v>0.0319741942785999</v>
      </c>
      <c r="N49" s="19" t="n">
        <v>21.3</v>
      </c>
      <c r="O49" s="17" t="n">
        <f aca="false">IF(N49="","",RANK(N49,$N$5:$N$525))</f>
        <v>412</v>
      </c>
      <c r="P49" s="17" t="str">
        <f aca="false">IF(AND(N(H49)&gt;=N(K49),N(H49)&gt;=N(N49)),"The Pulse",IF(N(K49)&gt;=N(N49),"The Lens","The Hub"))</f>
        <v>The Pulse</v>
      </c>
      <c r="Q49" s="21" t="s">
        <v>79</v>
      </c>
      <c r="R49" s="26" t="s">
        <v>822</v>
      </c>
      <c r="S49" s="17" t="s">
        <v>22</v>
      </c>
    </row>
    <row r="50" customFormat="false" ht="15" hidden="false" customHeight="false" outlineLevel="0" collapsed="false">
      <c r="A50" s="17" t="s">
        <v>179</v>
      </c>
      <c r="B50" s="17" t="s">
        <v>180</v>
      </c>
      <c r="C50" s="17" t="s">
        <v>2273</v>
      </c>
      <c r="D50" s="17" t="s">
        <v>98</v>
      </c>
      <c r="E50" s="18" t="n">
        <v>38170</v>
      </c>
      <c r="F50" s="17" t="s">
        <v>821</v>
      </c>
      <c r="G50" s="23" t="n">
        <v>3.33824993450354</v>
      </c>
      <c r="H50" s="19" t="n">
        <v>91.5</v>
      </c>
      <c r="I50" s="17" t="n">
        <f aca="false">IF(H50="","",RANK(H50,$H$5:$H$525))</f>
        <v>46</v>
      </c>
      <c r="J50" s="24" t="n">
        <v>-0.0175790801225131</v>
      </c>
      <c r="K50" s="19" t="n">
        <v>6.8</v>
      </c>
      <c r="L50" s="17" t="n">
        <f aca="false">IF(K50="","",RANK(K50,$K$5:$K$525))</f>
        <v>486</v>
      </c>
      <c r="M50" s="25" t="n">
        <v>0.023312101910828</v>
      </c>
      <c r="N50" s="19" t="n">
        <v>15.8</v>
      </c>
      <c r="O50" s="17" t="n">
        <f aca="false">IF(N50="","",RANK(N50,$N$5:$N$525))</f>
        <v>440</v>
      </c>
      <c r="P50" s="17" t="str">
        <f aca="false">IF(AND(N(H50)&gt;=N(K50),N(H50)&gt;=N(N50)),"The Pulse",IF(N(K50)&gt;=N(N50),"The Lens","The Hub"))</f>
        <v>The Pulse</v>
      </c>
      <c r="Q50" s="21" t="s">
        <v>79</v>
      </c>
      <c r="R50" s="26" t="s">
        <v>822</v>
      </c>
      <c r="S50" s="17" t="s">
        <v>22</v>
      </c>
    </row>
    <row r="51" customFormat="false" ht="15" hidden="false" customHeight="false" outlineLevel="0" collapsed="false">
      <c r="A51" s="17" t="s">
        <v>118</v>
      </c>
      <c r="B51" s="17" t="s">
        <v>119</v>
      </c>
      <c r="C51" s="17" t="s">
        <v>2274</v>
      </c>
      <c r="D51" s="17" t="s">
        <v>77</v>
      </c>
      <c r="E51" s="18" t="n">
        <v>38310</v>
      </c>
      <c r="F51" s="17" t="s">
        <v>821</v>
      </c>
      <c r="G51" s="23" t="n">
        <v>3.33790133124511</v>
      </c>
      <c r="H51" s="19" t="n">
        <v>91.4</v>
      </c>
      <c r="I51" s="17" t="n">
        <f aca="false">IF(H51="","",RANK(H51,$H$5:$H$525))</f>
        <v>47</v>
      </c>
      <c r="J51" s="24" t="n">
        <v>0.158101571946796</v>
      </c>
      <c r="K51" s="19" t="n">
        <v>80.5</v>
      </c>
      <c r="L51" s="17" t="n">
        <f aca="false">IF(K51="","",RANK(K51,$K$5:$K$525))</f>
        <v>105</v>
      </c>
      <c r="M51" s="25" t="n">
        <v>0.0767745050700145</v>
      </c>
      <c r="N51" s="19" t="n">
        <v>47.5</v>
      </c>
      <c r="O51" s="17" t="n">
        <f aca="false">IF(N51="","",RANK(N51,$N$5:$N$525))</f>
        <v>273</v>
      </c>
      <c r="P51" s="17" t="str">
        <f aca="false">IF(AND(N(H51)&gt;=N(K51),N(H51)&gt;=N(N51)),"The Pulse",IF(N(K51)&gt;=N(N51),"The Lens","The Hub"))</f>
        <v>The Pulse</v>
      </c>
      <c r="Q51" s="20" t="s">
        <v>74</v>
      </c>
      <c r="R51" s="26" t="s">
        <v>822</v>
      </c>
      <c r="S51" s="17" t="s">
        <v>24</v>
      </c>
    </row>
    <row r="52" customFormat="false" ht="15" hidden="false" customHeight="false" outlineLevel="0" collapsed="false">
      <c r="A52" s="17" t="s">
        <v>1618</v>
      </c>
      <c r="B52" s="17" t="s">
        <v>1619</v>
      </c>
      <c r="C52" s="17" t="s">
        <v>2275</v>
      </c>
      <c r="D52" s="17" t="s">
        <v>98</v>
      </c>
      <c r="E52" s="18" t="n">
        <v>29074</v>
      </c>
      <c r="F52" s="17" t="s">
        <v>821</v>
      </c>
      <c r="G52" s="23" t="n">
        <v>3.30071541583545</v>
      </c>
      <c r="H52" s="19" t="n">
        <v>91.2</v>
      </c>
      <c r="I52" s="17" t="n">
        <f aca="false">IF(H52="","",RANK(H52,$H$5:$H$525))</f>
        <v>48</v>
      </c>
      <c r="J52" s="24" t="n">
        <v>0.0139499197879612</v>
      </c>
      <c r="K52" s="19" t="n">
        <v>14.6</v>
      </c>
      <c r="L52" s="17" t="n">
        <f aca="false">IF(K52="","",RANK(K52,$K$5:$K$525))</f>
        <v>448</v>
      </c>
      <c r="M52" s="25" t="n">
        <v>0.0374404356705242</v>
      </c>
      <c r="N52" s="19" t="n">
        <v>24.6</v>
      </c>
      <c r="O52" s="17" t="n">
        <f aca="false">IF(N52="","",RANK(N52,$N$5:$N$525))</f>
        <v>395</v>
      </c>
      <c r="P52" s="17" t="str">
        <f aca="false">IF(AND(N(H52)&gt;=N(K52),N(H52)&gt;=N(N52)),"The Pulse",IF(N(K52)&gt;=N(N52),"The Lens","The Hub"))</f>
        <v>The Pulse</v>
      </c>
      <c r="Q52" s="21" t="s">
        <v>79</v>
      </c>
      <c r="R52" s="27" t="s">
        <v>832</v>
      </c>
      <c r="S52" s="17" t="s">
        <v>22</v>
      </c>
    </row>
    <row r="53" customFormat="false" ht="15" hidden="false" customHeight="false" outlineLevel="0" collapsed="false">
      <c r="A53" s="17" t="s">
        <v>399</v>
      </c>
      <c r="B53" s="17" t="s">
        <v>400</v>
      </c>
      <c r="C53" s="17" t="s">
        <v>2276</v>
      </c>
      <c r="D53" s="17" t="s">
        <v>98</v>
      </c>
      <c r="E53" s="18" t="n">
        <v>462620</v>
      </c>
      <c r="F53" s="17" t="s">
        <v>827</v>
      </c>
      <c r="G53" s="23" t="n">
        <v>3.29352600406381</v>
      </c>
      <c r="H53" s="19" t="n">
        <v>91</v>
      </c>
      <c r="I53" s="17" t="n">
        <f aca="false">IF(H53="","",RANK(H53,$H$5:$H$525))</f>
        <v>49</v>
      </c>
      <c r="J53" s="24" t="n">
        <v>0.0135173622521634</v>
      </c>
      <c r="K53" s="19" t="n">
        <v>16.1</v>
      </c>
      <c r="L53" s="17" t="n">
        <f aca="false">IF(K53="","",RANK(K53,$K$5:$K$525))</f>
        <v>440</v>
      </c>
      <c r="M53" s="25" t="n">
        <v>0.000900844279638824</v>
      </c>
      <c r="N53" s="19" t="n">
        <v>2.2</v>
      </c>
      <c r="O53" s="17" t="n">
        <f aca="false">IF(N53="","",RANK(N53,$N$5:$N$525))</f>
        <v>511</v>
      </c>
      <c r="P53" s="17" t="str">
        <f aca="false">IF(AND(N(H53)&gt;=N(K53),N(H53)&gt;=N(N53)),"The Pulse",IF(N(K53)&gt;=N(N53),"The Lens","The Hub"))</f>
        <v>The Pulse</v>
      </c>
      <c r="Q53" s="20" t="s">
        <v>74</v>
      </c>
      <c r="R53" s="26" t="s">
        <v>822</v>
      </c>
      <c r="S53" s="17" t="s">
        <v>24</v>
      </c>
    </row>
    <row r="54" customFormat="false" ht="15" hidden="false" customHeight="false" outlineLevel="0" collapsed="false">
      <c r="A54" s="17" t="s">
        <v>209</v>
      </c>
      <c r="B54" s="17" t="s">
        <v>210</v>
      </c>
      <c r="C54" s="17" t="s">
        <v>2277</v>
      </c>
      <c r="D54" s="17" t="s">
        <v>162</v>
      </c>
      <c r="E54" s="18" t="n">
        <v>49970</v>
      </c>
      <c r="F54" s="17" t="s">
        <v>821</v>
      </c>
      <c r="G54" s="23" t="n">
        <v>3.28166900140084</v>
      </c>
      <c r="H54" s="19" t="n">
        <v>90.8</v>
      </c>
      <c r="I54" s="17" t="n">
        <f aca="false">IF(H54="","",RANK(H54,$H$5:$H$525))</f>
        <v>50</v>
      </c>
      <c r="J54" s="24" t="n">
        <v>-0.0115675028484252</v>
      </c>
      <c r="K54" s="19" t="n">
        <v>7.1</v>
      </c>
      <c r="L54" s="17" t="n">
        <f aca="false">IF(K54="","",RANK(K54,$K$5:$K$525))</f>
        <v>484</v>
      </c>
      <c r="M54" s="25" t="n">
        <v>0.114135535948939</v>
      </c>
      <c r="N54" s="19" t="n">
        <v>63.4</v>
      </c>
      <c r="O54" s="17" t="n">
        <f aca="false">IF(N54="","",RANK(N54,$N$5:$N$525))</f>
        <v>190</v>
      </c>
      <c r="P54" s="17" t="str">
        <f aca="false">IF(AND(N(H54)&gt;=N(K54),N(H54)&gt;=N(N54)),"The Pulse",IF(N(K54)&gt;=N(N54),"The Lens","The Hub"))</f>
        <v>The Pulse</v>
      </c>
      <c r="Q54" s="21" t="s">
        <v>79</v>
      </c>
      <c r="R54" s="26" t="s">
        <v>822</v>
      </c>
      <c r="S54" s="17" t="s">
        <v>88</v>
      </c>
    </row>
    <row r="55" customFormat="false" ht="15" hidden="false" customHeight="false" outlineLevel="0" collapsed="false">
      <c r="A55" s="17" t="s">
        <v>2278</v>
      </c>
      <c r="B55" s="17" t="s">
        <v>2279</v>
      </c>
      <c r="C55" s="17" t="s">
        <v>2280</v>
      </c>
      <c r="D55" s="17" t="s">
        <v>82</v>
      </c>
      <c r="E55" s="18" t="n">
        <v>37827</v>
      </c>
      <c r="F55" s="17" t="s">
        <v>821</v>
      </c>
      <c r="G55" s="23" t="n">
        <v>3.2470193248209</v>
      </c>
      <c r="H55" s="19" t="n">
        <v>90.7</v>
      </c>
      <c r="I55" s="17" t="n">
        <f aca="false">IF(H55="","",RANK(H55,$H$5:$H$525))</f>
        <v>51</v>
      </c>
      <c r="J55" s="24" t="n">
        <v>0.0397746014293568</v>
      </c>
      <c r="K55" s="19" t="n">
        <v>23.4</v>
      </c>
      <c r="L55" s="17" t="n">
        <f aca="false">IF(K55="","",RANK(K55,$K$5:$K$525))</f>
        <v>401</v>
      </c>
      <c r="M55" s="25" t="n">
        <v>0.0162831382048177</v>
      </c>
      <c r="N55" s="19" t="n">
        <v>10.4</v>
      </c>
      <c r="O55" s="17" t="n">
        <f aca="false">IF(N55="","",RANK(N55,$N$5:$N$525))</f>
        <v>468</v>
      </c>
      <c r="P55" s="17" t="str">
        <f aca="false">IF(AND(N(H55)&gt;=N(K55),N(H55)&gt;=N(N55)),"The Pulse",IF(N(K55)&gt;=N(N55),"The Lens","The Hub"))</f>
        <v>The Pulse</v>
      </c>
      <c r="Q55" s="21" t="s">
        <v>79</v>
      </c>
      <c r="R55" s="27" t="s">
        <v>832</v>
      </c>
      <c r="S55" s="17" t="s">
        <v>22</v>
      </c>
    </row>
    <row r="56" customFormat="false" ht="15" hidden="false" customHeight="false" outlineLevel="0" collapsed="false">
      <c r="A56" s="17" t="s">
        <v>491</v>
      </c>
      <c r="B56" s="17" t="s">
        <v>492</v>
      </c>
      <c r="C56" s="17" t="s">
        <v>2281</v>
      </c>
      <c r="D56" s="17" t="s">
        <v>82</v>
      </c>
      <c r="E56" s="18" t="n">
        <v>11749</v>
      </c>
      <c r="F56" s="17" t="s">
        <v>821</v>
      </c>
      <c r="G56" s="23" t="n">
        <v>3.22461486083922</v>
      </c>
      <c r="H56" s="19" t="n">
        <v>90.5</v>
      </c>
      <c r="I56" s="17" t="n">
        <f aca="false">IF(H56="","",RANK(H56,$H$5:$H$525))</f>
        <v>52</v>
      </c>
      <c r="J56" s="24" t="n">
        <v>0.0639319025627094</v>
      </c>
      <c r="K56" s="19" t="n">
        <v>34.7</v>
      </c>
      <c r="L56" s="17" t="n">
        <f aca="false">IF(K56="","",RANK(K56,$K$5:$K$525))</f>
        <v>342</v>
      </c>
      <c r="M56" s="25" t="n">
        <v>0.138255033557047</v>
      </c>
      <c r="N56" s="19" t="n">
        <v>70.4</v>
      </c>
      <c r="O56" s="17" t="n">
        <f aca="false">IF(N56="","",RANK(N56,$N$5:$N$525))</f>
        <v>153</v>
      </c>
      <c r="P56" s="17" t="str">
        <f aca="false">IF(AND(N(H56)&gt;=N(K56),N(H56)&gt;=N(N56)),"The Pulse",IF(N(K56)&gt;=N(N56),"The Lens","The Hub"))</f>
        <v>The Pulse</v>
      </c>
      <c r="Q56" s="21" t="s">
        <v>79</v>
      </c>
      <c r="R56" s="26" t="s">
        <v>822</v>
      </c>
      <c r="S56" s="17" t="s">
        <v>22</v>
      </c>
    </row>
    <row r="57" customFormat="false" ht="15" hidden="false" customHeight="false" outlineLevel="0" collapsed="false">
      <c r="A57" s="17" t="s">
        <v>393</v>
      </c>
      <c r="B57" s="17" t="s">
        <v>394</v>
      </c>
      <c r="C57" s="17" t="s">
        <v>2282</v>
      </c>
      <c r="D57" s="17" t="s">
        <v>115</v>
      </c>
      <c r="E57" s="18" t="n">
        <v>90879</v>
      </c>
      <c r="F57" s="17" t="s">
        <v>821</v>
      </c>
      <c r="G57" s="23" t="n">
        <v>3.17107362537</v>
      </c>
      <c r="H57" s="19" t="n">
        <v>90.3</v>
      </c>
      <c r="I57" s="17" t="n">
        <f aca="false">IF(H57="","",RANK(H57,$H$5:$H$525))</f>
        <v>53</v>
      </c>
      <c r="J57" s="24" t="n">
        <v>0.124517422292615</v>
      </c>
      <c r="K57" s="19" t="n">
        <v>64</v>
      </c>
      <c r="L57" s="17" t="n">
        <f aca="false">IF(K57="","",RANK(K57,$K$5:$K$525))</f>
        <v>187</v>
      </c>
      <c r="M57" s="25" t="n">
        <v>0.0499606771803469</v>
      </c>
      <c r="N57" s="19" t="n">
        <v>32.1</v>
      </c>
      <c r="O57" s="17" t="n">
        <f aca="false">IF(N57="","",RANK(N57,$N$5:$N$525))</f>
        <v>354</v>
      </c>
      <c r="P57" s="17" t="str">
        <f aca="false">IF(AND(N(H57)&gt;=N(K57),N(H57)&gt;=N(N57)),"The Pulse",IF(N(K57)&gt;=N(N57),"The Lens","The Hub"))</f>
        <v>The Pulse</v>
      </c>
      <c r="Q57" s="21" t="s">
        <v>79</v>
      </c>
      <c r="R57" s="26" t="s">
        <v>822</v>
      </c>
      <c r="S57" s="17" t="s">
        <v>22</v>
      </c>
    </row>
    <row r="58" customFormat="false" ht="15" hidden="false" customHeight="false" outlineLevel="0" collapsed="false">
      <c r="A58" s="17" t="s">
        <v>1880</v>
      </c>
      <c r="B58" s="17" t="s">
        <v>1881</v>
      </c>
      <c r="C58" s="17" t="s">
        <v>2283</v>
      </c>
      <c r="D58" s="17" t="s">
        <v>123</v>
      </c>
      <c r="E58" s="18" t="n">
        <v>11190</v>
      </c>
      <c r="F58" s="17" t="s">
        <v>821</v>
      </c>
      <c r="G58" s="23" t="n">
        <v>3.13806970509383</v>
      </c>
      <c r="H58" s="19" t="n">
        <v>90.1</v>
      </c>
      <c r="I58" s="17" t="n">
        <f aca="false">IF(H58="","",RANK(H58,$H$5:$H$525))</f>
        <v>54</v>
      </c>
      <c r="J58" s="24" t="n">
        <v>0.161993769470405</v>
      </c>
      <c r="K58" s="19" t="n">
        <v>82.8</v>
      </c>
      <c r="L58" s="17" t="n">
        <f aca="false">IF(K58="","",RANK(K58,$K$5:$K$525))</f>
        <v>93</v>
      </c>
      <c r="M58" s="25" t="n">
        <v>0.0645661157024793</v>
      </c>
      <c r="N58" s="19" t="n">
        <v>41.4</v>
      </c>
      <c r="O58" s="17" t="n">
        <f aca="false">IF(N58="","",RANK(N58,$N$5:$N$525))</f>
        <v>305</v>
      </c>
      <c r="P58" s="17" t="str">
        <f aca="false">IF(AND(N(H58)&gt;=N(K58),N(H58)&gt;=N(N58)),"The Pulse",IF(N(K58)&gt;=N(N58),"The Lens","The Hub"))</f>
        <v>The Pulse</v>
      </c>
      <c r="Q58" s="20" t="s">
        <v>74</v>
      </c>
      <c r="R58" s="27" t="s">
        <v>832</v>
      </c>
      <c r="S58" s="17" t="s">
        <v>24</v>
      </c>
    </row>
    <row r="59" customFormat="false" ht="15" hidden="false" customHeight="false" outlineLevel="0" collapsed="false">
      <c r="A59" s="17" t="s">
        <v>103</v>
      </c>
      <c r="B59" s="17" t="s">
        <v>104</v>
      </c>
      <c r="C59" s="17" t="s">
        <v>2284</v>
      </c>
      <c r="D59" s="17" t="s">
        <v>95</v>
      </c>
      <c r="E59" s="18" t="n">
        <v>49434</v>
      </c>
      <c r="F59" s="17" t="s">
        <v>821</v>
      </c>
      <c r="G59" s="23" t="n">
        <v>3.13519035481652</v>
      </c>
      <c r="H59" s="19" t="n">
        <v>89.9</v>
      </c>
      <c r="I59" s="17" t="n">
        <f aca="false">IF(H59="","",RANK(H59,$H$5:$H$525))</f>
        <v>55</v>
      </c>
      <c r="J59" s="24" t="n">
        <v>0.200437105390967</v>
      </c>
      <c r="K59" s="19" t="n">
        <v>92.2</v>
      </c>
      <c r="L59" s="17" t="n">
        <f aca="false">IF(K59="","",RANK(K59,$K$5:$K$525))</f>
        <v>45</v>
      </c>
      <c r="M59" s="25" t="n">
        <v>0.204966139954853</v>
      </c>
      <c r="N59" s="19" t="n">
        <v>86.4</v>
      </c>
      <c r="O59" s="17" t="n">
        <f aca="false">IF(N59="","",RANK(N59,$N$5:$N$525))</f>
        <v>72</v>
      </c>
      <c r="P59" s="17" t="str">
        <f aca="false">IF(AND(N(H59)&gt;=N(K59),N(H59)&gt;=N(N59)),"The Pulse",IF(N(K59)&gt;=N(N59),"The Lens","The Hub"))</f>
        <v>The Lens</v>
      </c>
      <c r="Q59" s="21" t="s">
        <v>79</v>
      </c>
      <c r="R59" s="26" t="s">
        <v>822</v>
      </c>
      <c r="S59" s="17" t="s">
        <v>22</v>
      </c>
    </row>
    <row r="60" customFormat="false" ht="15" hidden="false" customHeight="false" outlineLevel="0" collapsed="false">
      <c r="A60" s="17" t="s">
        <v>145</v>
      </c>
      <c r="B60" s="17" t="s">
        <v>146</v>
      </c>
      <c r="C60" s="17" t="s">
        <v>2285</v>
      </c>
      <c r="D60" s="17" t="s">
        <v>86</v>
      </c>
      <c r="E60" s="18" t="n">
        <v>300628</v>
      </c>
      <c r="F60" s="17" t="s">
        <v>827</v>
      </c>
      <c r="G60" s="23" t="n">
        <v>3.10241893635989</v>
      </c>
      <c r="H60" s="19" t="n">
        <v>89.8</v>
      </c>
      <c r="I60" s="17" t="n">
        <f aca="false">IF(H60="","",RANK(H60,$H$5:$H$525))</f>
        <v>56</v>
      </c>
      <c r="J60" s="24" t="n">
        <v>0.0385714236361815</v>
      </c>
      <c r="K60" s="19" t="n">
        <v>25.5</v>
      </c>
      <c r="L60" s="17" t="n">
        <f aca="false">IF(K60="","",RANK(K60,$K$5:$K$525))</f>
        <v>389</v>
      </c>
      <c r="M60" s="25" t="n">
        <v>0.0218767298019302</v>
      </c>
      <c r="N60" s="19" t="n">
        <v>14.9</v>
      </c>
      <c r="O60" s="17" t="n">
        <f aca="false">IF(N60="","",RANK(N60,$N$5:$N$525))</f>
        <v>444</v>
      </c>
      <c r="P60" s="17" t="str">
        <f aca="false">IF(AND(N(H60)&gt;=N(K60),N(H60)&gt;=N(N60)),"The Pulse",IF(N(K60)&gt;=N(N60),"The Lens","The Hub"))</f>
        <v>The Pulse</v>
      </c>
      <c r="Q60" s="21" t="s">
        <v>79</v>
      </c>
      <c r="R60" s="26" t="s">
        <v>822</v>
      </c>
      <c r="S60" s="17" t="s">
        <v>22</v>
      </c>
    </row>
    <row r="61" customFormat="false" ht="15" hidden="false" customHeight="false" outlineLevel="0" collapsed="false">
      <c r="A61" s="17" t="s">
        <v>447</v>
      </c>
      <c r="B61" s="17" t="s">
        <v>448</v>
      </c>
      <c r="C61" s="17" t="s">
        <v>2286</v>
      </c>
      <c r="D61" s="17" t="s">
        <v>82</v>
      </c>
      <c r="E61" s="18" t="n">
        <v>8390</v>
      </c>
      <c r="F61" s="17" t="s">
        <v>825</v>
      </c>
      <c r="G61" s="23" t="n">
        <v>3.07079856972586</v>
      </c>
      <c r="H61" s="19" t="n">
        <v>89.6</v>
      </c>
      <c r="I61" s="17" t="n">
        <f aca="false">IF(H61="","",RANK(H61,$H$5:$H$525))</f>
        <v>57</v>
      </c>
      <c r="J61" s="24" t="n">
        <v>0.130727762803235</v>
      </c>
      <c r="K61" s="19" t="n">
        <v>58.8</v>
      </c>
      <c r="L61" s="17" t="n">
        <f aca="false">IF(K61="","",RANK(K61,$K$5:$K$525))</f>
        <v>215</v>
      </c>
      <c r="M61" s="25" t="n">
        <v>0.0661840744570838</v>
      </c>
      <c r="N61" s="19" t="n">
        <v>42.7</v>
      </c>
      <c r="O61" s="17" t="n">
        <f aca="false">IF(N61="","",RANK(N61,$N$5:$N$525))</f>
        <v>298</v>
      </c>
      <c r="P61" s="17" t="str">
        <f aca="false">IF(AND(N(H61)&gt;=N(K61),N(H61)&gt;=N(N61)),"The Pulse",IF(N(K61)&gt;=N(N61),"The Lens","The Hub"))</f>
        <v>The Pulse</v>
      </c>
      <c r="Q61" s="20" t="s">
        <v>74</v>
      </c>
      <c r="R61" s="26" t="s">
        <v>822</v>
      </c>
      <c r="S61" s="17" t="s">
        <v>24</v>
      </c>
    </row>
    <row r="62" customFormat="false" ht="15" hidden="false" customHeight="false" outlineLevel="0" collapsed="false">
      <c r="A62" s="17" t="s">
        <v>2287</v>
      </c>
      <c r="B62" s="17" t="s">
        <v>2288</v>
      </c>
      <c r="C62" s="17" t="s">
        <v>2289</v>
      </c>
      <c r="D62" s="17" t="s">
        <v>86</v>
      </c>
      <c r="E62" s="18" t="n">
        <v>453180</v>
      </c>
      <c r="F62" s="17" t="s">
        <v>827</v>
      </c>
      <c r="G62" s="23" t="n">
        <v>2.97962840372479</v>
      </c>
      <c r="H62" s="19" t="n">
        <v>89.2</v>
      </c>
      <c r="I62" s="17" t="n">
        <f aca="false">IF(H62="","",RANK(H62,$H$5:$H$525))</f>
        <v>58</v>
      </c>
      <c r="J62" s="24" t="n">
        <v>0.246884028064383</v>
      </c>
      <c r="K62" s="19" t="n">
        <v>98.1</v>
      </c>
      <c r="L62" s="17" t="n">
        <f aca="false">IF(K62="","",RANK(K62,$K$5:$K$525))</f>
        <v>13</v>
      </c>
      <c r="M62" s="25" t="n">
        <v>0.0190363349131122</v>
      </c>
      <c r="N62" s="19" t="n">
        <v>12.5</v>
      </c>
      <c r="O62" s="17" t="n">
        <f aca="false">IF(N62="","",RANK(N62,$N$5:$N$525))</f>
        <v>457</v>
      </c>
      <c r="P62" s="17" t="str">
        <f aca="false">IF(AND(N(H62)&gt;=N(K62),N(H62)&gt;=N(N62)),"The Pulse",IF(N(K62)&gt;=N(N62),"The Lens","The Hub"))</f>
        <v>The Lens</v>
      </c>
      <c r="Q62" s="20" t="s">
        <v>74</v>
      </c>
      <c r="R62" s="27" t="s">
        <v>832</v>
      </c>
      <c r="S62" s="17" t="s">
        <v>24</v>
      </c>
    </row>
    <row r="63" customFormat="false" ht="15" hidden="false" customHeight="false" outlineLevel="0" collapsed="false">
      <c r="A63" s="17" t="s">
        <v>950</v>
      </c>
      <c r="B63" s="17" t="s">
        <v>951</v>
      </c>
      <c r="C63" s="17" t="s">
        <v>2290</v>
      </c>
      <c r="D63" s="17" t="s">
        <v>86</v>
      </c>
      <c r="E63" s="18" t="n">
        <v>310750</v>
      </c>
      <c r="F63" s="17" t="s">
        <v>827</v>
      </c>
      <c r="G63" s="23" t="n">
        <v>2.93024142713061</v>
      </c>
      <c r="H63" s="19" t="n">
        <v>89.1</v>
      </c>
      <c r="I63" s="17" t="n">
        <f aca="false">IF(H63="","",RANK(H63,$H$5:$H$525))</f>
        <v>59</v>
      </c>
      <c r="J63" s="24" t="n">
        <v>0.113759363463675</v>
      </c>
      <c r="K63" s="19" t="n">
        <v>65.8</v>
      </c>
      <c r="L63" s="17" t="n">
        <f aca="false">IF(K63="","",RANK(K63,$K$5:$K$525))</f>
        <v>178</v>
      </c>
      <c r="M63" s="25" t="n">
        <v>0.0315721258024666</v>
      </c>
      <c r="N63" s="19" t="n">
        <v>20.8</v>
      </c>
      <c r="O63" s="17" t="n">
        <f aca="false">IF(N63="","",RANK(N63,$N$5:$N$525))</f>
        <v>415</v>
      </c>
      <c r="P63" s="17" t="str">
        <f aca="false">IF(AND(N(H63)&gt;=N(K63),N(H63)&gt;=N(N63)),"The Pulse",IF(N(K63)&gt;=N(N63),"The Lens","The Hub"))</f>
        <v>The Pulse</v>
      </c>
      <c r="Q63" s="21" t="s">
        <v>79</v>
      </c>
      <c r="R63" s="27" t="s">
        <v>832</v>
      </c>
      <c r="S63" s="17" t="s">
        <v>88</v>
      </c>
    </row>
    <row r="64" customFormat="false" ht="15" hidden="false" customHeight="false" outlineLevel="0" collapsed="false">
      <c r="A64" s="17" t="s">
        <v>1809</v>
      </c>
      <c r="B64" s="17" t="s">
        <v>1810</v>
      </c>
      <c r="C64" s="17" t="s">
        <v>2291</v>
      </c>
      <c r="D64" s="17" t="s">
        <v>98</v>
      </c>
      <c r="E64" s="18" t="n">
        <v>15117</v>
      </c>
      <c r="F64" s="17" t="s">
        <v>821</v>
      </c>
      <c r="G64" s="23" t="n">
        <v>2.92624197922868</v>
      </c>
      <c r="H64" s="19" t="n">
        <v>88.9</v>
      </c>
      <c r="I64" s="17" t="n">
        <f aca="false">IF(H64="","",RANK(H64,$H$5:$H$525))</f>
        <v>60</v>
      </c>
      <c r="J64" s="24" t="n">
        <v>0.0785530821917808</v>
      </c>
      <c r="K64" s="19" t="n">
        <v>39.9</v>
      </c>
      <c r="L64" s="17" t="n">
        <f aca="false">IF(K64="","",RANK(K64,$K$5:$K$525))</f>
        <v>314</v>
      </c>
      <c r="M64" s="25" t="n">
        <v>0.045985401459854</v>
      </c>
      <c r="N64" s="19" t="n">
        <v>29.4</v>
      </c>
      <c r="O64" s="17" t="n">
        <f aca="false">IF(N64="","",RANK(N64,$N$5:$N$525))</f>
        <v>369</v>
      </c>
      <c r="P64" s="17" t="str">
        <f aca="false">IF(AND(N(H64)&gt;=N(K64),N(H64)&gt;=N(N64)),"The Pulse",IF(N(K64)&gt;=N(N64),"The Lens","The Hub"))</f>
        <v>The Pulse</v>
      </c>
      <c r="Q64" s="21" t="s">
        <v>79</v>
      </c>
      <c r="R64" s="27" t="s">
        <v>832</v>
      </c>
      <c r="S64" s="17" t="s">
        <v>22</v>
      </c>
    </row>
    <row r="65" customFormat="false" ht="15" hidden="false" customHeight="false" outlineLevel="0" collapsed="false">
      <c r="A65" s="17" t="s">
        <v>137</v>
      </c>
      <c r="B65" s="17" t="s">
        <v>138</v>
      </c>
      <c r="C65" s="17" t="s">
        <v>2292</v>
      </c>
      <c r="D65" s="17" t="s">
        <v>82</v>
      </c>
      <c r="E65" s="18" t="n">
        <v>33594</v>
      </c>
      <c r="F65" s="17" t="s">
        <v>821</v>
      </c>
      <c r="G65" s="23" t="n">
        <v>2.85905221170447</v>
      </c>
      <c r="H65" s="19" t="n">
        <v>88.7</v>
      </c>
      <c r="I65" s="17" t="n">
        <f aca="false">IF(H65="","",RANK(H65,$H$5:$H$525))</f>
        <v>61</v>
      </c>
      <c r="J65" s="24" t="n">
        <v>0.0429032658636533</v>
      </c>
      <c r="K65" s="19" t="n">
        <v>24.7</v>
      </c>
      <c r="L65" s="17" t="n">
        <f aca="false">IF(K65="","",RANK(K65,$K$5:$K$525))</f>
        <v>394</v>
      </c>
      <c r="M65" s="25" t="n">
        <v>0.0393530098382525</v>
      </c>
      <c r="N65" s="19" t="n">
        <v>26</v>
      </c>
      <c r="O65" s="17" t="n">
        <f aca="false">IF(N65="","",RANK(N65,$N$5:$N$525))</f>
        <v>387</v>
      </c>
      <c r="P65" s="17" t="str">
        <f aca="false">IF(AND(N(H65)&gt;=N(K65),N(H65)&gt;=N(N65)),"The Pulse",IF(N(K65)&gt;=N(N65),"The Lens","The Hub"))</f>
        <v>The Pulse</v>
      </c>
      <c r="Q65" s="21" t="s">
        <v>79</v>
      </c>
      <c r="R65" s="26" t="s">
        <v>822</v>
      </c>
      <c r="S65" s="17" t="s">
        <v>22</v>
      </c>
    </row>
    <row r="66" customFormat="false" ht="15" hidden="false" customHeight="false" outlineLevel="0" collapsed="false">
      <c r="A66" s="17" t="s">
        <v>2156</v>
      </c>
      <c r="B66" s="17" t="s">
        <v>2157</v>
      </c>
      <c r="C66" s="17" t="s">
        <v>2293</v>
      </c>
      <c r="D66" s="17" t="s">
        <v>123</v>
      </c>
      <c r="E66" s="18" t="n">
        <v>10380</v>
      </c>
      <c r="F66" s="17" t="s">
        <v>821</v>
      </c>
      <c r="G66" s="23" t="n">
        <v>2.85375722543353</v>
      </c>
      <c r="H66" s="19" t="n">
        <v>88.5</v>
      </c>
      <c r="I66" s="17" t="n">
        <f aca="false">IF(H66="","",RANK(H66,$H$5:$H$525))</f>
        <v>62</v>
      </c>
      <c r="J66" s="24" t="n">
        <v>0.221607626221019</v>
      </c>
      <c r="K66" s="19" t="n">
        <v>95.1</v>
      </c>
      <c r="L66" s="17" t="n">
        <f aca="false">IF(K66="","",RANK(K66,$K$5:$K$525))</f>
        <v>29</v>
      </c>
      <c r="M66" s="25" t="n">
        <v>0.15781990521327</v>
      </c>
      <c r="N66" s="19" t="n">
        <v>75.6</v>
      </c>
      <c r="O66" s="17" t="n">
        <f aca="false">IF(N66="","",RANK(N66,$N$5:$N$525))</f>
        <v>126</v>
      </c>
      <c r="P66" s="17" t="str">
        <f aca="false">IF(AND(N(H66)&gt;=N(K66),N(H66)&gt;=N(N66)),"The Pulse",IF(N(K66)&gt;=N(N66),"The Lens","The Hub"))</f>
        <v>The Lens</v>
      </c>
      <c r="Q66" s="21" t="s">
        <v>79</v>
      </c>
      <c r="R66" s="27" t="s">
        <v>832</v>
      </c>
      <c r="S66" s="17" t="s">
        <v>22</v>
      </c>
    </row>
    <row r="67" customFormat="false" ht="15" hidden="false" customHeight="false" outlineLevel="0" collapsed="false">
      <c r="A67" s="17" t="s">
        <v>2294</v>
      </c>
      <c r="B67" s="17" t="s">
        <v>2295</v>
      </c>
      <c r="C67" s="17" t="s">
        <v>2296</v>
      </c>
      <c r="D67" s="17" t="s">
        <v>72</v>
      </c>
      <c r="E67" s="18" t="n">
        <v>228201</v>
      </c>
      <c r="F67" s="17" t="s">
        <v>827</v>
      </c>
      <c r="G67" s="23" t="n">
        <v>2.82130227299617</v>
      </c>
      <c r="H67" s="19" t="n">
        <v>88.4</v>
      </c>
      <c r="I67" s="17" t="n">
        <f aca="false">IF(H67="","",RANK(H67,$H$5:$H$525))</f>
        <v>63</v>
      </c>
      <c r="J67" s="24" t="n">
        <v>0.0565056760310376</v>
      </c>
      <c r="K67" s="19" t="n">
        <v>36</v>
      </c>
      <c r="L67" s="17" t="n">
        <f aca="false">IF(K67="","",RANK(K67,$K$5:$K$525))</f>
        <v>334</v>
      </c>
      <c r="M67" s="25" t="n">
        <v>0.141972405142678</v>
      </c>
      <c r="N67" s="19" t="n">
        <v>71.5</v>
      </c>
      <c r="O67" s="17" t="n">
        <f aca="false">IF(N67="","",RANK(N67,$N$5:$N$525))</f>
        <v>147</v>
      </c>
      <c r="P67" s="17" t="str">
        <f aca="false">IF(AND(N(H67)&gt;=N(K67),N(H67)&gt;=N(N67)),"The Pulse",IF(N(K67)&gt;=N(N67),"The Lens","The Hub"))</f>
        <v>The Pulse</v>
      </c>
      <c r="Q67" s="21" t="s">
        <v>79</v>
      </c>
      <c r="R67" s="27" t="s">
        <v>832</v>
      </c>
      <c r="S67" s="17" t="s">
        <v>22</v>
      </c>
    </row>
    <row r="68" customFormat="false" ht="15" hidden="false" customHeight="false" outlineLevel="0" collapsed="false">
      <c r="A68" s="17" t="s">
        <v>849</v>
      </c>
      <c r="B68" s="17" t="s">
        <v>850</v>
      </c>
      <c r="C68" s="17" t="s">
        <v>2297</v>
      </c>
      <c r="D68" s="17" t="s">
        <v>98</v>
      </c>
      <c r="E68" s="18" t="n">
        <v>223568</v>
      </c>
      <c r="F68" s="17" t="s">
        <v>827</v>
      </c>
      <c r="G68" s="23" t="n">
        <v>2.8052180991913</v>
      </c>
      <c r="H68" s="19" t="n">
        <v>88</v>
      </c>
      <c r="I68" s="17" t="n">
        <f aca="false">IF(H68="","",RANK(H68,$H$5:$H$525))</f>
        <v>64</v>
      </c>
      <c r="J68" s="24" t="n">
        <v>0.0630604928057212</v>
      </c>
      <c r="K68" s="19" t="n">
        <v>39.1</v>
      </c>
      <c r="L68" s="17" t="n">
        <f aca="false">IF(K68="","",RANK(K68,$K$5:$K$525))</f>
        <v>318</v>
      </c>
      <c r="M68" s="25" t="n">
        <v>0.0358053346524105</v>
      </c>
      <c r="N68" s="19" t="n">
        <v>23.3</v>
      </c>
      <c r="O68" s="17" t="n">
        <f aca="false">IF(N68="","",RANK(N68,$N$5:$N$525))</f>
        <v>402</v>
      </c>
      <c r="P68" s="17" t="str">
        <f aca="false">IF(AND(N(H68)&gt;=N(K68),N(H68)&gt;=N(N68)),"The Pulse",IF(N(K68)&gt;=N(N68),"The Lens","The Hub"))</f>
        <v>The Pulse</v>
      </c>
      <c r="Q68" s="21" t="s">
        <v>79</v>
      </c>
      <c r="R68" s="27" t="s">
        <v>832</v>
      </c>
      <c r="S68" s="17" t="s">
        <v>22</v>
      </c>
    </row>
    <row r="69" customFormat="false" ht="15" hidden="false" customHeight="false" outlineLevel="0" collapsed="false">
      <c r="A69" s="17" t="s">
        <v>253</v>
      </c>
      <c r="B69" s="17" t="s">
        <v>254</v>
      </c>
      <c r="C69" s="17" t="s">
        <v>2298</v>
      </c>
      <c r="D69" s="17" t="s">
        <v>95</v>
      </c>
      <c r="E69" s="18" t="n">
        <v>187470</v>
      </c>
      <c r="F69" s="17" t="s">
        <v>827</v>
      </c>
      <c r="G69" s="23" t="n">
        <v>2.79541793353603</v>
      </c>
      <c r="H69" s="19" t="n">
        <v>87.8</v>
      </c>
      <c r="I69" s="17" t="n">
        <f aca="false">IF(H69="","",RANK(H69,$H$5:$H$525))</f>
        <v>65</v>
      </c>
      <c r="J69" s="24" t="n">
        <v>0.141508859526274</v>
      </c>
      <c r="K69" s="19" t="n">
        <v>77.6</v>
      </c>
      <c r="L69" s="17" t="n">
        <f aca="false">IF(K69="","",RANK(K69,$K$5:$K$525))</f>
        <v>118</v>
      </c>
      <c r="M69" s="25" t="n">
        <v>0.188344268622154</v>
      </c>
      <c r="N69" s="19" t="n">
        <v>82.1</v>
      </c>
      <c r="O69" s="17" t="n">
        <f aca="false">IF(N69="","",RANK(N69,$N$5:$N$525))</f>
        <v>93</v>
      </c>
      <c r="P69" s="17" t="str">
        <f aca="false">IF(AND(N(H69)&gt;=N(K69),N(H69)&gt;=N(N69)),"The Pulse",IF(N(K69)&gt;=N(N69),"The Lens","The Hub"))</f>
        <v>The Pulse</v>
      </c>
      <c r="Q69" s="20" t="s">
        <v>74</v>
      </c>
      <c r="R69" s="26" t="s">
        <v>822</v>
      </c>
      <c r="S69" s="17" t="s">
        <v>24</v>
      </c>
    </row>
    <row r="70" customFormat="false" ht="15" hidden="false" customHeight="false" outlineLevel="0" collapsed="false">
      <c r="A70" s="17" t="s">
        <v>128</v>
      </c>
      <c r="B70" s="17" t="s">
        <v>129</v>
      </c>
      <c r="C70" s="17" t="s">
        <v>2299</v>
      </c>
      <c r="D70" s="17" t="s">
        <v>82</v>
      </c>
      <c r="E70" s="18" t="n">
        <v>53974</v>
      </c>
      <c r="F70" s="17" t="s">
        <v>821</v>
      </c>
      <c r="G70" s="23" t="n">
        <v>2.7624226479416</v>
      </c>
      <c r="H70" s="19" t="n">
        <v>87.7</v>
      </c>
      <c r="I70" s="17" t="n">
        <f aca="false">IF(H70="","",RANK(H70,$H$5:$H$525))</f>
        <v>66</v>
      </c>
      <c r="J70" s="24" t="n">
        <v>0.0862145300865365</v>
      </c>
      <c r="K70" s="19" t="n">
        <v>44.5</v>
      </c>
      <c r="L70" s="17" t="n">
        <f aca="false">IF(K70="","",RANK(K70,$K$5:$K$525))</f>
        <v>290</v>
      </c>
      <c r="M70" s="25" t="n">
        <v>0.199606040709127</v>
      </c>
      <c r="N70" s="19" t="n">
        <v>85.1</v>
      </c>
      <c r="O70" s="17" t="n">
        <f aca="false">IF(N70="","",RANK(N70,$N$5:$N$525))</f>
        <v>78</v>
      </c>
      <c r="P70" s="17" t="str">
        <f aca="false">IF(AND(N(H70)&gt;=N(K70),N(H70)&gt;=N(N70)),"The Pulse",IF(N(K70)&gt;=N(N70),"The Lens","The Hub"))</f>
        <v>The Pulse</v>
      </c>
      <c r="Q70" s="21" t="s">
        <v>79</v>
      </c>
      <c r="R70" s="26" t="s">
        <v>822</v>
      </c>
      <c r="S70" s="17" t="s">
        <v>22</v>
      </c>
    </row>
    <row r="71" customFormat="false" ht="15" hidden="false" customHeight="false" outlineLevel="0" collapsed="false">
      <c r="A71" s="17" t="s">
        <v>219</v>
      </c>
      <c r="B71" s="17" t="s">
        <v>220</v>
      </c>
      <c r="C71" s="17" t="s">
        <v>2300</v>
      </c>
      <c r="D71" s="17" t="s">
        <v>98</v>
      </c>
      <c r="E71" s="18" t="n">
        <v>126028</v>
      </c>
      <c r="F71" s="17" t="s">
        <v>827</v>
      </c>
      <c r="G71" s="23" t="n">
        <v>2.7619179864792</v>
      </c>
      <c r="H71" s="19" t="n">
        <v>87.5</v>
      </c>
      <c r="I71" s="17" t="n">
        <f aca="false">IF(H71="","",RANK(H71,$H$5:$H$525))</f>
        <v>67</v>
      </c>
      <c r="J71" s="24" t="n">
        <v>0.0521095954452106</v>
      </c>
      <c r="K71" s="19" t="n">
        <v>32.3</v>
      </c>
      <c r="L71" s="17" t="n">
        <f aca="false">IF(K71="","",RANK(K71,$K$5:$K$525))</f>
        <v>354</v>
      </c>
      <c r="M71" s="25" t="n">
        <v>0.031961616534416</v>
      </c>
      <c r="N71" s="19" t="n">
        <v>21.1</v>
      </c>
      <c r="O71" s="17" t="n">
        <f aca="false">IF(N71="","",RANK(N71,$N$5:$N$525))</f>
        <v>413</v>
      </c>
      <c r="P71" s="17" t="str">
        <f aca="false">IF(AND(N(H71)&gt;=N(K71),N(H71)&gt;=N(N71)),"The Pulse",IF(N(K71)&gt;=N(N71),"The Lens","The Hub"))</f>
        <v>The Pulse</v>
      </c>
      <c r="Q71" s="21" t="s">
        <v>79</v>
      </c>
      <c r="R71" s="26" t="s">
        <v>822</v>
      </c>
      <c r="S71" s="17" t="s">
        <v>22</v>
      </c>
    </row>
    <row r="72" customFormat="false" ht="15" hidden="false" customHeight="false" outlineLevel="0" collapsed="false">
      <c r="A72" s="17" t="s">
        <v>2301</v>
      </c>
      <c r="B72" s="17" t="s">
        <v>2302</v>
      </c>
      <c r="C72" s="17" t="s">
        <v>2303</v>
      </c>
      <c r="D72" s="17" t="s">
        <v>95</v>
      </c>
      <c r="E72" s="18" t="n">
        <v>3526</v>
      </c>
      <c r="F72" s="17" t="s">
        <v>825</v>
      </c>
      <c r="G72" s="23" t="n">
        <v>2.71639251276234</v>
      </c>
      <c r="H72" s="19" t="n">
        <v>87.3</v>
      </c>
      <c r="I72" s="17" t="n">
        <f aca="false">IF(H72="","",RANK(H72,$H$5:$H$525))</f>
        <v>68</v>
      </c>
      <c r="J72" s="24" t="n">
        <v>-0.20460184976314</v>
      </c>
      <c r="K72" s="19" t="n">
        <v>1.2</v>
      </c>
      <c r="L72" s="17" t="n">
        <f aca="false">IF(K72="","",RANK(K72,$K$5:$K$525))</f>
        <v>517</v>
      </c>
      <c r="M72" s="25" t="n">
        <v>0.0992555831265509</v>
      </c>
      <c r="N72" s="19" t="n">
        <v>58.8</v>
      </c>
      <c r="O72" s="17" t="n">
        <f aca="false">IF(N72="","",RANK(N72,$N$5:$N$525))</f>
        <v>215</v>
      </c>
      <c r="P72" s="17" t="str">
        <f aca="false">IF(AND(N(H72)&gt;=N(K72),N(H72)&gt;=N(N72)),"The Pulse",IF(N(K72)&gt;=N(N72),"The Lens","The Hub"))</f>
        <v>The Pulse</v>
      </c>
      <c r="Q72" s="21" t="s">
        <v>79</v>
      </c>
      <c r="R72" s="27" t="s">
        <v>832</v>
      </c>
      <c r="S72" s="17" t="s">
        <v>22</v>
      </c>
    </row>
    <row r="73" customFormat="false" ht="15" hidden="false" customHeight="false" outlineLevel="0" collapsed="false">
      <c r="A73" s="17" t="s">
        <v>158</v>
      </c>
      <c r="B73" s="17" t="s">
        <v>159</v>
      </c>
      <c r="C73" s="17" t="s">
        <v>2304</v>
      </c>
      <c r="D73" s="17" t="s">
        <v>86</v>
      </c>
      <c r="E73" s="18" t="n">
        <v>5700</v>
      </c>
      <c r="F73" s="17" t="s">
        <v>825</v>
      </c>
      <c r="G73" s="23" t="n">
        <v>2.70333333333333</v>
      </c>
      <c r="H73" s="19" t="n">
        <v>87.1</v>
      </c>
      <c r="I73" s="17" t="n">
        <f aca="false">IF(H73="","",RANK(H73,$H$5:$H$525))</f>
        <v>69</v>
      </c>
      <c r="J73" s="24" t="n">
        <v>0.258278145695364</v>
      </c>
      <c r="K73" s="19" t="n">
        <v>97.5</v>
      </c>
      <c r="L73" s="17" t="n">
        <f aca="false">IF(K73="","",RANK(K73,$K$5:$K$525))</f>
        <v>16</v>
      </c>
      <c r="M73" s="25" t="n">
        <v>0.0313014827018122</v>
      </c>
      <c r="N73" s="19" t="n">
        <v>20.4</v>
      </c>
      <c r="O73" s="17" t="n">
        <f aca="false">IF(N73="","",RANK(N73,$N$5:$N$525))</f>
        <v>417</v>
      </c>
      <c r="P73" s="17" t="str">
        <f aca="false">IF(AND(N(H73)&gt;=N(K73),N(H73)&gt;=N(N73)),"The Pulse",IF(N(K73)&gt;=N(N73),"The Lens","The Hub"))</f>
        <v>The Lens</v>
      </c>
      <c r="Q73" s="20" t="s">
        <v>74</v>
      </c>
      <c r="R73" s="26" t="s">
        <v>822</v>
      </c>
      <c r="S73" s="17" t="s">
        <v>24</v>
      </c>
    </row>
    <row r="74" customFormat="false" ht="15" hidden="false" customHeight="false" outlineLevel="0" collapsed="false">
      <c r="A74" s="17" t="s">
        <v>143</v>
      </c>
      <c r="B74" s="17" t="s">
        <v>144</v>
      </c>
      <c r="C74" s="17" t="s">
        <v>2305</v>
      </c>
      <c r="D74" s="17" t="s">
        <v>98</v>
      </c>
      <c r="E74" s="18" t="n">
        <v>41510</v>
      </c>
      <c r="F74" s="17" t="s">
        <v>821</v>
      </c>
      <c r="G74" s="23" t="n">
        <v>2.68655745603469</v>
      </c>
      <c r="H74" s="19" t="n">
        <v>86.8</v>
      </c>
      <c r="I74" s="17" t="n">
        <f aca="false">IF(H74="","",RANK(H74,$H$5:$H$525))</f>
        <v>70</v>
      </c>
      <c r="J74" s="24" t="n">
        <v>0.189057576625609</v>
      </c>
      <c r="K74" s="19" t="n">
        <v>89.9</v>
      </c>
      <c r="L74" s="17" t="n">
        <f aca="false">IF(K74="","",RANK(K74,$K$5:$K$525))</f>
        <v>58</v>
      </c>
      <c r="M74" s="25" t="n">
        <v>0.115086314736052</v>
      </c>
      <c r="N74" s="19" t="n">
        <v>64.2</v>
      </c>
      <c r="O74" s="17" t="n">
        <f aca="false">IF(N74="","",RANK(N74,$N$5:$N$525))</f>
        <v>186</v>
      </c>
      <c r="P74" s="17" t="str">
        <f aca="false">IF(AND(N(H74)&gt;=N(K74),N(H74)&gt;=N(N74)),"The Pulse",IF(N(K74)&gt;=N(N74),"The Lens","The Hub"))</f>
        <v>The Lens</v>
      </c>
      <c r="Q74" s="20" t="s">
        <v>74</v>
      </c>
      <c r="R74" s="26" t="s">
        <v>822</v>
      </c>
      <c r="S74" s="17" t="s">
        <v>24</v>
      </c>
    </row>
    <row r="75" customFormat="false" ht="15" hidden="false" customHeight="false" outlineLevel="0" collapsed="false">
      <c r="A75" s="17" t="s">
        <v>519</v>
      </c>
      <c r="B75" s="17" t="s">
        <v>520</v>
      </c>
      <c r="C75" s="17" t="s">
        <v>2306</v>
      </c>
      <c r="D75" s="17" t="s">
        <v>123</v>
      </c>
      <c r="E75" s="18" t="n">
        <v>14740</v>
      </c>
      <c r="F75" s="17" t="s">
        <v>821</v>
      </c>
      <c r="G75" s="23" t="n">
        <v>2.67740841248304</v>
      </c>
      <c r="H75" s="19" t="n">
        <v>86.6</v>
      </c>
      <c r="I75" s="17" t="n">
        <f aca="false">IF(H75="","",RANK(H75,$H$5:$H$525))</f>
        <v>71</v>
      </c>
      <c r="J75" s="24" t="n">
        <v>0.0983606557377049</v>
      </c>
      <c r="K75" s="19" t="n">
        <v>51.9</v>
      </c>
      <c r="L75" s="17" t="n">
        <f aca="false">IF(K75="","",RANK(K75,$K$5:$K$525))</f>
        <v>251</v>
      </c>
      <c r="M75" s="25" t="n">
        <v>0.180405697022011</v>
      </c>
      <c r="N75" s="19" t="n">
        <v>80.5</v>
      </c>
      <c r="O75" s="17" t="n">
        <f aca="false">IF(N75="","",RANK(N75,$N$5:$N$525))</f>
        <v>101</v>
      </c>
      <c r="P75" s="17" t="str">
        <f aca="false">IF(AND(N(H75)&gt;=N(K75),N(H75)&gt;=N(N75)),"The Pulse",IF(N(K75)&gt;=N(N75),"The Lens","The Hub"))</f>
        <v>The Pulse</v>
      </c>
      <c r="Q75" s="20" t="s">
        <v>74</v>
      </c>
      <c r="R75" s="26" t="s">
        <v>822</v>
      </c>
      <c r="S75" s="17" t="s">
        <v>24</v>
      </c>
    </row>
    <row r="76" customFormat="false" ht="15" hidden="false" customHeight="false" outlineLevel="0" collapsed="false">
      <c r="A76" s="17" t="s">
        <v>461</v>
      </c>
      <c r="B76" s="17" t="s">
        <v>462</v>
      </c>
      <c r="C76" s="17" t="s">
        <v>2307</v>
      </c>
      <c r="D76" s="17" t="s">
        <v>115</v>
      </c>
      <c r="E76" s="18" t="n">
        <v>185270</v>
      </c>
      <c r="F76" s="17" t="s">
        <v>827</v>
      </c>
      <c r="G76" s="23" t="n">
        <v>2.66192583796621</v>
      </c>
      <c r="H76" s="19" t="n">
        <v>86.4</v>
      </c>
      <c r="I76" s="17" t="n">
        <f aca="false">IF(H76="","",RANK(H76,$H$5:$H$525))</f>
        <v>72</v>
      </c>
      <c r="J76" s="24" t="n">
        <v>0.109999400874723</v>
      </c>
      <c r="K76" s="19" t="n">
        <v>64.6</v>
      </c>
      <c r="L76" s="17" t="n">
        <f aca="false">IF(K76="","",RANK(K76,$K$5:$K$525))</f>
        <v>184</v>
      </c>
      <c r="M76" s="25" t="n">
        <v>0.150711592263715</v>
      </c>
      <c r="N76" s="19" t="n">
        <v>73.7</v>
      </c>
      <c r="O76" s="17" t="n">
        <f aca="false">IF(N76="","",RANK(N76,$N$5:$N$525))</f>
        <v>136</v>
      </c>
      <c r="P76" s="17" t="str">
        <f aca="false">IF(AND(N(H76)&gt;=N(K76),N(H76)&gt;=N(N76)),"The Pulse",IF(N(K76)&gt;=N(N76),"The Lens","The Hub"))</f>
        <v>The Pulse</v>
      </c>
      <c r="Q76" s="20" t="s">
        <v>74</v>
      </c>
      <c r="R76" s="26" t="s">
        <v>822</v>
      </c>
      <c r="S76" s="17" t="s">
        <v>24</v>
      </c>
    </row>
    <row r="77" customFormat="false" ht="15" hidden="false" customHeight="false" outlineLevel="0" collapsed="false">
      <c r="A77" s="17" t="s">
        <v>175</v>
      </c>
      <c r="B77" s="17" t="s">
        <v>176</v>
      </c>
      <c r="C77" s="17" t="s">
        <v>2308</v>
      </c>
      <c r="D77" s="17" t="s">
        <v>162</v>
      </c>
      <c r="E77" s="18" t="n">
        <v>48650</v>
      </c>
      <c r="F77" s="17" t="s">
        <v>821</v>
      </c>
      <c r="G77" s="23" t="n">
        <v>2.64702980472765</v>
      </c>
      <c r="H77" s="19" t="n">
        <v>86.2</v>
      </c>
      <c r="I77" s="17" t="n">
        <f aca="false">IF(H77="","",RANK(H77,$H$5:$H$525))</f>
        <v>73</v>
      </c>
      <c r="J77" s="24" t="n">
        <v>-0.0316480891719745</v>
      </c>
      <c r="K77" s="19" t="n">
        <v>4.5</v>
      </c>
      <c r="L77" s="17" t="n">
        <f aca="false">IF(K77="","",RANK(K77,$K$5:$K$525))</f>
        <v>499</v>
      </c>
      <c r="M77" s="25" t="n">
        <v>0.275030496387351</v>
      </c>
      <c r="N77" s="19" t="n">
        <v>95</v>
      </c>
      <c r="O77" s="17" t="n">
        <f aca="false">IF(N77="","",RANK(N77,$N$5:$N$525))</f>
        <v>26</v>
      </c>
      <c r="P77" s="17" t="str">
        <f aca="false">IF(AND(N(H77)&gt;=N(K77),N(H77)&gt;=N(N77)),"The Pulse",IF(N(K77)&gt;=N(N77),"The Lens","The Hub"))</f>
        <v>The Hub</v>
      </c>
      <c r="Q77" s="20" t="s">
        <v>74</v>
      </c>
      <c r="R77" s="26" t="s">
        <v>822</v>
      </c>
      <c r="S77" s="17" t="s">
        <v>24</v>
      </c>
    </row>
    <row r="78" customFormat="false" ht="15" hidden="false" customHeight="false" outlineLevel="0" collapsed="false">
      <c r="A78" s="17" t="s">
        <v>135</v>
      </c>
      <c r="B78" s="17" t="s">
        <v>136</v>
      </c>
      <c r="C78" s="17" t="s">
        <v>2309</v>
      </c>
      <c r="D78" s="17" t="s">
        <v>82</v>
      </c>
      <c r="E78" s="18" t="n">
        <v>44236</v>
      </c>
      <c r="F78" s="17" t="s">
        <v>821</v>
      </c>
      <c r="G78" s="23" t="n">
        <v>2.62629984627905</v>
      </c>
      <c r="H78" s="19" t="n">
        <v>86.1</v>
      </c>
      <c r="I78" s="17" t="n">
        <f aca="false">IF(H78="","",RANK(H78,$H$5:$H$525))</f>
        <v>74</v>
      </c>
      <c r="J78" s="24" t="n">
        <v>0.14500181187555</v>
      </c>
      <c r="K78" s="19" t="n">
        <v>74.7</v>
      </c>
      <c r="L78" s="17" t="n">
        <f aca="false">IF(K78="","",RANK(K78,$K$5:$K$525))</f>
        <v>134</v>
      </c>
      <c r="M78" s="25" t="n">
        <v>0.130815292491939</v>
      </c>
      <c r="N78" s="19" t="n">
        <v>68.5</v>
      </c>
      <c r="O78" s="17" t="n">
        <f aca="false">IF(N78="","",RANK(N78,$N$5:$N$525))</f>
        <v>163</v>
      </c>
      <c r="P78" s="17" t="str">
        <f aca="false">IF(AND(N(H78)&gt;=N(K78),N(H78)&gt;=N(N78)),"The Pulse",IF(N(K78)&gt;=N(N78),"The Lens","The Hub"))</f>
        <v>The Pulse</v>
      </c>
      <c r="Q78" s="21" t="s">
        <v>79</v>
      </c>
      <c r="R78" s="26" t="s">
        <v>822</v>
      </c>
      <c r="S78" s="17" t="s">
        <v>22</v>
      </c>
    </row>
    <row r="79" customFormat="false" ht="15" hidden="false" customHeight="false" outlineLevel="0" collapsed="false">
      <c r="A79" s="17" t="s">
        <v>1157</v>
      </c>
      <c r="B79" s="17" t="s">
        <v>1158</v>
      </c>
      <c r="C79" s="17" t="s">
        <v>2310</v>
      </c>
      <c r="D79" s="17" t="s">
        <v>86</v>
      </c>
      <c r="E79" s="18" t="n">
        <v>150336</v>
      </c>
      <c r="F79" s="17" t="s">
        <v>827</v>
      </c>
      <c r="G79" s="23" t="n">
        <v>2.62092246700724</v>
      </c>
      <c r="H79" s="19" t="n">
        <v>85.9</v>
      </c>
      <c r="I79" s="17" t="n">
        <f aca="false">IF(H79="","",RANK(H79,$H$5:$H$525))</f>
        <v>75</v>
      </c>
      <c r="J79" s="24" t="n">
        <v>0.047250841152745</v>
      </c>
      <c r="K79" s="19" t="n">
        <v>28.6</v>
      </c>
      <c r="L79" s="17" t="n">
        <f aca="false">IF(K79="","",RANK(K79,$K$5:$K$525))</f>
        <v>373</v>
      </c>
      <c r="M79" s="25" t="n">
        <v>0.059408095169012</v>
      </c>
      <c r="N79" s="19" t="n">
        <v>36.9</v>
      </c>
      <c r="O79" s="17" t="n">
        <f aca="false">IF(N79="","",RANK(N79,$N$5:$N$525))</f>
        <v>329</v>
      </c>
      <c r="P79" s="17" t="str">
        <f aca="false">IF(AND(N(H79)&gt;=N(K79),N(H79)&gt;=N(N79)),"The Pulse",IF(N(K79)&gt;=N(N79),"The Lens","The Hub"))</f>
        <v>The Pulse</v>
      </c>
      <c r="Q79" s="21" t="s">
        <v>79</v>
      </c>
      <c r="R79" s="27" t="s">
        <v>832</v>
      </c>
      <c r="S79" s="17" t="s">
        <v>22</v>
      </c>
    </row>
    <row r="80" customFormat="false" ht="15" hidden="false" customHeight="false" outlineLevel="0" collapsed="false">
      <c r="A80" s="17" t="s">
        <v>283</v>
      </c>
      <c r="B80" s="17" t="s">
        <v>284</v>
      </c>
      <c r="C80" s="17" t="s">
        <v>2311</v>
      </c>
      <c r="D80" s="17" t="s">
        <v>162</v>
      </c>
      <c r="E80" s="18" t="n">
        <v>20660</v>
      </c>
      <c r="F80" s="17" t="s">
        <v>821</v>
      </c>
      <c r="G80" s="23" t="n">
        <v>2.58751210067764</v>
      </c>
      <c r="H80" s="19" t="n">
        <v>85.5</v>
      </c>
      <c r="I80" s="17" t="n">
        <f aca="false">IF(H80="","",RANK(H80,$H$5:$H$525))</f>
        <v>76</v>
      </c>
      <c r="J80" s="24" t="n">
        <v>0.0212555610479486</v>
      </c>
      <c r="K80" s="19" t="n">
        <v>16.9</v>
      </c>
      <c r="L80" s="17" t="n">
        <f aca="false">IF(K80="","",RANK(K80,$K$5:$K$525))</f>
        <v>435</v>
      </c>
      <c r="M80" s="25" t="n">
        <v>0.0651607298001738</v>
      </c>
      <c r="N80" s="19" t="n">
        <v>41.9</v>
      </c>
      <c r="O80" s="17" t="n">
        <f aca="false">IF(N80="","",RANK(N80,$N$5:$N$525))</f>
        <v>302</v>
      </c>
      <c r="P80" s="17" t="str">
        <f aca="false">IF(AND(N(H80)&gt;=N(K80),N(H80)&gt;=N(N80)),"The Pulse",IF(N(K80)&gt;=N(N80),"The Lens","The Hub"))</f>
        <v>The Pulse</v>
      </c>
      <c r="Q80" s="20" t="s">
        <v>74</v>
      </c>
      <c r="R80" s="26" t="s">
        <v>822</v>
      </c>
      <c r="S80" s="17" t="s">
        <v>24</v>
      </c>
    </row>
    <row r="81" customFormat="false" ht="15" hidden="false" customHeight="false" outlineLevel="0" collapsed="false">
      <c r="A81" s="17" t="s">
        <v>2312</v>
      </c>
      <c r="B81" s="17" t="s">
        <v>2313</v>
      </c>
      <c r="C81" s="17" t="s">
        <v>2314</v>
      </c>
      <c r="D81" s="17" t="s">
        <v>95</v>
      </c>
      <c r="E81" s="18" t="n">
        <v>9194</v>
      </c>
      <c r="F81" s="17" t="s">
        <v>825</v>
      </c>
      <c r="G81" s="23" t="n">
        <v>2.57678921035458</v>
      </c>
      <c r="H81" s="19" t="n">
        <v>85.4</v>
      </c>
      <c r="I81" s="17" t="n">
        <f aca="false">IF(H81="","",RANK(H81,$H$5:$H$525))</f>
        <v>77</v>
      </c>
      <c r="J81" s="24" t="n">
        <v>0.111594728569701</v>
      </c>
      <c r="K81" s="19" t="n">
        <v>50</v>
      </c>
      <c r="L81" s="17" t="n">
        <f aca="false">IF(K81="","",RANK(K81,$K$5:$K$525))</f>
        <v>260</v>
      </c>
      <c r="M81" s="25" t="n">
        <v>0.0775316455696203</v>
      </c>
      <c r="N81" s="19" t="n">
        <v>48.2</v>
      </c>
      <c r="O81" s="17" t="n">
        <f aca="false">IF(N81="","",RANK(N81,$N$5:$N$525))</f>
        <v>269</v>
      </c>
      <c r="P81" s="17" t="str">
        <f aca="false">IF(AND(N(H81)&gt;=N(K81),N(H81)&gt;=N(N81)),"The Pulse",IF(N(K81)&gt;=N(N81),"The Lens","The Hub"))</f>
        <v>The Pulse</v>
      </c>
      <c r="Q81" s="21" t="s">
        <v>79</v>
      </c>
      <c r="R81" s="27" t="s">
        <v>832</v>
      </c>
      <c r="S81" s="17" t="s">
        <v>22</v>
      </c>
    </row>
    <row r="82" customFormat="false" ht="15" hidden="false" customHeight="false" outlineLevel="0" collapsed="false">
      <c r="A82" s="17" t="s">
        <v>2012</v>
      </c>
      <c r="B82" s="17" t="s">
        <v>2013</v>
      </c>
      <c r="C82" s="17" t="s">
        <v>2315</v>
      </c>
      <c r="D82" s="17" t="s">
        <v>82</v>
      </c>
      <c r="E82" s="18" t="n">
        <v>812604</v>
      </c>
      <c r="F82" s="17" t="s">
        <v>827</v>
      </c>
      <c r="G82" s="23" t="n">
        <v>2.57627085271547</v>
      </c>
      <c r="H82" s="19" t="n">
        <v>85.2</v>
      </c>
      <c r="I82" s="17" t="n">
        <f aca="false">IF(H82="","",RANK(H82,$H$5:$H$525))</f>
        <v>78</v>
      </c>
      <c r="J82" s="24" t="n">
        <v>-0.151488698753866</v>
      </c>
      <c r="K82" s="19" t="n">
        <v>0.6</v>
      </c>
      <c r="L82" s="17" t="n">
        <f aca="false">IF(K82="","",RANK(K82,$K$5:$K$525))</f>
        <v>519</v>
      </c>
      <c r="M82" s="25" t="n">
        <v>0.115204248827617</v>
      </c>
      <c r="N82" s="19" t="n">
        <v>64.3</v>
      </c>
      <c r="O82" s="17" t="n">
        <f aca="false">IF(N82="","",RANK(N82,$N$5:$N$525))</f>
        <v>185</v>
      </c>
      <c r="P82" s="17" t="str">
        <f aca="false">IF(AND(N(H82)&gt;=N(K82),N(H82)&gt;=N(N82)),"The Pulse",IF(N(K82)&gt;=N(N82),"The Lens","The Hub"))</f>
        <v>The Pulse</v>
      </c>
      <c r="Q82" s="21" t="s">
        <v>79</v>
      </c>
      <c r="R82" s="27" t="s">
        <v>832</v>
      </c>
      <c r="S82" s="17" t="s">
        <v>22</v>
      </c>
    </row>
    <row r="83" customFormat="false" ht="15" hidden="false" customHeight="false" outlineLevel="0" collapsed="false">
      <c r="A83" s="17" t="s">
        <v>1582</v>
      </c>
      <c r="B83" s="17" t="s">
        <v>1583</v>
      </c>
      <c r="C83" s="17" t="s">
        <v>2316</v>
      </c>
      <c r="D83" s="17" t="s">
        <v>98</v>
      </c>
      <c r="E83" s="18" t="n">
        <v>10604</v>
      </c>
      <c r="F83" s="17" t="s">
        <v>821</v>
      </c>
      <c r="G83" s="23" t="n">
        <v>2.56007167106752</v>
      </c>
      <c r="H83" s="19" t="n">
        <v>85</v>
      </c>
      <c r="I83" s="17" t="n">
        <f aca="false">IF(H83="","",RANK(H83,$H$5:$H$525))</f>
        <v>79</v>
      </c>
      <c r="J83" s="24" t="n">
        <v>0.165018677213799</v>
      </c>
      <c r="K83" s="19" t="n">
        <v>84.1</v>
      </c>
      <c r="L83" s="17" t="n">
        <f aca="false">IF(K83="","",RANK(K83,$K$5:$K$525))</f>
        <v>86</v>
      </c>
      <c r="M83" s="25" t="n">
        <v>0.0446096654275093</v>
      </c>
      <c r="N83" s="19" t="n">
        <v>29</v>
      </c>
      <c r="O83" s="17" t="n">
        <f aca="false">IF(N83="","",RANK(N83,$N$5:$N$525))</f>
        <v>371</v>
      </c>
      <c r="P83" s="17" t="str">
        <f aca="false">IF(AND(N(H83)&gt;=N(K83),N(H83)&gt;=N(N83)),"The Pulse",IF(N(K83)&gt;=N(N83),"The Lens","The Hub"))</f>
        <v>The Pulse</v>
      </c>
      <c r="Q83" s="21" t="s">
        <v>79</v>
      </c>
      <c r="R83" s="27" t="s">
        <v>832</v>
      </c>
      <c r="S83" s="17" t="s">
        <v>88</v>
      </c>
    </row>
    <row r="84" customFormat="false" ht="15" hidden="false" customHeight="false" outlineLevel="0" collapsed="false">
      <c r="A84" s="17" t="s">
        <v>979</v>
      </c>
      <c r="B84" s="17" t="s">
        <v>980</v>
      </c>
      <c r="C84" s="17" t="s">
        <v>2317</v>
      </c>
      <c r="D84" s="17" t="s">
        <v>123</v>
      </c>
      <c r="E84" s="18" t="n">
        <v>333180</v>
      </c>
      <c r="F84" s="17" t="s">
        <v>827</v>
      </c>
      <c r="G84" s="23" t="n">
        <v>2.53219447323072</v>
      </c>
      <c r="H84" s="19" t="n">
        <v>84.8</v>
      </c>
      <c r="I84" s="17" t="n">
        <f aca="false">IF(H84="","",RANK(H84,$H$5:$H$525))</f>
        <v>80</v>
      </c>
      <c r="J84" s="24" t="n">
        <v>-0.00768406004288778</v>
      </c>
      <c r="K84" s="19" t="n">
        <v>11.2</v>
      </c>
      <c r="L84" s="17" t="n">
        <f aca="false">IF(K84="","",RANK(K84,$K$5:$K$525))</f>
        <v>464</v>
      </c>
      <c r="M84" s="25" t="n">
        <v>0.168520063015476</v>
      </c>
      <c r="N84" s="19" t="n">
        <v>78.1</v>
      </c>
      <c r="O84" s="17" t="n">
        <f aca="false">IF(N84="","",RANK(N84,$N$5:$N$525))</f>
        <v>114</v>
      </c>
      <c r="P84" s="17" t="str">
        <f aca="false">IF(AND(N(H84)&gt;=N(K84),N(H84)&gt;=N(N84)),"The Pulse",IF(N(K84)&gt;=N(N84),"The Lens","The Hub"))</f>
        <v>The Pulse</v>
      </c>
      <c r="Q84" s="21" t="s">
        <v>79</v>
      </c>
      <c r="R84" s="27" t="s">
        <v>832</v>
      </c>
      <c r="S84" s="17" t="s">
        <v>88</v>
      </c>
    </row>
    <row r="85" customFormat="false" ht="15" hidden="false" customHeight="false" outlineLevel="0" collapsed="false">
      <c r="A85" s="17" t="s">
        <v>1287</v>
      </c>
      <c r="B85" s="17" t="s">
        <v>1288</v>
      </c>
      <c r="C85" s="17" t="s">
        <v>2318</v>
      </c>
      <c r="D85" s="17" t="s">
        <v>98</v>
      </c>
      <c r="E85" s="18" t="n">
        <v>15543</v>
      </c>
      <c r="F85" s="17" t="s">
        <v>821</v>
      </c>
      <c r="G85" s="23" t="n">
        <v>2.52621758991186</v>
      </c>
      <c r="H85" s="19" t="n">
        <v>84.7</v>
      </c>
      <c r="I85" s="17" t="n">
        <f aca="false">IF(H85="","",RANK(H85,$H$5:$H$525))</f>
        <v>81</v>
      </c>
      <c r="J85" s="24" t="n">
        <v>0.117960152485075</v>
      </c>
      <c r="K85" s="19" t="n">
        <v>61.7</v>
      </c>
      <c r="L85" s="17" t="n">
        <f aca="false">IF(K85="","",RANK(K85,$K$5:$K$525))</f>
        <v>199</v>
      </c>
      <c r="M85" s="25" t="n">
        <v>0.0836526181353768</v>
      </c>
      <c r="N85" s="19" t="n">
        <v>51.3</v>
      </c>
      <c r="O85" s="17" t="n">
        <f aca="false">IF(N85="","",RANK(N85,$N$5:$N$525))</f>
        <v>253</v>
      </c>
      <c r="P85" s="17" t="str">
        <f aca="false">IF(AND(N(H85)&gt;=N(K85),N(H85)&gt;=N(N85)),"The Pulse",IF(N(K85)&gt;=N(N85),"The Lens","The Hub"))</f>
        <v>The Pulse</v>
      </c>
      <c r="Q85" s="21" t="s">
        <v>79</v>
      </c>
      <c r="R85" s="27" t="s">
        <v>832</v>
      </c>
      <c r="S85" s="17" t="s">
        <v>22</v>
      </c>
    </row>
    <row r="86" customFormat="false" ht="15" hidden="false" customHeight="false" outlineLevel="0" collapsed="false">
      <c r="A86" s="17" t="s">
        <v>139</v>
      </c>
      <c r="B86" s="17" t="s">
        <v>140</v>
      </c>
      <c r="C86" s="17" t="s">
        <v>2319</v>
      </c>
      <c r="D86" s="17" t="s">
        <v>77</v>
      </c>
      <c r="E86" s="18" t="n">
        <v>54392</v>
      </c>
      <c r="F86" s="17" t="s">
        <v>821</v>
      </c>
      <c r="G86" s="23" t="n">
        <v>2.4816700985439</v>
      </c>
      <c r="H86" s="19" t="n">
        <v>84.5</v>
      </c>
      <c r="I86" s="17" t="n">
        <f aca="false">IF(H86="","",RANK(H86,$H$5:$H$525))</f>
        <v>82</v>
      </c>
      <c r="J86" s="24" t="n">
        <v>0.0905445504852033</v>
      </c>
      <c r="K86" s="19" t="n">
        <v>48.1</v>
      </c>
      <c r="L86" s="17" t="n">
        <f aca="false">IF(K86="","",RANK(K86,$K$5:$K$525))</f>
        <v>272</v>
      </c>
      <c r="M86" s="25" t="n">
        <v>0.11129207383279</v>
      </c>
      <c r="N86" s="19" t="n">
        <v>62.7</v>
      </c>
      <c r="O86" s="17" t="n">
        <f aca="false">IF(N86="","",RANK(N86,$N$5:$N$525))</f>
        <v>194</v>
      </c>
      <c r="P86" s="17" t="str">
        <f aca="false">IF(AND(N(H86)&gt;=N(K86),N(H86)&gt;=N(N86)),"The Pulse",IF(N(K86)&gt;=N(N86),"The Lens","The Hub"))</f>
        <v>The Pulse</v>
      </c>
      <c r="Q86" s="21" t="s">
        <v>79</v>
      </c>
      <c r="R86" s="26" t="s">
        <v>822</v>
      </c>
      <c r="S86" s="17" t="s">
        <v>22</v>
      </c>
    </row>
    <row r="87" customFormat="false" ht="15" hidden="false" customHeight="false" outlineLevel="0" collapsed="false">
      <c r="A87" s="17" t="s">
        <v>1883</v>
      </c>
      <c r="B87" s="17" t="s">
        <v>1884</v>
      </c>
      <c r="C87" s="17" t="s">
        <v>2320</v>
      </c>
      <c r="D87" s="17" t="s">
        <v>123</v>
      </c>
      <c r="E87" s="18" t="n">
        <v>44004</v>
      </c>
      <c r="F87" s="17" t="s">
        <v>821</v>
      </c>
      <c r="G87" s="23" t="n">
        <v>2.48122897918371</v>
      </c>
      <c r="H87" s="19" t="n">
        <v>84.3</v>
      </c>
      <c r="I87" s="17" t="n">
        <f aca="false">IF(H87="","",RANK(H87,$H$5:$H$525))</f>
        <v>83</v>
      </c>
      <c r="J87" s="24" t="n">
        <v>0.124645385539397</v>
      </c>
      <c r="K87" s="19" t="n">
        <v>64.3</v>
      </c>
      <c r="L87" s="17" t="n">
        <f aca="false">IF(K87="","",RANK(K87,$K$5:$K$525))</f>
        <v>186</v>
      </c>
      <c r="M87" s="25" t="n">
        <v>0.0604504148557882</v>
      </c>
      <c r="N87" s="19" t="n">
        <v>38.4</v>
      </c>
      <c r="O87" s="17" t="n">
        <f aca="false">IF(N87="","",RANK(N87,$N$5:$N$525))</f>
        <v>322</v>
      </c>
      <c r="P87" s="17" t="str">
        <f aca="false">IF(AND(N(H87)&gt;=N(K87),N(H87)&gt;=N(N87)),"The Pulse",IF(N(K87)&gt;=N(N87),"The Lens","The Hub"))</f>
        <v>The Pulse</v>
      </c>
      <c r="Q87" s="21" t="s">
        <v>79</v>
      </c>
      <c r="R87" s="27" t="s">
        <v>832</v>
      </c>
      <c r="S87" s="17" t="s">
        <v>22</v>
      </c>
    </row>
    <row r="88" customFormat="false" ht="15" hidden="false" customHeight="false" outlineLevel="0" collapsed="false">
      <c r="A88" s="17" t="s">
        <v>141</v>
      </c>
      <c r="B88" s="17" t="s">
        <v>142</v>
      </c>
      <c r="C88" s="17" t="s">
        <v>2321</v>
      </c>
      <c r="D88" s="17" t="s">
        <v>72</v>
      </c>
      <c r="E88" s="18" t="n">
        <v>695720</v>
      </c>
      <c r="F88" s="17" t="s">
        <v>827</v>
      </c>
      <c r="G88" s="23" t="n">
        <v>2.45683033404243</v>
      </c>
      <c r="H88" s="19" t="n">
        <v>84.1</v>
      </c>
      <c r="I88" s="17" t="n">
        <f aca="false">IF(H88="","",RANK(H88,$H$5:$H$525))</f>
        <v>84</v>
      </c>
      <c r="J88" s="24" t="n">
        <v>0.14235047822339</v>
      </c>
      <c r="K88" s="19" t="n">
        <v>78.3</v>
      </c>
      <c r="L88" s="17" t="n">
        <f aca="false">IF(K88="","",RANK(K88,$K$5:$K$525))</f>
        <v>115</v>
      </c>
      <c r="M88" s="25" t="n">
        <v>0.0465149009535203</v>
      </c>
      <c r="N88" s="19" t="n">
        <v>30.1</v>
      </c>
      <c r="O88" s="17" t="n">
        <f aca="false">IF(N88="","",RANK(N88,$N$5:$N$525))</f>
        <v>365</v>
      </c>
      <c r="P88" s="17" t="str">
        <f aca="false">IF(AND(N(H88)&gt;=N(K88),N(H88)&gt;=N(N88)),"The Pulse",IF(N(K88)&gt;=N(N88),"The Lens","The Hub"))</f>
        <v>The Pulse</v>
      </c>
      <c r="Q88" s="21" t="s">
        <v>79</v>
      </c>
      <c r="R88" s="26" t="s">
        <v>822</v>
      </c>
      <c r="S88" s="17" t="s">
        <v>22</v>
      </c>
    </row>
    <row r="89" customFormat="false" ht="15" hidden="false" customHeight="false" outlineLevel="0" collapsed="false">
      <c r="A89" s="17" t="s">
        <v>2322</v>
      </c>
      <c r="B89" s="17" t="s">
        <v>2323</v>
      </c>
      <c r="C89" s="17" t="s">
        <v>2324</v>
      </c>
      <c r="D89" s="17" t="s">
        <v>115</v>
      </c>
      <c r="E89" s="18" t="n">
        <v>1016380</v>
      </c>
      <c r="F89" s="17" t="s">
        <v>935</v>
      </c>
      <c r="G89" s="23" t="n">
        <v>2.45313071882564</v>
      </c>
      <c r="H89" s="19" t="n">
        <v>84</v>
      </c>
      <c r="I89" s="17" t="n">
        <f aca="false">IF(H89="","",RANK(H89,$H$5:$H$525))</f>
        <v>85</v>
      </c>
      <c r="J89" s="24" t="n">
        <v>0.00737407576268163</v>
      </c>
      <c r="K89" s="19" t="n">
        <v>28.6</v>
      </c>
      <c r="L89" s="17" t="n">
        <f aca="false">IF(K89="","",RANK(K89,$K$5:$K$525))</f>
        <v>373</v>
      </c>
      <c r="M89" s="25" t="n">
        <v>0.039451895255946</v>
      </c>
      <c r="N89" s="19" t="n">
        <v>26.2</v>
      </c>
      <c r="O89" s="17" t="n">
        <f aca="false">IF(N89="","",RANK(N89,$N$5:$N$525))</f>
        <v>386</v>
      </c>
      <c r="P89" s="17" t="str">
        <f aca="false">IF(AND(N(H89)&gt;=N(K89),N(H89)&gt;=N(N89)),"The Pulse",IF(N(K89)&gt;=N(N89),"The Lens","The Hub"))</f>
        <v>The Pulse</v>
      </c>
      <c r="Q89" s="20" t="s">
        <v>74</v>
      </c>
      <c r="R89" s="27" t="s">
        <v>832</v>
      </c>
      <c r="S89" s="17" t="s">
        <v>24</v>
      </c>
    </row>
    <row r="90" customFormat="false" ht="15" hidden="false" customHeight="false" outlineLevel="0" collapsed="false">
      <c r="A90" s="17" t="s">
        <v>1866</v>
      </c>
      <c r="B90" s="17" t="s">
        <v>1867</v>
      </c>
      <c r="C90" s="17" t="s">
        <v>2325</v>
      </c>
      <c r="D90" s="17" t="s">
        <v>91</v>
      </c>
      <c r="E90" s="18" t="n">
        <v>89382</v>
      </c>
      <c r="F90" s="17" t="s">
        <v>821</v>
      </c>
      <c r="G90" s="23" t="n">
        <v>2.44731601441006</v>
      </c>
      <c r="H90" s="19" t="n">
        <v>83.8</v>
      </c>
      <c r="I90" s="17" t="n">
        <f aca="false">IF(H90="","",RANK(H90,$H$5:$H$525))</f>
        <v>86</v>
      </c>
      <c r="J90" s="24" t="n">
        <v>0.106938957484489</v>
      </c>
      <c r="K90" s="19" t="n">
        <v>55.8</v>
      </c>
      <c r="L90" s="17" t="n">
        <f aca="false">IF(K90="","",RANK(K90,$K$5:$K$525))</f>
        <v>231</v>
      </c>
      <c r="M90" s="25" t="n">
        <v>0.177560578293627</v>
      </c>
      <c r="N90" s="19" t="n">
        <v>80.1</v>
      </c>
      <c r="O90" s="17" t="n">
        <f aca="false">IF(N90="","",RANK(N90,$N$5:$N$525))</f>
        <v>103</v>
      </c>
      <c r="P90" s="17" t="str">
        <f aca="false">IF(AND(N(H90)&gt;=N(K90),N(H90)&gt;=N(N90)),"The Pulse",IF(N(K90)&gt;=N(N90),"The Lens","The Hub"))</f>
        <v>The Pulse</v>
      </c>
      <c r="Q90" s="21" t="s">
        <v>79</v>
      </c>
      <c r="R90" s="27" t="s">
        <v>832</v>
      </c>
      <c r="S90" s="17" t="s">
        <v>22</v>
      </c>
    </row>
    <row r="91" customFormat="false" ht="15" hidden="false" customHeight="false" outlineLevel="0" collapsed="false">
      <c r="A91" s="17" t="s">
        <v>1160</v>
      </c>
      <c r="B91" s="17" t="s">
        <v>1161</v>
      </c>
      <c r="C91" s="17" t="s">
        <v>2326</v>
      </c>
      <c r="D91" s="17" t="s">
        <v>98</v>
      </c>
      <c r="E91" s="18" t="n">
        <v>48268</v>
      </c>
      <c r="F91" s="17" t="s">
        <v>821</v>
      </c>
      <c r="G91" s="23" t="n">
        <v>2.44232203530289</v>
      </c>
      <c r="H91" s="19" t="n">
        <v>83.6</v>
      </c>
      <c r="I91" s="17" t="n">
        <f aca="false">IF(H91="","",RANK(H91,$H$5:$H$525))</f>
        <v>87</v>
      </c>
      <c r="J91" s="24" t="n">
        <v>0.142383792483196</v>
      </c>
      <c r="K91" s="19" t="n">
        <v>73.1</v>
      </c>
      <c r="L91" s="17" t="n">
        <f aca="false">IF(K91="","",RANK(K91,$K$5:$K$525))</f>
        <v>143</v>
      </c>
      <c r="M91" s="25" t="n">
        <v>0.0923970432946146</v>
      </c>
      <c r="N91" s="19" t="n">
        <v>54.8</v>
      </c>
      <c r="O91" s="17" t="n">
        <f aca="false">IF(N91="","",RANK(N91,$N$5:$N$525))</f>
        <v>236</v>
      </c>
      <c r="P91" s="17" t="str">
        <f aca="false">IF(AND(N(H91)&gt;=N(K91),N(H91)&gt;=N(N91)),"The Pulse",IF(N(K91)&gt;=N(N91),"The Lens","The Hub"))</f>
        <v>The Pulse</v>
      </c>
      <c r="Q91" s="21" t="s">
        <v>79</v>
      </c>
      <c r="R91" s="27" t="s">
        <v>832</v>
      </c>
      <c r="S91" s="17" t="s">
        <v>22</v>
      </c>
    </row>
    <row r="92" customFormat="false" ht="15" hidden="false" customHeight="false" outlineLevel="0" collapsed="false">
      <c r="A92" s="17" t="s">
        <v>1898</v>
      </c>
      <c r="B92" s="17" t="s">
        <v>1899</v>
      </c>
      <c r="C92" s="17" t="s">
        <v>2327</v>
      </c>
      <c r="D92" s="17" t="s">
        <v>98</v>
      </c>
      <c r="E92" s="18" t="n">
        <v>992400</v>
      </c>
      <c r="F92" s="17" t="s">
        <v>827</v>
      </c>
      <c r="G92" s="23" t="n">
        <v>2.4420264006449</v>
      </c>
      <c r="H92" s="19" t="n">
        <v>83.4</v>
      </c>
      <c r="I92" s="17" t="n">
        <f aca="false">IF(H92="","",RANK(H92,$H$5:$H$525))</f>
        <v>88</v>
      </c>
      <c r="J92" s="24" t="n">
        <v>0.0358973288379036</v>
      </c>
      <c r="K92" s="19" t="n">
        <v>23</v>
      </c>
      <c r="L92" s="17" t="n">
        <f aca="false">IF(K92="","",RANK(K92,$K$5:$K$525))</f>
        <v>403</v>
      </c>
      <c r="M92" s="25" t="n">
        <v>0.22131644901728</v>
      </c>
      <c r="N92" s="19" t="n">
        <v>88.9</v>
      </c>
      <c r="O92" s="17" t="n">
        <f aca="false">IF(N92="","",RANK(N92,$N$5:$N$525))</f>
        <v>59</v>
      </c>
      <c r="P92" s="17" t="str">
        <f aca="false">IF(AND(N(H92)&gt;=N(K92),N(H92)&gt;=N(N92)),"The Pulse",IF(N(K92)&gt;=N(N92),"The Lens","The Hub"))</f>
        <v>The Hub</v>
      </c>
      <c r="Q92" s="20" t="s">
        <v>74</v>
      </c>
      <c r="R92" s="27" t="s">
        <v>832</v>
      </c>
      <c r="S92" s="17" t="s">
        <v>24</v>
      </c>
    </row>
    <row r="93" customFormat="false" ht="15" hidden="false" customHeight="false" outlineLevel="0" collapsed="false">
      <c r="A93" s="17" t="s">
        <v>369</v>
      </c>
      <c r="B93" s="17" t="s">
        <v>370</v>
      </c>
      <c r="C93" s="17" t="s">
        <v>2328</v>
      </c>
      <c r="D93" s="17" t="s">
        <v>86</v>
      </c>
      <c r="E93" s="18" t="n">
        <v>35637</v>
      </c>
      <c r="F93" s="17" t="s">
        <v>821</v>
      </c>
      <c r="G93" s="23" t="n">
        <v>2.4278979712097</v>
      </c>
      <c r="H93" s="19" t="n">
        <v>83.2</v>
      </c>
      <c r="I93" s="17" t="n">
        <f aca="false">IF(H93="","",RANK(H93,$H$5:$H$525))</f>
        <v>89</v>
      </c>
      <c r="J93" s="24" t="n">
        <v>0.0984495885090775</v>
      </c>
      <c r="K93" s="19" t="n">
        <v>52.3</v>
      </c>
      <c r="L93" s="17" t="n">
        <f aca="false">IF(K93="","",RANK(K93,$K$5:$K$525))</f>
        <v>249</v>
      </c>
      <c r="M93" s="25" t="n">
        <v>0.0256045519203414</v>
      </c>
      <c r="N93" s="19" t="n">
        <v>16.5</v>
      </c>
      <c r="O93" s="17" t="n">
        <f aca="false">IF(N93="","",RANK(N93,$N$5:$N$525))</f>
        <v>437</v>
      </c>
      <c r="P93" s="17" t="str">
        <f aca="false">IF(AND(N(H93)&gt;=N(K93),N(H93)&gt;=N(N93)),"The Pulse",IF(N(K93)&gt;=N(N93),"The Lens","The Hub"))</f>
        <v>The Pulse</v>
      </c>
      <c r="Q93" s="21" t="s">
        <v>79</v>
      </c>
      <c r="R93" s="26" t="s">
        <v>822</v>
      </c>
      <c r="S93" s="17" t="s">
        <v>22</v>
      </c>
    </row>
    <row r="94" customFormat="false" ht="15" hidden="false" customHeight="false" outlineLevel="0" collapsed="false">
      <c r="A94" s="17" t="s">
        <v>289</v>
      </c>
      <c r="B94" s="17" t="s">
        <v>290</v>
      </c>
      <c r="C94" s="17" t="s">
        <v>2329</v>
      </c>
      <c r="D94" s="17" t="s">
        <v>91</v>
      </c>
      <c r="E94" s="18" t="n">
        <v>303997</v>
      </c>
      <c r="F94" s="17" t="s">
        <v>827</v>
      </c>
      <c r="G94" s="23" t="n">
        <v>2.40875074425077</v>
      </c>
      <c r="H94" s="19" t="n">
        <v>83.1</v>
      </c>
      <c r="I94" s="17" t="n">
        <f aca="false">IF(H94="","",RANK(H94,$H$5:$H$525))</f>
        <v>90</v>
      </c>
      <c r="J94" s="24" t="n">
        <v>0.0996494832681616</v>
      </c>
      <c r="K94" s="19" t="n">
        <v>58.4</v>
      </c>
      <c r="L94" s="17" t="n">
        <f aca="false">IF(K94="","",RANK(K94,$K$5:$K$525))</f>
        <v>217</v>
      </c>
      <c r="M94" s="25" t="n">
        <v>0.100982822737737</v>
      </c>
      <c r="N94" s="19" t="n">
        <v>59.5</v>
      </c>
      <c r="O94" s="17" t="n">
        <f aca="false">IF(N94="","",RANK(N94,$N$5:$N$525))</f>
        <v>211</v>
      </c>
      <c r="P94" s="17" t="str">
        <f aca="false">IF(AND(N(H94)&gt;=N(K94),N(H94)&gt;=N(N94)),"The Pulse",IF(N(K94)&gt;=N(N94),"The Lens","The Hub"))</f>
        <v>The Pulse</v>
      </c>
      <c r="Q94" s="21" t="s">
        <v>79</v>
      </c>
      <c r="R94" s="26" t="s">
        <v>822</v>
      </c>
      <c r="S94" s="17" t="s">
        <v>22</v>
      </c>
    </row>
    <row r="95" customFormat="false" ht="15" hidden="false" customHeight="false" outlineLevel="0" collapsed="false">
      <c r="A95" s="17" t="s">
        <v>152</v>
      </c>
      <c r="B95" s="17" t="s">
        <v>153</v>
      </c>
      <c r="C95" s="17" t="s">
        <v>2330</v>
      </c>
      <c r="D95" s="17" t="s">
        <v>115</v>
      </c>
      <c r="E95" s="18" t="n">
        <v>13930</v>
      </c>
      <c r="F95" s="17" t="s">
        <v>821</v>
      </c>
      <c r="G95" s="23" t="n">
        <v>2.39886907351022</v>
      </c>
      <c r="H95" s="19" t="n">
        <v>82.9</v>
      </c>
      <c r="I95" s="17" t="n">
        <f aca="false">IF(H95="","",RANK(H95,$H$5:$H$525))</f>
        <v>91</v>
      </c>
      <c r="J95" s="24" t="n">
        <v>0.0715384615384615</v>
      </c>
      <c r="K95" s="19" t="n">
        <v>36.7</v>
      </c>
      <c r="L95" s="17" t="n">
        <f aca="false">IF(K95="","",RANK(K95,$K$5:$K$525))</f>
        <v>330</v>
      </c>
      <c r="M95" s="25" t="n">
        <v>0.0061652281134402</v>
      </c>
      <c r="N95" s="19" t="n">
        <v>4.5</v>
      </c>
      <c r="O95" s="17" t="n">
        <f aca="false">IF(N95="","",RANK(N95,$N$5:$N$525))</f>
        <v>499</v>
      </c>
      <c r="P95" s="17" t="str">
        <f aca="false">IF(AND(N(H95)&gt;=N(K95),N(H95)&gt;=N(N95)),"The Pulse",IF(N(K95)&gt;=N(N95),"The Lens","The Hub"))</f>
        <v>The Pulse</v>
      </c>
      <c r="Q95" s="22" t="s">
        <v>109</v>
      </c>
      <c r="R95" s="26" t="s">
        <v>822</v>
      </c>
      <c r="S95" s="17" t="s">
        <v>155</v>
      </c>
    </row>
    <row r="96" customFormat="false" ht="15" hidden="false" customHeight="false" outlineLevel="0" collapsed="false">
      <c r="A96" s="17" t="s">
        <v>2331</v>
      </c>
      <c r="B96" s="17" t="s">
        <v>2332</v>
      </c>
      <c r="C96" s="17" t="s">
        <v>2333</v>
      </c>
      <c r="D96" s="17" t="s">
        <v>115</v>
      </c>
      <c r="E96" s="18" t="n">
        <v>121580</v>
      </c>
      <c r="F96" s="17" t="s">
        <v>827</v>
      </c>
      <c r="G96" s="23" t="n">
        <v>2.38484948182267</v>
      </c>
      <c r="H96" s="19" t="n">
        <v>82.7</v>
      </c>
      <c r="I96" s="17" t="n">
        <f aca="false">IF(H96="","",RANK(H96,$H$5:$H$525))</f>
        <v>92</v>
      </c>
      <c r="J96" s="24" t="n">
        <v>0.0379919747289337</v>
      </c>
      <c r="K96" s="19" t="n">
        <v>24.8</v>
      </c>
      <c r="L96" s="17" t="n">
        <f aca="false">IF(K96="","",RANK(K96,$K$5:$K$525))</f>
        <v>393</v>
      </c>
      <c r="M96" s="25" t="n">
        <v>0.161404196901353</v>
      </c>
      <c r="N96" s="19" t="n">
        <v>76.5</v>
      </c>
      <c r="O96" s="17" t="n">
        <f aca="false">IF(N96="","",RANK(N96,$N$5:$N$525))</f>
        <v>122</v>
      </c>
      <c r="P96" s="17" t="str">
        <f aca="false">IF(AND(N(H96)&gt;=N(K96),N(H96)&gt;=N(N96)),"The Pulse",IF(N(K96)&gt;=N(N96),"The Lens","The Hub"))</f>
        <v>The Pulse</v>
      </c>
      <c r="Q96" s="21" t="s">
        <v>79</v>
      </c>
      <c r="R96" s="27" t="s">
        <v>832</v>
      </c>
      <c r="S96" s="17" t="s">
        <v>88</v>
      </c>
    </row>
    <row r="97" customFormat="false" ht="15" hidden="false" customHeight="false" outlineLevel="0" collapsed="false">
      <c r="A97" s="17" t="s">
        <v>1965</v>
      </c>
      <c r="B97" s="17" t="s">
        <v>1966</v>
      </c>
      <c r="C97" s="17" t="s">
        <v>2334</v>
      </c>
      <c r="D97" s="17" t="s">
        <v>98</v>
      </c>
      <c r="E97" s="18" t="n">
        <v>8595</v>
      </c>
      <c r="F97" s="17" t="s">
        <v>825</v>
      </c>
      <c r="G97" s="23" t="n">
        <v>2.3760325770797</v>
      </c>
      <c r="H97" s="19" t="n">
        <v>82.5</v>
      </c>
      <c r="I97" s="17" t="n">
        <f aca="false">IF(H97="","",RANK(H97,$H$5:$H$525))</f>
        <v>93</v>
      </c>
      <c r="J97" s="24" t="n">
        <v>0.0636059893577528</v>
      </c>
      <c r="K97" s="19" t="n">
        <v>31.2</v>
      </c>
      <c r="L97" s="17" t="n">
        <f aca="false">IF(K97="","",RANK(K97,$K$5:$K$525))</f>
        <v>359</v>
      </c>
      <c r="M97" s="25" t="n">
        <v>0.101273885350319</v>
      </c>
      <c r="N97" s="19" t="n">
        <v>59.7</v>
      </c>
      <c r="O97" s="17" t="n">
        <f aca="false">IF(N97="","",RANK(N97,$N$5:$N$525))</f>
        <v>210</v>
      </c>
      <c r="P97" s="17" t="str">
        <f aca="false">IF(AND(N(H97)&gt;=N(K97),N(H97)&gt;=N(N97)),"The Pulse",IF(N(K97)&gt;=N(N97),"The Lens","The Hub"))</f>
        <v>The Pulse</v>
      </c>
      <c r="Q97" s="21" t="s">
        <v>79</v>
      </c>
      <c r="R97" s="27" t="s">
        <v>832</v>
      </c>
      <c r="S97" s="17" t="s">
        <v>22</v>
      </c>
    </row>
    <row r="98" customFormat="false" ht="15" hidden="false" customHeight="false" outlineLevel="0" collapsed="false">
      <c r="A98" s="17" t="s">
        <v>1321</v>
      </c>
      <c r="B98" s="17" t="s">
        <v>1322</v>
      </c>
      <c r="C98" s="17" t="s">
        <v>2335</v>
      </c>
      <c r="D98" s="17" t="s">
        <v>95</v>
      </c>
      <c r="E98" s="18" t="n">
        <v>790</v>
      </c>
      <c r="F98" s="17" t="s">
        <v>825</v>
      </c>
      <c r="G98" s="23" t="n">
        <v>2.36962025316456</v>
      </c>
      <c r="H98" s="19" t="n">
        <v>82.4</v>
      </c>
      <c r="I98" s="17" t="n">
        <f aca="false">IF(H98="","",RANK(H98,$H$5:$H$525))</f>
        <v>94</v>
      </c>
      <c r="J98" s="24" t="n">
        <v>0.144736842105263</v>
      </c>
      <c r="K98" s="19" t="n">
        <v>66.2</v>
      </c>
      <c r="L98" s="17" t="n">
        <f aca="false">IF(K98="","",RANK(K98,$K$5:$K$525))</f>
        <v>175</v>
      </c>
      <c r="M98" s="25" t="n">
        <v>0.0606060606060606</v>
      </c>
      <c r="N98" s="19" t="n">
        <v>38.5</v>
      </c>
      <c r="O98" s="17" t="n">
        <f aca="false">IF(N98="","",RANK(N98,$N$5:$N$525))</f>
        <v>321</v>
      </c>
      <c r="P98" s="17" t="str">
        <f aca="false">IF(AND(N(H98)&gt;=N(K98),N(H98)&gt;=N(N98)),"The Pulse",IF(N(K98)&gt;=N(N98),"The Lens","The Hub"))</f>
        <v>The Pulse</v>
      </c>
      <c r="Q98" s="21" t="s">
        <v>79</v>
      </c>
      <c r="R98" s="27" t="s">
        <v>832</v>
      </c>
      <c r="S98" s="17" t="s">
        <v>88</v>
      </c>
    </row>
    <row r="99" customFormat="false" ht="15" hidden="false" customHeight="false" outlineLevel="0" collapsed="false">
      <c r="A99" s="17" t="s">
        <v>467</v>
      </c>
      <c r="B99" s="17" t="s">
        <v>468</v>
      </c>
      <c r="C99" s="17" t="s">
        <v>2336</v>
      </c>
      <c r="D99" s="17" t="s">
        <v>77</v>
      </c>
      <c r="E99" s="18" t="n">
        <v>75210</v>
      </c>
      <c r="F99" s="17" t="s">
        <v>821</v>
      </c>
      <c r="G99" s="23" t="n">
        <v>2.36864778619864</v>
      </c>
      <c r="H99" s="19" t="n">
        <v>82.2</v>
      </c>
      <c r="I99" s="17" t="n">
        <f aca="false">IF(H99="","",RANK(H99,$H$5:$H$525))</f>
        <v>95</v>
      </c>
      <c r="J99" s="24" t="n">
        <v>0.0724369028946243</v>
      </c>
      <c r="K99" s="19" t="n">
        <v>37</v>
      </c>
      <c r="L99" s="17" t="n">
        <f aca="false">IF(K99="","",RANK(K99,$K$5:$K$525))</f>
        <v>329</v>
      </c>
      <c r="M99" s="25" t="n">
        <v>0.135275036234385</v>
      </c>
      <c r="N99" s="19" t="n">
        <v>69.7</v>
      </c>
      <c r="O99" s="17" t="n">
        <f aca="false">IF(N99="","",RANK(N99,$N$5:$N$525))</f>
        <v>157</v>
      </c>
      <c r="P99" s="17" t="str">
        <f aca="false">IF(AND(N(H99)&gt;=N(K99),N(H99)&gt;=N(N99)),"The Pulse",IF(N(K99)&gt;=N(N99),"The Lens","The Hub"))</f>
        <v>The Pulse</v>
      </c>
      <c r="Q99" s="20" t="s">
        <v>74</v>
      </c>
      <c r="R99" s="26" t="s">
        <v>822</v>
      </c>
      <c r="S99" s="17" t="s">
        <v>24</v>
      </c>
    </row>
    <row r="100" customFormat="false" ht="15" hidden="false" customHeight="false" outlineLevel="0" collapsed="false">
      <c r="A100" s="17" t="s">
        <v>577</v>
      </c>
      <c r="B100" s="17" t="s">
        <v>578</v>
      </c>
      <c r="C100" s="17" t="s">
        <v>2337</v>
      </c>
      <c r="D100" s="17" t="s">
        <v>77</v>
      </c>
      <c r="E100" s="18" t="n">
        <v>270550</v>
      </c>
      <c r="F100" s="17" t="s">
        <v>827</v>
      </c>
      <c r="G100" s="23" t="n">
        <v>2.36134910367769</v>
      </c>
      <c r="H100" s="19" t="n">
        <v>82</v>
      </c>
      <c r="I100" s="17" t="n">
        <f aca="false">IF(H100="","",RANK(H100,$H$5:$H$525))</f>
        <v>96</v>
      </c>
      <c r="J100" s="24" t="n">
        <v>0.143636133068436</v>
      </c>
      <c r="K100" s="19" t="n">
        <v>79.5</v>
      </c>
      <c r="L100" s="17" t="n">
        <f aca="false">IF(K100="","",RANK(K100,$K$5:$K$525))</f>
        <v>110</v>
      </c>
      <c r="M100" s="25" t="n">
        <v>0.0530104712041885</v>
      </c>
      <c r="N100" s="19" t="n">
        <v>34.1</v>
      </c>
      <c r="O100" s="17" t="n">
        <f aca="false">IF(N100="","",RANK(N100,$N$5:$N$525))</f>
        <v>344</v>
      </c>
      <c r="P100" s="17" t="str">
        <f aca="false">IF(AND(N(H100)&gt;=N(K100),N(H100)&gt;=N(N100)),"The Pulse",IF(N(K100)&gt;=N(N100),"The Lens","The Hub"))</f>
        <v>The Pulse</v>
      </c>
      <c r="Q100" s="20" t="s">
        <v>74</v>
      </c>
      <c r="R100" s="26" t="s">
        <v>822</v>
      </c>
      <c r="S100" s="17" t="s">
        <v>24</v>
      </c>
    </row>
    <row r="101" customFormat="false" ht="15" hidden="false" customHeight="false" outlineLevel="0" collapsed="false">
      <c r="A101" s="17" t="s">
        <v>425</v>
      </c>
      <c r="B101" s="17" t="s">
        <v>426</v>
      </c>
      <c r="C101" s="17" t="s">
        <v>2338</v>
      </c>
      <c r="D101" s="17" t="s">
        <v>95</v>
      </c>
      <c r="E101" s="18" t="n">
        <v>497219</v>
      </c>
      <c r="F101" s="17" t="s">
        <v>827</v>
      </c>
      <c r="G101" s="23" t="n">
        <v>2.33637089491753</v>
      </c>
      <c r="H101" s="19" t="n">
        <v>81.7</v>
      </c>
      <c r="I101" s="17" t="n">
        <f aca="false">IF(H101="","",RANK(H101,$H$5:$H$525))</f>
        <v>97</v>
      </c>
      <c r="J101" s="24" t="n">
        <v>-0.0539577379570682</v>
      </c>
      <c r="K101" s="19" t="n">
        <v>5</v>
      </c>
      <c r="L101" s="17" t="n">
        <f aca="false">IF(K101="","",RANK(K101,$K$5:$K$525))</f>
        <v>496</v>
      </c>
      <c r="M101" s="25" t="n">
        <v>0.105045605165169</v>
      </c>
      <c r="N101" s="19" t="n">
        <v>60.8</v>
      </c>
      <c r="O101" s="17" t="n">
        <f aca="false">IF(N101="","",RANK(N101,$N$5:$N$525))</f>
        <v>205</v>
      </c>
      <c r="P101" s="17" t="str">
        <f aca="false">IF(AND(N(H101)&gt;=N(K101),N(H101)&gt;=N(N101)),"The Pulse",IF(N(K101)&gt;=N(N101),"The Lens","The Hub"))</f>
        <v>The Pulse</v>
      </c>
      <c r="Q101" s="21" t="s">
        <v>79</v>
      </c>
      <c r="R101" s="26" t="s">
        <v>822</v>
      </c>
      <c r="S101" s="17" t="s">
        <v>22</v>
      </c>
    </row>
    <row r="102" customFormat="false" ht="15" hidden="false" customHeight="false" outlineLevel="0" collapsed="false">
      <c r="A102" s="17" t="s">
        <v>551</v>
      </c>
      <c r="B102" s="17" t="s">
        <v>552</v>
      </c>
      <c r="C102" s="17" t="s">
        <v>2339</v>
      </c>
      <c r="D102" s="17" t="s">
        <v>77</v>
      </c>
      <c r="E102" s="18" t="n">
        <v>1825</v>
      </c>
      <c r="F102" s="17" t="s">
        <v>825</v>
      </c>
      <c r="G102" s="23" t="n">
        <v>2.33205479452055</v>
      </c>
      <c r="H102" s="19" t="n">
        <v>81.5</v>
      </c>
      <c r="I102" s="17" t="n">
        <f aca="false">IF(H102="","",RANK(H102,$H$5:$H$525))</f>
        <v>98</v>
      </c>
      <c r="J102" s="24" t="n">
        <v>0.0410724472333143</v>
      </c>
      <c r="K102" s="19" t="n">
        <v>23.8</v>
      </c>
      <c r="L102" s="17" t="n">
        <f aca="false">IF(K102="","",RANK(K102,$K$5:$K$525))</f>
        <v>398</v>
      </c>
      <c r="M102" s="25" t="n">
        <v>0.168604651162791</v>
      </c>
      <c r="N102" s="19" t="n">
        <v>78.3</v>
      </c>
      <c r="O102" s="17" t="n">
        <f aca="false">IF(N102="","",RANK(N102,$N$5:$N$525))</f>
        <v>113</v>
      </c>
      <c r="P102" s="17" t="str">
        <f aca="false">IF(AND(N(H102)&gt;=N(K102),N(H102)&gt;=N(N102)),"The Pulse",IF(N(K102)&gt;=N(N102),"The Lens","The Hub"))</f>
        <v>The Pulse</v>
      </c>
      <c r="Q102" s="21" t="s">
        <v>79</v>
      </c>
      <c r="R102" s="26" t="s">
        <v>822</v>
      </c>
      <c r="S102" s="17" t="s">
        <v>22</v>
      </c>
    </row>
    <row r="103" customFormat="false" ht="15" hidden="false" customHeight="false" outlineLevel="0" collapsed="false">
      <c r="A103" s="17" t="s">
        <v>874</v>
      </c>
      <c r="B103" s="17" t="s">
        <v>875</v>
      </c>
      <c r="C103" s="17" t="s">
        <v>2340</v>
      </c>
      <c r="D103" s="17" t="s">
        <v>95</v>
      </c>
      <c r="E103" s="18" t="n">
        <v>2400</v>
      </c>
      <c r="F103" s="17" t="s">
        <v>825</v>
      </c>
      <c r="G103" s="23" t="n">
        <v>2.32625</v>
      </c>
      <c r="H103" s="19" t="n">
        <v>81.3</v>
      </c>
      <c r="I103" s="17" t="n">
        <f aca="false">IF(H103="","",RANK(H103,$H$5:$H$525))</f>
        <v>99</v>
      </c>
      <c r="J103" s="24" t="n">
        <v>0.16139846743295</v>
      </c>
      <c r="K103" s="19" t="n">
        <v>72.5</v>
      </c>
      <c r="L103" s="17" t="n">
        <f aca="false">IF(K103="","",RANK(K103,$K$5:$K$525))</f>
        <v>146</v>
      </c>
      <c r="M103" s="25" t="n">
        <v>0.124352331606218</v>
      </c>
      <c r="N103" s="19" t="n">
        <v>66.5</v>
      </c>
      <c r="O103" s="17" t="n">
        <f aca="false">IF(N103="","",RANK(N103,$N$5:$N$525))</f>
        <v>173</v>
      </c>
      <c r="P103" s="17" t="str">
        <f aca="false">IF(AND(N(H103)&gt;=N(K103),N(H103)&gt;=N(N103)),"The Pulse",IF(N(K103)&gt;=N(N103),"The Lens","The Hub"))</f>
        <v>The Pulse</v>
      </c>
      <c r="Q103" s="22" t="s">
        <v>109</v>
      </c>
      <c r="R103" s="27" t="s">
        <v>832</v>
      </c>
      <c r="S103" s="17" t="s">
        <v>155</v>
      </c>
    </row>
    <row r="104" customFormat="false" ht="15" hidden="false" customHeight="false" outlineLevel="0" collapsed="false">
      <c r="A104" s="17" t="s">
        <v>150</v>
      </c>
      <c r="B104" s="17" t="s">
        <v>151</v>
      </c>
      <c r="C104" s="17" t="s">
        <v>2341</v>
      </c>
      <c r="D104" s="17" t="s">
        <v>77</v>
      </c>
      <c r="E104" s="18" t="n">
        <v>6250</v>
      </c>
      <c r="F104" s="17" t="s">
        <v>825</v>
      </c>
      <c r="G104" s="23" t="n">
        <v>2.32112</v>
      </c>
      <c r="H104" s="19" t="n">
        <v>81.1</v>
      </c>
      <c r="I104" s="17" t="n">
        <f aca="false">IF(H104="","",RANK(H104,$H$5:$H$525))</f>
        <v>100</v>
      </c>
      <c r="J104" s="24" t="n">
        <v>0.0637204522096608</v>
      </c>
      <c r="K104" s="19" t="n">
        <v>32.5</v>
      </c>
      <c r="L104" s="17" t="n">
        <f aca="false">IF(K104="","",RANK(K104,$K$5:$K$525))</f>
        <v>352</v>
      </c>
      <c r="M104" s="25" t="n">
        <v>0.0163576881134133</v>
      </c>
      <c r="N104" s="19" t="n">
        <v>10.8</v>
      </c>
      <c r="O104" s="17" t="n">
        <f aca="false">IF(N104="","",RANK(N104,$N$5:$N$525))</f>
        <v>466</v>
      </c>
      <c r="P104" s="17" t="str">
        <f aca="false">IF(AND(N(H104)&gt;=N(K104),N(H104)&gt;=N(N104)),"The Pulse",IF(N(K104)&gt;=N(N104),"The Lens","The Hub"))</f>
        <v>The Pulse</v>
      </c>
      <c r="Q104" s="21" t="s">
        <v>79</v>
      </c>
      <c r="R104" s="26" t="s">
        <v>822</v>
      </c>
      <c r="S104" s="17" t="s">
        <v>88</v>
      </c>
    </row>
    <row r="105" customFormat="false" ht="15" hidden="false" customHeight="false" outlineLevel="0" collapsed="false">
      <c r="A105" s="17" t="s">
        <v>1471</v>
      </c>
      <c r="B105" s="17" t="s">
        <v>1472</v>
      </c>
      <c r="C105" s="17" t="s">
        <v>2342</v>
      </c>
      <c r="D105" s="17" t="s">
        <v>98</v>
      </c>
      <c r="E105" s="18" t="n">
        <v>446469</v>
      </c>
      <c r="F105" s="17" t="s">
        <v>827</v>
      </c>
      <c r="G105" s="23" t="n">
        <v>2.29938248792189</v>
      </c>
      <c r="H105" s="19" t="n">
        <v>81</v>
      </c>
      <c r="I105" s="17" t="n">
        <f aca="false">IF(H105="","",RANK(H105,$H$5:$H$525))</f>
        <v>101</v>
      </c>
      <c r="J105" s="24" t="n">
        <v>0.121787044156001</v>
      </c>
      <c r="K105" s="19" t="n">
        <v>70.2</v>
      </c>
      <c r="L105" s="17" t="n">
        <f aca="false">IF(K105="","",RANK(K105,$K$5:$K$525))</f>
        <v>156</v>
      </c>
      <c r="M105" s="25" t="n">
        <v>0.0816370030906959</v>
      </c>
      <c r="N105" s="19" t="n">
        <v>49.8</v>
      </c>
      <c r="O105" s="17" t="n">
        <f aca="false">IF(N105="","",RANK(N105,$N$5:$N$525))</f>
        <v>261</v>
      </c>
      <c r="P105" s="17" t="str">
        <f aca="false">IF(AND(N(H105)&gt;=N(K105),N(H105)&gt;=N(N105)),"The Pulse",IF(N(K105)&gt;=N(N105),"The Lens","The Hub"))</f>
        <v>The Pulse</v>
      </c>
      <c r="Q105" s="21" t="s">
        <v>79</v>
      </c>
      <c r="R105" s="27" t="s">
        <v>832</v>
      </c>
      <c r="S105" s="17" t="s">
        <v>22</v>
      </c>
    </row>
    <row r="106" customFormat="false" ht="15" hidden="false" customHeight="false" outlineLevel="0" collapsed="false">
      <c r="A106" s="17" t="s">
        <v>335</v>
      </c>
      <c r="B106" s="17" t="s">
        <v>336</v>
      </c>
      <c r="C106" s="17" t="s">
        <v>2343</v>
      </c>
      <c r="D106" s="17" t="s">
        <v>72</v>
      </c>
      <c r="E106" s="18" t="n">
        <v>40693</v>
      </c>
      <c r="F106" s="17" t="s">
        <v>821</v>
      </c>
      <c r="G106" s="23" t="n">
        <v>2.2761162853562</v>
      </c>
      <c r="H106" s="19" t="n">
        <v>80.8</v>
      </c>
      <c r="I106" s="17" t="n">
        <f aca="false">IF(H106="","",RANK(H106,$H$5:$H$525))</f>
        <v>102</v>
      </c>
      <c r="J106" s="24" t="n">
        <v>0.070558522532951</v>
      </c>
      <c r="K106" s="19" t="n">
        <v>36</v>
      </c>
      <c r="L106" s="17" t="n">
        <f aca="false">IF(K106="","",RANK(K106,$K$5:$K$525))</f>
        <v>334</v>
      </c>
      <c r="M106" s="25" t="n">
        <v>0.117995191418532</v>
      </c>
      <c r="N106" s="19" t="n">
        <v>65.1</v>
      </c>
      <c r="O106" s="17" t="n">
        <f aca="false">IF(N106="","",RANK(N106,$N$5:$N$525))</f>
        <v>181</v>
      </c>
      <c r="P106" s="17" t="str">
        <f aca="false">IF(AND(N(H106)&gt;=N(K106),N(H106)&gt;=N(N106)),"The Pulse",IF(N(K106)&gt;=N(N106),"The Lens","The Hub"))</f>
        <v>The Pulse</v>
      </c>
      <c r="Q106" s="21" t="s">
        <v>79</v>
      </c>
      <c r="R106" s="26" t="s">
        <v>822</v>
      </c>
      <c r="S106" s="17" t="s">
        <v>22</v>
      </c>
    </row>
    <row r="107" customFormat="false" ht="15" hidden="false" customHeight="false" outlineLevel="0" collapsed="false">
      <c r="A107" s="17" t="s">
        <v>1116</v>
      </c>
      <c r="B107" s="17" t="s">
        <v>1117</v>
      </c>
      <c r="C107" s="17" t="s">
        <v>2344</v>
      </c>
      <c r="D107" s="17" t="s">
        <v>95</v>
      </c>
      <c r="E107" s="18" t="n">
        <v>57911</v>
      </c>
      <c r="F107" s="17" t="s">
        <v>821</v>
      </c>
      <c r="G107" s="23" t="n">
        <v>2.27245255650913</v>
      </c>
      <c r="H107" s="19" t="n">
        <v>80.6</v>
      </c>
      <c r="I107" s="17" t="n">
        <f aca="false">IF(H107="","",RANK(H107,$H$5:$H$525))</f>
        <v>103</v>
      </c>
      <c r="J107" s="24" t="n">
        <v>0.0790199366498975</v>
      </c>
      <c r="K107" s="19" t="n">
        <v>40.3</v>
      </c>
      <c r="L107" s="17" t="n">
        <f aca="false">IF(K107="","",RANK(K107,$K$5:$K$525))</f>
        <v>313</v>
      </c>
      <c r="M107" s="25" t="n">
        <v>0.0362994350282486</v>
      </c>
      <c r="N107" s="19" t="n">
        <v>23.7</v>
      </c>
      <c r="O107" s="17" t="n">
        <f aca="false">IF(N107="","",RANK(N107,$N$5:$N$525))</f>
        <v>400</v>
      </c>
      <c r="P107" s="17" t="str">
        <f aca="false">IF(AND(N(H107)&gt;=N(K107),N(H107)&gt;=N(N107)),"The Pulse",IF(N(K107)&gt;=N(N107),"The Lens","The Hub"))</f>
        <v>The Pulse</v>
      </c>
      <c r="Q107" s="21" t="s">
        <v>79</v>
      </c>
      <c r="R107" s="27" t="s">
        <v>832</v>
      </c>
      <c r="S107" s="17" t="s">
        <v>22</v>
      </c>
    </row>
    <row r="108" customFormat="false" ht="15" hidden="false" customHeight="false" outlineLevel="0" collapsed="false">
      <c r="A108" s="17" t="s">
        <v>231</v>
      </c>
      <c r="B108" s="17" t="s">
        <v>232</v>
      </c>
      <c r="C108" s="17" t="s">
        <v>2345</v>
      </c>
      <c r="D108" s="17" t="s">
        <v>98</v>
      </c>
      <c r="E108" s="18" t="n">
        <v>68474</v>
      </c>
      <c r="F108" s="17" t="s">
        <v>821</v>
      </c>
      <c r="G108" s="23" t="n">
        <v>2.26407103426118</v>
      </c>
      <c r="H108" s="19" t="n">
        <v>80.4</v>
      </c>
      <c r="I108" s="17" t="n">
        <f aca="false">IF(H108="","",RANK(H108,$H$5:$H$525))</f>
        <v>104</v>
      </c>
      <c r="J108" s="24" t="n">
        <v>-0.00596646584887857</v>
      </c>
      <c r="K108" s="19" t="n">
        <v>8.1</v>
      </c>
      <c r="L108" s="17" t="n">
        <f aca="false">IF(K108="","",RANK(K108,$K$5:$K$525))</f>
        <v>478</v>
      </c>
      <c r="M108" s="25" t="n">
        <v>0.0392201314894582</v>
      </c>
      <c r="N108" s="19" t="n">
        <v>25.8</v>
      </c>
      <c r="O108" s="17" t="n">
        <f aca="false">IF(N108="","",RANK(N108,$N$5:$N$525))</f>
        <v>388</v>
      </c>
      <c r="P108" s="17" t="str">
        <f aca="false">IF(AND(N(H108)&gt;=N(K108),N(H108)&gt;=N(N108)),"The Pulse",IF(N(K108)&gt;=N(N108),"The Lens","The Hub"))</f>
        <v>The Pulse</v>
      </c>
      <c r="Q108" s="21" t="s">
        <v>79</v>
      </c>
      <c r="R108" s="26" t="s">
        <v>822</v>
      </c>
      <c r="S108" s="17" t="s">
        <v>22</v>
      </c>
    </row>
    <row r="109" customFormat="false" ht="15" hidden="false" customHeight="false" outlineLevel="0" collapsed="false">
      <c r="A109" s="17" t="s">
        <v>349</v>
      </c>
      <c r="B109" s="17" t="s">
        <v>350</v>
      </c>
      <c r="C109" s="17" t="s">
        <v>2346</v>
      </c>
      <c r="D109" s="17" t="s">
        <v>77</v>
      </c>
      <c r="E109" s="18" t="n">
        <v>26220</v>
      </c>
      <c r="F109" s="17" t="s">
        <v>821</v>
      </c>
      <c r="G109" s="23" t="n">
        <v>2.23054919908467</v>
      </c>
      <c r="H109" s="19" t="n">
        <v>80.2</v>
      </c>
      <c r="I109" s="17" t="n">
        <f aca="false">IF(H109="","",RANK(H109,$H$5:$H$525))</f>
        <v>105</v>
      </c>
      <c r="J109" s="24" t="n">
        <v>0.120034173430158</v>
      </c>
      <c r="K109" s="19" t="n">
        <v>63</v>
      </c>
      <c r="L109" s="17" t="n">
        <f aca="false">IF(K109="","",RANK(K109,$K$5:$K$525))</f>
        <v>193</v>
      </c>
      <c r="M109" s="25" t="n">
        <v>0.0270506108202443</v>
      </c>
      <c r="N109" s="19" t="n">
        <v>17.7</v>
      </c>
      <c r="O109" s="17" t="n">
        <f aca="false">IF(N109="","",RANK(N109,$N$5:$N$525))</f>
        <v>430</v>
      </c>
      <c r="P109" s="17" t="str">
        <f aca="false">IF(AND(N(H109)&gt;=N(K109),N(H109)&gt;=N(N109)),"The Pulse",IF(N(K109)&gt;=N(N109),"The Lens","The Hub"))</f>
        <v>The Pulse</v>
      </c>
      <c r="Q109" s="20" t="s">
        <v>74</v>
      </c>
      <c r="R109" s="26" t="s">
        <v>822</v>
      </c>
      <c r="S109" s="17" t="s">
        <v>24</v>
      </c>
    </row>
    <row r="110" customFormat="false" ht="15" hidden="false" customHeight="false" outlineLevel="0" collapsed="false">
      <c r="A110" s="17" t="s">
        <v>165</v>
      </c>
      <c r="B110" s="17" t="s">
        <v>166</v>
      </c>
      <c r="C110" s="17" t="s">
        <v>2347</v>
      </c>
      <c r="D110" s="17" t="s">
        <v>77</v>
      </c>
      <c r="E110" s="18" t="n">
        <v>33001</v>
      </c>
      <c r="F110" s="17" t="s">
        <v>821</v>
      </c>
      <c r="G110" s="23" t="n">
        <v>2.22135692857792</v>
      </c>
      <c r="H110" s="19" t="n">
        <v>80.1</v>
      </c>
      <c r="I110" s="17" t="n">
        <f aca="false">IF(H110="","",RANK(H110,$H$5:$H$525))</f>
        <v>106</v>
      </c>
      <c r="J110" s="24" t="n">
        <v>0.143248111965634</v>
      </c>
      <c r="K110" s="19" t="n">
        <v>74</v>
      </c>
      <c r="L110" s="17" t="n">
        <f aca="false">IF(K110="","",RANK(K110,$K$5:$K$525))</f>
        <v>137</v>
      </c>
      <c r="M110" s="25" t="n">
        <v>0.197587070339176</v>
      </c>
      <c r="N110" s="19" t="n">
        <v>84.8</v>
      </c>
      <c r="O110" s="17" t="n">
        <f aca="false">IF(N110="","",RANK(N110,$N$5:$N$525))</f>
        <v>80</v>
      </c>
      <c r="P110" s="17" t="str">
        <f aca="false">IF(AND(N(H110)&gt;=N(K110),N(H110)&gt;=N(N110)),"The Pulse",IF(N(K110)&gt;=N(N110),"The Lens","The Hub"))</f>
        <v>The Hub</v>
      </c>
      <c r="Q110" s="21" t="s">
        <v>79</v>
      </c>
      <c r="R110" s="26" t="s">
        <v>822</v>
      </c>
      <c r="S110" s="17" t="s">
        <v>22</v>
      </c>
    </row>
    <row r="111" customFormat="false" ht="15" hidden="false" customHeight="false" outlineLevel="0" collapsed="false">
      <c r="A111" s="17" t="s">
        <v>347</v>
      </c>
      <c r="B111" s="17" t="s">
        <v>348</v>
      </c>
      <c r="C111" s="17" t="s">
        <v>2348</v>
      </c>
      <c r="D111" s="17" t="s">
        <v>77</v>
      </c>
      <c r="E111" s="18" t="n">
        <v>37140</v>
      </c>
      <c r="F111" s="17" t="s">
        <v>821</v>
      </c>
      <c r="G111" s="23" t="n">
        <v>2.22000538502962</v>
      </c>
      <c r="H111" s="19" t="n">
        <v>79.9</v>
      </c>
      <c r="I111" s="17" t="n">
        <f aca="false">IF(H111="","",RANK(H111,$H$5:$H$525))</f>
        <v>107</v>
      </c>
      <c r="J111" s="24" t="n">
        <v>0.148749093546048</v>
      </c>
      <c r="K111" s="19" t="n">
        <v>77.6</v>
      </c>
      <c r="L111" s="17" t="n">
        <f aca="false">IF(K111="","",RANK(K111,$K$5:$K$525))</f>
        <v>118</v>
      </c>
      <c r="M111" s="25" t="n">
        <v>0.00710059171597633</v>
      </c>
      <c r="N111" s="19" t="n">
        <v>5</v>
      </c>
      <c r="O111" s="17" t="n">
        <f aca="false">IF(N111="","",RANK(N111,$N$5:$N$525))</f>
        <v>496</v>
      </c>
      <c r="P111" s="17" t="str">
        <f aca="false">IF(AND(N(H111)&gt;=N(K111),N(H111)&gt;=N(N111)),"The Pulse",IF(N(K111)&gt;=N(N111),"The Lens","The Hub"))</f>
        <v>The Pulse</v>
      </c>
      <c r="Q111" s="21" t="s">
        <v>79</v>
      </c>
      <c r="R111" s="26" t="s">
        <v>822</v>
      </c>
      <c r="S111" s="17" t="s">
        <v>88</v>
      </c>
    </row>
    <row r="112" customFormat="false" ht="15" hidden="false" customHeight="false" outlineLevel="0" collapsed="false">
      <c r="A112" s="17" t="s">
        <v>643</v>
      </c>
      <c r="B112" s="17" t="s">
        <v>644</v>
      </c>
      <c r="C112" s="17" t="s">
        <v>2349</v>
      </c>
      <c r="D112" s="17" t="s">
        <v>86</v>
      </c>
      <c r="E112" s="18" t="n">
        <v>53223</v>
      </c>
      <c r="F112" s="17" t="s">
        <v>821</v>
      </c>
      <c r="G112" s="23" t="n">
        <v>2.17868214869511</v>
      </c>
      <c r="H112" s="19" t="n">
        <v>79.5</v>
      </c>
      <c r="I112" s="17" t="n">
        <f aca="false">IF(H112="","",RANK(H112,$H$5:$H$525))</f>
        <v>108</v>
      </c>
      <c r="J112" s="24" t="n">
        <v>0.0128453984928066</v>
      </c>
      <c r="K112" s="19" t="n">
        <v>13.6</v>
      </c>
      <c r="L112" s="17" t="n">
        <f aca="false">IF(K112="","",RANK(K112,$K$5:$K$525))</f>
        <v>455</v>
      </c>
      <c r="M112" s="25" t="n">
        <v>0.183958499600958</v>
      </c>
      <c r="N112" s="19" t="n">
        <v>81.2</v>
      </c>
      <c r="O112" s="17" t="n">
        <f aca="false">IF(N112="","",RANK(N112,$N$5:$N$525))</f>
        <v>97</v>
      </c>
      <c r="P112" s="17" t="str">
        <f aca="false">IF(AND(N(H112)&gt;=N(K112),N(H112)&gt;=N(N112)),"The Pulse",IF(N(K112)&gt;=N(N112),"The Lens","The Hub"))</f>
        <v>The Hub</v>
      </c>
      <c r="Q112" s="21" t="s">
        <v>79</v>
      </c>
      <c r="R112" s="26" t="s">
        <v>822</v>
      </c>
      <c r="S112" s="17" t="s">
        <v>22</v>
      </c>
    </row>
    <row r="113" customFormat="false" ht="15" hidden="false" customHeight="false" outlineLevel="0" collapsed="false">
      <c r="A113" s="17" t="s">
        <v>173</v>
      </c>
      <c r="B113" s="17" t="s">
        <v>174</v>
      </c>
      <c r="C113" s="17" t="s">
        <v>2350</v>
      </c>
      <c r="D113" s="17" t="s">
        <v>91</v>
      </c>
      <c r="E113" s="18" t="n">
        <v>51228</v>
      </c>
      <c r="F113" s="17" t="s">
        <v>821</v>
      </c>
      <c r="G113" s="23" t="n">
        <v>2.17494339033341</v>
      </c>
      <c r="H113" s="19" t="n">
        <v>79.4</v>
      </c>
      <c r="I113" s="17" t="n">
        <f aca="false">IF(H113="","",RANK(H113,$H$5:$H$525))</f>
        <v>109</v>
      </c>
      <c r="J113" s="24" t="n">
        <v>0.043106432367494</v>
      </c>
      <c r="K113" s="19" t="n">
        <v>25</v>
      </c>
      <c r="L113" s="17" t="n">
        <f aca="false">IF(K113="","",RANK(K113,$K$5:$K$525))</f>
        <v>391</v>
      </c>
      <c r="M113" s="25" t="n">
        <v>0.118809046664758</v>
      </c>
      <c r="N113" s="19" t="n">
        <v>65.2</v>
      </c>
      <c r="O113" s="17" t="n">
        <f aca="false">IF(N113="","",RANK(N113,$N$5:$N$525))</f>
        <v>180</v>
      </c>
      <c r="P113" s="17" t="str">
        <f aca="false">IF(AND(N(H113)&gt;=N(K113),N(H113)&gt;=N(N113)),"The Pulse",IF(N(K113)&gt;=N(N113),"The Lens","The Hub"))</f>
        <v>The Pulse</v>
      </c>
      <c r="Q113" s="21" t="s">
        <v>79</v>
      </c>
      <c r="R113" s="26" t="s">
        <v>822</v>
      </c>
      <c r="S113" s="17" t="s">
        <v>88</v>
      </c>
    </row>
    <row r="114" customFormat="false" ht="15" hidden="false" customHeight="false" outlineLevel="0" collapsed="false">
      <c r="A114" s="17" t="s">
        <v>479</v>
      </c>
      <c r="B114" s="17" t="s">
        <v>480</v>
      </c>
      <c r="C114" s="17" t="s">
        <v>2351</v>
      </c>
      <c r="D114" s="17" t="s">
        <v>91</v>
      </c>
      <c r="E114" s="18" t="n">
        <v>60435</v>
      </c>
      <c r="F114" s="17" t="s">
        <v>821</v>
      </c>
      <c r="G114" s="23" t="n">
        <v>2.17478282452221</v>
      </c>
      <c r="H114" s="19" t="n">
        <v>79.2</v>
      </c>
      <c r="I114" s="17" t="n">
        <f aca="false">IF(H114="","",RANK(H114,$H$5:$H$525))</f>
        <v>110</v>
      </c>
      <c r="J114" s="24" t="n">
        <v>0.00678016925434797</v>
      </c>
      <c r="K114" s="19" t="n">
        <v>11.7</v>
      </c>
      <c r="L114" s="17" t="n">
        <f aca="false">IF(K114="","",RANK(K114,$K$5:$K$525))</f>
        <v>462</v>
      </c>
      <c r="M114" s="25" t="n">
        <v>0.195186110745758</v>
      </c>
      <c r="N114" s="19" t="n">
        <v>83.7</v>
      </c>
      <c r="O114" s="17" t="n">
        <f aca="false">IF(N114="","",RANK(N114,$N$5:$N$525))</f>
        <v>86</v>
      </c>
      <c r="P114" s="17" t="str">
        <f aca="false">IF(AND(N(H114)&gt;=N(K114),N(H114)&gt;=N(N114)),"The Pulse",IF(N(K114)&gt;=N(N114),"The Lens","The Hub"))</f>
        <v>The Hub</v>
      </c>
      <c r="Q114" s="21" t="s">
        <v>79</v>
      </c>
      <c r="R114" s="26" t="s">
        <v>822</v>
      </c>
      <c r="S114" s="17" t="s">
        <v>22</v>
      </c>
    </row>
    <row r="115" customFormat="false" ht="15" hidden="false" customHeight="false" outlineLevel="0" collapsed="false">
      <c r="A115" s="17" t="s">
        <v>1409</v>
      </c>
      <c r="B115" s="17" t="s">
        <v>1410</v>
      </c>
      <c r="C115" s="17" t="s">
        <v>2352</v>
      </c>
      <c r="D115" s="17" t="s">
        <v>77</v>
      </c>
      <c r="E115" s="18" t="n">
        <v>16850</v>
      </c>
      <c r="F115" s="17" t="s">
        <v>821</v>
      </c>
      <c r="G115" s="23" t="n">
        <v>2.14783382789318</v>
      </c>
      <c r="H115" s="19" t="n">
        <v>78.8</v>
      </c>
      <c r="I115" s="17" t="n">
        <f aca="false">IF(H115="","",RANK(H115,$H$5:$H$525))</f>
        <v>111</v>
      </c>
      <c r="J115" s="24" t="n">
        <v>-0.0382420091324201</v>
      </c>
      <c r="K115" s="19" t="n">
        <v>3.6</v>
      </c>
      <c r="L115" s="17" t="n">
        <f aca="false">IF(K115="","",RANK(K115,$K$5:$K$525))</f>
        <v>505</v>
      </c>
      <c r="M115" s="25" t="n">
        <v>0.156146179401993</v>
      </c>
      <c r="N115" s="19" t="n">
        <v>75.1</v>
      </c>
      <c r="O115" s="17" t="n">
        <f aca="false">IF(N115="","",RANK(N115,$N$5:$N$525))</f>
        <v>129</v>
      </c>
      <c r="P115" s="17" t="str">
        <f aca="false">IF(AND(N(H115)&gt;=N(K115),N(H115)&gt;=N(N115)),"The Pulse",IF(N(K115)&gt;=N(N115),"The Lens","The Hub"))</f>
        <v>The Pulse</v>
      </c>
      <c r="Q115" s="21" t="s">
        <v>79</v>
      </c>
      <c r="R115" s="27" t="s">
        <v>832</v>
      </c>
      <c r="S115" s="17" t="s">
        <v>88</v>
      </c>
    </row>
    <row r="116" customFormat="false" ht="15" hidden="false" customHeight="false" outlineLevel="0" collapsed="false">
      <c r="A116" s="17" t="s">
        <v>931</v>
      </c>
      <c r="B116" s="17" t="s">
        <v>932</v>
      </c>
      <c r="C116" s="17" t="s">
        <v>2353</v>
      </c>
      <c r="D116" s="17" t="s">
        <v>77</v>
      </c>
      <c r="E116" s="18" t="n">
        <v>34750</v>
      </c>
      <c r="F116" s="17" t="s">
        <v>821</v>
      </c>
      <c r="G116" s="23" t="n">
        <v>2.13346762589928</v>
      </c>
      <c r="H116" s="19" t="n">
        <v>78.7</v>
      </c>
      <c r="I116" s="17" t="n">
        <f aca="false">IF(H116="","",RANK(H116,$H$5:$H$525))</f>
        <v>112</v>
      </c>
      <c r="J116" s="24" t="n">
        <v>0.08458177278402</v>
      </c>
      <c r="K116" s="19" t="n">
        <v>43.2</v>
      </c>
      <c r="L116" s="17" t="n">
        <f aca="false">IF(K116="","",RANK(K116,$K$5:$K$525))</f>
        <v>296</v>
      </c>
      <c r="M116" s="25" t="n">
        <v>0.0603015075376884</v>
      </c>
      <c r="N116" s="19" t="n">
        <v>38.2</v>
      </c>
      <c r="O116" s="17" t="n">
        <f aca="false">IF(N116="","",RANK(N116,$N$5:$N$525))</f>
        <v>323</v>
      </c>
      <c r="P116" s="17" t="str">
        <f aca="false">IF(AND(N(H116)&gt;=N(K116),N(H116)&gt;=N(N116)),"The Pulse",IF(N(K116)&gt;=N(N116),"The Lens","The Hub"))</f>
        <v>The Pulse</v>
      </c>
      <c r="Q116" s="20" t="s">
        <v>74</v>
      </c>
      <c r="R116" s="27" t="s">
        <v>832</v>
      </c>
      <c r="S116" s="17" t="s">
        <v>24</v>
      </c>
    </row>
    <row r="117" customFormat="false" ht="15" hidden="false" customHeight="false" outlineLevel="0" collapsed="false">
      <c r="A117" s="17" t="s">
        <v>193</v>
      </c>
      <c r="B117" s="17" t="s">
        <v>194</v>
      </c>
      <c r="C117" s="17" t="s">
        <v>2354</v>
      </c>
      <c r="D117" s="17" t="s">
        <v>72</v>
      </c>
      <c r="E117" s="18" t="n">
        <v>53290</v>
      </c>
      <c r="F117" s="17" t="s">
        <v>821</v>
      </c>
      <c r="G117" s="23" t="n">
        <v>2.11767686245074</v>
      </c>
      <c r="H117" s="19" t="n">
        <v>78.3</v>
      </c>
      <c r="I117" s="17" t="n">
        <f aca="false">IF(H117="","",RANK(H117,$H$5:$H$525))</f>
        <v>113</v>
      </c>
      <c r="J117" s="24" t="n">
        <v>0.142238607622069</v>
      </c>
      <c r="K117" s="19" t="n">
        <v>72.7</v>
      </c>
      <c r="L117" s="17" t="n">
        <f aca="false">IF(K117="","",RANK(K117,$K$5:$K$525))</f>
        <v>144</v>
      </c>
      <c r="M117" s="25" t="n">
        <v>0.189568868076861</v>
      </c>
      <c r="N117" s="19" t="n">
        <v>82.3</v>
      </c>
      <c r="O117" s="17" t="n">
        <f aca="false">IF(N117="","",RANK(N117,$N$5:$N$525))</f>
        <v>92</v>
      </c>
      <c r="P117" s="17" t="str">
        <f aca="false">IF(AND(N(H117)&gt;=N(K117),N(H117)&gt;=N(N117)),"The Pulse",IF(N(K117)&gt;=N(N117),"The Lens","The Hub"))</f>
        <v>The Hub</v>
      </c>
      <c r="Q117" s="21" t="s">
        <v>79</v>
      </c>
      <c r="R117" s="26" t="s">
        <v>822</v>
      </c>
      <c r="S117" s="17" t="s">
        <v>22</v>
      </c>
    </row>
    <row r="118" customFormat="false" ht="15" hidden="false" customHeight="false" outlineLevel="0" collapsed="false">
      <c r="A118" s="17" t="s">
        <v>545</v>
      </c>
      <c r="B118" s="17" t="s">
        <v>546</v>
      </c>
      <c r="C118" s="17" t="s">
        <v>2355</v>
      </c>
      <c r="D118" s="17" t="s">
        <v>123</v>
      </c>
      <c r="E118" s="18" t="n">
        <v>192880</v>
      </c>
      <c r="F118" s="17" t="s">
        <v>827</v>
      </c>
      <c r="G118" s="23" t="n">
        <v>2.10061696391539</v>
      </c>
      <c r="H118" s="19" t="n">
        <v>78.1</v>
      </c>
      <c r="I118" s="17" t="n">
        <f aca="false">IF(H118="","",RANK(H118,$H$5:$H$525))</f>
        <v>114</v>
      </c>
      <c r="J118" s="24" t="n">
        <v>0.0542655997201452</v>
      </c>
      <c r="K118" s="19" t="n">
        <v>35.4</v>
      </c>
      <c r="L118" s="17" t="n">
        <f aca="false">IF(K118="","",RANK(K118,$K$5:$K$525))</f>
        <v>338</v>
      </c>
      <c r="M118" s="25" t="n">
        <v>0.0554470183272863</v>
      </c>
      <c r="N118" s="19" t="n">
        <v>34.9</v>
      </c>
      <c r="O118" s="17" t="n">
        <f aca="false">IF(N118="","",RANK(N118,$N$5:$N$525))</f>
        <v>339</v>
      </c>
      <c r="P118" s="17" t="str">
        <f aca="false">IF(AND(N(H118)&gt;=N(K118),N(H118)&gt;=N(N118)),"The Pulse",IF(N(K118)&gt;=N(N118),"The Lens","The Hub"))</f>
        <v>The Pulse</v>
      </c>
      <c r="Q118" s="21" t="s">
        <v>79</v>
      </c>
      <c r="R118" s="26" t="s">
        <v>822</v>
      </c>
      <c r="S118" s="17" t="s">
        <v>22</v>
      </c>
    </row>
    <row r="119" customFormat="false" ht="15" hidden="false" customHeight="false" outlineLevel="0" collapsed="false">
      <c r="A119" s="17" t="s">
        <v>177</v>
      </c>
      <c r="B119" s="17" t="s">
        <v>178</v>
      </c>
      <c r="C119" s="17" t="s">
        <v>2356</v>
      </c>
      <c r="D119" s="17" t="s">
        <v>162</v>
      </c>
      <c r="E119" s="18" t="n">
        <v>40655</v>
      </c>
      <c r="F119" s="17" t="s">
        <v>821</v>
      </c>
      <c r="G119" s="23" t="n">
        <v>2.09039478538925</v>
      </c>
      <c r="H119" s="19" t="n">
        <v>78</v>
      </c>
      <c r="I119" s="17" t="n">
        <f aca="false">IF(H119="","",RANK(H119,$H$5:$H$525))</f>
        <v>115</v>
      </c>
      <c r="J119" s="24" t="n">
        <v>0.0949072203818911</v>
      </c>
      <c r="K119" s="19" t="n">
        <v>50</v>
      </c>
      <c r="L119" s="17" t="n">
        <f aca="false">IF(K119="","",RANK(K119,$K$5:$K$525))</f>
        <v>260</v>
      </c>
      <c r="M119" s="25" t="n">
        <v>0.0697597894044093</v>
      </c>
      <c r="N119" s="19" t="n">
        <v>44.4</v>
      </c>
      <c r="O119" s="17" t="n">
        <f aca="false">IF(N119="","",RANK(N119,$N$5:$N$525))</f>
        <v>289</v>
      </c>
      <c r="P119" s="17" t="str">
        <f aca="false">IF(AND(N(H119)&gt;=N(K119),N(H119)&gt;=N(N119)),"The Pulse",IF(N(K119)&gt;=N(N119),"The Lens","The Hub"))</f>
        <v>The Pulse</v>
      </c>
      <c r="Q119" s="21" t="s">
        <v>79</v>
      </c>
      <c r="R119" s="26" t="s">
        <v>822</v>
      </c>
      <c r="S119" s="17" t="s">
        <v>22</v>
      </c>
    </row>
    <row r="120" customFormat="false" ht="15" hidden="false" customHeight="false" outlineLevel="0" collapsed="false">
      <c r="A120" s="17" t="s">
        <v>1316</v>
      </c>
      <c r="B120" s="17" t="s">
        <v>1317</v>
      </c>
      <c r="C120" s="17" t="s">
        <v>2357</v>
      </c>
      <c r="D120" s="17" t="s">
        <v>82</v>
      </c>
      <c r="E120" s="18" t="n">
        <v>6750</v>
      </c>
      <c r="F120" s="17" t="s">
        <v>825</v>
      </c>
      <c r="G120" s="23" t="n">
        <v>2.06725925925926</v>
      </c>
      <c r="H120" s="19" t="n">
        <v>77.8</v>
      </c>
      <c r="I120" s="17" t="n">
        <f aca="false">IF(H120="","",RANK(H120,$H$5:$H$525))</f>
        <v>116</v>
      </c>
      <c r="J120" s="24" t="n">
        <v>0.130653266331658</v>
      </c>
      <c r="K120" s="19" t="n">
        <v>57.5</v>
      </c>
      <c r="L120" s="17" t="n">
        <f aca="false">IF(K120="","",RANK(K120,$K$5:$K$525))</f>
        <v>221</v>
      </c>
      <c r="M120" s="25" t="n">
        <v>0.148669796557121</v>
      </c>
      <c r="N120" s="19" t="n">
        <v>73.1</v>
      </c>
      <c r="O120" s="17" t="n">
        <f aca="false">IF(N120="","",RANK(N120,$N$5:$N$525))</f>
        <v>139</v>
      </c>
      <c r="P120" s="17" t="str">
        <f aca="false">IF(AND(N(H120)&gt;=N(K120),N(H120)&gt;=N(N120)),"The Pulse",IF(N(K120)&gt;=N(N120),"The Lens","The Hub"))</f>
        <v>The Pulse</v>
      </c>
      <c r="Q120" s="20" t="s">
        <v>74</v>
      </c>
      <c r="R120" s="27" t="s">
        <v>832</v>
      </c>
      <c r="S120" s="17" t="s">
        <v>24</v>
      </c>
    </row>
    <row r="121" customFormat="false" ht="15" hidden="false" customHeight="false" outlineLevel="0" collapsed="false">
      <c r="A121" s="17" t="s">
        <v>1624</v>
      </c>
      <c r="B121" s="17" t="s">
        <v>1625</v>
      </c>
      <c r="C121" s="17" t="s">
        <v>2358</v>
      </c>
      <c r="D121" s="17" t="s">
        <v>86</v>
      </c>
      <c r="E121" s="18" t="n">
        <v>57595</v>
      </c>
      <c r="F121" s="17" t="s">
        <v>821</v>
      </c>
      <c r="G121" s="23" t="n">
        <v>2.06236652487195</v>
      </c>
      <c r="H121" s="19" t="n">
        <v>77.6</v>
      </c>
      <c r="I121" s="17" t="n">
        <f aca="false">IF(H121="","",RANK(H121,$H$5:$H$525))</f>
        <v>117</v>
      </c>
      <c r="J121" s="24" t="n">
        <v>0.0339472928335488</v>
      </c>
      <c r="K121" s="19" t="n">
        <v>21.4</v>
      </c>
      <c r="L121" s="17" t="n">
        <f aca="false">IF(K121="","",RANK(K121,$K$5:$K$525))</f>
        <v>411</v>
      </c>
      <c r="M121" s="25" t="n">
        <v>0.0478159266582779</v>
      </c>
      <c r="N121" s="19" t="n">
        <v>31</v>
      </c>
      <c r="O121" s="17" t="n">
        <f aca="false">IF(N121="","",RANK(N121,$N$5:$N$525))</f>
        <v>360</v>
      </c>
      <c r="P121" s="17" t="str">
        <f aca="false">IF(AND(N(H121)&gt;=N(K121),N(H121)&gt;=N(N121)),"The Pulse",IF(N(K121)&gt;=N(N121),"The Lens","The Hub"))</f>
        <v>The Pulse</v>
      </c>
      <c r="Q121" s="21" t="s">
        <v>79</v>
      </c>
      <c r="R121" s="27" t="s">
        <v>832</v>
      </c>
      <c r="S121" s="17" t="s">
        <v>22</v>
      </c>
    </row>
    <row r="122" customFormat="false" ht="15" hidden="false" customHeight="false" outlineLevel="0" collapsed="false">
      <c r="A122" s="17" t="s">
        <v>2359</v>
      </c>
      <c r="B122" s="17" t="s">
        <v>2360</v>
      </c>
      <c r="C122" s="17" t="s">
        <v>2361</v>
      </c>
      <c r="D122" s="17" t="s">
        <v>115</v>
      </c>
      <c r="E122" s="18" t="n">
        <v>10520</v>
      </c>
      <c r="F122" s="17" t="s">
        <v>821</v>
      </c>
      <c r="G122" s="23" t="n">
        <v>2.06121673003802</v>
      </c>
      <c r="H122" s="19" t="n">
        <v>77.4</v>
      </c>
      <c r="I122" s="17" t="n">
        <f aca="false">IF(H122="","",RANK(H122,$H$5:$H$525))</f>
        <v>118</v>
      </c>
      <c r="J122" s="24" t="n">
        <v>0.174107142857143</v>
      </c>
      <c r="K122" s="19" t="n">
        <v>86</v>
      </c>
      <c r="L122" s="17" t="n">
        <f aca="false">IF(K122="","",RANK(K122,$K$5:$K$525))</f>
        <v>76</v>
      </c>
      <c r="M122" s="25" t="n">
        <v>0.219895287958115</v>
      </c>
      <c r="N122" s="19" t="n">
        <v>88.7</v>
      </c>
      <c r="O122" s="17" t="n">
        <f aca="false">IF(N122="","",RANK(N122,$N$5:$N$525))</f>
        <v>60</v>
      </c>
      <c r="P122" s="17" t="str">
        <f aca="false">IF(AND(N(H122)&gt;=N(K122),N(H122)&gt;=N(N122)),"The Pulse",IF(N(K122)&gt;=N(N122),"The Lens","The Hub"))</f>
        <v>The Hub</v>
      </c>
      <c r="Q122" s="20" t="s">
        <v>74</v>
      </c>
      <c r="R122" s="27" t="s">
        <v>832</v>
      </c>
      <c r="S122" s="17" t="s">
        <v>24</v>
      </c>
    </row>
    <row r="123" customFormat="false" ht="15" hidden="false" customHeight="false" outlineLevel="0" collapsed="false">
      <c r="A123" s="17" t="s">
        <v>1232</v>
      </c>
      <c r="B123" s="17" t="s">
        <v>1233</v>
      </c>
      <c r="C123" s="17" t="s">
        <v>2362</v>
      </c>
      <c r="D123" s="17" t="s">
        <v>115</v>
      </c>
      <c r="E123" s="18" t="n">
        <v>101033</v>
      </c>
      <c r="F123" s="17" t="s">
        <v>827</v>
      </c>
      <c r="G123" s="23" t="n">
        <v>2.05841655696654</v>
      </c>
      <c r="H123" s="19" t="n">
        <v>77.2</v>
      </c>
      <c r="I123" s="17" t="n">
        <f aca="false">IF(H123="","",RANK(H123,$H$5:$H$525))</f>
        <v>119</v>
      </c>
      <c r="J123" s="24" t="n">
        <v>0.296474996471147</v>
      </c>
      <c r="K123" s="19" t="n">
        <v>100</v>
      </c>
      <c r="L123" s="17" t="n">
        <f aca="false">IF(K123="","",RANK(K123,$K$5:$K$525))</f>
        <v>1</v>
      </c>
      <c r="M123" s="25" t="n">
        <v>0.245797534553605</v>
      </c>
      <c r="N123" s="19" t="n">
        <v>92.1</v>
      </c>
      <c r="O123" s="17" t="n">
        <f aca="false">IF(N123="","",RANK(N123,$N$5:$N$525))</f>
        <v>42</v>
      </c>
      <c r="P123" s="17" t="str">
        <f aca="false">IF(AND(N(H123)&gt;=N(K123),N(H123)&gt;=N(N123)),"The Pulse",IF(N(K123)&gt;=N(N123),"The Lens","The Hub"))</f>
        <v>The Lens</v>
      </c>
      <c r="Q123" s="21" t="s">
        <v>79</v>
      </c>
      <c r="R123" s="27" t="s">
        <v>832</v>
      </c>
      <c r="S123" s="17" t="s">
        <v>22</v>
      </c>
    </row>
    <row r="124" customFormat="false" ht="15" hidden="false" customHeight="false" outlineLevel="0" collapsed="false">
      <c r="A124" s="17" t="s">
        <v>307</v>
      </c>
      <c r="B124" s="17" t="s">
        <v>308</v>
      </c>
      <c r="C124" s="17" t="s">
        <v>2363</v>
      </c>
      <c r="D124" s="17" t="s">
        <v>77</v>
      </c>
      <c r="E124" s="18" t="n">
        <v>24770</v>
      </c>
      <c r="F124" s="17" t="s">
        <v>821</v>
      </c>
      <c r="G124" s="23" t="n">
        <v>2.05805409769883</v>
      </c>
      <c r="H124" s="19" t="n">
        <v>77.1</v>
      </c>
      <c r="I124" s="17" t="n">
        <f aca="false">IF(H124="","",RANK(H124,$H$5:$H$525))</f>
        <v>120</v>
      </c>
      <c r="J124" s="24" t="n">
        <v>0.183468705207836</v>
      </c>
      <c r="K124" s="19" t="n">
        <v>88.3</v>
      </c>
      <c r="L124" s="17" t="n">
        <f aca="false">IF(K124="","",RANK(K124,$K$5:$K$525))</f>
        <v>64</v>
      </c>
      <c r="M124" s="25" t="n">
        <v>0.0661025912215759</v>
      </c>
      <c r="N124" s="19" t="n">
        <v>42.5</v>
      </c>
      <c r="O124" s="17" t="n">
        <f aca="false">IF(N124="","",RANK(N124,$N$5:$N$525))</f>
        <v>299</v>
      </c>
      <c r="P124" s="17" t="str">
        <f aca="false">IF(AND(N(H124)&gt;=N(K124),N(H124)&gt;=N(N124)),"The Pulse",IF(N(K124)&gt;=N(N124),"The Lens","The Hub"))</f>
        <v>The Lens</v>
      </c>
      <c r="Q124" s="20" t="s">
        <v>74</v>
      </c>
      <c r="R124" s="26" t="s">
        <v>822</v>
      </c>
      <c r="S124" s="17" t="s">
        <v>24</v>
      </c>
    </row>
    <row r="125" customFormat="false" ht="15" hidden="false" customHeight="false" outlineLevel="0" collapsed="false">
      <c r="A125" s="17" t="s">
        <v>571</v>
      </c>
      <c r="B125" s="17" t="s">
        <v>572</v>
      </c>
      <c r="C125" s="17" t="s">
        <v>2364</v>
      </c>
      <c r="D125" s="17" t="s">
        <v>115</v>
      </c>
      <c r="E125" s="18" t="n">
        <v>249476</v>
      </c>
      <c r="F125" s="17" t="s">
        <v>827</v>
      </c>
      <c r="G125" s="23" t="n">
        <v>2.04918308775193</v>
      </c>
      <c r="H125" s="19" t="n">
        <v>76.9</v>
      </c>
      <c r="I125" s="17" t="n">
        <f aca="false">IF(H125="","",RANK(H125,$H$5:$H$525))</f>
        <v>121</v>
      </c>
      <c r="J125" s="24" t="n">
        <v>0.184905839606735</v>
      </c>
      <c r="K125" s="19" t="n">
        <v>94.4</v>
      </c>
      <c r="L125" s="17" t="n">
        <f aca="false">IF(K125="","",RANK(K125,$K$5:$K$525))</f>
        <v>34</v>
      </c>
      <c r="M125" s="25" t="n">
        <v>0.0976265259204093</v>
      </c>
      <c r="N125" s="19" t="n">
        <v>57.7</v>
      </c>
      <c r="O125" s="17" t="n">
        <f aca="false">IF(N125="","",RANK(N125,$N$5:$N$525))</f>
        <v>221</v>
      </c>
      <c r="P125" s="17" t="str">
        <f aca="false">IF(AND(N(H125)&gt;=N(K125),N(H125)&gt;=N(N125)),"The Pulse",IF(N(K125)&gt;=N(N125),"The Lens","The Hub"))</f>
        <v>The Lens</v>
      </c>
      <c r="Q125" s="21" t="s">
        <v>79</v>
      </c>
      <c r="R125" s="26" t="s">
        <v>822</v>
      </c>
      <c r="S125" s="17" t="s">
        <v>22</v>
      </c>
    </row>
    <row r="126" customFormat="false" ht="15" hidden="false" customHeight="false" outlineLevel="0" collapsed="false">
      <c r="A126" s="17" t="s">
        <v>635</v>
      </c>
      <c r="B126" s="17" t="s">
        <v>636</v>
      </c>
      <c r="C126" s="17" t="s">
        <v>2365</v>
      </c>
      <c r="D126" s="17" t="s">
        <v>82</v>
      </c>
      <c r="E126" s="18" t="n">
        <v>65222</v>
      </c>
      <c r="F126" s="17" t="s">
        <v>821</v>
      </c>
      <c r="G126" s="23" t="n">
        <v>2.02609548925209</v>
      </c>
      <c r="H126" s="19" t="n">
        <v>76.7</v>
      </c>
      <c r="I126" s="17" t="n">
        <f aca="false">IF(H126="","",RANK(H126,$H$5:$H$525))</f>
        <v>122</v>
      </c>
      <c r="J126" s="24" t="n">
        <v>0.127062848848261</v>
      </c>
      <c r="K126" s="19" t="n">
        <v>66.2</v>
      </c>
      <c r="L126" s="17" t="n">
        <f aca="false">IF(K126="","",RANK(K126,$K$5:$K$525))</f>
        <v>175</v>
      </c>
      <c r="M126" s="25" t="n">
        <v>0.153604523323386</v>
      </c>
      <c r="N126" s="19" t="n">
        <v>74</v>
      </c>
      <c r="O126" s="17" t="n">
        <f aca="false">IF(N126="","",RANK(N126,$N$5:$N$525))</f>
        <v>135</v>
      </c>
      <c r="P126" s="17" t="str">
        <f aca="false">IF(AND(N(H126)&gt;=N(K126),N(H126)&gt;=N(N126)),"The Pulse",IF(N(K126)&gt;=N(N126),"The Lens","The Hub"))</f>
        <v>The Pulse</v>
      </c>
      <c r="Q126" s="21" t="s">
        <v>79</v>
      </c>
      <c r="R126" s="26" t="s">
        <v>822</v>
      </c>
      <c r="S126" s="17" t="s">
        <v>22</v>
      </c>
    </row>
    <row r="127" customFormat="false" ht="15" hidden="false" customHeight="false" outlineLevel="0" collapsed="false">
      <c r="A127" s="17" t="s">
        <v>187</v>
      </c>
      <c r="B127" s="17" t="s">
        <v>188</v>
      </c>
      <c r="C127" s="17" t="s">
        <v>2366</v>
      </c>
      <c r="D127" s="17" t="s">
        <v>77</v>
      </c>
      <c r="E127" s="18" t="n">
        <v>33710</v>
      </c>
      <c r="F127" s="17" t="s">
        <v>821</v>
      </c>
      <c r="G127" s="23" t="n">
        <v>2.01972708395135</v>
      </c>
      <c r="H127" s="19" t="n">
        <v>76.5</v>
      </c>
      <c r="I127" s="17" t="n">
        <f aca="false">IF(H127="","",RANK(H127,$H$5:$H$525))</f>
        <v>123</v>
      </c>
      <c r="J127" s="24" t="n">
        <v>-0.0423295454545455</v>
      </c>
      <c r="K127" s="19" t="n">
        <v>3.2</v>
      </c>
      <c r="L127" s="17" t="n">
        <f aca="false">IF(K127="","",RANK(K127,$K$5:$K$525))</f>
        <v>506</v>
      </c>
      <c r="M127" s="25" t="n">
        <v>0.120434782608696</v>
      </c>
      <c r="N127" s="19" t="n">
        <v>65.6</v>
      </c>
      <c r="O127" s="17" t="n">
        <f aca="false">IF(N127="","",RANK(N127,$N$5:$N$525))</f>
        <v>178</v>
      </c>
      <c r="P127" s="17" t="str">
        <f aca="false">IF(AND(N(H127)&gt;=N(K127),N(H127)&gt;=N(N127)),"The Pulse",IF(N(K127)&gt;=N(N127),"The Lens","The Hub"))</f>
        <v>The Pulse</v>
      </c>
      <c r="Q127" s="20" t="s">
        <v>74</v>
      </c>
      <c r="R127" s="26" t="s">
        <v>822</v>
      </c>
      <c r="S127" s="17" t="s">
        <v>24</v>
      </c>
    </row>
    <row r="128" customFormat="false" ht="15" hidden="false" customHeight="false" outlineLevel="0" collapsed="false">
      <c r="A128" s="17" t="s">
        <v>189</v>
      </c>
      <c r="B128" s="17" t="s">
        <v>190</v>
      </c>
      <c r="C128" s="17" t="s">
        <v>2367</v>
      </c>
      <c r="D128" s="17" t="s">
        <v>162</v>
      </c>
      <c r="E128" s="18" t="n">
        <v>12410</v>
      </c>
      <c r="F128" s="17" t="s">
        <v>821</v>
      </c>
      <c r="G128" s="23" t="n">
        <v>1.98597904915391</v>
      </c>
      <c r="H128" s="19" t="n">
        <v>76.4</v>
      </c>
      <c r="I128" s="17" t="n">
        <f aca="false">IF(H128="","",RANK(H128,$H$5:$H$525))</f>
        <v>124</v>
      </c>
      <c r="J128" s="24" t="n">
        <v>0.0494714587737844</v>
      </c>
      <c r="K128" s="19" t="n">
        <v>27.9</v>
      </c>
      <c r="L128" s="17" t="n">
        <f aca="false">IF(K128="","",RANK(K128,$K$5:$K$525))</f>
        <v>378</v>
      </c>
      <c r="M128" s="25" t="n">
        <v>0</v>
      </c>
      <c r="N128" s="19" t="n">
        <v>0.9</v>
      </c>
      <c r="O128" s="17" t="n">
        <f aca="false">IF(N128="","",RANK(N128,$N$5:$N$525))</f>
        <v>514</v>
      </c>
      <c r="P128" s="17" t="str">
        <f aca="false">IF(AND(N(H128)&gt;=N(K128),N(H128)&gt;=N(N128)),"The Pulse",IF(N(K128)&gt;=N(N128),"The Lens","The Hub"))</f>
        <v>The Pulse</v>
      </c>
      <c r="Q128" s="21" t="s">
        <v>79</v>
      </c>
      <c r="R128" s="26" t="s">
        <v>822</v>
      </c>
      <c r="S128" s="17" t="s">
        <v>22</v>
      </c>
    </row>
    <row r="129" customFormat="false" ht="15" hidden="false" customHeight="false" outlineLevel="0" collapsed="false">
      <c r="A129" s="17" t="s">
        <v>483</v>
      </c>
      <c r="B129" s="17" t="s">
        <v>484</v>
      </c>
      <c r="C129" s="17" t="s">
        <v>2368</v>
      </c>
      <c r="D129" s="17" t="s">
        <v>123</v>
      </c>
      <c r="E129" s="18" t="n">
        <v>74070</v>
      </c>
      <c r="F129" s="17" t="s">
        <v>821</v>
      </c>
      <c r="G129" s="23" t="n">
        <v>1.95728365060078</v>
      </c>
      <c r="H129" s="19" t="n">
        <v>76.2</v>
      </c>
      <c r="I129" s="17" t="n">
        <f aca="false">IF(H129="","",RANK(H129,$H$5:$H$525))</f>
        <v>125</v>
      </c>
      <c r="J129" s="24" t="n">
        <v>0.219660793676931</v>
      </c>
      <c r="K129" s="19" t="n">
        <v>94.5</v>
      </c>
      <c r="L129" s="17" t="n">
        <f aca="false">IF(K129="","",RANK(K129,$K$5:$K$525))</f>
        <v>33</v>
      </c>
      <c r="M129" s="25" t="n">
        <v>0.0138392857142857</v>
      </c>
      <c r="N129" s="19" t="n">
        <v>9.7</v>
      </c>
      <c r="O129" s="17" t="n">
        <f aca="false">IF(N129="","",RANK(N129,$N$5:$N$525))</f>
        <v>472</v>
      </c>
      <c r="P129" s="17" t="str">
        <f aca="false">IF(AND(N(H129)&gt;=N(K129),N(H129)&gt;=N(N129)),"The Pulse",IF(N(K129)&gt;=N(N129),"The Lens","The Hub"))</f>
        <v>The Lens</v>
      </c>
      <c r="Q129" s="20" t="s">
        <v>74</v>
      </c>
      <c r="R129" s="26" t="s">
        <v>822</v>
      </c>
      <c r="S129" s="17" t="s">
        <v>24</v>
      </c>
    </row>
    <row r="130" customFormat="false" ht="15" hidden="false" customHeight="false" outlineLevel="0" collapsed="false">
      <c r="A130" s="17" t="s">
        <v>1461</v>
      </c>
      <c r="B130" s="17" t="s">
        <v>1462</v>
      </c>
      <c r="C130" s="17" t="s">
        <v>2369</v>
      </c>
      <c r="D130" s="17" t="s">
        <v>162</v>
      </c>
      <c r="E130" s="18" t="n">
        <v>245184</v>
      </c>
      <c r="F130" s="17" t="s">
        <v>827</v>
      </c>
      <c r="G130" s="23" t="n">
        <v>1.9547605063952</v>
      </c>
      <c r="H130" s="19" t="n">
        <v>76</v>
      </c>
      <c r="I130" s="17" t="n">
        <f aca="false">IF(H130="","",RANK(H130,$H$5:$H$525))</f>
        <v>126</v>
      </c>
      <c r="J130" s="24" t="n">
        <v>0.00879668869267546</v>
      </c>
      <c r="K130" s="19" t="n">
        <v>14.3</v>
      </c>
      <c r="L130" s="17" t="n">
        <f aca="false">IF(K130="","",RANK(K130,$K$5:$K$525))</f>
        <v>449</v>
      </c>
      <c r="M130" s="25" t="n">
        <v>0.000293183483997068</v>
      </c>
      <c r="N130" s="19" t="n">
        <v>1.8</v>
      </c>
      <c r="O130" s="17" t="n">
        <f aca="false">IF(N130="","",RANK(N130,$N$5:$N$525))</f>
        <v>513</v>
      </c>
      <c r="P130" s="17" t="str">
        <f aca="false">IF(AND(N(H130)&gt;=N(K130),N(H130)&gt;=N(N130)),"The Pulse",IF(N(K130)&gt;=N(N130),"The Lens","The Hub"))</f>
        <v>The Pulse</v>
      </c>
      <c r="Q130" s="21" t="s">
        <v>79</v>
      </c>
      <c r="R130" s="27" t="s">
        <v>832</v>
      </c>
      <c r="S130" s="17" t="s">
        <v>22</v>
      </c>
    </row>
    <row r="131" customFormat="false" ht="15" hidden="false" customHeight="false" outlineLevel="0" collapsed="false">
      <c r="A131" s="17" t="s">
        <v>167</v>
      </c>
      <c r="B131" s="17" t="s">
        <v>168</v>
      </c>
      <c r="C131" s="17" t="s">
        <v>2370</v>
      </c>
      <c r="D131" s="17" t="s">
        <v>98</v>
      </c>
      <c r="E131" s="18" t="n">
        <v>397976</v>
      </c>
      <c r="F131" s="17" t="s">
        <v>827</v>
      </c>
      <c r="G131" s="23" t="n">
        <v>1.94753955012363</v>
      </c>
      <c r="H131" s="19" t="n">
        <v>75.7</v>
      </c>
      <c r="I131" s="17" t="n">
        <f aca="false">IF(H131="","",RANK(H131,$H$5:$H$525))</f>
        <v>127</v>
      </c>
      <c r="J131" s="24" t="n">
        <v>0.157280401524911</v>
      </c>
      <c r="K131" s="19" t="n">
        <v>85.1</v>
      </c>
      <c r="L131" s="17" t="n">
        <f aca="false">IF(K131="","",RANK(K131,$K$5:$K$525))</f>
        <v>81</v>
      </c>
      <c r="M131" s="25" t="n">
        <v>0.0245750347179496</v>
      </c>
      <c r="N131" s="19" t="n">
        <v>16.1</v>
      </c>
      <c r="O131" s="17" t="n">
        <f aca="false">IF(N131="","",RANK(N131,$N$5:$N$525))</f>
        <v>439</v>
      </c>
      <c r="P131" s="17" t="str">
        <f aca="false">IF(AND(N(H131)&gt;=N(K131),N(H131)&gt;=N(N131)),"The Pulse",IF(N(K131)&gt;=N(N131),"The Lens","The Hub"))</f>
        <v>The Lens</v>
      </c>
      <c r="Q131" s="21" t="s">
        <v>79</v>
      </c>
      <c r="R131" s="26" t="s">
        <v>822</v>
      </c>
      <c r="S131" s="17" t="s">
        <v>22</v>
      </c>
    </row>
    <row r="132" customFormat="false" ht="15" hidden="false" customHeight="false" outlineLevel="0" collapsed="false">
      <c r="A132" s="17" t="s">
        <v>281</v>
      </c>
      <c r="B132" s="17" t="s">
        <v>282</v>
      </c>
      <c r="C132" s="17" t="s">
        <v>2371</v>
      </c>
      <c r="D132" s="17" t="s">
        <v>98</v>
      </c>
      <c r="E132" s="18" t="n">
        <v>403676</v>
      </c>
      <c r="F132" s="17" t="s">
        <v>827</v>
      </c>
      <c r="G132" s="23" t="n">
        <v>1.94648678643268</v>
      </c>
      <c r="H132" s="19" t="n">
        <v>75.5</v>
      </c>
      <c r="I132" s="17" t="n">
        <f aca="false">IF(H132="","",RANK(H132,$H$5:$H$525))</f>
        <v>128</v>
      </c>
      <c r="J132" s="24" t="n">
        <v>0.112876724413617</v>
      </c>
      <c r="K132" s="19" t="n">
        <v>65.2</v>
      </c>
      <c r="L132" s="17" t="n">
        <f aca="false">IF(K132="","",RANK(K132,$K$5:$K$525))</f>
        <v>181</v>
      </c>
      <c r="M132" s="25" t="n">
        <v>0.0497258418984616</v>
      </c>
      <c r="N132" s="19" t="n">
        <v>31.9</v>
      </c>
      <c r="O132" s="17" t="n">
        <f aca="false">IF(N132="","",RANK(N132,$N$5:$N$525))</f>
        <v>355</v>
      </c>
      <c r="P132" s="17" t="str">
        <f aca="false">IF(AND(N(H132)&gt;=N(K132),N(H132)&gt;=N(N132)),"The Pulse",IF(N(K132)&gt;=N(N132),"The Lens","The Hub"))</f>
        <v>The Pulse</v>
      </c>
      <c r="Q132" s="21" t="s">
        <v>79</v>
      </c>
      <c r="R132" s="26" t="s">
        <v>822</v>
      </c>
      <c r="S132" s="17" t="s">
        <v>22</v>
      </c>
    </row>
    <row r="133" customFormat="false" ht="15" hidden="false" customHeight="false" outlineLevel="0" collapsed="false">
      <c r="A133" s="17" t="s">
        <v>199</v>
      </c>
      <c r="B133" s="17" t="s">
        <v>200</v>
      </c>
      <c r="C133" s="17" t="s">
        <v>2372</v>
      </c>
      <c r="D133" s="17" t="s">
        <v>162</v>
      </c>
      <c r="E133" s="18" t="n">
        <v>33240</v>
      </c>
      <c r="F133" s="17" t="s">
        <v>821</v>
      </c>
      <c r="G133" s="23" t="n">
        <v>1.94398315282792</v>
      </c>
      <c r="H133" s="19" t="n">
        <v>75.3</v>
      </c>
      <c r="I133" s="17" t="n">
        <f aca="false">IF(H133="","",RANK(H133,$H$5:$H$525))</f>
        <v>129</v>
      </c>
      <c r="J133" s="24" t="n">
        <v>-0.0300554420776189</v>
      </c>
      <c r="K133" s="19" t="n">
        <v>4.9</v>
      </c>
      <c r="L133" s="17" t="n">
        <f aca="false">IF(K133="","",RANK(K133,$K$5:$K$525))</f>
        <v>498</v>
      </c>
      <c r="M133" s="25" t="n">
        <v>0.196017699115044</v>
      </c>
      <c r="N133" s="19" t="n">
        <v>84.1</v>
      </c>
      <c r="O133" s="17" t="n">
        <f aca="false">IF(N133="","",RANK(N133,$N$5:$N$525))</f>
        <v>84</v>
      </c>
      <c r="P133" s="17" t="str">
        <f aca="false">IF(AND(N(H133)&gt;=N(K133),N(H133)&gt;=N(N133)),"The Pulse",IF(N(K133)&gt;=N(N133),"The Lens","The Hub"))</f>
        <v>The Hub</v>
      </c>
      <c r="Q133" s="20" t="s">
        <v>74</v>
      </c>
      <c r="R133" s="26" t="s">
        <v>822</v>
      </c>
      <c r="S133" s="17" t="s">
        <v>24</v>
      </c>
    </row>
    <row r="134" customFormat="false" ht="15" hidden="false" customHeight="false" outlineLevel="0" collapsed="false">
      <c r="A134" s="17" t="s">
        <v>305</v>
      </c>
      <c r="B134" s="17" t="s">
        <v>306</v>
      </c>
      <c r="C134" s="17" t="s">
        <v>2373</v>
      </c>
      <c r="D134" s="17" t="s">
        <v>91</v>
      </c>
      <c r="E134" s="18" t="n">
        <v>103540</v>
      </c>
      <c r="F134" s="17" t="s">
        <v>827</v>
      </c>
      <c r="G134" s="23" t="n">
        <v>1.94353872899363</v>
      </c>
      <c r="H134" s="19" t="n">
        <v>75.1</v>
      </c>
      <c r="I134" s="17" t="n">
        <f aca="false">IF(H134="","",RANK(H134,$H$5:$H$525))</f>
        <v>130</v>
      </c>
      <c r="J134" s="24" t="n">
        <v>0.101091094710424</v>
      </c>
      <c r="K134" s="19" t="n">
        <v>59</v>
      </c>
      <c r="L134" s="17" t="n">
        <f aca="false">IF(K134="","",RANK(K134,$K$5:$K$525))</f>
        <v>214</v>
      </c>
      <c r="M134" s="25" t="n">
        <v>0.100589721988206</v>
      </c>
      <c r="N134" s="19" t="n">
        <v>59.1</v>
      </c>
      <c r="O134" s="17" t="n">
        <f aca="false">IF(N134="","",RANK(N134,$N$5:$N$525))</f>
        <v>213</v>
      </c>
      <c r="P134" s="17" t="str">
        <f aca="false">IF(AND(N(H134)&gt;=N(K134),N(H134)&gt;=N(N134)),"The Pulse",IF(N(K134)&gt;=N(N134),"The Lens","The Hub"))</f>
        <v>The Pulse</v>
      </c>
      <c r="Q134" s="21" t="s">
        <v>79</v>
      </c>
      <c r="R134" s="26" t="s">
        <v>822</v>
      </c>
      <c r="S134" s="17" t="s">
        <v>22</v>
      </c>
    </row>
    <row r="135" customFormat="false" ht="15" hidden="false" customHeight="false" outlineLevel="0" collapsed="false">
      <c r="A135" s="17" t="s">
        <v>203</v>
      </c>
      <c r="B135" s="17" t="s">
        <v>204</v>
      </c>
      <c r="C135" s="17" t="s">
        <v>2374</v>
      </c>
      <c r="D135" s="17" t="s">
        <v>86</v>
      </c>
      <c r="E135" s="18" t="n">
        <v>74700</v>
      </c>
      <c r="F135" s="17" t="s">
        <v>821</v>
      </c>
      <c r="G135" s="23" t="n">
        <v>1.93780455153949</v>
      </c>
      <c r="H135" s="19" t="n">
        <v>75</v>
      </c>
      <c r="I135" s="17" t="n">
        <f aca="false">IF(H135="","",RANK(H135,$H$5:$H$525))</f>
        <v>131</v>
      </c>
      <c r="J135" s="24" t="n">
        <v>0.0731793061746797</v>
      </c>
      <c r="K135" s="19" t="n">
        <v>37.7</v>
      </c>
      <c r="L135" s="17" t="n">
        <f aca="false">IF(K135="","",RANK(K135,$K$5:$K$525))</f>
        <v>325</v>
      </c>
      <c r="M135" s="25" t="n">
        <v>0.20378882852765</v>
      </c>
      <c r="N135" s="19" t="n">
        <v>85.8</v>
      </c>
      <c r="O135" s="17" t="n">
        <f aca="false">IF(N135="","",RANK(N135,$N$5:$N$525))</f>
        <v>74</v>
      </c>
      <c r="P135" s="17" t="str">
        <f aca="false">IF(AND(N(H135)&gt;=N(K135),N(H135)&gt;=N(N135)),"The Pulse",IF(N(K135)&gt;=N(N135),"The Lens","The Hub"))</f>
        <v>The Hub</v>
      </c>
      <c r="Q135" s="21" t="s">
        <v>79</v>
      </c>
      <c r="R135" s="26" t="s">
        <v>822</v>
      </c>
      <c r="S135" s="17" t="s">
        <v>88</v>
      </c>
    </row>
    <row r="136" customFormat="false" ht="15" hidden="false" customHeight="false" outlineLevel="0" collapsed="false">
      <c r="A136" s="17" t="s">
        <v>567</v>
      </c>
      <c r="B136" s="17" t="s">
        <v>568</v>
      </c>
      <c r="C136" s="17" t="s">
        <v>2375</v>
      </c>
      <c r="D136" s="17" t="s">
        <v>123</v>
      </c>
      <c r="E136" s="18" t="n">
        <v>19980</v>
      </c>
      <c r="F136" s="17" t="s">
        <v>821</v>
      </c>
      <c r="G136" s="23" t="n">
        <v>1.93323323323323</v>
      </c>
      <c r="H136" s="19" t="n">
        <v>74.8</v>
      </c>
      <c r="I136" s="17" t="n">
        <f aca="false">IF(H136="","",RANK(H136,$H$5:$H$525))</f>
        <v>132</v>
      </c>
      <c r="J136" s="24" t="n">
        <v>0.199279711884754</v>
      </c>
      <c r="K136" s="19" t="n">
        <v>91.9</v>
      </c>
      <c r="L136" s="17" t="n">
        <f aca="false">IF(K136="","",RANK(K136,$K$5:$K$525))</f>
        <v>46</v>
      </c>
      <c r="M136" s="25" t="n">
        <v>0.202911737943585</v>
      </c>
      <c r="N136" s="19" t="n">
        <v>85.7</v>
      </c>
      <c r="O136" s="17" t="n">
        <f aca="false">IF(N136="","",RANK(N136,$N$5:$N$525))</f>
        <v>75</v>
      </c>
      <c r="P136" s="17" t="str">
        <f aca="false">IF(AND(N(H136)&gt;=N(K136),N(H136)&gt;=N(N136)),"The Pulse",IF(N(K136)&gt;=N(N136),"The Lens","The Hub"))</f>
        <v>The Lens</v>
      </c>
      <c r="Q136" s="20" t="s">
        <v>74</v>
      </c>
      <c r="R136" s="26" t="s">
        <v>822</v>
      </c>
      <c r="S136" s="17" t="s">
        <v>24</v>
      </c>
    </row>
    <row r="137" customFormat="false" ht="15" hidden="false" customHeight="false" outlineLevel="0" collapsed="false">
      <c r="A137" s="17" t="s">
        <v>2376</v>
      </c>
      <c r="B137" s="17" t="s">
        <v>2377</v>
      </c>
      <c r="C137" s="17" t="s">
        <v>2378</v>
      </c>
      <c r="D137" s="17" t="s">
        <v>95</v>
      </c>
      <c r="E137" s="18" t="n">
        <v>16998</v>
      </c>
      <c r="F137" s="17" t="s">
        <v>821</v>
      </c>
      <c r="G137" s="23" t="n">
        <v>1.93205082950935</v>
      </c>
      <c r="H137" s="19" t="n">
        <v>74.6</v>
      </c>
      <c r="I137" s="17" t="n">
        <f aca="false">IF(H137="","",RANK(H137,$H$5:$H$525))</f>
        <v>133</v>
      </c>
      <c r="J137" s="24" t="n">
        <v>0.00496630010642072</v>
      </c>
      <c r="K137" s="19" t="n">
        <v>11.4</v>
      </c>
      <c r="L137" s="17" t="n">
        <f aca="false">IF(K137="","",RANK(K137,$K$5:$K$525))</f>
        <v>463</v>
      </c>
      <c r="M137" s="25" t="n">
        <v>0.139689578713969</v>
      </c>
      <c r="N137" s="19" t="n">
        <v>70.8</v>
      </c>
      <c r="O137" s="17" t="n">
        <f aca="false">IF(N137="","",RANK(N137,$N$5:$N$525))</f>
        <v>151</v>
      </c>
      <c r="P137" s="17" t="str">
        <f aca="false">IF(AND(N(H137)&gt;=N(K137),N(H137)&gt;=N(N137)),"The Pulse",IF(N(K137)&gt;=N(N137),"The Lens","The Hub"))</f>
        <v>The Pulse</v>
      </c>
      <c r="Q137" s="21" t="s">
        <v>79</v>
      </c>
      <c r="R137" s="27" t="s">
        <v>832</v>
      </c>
      <c r="S137" s="17" t="s">
        <v>22</v>
      </c>
    </row>
    <row r="138" customFormat="false" ht="15" hidden="false" customHeight="false" outlineLevel="0" collapsed="false">
      <c r="A138" s="17" t="s">
        <v>207</v>
      </c>
      <c r="B138" s="17" t="s">
        <v>208</v>
      </c>
      <c r="C138" s="17" t="s">
        <v>2379</v>
      </c>
      <c r="D138" s="17" t="s">
        <v>82</v>
      </c>
      <c r="E138" s="18" t="n">
        <v>641662</v>
      </c>
      <c r="F138" s="17" t="s">
        <v>827</v>
      </c>
      <c r="G138" s="23" t="n">
        <v>1.9294877988723</v>
      </c>
      <c r="H138" s="19" t="n">
        <v>74.4</v>
      </c>
      <c r="I138" s="17" t="n">
        <f aca="false">IF(H138="","",RANK(H138,$H$5:$H$525))</f>
        <v>134</v>
      </c>
      <c r="J138" s="24" t="n">
        <v>0.0505116984196369</v>
      </c>
      <c r="K138" s="19" t="n">
        <v>31.1</v>
      </c>
      <c r="L138" s="17" t="n">
        <f aca="false">IF(K138="","",RANK(K138,$K$5:$K$525))</f>
        <v>360</v>
      </c>
      <c r="M138" s="25" t="n">
        <v>0.154687629980867</v>
      </c>
      <c r="N138" s="19" t="n">
        <v>74.6</v>
      </c>
      <c r="O138" s="17" t="n">
        <f aca="false">IF(N138="","",RANK(N138,$N$5:$N$525))</f>
        <v>132</v>
      </c>
      <c r="P138" s="17" t="str">
        <f aca="false">IF(AND(N(H138)&gt;=N(K138),N(H138)&gt;=N(N138)),"The Pulse",IF(N(K138)&gt;=N(N138),"The Lens","The Hub"))</f>
        <v>The Hub</v>
      </c>
      <c r="Q138" s="21" t="s">
        <v>79</v>
      </c>
      <c r="R138" s="26" t="s">
        <v>822</v>
      </c>
      <c r="S138" s="17" t="s">
        <v>22</v>
      </c>
    </row>
    <row r="139" customFormat="false" ht="15" hidden="false" customHeight="false" outlineLevel="0" collapsed="false">
      <c r="A139" s="17" t="s">
        <v>653</v>
      </c>
      <c r="B139" s="17" t="s">
        <v>654</v>
      </c>
      <c r="C139" s="17" t="s">
        <v>2380</v>
      </c>
      <c r="D139" s="17" t="s">
        <v>86</v>
      </c>
      <c r="E139" s="18" t="n">
        <v>31396</v>
      </c>
      <c r="F139" s="17" t="s">
        <v>821</v>
      </c>
      <c r="G139" s="23" t="n">
        <v>1.92129570645942</v>
      </c>
      <c r="H139" s="19" t="n">
        <v>74.3</v>
      </c>
      <c r="I139" s="17" t="n">
        <f aca="false">IF(H139="","",RANK(H139,$H$5:$H$525))</f>
        <v>135</v>
      </c>
      <c r="J139" s="24" t="n">
        <v>0.148396064230586</v>
      </c>
      <c r="K139" s="19" t="n">
        <v>76.6</v>
      </c>
      <c r="L139" s="17" t="n">
        <f aca="false">IF(K139="","",RANK(K139,$K$5:$K$525))</f>
        <v>124</v>
      </c>
      <c r="M139" s="25" t="n">
        <v>0.178912685337727</v>
      </c>
      <c r="N139" s="19" t="n">
        <v>80.3</v>
      </c>
      <c r="O139" s="17" t="n">
        <f aca="false">IF(N139="","",RANK(N139,$N$5:$N$525))</f>
        <v>102</v>
      </c>
      <c r="P139" s="17" t="str">
        <f aca="false">IF(AND(N(H139)&gt;=N(K139),N(H139)&gt;=N(N139)),"The Pulse",IF(N(K139)&gt;=N(N139),"The Lens","The Hub"))</f>
        <v>The Hub</v>
      </c>
      <c r="Q139" s="22" t="s">
        <v>109</v>
      </c>
      <c r="R139" s="26" t="s">
        <v>822</v>
      </c>
      <c r="S139" s="17" t="s">
        <v>110</v>
      </c>
    </row>
    <row r="140" customFormat="false" ht="15" hidden="false" customHeight="false" outlineLevel="0" collapsed="false">
      <c r="A140" s="17" t="s">
        <v>245</v>
      </c>
      <c r="B140" s="17" t="s">
        <v>246</v>
      </c>
      <c r="C140" s="17" t="s">
        <v>2381</v>
      </c>
      <c r="D140" s="17" t="s">
        <v>91</v>
      </c>
      <c r="E140" s="18" t="n">
        <v>29392</v>
      </c>
      <c r="F140" s="17" t="s">
        <v>821</v>
      </c>
      <c r="G140" s="23" t="n">
        <v>1.92103293413174</v>
      </c>
      <c r="H140" s="19" t="n">
        <v>74.1</v>
      </c>
      <c r="I140" s="17" t="n">
        <f aca="false">IF(H140="","",RANK(H140,$H$5:$H$525))</f>
        <v>136</v>
      </c>
      <c r="J140" s="24" t="n">
        <v>0.237714237587906</v>
      </c>
      <c r="K140" s="19" t="n">
        <v>97.1</v>
      </c>
      <c r="L140" s="17" t="n">
        <f aca="false">IF(K140="","",RANK(K140,$K$5:$K$525))</f>
        <v>19</v>
      </c>
      <c r="M140" s="25" t="n">
        <v>0.0207052733743125</v>
      </c>
      <c r="N140" s="19" t="n">
        <v>14.2</v>
      </c>
      <c r="O140" s="17" t="n">
        <f aca="false">IF(N140="","",RANK(N140,$N$5:$N$525))</f>
        <v>448</v>
      </c>
      <c r="P140" s="17" t="str">
        <f aca="false">IF(AND(N(H140)&gt;=N(K140),N(H140)&gt;=N(N140)),"The Pulse",IF(N(K140)&gt;=N(N140),"The Lens","The Hub"))</f>
        <v>The Lens</v>
      </c>
      <c r="Q140" s="21" t="s">
        <v>79</v>
      </c>
      <c r="R140" s="26" t="s">
        <v>822</v>
      </c>
      <c r="S140" s="17" t="s">
        <v>22</v>
      </c>
    </row>
    <row r="141" customFormat="false" ht="15" hidden="false" customHeight="false" outlineLevel="0" collapsed="false">
      <c r="A141" s="17" t="s">
        <v>481</v>
      </c>
      <c r="B141" s="17" t="s">
        <v>482</v>
      </c>
      <c r="C141" s="17" t="s">
        <v>2382</v>
      </c>
      <c r="D141" s="17" t="s">
        <v>123</v>
      </c>
      <c r="E141" s="18" t="n">
        <v>12546</v>
      </c>
      <c r="F141" s="17" t="s">
        <v>821</v>
      </c>
      <c r="G141" s="23" t="n">
        <v>1.90698230511717</v>
      </c>
      <c r="H141" s="19" t="n">
        <v>73.9</v>
      </c>
      <c r="I141" s="17" t="n">
        <f aca="false">IF(H141="","",RANK(H141,$H$5:$H$525))</f>
        <v>137</v>
      </c>
      <c r="J141" s="24" t="n">
        <v>0.15705985428387</v>
      </c>
      <c r="K141" s="19" t="n">
        <v>80.2</v>
      </c>
      <c r="L141" s="17" t="n">
        <f aca="false">IF(K141="","",RANK(K141,$K$5:$K$525))</f>
        <v>106</v>
      </c>
      <c r="M141" s="25" t="n">
        <v>0.108508014796548</v>
      </c>
      <c r="N141" s="19" t="n">
        <v>61.8</v>
      </c>
      <c r="O141" s="17" t="n">
        <f aca="false">IF(N141="","",RANK(N141,$N$5:$N$525))</f>
        <v>199</v>
      </c>
      <c r="P141" s="17" t="str">
        <f aca="false">IF(AND(N(H141)&gt;=N(K141),N(H141)&gt;=N(N141)),"The Pulse",IF(N(K141)&gt;=N(N141),"The Lens","The Hub"))</f>
        <v>The Lens</v>
      </c>
      <c r="Q141" s="21" t="s">
        <v>79</v>
      </c>
      <c r="R141" s="26" t="s">
        <v>822</v>
      </c>
      <c r="S141" s="17" t="s">
        <v>22</v>
      </c>
    </row>
    <row r="142" customFormat="false" ht="15" hidden="false" customHeight="false" outlineLevel="0" collapsed="false">
      <c r="A142" s="17" t="s">
        <v>411</v>
      </c>
      <c r="B142" s="17" t="s">
        <v>412</v>
      </c>
      <c r="C142" s="17" t="s">
        <v>2383</v>
      </c>
      <c r="D142" s="17" t="s">
        <v>91</v>
      </c>
      <c r="E142" s="18" t="n">
        <v>68098</v>
      </c>
      <c r="F142" s="17" t="s">
        <v>821</v>
      </c>
      <c r="G142" s="23" t="n">
        <v>1.89507768216394</v>
      </c>
      <c r="H142" s="19" t="n">
        <v>73.5</v>
      </c>
      <c r="I142" s="17" t="n">
        <f aca="false">IF(H142="","",RANK(H142,$H$5:$H$525))</f>
        <v>138</v>
      </c>
      <c r="J142" s="24" t="n">
        <v>-0.1110037727967</v>
      </c>
      <c r="K142" s="19" t="n">
        <v>0.3</v>
      </c>
      <c r="L142" s="17" t="n">
        <f aca="false">IF(K142="","",RANK(K142,$K$5:$K$525))</f>
        <v>521</v>
      </c>
      <c r="M142" s="25" t="n">
        <v>0.0218201170835551</v>
      </c>
      <c r="N142" s="19" t="n">
        <v>14.7</v>
      </c>
      <c r="O142" s="17" t="n">
        <f aca="false">IF(N142="","",RANK(N142,$N$5:$N$525))</f>
        <v>445</v>
      </c>
      <c r="P142" s="17" t="str">
        <f aca="false">IF(AND(N(H142)&gt;=N(K142),N(H142)&gt;=N(N142)),"The Pulse",IF(N(K142)&gt;=N(N142),"The Lens","The Hub"))</f>
        <v>The Pulse</v>
      </c>
      <c r="Q142" s="21" t="s">
        <v>79</v>
      </c>
      <c r="R142" s="26" t="s">
        <v>822</v>
      </c>
      <c r="S142" s="17" t="s">
        <v>22</v>
      </c>
    </row>
    <row r="143" customFormat="false" ht="15" hidden="false" customHeight="false" outlineLevel="0" collapsed="false">
      <c r="A143" s="17" t="s">
        <v>1419</v>
      </c>
      <c r="B143" s="17" t="s">
        <v>1420</v>
      </c>
      <c r="C143" s="17" t="s">
        <v>2384</v>
      </c>
      <c r="D143" s="17" t="s">
        <v>98</v>
      </c>
      <c r="E143" s="18" t="n">
        <v>124220</v>
      </c>
      <c r="F143" s="17" t="s">
        <v>827</v>
      </c>
      <c r="G143" s="23" t="n">
        <v>1.8904282724199</v>
      </c>
      <c r="H143" s="19" t="n">
        <v>73.4</v>
      </c>
      <c r="I143" s="17" t="n">
        <f aca="false">IF(H143="","",RANK(H143,$H$5:$H$525))</f>
        <v>139</v>
      </c>
      <c r="J143" s="24" t="n">
        <v>0.0147034798235582</v>
      </c>
      <c r="K143" s="19" t="n">
        <v>17.4</v>
      </c>
      <c r="L143" s="17" t="n">
        <f aca="false">IF(K143="","",RANK(K143,$K$5:$K$525))</f>
        <v>433</v>
      </c>
      <c r="M143" s="25" t="n">
        <v>0.0105556903664159</v>
      </c>
      <c r="N143" s="19" t="n">
        <v>7</v>
      </c>
      <c r="O143" s="17" t="n">
        <f aca="false">IF(N143="","",RANK(N143,$N$5:$N$525))</f>
        <v>485</v>
      </c>
      <c r="P143" s="17" t="str">
        <f aca="false">IF(AND(N(H143)&gt;=N(K143),N(H143)&gt;=N(N143)),"The Pulse",IF(N(K143)&gt;=N(N143),"The Lens","The Hub"))</f>
        <v>The Pulse</v>
      </c>
      <c r="Q143" s="20" t="s">
        <v>74</v>
      </c>
      <c r="R143" s="27" t="s">
        <v>832</v>
      </c>
      <c r="S143" s="17" t="s">
        <v>24</v>
      </c>
    </row>
    <row r="144" customFormat="false" ht="15" hidden="false" customHeight="false" outlineLevel="0" collapsed="false">
      <c r="A144" s="17" t="s">
        <v>215</v>
      </c>
      <c r="B144" s="17" t="s">
        <v>216</v>
      </c>
      <c r="C144" s="17" t="s">
        <v>2385</v>
      </c>
      <c r="D144" s="17" t="s">
        <v>123</v>
      </c>
      <c r="E144" s="18" t="n">
        <v>11480</v>
      </c>
      <c r="F144" s="17" t="s">
        <v>821</v>
      </c>
      <c r="G144" s="23" t="n">
        <v>1.8883275261324</v>
      </c>
      <c r="H144" s="19" t="n">
        <v>73.2</v>
      </c>
      <c r="I144" s="17" t="n">
        <f aca="false">IF(H144="","",RANK(H144,$H$5:$H$525))</f>
        <v>140</v>
      </c>
      <c r="J144" s="24" t="n">
        <v>0.262926292629263</v>
      </c>
      <c r="K144" s="19" t="n">
        <v>99.4</v>
      </c>
      <c r="L144" s="17" t="n">
        <f aca="false">IF(K144="","",RANK(K144,$K$5:$K$525))</f>
        <v>6</v>
      </c>
      <c r="M144" s="25" t="n">
        <v>0.0467289719626168</v>
      </c>
      <c r="N144" s="19" t="n">
        <v>30.6</v>
      </c>
      <c r="O144" s="17" t="n">
        <f aca="false">IF(N144="","",RANK(N144,$N$5:$N$525))</f>
        <v>362</v>
      </c>
      <c r="P144" s="17" t="str">
        <f aca="false">IF(AND(N(H144)&gt;=N(K144),N(H144)&gt;=N(N144)),"The Pulse",IF(N(K144)&gt;=N(N144),"The Lens","The Hub"))</f>
        <v>The Lens</v>
      </c>
      <c r="Q144" s="22" t="s">
        <v>109</v>
      </c>
      <c r="R144" s="26" t="s">
        <v>822</v>
      </c>
      <c r="S144" s="17" t="s">
        <v>155</v>
      </c>
    </row>
    <row r="145" customFormat="false" ht="15" hidden="false" customHeight="false" outlineLevel="0" collapsed="false">
      <c r="A145" s="17" t="s">
        <v>1796</v>
      </c>
      <c r="B145" s="17" t="s">
        <v>1797</v>
      </c>
      <c r="C145" s="17" t="s">
        <v>2386</v>
      </c>
      <c r="D145" s="17" t="s">
        <v>98</v>
      </c>
      <c r="E145" s="18" t="n">
        <v>2320</v>
      </c>
      <c r="F145" s="17" t="s">
        <v>825</v>
      </c>
      <c r="G145" s="23" t="n">
        <v>1.87155172413793</v>
      </c>
      <c r="H145" s="19" t="n">
        <v>73</v>
      </c>
      <c r="I145" s="17" t="n">
        <f aca="false">IF(H145="","",RANK(H145,$H$5:$H$525))</f>
        <v>141</v>
      </c>
      <c r="J145" s="24" t="n">
        <v>0.162311557788945</v>
      </c>
      <c r="K145" s="19" t="n">
        <v>76.2</v>
      </c>
      <c r="L145" s="17" t="n">
        <f aca="false">IF(K145="","",RANK(K145,$K$5:$K$525))</f>
        <v>126</v>
      </c>
      <c r="M145" s="25" t="n">
        <v>0.24113475177305</v>
      </c>
      <c r="N145" s="19" t="n">
        <v>91.9</v>
      </c>
      <c r="O145" s="17" t="n">
        <f aca="false">IF(N145="","",RANK(N145,$N$5:$N$525))</f>
        <v>43</v>
      </c>
      <c r="P145" s="17" t="str">
        <f aca="false">IF(AND(N(H145)&gt;=N(K145),N(H145)&gt;=N(N145)),"The Pulse",IF(N(K145)&gt;=N(N145),"The Lens","The Hub"))</f>
        <v>The Hub</v>
      </c>
      <c r="Q145" s="21" t="s">
        <v>79</v>
      </c>
      <c r="R145" s="27" t="s">
        <v>832</v>
      </c>
      <c r="S145" s="17" t="s">
        <v>88</v>
      </c>
    </row>
    <row r="146" customFormat="false" ht="15" hidden="false" customHeight="false" outlineLevel="0" collapsed="false">
      <c r="A146" s="17" t="s">
        <v>381</v>
      </c>
      <c r="B146" s="17" t="s">
        <v>382</v>
      </c>
      <c r="C146" s="17" t="s">
        <v>2387</v>
      </c>
      <c r="D146" s="17" t="s">
        <v>162</v>
      </c>
      <c r="E146" s="18" t="n">
        <v>157206</v>
      </c>
      <c r="F146" s="17" t="s">
        <v>827</v>
      </c>
      <c r="G146" s="23" t="n">
        <v>1.86489701410888</v>
      </c>
      <c r="H146" s="19" t="n">
        <v>72.7</v>
      </c>
      <c r="I146" s="17" t="n">
        <f aca="false">IF(H146="","",RANK(H146,$H$5:$H$525))</f>
        <v>142</v>
      </c>
      <c r="J146" s="24" t="n">
        <v>-0.000622997508009968</v>
      </c>
      <c r="K146" s="19" t="n">
        <v>11.8</v>
      </c>
      <c r="L146" s="17" t="n">
        <f aca="false">IF(K146="","",RANK(K146,$K$5:$K$525))</f>
        <v>461</v>
      </c>
      <c r="M146" s="25" t="n">
        <v>0.0117020165082019</v>
      </c>
      <c r="N146" s="19" t="n">
        <v>8.1</v>
      </c>
      <c r="O146" s="17" t="n">
        <f aca="false">IF(N146="","",RANK(N146,$N$5:$N$525))</f>
        <v>480</v>
      </c>
      <c r="P146" s="17" t="str">
        <f aca="false">IF(AND(N(H146)&gt;=N(K146),N(H146)&gt;=N(N146)),"The Pulse",IF(N(K146)&gt;=N(N146),"The Lens","The Hub"))</f>
        <v>The Pulse</v>
      </c>
      <c r="Q146" s="21" t="s">
        <v>79</v>
      </c>
      <c r="R146" s="26" t="s">
        <v>822</v>
      </c>
      <c r="S146" s="17" t="s">
        <v>22</v>
      </c>
    </row>
    <row r="147" customFormat="false" ht="15" hidden="false" customHeight="false" outlineLevel="0" collapsed="false">
      <c r="A147" s="17" t="s">
        <v>884</v>
      </c>
      <c r="B147" s="17" t="s">
        <v>885</v>
      </c>
      <c r="C147" s="17" t="s">
        <v>2388</v>
      </c>
      <c r="D147" s="17" t="s">
        <v>82</v>
      </c>
      <c r="E147" s="18" t="n">
        <v>39760</v>
      </c>
      <c r="F147" s="17" t="s">
        <v>821</v>
      </c>
      <c r="G147" s="23" t="n">
        <v>1.86109154929578</v>
      </c>
      <c r="H147" s="19" t="n">
        <v>72.5</v>
      </c>
      <c r="I147" s="17" t="n">
        <f aca="false">IF(H147="","",RANK(H147,$H$5:$H$525))</f>
        <v>143</v>
      </c>
      <c r="J147" s="24" t="n">
        <v>0.14318573893042</v>
      </c>
      <c r="K147" s="19" t="n">
        <v>73.7</v>
      </c>
      <c r="L147" s="17" t="n">
        <f aca="false">IF(K147="","",RANK(K147,$K$5:$K$525))</f>
        <v>140</v>
      </c>
      <c r="M147" s="25" t="n">
        <v>0.470932020916641</v>
      </c>
      <c r="N147" s="19" t="n">
        <v>99.6</v>
      </c>
      <c r="O147" s="17" t="n">
        <f aca="false">IF(N147="","",RANK(N147,$N$5:$N$525))</f>
        <v>3</v>
      </c>
      <c r="P147" s="17" t="str">
        <f aca="false">IF(AND(N(H147)&gt;=N(K147),N(H147)&gt;=N(N147)),"The Pulse",IF(N(K147)&gt;=N(N147),"The Lens","The Hub"))</f>
        <v>The Hub</v>
      </c>
      <c r="Q147" s="21" t="s">
        <v>79</v>
      </c>
      <c r="R147" s="27" t="s">
        <v>832</v>
      </c>
      <c r="S147" s="17" t="s">
        <v>88</v>
      </c>
    </row>
    <row r="148" customFormat="false" ht="15" hidden="false" customHeight="false" outlineLevel="0" collapsed="false">
      <c r="A148" s="17" t="s">
        <v>2389</v>
      </c>
      <c r="B148" s="17" t="s">
        <v>2390</v>
      </c>
      <c r="C148" s="17" t="s">
        <v>2391</v>
      </c>
      <c r="D148" s="17" t="s">
        <v>82</v>
      </c>
      <c r="E148" s="18" t="n">
        <v>49720</v>
      </c>
      <c r="F148" s="17" t="s">
        <v>821</v>
      </c>
      <c r="G148" s="23" t="n">
        <v>1.85241351568785</v>
      </c>
      <c r="H148" s="19" t="n">
        <v>72.3</v>
      </c>
      <c r="I148" s="17" t="n">
        <f aca="false">IF(H148="","",RANK(H148,$H$5:$H$525))</f>
        <v>144</v>
      </c>
      <c r="J148" s="24" t="n">
        <v>0.087964989059081</v>
      </c>
      <c r="K148" s="19" t="n">
        <v>46.4</v>
      </c>
      <c r="L148" s="17" t="n">
        <f aca="false">IF(K148="","",RANK(K148,$K$5:$K$525))</f>
        <v>279</v>
      </c>
      <c r="M148" s="25" t="n">
        <v>0.272788203753351</v>
      </c>
      <c r="N148" s="19" t="n">
        <v>94.6</v>
      </c>
      <c r="O148" s="17" t="n">
        <f aca="false">IF(N148="","",RANK(N148,$N$5:$N$525))</f>
        <v>28</v>
      </c>
      <c r="P148" s="17" t="str">
        <f aca="false">IF(AND(N(H148)&gt;=N(K148),N(H148)&gt;=N(N148)),"The Pulse",IF(N(K148)&gt;=N(N148),"The Lens","The Hub"))</f>
        <v>The Hub</v>
      </c>
      <c r="Q148" s="20" t="s">
        <v>74</v>
      </c>
      <c r="R148" s="27" t="s">
        <v>832</v>
      </c>
      <c r="S148" s="17" t="s">
        <v>24</v>
      </c>
    </row>
    <row r="149" customFormat="false" ht="15" hidden="false" customHeight="false" outlineLevel="0" collapsed="false">
      <c r="A149" s="17" t="s">
        <v>1259</v>
      </c>
      <c r="B149" s="17" t="s">
        <v>1260</v>
      </c>
      <c r="C149" s="17" t="s">
        <v>2392</v>
      </c>
      <c r="D149" s="17" t="s">
        <v>98</v>
      </c>
      <c r="E149" s="18" t="n">
        <v>12520</v>
      </c>
      <c r="F149" s="17" t="s">
        <v>821</v>
      </c>
      <c r="G149" s="23" t="n">
        <v>1.85167731629393</v>
      </c>
      <c r="H149" s="19" t="n">
        <v>72.1</v>
      </c>
      <c r="I149" s="17" t="n">
        <f aca="false">IF(H149="","",RANK(H149,$H$5:$H$525))</f>
        <v>145</v>
      </c>
      <c r="J149" s="24" t="n">
        <v>0.16965620328849</v>
      </c>
      <c r="K149" s="19" t="n">
        <v>85.1</v>
      </c>
      <c r="L149" s="17" t="n">
        <f aca="false">IF(K149="","",RANK(K149,$K$5:$K$525))</f>
        <v>81</v>
      </c>
      <c r="M149" s="25" t="n">
        <v>0.148514851485149</v>
      </c>
      <c r="N149" s="19" t="n">
        <v>72.9</v>
      </c>
      <c r="O149" s="17" t="n">
        <f aca="false">IF(N149="","",RANK(N149,$N$5:$N$525))</f>
        <v>140</v>
      </c>
      <c r="P149" s="17" t="str">
        <f aca="false">IF(AND(N(H149)&gt;=N(K149),N(H149)&gt;=N(N149)),"The Pulse",IF(N(K149)&gt;=N(N149),"The Lens","The Hub"))</f>
        <v>The Lens</v>
      </c>
      <c r="Q149" s="21" t="s">
        <v>79</v>
      </c>
      <c r="R149" s="27" t="s">
        <v>832</v>
      </c>
      <c r="S149" s="17" t="s">
        <v>22</v>
      </c>
    </row>
    <row r="150" customFormat="false" ht="15" hidden="false" customHeight="false" outlineLevel="0" collapsed="false">
      <c r="A150" s="17" t="s">
        <v>267</v>
      </c>
      <c r="B150" s="17" t="s">
        <v>268</v>
      </c>
      <c r="C150" s="17" t="s">
        <v>2393</v>
      </c>
      <c r="D150" s="17" t="s">
        <v>91</v>
      </c>
      <c r="E150" s="18" t="n">
        <v>12063</v>
      </c>
      <c r="F150" s="17" t="s">
        <v>821</v>
      </c>
      <c r="G150" s="23" t="n">
        <v>1.84373704716903</v>
      </c>
      <c r="H150" s="19" t="n">
        <v>72</v>
      </c>
      <c r="I150" s="17" t="n">
        <f aca="false">IF(H150="","",RANK(H150,$H$5:$H$525))</f>
        <v>146</v>
      </c>
      <c r="J150" s="24" t="n">
        <v>0.187536916715889</v>
      </c>
      <c r="K150" s="19" t="n">
        <v>89</v>
      </c>
      <c r="L150" s="17" t="n">
        <f aca="false">IF(K150="","",RANK(K150,$K$5:$K$525))</f>
        <v>61</v>
      </c>
      <c r="M150" s="25" t="n">
        <v>0.012970168612192</v>
      </c>
      <c r="N150" s="19" t="n">
        <v>9</v>
      </c>
      <c r="O150" s="17" t="n">
        <f aca="false">IF(N150="","",RANK(N150,$N$5:$N$525))</f>
        <v>476</v>
      </c>
      <c r="P150" s="17" t="str">
        <f aca="false">IF(AND(N(H150)&gt;=N(K150),N(H150)&gt;=N(N150)),"The Pulse",IF(N(K150)&gt;=N(N150),"The Lens","The Hub"))</f>
        <v>The Lens</v>
      </c>
      <c r="Q150" s="21" t="s">
        <v>79</v>
      </c>
      <c r="R150" s="26" t="s">
        <v>822</v>
      </c>
      <c r="S150" s="17" t="s">
        <v>22</v>
      </c>
    </row>
    <row r="151" customFormat="false" ht="15" hidden="false" customHeight="false" outlineLevel="0" collapsed="false">
      <c r="A151" s="17" t="s">
        <v>1560</v>
      </c>
      <c r="B151" s="17" t="s">
        <v>1561</v>
      </c>
      <c r="C151" s="17" t="s">
        <v>2394</v>
      </c>
      <c r="D151" s="17" t="s">
        <v>115</v>
      </c>
      <c r="E151" s="18" t="n">
        <v>1023240</v>
      </c>
      <c r="F151" s="17" t="s">
        <v>935</v>
      </c>
      <c r="G151" s="23" t="n">
        <v>1.82848989484383</v>
      </c>
      <c r="H151" s="19" t="n">
        <v>71.8</v>
      </c>
      <c r="I151" s="17" t="n">
        <f aca="false">IF(H151="","",RANK(H151,$H$5:$H$525))</f>
        <v>147</v>
      </c>
      <c r="J151" s="24" t="n">
        <v>0.17709855169161</v>
      </c>
      <c r="K151" s="19" t="n">
        <v>100</v>
      </c>
      <c r="L151" s="17" t="n">
        <f aca="false">IF(K151="","",RANK(K151,$K$5:$K$525))</f>
        <v>1</v>
      </c>
      <c r="M151" s="25" t="n">
        <v>0.21386045046464</v>
      </c>
      <c r="N151" s="19" t="n">
        <v>87.6</v>
      </c>
      <c r="O151" s="17" t="n">
        <f aca="false">IF(N151="","",RANK(N151,$N$5:$N$525))</f>
        <v>66</v>
      </c>
      <c r="P151" s="17" t="str">
        <f aca="false">IF(AND(N(H151)&gt;=N(K151),N(H151)&gt;=N(N151)),"The Pulse",IF(N(K151)&gt;=N(N151),"The Lens","The Hub"))</f>
        <v>The Lens</v>
      </c>
      <c r="Q151" s="21" t="s">
        <v>79</v>
      </c>
      <c r="R151" s="27" t="s">
        <v>832</v>
      </c>
      <c r="S151" s="17" t="s">
        <v>88</v>
      </c>
    </row>
    <row r="152" customFormat="false" ht="15" hidden="false" customHeight="false" outlineLevel="0" collapsed="false">
      <c r="A152" s="17" t="s">
        <v>223</v>
      </c>
      <c r="B152" s="17" t="s">
        <v>224</v>
      </c>
      <c r="C152" s="17" t="s">
        <v>2395</v>
      </c>
      <c r="D152" s="17" t="s">
        <v>82</v>
      </c>
      <c r="E152" s="18" t="n">
        <v>19000</v>
      </c>
      <c r="F152" s="17" t="s">
        <v>821</v>
      </c>
      <c r="G152" s="23" t="n">
        <v>1.82557894736842</v>
      </c>
      <c r="H152" s="19" t="n">
        <v>71.6</v>
      </c>
      <c r="I152" s="17" t="n">
        <f aca="false">IF(H152="","",RANK(H152,$H$5:$H$525))</f>
        <v>148</v>
      </c>
      <c r="J152" s="24" t="n">
        <v>0.201771030993042</v>
      </c>
      <c r="K152" s="19" t="n">
        <v>92.5</v>
      </c>
      <c r="L152" s="17" t="n">
        <f aca="false">IF(K152="","",RANK(K152,$K$5:$K$525))</f>
        <v>42</v>
      </c>
      <c r="M152" s="25" t="n">
        <v>0.0823170731707317</v>
      </c>
      <c r="N152" s="19" t="n">
        <v>50.2</v>
      </c>
      <c r="O152" s="17" t="n">
        <f aca="false">IF(N152="","",RANK(N152,$N$5:$N$525))</f>
        <v>259</v>
      </c>
      <c r="P152" s="17" t="str">
        <f aca="false">IF(AND(N(H152)&gt;=N(K152),N(H152)&gt;=N(N152)),"The Pulse",IF(N(K152)&gt;=N(N152),"The Lens","The Hub"))</f>
        <v>The Lens</v>
      </c>
      <c r="Q152" s="20" t="s">
        <v>74</v>
      </c>
      <c r="R152" s="26" t="s">
        <v>822</v>
      </c>
      <c r="S152" s="17" t="s">
        <v>24</v>
      </c>
    </row>
    <row r="153" customFormat="false" ht="15" hidden="false" customHeight="false" outlineLevel="0" collapsed="false">
      <c r="A153" s="17" t="s">
        <v>225</v>
      </c>
      <c r="B153" s="17" t="s">
        <v>226</v>
      </c>
      <c r="C153" s="17" t="s">
        <v>2396</v>
      </c>
      <c r="D153" s="17" t="s">
        <v>91</v>
      </c>
      <c r="E153" s="18" t="n">
        <v>99650</v>
      </c>
      <c r="F153" s="17" t="s">
        <v>821</v>
      </c>
      <c r="G153" s="23" t="n">
        <v>1.81782237832414</v>
      </c>
      <c r="H153" s="19" t="n">
        <v>71.4</v>
      </c>
      <c r="I153" s="17" t="n">
        <f aca="false">IF(H153="","",RANK(H153,$H$5:$H$525))</f>
        <v>149</v>
      </c>
      <c r="J153" s="24" t="n">
        <v>0.117528316698441</v>
      </c>
      <c r="K153" s="19" t="n">
        <v>61.4</v>
      </c>
      <c r="L153" s="17" t="n">
        <f aca="false">IF(K153="","",RANK(K153,$K$5:$K$525))</f>
        <v>201</v>
      </c>
      <c r="M153" s="25" t="n">
        <v>0.0985084236506063</v>
      </c>
      <c r="N153" s="19" t="n">
        <v>58.4</v>
      </c>
      <c r="O153" s="17" t="n">
        <f aca="false">IF(N153="","",RANK(N153,$N$5:$N$525))</f>
        <v>217</v>
      </c>
      <c r="P153" s="17" t="str">
        <f aca="false">IF(AND(N(H153)&gt;=N(K153),N(H153)&gt;=N(N153)),"The Pulse",IF(N(K153)&gt;=N(N153),"The Lens","The Hub"))</f>
        <v>The Pulse</v>
      </c>
      <c r="Q153" s="21" t="s">
        <v>79</v>
      </c>
      <c r="R153" s="26" t="s">
        <v>822</v>
      </c>
      <c r="S153" s="17" t="s">
        <v>88</v>
      </c>
    </row>
    <row r="154" customFormat="false" ht="15" hidden="false" customHeight="false" outlineLevel="0" collapsed="false">
      <c r="A154" s="17" t="s">
        <v>2397</v>
      </c>
      <c r="B154" s="17" t="s">
        <v>2398</v>
      </c>
      <c r="C154" s="17" t="s">
        <v>2399</v>
      </c>
      <c r="D154" s="17" t="s">
        <v>123</v>
      </c>
      <c r="E154" s="18" t="n">
        <v>78212</v>
      </c>
      <c r="F154" s="17" t="s">
        <v>821</v>
      </c>
      <c r="G154" s="23" t="n">
        <v>1.80951772106582</v>
      </c>
      <c r="H154" s="19" t="n">
        <v>71.3</v>
      </c>
      <c r="I154" s="17" t="n">
        <f aca="false">IF(H154="","",RANK(H154,$H$5:$H$525))</f>
        <v>150</v>
      </c>
      <c r="J154" s="24" t="n">
        <v>0.00302657227864984</v>
      </c>
      <c r="K154" s="19" t="n">
        <v>10.7</v>
      </c>
      <c r="L154" s="17" t="n">
        <f aca="false">IF(K154="","",RANK(K154,$K$5:$K$525))</f>
        <v>466</v>
      </c>
      <c r="M154" s="25" t="n">
        <v>0.0438152011922504</v>
      </c>
      <c r="N154" s="19" t="n">
        <v>28.7</v>
      </c>
      <c r="O154" s="17" t="n">
        <f aca="false">IF(N154="","",RANK(N154,$N$5:$N$525))</f>
        <v>373</v>
      </c>
      <c r="P154" s="17" t="str">
        <f aca="false">IF(AND(N(H154)&gt;=N(K154),N(H154)&gt;=N(N154)),"The Pulse",IF(N(K154)&gt;=N(N154),"The Lens","The Hub"))</f>
        <v>The Pulse</v>
      </c>
      <c r="Q154" s="21" t="s">
        <v>79</v>
      </c>
      <c r="R154" s="27" t="s">
        <v>832</v>
      </c>
      <c r="S154" s="17" t="s">
        <v>22</v>
      </c>
    </row>
    <row r="155" customFormat="false" ht="15" hidden="false" customHeight="false" outlineLevel="0" collapsed="false">
      <c r="A155" s="17" t="s">
        <v>2400</v>
      </c>
      <c r="B155" s="17" t="s">
        <v>2401</v>
      </c>
      <c r="C155" s="17" t="s">
        <v>2402</v>
      </c>
      <c r="D155" s="17" t="s">
        <v>98</v>
      </c>
      <c r="E155" s="18" t="n">
        <v>300194</v>
      </c>
      <c r="F155" s="17" t="s">
        <v>827</v>
      </c>
      <c r="G155" s="23" t="n">
        <v>1.78843347968314</v>
      </c>
      <c r="H155" s="19" t="n">
        <v>71.1</v>
      </c>
      <c r="I155" s="17" t="n">
        <f aca="false">IF(H155="","",RANK(H155,$H$5:$H$525))</f>
        <v>151</v>
      </c>
      <c r="J155" s="24" t="n">
        <v>0.076126155191821</v>
      </c>
      <c r="K155" s="19" t="n">
        <v>46</v>
      </c>
      <c r="L155" s="17" t="n">
        <f aca="false">IF(K155="","",RANK(K155,$K$5:$K$525))</f>
        <v>282</v>
      </c>
      <c r="M155" s="25" t="n">
        <v>0.0645034414945919</v>
      </c>
      <c r="N155" s="19" t="n">
        <v>41</v>
      </c>
      <c r="O155" s="17" t="n">
        <f aca="false">IF(N155="","",RANK(N155,$N$5:$N$525))</f>
        <v>307</v>
      </c>
      <c r="P155" s="17" t="str">
        <f aca="false">IF(AND(N(H155)&gt;=N(K155),N(H155)&gt;=N(N155)),"The Pulse",IF(N(K155)&gt;=N(N155),"The Lens","The Hub"))</f>
        <v>The Pulse</v>
      </c>
      <c r="Q155" s="21" t="s">
        <v>79</v>
      </c>
      <c r="R155" s="27" t="s">
        <v>832</v>
      </c>
      <c r="S155" s="17" t="s">
        <v>22</v>
      </c>
    </row>
    <row r="156" customFormat="false" ht="15" hidden="false" customHeight="false" outlineLevel="0" collapsed="false">
      <c r="A156" s="17" t="s">
        <v>1800</v>
      </c>
      <c r="B156" s="17" t="s">
        <v>1801</v>
      </c>
      <c r="C156" s="17" t="s">
        <v>2403</v>
      </c>
      <c r="D156" s="17" t="s">
        <v>82</v>
      </c>
      <c r="E156" s="18" t="n">
        <v>17630</v>
      </c>
      <c r="F156" s="17" t="s">
        <v>821</v>
      </c>
      <c r="G156" s="23" t="n">
        <v>1.77549631310267</v>
      </c>
      <c r="H156" s="19" t="n">
        <v>70.9</v>
      </c>
      <c r="I156" s="17" t="n">
        <f aca="false">IF(H156="","",RANK(H156,$H$5:$H$525))</f>
        <v>152</v>
      </c>
      <c r="J156" s="24" t="n">
        <v>-0.00369230769230769</v>
      </c>
      <c r="K156" s="19" t="n">
        <v>9.1</v>
      </c>
      <c r="L156" s="17" t="n">
        <f aca="false">IF(K156="","",RANK(K156,$K$5:$K$525))</f>
        <v>474</v>
      </c>
      <c r="M156" s="25" t="n">
        <v>0.0833902939166097</v>
      </c>
      <c r="N156" s="19" t="n">
        <v>51.1</v>
      </c>
      <c r="O156" s="17" t="n">
        <f aca="false">IF(N156="","",RANK(N156,$N$5:$N$525))</f>
        <v>254</v>
      </c>
      <c r="P156" s="17" t="str">
        <f aca="false">IF(AND(N(H156)&gt;=N(K156),N(H156)&gt;=N(N156)),"The Pulse",IF(N(K156)&gt;=N(N156),"The Lens","The Hub"))</f>
        <v>The Pulse</v>
      </c>
      <c r="Q156" s="21" t="s">
        <v>79</v>
      </c>
      <c r="R156" s="27" t="s">
        <v>832</v>
      </c>
      <c r="S156" s="17" t="s">
        <v>88</v>
      </c>
    </row>
    <row r="157" customFormat="false" ht="15" hidden="false" customHeight="false" outlineLevel="0" collapsed="false">
      <c r="A157" s="17" t="s">
        <v>1294</v>
      </c>
      <c r="B157" s="17" t="s">
        <v>1295</v>
      </c>
      <c r="C157" s="17" t="s">
        <v>2404</v>
      </c>
      <c r="D157" s="17" t="s">
        <v>123</v>
      </c>
      <c r="E157" s="18" t="n">
        <v>771</v>
      </c>
      <c r="F157" s="17" t="s">
        <v>825</v>
      </c>
      <c r="G157" s="23" t="n">
        <v>1.77302204928664</v>
      </c>
      <c r="H157" s="19" t="n">
        <v>70.7</v>
      </c>
      <c r="I157" s="17" t="n">
        <f aca="false">IF(H157="","",RANK(H157,$H$5:$H$525))</f>
        <v>153</v>
      </c>
      <c r="J157" s="24" t="n">
        <v>0.047554347826087</v>
      </c>
      <c r="K157" s="19" t="n">
        <v>27.5</v>
      </c>
      <c r="L157" s="17" t="n">
        <f aca="false">IF(K157="","",RANK(K157,$K$5:$K$525))</f>
        <v>380</v>
      </c>
      <c r="M157" s="25" t="n">
        <v>0.0307692307692308</v>
      </c>
      <c r="N157" s="19" t="n">
        <v>19.9</v>
      </c>
      <c r="O157" s="17" t="n">
        <f aca="false">IF(N157="","",RANK(N157,$N$5:$N$525))</f>
        <v>419</v>
      </c>
      <c r="P157" s="17" t="str">
        <f aca="false">IF(AND(N(H157)&gt;=N(K157),N(H157)&gt;=N(N157)),"The Pulse",IF(N(K157)&gt;=N(N157),"The Lens","The Hub"))</f>
        <v>The Pulse</v>
      </c>
      <c r="Q157" s="21" t="s">
        <v>79</v>
      </c>
      <c r="R157" s="27" t="s">
        <v>832</v>
      </c>
      <c r="S157" s="17" t="s">
        <v>22</v>
      </c>
    </row>
    <row r="158" customFormat="false" ht="15" hidden="false" customHeight="false" outlineLevel="0" collapsed="false">
      <c r="A158" s="17" t="s">
        <v>385</v>
      </c>
      <c r="B158" s="17" t="s">
        <v>386</v>
      </c>
      <c r="C158" s="17" t="s">
        <v>2405</v>
      </c>
      <c r="D158" s="17" t="s">
        <v>95</v>
      </c>
      <c r="E158" s="18" t="n">
        <v>109958</v>
      </c>
      <c r="F158" s="17" t="s">
        <v>827</v>
      </c>
      <c r="G158" s="23" t="n">
        <v>1.75356045035377</v>
      </c>
      <c r="H158" s="19" t="n">
        <v>70.5</v>
      </c>
      <c r="I158" s="17" t="n">
        <f aca="false">IF(H158="","",RANK(H158,$H$5:$H$525))</f>
        <v>154</v>
      </c>
      <c r="J158" s="24" t="n">
        <v>0.0907016882575833</v>
      </c>
      <c r="K158" s="19" t="n">
        <v>52.8</v>
      </c>
      <c r="L158" s="17" t="n">
        <f aca="false">IF(K158="","",RANK(K158,$K$5:$K$525))</f>
        <v>246</v>
      </c>
      <c r="M158" s="25" t="n">
        <v>0.0750840010338589</v>
      </c>
      <c r="N158" s="19" t="n">
        <v>46.8</v>
      </c>
      <c r="O158" s="17" t="n">
        <f aca="false">IF(N158="","",RANK(N158,$N$5:$N$525))</f>
        <v>277</v>
      </c>
      <c r="P158" s="17" t="str">
        <f aca="false">IF(AND(N(H158)&gt;=N(K158),N(H158)&gt;=N(N158)),"The Pulse",IF(N(K158)&gt;=N(N158),"The Lens","The Hub"))</f>
        <v>The Pulse</v>
      </c>
      <c r="Q158" s="21" t="s">
        <v>79</v>
      </c>
      <c r="R158" s="26" t="s">
        <v>822</v>
      </c>
      <c r="S158" s="17" t="s">
        <v>22</v>
      </c>
    </row>
    <row r="159" customFormat="false" ht="15" hidden="false" customHeight="false" outlineLevel="0" collapsed="false">
      <c r="A159" s="17" t="s">
        <v>321</v>
      </c>
      <c r="B159" s="17" t="s">
        <v>322</v>
      </c>
      <c r="C159" s="17" t="s">
        <v>2406</v>
      </c>
      <c r="D159" s="17" t="s">
        <v>95</v>
      </c>
      <c r="E159" s="18" t="n">
        <v>4480</v>
      </c>
      <c r="F159" s="17" t="s">
        <v>825</v>
      </c>
      <c r="G159" s="23" t="n">
        <v>1.74375</v>
      </c>
      <c r="H159" s="19" t="n">
        <v>70.4</v>
      </c>
      <c r="I159" s="17" t="n">
        <f aca="false">IF(H159="","",RANK(H159,$H$5:$H$525))</f>
        <v>155</v>
      </c>
      <c r="J159" s="24" t="n">
        <v>0.197860962566845</v>
      </c>
      <c r="K159" s="19" t="n">
        <v>88.8</v>
      </c>
      <c r="L159" s="17" t="n">
        <f aca="false">IF(K159="","",RANK(K159,$K$5:$K$525))</f>
        <v>62</v>
      </c>
      <c r="M159" s="25" t="n">
        <v>0.0949720670391061</v>
      </c>
      <c r="N159" s="19" t="n">
        <v>56.3</v>
      </c>
      <c r="O159" s="17" t="n">
        <f aca="false">IF(N159="","",RANK(N159,$N$5:$N$525))</f>
        <v>229</v>
      </c>
      <c r="P159" s="17" t="str">
        <f aca="false">IF(AND(N(H159)&gt;=N(K159),N(H159)&gt;=N(N159)),"The Pulse",IF(N(K159)&gt;=N(N159),"The Lens","The Hub"))</f>
        <v>The Lens</v>
      </c>
      <c r="Q159" s="20" t="s">
        <v>74</v>
      </c>
      <c r="R159" s="26" t="s">
        <v>822</v>
      </c>
      <c r="S159" s="17" t="s">
        <v>24</v>
      </c>
    </row>
    <row r="160" customFormat="false" ht="15" hidden="false" customHeight="false" outlineLevel="0" collapsed="false">
      <c r="A160" s="17" t="s">
        <v>423</v>
      </c>
      <c r="B160" s="17" t="s">
        <v>424</v>
      </c>
      <c r="C160" s="17" t="s">
        <v>2407</v>
      </c>
      <c r="D160" s="17" t="s">
        <v>86</v>
      </c>
      <c r="E160" s="18" t="n">
        <v>18386</v>
      </c>
      <c r="F160" s="17" t="s">
        <v>821</v>
      </c>
      <c r="G160" s="23" t="n">
        <v>1.74252148373763</v>
      </c>
      <c r="H160" s="19" t="n">
        <v>70.2</v>
      </c>
      <c r="I160" s="17" t="n">
        <f aca="false">IF(H160="","",RANK(H160,$H$5:$H$525))</f>
        <v>156</v>
      </c>
      <c r="J160" s="24" t="n">
        <v>0.0863861971165209</v>
      </c>
      <c r="K160" s="19" t="n">
        <v>45.1</v>
      </c>
      <c r="L160" s="17" t="n">
        <f aca="false">IF(K160="","",RANK(K160,$K$5:$K$525))</f>
        <v>286</v>
      </c>
      <c r="M160" s="25" t="n">
        <v>0.129454766981419</v>
      </c>
      <c r="N160" s="19" t="n">
        <v>68.1</v>
      </c>
      <c r="O160" s="17" t="n">
        <f aca="false">IF(N160="","",RANK(N160,$N$5:$N$525))</f>
        <v>165</v>
      </c>
      <c r="P160" s="17" t="str">
        <f aca="false">IF(AND(N(H160)&gt;=N(K160),N(H160)&gt;=N(N160)),"The Pulse",IF(N(K160)&gt;=N(N160),"The Lens","The Hub"))</f>
        <v>The Pulse</v>
      </c>
      <c r="Q160" s="21" t="s">
        <v>79</v>
      </c>
      <c r="R160" s="26" t="s">
        <v>822</v>
      </c>
      <c r="S160" s="17" t="s">
        <v>22</v>
      </c>
    </row>
    <row r="161" customFormat="false" ht="15" hidden="false" customHeight="false" outlineLevel="0" collapsed="false">
      <c r="A161" s="17" t="s">
        <v>235</v>
      </c>
      <c r="B161" s="17" t="s">
        <v>236</v>
      </c>
      <c r="C161" s="17" t="s">
        <v>2408</v>
      </c>
      <c r="D161" s="17" t="s">
        <v>91</v>
      </c>
      <c r="E161" s="18" t="n">
        <v>344440</v>
      </c>
      <c r="F161" s="17" t="s">
        <v>827</v>
      </c>
      <c r="G161" s="23" t="n">
        <v>1.73082975264197</v>
      </c>
      <c r="H161" s="19" t="n">
        <v>69.8</v>
      </c>
      <c r="I161" s="17" t="n">
        <f aca="false">IF(H161="","",RANK(H161,$H$5:$H$525))</f>
        <v>157</v>
      </c>
      <c r="J161" s="24" t="n">
        <v>0.0707968178271318</v>
      </c>
      <c r="K161" s="19" t="n">
        <v>42.9</v>
      </c>
      <c r="L161" s="17" t="n">
        <f aca="false">IF(K161="","",RANK(K161,$K$5:$K$525))</f>
        <v>297</v>
      </c>
      <c r="M161" s="25" t="n">
        <v>0.314890175823029</v>
      </c>
      <c r="N161" s="19" t="n">
        <v>96.8</v>
      </c>
      <c r="O161" s="17" t="n">
        <f aca="false">IF(N161="","",RANK(N161,$N$5:$N$525))</f>
        <v>17</v>
      </c>
      <c r="P161" s="17" t="str">
        <f aca="false">IF(AND(N(H161)&gt;=N(K161),N(H161)&gt;=N(N161)),"The Pulse",IF(N(K161)&gt;=N(N161),"The Lens","The Hub"))</f>
        <v>The Hub</v>
      </c>
      <c r="Q161" s="21" t="s">
        <v>79</v>
      </c>
      <c r="R161" s="26" t="s">
        <v>822</v>
      </c>
      <c r="S161" s="17" t="s">
        <v>22</v>
      </c>
    </row>
    <row r="162" customFormat="false" ht="15" hidden="false" customHeight="false" outlineLevel="0" collapsed="false">
      <c r="A162" s="17" t="s">
        <v>1033</v>
      </c>
      <c r="B162" s="17" t="s">
        <v>1034</v>
      </c>
      <c r="C162" s="17" t="s">
        <v>2409</v>
      </c>
      <c r="D162" s="17" t="s">
        <v>82</v>
      </c>
      <c r="E162" s="18" t="n">
        <v>93218</v>
      </c>
      <c r="F162" s="17" t="s">
        <v>821</v>
      </c>
      <c r="G162" s="23" t="n">
        <v>1.7306421506576</v>
      </c>
      <c r="H162" s="19" t="n">
        <v>69.7</v>
      </c>
      <c r="I162" s="17" t="n">
        <f aca="false">IF(H162="","",RANK(H162,$H$5:$H$525))</f>
        <v>158</v>
      </c>
      <c r="J162" s="24" t="n">
        <v>0.204989658738366</v>
      </c>
      <c r="K162" s="19" t="n">
        <v>92.9</v>
      </c>
      <c r="L162" s="17" t="n">
        <f aca="false">IF(K162="","",RANK(K162,$K$5:$K$525))</f>
        <v>41</v>
      </c>
      <c r="M162" s="25" t="n">
        <v>0.0707786836819095</v>
      </c>
      <c r="N162" s="19" t="n">
        <v>44.8</v>
      </c>
      <c r="O162" s="17" t="n">
        <f aca="false">IF(N162="","",RANK(N162,$N$5:$N$525))</f>
        <v>287</v>
      </c>
      <c r="P162" s="17" t="str">
        <f aca="false">IF(AND(N(H162)&gt;=N(K162),N(H162)&gt;=N(N162)),"The Pulse",IF(N(K162)&gt;=N(N162),"The Lens","The Hub"))</f>
        <v>The Lens</v>
      </c>
      <c r="Q162" s="22" t="s">
        <v>109</v>
      </c>
      <c r="R162" s="27" t="s">
        <v>832</v>
      </c>
      <c r="S162" s="17" t="s">
        <v>19</v>
      </c>
    </row>
    <row r="163" customFormat="false" ht="15" hidden="false" customHeight="false" outlineLevel="0" collapsed="false">
      <c r="A163" s="17" t="s">
        <v>365</v>
      </c>
      <c r="B163" s="17" t="s">
        <v>366</v>
      </c>
      <c r="C163" s="17" t="s">
        <v>2410</v>
      </c>
      <c r="D163" s="17" t="s">
        <v>86</v>
      </c>
      <c r="E163" s="18" t="n">
        <v>31372</v>
      </c>
      <c r="F163" s="17" t="s">
        <v>821</v>
      </c>
      <c r="G163" s="23" t="n">
        <v>1.72950401632029</v>
      </c>
      <c r="H163" s="19" t="n">
        <v>69.5</v>
      </c>
      <c r="I163" s="17" t="n">
        <f aca="false">IF(H163="","",RANK(H163,$H$5:$H$525))</f>
        <v>159</v>
      </c>
      <c r="J163" s="24" t="n">
        <v>0.146972799064054</v>
      </c>
      <c r="K163" s="19" t="n">
        <v>75.6</v>
      </c>
      <c r="L163" s="17" t="n">
        <f aca="false">IF(K163="","",RANK(K163,$K$5:$K$525))</f>
        <v>129</v>
      </c>
      <c r="M163" s="25" t="n">
        <v>0.0665009322560597</v>
      </c>
      <c r="N163" s="19" t="n">
        <v>43.2</v>
      </c>
      <c r="O163" s="17" t="n">
        <f aca="false">IF(N163="","",RANK(N163,$N$5:$N$525))</f>
        <v>296</v>
      </c>
      <c r="P163" s="17" t="str">
        <f aca="false">IF(AND(N(H163)&gt;=N(K163),N(H163)&gt;=N(N163)),"The Pulse",IF(N(K163)&gt;=N(N163),"The Lens","The Hub"))</f>
        <v>The Lens</v>
      </c>
      <c r="Q163" s="21" t="s">
        <v>79</v>
      </c>
      <c r="R163" s="26" t="s">
        <v>822</v>
      </c>
      <c r="S163" s="17" t="s">
        <v>22</v>
      </c>
    </row>
    <row r="164" customFormat="false" ht="15" hidden="false" customHeight="false" outlineLevel="0" collapsed="false">
      <c r="A164" s="17" t="s">
        <v>1604</v>
      </c>
      <c r="B164" s="17" t="s">
        <v>1605</v>
      </c>
      <c r="C164" s="17" t="s">
        <v>2411</v>
      </c>
      <c r="D164" s="17" t="s">
        <v>72</v>
      </c>
      <c r="E164" s="18" t="n">
        <v>193920</v>
      </c>
      <c r="F164" s="17" t="s">
        <v>827</v>
      </c>
      <c r="G164" s="23" t="n">
        <v>1.71336117986799</v>
      </c>
      <c r="H164" s="19" t="n">
        <v>69.3</v>
      </c>
      <c r="I164" s="17" t="n">
        <f aca="false">IF(H164="","",RANK(H164,$H$5:$H$525))</f>
        <v>160</v>
      </c>
      <c r="J164" s="24" t="n">
        <v>0.14582840935949</v>
      </c>
      <c r="K164" s="19" t="n">
        <v>81.4</v>
      </c>
      <c r="L164" s="17" t="n">
        <f aca="false">IF(K164="","",RANK(K164,$K$5:$K$525))</f>
        <v>101</v>
      </c>
      <c r="M164" s="25" t="n">
        <v>0.114506172839506</v>
      </c>
      <c r="N164" s="19" t="n">
        <v>63.6</v>
      </c>
      <c r="O164" s="17" t="n">
        <f aca="false">IF(N164="","",RANK(N164,$N$5:$N$525))</f>
        <v>189</v>
      </c>
      <c r="P164" s="17" t="str">
        <f aca="false">IF(AND(N(H164)&gt;=N(K164),N(H164)&gt;=N(N164)),"The Pulse",IF(N(K164)&gt;=N(N164),"The Lens","The Hub"))</f>
        <v>The Lens</v>
      </c>
      <c r="Q164" s="20" t="s">
        <v>74</v>
      </c>
      <c r="R164" s="27" t="s">
        <v>832</v>
      </c>
      <c r="S164" s="17" t="s">
        <v>24</v>
      </c>
    </row>
    <row r="165" customFormat="false" ht="15" hidden="false" customHeight="false" outlineLevel="0" collapsed="false">
      <c r="A165" s="17" t="s">
        <v>1856</v>
      </c>
      <c r="B165" s="17" t="s">
        <v>1857</v>
      </c>
      <c r="C165" s="17" t="s">
        <v>2412</v>
      </c>
      <c r="D165" s="17" t="s">
        <v>72</v>
      </c>
      <c r="E165" s="18" t="n">
        <v>170620</v>
      </c>
      <c r="F165" s="17" t="s">
        <v>827</v>
      </c>
      <c r="G165" s="23" t="n">
        <v>1.71267729457274</v>
      </c>
      <c r="H165" s="19" t="n">
        <v>69.1</v>
      </c>
      <c r="I165" s="17" t="n">
        <f aca="false">IF(H165="","",RANK(H165,$H$5:$H$525))</f>
        <v>161</v>
      </c>
      <c r="J165" s="24" t="n">
        <v>0.131057341730196</v>
      </c>
      <c r="K165" s="19" t="n">
        <v>74.5</v>
      </c>
      <c r="L165" s="17" t="n">
        <f aca="false">IF(K165="","",RANK(K165,$K$5:$K$525))</f>
        <v>135</v>
      </c>
      <c r="M165" s="25" t="n">
        <v>0.0107660758752014</v>
      </c>
      <c r="N165" s="19" t="n">
        <v>7.3</v>
      </c>
      <c r="O165" s="17" t="n">
        <f aca="false">IF(N165="","",RANK(N165,$N$5:$N$525))</f>
        <v>484</v>
      </c>
      <c r="P165" s="17" t="str">
        <f aca="false">IF(AND(N(H165)&gt;=N(K165),N(H165)&gt;=N(N165)),"The Pulse",IF(N(K165)&gt;=N(N165),"The Lens","The Hub"))</f>
        <v>The Lens</v>
      </c>
      <c r="Q165" s="20" t="s">
        <v>74</v>
      </c>
      <c r="R165" s="27" t="s">
        <v>832</v>
      </c>
      <c r="S165" s="17" t="s">
        <v>24</v>
      </c>
    </row>
    <row r="166" customFormat="false" ht="15" hidden="false" customHeight="false" outlineLevel="0" collapsed="false">
      <c r="A166" s="17" t="s">
        <v>195</v>
      </c>
      <c r="B166" s="17" t="s">
        <v>196</v>
      </c>
      <c r="C166" s="17" t="s">
        <v>2413</v>
      </c>
      <c r="D166" s="17" t="s">
        <v>86</v>
      </c>
      <c r="E166" s="18" t="n">
        <v>8420</v>
      </c>
      <c r="F166" s="17" t="s">
        <v>825</v>
      </c>
      <c r="G166" s="23" t="n">
        <v>1.70878859857482</v>
      </c>
      <c r="H166" s="19" t="n">
        <v>69</v>
      </c>
      <c r="I166" s="17" t="n">
        <f aca="false">IF(H166="","",RANK(H166,$H$5:$H$525))</f>
        <v>162</v>
      </c>
      <c r="J166" s="24" t="n">
        <v>0.187588152327222</v>
      </c>
      <c r="K166" s="19" t="n">
        <v>82.5</v>
      </c>
      <c r="L166" s="17" t="n">
        <f aca="false">IF(K166="","",RANK(K166,$K$5:$K$525))</f>
        <v>95</v>
      </c>
      <c r="M166" s="25" t="n">
        <v>0.0503246753246753</v>
      </c>
      <c r="N166" s="19" t="n">
        <v>32.4</v>
      </c>
      <c r="O166" s="17" t="n">
        <f aca="false">IF(N166="","",RANK(N166,$N$5:$N$525))</f>
        <v>352</v>
      </c>
      <c r="P166" s="17" t="str">
        <f aca="false">IF(AND(N(H166)&gt;=N(K166),N(H166)&gt;=N(N166)),"The Pulse",IF(N(K166)&gt;=N(N166),"The Lens","The Hub"))</f>
        <v>The Lens</v>
      </c>
      <c r="Q166" s="20" t="s">
        <v>74</v>
      </c>
      <c r="R166" s="26" t="s">
        <v>822</v>
      </c>
      <c r="S166" s="17" t="s">
        <v>24</v>
      </c>
    </row>
    <row r="167" customFormat="false" ht="15" hidden="false" customHeight="false" outlineLevel="0" collapsed="false">
      <c r="A167" s="17" t="s">
        <v>597</v>
      </c>
      <c r="B167" s="17" t="s">
        <v>598</v>
      </c>
      <c r="C167" s="17" t="s">
        <v>2414</v>
      </c>
      <c r="D167" s="17" t="s">
        <v>115</v>
      </c>
      <c r="E167" s="18" t="n">
        <v>186863</v>
      </c>
      <c r="F167" s="17" t="s">
        <v>827</v>
      </c>
      <c r="G167" s="23" t="n">
        <v>1.70750228777233</v>
      </c>
      <c r="H167" s="19" t="n">
        <v>68.8</v>
      </c>
      <c r="I167" s="17" t="n">
        <f aca="false">IF(H167="","",RANK(H167,$H$5:$H$525))</f>
        <v>163</v>
      </c>
      <c r="J167" s="24" t="n">
        <v>0.180391141207535</v>
      </c>
      <c r="K167" s="19" t="n">
        <v>93.2</v>
      </c>
      <c r="L167" s="17" t="n">
        <f aca="false">IF(K167="","",RANK(K167,$K$5:$K$525))</f>
        <v>39</v>
      </c>
      <c r="M167" s="25" t="n">
        <v>0.0214507031063796</v>
      </c>
      <c r="N167" s="19" t="n">
        <v>14.3</v>
      </c>
      <c r="O167" s="17" t="n">
        <f aca="false">IF(N167="","",RANK(N167,$N$5:$N$525))</f>
        <v>447</v>
      </c>
      <c r="P167" s="17" t="str">
        <f aca="false">IF(AND(N(H167)&gt;=N(K167),N(H167)&gt;=N(N167)),"The Pulse",IF(N(K167)&gt;=N(N167),"The Lens","The Hub"))</f>
        <v>The Lens</v>
      </c>
      <c r="Q167" s="21" t="s">
        <v>79</v>
      </c>
      <c r="R167" s="26" t="s">
        <v>822</v>
      </c>
      <c r="S167" s="17" t="s">
        <v>22</v>
      </c>
    </row>
    <row r="168" customFormat="false" ht="15" hidden="false" customHeight="false" outlineLevel="0" collapsed="false">
      <c r="A168" s="17" t="s">
        <v>1154</v>
      </c>
      <c r="B168" s="17" t="s">
        <v>1155</v>
      </c>
      <c r="C168" s="17" t="s">
        <v>2415</v>
      </c>
      <c r="D168" s="17" t="s">
        <v>86</v>
      </c>
      <c r="E168" s="18" t="n">
        <v>42701</v>
      </c>
      <c r="F168" s="17" t="s">
        <v>821</v>
      </c>
      <c r="G168" s="23" t="n">
        <v>1.70618955059601</v>
      </c>
      <c r="H168" s="19" t="n">
        <v>68.6</v>
      </c>
      <c r="I168" s="17" t="n">
        <f aca="false">IF(H168="","",RANK(H168,$H$5:$H$525))</f>
        <v>164</v>
      </c>
      <c r="J168" s="24" t="n">
        <v>-0.0206641897160681</v>
      </c>
      <c r="K168" s="19" t="n">
        <v>5.5</v>
      </c>
      <c r="L168" s="17" t="n">
        <f aca="false">IF(K168="","",RANK(K168,$K$5:$K$525))</f>
        <v>494</v>
      </c>
      <c r="M168" s="25" t="n">
        <v>0.0123517786561265</v>
      </c>
      <c r="N168" s="19" t="n">
        <v>8.4</v>
      </c>
      <c r="O168" s="17" t="n">
        <f aca="false">IF(N168="","",RANK(N168,$N$5:$N$525))</f>
        <v>478</v>
      </c>
      <c r="P168" s="17" t="str">
        <f aca="false">IF(AND(N(H168)&gt;=N(K168),N(H168)&gt;=N(N168)),"The Pulse",IF(N(K168)&gt;=N(N168),"The Lens","The Hub"))</f>
        <v>The Pulse</v>
      </c>
      <c r="Q168" s="21" t="s">
        <v>79</v>
      </c>
      <c r="R168" s="27" t="s">
        <v>832</v>
      </c>
      <c r="S168" s="17" t="s">
        <v>22</v>
      </c>
    </row>
    <row r="169" customFormat="false" ht="15" hidden="false" customHeight="false" outlineLevel="0" collapsed="false">
      <c r="A169" s="17" t="s">
        <v>413</v>
      </c>
      <c r="B169" s="17" t="s">
        <v>414</v>
      </c>
      <c r="C169" s="17" t="s">
        <v>2416</v>
      </c>
      <c r="D169" s="17" t="s">
        <v>77</v>
      </c>
      <c r="E169" s="18" t="n">
        <v>53822</v>
      </c>
      <c r="F169" s="17" t="s">
        <v>821</v>
      </c>
      <c r="G169" s="23" t="n">
        <v>1.6895135818067</v>
      </c>
      <c r="H169" s="19" t="n">
        <v>68.4</v>
      </c>
      <c r="I169" s="17" t="n">
        <f aca="false">IF(H169="","",RANK(H169,$H$5:$H$525))</f>
        <v>165</v>
      </c>
      <c r="J169" s="24" t="n">
        <v>0.163241046921265</v>
      </c>
      <c r="K169" s="19" t="n">
        <v>83.4</v>
      </c>
      <c r="L169" s="17" t="n">
        <f aca="false">IF(K169="","",RANK(K169,$K$5:$K$525))</f>
        <v>90</v>
      </c>
      <c r="M169" s="25" t="n">
        <v>0.0965916398713826</v>
      </c>
      <c r="N169" s="19" t="n">
        <v>57.2</v>
      </c>
      <c r="O169" s="17" t="n">
        <f aca="false">IF(N169="","",RANK(N169,$N$5:$N$525))</f>
        <v>224</v>
      </c>
      <c r="P169" s="17" t="str">
        <f aca="false">IF(AND(N(H169)&gt;=N(K169),N(H169)&gt;=N(N169)),"The Pulse",IF(N(K169)&gt;=N(N169),"The Lens","The Hub"))</f>
        <v>The Lens</v>
      </c>
      <c r="Q169" s="21" t="s">
        <v>79</v>
      </c>
      <c r="R169" s="26" t="s">
        <v>822</v>
      </c>
      <c r="S169" s="17" t="s">
        <v>22</v>
      </c>
    </row>
    <row r="170" customFormat="false" ht="15" hidden="false" customHeight="false" outlineLevel="0" collapsed="false">
      <c r="A170" s="17" t="s">
        <v>1514</v>
      </c>
      <c r="B170" s="17" t="s">
        <v>1515</v>
      </c>
      <c r="C170" s="17" t="s">
        <v>2417</v>
      </c>
      <c r="D170" s="17" t="s">
        <v>98</v>
      </c>
      <c r="E170" s="18" t="n">
        <v>85770</v>
      </c>
      <c r="F170" s="17" t="s">
        <v>821</v>
      </c>
      <c r="G170" s="23" t="n">
        <v>1.68886557071237</v>
      </c>
      <c r="H170" s="19" t="n">
        <v>68.3</v>
      </c>
      <c r="I170" s="17" t="n">
        <f aca="false">IF(H170="","",RANK(H170,$H$5:$H$525))</f>
        <v>166</v>
      </c>
      <c r="J170" s="24" t="n">
        <v>0.0675877520537715</v>
      </c>
      <c r="K170" s="19" t="n">
        <v>35.1</v>
      </c>
      <c r="L170" s="17" t="n">
        <f aca="false">IF(K170="","",RANK(K170,$K$5:$K$525))</f>
        <v>340</v>
      </c>
      <c r="M170" s="25" t="n">
        <v>0.0676049838486387</v>
      </c>
      <c r="N170" s="19" t="n">
        <v>43.5</v>
      </c>
      <c r="O170" s="17" t="n">
        <f aca="false">IF(N170="","",RANK(N170,$N$5:$N$525))</f>
        <v>294</v>
      </c>
      <c r="P170" s="17" t="str">
        <f aca="false">IF(AND(N(H170)&gt;=N(K170),N(H170)&gt;=N(N170)),"The Pulse",IF(N(K170)&gt;=N(N170),"The Lens","The Hub"))</f>
        <v>The Pulse</v>
      </c>
      <c r="Q170" s="20" t="s">
        <v>74</v>
      </c>
      <c r="R170" s="27" t="s">
        <v>832</v>
      </c>
      <c r="S170" s="17" t="s">
        <v>24</v>
      </c>
    </row>
    <row r="171" customFormat="false" ht="15" hidden="false" customHeight="false" outlineLevel="0" collapsed="false">
      <c r="A171" s="17" t="s">
        <v>527</v>
      </c>
      <c r="B171" s="17" t="s">
        <v>528</v>
      </c>
      <c r="C171" s="17" t="s">
        <v>2418</v>
      </c>
      <c r="D171" s="17" t="s">
        <v>115</v>
      </c>
      <c r="E171" s="18" t="n">
        <v>11335</v>
      </c>
      <c r="F171" s="17" t="s">
        <v>821</v>
      </c>
      <c r="G171" s="23" t="n">
        <v>1.6874283193648</v>
      </c>
      <c r="H171" s="19" t="n">
        <v>68.1</v>
      </c>
      <c r="I171" s="17" t="n">
        <f aca="false">IF(H171="","",RANK(H171,$H$5:$H$525))</f>
        <v>167</v>
      </c>
      <c r="J171" s="24" t="n">
        <v>0.105745780899424</v>
      </c>
      <c r="K171" s="19" t="n">
        <v>55.5</v>
      </c>
      <c r="L171" s="17" t="n">
        <f aca="false">IF(K171="","",RANK(K171,$K$5:$K$525))</f>
        <v>232</v>
      </c>
      <c r="M171" s="25" t="n">
        <v>0.0756013745704467</v>
      </c>
      <c r="N171" s="19" t="n">
        <v>47</v>
      </c>
      <c r="O171" s="17" t="n">
        <f aca="false">IF(N171="","",RANK(N171,$N$5:$N$525))</f>
        <v>276</v>
      </c>
      <c r="P171" s="17" t="str">
        <f aca="false">IF(AND(N(H171)&gt;=N(K171),N(H171)&gt;=N(N171)),"The Pulse",IF(N(K171)&gt;=N(N171),"The Lens","The Hub"))</f>
        <v>The Pulse</v>
      </c>
      <c r="Q171" s="21" t="s">
        <v>79</v>
      </c>
      <c r="R171" s="26" t="s">
        <v>822</v>
      </c>
      <c r="S171" s="17" t="s">
        <v>22</v>
      </c>
    </row>
    <row r="172" customFormat="false" ht="15" hidden="false" customHeight="false" outlineLevel="0" collapsed="false">
      <c r="A172" s="17" t="s">
        <v>345</v>
      </c>
      <c r="B172" s="17" t="s">
        <v>346</v>
      </c>
      <c r="C172" s="17" t="s">
        <v>2419</v>
      </c>
      <c r="D172" s="17" t="s">
        <v>72</v>
      </c>
      <c r="E172" s="18" t="n">
        <v>771030</v>
      </c>
      <c r="F172" s="17" t="s">
        <v>827</v>
      </c>
      <c r="G172" s="23" t="n">
        <v>1.68419516750321</v>
      </c>
      <c r="H172" s="19" t="n">
        <v>67.9</v>
      </c>
      <c r="I172" s="17" t="n">
        <f aca="false">IF(H172="","",RANK(H172,$H$5:$H$525))</f>
        <v>168</v>
      </c>
      <c r="J172" s="24" t="n">
        <v>0.177234903427743</v>
      </c>
      <c r="K172" s="19" t="n">
        <v>90.7</v>
      </c>
      <c r="L172" s="17" t="n">
        <f aca="false">IF(K172="","",RANK(K172,$K$5:$K$525))</f>
        <v>53</v>
      </c>
      <c r="M172" s="25" t="n">
        <v>0.0173720826157122</v>
      </c>
      <c r="N172" s="19" t="n">
        <v>10.9</v>
      </c>
      <c r="O172" s="17" t="n">
        <f aca="false">IF(N172="","",RANK(N172,$N$5:$N$525))</f>
        <v>465</v>
      </c>
      <c r="P172" s="17" t="str">
        <f aca="false">IF(AND(N(H172)&gt;=N(K172),N(H172)&gt;=N(N172)),"The Pulse",IF(N(K172)&gt;=N(N172),"The Lens","The Hub"))</f>
        <v>The Lens</v>
      </c>
      <c r="Q172" s="20" t="s">
        <v>74</v>
      </c>
      <c r="R172" s="26" t="s">
        <v>822</v>
      </c>
      <c r="S172" s="17" t="s">
        <v>24</v>
      </c>
    </row>
    <row r="173" customFormat="false" ht="15" hidden="false" customHeight="false" outlineLevel="0" collapsed="false">
      <c r="A173" s="17" t="s">
        <v>403</v>
      </c>
      <c r="B173" s="17" t="s">
        <v>404</v>
      </c>
      <c r="C173" s="17" t="s">
        <v>2420</v>
      </c>
      <c r="D173" s="17" t="s">
        <v>86</v>
      </c>
      <c r="E173" s="18" t="n">
        <v>28882</v>
      </c>
      <c r="F173" s="17" t="s">
        <v>821</v>
      </c>
      <c r="G173" s="23" t="n">
        <v>1.68371303926321</v>
      </c>
      <c r="H173" s="19" t="n">
        <v>67.7</v>
      </c>
      <c r="I173" s="17" t="n">
        <f aca="false">IF(H173="","",RANK(H173,$H$5:$H$525))</f>
        <v>169</v>
      </c>
      <c r="J173" s="24" t="n">
        <v>0.0873837581416362</v>
      </c>
      <c r="K173" s="19" t="n">
        <v>46.1</v>
      </c>
      <c r="L173" s="17" t="n">
        <f aca="false">IF(K173="","",RANK(K173,$K$5:$K$525))</f>
        <v>281</v>
      </c>
      <c r="M173" s="25" t="n">
        <v>0.0159409020217729</v>
      </c>
      <c r="N173" s="19" t="n">
        <v>10</v>
      </c>
      <c r="O173" s="17" t="n">
        <f aca="false">IF(N173="","",RANK(N173,$N$5:$N$525))</f>
        <v>470</v>
      </c>
      <c r="P173" s="17" t="str">
        <f aca="false">IF(AND(N(H173)&gt;=N(K173),N(H173)&gt;=N(N173)),"The Pulse",IF(N(K173)&gt;=N(N173),"The Lens","The Hub"))</f>
        <v>The Pulse</v>
      </c>
      <c r="Q173" s="21" t="s">
        <v>79</v>
      </c>
      <c r="R173" s="26" t="s">
        <v>822</v>
      </c>
      <c r="S173" s="17" t="s">
        <v>22</v>
      </c>
    </row>
    <row r="174" customFormat="false" ht="15" hidden="false" customHeight="false" outlineLevel="0" collapsed="false">
      <c r="A174" s="17" t="s">
        <v>2118</v>
      </c>
      <c r="B174" s="17" t="s">
        <v>2119</v>
      </c>
      <c r="C174" s="17" t="s">
        <v>2421</v>
      </c>
      <c r="D174" s="17" t="s">
        <v>162</v>
      </c>
      <c r="E174" s="18" t="n">
        <v>21390</v>
      </c>
      <c r="F174" s="17" t="s">
        <v>821</v>
      </c>
      <c r="G174" s="23" t="n">
        <v>1.67695184665732</v>
      </c>
      <c r="H174" s="19" t="n">
        <v>67.5</v>
      </c>
      <c r="I174" s="17" t="n">
        <f aca="false">IF(H174="","",RANK(H174,$H$5:$H$525))</f>
        <v>170</v>
      </c>
      <c r="J174" s="24" t="n">
        <v>0.0846855983772819</v>
      </c>
      <c r="K174" s="19" t="n">
        <v>43.5</v>
      </c>
      <c r="L174" s="17" t="n">
        <f aca="false">IF(K174="","",RANK(K174,$K$5:$K$525))</f>
        <v>294</v>
      </c>
      <c r="M174" s="25" t="n">
        <v>0.0275</v>
      </c>
      <c r="N174" s="19" t="n">
        <v>18.6</v>
      </c>
      <c r="O174" s="17" t="n">
        <f aca="false">IF(N174="","",RANK(N174,$N$5:$N$525))</f>
        <v>425</v>
      </c>
      <c r="P174" s="17" t="str">
        <f aca="false">IF(AND(N(H174)&gt;=N(K174),N(H174)&gt;=N(N174)),"The Pulse",IF(N(K174)&gt;=N(N174),"The Lens","The Hub"))</f>
        <v>The Pulse</v>
      </c>
      <c r="Q174" s="20" t="s">
        <v>74</v>
      </c>
      <c r="R174" s="27" t="s">
        <v>832</v>
      </c>
      <c r="S174" s="17" t="s">
        <v>24</v>
      </c>
    </row>
    <row r="175" customFormat="false" ht="15" hidden="false" customHeight="false" outlineLevel="0" collapsed="false">
      <c r="A175" s="17" t="s">
        <v>1529</v>
      </c>
      <c r="B175" s="17" t="s">
        <v>1530</v>
      </c>
      <c r="C175" s="17" t="s">
        <v>2422</v>
      </c>
      <c r="D175" s="17" t="s">
        <v>98</v>
      </c>
      <c r="E175" s="18" t="n">
        <v>164740</v>
      </c>
      <c r="F175" s="17" t="s">
        <v>827</v>
      </c>
      <c r="G175" s="23" t="n">
        <v>1.67643559548379</v>
      </c>
      <c r="H175" s="19" t="n">
        <v>67.4</v>
      </c>
      <c r="I175" s="17" t="n">
        <f aca="false">IF(H175="","",RANK(H175,$H$5:$H$525))</f>
        <v>171</v>
      </c>
      <c r="J175" s="24" t="n">
        <v>0.0702267264340934</v>
      </c>
      <c r="K175" s="19" t="n">
        <v>42.2</v>
      </c>
      <c r="L175" s="17" t="n">
        <f aca="false">IF(K175="","",RANK(K175,$K$5:$K$525))</f>
        <v>302</v>
      </c>
      <c r="M175" s="25" t="n">
        <v>0.147065733214303</v>
      </c>
      <c r="N175" s="19" t="n">
        <v>72.6</v>
      </c>
      <c r="O175" s="17" t="n">
        <f aca="false">IF(N175="","",RANK(N175,$N$5:$N$525))</f>
        <v>142</v>
      </c>
      <c r="P175" s="17" t="str">
        <f aca="false">IF(AND(N(H175)&gt;=N(K175),N(H175)&gt;=N(N175)),"The Pulse",IF(N(K175)&gt;=N(N175),"The Lens","The Hub"))</f>
        <v>The Hub</v>
      </c>
      <c r="Q175" s="20" t="s">
        <v>74</v>
      </c>
      <c r="R175" s="27" t="s">
        <v>832</v>
      </c>
      <c r="S175" s="17" t="s">
        <v>24</v>
      </c>
    </row>
    <row r="176" customFormat="false" ht="15" hidden="false" customHeight="false" outlineLevel="0" collapsed="false">
      <c r="A176" s="17" t="s">
        <v>255</v>
      </c>
      <c r="B176" s="17" t="s">
        <v>256</v>
      </c>
      <c r="C176" s="17" t="s">
        <v>2423</v>
      </c>
      <c r="D176" s="17" t="s">
        <v>82</v>
      </c>
      <c r="E176" s="18" t="n">
        <v>198002</v>
      </c>
      <c r="F176" s="17" t="s">
        <v>827</v>
      </c>
      <c r="G176" s="23" t="n">
        <v>1.67610428177493</v>
      </c>
      <c r="H176" s="19" t="n">
        <v>67.2</v>
      </c>
      <c r="I176" s="17" t="n">
        <f aca="false">IF(H176="","",RANK(H176,$H$5:$H$525))</f>
        <v>172</v>
      </c>
      <c r="J176" s="24" t="n">
        <v>0.0121973662686079</v>
      </c>
      <c r="K176" s="19" t="n">
        <v>14.9</v>
      </c>
      <c r="L176" s="17" t="n">
        <f aca="false">IF(K176="","",RANK(K176,$K$5:$K$525))</f>
        <v>446</v>
      </c>
      <c r="M176" s="25" t="n">
        <v>0.21534034034034</v>
      </c>
      <c r="N176" s="19" t="n">
        <v>88.2</v>
      </c>
      <c r="O176" s="17" t="n">
        <f aca="false">IF(N176="","",RANK(N176,$N$5:$N$525))</f>
        <v>63</v>
      </c>
      <c r="P176" s="17" t="str">
        <f aca="false">IF(AND(N(H176)&gt;=N(K176),N(H176)&gt;=N(N176)),"The Pulse",IF(N(K176)&gt;=N(N176),"The Lens","The Hub"))</f>
        <v>The Hub</v>
      </c>
      <c r="Q176" s="21" t="s">
        <v>79</v>
      </c>
      <c r="R176" s="26" t="s">
        <v>822</v>
      </c>
      <c r="S176" s="17" t="s">
        <v>22</v>
      </c>
    </row>
    <row r="177" customFormat="false" ht="15" hidden="false" customHeight="false" outlineLevel="0" collapsed="false">
      <c r="A177" s="17" t="s">
        <v>439</v>
      </c>
      <c r="B177" s="17" t="s">
        <v>440</v>
      </c>
      <c r="C177" s="17" t="s">
        <v>2424</v>
      </c>
      <c r="D177" s="17" t="s">
        <v>123</v>
      </c>
      <c r="E177" s="18" t="n">
        <v>780760</v>
      </c>
      <c r="F177" s="17" t="s">
        <v>827</v>
      </c>
      <c r="G177" s="23" t="n">
        <v>1.67394205645781</v>
      </c>
      <c r="H177" s="19" t="n">
        <v>67</v>
      </c>
      <c r="I177" s="17" t="n">
        <f aca="false">IF(H177="","",RANK(H177,$H$5:$H$525))</f>
        <v>173</v>
      </c>
      <c r="J177" s="24" t="n">
        <v>0.1141458681165</v>
      </c>
      <c r="K177" s="19" t="n">
        <v>67.7</v>
      </c>
      <c r="L177" s="17" t="n">
        <f aca="false">IF(K177="","",RANK(K177,$K$5:$K$525))</f>
        <v>167</v>
      </c>
      <c r="M177" s="25" t="n">
        <v>0.14421197583511</v>
      </c>
      <c r="N177" s="19" t="n">
        <v>72.2</v>
      </c>
      <c r="O177" s="17" t="n">
        <f aca="false">IF(N177="","",RANK(N177,$N$5:$N$525))</f>
        <v>144</v>
      </c>
      <c r="P177" s="17" t="str">
        <f aca="false">IF(AND(N(H177)&gt;=N(K177),N(H177)&gt;=N(N177)),"The Pulse",IF(N(K177)&gt;=N(N177),"The Lens","The Hub"))</f>
        <v>The Hub</v>
      </c>
      <c r="Q177" s="20" t="s">
        <v>74</v>
      </c>
      <c r="R177" s="26" t="s">
        <v>822</v>
      </c>
      <c r="S177" s="17" t="s">
        <v>24</v>
      </c>
    </row>
    <row r="178" customFormat="false" ht="15" hidden="false" customHeight="false" outlineLevel="0" collapsed="false">
      <c r="A178" s="17" t="s">
        <v>259</v>
      </c>
      <c r="B178" s="17" t="s">
        <v>260</v>
      </c>
      <c r="C178" s="17" t="s">
        <v>2425</v>
      </c>
      <c r="D178" s="17" t="s">
        <v>95</v>
      </c>
      <c r="E178" s="18" t="n">
        <v>656872</v>
      </c>
      <c r="F178" s="17" t="s">
        <v>827</v>
      </c>
      <c r="G178" s="23" t="n">
        <v>1.66513262857908</v>
      </c>
      <c r="H178" s="19" t="n">
        <v>66.8</v>
      </c>
      <c r="I178" s="17" t="n">
        <f aca="false">IF(H178="","",RANK(H178,$H$5:$H$525))</f>
        <v>174</v>
      </c>
      <c r="J178" s="24" t="n">
        <v>-0.0395681454643284</v>
      </c>
      <c r="K178" s="19" t="n">
        <v>7.5</v>
      </c>
      <c r="L178" s="17" t="n">
        <f aca="false">IF(K178="","",RANK(K178,$K$5:$K$525))</f>
        <v>481</v>
      </c>
      <c r="M178" s="25" t="n">
        <v>0.0749706227967098</v>
      </c>
      <c r="N178" s="19" t="n">
        <v>46.6</v>
      </c>
      <c r="O178" s="17" t="n">
        <f aca="false">IF(N178="","",RANK(N178,$N$5:$N$525))</f>
        <v>278</v>
      </c>
      <c r="P178" s="17" t="str">
        <f aca="false">IF(AND(N(H178)&gt;=N(K178),N(H178)&gt;=N(N178)),"The Pulse",IF(N(K178)&gt;=N(N178),"The Lens","The Hub"))</f>
        <v>The Pulse</v>
      </c>
      <c r="Q178" s="21" t="s">
        <v>79</v>
      </c>
      <c r="R178" s="26" t="s">
        <v>822</v>
      </c>
      <c r="S178" s="17" t="s">
        <v>22</v>
      </c>
    </row>
    <row r="179" customFormat="false" ht="15" hidden="false" customHeight="false" outlineLevel="0" collapsed="false">
      <c r="A179" s="17" t="s">
        <v>1904</v>
      </c>
      <c r="B179" s="17" t="s">
        <v>1905</v>
      </c>
      <c r="C179" s="17" t="s">
        <v>2426</v>
      </c>
      <c r="D179" s="17" t="s">
        <v>86</v>
      </c>
      <c r="E179" s="18" t="n">
        <v>113204</v>
      </c>
      <c r="F179" s="17" t="s">
        <v>827</v>
      </c>
      <c r="G179" s="23" t="n">
        <v>1.66069220168899</v>
      </c>
      <c r="H179" s="19" t="n">
        <v>66.7</v>
      </c>
      <c r="I179" s="17" t="n">
        <f aca="false">IF(H179="","",RANK(H179,$H$5:$H$525))</f>
        <v>175</v>
      </c>
      <c r="J179" s="24" t="n">
        <v>0.020462617412155</v>
      </c>
      <c r="K179" s="19" t="n">
        <v>19.3</v>
      </c>
      <c r="L179" s="17" t="n">
        <f aca="false">IF(K179="","",RANK(K179,$K$5:$K$525))</f>
        <v>424</v>
      </c>
      <c r="M179" s="25" t="n">
        <v>0.0769317034877201</v>
      </c>
      <c r="N179" s="19" t="n">
        <v>47.8</v>
      </c>
      <c r="O179" s="17" t="n">
        <f aca="false">IF(N179="","",RANK(N179,$N$5:$N$525))</f>
        <v>271</v>
      </c>
      <c r="P179" s="17" t="str">
        <f aca="false">IF(AND(N(H179)&gt;=N(K179),N(H179)&gt;=N(N179)),"The Pulse",IF(N(K179)&gt;=N(N179),"The Lens","The Hub"))</f>
        <v>The Pulse</v>
      </c>
      <c r="Q179" s="21" t="s">
        <v>79</v>
      </c>
      <c r="R179" s="27" t="s">
        <v>832</v>
      </c>
      <c r="S179" s="17" t="s">
        <v>22</v>
      </c>
    </row>
    <row r="180" customFormat="false" ht="15" hidden="false" customHeight="false" outlineLevel="0" collapsed="false">
      <c r="A180" s="17" t="s">
        <v>1609</v>
      </c>
      <c r="B180" s="17" t="s">
        <v>1610</v>
      </c>
      <c r="C180" s="17" t="s">
        <v>2427</v>
      </c>
      <c r="D180" s="17" t="s">
        <v>91</v>
      </c>
      <c r="E180" s="18" t="n">
        <v>40539</v>
      </c>
      <c r="F180" s="17" t="s">
        <v>821</v>
      </c>
      <c r="G180" s="23" t="n">
        <v>1.65931572066405</v>
      </c>
      <c r="H180" s="19" t="n">
        <v>66.5</v>
      </c>
      <c r="I180" s="17" t="n">
        <f aca="false">IF(H180="","",RANK(H180,$H$5:$H$525))</f>
        <v>176</v>
      </c>
      <c r="J180" s="24" t="n">
        <v>0.127931888372611</v>
      </c>
      <c r="K180" s="19" t="n">
        <v>67.2</v>
      </c>
      <c r="L180" s="17" t="n">
        <f aca="false">IF(K180="","",RANK(K180,$K$5:$K$525))</f>
        <v>170</v>
      </c>
      <c r="M180" s="25" t="n">
        <v>0.0417899408284024</v>
      </c>
      <c r="N180" s="19" t="n">
        <v>27.1</v>
      </c>
      <c r="O180" s="17" t="n">
        <f aca="false">IF(N180="","",RANK(N180,$N$5:$N$525))</f>
        <v>381</v>
      </c>
      <c r="P180" s="17" t="str">
        <f aca="false">IF(AND(N(H180)&gt;=N(K180),N(H180)&gt;=N(N180)),"The Pulse",IF(N(K180)&gt;=N(N180),"The Lens","The Hub"))</f>
        <v>The Lens</v>
      </c>
      <c r="Q180" s="21" t="s">
        <v>79</v>
      </c>
      <c r="R180" s="27" t="s">
        <v>832</v>
      </c>
      <c r="S180" s="17" t="s">
        <v>22</v>
      </c>
    </row>
    <row r="181" customFormat="false" ht="15" hidden="false" customHeight="false" outlineLevel="0" collapsed="false">
      <c r="A181" s="17" t="s">
        <v>261</v>
      </c>
      <c r="B181" s="17" t="s">
        <v>262</v>
      </c>
      <c r="C181" s="17" t="s">
        <v>2428</v>
      </c>
      <c r="D181" s="17" t="s">
        <v>115</v>
      </c>
      <c r="E181" s="18" t="n">
        <v>126080</v>
      </c>
      <c r="F181" s="17" t="s">
        <v>827</v>
      </c>
      <c r="G181" s="23" t="n">
        <v>1.65725729695432</v>
      </c>
      <c r="H181" s="19" t="n">
        <v>66.3</v>
      </c>
      <c r="I181" s="17" t="n">
        <f aca="false">IF(H181="","",RANK(H181,$H$5:$H$525))</f>
        <v>177</v>
      </c>
      <c r="J181" s="24" t="n">
        <v>0.02813340944304</v>
      </c>
      <c r="K181" s="19" t="n">
        <v>21.1</v>
      </c>
      <c r="L181" s="17" t="n">
        <f aca="false">IF(K181="","",RANK(K181,$K$5:$K$525))</f>
        <v>414</v>
      </c>
      <c r="M181" s="25" t="n">
        <v>0.21027820197862</v>
      </c>
      <c r="N181" s="19" t="n">
        <v>87.1</v>
      </c>
      <c r="O181" s="17" t="n">
        <f aca="false">IF(N181="","",RANK(N181,$N$5:$N$525))</f>
        <v>68</v>
      </c>
      <c r="P181" s="17" t="str">
        <f aca="false">IF(AND(N(H181)&gt;=N(K181),N(H181)&gt;=N(N181)),"The Pulse",IF(N(K181)&gt;=N(N181),"The Lens","The Hub"))</f>
        <v>The Hub</v>
      </c>
      <c r="Q181" s="20" t="s">
        <v>74</v>
      </c>
      <c r="R181" s="26" t="s">
        <v>822</v>
      </c>
      <c r="S181" s="17" t="s">
        <v>24</v>
      </c>
    </row>
    <row r="182" customFormat="false" ht="15" hidden="false" customHeight="false" outlineLevel="0" collapsed="false">
      <c r="A182" s="17" t="s">
        <v>529</v>
      </c>
      <c r="B182" s="17" t="s">
        <v>530</v>
      </c>
      <c r="C182" s="17" t="s">
        <v>2429</v>
      </c>
      <c r="D182" s="17" t="s">
        <v>77</v>
      </c>
      <c r="E182" s="18" t="n">
        <v>15900</v>
      </c>
      <c r="F182" s="17" t="s">
        <v>821</v>
      </c>
      <c r="G182" s="23" t="n">
        <v>1.65616352201258</v>
      </c>
      <c r="H182" s="19" t="n">
        <v>66.1</v>
      </c>
      <c r="I182" s="17" t="n">
        <f aca="false">IF(H182="","",RANK(H182,$H$5:$H$525))</f>
        <v>178</v>
      </c>
      <c r="J182" s="24" t="n">
        <v>0.230650154798762</v>
      </c>
      <c r="K182" s="19" t="n">
        <v>96.1</v>
      </c>
      <c r="L182" s="17" t="n">
        <f aca="false">IF(K182="","",RANK(K182,$K$5:$K$525))</f>
        <v>25</v>
      </c>
      <c r="M182" s="25" t="n">
        <v>0.0021505376344086</v>
      </c>
      <c r="N182" s="19" t="n">
        <v>2.9</v>
      </c>
      <c r="O182" s="17" t="n">
        <f aca="false">IF(N182="","",RANK(N182,$N$5:$N$525))</f>
        <v>508</v>
      </c>
      <c r="P182" s="17" t="str">
        <f aca="false">IF(AND(N(H182)&gt;=N(K182),N(H182)&gt;=N(N182)),"The Pulse",IF(N(K182)&gt;=N(N182),"The Lens","The Hub"))</f>
        <v>The Lens</v>
      </c>
      <c r="Q182" s="20" t="s">
        <v>74</v>
      </c>
      <c r="R182" s="26" t="s">
        <v>822</v>
      </c>
      <c r="S182" s="17" t="s">
        <v>24</v>
      </c>
    </row>
    <row r="183" customFormat="false" ht="15" hidden="false" customHeight="false" outlineLevel="0" collapsed="false">
      <c r="A183" s="17" t="s">
        <v>1837</v>
      </c>
      <c r="B183" s="17" t="s">
        <v>1838</v>
      </c>
      <c r="C183" s="17" t="s">
        <v>2430</v>
      </c>
      <c r="D183" s="17" t="s">
        <v>123</v>
      </c>
      <c r="E183" s="18" t="n">
        <v>96460</v>
      </c>
      <c r="F183" s="17" t="s">
        <v>821</v>
      </c>
      <c r="G183" s="23" t="n">
        <v>1.65297532656023</v>
      </c>
      <c r="H183" s="19" t="n">
        <v>66</v>
      </c>
      <c r="I183" s="17" t="n">
        <f aca="false">IF(H183="","",RANK(H183,$H$5:$H$525))</f>
        <v>179</v>
      </c>
      <c r="J183" s="24" t="n">
        <v>0.140189125295508</v>
      </c>
      <c r="K183" s="19" t="n">
        <v>71.4</v>
      </c>
      <c r="L183" s="17" t="n">
        <f aca="false">IF(K183="","",RANK(K183,$K$5:$K$525))</f>
        <v>151</v>
      </c>
      <c r="M183" s="25" t="n">
        <v>0.00743331875819851</v>
      </c>
      <c r="N183" s="19" t="n">
        <v>5.2</v>
      </c>
      <c r="O183" s="17" t="n">
        <f aca="false">IF(N183="","",RANK(N183,$N$5:$N$525))</f>
        <v>495</v>
      </c>
      <c r="P183" s="17" t="str">
        <f aca="false">IF(AND(N(H183)&gt;=N(K183),N(H183)&gt;=N(N183)),"The Pulse",IF(N(K183)&gt;=N(N183),"The Lens","The Hub"))</f>
        <v>The Lens</v>
      </c>
      <c r="Q183" s="21" t="s">
        <v>79</v>
      </c>
      <c r="R183" s="27" t="s">
        <v>832</v>
      </c>
      <c r="S183" s="17" t="s">
        <v>22</v>
      </c>
    </row>
    <row r="184" customFormat="false" ht="15" hidden="false" customHeight="false" outlineLevel="0" collapsed="false">
      <c r="A184" s="17" t="s">
        <v>547</v>
      </c>
      <c r="B184" s="17" t="s">
        <v>548</v>
      </c>
      <c r="C184" s="17" t="s">
        <v>2431</v>
      </c>
      <c r="D184" s="17" t="s">
        <v>91</v>
      </c>
      <c r="E184" s="18" t="n">
        <v>7800</v>
      </c>
      <c r="F184" s="17" t="s">
        <v>825</v>
      </c>
      <c r="G184" s="23" t="n">
        <v>1.65064102564103</v>
      </c>
      <c r="H184" s="19" t="n">
        <v>65.8</v>
      </c>
      <c r="I184" s="17" t="n">
        <f aca="false">IF(H184="","",RANK(H184,$H$5:$H$525))</f>
        <v>180</v>
      </c>
      <c r="J184" s="24" t="n">
        <v>0.0714285714285714</v>
      </c>
      <c r="K184" s="19" t="n">
        <v>37.5</v>
      </c>
      <c r="L184" s="17" t="n">
        <f aca="false">IF(K184="","",RANK(K184,$K$5:$K$525))</f>
        <v>326</v>
      </c>
      <c r="M184" s="25" t="n">
        <v>0.0791788856304985</v>
      </c>
      <c r="N184" s="19" t="n">
        <v>48.9</v>
      </c>
      <c r="O184" s="17" t="n">
        <f aca="false">IF(N184="","",RANK(N184,$N$5:$N$525))</f>
        <v>265</v>
      </c>
      <c r="P184" s="17" t="str">
        <f aca="false">IF(AND(N(H184)&gt;=N(K184),N(H184)&gt;=N(N184)),"The Pulse",IF(N(K184)&gt;=N(N184),"The Lens","The Hub"))</f>
        <v>The Pulse</v>
      </c>
      <c r="Q184" s="20" t="s">
        <v>74</v>
      </c>
      <c r="R184" s="26" t="s">
        <v>822</v>
      </c>
      <c r="S184" s="17" t="s">
        <v>24</v>
      </c>
    </row>
    <row r="185" customFormat="false" ht="15" hidden="false" customHeight="false" outlineLevel="0" collapsed="false">
      <c r="A185" s="17" t="s">
        <v>2432</v>
      </c>
      <c r="B185" s="17" t="s">
        <v>2433</v>
      </c>
      <c r="C185" s="17" t="s">
        <v>2434</v>
      </c>
      <c r="D185" s="17" t="s">
        <v>162</v>
      </c>
      <c r="E185" s="18" t="n">
        <v>27380</v>
      </c>
      <c r="F185" s="17" t="s">
        <v>821</v>
      </c>
      <c r="G185" s="23" t="n">
        <v>1.64864864864865</v>
      </c>
      <c r="H185" s="19" t="n">
        <v>65.6</v>
      </c>
      <c r="I185" s="17" t="n">
        <f aca="false">IF(H185="","",RANK(H185,$H$5:$H$525))</f>
        <v>181</v>
      </c>
      <c r="J185" s="24" t="n">
        <v>0.0737254901960784</v>
      </c>
      <c r="K185" s="19" t="n">
        <v>38</v>
      </c>
      <c r="L185" s="17" t="n">
        <f aca="false">IF(K185="","",RANK(K185,$K$5:$K$525))</f>
        <v>323</v>
      </c>
      <c r="M185" s="25" t="n">
        <v>0.0571533923303835</v>
      </c>
      <c r="N185" s="19" t="n">
        <v>35.5</v>
      </c>
      <c r="O185" s="17" t="n">
        <f aca="false">IF(N185="","",RANK(N185,$N$5:$N$525))</f>
        <v>336</v>
      </c>
      <c r="P185" s="17" t="str">
        <f aca="false">IF(AND(N(H185)&gt;=N(K185),N(H185)&gt;=N(N185)),"The Pulse",IF(N(K185)&gt;=N(N185),"The Lens","The Hub"))</f>
        <v>The Pulse</v>
      </c>
      <c r="Q185" s="20" t="s">
        <v>74</v>
      </c>
      <c r="R185" s="27" t="s">
        <v>832</v>
      </c>
      <c r="S185" s="17" t="s">
        <v>24</v>
      </c>
    </row>
    <row r="186" customFormat="false" ht="15" hidden="false" customHeight="false" outlineLevel="0" collapsed="false">
      <c r="A186" s="17" t="s">
        <v>509</v>
      </c>
      <c r="B186" s="17" t="s">
        <v>510</v>
      </c>
      <c r="C186" s="17" t="s">
        <v>2435</v>
      </c>
      <c r="D186" s="17" t="s">
        <v>95</v>
      </c>
      <c r="E186" s="18" t="n">
        <v>5630</v>
      </c>
      <c r="F186" s="17" t="s">
        <v>825</v>
      </c>
      <c r="G186" s="23" t="n">
        <v>1.64777975133215</v>
      </c>
      <c r="H186" s="19" t="n">
        <v>65.4</v>
      </c>
      <c r="I186" s="17" t="n">
        <f aca="false">IF(H186="","",RANK(H186,$H$5:$H$525))</f>
        <v>182</v>
      </c>
      <c r="J186" s="24" t="n">
        <v>0.234649122807018</v>
      </c>
      <c r="K186" s="19" t="n">
        <v>93.8</v>
      </c>
      <c r="L186" s="17" t="n">
        <f aca="false">IF(K186="","",RANK(K186,$K$5:$K$525))</f>
        <v>36</v>
      </c>
      <c r="M186" s="25" t="n">
        <v>0.0590551181102362</v>
      </c>
      <c r="N186" s="19" t="n">
        <v>36.5</v>
      </c>
      <c r="O186" s="17" t="n">
        <f aca="false">IF(N186="","",RANK(N186,$N$5:$N$525))</f>
        <v>331</v>
      </c>
      <c r="P186" s="17" t="str">
        <f aca="false">IF(AND(N(H186)&gt;=N(K186),N(H186)&gt;=N(N186)),"The Pulse",IF(N(K186)&gt;=N(N186),"The Lens","The Hub"))</f>
        <v>The Lens</v>
      </c>
      <c r="Q186" s="20" t="s">
        <v>74</v>
      </c>
      <c r="R186" s="26" t="s">
        <v>822</v>
      </c>
      <c r="S186" s="17" t="s">
        <v>24</v>
      </c>
    </row>
    <row r="187" customFormat="false" ht="15" hidden="false" customHeight="false" outlineLevel="0" collapsed="false">
      <c r="A187" s="17" t="s">
        <v>2436</v>
      </c>
      <c r="B187" s="17" t="s">
        <v>2437</v>
      </c>
      <c r="C187" s="17" t="s">
        <v>2438</v>
      </c>
      <c r="D187" s="17" t="s">
        <v>123</v>
      </c>
      <c r="E187" s="18" t="n">
        <v>23400</v>
      </c>
      <c r="F187" s="17" t="s">
        <v>821</v>
      </c>
      <c r="G187" s="23" t="n">
        <v>1.64388888888889</v>
      </c>
      <c r="H187" s="19" t="n">
        <v>65.3</v>
      </c>
      <c r="I187" s="17" t="n">
        <f aca="false">IF(H187="","",RANK(H187,$H$5:$H$525))</f>
        <v>183</v>
      </c>
      <c r="J187" s="24" t="n">
        <v>0.055956678700361</v>
      </c>
      <c r="K187" s="19" t="n">
        <v>32.1</v>
      </c>
      <c r="L187" s="17" t="n">
        <f aca="false">IF(K187="","",RANK(K187,$K$5:$K$525))</f>
        <v>355</v>
      </c>
      <c r="M187" s="25" t="n">
        <v>0.0482315112540193</v>
      </c>
      <c r="N187" s="19" t="n">
        <v>31.2</v>
      </c>
      <c r="O187" s="17" t="n">
        <f aca="false">IF(N187="","",RANK(N187,$N$5:$N$525))</f>
        <v>359</v>
      </c>
      <c r="P187" s="17" t="str">
        <f aca="false">IF(AND(N(H187)&gt;=N(K187),N(H187)&gt;=N(N187)),"The Pulse",IF(N(K187)&gt;=N(N187),"The Lens","The Hub"))</f>
        <v>The Pulse</v>
      </c>
      <c r="Q187" s="20" t="s">
        <v>74</v>
      </c>
      <c r="R187" s="27" t="s">
        <v>832</v>
      </c>
      <c r="S187" s="17" t="s">
        <v>24</v>
      </c>
    </row>
    <row r="188" customFormat="false" ht="15" hidden="false" customHeight="false" outlineLevel="0" collapsed="false">
      <c r="A188" s="17" t="s">
        <v>431</v>
      </c>
      <c r="B188" s="17" t="s">
        <v>432</v>
      </c>
      <c r="C188" s="17" t="s">
        <v>2439</v>
      </c>
      <c r="D188" s="17" t="s">
        <v>91</v>
      </c>
      <c r="E188" s="18" t="n">
        <v>24682</v>
      </c>
      <c r="F188" s="17" t="s">
        <v>821</v>
      </c>
      <c r="G188" s="23" t="n">
        <v>1.63272830402723</v>
      </c>
      <c r="H188" s="19" t="n">
        <v>64.9</v>
      </c>
      <c r="I188" s="17" t="n">
        <f aca="false">IF(H188="","",RANK(H188,$H$5:$H$525))</f>
        <v>184</v>
      </c>
      <c r="J188" s="24" t="n">
        <v>-0.0264662959018657</v>
      </c>
      <c r="K188" s="19" t="n">
        <v>5.2</v>
      </c>
      <c r="L188" s="17" t="n">
        <f aca="false">IF(K188="","",RANK(K188,$K$5:$K$525))</f>
        <v>495</v>
      </c>
      <c r="M188" s="25" t="n">
        <v>0.0855555555555556</v>
      </c>
      <c r="N188" s="19" t="n">
        <v>51.8</v>
      </c>
      <c r="O188" s="17" t="n">
        <f aca="false">IF(N188="","",RANK(N188,$N$5:$N$525))</f>
        <v>250</v>
      </c>
      <c r="P188" s="17" t="str">
        <f aca="false">IF(AND(N(H188)&gt;=N(K188),N(H188)&gt;=N(N188)),"The Pulse",IF(N(K188)&gt;=N(N188),"The Lens","The Hub"))</f>
        <v>The Pulse</v>
      </c>
      <c r="Q188" s="21" t="s">
        <v>79</v>
      </c>
      <c r="R188" s="26" t="s">
        <v>822</v>
      </c>
      <c r="S188" s="17" t="s">
        <v>22</v>
      </c>
    </row>
    <row r="189" customFormat="false" ht="15" hidden="false" customHeight="false" outlineLevel="0" collapsed="false">
      <c r="A189" s="17" t="s">
        <v>667</v>
      </c>
      <c r="B189" s="17" t="s">
        <v>668</v>
      </c>
      <c r="C189" s="17" t="s">
        <v>2440</v>
      </c>
      <c r="D189" s="17" t="s">
        <v>82</v>
      </c>
      <c r="E189" s="18" t="n">
        <v>34210</v>
      </c>
      <c r="F189" s="17" t="s">
        <v>821</v>
      </c>
      <c r="G189" s="23" t="n">
        <v>1.63151125401929</v>
      </c>
      <c r="H189" s="19" t="n">
        <v>64.7</v>
      </c>
      <c r="I189" s="17" t="n">
        <f aca="false">IF(H189="","",RANK(H189,$H$5:$H$525))</f>
        <v>185</v>
      </c>
      <c r="J189" s="24" t="n">
        <v>0.117243631613325</v>
      </c>
      <c r="K189" s="19" t="n">
        <v>61</v>
      </c>
      <c r="L189" s="17" t="n">
        <f aca="false">IF(K189="","",RANK(K189,$K$5:$K$525))</f>
        <v>203</v>
      </c>
      <c r="M189" s="25" t="n">
        <v>0.166666666666667</v>
      </c>
      <c r="N189" s="19" t="n">
        <v>78</v>
      </c>
      <c r="O189" s="17" t="n">
        <f aca="false">IF(N189="","",RANK(N189,$N$5:$N$525))</f>
        <v>115</v>
      </c>
      <c r="P189" s="17" t="str">
        <f aca="false">IF(AND(N(H189)&gt;=N(K189),N(H189)&gt;=N(N189)),"The Pulse",IF(N(K189)&gt;=N(N189),"The Lens","The Hub"))</f>
        <v>The Hub</v>
      </c>
      <c r="Q189" s="20" t="s">
        <v>74</v>
      </c>
      <c r="R189" s="26" t="s">
        <v>822</v>
      </c>
      <c r="S189" s="17" t="s">
        <v>24</v>
      </c>
    </row>
    <row r="190" customFormat="false" ht="15" hidden="false" customHeight="false" outlineLevel="0" collapsed="false">
      <c r="A190" s="17" t="s">
        <v>1498</v>
      </c>
      <c r="B190" s="17" t="s">
        <v>1499</v>
      </c>
      <c r="C190" s="17" t="s">
        <v>2441</v>
      </c>
      <c r="D190" s="17" t="s">
        <v>123</v>
      </c>
      <c r="E190" s="18" t="n">
        <v>56529</v>
      </c>
      <c r="F190" s="17" t="s">
        <v>821</v>
      </c>
      <c r="G190" s="23" t="n">
        <v>1.62514815404483</v>
      </c>
      <c r="H190" s="19" t="n">
        <v>64.6</v>
      </c>
      <c r="I190" s="17" t="n">
        <f aca="false">IF(H190="","",RANK(H190,$H$5:$H$525))</f>
        <v>186</v>
      </c>
      <c r="J190" s="24" t="n">
        <v>0.1612605024754</v>
      </c>
      <c r="K190" s="19" t="n">
        <v>81.5</v>
      </c>
      <c r="L190" s="17" t="n">
        <f aca="false">IF(K190="","",RANK(K190,$K$5:$K$525))</f>
        <v>100</v>
      </c>
      <c r="M190" s="25" t="n">
        <v>0.140651085141903</v>
      </c>
      <c r="N190" s="19" t="n">
        <v>71.3</v>
      </c>
      <c r="O190" s="17" t="n">
        <f aca="false">IF(N190="","",RANK(N190,$N$5:$N$525))</f>
        <v>148</v>
      </c>
      <c r="P190" s="17" t="str">
        <f aca="false">IF(AND(N(H190)&gt;=N(K190),N(H190)&gt;=N(N190)),"The Pulse",IF(N(K190)&gt;=N(N190),"The Lens","The Hub"))</f>
        <v>The Lens</v>
      </c>
      <c r="Q190" s="21" t="s">
        <v>79</v>
      </c>
      <c r="R190" s="27" t="s">
        <v>832</v>
      </c>
      <c r="S190" s="17" t="s">
        <v>22</v>
      </c>
    </row>
    <row r="191" customFormat="false" ht="15" hidden="false" customHeight="false" outlineLevel="0" collapsed="false">
      <c r="A191" s="17" t="s">
        <v>373</v>
      </c>
      <c r="B191" s="17" t="s">
        <v>374</v>
      </c>
      <c r="C191" s="17" t="s">
        <v>2442</v>
      </c>
      <c r="D191" s="17" t="s">
        <v>86</v>
      </c>
      <c r="E191" s="18" t="n">
        <v>52290</v>
      </c>
      <c r="F191" s="17" t="s">
        <v>821</v>
      </c>
      <c r="G191" s="23" t="n">
        <v>1.62227959456875</v>
      </c>
      <c r="H191" s="19" t="n">
        <v>64.4</v>
      </c>
      <c r="I191" s="17" t="n">
        <f aca="false">IF(H191="","",RANK(H191,$H$5:$H$525))</f>
        <v>187</v>
      </c>
      <c r="J191" s="24" t="n">
        <v>0.125968992248062</v>
      </c>
      <c r="K191" s="19" t="n">
        <v>65.6</v>
      </c>
      <c r="L191" s="17" t="n">
        <f aca="false">IF(K191="","",RANK(K191,$K$5:$K$525))</f>
        <v>179</v>
      </c>
      <c r="M191" s="25" t="n">
        <v>0.0307096004770423</v>
      </c>
      <c r="N191" s="19" t="n">
        <v>19.7</v>
      </c>
      <c r="O191" s="17" t="n">
        <f aca="false">IF(N191="","",RANK(N191,$N$5:$N$525))</f>
        <v>420</v>
      </c>
      <c r="P191" s="17" t="str">
        <f aca="false">IF(AND(N(H191)&gt;=N(K191),N(H191)&gt;=N(N191)),"The Pulse",IF(N(K191)&gt;=N(N191),"The Lens","The Hub"))</f>
        <v>The Lens</v>
      </c>
      <c r="Q191" s="21" t="s">
        <v>79</v>
      </c>
      <c r="R191" s="26" t="s">
        <v>822</v>
      </c>
      <c r="S191" s="17" t="s">
        <v>88</v>
      </c>
    </row>
    <row r="192" customFormat="false" ht="15" hidden="false" customHeight="false" outlineLevel="0" collapsed="false">
      <c r="A192" s="17" t="s">
        <v>419</v>
      </c>
      <c r="B192" s="17" t="s">
        <v>420</v>
      </c>
      <c r="C192" s="17" t="s">
        <v>2443</v>
      </c>
      <c r="D192" s="17" t="s">
        <v>162</v>
      </c>
      <c r="E192" s="18" t="n">
        <v>22587</v>
      </c>
      <c r="F192" s="17" t="s">
        <v>821</v>
      </c>
      <c r="G192" s="23" t="n">
        <v>1.62066675521318</v>
      </c>
      <c r="H192" s="19" t="n">
        <v>64.2</v>
      </c>
      <c r="I192" s="17" t="n">
        <f aca="false">IF(H192="","",RANK(H192,$H$5:$H$525))</f>
        <v>188</v>
      </c>
      <c r="J192" s="24" t="n">
        <v>0.165961181086104</v>
      </c>
      <c r="K192" s="19" t="n">
        <v>84.4</v>
      </c>
      <c r="L192" s="17" t="n">
        <f aca="false">IF(K192="","",RANK(K192,$K$5:$K$525))</f>
        <v>85</v>
      </c>
      <c r="M192" s="25" t="n">
        <v>0.00469208211143695</v>
      </c>
      <c r="N192" s="19" t="n">
        <v>3.9</v>
      </c>
      <c r="O192" s="17" t="n">
        <f aca="false">IF(N192="","",RANK(N192,$N$5:$N$525))</f>
        <v>502</v>
      </c>
      <c r="P192" s="17" t="str">
        <f aca="false">IF(AND(N(H192)&gt;=N(K192),N(H192)&gt;=N(N192)),"The Pulse",IF(N(K192)&gt;=N(N192),"The Lens","The Hub"))</f>
        <v>The Lens</v>
      </c>
      <c r="Q192" s="21" t="s">
        <v>79</v>
      </c>
      <c r="R192" s="26" t="s">
        <v>822</v>
      </c>
      <c r="S192" s="17" t="s">
        <v>22</v>
      </c>
    </row>
    <row r="193" customFormat="false" ht="15" hidden="false" customHeight="false" outlineLevel="0" collapsed="false">
      <c r="A193" s="17" t="s">
        <v>421</v>
      </c>
      <c r="B193" s="17" t="s">
        <v>422</v>
      </c>
      <c r="C193" s="17" t="s">
        <v>2444</v>
      </c>
      <c r="D193" s="17" t="s">
        <v>98</v>
      </c>
      <c r="E193" s="18" t="n">
        <v>22469</v>
      </c>
      <c r="F193" s="17" t="s">
        <v>821</v>
      </c>
      <c r="G193" s="23" t="n">
        <v>1.61858560683609</v>
      </c>
      <c r="H193" s="19" t="n">
        <v>64</v>
      </c>
      <c r="I193" s="17" t="n">
        <f aca="false">IF(H193="","",RANK(H193,$H$5:$H$525))</f>
        <v>189</v>
      </c>
      <c r="J193" s="24" t="n">
        <v>0.0691886747561266</v>
      </c>
      <c r="K193" s="19" t="n">
        <v>35.7</v>
      </c>
      <c r="L193" s="17" t="n">
        <f aca="false">IF(K193="","",RANK(K193,$K$5:$K$525))</f>
        <v>336</v>
      </c>
      <c r="M193" s="25" t="n">
        <v>0.0310483870967742</v>
      </c>
      <c r="N193" s="19" t="n">
        <v>20.1</v>
      </c>
      <c r="O193" s="17" t="n">
        <f aca="false">IF(N193="","",RANK(N193,$N$5:$N$525))</f>
        <v>418</v>
      </c>
      <c r="P193" s="17" t="str">
        <f aca="false">IF(AND(N(H193)&gt;=N(K193),N(H193)&gt;=N(N193)),"The Pulse",IF(N(K193)&gt;=N(N193),"The Lens","The Hub"))</f>
        <v>The Pulse</v>
      </c>
      <c r="Q193" s="21" t="s">
        <v>79</v>
      </c>
      <c r="R193" s="26" t="s">
        <v>822</v>
      </c>
      <c r="S193" s="17" t="s">
        <v>22</v>
      </c>
    </row>
    <row r="194" customFormat="false" ht="15" hidden="false" customHeight="false" outlineLevel="0" collapsed="false">
      <c r="A194" s="17" t="s">
        <v>2445</v>
      </c>
      <c r="B194" s="17" t="s">
        <v>2446</v>
      </c>
      <c r="C194" s="17" t="s">
        <v>2447</v>
      </c>
      <c r="D194" s="17" t="s">
        <v>91</v>
      </c>
      <c r="E194" s="18" t="n">
        <v>100730</v>
      </c>
      <c r="F194" s="17" t="s">
        <v>827</v>
      </c>
      <c r="G194" s="23" t="n">
        <v>1.61266752705252</v>
      </c>
      <c r="H194" s="19" t="n">
        <v>63.8</v>
      </c>
      <c r="I194" s="17" t="n">
        <f aca="false">IF(H194="","",RANK(H194,$H$5:$H$525))</f>
        <v>190</v>
      </c>
      <c r="J194" s="24" t="n">
        <v>0.0532204098703471</v>
      </c>
      <c r="K194" s="19" t="n">
        <v>34.2</v>
      </c>
      <c r="L194" s="17" t="n">
        <f aca="false">IF(K194="","",RANK(K194,$K$5:$K$525))</f>
        <v>344</v>
      </c>
      <c r="M194" s="25" t="n">
        <v>0.115388003170968</v>
      </c>
      <c r="N194" s="19" t="n">
        <v>64.5</v>
      </c>
      <c r="O194" s="17" t="n">
        <f aca="false">IF(N194="","",RANK(N194,$N$5:$N$525))</f>
        <v>184</v>
      </c>
      <c r="P194" s="17" t="str">
        <f aca="false">IF(AND(N(H194)&gt;=N(K194),N(H194)&gt;=N(N194)),"The Pulse",IF(N(K194)&gt;=N(N194),"The Lens","The Hub"))</f>
        <v>The Hub</v>
      </c>
      <c r="Q194" s="20" t="s">
        <v>74</v>
      </c>
      <c r="R194" s="27" t="s">
        <v>832</v>
      </c>
      <c r="S194" s="17" t="s">
        <v>24</v>
      </c>
    </row>
    <row r="195" customFormat="false" ht="15" hidden="false" customHeight="false" outlineLevel="0" collapsed="false">
      <c r="A195" s="17" t="s">
        <v>2448</v>
      </c>
      <c r="B195" s="17" t="s">
        <v>2449</v>
      </c>
      <c r="C195" s="17" t="s">
        <v>2450</v>
      </c>
      <c r="D195" s="17" t="s">
        <v>72</v>
      </c>
      <c r="E195" s="18" t="n">
        <v>5064</v>
      </c>
      <c r="F195" s="17" t="s">
        <v>825</v>
      </c>
      <c r="G195" s="23" t="n">
        <v>1.6109794628752</v>
      </c>
      <c r="H195" s="19" t="n">
        <v>63.7</v>
      </c>
      <c r="I195" s="17" t="n">
        <f aca="false">IF(H195="","",RANK(H195,$H$5:$H$525))</f>
        <v>191</v>
      </c>
      <c r="J195" s="24" t="n">
        <v>0.0209677419354839</v>
      </c>
      <c r="K195" s="19" t="n">
        <v>16.2</v>
      </c>
      <c r="L195" s="17" t="n">
        <f aca="false">IF(K195="","",RANK(K195,$K$5:$K$525))</f>
        <v>438</v>
      </c>
      <c r="M195" s="25" t="n">
        <v>0.0958083832335329</v>
      </c>
      <c r="N195" s="19" t="n">
        <v>56.6</v>
      </c>
      <c r="O195" s="17" t="n">
        <f aca="false">IF(N195="","",RANK(N195,$N$5:$N$525))</f>
        <v>227</v>
      </c>
      <c r="P195" s="17" t="str">
        <f aca="false">IF(AND(N(H195)&gt;=N(K195),N(H195)&gt;=N(N195)),"The Pulse",IF(N(K195)&gt;=N(N195),"The Lens","The Hub"))</f>
        <v>The Pulse</v>
      </c>
      <c r="Q195" s="21" t="s">
        <v>79</v>
      </c>
      <c r="R195" s="27" t="s">
        <v>832</v>
      </c>
      <c r="S195" s="17" t="s">
        <v>22</v>
      </c>
    </row>
    <row r="196" customFormat="false" ht="15" hidden="false" customHeight="false" outlineLevel="0" collapsed="false">
      <c r="A196" s="17" t="s">
        <v>1049</v>
      </c>
      <c r="B196" s="17" t="s">
        <v>1050</v>
      </c>
      <c r="C196" s="17" t="s">
        <v>2451</v>
      </c>
      <c r="D196" s="17" t="s">
        <v>115</v>
      </c>
      <c r="E196" s="18" t="n">
        <v>27440</v>
      </c>
      <c r="F196" s="17" t="s">
        <v>821</v>
      </c>
      <c r="G196" s="23" t="n">
        <v>1.60543002915452</v>
      </c>
      <c r="H196" s="19" t="n">
        <v>63.5</v>
      </c>
      <c r="I196" s="17" t="n">
        <f aca="false">IF(H196="","",RANK(H196,$H$5:$H$525))</f>
        <v>192</v>
      </c>
      <c r="J196" s="24" t="n">
        <v>0.151973131821998</v>
      </c>
      <c r="K196" s="19" t="n">
        <v>78.9</v>
      </c>
      <c r="L196" s="17" t="n">
        <f aca="false">IF(K196="","",RANK(K196,$K$5:$K$525))</f>
        <v>111</v>
      </c>
      <c r="M196" s="25" t="n">
        <v>0.027047913446677</v>
      </c>
      <c r="N196" s="19" t="n">
        <v>17.6</v>
      </c>
      <c r="O196" s="17" t="n">
        <f aca="false">IF(N196="","",RANK(N196,$N$5:$N$525))</f>
        <v>431</v>
      </c>
      <c r="P196" s="17" t="str">
        <f aca="false">IF(AND(N(H196)&gt;=N(K196),N(H196)&gt;=N(N196)),"The Pulse",IF(N(K196)&gt;=N(N196),"The Lens","The Hub"))</f>
        <v>The Lens</v>
      </c>
      <c r="Q196" s="20" t="s">
        <v>74</v>
      </c>
      <c r="R196" s="27" t="s">
        <v>832</v>
      </c>
      <c r="S196" s="17" t="s">
        <v>24</v>
      </c>
    </row>
    <row r="197" customFormat="false" ht="15" hidden="false" customHeight="false" outlineLevel="0" collapsed="false">
      <c r="A197" s="17" t="s">
        <v>2023</v>
      </c>
      <c r="B197" s="17" t="s">
        <v>2024</v>
      </c>
      <c r="C197" s="17" t="s">
        <v>2452</v>
      </c>
      <c r="D197" s="17" t="s">
        <v>98</v>
      </c>
      <c r="E197" s="18" t="n">
        <v>146463</v>
      </c>
      <c r="F197" s="17" t="s">
        <v>827</v>
      </c>
      <c r="G197" s="23" t="n">
        <v>1.60407748031926</v>
      </c>
      <c r="H197" s="19" t="n">
        <v>63.3</v>
      </c>
      <c r="I197" s="17" t="n">
        <f aca="false">IF(H197="","",RANK(H197,$H$5:$H$525))</f>
        <v>193</v>
      </c>
      <c r="J197" s="24" t="n">
        <v>0.118029633361577</v>
      </c>
      <c r="K197" s="19" t="n">
        <v>68.9</v>
      </c>
      <c r="L197" s="17" t="n">
        <f aca="false">IF(K197="","",RANK(K197,$K$5:$K$525))</f>
        <v>162</v>
      </c>
      <c r="M197" s="25" t="n">
        <v>0.0786466502352678</v>
      </c>
      <c r="N197" s="19" t="n">
        <v>48.4</v>
      </c>
      <c r="O197" s="17" t="n">
        <f aca="false">IF(N197="","",RANK(N197,$N$5:$N$525))</f>
        <v>268</v>
      </c>
      <c r="P197" s="17" t="str">
        <f aca="false">IF(AND(N(H197)&gt;=N(K197),N(H197)&gt;=N(N197)),"The Pulse",IF(N(K197)&gt;=N(N197),"The Lens","The Hub"))</f>
        <v>The Lens</v>
      </c>
      <c r="Q197" s="21" t="s">
        <v>79</v>
      </c>
      <c r="R197" s="27" t="s">
        <v>832</v>
      </c>
      <c r="S197" s="17" t="s">
        <v>22</v>
      </c>
    </row>
    <row r="198" customFormat="false" ht="15" hidden="false" customHeight="false" outlineLevel="0" collapsed="false">
      <c r="A198" s="17" t="s">
        <v>842</v>
      </c>
      <c r="B198" s="17" t="s">
        <v>843</v>
      </c>
      <c r="C198" s="17" t="s">
        <v>2453</v>
      </c>
      <c r="D198" s="17" t="s">
        <v>72</v>
      </c>
      <c r="E198" s="18" t="n">
        <v>94677</v>
      </c>
      <c r="F198" s="17" t="s">
        <v>821</v>
      </c>
      <c r="G198" s="23" t="n">
        <v>1.60232157757428</v>
      </c>
      <c r="H198" s="19" t="n">
        <v>63.1</v>
      </c>
      <c r="I198" s="17" t="n">
        <f aca="false">IF(H198="","",RANK(H198,$H$5:$H$525))</f>
        <v>194</v>
      </c>
      <c r="J198" s="24" t="n">
        <v>0.0135313072056352</v>
      </c>
      <c r="K198" s="19" t="n">
        <v>14.3</v>
      </c>
      <c r="L198" s="17" t="n">
        <f aca="false">IF(K198="","",RANK(K198,$K$5:$K$525))</f>
        <v>449</v>
      </c>
      <c r="M198" s="25" t="n">
        <v>0.229565575458102</v>
      </c>
      <c r="N198" s="19" t="n">
        <v>90.3</v>
      </c>
      <c r="O198" s="17" t="n">
        <f aca="false">IF(N198="","",RANK(N198,$N$5:$N$525))</f>
        <v>51</v>
      </c>
      <c r="P198" s="17" t="str">
        <f aca="false">IF(AND(N(H198)&gt;=N(K198),N(H198)&gt;=N(N198)),"The Pulse",IF(N(K198)&gt;=N(N198),"The Lens","The Hub"))</f>
        <v>The Hub</v>
      </c>
      <c r="Q198" s="21" t="s">
        <v>79</v>
      </c>
      <c r="R198" s="27" t="s">
        <v>832</v>
      </c>
      <c r="S198" s="17" t="s">
        <v>22</v>
      </c>
    </row>
    <row r="199" customFormat="false" ht="15" hidden="false" customHeight="false" outlineLevel="0" collapsed="false">
      <c r="A199" s="17" t="s">
        <v>1714</v>
      </c>
      <c r="B199" s="17" t="s">
        <v>1715</v>
      </c>
      <c r="C199" s="17" t="s">
        <v>2454</v>
      </c>
      <c r="D199" s="17" t="s">
        <v>77</v>
      </c>
      <c r="E199" s="18" t="n">
        <v>102186</v>
      </c>
      <c r="F199" s="17" t="s">
        <v>827</v>
      </c>
      <c r="G199" s="23" t="n">
        <v>1.59742039026873</v>
      </c>
      <c r="H199" s="19" t="n">
        <v>63</v>
      </c>
      <c r="I199" s="17" t="n">
        <f aca="false">IF(H199="","",RANK(H199,$H$5:$H$525))</f>
        <v>195</v>
      </c>
      <c r="J199" s="24" t="n">
        <v>-0.102986358608824</v>
      </c>
      <c r="K199" s="19" t="n">
        <v>1.9</v>
      </c>
      <c r="L199" s="17" t="n">
        <f aca="false">IF(K199="","",RANK(K199,$K$5:$K$525))</f>
        <v>513</v>
      </c>
      <c r="M199" s="25" t="n">
        <v>0.0672635174932265</v>
      </c>
      <c r="N199" s="19" t="n">
        <v>43.4</v>
      </c>
      <c r="O199" s="17" t="n">
        <f aca="false">IF(N199="","",RANK(N199,$N$5:$N$525))</f>
        <v>295</v>
      </c>
      <c r="P199" s="17" t="str">
        <f aca="false">IF(AND(N(H199)&gt;=N(K199),N(H199)&gt;=N(N199)),"The Pulse",IF(N(K199)&gt;=N(N199),"The Lens","The Hub"))</f>
        <v>The Pulse</v>
      </c>
      <c r="Q199" s="21" t="s">
        <v>79</v>
      </c>
      <c r="R199" s="27" t="s">
        <v>832</v>
      </c>
      <c r="S199" s="17" t="s">
        <v>22</v>
      </c>
    </row>
    <row r="200" customFormat="false" ht="15" hidden="false" customHeight="false" outlineLevel="0" collapsed="false">
      <c r="A200" s="17" t="s">
        <v>277</v>
      </c>
      <c r="B200" s="17" t="s">
        <v>278</v>
      </c>
      <c r="C200" s="17" t="s">
        <v>2455</v>
      </c>
      <c r="D200" s="17" t="s">
        <v>91</v>
      </c>
      <c r="E200" s="18" t="n">
        <v>49600</v>
      </c>
      <c r="F200" s="17" t="s">
        <v>821</v>
      </c>
      <c r="G200" s="23" t="n">
        <v>1.59532258064516</v>
      </c>
      <c r="H200" s="19" t="n">
        <v>62.8</v>
      </c>
      <c r="I200" s="17" t="n">
        <f aca="false">IF(H200="","",RANK(H200,$H$5:$H$525))</f>
        <v>196</v>
      </c>
      <c r="J200" s="24" t="n">
        <v>-0.00741639161729033</v>
      </c>
      <c r="K200" s="19" t="n">
        <v>7.8</v>
      </c>
      <c r="L200" s="17" t="n">
        <f aca="false">IF(K200="","",RANK(K200,$K$5:$K$525))</f>
        <v>480</v>
      </c>
      <c r="M200" s="25" t="n">
        <v>0.00263342696629214</v>
      </c>
      <c r="N200" s="19" t="n">
        <v>3.2</v>
      </c>
      <c r="O200" s="17" t="n">
        <f aca="false">IF(N200="","",RANK(N200,$N$5:$N$525))</f>
        <v>506</v>
      </c>
      <c r="P200" s="17" t="str">
        <f aca="false">IF(AND(N(H200)&gt;=N(K200),N(H200)&gt;=N(N200)),"The Pulse",IF(N(K200)&gt;=N(N200),"The Lens","The Hub"))</f>
        <v>The Pulse</v>
      </c>
      <c r="Q200" s="22" t="s">
        <v>109</v>
      </c>
      <c r="R200" s="26" t="s">
        <v>822</v>
      </c>
      <c r="S200" s="17" t="s">
        <v>155</v>
      </c>
    </row>
    <row r="201" customFormat="false" ht="15" hidden="false" customHeight="false" outlineLevel="0" collapsed="false">
      <c r="A201" s="17" t="s">
        <v>243</v>
      </c>
      <c r="B201" s="17" t="s">
        <v>244</v>
      </c>
      <c r="C201" s="17" t="s">
        <v>2456</v>
      </c>
      <c r="D201" s="17" t="s">
        <v>91</v>
      </c>
      <c r="E201" s="18" t="n">
        <v>24170</v>
      </c>
      <c r="F201" s="17" t="s">
        <v>821</v>
      </c>
      <c r="G201" s="23" t="n">
        <v>1.57310715763343</v>
      </c>
      <c r="H201" s="19" t="n">
        <v>62.6</v>
      </c>
      <c r="I201" s="17" t="n">
        <f aca="false">IF(H201="","",RANK(H201,$H$5:$H$525))</f>
        <v>197</v>
      </c>
      <c r="J201" s="24" t="n">
        <v>0.26810073452256</v>
      </c>
      <c r="K201" s="19" t="n">
        <v>99.7</v>
      </c>
      <c r="L201" s="17" t="n">
        <f aca="false">IF(K201="","",RANK(K201,$K$5:$K$525))</f>
        <v>5</v>
      </c>
      <c r="M201" s="25" t="n">
        <v>0.108163265306123</v>
      </c>
      <c r="N201" s="19" t="n">
        <v>61.6</v>
      </c>
      <c r="O201" s="17" t="n">
        <f aca="false">IF(N201="","",RANK(N201,$N$5:$N$525))</f>
        <v>200</v>
      </c>
      <c r="P201" s="17" t="str">
        <f aca="false">IF(AND(N(H201)&gt;=N(K201),N(H201)&gt;=N(N201)),"The Pulse",IF(N(K201)&gt;=N(N201),"The Lens","The Hub"))</f>
        <v>The Lens</v>
      </c>
      <c r="Q201" s="20" t="s">
        <v>74</v>
      </c>
      <c r="R201" s="26" t="s">
        <v>822</v>
      </c>
      <c r="S201" s="17" t="s">
        <v>24</v>
      </c>
    </row>
    <row r="202" customFormat="false" ht="15" hidden="false" customHeight="false" outlineLevel="0" collapsed="false">
      <c r="A202" s="17" t="s">
        <v>625</v>
      </c>
      <c r="B202" s="17" t="s">
        <v>626</v>
      </c>
      <c r="C202" s="17" t="s">
        <v>2457</v>
      </c>
      <c r="D202" s="17" t="s">
        <v>162</v>
      </c>
      <c r="E202" s="18" t="n">
        <v>98372</v>
      </c>
      <c r="F202" s="17" t="s">
        <v>821</v>
      </c>
      <c r="G202" s="23" t="n">
        <v>1.57237831903387</v>
      </c>
      <c r="H202" s="19" t="n">
        <v>62.4</v>
      </c>
      <c r="I202" s="17" t="n">
        <f aca="false">IF(H202="","",RANK(H202,$H$5:$H$525))</f>
        <v>198</v>
      </c>
      <c r="J202" s="24" t="n">
        <v>0.213959572525113</v>
      </c>
      <c r="K202" s="19" t="n">
        <v>93.2</v>
      </c>
      <c r="L202" s="17" t="n">
        <f aca="false">IF(K202="","",RANK(K202,$K$5:$K$525))</f>
        <v>39</v>
      </c>
      <c r="M202" s="25" t="n">
        <v>0.0331325301204819</v>
      </c>
      <c r="N202" s="19" t="n">
        <v>22</v>
      </c>
      <c r="O202" s="17" t="n">
        <f aca="false">IF(N202="","",RANK(N202,$N$5:$N$525))</f>
        <v>409</v>
      </c>
      <c r="P202" s="17" t="str">
        <f aca="false">IF(AND(N(H202)&gt;=N(K202),N(H202)&gt;=N(N202)),"The Pulse",IF(N(K202)&gt;=N(N202),"The Lens","The Hub"))</f>
        <v>The Lens</v>
      </c>
      <c r="Q202" s="21" t="s">
        <v>79</v>
      </c>
      <c r="R202" s="26" t="s">
        <v>822</v>
      </c>
      <c r="S202" s="17" t="s">
        <v>22</v>
      </c>
    </row>
    <row r="203" customFormat="false" ht="15" hidden="false" customHeight="false" outlineLevel="0" collapsed="false">
      <c r="A203" s="17" t="s">
        <v>2458</v>
      </c>
      <c r="B203" s="17" t="s">
        <v>2459</v>
      </c>
      <c r="C203" s="17" t="s">
        <v>2460</v>
      </c>
      <c r="D203" s="17" t="s">
        <v>98</v>
      </c>
      <c r="E203" s="18" t="n">
        <v>103300</v>
      </c>
      <c r="F203" s="17" t="s">
        <v>827</v>
      </c>
      <c r="G203" s="23" t="n">
        <v>1.56302032913843</v>
      </c>
      <c r="H203" s="19" t="n">
        <v>62.3</v>
      </c>
      <c r="I203" s="17" t="n">
        <f aca="false">IF(H203="","",RANK(H203,$H$5:$H$525))</f>
        <v>199</v>
      </c>
      <c r="J203" s="24" t="n">
        <v>0.140176600441501</v>
      </c>
      <c r="K203" s="19" t="n">
        <v>77</v>
      </c>
      <c r="L203" s="17" t="n">
        <f aca="false">IF(K203="","",RANK(K203,$K$5:$K$525))</f>
        <v>122</v>
      </c>
      <c r="M203" s="25" t="n">
        <v>0.11460396039604</v>
      </c>
      <c r="N203" s="19" t="n">
        <v>63.8</v>
      </c>
      <c r="O203" s="17" t="n">
        <f aca="false">IF(N203="","",RANK(N203,$N$5:$N$525))</f>
        <v>188</v>
      </c>
      <c r="P203" s="17" t="str">
        <f aca="false">IF(AND(N(H203)&gt;=N(K203),N(H203)&gt;=N(N203)),"The Pulse",IF(N(K203)&gt;=N(N203),"The Lens","The Hub"))</f>
        <v>The Lens</v>
      </c>
      <c r="Q203" s="21" t="s">
        <v>79</v>
      </c>
      <c r="R203" s="27" t="s">
        <v>832</v>
      </c>
      <c r="S203" s="17" t="s">
        <v>88</v>
      </c>
    </row>
    <row r="204" customFormat="false" ht="15" hidden="false" customHeight="false" outlineLevel="0" collapsed="false">
      <c r="A204" s="17" t="s">
        <v>623</v>
      </c>
      <c r="B204" s="17" t="s">
        <v>624</v>
      </c>
      <c r="C204" s="17" t="s">
        <v>2461</v>
      </c>
      <c r="D204" s="17" t="s">
        <v>86</v>
      </c>
      <c r="E204" s="18" t="n">
        <v>234130</v>
      </c>
      <c r="F204" s="17" t="s">
        <v>827</v>
      </c>
      <c r="G204" s="23" t="n">
        <v>1.55902703626191</v>
      </c>
      <c r="H204" s="19" t="n">
        <v>61.9</v>
      </c>
      <c r="I204" s="17" t="n">
        <f aca="false">IF(H204="","",RANK(H204,$H$5:$H$525))</f>
        <v>200</v>
      </c>
      <c r="J204" s="24" t="n">
        <v>0.12402170259759</v>
      </c>
      <c r="K204" s="19" t="n">
        <v>72</v>
      </c>
      <c r="L204" s="17" t="n">
        <f aca="false">IF(K204="","",RANK(K204,$K$5:$K$525))</f>
        <v>149</v>
      </c>
      <c r="M204" s="25" t="n">
        <v>0.116487636805837</v>
      </c>
      <c r="N204" s="19" t="n">
        <v>64.9</v>
      </c>
      <c r="O204" s="17" t="n">
        <f aca="false">IF(N204="","",RANK(N204,$N$5:$N$525))</f>
        <v>182</v>
      </c>
      <c r="P204" s="17" t="str">
        <f aca="false">IF(AND(N(H204)&gt;=N(K204),N(H204)&gt;=N(N204)),"The Pulse",IF(N(K204)&gt;=N(N204),"The Lens","The Hub"))</f>
        <v>The Lens</v>
      </c>
      <c r="Q204" s="21" t="s">
        <v>79</v>
      </c>
      <c r="R204" s="26" t="s">
        <v>822</v>
      </c>
      <c r="S204" s="17" t="s">
        <v>88</v>
      </c>
    </row>
    <row r="205" customFormat="false" ht="15" hidden="false" customHeight="false" outlineLevel="0" collapsed="false">
      <c r="A205" s="17" t="s">
        <v>535</v>
      </c>
      <c r="B205" s="17" t="s">
        <v>536</v>
      </c>
      <c r="C205" s="17" t="s">
        <v>2462</v>
      </c>
      <c r="D205" s="17" t="s">
        <v>115</v>
      </c>
      <c r="E205" s="18" t="n">
        <v>79650</v>
      </c>
      <c r="F205" s="17" t="s">
        <v>821</v>
      </c>
      <c r="G205" s="23" t="n">
        <v>1.54676710608914</v>
      </c>
      <c r="H205" s="19" t="n">
        <v>61.7</v>
      </c>
      <c r="I205" s="17" t="n">
        <f aca="false">IF(H205="","",RANK(H205,$H$5:$H$525))</f>
        <v>201</v>
      </c>
      <c r="J205" s="24" t="n">
        <v>0.098014888337469</v>
      </c>
      <c r="K205" s="19" t="n">
        <v>51.3</v>
      </c>
      <c r="L205" s="17" t="n">
        <f aca="false">IF(K205="","",RANK(K205,$K$5:$K$525))</f>
        <v>254</v>
      </c>
      <c r="M205" s="25" t="n">
        <v>0.1632</v>
      </c>
      <c r="N205" s="19" t="n">
        <v>77.2</v>
      </c>
      <c r="O205" s="17" t="n">
        <f aca="false">IF(N205="","",RANK(N205,$N$5:$N$525))</f>
        <v>119</v>
      </c>
      <c r="P205" s="17" t="str">
        <f aca="false">IF(AND(N(H205)&gt;=N(K205),N(H205)&gt;=N(N205)),"The Pulse",IF(N(K205)&gt;=N(N205),"The Lens","The Hub"))</f>
        <v>The Hub</v>
      </c>
      <c r="Q205" s="20" t="s">
        <v>74</v>
      </c>
      <c r="R205" s="26" t="s">
        <v>822</v>
      </c>
      <c r="S205" s="17" t="s">
        <v>24</v>
      </c>
    </row>
    <row r="206" customFormat="false" ht="15" hidden="false" customHeight="false" outlineLevel="0" collapsed="false">
      <c r="A206" s="17" t="s">
        <v>1570</v>
      </c>
      <c r="B206" s="17" t="s">
        <v>1571</v>
      </c>
      <c r="C206" s="17" t="s">
        <v>2463</v>
      </c>
      <c r="D206" s="17" t="s">
        <v>82</v>
      </c>
      <c r="E206" s="18" t="n">
        <v>3895</v>
      </c>
      <c r="F206" s="17" t="s">
        <v>825</v>
      </c>
      <c r="G206" s="23" t="n">
        <v>1.54094993581515</v>
      </c>
      <c r="H206" s="19" t="n">
        <v>61.6</v>
      </c>
      <c r="I206" s="17" t="n">
        <f aca="false">IF(H206="","",RANK(H206,$H$5:$H$525))</f>
        <v>202</v>
      </c>
      <c r="J206" s="24" t="n">
        <v>0.1875</v>
      </c>
      <c r="K206" s="19" t="n">
        <v>81.2</v>
      </c>
      <c r="L206" s="17" t="n">
        <f aca="false">IF(K206="","",RANK(K206,$K$5:$K$525))</f>
        <v>102</v>
      </c>
      <c r="M206" s="25" t="n">
        <v>0.26027397260274</v>
      </c>
      <c r="N206" s="19" t="n">
        <v>93.5</v>
      </c>
      <c r="O206" s="17" t="n">
        <f aca="false">IF(N206="","",RANK(N206,$N$5:$N$525))</f>
        <v>34</v>
      </c>
      <c r="P206" s="17" t="str">
        <f aca="false">IF(AND(N(H206)&gt;=N(K206),N(H206)&gt;=N(N206)),"The Pulse",IF(N(K206)&gt;=N(N206),"The Lens","The Hub"))</f>
        <v>The Hub</v>
      </c>
      <c r="Q206" s="21" t="s">
        <v>79</v>
      </c>
      <c r="R206" s="27" t="s">
        <v>832</v>
      </c>
      <c r="S206" s="17" t="s">
        <v>22</v>
      </c>
    </row>
    <row r="207" customFormat="false" ht="15" hidden="false" customHeight="false" outlineLevel="0" collapsed="false">
      <c r="A207" s="17" t="s">
        <v>563</v>
      </c>
      <c r="B207" s="17" t="s">
        <v>564</v>
      </c>
      <c r="C207" s="17" t="s">
        <v>2464</v>
      </c>
      <c r="D207" s="17" t="s">
        <v>86</v>
      </c>
      <c r="E207" s="18" t="n">
        <v>93291</v>
      </c>
      <c r="F207" s="17" t="s">
        <v>821</v>
      </c>
      <c r="G207" s="23" t="n">
        <v>1.52709264559282</v>
      </c>
      <c r="H207" s="19" t="n">
        <v>61.4</v>
      </c>
      <c r="I207" s="17" t="n">
        <f aca="false">IF(H207="","",RANK(H207,$H$5:$H$525))</f>
        <v>203</v>
      </c>
      <c r="J207" s="24" t="n">
        <v>0.198173668460462</v>
      </c>
      <c r="K207" s="19" t="n">
        <v>91.6</v>
      </c>
      <c r="L207" s="17" t="n">
        <f aca="false">IF(K207="","",RANK(K207,$K$5:$K$525))</f>
        <v>48</v>
      </c>
      <c r="M207" s="25" t="n">
        <v>0</v>
      </c>
      <c r="N207" s="19" t="n">
        <v>0.9</v>
      </c>
      <c r="O207" s="17" t="n">
        <f aca="false">IF(N207="","",RANK(N207,$N$5:$N$525))</f>
        <v>514</v>
      </c>
      <c r="P207" s="17" t="str">
        <f aca="false">IF(AND(N(H207)&gt;=N(K207),N(H207)&gt;=N(N207)),"The Pulse",IF(N(K207)&gt;=N(N207),"The Lens","The Hub"))</f>
        <v>The Lens</v>
      </c>
      <c r="Q207" s="21" t="s">
        <v>79</v>
      </c>
      <c r="R207" s="26" t="s">
        <v>822</v>
      </c>
      <c r="S207" s="17" t="s">
        <v>22</v>
      </c>
    </row>
    <row r="208" customFormat="false" ht="15" hidden="false" customHeight="false" outlineLevel="0" collapsed="false">
      <c r="A208" s="17" t="s">
        <v>1060</v>
      </c>
      <c r="B208" s="17" t="s">
        <v>1061</v>
      </c>
      <c r="C208" s="17" t="s">
        <v>2465</v>
      </c>
      <c r="D208" s="17" t="s">
        <v>98</v>
      </c>
      <c r="E208" s="18" t="n">
        <v>67780</v>
      </c>
      <c r="F208" s="17" t="s">
        <v>821</v>
      </c>
      <c r="G208" s="23" t="n">
        <v>1.52502213042195</v>
      </c>
      <c r="H208" s="19" t="n">
        <v>61.2</v>
      </c>
      <c r="I208" s="17" t="n">
        <f aca="false">IF(H208="","",RANK(H208,$H$5:$H$525))</f>
        <v>204</v>
      </c>
      <c r="J208" s="24" t="n">
        <v>0.095877122069523</v>
      </c>
      <c r="K208" s="19" t="n">
        <v>50.3</v>
      </c>
      <c r="L208" s="17" t="n">
        <f aca="false">IF(K208="","",RANK(K208,$K$5:$K$525))</f>
        <v>259</v>
      </c>
      <c r="M208" s="25" t="n">
        <v>0.0189746167378738</v>
      </c>
      <c r="N208" s="19" t="n">
        <v>12.4</v>
      </c>
      <c r="O208" s="17" t="n">
        <f aca="false">IF(N208="","",RANK(N208,$N$5:$N$525))</f>
        <v>458</v>
      </c>
      <c r="P208" s="17" t="str">
        <f aca="false">IF(AND(N(H208)&gt;=N(K208),N(H208)&gt;=N(N208)),"The Pulse",IF(N(K208)&gt;=N(N208),"The Lens","The Hub"))</f>
        <v>The Pulse</v>
      </c>
      <c r="Q208" s="21" t="s">
        <v>79</v>
      </c>
      <c r="R208" s="27" t="s">
        <v>832</v>
      </c>
      <c r="S208" s="17" t="s">
        <v>88</v>
      </c>
    </row>
    <row r="209" customFormat="false" ht="15" hidden="false" customHeight="false" outlineLevel="0" collapsed="false">
      <c r="A209" s="17" t="s">
        <v>585</v>
      </c>
      <c r="B209" s="17" t="s">
        <v>586</v>
      </c>
      <c r="C209" s="17" t="s">
        <v>2466</v>
      </c>
      <c r="D209" s="17" t="s">
        <v>123</v>
      </c>
      <c r="E209" s="18" t="n">
        <v>15382</v>
      </c>
      <c r="F209" s="17" t="s">
        <v>821</v>
      </c>
      <c r="G209" s="23" t="n">
        <v>1.52281887920947</v>
      </c>
      <c r="H209" s="19" t="n">
        <v>61</v>
      </c>
      <c r="I209" s="17" t="n">
        <f aca="false">IF(H209="","",RANK(H209,$H$5:$H$525))</f>
        <v>205</v>
      </c>
      <c r="J209" s="24" t="n">
        <v>0.232416419805332</v>
      </c>
      <c r="K209" s="19" t="n">
        <v>96.4</v>
      </c>
      <c r="L209" s="17" t="n">
        <f aca="false">IF(K209="","",RANK(K209,$K$5:$K$525))</f>
        <v>22</v>
      </c>
      <c r="M209" s="25" t="n">
        <v>0.0719424460431655</v>
      </c>
      <c r="N209" s="19" t="n">
        <v>45</v>
      </c>
      <c r="O209" s="17" t="n">
        <f aca="false">IF(N209="","",RANK(N209,$N$5:$N$525))</f>
        <v>286</v>
      </c>
      <c r="P209" s="17" t="str">
        <f aca="false">IF(AND(N(H209)&gt;=N(K209),N(H209)&gt;=N(N209)),"The Pulse",IF(N(K209)&gt;=N(N209),"The Lens","The Hub"))</f>
        <v>The Lens</v>
      </c>
      <c r="Q209" s="22" t="s">
        <v>109</v>
      </c>
      <c r="R209" s="26" t="s">
        <v>822</v>
      </c>
      <c r="S209" s="17" t="s">
        <v>110</v>
      </c>
    </row>
    <row r="210" customFormat="false" ht="15" hidden="false" customHeight="false" outlineLevel="0" collapsed="false">
      <c r="A210" s="17" t="s">
        <v>521</v>
      </c>
      <c r="B210" s="17" t="s">
        <v>522</v>
      </c>
      <c r="C210" s="17" t="s">
        <v>2467</v>
      </c>
      <c r="D210" s="17" t="s">
        <v>77</v>
      </c>
      <c r="E210" s="18" t="n">
        <v>33630</v>
      </c>
      <c r="F210" s="17" t="s">
        <v>821</v>
      </c>
      <c r="G210" s="23" t="n">
        <v>1.52200416294975</v>
      </c>
      <c r="H210" s="19" t="n">
        <v>60.8</v>
      </c>
      <c r="I210" s="17" t="n">
        <f aca="false">IF(H210="","",RANK(H210,$H$5:$H$525))</f>
        <v>206</v>
      </c>
      <c r="J210" s="24" t="n">
        <v>-0.079890560875513</v>
      </c>
      <c r="K210" s="19" t="n">
        <v>0.6</v>
      </c>
      <c r="L210" s="17" t="n">
        <f aca="false">IF(K210="","",RANK(K210,$K$5:$K$525))</f>
        <v>519</v>
      </c>
      <c r="M210" s="25" t="n">
        <v>0.154898741105638</v>
      </c>
      <c r="N210" s="19" t="n">
        <v>74.7</v>
      </c>
      <c r="O210" s="17" t="n">
        <f aca="false">IF(N210="","",RANK(N210,$N$5:$N$525))</f>
        <v>131</v>
      </c>
      <c r="P210" s="17" t="str">
        <f aca="false">IF(AND(N(H210)&gt;=N(K210),N(H210)&gt;=N(N210)),"The Pulse",IF(N(K210)&gt;=N(N210),"The Lens","The Hub"))</f>
        <v>The Hub</v>
      </c>
      <c r="Q210" s="20" t="s">
        <v>74</v>
      </c>
      <c r="R210" s="26" t="s">
        <v>822</v>
      </c>
      <c r="S210" s="17" t="s">
        <v>24</v>
      </c>
    </row>
    <row r="211" customFormat="false" ht="15" hidden="false" customHeight="false" outlineLevel="0" collapsed="false">
      <c r="A211" s="17" t="s">
        <v>1206</v>
      </c>
      <c r="B211" s="17" t="s">
        <v>1207</v>
      </c>
      <c r="C211" s="17" t="s">
        <v>2468</v>
      </c>
      <c r="D211" s="17" t="s">
        <v>82</v>
      </c>
      <c r="E211" s="18" t="n">
        <v>61442</v>
      </c>
      <c r="F211" s="17" t="s">
        <v>821</v>
      </c>
      <c r="G211" s="23" t="n">
        <v>1.51344357280037</v>
      </c>
      <c r="H211" s="19" t="n">
        <v>60.7</v>
      </c>
      <c r="I211" s="17" t="n">
        <f aca="false">IF(H211="","",RANK(H211,$H$5:$H$525))</f>
        <v>207</v>
      </c>
      <c r="J211" s="24" t="n">
        <v>0.10988276522336</v>
      </c>
      <c r="K211" s="19" t="n">
        <v>58.1</v>
      </c>
      <c r="L211" s="17" t="n">
        <f aca="false">IF(K211="","",RANK(K211,$K$5:$K$525))</f>
        <v>218</v>
      </c>
      <c r="M211" s="25" t="n">
        <v>0.0774950256571369</v>
      </c>
      <c r="N211" s="19" t="n">
        <v>48</v>
      </c>
      <c r="O211" s="17" t="n">
        <f aca="false">IF(N211="","",RANK(N211,$N$5:$N$525))</f>
        <v>270</v>
      </c>
      <c r="P211" s="17" t="str">
        <f aca="false">IF(AND(N(H211)&gt;=N(K211),N(H211)&gt;=N(N211)),"The Pulse",IF(N(K211)&gt;=N(N211),"The Lens","The Hub"))</f>
        <v>The Pulse</v>
      </c>
      <c r="Q211" s="21" t="s">
        <v>79</v>
      </c>
      <c r="R211" s="27" t="s">
        <v>832</v>
      </c>
      <c r="S211" s="17" t="s">
        <v>22</v>
      </c>
    </row>
    <row r="212" customFormat="false" ht="15" hidden="false" customHeight="false" outlineLevel="0" collapsed="false">
      <c r="A212" s="17" t="s">
        <v>355</v>
      </c>
      <c r="B212" s="17" t="s">
        <v>356</v>
      </c>
      <c r="C212" s="17" t="s">
        <v>2469</v>
      </c>
      <c r="D212" s="17" t="s">
        <v>91</v>
      </c>
      <c r="E212" s="18" t="n">
        <v>7854</v>
      </c>
      <c r="F212" s="17" t="s">
        <v>825</v>
      </c>
      <c r="G212" s="23" t="n">
        <v>1.50814871403107</v>
      </c>
      <c r="H212" s="19" t="n">
        <v>60.5</v>
      </c>
      <c r="I212" s="17" t="n">
        <f aca="false">IF(H212="","",RANK(H212,$H$5:$H$525))</f>
        <v>208</v>
      </c>
      <c r="J212" s="24" t="n">
        <v>0.102161100196464</v>
      </c>
      <c r="K212" s="19" t="n">
        <v>46.2</v>
      </c>
      <c r="L212" s="17" t="n">
        <f aca="false">IF(K212="","",RANK(K212,$K$5:$K$525))</f>
        <v>280</v>
      </c>
      <c r="M212" s="25" t="n">
        <v>0.156308851224106</v>
      </c>
      <c r="N212" s="19" t="n">
        <v>75.3</v>
      </c>
      <c r="O212" s="17" t="n">
        <f aca="false">IF(N212="","",RANK(N212,$N$5:$N$525))</f>
        <v>128</v>
      </c>
      <c r="P212" s="17" t="str">
        <f aca="false">IF(AND(N(H212)&gt;=N(K212),N(H212)&gt;=N(N212)),"The Pulse",IF(N(K212)&gt;=N(N212),"The Lens","The Hub"))</f>
        <v>The Hub</v>
      </c>
      <c r="Q212" s="21" t="s">
        <v>79</v>
      </c>
      <c r="R212" s="26" t="s">
        <v>822</v>
      </c>
      <c r="S212" s="17" t="s">
        <v>22</v>
      </c>
    </row>
    <row r="213" customFormat="false" ht="15" hidden="false" customHeight="false" outlineLevel="0" collapsed="false">
      <c r="A213" s="17" t="s">
        <v>1505</v>
      </c>
      <c r="B213" s="17" t="s">
        <v>1506</v>
      </c>
      <c r="C213" s="17" t="s">
        <v>2470</v>
      </c>
      <c r="D213" s="17" t="s">
        <v>72</v>
      </c>
      <c r="E213" s="18" t="n">
        <v>239667</v>
      </c>
      <c r="F213" s="17" t="s">
        <v>827</v>
      </c>
      <c r="G213" s="23" t="n">
        <v>1.50780040639721</v>
      </c>
      <c r="H213" s="19" t="n">
        <v>60.3</v>
      </c>
      <c r="I213" s="17" t="n">
        <f aca="false">IF(H213="","",RANK(H213,$H$5:$H$525))</f>
        <v>209</v>
      </c>
      <c r="J213" s="24" t="n">
        <v>0.10891744205953</v>
      </c>
      <c r="K213" s="19" t="n">
        <v>64</v>
      </c>
      <c r="L213" s="17" t="n">
        <f aca="false">IF(K213="","",RANK(K213,$K$5:$K$525))</f>
        <v>187</v>
      </c>
      <c r="M213" s="25" t="n">
        <v>0.0676911022113878</v>
      </c>
      <c r="N213" s="19" t="n">
        <v>43.9</v>
      </c>
      <c r="O213" s="17" t="n">
        <f aca="false">IF(N213="","",RANK(N213,$N$5:$N$525))</f>
        <v>292</v>
      </c>
      <c r="P213" s="17" t="str">
        <f aca="false">IF(AND(N(H213)&gt;=N(K213),N(H213)&gt;=N(N213)),"The Pulse",IF(N(K213)&gt;=N(N213),"The Lens","The Hub"))</f>
        <v>The Lens</v>
      </c>
      <c r="Q213" s="21" t="s">
        <v>79</v>
      </c>
      <c r="R213" s="27" t="s">
        <v>832</v>
      </c>
      <c r="S213" s="17" t="s">
        <v>22</v>
      </c>
    </row>
    <row r="214" customFormat="false" ht="15" hidden="false" customHeight="false" outlineLevel="0" collapsed="false">
      <c r="A214" s="17" t="s">
        <v>337</v>
      </c>
      <c r="B214" s="17" t="s">
        <v>338</v>
      </c>
      <c r="C214" s="17" t="s">
        <v>2471</v>
      </c>
      <c r="D214" s="17" t="s">
        <v>72</v>
      </c>
      <c r="E214" s="18" t="n">
        <v>94724</v>
      </c>
      <c r="F214" s="17" t="s">
        <v>821</v>
      </c>
      <c r="G214" s="23" t="n">
        <v>1.49804695747646</v>
      </c>
      <c r="H214" s="19" t="n">
        <v>60</v>
      </c>
      <c r="I214" s="17" t="n">
        <f aca="false">IF(H214="","",RANK(H214,$H$5:$H$525))</f>
        <v>210</v>
      </c>
      <c r="J214" s="24" t="n">
        <v>0.0259731819855729</v>
      </c>
      <c r="K214" s="19" t="n">
        <v>20.1</v>
      </c>
      <c r="L214" s="17" t="n">
        <f aca="false">IF(K214="","",RANK(K214,$K$5:$K$525))</f>
        <v>419</v>
      </c>
      <c r="M214" s="25" t="n">
        <v>0.0173758075295166</v>
      </c>
      <c r="N214" s="19" t="n">
        <v>11.1</v>
      </c>
      <c r="O214" s="17" t="n">
        <f aca="false">IF(N214="","",RANK(N214,$N$5:$N$525))</f>
        <v>464</v>
      </c>
      <c r="P214" s="17" t="str">
        <f aca="false">IF(AND(N(H214)&gt;=N(K214),N(H214)&gt;=N(N214)),"The Pulse",IF(N(K214)&gt;=N(N214),"The Lens","The Hub"))</f>
        <v>The Pulse</v>
      </c>
      <c r="Q214" s="21" t="s">
        <v>79</v>
      </c>
      <c r="R214" s="26" t="s">
        <v>822</v>
      </c>
      <c r="S214" s="17" t="s">
        <v>22</v>
      </c>
    </row>
    <row r="215" customFormat="false" ht="15" hidden="false" customHeight="false" outlineLevel="0" collapsed="false">
      <c r="A215" s="17" t="s">
        <v>1997</v>
      </c>
      <c r="B215" s="17" t="s">
        <v>1998</v>
      </c>
      <c r="C215" s="17" t="s">
        <v>2472</v>
      </c>
      <c r="D215" s="17" t="s">
        <v>162</v>
      </c>
      <c r="E215" s="18" t="n">
        <v>33830</v>
      </c>
      <c r="F215" s="17" t="s">
        <v>821</v>
      </c>
      <c r="G215" s="23" t="n">
        <v>1.49801950931126</v>
      </c>
      <c r="H215" s="19" t="n">
        <v>59.8</v>
      </c>
      <c r="I215" s="17" t="n">
        <f aca="false">IF(H215="","",RANK(H215,$H$5:$H$525))</f>
        <v>211</v>
      </c>
      <c r="J215" s="24" t="n">
        <v>0.0965964343598055</v>
      </c>
      <c r="K215" s="19" t="n">
        <v>51</v>
      </c>
      <c r="L215" s="17" t="n">
        <f aca="false">IF(K215="","",RANK(K215,$K$5:$K$525))</f>
        <v>256</v>
      </c>
      <c r="M215" s="25" t="n">
        <v>0.160194174757282</v>
      </c>
      <c r="N215" s="19" t="n">
        <v>76.2</v>
      </c>
      <c r="O215" s="17" t="n">
        <f aca="false">IF(N215="","",RANK(N215,$N$5:$N$525))</f>
        <v>124</v>
      </c>
      <c r="P215" s="17" t="str">
        <f aca="false">IF(AND(N(H215)&gt;=N(K215),N(H215)&gt;=N(N215)),"The Pulse",IF(N(K215)&gt;=N(N215),"The Lens","The Hub"))</f>
        <v>The Hub</v>
      </c>
      <c r="Q215" s="21" t="s">
        <v>79</v>
      </c>
      <c r="R215" s="27" t="s">
        <v>832</v>
      </c>
      <c r="S215" s="17" t="s">
        <v>22</v>
      </c>
    </row>
    <row r="216" customFormat="false" ht="15" hidden="false" customHeight="false" outlineLevel="0" collapsed="false">
      <c r="A216" s="17" t="s">
        <v>1074</v>
      </c>
      <c r="B216" s="17" t="s">
        <v>1075</v>
      </c>
      <c r="C216" s="17" t="s">
        <v>2473</v>
      </c>
      <c r="D216" s="17" t="s">
        <v>77</v>
      </c>
      <c r="E216" s="18" t="n">
        <v>38170</v>
      </c>
      <c r="F216" s="17" t="s">
        <v>821</v>
      </c>
      <c r="G216" s="23" t="n">
        <v>1.49528425465025</v>
      </c>
      <c r="H216" s="19" t="n">
        <v>59.6</v>
      </c>
      <c r="I216" s="17" t="n">
        <f aca="false">IF(H216="","",RANK(H216,$H$5:$H$525))</f>
        <v>212</v>
      </c>
      <c r="J216" s="24" t="n">
        <v>0.101587301587302</v>
      </c>
      <c r="K216" s="19" t="n">
        <v>53.9</v>
      </c>
      <c r="L216" s="17" t="n">
        <f aca="false">IF(K216="","",RANK(K216,$K$5:$K$525))</f>
        <v>241</v>
      </c>
      <c r="M216" s="25" t="n">
        <v>0.0789000718907261</v>
      </c>
      <c r="N216" s="19" t="n">
        <v>48.7</v>
      </c>
      <c r="O216" s="17" t="n">
        <f aca="false">IF(N216="","",RANK(N216,$N$5:$N$525))</f>
        <v>266</v>
      </c>
      <c r="P216" s="17" t="str">
        <f aca="false">IF(AND(N(H216)&gt;=N(K216),N(H216)&gt;=N(N216)),"The Pulse",IF(N(K216)&gt;=N(N216),"The Lens","The Hub"))</f>
        <v>The Pulse</v>
      </c>
      <c r="Q216" s="20" t="s">
        <v>74</v>
      </c>
      <c r="R216" s="27" t="s">
        <v>832</v>
      </c>
      <c r="S216" s="17" t="s">
        <v>24</v>
      </c>
    </row>
    <row r="217" customFormat="false" ht="15" hidden="false" customHeight="false" outlineLevel="0" collapsed="false">
      <c r="A217" s="17" t="s">
        <v>553</v>
      </c>
      <c r="B217" s="17" t="s">
        <v>554</v>
      </c>
      <c r="C217" s="17" t="s">
        <v>2474</v>
      </c>
      <c r="D217" s="17" t="s">
        <v>95</v>
      </c>
      <c r="E217" s="18" t="n">
        <v>337181</v>
      </c>
      <c r="F217" s="17" t="s">
        <v>827</v>
      </c>
      <c r="G217" s="23" t="n">
        <v>1.49441694520154</v>
      </c>
      <c r="H217" s="19" t="n">
        <v>59.4</v>
      </c>
      <c r="I217" s="17" t="n">
        <f aca="false">IF(H217="","",RANK(H217,$H$5:$H$525))</f>
        <v>213</v>
      </c>
      <c r="J217" s="24" t="n">
        <v>0.157782508670123</v>
      </c>
      <c r="K217" s="19" t="n">
        <v>85.7</v>
      </c>
      <c r="L217" s="17" t="n">
        <f aca="false">IF(K217="","",RANK(K217,$K$5:$K$525))</f>
        <v>77</v>
      </c>
      <c r="M217" s="25" t="n">
        <v>0.273635446867516</v>
      </c>
      <c r="N217" s="19" t="n">
        <v>94.8</v>
      </c>
      <c r="O217" s="17" t="n">
        <f aca="false">IF(N217="","",RANK(N217,$N$5:$N$525))</f>
        <v>27</v>
      </c>
      <c r="P217" s="17" t="str">
        <f aca="false">IF(AND(N(H217)&gt;=N(K217),N(H217)&gt;=N(N217)),"The Pulse",IF(N(K217)&gt;=N(N217),"The Lens","The Hub"))</f>
        <v>The Hub</v>
      </c>
      <c r="Q217" s="21" t="s">
        <v>79</v>
      </c>
      <c r="R217" s="26" t="s">
        <v>822</v>
      </c>
      <c r="S217" s="17" t="s">
        <v>22</v>
      </c>
    </row>
    <row r="218" customFormat="false" ht="15" hidden="false" customHeight="false" outlineLevel="0" collapsed="false">
      <c r="A218" s="17" t="s">
        <v>533</v>
      </c>
      <c r="B218" s="17" t="s">
        <v>534</v>
      </c>
      <c r="C218" s="17" t="s">
        <v>2475</v>
      </c>
      <c r="D218" s="17" t="s">
        <v>123</v>
      </c>
      <c r="E218" s="18" t="n">
        <v>26360</v>
      </c>
      <c r="F218" s="17" t="s">
        <v>821</v>
      </c>
      <c r="G218" s="23" t="n">
        <v>1.48414264036419</v>
      </c>
      <c r="H218" s="19" t="n">
        <v>59.3</v>
      </c>
      <c r="I218" s="17" t="n">
        <f aca="false">IF(H218="","",RANK(H218,$H$5:$H$525))</f>
        <v>214</v>
      </c>
      <c r="J218" s="24" t="n">
        <v>-0.00233755942947702</v>
      </c>
      <c r="K218" s="19" t="n">
        <v>9.4</v>
      </c>
      <c r="L218" s="17" t="n">
        <f aca="false">IF(K218="","",RANK(K218,$K$5:$K$525))</f>
        <v>472</v>
      </c>
      <c r="M218" s="25" t="n">
        <v>0.194906444906445</v>
      </c>
      <c r="N218" s="19" t="n">
        <v>83.5</v>
      </c>
      <c r="O218" s="17" t="n">
        <f aca="false">IF(N218="","",RANK(N218,$N$5:$N$525))</f>
        <v>87</v>
      </c>
      <c r="P218" s="17" t="str">
        <f aca="false">IF(AND(N(H218)&gt;=N(K218),N(H218)&gt;=N(N218)),"The Pulse",IF(N(K218)&gt;=N(N218),"The Lens","The Hub"))</f>
        <v>The Hub</v>
      </c>
      <c r="Q218" s="21" t="s">
        <v>79</v>
      </c>
      <c r="R218" s="26" t="s">
        <v>822</v>
      </c>
      <c r="S218" s="17" t="s">
        <v>88</v>
      </c>
    </row>
    <row r="219" customFormat="false" ht="15" hidden="false" customHeight="false" outlineLevel="0" collapsed="false">
      <c r="A219" s="17" t="s">
        <v>2180</v>
      </c>
      <c r="B219" s="17" t="s">
        <v>2181</v>
      </c>
      <c r="C219" s="17" t="s">
        <v>2476</v>
      </c>
      <c r="D219" s="17" t="s">
        <v>123</v>
      </c>
      <c r="E219" s="18" t="n">
        <v>119185</v>
      </c>
      <c r="F219" s="17" t="s">
        <v>827</v>
      </c>
      <c r="G219" s="23" t="n">
        <v>1.48220833158535</v>
      </c>
      <c r="H219" s="19" t="n">
        <v>59.1</v>
      </c>
      <c r="I219" s="17" t="n">
        <f aca="false">IF(H219="","",RANK(H219,$H$5:$H$525))</f>
        <v>215</v>
      </c>
      <c r="J219" s="24" t="n">
        <v>0.0592150868274649</v>
      </c>
      <c r="K219" s="19" t="n">
        <v>37.3</v>
      </c>
      <c r="L219" s="17" t="n">
        <f aca="false">IF(K219="","",RANK(K219,$K$5:$K$525))</f>
        <v>327</v>
      </c>
      <c r="M219" s="25" t="n">
        <v>0.365383177570094</v>
      </c>
      <c r="N219" s="19" t="n">
        <v>98.6</v>
      </c>
      <c r="O219" s="17" t="n">
        <f aca="false">IF(N219="","",RANK(N219,$N$5:$N$525))</f>
        <v>7</v>
      </c>
      <c r="P219" s="17" t="str">
        <f aca="false">IF(AND(N(H219)&gt;=N(K219),N(H219)&gt;=N(N219)),"The Pulse",IF(N(K219)&gt;=N(N219),"The Lens","The Hub"))</f>
        <v>The Hub</v>
      </c>
      <c r="Q219" s="21" t="s">
        <v>79</v>
      </c>
      <c r="R219" s="27" t="s">
        <v>832</v>
      </c>
      <c r="S219" s="17" t="s">
        <v>22</v>
      </c>
    </row>
    <row r="220" customFormat="false" ht="15" hidden="false" customHeight="false" outlineLevel="0" collapsed="false">
      <c r="A220" s="17" t="s">
        <v>383</v>
      </c>
      <c r="B220" s="17" t="s">
        <v>384</v>
      </c>
      <c r="C220" s="17" t="s">
        <v>2477</v>
      </c>
      <c r="D220" s="17" t="s">
        <v>95</v>
      </c>
      <c r="E220" s="18" t="n">
        <v>14300</v>
      </c>
      <c r="F220" s="17" t="s">
        <v>821</v>
      </c>
      <c r="G220" s="23" t="n">
        <v>1.4779020979021</v>
      </c>
      <c r="H220" s="19" t="n">
        <v>58.9</v>
      </c>
      <c r="I220" s="17" t="n">
        <f aca="false">IF(H220="","",RANK(H220,$H$5:$H$525))</f>
        <v>216</v>
      </c>
      <c r="J220" s="24" t="n">
        <v>0.0941086457536343</v>
      </c>
      <c r="K220" s="19" t="n">
        <v>49.4</v>
      </c>
      <c r="L220" s="17" t="n">
        <f aca="false">IF(K220="","",RANK(K220,$K$5:$K$525))</f>
        <v>265</v>
      </c>
      <c r="M220" s="25" t="n">
        <v>0.170336037079954</v>
      </c>
      <c r="N220" s="19" t="n">
        <v>78.9</v>
      </c>
      <c r="O220" s="17" t="n">
        <f aca="false">IF(N220="","",RANK(N220,$N$5:$N$525))</f>
        <v>110</v>
      </c>
      <c r="P220" s="17" t="str">
        <f aca="false">IF(AND(N(H220)&gt;=N(K220),N(H220)&gt;=N(N220)),"The Pulse",IF(N(K220)&gt;=N(N220),"The Lens","The Hub"))</f>
        <v>The Hub</v>
      </c>
      <c r="Q220" s="21" t="s">
        <v>79</v>
      </c>
      <c r="R220" s="26" t="s">
        <v>822</v>
      </c>
      <c r="S220" s="17" t="s">
        <v>88</v>
      </c>
    </row>
    <row r="221" customFormat="false" ht="15" hidden="false" customHeight="false" outlineLevel="0" collapsed="false">
      <c r="A221" s="17" t="s">
        <v>503</v>
      </c>
      <c r="B221" s="17" t="s">
        <v>504</v>
      </c>
      <c r="C221" s="17" t="s">
        <v>2478</v>
      </c>
      <c r="D221" s="17" t="s">
        <v>77</v>
      </c>
      <c r="E221" s="18" t="n">
        <v>8456</v>
      </c>
      <c r="F221" s="17" t="s">
        <v>825</v>
      </c>
      <c r="G221" s="23" t="n">
        <v>1.47114474929045</v>
      </c>
      <c r="H221" s="19" t="n">
        <v>58.6</v>
      </c>
      <c r="I221" s="17" t="n">
        <f aca="false">IF(H221="","",RANK(H221,$H$5:$H$525))</f>
        <v>217</v>
      </c>
      <c r="J221" s="24" t="n">
        <v>0.0122097198946612</v>
      </c>
      <c r="K221" s="19" t="n">
        <v>11.2</v>
      </c>
      <c r="L221" s="17" t="n">
        <f aca="false">IF(K221="","",RANK(K221,$K$5:$K$525))</f>
        <v>464</v>
      </c>
      <c r="M221" s="25" t="n">
        <v>0.0338164251207729</v>
      </c>
      <c r="N221" s="19" t="n">
        <v>22.2</v>
      </c>
      <c r="O221" s="17" t="n">
        <f aca="false">IF(N221="","",RANK(N221,$N$5:$N$525))</f>
        <v>408</v>
      </c>
      <c r="P221" s="17" t="str">
        <f aca="false">IF(AND(N(H221)&gt;=N(K221),N(H221)&gt;=N(N221)),"The Pulse",IF(N(K221)&gt;=N(N221),"The Lens","The Hub"))</f>
        <v>The Pulse</v>
      </c>
      <c r="Q221" s="21" t="s">
        <v>79</v>
      </c>
      <c r="R221" s="26" t="s">
        <v>822</v>
      </c>
      <c r="S221" s="17" t="s">
        <v>22</v>
      </c>
    </row>
    <row r="222" customFormat="false" ht="15" hidden="false" customHeight="false" outlineLevel="0" collapsed="false">
      <c r="A222" s="17" t="s">
        <v>1225</v>
      </c>
      <c r="B222" s="17" t="s">
        <v>1226</v>
      </c>
      <c r="C222" s="17" t="s">
        <v>2479</v>
      </c>
      <c r="D222" s="17" t="s">
        <v>86</v>
      </c>
      <c r="E222" s="18" t="n">
        <v>134468</v>
      </c>
      <c r="F222" s="17" t="s">
        <v>827</v>
      </c>
      <c r="G222" s="23" t="n">
        <v>1.46414016717732</v>
      </c>
      <c r="H222" s="19" t="n">
        <v>58.4</v>
      </c>
      <c r="I222" s="17" t="n">
        <f aca="false">IF(H222="","",RANK(H222,$H$5:$H$525))</f>
        <v>218</v>
      </c>
      <c r="J222" s="24" t="n">
        <v>0.10727019705042</v>
      </c>
      <c r="K222" s="19" t="n">
        <v>63.4</v>
      </c>
      <c r="L222" s="17" t="n">
        <f aca="false">IF(K222="","",RANK(K222,$K$5:$K$525))</f>
        <v>191</v>
      </c>
      <c r="M222" s="25" t="n">
        <v>0.214306915998813</v>
      </c>
      <c r="N222" s="19" t="n">
        <v>87.8</v>
      </c>
      <c r="O222" s="17" t="n">
        <f aca="false">IF(N222="","",RANK(N222,$N$5:$N$525))</f>
        <v>65</v>
      </c>
      <c r="P222" s="17" t="str">
        <f aca="false">IF(AND(N(H222)&gt;=N(K222),N(H222)&gt;=N(N222)),"The Pulse",IF(N(K222)&gt;=N(N222),"The Lens","The Hub"))</f>
        <v>The Hub</v>
      </c>
      <c r="Q222" s="21" t="s">
        <v>79</v>
      </c>
      <c r="R222" s="27" t="s">
        <v>832</v>
      </c>
      <c r="S222" s="17" t="s">
        <v>22</v>
      </c>
    </row>
    <row r="223" customFormat="false" ht="15" hidden="false" customHeight="false" outlineLevel="0" collapsed="false">
      <c r="A223" s="17" t="s">
        <v>1027</v>
      </c>
      <c r="B223" s="17" t="s">
        <v>1028</v>
      </c>
      <c r="C223" s="17" t="s">
        <v>2480</v>
      </c>
      <c r="D223" s="17" t="s">
        <v>162</v>
      </c>
      <c r="E223" s="18" t="n">
        <v>10655</v>
      </c>
      <c r="F223" s="17" t="s">
        <v>821</v>
      </c>
      <c r="G223" s="23" t="n">
        <v>1.44598779915533</v>
      </c>
      <c r="H223" s="19" t="n">
        <v>58.2</v>
      </c>
      <c r="I223" s="17" t="n">
        <f aca="false">IF(H223="","",RANK(H223,$H$5:$H$525))</f>
        <v>219</v>
      </c>
      <c r="J223" s="24" t="n">
        <v>0.2156303479749</v>
      </c>
      <c r="K223" s="19" t="n">
        <v>93.8</v>
      </c>
      <c r="L223" s="17" t="n">
        <f aca="false">IF(K223="","",RANK(K223,$K$5:$K$525))</f>
        <v>36</v>
      </c>
      <c r="M223" s="25" t="n">
        <v>0.0764144011756062</v>
      </c>
      <c r="N223" s="19" t="n">
        <v>47.3</v>
      </c>
      <c r="O223" s="17" t="n">
        <f aca="false">IF(N223="","",RANK(N223,$N$5:$N$525))</f>
        <v>274</v>
      </c>
      <c r="P223" s="17" t="str">
        <f aca="false">IF(AND(N(H223)&gt;=N(K223),N(H223)&gt;=N(N223)),"The Pulse",IF(N(K223)&gt;=N(N223),"The Lens","The Hub"))</f>
        <v>The Lens</v>
      </c>
      <c r="Q223" s="21" t="s">
        <v>79</v>
      </c>
      <c r="R223" s="27" t="s">
        <v>832</v>
      </c>
      <c r="S223" s="17" t="s">
        <v>22</v>
      </c>
    </row>
    <row r="224" customFormat="false" ht="15" hidden="false" customHeight="false" outlineLevel="0" collapsed="false">
      <c r="A224" s="17" t="s">
        <v>441</v>
      </c>
      <c r="B224" s="17" t="s">
        <v>442</v>
      </c>
      <c r="C224" s="17" t="s">
        <v>2481</v>
      </c>
      <c r="D224" s="17" t="s">
        <v>77</v>
      </c>
      <c r="E224" s="18" t="n">
        <v>27800</v>
      </c>
      <c r="F224" s="17" t="s">
        <v>821</v>
      </c>
      <c r="G224" s="23" t="n">
        <v>1.43884892086331</v>
      </c>
      <c r="H224" s="19" t="n">
        <v>58</v>
      </c>
      <c r="I224" s="17" t="n">
        <f aca="false">IF(H224="","",RANK(H224,$H$5:$H$525))</f>
        <v>220</v>
      </c>
      <c r="J224" s="24" t="n">
        <v>-0.0176678445229682</v>
      </c>
      <c r="K224" s="19" t="n">
        <v>6.5</v>
      </c>
      <c r="L224" s="17" t="n">
        <f aca="false">IF(K224="","",RANK(K224,$K$5:$K$525))</f>
        <v>488</v>
      </c>
      <c r="M224" s="25" t="n">
        <v>0.0466101694915254</v>
      </c>
      <c r="N224" s="19" t="n">
        <v>30.3</v>
      </c>
      <c r="O224" s="17" t="n">
        <f aca="false">IF(N224="","",RANK(N224,$N$5:$N$525))</f>
        <v>364</v>
      </c>
      <c r="P224" s="17" t="str">
        <f aca="false">IF(AND(N(H224)&gt;=N(K224),N(H224)&gt;=N(N224)),"The Pulse",IF(N(K224)&gt;=N(N224),"The Lens","The Hub"))</f>
        <v>The Pulse</v>
      </c>
      <c r="Q224" s="20" t="s">
        <v>74</v>
      </c>
      <c r="R224" s="26" t="s">
        <v>822</v>
      </c>
      <c r="S224" s="17" t="s">
        <v>24</v>
      </c>
    </row>
    <row r="225" customFormat="false" ht="15" hidden="false" customHeight="false" outlineLevel="0" collapsed="false">
      <c r="A225" s="17" t="s">
        <v>1070</v>
      </c>
      <c r="B225" s="17" t="s">
        <v>1071</v>
      </c>
      <c r="C225" s="17" t="s">
        <v>2482</v>
      </c>
      <c r="D225" s="17" t="s">
        <v>115</v>
      </c>
      <c r="E225" s="18" t="n">
        <v>58586</v>
      </c>
      <c r="F225" s="17" t="s">
        <v>821</v>
      </c>
      <c r="G225" s="23" t="n">
        <v>1.4352234322193</v>
      </c>
      <c r="H225" s="19" t="n">
        <v>57.8</v>
      </c>
      <c r="I225" s="17" t="n">
        <f aca="false">IF(H225="","",RANK(H225,$H$5:$H$525))</f>
        <v>221</v>
      </c>
      <c r="J225" s="24" t="n">
        <v>0.164245543610024</v>
      </c>
      <c r="K225" s="19" t="n">
        <v>83.8</v>
      </c>
      <c r="L225" s="17" t="n">
        <f aca="false">IF(K225="","",RANK(K225,$K$5:$K$525))</f>
        <v>88</v>
      </c>
      <c r="M225" s="25" t="n">
        <v>0.0271413979279148</v>
      </c>
      <c r="N225" s="19" t="n">
        <v>18.1</v>
      </c>
      <c r="O225" s="17" t="n">
        <f aca="false">IF(N225="","",RANK(N225,$N$5:$N$525))</f>
        <v>428</v>
      </c>
      <c r="P225" s="17" t="str">
        <f aca="false">IF(AND(N(H225)&gt;=N(K225),N(H225)&gt;=N(N225)),"The Pulse",IF(N(K225)&gt;=N(N225),"The Lens","The Hub"))</f>
        <v>The Lens</v>
      </c>
      <c r="Q225" s="21" t="s">
        <v>79</v>
      </c>
      <c r="R225" s="27" t="s">
        <v>832</v>
      </c>
      <c r="S225" s="17" t="s">
        <v>22</v>
      </c>
    </row>
    <row r="226" customFormat="false" ht="15" hidden="false" customHeight="false" outlineLevel="0" collapsed="false">
      <c r="A226" s="17" t="s">
        <v>477</v>
      </c>
      <c r="B226" s="17" t="s">
        <v>478</v>
      </c>
      <c r="C226" s="17" t="s">
        <v>2483</v>
      </c>
      <c r="D226" s="17" t="s">
        <v>115</v>
      </c>
      <c r="E226" s="18" t="n">
        <v>39840</v>
      </c>
      <c r="F226" s="17" t="s">
        <v>821</v>
      </c>
      <c r="G226" s="23" t="n">
        <v>1.43132530120482</v>
      </c>
      <c r="H226" s="19" t="n">
        <v>57.7</v>
      </c>
      <c r="I226" s="17" t="n">
        <f aca="false">IF(H226="","",RANK(H226,$H$5:$H$525))</f>
        <v>222</v>
      </c>
      <c r="J226" s="24" t="n">
        <v>0.136661911554922</v>
      </c>
      <c r="K226" s="19" t="n">
        <v>69.2</v>
      </c>
      <c r="L226" s="17" t="n">
        <f aca="false">IF(K226="","",RANK(K226,$K$5:$K$525))</f>
        <v>161</v>
      </c>
      <c r="M226" s="25" t="n">
        <v>0.240107568190549</v>
      </c>
      <c r="N226" s="19" t="n">
        <v>91.8</v>
      </c>
      <c r="O226" s="17" t="n">
        <f aca="false">IF(N226="","",RANK(N226,$N$5:$N$525))</f>
        <v>44</v>
      </c>
      <c r="P226" s="17" t="str">
        <f aca="false">IF(AND(N(H226)&gt;=N(K226),N(H226)&gt;=N(N226)),"The Pulse",IF(N(K226)&gt;=N(N226),"The Lens","The Hub"))</f>
        <v>The Hub</v>
      </c>
      <c r="Q226" s="20" t="s">
        <v>74</v>
      </c>
      <c r="R226" s="26" t="s">
        <v>822</v>
      </c>
      <c r="S226" s="17" t="s">
        <v>24</v>
      </c>
    </row>
    <row r="227" customFormat="false" ht="15" hidden="false" customHeight="false" outlineLevel="0" collapsed="false">
      <c r="A227" s="17" t="s">
        <v>675</v>
      </c>
      <c r="B227" s="17" t="s">
        <v>676</v>
      </c>
      <c r="C227" s="17" t="s">
        <v>2484</v>
      </c>
      <c r="D227" s="17" t="s">
        <v>91</v>
      </c>
      <c r="E227" s="18" t="n">
        <v>194060</v>
      </c>
      <c r="F227" s="17" t="s">
        <v>827</v>
      </c>
      <c r="G227" s="23" t="n">
        <v>1.42879521797382</v>
      </c>
      <c r="H227" s="19" t="n">
        <v>57.5</v>
      </c>
      <c r="I227" s="17" t="n">
        <f aca="false">IF(H227="","",RANK(H227,$H$5:$H$525))</f>
        <v>223</v>
      </c>
      <c r="J227" s="24" t="n">
        <v>0.0438945669714901</v>
      </c>
      <c r="K227" s="19" t="n">
        <v>28</v>
      </c>
      <c r="L227" s="17" t="n">
        <f aca="false">IF(K227="","",RANK(K227,$K$5:$K$525))</f>
        <v>377</v>
      </c>
      <c r="M227" s="25" t="n">
        <v>0.0513447432762836</v>
      </c>
      <c r="N227" s="19" t="n">
        <v>33.7</v>
      </c>
      <c r="O227" s="17" t="n">
        <f aca="false">IF(N227="","",RANK(N227,$N$5:$N$525))</f>
        <v>346</v>
      </c>
      <c r="P227" s="17" t="str">
        <f aca="false">IF(AND(N(H227)&gt;=N(K227),N(H227)&gt;=N(N227)),"The Pulse",IF(N(K227)&gt;=N(N227),"The Lens","The Hub"))</f>
        <v>The Pulse</v>
      </c>
      <c r="Q227" s="20" t="s">
        <v>74</v>
      </c>
      <c r="R227" s="26" t="s">
        <v>822</v>
      </c>
      <c r="S227" s="17" t="s">
        <v>24</v>
      </c>
    </row>
    <row r="228" customFormat="false" ht="15" hidden="false" customHeight="false" outlineLevel="0" collapsed="false">
      <c r="A228" s="17" t="s">
        <v>2485</v>
      </c>
      <c r="B228" s="17" t="s">
        <v>2486</v>
      </c>
      <c r="C228" s="17" t="s">
        <v>2487</v>
      </c>
      <c r="D228" s="17" t="s">
        <v>77</v>
      </c>
      <c r="E228" s="18" t="n">
        <v>30890</v>
      </c>
      <c r="F228" s="17" t="s">
        <v>821</v>
      </c>
      <c r="G228" s="23" t="n">
        <v>1.41939138879896</v>
      </c>
      <c r="H228" s="19" t="n">
        <v>57.1</v>
      </c>
      <c r="I228" s="17" t="n">
        <f aca="false">IF(H228="","",RANK(H228,$H$5:$H$525))</f>
        <v>224</v>
      </c>
      <c r="J228" s="24" t="n">
        <v>0.0725694444444445</v>
      </c>
      <c r="K228" s="19" t="n">
        <v>37.3</v>
      </c>
      <c r="L228" s="17" t="n">
        <f aca="false">IF(K228="","",RANK(K228,$K$5:$K$525))</f>
        <v>327</v>
      </c>
      <c r="M228" s="25" t="n">
        <v>0.042332268370607</v>
      </c>
      <c r="N228" s="19" t="n">
        <v>27.4</v>
      </c>
      <c r="O228" s="17" t="n">
        <f aca="false">IF(N228="","",RANK(N228,$N$5:$N$525))</f>
        <v>379</v>
      </c>
      <c r="P228" s="17" t="str">
        <f aca="false">IF(AND(N(H228)&gt;=N(K228),N(H228)&gt;=N(N228)),"The Pulse",IF(N(K228)&gt;=N(N228),"The Lens","The Hub"))</f>
        <v>The Pulse</v>
      </c>
      <c r="Q228" s="20" t="s">
        <v>74</v>
      </c>
      <c r="R228" s="27" t="s">
        <v>832</v>
      </c>
      <c r="S228" s="17" t="s">
        <v>24</v>
      </c>
    </row>
    <row r="229" customFormat="false" ht="15" hidden="false" customHeight="false" outlineLevel="0" collapsed="false">
      <c r="A229" s="17" t="s">
        <v>2488</v>
      </c>
      <c r="B229" s="17" t="s">
        <v>2489</v>
      </c>
      <c r="C229" s="17" t="s">
        <v>2490</v>
      </c>
      <c r="D229" s="17" t="s">
        <v>86</v>
      </c>
      <c r="E229" s="18" t="n">
        <v>2310</v>
      </c>
      <c r="F229" s="17" t="s">
        <v>825</v>
      </c>
      <c r="G229" s="23" t="n">
        <v>1.41861471861472</v>
      </c>
      <c r="H229" s="19" t="n">
        <v>57</v>
      </c>
      <c r="I229" s="17" t="n">
        <f aca="false">IF(H229="","",RANK(H229,$H$5:$H$525))</f>
        <v>225</v>
      </c>
      <c r="J229" s="24" t="n">
        <v>0.243258426966292</v>
      </c>
      <c r="K229" s="19" t="n">
        <v>96.2</v>
      </c>
      <c r="L229" s="17" t="n">
        <f aca="false">IF(K229="","",RANK(K229,$K$5:$K$525))</f>
        <v>24</v>
      </c>
      <c r="M229" s="25" t="n">
        <v>0.183908045977012</v>
      </c>
      <c r="N229" s="19" t="n">
        <v>81</v>
      </c>
      <c r="O229" s="17" t="n">
        <f aca="false">IF(N229="","",RANK(N229,$N$5:$N$525))</f>
        <v>98</v>
      </c>
      <c r="P229" s="17" t="str">
        <f aca="false">IF(AND(N(H229)&gt;=N(K229),N(H229)&gt;=N(N229)),"The Pulse",IF(N(K229)&gt;=N(N229),"The Lens","The Hub"))</f>
        <v>The Lens</v>
      </c>
      <c r="Q229" s="21" t="s">
        <v>79</v>
      </c>
      <c r="R229" s="27" t="s">
        <v>832</v>
      </c>
      <c r="S229" s="17" t="s">
        <v>88</v>
      </c>
    </row>
    <row r="230" customFormat="false" ht="15" hidden="false" customHeight="false" outlineLevel="0" collapsed="false">
      <c r="A230" s="17" t="s">
        <v>375</v>
      </c>
      <c r="B230" s="17" t="s">
        <v>376</v>
      </c>
      <c r="C230" s="17" t="s">
        <v>2491</v>
      </c>
      <c r="D230" s="17" t="s">
        <v>123</v>
      </c>
      <c r="E230" s="18" t="n">
        <v>365625</v>
      </c>
      <c r="F230" s="17" t="s">
        <v>827</v>
      </c>
      <c r="G230" s="23" t="n">
        <v>1.40645196581197</v>
      </c>
      <c r="H230" s="19" t="n">
        <v>56.6</v>
      </c>
      <c r="I230" s="17" t="n">
        <f aca="false">IF(H230="","",RANK(H230,$H$5:$H$525))</f>
        <v>226</v>
      </c>
      <c r="J230" s="24" t="n">
        <v>0.140073525972629</v>
      </c>
      <c r="K230" s="19" t="n">
        <v>76.4</v>
      </c>
      <c r="L230" s="17" t="n">
        <f aca="false">IF(K230="","",RANK(K230,$K$5:$K$525))</f>
        <v>125</v>
      </c>
      <c r="M230" s="25" t="n">
        <v>0.0676366903988387</v>
      </c>
      <c r="N230" s="19" t="n">
        <v>43.7</v>
      </c>
      <c r="O230" s="17" t="n">
        <f aca="false">IF(N230="","",RANK(N230,$N$5:$N$525))</f>
        <v>293</v>
      </c>
      <c r="P230" s="17" t="str">
        <f aca="false">IF(AND(N(H230)&gt;=N(K230),N(H230)&gt;=N(N230)),"The Pulse",IF(N(K230)&gt;=N(N230),"The Lens","The Hub"))</f>
        <v>The Lens</v>
      </c>
      <c r="Q230" s="21" t="s">
        <v>79</v>
      </c>
      <c r="R230" s="26" t="s">
        <v>822</v>
      </c>
      <c r="S230" s="17" t="s">
        <v>88</v>
      </c>
    </row>
    <row r="231" customFormat="false" ht="15" hidden="false" customHeight="false" outlineLevel="0" collapsed="false">
      <c r="A231" s="17" t="s">
        <v>459</v>
      </c>
      <c r="B231" s="17" t="s">
        <v>460</v>
      </c>
      <c r="C231" s="17" t="s">
        <v>2492</v>
      </c>
      <c r="D231" s="17" t="s">
        <v>95</v>
      </c>
      <c r="E231" s="18" t="n">
        <v>38470</v>
      </c>
      <c r="F231" s="17" t="s">
        <v>821</v>
      </c>
      <c r="G231" s="23" t="n">
        <v>1.40501689628282</v>
      </c>
      <c r="H231" s="19" t="n">
        <v>56.4</v>
      </c>
      <c r="I231" s="17" t="n">
        <f aca="false">IF(H231="","",RANK(H231,$H$5:$H$525))</f>
        <v>227</v>
      </c>
      <c r="J231" s="24" t="n">
        <v>0.240567558851983</v>
      </c>
      <c r="K231" s="19" t="n">
        <v>97.4</v>
      </c>
      <c r="L231" s="17" t="n">
        <f aca="false">IF(K231="","",RANK(K231,$K$5:$K$525))</f>
        <v>18</v>
      </c>
      <c r="M231" s="25" t="n">
        <v>0.09526938239159</v>
      </c>
      <c r="N231" s="19" t="n">
        <v>56.5</v>
      </c>
      <c r="O231" s="17" t="n">
        <f aca="false">IF(N231="","",RANK(N231,$N$5:$N$525))</f>
        <v>228</v>
      </c>
      <c r="P231" s="17" t="str">
        <f aca="false">IF(AND(N(H231)&gt;=N(K231),N(H231)&gt;=N(N231)),"The Pulse",IF(N(K231)&gt;=N(N231),"The Lens","The Hub"))</f>
        <v>The Lens</v>
      </c>
      <c r="Q231" s="20" t="s">
        <v>74</v>
      </c>
      <c r="R231" s="26" t="s">
        <v>822</v>
      </c>
      <c r="S231" s="17" t="s">
        <v>24</v>
      </c>
    </row>
    <row r="232" customFormat="false" ht="15" hidden="false" customHeight="false" outlineLevel="0" collapsed="false">
      <c r="A232" s="17" t="s">
        <v>2493</v>
      </c>
      <c r="B232" s="17" t="s">
        <v>2494</v>
      </c>
      <c r="C232" s="17" t="s">
        <v>2495</v>
      </c>
      <c r="D232" s="17" t="s">
        <v>91</v>
      </c>
      <c r="E232" s="18" t="n">
        <v>95230</v>
      </c>
      <c r="F232" s="17" t="s">
        <v>821</v>
      </c>
      <c r="G232" s="23" t="n">
        <v>1.40301375616927</v>
      </c>
      <c r="H232" s="19" t="n">
        <v>56.3</v>
      </c>
      <c r="I232" s="17" t="n">
        <f aca="false">IF(H232="","",RANK(H232,$H$5:$H$525))</f>
        <v>228</v>
      </c>
      <c r="J232" s="24" t="n">
        <v>0.142942870859338</v>
      </c>
      <c r="K232" s="19" t="n">
        <v>73.4</v>
      </c>
      <c r="L232" s="17" t="n">
        <f aca="false">IF(K232="","",RANK(K232,$K$5:$K$525))</f>
        <v>141</v>
      </c>
      <c r="M232" s="25" t="n">
        <v>0.050080775444265</v>
      </c>
      <c r="N232" s="19" t="n">
        <v>32.3</v>
      </c>
      <c r="O232" s="17" t="n">
        <f aca="false">IF(N232="","",RANK(N232,$N$5:$N$525))</f>
        <v>353</v>
      </c>
      <c r="P232" s="17" t="str">
        <f aca="false">IF(AND(N(H232)&gt;=N(K232),N(H232)&gt;=N(N232)),"The Pulse",IF(N(K232)&gt;=N(N232),"The Lens","The Hub"))</f>
        <v>The Lens</v>
      </c>
      <c r="Q232" s="20" t="s">
        <v>74</v>
      </c>
      <c r="R232" s="27" t="s">
        <v>832</v>
      </c>
      <c r="S232" s="17" t="s">
        <v>24</v>
      </c>
    </row>
    <row r="233" customFormat="false" ht="15" hidden="false" customHeight="false" outlineLevel="0" collapsed="false">
      <c r="A233" s="17" t="s">
        <v>163</v>
      </c>
      <c r="B233" s="17" t="s">
        <v>164</v>
      </c>
      <c r="C233" s="17" t="s">
        <v>2496</v>
      </c>
      <c r="D233" s="17" t="s">
        <v>115</v>
      </c>
      <c r="E233" s="18" t="n">
        <v>222676</v>
      </c>
      <c r="F233" s="17" t="s">
        <v>827</v>
      </c>
      <c r="G233" s="23" t="n">
        <v>1.39983653379799</v>
      </c>
      <c r="H233" s="19" t="n">
        <v>56.1</v>
      </c>
      <c r="I233" s="17" t="n">
        <f aca="false">IF(H233="","",RANK(H233,$H$5:$H$525))</f>
        <v>229</v>
      </c>
      <c r="J233" s="24" t="n">
        <v>0.0782349323791031</v>
      </c>
      <c r="K233" s="19" t="n">
        <v>47.8</v>
      </c>
      <c r="L233" s="17" t="n">
        <f aca="false">IF(K233="","",RANK(K233,$K$5:$K$525))</f>
        <v>273</v>
      </c>
      <c r="M233" s="25" t="n">
        <v>0.201324769169008</v>
      </c>
      <c r="N233" s="19" t="n">
        <v>85.5</v>
      </c>
      <c r="O233" s="17" t="n">
        <f aca="false">IF(N233="","",RANK(N233,$N$5:$N$525))</f>
        <v>76</v>
      </c>
      <c r="P233" s="17" t="str">
        <f aca="false">IF(AND(N(H233)&gt;=N(K233),N(H233)&gt;=N(N233)),"The Pulse",IF(N(K233)&gt;=N(N233),"The Lens","The Hub"))</f>
        <v>The Hub</v>
      </c>
      <c r="Q233" s="21" t="s">
        <v>79</v>
      </c>
      <c r="R233" s="26" t="s">
        <v>822</v>
      </c>
      <c r="S233" s="17" t="s">
        <v>22</v>
      </c>
    </row>
    <row r="234" customFormat="false" ht="15" hidden="false" customHeight="false" outlineLevel="0" collapsed="false">
      <c r="A234" s="17" t="s">
        <v>593</v>
      </c>
      <c r="B234" s="17" t="s">
        <v>594</v>
      </c>
      <c r="C234" s="17" t="s">
        <v>2497</v>
      </c>
      <c r="D234" s="17" t="s">
        <v>91</v>
      </c>
      <c r="E234" s="18" t="n">
        <v>6250</v>
      </c>
      <c r="F234" s="17" t="s">
        <v>825</v>
      </c>
      <c r="G234" s="23" t="n">
        <v>1.3968</v>
      </c>
      <c r="H234" s="19" t="n">
        <v>55.9</v>
      </c>
      <c r="I234" s="17" t="n">
        <f aca="false">IF(H234="","",RANK(H234,$H$5:$H$525))</f>
        <v>230</v>
      </c>
      <c r="J234" s="24" t="n">
        <v>0.118067978533095</v>
      </c>
      <c r="K234" s="19" t="n">
        <v>53.8</v>
      </c>
      <c r="L234" s="17" t="n">
        <f aca="false">IF(K234="","",RANK(K234,$K$5:$K$525))</f>
        <v>242</v>
      </c>
      <c r="M234" s="25" t="n">
        <v>0.126666666666667</v>
      </c>
      <c r="N234" s="19" t="n">
        <v>67.2</v>
      </c>
      <c r="O234" s="17" t="n">
        <f aca="false">IF(N234="","",RANK(N234,$N$5:$N$525))</f>
        <v>169</v>
      </c>
      <c r="P234" s="17" t="str">
        <f aca="false">IF(AND(N(H234)&gt;=N(K234),N(H234)&gt;=N(N234)),"The Pulse",IF(N(K234)&gt;=N(N234),"The Lens","The Hub"))</f>
        <v>The Hub</v>
      </c>
      <c r="Q234" s="20" t="s">
        <v>74</v>
      </c>
      <c r="R234" s="26" t="s">
        <v>822</v>
      </c>
      <c r="S234" s="17" t="s">
        <v>24</v>
      </c>
    </row>
    <row r="235" customFormat="false" ht="15" hidden="false" customHeight="false" outlineLevel="0" collapsed="false">
      <c r="A235" s="17" t="s">
        <v>313</v>
      </c>
      <c r="B235" s="17" t="s">
        <v>314</v>
      </c>
      <c r="C235" s="17" t="s">
        <v>2498</v>
      </c>
      <c r="D235" s="17" t="s">
        <v>162</v>
      </c>
      <c r="E235" s="18" t="n">
        <v>7447</v>
      </c>
      <c r="F235" s="17" t="s">
        <v>825</v>
      </c>
      <c r="G235" s="23" t="n">
        <v>1.39559554182892</v>
      </c>
      <c r="H235" s="19" t="n">
        <v>55.7</v>
      </c>
      <c r="I235" s="17" t="n">
        <f aca="false">IF(H235="","",RANK(H235,$H$5:$H$525))</f>
        <v>231</v>
      </c>
      <c r="J235" s="24" t="n">
        <v>0.0469562772388584</v>
      </c>
      <c r="K235" s="19" t="n">
        <v>26.2</v>
      </c>
      <c r="L235" s="17" t="n">
        <f aca="false">IF(K235="","",RANK(K235,$K$5:$K$525))</f>
        <v>386</v>
      </c>
      <c r="M235" s="25" t="n">
        <v>0.10580204778157</v>
      </c>
      <c r="N235" s="19" t="n">
        <v>61.1</v>
      </c>
      <c r="O235" s="17" t="n">
        <f aca="false">IF(N235="","",RANK(N235,$N$5:$N$525))</f>
        <v>203</v>
      </c>
      <c r="P235" s="17" t="str">
        <f aca="false">IF(AND(N(H235)&gt;=N(K235),N(H235)&gt;=N(N235)),"The Pulse",IF(N(K235)&gt;=N(N235),"The Lens","The Hub"))</f>
        <v>The Hub</v>
      </c>
      <c r="Q235" s="21" t="s">
        <v>79</v>
      </c>
      <c r="R235" s="26" t="s">
        <v>822</v>
      </c>
      <c r="S235" s="17" t="s">
        <v>22</v>
      </c>
    </row>
    <row r="236" customFormat="false" ht="15" hidden="false" customHeight="false" outlineLevel="0" collapsed="false">
      <c r="A236" s="17" t="s">
        <v>389</v>
      </c>
      <c r="B236" s="17" t="s">
        <v>390</v>
      </c>
      <c r="C236" s="17" t="s">
        <v>2499</v>
      </c>
      <c r="D236" s="17" t="s">
        <v>115</v>
      </c>
      <c r="E236" s="18" t="n">
        <v>1428</v>
      </c>
      <c r="F236" s="17" t="s">
        <v>825</v>
      </c>
      <c r="G236" s="23" t="n">
        <v>1.39425770308123</v>
      </c>
      <c r="H236" s="19" t="n">
        <v>55.6</v>
      </c>
      <c r="I236" s="17" t="n">
        <f aca="false">IF(H236="","",RANK(H236,$H$5:$H$525))</f>
        <v>232</v>
      </c>
      <c r="J236" s="24" t="n">
        <v>-0.0199039121482498</v>
      </c>
      <c r="K236" s="19" t="n">
        <v>6.2</v>
      </c>
      <c r="L236" s="17" t="n">
        <f aca="false">IF(K236="","",RANK(K236,$K$5:$K$525))</f>
        <v>489</v>
      </c>
      <c r="M236" s="25" t="n">
        <v>0.0505050505050505</v>
      </c>
      <c r="N236" s="19" t="n">
        <v>32.8</v>
      </c>
      <c r="O236" s="17" t="n">
        <f aca="false">IF(N236="","",RANK(N236,$N$5:$N$525))</f>
        <v>350</v>
      </c>
      <c r="P236" s="17" t="str">
        <f aca="false">IF(AND(N(H236)&gt;=N(K236),N(H236)&gt;=N(N236)),"The Pulse",IF(N(K236)&gt;=N(N236),"The Lens","The Hub"))</f>
        <v>The Pulse</v>
      </c>
      <c r="Q236" s="21" t="s">
        <v>79</v>
      </c>
      <c r="R236" s="26" t="s">
        <v>822</v>
      </c>
      <c r="S236" s="17" t="s">
        <v>88</v>
      </c>
    </row>
    <row r="237" customFormat="false" ht="15" hidden="false" customHeight="false" outlineLevel="0" collapsed="false">
      <c r="A237" s="17" t="s">
        <v>846</v>
      </c>
      <c r="B237" s="17" t="s">
        <v>847</v>
      </c>
      <c r="C237" s="17" t="s">
        <v>2500</v>
      </c>
      <c r="D237" s="17" t="s">
        <v>115</v>
      </c>
      <c r="E237" s="18" t="n">
        <v>1521249</v>
      </c>
      <c r="F237" s="17" t="s">
        <v>935</v>
      </c>
      <c r="G237" s="23" t="n">
        <v>1.3735095306554</v>
      </c>
      <c r="H237" s="19" t="n">
        <v>55.4</v>
      </c>
      <c r="I237" s="17" t="n">
        <f aca="false">IF(H237="","",RANK(H237,$H$5:$H$525))</f>
        <v>233</v>
      </c>
      <c r="J237" s="24" t="n">
        <v>0.12405263636236</v>
      </c>
      <c r="K237" s="19" t="n">
        <v>71.4</v>
      </c>
      <c r="L237" s="17" t="n">
        <f aca="false">IF(K237="","",RANK(K237,$K$5:$K$525))</f>
        <v>151</v>
      </c>
      <c r="M237" s="25" t="n">
        <v>0.0426200025691897</v>
      </c>
      <c r="N237" s="19" t="n">
        <v>27.8</v>
      </c>
      <c r="O237" s="17" t="n">
        <f aca="false">IF(N237="","",RANK(N237,$N$5:$N$525))</f>
        <v>377</v>
      </c>
      <c r="P237" s="17" t="str">
        <f aca="false">IF(AND(N(H237)&gt;=N(K237),N(H237)&gt;=N(N237)),"The Pulse",IF(N(K237)&gt;=N(N237),"The Lens","The Hub"))</f>
        <v>The Lens</v>
      </c>
      <c r="Q237" s="21" t="s">
        <v>79</v>
      </c>
      <c r="R237" s="27" t="s">
        <v>832</v>
      </c>
      <c r="S237" s="17" t="s">
        <v>22</v>
      </c>
    </row>
    <row r="238" customFormat="false" ht="15" hidden="false" customHeight="false" outlineLevel="0" collapsed="false">
      <c r="A238" s="17" t="s">
        <v>475</v>
      </c>
      <c r="B238" s="17" t="s">
        <v>476</v>
      </c>
      <c r="C238" s="17" t="s">
        <v>2501</v>
      </c>
      <c r="D238" s="17" t="s">
        <v>115</v>
      </c>
      <c r="E238" s="18" t="n">
        <v>728588</v>
      </c>
      <c r="F238" s="17" t="s">
        <v>827</v>
      </c>
      <c r="G238" s="23" t="n">
        <v>1.37326719627554</v>
      </c>
      <c r="H238" s="19" t="n">
        <v>55.2</v>
      </c>
      <c r="I238" s="17" t="n">
        <f aca="false">IF(H238="","",RANK(H238,$H$5:$H$525))</f>
        <v>234</v>
      </c>
      <c r="J238" s="24" t="n">
        <v>0.144038840805457</v>
      </c>
      <c r="K238" s="19" t="n">
        <v>80.1</v>
      </c>
      <c r="L238" s="17" t="n">
        <f aca="false">IF(K238="","",RANK(K238,$K$5:$K$525))</f>
        <v>107</v>
      </c>
      <c r="M238" s="25" t="n">
        <v>0.311467001025875</v>
      </c>
      <c r="N238" s="19" t="n">
        <v>96.4</v>
      </c>
      <c r="O238" s="17" t="n">
        <f aca="false">IF(N238="","",RANK(N238,$N$5:$N$525))</f>
        <v>18</v>
      </c>
      <c r="P238" s="17" t="str">
        <f aca="false">IF(AND(N(H238)&gt;=N(K238),N(H238)&gt;=N(N238)),"The Pulse",IF(N(K238)&gt;=N(N238),"The Lens","The Hub"))</f>
        <v>The Hub</v>
      </c>
      <c r="Q238" s="21" t="s">
        <v>79</v>
      </c>
      <c r="R238" s="26" t="s">
        <v>822</v>
      </c>
      <c r="S238" s="17" t="s">
        <v>22</v>
      </c>
    </row>
    <row r="239" customFormat="false" ht="15" hidden="false" customHeight="false" outlineLevel="0" collapsed="false">
      <c r="A239" s="17" t="s">
        <v>2502</v>
      </c>
      <c r="B239" s="17" t="s">
        <v>2503</v>
      </c>
      <c r="C239" s="17" t="s">
        <v>2504</v>
      </c>
      <c r="D239" s="17" t="s">
        <v>72</v>
      </c>
      <c r="E239" s="18" t="n">
        <v>267914</v>
      </c>
      <c r="F239" s="17" t="s">
        <v>827</v>
      </c>
      <c r="G239" s="23" t="n">
        <v>1.36237747934039</v>
      </c>
      <c r="H239" s="19" t="n">
        <v>55</v>
      </c>
      <c r="I239" s="17" t="n">
        <f aca="false">IF(H239="","",RANK(H239,$H$5:$H$525))</f>
        <v>235</v>
      </c>
      <c r="J239" s="24" t="n">
        <v>-0.055846293183348</v>
      </c>
      <c r="K239" s="19" t="n">
        <v>4.3</v>
      </c>
      <c r="L239" s="17" t="n">
        <f aca="false">IF(K239="","",RANK(K239,$K$5:$K$525))</f>
        <v>500</v>
      </c>
      <c r="M239" s="25" t="n">
        <v>0.200666324961558</v>
      </c>
      <c r="N239" s="19" t="n">
        <v>85.3</v>
      </c>
      <c r="O239" s="17" t="n">
        <f aca="false">IF(N239="","",RANK(N239,$N$5:$N$525))</f>
        <v>77</v>
      </c>
      <c r="P239" s="17" t="str">
        <f aca="false">IF(AND(N(H239)&gt;=N(K239),N(H239)&gt;=N(N239)),"The Pulse",IF(N(K239)&gt;=N(N239),"The Lens","The Hub"))</f>
        <v>The Hub</v>
      </c>
      <c r="Q239" s="21" t="s">
        <v>79</v>
      </c>
      <c r="R239" s="27" t="s">
        <v>832</v>
      </c>
      <c r="S239" s="17" t="s">
        <v>22</v>
      </c>
    </row>
    <row r="240" customFormat="false" ht="15" hidden="false" customHeight="false" outlineLevel="0" collapsed="false">
      <c r="A240" s="17" t="s">
        <v>1683</v>
      </c>
      <c r="B240" s="17" t="s">
        <v>1684</v>
      </c>
      <c r="C240" s="17" t="s">
        <v>2505</v>
      </c>
      <c r="D240" s="17" t="s">
        <v>82</v>
      </c>
      <c r="E240" s="18" t="n">
        <v>20752</v>
      </c>
      <c r="F240" s="17" t="s">
        <v>821</v>
      </c>
      <c r="G240" s="23" t="n">
        <v>1.35933885890517</v>
      </c>
      <c r="H240" s="19" t="n">
        <v>54.9</v>
      </c>
      <c r="I240" s="17" t="n">
        <f aca="false">IF(H240="","",RANK(H240,$H$5:$H$525))</f>
        <v>236</v>
      </c>
      <c r="J240" s="24" t="n">
        <v>0.129667936853566</v>
      </c>
      <c r="K240" s="19" t="n">
        <v>67.9</v>
      </c>
      <c r="L240" s="17" t="n">
        <f aca="false">IF(K240="","",RANK(K240,$K$5:$K$525))</f>
        <v>166</v>
      </c>
      <c r="M240" s="25" t="n">
        <v>0.0748299319727891</v>
      </c>
      <c r="N240" s="19" t="n">
        <v>46.4</v>
      </c>
      <c r="O240" s="17" t="n">
        <f aca="false">IF(N240="","",RANK(N240,$N$5:$N$525))</f>
        <v>279</v>
      </c>
      <c r="P240" s="17" t="str">
        <f aca="false">IF(AND(N(H240)&gt;=N(K240),N(H240)&gt;=N(N240)),"The Pulse",IF(N(K240)&gt;=N(N240),"The Lens","The Hub"))</f>
        <v>The Lens</v>
      </c>
      <c r="Q240" s="21" t="s">
        <v>79</v>
      </c>
      <c r="R240" s="27" t="s">
        <v>832</v>
      </c>
      <c r="S240" s="17" t="s">
        <v>88</v>
      </c>
    </row>
    <row r="241" customFormat="false" ht="15" hidden="false" customHeight="false" outlineLevel="0" collapsed="false">
      <c r="A241" s="17" t="s">
        <v>1416</v>
      </c>
      <c r="B241" s="17" t="s">
        <v>1417</v>
      </c>
      <c r="C241" s="17" t="s">
        <v>2506</v>
      </c>
      <c r="D241" s="17" t="s">
        <v>98</v>
      </c>
      <c r="E241" s="18" t="n">
        <v>73570</v>
      </c>
      <c r="F241" s="17" t="s">
        <v>821</v>
      </c>
      <c r="G241" s="23" t="n">
        <v>1.35837977436455</v>
      </c>
      <c r="H241" s="19" t="n">
        <v>54.7</v>
      </c>
      <c r="I241" s="17" t="n">
        <f aca="false">IF(H241="","",RANK(H241,$H$5:$H$525))</f>
        <v>237</v>
      </c>
      <c r="J241" s="24" t="n">
        <v>0.0460685340537466</v>
      </c>
      <c r="K241" s="19" t="n">
        <v>26</v>
      </c>
      <c r="L241" s="17" t="n">
        <f aca="false">IF(K241="","",RANK(K241,$K$5:$K$525))</f>
        <v>387</v>
      </c>
      <c r="M241" s="25" t="n">
        <v>0.0205150589262331</v>
      </c>
      <c r="N241" s="19" t="n">
        <v>14</v>
      </c>
      <c r="O241" s="17" t="n">
        <f aca="false">IF(N241="","",RANK(N241,$N$5:$N$525))</f>
        <v>449</v>
      </c>
      <c r="P241" s="17" t="str">
        <f aca="false">IF(AND(N(H241)&gt;=N(K241),N(H241)&gt;=N(N241)),"The Pulse",IF(N(K241)&gt;=N(N241),"The Lens","The Hub"))</f>
        <v>The Pulse</v>
      </c>
      <c r="Q241" s="21" t="s">
        <v>79</v>
      </c>
      <c r="R241" s="27" t="s">
        <v>832</v>
      </c>
      <c r="S241" s="17" t="s">
        <v>88</v>
      </c>
    </row>
    <row r="242" customFormat="false" ht="15" hidden="false" customHeight="false" outlineLevel="0" collapsed="false">
      <c r="A242" s="17" t="s">
        <v>2507</v>
      </c>
      <c r="B242" s="17" t="s">
        <v>2508</v>
      </c>
      <c r="C242" s="17" t="s">
        <v>2509</v>
      </c>
      <c r="D242" s="17" t="s">
        <v>91</v>
      </c>
      <c r="E242" s="18" t="n">
        <v>17210</v>
      </c>
      <c r="F242" s="17" t="s">
        <v>821</v>
      </c>
      <c r="G242" s="23" t="n">
        <v>1.35386403253922</v>
      </c>
      <c r="H242" s="19" t="n">
        <v>54.5</v>
      </c>
      <c r="I242" s="17" t="n">
        <f aca="false">IF(H242="","",RANK(H242,$H$5:$H$525))</f>
        <v>238</v>
      </c>
      <c r="J242" s="24" t="n">
        <v>0.0837531486146096</v>
      </c>
      <c r="K242" s="19" t="n">
        <v>42.5</v>
      </c>
      <c r="L242" s="17" t="n">
        <f aca="false">IF(K242="","",RANK(K242,$K$5:$K$525))</f>
        <v>300</v>
      </c>
      <c r="M242" s="25" t="n">
        <v>0.0939226519337017</v>
      </c>
      <c r="N242" s="19" t="n">
        <v>55.9</v>
      </c>
      <c r="O242" s="17" t="n">
        <f aca="false">IF(N242="","",RANK(N242,$N$5:$N$525))</f>
        <v>231</v>
      </c>
      <c r="P242" s="17" t="str">
        <f aca="false">IF(AND(N(H242)&gt;=N(K242),N(H242)&gt;=N(N242)),"The Pulse",IF(N(K242)&gt;=N(N242),"The Lens","The Hub"))</f>
        <v>The Hub</v>
      </c>
      <c r="Q242" s="20" t="s">
        <v>74</v>
      </c>
      <c r="R242" s="27" t="s">
        <v>832</v>
      </c>
      <c r="S242" s="17" t="s">
        <v>24</v>
      </c>
    </row>
    <row r="243" customFormat="false" ht="15" hidden="false" customHeight="false" outlineLevel="0" collapsed="false">
      <c r="A243" s="17" t="s">
        <v>629</v>
      </c>
      <c r="B243" s="17" t="s">
        <v>630</v>
      </c>
      <c r="C243" s="17" t="s">
        <v>2510</v>
      </c>
      <c r="D243" s="17" t="s">
        <v>77</v>
      </c>
      <c r="E243" s="18" t="n">
        <v>9051</v>
      </c>
      <c r="F243" s="17" t="s">
        <v>825</v>
      </c>
      <c r="G243" s="23" t="n">
        <v>1.35001657275439</v>
      </c>
      <c r="H243" s="19" t="n">
        <v>54.3</v>
      </c>
      <c r="I243" s="17" t="n">
        <f aca="false">IF(H243="","",RANK(H243,$H$5:$H$525))</f>
        <v>239</v>
      </c>
      <c r="J243" s="24" t="n">
        <v>-0.0198180636777128</v>
      </c>
      <c r="K243" s="19" t="n">
        <v>7.5</v>
      </c>
      <c r="L243" s="17" t="n">
        <f aca="false">IF(K243="","",RANK(K243,$K$5:$K$525))</f>
        <v>481</v>
      </c>
      <c r="M243" s="25" t="n">
        <v>0.0922087205146533</v>
      </c>
      <c r="N243" s="19" t="n">
        <v>54.7</v>
      </c>
      <c r="O243" s="17" t="n">
        <f aca="false">IF(N243="","",RANK(N243,$N$5:$N$525))</f>
        <v>237</v>
      </c>
      <c r="P243" s="17" t="str">
        <f aca="false">IF(AND(N(H243)&gt;=N(K243),N(H243)&gt;=N(N243)),"The Pulse",IF(N(K243)&gt;=N(N243),"The Lens","The Hub"))</f>
        <v>The Hub</v>
      </c>
      <c r="Q243" s="21" t="s">
        <v>79</v>
      </c>
      <c r="R243" s="26" t="s">
        <v>822</v>
      </c>
      <c r="S243" s="17" t="s">
        <v>22</v>
      </c>
    </row>
    <row r="244" customFormat="false" ht="15" hidden="false" customHeight="false" outlineLevel="0" collapsed="false">
      <c r="A244" s="17" t="s">
        <v>217</v>
      </c>
      <c r="B244" s="17" t="s">
        <v>218</v>
      </c>
      <c r="C244" s="17" t="s">
        <v>2511</v>
      </c>
      <c r="D244" s="17" t="s">
        <v>72</v>
      </c>
      <c r="E244" s="18" t="n">
        <v>3267</v>
      </c>
      <c r="F244" s="17" t="s">
        <v>825</v>
      </c>
      <c r="G244" s="23" t="n">
        <v>1.34986225895317</v>
      </c>
      <c r="H244" s="19" t="n">
        <v>54.1</v>
      </c>
      <c r="I244" s="17" t="n">
        <f aca="false">IF(H244="","",RANK(H244,$H$5:$H$525))</f>
        <v>240</v>
      </c>
      <c r="J244" s="24" t="n">
        <v>0.14822848879248</v>
      </c>
      <c r="K244" s="19" t="n">
        <v>68.8</v>
      </c>
      <c r="L244" s="17" t="n">
        <f aca="false">IF(K244="","",RANK(K244,$K$5:$K$525))</f>
        <v>163</v>
      </c>
      <c r="M244" s="25" t="n">
        <v>0.0549450549450549</v>
      </c>
      <c r="N244" s="19" t="n">
        <v>34.8</v>
      </c>
      <c r="O244" s="17" t="n">
        <f aca="false">IF(N244="","",RANK(N244,$N$5:$N$525))</f>
        <v>340</v>
      </c>
      <c r="P244" s="17" t="str">
        <f aca="false">IF(AND(N(H244)&gt;=N(K244),N(H244)&gt;=N(N244)),"The Pulse",IF(N(K244)&gt;=N(N244),"The Lens","The Hub"))</f>
        <v>The Lens</v>
      </c>
      <c r="Q244" s="22" t="s">
        <v>109</v>
      </c>
      <c r="R244" s="26" t="s">
        <v>822</v>
      </c>
      <c r="S244" s="17" t="s">
        <v>110</v>
      </c>
    </row>
    <row r="245" customFormat="false" ht="15" hidden="false" customHeight="false" outlineLevel="0" collapsed="false">
      <c r="A245" s="17" t="s">
        <v>1538</v>
      </c>
      <c r="B245" s="17" t="s">
        <v>1539</v>
      </c>
      <c r="C245" s="17" t="s">
        <v>2512</v>
      </c>
      <c r="D245" s="17" t="s">
        <v>72</v>
      </c>
      <c r="E245" s="18" t="n">
        <v>37490</v>
      </c>
      <c r="F245" s="17" t="s">
        <v>821</v>
      </c>
      <c r="G245" s="23" t="n">
        <v>1.34891971192318</v>
      </c>
      <c r="H245" s="19" t="n">
        <v>54</v>
      </c>
      <c r="I245" s="17" t="n">
        <f aca="false">IF(H245="","",RANK(H245,$H$5:$H$525))</f>
        <v>241</v>
      </c>
      <c r="J245" s="24" t="n">
        <v>0.0638479001135074</v>
      </c>
      <c r="K245" s="19" t="n">
        <v>34.4</v>
      </c>
      <c r="L245" s="17" t="n">
        <f aca="false">IF(K245="","",RANK(K245,$K$5:$K$525))</f>
        <v>343</v>
      </c>
      <c r="M245" s="25" t="n">
        <v>0.00115008625646924</v>
      </c>
      <c r="N245" s="19" t="n">
        <v>2.3</v>
      </c>
      <c r="O245" s="17" t="n">
        <f aca="false">IF(N245="","",RANK(N245,$N$5:$N$525))</f>
        <v>510</v>
      </c>
      <c r="P245" s="17" t="str">
        <f aca="false">IF(AND(N(H245)&gt;=N(K245),N(H245)&gt;=N(N245)),"The Pulse",IF(N(K245)&gt;=N(N245),"The Lens","The Hub"))</f>
        <v>The Pulse</v>
      </c>
      <c r="Q245" s="21" t="s">
        <v>79</v>
      </c>
      <c r="R245" s="27" t="s">
        <v>832</v>
      </c>
      <c r="S245" s="17" t="s">
        <v>88</v>
      </c>
    </row>
    <row r="246" customFormat="false" ht="15" hidden="false" customHeight="false" outlineLevel="0" collapsed="false">
      <c r="A246" s="17" t="s">
        <v>417</v>
      </c>
      <c r="B246" s="17" t="s">
        <v>418</v>
      </c>
      <c r="C246" s="17" t="s">
        <v>2513</v>
      </c>
      <c r="D246" s="17" t="s">
        <v>72</v>
      </c>
      <c r="E246" s="18" t="n">
        <v>587840</v>
      </c>
      <c r="F246" s="17" t="s">
        <v>827</v>
      </c>
      <c r="G246" s="23" t="n">
        <v>1.34153000816549</v>
      </c>
      <c r="H246" s="19" t="n">
        <v>53.8</v>
      </c>
      <c r="I246" s="17" t="n">
        <f aca="false">IF(H246="","",RANK(H246,$H$5:$H$525))</f>
        <v>242</v>
      </c>
      <c r="J246" s="24" t="n">
        <v>-0.00898561963686633</v>
      </c>
      <c r="K246" s="19" t="n">
        <v>10.6</v>
      </c>
      <c r="L246" s="17" t="n">
        <f aca="false">IF(K246="","",RANK(K246,$K$5:$K$525))</f>
        <v>467</v>
      </c>
      <c r="M246" s="25" t="n">
        <v>0.0663210516571005</v>
      </c>
      <c r="N246" s="19" t="n">
        <v>42.8</v>
      </c>
      <c r="O246" s="17" t="n">
        <f aca="false">IF(N246="","",RANK(N246,$N$5:$N$525))</f>
        <v>297</v>
      </c>
      <c r="P246" s="17" t="str">
        <f aca="false">IF(AND(N(H246)&gt;=N(K246),N(H246)&gt;=N(N246)),"The Pulse",IF(N(K246)&gt;=N(N246),"The Lens","The Hub"))</f>
        <v>The Pulse</v>
      </c>
      <c r="Q246" s="20" t="s">
        <v>74</v>
      </c>
      <c r="R246" s="26" t="s">
        <v>822</v>
      </c>
      <c r="S246" s="17" t="s">
        <v>24</v>
      </c>
    </row>
    <row r="247" customFormat="false" ht="15" hidden="false" customHeight="false" outlineLevel="0" collapsed="false">
      <c r="A247" s="17" t="s">
        <v>433</v>
      </c>
      <c r="B247" s="17" t="s">
        <v>434</v>
      </c>
      <c r="C247" s="17" t="s">
        <v>2514</v>
      </c>
      <c r="D247" s="17" t="s">
        <v>86</v>
      </c>
      <c r="E247" s="18" t="n">
        <v>64305</v>
      </c>
      <c r="F247" s="17" t="s">
        <v>821</v>
      </c>
      <c r="G247" s="23" t="n">
        <v>1.33818521110334</v>
      </c>
      <c r="H247" s="19" t="n">
        <v>53.4</v>
      </c>
      <c r="I247" s="17" t="n">
        <f aca="false">IF(H247="","",RANK(H247,$H$5:$H$525))</f>
        <v>243</v>
      </c>
      <c r="J247" s="24" t="n">
        <v>0.0189029027760172</v>
      </c>
      <c r="K247" s="19" t="n">
        <v>15.6</v>
      </c>
      <c r="L247" s="17" t="n">
        <f aca="false">IF(K247="","",RANK(K247,$K$5:$K$525))</f>
        <v>442</v>
      </c>
      <c r="M247" s="25" t="n">
        <v>0.0268033109972408</v>
      </c>
      <c r="N247" s="19" t="n">
        <v>17.2</v>
      </c>
      <c r="O247" s="17" t="n">
        <f aca="false">IF(N247="","",RANK(N247,$N$5:$N$525))</f>
        <v>433</v>
      </c>
      <c r="P247" s="17" t="str">
        <f aca="false">IF(AND(N(H247)&gt;=N(K247),N(H247)&gt;=N(N247)),"The Pulse",IF(N(K247)&gt;=N(N247),"The Lens","The Hub"))</f>
        <v>The Pulse</v>
      </c>
      <c r="Q247" s="21" t="s">
        <v>79</v>
      </c>
      <c r="R247" s="26" t="s">
        <v>822</v>
      </c>
      <c r="S247" s="17" t="s">
        <v>22</v>
      </c>
    </row>
    <row r="248" customFormat="false" ht="15" hidden="false" customHeight="false" outlineLevel="0" collapsed="false">
      <c r="A248" s="17" t="s">
        <v>1593</v>
      </c>
      <c r="B248" s="17" t="s">
        <v>1594</v>
      </c>
      <c r="C248" s="17" t="s">
        <v>2515</v>
      </c>
      <c r="D248" s="17" t="s">
        <v>162</v>
      </c>
      <c r="E248" s="18" t="n">
        <v>12780</v>
      </c>
      <c r="F248" s="17" t="s">
        <v>821</v>
      </c>
      <c r="G248" s="23" t="n">
        <v>1.32816901408451</v>
      </c>
      <c r="H248" s="19" t="n">
        <v>53.3</v>
      </c>
      <c r="I248" s="17" t="n">
        <f aca="false">IF(H248="","",RANK(H248,$H$5:$H$525))</f>
        <v>244</v>
      </c>
      <c r="J248" s="24" t="n">
        <v>0.109375</v>
      </c>
      <c r="K248" s="19" t="n">
        <v>57.8</v>
      </c>
      <c r="L248" s="17" t="n">
        <f aca="false">IF(K248="","",RANK(K248,$K$5:$K$525))</f>
        <v>219</v>
      </c>
      <c r="M248" s="25" t="n">
        <v>0.0356359649122807</v>
      </c>
      <c r="N248" s="19" t="n">
        <v>23.1</v>
      </c>
      <c r="O248" s="17" t="n">
        <f aca="false">IF(N248="","",RANK(N248,$N$5:$N$525))</f>
        <v>403</v>
      </c>
      <c r="P248" s="17" t="str">
        <f aca="false">IF(AND(N(H248)&gt;=N(K248),N(H248)&gt;=N(N248)),"The Pulse",IF(N(K248)&gt;=N(N248),"The Lens","The Hub"))</f>
        <v>The Lens</v>
      </c>
      <c r="Q248" s="20" t="s">
        <v>74</v>
      </c>
      <c r="R248" s="27" t="s">
        <v>832</v>
      </c>
      <c r="S248" s="17" t="s">
        <v>24</v>
      </c>
    </row>
    <row r="249" customFormat="false" ht="15" hidden="false" customHeight="false" outlineLevel="0" collapsed="false">
      <c r="A249" s="17" t="s">
        <v>325</v>
      </c>
      <c r="B249" s="17" t="s">
        <v>326</v>
      </c>
      <c r="C249" s="17" t="s">
        <v>2516</v>
      </c>
      <c r="D249" s="17" t="s">
        <v>95</v>
      </c>
      <c r="E249" s="18" t="n">
        <v>88928</v>
      </c>
      <c r="F249" s="17" t="s">
        <v>821</v>
      </c>
      <c r="G249" s="23" t="n">
        <v>1.32584787693415</v>
      </c>
      <c r="H249" s="19" t="n">
        <v>53.1</v>
      </c>
      <c r="I249" s="17" t="n">
        <f aca="false">IF(H249="","",RANK(H249,$H$5:$H$525))</f>
        <v>245</v>
      </c>
      <c r="J249" s="24" t="n">
        <v>0.10730917693936</v>
      </c>
      <c r="K249" s="19" t="n">
        <v>56.2</v>
      </c>
      <c r="L249" s="17" t="n">
        <f aca="false">IF(K249="","",RANK(K249,$K$5:$K$525))</f>
        <v>228</v>
      </c>
      <c r="M249" s="25" t="n">
        <v>0.0703132972752322</v>
      </c>
      <c r="N249" s="19" t="n">
        <v>44.6</v>
      </c>
      <c r="O249" s="17" t="n">
        <f aca="false">IF(N249="","",RANK(N249,$N$5:$N$525))</f>
        <v>288</v>
      </c>
      <c r="P249" s="17" t="str">
        <f aca="false">IF(AND(N(H249)&gt;=N(K249),N(H249)&gt;=N(N249)),"The Pulse",IF(N(K249)&gt;=N(N249),"The Lens","The Hub"))</f>
        <v>The Lens</v>
      </c>
      <c r="Q249" s="21" t="s">
        <v>79</v>
      </c>
      <c r="R249" s="26" t="s">
        <v>822</v>
      </c>
      <c r="S249" s="17" t="s">
        <v>22</v>
      </c>
    </row>
    <row r="250" customFormat="false" ht="15" hidden="false" customHeight="false" outlineLevel="0" collapsed="false">
      <c r="A250" s="17" t="s">
        <v>939</v>
      </c>
      <c r="B250" s="17" t="s">
        <v>940</v>
      </c>
      <c r="C250" s="17" t="s">
        <v>2517</v>
      </c>
      <c r="D250" s="17" t="s">
        <v>72</v>
      </c>
      <c r="E250" s="18" t="n">
        <v>117820</v>
      </c>
      <c r="F250" s="17" t="s">
        <v>827</v>
      </c>
      <c r="G250" s="23" t="n">
        <v>1.32100662026821</v>
      </c>
      <c r="H250" s="19" t="n">
        <v>52.9</v>
      </c>
      <c r="I250" s="17" t="n">
        <f aca="false">IF(H250="","",RANK(H250,$H$5:$H$525))</f>
        <v>246</v>
      </c>
      <c r="J250" s="24" t="n">
        <v>0.0421015390058376</v>
      </c>
      <c r="K250" s="19" t="n">
        <v>27.3</v>
      </c>
      <c r="L250" s="17" t="n">
        <f aca="false">IF(K250="","",RANK(K250,$K$5:$K$525))</f>
        <v>381</v>
      </c>
      <c r="M250" s="25" t="n">
        <v>0.00836187789643361</v>
      </c>
      <c r="N250" s="19" t="n">
        <v>5.9</v>
      </c>
      <c r="O250" s="17" t="n">
        <f aca="false">IF(N250="","",RANK(N250,$N$5:$N$525))</f>
        <v>491</v>
      </c>
      <c r="P250" s="17" t="str">
        <f aca="false">IF(AND(N(H250)&gt;=N(K250),N(H250)&gt;=N(N250)),"The Pulse",IF(N(K250)&gt;=N(N250),"The Lens","The Hub"))</f>
        <v>The Pulse</v>
      </c>
      <c r="Q250" s="20" t="s">
        <v>74</v>
      </c>
      <c r="R250" s="27" t="s">
        <v>832</v>
      </c>
      <c r="S250" s="17" t="s">
        <v>24</v>
      </c>
    </row>
    <row r="251" customFormat="false" ht="15" hidden="false" customHeight="false" outlineLevel="0" collapsed="false">
      <c r="A251" s="17" t="s">
        <v>2518</v>
      </c>
      <c r="B251" s="17" t="s">
        <v>2519</v>
      </c>
      <c r="C251" s="17" t="s">
        <v>2520</v>
      </c>
      <c r="D251" s="17" t="s">
        <v>77</v>
      </c>
      <c r="E251" s="18" t="n">
        <v>32016</v>
      </c>
      <c r="F251" s="17" t="s">
        <v>821</v>
      </c>
      <c r="G251" s="23" t="n">
        <v>1.3164980009995</v>
      </c>
      <c r="H251" s="19" t="n">
        <v>52.7</v>
      </c>
      <c r="I251" s="17" t="n">
        <f aca="false">IF(H251="","",RANK(H251,$H$5:$H$525))</f>
        <v>247</v>
      </c>
      <c r="J251" s="24" t="n">
        <v>0.0804900273362357</v>
      </c>
      <c r="K251" s="19" t="n">
        <v>40.9</v>
      </c>
      <c r="L251" s="17" t="n">
        <f aca="false">IF(K251="","",RANK(K251,$K$5:$K$525))</f>
        <v>310</v>
      </c>
      <c r="M251" s="25" t="n">
        <v>0.125967628430683</v>
      </c>
      <c r="N251" s="19" t="n">
        <v>67</v>
      </c>
      <c r="O251" s="17" t="n">
        <f aca="false">IF(N251="","",RANK(N251,$N$5:$N$525))</f>
        <v>170</v>
      </c>
      <c r="P251" s="17" t="str">
        <f aca="false">IF(AND(N(H251)&gt;=N(K251),N(H251)&gt;=N(N251)),"The Pulse",IF(N(K251)&gt;=N(N251),"The Lens","The Hub"))</f>
        <v>The Hub</v>
      </c>
      <c r="Q251" s="21" t="s">
        <v>79</v>
      </c>
      <c r="R251" s="27" t="s">
        <v>832</v>
      </c>
      <c r="S251" s="17" t="s">
        <v>22</v>
      </c>
    </row>
    <row r="252" customFormat="false" ht="15" hidden="false" customHeight="false" outlineLevel="0" collapsed="false">
      <c r="A252" s="17" t="s">
        <v>709</v>
      </c>
      <c r="B252" s="17" t="s">
        <v>710</v>
      </c>
      <c r="C252" s="17" t="s">
        <v>2521</v>
      </c>
      <c r="D252" s="17" t="s">
        <v>123</v>
      </c>
      <c r="E252" s="18" t="n">
        <v>42090</v>
      </c>
      <c r="F252" s="17" t="s">
        <v>821</v>
      </c>
      <c r="G252" s="23" t="n">
        <v>1.31494416726063</v>
      </c>
      <c r="H252" s="19" t="n">
        <v>52.6</v>
      </c>
      <c r="I252" s="17" t="n">
        <f aca="false">IF(H252="","",RANK(H252,$H$5:$H$525))</f>
        <v>248</v>
      </c>
      <c r="J252" s="24" t="n">
        <v>0.0935307872174591</v>
      </c>
      <c r="K252" s="19" t="n">
        <v>48.7</v>
      </c>
      <c r="L252" s="17" t="n">
        <f aca="false">IF(K252="","",RANK(K252,$K$5:$K$525))</f>
        <v>269</v>
      </c>
      <c r="M252" s="25" t="n">
        <v>0.280609563846558</v>
      </c>
      <c r="N252" s="19" t="n">
        <v>95.9</v>
      </c>
      <c r="O252" s="17" t="n">
        <f aca="false">IF(N252="","",RANK(N252,$N$5:$N$525))</f>
        <v>21</v>
      </c>
      <c r="P252" s="17" t="str">
        <f aca="false">IF(AND(N(H252)&gt;=N(K252),N(H252)&gt;=N(N252)),"The Pulse",IF(N(K252)&gt;=N(N252),"The Lens","The Hub"))</f>
        <v>The Hub</v>
      </c>
      <c r="Q252" s="20" t="s">
        <v>74</v>
      </c>
      <c r="R252" s="26" t="s">
        <v>822</v>
      </c>
      <c r="S252" s="17" t="s">
        <v>24</v>
      </c>
    </row>
    <row r="253" customFormat="false" ht="15" hidden="false" customHeight="false" outlineLevel="0" collapsed="false">
      <c r="A253" s="17" t="s">
        <v>689</v>
      </c>
      <c r="B253" s="17" t="s">
        <v>690</v>
      </c>
      <c r="C253" s="17" t="s">
        <v>2522</v>
      </c>
      <c r="D253" s="17" t="s">
        <v>82</v>
      </c>
      <c r="E253" s="18" t="n">
        <v>216530</v>
      </c>
      <c r="F253" s="17" t="s">
        <v>827</v>
      </c>
      <c r="G253" s="23" t="n">
        <v>1.30709370526024</v>
      </c>
      <c r="H253" s="19" t="n">
        <v>52.4</v>
      </c>
      <c r="I253" s="17" t="n">
        <f aca="false">IF(H253="","",RANK(H253,$H$5:$H$525))</f>
        <v>249</v>
      </c>
      <c r="J253" s="24" t="n">
        <v>0.0479117262740164</v>
      </c>
      <c r="K253" s="19" t="n">
        <v>29.8</v>
      </c>
      <c r="L253" s="17" t="n">
        <f aca="false">IF(K253="","",RANK(K253,$K$5:$K$525))</f>
        <v>367</v>
      </c>
      <c r="M253" s="25" t="n">
        <v>0.279722797227972</v>
      </c>
      <c r="N253" s="19" t="n">
        <v>95.7</v>
      </c>
      <c r="O253" s="17" t="n">
        <f aca="false">IF(N253="","",RANK(N253,$N$5:$N$525))</f>
        <v>22</v>
      </c>
      <c r="P253" s="17" t="str">
        <f aca="false">IF(AND(N(H253)&gt;=N(K253),N(H253)&gt;=N(N253)),"The Pulse",IF(N(K253)&gt;=N(N253),"The Lens","The Hub"))</f>
        <v>The Hub</v>
      </c>
      <c r="Q253" s="20" t="s">
        <v>74</v>
      </c>
      <c r="R253" s="26" t="s">
        <v>822</v>
      </c>
      <c r="S253" s="17" t="s">
        <v>24</v>
      </c>
    </row>
    <row r="254" customFormat="false" ht="15" hidden="false" customHeight="false" outlineLevel="0" collapsed="false">
      <c r="A254" s="17" t="s">
        <v>1382</v>
      </c>
      <c r="B254" s="17" t="s">
        <v>1383</v>
      </c>
      <c r="C254" s="17" t="s">
        <v>2523</v>
      </c>
      <c r="D254" s="17" t="s">
        <v>115</v>
      </c>
      <c r="E254" s="18" t="n">
        <v>37466</v>
      </c>
      <c r="F254" s="17" t="s">
        <v>821</v>
      </c>
      <c r="G254" s="23" t="n">
        <v>1.29600170821545</v>
      </c>
      <c r="H254" s="19" t="n">
        <v>52.2</v>
      </c>
      <c r="I254" s="17" t="n">
        <f aca="false">IF(H254="","",RANK(H254,$H$5:$H$525))</f>
        <v>250</v>
      </c>
      <c r="J254" s="24" t="n">
        <v>-0.0185466547912192</v>
      </c>
      <c r="K254" s="19" t="n">
        <v>5.8</v>
      </c>
      <c r="L254" s="17" t="n">
        <f aca="false">IF(K254="","",RANK(K254,$K$5:$K$525))</f>
        <v>492</v>
      </c>
      <c r="M254" s="25" t="n">
        <v>0.100211416490486</v>
      </c>
      <c r="N254" s="19" t="n">
        <v>59</v>
      </c>
      <c r="O254" s="17" t="n">
        <f aca="false">IF(N254="","",RANK(N254,$N$5:$N$525))</f>
        <v>214</v>
      </c>
      <c r="P254" s="17" t="str">
        <f aca="false">IF(AND(N(H254)&gt;=N(K254),N(H254)&gt;=N(N254)),"The Pulse",IF(N(K254)&gt;=N(N254),"The Lens","The Hub"))</f>
        <v>The Hub</v>
      </c>
      <c r="Q254" s="21" t="s">
        <v>79</v>
      </c>
      <c r="R254" s="27" t="s">
        <v>832</v>
      </c>
      <c r="S254" s="17" t="s">
        <v>22</v>
      </c>
    </row>
    <row r="255" customFormat="false" ht="15" hidden="false" customHeight="false" outlineLevel="0" collapsed="false">
      <c r="A255" s="17" t="s">
        <v>2524</v>
      </c>
      <c r="B255" s="17" t="s">
        <v>2525</v>
      </c>
      <c r="C255" s="17" t="s">
        <v>2526</v>
      </c>
      <c r="D255" s="17" t="s">
        <v>98</v>
      </c>
      <c r="E255" s="18" t="n">
        <v>90367</v>
      </c>
      <c r="F255" s="17" t="s">
        <v>821</v>
      </c>
      <c r="G255" s="23" t="n">
        <v>1.29078092666571</v>
      </c>
      <c r="H255" s="19" t="n">
        <v>52</v>
      </c>
      <c r="I255" s="17" t="n">
        <f aca="false">IF(H255="","",RANK(H255,$H$5:$H$525))</f>
        <v>251</v>
      </c>
      <c r="J255" s="24" t="n">
        <v>0.0355231645410063</v>
      </c>
      <c r="K255" s="19" t="n">
        <v>22.1</v>
      </c>
      <c r="L255" s="17" t="n">
        <f aca="false">IF(K255="","",RANK(K255,$K$5:$K$525))</f>
        <v>408</v>
      </c>
      <c r="M255" s="25" t="n">
        <v>0</v>
      </c>
      <c r="N255" s="19" t="n">
        <v>0.9</v>
      </c>
      <c r="O255" s="17" t="n">
        <f aca="false">IF(N255="","",RANK(N255,$N$5:$N$525))</f>
        <v>514</v>
      </c>
      <c r="P255" s="17" t="str">
        <f aca="false">IF(AND(N(H255)&gt;=N(K255),N(H255)&gt;=N(N255)),"The Pulse",IF(N(K255)&gt;=N(N255),"The Lens","The Hub"))</f>
        <v>The Pulse</v>
      </c>
      <c r="Q255" s="21" t="s">
        <v>79</v>
      </c>
      <c r="R255" s="27" t="s">
        <v>832</v>
      </c>
      <c r="S255" s="17" t="s">
        <v>22</v>
      </c>
    </row>
    <row r="256" customFormat="false" ht="15" hidden="false" customHeight="false" outlineLevel="0" collapsed="false">
      <c r="A256" s="17" t="s">
        <v>1719</v>
      </c>
      <c r="B256" s="17" t="s">
        <v>1720</v>
      </c>
      <c r="C256" s="17" t="s">
        <v>2527</v>
      </c>
      <c r="D256" s="17" t="s">
        <v>95</v>
      </c>
      <c r="E256" s="18" t="n">
        <v>7700</v>
      </c>
      <c r="F256" s="17" t="s">
        <v>825</v>
      </c>
      <c r="G256" s="23" t="n">
        <v>1.28818181818182</v>
      </c>
      <c r="H256" s="19" t="n">
        <v>51.9</v>
      </c>
      <c r="I256" s="17" t="n">
        <f aca="false">IF(H256="","",RANK(H256,$H$5:$H$525))</f>
        <v>252</v>
      </c>
      <c r="J256" s="24" t="n">
        <v>0.193798449612403</v>
      </c>
      <c r="K256" s="19" t="n">
        <v>86.2</v>
      </c>
      <c r="L256" s="17" t="n">
        <f aca="false">IF(K256="","",RANK(K256,$K$5:$K$525))</f>
        <v>75</v>
      </c>
      <c r="M256" s="25" t="n">
        <v>0.0653753026634383</v>
      </c>
      <c r="N256" s="19" t="n">
        <v>42.1</v>
      </c>
      <c r="O256" s="17" t="n">
        <f aca="false">IF(N256="","",RANK(N256,$N$5:$N$525))</f>
        <v>301</v>
      </c>
      <c r="P256" s="17" t="str">
        <f aca="false">IF(AND(N(H256)&gt;=N(K256),N(H256)&gt;=N(N256)),"The Pulse",IF(N(K256)&gt;=N(N256),"The Lens","The Hub"))</f>
        <v>The Lens</v>
      </c>
      <c r="Q256" s="20" t="s">
        <v>74</v>
      </c>
      <c r="R256" s="27" t="s">
        <v>832</v>
      </c>
      <c r="S256" s="17" t="s">
        <v>24</v>
      </c>
    </row>
    <row r="257" customFormat="false" ht="15" hidden="false" customHeight="false" outlineLevel="0" collapsed="false">
      <c r="A257" s="17" t="s">
        <v>2528</v>
      </c>
      <c r="B257" s="17" t="s">
        <v>2529</v>
      </c>
      <c r="C257" s="17" t="s">
        <v>2530</v>
      </c>
      <c r="D257" s="17" t="s">
        <v>82</v>
      </c>
      <c r="E257" s="18" t="n">
        <v>39990</v>
      </c>
      <c r="F257" s="17" t="s">
        <v>821</v>
      </c>
      <c r="G257" s="23" t="n">
        <v>1.28387096774194</v>
      </c>
      <c r="H257" s="19" t="n">
        <v>51.7</v>
      </c>
      <c r="I257" s="17" t="n">
        <f aca="false">IF(H257="","",RANK(H257,$H$5:$H$525))</f>
        <v>253</v>
      </c>
      <c r="J257" s="24" t="n">
        <v>0.219579139981702</v>
      </c>
      <c r="K257" s="19" t="n">
        <v>94.2</v>
      </c>
      <c r="L257" s="17" t="n">
        <f aca="false">IF(K257="","",RANK(K257,$K$5:$K$525))</f>
        <v>35</v>
      </c>
      <c r="M257" s="25" t="n">
        <v>0.0369265199552406</v>
      </c>
      <c r="N257" s="19" t="n">
        <v>24</v>
      </c>
      <c r="O257" s="17" t="n">
        <f aca="false">IF(N257="","",RANK(N257,$N$5:$N$525))</f>
        <v>398</v>
      </c>
      <c r="P257" s="17" t="str">
        <f aca="false">IF(AND(N(H257)&gt;=N(K257),N(H257)&gt;=N(N257)),"The Pulse",IF(N(K257)&gt;=N(N257),"The Lens","The Hub"))</f>
        <v>The Lens</v>
      </c>
      <c r="Q257" s="20" t="s">
        <v>74</v>
      </c>
      <c r="R257" s="27" t="s">
        <v>832</v>
      </c>
      <c r="S257" s="17" t="s">
        <v>24</v>
      </c>
    </row>
    <row r="258" customFormat="false" ht="15" hidden="false" customHeight="false" outlineLevel="0" collapsed="false">
      <c r="A258" s="17" t="s">
        <v>1974</v>
      </c>
      <c r="B258" s="17" t="s">
        <v>1975</v>
      </c>
      <c r="C258" s="17" t="s">
        <v>2531</v>
      </c>
      <c r="D258" s="17" t="s">
        <v>115</v>
      </c>
      <c r="E258" s="18" t="n">
        <v>14870</v>
      </c>
      <c r="F258" s="17" t="s">
        <v>821</v>
      </c>
      <c r="G258" s="23" t="n">
        <v>1.28292715408177</v>
      </c>
      <c r="H258" s="19" t="n">
        <v>51.5</v>
      </c>
      <c r="I258" s="17" t="n">
        <f aca="false">IF(H258="","",RANK(H258,$H$5:$H$525))</f>
        <v>254</v>
      </c>
      <c r="J258" s="24" t="n">
        <v>0.25273799494524</v>
      </c>
      <c r="K258" s="19" t="n">
        <v>98.4</v>
      </c>
      <c r="L258" s="17" t="n">
        <f aca="false">IF(K258="","",RANK(K258,$K$5:$K$525))</f>
        <v>12</v>
      </c>
      <c r="M258" s="25" t="n">
        <v>0.125739644970414</v>
      </c>
      <c r="N258" s="19" t="n">
        <v>66.8</v>
      </c>
      <c r="O258" s="17" t="n">
        <f aca="false">IF(N258="","",RANK(N258,$N$5:$N$525))</f>
        <v>171</v>
      </c>
      <c r="P258" s="17" t="str">
        <f aca="false">IF(AND(N(H258)&gt;=N(K258),N(H258)&gt;=N(N258)),"The Pulse",IF(N(K258)&gt;=N(N258),"The Lens","The Hub"))</f>
        <v>The Lens</v>
      </c>
      <c r="Q258" s="21" t="s">
        <v>79</v>
      </c>
      <c r="R258" s="27" t="s">
        <v>832</v>
      </c>
      <c r="S258" s="17" t="s">
        <v>88</v>
      </c>
    </row>
    <row r="259" customFormat="false" ht="15" hidden="false" customHeight="false" outlineLevel="0" collapsed="false">
      <c r="A259" s="17" t="s">
        <v>427</v>
      </c>
      <c r="B259" s="17" t="s">
        <v>428</v>
      </c>
      <c r="C259" s="17" t="s">
        <v>2532</v>
      </c>
      <c r="D259" s="17" t="s">
        <v>95</v>
      </c>
      <c r="E259" s="18" t="n">
        <v>60094</v>
      </c>
      <c r="F259" s="17" t="s">
        <v>821</v>
      </c>
      <c r="G259" s="23" t="n">
        <v>1.28197490598063</v>
      </c>
      <c r="H259" s="19" t="n">
        <v>51.3</v>
      </c>
      <c r="I259" s="17" t="n">
        <f aca="false">IF(H259="","",RANK(H259,$H$5:$H$525))</f>
        <v>255</v>
      </c>
      <c r="J259" s="24" t="n">
        <v>0.130734203891168</v>
      </c>
      <c r="K259" s="19" t="n">
        <v>68.5</v>
      </c>
      <c r="L259" s="17" t="n">
        <f aca="false">IF(K259="","",RANK(K259,$K$5:$K$525))</f>
        <v>165</v>
      </c>
      <c r="M259" s="25" t="n">
        <v>0.014917695473251</v>
      </c>
      <c r="N259" s="19" t="n">
        <v>9.9</v>
      </c>
      <c r="O259" s="17" t="n">
        <f aca="false">IF(N259="","",RANK(N259,$N$5:$N$525))</f>
        <v>471</v>
      </c>
      <c r="P259" s="17" t="str">
        <f aca="false">IF(AND(N(H259)&gt;=N(K259),N(H259)&gt;=N(N259)),"The Pulse",IF(N(K259)&gt;=N(N259),"The Lens","The Hub"))</f>
        <v>The Lens</v>
      </c>
      <c r="Q259" s="21" t="s">
        <v>79</v>
      </c>
      <c r="R259" s="26" t="s">
        <v>822</v>
      </c>
      <c r="S259" s="17" t="s">
        <v>22</v>
      </c>
    </row>
    <row r="260" customFormat="false" ht="15" hidden="false" customHeight="false" outlineLevel="0" collapsed="false">
      <c r="A260" s="17" t="s">
        <v>2110</v>
      </c>
      <c r="B260" s="17" t="s">
        <v>2111</v>
      </c>
      <c r="C260" s="17" t="s">
        <v>2533</v>
      </c>
      <c r="D260" s="17" t="s">
        <v>77</v>
      </c>
      <c r="E260" s="18" t="n">
        <v>20091</v>
      </c>
      <c r="F260" s="17" t="s">
        <v>821</v>
      </c>
      <c r="G260" s="23" t="n">
        <v>1.27504852919218</v>
      </c>
      <c r="H260" s="19" t="n">
        <v>51.1</v>
      </c>
      <c r="I260" s="17" t="n">
        <f aca="false">IF(H260="","",RANK(H260,$H$5:$H$525))</f>
        <v>256</v>
      </c>
      <c r="J260" s="24" t="n">
        <v>0.0712343375099973</v>
      </c>
      <c r="K260" s="19" t="n">
        <v>36.4</v>
      </c>
      <c r="L260" s="17" t="n">
        <f aca="false">IF(K260="","",RANK(K260,$K$5:$K$525))</f>
        <v>332</v>
      </c>
      <c r="M260" s="25" t="n">
        <v>0.0354552780016116</v>
      </c>
      <c r="N260" s="19" t="n">
        <v>22.9</v>
      </c>
      <c r="O260" s="17" t="n">
        <f aca="false">IF(N260="","",RANK(N260,$N$5:$N$525))</f>
        <v>404</v>
      </c>
      <c r="P260" s="17" t="str">
        <f aca="false">IF(AND(N(H260)&gt;=N(K260),N(H260)&gt;=N(N260)),"The Pulse",IF(N(K260)&gt;=N(N260),"The Lens","The Hub"))</f>
        <v>The Pulse</v>
      </c>
      <c r="Q260" s="21" t="s">
        <v>79</v>
      </c>
      <c r="R260" s="27" t="s">
        <v>832</v>
      </c>
      <c r="S260" s="17" t="s">
        <v>22</v>
      </c>
    </row>
    <row r="261" customFormat="false" ht="15" hidden="false" customHeight="false" outlineLevel="0" collapsed="false">
      <c r="A261" s="17" t="s">
        <v>465</v>
      </c>
      <c r="B261" s="17" t="s">
        <v>466</v>
      </c>
      <c r="C261" s="17" t="s">
        <v>2534</v>
      </c>
      <c r="D261" s="17" t="s">
        <v>115</v>
      </c>
      <c r="E261" s="18" t="n">
        <v>36571</v>
      </c>
      <c r="F261" s="17" t="s">
        <v>821</v>
      </c>
      <c r="G261" s="23" t="n">
        <v>1.27382352136939</v>
      </c>
      <c r="H261" s="19" t="n">
        <v>51</v>
      </c>
      <c r="I261" s="17" t="n">
        <f aca="false">IF(H261="","",RANK(H261,$H$5:$H$525))</f>
        <v>257</v>
      </c>
      <c r="J261" s="24" t="n">
        <v>0.109321442654776</v>
      </c>
      <c r="K261" s="19" t="n">
        <v>57.5</v>
      </c>
      <c r="L261" s="17" t="n">
        <f aca="false">IF(K261="","",RANK(K261,$K$5:$K$525))</f>
        <v>221</v>
      </c>
      <c r="M261" s="25" t="n">
        <v>0.0472727272727273</v>
      </c>
      <c r="N261" s="19" t="n">
        <v>30.8</v>
      </c>
      <c r="O261" s="17" t="n">
        <f aca="false">IF(N261="","",RANK(N261,$N$5:$N$525))</f>
        <v>361</v>
      </c>
      <c r="P261" s="17" t="str">
        <f aca="false">IF(AND(N(H261)&gt;=N(K261),N(H261)&gt;=N(N261)),"The Pulse",IF(N(K261)&gt;=N(N261),"The Lens","The Hub"))</f>
        <v>The Lens</v>
      </c>
      <c r="Q261" s="21" t="s">
        <v>79</v>
      </c>
      <c r="R261" s="26" t="s">
        <v>822</v>
      </c>
      <c r="S261" s="17" t="s">
        <v>22</v>
      </c>
    </row>
    <row r="262" customFormat="false" ht="15" hidden="false" customHeight="false" outlineLevel="0" collapsed="false">
      <c r="A262" s="17" t="s">
        <v>2535</v>
      </c>
      <c r="B262" s="17" t="s">
        <v>2536</v>
      </c>
      <c r="C262" s="17" t="s">
        <v>2537</v>
      </c>
      <c r="D262" s="17" t="s">
        <v>123</v>
      </c>
      <c r="E262" s="18" t="n">
        <v>53583</v>
      </c>
      <c r="F262" s="17" t="s">
        <v>821</v>
      </c>
      <c r="G262" s="23" t="n">
        <v>1.26077300636396</v>
      </c>
      <c r="H262" s="19" t="n">
        <v>50.8</v>
      </c>
      <c r="I262" s="17" t="n">
        <f aca="false">IF(H262="","",RANK(H262,$H$5:$H$525))</f>
        <v>258</v>
      </c>
      <c r="J262" s="24" t="n">
        <v>0.0252372570029083</v>
      </c>
      <c r="K262" s="19" t="n">
        <v>19.5</v>
      </c>
      <c r="L262" s="17" t="n">
        <f aca="false">IF(K262="","",RANK(K262,$K$5:$K$525))</f>
        <v>423</v>
      </c>
      <c r="M262" s="25" t="n">
        <v>0.0631921824104235</v>
      </c>
      <c r="N262" s="19" t="n">
        <v>40.1</v>
      </c>
      <c r="O262" s="17" t="n">
        <f aca="false">IF(N262="","",RANK(N262,$N$5:$N$525))</f>
        <v>312</v>
      </c>
      <c r="P262" s="17" t="str">
        <f aca="false">IF(AND(N(H262)&gt;=N(K262),N(H262)&gt;=N(N262)),"The Pulse",IF(N(K262)&gt;=N(N262),"The Lens","The Hub"))</f>
        <v>The Pulse</v>
      </c>
      <c r="Q262" s="21" t="s">
        <v>79</v>
      </c>
      <c r="R262" s="27" t="s">
        <v>832</v>
      </c>
      <c r="S262" s="17" t="s">
        <v>22</v>
      </c>
    </row>
    <row r="263" customFormat="false" ht="15" hidden="false" customHeight="false" outlineLevel="0" collapsed="false">
      <c r="A263" s="17" t="s">
        <v>183</v>
      </c>
      <c r="B263" s="17" t="s">
        <v>184</v>
      </c>
      <c r="C263" s="17" t="s">
        <v>2538</v>
      </c>
      <c r="D263" s="17" t="s">
        <v>98</v>
      </c>
      <c r="E263" s="18" t="n">
        <v>90099</v>
      </c>
      <c r="F263" s="17" t="s">
        <v>821</v>
      </c>
      <c r="G263" s="23" t="n">
        <v>1.25388739053708</v>
      </c>
      <c r="H263" s="19" t="n">
        <v>50.6</v>
      </c>
      <c r="I263" s="17" t="n">
        <f aca="false">IF(H263="","",RANK(H263,$H$5:$H$525))</f>
        <v>259</v>
      </c>
      <c r="J263" s="24" t="n">
        <v>0.0570781612971349</v>
      </c>
      <c r="K263" s="19" t="n">
        <v>32.8</v>
      </c>
      <c r="L263" s="17" t="n">
        <f aca="false">IF(K263="","",RANK(K263,$K$5:$K$525))</f>
        <v>351</v>
      </c>
      <c r="M263" s="25" t="n">
        <v>0.0280528052805281</v>
      </c>
      <c r="N263" s="19" t="n">
        <v>18.8</v>
      </c>
      <c r="O263" s="17" t="n">
        <f aca="false">IF(N263="","",RANK(N263,$N$5:$N$525))</f>
        <v>424</v>
      </c>
      <c r="P263" s="17" t="str">
        <f aca="false">IF(AND(N(H263)&gt;=N(K263),N(H263)&gt;=N(N263)),"The Pulse",IF(N(K263)&gt;=N(N263),"The Lens","The Hub"))</f>
        <v>The Pulse</v>
      </c>
      <c r="Q263" s="21" t="s">
        <v>79</v>
      </c>
      <c r="R263" s="26" t="s">
        <v>822</v>
      </c>
      <c r="S263" s="17" t="s">
        <v>22</v>
      </c>
    </row>
    <row r="264" customFormat="false" ht="15" hidden="false" customHeight="false" outlineLevel="0" collapsed="false">
      <c r="A264" s="17" t="s">
        <v>275</v>
      </c>
      <c r="B264" s="17" t="s">
        <v>276</v>
      </c>
      <c r="C264" s="17" t="s">
        <v>2539</v>
      </c>
      <c r="D264" s="17" t="s">
        <v>82</v>
      </c>
      <c r="E264" s="18" t="n">
        <v>7674</v>
      </c>
      <c r="F264" s="17" t="s">
        <v>825</v>
      </c>
      <c r="G264" s="23" t="n">
        <v>1.25254104769351</v>
      </c>
      <c r="H264" s="19" t="n">
        <v>50.4</v>
      </c>
      <c r="I264" s="17" t="n">
        <f aca="false">IF(H264="","",RANK(H264,$H$5:$H$525))</f>
        <v>260</v>
      </c>
      <c r="J264" s="24" t="n">
        <v>0.197005147402901</v>
      </c>
      <c r="K264" s="19" t="n">
        <v>87.5</v>
      </c>
      <c r="L264" s="17" t="n">
        <f aca="false">IF(K264="","",RANK(K264,$K$5:$K$525))</f>
        <v>68</v>
      </c>
      <c r="M264" s="25" t="n">
        <v>0.0259515570934256</v>
      </c>
      <c r="N264" s="19" t="n">
        <v>16.7</v>
      </c>
      <c r="O264" s="17" t="n">
        <f aca="false">IF(N264="","",RANK(N264,$N$5:$N$525))</f>
        <v>436</v>
      </c>
      <c r="P264" s="17" t="str">
        <f aca="false">IF(AND(N(H264)&gt;=N(K264),N(H264)&gt;=N(N264)),"The Pulse",IF(N(K264)&gt;=N(N264),"The Lens","The Hub"))</f>
        <v>The Lens</v>
      </c>
      <c r="Q264" s="21" t="s">
        <v>79</v>
      </c>
      <c r="R264" s="26" t="s">
        <v>822</v>
      </c>
      <c r="S264" s="17" t="s">
        <v>22</v>
      </c>
    </row>
    <row r="265" customFormat="false" ht="15" hidden="false" customHeight="false" outlineLevel="0" collapsed="false">
      <c r="A265" s="17" t="s">
        <v>599</v>
      </c>
      <c r="B265" s="17" t="s">
        <v>600</v>
      </c>
      <c r="C265" s="17" t="s">
        <v>2540</v>
      </c>
      <c r="D265" s="17" t="s">
        <v>77</v>
      </c>
      <c r="E265" s="18" t="n">
        <v>38513</v>
      </c>
      <c r="F265" s="17" t="s">
        <v>821</v>
      </c>
      <c r="G265" s="23" t="n">
        <v>1.25007140446083</v>
      </c>
      <c r="H265" s="19" t="n">
        <v>50.1</v>
      </c>
      <c r="I265" s="17" t="n">
        <f aca="false">IF(H265="","",RANK(H265,$H$5:$H$525))</f>
        <v>261</v>
      </c>
      <c r="J265" s="24" t="n">
        <v>0.0325477894849728</v>
      </c>
      <c r="K265" s="19" t="n">
        <v>21.1</v>
      </c>
      <c r="L265" s="17" t="n">
        <f aca="false">IF(K265="","",RANK(K265,$K$5:$K$525))</f>
        <v>414</v>
      </c>
      <c r="M265" s="25" t="n">
        <v>0.0225334957369062</v>
      </c>
      <c r="N265" s="19" t="n">
        <v>15.4</v>
      </c>
      <c r="O265" s="17" t="n">
        <f aca="false">IF(N265="","",RANK(N265,$N$5:$N$525))</f>
        <v>441</v>
      </c>
      <c r="P265" s="17" t="str">
        <f aca="false">IF(AND(N(H265)&gt;=N(K265),N(H265)&gt;=N(N265)),"The Pulse",IF(N(K265)&gt;=N(N265),"The Lens","The Hub"))</f>
        <v>The Pulse</v>
      </c>
      <c r="Q265" s="21" t="s">
        <v>79</v>
      </c>
      <c r="R265" s="26" t="s">
        <v>822</v>
      </c>
      <c r="S265" s="17" t="s">
        <v>22</v>
      </c>
    </row>
    <row r="266" customFormat="false" ht="15" hidden="false" customHeight="false" outlineLevel="0" collapsed="false">
      <c r="A266" s="17" t="s">
        <v>1379</v>
      </c>
      <c r="B266" s="17" t="s">
        <v>1380</v>
      </c>
      <c r="C266" s="17" t="s">
        <v>2541</v>
      </c>
      <c r="D266" s="17" t="s">
        <v>77</v>
      </c>
      <c r="E266" s="18" t="n">
        <v>188200</v>
      </c>
      <c r="F266" s="17" t="s">
        <v>827</v>
      </c>
      <c r="G266" s="23" t="n">
        <v>1.24984059511158</v>
      </c>
      <c r="H266" s="19" t="n">
        <v>49.9</v>
      </c>
      <c r="I266" s="17" t="n">
        <f aca="false">IF(H266="","",RANK(H266,$H$5:$H$525))</f>
        <v>262</v>
      </c>
      <c r="J266" s="24" t="n">
        <v>0.0872328134026574</v>
      </c>
      <c r="K266" s="19" t="n">
        <v>51.6</v>
      </c>
      <c r="L266" s="17" t="n">
        <f aca="false">IF(K266="","",RANK(K266,$K$5:$K$525))</f>
        <v>252</v>
      </c>
      <c r="M266" s="25" t="n">
        <v>0.217150170648464</v>
      </c>
      <c r="N266" s="19" t="n">
        <v>88.4</v>
      </c>
      <c r="O266" s="17" t="n">
        <f aca="false">IF(N266="","",RANK(N266,$N$5:$N$525))</f>
        <v>62</v>
      </c>
      <c r="P266" s="17" t="str">
        <f aca="false">IF(AND(N(H266)&gt;=N(K266),N(H266)&gt;=N(N266)),"The Pulse",IF(N(K266)&gt;=N(N266),"The Lens","The Hub"))</f>
        <v>The Hub</v>
      </c>
      <c r="Q266" s="21" t="s">
        <v>79</v>
      </c>
      <c r="R266" s="27" t="s">
        <v>832</v>
      </c>
      <c r="S266" s="17" t="s">
        <v>88</v>
      </c>
    </row>
    <row r="267" customFormat="false" ht="15" hidden="false" customHeight="false" outlineLevel="0" collapsed="false">
      <c r="A267" s="17" t="s">
        <v>2542</v>
      </c>
      <c r="B267" s="17" t="s">
        <v>2543</v>
      </c>
      <c r="C267" s="17" t="s">
        <v>2544</v>
      </c>
      <c r="D267" s="17" t="s">
        <v>91</v>
      </c>
      <c r="E267" s="18" t="n">
        <v>315480</v>
      </c>
      <c r="F267" s="17" t="s">
        <v>827</v>
      </c>
      <c r="G267" s="23" t="n">
        <v>1.24725180677064</v>
      </c>
      <c r="H267" s="19" t="n">
        <v>49.7</v>
      </c>
      <c r="I267" s="17" t="n">
        <f aca="false">IF(H267="","",RANK(H267,$H$5:$H$525))</f>
        <v>263</v>
      </c>
      <c r="J267" s="24" t="n">
        <v>0.0516701113407561</v>
      </c>
      <c r="K267" s="19" t="n">
        <v>31.7</v>
      </c>
      <c r="L267" s="17" t="n">
        <f aca="false">IF(K267="","",RANK(K267,$K$5:$K$525))</f>
        <v>357</v>
      </c>
      <c r="M267" s="25" t="n">
        <v>0.159680963620086</v>
      </c>
      <c r="N267" s="19" t="n">
        <v>75.8</v>
      </c>
      <c r="O267" s="17" t="n">
        <f aca="false">IF(N267="","",RANK(N267,$N$5:$N$525))</f>
        <v>125</v>
      </c>
      <c r="P267" s="17" t="str">
        <f aca="false">IF(AND(N(H267)&gt;=N(K267),N(H267)&gt;=N(N267)),"The Pulse",IF(N(K267)&gt;=N(N267),"The Lens","The Hub"))</f>
        <v>The Hub</v>
      </c>
      <c r="Q267" s="21" t="s">
        <v>79</v>
      </c>
      <c r="R267" s="27" t="s">
        <v>832</v>
      </c>
      <c r="S267" s="17" t="s">
        <v>88</v>
      </c>
    </row>
    <row r="268" customFormat="false" ht="15" hidden="false" customHeight="false" outlineLevel="0" collapsed="false">
      <c r="A268" s="17" t="s">
        <v>2545</v>
      </c>
      <c r="B268" s="17" t="s">
        <v>2546</v>
      </c>
      <c r="C268" s="17" t="s">
        <v>2547</v>
      </c>
      <c r="D268" s="17" t="s">
        <v>95</v>
      </c>
      <c r="E268" s="18" t="n">
        <v>32895</v>
      </c>
      <c r="F268" s="17" t="s">
        <v>821</v>
      </c>
      <c r="G268" s="23" t="n">
        <v>1.24411004711962</v>
      </c>
      <c r="H268" s="19" t="n">
        <v>49.6</v>
      </c>
      <c r="I268" s="17" t="n">
        <f aca="false">IF(H268="","",RANK(H268,$H$5:$H$525))</f>
        <v>264</v>
      </c>
      <c r="J268" s="24" t="n">
        <v>0.179328146846879</v>
      </c>
      <c r="K268" s="19" t="n">
        <v>87</v>
      </c>
      <c r="L268" s="17" t="n">
        <f aca="false">IF(K268="","",RANK(K268,$K$5:$K$525))</f>
        <v>70</v>
      </c>
      <c r="M268" s="25" t="n">
        <v>0.115728021978022</v>
      </c>
      <c r="N268" s="19" t="n">
        <v>64.7</v>
      </c>
      <c r="O268" s="17" t="n">
        <f aca="false">IF(N268="","",RANK(N268,$N$5:$N$525))</f>
        <v>183</v>
      </c>
      <c r="P268" s="17" t="str">
        <f aca="false">IF(AND(N(H268)&gt;=N(K268),N(H268)&gt;=N(N268)),"The Pulse",IF(N(K268)&gt;=N(N268),"The Lens","The Hub"))</f>
        <v>The Lens</v>
      </c>
      <c r="Q268" s="21" t="s">
        <v>79</v>
      </c>
      <c r="R268" s="27" t="s">
        <v>832</v>
      </c>
      <c r="S268" s="17" t="s">
        <v>22</v>
      </c>
    </row>
    <row r="269" customFormat="false" ht="15" hidden="false" customHeight="false" outlineLevel="0" collapsed="false">
      <c r="A269" s="17" t="s">
        <v>681</v>
      </c>
      <c r="B269" s="17" t="s">
        <v>682</v>
      </c>
      <c r="C269" s="17" t="s">
        <v>2548</v>
      </c>
      <c r="D269" s="17" t="s">
        <v>98</v>
      </c>
      <c r="E269" s="18" t="n">
        <v>27902</v>
      </c>
      <c r="F269" s="17" t="s">
        <v>821</v>
      </c>
      <c r="G269" s="23" t="n">
        <v>1.2351802738155</v>
      </c>
      <c r="H269" s="19" t="n">
        <v>49.2</v>
      </c>
      <c r="I269" s="17" t="n">
        <f aca="false">IF(H269="","",RANK(H269,$H$5:$H$525))</f>
        <v>265</v>
      </c>
      <c r="J269" s="24" t="n">
        <v>0.0100637127135824</v>
      </c>
      <c r="K269" s="19" t="n">
        <v>13</v>
      </c>
      <c r="L269" s="17" t="n">
        <f aca="false">IF(K269="","",RANK(K269,$K$5:$K$525))</f>
        <v>456</v>
      </c>
      <c r="M269" s="25" t="n">
        <v>0.0223540145985402</v>
      </c>
      <c r="N269" s="19" t="n">
        <v>15.2</v>
      </c>
      <c r="O269" s="17" t="n">
        <f aca="false">IF(N269="","",RANK(N269,$N$5:$N$525))</f>
        <v>442</v>
      </c>
      <c r="P269" s="17" t="str">
        <f aca="false">IF(AND(N(H269)&gt;=N(K269),N(H269)&gt;=N(N269)),"The Pulse",IF(N(K269)&gt;=N(N269),"The Lens","The Hub"))</f>
        <v>The Pulse</v>
      </c>
      <c r="Q269" s="21" t="s">
        <v>79</v>
      </c>
      <c r="R269" s="26" t="s">
        <v>822</v>
      </c>
      <c r="S269" s="17" t="s">
        <v>22</v>
      </c>
    </row>
    <row r="270" customFormat="false" ht="15" hidden="false" customHeight="false" outlineLevel="0" collapsed="false">
      <c r="A270" s="17" t="s">
        <v>2549</v>
      </c>
      <c r="B270" s="17" t="s">
        <v>2550</v>
      </c>
      <c r="C270" s="17" t="s">
        <v>2551</v>
      </c>
      <c r="D270" s="17" t="s">
        <v>86</v>
      </c>
      <c r="E270" s="18" t="n">
        <v>11358570</v>
      </c>
      <c r="F270" s="17" t="s">
        <v>935</v>
      </c>
      <c r="G270" s="23" t="n">
        <v>1.23068828206368</v>
      </c>
      <c r="H270" s="19" t="n">
        <v>49</v>
      </c>
      <c r="I270" s="17" t="n">
        <f aca="false">IF(H270="","",RANK(H270,$H$5:$H$525))</f>
        <v>266</v>
      </c>
      <c r="J270" s="24" t="n">
        <v>0.149323624913107</v>
      </c>
      <c r="K270" s="19" t="n">
        <v>85.7</v>
      </c>
      <c r="L270" s="17" t="n">
        <f aca="false">IF(K270="","",RANK(K270,$K$5:$K$525))</f>
        <v>77</v>
      </c>
      <c r="M270" s="25" t="n">
        <v>0.187417156913295</v>
      </c>
      <c r="N270" s="19" t="n">
        <v>81.9</v>
      </c>
      <c r="O270" s="17" t="n">
        <f aca="false">IF(N270="","",RANK(N270,$N$5:$N$525))</f>
        <v>94</v>
      </c>
      <c r="P270" s="17" t="str">
        <f aca="false">IF(AND(N(H270)&gt;=N(K270),N(H270)&gt;=N(N270)),"The Pulse",IF(N(K270)&gt;=N(N270),"The Lens","The Hub"))</f>
        <v>The Lens</v>
      </c>
      <c r="Q270" s="20" t="s">
        <v>74</v>
      </c>
      <c r="R270" s="27" t="s">
        <v>832</v>
      </c>
      <c r="S270" s="17" t="s">
        <v>24</v>
      </c>
    </row>
    <row r="271" customFormat="false" ht="15" hidden="false" customHeight="false" outlineLevel="0" collapsed="false">
      <c r="A271" s="17" t="s">
        <v>2206</v>
      </c>
      <c r="B271" s="17" t="s">
        <v>2207</v>
      </c>
      <c r="C271" s="17" t="s">
        <v>2552</v>
      </c>
      <c r="D271" s="17" t="s">
        <v>95</v>
      </c>
      <c r="E271" s="18" t="n">
        <v>6677</v>
      </c>
      <c r="F271" s="17" t="s">
        <v>825</v>
      </c>
      <c r="G271" s="23" t="n">
        <v>1.23034296839898</v>
      </c>
      <c r="H271" s="19" t="n">
        <v>48.9</v>
      </c>
      <c r="I271" s="17" t="n">
        <f aca="false">IF(H271="","",RANK(H271,$H$5:$H$525))</f>
        <v>267</v>
      </c>
      <c r="J271" s="24" t="n">
        <v>0.182188385269122</v>
      </c>
      <c r="K271" s="19" t="n">
        <v>80</v>
      </c>
      <c r="L271" s="17" t="n">
        <f aca="false">IF(K271="","",RANK(K271,$K$5:$K$525))</f>
        <v>108</v>
      </c>
      <c r="M271" s="25" t="n">
        <v>0.0585480093676815</v>
      </c>
      <c r="N271" s="19" t="n">
        <v>36.2</v>
      </c>
      <c r="O271" s="17" t="n">
        <f aca="false">IF(N271="","",RANK(N271,$N$5:$N$525))</f>
        <v>333</v>
      </c>
      <c r="P271" s="17" t="str">
        <f aca="false">IF(AND(N(H271)&gt;=N(K271),N(H271)&gt;=N(N271)),"The Pulse",IF(N(K271)&gt;=N(N271),"The Lens","The Hub"))</f>
        <v>The Lens</v>
      </c>
      <c r="Q271" s="21" t="s">
        <v>79</v>
      </c>
      <c r="R271" s="27" t="s">
        <v>832</v>
      </c>
      <c r="S271" s="17" t="s">
        <v>22</v>
      </c>
    </row>
    <row r="272" customFormat="false" ht="15" hidden="false" customHeight="false" outlineLevel="0" collapsed="false">
      <c r="A272" s="17" t="s">
        <v>469</v>
      </c>
      <c r="B272" s="17" t="s">
        <v>470</v>
      </c>
      <c r="C272" s="17" t="s">
        <v>2553</v>
      </c>
      <c r="D272" s="17" t="s">
        <v>82</v>
      </c>
      <c r="E272" s="18" t="n">
        <v>16070</v>
      </c>
      <c r="F272" s="17" t="s">
        <v>821</v>
      </c>
      <c r="G272" s="23" t="n">
        <v>1.22489110143124</v>
      </c>
      <c r="H272" s="19" t="n">
        <v>48.7</v>
      </c>
      <c r="I272" s="17" t="n">
        <f aca="false">IF(H272="","",RANK(H272,$H$5:$H$525))</f>
        <v>268</v>
      </c>
      <c r="J272" s="24" t="n">
        <v>0.141335227272727</v>
      </c>
      <c r="K272" s="19" t="n">
        <v>72.1</v>
      </c>
      <c r="L272" s="17" t="n">
        <f aca="false">IF(K272="","",RANK(K272,$K$5:$K$525))</f>
        <v>148</v>
      </c>
      <c r="M272" s="25" t="n">
        <v>0.0293609671848014</v>
      </c>
      <c r="N272" s="19" t="n">
        <v>19.4</v>
      </c>
      <c r="O272" s="17" t="n">
        <f aca="false">IF(N272="","",RANK(N272,$N$5:$N$525))</f>
        <v>422</v>
      </c>
      <c r="P272" s="17" t="str">
        <f aca="false">IF(AND(N(H272)&gt;=N(K272),N(H272)&gt;=N(N272)),"The Pulse",IF(N(K272)&gt;=N(N272),"The Lens","The Hub"))</f>
        <v>The Lens</v>
      </c>
      <c r="Q272" s="20" t="s">
        <v>74</v>
      </c>
      <c r="R272" s="26" t="s">
        <v>822</v>
      </c>
      <c r="S272" s="17" t="s">
        <v>24</v>
      </c>
    </row>
    <row r="273" customFormat="false" ht="15" hidden="false" customHeight="false" outlineLevel="0" collapsed="false">
      <c r="A273" s="17" t="s">
        <v>1589</v>
      </c>
      <c r="B273" s="17" t="s">
        <v>1590</v>
      </c>
      <c r="C273" s="17" t="s">
        <v>2554</v>
      </c>
      <c r="D273" s="17" t="s">
        <v>115</v>
      </c>
      <c r="E273" s="18" t="n">
        <v>269600</v>
      </c>
      <c r="F273" s="17" t="s">
        <v>827</v>
      </c>
      <c r="G273" s="23" t="n">
        <v>1.22421364985163</v>
      </c>
      <c r="H273" s="19" t="n">
        <v>48.5</v>
      </c>
      <c r="I273" s="17" t="n">
        <f aca="false">IF(H273="","",RANK(H273,$H$5:$H$525))</f>
        <v>269</v>
      </c>
      <c r="J273" s="24" t="n">
        <v>0.0372023237025353</v>
      </c>
      <c r="K273" s="19" t="n">
        <v>24.2</v>
      </c>
      <c r="L273" s="17" t="n">
        <f aca="false">IF(K273="","",RANK(K273,$K$5:$K$525))</f>
        <v>396</v>
      </c>
      <c r="M273" s="25" t="n">
        <v>0.000438821034154904</v>
      </c>
      <c r="N273" s="19" t="n">
        <v>2</v>
      </c>
      <c r="O273" s="17" t="n">
        <f aca="false">IF(N273="","",RANK(N273,$N$5:$N$525))</f>
        <v>512</v>
      </c>
      <c r="P273" s="17" t="str">
        <f aca="false">IF(AND(N(H273)&gt;=N(K273),N(H273)&gt;=N(N273)),"The Pulse",IF(N(K273)&gt;=N(N273),"The Lens","The Hub"))</f>
        <v>The Pulse</v>
      </c>
      <c r="Q273" s="20" t="s">
        <v>74</v>
      </c>
      <c r="R273" s="27" t="s">
        <v>832</v>
      </c>
      <c r="S273" s="17" t="s">
        <v>24</v>
      </c>
    </row>
    <row r="274" customFormat="false" ht="15" hidden="false" customHeight="false" outlineLevel="0" collapsed="false">
      <c r="A274" s="17" t="s">
        <v>367</v>
      </c>
      <c r="B274" s="17" t="s">
        <v>368</v>
      </c>
      <c r="C274" s="17" t="s">
        <v>2555</v>
      </c>
      <c r="D274" s="17" t="s">
        <v>82</v>
      </c>
      <c r="E274" s="18" t="n">
        <v>216580</v>
      </c>
      <c r="F274" s="17" t="s">
        <v>827</v>
      </c>
      <c r="G274" s="23" t="n">
        <v>1.21671773184309</v>
      </c>
      <c r="H274" s="19" t="n">
        <v>48.3</v>
      </c>
      <c r="I274" s="17" t="n">
        <f aca="false">IF(H274="","",RANK(H274,$H$5:$H$525))</f>
        <v>270</v>
      </c>
      <c r="J274" s="24" t="n">
        <v>0.142721468896745</v>
      </c>
      <c r="K274" s="19" t="n">
        <v>78.9</v>
      </c>
      <c r="L274" s="17" t="n">
        <f aca="false">IF(K274="","",RANK(K274,$K$5:$K$525))</f>
        <v>111</v>
      </c>
      <c r="M274" s="25" t="n">
        <v>0.195190763487999</v>
      </c>
      <c r="N274" s="19" t="n">
        <v>83.9</v>
      </c>
      <c r="O274" s="17" t="n">
        <f aca="false">IF(N274="","",RANK(N274,$N$5:$N$525))</f>
        <v>85</v>
      </c>
      <c r="P274" s="17" t="str">
        <f aca="false">IF(AND(N(H274)&gt;=N(K274),N(H274)&gt;=N(N274)),"The Pulse",IF(N(K274)&gt;=N(N274),"The Lens","The Hub"))</f>
        <v>The Hub</v>
      </c>
      <c r="Q274" s="21" t="s">
        <v>79</v>
      </c>
      <c r="R274" s="26" t="s">
        <v>822</v>
      </c>
      <c r="S274" s="17" t="s">
        <v>88</v>
      </c>
    </row>
    <row r="275" customFormat="false" ht="15" hidden="false" customHeight="false" outlineLevel="0" collapsed="false">
      <c r="A275" s="17" t="s">
        <v>631</v>
      </c>
      <c r="B275" s="17" t="s">
        <v>632</v>
      </c>
      <c r="C275" s="17" t="s">
        <v>2556</v>
      </c>
      <c r="D275" s="17" t="s">
        <v>95</v>
      </c>
      <c r="E275" s="18" t="n">
        <v>17268</v>
      </c>
      <c r="F275" s="17" t="s">
        <v>821</v>
      </c>
      <c r="G275" s="23" t="n">
        <v>1.21392170488765</v>
      </c>
      <c r="H275" s="19" t="n">
        <v>48.1</v>
      </c>
      <c r="I275" s="17" t="n">
        <f aca="false">IF(H275="","",RANK(H275,$H$5:$H$525))</f>
        <v>271</v>
      </c>
      <c r="J275" s="24" t="n">
        <v>0.13980198019802</v>
      </c>
      <c r="K275" s="19" t="n">
        <v>70.5</v>
      </c>
      <c r="L275" s="17" t="n">
        <f aca="false">IF(K275="","",RANK(K275,$K$5:$K$525))</f>
        <v>155</v>
      </c>
      <c r="M275" s="25" t="n">
        <v>0.0262210796915167</v>
      </c>
      <c r="N275" s="19" t="n">
        <v>16.8</v>
      </c>
      <c r="O275" s="17" t="n">
        <f aca="false">IF(N275="","",RANK(N275,$N$5:$N$525))</f>
        <v>435</v>
      </c>
      <c r="P275" s="17" t="str">
        <f aca="false">IF(AND(N(H275)&gt;=N(K275),N(H275)&gt;=N(N275)),"The Pulse",IF(N(K275)&gt;=N(N275),"The Lens","The Hub"))</f>
        <v>The Lens</v>
      </c>
      <c r="Q275" s="21" t="s">
        <v>79</v>
      </c>
      <c r="R275" s="26" t="s">
        <v>822</v>
      </c>
      <c r="S275" s="17" t="s">
        <v>22</v>
      </c>
    </row>
    <row r="276" customFormat="false" ht="15" hidden="false" customHeight="false" outlineLevel="0" collapsed="false">
      <c r="A276" s="17" t="s">
        <v>1766</v>
      </c>
      <c r="B276" s="17" t="s">
        <v>1767</v>
      </c>
      <c r="C276" s="17" t="s">
        <v>2557</v>
      </c>
      <c r="D276" s="17" t="s">
        <v>123</v>
      </c>
      <c r="E276" s="18" t="n">
        <v>14424</v>
      </c>
      <c r="F276" s="17" t="s">
        <v>821</v>
      </c>
      <c r="G276" s="23" t="n">
        <v>1.20382695507488</v>
      </c>
      <c r="H276" s="19" t="n">
        <v>48</v>
      </c>
      <c r="I276" s="17" t="n">
        <f aca="false">IF(H276="","",RANK(H276,$H$5:$H$525))</f>
        <v>272</v>
      </c>
      <c r="J276" s="24" t="n">
        <v>0.161633244745108</v>
      </c>
      <c r="K276" s="19" t="n">
        <v>82.1</v>
      </c>
      <c r="L276" s="17" t="n">
        <f aca="false">IF(K276="","",RANK(K276,$K$5:$K$525))</f>
        <v>97</v>
      </c>
      <c r="M276" s="25" t="n">
        <v>0.015970515970516</v>
      </c>
      <c r="N276" s="19" t="n">
        <v>10.2</v>
      </c>
      <c r="O276" s="17" t="n">
        <f aca="false">IF(N276="","",RANK(N276,$N$5:$N$525))</f>
        <v>469</v>
      </c>
      <c r="P276" s="17" t="str">
        <f aca="false">IF(AND(N(H276)&gt;=N(K276),N(H276)&gt;=N(N276)),"The Pulse",IF(N(K276)&gt;=N(N276),"The Lens","The Hub"))</f>
        <v>The Lens</v>
      </c>
      <c r="Q276" s="21" t="s">
        <v>79</v>
      </c>
      <c r="R276" s="27" t="s">
        <v>832</v>
      </c>
      <c r="S276" s="17" t="s">
        <v>22</v>
      </c>
    </row>
    <row r="277" customFormat="false" ht="15" hidden="false" customHeight="false" outlineLevel="0" collapsed="false">
      <c r="A277" s="17" t="s">
        <v>1014</v>
      </c>
      <c r="B277" s="17" t="s">
        <v>1015</v>
      </c>
      <c r="C277" s="17" t="s">
        <v>2558</v>
      </c>
      <c r="D277" s="17" t="s">
        <v>86</v>
      </c>
      <c r="E277" s="18" t="n">
        <v>2462</v>
      </c>
      <c r="F277" s="17" t="s">
        <v>825</v>
      </c>
      <c r="G277" s="23" t="n">
        <v>1.20308692120228</v>
      </c>
      <c r="H277" s="19" t="n">
        <v>47.8</v>
      </c>
      <c r="I277" s="17" t="n">
        <f aca="false">IF(H277="","",RANK(H277,$H$5:$H$525))</f>
        <v>273</v>
      </c>
      <c r="J277" s="24" t="n">
        <v>0.193407658749394</v>
      </c>
      <c r="K277" s="19" t="n">
        <v>85</v>
      </c>
      <c r="L277" s="17" t="n">
        <f aca="false">IF(K277="","",RANK(K277,$K$5:$K$525))</f>
        <v>83</v>
      </c>
      <c r="M277" s="25" t="n">
        <v>0.222707423580786</v>
      </c>
      <c r="N277" s="19" t="n">
        <v>89.2</v>
      </c>
      <c r="O277" s="17" t="n">
        <f aca="false">IF(N277="","",RANK(N277,$N$5:$N$525))</f>
        <v>57</v>
      </c>
      <c r="P277" s="17" t="str">
        <f aca="false">IF(AND(N(H277)&gt;=N(K277),N(H277)&gt;=N(N277)),"The Pulse",IF(N(K277)&gt;=N(N277),"The Lens","The Hub"))</f>
        <v>The Hub</v>
      </c>
      <c r="Q277" s="21" t="s">
        <v>79</v>
      </c>
      <c r="R277" s="27" t="s">
        <v>832</v>
      </c>
      <c r="S277" s="17" t="s">
        <v>22</v>
      </c>
    </row>
    <row r="278" customFormat="false" ht="15" hidden="false" customHeight="false" outlineLevel="0" collapsed="false">
      <c r="A278" s="17" t="s">
        <v>575</v>
      </c>
      <c r="B278" s="17" t="s">
        <v>576</v>
      </c>
      <c r="C278" s="17" t="s">
        <v>2559</v>
      </c>
      <c r="D278" s="17" t="s">
        <v>115</v>
      </c>
      <c r="E278" s="18" t="n">
        <v>103920</v>
      </c>
      <c r="F278" s="17" t="s">
        <v>827</v>
      </c>
      <c r="G278" s="23" t="n">
        <v>1.19990377213241</v>
      </c>
      <c r="H278" s="19" t="n">
        <v>47.6</v>
      </c>
      <c r="I278" s="17" t="n">
        <f aca="false">IF(H278="","",RANK(H278,$H$5:$H$525))</f>
        <v>274</v>
      </c>
      <c r="J278" s="24" t="n">
        <v>0.0887375589313777</v>
      </c>
      <c r="K278" s="19" t="n">
        <v>52.2</v>
      </c>
      <c r="L278" s="17" t="n">
        <f aca="false">IF(K278="","",RANK(K278,$K$5:$K$525))</f>
        <v>250</v>
      </c>
      <c r="M278" s="25" t="n">
        <v>0.0413389602915788</v>
      </c>
      <c r="N278" s="19" t="n">
        <v>26.7</v>
      </c>
      <c r="O278" s="17" t="n">
        <f aca="false">IF(N278="","",RANK(N278,$N$5:$N$525))</f>
        <v>383</v>
      </c>
      <c r="P278" s="17" t="str">
        <f aca="false">IF(AND(N(H278)&gt;=N(K278),N(H278)&gt;=N(N278)),"The Pulse",IF(N(K278)&gt;=N(N278),"The Lens","The Hub"))</f>
        <v>The Lens</v>
      </c>
      <c r="Q278" s="22" t="s">
        <v>109</v>
      </c>
      <c r="R278" s="26" t="s">
        <v>822</v>
      </c>
      <c r="S278" s="17" t="s">
        <v>155</v>
      </c>
    </row>
    <row r="279" customFormat="false" ht="15" hidden="false" customHeight="false" outlineLevel="0" collapsed="false">
      <c r="A279" s="17" t="s">
        <v>2560</v>
      </c>
      <c r="B279" s="17" t="s">
        <v>2561</v>
      </c>
      <c r="C279" s="17" t="s">
        <v>2562</v>
      </c>
      <c r="D279" s="17" t="s">
        <v>72</v>
      </c>
      <c r="E279" s="18" t="n">
        <v>27960</v>
      </c>
      <c r="F279" s="17" t="s">
        <v>821</v>
      </c>
      <c r="G279" s="23" t="n">
        <v>1.19688841201717</v>
      </c>
      <c r="H279" s="19" t="n">
        <v>47.4</v>
      </c>
      <c r="I279" s="17" t="n">
        <f aca="false">IF(H279="","",RANK(H279,$H$5:$H$525))</f>
        <v>275</v>
      </c>
      <c r="J279" s="24" t="n">
        <v>-0.0566801619433198</v>
      </c>
      <c r="K279" s="19" t="n">
        <v>1.6</v>
      </c>
      <c r="L279" s="17" t="n">
        <f aca="false">IF(K279="","",RANK(K279,$K$5:$K$525))</f>
        <v>515</v>
      </c>
      <c r="M279" s="25" t="n">
        <v>0.0421205519244735</v>
      </c>
      <c r="N279" s="19" t="n">
        <v>27.2</v>
      </c>
      <c r="O279" s="17" t="n">
        <f aca="false">IF(N279="","",RANK(N279,$N$5:$N$525))</f>
        <v>380</v>
      </c>
      <c r="P279" s="17" t="str">
        <f aca="false">IF(AND(N(H279)&gt;=N(K279),N(H279)&gt;=N(N279)),"The Pulse",IF(N(K279)&gt;=N(N279),"The Lens","The Hub"))</f>
        <v>The Pulse</v>
      </c>
      <c r="Q279" s="20" t="s">
        <v>74</v>
      </c>
      <c r="R279" s="27" t="s">
        <v>832</v>
      </c>
      <c r="S279" s="17" t="s">
        <v>24</v>
      </c>
    </row>
    <row r="280" customFormat="false" ht="15" hidden="false" customHeight="false" outlineLevel="0" collapsed="false">
      <c r="A280" s="17" t="s">
        <v>1848</v>
      </c>
      <c r="B280" s="17" t="s">
        <v>1849</v>
      </c>
      <c r="C280" s="17" t="s">
        <v>2563</v>
      </c>
      <c r="D280" s="17" t="s">
        <v>123</v>
      </c>
      <c r="E280" s="18" t="n">
        <v>1059491</v>
      </c>
      <c r="F280" s="17" t="s">
        <v>935</v>
      </c>
      <c r="G280" s="23" t="n">
        <v>1.19648208432162</v>
      </c>
      <c r="H280" s="19" t="n">
        <v>47.3</v>
      </c>
      <c r="I280" s="17" t="n">
        <f aca="false">IF(H280="","",RANK(H280,$H$5:$H$525))</f>
        <v>276</v>
      </c>
      <c r="J280" s="24" t="n">
        <v>0.032104117248803</v>
      </c>
      <c r="K280" s="19" t="n">
        <v>35.7</v>
      </c>
      <c r="L280" s="17" t="n">
        <f aca="false">IF(K280="","",RANK(K280,$K$5:$K$525))</f>
        <v>336</v>
      </c>
      <c r="M280" s="25" t="n">
        <v>0.134587227078937</v>
      </c>
      <c r="N280" s="19" t="n">
        <v>69.5</v>
      </c>
      <c r="O280" s="17" t="n">
        <f aca="false">IF(N280="","",RANK(N280,$N$5:$N$525))</f>
        <v>158</v>
      </c>
      <c r="P280" s="17" t="str">
        <f aca="false">IF(AND(N(H280)&gt;=N(K280),N(H280)&gt;=N(N280)),"The Pulse",IF(N(K280)&gt;=N(N280),"The Lens","The Hub"))</f>
        <v>The Hub</v>
      </c>
      <c r="Q280" s="21" t="s">
        <v>79</v>
      </c>
      <c r="R280" s="27" t="s">
        <v>832</v>
      </c>
      <c r="S280" s="17" t="s">
        <v>22</v>
      </c>
    </row>
    <row r="281" customFormat="false" ht="15" hidden="false" customHeight="false" outlineLevel="0" collapsed="false">
      <c r="A281" s="17" t="s">
        <v>191</v>
      </c>
      <c r="B281" s="17" t="s">
        <v>192</v>
      </c>
      <c r="C281" s="17" t="s">
        <v>2564</v>
      </c>
      <c r="D281" s="17" t="s">
        <v>82</v>
      </c>
      <c r="E281" s="18" t="n">
        <v>13534</v>
      </c>
      <c r="F281" s="17" t="s">
        <v>821</v>
      </c>
      <c r="G281" s="23" t="n">
        <v>1.19572927441998</v>
      </c>
      <c r="H281" s="19" t="n">
        <v>47.1</v>
      </c>
      <c r="I281" s="17" t="n">
        <f aca="false">IF(H281="","",RANK(H281,$H$5:$H$525))</f>
        <v>277</v>
      </c>
      <c r="J281" s="24" t="n">
        <v>0.0493099705380679</v>
      </c>
      <c r="K281" s="19" t="n">
        <v>27.6</v>
      </c>
      <c r="L281" s="17" t="n">
        <f aca="false">IF(K281="","",RANK(K281,$K$5:$K$525))</f>
        <v>379</v>
      </c>
      <c r="M281" s="25" t="n">
        <v>0.250790305584826</v>
      </c>
      <c r="N281" s="19" t="n">
        <v>92.8</v>
      </c>
      <c r="O281" s="17" t="n">
        <f aca="false">IF(N281="","",RANK(N281,$N$5:$N$525))</f>
        <v>38</v>
      </c>
      <c r="P281" s="17" t="str">
        <f aca="false">IF(AND(N(H281)&gt;=N(K281),N(H281)&gt;=N(N281)),"The Pulse",IF(N(K281)&gt;=N(N281),"The Lens","The Hub"))</f>
        <v>The Hub</v>
      </c>
      <c r="Q281" s="21" t="s">
        <v>79</v>
      </c>
      <c r="R281" s="26" t="s">
        <v>822</v>
      </c>
      <c r="S281" s="17" t="s">
        <v>22</v>
      </c>
    </row>
    <row r="282" customFormat="false" ht="15" hidden="false" customHeight="false" outlineLevel="0" collapsed="false">
      <c r="A282" s="17" t="s">
        <v>2565</v>
      </c>
      <c r="B282" s="17" t="s">
        <v>2566</v>
      </c>
      <c r="C282" s="17" t="s">
        <v>2567</v>
      </c>
      <c r="D282" s="17" t="s">
        <v>91</v>
      </c>
      <c r="E282" s="18" t="n">
        <v>115475</v>
      </c>
      <c r="F282" s="17" t="s">
        <v>827</v>
      </c>
      <c r="G282" s="23" t="n">
        <v>1.19099372158476</v>
      </c>
      <c r="H282" s="19" t="n">
        <v>46.9</v>
      </c>
      <c r="I282" s="17" t="n">
        <f aca="false">IF(H282="","",RANK(H282,$H$5:$H$525))</f>
        <v>278</v>
      </c>
      <c r="J282" s="24" t="n">
        <v>0.22204819404612</v>
      </c>
      <c r="K282" s="19" t="n">
        <v>97.5</v>
      </c>
      <c r="L282" s="17" t="n">
        <f aca="false">IF(K282="","",RANK(K282,$K$5:$K$525))</f>
        <v>16</v>
      </c>
      <c r="M282" s="25" t="n">
        <v>0.149871170913255</v>
      </c>
      <c r="N282" s="19" t="n">
        <v>73.5</v>
      </c>
      <c r="O282" s="17" t="n">
        <f aca="false">IF(N282="","",RANK(N282,$N$5:$N$525))</f>
        <v>137</v>
      </c>
      <c r="P282" s="17" t="str">
        <f aca="false">IF(AND(N(H282)&gt;=N(K282),N(H282)&gt;=N(N282)),"The Pulse",IF(N(K282)&gt;=N(N282),"The Lens","The Hub"))</f>
        <v>The Lens</v>
      </c>
      <c r="Q282" s="21" t="s">
        <v>79</v>
      </c>
      <c r="R282" s="27" t="s">
        <v>832</v>
      </c>
      <c r="S282" s="17" t="s">
        <v>22</v>
      </c>
    </row>
    <row r="283" customFormat="false" ht="15" hidden="false" customHeight="false" outlineLevel="0" collapsed="false">
      <c r="A283" s="17" t="s">
        <v>1726</v>
      </c>
      <c r="B283" s="17" t="s">
        <v>1727</v>
      </c>
      <c r="C283" s="17" t="s">
        <v>2568</v>
      </c>
      <c r="D283" s="17" t="s">
        <v>82</v>
      </c>
      <c r="E283" s="18" t="n">
        <v>45850</v>
      </c>
      <c r="F283" s="17" t="s">
        <v>821</v>
      </c>
      <c r="G283" s="23" t="n">
        <v>1.17197382769902</v>
      </c>
      <c r="H283" s="19" t="n">
        <v>46.6</v>
      </c>
      <c r="I283" s="17" t="n">
        <f aca="false">IF(H283="","",RANK(H283,$H$5:$H$525))</f>
        <v>279</v>
      </c>
      <c r="J283" s="24" t="n">
        <v>0.167260692464359</v>
      </c>
      <c r="K283" s="19" t="n">
        <v>84.7</v>
      </c>
      <c r="L283" s="17" t="n">
        <f aca="false">IF(K283="","",RANK(K283,$K$5:$K$525))</f>
        <v>84</v>
      </c>
      <c r="M283" s="25" t="n">
        <v>0.0176146010186757</v>
      </c>
      <c r="N283" s="19" t="n">
        <v>11.5</v>
      </c>
      <c r="O283" s="17" t="n">
        <f aca="false">IF(N283="","",RANK(N283,$N$5:$N$525))</f>
        <v>462</v>
      </c>
      <c r="P283" s="17" t="str">
        <f aca="false">IF(AND(N(H283)&gt;=N(K283),N(H283)&gt;=N(N283)),"The Pulse",IF(N(K283)&gt;=N(N283),"The Lens","The Hub"))</f>
        <v>The Lens</v>
      </c>
      <c r="Q283" s="20" t="s">
        <v>74</v>
      </c>
      <c r="R283" s="27" t="s">
        <v>832</v>
      </c>
      <c r="S283" s="17" t="s">
        <v>24</v>
      </c>
    </row>
    <row r="284" customFormat="false" ht="15" hidden="false" customHeight="false" outlineLevel="0" collapsed="false">
      <c r="A284" s="17" t="s">
        <v>1228</v>
      </c>
      <c r="B284" s="17" t="s">
        <v>1229</v>
      </c>
      <c r="C284" s="17" t="s">
        <v>2569</v>
      </c>
      <c r="D284" s="17" t="s">
        <v>115</v>
      </c>
      <c r="E284" s="18" t="n">
        <v>671365</v>
      </c>
      <c r="F284" s="17" t="s">
        <v>827</v>
      </c>
      <c r="G284" s="23" t="n">
        <v>1.16632681179388</v>
      </c>
      <c r="H284" s="19" t="n">
        <v>46.4</v>
      </c>
      <c r="I284" s="17" t="n">
        <f aca="false">IF(H284="","",RANK(H284,$H$5:$H$525))</f>
        <v>280</v>
      </c>
      <c r="J284" s="24" t="n">
        <v>0.105156679023645</v>
      </c>
      <c r="K284" s="19" t="n">
        <v>61.5</v>
      </c>
      <c r="L284" s="17" t="n">
        <f aca="false">IF(K284="","",RANK(K284,$K$5:$K$525))</f>
        <v>200</v>
      </c>
      <c r="M284" s="25" t="n">
        <v>0.136985920582635</v>
      </c>
      <c r="N284" s="19" t="n">
        <v>70.3</v>
      </c>
      <c r="O284" s="17" t="n">
        <f aca="false">IF(N284="","",RANK(N284,$N$5:$N$525))</f>
        <v>154</v>
      </c>
      <c r="P284" s="17" t="str">
        <f aca="false">IF(AND(N(H284)&gt;=N(K284),N(H284)&gt;=N(N284)),"The Pulse",IF(N(K284)&gt;=N(N284),"The Lens","The Hub"))</f>
        <v>The Hub</v>
      </c>
      <c r="Q284" s="21" t="s">
        <v>79</v>
      </c>
      <c r="R284" s="27" t="s">
        <v>832</v>
      </c>
      <c r="S284" s="17" t="s">
        <v>22</v>
      </c>
    </row>
    <row r="285" customFormat="false" ht="15" hidden="false" customHeight="false" outlineLevel="0" collapsed="false">
      <c r="A285" s="17" t="s">
        <v>377</v>
      </c>
      <c r="B285" s="17" t="s">
        <v>378</v>
      </c>
      <c r="C285" s="17" t="s">
        <v>2570</v>
      </c>
      <c r="D285" s="17" t="s">
        <v>123</v>
      </c>
      <c r="E285" s="18" t="n">
        <v>106247</v>
      </c>
      <c r="F285" s="17" t="s">
        <v>827</v>
      </c>
      <c r="G285" s="23" t="n">
        <v>1.16497406985609</v>
      </c>
      <c r="H285" s="19" t="n">
        <v>46.2</v>
      </c>
      <c r="I285" s="17" t="n">
        <f aca="false">IF(H285="","",RANK(H285,$H$5:$H$525))</f>
        <v>281</v>
      </c>
      <c r="J285" s="24" t="n">
        <v>0.202896089486674</v>
      </c>
      <c r="K285" s="19" t="n">
        <v>95</v>
      </c>
      <c r="L285" s="17" t="n">
        <f aca="false">IF(K285="","",RANK(K285,$K$5:$K$525))</f>
        <v>30</v>
      </c>
      <c r="M285" s="25" t="n">
        <v>0.0814635132403477</v>
      </c>
      <c r="N285" s="19" t="n">
        <v>49.6</v>
      </c>
      <c r="O285" s="17" t="n">
        <f aca="false">IF(N285="","",RANK(N285,$N$5:$N$525))</f>
        <v>262</v>
      </c>
      <c r="P285" s="17" t="str">
        <f aca="false">IF(AND(N(H285)&gt;=N(K285),N(H285)&gt;=N(N285)),"The Pulse",IF(N(K285)&gt;=N(N285),"The Lens","The Hub"))</f>
        <v>The Lens</v>
      </c>
      <c r="Q285" s="21" t="s">
        <v>79</v>
      </c>
      <c r="R285" s="26" t="s">
        <v>822</v>
      </c>
      <c r="S285" s="17" t="s">
        <v>22</v>
      </c>
    </row>
    <row r="286" customFormat="false" ht="15" hidden="false" customHeight="false" outlineLevel="0" collapsed="false">
      <c r="A286" s="17" t="s">
        <v>1151</v>
      </c>
      <c r="B286" s="17" t="s">
        <v>1152</v>
      </c>
      <c r="C286" s="17" t="s">
        <v>2571</v>
      </c>
      <c r="D286" s="17" t="s">
        <v>98</v>
      </c>
      <c r="E286" s="18" t="n">
        <v>15300</v>
      </c>
      <c r="F286" s="17" t="s">
        <v>821</v>
      </c>
      <c r="G286" s="23" t="n">
        <v>1.15875816993464</v>
      </c>
      <c r="H286" s="19" t="n">
        <v>45.9</v>
      </c>
      <c r="I286" s="17" t="n">
        <f aca="false">IF(H286="","",RANK(H286,$H$5:$H$525))</f>
        <v>282</v>
      </c>
      <c r="J286" s="24" t="n">
        <v>0.148648648648649</v>
      </c>
      <c r="K286" s="19" t="n">
        <v>77.3</v>
      </c>
      <c r="L286" s="17" t="n">
        <f aca="false">IF(K286="","",RANK(K286,$K$5:$K$525))</f>
        <v>121</v>
      </c>
      <c r="M286" s="25" t="n">
        <v>0.0540974825923942</v>
      </c>
      <c r="N286" s="19" t="n">
        <v>34.6</v>
      </c>
      <c r="O286" s="17" t="n">
        <f aca="false">IF(N286="","",RANK(N286,$N$5:$N$525))</f>
        <v>341</v>
      </c>
      <c r="P286" s="17" t="str">
        <f aca="false">IF(AND(N(H286)&gt;=N(K286),N(H286)&gt;=N(N286)),"The Pulse",IF(N(K286)&gt;=N(N286),"The Lens","The Hub"))</f>
        <v>The Lens</v>
      </c>
      <c r="Q286" s="20" t="s">
        <v>74</v>
      </c>
      <c r="R286" s="27" t="s">
        <v>832</v>
      </c>
      <c r="S286" s="17" t="s">
        <v>24</v>
      </c>
    </row>
    <row r="287" customFormat="false" ht="15" hidden="false" customHeight="false" outlineLevel="0" collapsed="false">
      <c r="A287" s="17" t="s">
        <v>1092</v>
      </c>
      <c r="B287" s="17" t="s">
        <v>1093</v>
      </c>
      <c r="C287" s="17" t="s">
        <v>2572</v>
      </c>
      <c r="D287" s="17" t="s">
        <v>91</v>
      </c>
      <c r="E287" s="18" t="n">
        <v>45522</v>
      </c>
      <c r="F287" s="17" t="s">
        <v>821</v>
      </c>
      <c r="G287" s="23" t="n">
        <v>1.15700101050042</v>
      </c>
      <c r="H287" s="19" t="n">
        <v>45.7</v>
      </c>
      <c r="I287" s="17" t="n">
        <f aca="false">IF(H287="","",RANK(H287,$H$5:$H$525))</f>
        <v>283</v>
      </c>
      <c r="J287" s="24" t="n">
        <v>0.021588868940754</v>
      </c>
      <c r="K287" s="19" t="n">
        <v>17.5</v>
      </c>
      <c r="L287" s="17" t="n">
        <f aca="false">IF(K287="","",RANK(K287,$K$5:$K$525))</f>
        <v>431</v>
      </c>
      <c r="M287" s="25" t="n">
        <v>0.139819587628866</v>
      </c>
      <c r="N287" s="19" t="n">
        <v>71</v>
      </c>
      <c r="O287" s="17" t="n">
        <f aca="false">IF(N287="","",RANK(N287,$N$5:$N$525))</f>
        <v>150</v>
      </c>
      <c r="P287" s="17" t="str">
        <f aca="false">IF(AND(N(H287)&gt;=N(K287),N(H287)&gt;=N(N287)),"The Pulse",IF(N(K287)&gt;=N(N287),"The Lens","The Hub"))</f>
        <v>The Hub</v>
      </c>
      <c r="Q287" s="21" t="s">
        <v>79</v>
      </c>
      <c r="R287" s="27" t="s">
        <v>832</v>
      </c>
      <c r="S287" s="17" t="s">
        <v>22</v>
      </c>
    </row>
    <row r="288" customFormat="false" ht="15" hidden="false" customHeight="false" outlineLevel="0" collapsed="false">
      <c r="A288" s="17" t="s">
        <v>531</v>
      </c>
      <c r="B288" s="17" t="s">
        <v>532</v>
      </c>
      <c r="C288" s="17" t="s">
        <v>2573</v>
      </c>
      <c r="D288" s="17" t="s">
        <v>95</v>
      </c>
      <c r="E288" s="18" t="n">
        <v>2794445</v>
      </c>
      <c r="F288" s="17" t="s">
        <v>935</v>
      </c>
      <c r="G288" s="23" t="n">
        <v>1.15404024770572</v>
      </c>
      <c r="H288" s="19" t="n">
        <v>45.5</v>
      </c>
      <c r="I288" s="17" t="n">
        <f aca="false">IF(H288="","",RANK(H288,$H$5:$H$525))</f>
        <v>284</v>
      </c>
      <c r="J288" s="24" t="n">
        <v>-0.119117681826421</v>
      </c>
      <c r="K288" s="19" t="n">
        <v>7.1</v>
      </c>
      <c r="L288" s="17" t="n">
        <f aca="false">IF(K288="","",RANK(K288,$K$5:$K$525))</f>
        <v>484</v>
      </c>
      <c r="M288" s="25" t="n">
        <v>0.012135602163303</v>
      </c>
      <c r="N288" s="19" t="n">
        <v>8.2</v>
      </c>
      <c r="O288" s="17" t="n">
        <f aca="false">IF(N288="","",RANK(N288,$N$5:$N$525))</f>
        <v>479</v>
      </c>
      <c r="P288" s="17" t="str">
        <f aca="false">IF(AND(N(H288)&gt;=N(K288),N(H288)&gt;=N(N288)),"The Pulse",IF(N(K288)&gt;=N(N288),"The Lens","The Hub"))</f>
        <v>The Pulse</v>
      </c>
      <c r="Q288" s="21" t="s">
        <v>79</v>
      </c>
      <c r="R288" s="26" t="s">
        <v>822</v>
      </c>
      <c r="S288" s="17" t="s">
        <v>22</v>
      </c>
    </row>
    <row r="289" customFormat="false" ht="15" hidden="false" customHeight="false" outlineLevel="0" collapsed="false">
      <c r="A289" s="17" t="s">
        <v>1687</v>
      </c>
      <c r="B289" s="17" t="s">
        <v>1688</v>
      </c>
      <c r="C289" s="17" t="s">
        <v>2574</v>
      </c>
      <c r="D289" s="17" t="s">
        <v>123</v>
      </c>
      <c r="E289" s="18" t="n">
        <v>281229</v>
      </c>
      <c r="F289" s="17" t="s">
        <v>827</v>
      </c>
      <c r="G289" s="23" t="n">
        <v>1.15266917707633</v>
      </c>
      <c r="H289" s="19" t="n">
        <v>45.3</v>
      </c>
      <c r="I289" s="17" t="n">
        <f aca="false">IF(H289="","",RANK(H289,$H$5:$H$525))</f>
        <v>285</v>
      </c>
      <c r="J289" s="24" t="n">
        <v>0.0869929886132606</v>
      </c>
      <c r="K289" s="19" t="n">
        <v>50.9</v>
      </c>
      <c r="L289" s="17" t="n">
        <f aca="false">IF(K289="","",RANK(K289,$K$5:$K$525))</f>
        <v>257</v>
      </c>
      <c r="M289" s="25" t="n">
        <v>0.142400116334024</v>
      </c>
      <c r="N289" s="19" t="n">
        <v>71.9</v>
      </c>
      <c r="O289" s="17" t="n">
        <f aca="false">IF(N289="","",RANK(N289,$N$5:$N$525))</f>
        <v>146</v>
      </c>
      <c r="P289" s="17" t="str">
        <f aca="false">IF(AND(N(H289)&gt;=N(K289),N(H289)&gt;=N(N289)),"The Pulse",IF(N(K289)&gt;=N(N289),"The Lens","The Hub"))</f>
        <v>The Hub</v>
      </c>
      <c r="Q289" s="21" t="s">
        <v>79</v>
      </c>
      <c r="R289" s="27" t="s">
        <v>832</v>
      </c>
      <c r="S289" s="17" t="s">
        <v>22</v>
      </c>
    </row>
    <row r="290" customFormat="false" ht="15" hidden="false" customHeight="false" outlineLevel="0" collapsed="false">
      <c r="A290" s="17" t="s">
        <v>415</v>
      </c>
      <c r="B290" s="17" t="s">
        <v>416</v>
      </c>
      <c r="C290" s="17" t="s">
        <v>2575</v>
      </c>
      <c r="D290" s="17" t="s">
        <v>86</v>
      </c>
      <c r="E290" s="18" t="n">
        <v>9502</v>
      </c>
      <c r="F290" s="17" t="s">
        <v>825</v>
      </c>
      <c r="G290" s="23" t="n">
        <v>1.14544306461798</v>
      </c>
      <c r="H290" s="19" t="n">
        <v>45.1</v>
      </c>
      <c r="I290" s="17" t="n">
        <f aca="false">IF(H290="","",RANK(H290,$H$5:$H$525))</f>
        <v>286</v>
      </c>
      <c r="J290" s="24" t="n">
        <v>0.0763479836882646</v>
      </c>
      <c r="K290" s="19" t="n">
        <v>38.8</v>
      </c>
      <c r="L290" s="17" t="n">
        <f aca="false">IF(K290="","",RANK(K290,$K$5:$K$525))</f>
        <v>319</v>
      </c>
      <c r="M290" s="25" t="n">
        <v>0.22237017310253</v>
      </c>
      <c r="N290" s="19" t="n">
        <v>89.1</v>
      </c>
      <c r="O290" s="17" t="n">
        <f aca="false">IF(N290="","",RANK(N290,$N$5:$N$525))</f>
        <v>58</v>
      </c>
      <c r="P290" s="17" t="str">
        <f aca="false">IF(AND(N(H290)&gt;=N(K290),N(H290)&gt;=N(N290)),"The Pulse",IF(N(K290)&gt;=N(N290),"The Lens","The Hub"))</f>
        <v>The Hub</v>
      </c>
      <c r="Q290" s="21" t="s">
        <v>79</v>
      </c>
      <c r="R290" s="26" t="s">
        <v>822</v>
      </c>
      <c r="S290" s="17" t="s">
        <v>22</v>
      </c>
    </row>
    <row r="291" customFormat="false" ht="15" hidden="false" customHeight="false" outlineLevel="0" collapsed="false">
      <c r="A291" s="17" t="s">
        <v>2006</v>
      </c>
      <c r="B291" s="17" t="s">
        <v>2007</v>
      </c>
      <c r="C291" s="17" t="s">
        <v>2576</v>
      </c>
      <c r="D291" s="17" t="s">
        <v>82</v>
      </c>
      <c r="E291" s="18" t="n">
        <v>8612</v>
      </c>
      <c r="F291" s="17" t="s">
        <v>825</v>
      </c>
      <c r="G291" s="23" t="n">
        <v>1.14177891314445</v>
      </c>
      <c r="H291" s="19" t="n">
        <v>45</v>
      </c>
      <c r="I291" s="17" t="n">
        <f aca="false">IF(H291="","",RANK(H291,$H$5:$H$525))</f>
        <v>287</v>
      </c>
      <c r="J291" s="24" t="n">
        <v>0.143691899070385</v>
      </c>
      <c r="K291" s="19" t="n">
        <v>65</v>
      </c>
      <c r="L291" s="17" t="n">
        <f aca="false">IF(K291="","",RANK(K291,$K$5:$K$525))</f>
        <v>182</v>
      </c>
      <c r="M291" s="25" t="n">
        <v>0.0102564102564103</v>
      </c>
      <c r="N291" s="19" t="n">
        <v>6.6</v>
      </c>
      <c r="O291" s="17" t="n">
        <f aca="false">IF(N291="","",RANK(N291,$N$5:$N$525))</f>
        <v>487</v>
      </c>
      <c r="P291" s="17" t="str">
        <f aca="false">IF(AND(N(H291)&gt;=N(K291),N(H291)&gt;=N(N291)),"The Pulse",IF(N(K291)&gt;=N(N291),"The Lens","The Hub"))</f>
        <v>The Lens</v>
      </c>
      <c r="Q291" s="21" t="s">
        <v>79</v>
      </c>
      <c r="R291" s="27" t="s">
        <v>832</v>
      </c>
      <c r="S291" s="17" t="s">
        <v>22</v>
      </c>
    </row>
    <row r="292" customFormat="false" ht="15" hidden="false" customHeight="false" outlineLevel="0" collapsed="false">
      <c r="A292" s="17" t="s">
        <v>921</v>
      </c>
      <c r="B292" s="17" t="s">
        <v>922</v>
      </c>
      <c r="C292" s="17" t="s">
        <v>2577</v>
      </c>
      <c r="D292" s="17" t="s">
        <v>72</v>
      </c>
      <c r="E292" s="18" t="n">
        <v>12100</v>
      </c>
      <c r="F292" s="17" t="s">
        <v>821</v>
      </c>
      <c r="G292" s="23" t="n">
        <v>1.13884297520661</v>
      </c>
      <c r="H292" s="19" t="n">
        <v>44.8</v>
      </c>
      <c r="I292" s="17" t="n">
        <f aca="false">IF(H292="","",RANK(H292,$H$5:$H$525))</f>
        <v>288</v>
      </c>
      <c r="J292" s="24" t="n">
        <v>0.0558464223385689</v>
      </c>
      <c r="K292" s="19" t="n">
        <v>31.5</v>
      </c>
      <c r="L292" s="17" t="n">
        <f aca="false">IF(K292="","",RANK(K292,$K$5:$K$525))</f>
        <v>358</v>
      </c>
      <c r="M292" s="25" t="n">
        <v>0.00744186046511628</v>
      </c>
      <c r="N292" s="19" t="n">
        <v>5.4</v>
      </c>
      <c r="O292" s="17" t="n">
        <f aca="false">IF(N292="","",RANK(N292,$N$5:$N$525))</f>
        <v>494</v>
      </c>
      <c r="P292" s="17" t="str">
        <f aca="false">IF(AND(N(H292)&gt;=N(K292),N(H292)&gt;=N(N292)),"The Pulse",IF(N(K292)&gt;=N(N292),"The Lens","The Hub"))</f>
        <v>The Pulse</v>
      </c>
      <c r="Q292" s="21" t="s">
        <v>79</v>
      </c>
      <c r="R292" s="27" t="s">
        <v>832</v>
      </c>
      <c r="S292" s="17" t="s">
        <v>88</v>
      </c>
    </row>
    <row r="293" customFormat="false" ht="15" hidden="false" customHeight="false" outlineLevel="0" collapsed="false">
      <c r="A293" s="17" t="s">
        <v>273</v>
      </c>
      <c r="B293" s="17" t="s">
        <v>274</v>
      </c>
      <c r="C293" s="17" t="s">
        <v>2578</v>
      </c>
      <c r="D293" s="17" t="s">
        <v>91</v>
      </c>
      <c r="E293" s="18" t="n">
        <v>313608</v>
      </c>
      <c r="F293" s="17" t="s">
        <v>827</v>
      </c>
      <c r="G293" s="23" t="n">
        <v>1.1343970817071</v>
      </c>
      <c r="H293" s="19" t="n">
        <v>44.6</v>
      </c>
      <c r="I293" s="17" t="n">
        <f aca="false">IF(H293="","",RANK(H293,$H$5:$H$525))</f>
        <v>289</v>
      </c>
      <c r="J293" s="24" t="n">
        <v>0.0699546918499918</v>
      </c>
      <c r="K293" s="19" t="n">
        <v>41.6</v>
      </c>
      <c r="L293" s="17" t="n">
        <f aca="false">IF(K293="","",RANK(K293,$K$5:$K$525))</f>
        <v>305</v>
      </c>
      <c r="M293" s="25" t="n">
        <v>0.0619141914191419</v>
      </c>
      <c r="N293" s="19" t="n">
        <v>40</v>
      </c>
      <c r="O293" s="17" t="n">
        <f aca="false">IF(N293="","",RANK(N293,$N$5:$N$525))</f>
        <v>313</v>
      </c>
      <c r="P293" s="17" t="str">
        <f aca="false">IF(AND(N(H293)&gt;=N(K293),N(H293)&gt;=N(N293)),"The Pulse",IF(N(K293)&gt;=N(N293),"The Lens","The Hub"))</f>
        <v>The Pulse</v>
      </c>
      <c r="Q293" s="21" t="s">
        <v>79</v>
      </c>
      <c r="R293" s="26" t="s">
        <v>822</v>
      </c>
      <c r="S293" s="17" t="s">
        <v>22</v>
      </c>
    </row>
    <row r="294" customFormat="false" ht="15" hidden="false" customHeight="false" outlineLevel="0" collapsed="false">
      <c r="A294" s="17" t="s">
        <v>1024</v>
      </c>
      <c r="B294" s="17" t="s">
        <v>1025</v>
      </c>
      <c r="C294" s="17" t="s">
        <v>2579</v>
      </c>
      <c r="D294" s="17" t="s">
        <v>115</v>
      </c>
      <c r="E294" s="18" t="n">
        <v>81720</v>
      </c>
      <c r="F294" s="17" t="s">
        <v>821</v>
      </c>
      <c r="G294" s="23" t="n">
        <v>1.13327214880078</v>
      </c>
      <c r="H294" s="19" t="n">
        <v>44.3</v>
      </c>
      <c r="I294" s="17" t="n">
        <f aca="false">IF(H294="","",RANK(H294,$H$5:$H$525))</f>
        <v>290</v>
      </c>
      <c r="J294" s="24" t="n">
        <v>0.0397078843242281</v>
      </c>
      <c r="K294" s="19" t="n">
        <v>23.1</v>
      </c>
      <c r="L294" s="17" t="n">
        <f aca="false">IF(K294="","",RANK(K294,$K$5:$K$525))</f>
        <v>402</v>
      </c>
      <c r="M294" s="25" t="n">
        <v>0.0982539682539683</v>
      </c>
      <c r="N294" s="19" t="n">
        <v>58.2</v>
      </c>
      <c r="O294" s="17" t="n">
        <f aca="false">IF(N294="","",RANK(N294,$N$5:$N$525))</f>
        <v>218</v>
      </c>
      <c r="P294" s="17" t="str">
        <f aca="false">IF(AND(N(H294)&gt;=N(K294),N(H294)&gt;=N(N294)),"The Pulse",IF(N(K294)&gt;=N(N294),"The Lens","The Hub"))</f>
        <v>The Hub</v>
      </c>
      <c r="Q294" s="21" t="s">
        <v>79</v>
      </c>
      <c r="R294" s="27" t="s">
        <v>832</v>
      </c>
      <c r="S294" s="17" t="s">
        <v>22</v>
      </c>
    </row>
    <row r="295" customFormat="false" ht="15" hidden="false" customHeight="false" outlineLevel="0" collapsed="false">
      <c r="A295" s="17" t="s">
        <v>1841</v>
      </c>
      <c r="B295" s="17" t="s">
        <v>1842</v>
      </c>
      <c r="C295" s="17" t="s">
        <v>2580</v>
      </c>
      <c r="D295" s="17" t="s">
        <v>115</v>
      </c>
      <c r="E295" s="18" t="n">
        <v>23393</v>
      </c>
      <c r="F295" s="17" t="s">
        <v>821</v>
      </c>
      <c r="G295" s="23" t="n">
        <v>1.13166331808661</v>
      </c>
      <c r="H295" s="19" t="n">
        <v>44.1</v>
      </c>
      <c r="I295" s="17" t="n">
        <f aca="false">IF(H295="","",RANK(H295,$H$5:$H$525))</f>
        <v>291</v>
      </c>
      <c r="J295" s="24" t="n">
        <v>0.02143917561785</v>
      </c>
      <c r="K295" s="19" t="n">
        <v>17.2</v>
      </c>
      <c r="L295" s="17" t="n">
        <f aca="false">IF(K295="","",RANK(K295,$K$5:$K$525))</f>
        <v>434</v>
      </c>
      <c r="M295" s="25" t="n">
        <v>0.0432937181663837</v>
      </c>
      <c r="N295" s="19" t="n">
        <v>28.1</v>
      </c>
      <c r="O295" s="17" t="n">
        <f aca="false">IF(N295="","",RANK(N295,$N$5:$N$525))</f>
        <v>375</v>
      </c>
      <c r="P295" s="17" t="str">
        <f aca="false">IF(AND(N(H295)&gt;=N(K295),N(H295)&gt;=N(N295)),"The Pulse",IF(N(K295)&gt;=N(N295),"The Lens","The Hub"))</f>
        <v>The Pulse</v>
      </c>
      <c r="Q295" s="21" t="s">
        <v>79</v>
      </c>
      <c r="R295" s="27" t="s">
        <v>832</v>
      </c>
      <c r="S295" s="17" t="s">
        <v>22</v>
      </c>
    </row>
    <row r="296" customFormat="false" ht="15" hidden="false" customHeight="false" outlineLevel="0" collapsed="false">
      <c r="A296" s="17" t="s">
        <v>573</v>
      </c>
      <c r="B296" s="17" t="s">
        <v>574</v>
      </c>
      <c r="C296" s="17" t="s">
        <v>2581</v>
      </c>
      <c r="D296" s="17" t="s">
        <v>91</v>
      </c>
      <c r="E296" s="18" t="n">
        <v>6330</v>
      </c>
      <c r="F296" s="17" t="s">
        <v>825</v>
      </c>
      <c r="G296" s="23" t="n">
        <v>1.12969984202212</v>
      </c>
      <c r="H296" s="19" t="n">
        <v>43.9</v>
      </c>
      <c r="I296" s="17" t="n">
        <f aca="false">IF(H296="","",RANK(H296,$H$5:$H$525))</f>
        <v>292</v>
      </c>
      <c r="J296" s="24" t="n">
        <v>0.02486144101346</v>
      </c>
      <c r="K296" s="19" t="n">
        <v>20</v>
      </c>
      <c r="L296" s="17" t="n">
        <f aca="false">IF(K296="","",RANK(K296,$K$5:$K$525))</f>
        <v>420</v>
      </c>
      <c r="M296" s="25" t="n">
        <v>0.185185185185185</v>
      </c>
      <c r="N296" s="19" t="n">
        <v>81.4</v>
      </c>
      <c r="O296" s="17" t="n">
        <f aca="false">IF(N296="","",RANK(N296,$N$5:$N$525))</f>
        <v>96</v>
      </c>
      <c r="P296" s="17" t="str">
        <f aca="false">IF(AND(N(H296)&gt;=N(K296),N(H296)&gt;=N(N296)),"The Pulse",IF(N(K296)&gt;=N(N296),"The Lens","The Hub"))</f>
        <v>The Hub</v>
      </c>
      <c r="Q296" s="21" t="s">
        <v>79</v>
      </c>
      <c r="R296" s="26" t="s">
        <v>822</v>
      </c>
      <c r="S296" s="17" t="s">
        <v>88</v>
      </c>
    </row>
    <row r="297" customFormat="false" ht="15" hidden="false" customHeight="false" outlineLevel="0" collapsed="false">
      <c r="A297" s="17" t="s">
        <v>543</v>
      </c>
      <c r="B297" s="17" t="s">
        <v>544</v>
      </c>
      <c r="C297" s="17" t="s">
        <v>2582</v>
      </c>
      <c r="D297" s="17" t="s">
        <v>115</v>
      </c>
      <c r="E297" s="18" t="n">
        <v>10548</v>
      </c>
      <c r="F297" s="17" t="s">
        <v>821</v>
      </c>
      <c r="G297" s="23" t="n">
        <v>1.12940841865757</v>
      </c>
      <c r="H297" s="19" t="n">
        <v>43.7</v>
      </c>
      <c r="I297" s="17" t="n">
        <f aca="false">IF(H297="","",RANK(H297,$H$5:$H$525))</f>
        <v>293</v>
      </c>
      <c r="J297" s="24" t="n">
        <v>0.107983193277311</v>
      </c>
      <c r="K297" s="19" t="n">
        <v>56.5</v>
      </c>
      <c r="L297" s="17" t="n">
        <f aca="false">IF(K297="","",RANK(K297,$K$5:$K$525))</f>
        <v>226</v>
      </c>
      <c r="M297" s="25" t="n">
        <v>0.176781002638522</v>
      </c>
      <c r="N297" s="19" t="n">
        <v>79.9</v>
      </c>
      <c r="O297" s="17" t="n">
        <f aca="false">IF(N297="","",RANK(N297,$N$5:$N$525))</f>
        <v>104</v>
      </c>
      <c r="P297" s="17" t="str">
        <f aca="false">IF(AND(N(H297)&gt;=N(K297),N(H297)&gt;=N(N297)),"The Pulse",IF(N(K297)&gt;=N(N297),"The Lens","The Hub"))</f>
        <v>The Hub</v>
      </c>
      <c r="Q297" s="21" t="s">
        <v>79</v>
      </c>
      <c r="R297" s="26" t="s">
        <v>822</v>
      </c>
      <c r="S297" s="17" t="s">
        <v>22</v>
      </c>
    </row>
    <row r="298" customFormat="false" ht="15" hidden="false" customHeight="false" outlineLevel="0" collapsed="false">
      <c r="A298" s="17" t="s">
        <v>1481</v>
      </c>
      <c r="B298" s="17" t="s">
        <v>1482</v>
      </c>
      <c r="C298" s="17" t="s">
        <v>2583</v>
      </c>
      <c r="D298" s="17" t="s">
        <v>98</v>
      </c>
      <c r="E298" s="18" t="n">
        <v>10840</v>
      </c>
      <c r="F298" s="17" t="s">
        <v>821</v>
      </c>
      <c r="G298" s="23" t="n">
        <v>1.12813653136531</v>
      </c>
      <c r="H298" s="19" t="n">
        <v>43.6</v>
      </c>
      <c r="I298" s="17" t="n">
        <f aca="false">IF(H298="","",RANK(H298,$H$5:$H$525))</f>
        <v>294</v>
      </c>
      <c r="J298" s="24" t="n">
        <v>0.0219986838394284</v>
      </c>
      <c r="K298" s="19" t="n">
        <v>17.9</v>
      </c>
      <c r="L298" s="17" t="n">
        <f aca="false">IF(K298="","",RANK(K298,$K$5:$K$525))</f>
        <v>430</v>
      </c>
      <c r="M298" s="25" t="n">
        <v>0.100622406639004</v>
      </c>
      <c r="N298" s="19" t="n">
        <v>59.3</v>
      </c>
      <c r="O298" s="17" t="n">
        <f aca="false">IF(N298="","",RANK(N298,$N$5:$N$525))</f>
        <v>212</v>
      </c>
      <c r="P298" s="17" t="str">
        <f aca="false">IF(AND(N(H298)&gt;=N(K298),N(H298)&gt;=N(N298)),"The Pulse",IF(N(K298)&gt;=N(N298),"The Lens","The Hub"))</f>
        <v>The Hub</v>
      </c>
      <c r="Q298" s="21" t="s">
        <v>79</v>
      </c>
      <c r="R298" s="27" t="s">
        <v>832</v>
      </c>
      <c r="S298" s="17" t="s">
        <v>88</v>
      </c>
    </row>
    <row r="299" customFormat="false" ht="15" hidden="false" customHeight="false" outlineLevel="0" collapsed="false">
      <c r="A299" s="17" t="s">
        <v>655</v>
      </c>
      <c r="B299" s="17" t="s">
        <v>656</v>
      </c>
      <c r="C299" s="17" t="s">
        <v>2584</v>
      </c>
      <c r="D299" s="17" t="s">
        <v>72</v>
      </c>
      <c r="E299" s="18" t="n">
        <v>230133</v>
      </c>
      <c r="F299" s="17" t="s">
        <v>827</v>
      </c>
      <c r="G299" s="23" t="n">
        <v>1.12795644257886</v>
      </c>
      <c r="H299" s="19" t="n">
        <v>43.4</v>
      </c>
      <c r="I299" s="17" t="n">
        <f aca="false">IF(H299="","",RANK(H299,$H$5:$H$525))</f>
        <v>295</v>
      </c>
      <c r="J299" s="24" t="n">
        <v>0.029908256880734</v>
      </c>
      <c r="K299" s="19" t="n">
        <v>21.7</v>
      </c>
      <c r="L299" s="17" t="n">
        <f aca="false">IF(K299="","",RANK(K299,$K$5:$K$525))</f>
        <v>410</v>
      </c>
      <c r="M299" s="25" t="n">
        <v>0.101282916948008</v>
      </c>
      <c r="N299" s="19" t="n">
        <v>59.9</v>
      </c>
      <c r="O299" s="17" t="n">
        <f aca="false">IF(N299="","",RANK(N299,$N$5:$N$525))</f>
        <v>209</v>
      </c>
      <c r="P299" s="17" t="str">
        <f aca="false">IF(AND(N(H299)&gt;=N(K299),N(H299)&gt;=N(N299)),"The Pulse",IF(N(K299)&gt;=N(N299),"The Lens","The Hub"))</f>
        <v>The Hub</v>
      </c>
      <c r="Q299" s="21" t="s">
        <v>79</v>
      </c>
      <c r="R299" s="26" t="s">
        <v>822</v>
      </c>
      <c r="S299" s="17" t="s">
        <v>22</v>
      </c>
    </row>
    <row r="300" customFormat="false" ht="15" hidden="false" customHeight="false" outlineLevel="0" collapsed="false">
      <c r="A300" s="17" t="s">
        <v>557</v>
      </c>
      <c r="B300" s="17" t="s">
        <v>558</v>
      </c>
      <c r="C300" s="17" t="s">
        <v>2585</v>
      </c>
      <c r="D300" s="17" t="s">
        <v>115</v>
      </c>
      <c r="E300" s="18" t="n">
        <v>15890</v>
      </c>
      <c r="F300" s="17" t="s">
        <v>821</v>
      </c>
      <c r="G300" s="23" t="n">
        <v>1.11415984896161</v>
      </c>
      <c r="H300" s="19" t="n">
        <v>43.2</v>
      </c>
      <c r="I300" s="17" t="n">
        <f aca="false">IF(H300="","",RANK(H300,$H$5:$H$525))</f>
        <v>296</v>
      </c>
      <c r="J300" s="24" t="n">
        <v>0.105006954102921</v>
      </c>
      <c r="K300" s="19" t="n">
        <v>55.2</v>
      </c>
      <c r="L300" s="17" t="n">
        <f aca="false">IF(K300="","",RANK(K300,$K$5:$K$525))</f>
        <v>234</v>
      </c>
      <c r="M300" s="25" t="n">
        <v>0.257731958762887</v>
      </c>
      <c r="N300" s="19" t="n">
        <v>93.2</v>
      </c>
      <c r="O300" s="17" t="n">
        <f aca="false">IF(N300="","",RANK(N300,$N$5:$N$525))</f>
        <v>36</v>
      </c>
      <c r="P300" s="17" t="str">
        <f aca="false">IF(AND(N(H300)&gt;=N(K300),N(H300)&gt;=N(N300)),"The Pulse",IF(N(K300)&gt;=N(N300),"The Lens","The Hub"))</f>
        <v>The Hub</v>
      </c>
      <c r="Q300" s="20" t="s">
        <v>74</v>
      </c>
      <c r="R300" s="26" t="s">
        <v>822</v>
      </c>
      <c r="S300" s="17" t="s">
        <v>24</v>
      </c>
    </row>
    <row r="301" customFormat="false" ht="15" hidden="false" customHeight="false" outlineLevel="0" collapsed="false">
      <c r="A301" s="17" t="s">
        <v>559</v>
      </c>
      <c r="B301" s="17" t="s">
        <v>560</v>
      </c>
      <c r="C301" s="17" t="s">
        <v>2586</v>
      </c>
      <c r="D301" s="17" t="s">
        <v>115</v>
      </c>
      <c r="E301" s="18" t="n">
        <v>21170</v>
      </c>
      <c r="F301" s="17" t="s">
        <v>821</v>
      </c>
      <c r="G301" s="23" t="n">
        <v>1.1118091639112</v>
      </c>
      <c r="H301" s="19" t="n">
        <v>43</v>
      </c>
      <c r="I301" s="17" t="n">
        <f aca="false">IF(H301="","",RANK(H301,$H$5:$H$525))</f>
        <v>297</v>
      </c>
      <c r="J301" s="24" t="n">
        <v>0.108376963350785</v>
      </c>
      <c r="K301" s="19" t="n">
        <v>56.8</v>
      </c>
      <c r="L301" s="17" t="n">
        <f aca="false">IF(K301="","",RANK(K301,$K$5:$K$525))</f>
        <v>225</v>
      </c>
      <c r="M301" s="25" t="n">
        <v>0.0980662983425414</v>
      </c>
      <c r="N301" s="19" t="n">
        <v>58.1</v>
      </c>
      <c r="O301" s="17" t="n">
        <f aca="false">IF(N301="","",RANK(N301,$N$5:$N$525))</f>
        <v>219</v>
      </c>
      <c r="P301" s="17" t="str">
        <f aca="false">IF(AND(N(H301)&gt;=N(K301),N(H301)&gt;=N(N301)),"The Pulse",IF(N(K301)&gt;=N(N301),"The Lens","The Hub"))</f>
        <v>The Hub</v>
      </c>
      <c r="Q301" s="21" t="s">
        <v>79</v>
      </c>
      <c r="R301" s="26" t="s">
        <v>822</v>
      </c>
      <c r="S301" s="17" t="s">
        <v>88</v>
      </c>
    </row>
    <row r="302" customFormat="false" ht="15" hidden="false" customHeight="false" outlineLevel="0" collapsed="false">
      <c r="A302" s="17" t="s">
        <v>1297</v>
      </c>
      <c r="B302" s="17" t="s">
        <v>1298</v>
      </c>
      <c r="C302" s="17" t="s">
        <v>2587</v>
      </c>
      <c r="D302" s="17" t="s">
        <v>162</v>
      </c>
      <c r="E302" s="18" t="n">
        <v>28950</v>
      </c>
      <c r="F302" s="17" t="s">
        <v>821</v>
      </c>
      <c r="G302" s="23" t="n">
        <v>1.10504317789292</v>
      </c>
      <c r="H302" s="19" t="n">
        <v>42.9</v>
      </c>
      <c r="I302" s="17" t="n">
        <f aca="false">IF(H302="","",RANK(H302,$H$5:$H$525))</f>
        <v>298</v>
      </c>
      <c r="J302" s="24" t="n">
        <v>0.170642943792964</v>
      </c>
      <c r="K302" s="19" t="n">
        <v>85.4</v>
      </c>
      <c r="L302" s="17" t="n">
        <f aca="false">IF(K302="","",RANK(K302,$K$5:$K$525))</f>
        <v>80</v>
      </c>
      <c r="M302" s="25" t="n">
        <v>0.25869432580842</v>
      </c>
      <c r="N302" s="19" t="n">
        <v>93.4</v>
      </c>
      <c r="O302" s="17" t="n">
        <f aca="false">IF(N302="","",RANK(N302,$N$5:$N$525))</f>
        <v>35</v>
      </c>
      <c r="P302" s="17" t="str">
        <f aca="false">IF(AND(N(H302)&gt;=N(K302),N(H302)&gt;=N(N302)),"The Pulse",IF(N(K302)&gt;=N(N302),"The Lens","The Hub"))</f>
        <v>The Hub</v>
      </c>
      <c r="Q302" s="20" t="s">
        <v>74</v>
      </c>
      <c r="R302" s="27" t="s">
        <v>832</v>
      </c>
      <c r="S302" s="17" t="s">
        <v>24</v>
      </c>
    </row>
    <row r="303" customFormat="false" ht="15" hidden="false" customHeight="false" outlineLevel="0" collapsed="false">
      <c r="A303" s="17" t="s">
        <v>437</v>
      </c>
      <c r="B303" s="17" t="s">
        <v>438</v>
      </c>
      <c r="C303" s="17" t="s">
        <v>2588</v>
      </c>
      <c r="D303" s="17" t="s">
        <v>123</v>
      </c>
      <c r="E303" s="18" t="n">
        <v>28140</v>
      </c>
      <c r="F303" s="17" t="s">
        <v>821</v>
      </c>
      <c r="G303" s="23" t="n">
        <v>1.09939587775409</v>
      </c>
      <c r="H303" s="19" t="n">
        <v>42.7</v>
      </c>
      <c r="I303" s="17" t="n">
        <f aca="false">IF(H303="","",RANK(H303,$H$5:$H$525))</f>
        <v>299</v>
      </c>
      <c r="J303" s="24" t="n">
        <v>0.0433815350389322</v>
      </c>
      <c r="K303" s="19" t="n">
        <v>25.3</v>
      </c>
      <c r="L303" s="17" t="n">
        <f aca="false">IF(K303="","",RANK(K303,$K$5:$K$525))</f>
        <v>390</v>
      </c>
      <c r="M303" s="25" t="n">
        <v>0.0423357664233577</v>
      </c>
      <c r="N303" s="19" t="n">
        <v>27.6</v>
      </c>
      <c r="O303" s="17" t="n">
        <f aca="false">IF(N303="","",RANK(N303,$N$5:$N$525))</f>
        <v>378</v>
      </c>
      <c r="P303" s="17" t="str">
        <f aca="false">IF(AND(N(H303)&gt;=N(K303),N(H303)&gt;=N(N303)),"The Pulse",IF(N(K303)&gt;=N(N303),"The Lens","The Hub"))</f>
        <v>The Pulse</v>
      </c>
      <c r="Q303" s="20" t="s">
        <v>74</v>
      </c>
      <c r="R303" s="26" t="s">
        <v>822</v>
      </c>
      <c r="S303" s="17" t="s">
        <v>24</v>
      </c>
    </row>
    <row r="304" customFormat="false" ht="15" hidden="false" customHeight="false" outlineLevel="0" collapsed="false">
      <c r="A304" s="17" t="s">
        <v>1437</v>
      </c>
      <c r="B304" s="17" t="s">
        <v>1438</v>
      </c>
      <c r="C304" s="17" t="s">
        <v>2589</v>
      </c>
      <c r="D304" s="17" t="s">
        <v>82</v>
      </c>
      <c r="E304" s="18" t="n">
        <v>59650</v>
      </c>
      <c r="F304" s="17" t="s">
        <v>821</v>
      </c>
      <c r="G304" s="23" t="n">
        <v>1.09815590947192</v>
      </c>
      <c r="H304" s="19" t="n">
        <v>42.5</v>
      </c>
      <c r="I304" s="17" t="n">
        <f aca="false">IF(H304="","",RANK(H304,$H$5:$H$525))</f>
        <v>300</v>
      </c>
      <c r="J304" s="24" t="n">
        <v>0.15016775288265</v>
      </c>
      <c r="K304" s="19" t="n">
        <v>77.9</v>
      </c>
      <c r="L304" s="17" t="n">
        <f aca="false">IF(K304="","",RANK(K304,$K$5:$K$525))</f>
        <v>117</v>
      </c>
      <c r="M304" s="25" t="n">
        <v>0.131329113924051</v>
      </c>
      <c r="N304" s="19" t="n">
        <v>68.6</v>
      </c>
      <c r="O304" s="17" t="n">
        <f aca="false">IF(N304="","",RANK(N304,$N$5:$N$525))</f>
        <v>162</v>
      </c>
      <c r="P304" s="17" t="str">
        <f aca="false">IF(AND(N(H304)&gt;=N(K304),N(H304)&gt;=N(N304)),"The Pulse",IF(N(K304)&gt;=N(N304),"The Lens","The Hub"))</f>
        <v>The Lens</v>
      </c>
      <c r="Q304" s="21" t="s">
        <v>79</v>
      </c>
      <c r="R304" s="27" t="s">
        <v>832</v>
      </c>
      <c r="S304" s="17" t="s">
        <v>22</v>
      </c>
    </row>
    <row r="305" customFormat="false" ht="15" hidden="false" customHeight="false" outlineLevel="0" collapsed="false">
      <c r="A305" s="17" t="s">
        <v>1163</v>
      </c>
      <c r="B305" s="17" t="s">
        <v>1164</v>
      </c>
      <c r="C305" s="17" t="s">
        <v>2590</v>
      </c>
      <c r="D305" s="17" t="s">
        <v>162</v>
      </c>
      <c r="E305" s="18" t="n">
        <v>38272</v>
      </c>
      <c r="F305" s="17" t="s">
        <v>821</v>
      </c>
      <c r="G305" s="23" t="n">
        <v>1.09746028428094</v>
      </c>
      <c r="H305" s="19" t="n">
        <v>42.3</v>
      </c>
      <c r="I305" s="17" t="n">
        <f aca="false">IF(H305="","",RANK(H305,$H$5:$H$525))</f>
        <v>301</v>
      </c>
      <c r="J305" s="24" t="n">
        <v>0.122675271340569</v>
      </c>
      <c r="K305" s="19" t="n">
        <v>63.6</v>
      </c>
      <c r="L305" s="17" t="n">
        <f aca="false">IF(K305="","",RANK(K305,$K$5:$K$525))</f>
        <v>190</v>
      </c>
      <c r="M305" s="25" t="n">
        <v>0.146993318485523</v>
      </c>
      <c r="N305" s="19" t="n">
        <v>72.4</v>
      </c>
      <c r="O305" s="17" t="n">
        <f aca="false">IF(N305="","",RANK(N305,$N$5:$N$525))</f>
        <v>143</v>
      </c>
      <c r="P305" s="17" t="str">
        <f aca="false">IF(AND(N(H305)&gt;=N(K305),N(H305)&gt;=N(N305)),"The Pulse",IF(N(K305)&gt;=N(N305),"The Lens","The Hub"))</f>
        <v>The Hub</v>
      </c>
      <c r="Q305" s="21" t="s">
        <v>79</v>
      </c>
      <c r="R305" s="27" t="s">
        <v>832</v>
      </c>
      <c r="S305" s="17" t="s">
        <v>22</v>
      </c>
    </row>
    <row r="306" customFormat="false" ht="15" hidden="false" customHeight="false" outlineLevel="0" collapsed="false">
      <c r="A306" s="17" t="s">
        <v>295</v>
      </c>
      <c r="B306" s="17" t="s">
        <v>296</v>
      </c>
      <c r="C306" s="17" t="s">
        <v>2591</v>
      </c>
      <c r="D306" s="17" t="s">
        <v>95</v>
      </c>
      <c r="E306" s="18" t="n">
        <v>40956</v>
      </c>
      <c r="F306" s="17" t="s">
        <v>821</v>
      </c>
      <c r="G306" s="23" t="n">
        <v>1.09695771071394</v>
      </c>
      <c r="H306" s="19" t="n">
        <v>42.2</v>
      </c>
      <c r="I306" s="17" t="n">
        <f aca="false">IF(H306="","",RANK(H306,$H$5:$H$525))</f>
        <v>302</v>
      </c>
      <c r="J306" s="24" t="n">
        <v>0.0548329770520514</v>
      </c>
      <c r="K306" s="19" t="n">
        <v>30.2</v>
      </c>
      <c r="L306" s="17" t="n">
        <f aca="false">IF(K306="","",RANK(K306,$K$5:$K$525))</f>
        <v>364</v>
      </c>
      <c r="M306" s="25" t="n">
        <v>0.0926829268292683</v>
      </c>
      <c r="N306" s="19" t="n">
        <v>55</v>
      </c>
      <c r="O306" s="17" t="n">
        <f aca="false">IF(N306="","",RANK(N306,$N$5:$N$525))</f>
        <v>235</v>
      </c>
      <c r="P306" s="17" t="str">
        <f aca="false">IF(AND(N(H306)&gt;=N(K306),N(H306)&gt;=N(N306)),"The Pulse",IF(N(K306)&gt;=N(N306),"The Lens","The Hub"))</f>
        <v>The Hub</v>
      </c>
      <c r="Q306" s="21" t="s">
        <v>79</v>
      </c>
      <c r="R306" s="26" t="s">
        <v>822</v>
      </c>
      <c r="S306" s="17" t="s">
        <v>22</v>
      </c>
    </row>
    <row r="307" customFormat="false" ht="15" hidden="false" customHeight="false" outlineLevel="0" collapsed="false">
      <c r="A307" s="17" t="s">
        <v>363</v>
      </c>
      <c r="B307" s="17" t="s">
        <v>364</v>
      </c>
      <c r="C307" s="17" t="s">
        <v>2592</v>
      </c>
      <c r="D307" s="17" t="s">
        <v>95</v>
      </c>
      <c r="E307" s="18" t="n">
        <v>2681</v>
      </c>
      <c r="F307" s="17" t="s">
        <v>825</v>
      </c>
      <c r="G307" s="23" t="n">
        <v>1.09474076837001</v>
      </c>
      <c r="H307" s="19" t="n">
        <v>42</v>
      </c>
      <c r="I307" s="17" t="n">
        <f aca="false">IF(H307="","",RANK(H307,$H$5:$H$525))</f>
        <v>303</v>
      </c>
      <c r="J307" s="24" t="n">
        <v>0.147197261446299</v>
      </c>
      <c r="K307" s="19" t="n">
        <v>67.5</v>
      </c>
      <c r="L307" s="17" t="n">
        <f aca="false">IF(K307="","",RANK(K307,$K$5:$K$525))</f>
        <v>168</v>
      </c>
      <c r="M307" s="25" t="n">
        <v>0.113475177304965</v>
      </c>
      <c r="N307" s="19" t="n">
        <v>63.3</v>
      </c>
      <c r="O307" s="17" t="n">
        <f aca="false">IF(N307="","",RANK(N307,$N$5:$N$525))</f>
        <v>191</v>
      </c>
      <c r="P307" s="17" t="str">
        <f aca="false">IF(AND(N(H307)&gt;=N(K307),N(H307)&gt;=N(N307)),"The Pulse",IF(N(K307)&gt;=N(N307),"The Lens","The Hub"))</f>
        <v>The Lens</v>
      </c>
      <c r="Q307" s="21" t="s">
        <v>79</v>
      </c>
      <c r="R307" s="26" t="s">
        <v>822</v>
      </c>
      <c r="S307" s="17" t="s">
        <v>22</v>
      </c>
    </row>
    <row r="308" customFormat="false" ht="15" hidden="false" customHeight="false" outlineLevel="0" collapsed="false">
      <c r="A308" s="17" t="s">
        <v>2593</v>
      </c>
      <c r="B308" s="17" t="s">
        <v>2594</v>
      </c>
      <c r="C308" s="17" t="s">
        <v>2595</v>
      </c>
      <c r="D308" s="17" t="s">
        <v>86</v>
      </c>
      <c r="E308" s="18" t="n">
        <v>37113</v>
      </c>
      <c r="F308" s="17" t="s">
        <v>821</v>
      </c>
      <c r="G308" s="23" t="n">
        <v>1.0904534799127</v>
      </c>
      <c r="H308" s="19" t="n">
        <v>41.8</v>
      </c>
      <c r="I308" s="17" t="n">
        <f aca="false">IF(H308="","",RANK(H308,$H$5:$H$525))</f>
        <v>304</v>
      </c>
      <c r="J308" s="24" t="n">
        <v>0.159636295463067</v>
      </c>
      <c r="K308" s="19" t="n">
        <v>80.8</v>
      </c>
      <c r="L308" s="17" t="n">
        <f aca="false">IF(K308="","",RANK(K308,$K$5:$K$525))</f>
        <v>103</v>
      </c>
      <c r="M308" s="25" t="n">
        <v>0.0969030969030969</v>
      </c>
      <c r="N308" s="19" t="n">
        <v>57.3</v>
      </c>
      <c r="O308" s="17" t="n">
        <f aca="false">IF(N308="","",RANK(N308,$N$5:$N$525))</f>
        <v>223</v>
      </c>
      <c r="P308" s="17" t="str">
        <f aca="false">IF(AND(N(H308)&gt;=N(K308),N(H308)&gt;=N(N308)),"The Pulse",IF(N(K308)&gt;=N(N308),"The Lens","The Hub"))</f>
        <v>The Lens</v>
      </c>
      <c r="Q308" s="22" t="s">
        <v>109</v>
      </c>
      <c r="R308" s="27" t="s">
        <v>832</v>
      </c>
      <c r="S308" s="17" t="s">
        <v>110</v>
      </c>
    </row>
    <row r="309" customFormat="false" ht="15" hidden="false" customHeight="false" outlineLevel="0" collapsed="false">
      <c r="A309" s="17" t="s">
        <v>2596</v>
      </c>
      <c r="B309" s="17" t="s">
        <v>2597</v>
      </c>
      <c r="C309" s="17" t="s">
        <v>2598</v>
      </c>
      <c r="D309" s="17" t="s">
        <v>86</v>
      </c>
      <c r="E309" s="18" t="n">
        <v>77380</v>
      </c>
      <c r="F309" s="17" t="s">
        <v>821</v>
      </c>
      <c r="G309" s="23" t="n">
        <v>1.07376583096407</v>
      </c>
      <c r="H309" s="19" t="n">
        <v>41.3</v>
      </c>
      <c r="I309" s="17" t="n">
        <f aca="false">IF(H309="","",RANK(H309,$H$5:$H$525))</f>
        <v>305</v>
      </c>
      <c r="J309" s="24" t="n">
        <v>0.0633502817094957</v>
      </c>
      <c r="K309" s="19" t="n">
        <v>34.1</v>
      </c>
      <c r="L309" s="17" t="n">
        <f aca="false">IF(K309="","",RANK(K309,$K$5:$K$525))</f>
        <v>345</v>
      </c>
      <c r="M309" s="25" t="n">
        <v>0.300044091710758</v>
      </c>
      <c r="N309" s="19" t="n">
        <v>96.2</v>
      </c>
      <c r="O309" s="17" t="n">
        <f aca="false">IF(N309="","",RANK(N309,$N$5:$N$525))</f>
        <v>19</v>
      </c>
      <c r="P309" s="17" t="str">
        <f aca="false">IF(AND(N(H309)&gt;=N(K309),N(H309)&gt;=N(N309)),"The Pulse",IF(N(K309)&gt;=N(N309),"The Lens","The Hub"))</f>
        <v>The Hub</v>
      </c>
      <c r="Q309" s="20" t="s">
        <v>74</v>
      </c>
      <c r="R309" s="27" t="s">
        <v>832</v>
      </c>
      <c r="S309" s="17" t="s">
        <v>24</v>
      </c>
    </row>
    <row r="310" customFormat="false" ht="15" hidden="false" customHeight="false" outlineLevel="0" collapsed="false">
      <c r="A310" s="17" t="s">
        <v>727</v>
      </c>
      <c r="B310" s="17" t="s">
        <v>728</v>
      </c>
      <c r="C310" s="17" t="s">
        <v>2599</v>
      </c>
      <c r="D310" s="17" t="s">
        <v>86</v>
      </c>
      <c r="E310" s="18" t="n">
        <v>47823</v>
      </c>
      <c r="F310" s="17" t="s">
        <v>821</v>
      </c>
      <c r="G310" s="23" t="n">
        <v>1.06668339501913</v>
      </c>
      <c r="H310" s="19" t="n">
        <v>41.1</v>
      </c>
      <c r="I310" s="17" t="n">
        <f aca="false">IF(H310="","",RANK(H310,$H$5:$H$525))</f>
        <v>306</v>
      </c>
      <c r="J310" s="24" t="n">
        <v>0.184558604973744</v>
      </c>
      <c r="K310" s="19" t="n">
        <v>88.6</v>
      </c>
      <c r="L310" s="17" t="n">
        <f aca="false">IF(K310="","",RANK(K310,$K$5:$K$525))</f>
        <v>63</v>
      </c>
      <c r="M310" s="25" t="n">
        <v>0.0788131664348632</v>
      </c>
      <c r="N310" s="19" t="n">
        <v>48.6</v>
      </c>
      <c r="O310" s="17" t="n">
        <f aca="false">IF(N310="","",RANK(N310,$N$5:$N$525))</f>
        <v>267</v>
      </c>
      <c r="P310" s="17" t="str">
        <f aca="false">IF(AND(N(H310)&gt;=N(K310),N(H310)&gt;=N(N310)),"The Pulse",IF(N(K310)&gt;=N(N310),"The Lens","The Hub"))</f>
        <v>The Lens</v>
      </c>
      <c r="Q310" s="21" t="s">
        <v>79</v>
      </c>
      <c r="R310" s="26" t="s">
        <v>822</v>
      </c>
      <c r="S310" s="17" t="s">
        <v>22</v>
      </c>
    </row>
    <row r="311" customFormat="false" ht="15" hidden="false" customHeight="false" outlineLevel="0" collapsed="false">
      <c r="A311" s="17" t="s">
        <v>649</v>
      </c>
      <c r="B311" s="17" t="s">
        <v>650</v>
      </c>
      <c r="C311" s="17" t="s">
        <v>2600</v>
      </c>
      <c r="D311" s="17" t="s">
        <v>115</v>
      </c>
      <c r="E311" s="18" t="n">
        <v>570982</v>
      </c>
      <c r="F311" s="17" t="s">
        <v>827</v>
      </c>
      <c r="G311" s="23" t="n">
        <v>1.06056232946047</v>
      </c>
      <c r="H311" s="19" t="n">
        <v>40.9</v>
      </c>
      <c r="I311" s="17" t="n">
        <f aca="false">IF(H311="","",RANK(H311,$H$5:$H$525))</f>
        <v>307</v>
      </c>
      <c r="J311" s="24" t="n">
        <v>0.254740034281194</v>
      </c>
      <c r="K311" s="19" t="n">
        <v>98.8</v>
      </c>
      <c r="L311" s="17" t="n">
        <f aca="false">IF(K311="","",RANK(K311,$K$5:$K$525))</f>
        <v>9</v>
      </c>
      <c r="M311" s="25" t="n">
        <v>0.0645499162078047</v>
      </c>
      <c r="N311" s="19" t="n">
        <v>41.2</v>
      </c>
      <c r="O311" s="17" t="n">
        <f aca="false">IF(N311="","",RANK(N311,$N$5:$N$525))</f>
        <v>306</v>
      </c>
      <c r="P311" s="17" t="str">
        <f aca="false">IF(AND(N(H311)&gt;=N(K311),N(H311)&gt;=N(N311)),"The Pulse",IF(N(K311)&gt;=N(N311),"The Lens","The Hub"))</f>
        <v>The Lens</v>
      </c>
      <c r="Q311" s="21" t="s">
        <v>79</v>
      </c>
      <c r="R311" s="26" t="s">
        <v>822</v>
      </c>
      <c r="S311" s="17" t="s">
        <v>22</v>
      </c>
    </row>
    <row r="312" customFormat="false" ht="15" hidden="false" customHeight="false" outlineLevel="0" collapsed="false">
      <c r="A312" s="17" t="s">
        <v>641</v>
      </c>
      <c r="B312" s="17" t="s">
        <v>642</v>
      </c>
      <c r="C312" s="17" t="s">
        <v>2601</v>
      </c>
      <c r="D312" s="17" t="s">
        <v>95</v>
      </c>
      <c r="E312" s="18" t="n">
        <v>47640</v>
      </c>
      <c r="F312" s="17" t="s">
        <v>821</v>
      </c>
      <c r="G312" s="23" t="n">
        <v>1.05514273719563</v>
      </c>
      <c r="H312" s="19" t="n">
        <v>40.7</v>
      </c>
      <c r="I312" s="17" t="n">
        <f aca="false">IF(H312="","",RANK(H312,$H$5:$H$525))</f>
        <v>308</v>
      </c>
      <c r="J312" s="24" t="n">
        <v>0.0223175965665236</v>
      </c>
      <c r="K312" s="19" t="n">
        <v>18.5</v>
      </c>
      <c r="L312" s="17" t="n">
        <f aca="false">IF(K312="","",RANK(K312,$K$5:$K$525))</f>
        <v>428</v>
      </c>
      <c r="M312" s="25" t="n">
        <v>0.161151697464547</v>
      </c>
      <c r="N312" s="19" t="n">
        <v>76.3</v>
      </c>
      <c r="O312" s="17" t="n">
        <f aca="false">IF(N312="","",RANK(N312,$N$5:$N$525))</f>
        <v>123</v>
      </c>
      <c r="P312" s="17" t="str">
        <f aca="false">IF(AND(N(H312)&gt;=N(K312),N(H312)&gt;=N(N312)),"The Pulse",IF(N(K312)&gt;=N(N312),"The Lens","The Hub"))</f>
        <v>The Hub</v>
      </c>
      <c r="Q312" s="20" t="s">
        <v>74</v>
      </c>
      <c r="R312" s="26" t="s">
        <v>822</v>
      </c>
      <c r="S312" s="17" t="s">
        <v>24</v>
      </c>
    </row>
    <row r="313" customFormat="false" ht="15" hidden="false" customHeight="false" outlineLevel="0" collapsed="false">
      <c r="A313" s="17" t="s">
        <v>405</v>
      </c>
      <c r="B313" s="17" t="s">
        <v>406</v>
      </c>
      <c r="C313" s="17" t="s">
        <v>2602</v>
      </c>
      <c r="D313" s="17" t="s">
        <v>123</v>
      </c>
      <c r="E313" s="18" t="n">
        <v>19839</v>
      </c>
      <c r="F313" s="17" t="s">
        <v>821</v>
      </c>
      <c r="G313" s="23" t="n">
        <v>1.05479106809819</v>
      </c>
      <c r="H313" s="19" t="n">
        <v>40.6</v>
      </c>
      <c r="I313" s="17" t="n">
        <f aca="false">IF(H313="","",RANK(H313,$H$5:$H$525))</f>
        <v>309</v>
      </c>
      <c r="J313" s="24" t="n">
        <v>0.037496077816128</v>
      </c>
      <c r="K313" s="19" t="n">
        <v>22.7</v>
      </c>
      <c r="L313" s="17" t="n">
        <f aca="false">IF(K313="","",RANK(K313,$K$5:$K$525))</f>
        <v>404</v>
      </c>
      <c r="M313" s="25" t="n">
        <v>0.0849947534102833</v>
      </c>
      <c r="N313" s="19" t="n">
        <v>51.6</v>
      </c>
      <c r="O313" s="17" t="n">
        <f aca="false">IF(N313="","",RANK(N313,$N$5:$N$525))</f>
        <v>251</v>
      </c>
      <c r="P313" s="17" t="str">
        <f aca="false">IF(AND(N(H313)&gt;=N(K313),N(H313)&gt;=N(N313)),"The Pulse",IF(N(K313)&gt;=N(N313),"The Lens","The Hub"))</f>
        <v>The Hub</v>
      </c>
      <c r="Q313" s="21" t="s">
        <v>79</v>
      </c>
      <c r="R313" s="26" t="s">
        <v>822</v>
      </c>
      <c r="S313" s="17" t="s">
        <v>22</v>
      </c>
    </row>
    <row r="314" customFormat="false" ht="15" hidden="false" customHeight="false" outlineLevel="0" collapsed="false">
      <c r="A314" s="17" t="s">
        <v>1171</v>
      </c>
      <c r="B314" s="17" t="s">
        <v>1172</v>
      </c>
      <c r="C314" s="17" t="s">
        <v>2603</v>
      </c>
      <c r="D314" s="17" t="s">
        <v>72</v>
      </c>
      <c r="E314" s="18" t="n">
        <v>46051</v>
      </c>
      <c r="F314" s="17" t="s">
        <v>821</v>
      </c>
      <c r="G314" s="23" t="n">
        <v>1.0367201580856</v>
      </c>
      <c r="H314" s="19" t="n">
        <v>40.4</v>
      </c>
      <c r="I314" s="17" t="n">
        <f aca="false">IF(H314="","",RANK(H314,$H$5:$H$525))</f>
        <v>310</v>
      </c>
      <c r="J314" s="24" t="n">
        <v>-0.0484937394107195</v>
      </c>
      <c r="K314" s="19" t="n">
        <v>2.3</v>
      </c>
      <c r="L314" s="17" t="n">
        <f aca="false">IF(K314="","",RANK(K314,$K$5:$K$525))</f>
        <v>512</v>
      </c>
      <c r="M314" s="25" t="n">
        <v>0.147754137115839</v>
      </c>
      <c r="N314" s="19" t="n">
        <v>72.8</v>
      </c>
      <c r="O314" s="17" t="n">
        <f aca="false">IF(N314="","",RANK(N314,$N$5:$N$525))</f>
        <v>141</v>
      </c>
      <c r="P314" s="17" t="str">
        <f aca="false">IF(AND(N(H314)&gt;=N(K314),N(H314)&gt;=N(N314)),"The Pulse",IF(N(K314)&gt;=N(N314),"The Lens","The Hub"))</f>
        <v>The Hub</v>
      </c>
      <c r="Q314" s="21" t="s">
        <v>79</v>
      </c>
      <c r="R314" s="27" t="s">
        <v>832</v>
      </c>
      <c r="S314" s="17" t="s">
        <v>22</v>
      </c>
    </row>
    <row r="315" customFormat="false" ht="15" hidden="false" customHeight="false" outlineLevel="0" collapsed="false">
      <c r="A315" s="17" t="s">
        <v>487</v>
      </c>
      <c r="B315" s="17" t="s">
        <v>488</v>
      </c>
      <c r="C315" s="17" t="s">
        <v>2604</v>
      </c>
      <c r="D315" s="17" t="s">
        <v>91</v>
      </c>
      <c r="E315" s="18" t="n">
        <v>19549</v>
      </c>
      <c r="F315" s="17" t="s">
        <v>821</v>
      </c>
      <c r="G315" s="23" t="n">
        <v>1.02649751905468</v>
      </c>
      <c r="H315" s="19" t="n">
        <v>40.2</v>
      </c>
      <c r="I315" s="17" t="n">
        <f aca="false">IF(H315="","",RANK(H315,$H$5:$H$525))</f>
        <v>311</v>
      </c>
      <c r="J315" s="24" t="n">
        <v>0.143483855872719</v>
      </c>
      <c r="K315" s="19" t="n">
        <v>74.4</v>
      </c>
      <c r="L315" s="17" t="n">
        <f aca="false">IF(K315="","",RANK(K315,$K$5:$K$525))</f>
        <v>136</v>
      </c>
      <c r="M315" s="25" t="n">
        <v>0.120496894409938</v>
      </c>
      <c r="N315" s="19" t="n">
        <v>65.8</v>
      </c>
      <c r="O315" s="17" t="n">
        <f aca="false">IF(N315="","",RANK(N315,$N$5:$N$525))</f>
        <v>177</v>
      </c>
      <c r="P315" s="17" t="str">
        <f aca="false">IF(AND(N(H315)&gt;=N(K315),N(H315)&gt;=N(N315)),"The Pulse",IF(N(K315)&gt;=N(N315),"The Lens","The Hub"))</f>
        <v>The Lens</v>
      </c>
      <c r="Q315" s="21" t="s">
        <v>79</v>
      </c>
      <c r="R315" s="26" t="s">
        <v>822</v>
      </c>
      <c r="S315" s="17" t="s">
        <v>88</v>
      </c>
    </row>
    <row r="316" customFormat="false" ht="15" hidden="false" customHeight="false" outlineLevel="0" collapsed="false">
      <c r="A316" s="17" t="s">
        <v>753</v>
      </c>
      <c r="B316" s="17" t="s">
        <v>754</v>
      </c>
      <c r="C316" s="17" t="s">
        <v>2605</v>
      </c>
      <c r="D316" s="17" t="s">
        <v>72</v>
      </c>
      <c r="E316" s="18" t="n">
        <v>291560</v>
      </c>
      <c r="F316" s="17" t="s">
        <v>827</v>
      </c>
      <c r="G316" s="23" t="n">
        <v>1.02609411441899</v>
      </c>
      <c r="H316" s="19" t="n">
        <v>40</v>
      </c>
      <c r="I316" s="17" t="n">
        <f aca="false">IF(H316="","",RANK(H316,$H$5:$H$525))</f>
        <v>312</v>
      </c>
      <c r="J316" s="24" t="n">
        <v>0.0744002653204113</v>
      </c>
      <c r="K316" s="19" t="n">
        <v>44.7</v>
      </c>
      <c r="L316" s="17" t="n">
        <f aca="false">IF(K316="","",RANK(K316,$K$5:$K$525))</f>
        <v>289</v>
      </c>
      <c r="M316" s="25" t="n">
        <v>0.0602290400113106</v>
      </c>
      <c r="N316" s="19" t="n">
        <v>37.8</v>
      </c>
      <c r="O316" s="17" t="n">
        <f aca="false">IF(N316="","",RANK(N316,$N$5:$N$525))</f>
        <v>325</v>
      </c>
      <c r="P316" s="17" t="str">
        <f aca="false">IF(AND(N(H316)&gt;=N(K316),N(H316)&gt;=N(N316)),"The Pulse",IF(N(K316)&gt;=N(N316),"The Lens","The Hub"))</f>
        <v>The Lens</v>
      </c>
      <c r="Q316" s="20" t="s">
        <v>74</v>
      </c>
      <c r="R316" s="26" t="s">
        <v>822</v>
      </c>
      <c r="S316" s="17" t="s">
        <v>24</v>
      </c>
    </row>
    <row r="317" customFormat="false" ht="15" hidden="false" customHeight="false" outlineLevel="0" collapsed="false">
      <c r="A317" s="17" t="s">
        <v>1307</v>
      </c>
      <c r="B317" s="17" t="s">
        <v>1308</v>
      </c>
      <c r="C317" s="17" t="s">
        <v>2606</v>
      </c>
      <c r="D317" s="17" t="s">
        <v>72</v>
      </c>
      <c r="E317" s="18" t="n">
        <v>6680</v>
      </c>
      <c r="F317" s="17" t="s">
        <v>825</v>
      </c>
      <c r="G317" s="23" t="n">
        <v>1.02455089820359</v>
      </c>
      <c r="H317" s="19" t="n">
        <v>39.9</v>
      </c>
      <c r="I317" s="17" t="n">
        <f aca="false">IF(H317="","",RANK(H317,$H$5:$H$525))</f>
        <v>313</v>
      </c>
      <c r="J317" s="24" t="n">
        <v>0.161739130434783</v>
      </c>
      <c r="K317" s="19" t="n">
        <v>73.8</v>
      </c>
      <c r="L317" s="17" t="n">
        <f aca="false">IF(K317="","",RANK(K317,$K$5:$K$525))</f>
        <v>139</v>
      </c>
      <c r="M317" s="25" t="n">
        <v>0.192429022082019</v>
      </c>
      <c r="N317" s="19" t="n">
        <v>82.8</v>
      </c>
      <c r="O317" s="17" t="n">
        <f aca="false">IF(N317="","",RANK(N317,$N$5:$N$525))</f>
        <v>90</v>
      </c>
      <c r="P317" s="17" t="str">
        <f aca="false">IF(AND(N(H317)&gt;=N(K317),N(H317)&gt;=N(N317)),"The Pulse",IF(N(K317)&gt;=N(N317),"The Lens","The Hub"))</f>
        <v>The Hub</v>
      </c>
      <c r="Q317" s="20" t="s">
        <v>74</v>
      </c>
      <c r="R317" s="27" t="s">
        <v>832</v>
      </c>
      <c r="S317" s="17" t="s">
        <v>24</v>
      </c>
    </row>
    <row r="318" customFormat="false" ht="15" hidden="false" customHeight="false" outlineLevel="0" collapsed="false">
      <c r="A318" s="17" t="s">
        <v>565</v>
      </c>
      <c r="B318" s="17" t="s">
        <v>566</v>
      </c>
      <c r="C318" s="17" t="s">
        <v>2607</v>
      </c>
      <c r="D318" s="17" t="s">
        <v>98</v>
      </c>
      <c r="E318" s="18" t="n">
        <v>78610</v>
      </c>
      <c r="F318" s="17" t="s">
        <v>821</v>
      </c>
      <c r="G318" s="23" t="n">
        <v>1.01920875206717</v>
      </c>
      <c r="H318" s="19" t="n">
        <v>39.7</v>
      </c>
      <c r="I318" s="17" t="n">
        <f aca="false">IF(H318="","",RANK(H318,$H$5:$H$525))</f>
        <v>314</v>
      </c>
      <c r="J318" s="24" t="n">
        <v>0.18050758372128</v>
      </c>
      <c r="K318" s="19" t="n">
        <v>87.3</v>
      </c>
      <c r="L318" s="17" t="n">
        <f aca="false">IF(K318="","",RANK(K318,$K$5:$K$525))</f>
        <v>69</v>
      </c>
      <c r="M318" s="25" t="n">
        <v>0.12474645030426</v>
      </c>
      <c r="N318" s="19" t="n">
        <v>66.7</v>
      </c>
      <c r="O318" s="17" t="n">
        <f aca="false">IF(N318="","",RANK(N318,$N$5:$N$525))</f>
        <v>172</v>
      </c>
      <c r="P318" s="17" t="str">
        <f aca="false">IF(AND(N(H318)&gt;=N(K318),N(H318)&gt;=N(N318)),"The Pulse",IF(N(K318)&gt;=N(N318),"The Lens","The Hub"))</f>
        <v>The Lens</v>
      </c>
      <c r="Q318" s="20" t="s">
        <v>74</v>
      </c>
      <c r="R318" s="26" t="s">
        <v>822</v>
      </c>
      <c r="S318" s="17" t="s">
        <v>24</v>
      </c>
    </row>
    <row r="319" customFormat="false" ht="15" hidden="false" customHeight="false" outlineLevel="0" collapsed="false">
      <c r="A319" s="17" t="s">
        <v>741</v>
      </c>
      <c r="B319" s="17" t="s">
        <v>742</v>
      </c>
      <c r="C319" s="17" t="s">
        <v>2608</v>
      </c>
      <c r="D319" s="17" t="s">
        <v>72</v>
      </c>
      <c r="E319" s="18" t="n">
        <v>15350</v>
      </c>
      <c r="F319" s="17" t="s">
        <v>821</v>
      </c>
      <c r="G319" s="23" t="n">
        <v>1.0185667752443</v>
      </c>
      <c r="H319" s="19" t="n">
        <v>39.5</v>
      </c>
      <c r="I319" s="17" t="n">
        <f aca="false">IF(H319="","",RANK(H319,$H$5:$H$525))</f>
        <v>315</v>
      </c>
      <c r="J319" s="24" t="n">
        <v>0.00169568903671819</v>
      </c>
      <c r="K319" s="19" t="n">
        <v>10.1</v>
      </c>
      <c r="L319" s="17" t="n">
        <f aca="false">IF(K319="","",RANK(K319,$K$5:$K$525))</f>
        <v>469</v>
      </c>
      <c r="M319" s="25" t="n">
        <v>0.370229007633588</v>
      </c>
      <c r="N319" s="19" t="n">
        <v>98.7</v>
      </c>
      <c r="O319" s="17" t="n">
        <f aca="false">IF(N319="","",RANK(N319,$N$5:$N$525))</f>
        <v>6</v>
      </c>
      <c r="P319" s="17" t="str">
        <f aca="false">IF(AND(N(H319)&gt;=N(K319),N(H319)&gt;=N(N319)),"The Pulse",IF(N(K319)&gt;=N(N319),"The Lens","The Hub"))</f>
        <v>The Hub</v>
      </c>
      <c r="Q319" s="21" t="s">
        <v>79</v>
      </c>
      <c r="R319" s="26" t="s">
        <v>822</v>
      </c>
      <c r="S319" s="17" t="s">
        <v>88</v>
      </c>
    </row>
    <row r="320" customFormat="false" ht="15" hidden="false" customHeight="false" outlineLevel="0" collapsed="false">
      <c r="A320" s="17" t="s">
        <v>707</v>
      </c>
      <c r="B320" s="17" t="s">
        <v>708</v>
      </c>
      <c r="C320" s="17" t="s">
        <v>2609</v>
      </c>
      <c r="D320" s="17" t="s">
        <v>115</v>
      </c>
      <c r="E320" s="18" t="n">
        <v>51340</v>
      </c>
      <c r="F320" s="17" t="s">
        <v>821</v>
      </c>
      <c r="G320" s="23" t="n">
        <v>1.01511492014024</v>
      </c>
      <c r="H320" s="19" t="n">
        <v>39.3</v>
      </c>
      <c r="I320" s="17" t="n">
        <f aca="false">IF(H320="","",RANK(H320,$H$5:$H$525))</f>
        <v>316</v>
      </c>
      <c r="J320" s="24" t="n">
        <v>0.139369729249889</v>
      </c>
      <c r="K320" s="19" t="n">
        <v>70.1</v>
      </c>
      <c r="L320" s="17" t="n">
        <f aca="false">IF(K320="","",RANK(K320,$K$5:$K$525))</f>
        <v>157</v>
      </c>
      <c r="M320" s="25" t="n">
        <v>0.0901559454191033</v>
      </c>
      <c r="N320" s="19" t="n">
        <v>54.3</v>
      </c>
      <c r="O320" s="17" t="n">
        <f aca="false">IF(N320="","",RANK(N320,$N$5:$N$525))</f>
        <v>238</v>
      </c>
      <c r="P320" s="17" t="str">
        <f aca="false">IF(AND(N(H320)&gt;=N(K320),N(H320)&gt;=N(N320)),"The Pulse",IF(N(K320)&gt;=N(N320),"The Lens","The Hub"))</f>
        <v>The Lens</v>
      </c>
      <c r="Q320" s="20" t="s">
        <v>74</v>
      </c>
      <c r="R320" s="26" t="s">
        <v>822</v>
      </c>
      <c r="S320" s="17" t="s">
        <v>24</v>
      </c>
    </row>
    <row r="321" customFormat="false" ht="15" hidden="false" customHeight="false" outlineLevel="0" collapsed="false">
      <c r="A321" s="17" t="s">
        <v>1760</v>
      </c>
      <c r="B321" s="17" t="s">
        <v>1761</v>
      </c>
      <c r="C321" s="17" t="s">
        <v>2610</v>
      </c>
      <c r="D321" s="17" t="s">
        <v>162</v>
      </c>
      <c r="E321" s="18" t="n">
        <v>16350</v>
      </c>
      <c r="F321" s="17" t="s">
        <v>821</v>
      </c>
      <c r="G321" s="23" t="n">
        <v>1.01443425076453</v>
      </c>
      <c r="H321" s="19" t="n">
        <v>39.2</v>
      </c>
      <c r="I321" s="17" t="n">
        <f aca="false">IF(H321="","",RANK(H321,$H$5:$H$525))</f>
        <v>317</v>
      </c>
      <c r="J321" s="24" t="n">
        <v>0.0548387096774194</v>
      </c>
      <c r="K321" s="19" t="n">
        <v>30.5</v>
      </c>
      <c r="L321" s="17" t="n">
        <f aca="false">IF(K321="","",RANK(K321,$K$5:$K$525))</f>
        <v>362</v>
      </c>
      <c r="M321" s="25" t="n">
        <v>0.204441541476159</v>
      </c>
      <c r="N321" s="19" t="n">
        <v>86.2</v>
      </c>
      <c r="O321" s="17" t="n">
        <f aca="false">IF(N321="","",RANK(N321,$N$5:$N$525))</f>
        <v>73</v>
      </c>
      <c r="P321" s="17" t="str">
        <f aca="false">IF(AND(N(H321)&gt;=N(K321),N(H321)&gt;=N(N321)),"The Pulse",IF(N(K321)&gt;=N(N321),"The Lens","The Hub"))</f>
        <v>The Hub</v>
      </c>
      <c r="Q321" s="21" t="s">
        <v>79</v>
      </c>
      <c r="R321" s="27" t="s">
        <v>832</v>
      </c>
      <c r="S321" s="17" t="s">
        <v>88</v>
      </c>
    </row>
    <row r="322" customFormat="false" ht="15" hidden="false" customHeight="false" outlineLevel="0" collapsed="false">
      <c r="A322" s="17" t="s">
        <v>725</v>
      </c>
      <c r="B322" s="17" t="s">
        <v>726</v>
      </c>
      <c r="C322" s="17" t="s">
        <v>2611</v>
      </c>
      <c r="D322" s="17" t="s">
        <v>115</v>
      </c>
      <c r="E322" s="18" t="n">
        <v>8522</v>
      </c>
      <c r="F322" s="17" t="s">
        <v>825</v>
      </c>
      <c r="G322" s="23" t="n">
        <v>1.00668857075804</v>
      </c>
      <c r="H322" s="19" t="n">
        <v>39</v>
      </c>
      <c r="I322" s="17" t="n">
        <f aca="false">IF(H322="","",RANK(H322,$H$5:$H$525))</f>
        <v>318</v>
      </c>
      <c r="J322" s="24" t="n">
        <v>0.0235407158299303</v>
      </c>
      <c r="K322" s="19" t="n">
        <v>17.5</v>
      </c>
      <c r="L322" s="17" t="n">
        <f aca="false">IF(K322="","",RANK(K322,$K$5:$K$525))</f>
        <v>431</v>
      </c>
      <c r="M322" s="25" t="n">
        <v>0.0958466453674121</v>
      </c>
      <c r="N322" s="19" t="n">
        <v>56.8</v>
      </c>
      <c r="O322" s="17" t="n">
        <f aca="false">IF(N322="","",RANK(N322,$N$5:$N$525))</f>
        <v>226</v>
      </c>
      <c r="P322" s="17" t="str">
        <f aca="false">IF(AND(N(H322)&gt;=N(K322),N(H322)&gt;=N(N322)),"The Pulse",IF(N(K322)&gt;=N(N322),"The Lens","The Hub"))</f>
        <v>The Hub</v>
      </c>
      <c r="Q322" s="21" t="s">
        <v>79</v>
      </c>
      <c r="R322" s="26" t="s">
        <v>822</v>
      </c>
      <c r="S322" s="17" t="s">
        <v>22</v>
      </c>
    </row>
    <row r="323" customFormat="false" ht="15" hidden="false" customHeight="false" outlineLevel="0" collapsed="false">
      <c r="A323" s="17" t="s">
        <v>581</v>
      </c>
      <c r="B323" s="17" t="s">
        <v>582</v>
      </c>
      <c r="C323" s="17" t="s">
        <v>2612</v>
      </c>
      <c r="D323" s="17" t="s">
        <v>82</v>
      </c>
      <c r="E323" s="18" t="n">
        <v>10387</v>
      </c>
      <c r="F323" s="17" t="s">
        <v>821</v>
      </c>
      <c r="G323" s="23" t="n">
        <v>0.996726677577741</v>
      </c>
      <c r="H323" s="19" t="n">
        <v>38.8</v>
      </c>
      <c r="I323" s="17" t="n">
        <f aca="false">IF(H323="","",RANK(H323,$H$5:$H$525))</f>
        <v>319</v>
      </c>
      <c r="J323" s="24" t="n">
        <v>0.0764846098041248</v>
      </c>
      <c r="K323" s="19" t="n">
        <v>39.3</v>
      </c>
      <c r="L323" s="17" t="n">
        <f aca="false">IF(K323="","",RANK(K323,$K$5:$K$525))</f>
        <v>317</v>
      </c>
      <c r="M323" s="25" t="n">
        <v>0.0883280757097792</v>
      </c>
      <c r="N323" s="19" t="n">
        <v>53.4</v>
      </c>
      <c r="O323" s="17" t="n">
        <f aca="false">IF(N323="","",RANK(N323,$N$5:$N$525))</f>
        <v>242</v>
      </c>
      <c r="P323" s="17" t="str">
        <f aca="false">IF(AND(N(H323)&gt;=N(K323),N(H323)&gt;=N(N323)),"The Pulse",IF(N(K323)&gt;=N(N323),"The Lens","The Hub"))</f>
        <v>The Hub</v>
      </c>
      <c r="Q323" s="21" t="s">
        <v>79</v>
      </c>
      <c r="R323" s="26" t="s">
        <v>822</v>
      </c>
      <c r="S323" s="17" t="s">
        <v>22</v>
      </c>
    </row>
    <row r="324" customFormat="false" ht="15" hidden="false" customHeight="false" outlineLevel="0" collapsed="false">
      <c r="A324" s="17" t="s">
        <v>947</v>
      </c>
      <c r="B324" s="17" t="s">
        <v>948</v>
      </c>
      <c r="C324" s="17" t="s">
        <v>2613</v>
      </c>
      <c r="D324" s="17" t="s">
        <v>123</v>
      </c>
      <c r="E324" s="18" t="n">
        <v>45980</v>
      </c>
      <c r="F324" s="17" t="s">
        <v>821</v>
      </c>
      <c r="G324" s="23" t="n">
        <v>0.99551768611117</v>
      </c>
      <c r="H324" s="19" t="n">
        <v>38.6</v>
      </c>
      <c r="I324" s="17" t="n">
        <f aca="false">IF(H324="","",RANK(H324,$H$5:$H$525))</f>
        <v>320</v>
      </c>
      <c r="J324" s="24" t="n">
        <v>0.0547477810980777</v>
      </c>
      <c r="K324" s="19" t="n">
        <v>29.9</v>
      </c>
      <c r="L324" s="17" t="n">
        <f aca="false">IF(K324="","",RANK(K324,$K$5:$K$525))</f>
        <v>366</v>
      </c>
      <c r="M324" s="25" t="n">
        <v>0.279657562168773</v>
      </c>
      <c r="N324" s="19" t="n">
        <v>95.5</v>
      </c>
      <c r="O324" s="17" t="n">
        <f aca="false">IF(N324="","",RANK(N324,$N$5:$N$525))</f>
        <v>23</v>
      </c>
      <c r="P324" s="17" t="str">
        <f aca="false">IF(AND(N(H324)&gt;=N(K324),N(H324)&gt;=N(N324)),"The Pulse",IF(N(K324)&gt;=N(N324),"The Lens","The Hub"))</f>
        <v>The Hub</v>
      </c>
      <c r="Q324" s="21" t="s">
        <v>79</v>
      </c>
      <c r="R324" s="27" t="s">
        <v>832</v>
      </c>
      <c r="S324" s="17" t="s">
        <v>88</v>
      </c>
    </row>
    <row r="325" customFormat="false" ht="15" hidden="false" customHeight="false" outlineLevel="0" collapsed="false">
      <c r="A325" s="17" t="s">
        <v>1422</v>
      </c>
      <c r="B325" s="17" t="s">
        <v>1423</v>
      </c>
      <c r="C325" s="17" t="s">
        <v>2614</v>
      </c>
      <c r="D325" s="17" t="s">
        <v>86</v>
      </c>
      <c r="E325" s="18" t="n">
        <v>64330</v>
      </c>
      <c r="F325" s="17" t="s">
        <v>821</v>
      </c>
      <c r="G325" s="23" t="n">
        <v>0.995243276853723</v>
      </c>
      <c r="H325" s="19" t="n">
        <v>38.4</v>
      </c>
      <c r="I325" s="17" t="n">
        <f aca="false">IF(H325="","",RANK(H325,$H$5:$H$525))</f>
        <v>321</v>
      </c>
      <c r="J325" s="24" t="n">
        <v>0.0196544618798542</v>
      </c>
      <c r="K325" s="19" t="n">
        <v>15.9</v>
      </c>
      <c r="L325" s="17" t="n">
        <f aca="false">IF(K325="","",RANK(K325,$K$5:$K$525))</f>
        <v>441</v>
      </c>
      <c r="M325" s="25" t="n">
        <v>0.121538190156994</v>
      </c>
      <c r="N325" s="19" t="n">
        <v>66.1</v>
      </c>
      <c r="O325" s="17" t="n">
        <f aca="false">IF(N325="","",RANK(N325,$N$5:$N$525))</f>
        <v>175</v>
      </c>
      <c r="P325" s="17" t="str">
        <f aca="false">IF(AND(N(H325)&gt;=N(K325),N(H325)&gt;=N(N325)),"The Pulse",IF(N(K325)&gt;=N(N325),"The Lens","The Hub"))</f>
        <v>The Hub</v>
      </c>
      <c r="Q325" s="20" t="s">
        <v>74</v>
      </c>
      <c r="R325" s="27" t="s">
        <v>832</v>
      </c>
      <c r="S325" s="17" t="s">
        <v>24</v>
      </c>
    </row>
    <row r="326" customFormat="false" ht="15" hidden="false" customHeight="false" outlineLevel="0" collapsed="false">
      <c r="A326" s="17" t="s">
        <v>537</v>
      </c>
      <c r="B326" s="17" t="s">
        <v>538</v>
      </c>
      <c r="C326" s="17" t="s">
        <v>2615</v>
      </c>
      <c r="D326" s="17" t="s">
        <v>72</v>
      </c>
      <c r="E326" s="18" t="n">
        <v>22708</v>
      </c>
      <c r="F326" s="17" t="s">
        <v>821</v>
      </c>
      <c r="G326" s="23" t="n">
        <v>0.98903470142681</v>
      </c>
      <c r="H326" s="19" t="n">
        <v>38.3</v>
      </c>
      <c r="I326" s="17" t="n">
        <f aca="false">IF(H326="","",RANK(H326,$H$5:$H$525))</f>
        <v>322</v>
      </c>
      <c r="J326" s="24" t="n">
        <v>0.125886261093758</v>
      </c>
      <c r="K326" s="19" t="n">
        <v>65.3</v>
      </c>
      <c r="L326" s="17" t="n">
        <f aca="false">IF(K326="","",RANK(K326,$K$5:$K$525))</f>
        <v>180</v>
      </c>
      <c r="M326" s="25" t="n">
        <v>0.0134854771784232</v>
      </c>
      <c r="N326" s="19" t="n">
        <v>9.3</v>
      </c>
      <c r="O326" s="17" t="n">
        <f aca="false">IF(N326="","",RANK(N326,$N$5:$N$525))</f>
        <v>474</v>
      </c>
      <c r="P326" s="17" t="str">
        <f aca="false">IF(AND(N(H326)&gt;=N(K326),N(H326)&gt;=N(N326)),"The Pulse",IF(N(K326)&gt;=N(N326),"The Lens","The Hub"))</f>
        <v>The Lens</v>
      </c>
      <c r="Q326" s="21" t="s">
        <v>79</v>
      </c>
      <c r="R326" s="26" t="s">
        <v>822</v>
      </c>
      <c r="S326" s="17" t="s">
        <v>22</v>
      </c>
    </row>
    <row r="327" customFormat="false" ht="15" hidden="false" customHeight="false" outlineLevel="0" collapsed="false">
      <c r="A327" s="17" t="s">
        <v>615</v>
      </c>
      <c r="B327" s="17" t="s">
        <v>616</v>
      </c>
      <c r="C327" s="17" t="s">
        <v>2616</v>
      </c>
      <c r="D327" s="17" t="s">
        <v>82</v>
      </c>
      <c r="E327" s="18" t="n">
        <v>239710</v>
      </c>
      <c r="F327" s="17" t="s">
        <v>827</v>
      </c>
      <c r="G327" s="23" t="n">
        <v>0.988882399566142</v>
      </c>
      <c r="H327" s="19" t="n">
        <v>38.1</v>
      </c>
      <c r="I327" s="17" t="n">
        <f aca="false">IF(H327="","",RANK(H327,$H$5:$H$525))</f>
        <v>323</v>
      </c>
      <c r="J327" s="24" t="n">
        <v>0.177473229197367</v>
      </c>
      <c r="K327" s="19" t="n">
        <v>91.3</v>
      </c>
      <c r="L327" s="17" t="n">
        <f aca="false">IF(K327="","",RANK(K327,$K$5:$K$525))</f>
        <v>49</v>
      </c>
      <c r="M327" s="25" t="n">
        <v>0.00901132852729145</v>
      </c>
      <c r="N327" s="19" t="n">
        <v>6.1</v>
      </c>
      <c r="O327" s="17" t="n">
        <f aca="false">IF(N327="","",RANK(N327,$N$5:$N$525))</f>
        <v>490</v>
      </c>
      <c r="P327" s="17" t="str">
        <f aca="false">IF(AND(N(H327)&gt;=N(K327),N(H327)&gt;=N(N327)),"The Pulse",IF(N(K327)&gt;=N(N327),"The Lens","The Hub"))</f>
        <v>The Lens</v>
      </c>
      <c r="Q327" s="20" t="s">
        <v>74</v>
      </c>
      <c r="R327" s="26" t="s">
        <v>822</v>
      </c>
      <c r="S327" s="17" t="s">
        <v>24</v>
      </c>
    </row>
    <row r="328" customFormat="false" ht="15" hidden="false" customHeight="false" outlineLevel="0" collapsed="false">
      <c r="A328" s="17" t="s">
        <v>617</v>
      </c>
      <c r="B328" s="17" t="s">
        <v>618</v>
      </c>
      <c r="C328" s="17" t="s">
        <v>2617</v>
      </c>
      <c r="D328" s="17" t="s">
        <v>72</v>
      </c>
      <c r="E328" s="18" t="n">
        <v>64629</v>
      </c>
      <c r="F328" s="17" t="s">
        <v>821</v>
      </c>
      <c r="G328" s="23" t="n">
        <v>0.97675965897662</v>
      </c>
      <c r="H328" s="19" t="n">
        <v>37.9</v>
      </c>
      <c r="I328" s="17" t="n">
        <f aca="false">IF(H328="","",RANK(H328,$H$5:$H$525))</f>
        <v>324</v>
      </c>
      <c r="J328" s="24" t="n">
        <v>0.0620860791112718</v>
      </c>
      <c r="K328" s="19" t="n">
        <v>33.4</v>
      </c>
      <c r="L328" s="17" t="n">
        <f aca="false">IF(K328="","",RANK(K328,$K$5:$K$525))</f>
        <v>349</v>
      </c>
      <c r="M328" s="25" t="n">
        <v>0.355387029288703</v>
      </c>
      <c r="N328" s="19" t="n">
        <v>98.4</v>
      </c>
      <c r="O328" s="17" t="n">
        <f aca="false">IF(N328="","",RANK(N328,$N$5:$N$525))</f>
        <v>8</v>
      </c>
      <c r="P328" s="17" t="str">
        <f aca="false">IF(AND(N(H328)&gt;=N(K328),N(H328)&gt;=N(N328)),"The Pulse",IF(N(K328)&gt;=N(N328),"The Lens","The Hub"))</f>
        <v>The Hub</v>
      </c>
      <c r="Q328" s="21" t="s">
        <v>79</v>
      </c>
      <c r="R328" s="26" t="s">
        <v>822</v>
      </c>
      <c r="S328" s="17" t="s">
        <v>22</v>
      </c>
    </row>
    <row r="329" customFormat="false" ht="15" hidden="false" customHeight="false" outlineLevel="0" collapsed="false">
      <c r="A329" s="17" t="s">
        <v>621</v>
      </c>
      <c r="B329" s="17" t="s">
        <v>622</v>
      </c>
      <c r="C329" s="17" t="s">
        <v>2618</v>
      </c>
      <c r="D329" s="17" t="s">
        <v>86</v>
      </c>
      <c r="E329" s="18" t="n">
        <v>35840</v>
      </c>
      <c r="F329" s="17" t="s">
        <v>821</v>
      </c>
      <c r="G329" s="23" t="n">
        <v>0.974916294642857</v>
      </c>
      <c r="H329" s="19" t="n">
        <v>37.7</v>
      </c>
      <c r="I329" s="17" t="n">
        <f aca="false">IF(H329="","",RANK(H329,$H$5:$H$525))</f>
        <v>325</v>
      </c>
      <c r="J329" s="24" t="n">
        <v>0.0930161634644709</v>
      </c>
      <c r="K329" s="19" t="n">
        <v>48.4</v>
      </c>
      <c r="L329" s="17" t="n">
        <f aca="false">IF(K329="","",RANK(K329,$K$5:$K$525))</f>
        <v>270</v>
      </c>
      <c r="M329" s="25" t="n">
        <v>0.0829769033361848</v>
      </c>
      <c r="N329" s="19" t="n">
        <v>50.9</v>
      </c>
      <c r="O329" s="17" t="n">
        <f aca="false">IF(N329="","",RANK(N329,$N$5:$N$525))</f>
        <v>255</v>
      </c>
      <c r="P329" s="17" t="str">
        <f aca="false">IF(AND(N(H329)&gt;=N(K329),N(H329)&gt;=N(N329)),"The Pulse",IF(N(K329)&gt;=N(N329),"The Lens","The Hub"))</f>
        <v>The Hub</v>
      </c>
      <c r="Q329" s="20" t="s">
        <v>74</v>
      </c>
      <c r="R329" s="26" t="s">
        <v>822</v>
      </c>
      <c r="S329" s="17" t="s">
        <v>24</v>
      </c>
    </row>
    <row r="330" customFormat="false" ht="15" hidden="false" customHeight="false" outlineLevel="0" collapsed="false">
      <c r="A330" s="17" t="s">
        <v>906</v>
      </c>
      <c r="B330" s="17" t="s">
        <v>907</v>
      </c>
      <c r="C330" s="17" t="s">
        <v>2619</v>
      </c>
      <c r="D330" s="17" t="s">
        <v>123</v>
      </c>
      <c r="E330" s="18" t="n">
        <v>207730</v>
      </c>
      <c r="F330" s="17" t="s">
        <v>827</v>
      </c>
      <c r="G330" s="23" t="n">
        <v>0.970471284840899</v>
      </c>
      <c r="H330" s="19" t="n">
        <v>37.6</v>
      </c>
      <c r="I330" s="17" t="n">
        <f aca="false">IF(H330="","",RANK(H330,$H$5:$H$525))</f>
        <v>326</v>
      </c>
      <c r="J330" s="24" t="n">
        <v>0.289447548106766</v>
      </c>
      <c r="K330" s="19" t="n">
        <v>99.4</v>
      </c>
      <c r="L330" s="17" t="n">
        <f aca="false">IF(K330="","",RANK(K330,$K$5:$K$525))</f>
        <v>6</v>
      </c>
      <c r="M330" s="25" t="n">
        <v>0.0988055050636198</v>
      </c>
      <c r="N330" s="19" t="n">
        <v>58.6</v>
      </c>
      <c r="O330" s="17" t="n">
        <f aca="false">IF(N330="","",RANK(N330,$N$5:$N$525))</f>
        <v>216</v>
      </c>
      <c r="P330" s="17" t="str">
        <f aca="false">IF(AND(N(H330)&gt;=N(K330),N(H330)&gt;=N(N330)),"The Pulse",IF(N(K330)&gt;=N(N330),"The Lens","The Hub"))</f>
        <v>The Lens</v>
      </c>
      <c r="Q330" s="20" t="s">
        <v>74</v>
      </c>
      <c r="R330" s="27" t="s">
        <v>832</v>
      </c>
      <c r="S330" s="17" t="s">
        <v>24</v>
      </c>
    </row>
    <row r="331" customFormat="false" ht="15" hidden="false" customHeight="false" outlineLevel="0" collapsed="false">
      <c r="A331" s="17" t="s">
        <v>2620</v>
      </c>
      <c r="B331" s="17" t="s">
        <v>2621</v>
      </c>
      <c r="C331" s="17" t="s">
        <v>2622</v>
      </c>
      <c r="D331" s="17" t="s">
        <v>162</v>
      </c>
      <c r="E331" s="18" t="n">
        <v>113361</v>
      </c>
      <c r="F331" s="17" t="s">
        <v>827</v>
      </c>
      <c r="G331" s="23" t="n">
        <v>0.968604722964688</v>
      </c>
      <c r="H331" s="19" t="n">
        <v>37.4</v>
      </c>
      <c r="I331" s="17" t="n">
        <f aca="false">IF(H331="","",RANK(H331,$H$5:$H$525))</f>
        <v>327</v>
      </c>
      <c r="J331" s="24" t="n">
        <v>0.0526115418543108</v>
      </c>
      <c r="K331" s="19" t="n">
        <v>33.5</v>
      </c>
      <c r="L331" s="17" t="n">
        <f aca="false">IF(K331="","",RANK(K331,$K$5:$K$525))</f>
        <v>348</v>
      </c>
      <c r="M331" s="25" t="n">
        <v>0.101728591297437</v>
      </c>
      <c r="N331" s="19" t="n">
        <v>60</v>
      </c>
      <c r="O331" s="17" t="n">
        <f aca="false">IF(N331="","",RANK(N331,$N$5:$N$525))</f>
        <v>208</v>
      </c>
      <c r="P331" s="17" t="str">
        <f aca="false">IF(AND(N(H331)&gt;=N(K331),N(H331)&gt;=N(N331)),"The Pulse",IF(N(K331)&gt;=N(N331),"The Lens","The Hub"))</f>
        <v>The Hub</v>
      </c>
      <c r="Q331" s="21" t="s">
        <v>79</v>
      </c>
      <c r="R331" s="27" t="s">
        <v>832</v>
      </c>
      <c r="S331" s="17" t="s">
        <v>22</v>
      </c>
    </row>
    <row r="332" customFormat="false" ht="15" hidden="false" customHeight="false" outlineLevel="0" collapsed="false">
      <c r="A332" s="17" t="s">
        <v>2068</v>
      </c>
      <c r="B332" s="17" t="s">
        <v>2069</v>
      </c>
      <c r="C332" s="17" t="s">
        <v>2623</v>
      </c>
      <c r="D332" s="17" t="s">
        <v>162</v>
      </c>
      <c r="E332" s="18" t="n">
        <v>307636</v>
      </c>
      <c r="F332" s="17" t="s">
        <v>827</v>
      </c>
      <c r="G332" s="23" t="n">
        <v>0.967100729433486</v>
      </c>
      <c r="H332" s="19" t="n">
        <v>37.2</v>
      </c>
      <c r="I332" s="17" t="n">
        <f aca="false">IF(H332="","",RANK(H332,$H$5:$H$525))</f>
        <v>328</v>
      </c>
      <c r="J332" s="24" t="n">
        <v>0.057637234375376</v>
      </c>
      <c r="K332" s="19" t="n">
        <v>36.6</v>
      </c>
      <c r="L332" s="17" t="n">
        <f aca="false">IF(K332="","",RANK(K332,$K$5:$K$525))</f>
        <v>331</v>
      </c>
      <c r="M332" s="25" t="n">
        <v>0.0512710347296813</v>
      </c>
      <c r="N332" s="19" t="n">
        <v>33.5</v>
      </c>
      <c r="O332" s="17" t="n">
        <f aca="false">IF(N332="","",RANK(N332,$N$5:$N$525))</f>
        <v>347</v>
      </c>
      <c r="P332" s="17" t="str">
        <f aca="false">IF(AND(N(H332)&gt;=N(K332),N(H332)&gt;=N(N332)),"The Pulse",IF(N(K332)&gt;=N(N332),"The Lens","The Hub"))</f>
        <v>The Pulse</v>
      </c>
      <c r="Q332" s="21" t="s">
        <v>79</v>
      </c>
      <c r="R332" s="27" t="s">
        <v>832</v>
      </c>
      <c r="S332" s="17" t="s">
        <v>22</v>
      </c>
    </row>
    <row r="333" customFormat="false" ht="15" hidden="false" customHeight="false" outlineLevel="0" collapsed="false">
      <c r="A333" s="17" t="s">
        <v>343</v>
      </c>
      <c r="B333" s="17" t="s">
        <v>344</v>
      </c>
      <c r="C333" s="17" t="s">
        <v>2624</v>
      </c>
      <c r="D333" s="17" t="s">
        <v>72</v>
      </c>
      <c r="E333" s="18" t="n">
        <v>28908</v>
      </c>
      <c r="F333" s="17" t="s">
        <v>821</v>
      </c>
      <c r="G333" s="23" t="n">
        <v>0.966133942161339</v>
      </c>
      <c r="H333" s="19" t="n">
        <v>37</v>
      </c>
      <c r="I333" s="17" t="n">
        <f aca="false">IF(H333="","",RANK(H333,$H$5:$H$525))</f>
        <v>329</v>
      </c>
      <c r="J333" s="24" t="n">
        <v>0.0754064208920799</v>
      </c>
      <c r="K333" s="19" t="n">
        <v>38.3</v>
      </c>
      <c r="L333" s="17" t="n">
        <f aca="false">IF(K333="","",RANK(K333,$K$5:$K$525))</f>
        <v>322</v>
      </c>
      <c r="M333" s="25" t="n">
        <v>0.111575428332637</v>
      </c>
      <c r="N333" s="19" t="n">
        <v>62.9</v>
      </c>
      <c r="O333" s="17" t="n">
        <f aca="false">IF(N333="","",RANK(N333,$N$5:$N$525))</f>
        <v>193</v>
      </c>
      <c r="P333" s="17" t="str">
        <f aca="false">IF(AND(N(H333)&gt;=N(K333),N(H333)&gt;=N(N333)),"The Pulse",IF(N(K333)&gt;=N(N333),"The Lens","The Hub"))</f>
        <v>The Hub</v>
      </c>
      <c r="Q333" s="21" t="s">
        <v>79</v>
      </c>
      <c r="R333" s="26" t="s">
        <v>822</v>
      </c>
      <c r="S333" s="17" t="s">
        <v>22</v>
      </c>
    </row>
    <row r="334" customFormat="false" ht="15" hidden="false" customHeight="false" outlineLevel="0" collapsed="false">
      <c r="A334" s="17" t="s">
        <v>2625</v>
      </c>
      <c r="B334" s="17" t="s">
        <v>2626</v>
      </c>
      <c r="C334" s="17" t="s">
        <v>2627</v>
      </c>
      <c r="D334" s="17" t="s">
        <v>95</v>
      </c>
      <c r="E334" s="18" t="n">
        <v>3841</v>
      </c>
      <c r="F334" s="17" t="s">
        <v>825</v>
      </c>
      <c r="G334" s="23" t="n">
        <v>0.965894298359802</v>
      </c>
      <c r="H334" s="19" t="n">
        <v>36.9</v>
      </c>
      <c r="I334" s="17" t="n">
        <f aca="false">IF(H334="","",RANK(H334,$H$5:$H$525))</f>
        <v>330</v>
      </c>
      <c r="J334" s="24" t="n">
        <v>0.140778140778141</v>
      </c>
      <c r="K334" s="19" t="n">
        <v>63.7</v>
      </c>
      <c r="L334" s="17" t="n">
        <f aca="false">IF(K334="","",RANK(K334,$K$5:$K$525))</f>
        <v>189</v>
      </c>
      <c r="M334" s="25" t="n">
        <v>0.0504587155963303</v>
      </c>
      <c r="N334" s="19" t="n">
        <v>32.6</v>
      </c>
      <c r="O334" s="17" t="n">
        <f aca="false">IF(N334="","",RANK(N334,$N$5:$N$525))</f>
        <v>351</v>
      </c>
      <c r="P334" s="17" t="str">
        <f aca="false">IF(AND(N(H334)&gt;=N(K334),N(H334)&gt;=N(N334)),"The Pulse",IF(N(K334)&gt;=N(N334),"The Lens","The Hub"))</f>
        <v>The Lens</v>
      </c>
      <c r="Q334" s="21" t="s">
        <v>79</v>
      </c>
      <c r="R334" s="27" t="s">
        <v>832</v>
      </c>
      <c r="S334" s="17" t="s">
        <v>22</v>
      </c>
    </row>
    <row r="335" customFormat="false" ht="15" hidden="false" customHeight="false" outlineLevel="0" collapsed="false">
      <c r="A335" s="17" t="s">
        <v>287</v>
      </c>
      <c r="B335" s="17" t="s">
        <v>288</v>
      </c>
      <c r="C335" s="17" t="s">
        <v>2628</v>
      </c>
      <c r="D335" s="17" t="s">
        <v>95</v>
      </c>
      <c r="E335" s="18" t="n">
        <v>386168</v>
      </c>
      <c r="F335" s="17" t="s">
        <v>827</v>
      </c>
      <c r="G335" s="23" t="n">
        <v>0.951484845973773</v>
      </c>
      <c r="H335" s="19" t="n">
        <v>36.7</v>
      </c>
      <c r="I335" s="17" t="n">
        <f aca="false">IF(H335="","",RANK(H335,$H$5:$H$525))</f>
        <v>331</v>
      </c>
      <c r="J335" s="24" t="n">
        <v>0.0964981273939969</v>
      </c>
      <c r="K335" s="19" t="n">
        <v>56.5</v>
      </c>
      <c r="L335" s="17" t="n">
        <f aca="false">IF(K335="","",RANK(K335,$K$5:$K$525))</f>
        <v>226</v>
      </c>
      <c r="M335" s="25" t="n">
        <v>0.0804375181492595</v>
      </c>
      <c r="N335" s="19" t="n">
        <v>49.3</v>
      </c>
      <c r="O335" s="17" t="n">
        <f aca="false">IF(N335="","",RANK(N335,$N$5:$N$525))</f>
        <v>263</v>
      </c>
      <c r="P335" s="17" t="str">
        <f aca="false">IF(AND(N(H335)&gt;=N(K335),N(H335)&gt;=N(N335)),"The Pulse",IF(N(K335)&gt;=N(N335),"The Lens","The Hub"))</f>
        <v>The Lens</v>
      </c>
      <c r="Q335" s="21" t="s">
        <v>79</v>
      </c>
      <c r="R335" s="26" t="s">
        <v>822</v>
      </c>
      <c r="S335" s="17" t="s">
        <v>22</v>
      </c>
    </row>
    <row r="336" customFormat="false" ht="15" hidden="false" customHeight="false" outlineLevel="0" collapsed="false">
      <c r="A336" s="17" t="s">
        <v>1746</v>
      </c>
      <c r="B336" s="17" t="s">
        <v>1747</v>
      </c>
      <c r="C336" s="17" t="s">
        <v>2629</v>
      </c>
      <c r="D336" s="17" t="s">
        <v>86</v>
      </c>
      <c r="E336" s="18" t="n">
        <v>13640</v>
      </c>
      <c r="F336" s="17" t="s">
        <v>821</v>
      </c>
      <c r="G336" s="23" t="n">
        <v>0.950806451612903</v>
      </c>
      <c r="H336" s="19" t="n">
        <v>36.5</v>
      </c>
      <c r="I336" s="17" t="n">
        <f aca="false">IF(H336="","",RANK(H336,$H$5:$H$525))</f>
        <v>332</v>
      </c>
      <c r="J336" s="24" t="n">
        <v>-0.00438375853395616</v>
      </c>
      <c r="K336" s="19" t="n">
        <v>8.8</v>
      </c>
      <c r="L336" s="17" t="n">
        <f aca="false">IF(K336="","",RANK(K336,$K$5:$K$525))</f>
        <v>475</v>
      </c>
      <c r="M336" s="25" t="n">
        <v>0.185661764705882</v>
      </c>
      <c r="N336" s="19" t="n">
        <v>81.5</v>
      </c>
      <c r="O336" s="17" t="n">
        <f aca="false">IF(N336="","",RANK(N336,$N$5:$N$525))</f>
        <v>95</v>
      </c>
      <c r="P336" s="17" t="str">
        <f aca="false">IF(AND(N(H336)&gt;=N(K336),N(H336)&gt;=N(N336)),"The Pulse",IF(N(K336)&gt;=N(N336),"The Lens","The Hub"))</f>
        <v>The Hub</v>
      </c>
      <c r="Q336" s="21" t="s">
        <v>79</v>
      </c>
      <c r="R336" s="27" t="s">
        <v>832</v>
      </c>
      <c r="S336" s="17" t="s">
        <v>88</v>
      </c>
    </row>
    <row r="337" customFormat="false" ht="15" hidden="false" customHeight="false" outlineLevel="0" collapsed="false">
      <c r="A337" s="17" t="s">
        <v>247</v>
      </c>
      <c r="B337" s="17" t="s">
        <v>248</v>
      </c>
      <c r="C337" s="17" t="s">
        <v>2630</v>
      </c>
      <c r="D337" s="17" t="s">
        <v>123</v>
      </c>
      <c r="E337" s="18" t="n">
        <v>21465</v>
      </c>
      <c r="F337" s="17" t="s">
        <v>821</v>
      </c>
      <c r="G337" s="23" t="n">
        <v>0.947449336128581</v>
      </c>
      <c r="H337" s="19" t="n">
        <v>36.3</v>
      </c>
      <c r="I337" s="17" t="n">
        <f aca="false">IF(H337="","",RANK(H337,$H$5:$H$525))</f>
        <v>333</v>
      </c>
      <c r="J337" s="24" t="n">
        <v>0.113907628437987</v>
      </c>
      <c r="K337" s="19" t="n">
        <v>59.7</v>
      </c>
      <c r="L337" s="17" t="n">
        <f aca="false">IF(K337="","",RANK(K337,$K$5:$K$525))</f>
        <v>210</v>
      </c>
      <c r="M337" s="25" t="n">
        <v>0.0272452068617558</v>
      </c>
      <c r="N337" s="19" t="n">
        <v>18.5</v>
      </c>
      <c r="O337" s="17" t="n">
        <f aca="false">IF(N337="","",RANK(N337,$N$5:$N$525))</f>
        <v>426</v>
      </c>
      <c r="P337" s="17" t="str">
        <f aca="false">IF(AND(N(H337)&gt;=N(K337),N(H337)&gt;=N(N337)),"The Pulse",IF(N(K337)&gt;=N(N337),"The Lens","The Hub"))</f>
        <v>The Lens</v>
      </c>
      <c r="Q337" s="21" t="s">
        <v>79</v>
      </c>
      <c r="R337" s="26" t="s">
        <v>822</v>
      </c>
      <c r="S337" s="17" t="s">
        <v>22</v>
      </c>
    </row>
    <row r="338" customFormat="false" ht="15" hidden="false" customHeight="false" outlineLevel="0" collapsed="false">
      <c r="A338" s="17" t="s">
        <v>2631</v>
      </c>
      <c r="B338" s="17" t="s">
        <v>2632</v>
      </c>
      <c r="C338" s="17" t="s">
        <v>2633</v>
      </c>
      <c r="D338" s="17" t="s">
        <v>123</v>
      </c>
      <c r="E338" s="18" t="n">
        <v>5276</v>
      </c>
      <c r="F338" s="17" t="s">
        <v>825</v>
      </c>
      <c r="G338" s="23" t="n">
        <v>0.941811978771797</v>
      </c>
      <c r="H338" s="19" t="n">
        <v>36.2</v>
      </c>
      <c r="I338" s="17" t="n">
        <f aca="false">IF(H338="","",RANK(H338,$H$5:$H$525))</f>
        <v>334</v>
      </c>
      <c r="J338" s="24" t="n">
        <v>0.112845391267665</v>
      </c>
      <c r="K338" s="19" t="n">
        <v>51.2</v>
      </c>
      <c r="L338" s="17" t="n">
        <f aca="false">IF(K338="","",RANK(K338,$K$5:$K$525))</f>
        <v>255</v>
      </c>
      <c r="M338" s="25" t="n">
        <v>0.072992700729927</v>
      </c>
      <c r="N338" s="19" t="n">
        <v>45.5</v>
      </c>
      <c r="O338" s="17" t="n">
        <f aca="false">IF(N338="","",RANK(N338,$N$5:$N$525))</f>
        <v>283</v>
      </c>
      <c r="P338" s="17" t="str">
        <f aca="false">IF(AND(N(H338)&gt;=N(K338),N(H338)&gt;=N(N338)),"The Pulse",IF(N(K338)&gt;=N(N338),"The Lens","The Hub"))</f>
        <v>The Lens</v>
      </c>
      <c r="Q338" s="21" t="s">
        <v>79</v>
      </c>
      <c r="R338" s="27" t="s">
        <v>832</v>
      </c>
      <c r="S338" s="17" t="s">
        <v>22</v>
      </c>
    </row>
    <row r="339" customFormat="false" ht="15" hidden="false" customHeight="false" outlineLevel="0" collapsed="false">
      <c r="A339" s="17" t="s">
        <v>1676</v>
      </c>
      <c r="B339" s="17" t="s">
        <v>1677</v>
      </c>
      <c r="C339" s="17" t="s">
        <v>2634</v>
      </c>
      <c r="D339" s="17" t="s">
        <v>82</v>
      </c>
      <c r="E339" s="18" t="n">
        <v>33230</v>
      </c>
      <c r="F339" s="17" t="s">
        <v>821</v>
      </c>
      <c r="G339" s="23" t="n">
        <v>0.941769485404755</v>
      </c>
      <c r="H339" s="19" t="n">
        <v>35.8</v>
      </c>
      <c r="I339" s="17" t="n">
        <f aca="false">IF(H339="","",RANK(H339,$H$5:$H$525))</f>
        <v>335</v>
      </c>
      <c r="J339" s="24" t="n">
        <v>0.147444751381216</v>
      </c>
      <c r="K339" s="19" t="n">
        <v>76</v>
      </c>
      <c r="L339" s="17" t="n">
        <f aca="false">IF(K339="","",RANK(K339,$K$5:$K$525))</f>
        <v>127</v>
      </c>
      <c r="M339" s="25" t="n">
        <v>0.268203883495146</v>
      </c>
      <c r="N339" s="19" t="n">
        <v>93.9</v>
      </c>
      <c r="O339" s="17" t="n">
        <f aca="false">IF(N339="","",RANK(N339,$N$5:$N$525))</f>
        <v>32</v>
      </c>
      <c r="P339" s="17" t="str">
        <f aca="false">IF(AND(N(H339)&gt;=N(K339),N(H339)&gt;=N(N339)),"The Pulse",IF(N(K339)&gt;=N(N339),"The Lens","The Hub"))</f>
        <v>The Hub</v>
      </c>
      <c r="Q339" s="20" t="s">
        <v>74</v>
      </c>
      <c r="R339" s="27" t="s">
        <v>832</v>
      </c>
      <c r="S339" s="17" t="s">
        <v>24</v>
      </c>
    </row>
    <row r="340" customFormat="false" ht="15" hidden="false" customHeight="false" outlineLevel="0" collapsed="false">
      <c r="A340" s="17" t="s">
        <v>2635</v>
      </c>
      <c r="B340" s="17" t="s">
        <v>2636</v>
      </c>
      <c r="C340" s="17" t="s">
        <v>2637</v>
      </c>
      <c r="D340" s="17" t="s">
        <v>72</v>
      </c>
      <c r="E340" s="18" t="n">
        <v>30190</v>
      </c>
      <c r="F340" s="17" t="s">
        <v>821</v>
      </c>
      <c r="G340" s="23" t="n">
        <v>0.934580987081815</v>
      </c>
      <c r="H340" s="19" t="n">
        <v>35.6</v>
      </c>
      <c r="I340" s="17" t="n">
        <f aca="false">IF(H340="","",RANK(H340,$H$5:$H$525))</f>
        <v>336</v>
      </c>
      <c r="J340" s="24" t="n">
        <v>0.128176382660688</v>
      </c>
      <c r="K340" s="19" t="n">
        <v>67.5</v>
      </c>
      <c r="L340" s="17" t="n">
        <f aca="false">IF(K340="","",RANK(K340,$K$5:$K$525))</f>
        <v>168</v>
      </c>
      <c r="M340" s="25" t="n">
        <v>0.06006628003314</v>
      </c>
      <c r="N340" s="19" t="n">
        <v>37.6</v>
      </c>
      <c r="O340" s="17" t="n">
        <f aca="false">IF(N340="","",RANK(N340,$N$5:$N$525))</f>
        <v>326</v>
      </c>
      <c r="P340" s="17" t="str">
        <f aca="false">IF(AND(N(H340)&gt;=N(K340),N(H340)&gt;=N(N340)),"The Pulse",IF(N(K340)&gt;=N(N340),"The Lens","The Hub"))</f>
        <v>The Lens</v>
      </c>
      <c r="Q340" s="21" t="s">
        <v>79</v>
      </c>
      <c r="R340" s="27" t="s">
        <v>832</v>
      </c>
      <c r="S340" s="17" t="s">
        <v>88</v>
      </c>
    </row>
    <row r="341" customFormat="false" ht="15" hidden="false" customHeight="false" outlineLevel="0" collapsed="false">
      <c r="A341" s="17" t="s">
        <v>1793</v>
      </c>
      <c r="B341" s="17" t="s">
        <v>1794</v>
      </c>
      <c r="C341" s="17" t="s">
        <v>2638</v>
      </c>
      <c r="D341" s="17" t="s">
        <v>72</v>
      </c>
      <c r="E341" s="18" t="n">
        <v>6615</v>
      </c>
      <c r="F341" s="17" t="s">
        <v>825</v>
      </c>
      <c r="G341" s="23" t="n">
        <v>0.934240362811791</v>
      </c>
      <c r="H341" s="19" t="n">
        <v>35.4</v>
      </c>
      <c r="I341" s="17" t="n">
        <f aca="false">IF(H341="","",RANK(H341,$H$5:$H$525))</f>
        <v>337</v>
      </c>
      <c r="J341" s="24" t="n">
        <v>0.0950173812282735</v>
      </c>
      <c r="K341" s="19" t="n">
        <v>45</v>
      </c>
      <c r="L341" s="17" t="n">
        <f aca="false">IF(K341="","",RANK(K341,$K$5:$K$525))</f>
        <v>287</v>
      </c>
      <c r="M341" s="25" t="n">
        <v>0.0186915887850467</v>
      </c>
      <c r="N341" s="19" t="n">
        <v>12.2</v>
      </c>
      <c r="O341" s="17" t="n">
        <f aca="false">IF(N341="","",RANK(N341,$N$5:$N$525))</f>
        <v>459</v>
      </c>
      <c r="P341" s="17" t="str">
        <f aca="false">IF(AND(N(H341)&gt;=N(K341),N(H341)&gt;=N(N341)),"The Pulse",IF(N(K341)&gt;=N(N341),"The Lens","The Hub"))</f>
        <v>The Lens</v>
      </c>
      <c r="Q341" s="21" t="s">
        <v>79</v>
      </c>
      <c r="R341" s="27" t="s">
        <v>832</v>
      </c>
      <c r="S341" s="17" t="s">
        <v>22</v>
      </c>
    </row>
    <row r="342" customFormat="false" ht="15" hidden="false" customHeight="false" outlineLevel="0" collapsed="false">
      <c r="A342" s="17" t="s">
        <v>2639</v>
      </c>
      <c r="B342" s="17" t="s">
        <v>2640</v>
      </c>
      <c r="C342" s="17" t="s">
        <v>2641</v>
      </c>
      <c r="D342" s="17" t="s">
        <v>115</v>
      </c>
      <c r="E342" s="18" t="n">
        <v>11445</v>
      </c>
      <c r="F342" s="17" t="s">
        <v>821</v>
      </c>
      <c r="G342" s="23" t="n">
        <v>0.934119702927042</v>
      </c>
      <c r="H342" s="19" t="n">
        <v>35.3</v>
      </c>
      <c r="I342" s="17" t="n">
        <f aca="false">IF(H342="","",RANK(H342,$H$5:$H$525))</f>
        <v>338</v>
      </c>
      <c r="J342" s="24" t="n">
        <v>-0.0111456713322965</v>
      </c>
      <c r="K342" s="19" t="n">
        <v>7.5</v>
      </c>
      <c r="L342" s="17" t="n">
        <f aca="false">IF(K342="","",RANK(K342,$K$5:$K$525))</f>
        <v>481</v>
      </c>
      <c r="M342" s="25" t="n">
        <v>0.0365111561866126</v>
      </c>
      <c r="N342" s="19" t="n">
        <v>23.8</v>
      </c>
      <c r="O342" s="17" t="n">
        <f aca="false">IF(N342="","",RANK(N342,$N$5:$N$525))</f>
        <v>399</v>
      </c>
      <c r="P342" s="17" t="str">
        <f aca="false">IF(AND(N(H342)&gt;=N(K342),N(H342)&gt;=N(N342)),"The Pulse",IF(N(K342)&gt;=N(N342),"The Lens","The Hub"))</f>
        <v>The Pulse</v>
      </c>
      <c r="Q342" s="21" t="s">
        <v>79</v>
      </c>
      <c r="R342" s="27" t="s">
        <v>832</v>
      </c>
      <c r="S342" s="17" t="s">
        <v>22</v>
      </c>
    </row>
    <row r="343" customFormat="false" ht="15" hidden="false" customHeight="false" outlineLevel="0" collapsed="false">
      <c r="A343" s="17" t="s">
        <v>181</v>
      </c>
      <c r="B343" s="17" t="s">
        <v>182</v>
      </c>
      <c r="C343" s="17" t="s">
        <v>2642</v>
      </c>
      <c r="D343" s="17" t="s">
        <v>115</v>
      </c>
      <c r="E343" s="18" t="n">
        <v>175810</v>
      </c>
      <c r="F343" s="17" t="s">
        <v>827</v>
      </c>
      <c r="G343" s="23" t="n">
        <v>0.9272851373642</v>
      </c>
      <c r="H343" s="19" t="n">
        <v>35.1</v>
      </c>
      <c r="I343" s="17" t="n">
        <f aca="false">IF(H343="","",RANK(H343,$H$5:$H$525))</f>
        <v>339</v>
      </c>
      <c r="J343" s="24" t="n">
        <v>0.130538229052794</v>
      </c>
      <c r="K343" s="19" t="n">
        <v>73.9</v>
      </c>
      <c r="L343" s="17" t="n">
        <f aca="false">IF(K343="","",RANK(K343,$K$5:$K$525))</f>
        <v>138</v>
      </c>
      <c r="M343" s="25" t="n">
        <v>0.0463847203274216</v>
      </c>
      <c r="N343" s="19" t="n">
        <v>29.7</v>
      </c>
      <c r="O343" s="17" t="n">
        <f aca="false">IF(N343="","",RANK(N343,$N$5:$N$525))</f>
        <v>367</v>
      </c>
      <c r="P343" s="17" t="str">
        <f aca="false">IF(AND(N(H343)&gt;=N(K343),N(H343)&gt;=N(N343)),"The Pulse",IF(N(K343)&gt;=N(N343),"The Lens","The Hub"))</f>
        <v>The Lens</v>
      </c>
      <c r="Q343" s="21" t="s">
        <v>79</v>
      </c>
      <c r="R343" s="26" t="s">
        <v>822</v>
      </c>
      <c r="S343" s="17" t="s">
        <v>88</v>
      </c>
    </row>
    <row r="344" customFormat="false" ht="15" hidden="false" customHeight="false" outlineLevel="0" collapsed="false">
      <c r="A344" s="17" t="s">
        <v>327</v>
      </c>
      <c r="B344" s="17" t="s">
        <v>328</v>
      </c>
      <c r="C344" s="17" t="s">
        <v>2643</v>
      </c>
      <c r="D344" s="17" t="s">
        <v>77</v>
      </c>
      <c r="E344" s="18" t="n">
        <v>874964</v>
      </c>
      <c r="F344" s="17" t="s">
        <v>827</v>
      </c>
      <c r="G344" s="23" t="n">
        <v>0.924068875976612</v>
      </c>
      <c r="H344" s="19" t="n">
        <v>34.9</v>
      </c>
      <c r="I344" s="17" t="n">
        <f aca="false">IF(H344="","",RANK(H344,$H$5:$H$525))</f>
        <v>340</v>
      </c>
      <c r="J344" s="24" t="n">
        <v>0.0675461168394942</v>
      </c>
      <c r="K344" s="19" t="n">
        <v>40.4</v>
      </c>
      <c r="L344" s="17" t="n">
        <f aca="false">IF(K344="","",RANK(K344,$K$5:$K$525))</f>
        <v>312</v>
      </c>
      <c r="M344" s="25" t="n">
        <v>0.197109986731019</v>
      </c>
      <c r="N344" s="19" t="n">
        <v>84.6</v>
      </c>
      <c r="O344" s="17" t="n">
        <f aca="false">IF(N344="","",RANK(N344,$N$5:$N$525))</f>
        <v>81</v>
      </c>
      <c r="P344" s="17" t="str">
        <f aca="false">IF(AND(N(H344)&gt;=N(K344),N(H344)&gt;=N(N344)),"The Pulse",IF(N(K344)&gt;=N(N344),"The Lens","The Hub"))</f>
        <v>The Hub</v>
      </c>
      <c r="Q344" s="21" t="s">
        <v>79</v>
      </c>
      <c r="R344" s="26" t="s">
        <v>822</v>
      </c>
      <c r="S344" s="17" t="s">
        <v>22</v>
      </c>
    </row>
    <row r="345" customFormat="false" ht="15" hidden="false" customHeight="false" outlineLevel="0" collapsed="false">
      <c r="A345" s="17" t="s">
        <v>499</v>
      </c>
      <c r="B345" s="17" t="s">
        <v>500</v>
      </c>
      <c r="C345" s="17" t="s">
        <v>2644</v>
      </c>
      <c r="D345" s="17" t="s">
        <v>98</v>
      </c>
      <c r="E345" s="18" t="n">
        <v>8780</v>
      </c>
      <c r="F345" s="17" t="s">
        <v>825</v>
      </c>
      <c r="G345" s="23" t="n">
        <v>0.912072892938497</v>
      </c>
      <c r="H345" s="19" t="n">
        <v>34.7</v>
      </c>
      <c r="I345" s="17" t="n">
        <f aca="false">IF(H345="","",RANK(H345,$H$5:$H$525))</f>
        <v>341</v>
      </c>
      <c r="J345" s="24" t="n">
        <v>0.0681265206812652</v>
      </c>
      <c r="K345" s="19" t="n">
        <v>36.2</v>
      </c>
      <c r="L345" s="17" t="n">
        <f aca="false">IF(K345="","",RANK(K345,$K$5:$K$525))</f>
        <v>333</v>
      </c>
      <c r="M345" s="25" t="n">
        <v>0.06</v>
      </c>
      <c r="N345" s="19" t="n">
        <v>37.5</v>
      </c>
      <c r="O345" s="17" t="n">
        <f aca="false">IF(N345="","",RANK(N345,$N$5:$N$525))</f>
        <v>327</v>
      </c>
      <c r="P345" s="17" t="str">
        <f aca="false">IF(AND(N(H345)&gt;=N(K345),N(H345)&gt;=N(N345)),"The Pulse",IF(N(K345)&gt;=N(N345),"The Lens","The Hub"))</f>
        <v>The Hub</v>
      </c>
      <c r="Q345" s="20" t="s">
        <v>74</v>
      </c>
      <c r="R345" s="26" t="s">
        <v>822</v>
      </c>
      <c r="S345" s="17" t="s">
        <v>24</v>
      </c>
    </row>
    <row r="346" customFormat="false" ht="15" hidden="false" customHeight="false" outlineLevel="0" collapsed="false">
      <c r="A346" s="17" t="s">
        <v>647</v>
      </c>
      <c r="B346" s="17" t="s">
        <v>648</v>
      </c>
      <c r="C346" s="17" t="s">
        <v>2645</v>
      </c>
      <c r="D346" s="17" t="s">
        <v>95</v>
      </c>
      <c r="E346" s="18" t="n">
        <v>47604</v>
      </c>
      <c r="F346" s="17" t="s">
        <v>821</v>
      </c>
      <c r="G346" s="23" t="n">
        <v>0.911457020418452</v>
      </c>
      <c r="H346" s="19" t="n">
        <v>34.6</v>
      </c>
      <c r="I346" s="17" t="n">
        <f aca="false">IF(H346="","",RANK(H346,$H$5:$H$525))</f>
        <v>342</v>
      </c>
      <c r="J346" s="24" t="n">
        <v>0.1929033228086</v>
      </c>
      <c r="K346" s="19" t="n">
        <v>90.3</v>
      </c>
      <c r="L346" s="17" t="n">
        <f aca="false">IF(K346="","",RANK(K346,$K$5:$K$525))</f>
        <v>55</v>
      </c>
      <c r="M346" s="25" t="n">
        <v>0.0108049702863317</v>
      </c>
      <c r="N346" s="19" t="n">
        <v>7.5</v>
      </c>
      <c r="O346" s="17" t="n">
        <f aca="false">IF(N346="","",RANK(N346,$N$5:$N$525))</f>
        <v>483</v>
      </c>
      <c r="P346" s="17" t="str">
        <f aca="false">IF(AND(N(H346)&gt;=N(K346),N(H346)&gt;=N(N346)),"The Pulse",IF(N(K346)&gt;=N(N346),"The Lens","The Hub"))</f>
        <v>The Lens</v>
      </c>
      <c r="Q346" s="21" t="s">
        <v>79</v>
      </c>
      <c r="R346" s="26" t="s">
        <v>822</v>
      </c>
      <c r="S346" s="17" t="s">
        <v>22</v>
      </c>
    </row>
    <row r="347" customFormat="false" ht="15" hidden="false" customHeight="false" outlineLevel="0" collapsed="false">
      <c r="A347" s="17" t="s">
        <v>651</v>
      </c>
      <c r="B347" s="17" t="s">
        <v>652</v>
      </c>
      <c r="C347" s="17" t="s">
        <v>2646</v>
      </c>
      <c r="D347" s="17" t="s">
        <v>115</v>
      </c>
      <c r="E347" s="18" t="n">
        <v>548234</v>
      </c>
      <c r="F347" s="17" t="s">
        <v>827</v>
      </c>
      <c r="G347" s="23" t="n">
        <v>0.904869088746776</v>
      </c>
      <c r="H347" s="19" t="n">
        <v>34.4</v>
      </c>
      <c r="I347" s="17" t="n">
        <f aca="false">IF(H347="","",RANK(H347,$H$5:$H$525))</f>
        <v>343</v>
      </c>
      <c r="J347" s="24" t="n">
        <v>0.0477797696632864</v>
      </c>
      <c r="K347" s="19" t="n">
        <v>29.2</v>
      </c>
      <c r="L347" s="17" t="n">
        <f aca="false">IF(K347="","",RANK(K347,$K$5:$K$525))</f>
        <v>369</v>
      </c>
      <c r="M347" s="25" t="n">
        <v>0.0128543757703821</v>
      </c>
      <c r="N347" s="19" t="n">
        <v>8.6</v>
      </c>
      <c r="O347" s="17" t="n">
        <f aca="false">IF(N347="","",RANK(N347,$N$5:$N$525))</f>
        <v>477</v>
      </c>
      <c r="P347" s="17" t="str">
        <f aca="false">IF(AND(N(H347)&gt;=N(K347),N(H347)&gt;=N(N347)),"The Pulse",IF(N(K347)&gt;=N(N347),"The Lens","The Hub"))</f>
        <v>The Pulse</v>
      </c>
      <c r="Q347" s="21" t="s">
        <v>79</v>
      </c>
      <c r="R347" s="26" t="s">
        <v>822</v>
      </c>
      <c r="S347" s="17" t="s">
        <v>22</v>
      </c>
    </row>
    <row r="348" customFormat="false" ht="15" hidden="false" customHeight="false" outlineLevel="0" collapsed="false">
      <c r="A348" s="17" t="s">
        <v>569</v>
      </c>
      <c r="B348" s="17" t="s">
        <v>570</v>
      </c>
      <c r="C348" s="17" t="s">
        <v>2647</v>
      </c>
      <c r="D348" s="17" t="s">
        <v>86</v>
      </c>
      <c r="E348" s="18" t="n">
        <v>76933</v>
      </c>
      <c r="F348" s="17" t="s">
        <v>821</v>
      </c>
      <c r="G348" s="23" t="n">
        <v>0.899821922971937</v>
      </c>
      <c r="H348" s="19" t="n">
        <v>34.2</v>
      </c>
      <c r="I348" s="17" t="n">
        <f aca="false">IF(H348="","",RANK(H348,$H$5:$H$525))</f>
        <v>344</v>
      </c>
      <c r="J348" s="24" t="n">
        <v>0.297636918717425</v>
      </c>
      <c r="K348" s="19" t="n">
        <v>100</v>
      </c>
      <c r="L348" s="17" t="n">
        <f aca="false">IF(K348="","",RANK(K348,$K$5:$K$525))</f>
        <v>1</v>
      </c>
      <c r="M348" s="25" t="n">
        <v>0.0270157938487116</v>
      </c>
      <c r="N348" s="19" t="n">
        <v>17.4</v>
      </c>
      <c r="O348" s="17" t="n">
        <f aca="false">IF(N348="","",RANK(N348,$N$5:$N$525))</f>
        <v>432</v>
      </c>
      <c r="P348" s="17" t="str">
        <f aca="false">IF(AND(N(H348)&gt;=N(K348),N(H348)&gt;=N(N348)),"The Pulse",IF(N(K348)&gt;=N(N348),"The Lens","The Hub"))</f>
        <v>The Lens</v>
      </c>
      <c r="Q348" s="21" t="s">
        <v>79</v>
      </c>
      <c r="R348" s="26" t="s">
        <v>822</v>
      </c>
      <c r="S348" s="17" t="s">
        <v>22</v>
      </c>
    </row>
    <row r="349" customFormat="false" ht="15" hidden="false" customHeight="false" outlineLevel="0" collapsed="false">
      <c r="A349" s="17" t="s">
        <v>1552</v>
      </c>
      <c r="B349" s="17" t="s">
        <v>1553</v>
      </c>
      <c r="C349" s="17" t="s">
        <v>2648</v>
      </c>
      <c r="D349" s="17" t="s">
        <v>162</v>
      </c>
      <c r="E349" s="18" t="n">
        <v>206050</v>
      </c>
      <c r="F349" s="17" t="s">
        <v>827</v>
      </c>
      <c r="G349" s="23" t="n">
        <v>0.896714389711235</v>
      </c>
      <c r="H349" s="19" t="n">
        <v>34</v>
      </c>
      <c r="I349" s="17" t="n">
        <f aca="false">IF(H349="","",RANK(H349,$H$5:$H$525))</f>
        <v>345</v>
      </c>
      <c r="J349" s="24" t="n">
        <v>0.0958898812976066</v>
      </c>
      <c r="K349" s="19" t="n">
        <v>55.9</v>
      </c>
      <c r="L349" s="17" t="n">
        <f aca="false">IF(K349="","",RANK(K349,$K$5:$K$525))</f>
        <v>230</v>
      </c>
      <c r="M349" s="25" t="n">
        <v>0.196031337565048</v>
      </c>
      <c r="N349" s="19" t="n">
        <v>84.2</v>
      </c>
      <c r="O349" s="17" t="n">
        <f aca="false">IF(N349="","",RANK(N349,$N$5:$N$525))</f>
        <v>83</v>
      </c>
      <c r="P349" s="17" t="str">
        <f aca="false">IF(AND(N(H349)&gt;=N(K349),N(H349)&gt;=N(N349)),"The Pulse",IF(N(K349)&gt;=N(N349),"The Lens","The Hub"))</f>
        <v>The Hub</v>
      </c>
      <c r="Q349" s="21" t="s">
        <v>79</v>
      </c>
      <c r="R349" s="27" t="s">
        <v>832</v>
      </c>
      <c r="S349" s="17" t="s">
        <v>88</v>
      </c>
    </row>
    <row r="350" customFormat="false" ht="15" hidden="false" customHeight="false" outlineLevel="0" collapsed="false">
      <c r="A350" s="17" t="s">
        <v>1359</v>
      </c>
      <c r="B350" s="17" t="s">
        <v>1360</v>
      </c>
      <c r="C350" s="17" t="s">
        <v>2649</v>
      </c>
      <c r="D350" s="17" t="s">
        <v>77</v>
      </c>
      <c r="E350" s="18" t="n">
        <v>220380</v>
      </c>
      <c r="F350" s="17" t="s">
        <v>827</v>
      </c>
      <c r="G350" s="23" t="n">
        <v>0.890611670750522</v>
      </c>
      <c r="H350" s="19" t="n">
        <v>33.9</v>
      </c>
      <c r="I350" s="17" t="n">
        <f aca="false">IF(H350="","",RANK(H350,$H$5:$H$525))</f>
        <v>346</v>
      </c>
      <c r="J350" s="24" t="n">
        <v>0.00231955246281894</v>
      </c>
      <c r="K350" s="19" t="n">
        <v>13</v>
      </c>
      <c r="L350" s="17" t="n">
        <f aca="false">IF(K350="","",RANK(K350,$K$5:$K$525))</f>
        <v>456</v>
      </c>
      <c r="M350" s="25" t="n">
        <v>0.0441127968337731</v>
      </c>
      <c r="N350" s="19" t="n">
        <v>28.9</v>
      </c>
      <c r="O350" s="17" t="n">
        <f aca="false">IF(N350="","",RANK(N350,$N$5:$N$525))</f>
        <v>372</v>
      </c>
      <c r="P350" s="17" t="str">
        <f aca="false">IF(AND(N(H350)&gt;=N(K350),N(H350)&gt;=N(N350)),"The Pulse",IF(N(K350)&gt;=N(N350),"The Lens","The Hub"))</f>
        <v>The Pulse</v>
      </c>
      <c r="Q350" s="21" t="s">
        <v>79</v>
      </c>
      <c r="R350" s="27" t="s">
        <v>832</v>
      </c>
      <c r="S350" s="17" t="s">
        <v>88</v>
      </c>
    </row>
    <row r="351" customFormat="false" ht="15" hidden="false" customHeight="false" outlineLevel="0" collapsed="false">
      <c r="A351" s="17" t="s">
        <v>663</v>
      </c>
      <c r="B351" s="17" t="s">
        <v>664</v>
      </c>
      <c r="C351" s="17" t="s">
        <v>2650</v>
      </c>
      <c r="D351" s="17" t="s">
        <v>98</v>
      </c>
      <c r="E351" s="18" t="n">
        <v>15286</v>
      </c>
      <c r="F351" s="17" t="s">
        <v>821</v>
      </c>
      <c r="G351" s="23" t="n">
        <v>0.888917964150203</v>
      </c>
      <c r="H351" s="19" t="n">
        <v>33.7</v>
      </c>
      <c r="I351" s="17" t="n">
        <f aca="false">IF(H351="","",RANK(H351,$H$5:$H$525))</f>
        <v>347</v>
      </c>
      <c r="J351" s="24" t="n">
        <v>0.127203008627682</v>
      </c>
      <c r="K351" s="19" t="n">
        <v>66.9</v>
      </c>
      <c r="L351" s="17" t="n">
        <f aca="false">IF(K351="","",RANK(K351,$K$5:$K$525))</f>
        <v>172</v>
      </c>
      <c r="M351" s="25" t="n">
        <v>0.340406719717065</v>
      </c>
      <c r="N351" s="19" t="n">
        <v>97.7</v>
      </c>
      <c r="O351" s="17" t="n">
        <f aca="false">IF(N351="","",RANK(N351,$N$5:$N$525))</f>
        <v>12</v>
      </c>
      <c r="P351" s="17" t="str">
        <f aca="false">IF(AND(N(H351)&gt;=N(K351),N(H351)&gt;=N(N351)),"The Pulse",IF(N(K351)&gt;=N(N351),"The Lens","The Hub"))</f>
        <v>The Hub</v>
      </c>
      <c r="Q351" s="21" t="s">
        <v>79</v>
      </c>
      <c r="R351" s="26" t="s">
        <v>822</v>
      </c>
      <c r="S351" s="17" t="s">
        <v>22</v>
      </c>
    </row>
    <row r="352" customFormat="false" ht="15" hidden="false" customHeight="false" outlineLevel="0" collapsed="false">
      <c r="A352" s="17" t="s">
        <v>1107</v>
      </c>
      <c r="B352" s="17" t="s">
        <v>1108</v>
      </c>
      <c r="C352" s="17" t="s">
        <v>2651</v>
      </c>
      <c r="D352" s="17" t="s">
        <v>162</v>
      </c>
      <c r="E352" s="18" t="n">
        <v>19180</v>
      </c>
      <c r="F352" s="17" t="s">
        <v>821</v>
      </c>
      <c r="G352" s="23" t="n">
        <v>0.880344108446298</v>
      </c>
      <c r="H352" s="19" t="n">
        <v>33.5</v>
      </c>
      <c r="I352" s="17" t="n">
        <f aca="false">IF(H352="","",RANK(H352,$H$5:$H$525))</f>
        <v>348</v>
      </c>
      <c r="J352" s="24" t="n">
        <v>0.0691192865105909</v>
      </c>
      <c r="K352" s="19" t="n">
        <v>35.4</v>
      </c>
      <c r="L352" s="17" t="n">
        <f aca="false">IF(K352="","",RANK(K352,$K$5:$K$525))</f>
        <v>338</v>
      </c>
      <c r="M352" s="25" t="n">
        <v>0.0885750962772786</v>
      </c>
      <c r="N352" s="19" t="n">
        <v>53.6</v>
      </c>
      <c r="O352" s="17" t="n">
        <f aca="false">IF(N352="","",RANK(N352,$N$5:$N$525))</f>
        <v>241</v>
      </c>
      <c r="P352" s="17" t="str">
        <f aca="false">IF(AND(N(H352)&gt;=N(K352),N(H352)&gt;=N(N352)),"The Pulse",IF(N(K352)&gt;=N(N352),"The Lens","The Hub"))</f>
        <v>The Hub</v>
      </c>
      <c r="Q352" s="20" t="s">
        <v>74</v>
      </c>
      <c r="R352" s="27" t="s">
        <v>832</v>
      </c>
      <c r="S352" s="17" t="s">
        <v>24</v>
      </c>
    </row>
    <row r="353" customFormat="false" ht="15" hidden="false" customHeight="false" outlineLevel="0" collapsed="false">
      <c r="A353" s="17" t="s">
        <v>269</v>
      </c>
      <c r="B353" s="17" t="s">
        <v>270</v>
      </c>
      <c r="C353" s="17" t="s">
        <v>2652</v>
      </c>
      <c r="D353" s="17" t="s">
        <v>115</v>
      </c>
      <c r="E353" s="18" t="n">
        <v>880980</v>
      </c>
      <c r="F353" s="17" t="s">
        <v>827</v>
      </c>
      <c r="G353" s="23" t="n">
        <v>0.876874616903902</v>
      </c>
      <c r="H353" s="19" t="n">
        <v>33.3</v>
      </c>
      <c r="I353" s="17" t="n">
        <f aca="false">IF(H353="","",RANK(H353,$H$5:$H$525))</f>
        <v>349</v>
      </c>
      <c r="J353" s="24" t="n">
        <v>-0.0673907520325203</v>
      </c>
      <c r="K353" s="19" t="n">
        <v>2.5</v>
      </c>
      <c r="L353" s="17" t="n">
        <f aca="false">IF(K353="","",RANK(K353,$K$5:$K$525))</f>
        <v>510</v>
      </c>
      <c r="M353" s="25" t="n">
        <v>0.172250643662019</v>
      </c>
      <c r="N353" s="19" t="n">
        <v>79.4</v>
      </c>
      <c r="O353" s="17" t="n">
        <f aca="false">IF(N353="","",RANK(N353,$N$5:$N$525))</f>
        <v>107</v>
      </c>
      <c r="P353" s="17" t="str">
        <f aca="false">IF(AND(N(H353)&gt;=N(K353),N(H353)&gt;=N(N353)),"The Pulse",IF(N(K353)&gt;=N(N353),"The Lens","The Hub"))</f>
        <v>The Hub</v>
      </c>
      <c r="Q353" s="21" t="s">
        <v>79</v>
      </c>
      <c r="R353" s="26" t="s">
        <v>822</v>
      </c>
      <c r="S353" s="17" t="s">
        <v>88</v>
      </c>
    </row>
    <row r="354" customFormat="false" ht="15" hidden="false" customHeight="false" outlineLevel="0" collapsed="false">
      <c r="A354" s="17" t="s">
        <v>611</v>
      </c>
      <c r="B354" s="17" t="s">
        <v>612</v>
      </c>
      <c r="C354" s="17" t="s">
        <v>2653</v>
      </c>
      <c r="D354" s="17" t="s">
        <v>77</v>
      </c>
      <c r="E354" s="18" t="n">
        <v>29093</v>
      </c>
      <c r="F354" s="17" t="s">
        <v>821</v>
      </c>
      <c r="G354" s="23" t="n">
        <v>0.876774481834118</v>
      </c>
      <c r="H354" s="19" t="n">
        <v>33.2</v>
      </c>
      <c r="I354" s="17" t="n">
        <f aca="false">IF(H354="","",RANK(H354,$H$5:$H$525))</f>
        <v>350</v>
      </c>
      <c r="J354" s="24" t="n">
        <v>0.180722402597403</v>
      </c>
      <c r="K354" s="19" t="n">
        <v>87.7</v>
      </c>
      <c r="L354" s="17" t="n">
        <f aca="false">IF(K354="","",RANK(K354,$K$5:$K$525))</f>
        <v>66</v>
      </c>
      <c r="M354" s="25" t="n">
        <v>0.0556776556776557</v>
      </c>
      <c r="N354" s="19" t="n">
        <v>35.1</v>
      </c>
      <c r="O354" s="17" t="n">
        <f aca="false">IF(N354="","",RANK(N354,$N$5:$N$525))</f>
        <v>338</v>
      </c>
      <c r="P354" s="17" t="str">
        <f aca="false">IF(AND(N(H354)&gt;=N(K354),N(H354)&gt;=N(N354)),"The Pulse",IF(N(K354)&gt;=N(N354),"The Lens","The Hub"))</f>
        <v>The Lens</v>
      </c>
      <c r="Q354" s="21" t="s">
        <v>79</v>
      </c>
      <c r="R354" s="26" t="s">
        <v>822</v>
      </c>
      <c r="S354" s="17" t="s">
        <v>22</v>
      </c>
    </row>
    <row r="355" customFormat="false" ht="15" hidden="false" customHeight="false" outlineLevel="0" collapsed="false">
      <c r="A355" s="17" t="s">
        <v>329</v>
      </c>
      <c r="B355" s="17" t="s">
        <v>330</v>
      </c>
      <c r="C355" s="17" t="s">
        <v>2654</v>
      </c>
      <c r="D355" s="17" t="s">
        <v>123</v>
      </c>
      <c r="E355" s="18" t="n">
        <v>752</v>
      </c>
      <c r="F355" s="17" t="s">
        <v>825</v>
      </c>
      <c r="G355" s="23" t="n">
        <v>0.875</v>
      </c>
      <c r="H355" s="19" t="n">
        <v>33</v>
      </c>
      <c r="I355" s="17" t="n">
        <f aca="false">IF(H355="","",RANK(H355,$H$5:$H$525))</f>
        <v>351</v>
      </c>
      <c r="J355" s="24" t="n">
        <v>0.151607963246554</v>
      </c>
      <c r="K355" s="19" t="n">
        <v>71.2</v>
      </c>
      <c r="L355" s="17" t="n">
        <f aca="false">IF(K355="","",RANK(K355,$K$5:$K$525))</f>
        <v>154</v>
      </c>
      <c r="M355" s="25" t="n">
        <v>0.02</v>
      </c>
      <c r="N355" s="19" t="n">
        <v>13.4</v>
      </c>
      <c r="O355" s="17" t="n">
        <f aca="false">IF(N355="","",RANK(N355,$N$5:$N$525))</f>
        <v>452</v>
      </c>
      <c r="P355" s="17" t="str">
        <f aca="false">IF(AND(N(H355)&gt;=N(K355),N(H355)&gt;=N(N355)),"The Pulse",IF(N(K355)&gt;=N(N355),"The Lens","The Hub"))</f>
        <v>The Lens</v>
      </c>
      <c r="Q355" s="21" t="s">
        <v>79</v>
      </c>
      <c r="R355" s="26" t="s">
        <v>822</v>
      </c>
      <c r="S355" s="17" t="s">
        <v>22</v>
      </c>
    </row>
    <row r="356" customFormat="false" ht="15" hidden="false" customHeight="false" outlineLevel="0" collapsed="false">
      <c r="A356" s="17" t="s">
        <v>2655</v>
      </c>
      <c r="B356" s="17" t="s">
        <v>2656</v>
      </c>
      <c r="C356" s="17" t="s">
        <v>2657</v>
      </c>
      <c r="D356" s="17" t="s">
        <v>77</v>
      </c>
      <c r="E356" s="18" t="n">
        <v>21623</v>
      </c>
      <c r="F356" s="17" t="s">
        <v>821</v>
      </c>
      <c r="G356" s="23" t="n">
        <v>0.87379179577302</v>
      </c>
      <c r="H356" s="19" t="n">
        <v>32.8</v>
      </c>
      <c r="I356" s="17" t="n">
        <f aca="false">IF(H356="","",RANK(H356,$H$5:$H$525))</f>
        <v>352</v>
      </c>
      <c r="J356" s="24" t="n">
        <v>0.124967483481609</v>
      </c>
      <c r="K356" s="19" t="n">
        <v>64.6</v>
      </c>
      <c r="L356" s="17" t="n">
        <f aca="false">IF(K356="","",RANK(K356,$K$5:$K$525))</f>
        <v>184</v>
      </c>
      <c r="M356" s="25" t="n">
        <v>0.0490883590462833</v>
      </c>
      <c r="N356" s="19" t="n">
        <v>31.5</v>
      </c>
      <c r="O356" s="17" t="n">
        <f aca="false">IF(N356="","",RANK(N356,$N$5:$N$525))</f>
        <v>357</v>
      </c>
      <c r="P356" s="17" t="str">
        <f aca="false">IF(AND(N(H356)&gt;=N(K356),N(H356)&gt;=N(N356)),"The Pulse",IF(N(K356)&gt;=N(N356),"The Lens","The Hub"))</f>
        <v>The Lens</v>
      </c>
      <c r="Q356" s="21" t="s">
        <v>79</v>
      </c>
      <c r="R356" s="27" t="s">
        <v>832</v>
      </c>
      <c r="S356" s="17" t="s">
        <v>22</v>
      </c>
    </row>
    <row r="357" customFormat="false" ht="15" hidden="false" customHeight="false" outlineLevel="0" collapsed="false">
      <c r="A357" s="17" t="s">
        <v>1278</v>
      </c>
      <c r="B357" s="17" t="s">
        <v>1279</v>
      </c>
      <c r="C357" s="17" t="s">
        <v>2658</v>
      </c>
      <c r="D357" s="17" t="s">
        <v>86</v>
      </c>
      <c r="E357" s="18" t="n">
        <v>154099</v>
      </c>
      <c r="F357" s="17" t="s">
        <v>827</v>
      </c>
      <c r="G357" s="23" t="n">
        <v>0.870466388490516</v>
      </c>
      <c r="H357" s="19" t="n">
        <v>32.6</v>
      </c>
      <c r="I357" s="17" t="n">
        <f aca="false">IF(H357="","",RANK(H357,$H$5:$H$525))</f>
        <v>353</v>
      </c>
      <c r="J357" s="24" t="n">
        <v>0.0628983308042489</v>
      </c>
      <c r="K357" s="19" t="n">
        <v>38.5</v>
      </c>
      <c r="L357" s="17" t="n">
        <f aca="false">IF(K357="","",RANK(K357,$K$5:$K$525))</f>
        <v>321</v>
      </c>
      <c r="M357" s="25" t="n">
        <v>0.0606380483227774</v>
      </c>
      <c r="N357" s="19" t="n">
        <v>38.7</v>
      </c>
      <c r="O357" s="17" t="n">
        <f aca="false">IF(N357="","",RANK(N357,$N$5:$N$525))</f>
        <v>320</v>
      </c>
      <c r="P357" s="17" t="str">
        <f aca="false">IF(AND(N(H357)&gt;=N(K357),N(H357)&gt;=N(N357)),"The Pulse",IF(N(K357)&gt;=N(N357),"The Lens","The Hub"))</f>
        <v>The Hub</v>
      </c>
      <c r="Q357" s="21" t="s">
        <v>79</v>
      </c>
      <c r="R357" s="27" t="s">
        <v>832</v>
      </c>
      <c r="S357" s="17" t="s">
        <v>22</v>
      </c>
    </row>
    <row r="358" customFormat="false" ht="15" hidden="false" customHeight="false" outlineLevel="0" collapsed="false">
      <c r="A358" s="17" t="s">
        <v>1781</v>
      </c>
      <c r="B358" s="17" t="s">
        <v>1782</v>
      </c>
      <c r="C358" s="17" t="s">
        <v>2659</v>
      </c>
      <c r="D358" s="17" t="s">
        <v>95</v>
      </c>
      <c r="E358" s="18" t="n">
        <v>43590</v>
      </c>
      <c r="F358" s="17" t="s">
        <v>821</v>
      </c>
      <c r="G358" s="23" t="n">
        <v>0.869259004358798</v>
      </c>
      <c r="H358" s="19" t="n">
        <v>32.5</v>
      </c>
      <c r="I358" s="17" t="n">
        <f aca="false">IF(H358="","",RANK(H358,$H$5:$H$525))</f>
        <v>354</v>
      </c>
      <c r="J358" s="24" t="n">
        <v>0.040772226443769</v>
      </c>
      <c r="K358" s="19" t="n">
        <v>24.4</v>
      </c>
      <c r="L358" s="17" t="n">
        <f aca="false">IF(K358="","",RANK(K358,$K$5:$K$525))</f>
        <v>395</v>
      </c>
      <c r="M358" s="25" t="n">
        <v>0.199318040917545</v>
      </c>
      <c r="N358" s="19" t="n">
        <v>84.9</v>
      </c>
      <c r="O358" s="17" t="n">
        <f aca="false">IF(N358="","",RANK(N358,$N$5:$N$525))</f>
        <v>79</v>
      </c>
      <c r="P358" s="17" t="str">
        <f aca="false">IF(AND(N(H358)&gt;=N(K358),N(H358)&gt;=N(N358)),"The Pulse",IF(N(K358)&gt;=N(N358),"The Lens","The Hub"))</f>
        <v>The Hub</v>
      </c>
      <c r="Q358" s="21" t="s">
        <v>79</v>
      </c>
      <c r="R358" s="27" t="s">
        <v>832</v>
      </c>
      <c r="S358" s="17" t="s">
        <v>88</v>
      </c>
    </row>
    <row r="359" customFormat="false" ht="15" hidden="false" customHeight="false" outlineLevel="0" collapsed="false">
      <c r="A359" s="17" t="s">
        <v>1427</v>
      </c>
      <c r="B359" s="17" t="s">
        <v>1428</v>
      </c>
      <c r="C359" s="17" t="s">
        <v>2660</v>
      </c>
      <c r="D359" s="17" t="s">
        <v>77</v>
      </c>
      <c r="E359" s="18" t="n">
        <v>24210</v>
      </c>
      <c r="F359" s="17" t="s">
        <v>821</v>
      </c>
      <c r="G359" s="23" t="n">
        <v>0.867905824039653</v>
      </c>
      <c r="H359" s="19" t="n">
        <v>32.3</v>
      </c>
      <c r="I359" s="17" t="n">
        <f aca="false">IF(H359="","",RANK(H359,$H$5:$H$525))</f>
        <v>355</v>
      </c>
      <c r="J359" s="24" t="n">
        <v>0.197329376854599</v>
      </c>
      <c r="K359" s="19" t="n">
        <v>91.2</v>
      </c>
      <c r="L359" s="17" t="n">
        <f aca="false">IF(K359="","",RANK(K359,$K$5:$K$525))</f>
        <v>50</v>
      </c>
      <c r="M359" s="25" t="n">
        <v>0.0246913580246914</v>
      </c>
      <c r="N359" s="19" t="n">
        <v>16.3</v>
      </c>
      <c r="O359" s="17" t="n">
        <f aca="false">IF(N359="","",RANK(N359,$N$5:$N$525))</f>
        <v>438</v>
      </c>
      <c r="P359" s="17" t="str">
        <f aca="false">IF(AND(N(H359)&gt;=N(K359),N(H359)&gt;=N(N359)),"The Pulse",IF(N(K359)&gt;=N(N359),"The Lens","The Hub"))</f>
        <v>The Lens</v>
      </c>
      <c r="Q359" s="20" t="s">
        <v>74</v>
      </c>
      <c r="R359" s="27" t="s">
        <v>832</v>
      </c>
      <c r="S359" s="17" t="s">
        <v>24</v>
      </c>
    </row>
    <row r="360" customFormat="false" ht="15" hidden="false" customHeight="false" outlineLevel="0" collapsed="false">
      <c r="A360" s="17" t="s">
        <v>673</v>
      </c>
      <c r="B360" s="17" t="s">
        <v>674</v>
      </c>
      <c r="C360" s="17" t="s">
        <v>2661</v>
      </c>
      <c r="D360" s="17" t="s">
        <v>86</v>
      </c>
      <c r="E360" s="18" t="n">
        <v>2420</v>
      </c>
      <c r="F360" s="17" t="s">
        <v>825</v>
      </c>
      <c r="G360" s="23" t="n">
        <v>0.863636363636364</v>
      </c>
      <c r="H360" s="19" t="n">
        <v>32.1</v>
      </c>
      <c r="I360" s="17" t="n">
        <f aca="false">IF(H360="","",RANK(H360,$H$5:$H$525))</f>
        <v>356</v>
      </c>
      <c r="J360" s="24" t="n">
        <v>0.308108108108108</v>
      </c>
      <c r="K360" s="19" t="n">
        <v>100</v>
      </c>
      <c r="L360" s="17" t="n">
        <f aca="false">IF(K360="","",RANK(K360,$K$5:$K$525))</f>
        <v>1</v>
      </c>
      <c r="M360" s="25" t="n">
        <v>0.0888888888888889</v>
      </c>
      <c r="N360" s="19" t="n">
        <v>53.8</v>
      </c>
      <c r="O360" s="17" t="n">
        <f aca="false">IF(N360="","",RANK(N360,$N$5:$N$525))</f>
        <v>240</v>
      </c>
      <c r="P360" s="17" t="str">
        <f aca="false">IF(AND(N(H360)&gt;=N(K360),N(H360)&gt;=N(N360)),"The Pulse",IF(N(K360)&gt;=N(N360),"The Lens","The Hub"))</f>
        <v>The Lens</v>
      </c>
      <c r="Q360" s="20" t="s">
        <v>74</v>
      </c>
      <c r="R360" s="26" t="s">
        <v>822</v>
      </c>
      <c r="S360" s="17" t="s">
        <v>24</v>
      </c>
    </row>
    <row r="361" customFormat="false" ht="15" hidden="false" customHeight="false" outlineLevel="0" collapsed="false">
      <c r="A361" s="17" t="s">
        <v>1189</v>
      </c>
      <c r="B361" s="17" t="s">
        <v>1190</v>
      </c>
      <c r="C361" s="17" t="s">
        <v>2662</v>
      </c>
      <c r="D361" s="17" t="s">
        <v>98</v>
      </c>
      <c r="E361" s="18" t="n">
        <v>19355</v>
      </c>
      <c r="F361" s="17" t="s">
        <v>821</v>
      </c>
      <c r="G361" s="23" t="n">
        <v>0.858951175406872</v>
      </c>
      <c r="H361" s="19" t="n">
        <v>31.9</v>
      </c>
      <c r="I361" s="17" t="n">
        <f aca="false">IF(H361="","",RANK(H361,$H$5:$H$525))</f>
        <v>357</v>
      </c>
      <c r="J361" s="24" t="n">
        <v>0.0939354546995987</v>
      </c>
      <c r="K361" s="19" t="n">
        <v>49</v>
      </c>
      <c r="L361" s="17" t="n">
        <f aca="false">IF(K361="","",RANK(K361,$K$5:$K$525))</f>
        <v>267</v>
      </c>
      <c r="M361" s="25" t="n">
        <v>0.0382022471910112</v>
      </c>
      <c r="N361" s="19" t="n">
        <v>24.9</v>
      </c>
      <c r="O361" s="17" t="n">
        <f aca="false">IF(N361="","",RANK(N361,$N$5:$N$525))</f>
        <v>393</v>
      </c>
      <c r="P361" s="17" t="str">
        <f aca="false">IF(AND(N(H361)&gt;=N(K361),N(H361)&gt;=N(N361)),"The Pulse",IF(N(K361)&gt;=N(N361),"The Lens","The Hub"))</f>
        <v>The Lens</v>
      </c>
      <c r="Q361" s="21" t="s">
        <v>79</v>
      </c>
      <c r="R361" s="27" t="s">
        <v>832</v>
      </c>
      <c r="S361" s="17" t="s">
        <v>22</v>
      </c>
    </row>
    <row r="362" customFormat="false" ht="15" hidden="false" customHeight="false" outlineLevel="0" collapsed="false">
      <c r="A362" s="17" t="s">
        <v>495</v>
      </c>
      <c r="B362" s="17" t="s">
        <v>496</v>
      </c>
      <c r="C362" s="17" t="s">
        <v>2663</v>
      </c>
      <c r="D362" s="17" t="s">
        <v>77</v>
      </c>
      <c r="E362" s="18" t="n">
        <v>24139</v>
      </c>
      <c r="F362" s="17" t="s">
        <v>821</v>
      </c>
      <c r="G362" s="23" t="n">
        <v>0.85140229504122</v>
      </c>
      <c r="H362" s="19" t="n">
        <v>31.6</v>
      </c>
      <c r="I362" s="17" t="n">
        <f aca="false">IF(H362="","",RANK(H362,$H$5:$H$525))</f>
        <v>358</v>
      </c>
      <c r="J362" s="24" t="n">
        <v>0.155639601685178</v>
      </c>
      <c r="K362" s="19" t="n">
        <v>79.9</v>
      </c>
      <c r="L362" s="17" t="n">
        <f aca="false">IF(K362="","",RANK(K362,$K$5:$K$525))</f>
        <v>109</v>
      </c>
      <c r="M362" s="25" t="n">
        <v>0.0135135135135135</v>
      </c>
      <c r="N362" s="19" t="n">
        <v>9.5</v>
      </c>
      <c r="O362" s="17" t="n">
        <f aca="false">IF(N362="","",RANK(N362,$N$5:$N$525))</f>
        <v>473</v>
      </c>
      <c r="P362" s="17" t="str">
        <f aca="false">IF(AND(N(H362)&gt;=N(K362),N(H362)&gt;=N(N362)),"The Pulse",IF(N(K362)&gt;=N(N362),"The Lens","The Hub"))</f>
        <v>The Lens</v>
      </c>
      <c r="Q362" s="21" t="s">
        <v>79</v>
      </c>
      <c r="R362" s="26" t="s">
        <v>822</v>
      </c>
      <c r="S362" s="17" t="s">
        <v>22</v>
      </c>
    </row>
    <row r="363" customFormat="false" ht="15" hidden="false" customHeight="false" outlineLevel="0" collapsed="false">
      <c r="A363" s="17" t="s">
        <v>1971</v>
      </c>
      <c r="B363" s="17" t="s">
        <v>1972</v>
      </c>
      <c r="C363" s="17" t="s">
        <v>2664</v>
      </c>
      <c r="D363" s="17" t="s">
        <v>72</v>
      </c>
      <c r="E363" s="18" t="n">
        <v>1401</v>
      </c>
      <c r="F363" s="17" t="s">
        <v>825</v>
      </c>
      <c r="G363" s="23" t="n">
        <v>0.847251962883655</v>
      </c>
      <c r="H363" s="19" t="n">
        <v>31.4</v>
      </c>
      <c r="I363" s="17" t="n">
        <f aca="false">IF(H363="","",RANK(H363,$H$5:$H$525))</f>
        <v>359</v>
      </c>
      <c r="J363" s="24" t="n">
        <v>0.0152173913043478</v>
      </c>
      <c r="K363" s="19" t="n">
        <v>13.8</v>
      </c>
      <c r="L363" s="17" t="n">
        <f aca="false">IF(K363="","",RANK(K363,$K$5:$K$525))</f>
        <v>453</v>
      </c>
      <c r="M363" s="25" t="n">
        <v>0</v>
      </c>
      <c r="N363" s="19" t="n">
        <v>0.9</v>
      </c>
      <c r="O363" s="17" t="n">
        <f aca="false">IF(N363="","",RANK(N363,$N$5:$N$525))</f>
        <v>514</v>
      </c>
      <c r="P363" s="17" t="str">
        <f aca="false">IF(AND(N(H363)&gt;=N(K363),N(H363)&gt;=N(N363)),"The Pulse",IF(N(K363)&gt;=N(N363),"The Lens","The Hub"))</f>
        <v>The Pulse</v>
      </c>
      <c r="Q363" s="21" t="s">
        <v>79</v>
      </c>
      <c r="R363" s="27" t="s">
        <v>832</v>
      </c>
      <c r="S363" s="17" t="s">
        <v>22</v>
      </c>
    </row>
    <row r="364" customFormat="false" ht="15" hidden="false" customHeight="false" outlineLevel="0" collapsed="false">
      <c r="A364" s="17" t="s">
        <v>387</v>
      </c>
      <c r="B364" s="17" t="s">
        <v>388</v>
      </c>
      <c r="C364" s="17" t="s">
        <v>2665</v>
      </c>
      <c r="D364" s="17" t="s">
        <v>82</v>
      </c>
      <c r="E364" s="18" t="n">
        <v>211050</v>
      </c>
      <c r="F364" s="17" t="s">
        <v>827</v>
      </c>
      <c r="G364" s="23" t="n">
        <v>0.840236910684672</v>
      </c>
      <c r="H364" s="19" t="n">
        <v>31</v>
      </c>
      <c r="I364" s="17" t="n">
        <f aca="false">IF(H364="","",RANK(H364,$H$5:$H$525))</f>
        <v>360</v>
      </c>
      <c r="J364" s="24" t="n">
        <v>0.0534591194968554</v>
      </c>
      <c r="K364" s="19" t="n">
        <v>34.8</v>
      </c>
      <c r="L364" s="17" t="n">
        <f aca="false">IF(K364="","",RANK(K364,$K$5:$K$525))</f>
        <v>341</v>
      </c>
      <c r="M364" s="25" t="n">
        <v>0.0035390258027154</v>
      </c>
      <c r="N364" s="19" t="n">
        <v>3.8</v>
      </c>
      <c r="O364" s="17" t="n">
        <f aca="false">IF(N364="","",RANK(N364,$N$5:$N$525))</f>
        <v>503</v>
      </c>
      <c r="P364" s="17" t="str">
        <f aca="false">IF(AND(N(H364)&gt;=N(K364),N(H364)&gt;=N(N364)),"The Pulse",IF(N(K364)&gt;=N(N364),"The Lens","The Hub"))</f>
        <v>The Lens</v>
      </c>
      <c r="Q364" s="20" t="s">
        <v>74</v>
      </c>
      <c r="R364" s="26" t="s">
        <v>822</v>
      </c>
      <c r="S364" s="17" t="s">
        <v>24</v>
      </c>
    </row>
    <row r="365" customFormat="false" ht="15" hidden="false" customHeight="false" outlineLevel="0" collapsed="false">
      <c r="A365" s="17" t="s">
        <v>213</v>
      </c>
      <c r="B365" s="17" t="s">
        <v>214</v>
      </c>
      <c r="C365" s="17" t="s">
        <v>2666</v>
      </c>
      <c r="D365" s="17" t="s">
        <v>77</v>
      </c>
      <c r="E365" s="18" t="n">
        <v>121080</v>
      </c>
      <c r="F365" s="17" t="s">
        <v>827</v>
      </c>
      <c r="G365" s="23" t="n">
        <v>0.840122233234225</v>
      </c>
      <c r="H365" s="19" t="n">
        <v>30.9</v>
      </c>
      <c r="I365" s="17" t="n">
        <f aca="false">IF(H365="","",RANK(H365,$H$5:$H$525))</f>
        <v>361</v>
      </c>
      <c r="J365" s="24" t="n">
        <v>0.0825212337952615</v>
      </c>
      <c r="K365" s="19" t="n">
        <v>48.4</v>
      </c>
      <c r="L365" s="17" t="n">
        <f aca="false">IF(K365="","",RANK(K365,$K$5:$K$525))</f>
        <v>270</v>
      </c>
      <c r="M365" s="25" t="n">
        <v>0.191582639193336</v>
      </c>
      <c r="N365" s="19" t="n">
        <v>82.6</v>
      </c>
      <c r="O365" s="17" t="n">
        <f aca="false">IF(N365="","",RANK(N365,$N$5:$N$525))</f>
        <v>91</v>
      </c>
      <c r="P365" s="17" t="str">
        <f aca="false">IF(AND(N(H365)&gt;=N(K365),N(H365)&gt;=N(N365)),"The Pulse",IF(N(K365)&gt;=N(N365),"The Lens","The Hub"))</f>
        <v>The Hub</v>
      </c>
      <c r="Q365" s="21" t="s">
        <v>79</v>
      </c>
      <c r="R365" s="26" t="s">
        <v>822</v>
      </c>
      <c r="S365" s="17" t="s">
        <v>88</v>
      </c>
    </row>
    <row r="366" customFormat="false" ht="15" hidden="false" customHeight="false" outlineLevel="0" collapsed="false">
      <c r="A366" s="17" t="s">
        <v>1631</v>
      </c>
      <c r="B366" s="17" t="s">
        <v>1632</v>
      </c>
      <c r="C366" s="17" t="s">
        <v>2667</v>
      </c>
      <c r="D366" s="17" t="s">
        <v>162</v>
      </c>
      <c r="E366" s="18" t="n">
        <v>42608</v>
      </c>
      <c r="F366" s="17" t="s">
        <v>821</v>
      </c>
      <c r="G366" s="23" t="n">
        <v>0.832519714607585</v>
      </c>
      <c r="H366" s="19" t="n">
        <v>30.7</v>
      </c>
      <c r="I366" s="17" t="n">
        <f aca="false">IF(H366="","",RANK(H366,$H$5:$H$525))</f>
        <v>362</v>
      </c>
      <c r="J366" s="24" t="n">
        <v>0.0206242364720818</v>
      </c>
      <c r="K366" s="19" t="n">
        <v>16.2</v>
      </c>
      <c r="L366" s="17" t="n">
        <f aca="false">IF(K366="","",RANK(K366,$K$5:$K$525))</f>
        <v>438</v>
      </c>
      <c r="M366" s="25" t="n">
        <v>0.239791833466773</v>
      </c>
      <c r="N366" s="19" t="n">
        <v>91.6</v>
      </c>
      <c r="O366" s="17" t="n">
        <f aca="false">IF(N366="","",RANK(N366,$N$5:$N$525))</f>
        <v>45</v>
      </c>
      <c r="P366" s="17" t="str">
        <f aca="false">IF(AND(N(H366)&gt;=N(K366),N(H366)&gt;=N(N366)),"The Pulse",IF(N(K366)&gt;=N(N366),"The Lens","The Hub"))</f>
        <v>The Hub</v>
      </c>
      <c r="Q366" s="21" t="s">
        <v>79</v>
      </c>
      <c r="R366" s="27" t="s">
        <v>832</v>
      </c>
      <c r="S366" s="17" t="s">
        <v>22</v>
      </c>
    </row>
    <row r="367" customFormat="false" ht="15" hidden="false" customHeight="false" outlineLevel="0" collapsed="false">
      <c r="A367" s="17" t="s">
        <v>751</v>
      </c>
      <c r="B367" s="17" t="s">
        <v>752</v>
      </c>
      <c r="C367" s="17" t="s">
        <v>2668</v>
      </c>
      <c r="D367" s="17" t="s">
        <v>98</v>
      </c>
      <c r="E367" s="18" t="n">
        <v>28400</v>
      </c>
      <c r="F367" s="17" t="s">
        <v>821</v>
      </c>
      <c r="G367" s="23" t="n">
        <v>0.826302816901409</v>
      </c>
      <c r="H367" s="19" t="n">
        <v>30.5</v>
      </c>
      <c r="I367" s="17" t="n">
        <f aca="false">IF(H367="","",RANK(H367,$H$5:$H$525))</f>
        <v>363</v>
      </c>
      <c r="J367" s="24" t="n">
        <v>0.151662611516626</v>
      </c>
      <c r="K367" s="19" t="n">
        <v>78.6</v>
      </c>
      <c r="L367" s="17" t="n">
        <f aca="false">IF(K367="","",RANK(K367,$K$5:$K$525))</f>
        <v>114</v>
      </c>
      <c r="M367" s="25" t="n">
        <v>0.0371287128712871</v>
      </c>
      <c r="N367" s="19" t="n">
        <v>24.4</v>
      </c>
      <c r="O367" s="17" t="n">
        <f aca="false">IF(N367="","",RANK(N367,$N$5:$N$525))</f>
        <v>396</v>
      </c>
      <c r="P367" s="17" t="str">
        <f aca="false">IF(AND(N(H367)&gt;=N(K367),N(H367)&gt;=N(N367)),"The Pulse",IF(N(K367)&gt;=N(N367),"The Lens","The Hub"))</f>
        <v>The Lens</v>
      </c>
      <c r="Q367" s="20" t="s">
        <v>74</v>
      </c>
      <c r="R367" s="26" t="s">
        <v>822</v>
      </c>
      <c r="S367" s="17" t="s">
        <v>24</v>
      </c>
    </row>
    <row r="368" customFormat="false" ht="15" hidden="false" customHeight="false" outlineLevel="0" collapsed="false">
      <c r="A368" s="17" t="s">
        <v>517</v>
      </c>
      <c r="B368" s="17" t="s">
        <v>518</v>
      </c>
      <c r="C368" s="17" t="s">
        <v>2669</v>
      </c>
      <c r="D368" s="17" t="s">
        <v>123</v>
      </c>
      <c r="E368" s="18" t="n">
        <v>24930</v>
      </c>
      <c r="F368" s="17" t="s">
        <v>821</v>
      </c>
      <c r="G368" s="23" t="n">
        <v>0.825391095066185</v>
      </c>
      <c r="H368" s="19" t="n">
        <v>30.3</v>
      </c>
      <c r="I368" s="17" t="n">
        <f aca="false">IF(H368="","",RANK(H368,$H$5:$H$525))</f>
        <v>364</v>
      </c>
      <c r="J368" s="24" t="n">
        <v>0.220861900097943</v>
      </c>
      <c r="K368" s="19" t="n">
        <v>94.8</v>
      </c>
      <c r="L368" s="17" t="n">
        <f aca="false">IF(K368="","",RANK(K368,$K$5:$K$525))</f>
        <v>32</v>
      </c>
      <c r="M368" s="25" t="n">
        <v>0.0466321243523316</v>
      </c>
      <c r="N368" s="19" t="n">
        <v>30.5</v>
      </c>
      <c r="O368" s="17" t="n">
        <f aca="false">IF(N368="","",RANK(N368,$N$5:$N$525))</f>
        <v>363</v>
      </c>
      <c r="P368" s="17" t="str">
        <f aca="false">IF(AND(N(H368)&gt;=N(K368),N(H368)&gt;=N(N368)),"The Pulse",IF(N(K368)&gt;=N(N368),"The Lens","The Hub"))</f>
        <v>The Lens</v>
      </c>
      <c r="Q368" s="20" t="s">
        <v>74</v>
      </c>
      <c r="R368" s="26" t="s">
        <v>822</v>
      </c>
      <c r="S368" s="17" t="s">
        <v>24</v>
      </c>
    </row>
    <row r="369" customFormat="false" ht="15" hidden="false" customHeight="false" outlineLevel="0" collapsed="false">
      <c r="A369" s="17" t="s">
        <v>1821</v>
      </c>
      <c r="B369" s="17" t="s">
        <v>1822</v>
      </c>
      <c r="C369" s="17" t="s">
        <v>2670</v>
      </c>
      <c r="D369" s="17" t="s">
        <v>82</v>
      </c>
      <c r="E369" s="18" t="n">
        <v>105901</v>
      </c>
      <c r="F369" s="17" t="s">
        <v>827</v>
      </c>
      <c r="G369" s="23" t="n">
        <v>0.823637170564962</v>
      </c>
      <c r="H369" s="19" t="n">
        <v>30.2</v>
      </c>
      <c r="I369" s="17" t="n">
        <f aca="false">IF(H369="","",RANK(H369,$H$5:$H$525))</f>
        <v>365</v>
      </c>
      <c r="J369" s="24" t="n">
        <v>0.17243097225605</v>
      </c>
      <c r="K369" s="19" t="n">
        <v>89.4</v>
      </c>
      <c r="L369" s="17" t="n">
        <f aca="false">IF(K369="","",RANK(K369,$K$5:$K$525))</f>
        <v>60</v>
      </c>
      <c r="M369" s="25" t="n">
        <v>0.0859006886553099</v>
      </c>
      <c r="N369" s="19" t="n">
        <v>52.2</v>
      </c>
      <c r="O369" s="17" t="n">
        <f aca="false">IF(N369="","",RANK(N369,$N$5:$N$525))</f>
        <v>248</v>
      </c>
      <c r="P369" s="17" t="str">
        <f aca="false">IF(AND(N(H369)&gt;=N(K369),N(H369)&gt;=N(N369)),"The Pulse",IF(N(K369)&gt;=N(N369),"The Lens","The Hub"))</f>
        <v>The Lens</v>
      </c>
      <c r="Q369" s="21" t="s">
        <v>79</v>
      </c>
      <c r="R369" s="27" t="s">
        <v>832</v>
      </c>
      <c r="S369" s="17" t="s">
        <v>22</v>
      </c>
    </row>
    <row r="370" customFormat="false" ht="15" hidden="false" customHeight="false" outlineLevel="0" collapsed="false">
      <c r="A370" s="17" t="s">
        <v>1238</v>
      </c>
      <c r="B370" s="17" t="s">
        <v>1239</v>
      </c>
      <c r="C370" s="17" t="s">
        <v>2671</v>
      </c>
      <c r="D370" s="17" t="s">
        <v>82</v>
      </c>
      <c r="E370" s="18" t="n">
        <v>30750</v>
      </c>
      <c r="F370" s="17" t="s">
        <v>821</v>
      </c>
      <c r="G370" s="23" t="n">
        <v>0.82139837398374</v>
      </c>
      <c r="H370" s="19" t="n">
        <v>30</v>
      </c>
      <c r="I370" s="17" t="n">
        <f aca="false">IF(H370="","",RANK(H370,$H$5:$H$525))</f>
        <v>366</v>
      </c>
      <c r="J370" s="24" t="n">
        <v>0.0563380281690141</v>
      </c>
      <c r="K370" s="19" t="n">
        <v>32.5</v>
      </c>
      <c r="L370" s="17" t="n">
        <f aca="false">IF(K370="","",RANK(K370,$K$5:$K$525))</f>
        <v>352</v>
      </c>
      <c r="M370" s="25" t="n">
        <v>0.0927152317880795</v>
      </c>
      <c r="N370" s="19" t="n">
        <v>55.2</v>
      </c>
      <c r="O370" s="17" t="n">
        <f aca="false">IF(N370="","",RANK(N370,$N$5:$N$525))</f>
        <v>234</v>
      </c>
      <c r="P370" s="17" t="str">
        <f aca="false">IF(AND(N(H370)&gt;=N(K370),N(H370)&gt;=N(N370)),"The Pulse",IF(N(K370)&gt;=N(N370),"The Lens","The Hub"))</f>
        <v>The Hub</v>
      </c>
      <c r="Q370" s="20" t="s">
        <v>74</v>
      </c>
      <c r="R370" s="27" t="s">
        <v>832</v>
      </c>
      <c r="S370" s="17" t="s">
        <v>24</v>
      </c>
    </row>
    <row r="371" customFormat="false" ht="15" hidden="false" customHeight="false" outlineLevel="0" collapsed="false">
      <c r="A371" s="17" t="s">
        <v>2101</v>
      </c>
      <c r="B371" s="17" t="s">
        <v>2102</v>
      </c>
      <c r="C371" s="17" t="s">
        <v>2672</v>
      </c>
      <c r="D371" s="17" t="s">
        <v>123</v>
      </c>
      <c r="E371" s="18" t="n">
        <v>422200</v>
      </c>
      <c r="F371" s="17" t="s">
        <v>827</v>
      </c>
      <c r="G371" s="23" t="n">
        <v>0.819099952629086</v>
      </c>
      <c r="H371" s="19" t="n">
        <v>29.8</v>
      </c>
      <c r="I371" s="17" t="n">
        <f aca="false">IF(H371="","",RANK(H371,$H$5:$H$525))</f>
        <v>367</v>
      </c>
      <c r="J371" s="24" t="n">
        <v>-0.0405853747216289</v>
      </c>
      <c r="K371" s="19" t="n">
        <v>6.8</v>
      </c>
      <c r="L371" s="17" t="n">
        <f aca="false">IF(K371="","",RANK(K371,$K$5:$K$525))</f>
        <v>486</v>
      </c>
      <c r="M371" s="25" t="n">
        <v>0.010469211002189</v>
      </c>
      <c r="N371" s="19" t="n">
        <v>6.8</v>
      </c>
      <c r="O371" s="17" t="n">
        <f aca="false">IF(N371="","",RANK(N371,$N$5:$N$525))</f>
        <v>486</v>
      </c>
      <c r="P371" s="17" t="str">
        <f aca="false">IF(AND(N(H371)&gt;=N(K371),N(H371)&gt;=N(N371)),"The Pulse",IF(N(K371)&gt;=N(N371),"The Lens","The Hub"))</f>
        <v>The Pulse</v>
      </c>
      <c r="Q371" s="20" t="s">
        <v>74</v>
      </c>
      <c r="R371" s="27" t="s">
        <v>832</v>
      </c>
      <c r="S371" s="17" t="s">
        <v>24</v>
      </c>
    </row>
    <row r="372" customFormat="false" ht="15" hidden="false" customHeight="false" outlineLevel="0" collapsed="false">
      <c r="A372" s="17" t="s">
        <v>1404</v>
      </c>
      <c r="B372" s="17" t="s">
        <v>1405</v>
      </c>
      <c r="C372" s="17" t="s">
        <v>2673</v>
      </c>
      <c r="D372" s="17" t="s">
        <v>77</v>
      </c>
      <c r="E372" s="18" t="n">
        <v>343470</v>
      </c>
      <c r="F372" s="17" t="s">
        <v>827</v>
      </c>
      <c r="G372" s="23" t="n">
        <v>0.809968847352025</v>
      </c>
      <c r="H372" s="19" t="n">
        <v>29.6</v>
      </c>
      <c r="I372" s="17" t="n">
        <f aca="false">IF(H372="","",RANK(H372,$H$5:$H$525))</f>
        <v>368</v>
      </c>
      <c r="J372" s="24" t="n">
        <v>0.1138243019749</v>
      </c>
      <c r="K372" s="19" t="n">
        <v>66.5</v>
      </c>
      <c r="L372" s="17" t="n">
        <f aca="false">IF(K372="","",RANK(K372,$K$5:$K$525))</f>
        <v>174</v>
      </c>
      <c r="M372" s="25" t="n">
        <v>0.00310907677692374</v>
      </c>
      <c r="N372" s="19" t="n">
        <v>3.4</v>
      </c>
      <c r="O372" s="17" t="n">
        <f aca="false">IF(N372="","",RANK(N372,$N$5:$N$525))</f>
        <v>505</v>
      </c>
      <c r="P372" s="17" t="str">
        <f aca="false">IF(AND(N(H372)&gt;=N(K372),N(H372)&gt;=N(N372)),"The Pulse",IF(N(K372)&gt;=N(N372),"The Lens","The Hub"))</f>
        <v>The Lens</v>
      </c>
      <c r="Q372" s="20" t="s">
        <v>74</v>
      </c>
      <c r="R372" s="27" t="s">
        <v>832</v>
      </c>
      <c r="S372" s="17" t="s">
        <v>24</v>
      </c>
    </row>
    <row r="373" customFormat="false" ht="15" hidden="false" customHeight="false" outlineLevel="0" collapsed="false">
      <c r="A373" s="17" t="s">
        <v>505</v>
      </c>
      <c r="B373" s="17" t="s">
        <v>506</v>
      </c>
      <c r="C373" s="17" t="s">
        <v>2674</v>
      </c>
      <c r="D373" s="17" t="s">
        <v>123</v>
      </c>
      <c r="E373" s="18" t="n">
        <v>77035</v>
      </c>
      <c r="F373" s="17" t="s">
        <v>821</v>
      </c>
      <c r="G373" s="23" t="n">
        <v>0.809541117673785</v>
      </c>
      <c r="H373" s="19" t="n">
        <v>29.5</v>
      </c>
      <c r="I373" s="17" t="n">
        <f aca="false">IF(H373="","",RANK(H373,$H$5:$H$525))</f>
        <v>369</v>
      </c>
      <c r="J373" s="24" t="n">
        <v>0.0342489662209334</v>
      </c>
      <c r="K373" s="19" t="n">
        <v>21.8</v>
      </c>
      <c r="L373" s="17" t="n">
        <f aca="false">IF(K373="","",RANK(K373,$K$5:$K$525))</f>
        <v>409</v>
      </c>
      <c r="M373" s="25" t="n">
        <v>0.0491329479768786</v>
      </c>
      <c r="N373" s="19" t="n">
        <v>31.7</v>
      </c>
      <c r="O373" s="17" t="n">
        <f aca="false">IF(N373="","",RANK(N373,$N$5:$N$525))</f>
        <v>356</v>
      </c>
      <c r="P373" s="17" t="str">
        <f aca="false">IF(AND(N(H373)&gt;=N(K373),N(H373)&gt;=N(N373)),"The Pulse",IF(N(K373)&gt;=N(N373),"The Lens","The Hub"))</f>
        <v>The Hub</v>
      </c>
      <c r="Q373" s="21" t="s">
        <v>79</v>
      </c>
      <c r="R373" s="26" t="s">
        <v>822</v>
      </c>
      <c r="S373" s="17" t="s">
        <v>22</v>
      </c>
    </row>
    <row r="374" customFormat="false" ht="15" hidden="false" customHeight="false" outlineLevel="0" collapsed="false">
      <c r="A374" s="17" t="s">
        <v>317</v>
      </c>
      <c r="B374" s="17" t="s">
        <v>318</v>
      </c>
      <c r="C374" s="17" t="s">
        <v>2675</v>
      </c>
      <c r="D374" s="17" t="s">
        <v>95</v>
      </c>
      <c r="E374" s="18" t="n">
        <v>9466</v>
      </c>
      <c r="F374" s="17" t="s">
        <v>825</v>
      </c>
      <c r="G374" s="23" t="n">
        <v>0.809106275089795</v>
      </c>
      <c r="H374" s="19" t="n">
        <v>29.3</v>
      </c>
      <c r="I374" s="17" t="n">
        <f aca="false">IF(H374="","",RANK(H374,$H$5:$H$525))</f>
        <v>370</v>
      </c>
      <c r="J374" s="24" t="n">
        <v>0.220789270054166</v>
      </c>
      <c r="K374" s="19" t="n">
        <v>92.5</v>
      </c>
      <c r="L374" s="17" t="n">
        <f aca="false">IF(K374="","",RANK(K374,$K$5:$K$525))</f>
        <v>42</v>
      </c>
      <c r="M374" s="25" t="n">
        <v>0.0411764705882353</v>
      </c>
      <c r="N374" s="19" t="n">
        <v>26.3</v>
      </c>
      <c r="O374" s="17" t="n">
        <f aca="false">IF(N374="","",RANK(N374,$N$5:$N$525))</f>
        <v>385</v>
      </c>
      <c r="P374" s="17" t="str">
        <f aca="false">IF(AND(N(H374)&gt;=N(K374),N(H374)&gt;=N(N374)),"The Pulse",IF(N(K374)&gt;=N(N374),"The Lens","The Hub"))</f>
        <v>The Lens</v>
      </c>
      <c r="Q374" s="21" t="s">
        <v>79</v>
      </c>
      <c r="R374" s="26" t="s">
        <v>822</v>
      </c>
      <c r="S374" s="17" t="s">
        <v>22</v>
      </c>
    </row>
    <row r="375" customFormat="false" ht="15" hidden="false" customHeight="false" outlineLevel="0" collapsed="false">
      <c r="A375" s="17" t="s">
        <v>315</v>
      </c>
      <c r="B375" s="17" t="s">
        <v>316</v>
      </c>
      <c r="C375" s="17" t="s">
        <v>2676</v>
      </c>
      <c r="D375" s="17" t="s">
        <v>95</v>
      </c>
      <c r="E375" s="18" t="n">
        <v>45940</v>
      </c>
      <c r="F375" s="17" t="s">
        <v>821</v>
      </c>
      <c r="G375" s="23" t="n">
        <v>0.80737919024815</v>
      </c>
      <c r="H375" s="19" t="n">
        <v>29.1</v>
      </c>
      <c r="I375" s="17" t="n">
        <f aca="false">IF(H375="","",RANK(H375,$H$5:$H$525))</f>
        <v>371</v>
      </c>
      <c r="J375" s="24" t="n">
        <v>0.111541253326881</v>
      </c>
      <c r="K375" s="19" t="n">
        <v>58.8</v>
      </c>
      <c r="L375" s="17" t="n">
        <f aca="false">IF(K375="","",RANK(K375,$K$5:$K$525))</f>
        <v>215</v>
      </c>
      <c r="M375" s="25" t="n">
        <v>0.272650653181627</v>
      </c>
      <c r="N375" s="19" t="n">
        <v>94.4</v>
      </c>
      <c r="O375" s="17" t="n">
        <f aca="false">IF(N375="","",RANK(N375,$N$5:$N$525))</f>
        <v>29</v>
      </c>
      <c r="P375" s="17" t="str">
        <f aca="false">IF(AND(N(H375)&gt;=N(K375),N(H375)&gt;=N(N375)),"The Pulse",IF(N(K375)&gt;=N(N375),"The Lens","The Hub"))</f>
        <v>The Hub</v>
      </c>
      <c r="Q375" s="20" t="s">
        <v>74</v>
      </c>
      <c r="R375" s="26" t="s">
        <v>822</v>
      </c>
      <c r="S375" s="17" t="s">
        <v>24</v>
      </c>
    </row>
    <row r="376" customFormat="false" ht="15" hidden="false" customHeight="false" outlineLevel="0" collapsed="false">
      <c r="A376" s="17" t="s">
        <v>589</v>
      </c>
      <c r="B376" s="17" t="s">
        <v>590</v>
      </c>
      <c r="C376" s="17" t="s">
        <v>2677</v>
      </c>
      <c r="D376" s="17" t="s">
        <v>82</v>
      </c>
      <c r="E376" s="18" t="n">
        <v>82989</v>
      </c>
      <c r="F376" s="17" t="s">
        <v>821</v>
      </c>
      <c r="G376" s="23" t="n">
        <v>0.805456144790273</v>
      </c>
      <c r="H376" s="19" t="n">
        <v>28.9</v>
      </c>
      <c r="I376" s="17" t="n">
        <f aca="false">IF(H376="","",RANK(H376,$H$5:$H$525))</f>
        <v>372</v>
      </c>
      <c r="J376" s="24" t="n">
        <v>-0.00448640284058875</v>
      </c>
      <c r="K376" s="19" t="n">
        <v>8.4</v>
      </c>
      <c r="L376" s="17" t="n">
        <f aca="false">IF(K376="","",RANK(K376,$K$5:$K$525))</f>
        <v>477</v>
      </c>
      <c r="M376" s="25" t="n">
        <v>0.0856363016035483</v>
      </c>
      <c r="N376" s="19" t="n">
        <v>52</v>
      </c>
      <c r="O376" s="17" t="n">
        <f aca="false">IF(N376="","",RANK(N376,$N$5:$N$525))</f>
        <v>249</v>
      </c>
      <c r="P376" s="17" t="str">
        <f aca="false">IF(AND(N(H376)&gt;=N(K376),N(H376)&gt;=N(N376)),"The Pulse",IF(N(K376)&gt;=N(N376),"The Lens","The Hub"))</f>
        <v>The Hub</v>
      </c>
      <c r="Q376" s="21" t="s">
        <v>79</v>
      </c>
      <c r="R376" s="26" t="s">
        <v>822</v>
      </c>
      <c r="S376" s="17" t="s">
        <v>22</v>
      </c>
    </row>
    <row r="377" customFormat="false" ht="15" hidden="false" customHeight="false" outlineLevel="0" collapsed="false">
      <c r="A377" s="17" t="s">
        <v>2678</v>
      </c>
      <c r="B377" s="17" t="s">
        <v>2679</v>
      </c>
      <c r="C377" s="17" t="s">
        <v>2680</v>
      </c>
      <c r="D377" s="17" t="s">
        <v>162</v>
      </c>
      <c r="E377" s="18" t="n">
        <v>45000</v>
      </c>
      <c r="F377" s="17" t="s">
        <v>821</v>
      </c>
      <c r="G377" s="23" t="n">
        <v>0.802644444444445</v>
      </c>
      <c r="H377" s="19" t="n">
        <v>28.7</v>
      </c>
      <c r="I377" s="17" t="n">
        <f aca="false">IF(H377="","",RANK(H377,$H$5:$H$525))</f>
        <v>373</v>
      </c>
      <c r="J377" s="24" t="n">
        <v>0.161890007745933</v>
      </c>
      <c r="K377" s="19" t="n">
        <v>82.5</v>
      </c>
      <c r="L377" s="17" t="n">
        <f aca="false">IF(K377="","",RANK(K377,$K$5:$K$525))</f>
        <v>95</v>
      </c>
      <c r="M377" s="25" t="n">
        <v>0.0202821869488536</v>
      </c>
      <c r="N377" s="19" t="n">
        <v>13.8</v>
      </c>
      <c r="O377" s="17" t="n">
        <f aca="false">IF(N377="","",RANK(N377,$N$5:$N$525))</f>
        <v>450</v>
      </c>
      <c r="P377" s="17" t="str">
        <f aca="false">IF(AND(N(H377)&gt;=N(K377),N(H377)&gt;=N(N377)),"The Pulse",IF(N(K377)&gt;=N(N377),"The Lens","The Hub"))</f>
        <v>The Lens</v>
      </c>
      <c r="Q377" s="21" t="s">
        <v>79</v>
      </c>
      <c r="R377" s="27" t="s">
        <v>832</v>
      </c>
      <c r="S377" s="17" t="s">
        <v>22</v>
      </c>
    </row>
    <row r="378" customFormat="false" ht="15" hidden="false" customHeight="false" outlineLevel="0" collapsed="false">
      <c r="A378" s="17" t="s">
        <v>2681</v>
      </c>
      <c r="B378" s="17" t="s">
        <v>2682</v>
      </c>
      <c r="C378" s="17" t="s">
        <v>2683</v>
      </c>
      <c r="D378" s="17" t="s">
        <v>95</v>
      </c>
      <c r="E378" s="18" t="n">
        <v>26909</v>
      </c>
      <c r="F378" s="17" t="s">
        <v>821</v>
      </c>
      <c r="G378" s="23" t="n">
        <v>0.792634434575793</v>
      </c>
      <c r="H378" s="19" t="n">
        <v>28.6</v>
      </c>
      <c r="I378" s="17" t="n">
        <f aca="false">IF(H378="","",RANK(H378,$H$5:$H$525))</f>
        <v>374</v>
      </c>
      <c r="J378" s="24" t="n">
        <v>0.197019572953737</v>
      </c>
      <c r="K378" s="19" t="n">
        <v>90.9</v>
      </c>
      <c r="L378" s="17" t="n">
        <f aca="false">IF(K378="","",RANK(K378,$K$5:$K$525))</f>
        <v>52</v>
      </c>
      <c r="M378" s="25" t="n">
        <v>0.0390879478827362</v>
      </c>
      <c r="N378" s="19" t="n">
        <v>25.4</v>
      </c>
      <c r="O378" s="17" t="n">
        <f aca="false">IF(N378="","",RANK(N378,$N$5:$N$525))</f>
        <v>390</v>
      </c>
      <c r="P378" s="17" t="str">
        <f aca="false">IF(AND(N(H378)&gt;=N(K378),N(H378)&gt;=N(N378)),"The Pulse",IF(N(K378)&gt;=N(N378),"The Lens","The Hub"))</f>
        <v>The Lens</v>
      </c>
      <c r="Q378" s="21" t="s">
        <v>79</v>
      </c>
      <c r="R378" s="27" t="s">
        <v>832</v>
      </c>
      <c r="S378" s="17" t="s">
        <v>22</v>
      </c>
    </row>
    <row r="379" customFormat="false" ht="15" hidden="false" customHeight="false" outlineLevel="0" collapsed="false">
      <c r="A379" s="17" t="s">
        <v>701</v>
      </c>
      <c r="B379" s="17" t="s">
        <v>702</v>
      </c>
      <c r="C379" s="17" t="s">
        <v>2684</v>
      </c>
      <c r="D379" s="17" t="s">
        <v>98</v>
      </c>
      <c r="E379" s="18" t="n">
        <v>9750</v>
      </c>
      <c r="F379" s="17" t="s">
        <v>825</v>
      </c>
      <c r="G379" s="23" t="n">
        <v>0.788410256410256</v>
      </c>
      <c r="H379" s="19" t="n">
        <v>28.2</v>
      </c>
      <c r="I379" s="17" t="n">
        <f aca="false">IF(H379="","",RANK(H379,$H$5:$H$525))</f>
        <v>375</v>
      </c>
      <c r="J379" s="24" t="n">
        <v>0.120689655172414</v>
      </c>
      <c r="K379" s="19" t="n">
        <v>55</v>
      </c>
      <c r="L379" s="17" t="n">
        <f aca="false">IF(K379="","",RANK(K379,$K$5:$K$525))</f>
        <v>235</v>
      </c>
      <c r="M379" s="25" t="n">
        <v>0.349685534591195</v>
      </c>
      <c r="N379" s="19" t="n">
        <v>98.2</v>
      </c>
      <c r="O379" s="17" t="n">
        <f aca="false">IF(N379="","",RANK(N379,$N$5:$N$525))</f>
        <v>9</v>
      </c>
      <c r="P379" s="17" t="str">
        <f aca="false">IF(AND(N(H379)&gt;=N(K379),N(H379)&gt;=N(N379)),"The Pulse",IF(N(K379)&gt;=N(N379),"The Lens","The Hub"))</f>
        <v>The Hub</v>
      </c>
      <c r="Q379" s="20" t="s">
        <v>74</v>
      </c>
      <c r="R379" s="26" t="s">
        <v>822</v>
      </c>
      <c r="S379" s="17" t="s">
        <v>24</v>
      </c>
    </row>
    <row r="380" customFormat="false" ht="15" hidden="false" customHeight="false" outlineLevel="0" collapsed="false">
      <c r="A380" s="17" t="s">
        <v>703</v>
      </c>
      <c r="B380" s="17" t="s">
        <v>704</v>
      </c>
      <c r="C380" s="17" t="s">
        <v>2685</v>
      </c>
      <c r="D380" s="17" t="s">
        <v>72</v>
      </c>
      <c r="E380" s="18" t="n">
        <v>98240</v>
      </c>
      <c r="F380" s="17" t="s">
        <v>821</v>
      </c>
      <c r="G380" s="23" t="n">
        <v>0.786583876221498</v>
      </c>
      <c r="H380" s="19" t="n">
        <v>28</v>
      </c>
      <c r="I380" s="17" t="n">
        <f aca="false">IF(H380="","",RANK(H380,$H$5:$H$525))</f>
        <v>376</v>
      </c>
      <c r="J380" s="24" t="n">
        <v>0.174417214584579</v>
      </c>
      <c r="K380" s="19" t="n">
        <v>86.4</v>
      </c>
      <c r="L380" s="17" t="n">
        <f aca="false">IF(K380="","",RANK(K380,$K$5:$K$525))</f>
        <v>73</v>
      </c>
      <c r="M380" s="25" t="n">
        <v>0.16969196919692</v>
      </c>
      <c r="N380" s="19" t="n">
        <v>78.5</v>
      </c>
      <c r="O380" s="17" t="n">
        <f aca="false">IF(N380="","",RANK(N380,$N$5:$N$525))</f>
        <v>112</v>
      </c>
      <c r="P380" s="17" t="str">
        <f aca="false">IF(AND(N(H380)&gt;=N(K380),N(H380)&gt;=N(N380)),"The Pulse",IF(N(K380)&gt;=N(N380),"The Lens","The Hub"))</f>
        <v>The Lens</v>
      </c>
      <c r="Q380" s="20" t="s">
        <v>74</v>
      </c>
      <c r="R380" s="26" t="s">
        <v>822</v>
      </c>
      <c r="S380" s="17" t="s">
        <v>24</v>
      </c>
    </row>
    <row r="381" customFormat="false" ht="15" hidden="false" customHeight="false" outlineLevel="0" collapsed="false">
      <c r="A381" s="17" t="s">
        <v>311</v>
      </c>
      <c r="B381" s="17" t="s">
        <v>312</v>
      </c>
      <c r="C381" s="17" t="s">
        <v>2686</v>
      </c>
      <c r="D381" s="17" t="s">
        <v>82</v>
      </c>
      <c r="E381" s="18" t="n">
        <v>54567</v>
      </c>
      <c r="F381" s="17" t="s">
        <v>821</v>
      </c>
      <c r="G381" s="23" t="n">
        <v>0.78536478091154</v>
      </c>
      <c r="H381" s="19" t="n">
        <v>27.9</v>
      </c>
      <c r="I381" s="17" t="n">
        <f aca="false">IF(H381="","",RANK(H381,$H$5:$H$525))</f>
        <v>377</v>
      </c>
      <c r="J381" s="24" t="n">
        <v>-0.0473970880904996</v>
      </c>
      <c r="K381" s="19" t="n">
        <v>2.6</v>
      </c>
      <c r="L381" s="17" t="n">
        <f aca="false">IF(K381="","",RANK(K381,$K$5:$K$525))</f>
        <v>509</v>
      </c>
      <c r="M381" s="25" t="n">
        <v>0.0115194733955019</v>
      </c>
      <c r="N381" s="19" t="n">
        <v>7.9</v>
      </c>
      <c r="O381" s="17" t="n">
        <f aca="false">IF(N381="","",RANK(N381,$N$5:$N$525))</f>
        <v>481</v>
      </c>
      <c r="P381" s="17" t="str">
        <f aca="false">IF(AND(N(H381)&gt;=N(K381),N(H381)&gt;=N(N381)),"The Pulse",IF(N(K381)&gt;=N(N381),"The Lens","The Hub"))</f>
        <v>The Pulse</v>
      </c>
      <c r="Q381" s="21" t="s">
        <v>79</v>
      </c>
      <c r="R381" s="26" t="s">
        <v>822</v>
      </c>
      <c r="S381" s="17" t="s">
        <v>22</v>
      </c>
    </row>
    <row r="382" customFormat="false" ht="15" hidden="false" customHeight="false" outlineLevel="0" collapsed="false">
      <c r="A382" s="17" t="s">
        <v>705</v>
      </c>
      <c r="B382" s="17" t="s">
        <v>706</v>
      </c>
      <c r="C382" s="17" t="s">
        <v>2687</v>
      </c>
      <c r="D382" s="17" t="s">
        <v>86</v>
      </c>
      <c r="E382" s="18" t="n">
        <v>21550</v>
      </c>
      <c r="F382" s="17" t="s">
        <v>821</v>
      </c>
      <c r="G382" s="23" t="n">
        <v>0.783665893271462</v>
      </c>
      <c r="H382" s="19" t="n">
        <v>27.7</v>
      </c>
      <c r="I382" s="17" t="n">
        <f aca="false">IF(H382="","",RANK(H382,$H$5:$H$525))</f>
        <v>378</v>
      </c>
      <c r="J382" s="24" t="n">
        <v>0.251451800232288</v>
      </c>
      <c r="K382" s="19" t="n">
        <v>98.1</v>
      </c>
      <c r="L382" s="17" t="n">
        <f aca="false">IF(K382="","",RANK(K382,$K$5:$K$525))</f>
        <v>13</v>
      </c>
      <c r="M382" s="25" t="n">
        <v>0.0593654042988741</v>
      </c>
      <c r="N382" s="19" t="n">
        <v>36.7</v>
      </c>
      <c r="O382" s="17" t="n">
        <f aca="false">IF(N382="","",RANK(N382,$N$5:$N$525))</f>
        <v>330</v>
      </c>
      <c r="P382" s="17" t="str">
        <f aca="false">IF(AND(N(H382)&gt;=N(K382),N(H382)&gt;=N(N382)),"The Pulse",IF(N(K382)&gt;=N(N382),"The Lens","The Hub"))</f>
        <v>The Lens</v>
      </c>
      <c r="Q382" s="20" t="s">
        <v>74</v>
      </c>
      <c r="R382" s="26" t="s">
        <v>822</v>
      </c>
      <c r="S382" s="17" t="s">
        <v>24</v>
      </c>
    </row>
    <row r="383" customFormat="false" ht="15" hidden="false" customHeight="false" outlineLevel="0" collapsed="false">
      <c r="A383" s="17" t="s">
        <v>2688</v>
      </c>
      <c r="B383" s="17" t="s">
        <v>2689</v>
      </c>
      <c r="C383" s="17" t="s">
        <v>2690</v>
      </c>
      <c r="D383" s="17" t="s">
        <v>72</v>
      </c>
      <c r="E383" s="18" t="n">
        <v>97601</v>
      </c>
      <c r="F383" s="17" t="s">
        <v>821</v>
      </c>
      <c r="G383" s="23" t="n">
        <v>0.782307558324198</v>
      </c>
      <c r="H383" s="19" t="n">
        <v>27.5</v>
      </c>
      <c r="I383" s="17" t="n">
        <f aca="false">IF(H383="","",RANK(H383,$H$5:$H$525))</f>
        <v>379</v>
      </c>
      <c r="J383" s="24" t="n">
        <v>0.0841784877198049</v>
      </c>
      <c r="K383" s="19" t="n">
        <v>42.9</v>
      </c>
      <c r="L383" s="17" t="n">
        <f aca="false">IF(K383="","",RANK(K383,$K$5:$K$525))</f>
        <v>297</v>
      </c>
      <c r="M383" s="25" t="n">
        <v>0.0597122302158273</v>
      </c>
      <c r="N383" s="19" t="n">
        <v>37.1</v>
      </c>
      <c r="O383" s="17" t="n">
        <f aca="false">IF(N383="","",RANK(N383,$N$5:$N$525))</f>
        <v>328</v>
      </c>
      <c r="P383" s="17" t="str">
        <f aca="false">IF(AND(N(H383)&gt;=N(K383),N(H383)&gt;=N(N383)),"The Pulse",IF(N(K383)&gt;=N(N383),"The Lens","The Hub"))</f>
        <v>The Lens</v>
      </c>
      <c r="Q383" s="21" t="s">
        <v>79</v>
      </c>
      <c r="R383" s="27" t="s">
        <v>832</v>
      </c>
      <c r="S383" s="17" t="s">
        <v>22</v>
      </c>
    </row>
    <row r="384" customFormat="false" ht="15" hidden="false" customHeight="false" outlineLevel="0" collapsed="false">
      <c r="A384" s="17" t="s">
        <v>463</v>
      </c>
      <c r="B384" s="17" t="s">
        <v>464</v>
      </c>
      <c r="C384" s="17" t="s">
        <v>2691</v>
      </c>
      <c r="D384" s="17" t="s">
        <v>72</v>
      </c>
      <c r="E384" s="18" t="n">
        <v>204319</v>
      </c>
      <c r="F384" s="17" t="s">
        <v>827</v>
      </c>
      <c r="G384" s="23" t="n">
        <v>0.778410231060254</v>
      </c>
      <c r="H384" s="19" t="n">
        <v>27.2</v>
      </c>
      <c r="I384" s="17" t="n">
        <f aca="false">IF(H384="","",RANK(H384,$H$5:$H$525))</f>
        <v>380</v>
      </c>
      <c r="J384" s="24" t="n">
        <v>0.152384927326975</v>
      </c>
      <c r="K384" s="19" t="n">
        <v>83.9</v>
      </c>
      <c r="L384" s="17" t="n">
        <f aca="false">IF(K384="","",RANK(K384,$K$5:$K$525))</f>
        <v>87</v>
      </c>
      <c r="M384" s="25" t="n">
        <v>0.219668592470319</v>
      </c>
      <c r="N384" s="19" t="n">
        <v>88.5</v>
      </c>
      <c r="O384" s="17" t="n">
        <f aca="false">IF(N384="","",RANK(N384,$N$5:$N$525))</f>
        <v>61</v>
      </c>
      <c r="P384" s="17" t="str">
        <f aca="false">IF(AND(N(H384)&gt;=N(K384),N(H384)&gt;=N(N384)),"The Pulse",IF(N(K384)&gt;=N(N384),"The Lens","The Hub"))</f>
        <v>The Hub</v>
      </c>
      <c r="Q384" s="21" t="s">
        <v>79</v>
      </c>
      <c r="R384" s="26" t="s">
        <v>822</v>
      </c>
      <c r="S384" s="17" t="s">
        <v>22</v>
      </c>
    </row>
    <row r="385" customFormat="false" ht="15" hidden="false" customHeight="false" outlineLevel="0" collapsed="false">
      <c r="A385" s="17" t="s">
        <v>887</v>
      </c>
      <c r="B385" s="17" t="s">
        <v>888</v>
      </c>
      <c r="C385" s="17" t="s">
        <v>2692</v>
      </c>
      <c r="D385" s="17" t="s">
        <v>91</v>
      </c>
      <c r="E385" s="18" t="n">
        <v>265334</v>
      </c>
      <c r="F385" s="17" t="s">
        <v>827</v>
      </c>
      <c r="G385" s="23" t="n">
        <v>0.776244280793264</v>
      </c>
      <c r="H385" s="19" t="n">
        <v>27</v>
      </c>
      <c r="I385" s="17" t="n">
        <f aca="false">IF(H385="","",RANK(H385,$H$5:$H$525))</f>
        <v>381</v>
      </c>
      <c r="J385" s="24" t="n">
        <v>-0.0173833824640408</v>
      </c>
      <c r="K385" s="19" t="n">
        <v>9.9</v>
      </c>
      <c r="L385" s="17" t="n">
        <f aca="false">IF(K385="","",RANK(K385,$K$5:$K$525))</f>
        <v>470</v>
      </c>
      <c r="M385" s="25" t="n">
        <v>0.112280196021908</v>
      </c>
      <c r="N385" s="19" t="n">
        <v>63.1</v>
      </c>
      <c r="O385" s="17" t="n">
        <f aca="false">IF(N385="","",RANK(N385,$N$5:$N$525))</f>
        <v>192</v>
      </c>
      <c r="P385" s="17" t="str">
        <f aca="false">IF(AND(N(H385)&gt;=N(K385),N(H385)&gt;=N(N385)),"The Pulse",IF(N(K385)&gt;=N(N385),"The Lens","The Hub"))</f>
        <v>The Hub</v>
      </c>
      <c r="Q385" s="21" t="s">
        <v>79</v>
      </c>
      <c r="R385" s="27" t="s">
        <v>832</v>
      </c>
      <c r="S385" s="17" t="s">
        <v>22</v>
      </c>
    </row>
    <row r="386" customFormat="false" ht="15" hidden="false" customHeight="false" outlineLevel="0" collapsed="false">
      <c r="A386" s="17" t="s">
        <v>881</v>
      </c>
      <c r="B386" s="17" t="s">
        <v>882</v>
      </c>
      <c r="C386" s="17" t="s">
        <v>2693</v>
      </c>
      <c r="D386" s="17" t="s">
        <v>162</v>
      </c>
      <c r="E386" s="18" t="n">
        <v>891990</v>
      </c>
      <c r="F386" s="17" t="s">
        <v>827</v>
      </c>
      <c r="G386" s="23" t="n">
        <v>0.776064754089171</v>
      </c>
      <c r="H386" s="19" t="n">
        <v>26.8</v>
      </c>
      <c r="I386" s="17" t="n">
        <f aca="false">IF(H386="","",RANK(H386,$H$5:$H$525))</f>
        <v>382</v>
      </c>
      <c r="J386" s="24" t="n">
        <v>0.178524713623211</v>
      </c>
      <c r="K386" s="19" t="n">
        <v>91.9</v>
      </c>
      <c r="L386" s="17" t="n">
        <f aca="false">IF(K386="","",RANK(K386,$K$5:$K$525))</f>
        <v>46</v>
      </c>
      <c r="M386" s="25" t="n">
        <v>0.104240236469696</v>
      </c>
      <c r="N386" s="19" t="n">
        <v>60.4</v>
      </c>
      <c r="O386" s="17" t="n">
        <f aca="false">IF(N386="","",RANK(N386,$N$5:$N$525))</f>
        <v>206</v>
      </c>
      <c r="P386" s="17" t="str">
        <f aca="false">IF(AND(N(H386)&gt;=N(K386),N(H386)&gt;=N(N386)),"The Pulse",IF(N(K386)&gt;=N(N386),"The Lens","The Hub"))</f>
        <v>The Lens</v>
      </c>
      <c r="Q386" s="21" t="s">
        <v>79</v>
      </c>
      <c r="R386" s="27" t="s">
        <v>832</v>
      </c>
      <c r="S386" s="17" t="s">
        <v>88</v>
      </c>
    </row>
    <row r="387" customFormat="false" ht="15" hidden="false" customHeight="false" outlineLevel="0" collapsed="false">
      <c r="A387" s="17" t="s">
        <v>1267</v>
      </c>
      <c r="B387" s="17" t="s">
        <v>1268</v>
      </c>
      <c r="C387" s="17" t="s">
        <v>2694</v>
      </c>
      <c r="D387" s="17" t="s">
        <v>95</v>
      </c>
      <c r="E387" s="18" t="n">
        <v>24350</v>
      </c>
      <c r="F387" s="17" t="s">
        <v>821</v>
      </c>
      <c r="G387" s="23" t="n">
        <v>0.775564681724846</v>
      </c>
      <c r="H387" s="19" t="n">
        <v>26.6</v>
      </c>
      <c r="I387" s="17" t="n">
        <f aca="false">IF(H387="","",RANK(H387,$H$5:$H$525))</f>
        <v>383</v>
      </c>
      <c r="J387" s="24" t="n">
        <v>0.0783879539415412</v>
      </c>
      <c r="K387" s="19" t="n">
        <v>39.6</v>
      </c>
      <c r="L387" s="17" t="n">
        <f aca="false">IF(K387="","",RANK(K387,$K$5:$K$525))</f>
        <v>316</v>
      </c>
      <c r="M387" s="25" t="n">
        <v>0.109298531810767</v>
      </c>
      <c r="N387" s="19" t="n">
        <v>62.2</v>
      </c>
      <c r="O387" s="17" t="n">
        <f aca="false">IF(N387="","",RANK(N387,$N$5:$N$525))</f>
        <v>197</v>
      </c>
      <c r="P387" s="17" t="str">
        <f aca="false">IF(AND(N(H387)&gt;=N(K387),N(H387)&gt;=N(N387)),"The Pulse",IF(N(K387)&gt;=N(N387),"The Lens","The Hub"))</f>
        <v>The Hub</v>
      </c>
      <c r="Q387" s="20" t="s">
        <v>74</v>
      </c>
      <c r="R387" s="27" t="s">
        <v>832</v>
      </c>
      <c r="S387" s="17" t="s">
        <v>24</v>
      </c>
    </row>
    <row r="388" customFormat="false" ht="15" hidden="false" customHeight="false" outlineLevel="0" collapsed="false">
      <c r="A388" s="17" t="s">
        <v>587</v>
      </c>
      <c r="B388" s="17" t="s">
        <v>588</v>
      </c>
      <c r="C388" s="17" t="s">
        <v>2695</v>
      </c>
      <c r="D388" s="17" t="s">
        <v>82</v>
      </c>
      <c r="E388" s="18" t="n">
        <v>41470</v>
      </c>
      <c r="F388" s="17" t="s">
        <v>821</v>
      </c>
      <c r="G388" s="23" t="n">
        <v>0.770026525198939</v>
      </c>
      <c r="H388" s="19" t="n">
        <v>26.5</v>
      </c>
      <c r="I388" s="17" t="n">
        <f aca="false">IF(H388="","",RANK(H388,$H$5:$H$525))</f>
        <v>384</v>
      </c>
      <c r="J388" s="24" t="n">
        <v>0.0372686343171586</v>
      </c>
      <c r="K388" s="19" t="n">
        <v>22.4</v>
      </c>
      <c r="L388" s="17" t="n">
        <f aca="false">IF(K388="","",RANK(K388,$K$5:$K$525))</f>
        <v>406</v>
      </c>
      <c r="M388" s="25" t="n">
        <v>0.23957783641161</v>
      </c>
      <c r="N388" s="19" t="n">
        <v>91.4</v>
      </c>
      <c r="O388" s="17" t="n">
        <f aca="false">IF(N388="","",RANK(N388,$N$5:$N$525))</f>
        <v>46</v>
      </c>
      <c r="P388" s="17" t="str">
        <f aca="false">IF(AND(N(H388)&gt;=N(K388),N(H388)&gt;=N(N388)),"The Pulse",IF(N(K388)&gt;=N(N388),"The Lens","The Hub"))</f>
        <v>The Hub</v>
      </c>
      <c r="Q388" s="20" t="s">
        <v>74</v>
      </c>
      <c r="R388" s="26" t="s">
        <v>822</v>
      </c>
      <c r="S388" s="17" t="s">
        <v>24</v>
      </c>
    </row>
    <row r="389" customFormat="false" ht="15" hidden="false" customHeight="false" outlineLevel="0" collapsed="false">
      <c r="A389" s="17" t="s">
        <v>2028</v>
      </c>
      <c r="B389" s="17" t="s">
        <v>2029</v>
      </c>
      <c r="C389" s="17" t="s">
        <v>2696</v>
      </c>
      <c r="D389" s="17" t="s">
        <v>123</v>
      </c>
      <c r="E389" s="18" t="n">
        <v>24492</v>
      </c>
      <c r="F389" s="17" t="s">
        <v>821</v>
      </c>
      <c r="G389" s="23" t="n">
        <v>0.76551527029234</v>
      </c>
      <c r="H389" s="19" t="n">
        <v>26.3</v>
      </c>
      <c r="I389" s="17" t="n">
        <f aca="false">IF(H389="","",RANK(H389,$H$5:$H$525))</f>
        <v>385</v>
      </c>
      <c r="J389" s="24" t="n">
        <v>0.232922225018877</v>
      </c>
      <c r="K389" s="19" t="n">
        <v>96.8</v>
      </c>
      <c r="L389" s="17" t="n">
        <f aca="false">IF(K389="","",RANK(K389,$K$5:$K$525))</f>
        <v>21</v>
      </c>
      <c r="M389" s="25" t="n">
        <v>0.0862857142857143</v>
      </c>
      <c r="N389" s="19" t="n">
        <v>52.5</v>
      </c>
      <c r="O389" s="17" t="n">
        <f aca="false">IF(N389="","",RANK(N389,$N$5:$N$525))</f>
        <v>247</v>
      </c>
      <c r="P389" s="17" t="str">
        <f aca="false">IF(AND(N(H389)&gt;=N(K389),N(H389)&gt;=N(N389)),"The Pulse",IF(N(K389)&gt;=N(N389),"The Lens","The Hub"))</f>
        <v>The Lens</v>
      </c>
      <c r="Q389" s="21" t="s">
        <v>79</v>
      </c>
      <c r="R389" s="27" t="s">
        <v>832</v>
      </c>
      <c r="S389" s="17" t="s">
        <v>22</v>
      </c>
    </row>
    <row r="390" customFormat="false" ht="15" hidden="false" customHeight="false" outlineLevel="0" collapsed="false">
      <c r="A390" s="17" t="s">
        <v>1272</v>
      </c>
      <c r="B390" s="17" t="s">
        <v>1273</v>
      </c>
      <c r="C390" s="17" t="s">
        <v>2697</v>
      </c>
      <c r="D390" s="17" t="s">
        <v>162</v>
      </c>
      <c r="E390" s="18" t="n">
        <v>211120</v>
      </c>
      <c r="F390" s="17" t="s">
        <v>827</v>
      </c>
      <c r="G390" s="23" t="n">
        <v>0.764655172413793</v>
      </c>
      <c r="H390" s="19" t="n">
        <v>26.1</v>
      </c>
      <c r="I390" s="17" t="n">
        <f aca="false">IF(H390="","",RANK(H390,$H$5:$H$525))</f>
        <v>386</v>
      </c>
      <c r="J390" s="24" t="n">
        <v>0.0484704012713548</v>
      </c>
      <c r="K390" s="19" t="n">
        <v>30.4</v>
      </c>
      <c r="L390" s="17" t="n">
        <f aca="false">IF(K390="","",RANK(K390,$K$5:$K$525))</f>
        <v>363</v>
      </c>
      <c r="M390" s="25" t="n">
        <v>0.0131862449366543</v>
      </c>
      <c r="N390" s="19" t="n">
        <v>9.1</v>
      </c>
      <c r="O390" s="17" t="n">
        <f aca="false">IF(N390="","",RANK(N390,$N$5:$N$525))</f>
        <v>475</v>
      </c>
      <c r="P390" s="17" t="str">
        <f aca="false">IF(AND(N(H390)&gt;=N(K390),N(H390)&gt;=N(N390)),"The Pulse",IF(N(K390)&gt;=N(N390),"The Lens","The Hub"))</f>
        <v>The Lens</v>
      </c>
      <c r="Q390" s="20" t="s">
        <v>74</v>
      </c>
      <c r="R390" s="27" t="s">
        <v>832</v>
      </c>
      <c r="S390" s="17" t="s">
        <v>24</v>
      </c>
    </row>
    <row r="391" customFormat="false" ht="15" hidden="false" customHeight="false" outlineLevel="0" collapsed="false">
      <c r="A391" s="17" t="s">
        <v>1804</v>
      </c>
      <c r="B391" s="17" t="s">
        <v>1805</v>
      </c>
      <c r="C391" s="17" t="s">
        <v>2698</v>
      </c>
      <c r="D391" s="17" t="s">
        <v>77</v>
      </c>
      <c r="E391" s="18" t="n">
        <v>97370</v>
      </c>
      <c r="F391" s="17" t="s">
        <v>821</v>
      </c>
      <c r="G391" s="23" t="n">
        <v>0.764393550374859</v>
      </c>
      <c r="H391" s="19" t="n">
        <v>25.9</v>
      </c>
      <c r="I391" s="17" t="n">
        <f aca="false">IF(H391="","",RANK(H391,$H$5:$H$525))</f>
        <v>387</v>
      </c>
      <c r="J391" s="24" t="n">
        <v>0.025245367628395</v>
      </c>
      <c r="K391" s="19" t="n">
        <v>19.8</v>
      </c>
      <c r="L391" s="17" t="n">
        <f aca="false">IF(K391="","",RANK(K391,$K$5:$K$525))</f>
        <v>422</v>
      </c>
      <c r="M391" s="25" t="n">
        <v>0.032055412371134</v>
      </c>
      <c r="N391" s="19" t="n">
        <v>21.5</v>
      </c>
      <c r="O391" s="17" t="n">
        <f aca="false">IF(N391="","",RANK(N391,$N$5:$N$525))</f>
        <v>411</v>
      </c>
      <c r="P391" s="17" t="str">
        <f aca="false">IF(AND(N(H391)&gt;=N(K391),N(H391)&gt;=N(N391)),"The Pulse",IF(N(K391)&gt;=N(N391),"The Lens","The Hub"))</f>
        <v>The Pulse</v>
      </c>
      <c r="Q391" s="22" t="s">
        <v>109</v>
      </c>
      <c r="R391" s="27" t="s">
        <v>832</v>
      </c>
      <c r="S391" s="17" t="s">
        <v>155</v>
      </c>
    </row>
    <row r="392" customFormat="false" ht="15" hidden="false" customHeight="false" outlineLevel="0" collapsed="false">
      <c r="A392" s="17" t="s">
        <v>645</v>
      </c>
      <c r="B392" s="17" t="s">
        <v>646</v>
      </c>
      <c r="C392" s="17" t="s">
        <v>2699</v>
      </c>
      <c r="D392" s="17" t="s">
        <v>123</v>
      </c>
      <c r="E392" s="18" t="n">
        <v>5510</v>
      </c>
      <c r="F392" s="17" t="s">
        <v>825</v>
      </c>
      <c r="G392" s="23" t="n">
        <v>0.761524500907441</v>
      </c>
      <c r="H392" s="19" t="n">
        <v>25.7</v>
      </c>
      <c r="I392" s="17" t="n">
        <f aca="false">IF(H392="","",RANK(H392,$H$5:$H$525))</f>
        <v>388</v>
      </c>
      <c r="J392" s="24" t="n">
        <v>0.0317132670294614</v>
      </c>
      <c r="K392" s="19" t="n">
        <v>22.5</v>
      </c>
      <c r="L392" s="17" t="n">
        <f aca="false">IF(K392="","",RANK(K392,$K$5:$K$525))</f>
        <v>405</v>
      </c>
      <c r="M392" s="25" t="n">
        <v>0.445652173913044</v>
      </c>
      <c r="N392" s="19" t="n">
        <v>99.5</v>
      </c>
      <c r="O392" s="17" t="n">
        <f aca="false">IF(N392="","",RANK(N392,$N$5:$N$525))</f>
        <v>4</v>
      </c>
      <c r="P392" s="17" t="str">
        <f aca="false">IF(AND(N(H392)&gt;=N(K392),N(H392)&gt;=N(N392)),"The Pulse",IF(N(K392)&gt;=N(N392),"The Lens","The Hub"))</f>
        <v>The Hub</v>
      </c>
      <c r="Q392" s="21" t="s">
        <v>79</v>
      </c>
      <c r="R392" s="26" t="s">
        <v>822</v>
      </c>
      <c r="S392" s="17" t="s">
        <v>88</v>
      </c>
    </row>
    <row r="393" customFormat="false" ht="15" hidden="false" customHeight="false" outlineLevel="0" collapsed="false">
      <c r="A393" s="17" t="s">
        <v>1218</v>
      </c>
      <c r="B393" s="17" t="s">
        <v>1219</v>
      </c>
      <c r="C393" s="17" t="s">
        <v>2700</v>
      </c>
      <c r="D393" s="17" t="s">
        <v>77</v>
      </c>
      <c r="E393" s="18" t="n">
        <v>521750</v>
      </c>
      <c r="F393" s="17" t="s">
        <v>827</v>
      </c>
      <c r="G393" s="23" t="n">
        <v>0.761322472448491</v>
      </c>
      <c r="H393" s="19" t="n">
        <v>25.6</v>
      </c>
      <c r="I393" s="17" t="n">
        <f aca="false">IF(H393="","",RANK(H393,$H$5:$H$525))</f>
        <v>389</v>
      </c>
      <c r="J393" s="24" t="n">
        <v>0.119202883006564</v>
      </c>
      <c r="K393" s="19" t="n">
        <v>69.6</v>
      </c>
      <c r="L393" s="17" t="n">
        <f aca="false">IF(K393="","",RANK(K393,$K$5:$K$525))</f>
        <v>160</v>
      </c>
      <c r="M393" s="25" t="n">
        <v>0.00666121304195396</v>
      </c>
      <c r="N393" s="19" t="n">
        <v>4.7</v>
      </c>
      <c r="O393" s="17" t="n">
        <f aca="false">IF(N393="","",RANK(N393,$N$5:$N$525))</f>
        <v>498</v>
      </c>
      <c r="P393" s="17" t="str">
        <f aca="false">IF(AND(N(H393)&gt;=N(K393),N(H393)&gt;=N(N393)),"The Pulse",IF(N(K393)&gt;=N(N393),"The Lens","The Hub"))</f>
        <v>The Lens</v>
      </c>
      <c r="Q393" s="20" t="s">
        <v>74</v>
      </c>
      <c r="R393" s="27" t="s">
        <v>832</v>
      </c>
      <c r="S393" s="17" t="s">
        <v>24</v>
      </c>
    </row>
    <row r="394" customFormat="false" ht="15" hidden="false" customHeight="false" outlineLevel="0" collapsed="false">
      <c r="A394" s="17" t="s">
        <v>605</v>
      </c>
      <c r="B394" s="17" t="s">
        <v>606</v>
      </c>
      <c r="C394" s="17" t="s">
        <v>2701</v>
      </c>
      <c r="D394" s="17" t="s">
        <v>91</v>
      </c>
      <c r="E394" s="18" t="n">
        <v>63750</v>
      </c>
      <c r="F394" s="17" t="s">
        <v>821</v>
      </c>
      <c r="G394" s="23" t="n">
        <v>0.758839215686275</v>
      </c>
      <c r="H394" s="19" t="n">
        <v>25.4</v>
      </c>
      <c r="I394" s="17" t="n">
        <f aca="false">IF(H394="","",RANK(H394,$H$5:$H$525))</f>
        <v>390</v>
      </c>
      <c r="J394" s="24" t="n">
        <v>0.101416724257084</v>
      </c>
      <c r="K394" s="19" t="n">
        <v>53.6</v>
      </c>
      <c r="L394" s="17" t="n">
        <f aca="false">IF(K394="","",RANK(K394,$K$5:$K$525))</f>
        <v>243</v>
      </c>
      <c r="M394" s="25" t="n">
        <v>0.0507374631268437</v>
      </c>
      <c r="N394" s="19" t="n">
        <v>33.3</v>
      </c>
      <c r="O394" s="17" t="n">
        <f aca="false">IF(N394="","",RANK(N394,$N$5:$N$525))</f>
        <v>348</v>
      </c>
      <c r="P394" s="17" t="str">
        <f aca="false">IF(AND(N(H394)&gt;=N(K394),N(H394)&gt;=N(N394)),"The Pulse",IF(N(K394)&gt;=N(N394),"The Lens","The Hub"))</f>
        <v>The Lens</v>
      </c>
      <c r="Q394" s="20" t="s">
        <v>74</v>
      </c>
      <c r="R394" s="26" t="s">
        <v>822</v>
      </c>
      <c r="S394" s="17" t="s">
        <v>24</v>
      </c>
    </row>
    <row r="395" customFormat="false" ht="15" hidden="false" customHeight="false" outlineLevel="0" collapsed="false">
      <c r="A395" s="17" t="s">
        <v>395</v>
      </c>
      <c r="B395" s="17" t="s">
        <v>396</v>
      </c>
      <c r="C395" s="17" t="s">
        <v>2702</v>
      </c>
      <c r="D395" s="17" t="s">
        <v>82</v>
      </c>
      <c r="E395" s="18" t="n">
        <v>3080</v>
      </c>
      <c r="F395" s="17" t="s">
        <v>825</v>
      </c>
      <c r="G395" s="23" t="n">
        <v>0.757467532467533</v>
      </c>
      <c r="H395" s="19" t="n">
        <v>25.2</v>
      </c>
      <c r="I395" s="17" t="n">
        <f aca="false">IF(H395="","",RANK(H395,$H$5:$H$525))</f>
        <v>391</v>
      </c>
      <c r="J395" s="24" t="n">
        <v>0.0871867278503353</v>
      </c>
      <c r="K395" s="19" t="n">
        <v>42.5</v>
      </c>
      <c r="L395" s="17" t="n">
        <f aca="false">IF(K395="","",RANK(K395,$K$5:$K$525))</f>
        <v>300</v>
      </c>
      <c r="M395" s="25" t="n">
        <v>0.228758169934641</v>
      </c>
      <c r="N395" s="19" t="n">
        <v>90.1</v>
      </c>
      <c r="O395" s="17" t="n">
        <f aca="false">IF(N395="","",RANK(N395,$N$5:$N$525))</f>
        <v>52</v>
      </c>
      <c r="P395" s="17" t="str">
        <f aca="false">IF(AND(N(H395)&gt;=N(K395),N(H395)&gt;=N(N395)),"The Pulse",IF(N(K395)&gt;=N(N395),"The Lens","The Hub"))</f>
        <v>The Hub</v>
      </c>
      <c r="Q395" s="21" t="s">
        <v>79</v>
      </c>
      <c r="R395" s="26" t="s">
        <v>822</v>
      </c>
      <c r="S395" s="17" t="s">
        <v>22</v>
      </c>
    </row>
    <row r="396" customFormat="false" ht="15" hidden="false" customHeight="false" outlineLevel="0" collapsed="false">
      <c r="A396" s="17" t="s">
        <v>293</v>
      </c>
      <c r="B396" s="17" t="s">
        <v>294</v>
      </c>
      <c r="C396" s="17" t="s">
        <v>2703</v>
      </c>
      <c r="D396" s="17" t="s">
        <v>91</v>
      </c>
      <c r="E396" s="18" t="n">
        <v>58214</v>
      </c>
      <c r="F396" s="17" t="s">
        <v>821</v>
      </c>
      <c r="G396" s="23" t="n">
        <v>0.750644174940736</v>
      </c>
      <c r="H396" s="19" t="n">
        <v>25</v>
      </c>
      <c r="I396" s="17" t="n">
        <f aca="false">IF(H396="","",RANK(H396,$H$5:$H$525))</f>
        <v>392</v>
      </c>
      <c r="J396" s="24" t="n">
        <v>0.103269212546195</v>
      </c>
      <c r="K396" s="19" t="n">
        <v>54.9</v>
      </c>
      <c r="L396" s="17" t="n">
        <f aca="false">IF(K396="","",RANK(K396,$K$5:$K$525))</f>
        <v>236</v>
      </c>
      <c r="M396" s="25" t="n">
        <v>0.0412903225806452</v>
      </c>
      <c r="N396" s="19" t="n">
        <v>26.5</v>
      </c>
      <c r="O396" s="17" t="n">
        <f aca="false">IF(N396="","",RANK(N396,$N$5:$N$525))</f>
        <v>384</v>
      </c>
      <c r="P396" s="17" t="str">
        <f aca="false">IF(AND(N(H396)&gt;=N(K396),N(H396)&gt;=N(N396)),"The Pulse",IF(N(K396)&gt;=N(N396),"The Lens","The Hub"))</f>
        <v>The Lens</v>
      </c>
      <c r="Q396" s="21" t="s">
        <v>79</v>
      </c>
      <c r="R396" s="26" t="s">
        <v>822</v>
      </c>
      <c r="S396" s="17" t="s">
        <v>22</v>
      </c>
    </row>
    <row r="397" customFormat="false" ht="15" hidden="false" customHeight="false" outlineLevel="0" collapsed="false">
      <c r="A397" s="17" t="s">
        <v>833</v>
      </c>
      <c r="B397" s="17" t="s">
        <v>834</v>
      </c>
      <c r="C397" s="17" t="s">
        <v>2704</v>
      </c>
      <c r="D397" s="17" t="s">
        <v>86</v>
      </c>
      <c r="E397" s="18" t="n">
        <v>57055</v>
      </c>
      <c r="F397" s="17" t="s">
        <v>821</v>
      </c>
      <c r="G397" s="23" t="n">
        <v>0.74599947419157</v>
      </c>
      <c r="H397" s="19" t="n">
        <v>24.9</v>
      </c>
      <c r="I397" s="17" t="n">
        <f aca="false">IF(H397="","",RANK(H397,$H$5:$H$525))</f>
        <v>393</v>
      </c>
      <c r="J397" s="24" t="n">
        <v>0.0440837389744904</v>
      </c>
      <c r="K397" s="19" t="n">
        <v>25.6</v>
      </c>
      <c r="L397" s="17" t="n">
        <f aca="false">IF(K397="","",RANK(K397,$K$5:$K$525))</f>
        <v>388</v>
      </c>
      <c r="M397" s="25" t="n">
        <v>0.317445838084379</v>
      </c>
      <c r="N397" s="19" t="n">
        <v>97</v>
      </c>
      <c r="O397" s="17" t="n">
        <f aca="false">IF(N397="","",RANK(N397,$N$5:$N$525))</f>
        <v>16</v>
      </c>
      <c r="P397" s="17" t="str">
        <f aca="false">IF(AND(N(H397)&gt;=N(K397),N(H397)&gt;=N(N397)),"The Pulse",IF(N(K397)&gt;=N(N397),"The Lens","The Hub"))</f>
        <v>The Hub</v>
      </c>
      <c r="Q397" s="21" t="s">
        <v>79</v>
      </c>
      <c r="R397" s="27" t="s">
        <v>832</v>
      </c>
      <c r="S397" s="17" t="s">
        <v>22</v>
      </c>
    </row>
    <row r="398" customFormat="false" ht="15" hidden="false" customHeight="false" outlineLevel="0" collapsed="false">
      <c r="A398" s="17" t="s">
        <v>2159</v>
      </c>
      <c r="B398" s="17" t="s">
        <v>2160</v>
      </c>
      <c r="C398" s="17" t="s">
        <v>2705</v>
      </c>
      <c r="D398" s="17" t="s">
        <v>77</v>
      </c>
      <c r="E398" s="18" t="n">
        <v>191540</v>
      </c>
      <c r="F398" s="17" t="s">
        <v>827</v>
      </c>
      <c r="G398" s="23" t="n">
        <v>0.745128954787512</v>
      </c>
      <c r="H398" s="19" t="n">
        <v>24.7</v>
      </c>
      <c r="I398" s="17" t="n">
        <f aca="false">IF(H398="","",RANK(H398,$H$5:$H$525))</f>
        <v>394</v>
      </c>
      <c r="J398" s="24" t="n">
        <v>0.12962962962963</v>
      </c>
      <c r="K398" s="19" t="n">
        <v>73.3</v>
      </c>
      <c r="L398" s="17" t="n">
        <f aca="false">IF(K398="","",RANK(K398,$K$5:$K$525))</f>
        <v>142</v>
      </c>
      <c r="M398" s="25" t="n">
        <v>0.048575085899077</v>
      </c>
      <c r="N398" s="19" t="n">
        <v>31.4</v>
      </c>
      <c r="O398" s="17" t="n">
        <f aca="false">IF(N398="","",RANK(N398,$N$5:$N$525))</f>
        <v>358</v>
      </c>
      <c r="P398" s="17" t="str">
        <f aca="false">IF(AND(N(H398)&gt;=N(K398),N(H398)&gt;=N(N398)),"The Pulse",IF(N(K398)&gt;=N(N398),"The Lens","The Hub"))</f>
        <v>The Lens</v>
      </c>
      <c r="Q398" s="21" t="s">
        <v>79</v>
      </c>
      <c r="R398" s="27" t="s">
        <v>832</v>
      </c>
      <c r="S398" s="17" t="s">
        <v>88</v>
      </c>
    </row>
    <row r="399" customFormat="false" ht="15" hidden="false" customHeight="false" outlineLevel="0" collapsed="false">
      <c r="A399" s="17" t="s">
        <v>1113</v>
      </c>
      <c r="B399" s="17" t="s">
        <v>1114</v>
      </c>
      <c r="C399" s="17" t="s">
        <v>2706</v>
      </c>
      <c r="D399" s="17" t="s">
        <v>115</v>
      </c>
      <c r="E399" s="18" t="n">
        <v>234494</v>
      </c>
      <c r="F399" s="17" t="s">
        <v>827</v>
      </c>
      <c r="G399" s="23" t="n">
        <v>0.743861250181241</v>
      </c>
      <c r="H399" s="19" t="n">
        <v>24.5</v>
      </c>
      <c r="I399" s="17" t="n">
        <f aca="false">IF(H399="","",RANK(H399,$H$5:$H$525))</f>
        <v>395</v>
      </c>
      <c r="J399" s="24" t="n">
        <v>0.000729761909842397</v>
      </c>
      <c r="K399" s="19" t="n">
        <v>12.4</v>
      </c>
      <c r="L399" s="17" t="n">
        <f aca="false">IF(K399="","",RANK(K399,$K$5:$K$525))</f>
        <v>458</v>
      </c>
      <c r="M399" s="25" t="n">
        <v>0.194697737250929</v>
      </c>
      <c r="N399" s="19" t="n">
        <v>83.3</v>
      </c>
      <c r="O399" s="17" t="n">
        <f aca="false">IF(N399="","",RANK(N399,$N$5:$N$525))</f>
        <v>88</v>
      </c>
      <c r="P399" s="17" t="str">
        <f aca="false">IF(AND(N(H399)&gt;=N(K399),N(H399)&gt;=N(N399)),"The Pulse",IF(N(K399)&gt;=N(N399),"The Lens","The Hub"))</f>
        <v>The Hub</v>
      </c>
      <c r="Q399" s="21" t="s">
        <v>79</v>
      </c>
      <c r="R399" s="27" t="s">
        <v>832</v>
      </c>
      <c r="S399" s="17" t="s">
        <v>22</v>
      </c>
    </row>
    <row r="400" customFormat="false" ht="15" hidden="false" customHeight="false" outlineLevel="0" collapsed="false">
      <c r="A400" s="17" t="s">
        <v>1488</v>
      </c>
      <c r="B400" s="17" t="s">
        <v>1489</v>
      </c>
      <c r="C400" s="17" t="s">
        <v>2707</v>
      </c>
      <c r="D400" s="17" t="s">
        <v>115</v>
      </c>
      <c r="E400" s="18" t="n">
        <v>13339</v>
      </c>
      <c r="F400" s="17" t="s">
        <v>821</v>
      </c>
      <c r="G400" s="23" t="n">
        <v>0.740160431816478</v>
      </c>
      <c r="H400" s="19" t="n">
        <v>24.3</v>
      </c>
      <c r="I400" s="17" t="n">
        <f aca="false">IF(H400="","",RANK(H400,$H$5:$H$525))</f>
        <v>396</v>
      </c>
      <c r="J400" s="24" t="n">
        <v>0.181592700859244</v>
      </c>
      <c r="K400" s="19" t="n">
        <v>88</v>
      </c>
      <c r="L400" s="17" t="n">
        <f aca="false">IF(K400="","",RANK(K400,$K$5:$K$525))</f>
        <v>65</v>
      </c>
      <c r="M400" s="25" t="n">
        <v>0.0692124105011933</v>
      </c>
      <c r="N400" s="19" t="n">
        <v>44.3</v>
      </c>
      <c r="O400" s="17" t="n">
        <f aca="false">IF(N400="","",RANK(N400,$N$5:$N$525))</f>
        <v>290</v>
      </c>
      <c r="P400" s="17" t="str">
        <f aca="false">IF(AND(N(H400)&gt;=N(K400),N(H400)&gt;=N(N400)),"The Pulse",IF(N(K400)&gt;=N(N400),"The Lens","The Hub"))</f>
        <v>The Lens</v>
      </c>
      <c r="Q400" s="21" t="s">
        <v>79</v>
      </c>
      <c r="R400" s="27" t="s">
        <v>832</v>
      </c>
      <c r="S400" s="17" t="s">
        <v>22</v>
      </c>
    </row>
    <row r="401" customFormat="false" ht="15" hidden="false" customHeight="false" outlineLevel="0" collapsed="false">
      <c r="A401" s="17" t="s">
        <v>561</v>
      </c>
      <c r="B401" s="17" t="s">
        <v>562</v>
      </c>
      <c r="C401" s="17" t="s">
        <v>2708</v>
      </c>
      <c r="D401" s="17" t="s">
        <v>77</v>
      </c>
      <c r="E401" s="18" t="n">
        <v>4023</v>
      </c>
      <c r="F401" s="17" t="s">
        <v>825</v>
      </c>
      <c r="G401" s="23" t="n">
        <v>0.738503604275416</v>
      </c>
      <c r="H401" s="19" t="n">
        <v>24.2</v>
      </c>
      <c r="I401" s="17" t="n">
        <f aca="false">IF(H401="","",RANK(H401,$H$5:$H$525))</f>
        <v>397</v>
      </c>
      <c r="J401" s="24" t="n">
        <v>-0.0244907856450049</v>
      </c>
      <c r="K401" s="19" t="n">
        <v>3.8</v>
      </c>
      <c r="L401" s="17" t="n">
        <f aca="false">IF(K401="","",RANK(K401,$K$5:$K$525))</f>
        <v>503</v>
      </c>
      <c r="M401" s="25" t="n">
        <v>0.0565217391304348</v>
      </c>
      <c r="N401" s="19" t="n">
        <v>35.3</v>
      </c>
      <c r="O401" s="17" t="n">
        <f aca="false">IF(N401="","",RANK(N401,$N$5:$N$525))</f>
        <v>337</v>
      </c>
      <c r="P401" s="17" t="str">
        <f aca="false">IF(AND(N(H401)&gt;=N(K401),N(H401)&gt;=N(N401)),"The Pulse",IF(N(K401)&gt;=N(N401),"The Lens","The Hub"))</f>
        <v>The Hub</v>
      </c>
      <c r="Q401" s="21" t="s">
        <v>79</v>
      </c>
      <c r="R401" s="26" t="s">
        <v>822</v>
      </c>
      <c r="S401" s="17" t="s">
        <v>88</v>
      </c>
    </row>
    <row r="402" customFormat="false" ht="15" hidden="false" customHeight="false" outlineLevel="0" collapsed="false">
      <c r="A402" s="17" t="s">
        <v>2709</v>
      </c>
      <c r="B402" s="17" t="s">
        <v>2710</v>
      </c>
      <c r="C402" s="17" t="s">
        <v>2711</v>
      </c>
      <c r="D402" s="17" t="s">
        <v>95</v>
      </c>
      <c r="E402" s="18" t="n">
        <v>172603</v>
      </c>
      <c r="F402" s="17" t="s">
        <v>827</v>
      </c>
      <c r="G402" s="23" t="n">
        <v>0.734384686245314</v>
      </c>
      <c r="H402" s="19" t="n">
        <v>24</v>
      </c>
      <c r="I402" s="17" t="n">
        <f aca="false">IF(H402="","",RANK(H402,$H$5:$H$525))</f>
        <v>398</v>
      </c>
      <c r="J402" s="24" t="n">
        <v>0.0839105506747634</v>
      </c>
      <c r="K402" s="19" t="n">
        <v>49.7</v>
      </c>
      <c r="L402" s="17" t="n">
        <f aca="false">IF(K402="","",RANK(K402,$K$5:$K$525))</f>
        <v>263</v>
      </c>
      <c r="M402" s="25" t="n">
        <v>0.271281911510857</v>
      </c>
      <c r="N402" s="19" t="n">
        <v>94.3</v>
      </c>
      <c r="O402" s="17" t="n">
        <f aca="false">IF(N402="","",RANK(N402,$N$5:$N$525))</f>
        <v>30</v>
      </c>
      <c r="P402" s="17" t="str">
        <f aca="false">IF(AND(N(H402)&gt;=N(K402),N(H402)&gt;=N(N402)),"The Pulse",IF(N(K402)&gt;=N(N402),"The Lens","The Hub"))</f>
        <v>The Hub</v>
      </c>
      <c r="Q402" s="21" t="s">
        <v>79</v>
      </c>
      <c r="R402" s="27" t="s">
        <v>832</v>
      </c>
      <c r="S402" s="17" t="s">
        <v>22</v>
      </c>
    </row>
    <row r="403" customFormat="false" ht="15" hidden="false" customHeight="false" outlineLevel="0" collapsed="false">
      <c r="A403" s="17" t="s">
        <v>878</v>
      </c>
      <c r="B403" s="17" t="s">
        <v>879</v>
      </c>
      <c r="C403" s="17" t="s">
        <v>2712</v>
      </c>
      <c r="D403" s="17" t="s">
        <v>86</v>
      </c>
      <c r="E403" s="18" t="n">
        <v>995565</v>
      </c>
      <c r="F403" s="17" t="s">
        <v>827</v>
      </c>
      <c r="G403" s="23" t="n">
        <v>0.733449850085128</v>
      </c>
      <c r="H403" s="19" t="n">
        <v>23.8</v>
      </c>
      <c r="I403" s="17" t="n">
        <f aca="false">IF(H403="","",RANK(H403,$H$5:$H$525))</f>
        <v>399</v>
      </c>
      <c r="J403" s="24" t="n">
        <v>0.136954371763803</v>
      </c>
      <c r="K403" s="19" t="n">
        <v>75.8</v>
      </c>
      <c r="L403" s="17" t="n">
        <f aca="false">IF(K403="","",RANK(K403,$K$5:$K$525))</f>
        <v>128</v>
      </c>
      <c r="M403" s="25" t="n">
        <v>0.00778858581048908</v>
      </c>
      <c r="N403" s="19" t="n">
        <v>5.6</v>
      </c>
      <c r="O403" s="17" t="n">
        <f aca="false">IF(N403="","",RANK(N403,$N$5:$N$525))</f>
        <v>493</v>
      </c>
      <c r="P403" s="17" t="str">
        <f aca="false">IF(AND(N(H403)&gt;=N(K403),N(H403)&gt;=N(N403)),"The Pulse",IF(N(K403)&gt;=N(N403),"The Lens","The Hub"))</f>
        <v>The Lens</v>
      </c>
      <c r="Q403" s="21" t="s">
        <v>79</v>
      </c>
      <c r="R403" s="27" t="s">
        <v>832</v>
      </c>
      <c r="S403" s="17" t="s">
        <v>22</v>
      </c>
    </row>
    <row r="404" customFormat="false" ht="15" hidden="false" customHeight="false" outlineLevel="0" collapsed="false">
      <c r="A404" s="17" t="s">
        <v>513</v>
      </c>
      <c r="B404" s="17" t="s">
        <v>514</v>
      </c>
      <c r="C404" s="17" t="s">
        <v>2713</v>
      </c>
      <c r="D404" s="17" t="s">
        <v>72</v>
      </c>
      <c r="E404" s="18" t="n">
        <v>90701</v>
      </c>
      <c r="F404" s="17" t="s">
        <v>821</v>
      </c>
      <c r="G404" s="23" t="n">
        <v>0.728404317482718</v>
      </c>
      <c r="H404" s="19" t="n">
        <v>23.6</v>
      </c>
      <c r="I404" s="17" t="n">
        <f aca="false">IF(H404="","",RANK(H404,$H$5:$H$525))</f>
        <v>400</v>
      </c>
      <c r="J404" s="24" t="n">
        <v>0.0467271384388127</v>
      </c>
      <c r="K404" s="19" t="n">
        <v>26.6</v>
      </c>
      <c r="L404" s="17" t="n">
        <f aca="false">IF(K404="","",RANK(K404,$K$5:$K$525))</f>
        <v>384</v>
      </c>
      <c r="M404" s="25" t="n">
        <v>0.120394604388967</v>
      </c>
      <c r="N404" s="19" t="n">
        <v>65.4</v>
      </c>
      <c r="O404" s="17" t="n">
        <f aca="false">IF(N404="","",RANK(N404,$N$5:$N$525))</f>
        <v>179</v>
      </c>
      <c r="P404" s="17" t="str">
        <f aca="false">IF(AND(N(H404)&gt;=N(K404),N(H404)&gt;=N(N404)),"The Pulse",IF(N(K404)&gt;=N(N404),"The Lens","The Hub"))</f>
        <v>The Hub</v>
      </c>
      <c r="Q404" s="21" t="s">
        <v>79</v>
      </c>
      <c r="R404" s="26" t="s">
        <v>822</v>
      </c>
      <c r="S404" s="17" t="s">
        <v>22</v>
      </c>
    </row>
    <row r="405" customFormat="false" ht="15" hidden="false" customHeight="false" outlineLevel="0" collapsed="false">
      <c r="A405" s="17" t="s">
        <v>775</v>
      </c>
      <c r="B405" s="17" t="s">
        <v>776</v>
      </c>
      <c r="C405" s="17" t="s">
        <v>2714</v>
      </c>
      <c r="D405" s="17" t="s">
        <v>82</v>
      </c>
      <c r="E405" s="18" t="n">
        <v>5849</v>
      </c>
      <c r="F405" s="17" t="s">
        <v>825</v>
      </c>
      <c r="G405" s="23" t="n">
        <v>0.724568302273893</v>
      </c>
      <c r="H405" s="19" t="n">
        <v>23.5</v>
      </c>
      <c r="I405" s="17" t="n">
        <f aca="false">IF(H405="","",RANK(H405,$H$5:$H$525))</f>
        <v>401</v>
      </c>
      <c r="J405" s="24" t="n">
        <v>0.020589774908393</v>
      </c>
      <c r="K405" s="19" t="n">
        <v>15</v>
      </c>
      <c r="L405" s="17" t="n">
        <f aca="false">IF(K405="","",RANK(K405,$K$5:$K$525))</f>
        <v>445</v>
      </c>
      <c r="M405" s="25" t="n">
        <v>0.209876543209877</v>
      </c>
      <c r="N405" s="19" t="n">
        <v>86.9</v>
      </c>
      <c r="O405" s="17" t="n">
        <f aca="false">IF(N405="","",RANK(N405,$N$5:$N$525))</f>
        <v>69</v>
      </c>
      <c r="P405" s="17" t="str">
        <f aca="false">IF(AND(N(H405)&gt;=N(K405),N(H405)&gt;=N(N405)),"The Pulse",IF(N(K405)&gt;=N(N405),"The Lens","The Hub"))</f>
        <v>The Hub</v>
      </c>
      <c r="Q405" s="21" t="s">
        <v>79</v>
      </c>
      <c r="R405" s="26" t="s">
        <v>822</v>
      </c>
      <c r="S405" s="17" t="s">
        <v>22</v>
      </c>
    </row>
    <row r="406" customFormat="false" ht="15" hidden="false" customHeight="false" outlineLevel="0" collapsed="false">
      <c r="A406" s="17" t="s">
        <v>539</v>
      </c>
      <c r="B406" s="17" t="s">
        <v>540</v>
      </c>
      <c r="C406" s="17" t="s">
        <v>2715</v>
      </c>
      <c r="D406" s="17" t="s">
        <v>123</v>
      </c>
      <c r="E406" s="18" t="n">
        <v>182920</v>
      </c>
      <c r="F406" s="17" t="s">
        <v>827</v>
      </c>
      <c r="G406" s="23" t="n">
        <v>0.722884321014651</v>
      </c>
      <c r="H406" s="19" t="n">
        <v>23.3</v>
      </c>
      <c r="I406" s="17" t="n">
        <f aca="false">IF(H406="","",RANK(H406,$H$5:$H$525))</f>
        <v>402</v>
      </c>
      <c r="J406" s="24" t="n">
        <v>0.105190018729986</v>
      </c>
      <c r="K406" s="19" t="n">
        <v>62.1</v>
      </c>
      <c r="L406" s="17" t="n">
        <f aca="false">IF(K406="","",RANK(K406,$K$5:$K$525))</f>
        <v>197</v>
      </c>
      <c r="M406" s="25" t="n">
        <v>0.1615515771526</v>
      </c>
      <c r="N406" s="19" t="n">
        <v>76.7</v>
      </c>
      <c r="O406" s="17" t="n">
        <f aca="false">IF(N406="","",RANK(N406,$N$5:$N$525))</f>
        <v>121</v>
      </c>
      <c r="P406" s="17" t="str">
        <f aca="false">IF(AND(N(H406)&gt;=N(K406),N(H406)&gt;=N(N406)),"The Pulse",IF(N(K406)&gt;=N(N406),"The Lens","The Hub"))</f>
        <v>The Hub</v>
      </c>
      <c r="Q406" s="20" t="s">
        <v>74</v>
      </c>
      <c r="R406" s="26" t="s">
        <v>822</v>
      </c>
      <c r="S406" s="17" t="s">
        <v>24</v>
      </c>
    </row>
    <row r="407" customFormat="false" ht="15" hidden="false" customHeight="false" outlineLevel="0" collapsed="false">
      <c r="A407" s="17" t="s">
        <v>1672</v>
      </c>
      <c r="B407" s="17" t="s">
        <v>1673</v>
      </c>
      <c r="C407" s="17" t="s">
        <v>2716</v>
      </c>
      <c r="D407" s="17" t="s">
        <v>115</v>
      </c>
      <c r="E407" s="18" t="n">
        <v>7460</v>
      </c>
      <c r="F407" s="17" t="s">
        <v>825</v>
      </c>
      <c r="G407" s="23" t="n">
        <v>0.717024128686327</v>
      </c>
      <c r="H407" s="19" t="n">
        <v>23.1</v>
      </c>
      <c r="I407" s="17" t="n">
        <f aca="false">IF(H407="","",RANK(H407,$H$5:$H$525))</f>
        <v>403</v>
      </c>
      <c r="J407" s="24" t="n">
        <v>0.0827285921625544</v>
      </c>
      <c r="K407" s="19" t="n">
        <v>41.2</v>
      </c>
      <c r="L407" s="17" t="n">
        <f aca="false">IF(K407="","",RANK(K407,$K$5:$K$525))</f>
        <v>307</v>
      </c>
      <c r="M407" s="25" t="n">
        <v>0.0175824175824176</v>
      </c>
      <c r="N407" s="19" t="n">
        <v>11.3</v>
      </c>
      <c r="O407" s="17" t="n">
        <f aca="false">IF(N407="","",RANK(N407,$N$5:$N$525))</f>
        <v>463</v>
      </c>
      <c r="P407" s="17" t="str">
        <f aca="false">IF(AND(N(H407)&gt;=N(K407),N(H407)&gt;=N(N407)),"The Pulse",IF(N(K407)&gt;=N(N407),"The Lens","The Hub"))</f>
        <v>The Lens</v>
      </c>
      <c r="Q407" s="20" t="s">
        <v>74</v>
      </c>
      <c r="R407" s="27" t="s">
        <v>832</v>
      </c>
      <c r="S407" s="17" t="s">
        <v>24</v>
      </c>
    </row>
    <row r="408" customFormat="false" ht="15" hidden="false" customHeight="false" outlineLevel="0" collapsed="false">
      <c r="A408" s="17" t="s">
        <v>401</v>
      </c>
      <c r="B408" s="17" t="s">
        <v>402</v>
      </c>
      <c r="C408" s="17" t="s">
        <v>2717</v>
      </c>
      <c r="D408" s="17" t="s">
        <v>91</v>
      </c>
      <c r="E408" s="18" t="n">
        <v>77823</v>
      </c>
      <c r="F408" s="17" t="s">
        <v>821</v>
      </c>
      <c r="G408" s="23" t="n">
        <v>0.708672243424181</v>
      </c>
      <c r="H408" s="19" t="n">
        <v>22.9</v>
      </c>
      <c r="I408" s="17" t="n">
        <f aca="false">IF(H408="","",RANK(H408,$H$5:$H$525))</f>
        <v>404</v>
      </c>
      <c r="J408" s="24" t="n">
        <v>0.0998940004239983</v>
      </c>
      <c r="K408" s="19" t="n">
        <v>52.6</v>
      </c>
      <c r="L408" s="17" t="n">
        <f aca="false">IF(K408="","",RANK(K408,$K$5:$K$525))</f>
        <v>247</v>
      </c>
      <c r="M408" s="25" t="n">
        <v>0.00260078023407022</v>
      </c>
      <c r="N408" s="19" t="n">
        <v>3</v>
      </c>
      <c r="O408" s="17" t="n">
        <f aca="false">IF(N408="","",RANK(N408,$N$5:$N$525))</f>
        <v>507</v>
      </c>
      <c r="P408" s="17" t="str">
        <f aca="false">IF(AND(N(H408)&gt;=N(K408),N(H408)&gt;=N(N408)),"The Pulse",IF(N(K408)&gt;=N(N408),"The Lens","The Hub"))</f>
        <v>The Lens</v>
      </c>
      <c r="Q408" s="21" t="s">
        <v>79</v>
      </c>
      <c r="R408" s="26" t="s">
        <v>822</v>
      </c>
      <c r="S408" s="17" t="s">
        <v>22</v>
      </c>
    </row>
    <row r="409" customFormat="false" ht="15" hidden="false" customHeight="false" outlineLevel="0" collapsed="false">
      <c r="A409" s="17" t="s">
        <v>1749</v>
      </c>
      <c r="B409" s="17" t="s">
        <v>1750</v>
      </c>
      <c r="C409" s="17" t="s">
        <v>2718</v>
      </c>
      <c r="D409" s="17" t="s">
        <v>82</v>
      </c>
      <c r="E409" s="18" t="n">
        <v>13412</v>
      </c>
      <c r="F409" s="17" t="s">
        <v>821</v>
      </c>
      <c r="G409" s="23" t="n">
        <v>0.708470026841634</v>
      </c>
      <c r="H409" s="19" t="n">
        <v>22.8</v>
      </c>
      <c r="I409" s="17" t="n">
        <f aca="false">IF(H409="","",RANK(H409,$H$5:$H$525))</f>
        <v>405</v>
      </c>
      <c r="J409" s="24" t="n">
        <v>0.0159836376032119</v>
      </c>
      <c r="K409" s="19" t="n">
        <v>15.3</v>
      </c>
      <c r="L409" s="17" t="n">
        <f aca="false">IF(K409="","",RANK(K409,$K$5:$K$525))</f>
        <v>444</v>
      </c>
      <c r="M409" s="25" t="n">
        <v>0.249077490774908</v>
      </c>
      <c r="N409" s="19" t="n">
        <v>92.7</v>
      </c>
      <c r="O409" s="17" t="n">
        <f aca="false">IF(N409="","",RANK(N409,$N$5:$N$525))</f>
        <v>39</v>
      </c>
      <c r="P409" s="17" t="str">
        <f aca="false">IF(AND(N(H409)&gt;=N(K409),N(H409)&gt;=N(N409)),"The Pulse",IF(N(K409)&gt;=N(N409),"The Lens","The Hub"))</f>
        <v>The Hub</v>
      </c>
      <c r="Q409" s="21" t="s">
        <v>79</v>
      </c>
      <c r="R409" s="27" t="s">
        <v>832</v>
      </c>
      <c r="S409" s="17" t="s">
        <v>22</v>
      </c>
    </row>
    <row r="410" customFormat="false" ht="15" hidden="false" customHeight="false" outlineLevel="0" collapsed="false">
      <c r="A410" s="17" t="s">
        <v>697</v>
      </c>
      <c r="B410" s="17" t="s">
        <v>698</v>
      </c>
      <c r="C410" s="17" t="s">
        <v>2719</v>
      </c>
      <c r="D410" s="17" t="s">
        <v>95</v>
      </c>
      <c r="E410" s="18" t="n">
        <v>6810</v>
      </c>
      <c r="F410" s="17" t="s">
        <v>825</v>
      </c>
      <c r="G410" s="23" t="n">
        <v>0.707929515418502</v>
      </c>
      <c r="H410" s="19" t="n">
        <v>22.6</v>
      </c>
      <c r="I410" s="17" t="n">
        <f aca="false">IF(H410="","",RANK(H410,$H$5:$H$525))</f>
        <v>406</v>
      </c>
      <c r="J410" s="24" t="n">
        <v>0.235934664246824</v>
      </c>
      <c r="K410" s="19" t="n">
        <v>95</v>
      </c>
      <c r="L410" s="17" t="n">
        <f aca="false">IF(K410="","",RANK(K410,$K$5:$K$525))</f>
        <v>30</v>
      </c>
      <c r="M410" s="25" t="n">
        <v>0.0323741007194245</v>
      </c>
      <c r="N410" s="19" t="n">
        <v>21.7</v>
      </c>
      <c r="O410" s="17" t="n">
        <f aca="false">IF(N410="","",RANK(N410,$N$5:$N$525))</f>
        <v>410</v>
      </c>
      <c r="P410" s="17" t="str">
        <f aca="false">IF(AND(N(H410)&gt;=N(K410),N(H410)&gt;=N(N410)),"The Pulse",IF(N(K410)&gt;=N(N410),"The Lens","The Hub"))</f>
        <v>The Lens</v>
      </c>
      <c r="Q410" s="21" t="s">
        <v>79</v>
      </c>
      <c r="R410" s="26" t="s">
        <v>822</v>
      </c>
      <c r="S410" s="17" t="s">
        <v>88</v>
      </c>
    </row>
    <row r="411" customFormat="false" ht="15" hidden="false" customHeight="false" outlineLevel="0" collapsed="false">
      <c r="A411" s="17" t="s">
        <v>2720</v>
      </c>
      <c r="B411" s="17" t="s">
        <v>2721</v>
      </c>
      <c r="C411" s="17" t="s">
        <v>2722</v>
      </c>
      <c r="D411" s="17" t="s">
        <v>72</v>
      </c>
      <c r="E411" s="18" t="n">
        <v>9130</v>
      </c>
      <c r="F411" s="17" t="s">
        <v>825</v>
      </c>
      <c r="G411" s="23" t="n">
        <v>0.707009857612267</v>
      </c>
      <c r="H411" s="19" t="n">
        <v>22.4</v>
      </c>
      <c r="I411" s="17" t="n">
        <f aca="false">IF(H411="","",RANK(H411,$H$5:$H$525))</f>
        <v>407</v>
      </c>
      <c r="J411" s="24" t="n">
        <v>0.217333333333333</v>
      </c>
      <c r="K411" s="19" t="n">
        <v>91.2</v>
      </c>
      <c r="L411" s="17" t="n">
        <f aca="false">IF(K411="","",RANK(K411,$K$5:$K$525))</f>
        <v>50</v>
      </c>
      <c r="M411" s="25" t="n">
        <v>0</v>
      </c>
      <c r="N411" s="19" t="n">
        <v>0.9</v>
      </c>
      <c r="O411" s="17" t="n">
        <f aca="false">IF(N411="","",RANK(N411,$N$5:$N$525))</f>
        <v>514</v>
      </c>
      <c r="P411" s="17" t="str">
        <f aca="false">IF(AND(N(H411)&gt;=N(K411),N(H411)&gt;=N(N411)),"The Pulse",IF(N(K411)&gt;=N(N411),"The Lens","The Hub"))</f>
        <v>The Lens</v>
      </c>
      <c r="Q411" s="20" t="s">
        <v>74</v>
      </c>
      <c r="R411" s="27" t="s">
        <v>832</v>
      </c>
      <c r="S411" s="17" t="s">
        <v>24</v>
      </c>
    </row>
    <row r="412" customFormat="false" ht="15" hidden="false" customHeight="false" outlineLevel="0" collapsed="false">
      <c r="A412" s="17" t="s">
        <v>1347</v>
      </c>
      <c r="B412" s="17" t="s">
        <v>1348</v>
      </c>
      <c r="C412" s="17" t="s">
        <v>2723</v>
      </c>
      <c r="D412" s="17" t="s">
        <v>98</v>
      </c>
      <c r="E412" s="18" t="n">
        <v>112866</v>
      </c>
      <c r="F412" s="17" t="s">
        <v>827</v>
      </c>
      <c r="G412" s="23" t="n">
        <v>0.704242198713519</v>
      </c>
      <c r="H412" s="19" t="n">
        <v>22.2</v>
      </c>
      <c r="I412" s="17" t="n">
        <f aca="false">IF(H412="","",RANK(H412,$H$5:$H$525))</f>
        <v>408</v>
      </c>
      <c r="J412" s="24" t="n">
        <v>0.104872103609292</v>
      </c>
      <c r="K412" s="19" t="n">
        <v>60.9</v>
      </c>
      <c r="L412" s="17" t="n">
        <f aca="false">IF(K412="","",RANK(K412,$K$5:$K$525))</f>
        <v>204</v>
      </c>
      <c r="M412" s="25" t="n">
        <v>0.0263819095477387</v>
      </c>
      <c r="N412" s="19" t="n">
        <v>17</v>
      </c>
      <c r="O412" s="17" t="n">
        <f aca="false">IF(N412="","",RANK(N412,$N$5:$N$525))</f>
        <v>434</v>
      </c>
      <c r="P412" s="17" t="str">
        <f aca="false">IF(AND(N(H412)&gt;=N(K412),N(H412)&gt;=N(N412)),"The Pulse",IF(N(K412)&gt;=N(N412),"The Lens","The Hub"))</f>
        <v>The Lens</v>
      </c>
      <c r="Q412" s="21" t="s">
        <v>79</v>
      </c>
      <c r="R412" s="27" t="s">
        <v>832</v>
      </c>
      <c r="S412" s="17" t="s">
        <v>22</v>
      </c>
    </row>
    <row r="413" customFormat="false" ht="15" hidden="false" customHeight="false" outlineLevel="0" collapsed="false">
      <c r="A413" s="17" t="s">
        <v>745</v>
      </c>
      <c r="B413" s="17" t="s">
        <v>746</v>
      </c>
      <c r="C413" s="17" t="s">
        <v>2724</v>
      </c>
      <c r="D413" s="17" t="s">
        <v>98</v>
      </c>
      <c r="E413" s="18" t="n">
        <v>56771</v>
      </c>
      <c r="F413" s="17" t="s">
        <v>821</v>
      </c>
      <c r="G413" s="23" t="n">
        <v>0.697539236582058</v>
      </c>
      <c r="H413" s="19" t="n">
        <v>22</v>
      </c>
      <c r="I413" s="17" t="n">
        <f aca="false">IF(H413="","",RANK(H413,$H$5:$H$525))</f>
        <v>409</v>
      </c>
      <c r="J413" s="24" t="n">
        <v>0.119191720059142</v>
      </c>
      <c r="K413" s="19" t="n">
        <v>62</v>
      </c>
      <c r="L413" s="17" t="n">
        <f aca="false">IF(K413="","",RANK(K413,$K$5:$K$525))</f>
        <v>198</v>
      </c>
      <c r="M413" s="25" t="n">
        <v>0.053030303030303</v>
      </c>
      <c r="N413" s="19" t="n">
        <v>34.2</v>
      </c>
      <c r="O413" s="17" t="n">
        <f aca="false">IF(N413="","",RANK(N413,$N$5:$N$525))</f>
        <v>343</v>
      </c>
      <c r="P413" s="17" t="str">
        <f aca="false">IF(AND(N(H413)&gt;=N(K413),N(H413)&gt;=N(N413)),"The Pulse",IF(N(K413)&gt;=N(N413),"The Lens","The Hub"))</f>
        <v>The Lens</v>
      </c>
      <c r="Q413" s="21" t="s">
        <v>79</v>
      </c>
      <c r="R413" s="26" t="s">
        <v>822</v>
      </c>
      <c r="S413" s="17" t="s">
        <v>22</v>
      </c>
    </row>
    <row r="414" customFormat="false" ht="15" hidden="false" customHeight="false" outlineLevel="0" collapsed="false">
      <c r="A414" s="17" t="s">
        <v>2166</v>
      </c>
      <c r="B414" s="17" t="s">
        <v>2167</v>
      </c>
      <c r="C414" s="17" t="s">
        <v>2725</v>
      </c>
      <c r="D414" s="17" t="s">
        <v>91</v>
      </c>
      <c r="E414" s="18" t="n">
        <v>62329</v>
      </c>
      <c r="F414" s="17" t="s">
        <v>821</v>
      </c>
      <c r="G414" s="23" t="n">
        <v>0.691540053586613</v>
      </c>
      <c r="H414" s="19" t="n">
        <v>21.9</v>
      </c>
      <c r="I414" s="17" t="n">
        <f aca="false">IF(H414="","",RANK(H414,$H$5:$H$525))</f>
        <v>410</v>
      </c>
      <c r="J414" s="24" t="n">
        <v>-0.00168177595540891</v>
      </c>
      <c r="K414" s="19" t="n">
        <v>9.7</v>
      </c>
      <c r="L414" s="17" t="n">
        <f aca="false">IF(K414="","",RANK(K414,$K$5:$K$525))</f>
        <v>471</v>
      </c>
      <c r="M414" s="25" t="n">
        <v>0.0617836175566117</v>
      </c>
      <c r="N414" s="19" t="n">
        <v>39.8</v>
      </c>
      <c r="O414" s="17" t="n">
        <f aca="false">IF(N414="","",RANK(N414,$N$5:$N$525))</f>
        <v>314</v>
      </c>
      <c r="P414" s="17" t="str">
        <f aca="false">IF(AND(N(H414)&gt;=N(K414),N(H414)&gt;=N(N414)),"The Pulse",IF(N(K414)&gt;=N(N414),"The Lens","The Hub"))</f>
        <v>The Hub</v>
      </c>
      <c r="Q414" s="21" t="s">
        <v>79</v>
      </c>
      <c r="R414" s="27" t="s">
        <v>832</v>
      </c>
      <c r="S414" s="17" t="s">
        <v>22</v>
      </c>
    </row>
    <row r="415" customFormat="false" ht="15" hidden="false" customHeight="false" outlineLevel="0" collapsed="false">
      <c r="A415" s="17" t="s">
        <v>747</v>
      </c>
      <c r="B415" s="17" t="s">
        <v>748</v>
      </c>
      <c r="C415" s="17" t="s">
        <v>2726</v>
      </c>
      <c r="D415" s="17" t="s">
        <v>72</v>
      </c>
      <c r="E415" s="18" t="n">
        <v>8014</v>
      </c>
      <c r="F415" s="17" t="s">
        <v>825</v>
      </c>
      <c r="G415" s="23" t="n">
        <v>0.690291989019216</v>
      </c>
      <c r="H415" s="19" t="n">
        <v>21.7</v>
      </c>
      <c r="I415" s="17" t="n">
        <f aca="false">IF(H415="","",RANK(H415,$H$5:$H$525))</f>
        <v>411</v>
      </c>
      <c r="J415" s="24" t="n">
        <v>0.180960801650457</v>
      </c>
      <c r="K415" s="19" t="n">
        <v>78.8</v>
      </c>
      <c r="L415" s="17" t="n">
        <f aca="false">IF(K415="","",RANK(K415,$K$5:$K$525))</f>
        <v>113</v>
      </c>
      <c r="M415" s="25" t="n">
        <v>0.0740740740740741</v>
      </c>
      <c r="N415" s="19" t="n">
        <v>46.1</v>
      </c>
      <c r="O415" s="17" t="n">
        <f aca="false">IF(N415="","",RANK(N415,$N$5:$N$525))</f>
        <v>281</v>
      </c>
      <c r="P415" s="17" t="str">
        <f aca="false">IF(AND(N(H415)&gt;=N(K415),N(H415)&gt;=N(N415)),"The Pulse",IF(N(K415)&gt;=N(N415),"The Lens","The Hub"))</f>
        <v>The Lens</v>
      </c>
      <c r="Q415" s="21" t="s">
        <v>79</v>
      </c>
      <c r="R415" s="26" t="s">
        <v>822</v>
      </c>
      <c r="S415" s="17" t="s">
        <v>22</v>
      </c>
    </row>
    <row r="416" customFormat="false" ht="15" hidden="false" customHeight="false" outlineLevel="0" collapsed="false">
      <c r="A416" s="17" t="s">
        <v>1020</v>
      </c>
      <c r="B416" s="17" t="s">
        <v>1021</v>
      </c>
      <c r="C416" s="17" t="s">
        <v>2727</v>
      </c>
      <c r="D416" s="17" t="s">
        <v>95</v>
      </c>
      <c r="E416" s="18" t="n">
        <v>13706</v>
      </c>
      <c r="F416" s="17" t="s">
        <v>821</v>
      </c>
      <c r="G416" s="23" t="n">
        <v>0.686122865898147</v>
      </c>
      <c r="H416" s="19" t="n">
        <v>21.5</v>
      </c>
      <c r="I416" s="17" t="n">
        <f aca="false">IF(H416="","",RANK(H416,$H$5:$H$525))</f>
        <v>412</v>
      </c>
      <c r="J416" s="24" t="n">
        <v>0.0866566241179735</v>
      </c>
      <c r="K416" s="19" t="n">
        <v>45.5</v>
      </c>
      <c r="L416" s="17" t="n">
        <f aca="false">IF(K416="","",RANK(K416,$K$5:$K$525))</f>
        <v>284</v>
      </c>
      <c r="M416" s="25" t="n">
        <v>0.107081174438687</v>
      </c>
      <c r="N416" s="19" t="n">
        <v>61.3</v>
      </c>
      <c r="O416" s="17" t="n">
        <f aca="false">IF(N416="","",RANK(N416,$N$5:$N$525))</f>
        <v>202</v>
      </c>
      <c r="P416" s="17" t="str">
        <f aca="false">IF(AND(N(H416)&gt;=N(K416),N(H416)&gt;=N(N416)),"The Pulse",IF(N(K416)&gt;=N(N416),"The Lens","The Hub"))</f>
        <v>The Hub</v>
      </c>
      <c r="Q416" s="21" t="s">
        <v>79</v>
      </c>
      <c r="R416" s="27" t="s">
        <v>832</v>
      </c>
      <c r="S416" s="17" t="s">
        <v>22</v>
      </c>
    </row>
    <row r="417" customFormat="false" ht="15" hidden="false" customHeight="false" outlineLevel="0" collapsed="false">
      <c r="A417" s="17" t="s">
        <v>657</v>
      </c>
      <c r="B417" s="17" t="s">
        <v>658</v>
      </c>
      <c r="C417" s="17" t="s">
        <v>2728</v>
      </c>
      <c r="D417" s="17" t="s">
        <v>162</v>
      </c>
      <c r="E417" s="18" t="n">
        <v>24534</v>
      </c>
      <c r="F417" s="17" t="s">
        <v>821</v>
      </c>
      <c r="G417" s="23" t="n">
        <v>0.676652808347599</v>
      </c>
      <c r="H417" s="19" t="n">
        <v>21.3</v>
      </c>
      <c r="I417" s="17" t="n">
        <f aca="false">IF(H417="","",RANK(H417,$H$5:$H$525))</f>
        <v>413</v>
      </c>
      <c r="J417" s="24" t="n">
        <v>0.0959528276601447</v>
      </c>
      <c r="K417" s="19" t="n">
        <v>50.6</v>
      </c>
      <c r="L417" s="17" t="n">
        <f aca="false">IF(K417="","",RANK(K417,$K$5:$K$525))</f>
        <v>258</v>
      </c>
      <c r="M417" s="25" t="n">
        <v>0.163366336633663</v>
      </c>
      <c r="N417" s="19" t="n">
        <v>77.4</v>
      </c>
      <c r="O417" s="17" t="n">
        <f aca="false">IF(N417="","",RANK(N417,$N$5:$N$525))</f>
        <v>118</v>
      </c>
      <c r="P417" s="17" t="str">
        <f aca="false">IF(AND(N(H417)&gt;=N(K417),N(H417)&gt;=N(N417)),"The Pulse",IF(N(K417)&gt;=N(N417),"The Lens","The Hub"))</f>
        <v>The Hub</v>
      </c>
      <c r="Q417" s="21" t="s">
        <v>79</v>
      </c>
      <c r="R417" s="26" t="s">
        <v>822</v>
      </c>
      <c r="S417" s="17" t="s">
        <v>22</v>
      </c>
    </row>
    <row r="418" customFormat="false" ht="15" hidden="false" customHeight="false" outlineLevel="0" collapsed="false">
      <c r="A418" s="17" t="s">
        <v>2729</v>
      </c>
      <c r="B418" s="17" t="s">
        <v>2730</v>
      </c>
      <c r="C418" s="17" t="s">
        <v>2731</v>
      </c>
      <c r="D418" s="17" t="s">
        <v>91</v>
      </c>
      <c r="E418" s="18" t="n">
        <v>19610</v>
      </c>
      <c r="F418" s="17" t="s">
        <v>821</v>
      </c>
      <c r="G418" s="23" t="n">
        <v>0.672106068332483</v>
      </c>
      <c r="H418" s="19" t="n">
        <v>21.2</v>
      </c>
      <c r="I418" s="17" t="n">
        <f aca="false">IF(H418="","",RANK(H418,$H$5:$H$525))</f>
        <v>414</v>
      </c>
      <c r="J418" s="24" t="n">
        <v>0.138131166569936</v>
      </c>
      <c r="K418" s="19" t="n">
        <v>69.8</v>
      </c>
      <c r="L418" s="17" t="n">
        <f aca="false">IF(K418="","",RANK(K418,$K$5:$K$525))</f>
        <v>159</v>
      </c>
      <c r="M418" s="25" t="n">
        <v>0.0427461139896373</v>
      </c>
      <c r="N418" s="19" t="n">
        <v>28</v>
      </c>
      <c r="O418" s="17" t="n">
        <f aca="false">IF(N418="","",RANK(N418,$N$5:$N$525))</f>
        <v>376</v>
      </c>
      <c r="P418" s="17" t="str">
        <f aca="false">IF(AND(N(H418)&gt;=N(K418),N(H418)&gt;=N(N418)),"The Pulse",IF(N(K418)&gt;=N(N418),"The Lens","The Hub"))</f>
        <v>The Lens</v>
      </c>
      <c r="Q418" s="21" t="s">
        <v>79</v>
      </c>
      <c r="R418" s="27" t="s">
        <v>832</v>
      </c>
      <c r="S418" s="17" t="s">
        <v>22</v>
      </c>
    </row>
    <row r="419" customFormat="false" ht="15" hidden="false" customHeight="false" outlineLevel="0" collapsed="false">
      <c r="A419" s="17" t="s">
        <v>1545</v>
      </c>
      <c r="B419" s="17" t="s">
        <v>1546</v>
      </c>
      <c r="C419" s="17" t="s">
        <v>2732</v>
      </c>
      <c r="D419" s="17" t="s">
        <v>98</v>
      </c>
      <c r="E419" s="18" t="n">
        <v>392717</v>
      </c>
      <c r="F419" s="17" t="s">
        <v>827</v>
      </c>
      <c r="G419" s="23" t="n">
        <v>0.670197623224867</v>
      </c>
      <c r="H419" s="19" t="n">
        <v>21</v>
      </c>
      <c r="I419" s="17" t="n">
        <f aca="false">IF(H419="","",RANK(H419,$H$5:$H$525))</f>
        <v>415</v>
      </c>
      <c r="J419" s="24" t="n">
        <v>0.123348446059011</v>
      </c>
      <c r="K419" s="19" t="n">
        <v>71.4</v>
      </c>
      <c r="L419" s="17" t="n">
        <f aca="false">IF(K419="","",RANK(K419,$K$5:$K$525))</f>
        <v>151</v>
      </c>
      <c r="M419" s="25" t="n">
        <v>0.222792607802875</v>
      </c>
      <c r="N419" s="19" t="n">
        <v>89.4</v>
      </c>
      <c r="O419" s="17" t="n">
        <f aca="false">IF(N419="","",RANK(N419,$N$5:$N$525))</f>
        <v>56</v>
      </c>
      <c r="P419" s="17" t="str">
        <f aca="false">IF(AND(N(H419)&gt;=N(K419),N(H419)&gt;=N(N419)),"The Pulse",IF(N(K419)&gt;=N(N419),"The Lens","The Hub"))</f>
        <v>The Hub</v>
      </c>
      <c r="Q419" s="21" t="s">
        <v>79</v>
      </c>
      <c r="R419" s="27" t="s">
        <v>832</v>
      </c>
      <c r="S419" s="17" t="s">
        <v>22</v>
      </c>
    </row>
    <row r="420" customFormat="false" ht="15" hidden="false" customHeight="false" outlineLevel="0" collapsed="false">
      <c r="A420" s="17" t="s">
        <v>1122</v>
      </c>
      <c r="B420" s="17" t="s">
        <v>1123</v>
      </c>
      <c r="C420" s="17" t="s">
        <v>2733</v>
      </c>
      <c r="D420" s="17" t="s">
        <v>86</v>
      </c>
      <c r="E420" s="18" t="n">
        <v>56690</v>
      </c>
      <c r="F420" s="17" t="s">
        <v>821</v>
      </c>
      <c r="G420" s="23" t="n">
        <v>0.66854824484036</v>
      </c>
      <c r="H420" s="19" t="n">
        <v>20.8</v>
      </c>
      <c r="I420" s="17" t="n">
        <f aca="false">IF(H420="","",RANK(H420,$H$5:$H$525))</f>
        <v>416</v>
      </c>
      <c r="J420" s="24" t="n">
        <v>0.130950005984918</v>
      </c>
      <c r="K420" s="19" t="n">
        <v>68.8</v>
      </c>
      <c r="L420" s="17" t="n">
        <f aca="false">IF(K420="","",RANK(K420,$K$5:$K$525))</f>
        <v>163</v>
      </c>
      <c r="M420" s="25" t="n">
        <v>0.162406015037594</v>
      </c>
      <c r="N420" s="19" t="n">
        <v>77.1</v>
      </c>
      <c r="O420" s="17" t="n">
        <f aca="false">IF(N420="","",RANK(N420,$N$5:$N$525))</f>
        <v>120</v>
      </c>
      <c r="P420" s="17" t="str">
        <f aca="false">IF(AND(N(H420)&gt;=N(K420),N(H420)&gt;=N(N420)),"The Pulse",IF(N(K420)&gt;=N(N420),"The Lens","The Hub"))</f>
        <v>The Hub</v>
      </c>
      <c r="Q420" s="21" t="s">
        <v>79</v>
      </c>
      <c r="R420" s="27" t="s">
        <v>832</v>
      </c>
      <c r="S420" s="17" t="s">
        <v>22</v>
      </c>
    </row>
    <row r="421" customFormat="false" ht="15" hidden="false" customHeight="false" outlineLevel="0" collapsed="false">
      <c r="A421" s="17" t="s">
        <v>2734</v>
      </c>
      <c r="B421" s="17" t="s">
        <v>2735</v>
      </c>
      <c r="C421" s="17" t="s">
        <v>2736</v>
      </c>
      <c r="D421" s="17" t="s">
        <v>91</v>
      </c>
      <c r="E421" s="18" t="n">
        <v>203530</v>
      </c>
      <c r="F421" s="17" t="s">
        <v>827</v>
      </c>
      <c r="G421" s="23" t="n">
        <v>0.661131037193534</v>
      </c>
      <c r="H421" s="19" t="n">
        <v>20.5</v>
      </c>
      <c r="I421" s="17" t="n">
        <f aca="false">IF(H421="","",RANK(H421,$H$5:$H$525))</f>
        <v>417</v>
      </c>
      <c r="J421" s="24" t="n">
        <v>0.103323033555592</v>
      </c>
      <c r="K421" s="19" t="n">
        <v>60.2</v>
      </c>
      <c r="L421" s="17" t="n">
        <f aca="false">IF(K421="","",RANK(K421,$K$5:$K$525))</f>
        <v>207</v>
      </c>
      <c r="M421" s="25" t="n">
        <v>0.236040834442965</v>
      </c>
      <c r="N421" s="19" t="n">
        <v>91</v>
      </c>
      <c r="O421" s="17" t="n">
        <f aca="false">IF(N421="","",RANK(N421,$N$5:$N$525))</f>
        <v>48</v>
      </c>
      <c r="P421" s="17" t="str">
        <f aca="false">IF(AND(N(H421)&gt;=N(K421),N(H421)&gt;=N(N421)),"The Pulse",IF(N(K421)&gt;=N(N421),"The Lens","The Hub"))</f>
        <v>The Hub</v>
      </c>
      <c r="Q421" s="20" t="s">
        <v>74</v>
      </c>
      <c r="R421" s="27" t="s">
        <v>832</v>
      </c>
      <c r="S421" s="17" t="s">
        <v>24</v>
      </c>
    </row>
    <row r="422" customFormat="false" ht="15" hidden="false" customHeight="false" outlineLevel="0" collapsed="false">
      <c r="A422" s="17" t="s">
        <v>737</v>
      </c>
      <c r="B422" s="17" t="s">
        <v>738</v>
      </c>
      <c r="C422" s="17" t="s">
        <v>2737</v>
      </c>
      <c r="D422" s="17" t="s">
        <v>77</v>
      </c>
      <c r="E422" s="18" t="n">
        <v>109895</v>
      </c>
      <c r="F422" s="17" t="s">
        <v>827</v>
      </c>
      <c r="G422" s="23" t="n">
        <v>0.660494108012193</v>
      </c>
      <c r="H422" s="19" t="n">
        <v>20.3</v>
      </c>
      <c r="I422" s="17" t="n">
        <f aca="false">IF(H422="","",RANK(H422,$H$5:$H$525))</f>
        <v>418</v>
      </c>
      <c r="J422" s="24" t="n">
        <v>0.0778457796347516</v>
      </c>
      <c r="K422" s="19" t="n">
        <v>46.6</v>
      </c>
      <c r="L422" s="17" t="n">
        <f aca="false">IF(K422="","",RANK(K422,$K$5:$K$525))</f>
        <v>278</v>
      </c>
      <c r="M422" s="25" t="n">
        <v>0.0975132718636491</v>
      </c>
      <c r="N422" s="19" t="n">
        <v>57.5</v>
      </c>
      <c r="O422" s="17" t="n">
        <f aca="false">IF(N422="","",RANK(N422,$N$5:$N$525))</f>
        <v>222</v>
      </c>
      <c r="P422" s="17" t="str">
        <f aca="false">IF(AND(N(H422)&gt;=N(K422),N(H422)&gt;=N(N422)),"The Pulse",IF(N(K422)&gt;=N(N422),"The Lens","The Hub"))</f>
        <v>The Hub</v>
      </c>
      <c r="Q422" s="21" t="s">
        <v>79</v>
      </c>
      <c r="R422" s="26" t="s">
        <v>822</v>
      </c>
      <c r="S422" s="17" t="s">
        <v>22</v>
      </c>
    </row>
    <row r="423" customFormat="false" ht="15" hidden="false" customHeight="false" outlineLevel="0" collapsed="false">
      <c r="A423" s="17" t="s">
        <v>1370</v>
      </c>
      <c r="B423" s="17" t="s">
        <v>1371</v>
      </c>
      <c r="C423" s="17" t="s">
        <v>2738</v>
      </c>
      <c r="D423" s="17" t="s">
        <v>98</v>
      </c>
      <c r="E423" s="18" t="n">
        <v>407828</v>
      </c>
      <c r="F423" s="17" t="s">
        <v>827</v>
      </c>
      <c r="G423" s="23" t="n">
        <v>0.651666879174554</v>
      </c>
      <c r="H423" s="19" t="n">
        <v>20.1</v>
      </c>
      <c r="I423" s="17" t="n">
        <f aca="false">IF(H423="","",RANK(H423,$H$5:$H$525))</f>
        <v>419</v>
      </c>
      <c r="J423" s="24" t="n">
        <v>-0.0293299313818127</v>
      </c>
      <c r="K423" s="19" t="n">
        <v>8.1</v>
      </c>
      <c r="L423" s="17" t="n">
        <f aca="false">IF(K423="","",RANK(K423,$K$5:$K$525))</f>
        <v>478</v>
      </c>
      <c r="M423" s="25" t="n">
        <v>0.345566956064194</v>
      </c>
      <c r="N423" s="19" t="n">
        <v>98</v>
      </c>
      <c r="O423" s="17" t="n">
        <f aca="false">IF(N423="","",RANK(N423,$N$5:$N$525))</f>
        <v>10</v>
      </c>
      <c r="P423" s="17" t="str">
        <f aca="false">IF(AND(N(H423)&gt;=N(K423),N(H423)&gt;=N(N423)),"The Pulse",IF(N(K423)&gt;=N(N423),"The Lens","The Hub"))</f>
        <v>The Hub</v>
      </c>
      <c r="Q423" s="21" t="s">
        <v>79</v>
      </c>
      <c r="R423" s="27" t="s">
        <v>832</v>
      </c>
      <c r="S423" s="17" t="s">
        <v>22</v>
      </c>
    </row>
    <row r="424" customFormat="false" ht="15" hidden="false" customHeight="false" outlineLevel="0" collapsed="false">
      <c r="A424" s="17" t="s">
        <v>583</v>
      </c>
      <c r="B424" s="17" t="s">
        <v>584</v>
      </c>
      <c r="C424" s="17" t="s">
        <v>2739</v>
      </c>
      <c r="D424" s="17" t="s">
        <v>162</v>
      </c>
      <c r="E424" s="18" t="n">
        <v>11429</v>
      </c>
      <c r="F424" s="17" t="s">
        <v>821</v>
      </c>
      <c r="G424" s="23" t="n">
        <v>0.640125995275177</v>
      </c>
      <c r="H424" s="19" t="n">
        <v>19.9</v>
      </c>
      <c r="I424" s="17" t="n">
        <f aca="false">IF(H424="","",RANK(H424,$H$5:$H$525))</f>
        <v>420</v>
      </c>
      <c r="J424" s="24" t="n">
        <v>0.116440363387711</v>
      </c>
      <c r="K424" s="19" t="n">
        <v>60.7</v>
      </c>
      <c r="L424" s="17" t="n">
        <f aca="false">IF(K424="","",RANK(K424,$K$5:$K$525))</f>
        <v>205</v>
      </c>
      <c r="M424" s="25" t="n">
        <v>0.0270880361173815</v>
      </c>
      <c r="N424" s="19" t="n">
        <v>17.9</v>
      </c>
      <c r="O424" s="17" t="n">
        <f aca="false">IF(N424="","",RANK(N424,$N$5:$N$525))</f>
        <v>429</v>
      </c>
      <c r="P424" s="17" t="str">
        <f aca="false">IF(AND(N(H424)&gt;=N(K424),N(H424)&gt;=N(N424)),"The Pulse",IF(N(K424)&gt;=N(N424),"The Lens","The Hub"))</f>
        <v>The Lens</v>
      </c>
      <c r="Q424" s="21" t="s">
        <v>79</v>
      </c>
      <c r="R424" s="26" t="s">
        <v>822</v>
      </c>
      <c r="S424" s="17" t="s">
        <v>22</v>
      </c>
    </row>
    <row r="425" customFormat="false" ht="15" hidden="false" customHeight="false" outlineLevel="0" collapsed="false">
      <c r="A425" s="17" t="s">
        <v>2740</v>
      </c>
      <c r="B425" s="17" t="s">
        <v>2741</v>
      </c>
      <c r="C425" s="17" t="s">
        <v>2742</v>
      </c>
      <c r="D425" s="17" t="s">
        <v>115</v>
      </c>
      <c r="E425" s="18" t="n">
        <v>9440</v>
      </c>
      <c r="F425" s="17" t="s">
        <v>825</v>
      </c>
      <c r="G425" s="23" t="n">
        <v>0.639406779661017</v>
      </c>
      <c r="H425" s="19" t="n">
        <v>19.8</v>
      </c>
      <c r="I425" s="17" t="n">
        <f aca="false">IF(H425="","",RANK(H425,$H$5:$H$525))</f>
        <v>421</v>
      </c>
      <c r="J425" s="24" t="n">
        <v>0.121140142517815</v>
      </c>
      <c r="K425" s="19" t="n">
        <v>56.2</v>
      </c>
      <c r="L425" s="17" t="n">
        <f aca="false">IF(K425="","",RANK(K425,$K$5:$K$525))</f>
        <v>228</v>
      </c>
      <c r="M425" s="25" t="n">
        <v>0.0590551181102362</v>
      </c>
      <c r="N425" s="19" t="n">
        <v>36.5</v>
      </c>
      <c r="O425" s="17" t="n">
        <f aca="false">IF(N425="","",RANK(N425,$N$5:$N$525))</f>
        <v>331</v>
      </c>
      <c r="P425" s="17" t="str">
        <f aca="false">IF(AND(N(H425)&gt;=N(K425),N(H425)&gt;=N(N425)),"The Pulse",IF(N(K425)&gt;=N(N425),"The Lens","The Hub"))</f>
        <v>The Lens</v>
      </c>
      <c r="Q425" s="20" t="s">
        <v>74</v>
      </c>
      <c r="R425" s="27" t="s">
        <v>832</v>
      </c>
      <c r="S425" s="17" t="s">
        <v>24</v>
      </c>
    </row>
    <row r="426" customFormat="false" ht="15" hidden="false" customHeight="false" outlineLevel="0" collapsed="false">
      <c r="A426" s="17" t="s">
        <v>717</v>
      </c>
      <c r="B426" s="17" t="s">
        <v>718</v>
      </c>
      <c r="C426" s="17" t="s">
        <v>2743</v>
      </c>
      <c r="D426" s="17" t="s">
        <v>91</v>
      </c>
      <c r="E426" s="18" t="n">
        <v>272790</v>
      </c>
      <c r="F426" s="17" t="s">
        <v>827</v>
      </c>
      <c r="G426" s="23" t="n">
        <v>0.637777032044325</v>
      </c>
      <c r="H426" s="19" t="n">
        <v>19.6</v>
      </c>
      <c r="I426" s="17" t="n">
        <f aca="false">IF(H426="","",RANK(H426,$H$5:$H$525))</f>
        <v>422</v>
      </c>
      <c r="J426" s="24" t="n">
        <v>0.0941799366250852</v>
      </c>
      <c r="K426" s="19" t="n">
        <v>54.7</v>
      </c>
      <c r="L426" s="17" t="n">
        <f aca="false">IF(K426="","",RANK(K426,$K$5:$K$525))</f>
        <v>237</v>
      </c>
      <c r="M426" s="25" t="n">
        <v>0.0875892214906214</v>
      </c>
      <c r="N426" s="19" t="n">
        <v>53.2</v>
      </c>
      <c r="O426" s="17" t="n">
        <f aca="false">IF(N426="","",RANK(N426,$N$5:$N$525))</f>
        <v>243</v>
      </c>
      <c r="P426" s="17" t="str">
        <f aca="false">IF(AND(N(H426)&gt;=N(K426),N(H426)&gt;=N(N426)),"The Pulse",IF(N(K426)&gt;=N(N426),"The Lens","The Hub"))</f>
        <v>The Lens</v>
      </c>
      <c r="Q426" s="21" t="s">
        <v>79</v>
      </c>
      <c r="R426" s="26" t="s">
        <v>822</v>
      </c>
      <c r="S426" s="17" t="s">
        <v>88</v>
      </c>
    </row>
    <row r="427" customFormat="false" ht="15" hidden="false" customHeight="false" outlineLevel="0" collapsed="false">
      <c r="A427" s="17" t="s">
        <v>757</v>
      </c>
      <c r="B427" s="17" t="s">
        <v>758</v>
      </c>
      <c r="C427" s="17" t="s">
        <v>2744</v>
      </c>
      <c r="D427" s="17" t="s">
        <v>123</v>
      </c>
      <c r="E427" s="18" t="n">
        <v>234530</v>
      </c>
      <c r="F427" s="17" t="s">
        <v>827</v>
      </c>
      <c r="G427" s="23" t="n">
        <v>0.633944484714109</v>
      </c>
      <c r="H427" s="19" t="n">
        <v>19.4</v>
      </c>
      <c r="I427" s="17" t="n">
        <f aca="false">IF(H427="","",RANK(H427,$H$5:$H$525))</f>
        <v>423</v>
      </c>
      <c r="J427" s="24" t="n">
        <v>0.174941135213667</v>
      </c>
      <c r="K427" s="19" t="n">
        <v>90.1</v>
      </c>
      <c r="L427" s="17" t="n">
        <f aca="false">IF(K427="","",RANK(K427,$K$5:$K$525))</f>
        <v>56</v>
      </c>
      <c r="M427" s="25" t="n">
        <v>0.0730059327620303</v>
      </c>
      <c r="N427" s="19" t="n">
        <v>45.7</v>
      </c>
      <c r="O427" s="17" t="n">
        <f aca="false">IF(N427="","",RANK(N427,$N$5:$N$525))</f>
        <v>282</v>
      </c>
      <c r="P427" s="17" t="str">
        <f aca="false">IF(AND(N(H427)&gt;=N(K427),N(H427)&gt;=N(N427)),"The Pulse",IF(N(K427)&gt;=N(N427),"The Lens","The Hub"))</f>
        <v>The Lens</v>
      </c>
      <c r="Q427" s="20" t="s">
        <v>74</v>
      </c>
      <c r="R427" s="26" t="s">
        <v>822</v>
      </c>
      <c r="S427" s="17" t="s">
        <v>24</v>
      </c>
    </row>
    <row r="428" customFormat="false" ht="15" hidden="false" customHeight="false" outlineLevel="0" collapsed="false">
      <c r="A428" s="17" t="s">
        <v>1940</v>
      </c>
      <c r="B428" s="17" t="s">
        <v>1941</v>
      </c>
      <c r="C428" s="17" t="s">
        <v>2745</v>
      </c>
      <c r="D428" s="17" t="s">
        <v>86</v>
      </c>
      <c r="E428" s="18" t="n">
        <v>11000</v>
      </c>
      <c r="F428" s="17" t="s">
        <v>821</v>
      </c>
      <c r="G428" s="23" t="n">
        <v>0.627818181818182</v>
      </c>
      <c r="H428" s="19" t="n">
        <v>19.2</v>
      </c>
      <c r="I428" s="17" t="n">
        <f aca="false">IF(H428="","",RANK(H428,$H$5:$H$525))</f>
        <v>424</v>
      </c>
      <c r="J428" s="24" t="n">
        <v>0.083743842364532</v>
      </c>
      <c r="K428" s="19" t="n">
        <v>42.2</v>
      </c>
      <c r="L428" s="17" t="n">
        <f aca="false">IF(K428="","",RANK(K428,$K$5:$K$525))</f>
        <v>302</v>
      </c>
      <c r="M428" s="25" t="n">
        <v>0.105670103092784</v>
      </c>
      <c r="N428" s="19" t="n">
        <v>60.9</v>
      </c>
      <c r="O428" s="17" t="n">
        <f aca="false">IF(N428="","",RANK(N428,$N$5:$N$525))</f>
        <v>204</v>
      </c>
      <c r="P428" s="17" t="str">
        <f aca="false">IF(AND(N(H428)&gt;=N(K428),N(H428)&gt;=N(N428)),"The Pulse",IF(N(K428)&gt;=N(N428),"The Lens","The Hub"))</f>
        <v>The Hub</v>
      </c>
      <c r="Q428" s="20" t="s">
        <v>74</v>
      </c>
      <c r="R428" s="27" t="s">
        <v>832</v>
      </c>
      <c r="S428" s="17" t="s">
        <v>24</v>
      </c>
    </row>
    <row r="429" customFormat="false" ht="15" hidden="false" customHeight="false" outlineLevel="0" collapsed="false">
      <c r="A429" s="17" t="s">
        <v>361</v>
      </c>
      <c r="B429" s="17" t="s">
        <v>362</v>
      </c>
      <c r="C429" s="17" t="s">
        <v>2746</v>
      </c>
      <c r="D429" s="17" t="s">
        <v>95</v>
      </c>
      <c r="E429" s="18" t="n">
        <v>181536</v>
      </c>
      <c r="F429" s="17" t="s">
        <v>827</v>
      </c>
      <c r="G429" s="23" t="n">
        <v>0.624493213467301</v>
      </c>
      <c r="H429" s="19" t="n">
        <v>19</v>
      </c>
      <c r="I429" s="17" t="n">
        <f aca="false">IF(H429="","",RANK(H429,$H$5:$H$525))</f>
        <v>425</v>
      </c>
      <c r="J429" s="24" t="n">
        <v>0.113909137765997</v>
      </c>
      <c r="K429" s="19" t="n">
        <v>67.1</v>
      </c>
      <c r="L429" s="17" t="n">
        <f aca="false">IF(K429="","",RANK(K429,$K$5:$K$525))</f>
        <v>171</v>
      </c>
      <c r="M429" s="25" t="n">
        <v>0.0290999567286889</v>
      </c>
      <c r="N429" s="19" t="n">
        <v>19.2</v>
      </c>
      <c r="O429" s="17" t="n">
        <f aca="false">IF(N429="","",RANK(N429,$N$5:$N$525))</f>
        <v>423</v>
      </c>
      <c r="P429" s="17" t="str">
        <f aca="false">IF(AND(N(H429)&gt;=N(K429),N(H429)&gt;=N(N429)),"The Pulse",IF(N(K429)&gt;=N(N429),"The Lens","The Hub"))</f>
        <v>The Lens</v>
      </c>
      <c r="Q429" s="21" t="s">
        <v>79</v>
      </c>
      <c r="R429" s="26" t="s">
        <v>822</v>
      </c>
      <c r="S429" s="17" t="s">
        <v>22</v>
      </c>
    </row>
    <row r="430" customFormat="false" ht="15" hidden="false" customHeight="false" outlineLevel="0" collapsed="false">
      <c r="A430" s="17" t="s">
        <v>1366</v>
      </c>
      <c r="B430" s="17" t="s">
        <v>1367</v>
      </c>
      <c r="C430" s="17" t="s">
        <v>2747</v>
      </c>
      <c r="D430" s="17" t="s">
        <v>95</v>
      </c>
      <c r="E430" s="18" t="n">
        <v>416856</v>
      </c>
      <c r="F430" s="17" t="s">
        <v>827</v>
      </c>
      <c r="G430" s="23" t="n">
        <v>0.609870075037903</v>
      </c>
      <c r="H430" s="19" t="n">
        <v>18.9</v>
      </c>
      <c r="I430" s="17" t="n">
        <f aca="false">IF(H430="","",RANK(H430,$H$5:$H$525))</f>
        <v>426</v>
      </c>
      <c r="J430" s="24" t="n">
        <v>0.0351989907669079</v>
      </c>
      <c r="K430" s="19" t="n">
        <v>22.4</v>
      </c>
      <c r="L430" s="17" t="n">
        <f aca="false">IF(K430="","",RANK(K430,$K$5:$K$525))</f>
        <v>406</v>
      </c>
      <c r="M430" s="25" t="n">
        <v>0.209461690885073</v>
      </c>
      <c r="N430" s="19" t="n">
        <v>86.7</v>
      </c>
      <c r="O430" s="17" t="n">
        <f aca="false">IF(N430="","",RANK(N430,$N$5:$N$525))</f>
        <v>70</v>
      </c>
      <c r="P430" s="17" t="str">
        <f aca="false">IF(AND(N(H430)&gt;=N(K430),N(H430)&gt;=N(N430)),"The Pulse",IF(N(K430)&gt;=N(N430),"The Lens","The Hub"))</f>
        <v>The Hub</v>
      </c>
      <c r="Q430" s="21" t="s">
        <v>79</v>
      </c>
      <c r="R430" s="27" t="s">
        <v>832</v>
      </c>
      <c r="S430" s="17" t="s">
        <v>22</v>
      </c>
    </row>
    <row r="431" customFormat="false" ht="15" hidden="false" customHeight="false" outlineLevel="0" collapsed="false">
      <c r="A431" s="17" t="s">
        <v>497</v>
      </c>
      <c r="B431" s="17" t="s">
        <v>498</v>
      </c>
      <c r="C431" s="17" t="s">
        <v>2748</v>
      </c>
      <c r="D431" s="17" t="s">
        <v>86</v>
      </c>
      <c r="E431" s="18" t="n">
        <v>5617</v>
      </c>
      <c r="F431" s="17" t="s">
        <v>825</v>
      </c>
      <c r="G431" s="23" t="n">
        <v>0.607263663877515</v>
      </c>
      <c r="H431" s="19" t="n">
        <v>18.7</v>
      </c>
      <c r="I431" s="17" t="n">
        <f aca="false">IF(H431="","",RANK(H431,$H$5:$H$525))</f>
        <v>427</v>
      </c>
      <c r="J431" s="24" t="n">
        <v>0.0276253201609952</v>
      </c>
      <c r="K431" s="19" t="n">
        <v>21.2</v>
      </c>
      <c r="L431" s="17" t="n">
        <f aca="false">IF(K431="","",RANK(K431,$K$5:$K$525))</f>
        <v>413</v>
      </c>
      <c r="M431" s="25" t="n">
        <v>0.0461538461538462</v>
      </c>
      <c r="N431" s="19" t="n">
        <v>29.6</v>
      </c>
      <c r="O431" s="17" t="n">
        <f aca="false">IF(N431="","",RANK(N431,$N$5:$N$525))</f>
        <v>368</v>
      </c>
      <c r="P431" s="17" t="str">
        <f aca="false">IF(AND(N(H431)&gt;=N(K431),N(H431)&gt;=N(N431)),"The Pulse",IF(N(K431)&gt;=N(N431),"The Lens","The Hub"))</f>
        <v>The Hub</v>
      </c>
      <c r="Q431" s="21" t="s">
        <v>79</v>
      </c>
      <c r="R431" s="26" t="s">
        <v>822</v>
      </c>
      <c r="S431" s="17" t="s">
        <v>22</v>
      </c>
    </row>
    <row r="432" customFormat="false" ht="15" hidden="false" customHeight="false" outlineLevel="0" collapsed="false">
      <c r="A432" s="17" t="s">
        <v>1920</v>
      </c>
      <c r="B432" s="17" t="s">
        <v>1921</v>
      </c>
      <c r="C432" s="17" t="s">
        <v>2749</v>
      </c>
      <c r="D432" s="17" t="s">
        <v>72</v>
      </c>
      <c r="E432" s="18" t="n">
        <v>12140</v>
      </c>
      <c r="F432" s="17" t="s">
        <v>821</v>
      </c>
      <c r="G432" s="23" t="n">
        <v>0.602800658978583</v>
      </c>
      <c r="H432" s="19" t="n">
        <v>18.5</v>
      </c>
      <c r="I432" s="17" t="n">
        <f aca="false">IF(H432="","",RANK(H432,$H$5:$H$525))</f>
        <v>428</v>
      </c>
      <c r="J432" s="24" t="n">
        <v>-0.0455974842767296</v>
      </c>
      <c r="K432" s="19" t="n">
        <v>2.9</v>
      </c>
      <c r="L432" s="17" t="n">
        <f aca="false">IF(K432="","",RANK(K432,$K$5:$K$525))</f>
        <v>508</v>
      </c>
      <c r="M432" s="25" t="n">
        <v>0.226027397260274</v>
      </c>
      <c r="N432" s="19" t="n">
        <v>90</v>
      </c>
      <c r="O432" s="17" t="n">
        <f aca="false">IF(N432="","",RANK(N432,$N$5:$N$525))</f>
        <v>53</v>
      </c>
      <c r="P432" s="17" t="str">
        <f aca="false">IF(AND(N(H432)&gt;=N(K432),N(H432)&gt;=N(N432)),"The Pulse",IF(N(K432)&gt;=N(N432),"The Lens","The Hub"))</f>
        <v>The Hub</v>
      </c>
      <c r="Q432" s="21" t="s">
        <v>79</v>
      </c>
      <c r="R432" s="27" t="s">
        <v>832</v>
      </c>
      <c r="S432" s="17" t="s">
        <v>88</v>
      </c>
    </row>
    <row r="433" customFormat="false" ht="15" hidden="false" customHeight="false" outlineLevel="0" collapsed="false">
      <c r="A433" s="17" t="s">
        <v>795</v>
      </c>
      <c r="B433" s="17" t="s">
        <v>796</v>
      </c>
      <c r="C433" s="17" t="s">
        <v>2750</v>
      </c>
      <c r="D433" s="17" t="s">
        <v>72</v>
      </c>
      <c r="E433" s="18" t="n">
        <v>56810</v>
      </c>
      <c r="F433" s="17" t="s">
        <v>821</v>
      </c>
      <c r="G433" s="23" t="n">
        <v>0.592818165815878</v>
      </c>
      <c r="H433" s="19" t="n">
        <v>18.3</v>
      </c>
      <c r="I433" s="17" t="n">
        <f aca="false">IF(H433="","",RANK(H433,$H$5:$H$525))</f>
        <v>429</v>
      </c>
      <c r="J433" s="24" t="n">
        <v>0.126511996827285</v>
      </c>
      <c r="K433" s="19" t="n">
        <v>65.9</v>
      </c>
      <c r="L433" s="17" t="n">
        <f aca="false">IF(K433="","",RANK(K433,$K$5:$K$525))</f>
        <v>177</v>
      </c>
      <c r="M433" s="25" t="n">
        <v>0.0767951205988356</v>
      </c>
      <c r="N433" s="19" t="n">
        <v>47.7</v>
      </c>
      <c r="O433" s="17" t="n">
        <f aca="false">IF(N433="","",RANK(N433,$N$5:$N$525))</f>
        <v>272</v>
      </c>
      <c r="P433" s="17" t="str">
        <f aca="false">IF(AND(N(H433)&gt;=N(K433),N(H433)&gt;=N(N433)),"The Pulse",IF(N(K433)&gt;=N(N433),"The Lens","The Hub"))</f>
        <v>The Lens</v>
      </c>
      <c r="Q433" s="20" t="s">
        <v>74</v>
      </c>
      <c r="R433" s="26" t="s">
        <v>822</v>
      </c>
      <c r="S433" s="17" t="s">
        <v>24</v>
      </c>
    </row>
    <row r="434" customFormat="false" ht="15" hidden="false" customHeight="false" outlineLevel="0" collapsed="false">
      <c r="A434" s="17" t="s">
        <v>1251</v>
      </c>
      <c r="B434" s="17" t="s">
        <v>1252</v>
      </c>
      <c r="C434" s="17" t="s">
        <v>2751</v>
      </c>
      <c r="D434" s="17" t="s">
        <v>95</v>
      </c>
      <c r="E434" s="18" t="n">
        <v>9713</v>
      </c>
      <c r="F434" s="17" t="s">
        <v>825</v>
      </c>
      <c r="G434" s="23" t="n">
        <v>0.592504890353135</v>
      </c>
      <c r="H434" s="19" t="n">
        <v>18.2</v>
      </c>
      <c r="I434" s="17" t="n">
        <f aca="false">IF(H434="","",RANK(H434,$H$5:$H$525))</f>
        <v>430</v>
      </c>
      <c r="J434" s="24" t="n">
        <v>0.0243619489559165</v>
      </c>
      <c r="K434" s="19" t="n">
        <v>18.8</v>
      </c>
      <c r="L434" s="17" t="n">
        <f aca="false">IF(K434="","",RANK(K434,$K$5:$K$525))</f>
        <v>426</v>
      </c>
      <c r="M434" s="25" t="n">
        <v>0.154034229828851</v>
      </c>
      <c r="N434" s="19" t="n">
        <v>74.2</v>
      </c>
      <c r="O434" s="17" t="n">
        <f aca="false">IF(N434="","",RANK(N434,$N$5:$N$525))</f>
        <v>134</v>
      </c>
      <c r="P434" s="17" t="str">
        <f aca="false">IF(AND(N(H434)&gt;=N(K434),N(H434)&gt;=N(N434)),"The Pulse",IF(N(K434)&gt;=N(N434),"The Lens","The Hub"))</f>
        <v>The Hub</v>
      </c>
      <c r="Q434" s="21" t="s">
        <v>79</v>
      </c>
      <c r="R434" s="27" t="s">
        <v>832</v>
      </c>
      <c r="S434" s="17" t="s">
        <v>22</v>
      </c>
    </row>
    <row r="435" customFormat="false" ht="15" hidden="false" customHeight="false" outlineLevel="0" collapsed="false">
      <c r="A435" s="17" t="s">
        <v>2752</v>
      </c>
      <c r="B435" s="17" t="s">
        <v>2753</v>
      </c>
      <c r="C435" s="17" t="s">
        <v>2754</v>
      </c>
      <c r="D435" s="17" t="s">
        <v>98</v>
      </c>
      <c r="E435" s="18" t="n">
        <v>180670</v>
      </c>
      <c r="F435" s="17" t="s">
        <v>827</v>
      </c>
      <c r="G435" s="23" t="n">
        <v>0.589561078208889</v>
      </c>
      <c r="H435" s="19" t="n">
        <v>18</v>
      </c>
      <c r="I435" s="17" t="n">
        <f aca="false">IF(H435="","",RANK(H435,$H$5:$H$525))</f>
        <v>431</v>
      </c>
      <c r="J435" s="24" t="n">
        <v>0.165989028718942</v>
      </c>
      <c r="K435" s="19" t="n">
        <v>87</v>
      </c>
      <c r="L435" s="17" t="n">
        <f aca="false">IF(K435="","",RANK(K435,$K$5:$K$525))</f>
        <v>70</v>
      </c>
      <c r="M435" s="25" t="n">
        <v>0.00180766449746927</v>
      </c>
      <c r="N435" s="19" t="n">
        <v>2.7</v>
      </c>
      <c r="O435" s="17" t="n">
        <f aca="false">IF(N435="","",RANK(N435,$N$5:$N$525))</f>
        <v>509</v>
      </c>
      <c r="P435" s="17" t="str">
        <f aca="false">IF(AND(N(H435)&gt;=N(K435),N(H435)&gt;=N(N435)),"The Pulse",IF(N(K435)&gt;=N(N435),"The Lens","The Hub"))</f>
        <v>The Lens</v>
      </c>
      <c r="Q435" s="21" t="s">
        <v>79</v>
      </c>
      <c r="R435" s="27" t="s">
        <v>832</v>
      </c>
      <c r="S435" s="17" t="s">
        <v>22</v>
      </c>
    </row>
    <row r="436" customFormat="false" ht="15" hidden="false" customHeight="false" outlineLevel="0" collapsed="false">
      <c r="A436" s="17" t="s">
        <v>677</v>
      </c>
      <c r="B436" s="17" t="s">
        <v>678</v>
      </c>
      <c r="C436" s="17" t="s">
        <v>2755</v>
      </c>
      <c r="D436" s="17" t="s">
        <v>72</v>
      </c>
      <c r="E436" s="18" t="n">
        <v>130076</v>
      </c>
      <c r="F436" s="17" t="s">
        <v>827</v>
      </c>
      <c r="G436" s="23" t="n">
        <v>0.588325286755435</v>
      </c>
      <c r="H436" s="19" t="n">
        <v>17.8</v>
      </c>
      <c r="I436" s="17" t="n">
        <f aca="false">IF(H436="","",RANK(H436,$H$5:$H$525))</f>
        <v>432</v>
      </c>
      <c r="J436" s="24" t="n">
        <v>0.128994740222542</v>
      </c>
      <c r="K436" s="19" t="n">
        <v>72.7</v>
      </c>
      <c r="L436" s="17" t="n">
        <f aca="false">IF(K436="","",RANK(K436,$K$5:$K$525))</f>
        <v>144</v>
      </c>
      <c r="M436" s="25" t="n">
        <v>0.0826888756692445</v>
      </c>
      <c r="N436" s="19" t="n">
        <v>50.7</v>
      </c>
      <c r="O436" s="17" t="n">
        <f aca="false">IF(N436="","",RANK(N436,$N$5:$N$525))</f>
        <v>256</v>
      </c>
      <c r="P436" s="17" t="str">
        <f aca="false">IF(AND(N(H436)&gt;=N(K436),N(H436)&gt;=N(N436)),"The Pulse",IF(N(K436)&gt;=N(N436),"The Lens","The Hub"))</f>
        <v>The Lens</v>
      </c>
      <c r="Q436" s="21" t="s">
        <v>79</v>
      </c>
      <c r="R436" s="26" t="s">
        <v>822</v>
      </c>
      <c r="S436" s="17" t="s">
        <v>22</v>
      </c>
    </row>
    <row r="437" customFormat="false" ht="15" hidden="false" customHeight="false" outlineLevel="0" collapsed="false">
      <c r="A437" s="17" t="s">
        <v>2756</v>
      </c>
      <c r="B437" s="17" t="s">
        <v>2757</v>
      </c>
      <c r="C437" s="17" t="s">
        <v>2758</v>
      </c>
      <c r="D437" s="17" t="s">
        <v>95</v>
      </c>
      <c r="E437" s="18" t="n">
        <v>147996</v>
      </c>
      <c r="F437" s="17" t="s">
        <v>827</v>
      </c>
      <c r="G437" s="23" t="n">
        <v>0.587434795535014</v>
      </c>
      <c r="H437" s="19" t="n">
        <v>17.6</v>
      </c>
      <c r="I437" s="17" t="n">
        <f aca="false">IF(H437="","",RANK(H437,$H$5:$H$525))</f>
        <v>433</v>
      </c>
      <c r="J437" s="24" t="n">
        <v>0.099377497808614</v>
      </c>
      <c r="K437" s="19" t="n">
        <v>57.8</v>
      </c>
      <c r="L437" s="17" t="n">
        <f aca="false">IF(K437="","",RANK(K437,$K$5:$K$525))</f>
        <v>219</v>
      </c>
      <c r="M437" s="25" t="n">
        <v>0.149855312112443</v>
      </c>
      <c r="N437" s="19" t="n">
        <v>73.3</v>
      </c>
      <c r="O437" s="17" t="n">
        <f aca="false">IF(N437="","",RANK(N437,$N$5:$N$525))</f>
        <v>138</v>
      </c>
      <c r="P437" s="17" t="str">
        <f aca="false">IF(AND(N(H437)&gt;=N(K437),N(H437)&gt;=N(N437)),"The Pulse",IF(N(K437)&gt;=N(N437),"The Lens","The Hub"))</f>
        <v>The Hub</v>
      </c>
      <c r="Q437" s="21" t="s">
        <v>79</v>
      </c>
      <c r="R437" s="27" t="s">
        <v>832</v>
      </c>
      <c r="S437" s="17" t="s">
        <v>22</v>
      </c>
    </row>
    <row r="438" customFormat="false" ht="15" hidden="false" customHeight="false" outlineLevel="0" collapsed="false">
      <c r="A438" s="17" t="s">
        <v>974</v>
      </c>
      <c r="B438" s="17" t="s">
        <v>975</v>
      </c>
      <c r="C438" s="17" t="s">
        <v>2759</v>
      </c>
      <c r="D438" s="17" t="s">
        <v>82</v>
      </c>
      <c r="E438" s="18" t="n">
        <v>243858</v>
      </c>
      <c r="F438" s="17" t="s">
        <v>827</v>
      </c>
      <c r="G438" s="23" t="n">
        <v>0.58155565944115</v>
      </c>
      <c r="H438" s="19" t="n">
        <v>17.5</v>
      </c>
      <c r="I438" s="17" t="n">
        <f aca="false">IF(H438="","",RANK(H438,$H$5:$H$525))</f>
        <v>434</v>
      </c>
      <c r="J438" s="24" t="n">
        <v>0.0834136740668998</v>
      </c>
      <c r="K438" s="19" t="n">
        <v>49.1</v>
      </c>
      <c r="L438" s="17" t="n">
        <f aca="false">IF(K438="","",RANK(K438,$K$5:$K$525))</f>
        <v>266</v>
      </c>
      <c r="M438" s="25" t="n">
        <v>0.15436761572729</v>
      </c>
      <c r="N438" s="19" t="n">
        <v>74.4</v>
      </c>
      <c r="O438" s="17" t="n">
        <f aca="false">IF(N438="","",RANK(N438,$N$5:$N$525))</f>
        <v>133</v>
      </c>
      <c r="P438" s="17" t="str">
        <f aca="false">IF(AND(N(H438)&gt;=N(K438),N(H438)&gt;=N(N438)),"The Pulse",IF(N(K438)&gt;=N(N438),"The Lens","The Hub"))</f>
        <v>The Hub</v>
      </c>
      <c r="Q438" s="21" t="s">
        <v>79</v>
      </c>
      <c r="R438" s="27" t="s">
        <v>832</v>
      </c>
      <c r="S438" s="17" t="s">
        <v>22</v>
      </c>
    </row>
    <row r="439" customFormat="false" ht="15" hidden="false" customHeight="false" outlineLevel="0" collapsed="false">
      <c r="A439" s="17" t="s">
        <v>771</v>
      </c>
      <c r="B439" s="17" t="s">
        <v>772</v>
      </c>
      <c r="C439" s="17" t="s">
        <v>2760</v>
      </c>
      <c r="D439" s="17" t="s">
        <v>98</v>
      </c>
      <c r="E439" s="18" t="n">
        <v>39618</v>
      </c>
      <c r="F439" s="17" t="s">
        <v>821</v>
      </c>
      <c r="G439" s="23" t="n">
        <v>0.581553839164016</v>
      </c>
      <c r="H439" s="19" t="n">
        <v>17.3</v>
      </c>
      <c r="I439" s="17" t="n">
        <f aca="false">IF(H439="","",RANK(H439,$H$5:$H$525))</f>
        <v>435</v>
      </c>
      <c r="J439" s="24" t="n">
        <v>-0.0184331797235023</v>
      </c>
      <c r="K439" s="19" t="n">
        <v>6.2</v>
      </c>
      <c r="L439" s="17" t="n">
        <f aca="false">IF(K439="","",RANK(K439,$K$5:$K$525))</f>
        <v>489</v>
      </c>
      <c r="M439" s="25" t="n">
        <v>0.0318570318570319</v>
      </c>
      <c r="N439" s="19" t="n">
        <v>21</v>
      </c>
      <c r="O439" s="17" t="n">
        <f aca="false">IF(N439="","",RANK(N439,$N$5:$N$525))</f>
        <v>414</v>
      </c>
      <c r="P439" s="17" t="str">
        <f aca="false">IF(AND(N(H439)&gt;=N(K439),N(H439)&gt;=N(N439)),"The Pulse",IF(N(K439)&gt;=N(N439),"The Lens","The Hub"))</f>
        <v>The Hub</v>
      </c>
      <c r="Q439" s="21" t="s">
        <v>79</v>
      </c>
      <c r="R439" s="26" t="s">
        <v>822</v>
      </c>
      <c r="S439" s="17" t="s">
        <v>22</v>
      </c>
    </row>
    <row r="440" customFormat="false" ht="15" hidden="false" customHeight="false" outlineLevel="0" collapsed="false">
      <c r="A440" s="17" t="s">
        <v>2761</v>
      </c>
      <c r="B440" s="17" t="s">
        <v>2762</v>
      </c>
      <c r="C440" s="17" t="s">
        <v>2763</v>
      </c>
      <c r="D440" s="17" t="s">
        <v>77</v>
      </c>
      <c r="E440" s="18" t="n">
        <v>57230</v>
      </c>
      <c r="F440" s="17" t="s">
        <v>821</v>
      </c>
      <c r="G440" s="23" t="n">
        <v>0.577389481041412</v>
      </c>
      <c r="H440" s="19" t="n">
        <v>16.9</v>
      </c>
      <c r="I440" s="17" t="n">
        <f aca="false">IF(H440="","",RANK(H440,$H$5:$H$525))</f>
        <v>436</v>
      </c>
      <c r="J440" s="24" t="n">
        <v>0.0625696249535834</v>
      </c>
      <c r="K440" s="19" t="n">
        <v>33.8</v>
      </c>
      <c r="L440" s="17" t="n">
        <f aca="false">IF(K440="","",RANK(K440,$K$5:$K$525))</f>
        <v>346</v>
      </c>
      <c r="M440" s="25" t="n">
        <v>0.0871913580246914</v>
      </c>
      <c r="N440" s="19" t="n">
        <v>53</v>
      </c>
      <c r="O440" s="17" t="n">
        <f aca="false">IF(N440="","",RANK(N440,$N$5:$N$525))</f>
        <v>244</v>
      </c>
      <c r="P440" s="17" t="str">
        <f aca="false">IF(AND(N(H440)&gt;=N(K440),N(H440)&gt;=N(N440)),"The Pulse",IF(N(K440)&gt;=N(N440),"The Lens","The Hub"))</f>
        <v>The Hub</v>
      </c>
      <c r="Q440" s="20" t="s">
        <v>74</v>
      </c>
      <c r="R440" s="27" t="s">
        <v>832</v>
      </c>
      <c r="S440" s="17" t="s">
        <v>24</v>
      </c>
    </row>
    <row r="441" customFormat="false" ht="15" hidden="false" customHeight="false" outlineLevel="0" collapsed="false">
      <c r="A441" s="17" t="s">
        <v>669</v>
      </c>
      <c r="B441" s="17" t="s">
        <v>670</v>
      </c>
      <c r="C441" s="17" t="s">
        <v>2764</v>
      </c>
      <c r="D441" s="17" t="s">
        <v>86</v>
      </c>
      <c r="E441" s="18" t="n">
        <v>59250</v>
      </c>
      <c r="F441" s="17" t="s">
        <v>821</v>
      </c>
      <c r="G441" s="23" t="n">
        <v>0.576455696202532</v>
      </c>
      <c r="H441" s="19" t="n">
        <v>16.8</v>
      </c>
      <c r="I441" s="17" t="n">
        <f aca="false">IF(H441="","",RANK(H441,$H$5:$H$525))</f>
        <v>437</v>
      </c>
      <c r="J441" s="24" t="n">
        <v>0.0941828254847646</v>
      </c>
      <c r="K441" s="19" t="n">
        <v>49.7</v>
      </c>
      <c r="L441" s="17" t="n">
        <f aca="false">IF(K441="","",RANK(K441,$K$5:$K$525))</f>
        <v>263</v>
      </c>
      <c r="M441" s="25" t="n">
        <v>0.223639455782313</v>
      </c>
      <c r="N441" s="19" t="n">
        <v>89.6</v>
      </c>
      <c r="O441" s="17" t="n">
        <f aca="false">IF(N441="","",RANK(N441,$N$5:$N$525))</f>
        <v>55</v>
      </c>
      <c r="P441" s="17" t="str">
        <f aca="false">IF(AND(N(H441)&gt;=N(K441),N(H441)&gt;=N(N441)),"The Pulse",IF(N(K441)&gt;=N(N441),"The Lens","The Hub"))</f>
        <v>The Hub</v>
      </c>
      <c r="Q441" s="20" t="s">
        <v>74</v>
      </c>
      <c r="R441" s="26" t="s">
        <v>822</v>
      </c>
      <c r="S441" s="17" t="s">
        <v>24</v>
      </c>
    </row>
    <row r="442" customFormat="false" ht="15" hidden="false" customHeight="false" outlineLevel="0" collapsed="false">
      <c r="A442" s="17" t="s">
        <v>2200</v>
      </c>
      <c r="B442" s="17" t="s">
        <v>2201</v>
      </c>
      <c r="C442" s="17" t="s">
        <v>2765</v>
      </c>
      <c r="D442" s="17" t="s">
        <v>77</v>
      </c>
      <c r="E442" s="18" t="n">
        <v>16800</v>
      </c>
      <c r="F442" s="17" t="s">
        <v>821</v>
      </c>
      <c r="G442" s="23" t="n">
        <v>0.575654761904762</v>
      </c>
      <c r="H442" s="19" t="n">
        <v>16.6</v>
      </c>
      <c r="I442" s="17" t="n">
        <f aca="false">IF(H442="","",RANK(H442,$H$5:$H$525))</f>
        <v>438</v>
      </c>
      <c r="J442" s="24" t="n">
        <v>0.103086014445174</v>
      </c>
      <c r="K442" s="19" t="n">
        <v>54.5</v>
      </c>
      <c r="L442" s="17" t="n">
        <f aca="false">IF(K442="","",RANK(K442,$K$5:$K$525))</f>
        <v>238</v>
      </c>
      <c r="M442" s="25" t="n">
        <v>0.0650969529085873</v>
      </c>
      <c r="N442" s="19" t="n">
        <v>41.8</v>
      </c>
      <c r="O442" s="17" t="n">
        <f aca="false">IF(N442="","",RANK(N442,$N$5:$N$525))</f>
        <v>303</v>
      </c>
      <c r="P442" s="17" t="str">
        <f aca="false">IF(AND(N(H442)&gt;=N(K442),N(H442)&gt;=N(N442)),"The Pulse",IF(N(K442)&gt;=N(N442),"The Lens","The Hub"))</f>
        <v>The Lens</v>
      </c>
      <c r="Q442" s="20" t="s">
        <v>74</v>
      </c>
      <c r="R442" s="27" t="s">
        <v>832</v>
      </c>
      <c r="S442" s="17" t="s">
        <v>24</v>
      </c>
    </row>
    <row r="443" customFormat="false" ht="15" hidden="false" customHeight="false" outlineLevel="0" collapsed="false">
      <c r="A443" s="17" t="s">
        <v>777</v>
      </c>
      <c r="B443" s="17" t="s">
        <v>778</v>
      </c>
      <c r="C443" s="17" t="s">
        <v>2766</v>
      </c>
      <c r="D443" s="17" t="s">
        <v>95</v>
      </c>
      <c r="E443" s="18" t="n">
        <v>13378</v>
      </c>
      <c r="F443" s="17" t="s">
        <v>821</v>
      </c>
      <c r="G443" s="23" t="n">
        <v>0.568545373000449</v>
      </c>
      <c r="H443" s="19" t="n">
        <v>16.4</v>
      </c>
      <c r="I443" s="17" t="n">
        <f aca="false">IF(H443="","",RANK(H443,$H$5:$H$525))</f>
        <v>439</v>
      </c>
      <c r="J443" s="24" t="n">
        <v>-0.0365836093907533</v>
      </c>
      <c r="K443" s="19" t="n">
        <v>4.2</v>
      </c>
      <c r="L443" s="17" t="n">
        <f aca="false">IF(K443="","",RANK(K443,$K$5:$K$525))</f>
        <v>501</v>
      </c>
      <c r="M443" s="25" t="n">
        <v>0.0613107822410148</v>
      </c>
      <c r="N443" s="19" t="n">
        <v>39.4</v>
      </c>
      <c r="O443" s="17" t="n">
        <f aca="false">IF(N443="","",RANK(N443,$N$5:$N$525))</f>
        <v>316</v>
      </c>
      <c r="P443" s="17" t="str">
        <f aca="false">IF(AND(N(H443)&gt;=N(K443),N(H443)&gt;=N(N443)),"The Pulse",IF(N(K443)&gt;=N(N443),"The Lens","The Hub"))</f>
        <v>The Hub</v>
      </c>
      <c r="Q443" s="21" t="s">
        <v>79</v>
      </c>
      <c r="R443" s="26" t="s">
        <v>822</v>
      </c>
      <c r="S443" s="17" t="s">
        <v>22</v>
      </c>
    </row>
    <row r="444" customFormat="false" ht="15" hidden="false" customHeight="false" outlineLevel="0" collapsed="false">
      <c r="A444" s="17" t="s">
        <v>2767</v>
      </c>
      <c r="B444" s="17" t="s">
        <v>2768</v>
      </c>
      <c r="C444" s="17" t="s">
        <v>2769</v>
      </c>
      <c r="D444" s="17" t="s">
        <v>162</v>
      </c>
      <c r="E444" s="18" t="n">
        <v>135110</v>
      </c>
      <c r="F444" s="17" t="s">
        <v>827</v>
      </c>
      <c r="G444" s="23" t="n">
        <v>0.566819628450892</v>
      </c>
      <c r="H444" s="19" t="n">
        <v>16.2</v>
      </c>
      <c r="I444" s="17" t="n">
        <f aca="false">IF(H444="","",RANK(H444,$H$5:$H$525))</f>
        <v>440</v>
      </c>
      <c r="J444" s="24" t="n">
        <v>0.101589889930697</v>
      </c>
      <c r="K444" s="19" t="n">
        <v>59.6</v>
      </c>
      <c r="L444" s="17" t="n">
        <f aca="false">IF(K444="","",RANK(K444,$K$5:$K$525))</f>
        <v>211</v>
      </c>
      <c r="M444" s="25" t="n">
        <v>0.0464431354780245</v>
      </c>
      <c r="N444" s="19" t="n">
        <v>29.9</v>
      </c>
      <c r="O444" s="17" t="n">
        <f aca="false">IF(N444="","",RANK(N444,$N$5:$N$525))</f>
        <v>366</v>
      </c>
      <c r="P444" s="17" t="str">
        <f aca="false">IF(AND(N(H444)&gt;=N(K444),N(H444)&gt;=N(N444)),"The Pulse",IF(N(K444)&gt;=N(N444),"The Lens","The Hub"))</f>
        <v>The Lens</v>
      </c>
      <c r="Q444" s="20" t="s">
        <v>74</v>
      </c>
      <c r="R444" s="27" t="s">
        <v>832</v>
      </c>
      <c r="S444" s="17" t="s">
        <v>24</v>
      </c>
    </row>
    <row r="445" customFormat="false" ht="15" hidden="false" customHeight="false" outlineLevel="0" collapsed="false">
      <c r="A445" s="17" t="s">
        <v>2770</v>
      </c>
      <c r="B445" s="17" t="s">
        <v>2771</v>
      </c>
      <c r="C445" s="17" t="s">
        <v>2772</v>
      </c>
      <c r="D445" s="17" t="s">
        <v>72</v>
      </c>
      <c r="E445" s="18" t="n">
        <v>1354015</v>
      </c>
      <c r="F445" s="17" t="s">
        <v>935</v>
      </c>
      <c r="G445" s="23" t="n">
        <v>0.556186600591574</v>
      </c>
      <c r="H445" s="19" t="n">
        <v>16</v>
      </c>
      <c r="I445" s="17" t="n">
        <f aca="false">IF(H445="","",RANK(H445,$H$5:$H$525))</f>
        <v>441</v>
      </c>
      <c r="J445" s="24" t="n">
        <v>-0.00173919582651982</v>
      </c>
      <c r="K445" s="19" t="n">
        <v>14.3</v>
      </c>
      <c r="L445" s="17" t="n">
        <f aca="false">IF(K445="","",RANK(K445,$K$5:$K$525))</f>
        <v>449</v>
      </c>
      <c r="M445" s="25" t="n">
        <v>0.180676026111061</v>
      </c>
      <c r="N445" s="19" t="n">
        <v>80.6</v>
      </c>
      <c r="O445" s="17" t="n">
        <f aca="false">IF(N445="","",RANK(N445,$N$5:$N$525))</f>
        <v>100</v>
      </c>
      <c r="P445" s="17" t="str">
        <f aca="false">IF(AND(N(H445)&gt;=N(K445),N(H445)&gt;=N(N445)),"The Pulse",IF(N(K445)&gt;=N(N445),"The Lens","The Hub"))</f>
        <v>The Hub</v>
      </c>
      <c r="Q445" s="21" t="s">
        <v>79</v>
      </c>
      <c r="R445" s="27" t="s">
        <v>832</v>
      </c>
      <c r="S445" s="17" t="s">
        <v>22</v>
      </c>
    </row>
    <row r="446" customFormat="false" ht="15" hidden="false" customHeight="false" outlineLevel="0" collapsed="false">
      <c r="A446" s="17" t="s">
        <v>719</v>
      </c>
      <c r="B446" s="17" t="s">
        <v>720</v>
      </c>
      <c r="C446" s="17" t="s">
        <v>2773</v>
      </c>
      <c r="D446" s="17" t="s">
        <v>98</v>
      </c>
      <c r="E446" s="18" t="n">
        <v>16753</v>
      </c>
      <c r="F446" s="17" t="s">
        <v>821</v>
      </c>
      <c r="G446" s="23" t="n">
        <v>0.552677132453889</v>
      </c>
      <c r="H446" s="19" t="n">
        <v>15.9</v>
      </c>
      <c r="I446" s="17" t="n">
        <f aca="false">IF(H446="","",RANK(H446,$H$5:$H$525))</f>
        <v>442</v>
      </c>
      <c r="J446" s="24" t="n">
        <v>0.127085575888052</v>
      </c>
      <c r="K446" s="19" t="n">
        <v>66.6</v>
      </c>
      <c r="L446" s="17" t="n">
        <f aca="false">IF(K446="","",RANK(K446,$K$5:$K$525))</f>
        <v>173</v>
      </c>
      <c r="M446" s="25" t="n">
        <v>0.122875816993464</v>
      </c>
      <c r="N446" s="19" t="n">
        <v>66.3</v>
      </c>
      <c r="O446" s="17" t="n">
        <f aca="false">IF(N446="","",RANK(N446,$N$5:$N$525))</f>
        <v>174</v>
      </c>
      <c r="P446" s="17" t="str">
        <f aca="false">IF(AND(N(H446)&gt;=N(K446),N(H446)&gt;=N(N446)),"The Pulse",IF(N(K446)&gt;=N(N446),"The Lens","The Hub"))</f>
        <v>The Lens</v>
      </c>
      <c r="Q446" s="21" t="s">
        <v>79</v>
      </c>
      <c r="R446" s="26" t="s">
        <v>822</v>
      </c>
      <c r="S446" s="17" t="s">
        <v>22</v>
      </c>
    </row>
    <row r="447" customFormat="false" ht="15" hidden="false" customHeight="false" outlineLevel="0" collapsed="false">
      <c r="A447" s="17" t="s">
        <v>1698</v>
      </c>
      <c r="B447" s="17" t="s">
        <v>1699</v>
      </c>
      <c r="C447" s="17" t="s">
        <v>2774</v>
      </c>
      <c r="D447" s="17" t="s">
        <v>115</v>
      </c>
      <c r="E447" s="18" t="n">
        <v>490110</v>
      </c>
      <c r="F447" s="17" t="s">
        <v>827</v>
      </c>
      <c r="G447" s="23" t="n">
        <v>0.551825100487646</v>
      </c>
      <c r="H447" s="19" t="n">
        <v>15.7</v>
      </c>
      <c r="I447" s="17" t="n">
        <f aca="false">IF(H447="","",RANK(H447,$H$5:$H$525))</f>
        <v>443</v>
      </c>
      <c r="J447" s="24" t="n">
        <v>0.0958790778793909</v>
      </c>
      <c r="K447" s="19" t="n">
        <v>55.3</v>
      </c>
      <c r="L447" s="17" t="n">
        <f aca="false">IF(K447="","",RANK(K447,$K$5:$K$525))</f>
        <v>233</v>
      </c>
      <c r="M447" s="25" t="n">
        <v>0.169805919734356</v>
      </c>
      <c r="N447" s="19" t="n">
        <v>78.7</v>
      </c>
      <c r="O447" s="17" t="n">
        <f aca="false">IF(N447="","",RANK(N447,$N$5:$N$525))</f>
        <v>111</v>
      </c>
      <c r="P447" s="17" t="str">
        <f aca="false">IF(AND(N(H447)&gt;=N(K447),N(H447)&gt;=N(N447)),"The Pulse",IF(N(K447)&gt;=N(N447),"The Lens","The Hub"))</f>
        <v>The Hub</v>
      </c>
      <c r="Q447" s="20" t="s">
        <v>74</v>
      </c>
      <c r="R447" s="27" t="s">
        <v>832</v>
      </c>
      <c r="S447" s="17" t="s">
        <v>24</v>
      </c>
    </row>
    <row r="448" customFormat="false" ht="15" hidden="false" customHeight="false" outlineLevel="0" collapsed="false">
      <c r="A448" s="17" t="s">
        <v>779</v>
      </c>
      <c r="B448" s="17" t="s">
        <v>780</v>
      </c>
      <c r="C448" s="17" t="s">
        <v>2775</v>
      </c>
      <c r="D448" s="17" t="s">
        <v>82</v>
      </c>
      <c r="E448" s="18" t="n">
        <v>582380</v>
      </c>
      <c r="F448" s="17" t="s">
        <v>827</v>
      </c>
      <c r="G448" s="23" t="n">
        <v>0.53898485524915</v>
      </c>
      <c r="H448" s="19" t="n">
        <v>15.5</v>
      </c>
      <c r="I448" s="17" t="n">
        <f aca="false">IF(H448="","",RANK(H448,$H$5:$H$525))</f>
        <v>444</v>
      </c>
      <c r="J448" s="24" t="n">
        <v>0.220666526933557</v>
      </c>
      <c r="K448" s="19" t="n">
        <v>96.9</v>
      </c>
      <c r="L448" s="17" t="n">
        <f aca="false">IF(K448="","",RANK(K448,$K$5:$K$525))</f>
        <v>20</v>
      </c>
      <c r="M448" s="25" t="n">
        <v>0.0719491525423729</v>
      </c>
      <c r="N448" s="19" t="n">
        <v>45.2</v>
      </c>
      <c r="O448" s="17" t="n">
        <f aca="false">IF(N448="","",RANK(N448,$N$5:$N$525))</f>
        <v>285</v>
      </c>
      <c r="P448" s="17" t="str">
        <f aca="false">IF(AND(N(H448)&gt;=N(K448),N(H448)&gt;=N(N448)),"The Pulse",IF(N(K448)&gt;=N(N448),"The Lens","The Hub"))</f>
        <v>The Lens</v>
      </c>
      <c r="Q448" s="21" t="s">
        <v>79</v>
      </c>
      <c r="R448" s="26" t="s">
        <v>822</v>
      </c>
      <c r="S448" s="17" t="s">
        <v>88</v>
      </c>
    </row>
    <row r="449" customFormat="false" ht="15" hidden="false" customHeight="false" outlineLevel="0" collapsed="false">
      <c r="A449" s="17" t="s">
        <v>781</v>
      </c>
      <c r="B449" s="17" t="s">
        <v>782</v>
      </c>
      <c r="C449" s="17" t="s">
        <v>2776</v>
      </c>
      <c r="D449" s="17" t="s">
        <v>91</v>
      </c>
      <c r="E449" s="18" t="n">
        <v>81607</v>
      </c>
      <c r="F449" s="17" t="s">
        <v>821</v>
      </c>
      <c r="G449" s="23" t="n">
        <v>0.535762863479849</v>
      </c>
      <c r="H449" s="19" t="n">
        <v>15.3</v>
      </c>
      <c r="I449" s="17" t="n">
        <f aca="false">IF(H449="","",RANK(H449,$H$5:$H$525))</f>
        <v>445</v>
      </c>
      <c r="J449" s="24" t="n">
        <v>0.0472371223981726</v>
      </c>
      <c r="K449" s="19" t="n">
        <v>26.9</v>
      </c>
      <c r="L449" s="17" t="n">
        <f aca="false">IF(K449="","",RANK(K449,$K$5:$K$525))</f>
        <v>382</v>
      </c>
      <c r="M449" s="25" t="n">
        <v>0.0818681318681319</v>
      </c>
      <c r="N449" s="19" t="n">
        <v>50</v>
      </c>
      <c r="O449" s="17" t="n">
        <f aca="false">IF(N449="","",RANK(N449,$N$5:$N$525))</f>
        <v>260</v>
      </c>
      <c r="P449" s="17" t="str">
        <f aca="false">IF(AND(N(H449)&gt;=N(K449),N(H449)&gt;=N(N449)),"The Pulse",IF(N(K449)&gt;=N(N449),"The Lens","The Hub"))</f>
        <v>The Hub</v>
      </c>
      <c r="Q449" s="21" t="s">
        <v>79</v>
      </c>
      <c r="R449" s="26" t="s">
        <v>822</v>
      </c>
      <c r="S449" s="17" t="s">
        <v>22</v>
      </c>
    </row>
    <row r="450" customFormat="false" ht="15" hidden="false" customHeight="false" outlineLevel="0" collapsed="false">
      <c r="A450" s="17" t="s">
        <v>603</v>
      </c>
      <c r="B450" s="17" t="s">
        <v>604</v>
      </c>
      <c r="C450" s="17" t="s">
        <v>2777</v>
      </c>
      <c r="D450" s="17" t="s">
        <v>77</v>
      </c>
      <c r="E450" s="18" t="n">
        <v>12540</v>
      </c>
      <c r="F450" s="17" t="s">
        <v>821</v>
      </c>
      <c r="G450" s="23" t="n">
        <v>0.531977671451356</v>
      </c>
      <c r="H450" s="19" t="n">
        <v>15.2</v>
      </c>
      <c r="I450" s="17" t="n">
        <f aca="false">IF(H450="","",RANK(H450,$H$5:$H$525))</f>
        <v>446</v>
      </c>
      <c r="J450" s="24" t="n">
        <v>0.194285714285714</v>
      </c>
      <c r="K450" s="19" t="n">
        <v>90.6</v>
      </c>
      <c r="L450" s="17" t="n">
        <f aca="false">IF(K450="","",RANK(K450,$K$5:$K$525))</f>
        <v>54</v>
      </c>
      <c r="M450" s="25" t="n">
        <v>0.237762237762238</v>
      </c>
      <c r="N450" s="19" t="n">
        <v>91.2</v>
      </c>
      <c r="O450" s="17" t="n">
        <f aca="false">IF(N450="","",RANK(N450,$N$5:$N$525))</f>
        <v>47</v>
      </c>
      <c r="P450" s="17" t="str">
        <f aca="false">IF(AND(N(H450)&gt;=N(K450),N(H450)&gt;=N(N450)),"The Pulse",IF(N(K450)&gt;=N(N450),"The Lens","The Hub"))</f>
        <v>The Hub</v>
      </c>
      <c r="Q450" s="20" t="s">
        <v>74</v>
      </c>
      <c r="R450" s="26" t="s">
        <v>822</v>
      </c>
      <c r="S450" s="17" t="s">
        <v>24</v>
      </c>
    </row>
    <row r="451" customFormat="false" ht="15" hidden="false" customHeight="false" outlineLevel="0" collapsed="false">
      <c r="A451" s="17" t="s">
        <v>2778</v>
      </c>
      <c r="B451" s="17" t="s">
        <v>2779</v>
      </c>
      <c r="C451" s="17" t="s">
        <v>2780</v>
      </c>
      <c r="D451" s="17" t="s">
        <v>123</v>
      </c>
      <c r="E451" s="18" t="n">
        <v>83787</v>
      </c>
      <c r="F451" s="17" t="s">
        <v>821</v>
      </c>
      <c r="G451" s="23" t="n">
        <v>0.531586045567928</v>
      </c>
      <c r="H451" s="19" t="n">
        <v>15</v>
      </c>
      <c r="I451" s="17" t="n">
        <f aca="false">IF(H451="","",RANK(H451,$H$5:$H$525))</f>
        <v>447</v>
      </c>
      <c r="J451" s="24" t="n">
        <v>0.0896853988113043</v>
      </c>
      <c r="K451" s="19" t="n">
        <v>47.7</v>
      </c>
      <c r="L451" s="17" t="n">
        <f aca="false">IF(K451="","",RANK(K451,$K$5:$K$525))</f>
        <v>274</v>
      </c>
      <c r="M451" s="25" t="n">
        <v>0.0101670297748729</v>
      </c>
      <c r="N451" s="19" t="n">
        <v>6.5</v>
      </c>
      <c r="O451" s="17" t="n">
        <f aca="false">IF(N451="","",RANK(N451,$N$5:$N$525))</f>
        <v>488</v>
      </c>
      <c r="P451" s="17" t="str">
        <f aca="false">IF(AND(N(H451)&gt;=N(K451),N(H451)&gt;=N(N451)),"The Pulse",IF(N(K451)&gt;=N(N451),"The Lens","The Hub"))</f>
        <v>The Lens</v>
      </c>
      <c r="Q451" s="21" t="s">
        <v>79</v>
      </c>
      <c r="R451" s="27" t="s">
        <v>832</v>
      </c>
      <c r="S451" s="17" t="s">
        <v>22</v>
      </c>
    </row>
    <row r="452" customFormat="false" ht="15" hidden="false" customHeight="false" outlineLevel="0" collapsed="false">
      <c r="A452" s="17" t="s">
        <v>988</v>
      </c>
      <c r="B452" s="17" t="s">
        <v>989</v>
      </c>
      <c r="C452" s="17" t="s">
        <v>2781</v>
      </c>
      <c r="D452" s="17" t="s">
        <v>91</v>
      </c>
      <c r="E452" s="18" t="n">
        <v>62080</v>
      </c>
      <c r="F452" s="17" t="s">
        <v>821</v>
      </c>
      <c r="G452" s="23" t="n">
        <v>0.527577319587629</v>
      </c>
      <c r="H452" s="19" t="n">
        <v>14.8</v>
      </c>
      <c r="I452" s="17" t="n">
        <f aca="false">IF(H452="","",RANK(H452,$H$5:$H$525))</f>
        <v>448</v>
      </c>
      <c r="J452" s="24" t="n">
        <v>0.0999291282778172</v>
      </c>
      <c r="K452" s="19" t="n">
        <v>52.9</v>
      </c>
      <c r="L452" s="17" t="n">
        <f aca="false">IF(K452="","",RANK(K452,$K$5:$K$525))</f>
        <v>245</v>
      </c>
      <c r="M452" s="25" t="n">
        <v>0.136410609714089</v>
      </c>
      <c r="N452" s="19" t="n">
        <v>70.1</v>
      </c>
      <c r="O452" s="17" t="n">
        <f aca="false">IF(N452="","",RANK(N452,$N$5:$N$525))</f>
        <v>155</v>
      </c>
      <c r="P452" s="17" t="str">
        <f aca="false">IF(AND(N(H452)&gt;=N(K452),N(H452)&gt;=N(N452)),"The Pulse",IF(N(K452)&gt;=N(N452),"The Lens","The Hub"))</f>
        <v>The Hub</v>
      </c>
      <c r="Q452" s="20" t="s">
        <v>74</v>
      </c>
      <c r="R452" s="27" t="s">
        <v>832</v>
      </c>
      <c r="S452" s="17" t="s">
        <v>24</v>
      </c>
    </row>
    <row r="453" customFormat="false" ht="15" hidden="false" customHeight="false" outlineLevel="0" collapsed="false">
      <c r="A453" s="17" t="s">
        <v>2077</v>
      </c>
      <c r="B453" s="17" t="s">
        <v>2078</v>
      </c>
      <c r="C453" s="17" t="s">
        <v>2782</v>
      </c>
      <c r="D453" s="17" t="s">
        <v>72</v>
      </c>
      <c r="E453" s="18" t="n">
        <v>72737</v>
      </c>
      <c r="F453" s="17" t="s">
        <v>821</v>
      </c>
      <c r="G453" s="23" t="n">
        <v>0.527516944608659</v>
      </c>
      <c r="H453" s="19" t="n">
        <v>14.6</v>
      </c>
      <c r="I453" s="17" t="n">
        <f aca="false">IF(H453="","",RANK(H453,$H$5:$H$525))</f>
        <v>449</v>
      </c>
      <c r="J453" s="24" t="n">
        <v>0.0827503051594272</v>
      </c>
      <c r="K453" s="19" t="n">
        <v>41.6</v>
      </c>
      <c r="L453" s="17" t="n">
        <f aca="false">IF(K453="","",RANK(K453,$K$5:$K$525))</f>
        <v>305</v>
      </c>
      <c r="M453" s="25" t="n">
        <v>0.513633481293595</v>
      </c>
      <c r="N453" s="19" t="n">
        <v>99.8</v>
      </c>
      <c r="O453" s="17" t="n">
        <f aca="false">IF(N453="","",RANK(N453,$N$5:$N$525))</f>
        <v>2</v>
      </c>
      <c r="P453" s="17" t="str">
        <f aca="false">IF(AND(N(H453)&gt;=N(K453),N(H453)&gt;=N(N453)),"The Pulse",IF(N(K453)&gt;=N(N453),"The Lens","The Hub"))</f>
        <v>The Hub</v>
      </c>
      <c r="Q453" s="21" t="s">
        <v>79</v>
      </c>
      <c r="R453" s="27" t="s">
        <v>832</v>
      </c>
      <c r="S453" s="17" t="s">
        <v>22</v>
      </c>
    </row>
    <row r="454" customFormat="false" ht="15" hidden="false" customHeight="false" outlineLevel="0" collapsed="false">
      <c r="A454" s="17" t="s">
        <v>1344</v>
      </c>
      <c r="B454" s="17" t="s">
        <v>1345</v>
      </c>
      <c r="C454" s="17" t="s">
        <v>2783</v>
      </c>
      <c r="D454" s="17" t="s">
        <v>115</v>
      </c>
      <c r="E454" s="18" t="n">
        <v>3831</v>
      </c>
      <c r="F454" s="17" t="s">
        <v>825</v>
      </c>
      <c r="G454" s="23" t="n">
        <v>0.522056904202558</v>
      </c>
      <c r="H454" s="19" t="n">
        <v>14.5</v>
      </c>
      <c r="I454" s="17" t="n">
        <f aca="false">IF(H454="","",RANK(H454,$H$5:$H$525))</f>
        <v>450</v>
      </c>
      <c r="J454" s="24" t="n">
        <v>-0.0232024477307496</v>
      </c>
      <c r="K454" s="19" t="n">
        <v>5</v>
      </c>
      <c r="L454" s="17" t="n">
        <f aca="false">IF(K454="","",RANK(K454,$K$5:$K$525))</f>
        <v>496</v>
      </c>
      <c r="M454" s="25" t="n">
        <v>0.131578947368421</v>
      </c>
      <c r="N454" s="19" t="n">
        <v>68.8</v>
      </c>
      <c r="O454" s="17" t="n">
        <f aca="false">IF(N454="","",RANK(N454,$N$5:$N$525))</f>
        <v>161</v>
      </c>
      <c r="P454" s="17" t="str">
        <f aca="false">IF(AND(N(H454)&gt;=N(K454),N(H454)&gt;=N(N454)),"The Pulse",IF(N(K454)&gt;=N(N454),"The Lens","The Hub"))</f>
        <v>The Hub</v>
      </c>
      <c r="Q454" s="22" t="s">
        <v>109</v>
      </c>
      <c r="R454" s="27" t="s">
        <v>832</v>
      </c>
      <c r="S454" s="17" t="s">
        <v>110</v>
      </c>
    </row>
    <row r="455" customFormat="false" ht="15" hidden="false" customHeight="false" outlineLevel="0" collapsed="false">
      <c r="A455" s="17" t="s">
        <v>1078</v>
      </c>
      <c r="B455" s="17" t="s">
        <v>1079</v>
      </c>
      <c r="C455" s="17" t="s">
        <v>2784</v>
      </c>
      <c r="D455" s="17" t="s">
        <v>86</v>
      </c>
      <c r="E455" s="18" t="n">
        <v>18430</v>
      </c>
      <c r="F455" s="17" t="s">
        <v>821</v>
      </c>
      <c r="G455" s="23" t="n">
        <v>0.520130222463375</v>
      </c>
      <c r="H455" s="19" t="n">
        <v>14.3</v>
      </c>
      <c r="I455" s="17" t="n">
        <f aca="false">IF(H455="","",RANK(H455,$H$5:$H$525))</f>
        <v>451</v>
      </c>
      <c r="J455" s="24" t="n">
        <v>0.098331346841478</v>
      </c>
      <c r="K455" s="19" t="n">
        <v>51.6</v>
      </c>
      <c r="L455" s="17" t="n">
        <f aca="false">IF(K455="","",RANK(K455,$K$5:$K$525))</f>
        <v>252</v>
      </c>
      <c r="M455" s="25" t="n">
        <v>0.0935524652338812</v>
      </c>
      <c r="N455" s="19" t="n">
        <v>55.6</v>
      </c>
      <c r="O455" s="17" t="n">
        <f aca="false">IF(N455="","",RANK(N455,$N$5:$N$525))</f>
        <v>233</v>
      </c>
      <c r="P455" s="17" t="str">
        <f aca="false">IF(AND(N(H455)&gt;=N(K455),N(H455)&gt;=N(N455)),"The Pulse",IF(N(K455)&gt;=N(N455),"The Lens","The Hub"))</f>
        <v>The Hub</v>
      </c>
      <c r="Q455" s="20" t="s">
        <v>74</v>
      </c>
      <c r="R455" s="27" t="s">
        <v>832</v>
      </c>
      <c r="S455" s="17" t="s">
        <v>24</v>
      </c>
    </row>
    <row r="456" customFormat="false" ht="15" hidden="false" customHeight="false" outlineLevel="0" collapsed="false">
      <c r="A456" s="17" t="s">
        <v>507</v>
      </c>
      <c r="B456" s="17" t="s">
        <v>508</v>
      </c>
      <c r="C456" s="17" t="s">
        <v>2785</v>
      </c>
      <c r="D456" s="17" t="s">
        <v>162</v>
      </c>
      <c r="E456" s="18" t="n">
        <v>10335</v>
      </c>
      <c r="F456" s="17" t="s">
        <v>821</v>
      </c>
      <c r="G456" s="23" t="n">
        <v>0.52007740686986</v>
      </c>
      <c r="H456" s="19" t="n">
        <v>14.1</v>
      </c>
      <c r="I456" s="17" t="n">
        <f aca="false">IF(H456="","",RANK(H456,$H$5:$H$525))</f>
        <v>452</v>
      </c>
      <c r="J456" s="24" t="n">
        <v>0.145660126371799</v>
      </c>
      <c r="K456" s="19" t="n">
        <v>75.3</v>
      </c>
      <c r="L456" s="17" t="n">
        <f aca="false">IF(K456="","",RANK(K456,$K$5:$K$525))</f>
        <v>130</v>
      </c>
      <c r="M456" s="25" t="n">
        <v>0.0271739130434783</v>
      </c>
      <c r="N456" s="19" t="n">
        <v>18.3</v>
      </c>
      <c r="O456" s="17" t="n">
        <f aca="false">IF(N456="","",RANK(N456,$N$5:$N$525))</f>
        <v>427</v>
      </c>
      <c r="P456" s="17" t="str">
        <f aca="false">IF(AND(N(H456)&gt;=N(K456),N(H456)&gt;=N(N456)),"The Pulse",IF(N(K456)&gt;=N(N456),"The Lens","The Hub"))</f>
        <v>The Lens</v>
      </c>
      <c r="Q456" s="21" t="s">
        <v>79</v>
      </c>
      <c r="R456" s="26" t="s">
        <v>822</v>
      </c>
      <c r="S456" s="17" t="s">
        <v>22</v>
      </c>
    </row>
    <row r="457" customFormat="false" ht="15" hidden="false" customHeight="false" outlineLevel="0" collapsed="false">
      <c r="A457" s="17" t="s">
        <v>1949</v>
      </c>
      <c r="B457" s="17" t="s">
        <v>1950</v>
      </c>
      <c r="C457" s="17" t="s">
        <v>2786</v>
      </c>
      <c r="D457" s="17" t="s">
        <v>162</v>
      </c>
      <c r="E457" s="18" t="n">
        <v>44651</v>
      </c>
      <c r="F457" s="17" t="s">
        <v>821</v>
      </c>
      <c r="G457" s="23" t="n">
        <v>0.515486775212201</v>
      </c>
      <c r="H457" s="19" t="n">
        <v>13.8</v>
      </c>
      <c r="I457" s="17" t="n">
        <f aca="false">IF(H457="","",RANK(H457,$H$5:$H$525))</f>
        <v>453</v>
      </c>
      <c r="J457" s="24" t="n">
        <v>0.113352449819225</v>
      </c>
      <c r="K457" s="19" t="n">
        <v>59.4</v>
      </c>
      <c r="L457" s="17" t="n">
        <f aca="false">IF(K457="","",RANK(K457,$K$5:$K$525))</f>
        <v>212</v>
      </c>
      <c r="M457" s="25" t="n">
        <v>0.224207235372934</v>
      </c>
      <c r="N457" s="19" t="n">
        <v>89.8</v>
      </c>
      <c r="O457" s="17" t="n">
        <f aca="false">IF(N457="","",RANK(N457,$N$5:$N$525))</f>
        <v>54</v>
      </c>
      <c r="P457" s="17" t="str">
        <f aca="false">IF(AND(N(H457)&gt;=N(K457),N(H457)&gt;=N(N457)),"The Pulse",IF(N(K457)&gt;=N(N457),"The Lens","The Hub"))</f>
        <v>The Hub</v>
      </c>
      <c r="Q457" s="21" t="s">
        <v>79</v>
      </c>
      <c r="R457" s="27" t="s">
        <v>832</v>
      </c>
      <c r="S457" s="17" t="s">
        <v>22</v>
      </c>
    </row>
    <row r="458" customFormat="false" ht="15" hidden="false" customHeight="false" outlineLevel="0" collapsed="false">
      <c r="A458" s="17" t="s">
        <v>1184</v>
      </c>
      <c r="B458" s="17" t="s">
        <v>1185</v>
      </c>
      <c r="C458" s="17" t="s">
        <v>2787</v>
      </c>
      <c r="D458" s="17" t="s">
        <v>77</v>
      </c>
      <c r="E458" s="18" t="n">
        <v>12990</v>
      </c>
      <c r="F458" s="17" t="s">
        <v>821</v>
      </c>
      <c r="G458" s="23" t="n">
        <v>0.506081601231717</v>
      </c>
      <c r="H458" s="19" t="n">
        <v>13.6</v>
      </c>
      <c r="I458" s="17" t="n">
        <f aca="false">IF(H458="","",RANK(H458,$H$5:$H$525))</f>
        <v>454</v>
      </c>
      <c r="J458" s="24" t="n">
        <v>0.0518218623481781</v>
      </c>
      <c r="K458" s="19" t="n">
        <v>28.9</v>
      </c>
      <c r="L458" s="17" t="n">
        <f aca="false">IF(K458="","",RANK(K458,$K$5:$K$525))</f>
        <v>371</v>
      </c>
      <c r="M458" s="25" t="n">
        <v>0.0338983050847458</v>
      </c>
      <c r="N458" s="19" t="n">
        <v>22.4</v>
      </c>
      <c r="O458" s="17" t="n">
        <f aca="false">IF(N458="","",RANK(N458,$N$5:$N$525))</f>
        <v>407</v>
      </c>
      <c r="P458" s="17" t="str">
        <f aca="false">IF(AND(N(H458)&gt;=N(K458),N(H458)&gt;=N(N458)),"The Pulse",IF(N(K458)&gt;=N(N458),"The Lens","The Hub"))</f>
        <v>The Lens</v>
      </c>
      <c r="Q458" s="20" t="s">
        <v>74</v>
      </c>
      <c r="R458" s="27" t="s">
        <v>832</v>
      </c>
      <c r="S458" s="17" t="s">
        <v>24</v>
      </c>
    </row>
    <row r="459" customFormat="false" ht="15" hidden="false" customHeight="false" outlineLevel="0" collapsed="false">
      <c r="A459" s="17" t="s">
        <v>731</v>
      </c>
      <c r="B459" s="17" t="s">
        <v>732</v>
      </c>
      <c r="C459" s="17" t="s">
        <v>2788</v>
      </c>
      <c r="D459" s="17" t="s">
        <v>86</v>
      </c>
      <c r="E459" s="18" t="n">
        <v>16486</v>
      </c>
      <c r="F459" s="17" t="s">
        <v>821</v>
      </c>
      <c r="G459" s="23" t="n">
        <v>0.501759068300376</v>
      </c>
      <c r="H459" s="19" t="n">
        <v>13.4</v>
      </c>
      <c r="I459" s="17" t="n">
        <f aca="false">IF(H459="","",RANK(H459,$H$5:$H$525))</f>
        <v>455</v>
      </c>
      <c r="J459" s="24" t="n">
        <v>0.051201938404642</v>
      </c>
      <c r="K459" s="19" t="n">
        <v>28.2</v>
      </c>
      <c r="L459" s="17" t="n">
        <f aca="false">IF(K459="","",RANK(K459,$K$5:$K$525))</f>
        <v>376</v>
      </c>
      <c r="M459" s="25" t="n">
        <v>0.00609756097560976</v>
      </c>
      <c r="N459" s="19" t="n">
        <v>4.3</v>
      </c>
      <c r="O459" s="17" t="n">
        <f aca="false">IF(N459="","",RANK(N459,$N$5:$N$525))</f>
        <v>500</v>
      </c>
      <c r="P459" s="17" t="str">
        <f aca="false">IF(AND(N(H459)&gt;=N(K459),N(H459)&gt;=N(N459)),"The Pulse",IF(N(K459)&gt;=N(N459),"The Lens","The Hub"))</f>
        <v>The Lens</v>
      </c>
      <c r="Q459" s="21" t="s">
        <v>79</v>
      </c>
      <c r="R459" s="26" t="s">
        <v>822</v>
      </c>
      <c r="S459" s="17" t="s">
        <v>22</v>
      </c>
    </row>
    <row r="460" customFormat="false" ht="15" hidden="false" customHeight="false" outlineLevel="0" collapsed="false">
      <c r="A460" s="17" t="s">
        <v>2789</v>
      </c>
      <c r="B460" s="17" t="s">
        <v>2790</v>
      </c>
      <c r="C460" s="17" t="s">
        <v>2791</v>
      </c>
      <c r="D460" s="17" t="s">
        <v>72</v>
      </c>
      <c r="E460" s="18" t="n">
        <v>26753</v>
      </c>
      <c r="F460" s="17" t="s">
        <v>821</v>
      </c>
      <c r="G460" s="23" t="n">
        <v>0.498822561955669</v>
      </c>
      <c r="H460" s="19" t="n">
        <v>13.2</v>
      </c>
      <c r="I460" s="17" t="n">
        <f aca="false">IF(H460="","",RANK(H460,$H$5:$H$525))</f>
        <v>456</v>
      </c>
      <c r="J460" s="24" t="n">
        <v>0.0399611273080661</v>
      </c>
      <c r="K460" s="19" t="n">
        <v>23.7</v>
      </c>
      <c r="L460" s="17" t="n">
        <f aca="false">IF(K460="","",RANK(K460,$K$5:$K$525))</f>
        <v>399</v>
      </c>
      <c r="M460" s="25" t="n">
        <v>0.030622009569378</v>
      </c>
      <c r="N460" s="19" t="n">
        <v>19.5</v>
      </c>
      <c r="O460" s="17" t="n">
        <f aca="false">IF(N460="","",RANK(N460,$N$5:$N$525))</f>
        <v>421</v>
      </c>
      <c r="P460" s="17" t="str">
        <f aca="false">IF(AND(N(H460)&gt;=N(K460),N(H460)&gt;=N(N460)),"The Pulse",IF(N(K460)&gt;=N(N460),"The Lens","The Hub"))</f>
        <v>The Lens</v>
      </c>
      <c r="Q460" s="21" t="s">
        <v>79</v>
      </c>
      <c r="R460" s="27" t="s">
        <v>832</v>
      </c>
      <c r="S460" s="17" t="s">
        <v>22</v>
      </c>
    </row>
    <row r="461" customFormat="false" ht="15" hidden="false" customHeight="false" outlineLevel="0" collapsed="false">
      <c r="A461" s="17" t="s">
        <v>457</v>
      </c>
      <c r="B461" s="17" t="s">
        <v>458</v>
      </c>
      <c r="C461" s="17" t="s">
        <v>2792</v>
      </c>
      <c r="D461" s="17" t="s">
        <v>86</v>
      </c>
      <c r="E461" s="18" t="n">
        <v>237354</v>
      </c>
      <c r="F461" s="17" t="s">
        <v>827</v>
      </c>
      <c r="G461" s="23" t="n">
        <v>0.49668427749269</v>
      </c>
      <c r="H461" s="19" t="n">
        <v>13.1</v>
      </c>
      <c r="I461" s="17" t="n">
        <f aca="false">IF(H461="","",RANK(H461,$H$5:$H$525))</f>
        <v>457</v>
      </c>
      <c r="J461" s="24" t="n">
        <v>0.182000627468166</v>
      </c>
      <c r="K461" s="19" t="n">
        <v>93.8</v>
      </c>
      <c r="L461" s="17" t="n">
        <f aca="false">IF(K461="","",RANK(K461,$K$5:$K$525))</f>
        <v>36</v>
      </c>
      <c r="M461" s="25" t="n">
        <v>0.192753966374615</v>
      </c>
      <c r="N461" s="19" t="n">
        <v>83</v>
      </c>
      <c r="O461" s="17" t="n">
        <f aca="false">IF(N461="","",RANK(N461,$N$5:$N$525))</f>
        <v>89</v>
      </c>
      <c r="P461" s="17" t="str">
        <f aca="false">IF(AND(N(H461)&gt;=N(K461),N(H461)&gt;=N(N461)),"The Pulse",IF(N(K461)&gt;=N(N461),"The Lens","The Hub"))</f>
        <v>The Lens</v>
      </c>
      <c r="Q461" s="21" t="s">
        <v>79</v>
      </c>
      <c r="R461" s="26" t="s">
        <v>822</v>
      </c>
      <c r="S461" s="17" t="s">
        <v>22</v>
      </c>
    </row>
    <row r="462" customFormat="false" ht="15" hidden="false" customHeight="false" outlineLevel="0" collapsed="false">
      <c r="A462" s="17" t="s">
        <v>1100</v>
      </c>
      <c r="B462" s="17" t="s">
        <v>1101</v>
      </c>
      <c r="C462" s="17" t="s">
        <v>2793</v>
      </c>
      <c r="D462" s="17" t="s">
        <v>86</v>
      </c>
      <c r="E462" s="18" t="n">
        <v>51250</v>
      </c>
      <c r="F462" s="17" t="s">
        <v>821</v>
      </c>
      <c r="G462" s="23" t="n">
        <v>0.493886158727702</v>
      </c>
      <c r="H462" s="19" t="n">
        <v>12.9</v>
      </c>
      <c r="I462" s="17" t="n">
        <f aca="false">IF(H462="","",RANK(H462,$H$5:$H$525))</f>
        <v>458</v>
      </c>
      <c r="J462" s="24" t="n">
        <v>0.148588077095473</v>
      </c>
      <c r="K462" s="19" t="n">
        <v>76.9</v>
      </c>
      <c r="L462" s="17" t="n">
        <f aca="false">IF(K462="","",RANK(K462,$K$5:$K$525))</f>
        <v>123</v>
      </c>
      <c r="M462" s="25" t="n">
        <v>0.0643056849953402</v>
      </c>
      <c r="N462" s="19" t="n">
        <v>40.9</v>
      </c>
      <c r="O462" s="17" t="n">
        <f aca="false">IF(N462="","",RANK(N462,$N$5:$N$525))</f>
        <v>308</v>
      </c>
      <c r="P462" s="17" t="str">
        <f aca="false">IF(AND(N(H462)&gt;=N(K462),N(H462)&gt;=N(N462)),"The Pulse",IF(N(K462)&gt;=N(N462),"The Lens","The Hub"))</f>
        <v>The Lens</v>
      </c>
      <c r="Q462" s="21" t="s">
        <v>79</v>
      </c>
      <c r="R462" s="27" t="s">
        <v>832</v>
      </c>
      <c r="S462" s="17" t="s">
        <v>88</v>
      </c>
    </row>
    <row r="463" customFormat="false" ht="15" hidden="false" customHeight="false" outlineLevel="0" collapsed="false">
      <c r="A463" s="17" t="s">
        <v>783</v>
      </c>
      <c r="B463" s="17" t="s">
        <v>784</v>
      </c>
      <c r="C463" s="17" t="s">
        <v>2794</v>
      </c>
      <c r="D463" s="17" t="s">
        <v>123</v>
      </c>
      <c r="E463" s="18" t="n">
        <v>40657</v>
      </c>
      <c r="F463" s="17" t="s">
        <v>821</v>
      </c>
      <c r="G463" s="23" t="n">
        <v>0.490198489804954</v>
      </c>
      <c r="H463" s="19" t="n">
        <v>12.7</v>
      </c>
      <c r="I463" s="17" t="n">
        <f aca="false">IF(H463="","",RANK(H463,$H$5:$H$525))</f>
        <v>459</v>
      </c>
      <c r="J463" s="24" t="n">
        <v>0.114714994653579</v>
      </c>
      <c r="K463" s="19" t="n">
        <v>60.1</v>
      </c>
      <c r="L463" s="17" t="n">
        <f aca="false">IF(K463="","",RANK(K463,$K$5:$K$525))</f>
        <v>208</v>
      </c>
      <c r="M463" s="25" t="n">
        <v>0.0388821385176185</v>
      </c>
      <c r="N463" s="19" t="n">
        <v>25.1</v>
      </c>
      <c r="O463" s="17" t="n">
        <f aca="false">IF(N463="","",RANK(N463,$N$5:$N$525))</f>
        <v>392</v>
      </c>
      <c r="P463" s="17" t="str">
        <f aca="false">IF(AND(N(H463)&gt;=N(K463),N(H463)&gt;=N(N463)),"The Pulse",IF(N(K463)&gt;=N(N463),"The Lens","The Hub"))</f>
        <v>The Lens</v>
      </c>
      <c r="Q463" s="21" t="s">
        <v>79</v>
      </c>
      <c r="R463" s="26" t="s">
        <v>822</v>
      </c>
      <c r="S463" s="17" t="s">
        <v>22</v>
      </c>
    </row>
    <row r="464" customFormat="false" ht="15" hidden="false" customHeight="false" outlineLevel="0" collapsed="false">
      <c r="A464" s="17" t="s">
        <v>1763</v>
      </c>
      <c r="B464" s="17" t="s">
        <v>1764</v>
      </c>
      <c r="C464" s="17" t="s">
        <v>2795</v>
      </c>
      <c r="D464" s="17" t="s">
        <v>82</v>
      </c>
      <c r="E464" s="18" t="n">
        <v>102160</v>
      </c>
      <c r="F464" s="17" t="s">
        <v>827</v>
      </c>
      <c r="G464" s="23" t="n">
        <v>0.489545810493344</v>
      </c>
      <c r="H464" s="19" t="n">
        <v>12.5</v>
      </c>
      <c r="I464" s="17" t="n">
        <f aca="false">IF(H464="","",RANK(H464,$H$5:$H$525))</f>
        <v>460</v>
      </c>
      <c r="J464" s="24" t="n">
        <v>0.207707766875517</v>
      </c>
      <c r="K464" s="19" t="n">
        <v>95.7</v>
      </c>
      <c r="L464" s="17" t="n">
        <f aca="false">IF(K464="","",RANK(K464,$K$5:$K$525))</f>
        <v>27</v>
      </c>
      <c r="M464" s="25" t="n">
        <v>0.129861345958742</v>
      </c>
      <c r="N464" s="19" t="n">
        <v>68.3</v>
      </c>
      <c r="O464" s="17" t="n">
        <f aca="false">IF(N464="","",RANK(N464,$N$5:$N$525))</f>
        <v>164</v>
      </c>
      <c r="P464" s="17" t="str">
        <f aca="false">IF(AND(N(H464)&gt;=N(K464),N(H464)&gt;=N(N464)),"The Pulse",IF(N(K464)&gt;=N(N464),"The Lens","The Hub"))</f>
        <v>The Lens</v>
      </c>
      <c r="Q464" s="20" t="s">
        <v>74</v>
      </c>
      <c r="R464" s="27" t="s">
        <v>832</v>
      </c>
      <c r="S464" s="17" t="s">
        <v>24</v>
      </c>
    </row>
    <row r="465" customFormat="false" ht="15" hidden="false" customHeight="false" outlineLevel="0" collapsed="false">
      <c r="A465" s="17" t="s">
        <v>866</v>
      </c>
      <c r="B465" s="17" t="s">
        <v>867</v>
      </c>
      <c r="C465" s="17" t="s">
        <v>2796</v>
      </c>
      <c r="D465" s="17" t="s">
        <v>86</v>
      </c>
      <c r="E465" s="18" t="n">
        <v>6000</v>
      </c>
      <c r="F465" s="17" t="s">
        <v>825</v>
      </c>
      <c r="G465" s="23" t="n">
        <v>0.4865</v>
      </c>
      <c r="H465" s="19" t="n">
        <v>12.3</v>
      </c>
      <c r="I465" s="17" t="n">
        <f aca="false">IF(H465="","",RANK(H465,$H$5:$H$525))</f>
        <v>461</v>
      </c>
      <c r="J465" s="24" t="n">
        <v>0.115241635687732</v>
      </c>
      <c r="K465" s="19" t="n">
        <v>52.5</v>
      </c>
      <c r="L465" s="17" t="n">
        <f aca="false">IF(K465="","",RANK(K465,$K$5:$K$525))</f>
        <v>248</v>
      </c>
      <c r="M465" s="25" t="n">
        <v>0.0613496932515337</v>
      </c>
      <c r="N465" s="19" t="n">
        <v>39.6</v>
      </c>
      <c r="O465" s="17" t="n">
        <f aca="false">IF(N465="","",RANK(N465,$N$5:$N$525))</f>
        <v>315</v>
      </c>
      <c r="P465" s="17" t="str">
        <f aca="false">IF(AND(N(H465)&gt;=N(K465),N(H465)&gt;=N(N465)),"The Pulse",IF(N(K465)&gt;=N(N465),"The Lens","The Hub"))</f>
        <v>The Lens</v>
      </c>
      <c r="Q465" s="20" t="s">
        <v>74</v>
      </c>
      <c r="R465" s="27" t="s">
        <v>832</v>
      </c>
      <c r="S465" s="17" t="s">
        <v>24</v>
      </c>
    </row>
    <row r="466" customFormat="false" ht="15" hidden="false" customHeight="false" outlineLevel="0" collapsed="false">
      <c r="A466" s="17" t="s">
        <v>1335</v>
      </c>
      <c r="B466" s="17" t="s">
        <v>1336</v>
      </c>
      <c r="C466" s="17" t="s">
        <v>2797</v>
      </c>
      <c r="D466" s="17" t="s">
        <v>123</v>
      </c>
      <c r="E466" s="18" t="n">
        <v>12025</v>
      </c>
      <c r="F466" s="17" t="s">
        <v>821</v>
      </c>
      <c r="G466" s="23" t="n">
        <v>0.484158004158004</v>
      </c>
      <c r="H466" s="19" t="n">
        <v>12.2</v>
      </c>
      <c r="I466" s="17" t="n">
        <f aca="false">IF(H466="","",RANK(H466,$H$5:$H$525))</f>
        <v>462</v>
      </c>
      <c r="J466" s="24" t="n">
        <v>0.161274746499276</v>
      </c>
      <c r="K466" s="19" t="n">
        <v>81.8</v>
      </c>
      <c r="L466" s="17" t="n">
        <f aca="false">IF(K466="","",RANK(K466,$K$5:$K$525))</f>
        <v>99</v>
      </c>
      <c r="M466" s="25" t="n">
        <v>0.037037037037037</v>
      </c>
      <c r="N466" s="19" t="n">
        <v>24.2</v>
      </c>
      <c r="O466" s="17" t="n">
        <f aca="false">IF(N466="","",RANK(N466,$N$5:$N$525))</f>
        <v>397</v>
      </c>
      <c r="P466" s="17" t="str">
        <f aca="false">IF(AND(N(H466)&gt;=N(K466),N(H466)&gt;=N(N466)),"The Pulse",IF(N(K466)&gt;=N(N466),"The Lens","The Hub"))</f>
        <v>The Lens</v>
      </c>
      <c r="Q466" s="22" t="s">
        <v>109</v>
      </c>
      <c r="R466" s="27" t="s">
        <v>832</v>
      </c>
      <c r="S466" s="17" t="s">
        <v>19</v>
      </c>
    </row>
    <row r="467" customFormat="false" ht="15" hidden="false" customHeight="false" outlineLevel="0" collapsed="false">
      <c r="A467" s="17" t="s">
        <v>685</v>
      </c>
      <c r="B467" s="17" t="s">
        <v>686</v>
      </c>
      <c r="C467" s="17" t="s">
        <v>2798</v>
      </c>
      <c r="D467" s="17" t="s">
        <v>82</v>
      </c>
      <c r="E467" s="18" t="n">
        <v>3961233</v>
      </c>
      <c r="F467" s="17" t="s">
        <v>935</v>
      </c>
      <c r="G467" s="23" t="n">
        <v>0.482576006006211</v>
      </c>
      <c r="H467" s="19" t="n">
        <v>12</v>
      </c>
      <c r="I467" s="17" t="n">
        <f aca="false">IF(H467="","",RANK(H467,$H$5:$H$525))</f>
        <v>463</v>
      </c>
      <c r="J467" s="24" t="n">
        <v>-0.000307637795990967</v>
      </c>
      <c r="K467" s="19" t="n">
        <v>21.4</v>
      </c>
      <c r="L467" s="17" t="n">
        <f aca="false">IF(K467="","",RANK(K467,$K$5:$K$525))</f>
        <v>411</v>
      </c>
      <c r="M467" s="25" t="n">
        <v>0.0539655295716227</v>
      </c>
      <c r="N467" s="19" t="n">
        <v>34.4</v>
      </c>
      <c r="O467" s="17" t="n">
        <f aca="false">IF(N467="","",RANK(N467,$N$5:$N$525))</f>
        <v>342</v>
      </c>
      <c r="P467" s="17" t="str">
        <f aca="false">IF(AND(N(H467)&gt;=N(K467),N(H467)&gt;=N(N467)),"The Pulse",IF(N(K467)&gt;=N(N467),"The Lens","The Hub"))</f>
        <v>The Hub</v>
      </c>
      <c r="Q467" s="21" t="s">
        <v>79</v>
      </c>
      <c r="R467" s="26" t="s">
        <v>822</v>
      </c>
      <c r="S467" s="17" t="s">
        <v>22</v>
      </c>
    </row>
    <row r="468" customFormat="false" ht="15" hidden="false" customHeight="false" outlineLevel="0" collapsed="false">
      <c r="A468" s="17" t="s">
        <v>2193</v>
      </c>
      <c r="B468" s="17" t="s">
        <v>2194</v>
      </c>
      <c r="C468" s="17" t="s">
        <v>2799</v>
      </c>
      <c r="D468" s="17" t="s">
        <v>77</v>
      </c>
      <c r="E468" s="18" t="n">
        <v>31340</v>
      </c>
      <c r="F468" s="17" t="s">
        <v>821</v>
      </c>
      <c r="G468" s="23" t="n">
        <v>0.478174856413529</v>
      </c>
      <c r="H468" s="19" t="n">
        <v>11.8</v>
      </c>
      <c r="I468" s="17" t="n">
        <f aca="false">IF(H468="","",RANK(H468,$H$5:$H$525))</f>
        <v>464</v>
      </c>
      <c r="J468" s="24" t="n">
        <v>0.120353799559471</v>
      </c>
      <c r="K468" s="19" t="n">
        <v>63.3</v>
      </c>
      <c r="L468" s="17" t="n">
        <f aca="false">IF(K468="","",RANK(K468,$K$5:$K$525))</f>
        <v>192</v>
      </c>
      <c r="M468" s="25" t="n">
        <v>0.0864553314121038</v>
      </c>
      <c r="N468" s="19" t="n">
        <v>52.7</v>
      </c>
      <c r="O468" s="17" t="n">
        <f aca="false">IF(N468="","",RANK(N468,$N$5:$N$525))</f>
        <v>246</v>
      </c>
      <c r="P468" s="17" t="str">
        <f aca="false">IF(AND(N(H468)&gt;=N(K468),N(H468)&gt;=N(N468)),"The Pulse",IF(N(K468)&gt;=N(N468),"The Lens","The Hub"))</f>
        <v>The Lens</v>
      </c>
      <c r="Q468" s="21" t="s">
        <v>79</v>
      </c>
      <c r="R468" s="27" t="s">
        <v>832</v>
      </c>
      <c r="S468" s="17" t="s">
        <v>88</v>
      </c>
    </row>
    <row r="469" customFormat="false" ht="15" hidden="false" customHeight="false" outlineLevel="0" collapsed="false">
      <c r="A469" s="17" t="s">
        <v>409</v>
      </c>
      <c r="B469" s="17" t="s">
        <v>410</v>
      </c>
      <c r="C469" s="17" t="s">
        <v>2800</v>
      </c>
      <c r="D469" s="17" t="s">
        <v>95</v>
      </c>
      <c r="E469" s="18" t="n">
        <v>129680</v>
      </c>
      <c r="F469" s="17" t="s">
        <v>827</v>
      </c>
      <c r="G469" s="23" t="n">
        <v>0.477837754472548</v>
      </c>
      <c r="H469" s="19" t="n">
        <v>11.6</v>
      </c>
      <c r="I469" s="17" t="n">
        <f aca="false">IF(H469="","",RANK(H469,$H$5:$H$525))</f>
        <v>465</v>
      </c>
      <c r="J469" s="24" t="n">
        <v>0.0683802932937881</v>
      </c>
      <c r="K469" s="19" t="n">
        <v>41</v>
      </c>
      <c r="L469" s="17" t="n">
        <f aca="false">IF(K469="","",RANK(K469,$K$5:$K$525))</f>
        <v>309</v>
      </c>
      <c r="M469" s="25" t="n">
        <v>0.295800144822592</v>
      </c>
      <c r="N469" s="19" t="n">
        <v>96.1</v>
      </c>
      <c r="O469" s="17" t="n">
        <f aca="false">IF(N469="","",RANK(N469,$N$5:$N$525))</f>
        <v>20</v>
      </c>
      <c r="P469" s="17" t="str">
        <f aca="false">IF(AND(N(H469)&gt;=N(K469),N(H469)&gt;=N(N469)),"The Pulse",IF(N(K469)&gt;=N(N469),"The Lens","The Hub"))</f>
        <v>The Hub</v>
      </c>
      <c r="Q469" s="20" t="s">
        <v>74</v>
      </c>
      <c r="R469" s="26" t="s">
        <v>822</v>
      </c>
      <c r="S469" s="17" t="s">
        <v>24</v>
      </c>
    </row>
    <row r="470" customFormat="false" ht="15" hidden="false" customHeight="false" outlineLevel="0" collapsed="false">
      <c r="A470" s="17" t="s">
        <v>453</v>
      </c>
      <c r="B470" s="17" t="s">
        <v>454</v>
      </c>
      <c r="C470" s="17" t="s">
        <v>2801</v>
      </c>
      <c r="D470" s="17" t="s">
        <v>115</v>
      </c>
      <c r="E470" s="18" t="n">
        <v>29179</v>
      </c>
      <c r="F470" s="17" t="s">
        <v>821</v>
      </c>
      <c r="G470" s="23" t="n">
        <v>0.476198636005346</v>
      </c>
      <c r="H470" s="19" t="n">
        <v>11.5</v>
      </c>
      <c r="I470" s="17" t="n">
        <f aca="false">IF(H470="","",RANK(H470,$H$5:$H$525))</f>
        <v>466</v>
      </c>
      <c r="J470" s="24" t="n">
        <v>0.0559475988853907</v>
      </c>
      <c r="K470" s="19" t="n">
        <v>31.8</v>
      </c>
      <c r="L470" s="17" t="n">
        <f aca="false">IF(K470="","",RANK(K470,$K$5:$K$525))</f>
        <v>356</v>
      </c>
      <c r="M470" s="25" t="n">
        <v>0.0388978930307942</v>
      </c>
      <c r="N470" s="19" t="n">
        <v>25.3</v>
      </c>
      <c r="O470" s="17" t="n">
        <f aca="false">IF(N470="","",RANK(N470,$N$5:$N$525))</f>
        <v>391</v>
      </c>
      <c r="P470" s="17" t="str">
        <f aca="false">IF(AND(N(H470)&gt;=N(K470),N(H470)&gt;=N(N470)),"The Pulse",IF(N(K470)&gt;=N(N470),"The Lens","The Hub"))</f>
        <v>The Lens</v>
      </c>
      <c r="Q470" s="21" t="s">
        <v>79</v>
      </c>
      <c r="R470" s="26" t="s">
        <v>822</v>
      </c>
      <c r="S470" s="17" t="s">
        <v>22</v>
      </c>
    </row>
    <row r="471" customFormat="false" ht="15" hidden="false" customHeight="false" outlineLevel="0" collapsed="false">
      <c r="A471" s="17" t="s">
        <v>759</v>
      </c>
      <c r="B471" s="17" t="s">
        <v>760</v>
      </c>
      <c r="C471" s="17" t="s">
        <v>2802</v>
      </c>
      <c r="D471" s="17" t="s">
        <v>77</v>
      </c>
      <c r="E471" s="18" t="n">
        <v>247945</v>
      </c>
      <c r="F471" s="17" t="s">
        <v>827</v>
      </c>
      <c r="G471" s="23" t="n">
        <v>0.475532880275868</v>
      </c>
      <c r="H471" s="19" t="n">
        <v>11.3</v>
      </c>
      <c r="I471" s="17" t="n">
        <f aca="false">IF(H471="","",RANK(H471,$H$5:$H$525))</f>
        <v>467</v>
      </c>
      <c r="J471" s="24" t="n">
        <v>0.145226625035219</v>
      </c>
      <c r="K471" s="19" t="n">
        <v>80.7</v>
      </c>
      <c r="L471" s="17" t="n">
        <f aca="false">IF(K471="","",RANK(K471,$K$5:$K$525))</f>
        <v>104</v>
      </c>
      <c r="M471" s="25" t="n">
        <v>0.0458579881656805</v>
      </c>
      <c r="N471" s="19" t="n">
        <v>29.2</v>
      </c>
      <c r="O471" s="17" t="n">
        <f aca="false">IF(N471="","",RANK(N471,$N$5:$N$525))</f>
        <v>370</v>
      </c>
      <c r="P471" s="17" t="str">
        <f aca="false">IF(AND(N(H471)&gt;=N(K471),N(H471)&gt;=N(N471)),"The Pulse",IF(N(K471)&gt;=N(N471),"The Lens","The Hub"))</f>
        <v>The Lens</v>
      </c>
      <c r="Q471" s="21" t="s">
        <v>79</v>
      </c>
      <c r="R471" s="26" t="s">
        <v>822</v>
      </c>
      <c r="S471" s="17" t="s">
        <v>22</v>
      </c>
    </row>
    <row r="472" customFormat="false" ht="15" hidden="false" customHeight="false" outlineLevel="0" collapsed="false">
      <c r="A472" s="17" t="s">
        <v>541</v>
      </c>
      <c r="B472" s="17" t="s">
        <v>542</v>
      </c>
      <c r="C472" s="17" t="s">
        <v>2803</v>
      </c>
      <c r="D472" s="17" t="s">
        <v>72</v>
      </c>
      <c r="E472" s="18" t="n">
        <v>27576</v>
      </c>
      <c r="F472" s="17" t="s">
        <v>821</v>
      </c>
      <c r="G472" s="23" t="n">
        <v>0.467072816942269</v>
      </c>
      <c r="H472" s="19" t="n">
        <v>11.1</v>
      </c>
      <c r="I472" s="17" t="n">
        <f aca="false">IF(H472="","",RANK(H472,$H$5:$H$525))</f>
        <v>468</v>
      </c>
      <c r="J472" s="24" t="n">
        <v>0.242386015498288</v>
      </c>
      <c r="K472" s="19" t="n">
        <v>97.7</v>
      </c>
      <c r="L472" s="17" t="n">
        <f aca="false">IF(K472="","",RANK(K472,$K$5:$K$525))</f>
        <v>15</v>
      </c>
      <c r="M472" s="25" t="n">
        <v>0.051985559566787</v>
      </c>
      <c r="N472" s="19" t="n">
        <v>33.9</v>
      </c>
      <c r="O472" s="17" t="n">
        <f aca="false">IF(N472="","",RANK(N472,$N$5:$N$525))</f>
        <v>345</v>
      </c>
      <c r="P472" s="17" t="str">
        <f aca="false">IF(AND(N(H472)&gt;=N(K472),N(H472)&gt;=N(N472)),"The Pulse",IF(N(K472)&gt;=N(N472),"The Lens","The Hub"))</f>
        <v>The Lens</v>
      </c>
      <c r="Q472" s="21" t="s">
        <v>79</v>
      </c>
      <c r="R472" s="26" t="s">
        <v>822</v>
      </c>
      <c r="S472" s="17" t="s">
        <v>22</v>
      </c>
    </row>
    <row r="473" customFormat="false" ht="15" hidden="false" customHeight="false" outlineLevel="0" collapsed="false">
      <c r="A473" s="17" t="s">
        <v>1448</v>
      </c>
      <c r="B473" s="17" t="s">
        <v>1449</v>
      </c>
      <c r="C473" s="17" t="s">
        <v>2804</v>
      </c>
      <c r="D473" s="17" t="s">
        <v>95</v>
      </c>
      <c r="E473" s="18" t="n">
        <v>218124</v>
      </c>
      <c r="F473" s="17" t="s">
        <v>827</v>
      </c>
      <c r="G473" s="23" t="n">
        <v>0.46354825695476</v>
      </c>
      <c r="H473" s="19" t="n">
        <v>10.9</v>
      </c>
      <c r="I473" s="17" t="n">
        <f aca="false">IF(H473="","",RANK(H473,$H$5:$H$525))</f>
        <v>469</v>
      </c>
      <c r="J473" s="24" t="n">
        <v>0.167806147306204</v>
      </c>
      <c r="K473" s="19" t="n">
        <v>87.6</v>
      </c>
      <c r="L473" s="17" t="n">
        <f aca="false">IF(K473="","",RANK(K473,$K$5:$K$525))</f>
        <v>67</v>
      </c>
      <c r="M473" s="25" t="n">
        <v>0.0607700312174818</v>
      </c>
      <c r="N473" s="19" t="n">
        <v>38.9</v>
      </c>
      <c r="O473" s="17" t="n">
        <f aca="false">IF(N473="","",RANK(N473,$N$5:$N$525))</f>
        <v>319</v>
      </c>
      <c r="P473" s="17" t="str">
        <f aca="false">IF(AND(N(H473)&gt;=N(K473),N(H473)&gt;=N(N473)),"The Pulse",IF(N(K473)&gt;=N(N473),"The Lens","The Hub"))</f>
        <v>The Lens</v>
      </c>
      <c r="Q473" s="21" t="s">
        <v>79</v>
      </c>
      <c r="R473" s="27" t="s">
        <v>832</v>
      </c>
      <c r="S473" s="17" t="s">
        <v>22</v>
      </c>
    </row>
    <row r="474" customFormat="false" ht="15" hidden="false" customHeight="false" outlineLevel="0" collapsed="false">
      <c r="A474" s="17" t="s">
        <v>515</v>
      </c>
      <c r="B474" s="17" t="s">
        <v>516</v>
      </c>
      <c r="C474" s="17" t="s">
        <v>2805</v>
      </c>
      <c r="D474" s="17" t="s">
        <v>98</v>
      </c>
      <c r="E474" s="18" t="n">
        <v>83350</v>
      </c>
      <c r="F474" s="17" t="s">
        <v>821</v>
      </c>
      <c r="G474" s="23" t="n">
        <v>0.458932213557289</v>
      </c>
      <c r="H474" s="19" t="n">
        <v>10.8</v>
      </c>
      <c r="I474" s="17" t="n">
        <f aca="false">IF(H474="","",RANK(H474,$H$5:$H$525))</f>
        <v>470</v>
      </c>
      <c r="J474" s="24" t="n">
        <v>0.0516023214736311</v>
      </c>
      <c r="K474" s="19" t="n">
        <v>28.6</v>
      </c>
      <c r="L474" s="17" t="n">
        <f aca="false">IF(K474="","",RANK(K474,$K$5:$K$525))</f>
        <v>373</v>
      </c>
      <c r="M474" s="25" t="n">
        <v>0.207381370826011</v>
      </c>
      <c r="N474" s="19" t="n">
        <v>86.6</v>
      </c>
      <c r="O474" s="17" t="n">
        <f aca="false">IF(N474="","",RANK(N474,$N$5:$N$525))</f>
        <v>71</v>
      </c>
      <c r="P474" s="17" t="str">
        <f aca="false">IF(AND(N(H474)&gt;=N(K474),N(H474)&gt;=N(N474)),"The Pulse",IF(N(K474)&gt;=N(N474),"The Lens","The Hub"))</f>
        <v>The Hub</v>
      </c>
      <c r="Q474" s="22" t="s">
        <v>109</v>
      </c>
      <c r="R474" s="26" t="s">
        <v>822</v>
      </c>
      <c r="S474" s="17" t="s">
        <v>155</v>
      </c>
    </row>
    <row r="475" customFormat="false" ht="15" hidden="false" customHeight="false" outlineLevel="0" collapsed="false">
      <c r="A475" s="17" t="s">
        <v>2115</v>
      </c>
      <c r="B475" s="17" t="s">
        <v>2116</v>
      </c>
      <c r="C475" s="17" t="s">
        <v>2806</v>
      </c>
      <c r="D475" s="17" t="s">
        <v>162</v>
      </c>
      <c r="E475" s="18" t="n">
        <v>77930</v>
      </c>
      <c r="F475" s="17" t="s">
        <v>821</v>
      </c>
      <c r="G475" s="23" t="n">
        <v>0.457153856024638</v>
      </c>
      <c r="H475" s="19" t="n">
        <v>10.6</v>
      </c>
      <c r="I475" s="17" t="n">
        <f aca="false">IF(H475="","",RANK(H475,$H$5:$H$525))</f>
        <v>471</v>
      </c>
      <c r="J475" s="24" t="n">
        <v>0.0857692200518294</v>
      </c>
      <c r="K475" s="19" t="n">
        <v>44.2</v>
      </c>
      <c r="L475" s="17" t="n">
        <f aca="false">IF(K475="","",RANK(K475,$K$5:$K$525))</f>
        <v>291</v>
      </c>
      <c r="M475" s="25" t="n">
        <v>0.036019536019536</v>
      </c>
      <c r="N475" s="19" t="n">
        <v>23.5</v>
      </c>
      <c r="O475" s="17" t="n">
        <f aca="false">IF(N475="","",RANK(N475,$N$5:$N$525))</f>
        <v>401</v>
      </c>
      <c r="P475" s="17" t="str">
        <f aca="false">IF(AND(N(H475)&gt;=N(K475),N(H475)&gt;=N(N475)),"The Pulse",IF(N(K475)&gt;=N(N475),"The Lens","The Hub"))</f>
        <v>The Lens</v>
      </c>
      <c r="Q475" s="21" t="s">
        <v>79</v>
      </c>
      <c r="R475" s="27" t="s">
        <v>832</v>
      </c>
      <c r="S475" s="17" t="s">
        <v>22</v>
      </c>
    </row>
    <row r="476" customFormat="false" ht="15" hidden="false" customHeight="false" outlineLevel="0" collapsed="false">
      <c r="A476" s="17" t="s">
        <v>1831</v>
      </c>
      <c r="B476" s="17" t="s">
        <v>1832</v>
      </c>
      <c r="C476" s="17" t="s">
        <v>2807</v>
      </c>
      <c r="D476" s="17" t="s">
        <v>115</v>
      </c>
      <c r="E476" s="18" t="n">
        <v>3745</v>
      </c>
      <c r="F476" s="17" t="s">
        <v>825</v>
      </c>
      <c r="G476" s="23" t="n">
        <v>0.45607476635514</v>
      </c>
      <c r="H476" s="19" t="n">
        <v>10.4</v>
      </c>
      <c r="I476" s="17" t="n">
        <f aca="false">IF(H476="","",RANK(H476,$H$5:$H$525))</f>
        <v>472</v>
      </c>
      <c r="J476" s="24" t="n">
        <v>0.15159901599016</v>
      </c>
      <c r="K476" s="19" t="n">
        <v>70</v>
      </c>
      <c r="L476" s="17" t="n">
        <f aca="false">IF(K476="","",RANK(K476,$K$5:$K$525))</f>
        <v>158</v>
      </c>
      <c r="M476" s="25" t="n">
        <v>0.135802469135803</v>
      </c>
      <c r="N476" s="19" t="n">
        <v>69.9</v>
      </c>
      <c r="O476" s="17" t="n">
        <f aca="false">IF(N476="","",RANK(N476,$N$5:$N$525))</f>
        <v>156</v>
      </c>
      <c r="P476" s="17" t="str">
        <f aca="false">IF(AND(N(H476)&gt;=N(K476),N(H476)&gt;=N(N476)),"The Pulse",IF(N(K476)&gt;=N(N476),"The Lens","The Hub"))</f>
        <v>The Lens</v>
      </c>
      <c r="Q476" s="21" t="s">
        <v>79</v>
      </c>
      <c r="R476" s="27" t="s">
        <v>832</v>
      </c>
      <c r="S476" s="17" t="s">
        <v>22</v>
      </c>
    </row>
    <row r="477" customFormat="false" ht="15" hidden="false" customHeight="false" outlineLevel="0" collapsed="false">
      <c r="A477" s="17" t="s">
        <v>601</v>
      </c>
      <c r="B477" s="17" t="s">
        <v>602</v>
      </c>
      <c r="C477" s="17" t="s">
        <v>2808</v>
      </c>
      <c r="D477" s="17" t="s">
        <v>77</v>
      </c>
      <c r="E477" s="18" t="n">
        <v>178155</v>
      </c>
      <c r="F477" s="17" t="s">
        <v>827</v>
      </c>
      <c r="G477" s="23" t="n">
        <v>0.454396452527294</v>
      </c>
      <c r="H477" s="19" t="n">
        <v>10.2</v>
      </c>
      <c r="I477" s="17" t="n">
        <f aca="false">IF(H477="","",RANK(H477,$H$5:$H$525))</f>
        <v>473</v>
      </c>
      <c r="J477" s="24" t="n">
        <v>0.161845074280348</v>
      </c>
      <c r="K477" s="19" t="n">
        <v>86.3</v>
      </c>
      <c r="L477" s="17" t="n">
        <f aca="false">IF(K477="","",RANK(K477,$K$5:$K$525))</f>
        <v>74</v>
      </c>
      <c r="M477" s="25" t="n">
        <v>0.256524981357196</v>
      </c>
      <c r="N477" s="19" t="n">
        <v>93</v>
      </c>
      <c r="O477" s="17" t="n">
        <f aca="false">IF(N477="","",RANK(N477,$N$5:$N$525))</f>
        <v>37</v>
      </c>
      <c r="P477" s="17" t="str">
        <f aca="false">IF(AND(N(H477)&gt;=N(K477),N(H477)&gt;=N(N477)),"The Pulse",IF(N(K477)&gt;=N(N477),"The Lens","The Hub"))</f>
        <v>The Hub</v>
      </c>
      <c r="Q477" s="21" t="s">
        <v>79</v>
      </c>
      <c r="R477" s="26" t="s">
        <v>822</v>
      </c>
      <c r="S477" s="17" t="s">
        <v>22</v>
      </c>
    </row>
    <row r="478" customFormat="false" ht="15" hidden="false" customHeight="false" outlineLevel="0" collapsed="false">
      <c r="A478" s="17" t="s">
        <v>1754</v>
      </c>
      <c r="B478" s="17" t="s">
        <v>1755</v>
      </c>
      <c r="C478" s="17" t="s">
        <v>2809</v>
      </c>
      <c r="D478" s="17" t="s">
        <v>162</v>
      </c>
      <c r="E478" s="18" t="n">
        <v>14778</v>
      </c>
      <c r="F478" s="17" t="s">
        <v>821</v>
      </c>
      <c r="G478" s="23" t="n">
        <v>0.454391663283259</v>
      </c>
      <c r="H478" s="19" t="n">
        <v>10.1</v>
      </c>
      <c r="I478" s="17" t="n">
        <f aca="false">IF(H478="","",RANK(H478,$H$5:$H$525))</f>
        <v>474</v>
      </c>
      <c r="J478" s="24" t="n">
        <v>0.00804911323328786</v>
      </c>
      <c r="K478" s="19" t="n">
        <v>12</v>
      </c>
      <c r="L478" s="17" t="n">
        <f aca="false">IF(K478="","",RANK(K478,$K$5:$K$525))</f>
        <v>460</v>
      </c>
      <c r="M478" s="25" t="n">
        <v>0.334101382488479</v>
      </c>
      <c r="N478" s="19" t="n">
        <v>97.5</v>
      </c>
      <c r="O478" s="17" t="n">
        <f aca="false">IF(N478="","",RANK(N478,$N$5:$N$525))</f>
        <v>13</v>
      </c>
      <c r="P478" s="17" t="str">
        <f aca="false">IF(AND(N(H478)&gt;=N(K478),N(H478)&gt;=N(N478)),"The Pulse",IF(N(K478)&gt;=N(N478),"The Lens","The Hub"))</f>
        <v>The Hub</v>
      </c>
      <c r="Q478" s="21" t="s">
        <v>79</v>
      </c>
      <c r="R478" s="27" t="s">
        <v>832</v>
      </c>
      <c r="S478" s="17" t="s">
        <v>22</v>
      </c>
    </row>
    <row r="479" customFormat="false" ht="15" hidden="false" customHeight="false" outlineLevel="0" collapsed="false">
      <c r="A479" s="17" t="s">
        <v>1598</v>
      </c>
      <c r="B479" s="17" t="s">
        <v>1599</v>
      </c>
      <c r="C479" s="17" t="s">
        <v>2810</v>
      </c>
      <c r="D479" s="17" t="s">
        <v>72</v>
      </c>
      <c r="E479" s="18" t="n">
        <v>173660</v>
      </c>
      <c r="F479" s="17" t="s">
        <v>827</v>
      </c>
      <c r="G479" s="23" t="n">
        <v>0.437279742024646</v>
      </c>
      <c r="H479" s="19" t="n">
        <v>9.7</v>
      </c>
      <c r="I479" s="17" t="n">
        <f aca="false">IF(H479="","",RANK(H479,$H$5:$H$525))</f>
        <v>475</v>
      </c>
      <c r="J479" s="24" t="n">
        <v>-0.0455619675735092</v>
      </c>
      <c r="K479" s="19" t="n">
        <v>5.6</v>
      </c>
      <c r="L479" s="17" t="n">
        <f aca="false">IF(K479="","",RANK(K479,$K$5:$K$525))</f>
        <v>493</v>
      </c>
      <c r="M479" s="25" t="n">
        <v>0.277496274217586</v>
      </c>
      <c r="N479" s="19" t="n">
        <v>95.2</v>
      </c>
      <c r="O479" s="17" t="n">
        <f aca="false">IF(N479="","",RANK(N479,$N$5:$N$525))</f>
        <v>25</v>
      </c>
      <c r="P479" s="17" t="str">
        <f aca="false">IF(AND(N(H479)&gt;=N(K479),N(H479)&gt;=N(N479)),"The Pulse",IF(N(K479)&gt;=N(N479),"The Lens","The Hub"))</f>
        <v>The Hub</v>
      </c>
      <c r="Q479" s="20" t="s">
        <v>74</v>
      </c>
      <c r="R479" s="27" t="s">
        <v>832</v>
      </c>
      <c r="S479" s="17" t="s">
        <v>24</v>
      </c>
    </row>
    <row r="480" customFormat="false" ht="15" hidden="false" customHeight="false" outlineLevel="0" collapsed="false">
      <c r="A480" s="17" t="s">
        <v>2148</v>
      </c>
      <c r="B480" s="17" t="s">
        <v>2149</v>
      </c>
      <c r="C480" s="17" t="s">
        <v>2811</v>
      </c>
      <c r="D480" s="17" t="s">
        <v>77</v>
      </c>
      <c r="E480" s="18" t="n">
        <v>10074</v>
      </c>
      <c r="F480" s="17" t="s">
        <v>821</v>
      </c>
      <c r="G480" s="23" t="n">
        <v>0.428925947984912</v>
      </c>
      <c r="H480" s="19" t="n">
        <v>9.5</v>
      </c>
      <c r="I480" s="17" t="n">
        <f aca="false">IF(H480="","",RANK(H480,$H$5:$H$525))</f>
        <v>476</v>
      </c>
      <c r="J480" s="24" t="n">
        <v>0.114750470288813</v>
      </c>
      <c r="K480" s="19" t="n">
        <v>60.4</v>
      </c>
      <c r="L480" s="17" t="n">
        <f aca="false">IF(K480="","",RANK(K480,$K$5:$K$525))</f>
        <v>206</v>
      </c>
      <c r="M480" s="25" t="n">
        <v>0.397058823529412</v>
      </c>
      <c r="N480" s="19" t="n">
        <v>98.9</v>
      </c>
      <c r="O480" s="17" t="n">
        <f aca="false">IF(N480="","",RANK(N480,$N$5:$N$525))</f>
        <v>5</v>
      </c>
      <c r="P480" s="17" t="str">
        <f aca="false">IF(AND(N(H480)&gt;=N(K480),N(H480)&gt;=N(N480)),"The Pulse",IF(N(K480)&gt;=N(N480),"The Lens","The Hub"))</f>
        <v>The Hub</v>
      </c>
      <c r="Q480" s="21" t="s">
        <v>79</v>
      </c>
      <c r="R480" s="27" t="s">
        <v>832</v>
      </c>
      <c r="S480" s="17" t="s">
        <v>22</v>
      </c>
    </row>
    <row r="481" customFormat="false" ht="15" hidden="false" customHeight="false" outlineLevel="0" collapsed="false">
      <c r="A481" s="17" t="s">
        <v>2812</v>
      </c>
      <c r="B481" s="17" t="s">
        <v>2813</v>
      </c>
      <c r="C481" s="17" t="s">
        <v>2814</v>
      </c>
      <c r="D481" s="17" t="s">
        <v>72</v>
      </c>
      <c r="E481" s="18" t="n">
        <v>7504</v>
      </c>
      <c r="F481" s="17" t="s">
        <v>825</v>
      </c>
      <c r="G481" s="23" t="n">
        <v>0.428571428571429</v>
      </c>
      <c r="H481" s="19" t="n">
        <v>9.3</v>
      </c>
      <c r="I481" s="17" t="n">
        <f aca="false">IF(H481="","",RANK(H481,$H$5:$H$525))</f>
        <v>477</v>
      </c>
      <c r="J481" s="24" t="n">
        <v>0.134906231094979</v>
      </c>
      <c r="K481" s="19" t="n">
        <v>60</v>
      </c>
      <c r="L481" s="17" t="n">
        <f aca="false">IF(K481="","",RANK(K481,$K$5:$K$525))</f>
        <v>209</v>
      </c>
      <c r="M481" s="25" t="n">
        <v>0.157190635451505</v>
      </c>
      <c r="N481" s="19" t="n">
        <v>75.4</v>
      </c>
      <c r="O481" s="17" t="n">
        <f aca="false">IF(N481="","",RANK(N481,$N$5:$N$525))</f>
        <v>127</v>
      </c>
      <c r="P481" s="17" t="str">
        <f aca="false">IF(AND(N(H481)&gt;=N(K481),N(H481)&gt;=N(N481)),"The Pulse",IF(N(K481)&gt;=N(N481),"The Lens","The Hub"))</f>
        <v>The Hub</v>
      </c>
      <c r="Q481" s="21" t="s">
        <v>79</v>
      </c>
      <c r="R481" s="27" t="s">
        <v>832</v>
      </c>
      <c r="S481" s="17" t="s">
        <v>22</v>
      </c>
    </row>
    <row r="482" customFormat="false" ht="15" hidden="false" customHeight="false" outlineLevel="0" collapsed="false">
      <c r="A482" s="17" t="s">
        <v>449</v>
      </c>
      <c r="B482" s="17" t="s">
        <v>450</v>
      </c>
      <c r="C482" s="17" t="s">
        <v>2815</v>
      </c>
      <c r="D482" s="17" t="s">
        <v>98</v>
      </c>
      <c r="E482" s="18" t="n">
        <v>94656</v>
      </c>
      <c r="F482" s="17" t="s">
        <v>821</v>
      </c>
      <c r="G482" s="23" t="n">
        <v>0.428340517241379</v>
      </c>
      <c r="H482" s="19" t="n">
        <v>9.2</v>
      </c>
      <c r="I482" s="17" t="n">
        <f aca="false">IF(H482="","",RANK(H482,$H$5:$H$525))</f>
        <v>478</v>
      </c>
      <c r="J482" s="24" t="n">
        <v>0.0146207606225614</v>
      </c>
      <c r="K482" s="19" t="n">
        <v>14.9</v>
      </c>
      <c r="L482" s="17" t="n">
        <f aca="false">IF(K482="","",RANK(K482,$K$5:$K$525))</f>
        <v>446</v>
      </c>
      <c r="M482" s="25" t="n">
        <v>0.172340425531915</v>
      </c>
      <c r="N482" s="19" t="n">
        <v>79.6</v>
      </c>
      <c r="O482" s="17" t="n">
        <f aca="false">IF(N482="","",RANK(N482,$N$5:$N$525))</f>
        <v>106</v>
      </c>
      <c r="P482" s="17" t="str">
        <f aca="false">IF(AND(N(H482)&gt;=N(K482),N(H482)&gt;=N(N482)),"The Pulse",IF(N(K482)&gt;=N(N482),"The Lens","The Hub"))</f>
        <v>The Hub</v>
      </c>
      <c r="Q482" s="21" t="s">
        <v>79</v>
      </c>
      <c r="R482" s="26" t="s">
        <v>822</v>
      </c>
      <c r="S482" s="17" t="s">
        <v>88</v>
      </c>
    </row>
    <row r="483" customFormat="false" ht="15" hidden="false" customHeight="false" outlineLevel="0" collapsed="false">
      <c r="A483" s="17" t="s">
        <v>633</v>
      </c>
      <c r="B483" s="17" t="s">
        <v>634</v>
      </c>
      <c r="C483" s="17" t="s">
        <v>2816</v>
      </c>
      <c r="D483" s="17" t="s">
        <v>123</v>
      </c>
      <c r="E483" s="18" t="n">
        <v>157483</v>
      </c>
      <c r="F483" s="17" t="s">
        <v>827</v>
      </c>
      <c r="G483" s="23" t="n">
        <v>0.422210651308395</v>
      </c>
      <c r="H483" s="19" t="n">
        <v>9</v>
      </c>
      <c r="I483" s="17" t="n">
        <f aca="false">IF(H483="","",RANK(H483,$H$5:$H$525))</f>
        <v>479</v>
      </c>
      <c r="J483" s="24" t="n">
        <v>0.0624734352968163</v>
      </c>
      <c r="K483" s="19" t="n">
        <v>37.9</v>
      </c>
      <c r="L483" s="17" t="n">
        <f aca="false">IF(K483="","",RANK(K483,$K$5:$K$525))</f>
        <v>324</v>
      </c>
      <c r="M483" s="25" t="n">
        <v>0.110381861575179</v>
      </c>
      <c r="N483" s="19" t="n">
        <v>62.4</v>
      </c>
      <c r="O483" s="17" t="n">
        <f aca="false">IF(N483="","",RANK(N483,$N$5:$N$525))</f>
        <v>196</v>
      </c>
      <c r="P483" s="17" t="str">
        <f aca="false">IF(AND(N(H483)&gt;=N(K483),N(H483)&gt;=N(N483)),"The Pulse",IF(N(K483)&gt;=N(N483),"The Lens","The Hub"))</f>
        <v>The Hub</v>
      </c>
      <c r="Q483" s="21" t="s">
        <v>79</v>
      </c>
      <c r="R483" s="26" t="s">
        <v>822</v>
      </c>
      <c r="S483" s="17" t="s">
        <v>22</v>
      </c>
    </row>
    <row r="484" customFormat="false" ht="15" hidden="false" customHeight="false" outlineLevel="0" collapsed="false">
      <c r="A484" s="17" t="s">
        <v>903</v>
      </c>
      <c r="B484" s="17" t="s">
        <v>904</v>
      </c>
      <c r="C484" s="17" t="s">
        <v>2817</v>
      </c>
      <c r="D484" s="17" t="s">
        <v>95</v>
      </c>
      <c r="E484" s="18" t="n">
        <v>443682</v>
      </c>
      <c r="F484" s="17" t="s">
        <v>827</v>
      </c>
      <c r="G484" s="23" t="n">
        <v>0.410758155615959</v>
      </c>
      <c r="H484" s="19" t="n">
        <v>8.5</v>
      </c>
      <c r="I484" s="17" t="n">
        <f aca="false">IF(H484="","",RANK(H484,$H$5:$H$525))</f>
        <v>480</v>
      </c>
      <c r="J484" s="24" t="n">
        <v>0.0143922887511517</v>
      </c>
      <c r="K484" s="19" t="n">
        <v>16.8</v>
      </c>
      <c r="L484" s="17" t="n">
        <f aca="false">IF(K484="","",RANK(K484,$K$5:$K$525))</f>
        <v>436</v>
      </c>
      <c r="M484" s="25" t="n">
        <v>0.00541516245487365</v>
      </c>
      <c r="N484" s="19" t="n">
        <v>4.1</v>
      </c>
      <c r="O484" s="17" t="n">
        <f aca="false">IF(N484="","",RANK(N484,$N$5:$N$525))</f>
        <v>501</v>
      </c>
      <c r="P484" s="17" t="str">
        <f aca="false">IF(AND(N(H484)&gt;=N(K484),N(H484)&gt;=N(N484)),"The Pulse",IF(N(K484)&gt;=N(N484),"The Lens","The Hub"))</f>
        <v>The Lens</v>
      </c>
      <c r="Q484" s="21" t="s">
        <v>79</v>
      </c>
      <c r="R484" s="27" t="s">
        <v>832</v>
      </c>
      <c r="S484" s="17" t="s">
        <v>22</v>
      </c>
    </row>
    <row r="485" customFormat="false" ht="15" hidden="false" customHeight="false" outlineLevel="0" collapsed="false">
      <c r="A485" s="17" t="s">
        <v>713</v>
      </c>
      <c r="B485" s="17" t="s">
        <v>714</v>
      </c>
      <c r="C485" s="17" t="s">
        <v>2818</v>
      </c>
      <c r="D485" s="17" t="s">
        <v>77</v>
      </c>
      <c r="E485" s="18" t="n">
        <v>294279</v>
      </c>
      <c r="F485" s="17" t="s">
        <v>827</v>
      </c>
      <c r="G485" s="23" t="n">
        <v>0.409699638778166</v>
      </c>
      <c r="H485" s="19" t="n">
        <v>8.3</v>
      </c>
      <c r="I485" s="17" t="n">
        <f aca="false">IF(H485="","",RANK(H485,$H$5:$H$525))</f>
        <v>481</v>
      </c>
      <c r="J485" s="24" t="n">
        <v>0.0659308816018719</v>
      </c>
      <c r="K485" s="19" t="n">
        <v>39.8</v>
      </c>
      <c r="L485" s="17" t="n">
        <f aca="false">IF(K485="","",RANK(K485,$K$5:$K$525))</f>
        <v>315</v>
      </c>
      <c r="M485" s="25" t="n">
        <v>0.0194738640245986</v>
      </c>
      <c r="N485" s="19" t="n">
        <v>12.9</v>
      </c>
      <c r="O485" s="17" t="n">
        <f aca="false">IF(N485="","",RANK(N485,$N$5:$N$525))</f>
        <v>455</v>
      </c>
      <c r="P485" s="17" t="str">
        <f aca="false">IF(AND(N(H485)&gt;=N(K485),N(H485)&gt;=N(N485)),"The Pulse",IF(N(K485)&gt;=N(N485),"The Lens","The Hub"))</f>
        <v>The Lens</v>
      </c>
      <c r="Q485" s="21" t="s">
        <v>79</v>
      </c>
      <c r="R485" s="26" t="s">
        <v>822</v>
      </c>
      <c r="S485" s="17" t="s">
        <v>22</v>
      </c>
    </row>
    <row r="486" customFormat="false" ht="15" hidden="false" customHeight="false" outlineLevel="0" collapsed="false">
      <c r="A486" s="17" t="s">
        <v>1354</v>
      </c>
      <c r="B486" s="17" t="s">
        <v>1355</v>
      </c>
      <c r="C486" s="17" t="s">
        <v>2819</v>
      </c>
      <c r="D486" s="17" t="s">
        <v>82</v>
      </c>
      <c r="E486" s="18" t="n">
        <v>63743</v>
      </c>
      <c r="F486" s="17" t="s">
        <v>821</v>
      </c>
      <c r="G486" s="23" t="n">
        <v>0.402522629935836</v>
      </c>
      <c r="H486" s="19" t="n">
        <v>7.9</v>
      </c>
      <c r="I486" s="17" t="n">
        <f aca="false">IF(H486="","",RANK(H486,$H$5:$H$525))</f>
        <v>482</v>
      </c>
      <c r="J486" s="24" t="n">
        <v>0.00948625364246801</v>
      </c>
      <c r="K486" s="19" t="n">
        <v>12.3</v>
      </c>
      <c r="L486" s="17" t="n">
        <f aca="false">IF(K486="","",RANK(K486,$K$5:$K$525))</f>
        <v>459</v>
      </c>
      <c r="M486" s="25" t="n">
        <v>0.0163339382940109</v>
      </c>
      <c r="N486" s="19" t="n">
        <v>10.6</v>
      </c>
      <c r="O486" s="17" t="n">
        <f aca="false">IF(N486="","",RANK(N486,$N$5:$N$525))</f>
        <v>467</v>
      </c>
      <c r="P486" s="17" t="str">
        <f aca="false">IF(AND(N(H486)&gt;=N(K486),N(H486)&gt;=N(N486)),"The Pulse",IF(N(K486)&gt;=N(N486),"The Lens","The Hub"))</f>
        <v>The Lens</v>
      </c>
      <c r="Q486" s="21" t="s">
        <v>79</v>
      </c>
      <c r="R486" s="27" t="s">
        <v>832</v>
      </c>
      <c r="S486" s="17" t="s">
        <v>22</v>
      </c>
    </row>
    <row r="487" customFormat="false" ht="15" hidden="false" customHeight="false" outlineLevel="0" collapsed="false">
      <c r="A487" s="17" t="s">
        <v>1679</v>
      </c>
      <c r="B487" s="17" t="s">
        <v>1680</v>
      </c>
      <c r="C487" s="17" t="s">
        <v>2820</v>
      </c>
      <c r="D487" s="17" t="s">
        <v>95</v>
      </c>
      <c r="E487" s="18" t="n">
        <v>210846</v>
      </c>
      <c r="F487" s="17" t="s">
        <v>827</v>
      </c>
      <c r="G487" s="23" t="n">
        <v>0.39761247545602</v>
      </c>
      <c r="H487" s="19" t="n">
        <v>7.8</v>
      </c>
      <c r="I487" s="17" t="n">
        <f aca="false">IF(H487="","",RANK(H487,$H$5:$H$525))</f>
        <v>483</v>
      </c>
      <c r="J487" s="24" t="n">
        <v>0.0363019758183427</v>
      </c>
      <c r="K487" s="19" t="n">
        <v>23.6</v>
      </c>
      <c r="L487" s="17" t="n">
        <f aca="false">IF(K487="","",RANK(K487,$K$5:$K$525))</f>
        <v>400</v>
      </c>
      <c r="M487" s="25" t="n">
        <v>0.0938398849472675</v>
      </c>
      <c r="N487" s="19" t="n">
        <v>55.7</v>
      </c>
      <c r="O487" s="17" t="n">
        <f aca="false">IF(N487="","",RANK(N487,$N$5:$N$525))</f>
        <v>232</v>
      </c>
      <c r="P487" s="17" t="str">
        <f aca="false">IF(AND(N(H487)&gt;=N(K487),N(H487)&gt;=N(N487)),"The Pulse",IF(N(K487)&gt;=N(N487),"The Lens","The Hub"))</f>
        <v>The Hub</v>
      </c>
      <c r="Q487" s="21" t="s">
        <v>79</v>
      </c>
      <c r="R487" s="27" t="s">
        <v>832</v>
      </c>
      <c r="S487" s="17" t="s">
        <v>22</v>
      </c>
    </row>
    <row r="488" customFormat="false" ht="15" hidden="false" customHeight="false" outlineLevel="0" collapsed="false">
      <c r="A488" s="17" t="s">
        <v>549</v>
      </c>
      <c r="B488" s="17" t="s">
        <v>550</v>
      </c>
      <c r="C488" s="17" t="s">
        <v>2821</v>
      </c>
      <c r="D488" s="17" t="s">
        <v>82</v>
      </c>
      <c r="E488" s="18" t="n">
        <v>18968</v>
      </c>
      <c r="F488" s="17" t="s">
        <v>821</v>
      </c>
      <c r="G488" s="23" t="n">
        <v>0.397300716997048</v>
      </c>
      <c r="H488" s="19" t="n">
        <v>7.6</v>
      </c>
      <c r="I488" s="17" t="n">
        <f aca="false">IF(H488="","",RANK(H488,$H$5:$H$525))</f>
        <v>484</v>
      </c>
      <c r="J488" s="24" t="n">
        <v>0.125764140305063</v>
      </c>
      <c r="K488" s="19" t="n">
        <v>64.9</v>
      </c>
      <c r="L488" s="17" t="n">
        <f aca="false">IF(K488="","",RANK(K488,$K$5:$K$525))</f>
        <v>183</v>
      </c>
      <c r="M488" s="25" t="n">
        <v>0.0111731843575419</v>
      </c>
      <c r="N488" s="19" t="n">
        <v>7.7</v>
      </c>
      <c r="O488" s="17" t="n">
        <f aca="false">IF(N488="","",RANK(N488,$N$5:$N$525))</f>
        <v>482</v>
      </c>
      <c r="P488" s="17" t="str">
        <f aca="false">IF(AND(N(H488)&gt;=N(K488),N(H488)&gt;=N(N488)),"The Pulse",IF(N(K488)&gt;=N(N488),"The Lens","The Hub"))</f>
        <v>The Lens</v>
      </c>
      <c r="Q488" s="21" t="s">
        <v>79</v>
      </c>
      <c r="R488" s="26" t="s">
        <v>822</v>
      </c>
      <c r="S488" s="17" t="s">
        <v>22</v>
      </c>
    </row>
    <row r="489" customFormat="false" ht="15" hidden="false" customHeight="false" outlineLevel="0" collapsed="false">
      <c r="A489" s="17" t="s">
        <v>755</v>
      </c>
      <c r="B489" s="17" t="s">
        <v>756</v>
      </c>
      <c r="C489" s="17" t="s">
        <v>2822</v>
      </c>
      <c r="D489" s="17" t="s">
        <v>86</v>
      </c>
      <c r="E489" s="18" t="n">
        <v>61300</v>
      </c>
      <c r="F489" s="17" t="s">
        <v>821</v>
      </c>
      <c r="G489" s="23" t="n">
        <v>0.387996418858427</v>
      </c>
      <c r="H489" s="19" t="n">
        <v>7.2</v>
      </c>
      <c r="I489" s="17" t="n">
        <f aca="false">IF(H489="","",RANK(H489,$H$5:$H$525))</f>
        <v>485</v>
      </c>
      <c r="J489" s="24" t="n">
        <v>0.085724406659582</v>
      </c>
      <c r="K489" s="19" t="n">
        <v>43.8</v>
      </c>
      <c r="L489" s="17" t="n">
        <f aca="false">IF(K489="","",RANK(K489,$K$5:$K$525))</f>
        <v>293</v>
      </c>
      <c r="M489" s="25" t="n">
        <v>0.0574712643678161</v>
      </c>
      <c r="N489" s="19" t="n">
        <v>36</v>
      </c>
      <c r="O489" s="17" t="n">
        <f aca="false">IF(N489="","",RANK(N489,$N$5:$N$525))</f>
        <v>334</v>
      </c>
      <c r="P489" s="17" t="str">
        <f aca="false">IF(AND(N(H489)&gt;=N(K489),N(H489)&gt;=N(N489)),"The Pulse",IF(N(K489)&gt;=N(N489),"The Lens","The Hub"))</f>
        <v>The Lens</v>
      </c>
      <c r="Q489" s="21" t="s">
        <v>79</v>
      </c>
      <c r="R489" s="26" t="s">
        <v>822</v>
      </c>
      <c r="S489" s="17" t="s">
        <v>88</v>
      </c>
    </row>
    <row r="490" customFormat="false" ht="15" hidden="false" customHeight="false" outlineLevel="0" collapsed="false">
      <c r="A490" s="17" t="s">
        <v>2823</v>
      </c>
      <c r="B490" s="17" t="s">
        <v>2824</v>
      </c>
      <c r="C490" s="17" t="s">
        <v>2825</v>
      </c>
      <c r="D490" s="17" t="s">
        <v>86</v>
      </c>
      <c r="E490" s="18" t="n">
        <v>170304</v>
      </c>
      <c r="F490" s="17" t="s">
        <v>827</v>
      </c>
      <c r="G490" s="23" t="n">
        <v>0.37986776587749</v>
      </c>
      <c r="H490" s="19" t="n">
        <v>7.1</v>
      </c>
      <c r="I490" s="17" t="n">
        <f aca="false">IF(H490="","",RANK(H490,$H$5:$H$525))</f>
        <v>486</v>
      </c>
      <c r="J490" s="24" t="n">
        <v>0.179553954841391</v>
      </c>
      <c r="K490" s="19" t="n">
        <v>92.5</v>
      </c>
      <c r="L490" s="17" t="n">
        <f aca="false">IF(K490="","",RANK(K490,$K$5:$K$525))</f>
        <v>42</v>
      </c>
      <c r="M490" s="25" t="n">
        <v>0.0632746249184605</v>
      </c>
      <c r="N490" s="19" t="n">
        <v>40.3</v>
      </c>
      <c r="O490" s="17" t="n">
        <f aca="false">IF(N490="","",RANK(N490,$N$5:$N$525))</f>
        <v>311</v>
      </c>
      <c r="P490" s="17" t="str">
        <f aca="false">IF(AND(N(H490)&gt;=N(K490),N(H490)&gt;=N(N490)),"The Pulse",IF(N(K490)&gt;=N(N490),"The Lens","The Hub"))</f>
        <v>The Lens</v>
      </c>
      <c r="Q490" s="21" t="s">
        <v>79</v>
      </c>
      <c r="R490" s="27" t="s">
        <v>832</v>
      </c>
      <c r="S490" s="17" t="s">
        <v>22</v>
      </c>
    </row>
    <row r="491" customFormat="false" ht="15" hidden="false" customHeight="false" outlineLevel="0" collapsed="false">
      <c r="A491" s="17" t="s">
        <v>341</v>
      </c>
      <c r="B491" s="17" t="s">
        <v>342</v>
      </c>
      <c r="C491" s="17" t="s">
        <v>2826</v>
      </c>
      <c r="D491" s="17" t="s">
        <v>82</v>
      </c>
      <c r="E491" s="18" t="n">
        <v>39490</v>
      </c>
      <c r="F491" s="17" t="s">
        <v>821</v>
      </c>
      <c r="G491" s="23" t="n">
        <v>0.378678146366169</v>
      </c>
      <c r="H491" s="19" t="n">
        <v>6.9</v>
      </c>
      <c r="I491" s="17" t="n">
        <f aca="false">IF(H491="","",RANK(H491,$H$5:$H$525))</f>
        <v>487</v>
      </c>
      <c r="J491" s="24" t="n">
        <v>0.188383990370148</v>
      </c>
      <c r="K491" s="19" t="n">
        <v>89.6</v>
      </c>
      <c r="L491" s="17" t="n">
        <f aca="false">IF(K491="","",RANK(K491,$K$5:$K$525))</f>
        <v>59</v>
      </c>
      <c r="M491" s="25" t="n">
        <v>0.0942956926658906</v>
      </c>
      <c r="N491" s="19" t="n">
        <v>56.1</v>
      </c>
      <c r="O491" s="17" t="n">
        <f aca="false">IF(N491="","",RANK(N491,$N$5:$N$525))</f>
        <v>230</v>
      </c>
      <c r="P491" s="17" t="str">
        <f aca="false">IF(AND(N(H491)&gt;=N(K491),N(H491)&gt;=N(N491)),"The Pulse",IF(N(K491)&gt;=N(N491),"The Lens","The Hub"))</f>
        <v>The Lens</v>
      </c>
      <c r="Q491" s="20" t="s">
        <v>74</v>
      </c>
      <c r="R491" s="26" t="s">
        <v>822</v>
      </c>
      <c r="S491" s="17" t="s">
        <v>24</v>
      </c>
    </row>
    <row r="492" customFormat="false" ht="15" hidden="false" customHeight="false" outlineLevel="0" collapsed="false">
      <c r="A492" s="17" t="s">
        <v>763</v>
      </c>
      <c r="B492" s="17" t="s">
        <v>764</v>
      </c>
      <c r="C492" s="17" t="s">
        <v>2827</v>
      </c>
      <c r="D492" s="17" t="s">
        <v>82</v>
      </c>
      <c r="E492" s="18" t="n">
        <v>90864</v>
      </c>
      <c r="F492" s="17" t="s">
        <v>821</v>
      </c>
      <c r="G492" s="23" t="n">
        <v>0.378642806832189</v>
      </c>
      <c r="H492" s="19" t="n">
        <v>6.7</v>
      </c>
      <c r="I492" s="17" t="n">
        <f aca="false">IF(H492="","",RANK(H492,$H$5:$H$525))</f>
        <v>488</v>
      </c>
      <c r="J492" s="24" t="n">
        <v>0.0236928380707743</v>
      </c>
      <c r="K492" s="19" t="n">
        <v>19.2</v>
      </c>
      <c r="L492" s="17" t="n">
        <f aca="false">IF(K492="","",RANK(K492,$K$5:$K$525))</f>
        <v>425</v>
      </c>
      <c r="M492" s="25" t="n">
        <v>0.0315490960652251</v>
      </c>
      <c r="N492" s="19" t="n">
        <v>20.6</v>
      </c>
      <c r="O492" s="17" t="n">
        <f aca="false">IF(N492="","",RANK(N492,$N$5:$N$525))</f>
        <v>416</v>
      </c>
      <c r="P492" s="17" t="str">
        <f aca="false">IF(AND(N(H492)&gt;=N(K492),N(H492)&gt;=N(N492)),"The Pulse",IF(N(K492)&gt;=N(N492),"The Lens","The Hub"))</f>
        <v>The Hub</v>
      </c>
      <c r="Q492" s="22" t="s">
        <v>109</v>
      </c>
      <c r="R492" s="26" t="s">
        <v>822</v>
      </c>
      <c r="S492" s="17" t="s">
        <v>19</v>
      </c>
    </row>
    <row r="493" customFormat="false" ht="15" hidden="false" customHeight="false" outlineLevel="0" collapsed="false">
      <c r="A493" s="17" t="s">
        <v>683</v>
      </c>
      <c r="B493" s="17" t="s">
        <v>684</v>
      </c>
      <c r="C493" s="17" t="s">
        <v>2828</v>
      </c>
      <c r="D493" s="17" t="s">
        <v>72</v>
      </c>
      <c r="E493" s="18" t="n">
        <v>195387</v>
      </c>
      <c r="F493" s="17" t="s">
        <v>827</v>
      </c>
      <c r="G493" s="23" t="n">
        <v>0.375531637212302</v>
      </c>
      <c r="H493" s="19" t="n">
        <v>6.5</v>
      </c>
      <c r="I493" s="17" t="n">
        <f aca="false">IF(H493="","",RANK(H493,$H$5:$H$525))</f>
        <v>489</v>
      </c>
      <c r="J493" s="24" t="n">
        <v>0.0780448240474062</v>
      </c>
      <c r="K493" s="19" t="n">
        <v>47.2</v>
      </c>
      <c r="L493" s="17" t="n">
        <f aca="false">IF(K493="","",RANK(K493,$K$5:$K$525))</f>
        <v>276</v>
      </c>
      <c r="M493" s="25" t="n">
        <v>0.0374474589224303</v>
      </c>
      <c r="N493" s="19" t="n">
        <v>24.7</v>
      </c>
      <c r="O493" s="17" t="n">
        <f aca="false">IF(N493="","",RANK(N493,$N$5:$N$525))</f>
        <v>394</v>
      </c>
      <c r="P493" s="17" t="str">
        <f aca="false">IF(AND(N(H493)&gt;=N(K493),N(H493)&gt;=N(N493)),"The Pulse",IF(N(K493)&gt;=N(N493),"The Lens","The Hub"))</f>
        <v>The Lens</v>
      </c>
      <c r="Q493" s="21" t="s">
        <v>79</v>
      </c>
      <c r="R493" s="26" t="s">
        <v>822</v>
      </c>
      <c r="S493" s="17" t="s">
        <v>22</v>
      </c>
    </row>
    <row r="494" customFormat="false" ht="15" hidden="false" customHeight="false" outlineLevel="0" collapsed="false">
      <c r="A494" s="17" t="s">
        <v>2829</v>
      </c>
      <c r="B494" s="17" t="s">
        <v>2830</v>
      </c>
      <c r="C494" s="17" t="s">
        <v>2831</v>
      </c>
      <c r="D494" s="17" t="s">
        <v>86</v>
      </c>
      <c r="E494" s="18" t="n">
        <v>21368</v>
      </c>
      <c r="F494" s="17" t="s">
        <v>821</v>
      </c>
      <c r="G494" s="23" t="n">
        <v>0.375</v>
      </c>
      <c r="H494" s="19" t="n">
        <v>6.3</v>
      </c>
      <c r="I494" s="17" t="n">
        <f aca="false">IF(H494="","",RANK(H494,$H$5:$H$525))</f>
        <v>490</v>
      </c>
      <c r="J494" s="24" t="n">
        <v>0.140417356033517</v>
      </c>
      <c r="K494" s="19" t="n">
        <v>71.8</v>
      </c>
      <c r="L494" s="17" t="n">
        <f aca="false">IF(K494="","",RANK(K494,$K$5:$K$525))</f>
        <v>150</v>
      </c>
      <c r="M494" s="25" t="n">
        <v>0.233169129720854</v>
      </c>
      <c r="N494" s="19" t="n">
        <v>90.7</v>
      </c>
      <c r="O494" s="17" t="n">
        <f aca="false">IF(N494="","",RANK(N494,$N$5:$N$525))</f>
        <v>50</v>
      </c>
      <c r="P494" s="17" t="str">
        <f aca="false">IF(AND(N(H494)&gt;=N(K494),N(H494)&gt;=N(N494)),"The Pulse",IF(N(K494)&gt;=N(N494),"The Lens","The Hub"))</f>
        <v>The Hub</v>
      </c>
      <c r="Q494" s="21" t="s">
        <v>79</v>
      </c>
      <c r="R494" s="27" t="s">
        <v>832</v>
      </c>
      <c r="S494" s="17" t="s">
        <v>22</v>
      </c>
    </row>
    <row r="495" customFormat="false" ht="15" hidden="false" customHeight="false" outlineLevel="0" collapsed="false">
      <c r="A495" s="17" t="s">
        <v>2832</v>
      </c>
      <c r="B495" s="17" t="s">
        <v>2833</v>
      </c>
      <c r="C495" s="17" t="s">
        <v>2834</v>
      </c>
      <c r="D495" s="17" t="s">
        <v>91</v>
      </c>
      <c r="E495" s="18" t="n">
        <v>175095</v>
      </c>
      <c r="F495" s="17" t="s">
        <v>827</v>
      </c>
      <c r="G495" s="23" t="n">
        <v>0.371689654187727</v>
      </c>
      <c r="H495" s="19" t="n">
        <v>6.2</v>
      </c>
      <c r="I495" s="17" t="n">
        <f aca="false">IF(H495="","",RANK(H495,$H$5:$H$525))</f>
        <v>491</v>
      </c>
      <c r="J495" s="24" t="n">
        <v>0.1463523219044</v>
      </c>
      <c r="K495" s="19" t="n">
        <v>82</v>
      </c>
      <c r="L495" s="17" t="n">
        <f aca="false">IF(K495="","",RANK(K495,$K$5:$K$525))</f>
        <v>98</v>
      </c>
      <c r="M495" s="25" t="n">
        <v>0.268582375478927</v>
      </c>
      <c r="N495" s="19" t="n">
        <v>94.1</v>
      </c>
      <c r="O495" s="17" t="n">
        <f aca="false">IF(N495="","",RANK(N495,$N$5:$N$525))</f>
        <v>31</v>
      </c>
      <c r="P495" s="17" t="str">
        <f aca="false">IF(AND(N(H495)&gt;=N(K495),N(H495)&gt;=N(N495)),"The Pulse",IF(N(K495)&gt;=N(N495),"The Lens","The Hub"))</f>
        <v>The Hub</v>
      </c>
      <c r="Q495" s="21" t="s">
        <v>79</v>
      </c>
      <c r="R495" s="27" t="s">
        <v>832</v>
      </c>
      <c r="S495" s="17" t="s">
        <v>22</v>
      </c>
    </row>
    <row r="496" customFormat="false" ht="15" hidden="false" customHeight="false" outlineLevel="0" collapsed="false">
      <c r="A496" s="17" t="s">
        <v>1030</v>
      </c>
      <c r="B496" s="17" t="s">
        <v>1031</v>
      </c>
      <c r="C496" s="17" t="s">
        <v>2835</v>
      </c>
      <c r="D496" s="17" t="s">
        <v>95</v>
      </c>
      <c r="E496" s="18" t="n">
        <v>10940</v>
      </c>
      <c r="F496" s="17" t="s">
        <v>821</v>
      </c>
      <c r="G496" s="23" t="n">
        <v>0.36819012797075</v>
      </c>
      <c r="H496" s="19" t="n">
        <v>6</v>
      </c>
      <c r="I496" s="17" t="n">
        <f aca="false">IF(H496="","",RANK(H496,$H$5:$H$525))</f>
        <v>492</v>
      </c>
      <c r="J496" s="24" t="n">
        <v>0.145549738219895</v>
      </c>
      <c r="K496" s="19" t="n">
        <v>75</v>
      </c>
      <c r="L496" s="17" t="n">
        <f aca="false">IF(K496="","",RANK(K496,$K$5:$K$525))</f>
        <v>132</v>
      </c>
      <c r="M496" s="25" t="n">
        <v>0.0659340659340659</v>
      </c>
      <c r="N496" s="19" t="n">
        <v>42.3</v>
      </c>
      <c r="O496" s="17" t="n">
        <f aca="false">IF(N496="","",RANK(N496,$N$5:$N$525))</f>
        <v>300</v>
      </c>
      <c r="P496" s="17" t="str">
        <f aca="false">IF(AND(N(H496)&gt;=N(K496),N(H496)&gt;=N(N496)),"The Pulse",IF(N(K496)&gt;=N(N496),"The Lens","The Hub"))</f>
        <v>The Lens</v>
      </c>
      <c r="Q496" s="20" t="s">
        <v>74</v>
      </c>
      <c r="R496" s="27" t="s">
        <v>832</v>
      </c>
      <c r="S496" s="17" t="s">
        <v>24</v>
      </c>
    </row>
    <row r="497" customFormat="false" ht="15" hidden="false" customHeight="false" outlineLevel="0" collapsed="false">
      <c r="A497" s="17" t="s">
        <v>1945</v>
      </c>
      <c r="B497" s="17" t="s">
        <v>1946</v>
      </c>
      <c r="C497" s="17" t="s">
        <v>2836</v>
      </c>
      <c r="D497" s="17" t="s">
        <v>77</v>
      </c>
      <c r="E497" s="18" t="n">
        <v>9604</v>
      </c>
      <c r="F497" s="17" t="s">
        <v>825</v>
      </c>
      <c r="G497" s="23" t="n">
        <v>0.366513952519783</v>
      </c>
      <c r="H497" s="19" t="n">
        <v>5.8</v>
      </c>
      <c r="I497" s="17" t="n">
        <f aca="false">IF(H497="","",RANK(H497,$H$5:$H$525))</f>
        <v>493</v>
      </c>
      <c r="J497" s="24" t="n">
        <v>0.107216970255937</v>
      </c>
      <c r="K497" s="19" t="n">
        <v>47.5</v>
      </c>
      <c r="L497" s="17" t="n">
        <f aca="false">IF(K497="","",RANK(K497,$K$5:$K$525))</f>
        <v>275</v>
      </c>
      <c r="M497" s="25" t="n">
        <v>0.171003717472119</v>
      </c>
      <c r="N497" s="19" t="n">
        <v>79</v>
      </c>
      <c r="O497" s="17" t="n">
        <f aca="false">IF(N497="","",RANK(N497,$N$5:$N$525))</f>
        <v>109</v>
      </c>
      <c r="P497" s="17" t="str">
        <f aca="false">IF(AND(N(H497)&gt;=N(K497),N(H497)&gt;=N(N497)),"The Pulse",IF(N(K497)&gt;=N(N497),"The Lens","The Hub"))</f>
        <v>The Hub</v>
      </c>
      <c r="Q497" s="21" t="s">
        <v>79</v>
      </c>
      <c r="R497" s="27" t="s">
        <v>832</v>
      </c>
      <c r="S497" s="17" t="s">
        <v>22</v>
      </c>
    </row>
    <row r="498" customFormat="false" ht="15" hidden="false" customHeight="false" outlineLevel="0" collapsed="false">
      <c r="A498" s="17" t="s">
        <v>2837</v>
      </c>
      <c r="B498" s="17" t="s">
        <v>2838</v>
      </c>
      <c r="C498" s="17" t="s">
        <v>2839</v>
      </c>
      <c r="D498" s="17" t="s">
        <v>82</v>
      </c>
      <c r="E498" s="18" t="n">
        <v>413050</v>
      </c>
      <c r="F498" s="17" t="s">
        <v>827</v>
      </c>
      <c r="G498" s="23" t="n">
        <v>0.348408183028689</v>
      </c>
      <c r="H498" s="19" t="n">
        <v>5.5</v>
      </c>
      <c r="I498" s="17" t="n">
        <f aca="false">IF(H498="","",RANK(H498,$H$5:$H$525))</f>
        <v>494</v>
      </c>
      <c r="J498" s="24" t="n">
        <v>0.14701063563911</v>
      </c>
      <c r="K498" s="19" t="n">
        <v>82.6</v>
      </c>
      <c r="L498" s="17" t="n">
        <f aca="false">IF(K498="","",RANK(K498,$K$5:$K$525))</f>
        <v>94</v>
      </c>
      <c r="M498" s="25" t="n">
        <v>0.196358267716535</v>
      </c>
      <c r="N498" s="19" t="n">
        <v>84.4</v>
      </c>
      <c r="O498" s="17" t="n">
        <f aca="false">IF(N498="","",RANK(N498,$N$5:$N$525))</f>
        <v>82</v>
      </c>
      <c r="P498" s="17" t="str">
        <f aca="false">IF(AND(N(H498)&gt;=N(K498),N(H498)&gt;=N(N498)),"The Pulse",IF(N(K498)&gt;=N(N498),"The Lens","The Hub"))</f>
        <v>The Hub</v>
      </c>
      <c r="Q498" s="20" t="s">
        <v>74</v>
      </c>
      <c r="R498" s="27" t="s">
        <v>832</v>
      </c>
      <c r="S498" s="17" t="s">
        <v>24</v>
      </c>
    </row>
    <row r="499" customFormat="false" ht="15" hidden="false" customHeight="false" outlineLevel="0" collapsed="false">
      <c r="A499" s="17" t="s">
        <v>485</v>
      </c>
      <c r="B499" s="17" t="s">
        <v>486</v>
      </c>
      <c r="C499" s="17" t="s">
        <v>2840</v>
      </c>
      <c r="D499" s="17" t="s">
        <v>98</v>
      </c>
      <c r="E499" s="18" t="n">
        <v>313060</v>
      </c>
      <c r="F499" s="17" t="s">
        <v>827</v>
      </c>
      <c r="G499" s="23" t="n">
        <v>0.347891777933942</v>
      </c>
      <c r="H499" s="19" t="n">
        <v>5.3</v>
      </c>
      <c r="I499" s="17" t="n">
        <f aca="false">IF(H499="","",RANK(H499,$H$5:$H$525))</f>
        <v>495</v>
      </c>
      <c r="J499" s="24" t="n">
        <v>-0.0637597942460673</v>
      </c>
      <c r="K499" s="19" t="n">
        <v>3.1</v>
      </c>
      <c r="L499" s="17" t="n">
        <f aca="false">IF(K499="","",RANK(K499,$K$5:$K$525))</f>
        <v>507</v>
      </c>
      <c r="M499" s="25" t="n">
        <v>0.0825766174801362</v>
      </c>
      <c r="N499" s="19" t="n">
        <v>50.5</v>
      </c>
      <c r="O499" s="17" t="n">
        <f aca="false">IF(N499="","",RANK(N499,$N$5:$N$525))</f>
        <v>257</v>
      </c>
      <c r="P499" s="17" t="str">
        <f aca="false">IF(AND(N(H499)&gt;=N(K499),N(H499)&gt;=N(N499)),"The Pulse",IF(N(K499)&gt;=N(N499),"The Lens","The Hub"))</f>
        <v>The Hub</v>
      </c>
      <c r="Q499" s="20" t="s">
        <v>74</v>
      </c>
      <c r="R499" s="26" t="s">
        <v>822</v>
      </c>
      <c r="S499" s="17" t="s">
        <v>24</v>
      </c>
    </row>
    <row r="500" customFormat="false" ht="15" hidden="false" customHeight="false" outlineLevel="0" collapsed="false">
      <c r="A500" s="17" t="s">
        <v>595</v>
      </c>
      <c r="B500" s="17" t="s">
        <v>596</v>
      </c>
      <c r="C500" s="17" t="s">
        <v>2841</v>
      </c>
      <c r="D500" s="17" t="s">
        <v>95</v>
      </c>
      <c r="E500" s="18" t="n">
        <v>8358</v>
      </c>
      <c r="F500" s="17" t="s">
        <v>825</v>
      </c>
      <c r="G500" s="23" t="n">
        <v>0.347092605886576</v>
      </c>
      <c r="H500" s="19" t="n">
        <v>5.1</v>
      </c>
      <c r="I500" s="17" t="n">
        <f aca="false">IF(H500="","",RANK(H500,$H$5:$H$525))</f>
        <v>496</v>
      </c>
      <c r="J500" s="24" t="n">
        <v>-0.0173994827180814</v>
      </c>
      <c r="K500" s="19" t="n">
        <v>8.8</v>
      </c>
      <c r="L500" s="17" t="n">
        <f aca="false">IF(K500="","",RANK(K500,$K$5:$K$525))</f>
        <v>475</v>
      </c>
      <c r="M500" s="25" t="n">
        <v>0.00668896321070234</v>
      </c>
      <c r="N500" s="19" t="n">
        <v>4.8</v>
      </c>
      <c r="O500" s="17" t="n">
        <f aca="false">IF(N500="","",RANK(N500,$N$5:$N$525))</f>
        <v>497</v>
      </c>
      <c r="P500" s="17" t="str">
        <f aca="false">IF(AND(N(H500)&gt;=N(K500),N(H500)&gt;=N(N500)),"The Pulse",IF(N(K500)&gt;=N(N500),"The Lens","The Hub"))</f>
        <v>The Lens</v>
      </c>
      <c r="Q500" s="21" t="s">
        <v>79</v>
      </c>
      <c r="R500" s="26" t="s">
        <v>822</v>
      </c>
      <c r="S500" s="17" t="s">
        <v>22</v>
      </c>
    </row>
    <row r="501" customFormat="false" ht="15" hidden="false" customHeight="false" outlineLevel="0" collapsed="false">
      <c r="A501" s="17" t="s">
        <v>2842</v>
      </c>
      <c r="B501" s="17" t="s">
        <v>2843</v>
      </c>
      <c r="C501" s="17" t="s">
        <v>2844</v>
      </c>
      <c r="D501" s="17" t="s">
        <v>98</v>
      </c>
      <c r="E501" s="18" t="n">
        <v>241641</v>
      </c>
      <c r="F501" s="17" t="s">
        <v>827</v>
      </c>
      <c r="G501" s="23" t="n">
        <v>0.341692841860446</v>
      </c>
      <c r="H501" s="19" t="n">
        <v>4.9</v>
      </c>
      <c r="I501" s="17" t="n">
        <f aca="false">IF(H501="","",RANK(H501,$H$5:$H$525))</f>
        <v>497</v>
      </c>
      <c r="J501" s="24" t="n">
        <v>0.0992875859810023</v>
      </c>
      <c r="K501" s="19" t="n">
        <v>57.1</v>
      </c>
      <c r="L501" s="17" t="n">
        <f aca="false">IF(K501="","",RANK(K501,$K$5:$K$525))</f>
        <v>223</v>
      </c>
      <c r="M501" s="25" t="n">
        <v>0.107843137254902</v>
      </c>
      <c r="N501" s="19" t="n">
        <v>61.5</v>
      </c>
      <c r="O501" s="17" t="n">
        <f aca="false">IF(N501="","",RANK(N501,$N$5:$N$525))</f>
        <v>201</v>
      </c>
      <c r="P501" s="17" t="str">
        <f aca="false">IF(AND(N(H501)&gt;=N(K501),N(H501)&gt;=N(N501)),"The Pulse",IF(N(K501)&gt;=N(N501),"The Lens","The Hub"))</f>
        <v>The Hub</v>
      </c>
      <c r="Q501" s="21" t="s">
        <v>79</v>
      </c>
      <c r="R501" s="27" t="s">
        <v>832</v>
      </c>
      <c r="S501" s="17" t="s">
        <v>22</v>
      </c>
    </row>
    <row r="502" customFormat="false" ht="15" hidden="false" customHeight="false" outlineLevel="0" collapsed="false">
      <c r="A502" s="17" t="s">
        <v>715</v>
      </c>
      <c r="B502" s="17" t="s">
        <v>716</v>
      </c>
      <c r="C502" s="17" t="s">
        <v>2845</v>
      </c>
      <c r="D502" s="17" t="s">
        <v>91</v>
      </c>
      <c r="E502" s="18" t="n">
        <v>94798</v>
      </c>
      <c r="F502" s="17" t="s">
        <v>821</v>
      </c>
      <c r="G502" s="23" t="n">
        <v>0.334637861558261</v>
      </c>
      <c r="H502" s="19" t="n">
        <v>4.8</v>
      </c>
      <c r="I502" s="17" t="n">
        <f aca="false">IF(H502="","",RANK(H502,$H$5:$H$525))</f>
        <v>498</v>
      </c>
      <c r="J502" s="24" t="n">
        <v>0.163179916317992</v>
      </c>
      <c r="K502" s="19" t="n">
        <v>83.1</v>
      </c>
      <c r="L502" s="17" t="n">
        <f aca="false">IF(K502="","",RANK(K502,$K$5:$K$525))</f>
        <v>92</v>
      </c>
      <c r="M502" s="25" t="n">
        <v>0.0760279286268425</v>
      </c>
      <c r="N502" s="19" t="n">
        <v>47.1</v>
      </c>
      <c r="O502" s="17" t="n">
        <f aca="false">IF(N502="","",RANK(N502,$N$5:$N$525))</f>
        <v>275</v>
      </c>
      <c r="P502" s="17" t="str">
        <f aca="false">IF(AND(N(H502)&gt;=N(K502),N(H502)&gt;=N(N502)),"The Pulse",IF(N(K502)&gt;=N(N502),"The Lens","The Hub"))</f>
        <v>The Lens</v>
      </c>
      <c r="Q502" s="21" t="s">
        <v>79</v>
      </c>
      <c r="R502" s="26" t="s">
        <v>822</v>
      </c>
      <c r="S502" s="17" t="s">
        <v>22</v>
      </c>
    </row>
    <row r="503" customFormat="false" ht="15" hidden="false" customHeight="false" outlineLevel="0" collapsed="false">
      <c r="A503" s="17" t="s">
        <v>2093</v>
      </c>
      <c r="B503" s="17" t="s">
        <v>2094</v>
      </c>
      <c r="C503" s="17" t="s">
        <v>2846</v>
      </c>
      <c r="D503" s="17" t="s">
        <v>72</v>
      </c>
      <c r="E503" s="18" t="n">
        <v>67730</v>
      </c>
      <c r="F503" s="17" t="s">
        <v>821</v>
      </c>
      <c r="G503" s="23" t="n">
        <v>0.325276834489886</v>
      </c>
      <c r="H503" s="19" t="n">
        <v>4.4</v>
      </c>
      <c r="I503" s="17" t="n">
        <f aca="false">IF(H503="","",RANK(H503,$H$5:$H$525))</f>
        <v>499</v>
      </c>
      <c r="J503" s="24" t="n">
        <v>-0.0523296488036939</v>
      </c>
      <c r="K503" s="19" t="n">
        <v>1.9</v>
      </c>
      <c r="L503" s="17" t="n">
        <f aca="false">IF(K503="","",RANK(K503,$K$5:$K$525))</f>
        <v>513</v>
      </c>
      <c r="M503" s="25" t="n">
        <v>0.0436657681940701</v>
      </c>
      <c r="N503" s="19" t="n">
        <v>28.5</v>
      </c>
      <c r="O503" s="17" t="n">
        <f aca="false">IF(N503="","",RANK(N503,$N$5:$N$525))</f>
        <v>374</v>
      </c>
      <c r="P503" s="17" t="str">
        <f aca="false">IF(AND(N(H503)&gt;=N(K503),N(H503)&gt;=N(N503)),"The Pulse",IF(N(K503)&gt;=N(N503),"The Lens","The Hub"))</f>
        <v>The Hub</v>
      </c>
      <c r="Q503" s="20" t="s">
        <v>74</v>
      </c>
      <c r="R503" s="27" t="s">
        <v>832</v>
      </c>
      <c r="S503" s="17" t="s">
        <v>24</v>
      </c>
    </row>
    <row r="504" customFormat="false" ht="15" hidden="false" customHeight="false" outlineLevel="0" collapsed="false">
      <c r="A504" s="17" t="s">
        <v>671</v>
      </c>
      <c r="B504" s="17" t="s">
        <v>672</v>
      </c>
      <c r="C504" s="17" t="s">
        <v>2847</v>
      </c>
      <c r="D504" s="17" t="s">
        <v>162</v>
      </c>
      <c r="E504" s="18" t="n">
        <v>278730</v>
      </c>
      <c r="F504" s="17" t="s">
        <v>827</v>
      </c>
      <c r="G504" s="23" t="n">
        <v>0.316176945431062</v>
      </c>
      <c r="H504" s="19" t="n">
        <v>4.2</v>
      </c>
      <c r="I504" s="17" t="n">
        <f aca="false">IF(H504="","",RANK(H504,$H$5:$H$525))</f>
        <v>500</v>
      </c>
      <c r="J504" s="24" t="n">
        <v>0.0147813740124513</v>
      </c>
      <c r="K504" s="19" t="n">
        <v>18</v>
      </c>
      <c r="L504" s="17" t="n">
        <f aca="false">IF(K504="","",RANK(K504,$K$5:$K$525))</f>
        <v>429</v>
      </c>
      <c r="M504" s="25" t="n">
        <v>0.103158663501917</v>
      </c>
      <c r="N504" s="19" t="n">
        <v>60.2</v>
      </c>
      <c r="O504" s="17" t="n">
        <f aca="false">IF(N504="","",RANK(N504,$N$5:$N$525))</f>
        <v>207</v>
      </c>
      <c r="P504" s="17" t="str">
        <f aca="false">IF(AND(N(H504)&gt;=N(K504),N(H504)&gt;=N(N504)),"The Pulse",IF(N(K504)&gt;=N(N504),"The Lens","The Hub"))</f>
        <v>The Hub</v>
      </c>
      <c r="Q504" s="20" t="s">
        <v>74</v>
      </c>
      <c r="R504" s="26" t="s">
        <v>822</v>
      </c>
      <c r="S504" s="17" t="s">
        <v>24</v>
      </c>
    </row>
    <row r="505" customFormat="false" ht="15" hidden="false" customHeight="false" outlineLevel="0" collapsed="false">
      <c r="A505" s="17" t="s">
        <v>391</v>
      </c>
      <c r="B505" s="17" t="s">
        <v>392</v>
      </c>
      <c r="C505" s="17" t="s">
        <v>2848</v>
      </c>
      <c r="D505" s="17" t="s">
        <v>91</v>
      </c>
      <c r="E505" s="18" t="n">
        <v>28479</v>
      </c>
      <c r="F505" s="17" t="s">
        <v>821</v>
      </c>
      <c r="G505" s="23" t="n">
        <v>0.313178131254609</v>
      </c>
      <c r="H505" s="19" t="n">
        <v>4.1</v>
      </c>
      <c r="I505" s="17" t="n">
        <f aca="false">IF(H505="","",RANK(H505,$H$5:$H$525))</f>
        <v>501</v>
      </c>
      <c r="J505" s="24" t="n">
        <v>0.171204145418654</v>
      </c>
      <c r="K505" s="19" t="n">
        <v>85.7</v>
      </c>
      <c r="L505" s="17" t="n">
        <f aca="false">IF(K505="","",RANK(K505,$K$5:$K$525))</f>
        <v>77</v>
      </c>
      <c r="M505" s="25" t="n">
        <v>0.0176730486008837</v>
      </c>
      <c r="N505" s="19" t="n">
        <v>11.8</v>
      </c>
      <c r="O505" s="17" t="n">
        <f aca="false">IF(N505="","",RANK(N505,$N$5:$N$525))</f>
        <v>460</v>
      </c>
      <c r="P505" s="17" t="str">
        <f aca="false">IF(AND(N(H505)&gt;=N(K505),N(H505)&gt;=N(N505)),"The Pulse",IF(N(K505)&gt;=N(N505),"The Lens","The Hub"))</f>
        <v>The Lens</v>
      </c>
      <c r="Q505" s="21" t="s">
        <v>79</v>
      </c>
      <c r="R505" s="26" t="s">
        <v>822</v>
      </c>
      <c r="S505" s="17" t="s">
        <v>22</v>
      </c>
    </row>
    <row r="506" customFormat="false" ht="15" hidden="false" customHeight="false" outlineLevel="0" collapsed="false">
      <c r="A506" s="17" t="s">
        <v>1393</v>
      </c>
      <c r="B506" s="17" t="s">
        <v>1394</v>
      </c>
      <c r="C506" s="17" t="s">
        <v>2849</v>
      </c>
      <c r="D506" s="17" t="s">
        <v>77</v>
      </c>
      <c r="E506" s="18" t="n">
        <v>90993</v>
      </c>
      <c r="F506" s="17" t="s">
        <v>821</v>
      </c>
      <c r="G506" s="23" t="n">
        <v>0.304506940094293</v>
      </c>
      <c r="H506" s="19" t="n">
        <v>3.9</v>
      </c>
      <c r="I506" s="17" t="n">
        <f aca="false">IF(H506="","",RANK(H506,$H$5:$H$525))</f>
        <v>502</v>
      </c>
      <c r="J506" s="24" t="n">
        <v>0.230316797144364</v>
      </c>
      <c r="K506" s="19" t="n">
        <v>95.8</v>
      </c>
      <c r="L506" s="17" t="n">
        <f aca="false">IF(K506="","",RANK(K506,$K$5:$K$525))</f>
        <v>26</v>
      </c>
      <c r="M506" s="25" t="n">
        <v>0.0343035343035343</v>
      </c>
      <c r="N506" s="19" t="n">
        <v>22.6</v>
      </c>
      <c r="O506" s="17" t="n">
        <f aca="false">IF(N506="","",RANK(N506,$N$5:$N$525))</f>
        <v>406</v>
      </c>
      <c r="P506" s="17" t="str">
        <f aca="false">IF(AND(N(H506)&gt;=N(K506),N(H506)&gt;=N(N506)),"The Pulse",IF(N(K506)&gt;=N(N506),"The Lens","The Hub"))</f>
        <v>The Lens</v>
      </c>
      <c r="Q506" s="21" t="s">
        <v>79</v>
      </c>
      <c r="R506" s="27" t="s">
        <v>832</v>
      </c>
      <c r="S506" s="17" t="s">
        <v>22</v>
      </c>
    </row>
    <row r="507" customFormat="false" ht="15" hidden="false" customHeight="false" outlineLevel="0" collapsed="false">
      <c r="A507" s="17" t="s">
        <v>471</v>
      </c>
      <c r="B507" s="17" t="s">
        <v>472</v>
      </c>
      <c r="C507" s="17" t="s">
        <v>2850</v>
      </c>
      <c r="D507" s="17" t="s">
        <v>115</v>
      </c>
      <c r="E507" s="18" t="n">
        <v>640</v>
      </c>
      <c r="F507" s="17" t="s">
        <v>825</v>
      </c>
      <c r="G507" s="23" t="n">
        <v>0.303125</v>
      </c>
      <c r="H507" s="19" t="n">
        <v>3.7</v>
      </c>
      <c r="I507" s="17" t="n">
        <f aca="false">IF(H507="","",RANK(H507,$H$5:$H$525))</f>
        <v>503</v>
      </c>
      <c r="J507" s="24" t="n">
        <v>-0.0548148148148148</v>
      </c>
      <c r="K507" s="19" t="n">
        <v>2.5</v>
      </c>
      <c r="L507" s="17" t="n">
        <f aca="false">IF(K507="","",RANK(K507,$K$5:$K$525))</f>
        <v>510</v>
      </c>
      <c r="M507" s="25" t="n">
        <v>0</v>
      </c>
      <c r="N507" s="19" t="n">
        <v>0.9</v>
      </c>
      <c r="O507" s="17" t="n">
        <f aca="false">IF(N507="","",RANK(N507,$N$5:$N$525))</f>
        <v>514</v>
      </c>
      <c r="P507" s="17" t="str">
        <f aca="false">IF(AND(N(H507)&gt;=N(K507),N(H507)&gt;=N(N507)),"The Pulse",IF(N(K507)&gt;=N(N507),"The Lens","The Hub"))</f>
        <v>The Pulse</v>
      </c>
      <c r="Q507" s="21" t="s">
        <v>79</v>
      </c>
      <c r="R507" s="26" t="s">
        <v>822</v>
      </c>
      <c r="S507" s="17" t="s">
        <v>88</v>
      </c>
    </row>
    <row r="508" customFormat="false" ht="15" hidden="false" customHeight="false" outlineLevel="0" collapsed="false">
      <c r="A508" s="17" t="s">
        <v>787</v>
      </c>
      <c r="B508" s="17" t="s">
        <v>788</v>
      </c>
      <c r="C508" s="17" t="s">
        <v>2851</v>
      </c>
      <c r="D508" s="17" t="s">
        <v>77</v>
      </c>
      <c r="E508" s="18" t="n">
        <v>206926</v>
      </c>
      <c r="F508" s="17" t="s">
        <v>827</v>
      </c>
      <c r="G508" s="23" t="n">
        <v>0.300924001817075</v>
      </c>
      <c r="H508" s="19" t="n">
        <v>3.5</v>
      </c>
      <c r="I508" s="17" t="n">
        <f aca="false">IF(H508="","",RANK(H508,$H$5:$H$525))</f>
        <v>504</v>
      </c>
      <c r="J508" s="24" t="n">
        <v>0.0237627583204287</v>
      </c>
      <c r="K508" s="19" t="n">
        <v>20.5</v>
      </c>
      <c r="L508" s="17" t="n">
        <f aca="false">IF(K508="","",RANK(K508,$K$5:$K$525))</f>
        <v>417</v>
      </c>
      <c r="M508" s="25" t="n">
        <v>0.0176600441501104</v>
      </c>
      <c r="N508" s="19" t="n">
        <v>11.6</v>
      </c>
      <c r="O508" s="17" t="n">
        <f aca="false">IF(N508="","",RANK(N508,$N$5:$N$525))</f>
        <v>461</v>
      </c>
      <c r="P508" s="17" t="str">
        <f aca="false">IF(AND(N(H508)&gt;=N(K508),N(H508)&gt;=N(N508)),"The Pulse",IF(N(K508)&gt;=N(N508),"The Lens","The Hub"))</f>
        <v>The Lens</v>
      </c>
      <c r="Q508" s="21" t="s">
        <v>79</v>
      </c>
      <c r="R508" s="26" t="s">
        <v>822</v>
      </c>
      <c r="S508" s="17" t="s">
        <v>22</v>
      </c>
    </row>
    <row r="509" customFormat="false" ht="15" hidden="false" customHeight="false" outlineLevel="0" collapsed="false">
      <c r="A509" s="17" t="s">
        <v>2852</v>
      </c>
      <c r="B509" s="17" t="s">
        <v>2853</v>
      </c>
      <c r="C509" s="17" t="s">
        <v>2854</v>
      </c>
      <c r="D509" s="17" t="s">
        <v>72</v>
      </c>
      <c r="E509" s="18" t="n">
        <v>42516</v>
      </c>
      <c r="F509" s="17" t="s">
        <v>821</v>
      </c>
      <c r="G509" s="23" t="n">
        <v>0.29233700254022</v>
      </c>
      <c r="H509" s="19" t="n">
        <v>3.4</v>
      </c>
      <c r="I509" s="17" t="n">
        <f aca="false">IF(H509="","",RANK(H509,$H$5:$H$525))</f>
        <v>505</v>
      </c>
      <c r="J509" s="24" t="n">
        <v>0.0400958974484429</v>
      </c>
      <c r="K509" s="19" t="n">
        <v>24</v>
      </c>
      <c r="L509" s="17" t="n">
        <f aca="false">IF(K509="","",RANK(K509,$K$5:$K$525))</f>
        <v>397</v>
      </c>
      <c r="M509" s="25" t="n">
        <v>0.114705882352941</v>
      </c>
      <c r="N509" s="19" t="n">
        <v>64</v>
      </c>
      <c r="O509" s="17" t="n">
        <f aca="false">IF(N509="","",RANK(N509,$N$5:$N$525))</f>
        <v>187</v>
      </c>
      <c r="P509" s="17" t="str">
        <f aca="false">IF(AND(N(H509)&gt;=N(K509),N(H509)&gt;=N(N509)),"The Pulse",IF(N(K509)&gt;=N(N509),"The Lens","The Hub"))</f>
        <v>The Hub</v>
      </c>
      <c r="Q509" s="21" t="s">
        <v>79</v>
      </c>
      <c r="R509" s="27" t="s">
        <v>832</v>
      </c>
      <c r="S509" s="17" t="s">
        <v>22</v>
      </c>
    </row>
    <row r="510" customFormat="false" ht="15" hidden="false" customHeight="false" outlineLevel="0" collapsed="false">
      <c r="A510" s="17" t="s">
        <v>523</v>
      </c>
      <c r="B510" s="17" t="s">
        <v>524</v>
      </c>
      <c r="C510" s="17" t="s">
        <v>2855</v>
      </c>
      <c r="D510" s="17" t="s">
        <v>162</v>
      </c>
      <c r="E510" s="18" t="n">
        <v>51719</v>
      </c>
      <c r="F510" s="17" t="s">
        <v>821</v>
      </c>
      <c r="G510" s="23" t="n">
        <v>0.290299503083973</v>
      </c>
      <c r="H510" s="19" t="n">
        <v>3.2</v>
      </c>
      <c r="I510" s="17" t="n">
        <f aca="false">IF(H510="","",RANK(H510,$H$5:$H$525))</f>
        <v>506</v>
      </c>
      <c r="J510" s="24" t="n">
        <v>0.0525041209629826</v>
      </c>
      <c r="K510" s="19" t="n">
        <v>29.2</v>
      </c>
      <c r="L510" s="17" t="n">
        <f aca="false">IF(K510="","",RANK(K510,$K$5:$K$525))</f>
        <v>369</v>
      </c>
      <c r="M510" s="25" t="n">
        <v>0.0648275862068966</v>
      </c>
      <c r="N510" s="19" t="n">
        <v>41.6</v>
      </c>
      <c r="O510" s="17" t="n">
        <f aca="false">IF(N510="","",RANK(N510,$N$5:$N$525))</f>
        <v>304</v>
      </c>
      <c r="P510" s="17" t="str">
        <f aca="false">IF(AND(N(H510)&gt;=N(K510),N(H510)&gt;=N(N510)),"The Pulse",IF(N(K510)&gt;=N(N510),"The Lens","The Hub"))</f>
        <v>The Hub</v>
      </c>
      <c r="Q510" s="21" t="s">
        <v>79</v>
      </c>
      <c r="R510" s="26" t="s">
        <v>822</v>
      </c>
      <c r="S510" s="17" t="s">
        <v>22</v>
      </c>
    </row>
    <row r="511" customFormat="false" ht="15" hidden="false" customHeight="false" outlineLevel="0" collapsed="false">
      <c r="A511" s="17" t="s">
        <v>1282</v>
      </c>
      <c r="B511" s="17" t="s">
        <v>1283</v>
      </c>
      <c r="C511" s="17" t="s">
        <v>2856</v>
      </c>
      <c r="D511" s="17" t="s">
        <v>72</v>
      </c>
      <c r="E511" s="18" t="n">
        <v>147390</v>
      </c>
      <c r="F511" s="17" t="s">
        <v>827</v>
      </c>
      <c r="G511" s="23" t="n">
        <v>0.284822579550852</v>
      </c>
      <c r="H511" s="19" t="n">
        <v>3</v>
      </c>
      <c r="I511" s="17" t="n">
        <f aca="false">IF(H511="","",RANK(H511,$H$5:$H$525))</f>
        <v>507</v>
      </c>
      <c r="J511" s="24" t="n">
        <v>-0.0437169106197446</v>
      </c>
      <c r="K511" s="19" t="n">
        <v>6.2</v>
      </c>
      <c r="L511" s="17" t="n">
        <f aca="false">IF(K511="","",RANK(K511,$K$5:$K$525))</f>
        <v>489</v>
      </c>
      <c r="M511" s="25" t="n">
        <v>0.278552278820375</v>
      </c>
      <c r="N511" s="19" t="n">
        <v>95.3</v>
      </c>
      <c r="O511" s="17" t="n">
        <f aca="false">IF(N511="","",RANK(N511,$N$5:$N$525))</f>
        <v>24</v>
      </c>
      <c r="P511" s="17" t="str">
        <f aca="false">IF(AND(N(H511)&gt;=N(K511),N(H511)&gt;=N(N511)),"The Pulse",IF(N(K511)&gt;=N(N511),"The Lens","The Hub"))</f>
        <v>The Hub</v>
      </c>
      <c r="Q511" s="21" t="s">
        <v>79</v>
      </c>
      <c r="R511" s="27" t="s">
        <v>832</v>
      </c>
      <c r="S511" s="17" t="s">
        <v>88</v>
      </c>
    </row>
    <row r="512" customFormat="false" ht="15" hidden="false" customHeight="false" outlineLevel="0" collapsed="false">
      <c r="A512" s="17" t="s">
        <v>801</v>
      </c>
      <c r="B512" s="17" t="s">
        <v>802</v>
      </c>
      <c r="C512" s="17" t="s">
        <v>2857</v>
      </c>
      <c r="D512" s="17" t="s">
        <v>123</v>
      </c>
      <c r="E512" s="18" t="n">
        <v>73905</v>
      </c>
      <c r="F512" s="17" t="s">
        <v>821</v>
      </c>
      <c r="G512" s="23" t="n">
        <v>0.2844327176781</v>
      </c>
      <c r="H512" s="19" t="n">
        <v>2.8</v>
      </c>
      <c r="I512" s="17" t="n">
        <f aca="false">IF(H512="","",RANK(H512,$H$5:$H$525))</f>
        <v>508</v>
      </c>
      <c r="J512" s="24" t="n">
        <v>0.061030235162374</v>
      </c>
      <c r="K512" s="19" t="n">
        <v>33.1</v>
      </c>
      <c r="L512" s="17" t="n">
        <f aca="false">IF(K512="","",RANK(K512,$K$5:$K$525))</f>
        <v>350</v>
      </c>
      <c r="M512" s="25" t="n">
        <v>0.019672131147541</v>
      </c>
      <c r="N512" s="19" t="n">
        <v>13.3</v>
      </c>
      <c r="O512" s="17" t="n">
        <f aca="false">IF(N512="","",RANK(N512,$N$5:$N$525))</f>
        <v>453</v>
      </c>
      <c r="P512" s="17" t="str">
        <f aca="false">IF(AND(N(H512)&gt;=N(K512),N(H512)&gt;=N(N512)),"The Pulse",IF(N(K512)&gt;=N(N512),"The Lens","The Hub"))</f>
        <v>The Lens</v>
      </c>
      <c r="Q512" s="22" t="s">
        <v>109</v>
      </c>
      <c r="R512" s="26" t="s">
        <v>822</v>
      </c>
      <c r="S512" s="17" t="s">
        <v>110</v>
      </c>
    </row>
    <row r="513" customFormat="false" ht="15" hidden="false" customHeight="false" outlineLevel="0" collapsed="false">
      <c r="A513" s="17" t="s">
        <v>1373</v>
      </c>
      <c r="B513" s="17" t="s">
        <v>1374</v>
      </c>
      <c r="C513" s="17" t="s">
        <v>2858</v>
      </c>
      <c r="D513" s="17" t="s">
        <v>72</v>
      </c>
      <c r="E513" s="18" t="n">
        <v>28985</v>
      </c>
      <c r="F513" s="17" t="s">
        <v>821</v>
      </c>
      <c r="G513" s="23" t="n">
        <v>0.282594445402795</v>
      </c>
      <c r="H513" s="19" t="n">
        <v>2.6</v>
      </c>
      <c r="I513" s="17" t="n">
        <f aca="false">IF(H513="","",RANK(H513,$H$5:$H$525))</f>
        <v>509</v>
      </c>
      <c r="J513" s="24" t="n">
        <v>0.021173900789177</v>
      </c>
      <c r="K513" s="19" t="n">
        <v>16.6</v>
      </c>
      <c r="L513" s="17" t="n">
        <f aca="false">IF(K513="","",RANK(K513,$K$5:$K$525))</f>
        <v>437</v>
      </c>
      <c r="M513" s="25" t="n">
        <v>0.234104046242775</v>
      </c>
      <c r="N513" s="19" t="n">
        <v>90.9</v>
      </c>
      <c r="O513" s="17" t="n">
        <f aca="false">IF(N513="","",RANK(N513,$N$5:$N$525))</f>
        <v>49</v>
      </c>
      <c r="P513" s="17" t="str">
        <f aca="false">IF(AND(N(H513)&gt;=N(K513),N(H513)&gt;=N(N513)),"The Pulse",IF(N(K513)&gt;=N(N513),"The Lens","The Hub"))</f>
        <v>The Hub</v>
      </c>
      <c r="Q513" s="21" t="s">
        <v>79</v>
      </c>
      <c r="R513" s="27" t="s">
        <v>832</v>
      </c>
      <c r="S513" s="17" t="s">
        <v>22</v>
      </c>
    </row>
    <row r="514" customFormat="false" ht="15" hidden="false" customHeight="false" outlineLevel="0" collapsed="false">
      <c r="A514" s="17" t="s">
        <v>803</v>
      </c>
      <c r="B514" s="17" t="s">
        <v>804</v>
      </c>
      <c r="C514" s="17" t="s">
        <v>2859</v>
      </c>
      <c r="D514" s="17" t="s">
        <v>86</v>
      </c>
      <c r="E514" s="18" t="n">
        <v>35200</v>
      </c>
      <c r="F514" s="17" t="s">
        <v>821</v>
      </c>
      <c r="G514" s="23" t="n">
        <v>0.272755681818182</v>
      </c>
      <c r="H514" s="19" t="n">
        <v>2.5</v>
      </c>
      <c r="I514" s="17" t="n">
        <f aca="false">IF(H514="","",RANK(H514,$H$5:$H$525))</f>
        <v>510</v>
      </c>
      <c r="J514" s="24" t="n">
        <v>0.0884353741496599</v>
      </c>
      <c r="K514" s="19" t="n">
        <v>46.8</v>
      </c>
      <c r="L514" s="17" t="n">
        <f aca="false">IF(K514="","",RANK(K514,$K$5:$K$525))</f>
        <v>277</v>
      </c>
      <c r="M514" s="25" t="n">
        <v>0.0642201834862385</v>
      </c>
      <c r="N514" s="19" t="n">
        <v>40.7</v>
      </c>
      <c r="O514" s="17" t="n">
        <f aca="false">IF(N514="","",RANK(N514,$N$5:$N$525))</f>
        <v>309</v>
      </c>
      <c r="P514" s="17" t="str">
        <f aca="false">IF(AND(N(H514)&gt;=N(K514),N(H514)&gt;=N(N514)),"The Pulse",IF(N(K514)&gt;=N(N514),"The Lens","The Hub"))</f>
        <v>The Lens</v>
      </c>
      <c r="Q514" s="21" t="s">
        <v>79</v>
      </c>
      <c r="R514" s="26" t="s">
        <v>822</v>
      </c>
      <c r="S514" s="17" t="s">
        <v>88</v>
      </c>
    </row>
    <row r="515" customFormat="false" ht="15" hidden="false" customHeight="false" outlineLevel="0" collapsed="false">
      <c r="A515" s="17" t="s">
        <v>627</v>
      </c>
      <c r="B515" s="17" t="s">
        <v>628</v>
      </c>
      <c r="C515" s="17" t="s">
        <v>2860</v>
      </c>
      <c r="D515" s="17" t="s">
        <v>162</v>
      </c>
      <c r="E515" s="18" t="n">
        <v>1290</v>
      </c>
      <c r="F515" s="17" t="s">
        <v>825</v>
      </c>
      <c r="G515" s="23" t="n">
        <v>0.268992248062016</v>
      </c>
      <c r="H515" s="19" t="n">
        <v>2.3</v>
      </c>
      <c r="I515" s="17" t="n">
        <f aca="false">IF(H515="","",RANK(H515,$H$5:$H$525))</f>
        <v>511</v>
      </c>
      <c r="J515" s="24" t="n">
        <v>0.136878814298169</v>
      </c>
      <c r="K515" s="19" t="n">
        <v>61.3</v>
      </c>
      <c r="L515" s="17" t="n">
        <f aca="false">IF(K515="","",RANK(K515,$K$5:$K$525))</f>
        <v>202</v>
      </c>
      <c r="M515" s="25" t="n">
        <v>0</v>
      </c>
      <c r="N515" s="19" t="n">
        <v>0.9</v>
      </c>
      <c r="O515" s="17" t="n">
        <f aca="false">IF(N515="","",RANK(N515,$N$5:$N$525))</f>
        <v>514</v>
      </c>
      <c r="P515" s="17" t="str">
        <f aca="false">IF(AND(N(H515)&gt;=N(K515),N(H515)&gt;=N(N515)),"The Pulse",IF(N(K515)&gt;=N(N515),"The Lens","The Hub"))</f>
        <v>The Lens</v>
      </c>
      <c r="Q515" s="21" t="s">
        <v>79</v>
      </c>
      <c r="R515" s="26" t="s">
        <v>822</v>
      </c>
      <c r="S515" s="17" t="s">
        <v>88</v>
      </c>
    </row>
    <row r="516" customFormat="false" ht="15" hidden="false" customHeight="false" outlineLevel="0" collapsed="false">
      <c r="A516" s="17" t="s">
        <v>2861</v>
      </c>
      <c r="B516" s="17" t="s">
        <v>2862</v>
      </c>
      <c r="C516" s="17" t="s">
        <v>2863</v>
      </c>
      <c r="D516" s="17" t="s">
        <v>82</v>
      </c>
      <c r="E516" s="18" t="n">
        <v>71299</v>
      </c>
      <c r="F516" s="17" t="s">
        <v>821</v>
      </c>
      <c r="G516" s="23" t="n">
        <v>0.259218221854444</v>
      </c>
      <c r="H516" s="19" t="n">
        <v>2.1</v>
      </c>
      <c r="I516" s="17" t="n">
        <f aca="false">IF(H516="","",RANK(H516,$H$5:$H$525))</f>
        <v>512</v>
      </c>
      <c r="J516" s="24" t="n">
        <v>0.103033772180882</v>
      </c>
      <c r="K516" s="19" t="n">
        <v>54.2</v>
      </c>
      <c r="L516" s="17" t="n">
        <f aca="false">IF(K516="","",RANK(K516,$K$5:$K$525))</f>
        <v>239</v>
      </c>
      <c r="M516" s="25" t="n">
        <v>0.127777777777778</v>
      </c>
      <c r="N516" s="19" t="n">
        <v>67.6</v>
      </c>
      <c r="O516" s="17" t="n">
        <f aca="false">IF(N516="","",RANK(N516,$N$5:$N$525))</f>
        <v>167</v>
      </c>
      <c r="P516" s="17" t="str">
        <f aca="false">IF(AND(N(H516)&gt;=N(K516),N(H516)&gt;=N(N516)),"The Pulse",IF(N(K516)&gt;=N(N516),"The Lens","The Hub"))</f>
        <v>The Hub</v>
      </c>
      <c r="Q516" s="21" t="s">
        <v>79</v>
      </c>
      <c r="R516" s="27" t="s">
        <v>832</v>
      </c>
      <c r="S516" s="17" t="s">
        <v>22</v>
      </c>
    </row>
    <row r="517" customFormat="false" ht="15" hidden="false" customHeight="false" outlineLevel="0" collapsed="false">
      <c r="A517" s="17" t="s">
        <v>1130</v>
      </c>
      <c r="B517" s="17" t="s">
        <v>1131</v>
      </c>
      <c r="C517" s="17" t="s">
        <v>2864</v>
      </c>
      <c r="D517" s="17" t="s">
        <v>115</v>
      </c>
      <c r="E517" s="18" t="n">
        <v>32580</v>
      </c>
      <c r="F517" s="17" t="s">
        <v>821</v>
      </c>
      <c r="G517" s="23" t="n">
        <v>0.259108087679516</v>
      </c>
      <c r="H517" s="19" t="n">
        <v>1.9</v>
      </c>
      <c r="I517" s="17" t="n">
        <f aca="false">IF(H517="","",RANK(H517,$H$5:$H$525))</f>
        <v>513</v>
      </c>
      <c r="J517" s="24" t="n">
        <v>0.119972499140598</v>
      </c>
      <c r="K517" s="19" t="n">
        <v>62.7</v>
      </c>
      <c r="L517" s="17" t="n">
        <f aca="false">IF(K517="","",RANK(K517,$K$5:$K$525))</f>
        <v>194</v>
      </c>
      <c r="M517" s="25" t="n">
        <v>0.041407867494824</v>
      </c>
      <c r="N517" s="19" t="n">
        <v>26.9</v>
      </c>
      <c r="O517" s="17" t="n">
        <f aca="false">IF(N517="","",RANK(N517,$N$5:$N$525))</f>
        <v>382</v>
      </c>
      <c r="P517" s="17" t="str">
        <f aca="false">IF(AND(N(H517)&gt;=N(K517),N(H517)&gt;=N(N517)),"The Pulse",IF(N(K517)&gt;=N(N517),"The Lens","The Hub"))</f>
        <v>The Lens</v>
      </c>
      <c r="Q517" s="21" t="s">
        <v>79</v>
      </c>
      <c r="R517" s="27" t="s">
        <v>832</v>
      </c>
      <c r="S517" s="17" t="s">
        <v>88</v>
      </c>
    </row>
    <row r="518" customFormat="false" ht="15" hidden="false" customHeight="false" outlineLevel="0" collapsed="false">
      <c r="A518" s="17" t="s">
        <v>925</v>
      </c>
      <c r="B518" s="17" t="s">
        <v>926</v>
      </c>
      <c r="C518" s="17" t="s">
        <v>2865</v>
      </c>
      <c r="D518" s="17" t="s">
        <v>72</v>
      </c>
      <c r="E518" s="18" t="n">
        <v>222650</v>
      </c>
      <c r="F518" s="17" t="s">
        <v>827</v>
      </c>
      <c r="G518" s="23" t="n">
        <v>0.243722935846585</v>
      </c>
      <c r="H518" s="19" t="n">
        <v>1.8</v>
      </c>
      <c r="I518" s="17" t="n">
        <f aca="false">IF(H518="","",RANK(H518,$H$5:$H$525))</f>
        <v>514</v>
      </c>
      <c r="J518" s="24" t="n">
        <v>0.150527077304671</v>
      </c>
      <c r="K518" s="19" t="n">
        <v>83.2</v>
      </c>
      <c r="L518" s="17" t="n">
        <f aca="false">IF(K518="","",RANK(K518,$K$5:$K$525))</f>
        <v>91</v>
      </c>
      <c r="M518" s="25" t="n">
        <v>0.110574601641719</v>
      </c>
      <c r="N518" s="19" t="n">
        <v>62.5</v>
      </c>
      <c r="O518" s="17" t="n">
        <f aca="false">IF(N518="","",RANK(N518,$N$5:$N$525))</f>
        <v>195</v>
      </c>
      <c r="P518" s="17" t="str">
        <f aca="false">IF(AND(N(H518)&gt;=N(K518),N(H518)&gt;=N(N518)),"The Pulse",IF(N(K518)&gt;=N(N518),"The Lens","The Hub"))</f>
        <v>The Lens</v>
      </c>
      <c r="Q518" s="21" t="s">
        <v>79</v>
      </c>
      <c r="R518" s="27" t="s">
        <v>832</v>
      </c>
      <c r="S518" s="17" t="s">
        <v>88</v>
      </c>
    </row>
    <row r="519" customFormat="false" ht="15" hidden="false" customHeight="false" outlineLevel="0" collapsed="false">
      <c r="A519" s="17" t="s">
        <v>637</v>
      </c>
      <c r="B519" s="17" t="s">
        <v>638</v>
      </c>
      <c r="C519" s="17" t="s">
        <v>2866</v>
      </c>
      <c r="D519" s="17" t="s">
        <v>77</v>
      </c>
      <c r="E519" s="18" t="n">
        <v>190350</v>
      </c>
      <c r="F519" s="17" t="s">
        <v>827</v>
      </c>
      <c r="G519" s="23" t="n">
        <v>0.242889414236932</v>
      </c>
      <c r="H519" s="19" t="n">
        <v>1.6</v>
      </c>
      <c r="I519" s="17" t="n">
        <f aca="false">IF(H519="","",RANK(H519,$H$5:$H$525))</f>
        <v>515</v>
      </c>
      <c r="J519" s="24" t="n">
        <v>0.0132545512615778</v>
      </c>
      <c r="K519" s="19" t="n">
        <v>15.5</v>
      </c>
      <c r="L519" s="17" t="n">
        <f aca="false">IF(K519="","",RANK(K519,$K$5:$K$525))</f>
        <v>443</v>
      </c>
      <c r="M519" s="25" t="n">
        <v>0.318485523385301</v>
      </c>
      <c r="N519" s="19" t="n">
        <v>97.3</v>
      </c>
      <c r="O519" s="17" t="n">
        <f aca="false">IF(N519="","",RANK(N519,$N$5:$N$525))</f>
        <v>14</v>
      </c>
      <c r="P519" s="17" t="str">
        <f aca="false">IF(AND(N(H519)&gt;=N(K519),N(H519)&gt;=N(N519)),"The Pulse",IF(N(K519)&gt;=N(N519),"The Lens","The Hub"))</f>
        <v>The Hub</v>
      </c>
      <c r="Q519" s="20" t="s">
        <v>74</v>
      </c>
      <c r="R519" s="26" t="s">
        <v>822</v>
      </c>
      <c r="S519" s="17" t="s">
        <v>24</v>
      </c>
    </row>
    <row r="520" customFormat="false" ht="15" hidden="false" customHeight="false" outlineLevel="0" collapsed="false">
      <c r="A520" s="17" t="s">
        <v>1181</v>
      </c>
      <c r="B520" s="17" t="s">
        <v>1182</v>
      </c>
      <c r="C520" s="17" t="s">
        <v>2867</v>
      </c>
      <c r="D520" s="17" t="s">
        <v>115</v>
      </c>
      <c r="E520" s="18" t="n">
        <v>18800</v>
      </c>
      <c r="F520" s="17" t="s">
        <v>821</v>
      </c>
      <c r="G520" s="23" t="n">
        <v>0.228882978723404</v>
      </c>
      <c r="H520" s="19" t="n">
        <v>1.2</v>
      </c>
      <c r="I520" s="17" t="n">
        <f aca="false">IF(H520="","",RANK(H520,$H$5:$H$525))</f>
        <v>516</v>
      </c>
      <c r="J520" s="24" t="n">
        <v>0.0273224043715847</v>
      </c>
      <c r="K520" s="19" t="n">
        <v>20.5</v>
      </c>
      <c r="L520" s="17" t="n">
        <f aca="false">IF(K520="","",RANK(K520,$K$5:$K$525))</f>
        <v>417</v>
      </c>
      <c r="M520" s="25" t="n">
        <v>0.267857142857143</v>
      </c>
      <c r="N520" s="19" t="n">
        <v>93.7</v>
      </c>
      <c r="O520" s="17" t="n">
        <f aca="false">IF(N520="","",RANK(N520,$N$5:$N$525))</f>
        <v>33</v>
      </c>
      <c r="P520" s="17" t="str">
        <f aca="false">IF(AND(N(H520)&gt;=N(K520),N(H520)&gt;=N(N520)),"The Pulse",IF(N(K520)&gt;=N(N520),"The Lens","The Hub"))</f>
        <v>The Hub</v>
      </c>
      <c r="Q520" s="20" t="s">
        <v>74</v>
      </c>
      <c r="R520" s="27" t="s">
        <v>832</v>
      </c>
      <c r="S520" s="17" t="s">
        <v>24</v>
      </c>
    </row>
    <row r="521" customFormat="false" ht="15" hidden="false" customHeight="false" outlineLevel="0" collapsed="false">
      <c r="A521" s="17" t="s">
        <v>591</v>
      </c>
      <c r="B521" s="17" t="s">
        <v>592</v>
      </c>
      <c r="C521" s="17" t="s">
        <v>2868</v>
      </c>
      <c r="D521" s="17" t="s">
        <v>86</v>
      </c>
      <c r="E521" s="18" t="n">
        <v>113703</v>
      </c>
      <c r="F521" s="17" t="s">
        <v>827</v>
      </c>
      <c r="G521" s="23" t="n">
        <v>0.212052452441888</v>
      </c>
      <c r="H521" s="19" t="n">
        <v>1.1</v>
      </c>
      <c r="I521" s="17" t="n">
        <f aca="false">IF(H521="","",RANK(H521,$H$5:$H$525))</f>
        <v>517</v>
      </c>
      <c r="J521" s="24" t="n">
        <v>-0.0618564356435644</v>
      </c>
      <c r="K521" s="19" t="n">
        <v>3.7</v>
      </c>
      <c r="L521" s="17" t="n">
        <f aca="false">IF(K521="","",RANK(K521,$K$5:$K$525))</f>
        <v>504</v>
      </c>
      <c r="M521" s="25" t="n">
        <v>0.0219354838709677</v>
      </c>
      <c r="N521" s="19" t="n">
        <v>15.1</v>
      </c>
      <c r="O521" s="17" t="n">
        <f aca="false">IF(N521="","",RANK(N521,$N$5:$N$525))</f>
        <v>443</v>
      </c>
      <c r="P521" s="17" t="str">
        <f aca="false">IF(AND(N(H521)&gt;=N(K521),N(H521)&gt;=N(N521)),"The Pulse",IF(N(K521)&gt;=N(N521),"The Lens","The Hub"))</f>
        <v>The Hub</v>
      </c>
      <c r="Q521" s="21" t="s">
        <v>79</v>
      </c>
      <c r="R521" s="26" t="s">
        <v>822</v>
      </c>
      <c r="S521" s="17" t="s">
        <v>22</v>
      </c>
    </row>
    <row r="522" customFormat="false" ht="15" hidden="false" customHeight="false" outlineLevel="0" collapsed="false">
      <c r="A522" s="17" t="s">
        <v>807</v>
      </c>
      <c r="B522" s="17" t="s">
        <v>808</v>
      </c>
      <c r="C522" s="17" t="s">
        <v>2869</v>
      </c>
      <c r="D522" s="17" t="s">
        <v>115</v>
      </c>
      <c r="E522" s="18" t="n">
        <v>23846</v>
      </c>
      <c r="F522" s="17" t="s">
        <v>821</v>
      </c>
      <c r="G522" s="23" t="n">
        <v>0.205485196678688</v>
      </c>
      <c r="H522" s="19" t="n">
        <v>0.9</v>
      </c>
      <c r="I522" s="17" t="n">
        <f aca="false">IF(H522="","",RANK(H522,$H$5:$H$525))</f>
        <v>518</v>
      </c>
      <c r="J522" s="24" t="n">
        <v>0.14150311153662</v>
      </c>
      <c r="K522" s="19" t="n">
        <v>72.4</v>
      </c>
      <c r="L522" s="17" t="n">
        <f aca="false">IF(K522="","",RANK(K522,$K$5:$K$525))</f>
        <v>147</v>
      </c>
      <c r="M522" s="25" t="n">
        <v>0.0864864864864865</v>
      </c>
      <c r="N522" s="19" t="n">
        <v>52.9</v>
      </c>
      <c r="O522" s="17" t="n">
        <f aca="false">IF(N522="","",RANK(N522,$N$5:$N$525))</f>
        <v>245</v>
      </c>
      <c r="P522" s="17" t="str">
        <f aca="false">IF(AND(N(H522)&gt;=N(K522),N(H522)&gt;=N(N522)),"The Pulse",IF(N(K522)&gt;=N(N522),"The Lens","The Hub"))</f>
        <v>The Lens</v>
      </c>
      <c r="Q522" s="21" t="s">
        <v>79</v>
      </c>
      <c r="R522" s="26" t="s">
        <v>822</v>
      </c>
      <c r="S522" s="17" t="s">
        <v>22</v>
      </c>
    </row>
    <row r="523" customFormat="false" ht="15" hidden="false" customHeight="false" outlineLevel="0" collapsed="false">
      <c r="A523" s="17" t="s">
        <v>2049</v>
      </c>
      <c r="B523" s="17" t="s">
        <v>2050</v>
      </c>
      <c r="C523" s="17" t="s">
        <v>2870</v>
      </c>
      <c r="D523" s="17" t="s">
        <v>98</v>
      </c>
      <c r="E523" s="18" t="n">
        <v>156480</v>
      </c>
      <c r="F523" s="17" t="s">
        <v>827</v>
      </c>
      <c r="G523" s="23" t="n">
        <v>0.195903629856851</v>
      </c>
      <c r="H523" s="19" t="n">
        <v>0.5</v>
      </c>
      <c r="I523" s="17" t="n">
        <f aca="false">IF(H523="","",RANK(H523,$H$5:$H$525))</f>
        <v>519</v>
      </c>
      <c r="J523" s="24" t="n">
        <v>0.0155763239875389</v>
      </c>
      <c r="K523" s="19" t="n">
        <v>18.6</v>
      </c>
      <c r="L523" s="17" t="n">
        <f aca="false">IF(K523="","",RANK(K523,$K$5:$K$525))</f>
        <v>427</v>
      </c>
      <c r="M523" s="25" t="n">
        <v>0.560606060606061</v>
      </c>
      <c r="N523" s="19" t="n">
        <v>100</v>
      </c>
      <c r="O523" s="17" t="n">
        <f aca="false">IF(N523="","",RANK(N523,$N$5:$N$525))</f>
        <v>1</v>
      </c>
      <c r="P523" s="17" t="str">
        <f aca="false">IF(AND(N(H523)&gt;=N(K523),N(H523)&gt;=N(N523)),"The Pulse",IF(N(K523)&gt;=N(N523),"The Lens","The Hub"))</f>
        <v>The Hub</v>
      </c>
      <c r="Q523" s="20" t="s">
        <v>74</v>
      </c>
      <c r="R523" s="27" t="s">
        <v>832</v>
      </c>
      <c r="S523" s="17" t="s">
        <v>24</v>
      </c>
    </row>
    <row r="524" customFormat="false" ht="15" hidden="false" customHeight="false" outlineLevel="0" collapsed="false">
      <c r="A524" s="17" t="s">
        <v>809</v>
      </c>
      <c r="B524" s="17" t="s">
        <v>810</v>
      </c>
      <c r="C524" s="17" t="s">
        <v>2871</v>
      </c>
      <c r="D524" s="17" t="s">
        <v>123</v>
      </c>
      <c r="E524" s="18" t="n">
        <v>383499</v>
      </c>
      <c r="F524" s="17" t="s">
        <v>827</v>
      </c>
      <c r="G524" s="23" t="n">
        <v>0.195103507440697</v>
      </c>
      <c r="H524" s="19" t="n">
        <v>0.4</v>
      </c>
      <c r="I524" s="17" t="n">
        <f aca="false">IF(H524="","",RANK(H524,$H$5:$H$525))</f>
        <v>520</v>
      </c>
      <c r="J524" s="24" t="n">
        <v>0.00275070794123107</v>
      </c>
      <c r="K524" s="19" t="n">
        <v>13.7</v>
      </c>
      <c r="L524" s="17" t="n">
        <f aca="false">IF(K524="","",RANK(K524,$K$5:$K$525))</f>
        <v>454</v>
      </c>
      <c r="M524" s="25" t="n">
        <v>0.00328812166050144</v>
      </c>
      <c r="N524" s="19" t="n">
        <v>3.6</v>
      </c>
      <c r="O524" s="17" t="n">
        <f aca="false">IF(N524="","",RANK(N524,$N$5:$N$525))</f>
        <v>504</v>
      </c>
      <c r="P524" s="17" t="str">
        <f aca="false">IF(AND(N(H524)&gt;=N(K524),N(H524)&gt;=N(N524)),"The Pulse",IF(N(K524)&gt;=N(N524),"The Lens","The Hub"))</f>
        <v>The Lens</v>
      </c>
      <c r="Q524" s="21" t="s">
        <v>79</v>
      </c>
      <c r="R524" s="26" t="s">
        <v>822</v>
      </c>
      <c r="S524" s="17" t="s">
        <v>22</v>
      </c>
    </row>
    <row r="525" customFormat="false" ht="15" hidden="false" customHeight="false" outlineLevel="0" collapsed="false">
      <c r="A525" s="17" t="s">
        <v>2089</v>
      </c>
      <c r="B525" s="17" t="s">
        <v>2090</v>
      </c>
      <c r="C525" s="17" t="s">
        <v>2872</v>
      </c>
      <c r="D525" s="17" t="s">
        <v>95</v>
      </c>
      <c r="E525" s="18" t="n">
        <v>9980</v>
      </c>
      <c r="F525" s="17" t="s">
        <v>825</v>
      </c>
      <c r="G525" s="23" t="n">
        <v>0.181164486167982</v>
      </c>
      <c r="H525" s="19" t="n">
        <v>0.2</v>
      </c>
      <c r="I525" s="17" t="n">
        <f aca="false">IF(H525="","",RANK(H525,$H$5:$H$525))</f>
        <v>521</v>
      </c>
      <c r="J525" s="24" t="n">
        <v>0.0516332982086407</v>
      </c>
      <c r="K525" s="19" t="n">
        <v>28.7</v>
      </c>
      <c r="L525" s="17" t="n">
        <f aca="false">IF(K525="","",RANK(K525,$K$5:$K$525))</f>
        <v>372</v>
      </c>
      <c r="M525" s="25" t="n">
        <v>0.165137614678899</v>
      </c>
      <c r="N525" s="19" t="n">
        <v>77.6</v>
      </c>
      <c r="O525" s="17" t="n">
        <f aca="false">IF(N525="","",RANK(N525,$N$5:$N$525))</f>
        <v>117</v>
      </c>
      <c r="P525" s="17" t="str">
        <f aca="false">IF(AND(N(H525)&gt;=N(K525),N(H525)&gt;=N(N525)),"The Pulse",IF(N(K525)&gt;=N(N525),"The Lens","The Hub"))</f>
        <v>The Hub</v>
      </c>
      <c r="Q525" s="21" t="s">
        <v>79</v>
      </c>
      <c r="R525" s="27" t="s">
        <v>832</v>
      </c>
      <c r="S525" s="17" t="s">
        <v>88</v>
      </c>
    </row>
  </sheetData>
  <autoFilter ref="A4:S525"/>
  <conditionalFormatting sqref="H5:H525">
    <cfRule type="colorScale" priority="2">
      <colorScale>
        <cfvo type="num" val="0"/>
        <cfvo type="num" val="100"/>
        <color rgb="FFFFFFFF"/>
        <color rgb="FFF97316"/>
      </colorScale>
    </cfRule>
  </conditionalFormatting>
  <conditionalFormatting sqref="K5:K525">
    <cfRule type="colorScale" priority="3">
      <colorScale>
        <cfvo type="num" val="0"/>
        <cfvo type="num" val="100"/>
        <color rgb="FFFFFFFF"/>
        <color rgb="FFF97316"/>
      </colorScale>
    </cfRule>
  </conditionalFormatting>
  <conditionalFormatting sqref="N5:N525">
    <cfRule type="colorScale" priority="4">
      <colorScale>
        <cfvo type="num" val="0"/>
        <cfvo type="num" val="100"/>
        <color rgb="FFFFFFFF"/>
        <color rgb="FFF9731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8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22"/>
    <col collapsed="false" customWidth="true" hidden="false" outlineLevel="0" max="4" min="4" style="0" width="11"/>
    <col collapsed="false" customWidth="true" hidden="false" outlineLevel="0" max="5" min="5" style="0" width="10"/>
    <col collapsed="false" customWidth="true" hidden="false" outlineLevel="0" max="9" min="6" style="0" width="13"/>
    <col collapsed="false" customWidth="true" hidden="false" outlineLevel="0" max="10" min="10" style="0" width="18"/>
    <col collapsed="false" customWidth="true" hidden="false" outlineLevel="0" max="12" min="11" style="0" width="13"/>
    <col collapsed="false" customWidth="true" hidden="false" outlineLevel="0" max="13" min="13" style="0" width="10"/>
    <col collapsed="false" customWidth="true" hidden="false" outlineLevel="0" max="17" min="14" style="0" width="16"/>
  </cols>
  <sheetData>
    <row r="1" customFormat="false" ht="17.35" hidden="false" customHeight="false" outlineLevel="0" collapsed="false">
      <c r="A1" s="1" t="s">
        <v>2873</v>
      </c>
      <c r="B1" s="2"/>
      <c r="C1" s="2"/>
      <c r="D1" s="2"/>
      <c r="E1" s="2"/>
      <c r="F1" s="2"/>
      <c r="G1" s="2"/>
      <c r="H1" s="2"/>
      <c r="I1" s="2"/>
      <c r="J1" s="2"/>
      <c r="K1" s="2"/>
      <c r="L1" s="2"/>
      <c r="M1" s="2"/>
      <c r="N1" s="2"/>
      <c r="O1" s="2"/>
      <c r="P1" s="2"/>
      <c r="Q1" s="2"/>
    </row>
    <row r="2" customFormat="false" ht="15" hidden="false" customHeight="false" outlineLevel="0" collapsed="false">
      <c r="A2" s="3" t="s">
        <v>2874</v>
      </c>
      <c r="B2" s="2"/>
      <c r="C2" s="2"/>
      <c r="D2" s="2"/>
      <c r="E2" s="2"/>
      <c r="F2" s="2"/>
      <c r="G2" s="2"/>
      <c r="H2" s="2"/>
      <c r="I2" s="2"/>
      <c r="J2" s="2"/>
      <c r="K2" s="2"/>
      <c r="L2" s="2"/>
      <c r="M2" s="2"/>
      <c r="N2" s="2"/>
      <c r="O2" s="2"/>
      <c r="P2" s="2"/>
      <c r="Q2" s="2"/>
    </row>
    <row r="3" customFormat="false" ht="15" hidden="false" customHeight="false" outlineLevel="0" collapsed="false">
      <c r="A3" s="2"/>
      <c r="B3" s="2"/>
      <c r="C3" s="2"/>
      <c r="D3" s="2"/>
      <c r="E3" s="2"/>
      <c r="F3" s="2"/>
      <c r="G3" s="2"/>
      <c r="H3" s="2"/>
      <c r="I3" s="2"/>
      <c r="J3" s="2"/>
      <c r="K3" s="2"/>
      <c r="L3" s="2"/>
      <c r="M3" s="2"/>
      <c r="N3" s="2"/>
      <c r="O3" s="2"/>
      <c r="P3" s="2"/>
      <c r="Q3" s="2"/>
    </row>
    <row r="4" customFormat="false" ht="31.5" hidden="false" customHeight="true" outlineLevel="0" collapsed="false">
      <c r="A4" s="8" t="s">
        <v>56</v>
      </c>
      <c r="B4" s="8" t="s">
        <v>42</v>
      </c>
      <c r="C4" s="8" t="s">
        <v>813</v>
      </c>
      <c r="D4" s="8" t="s">
        <v>814</v>
      </c>
      <c r="E4" s="8" t="s">
        <v>815</v>
      </c>
      <c r="F4" s="10" t="s">
        <v>816</v>
      </c>
      <c r="G4" s="10" t="s">
        <v>2875</v>
      </c>
      <c r="H4" s="10" t="s">
        <v>817</v>
      </c>
      <c r="I4" s="10" t="s">
        <v>2876</v>
      </c>
      <c r="J4" s="10" t="s">
        <v>2877</v>
      </c>
      <c r="K4" s="10" t="s">
        <v>818</v>
      </c>
      <c r="L4" s="10" t="s">
        <v>2878</v>
      </c>
      <c r="M4" s="8" t="s">
        <v>36</v>
      </c>
      <c r="N4" s="8" t="s">
        <v>2879</v>
      </c>
      <c r="O4" s="8" t="s">
        <v>2880</v>
      </c>
      <c r="P4" s="8" t="s">
        <v>2881</v>
      </c>
      <c r="Q4" s="8" t="s">
        <v>2882</v>
      </c>
    </row>
    <row r="5" customFormat="false" ht="15" hidden="false" customHeight="false" outlineLevel="0" collapsed="false">
      <c r="A5" s="2" t="s">
        <v>1534</v>
      </c>
      <c r="B5" s="2" t="s">
        <v>45</v>
      </c>
      <c r="C5" s="13" t="s">
        <v>1535</v>
      </c>
      <c r="D5" s="29" t="n">
        <v>88250</v>
      </c>
      <c r="E5" s="2" t="s">
        <v>821</v>
      </c>
      <c r="F5" s="30" t="n">
        <v>0.200351274787535</v>
      </c>
      <c r="G5" s="31" t="n">
        <v>8.5</v>
      </c>
      <c r="H5" s="32" t="n">
        <v>0.117937674182924</v>
      </c>
      <c r="I5" s="31" t="n">
        <v>61.9</v>
      </c>
      <c r="J5" s="2" t="s">
        <v>2883</v>
      </c>
      <c r="K5" s="33" t="n">
        <v>0.0204520990312164</v>
      </c>
      <c r="L5" s="31" t="n">
        <v>6.1</v>
      </c>
      <c r="M5" s="34" t="s">
        <v>822</v>
      </c>
      <c r="N5" s="2" t="s">
        <v>24</v>
      </c>
      <c r="O5" s="2" t="s">
        <v>24</v>
      </c>
      <c r="P5" s="2" t="s">
        <v>24</v>
      </c>
      <c r="Q5" s="2" t="s">
        <v>24</v>
      </c>
    </row>
    <row r="6" customFormat="false" ht="15" hidden="false" customHeight="false" outlineLevel="0" collapsed="false">
      <c r="A6" s="2" t="s">
        <v>1534</v>
      </c>
      <c r="B6" s="2" t="s">
        <v>46</v>
      </c>
      <c r="C6" s="13" t="s">
        <v>2108</v>
      </c>
      <c r="D6" s="29" t="n">
        <v>51160</v>
      </c>
      <c r="E6" s="2" t="s">
        <v>821</v>
      </c>
      <c r="F6" s="30" t="n">
        <v>1.47541047693511</v>
      </c>
      <c r="G6" s="31" t="n">
        <v>15.9</v>
      </c>
      <c r="H6" s="32" t="n">
        <v>0.0841279932189023</v>
      </c>
      <c r="I6" s="31" t="n">
        <v>50.2</v>
      </c>
      <c r="J6" s="2" t="s">
        <v>2884</v>
      </c>
      <c r="K6" s="33" t="n">
        <v>0.199665551839465</v>
      </c>
      <c r="L6" s="31" t="n">
        <v>69.5</v>
      </c>
      <c r="M6" s="34" t="s">
        <v>822</v>
      </c>
      <c r="N6" s="2" t="s">
        <v>24</v>
      </c>
      <c r="O6" s="2" t="s">
        <v>24</v>
      </c>
      <c r="P6" s="2" t="s">
        <v>24</v>
      </c>
      <c r="Q6" s="2" t="s">
        <v>24</v>
      </c>
    </row>
    <row r="7" customFormat="false" ht="15" hidden="false" customHeight="false" outlineLevel="0" collapsed="false">
      <c r="A7" s="2" t="s">
        <v>1534</v>
      </c>
      <c r="B7" s="2" t="s">
        <v>47</v>
      </c>
      <c r="C7" s="16"/>
      <c r="D7" s="35"/>
      <c r="E7" s="2"/>
      <c r="F7" s="36"/>
      <c r="G7" s="31"/>
      <c r="H7" s="37"/>
      <c r="I7" s="31"/>
      <c r="J7" s="2"/>
      <c r="K7" s="38"/>
      <c r="L7" s="31"/>
      <c r="M7" s="39" t="s">
        <v>832</v>
      </c>
      <c r="N7" s="2"/>
      <c r="O7" s="2"/>
      <c r="P7" s="2"/>
      <c r="Q7" s="2"/>
    </row>
    <row r="8" customFormat="false" ht="15" hidden="false" customHeight="false" outlineLevel="0" collapsed="false">
      <c r="A8" s="2" t="s">
        <v>1214</v>
      </c>
      <c r="B8" s="2" t="s">
        <v>45</v>
      </c>
      <c r="C8" s="13" t="s">
        <v>1215</v>
      </c>
      <c r="D8" s="29" t="n">
        <v>30670</v>
      </c>
      <c r="E8" s="2" t="s">
        <v>821</v>
      </c>
      <c r="F8" s="30" t="n">
        <v>0.578513205086404</v>
      </c>
      <c r="G8" s="31" t="n">
        <v>52.2</v>
      </c>
      <c r="H8" s="32" t="n">
        <v>0.2268</v>
      </c>
      <c r="I8" s="31" t="n">
        <v>96.2</v>
      </c>
      <c r="J8" s="2" t="s">
        <v>2883</v>
      </c>
      <c r="K8" s="40" t="s">
        <v>857</v>
      </c>
      <c r="L8" s="31"/>
      <c r="M8" s="34" t="s">
        <v>822</v>
      </c>
      <c r="N8" s="2" t="s">
        <v>24</v>
      </c>
      <c r="O8" s="2" t="s">
        <v>24</v>
      </c>
      <c r="P8" s="2" t="s">
        <v>24</v>
      </c>
      <c r="Q8" s="2" t="s">
        <v>2885</v>
      </c>
    </row>
    <row r="9" customFormat="false" ht="15" hidden="false" customHeight="false" outlineLevel="0" collapsed="false">
      <c r="A9" s="2" t="s">
        <v>1214</v>
      </c>
      <c r="B9" s="2" t="s">
        <v>46</v>
      </c>
      <c r="C9" s="16"/>
      <c r="D9" s="35"/>
      <c r="E9" s="2"/>
      <c r="F9" s="36"/>
      <c r="G9" s="31"/>
      <c r="H9" s="37"/>
      <c r="I9" s="31"/>
      <c r="J9" s="2"/>
      <c r="K9" s="38"/>
      <c r="L9" s="31"/>
      <c r="M9" s="39" t="s">
        <v>832</v>
      </c>
      <c r="N9" s="2"/>
      <c r="O9" s="2"/>
      <c r="P9" s="2"/>
      <c r="Q9" s="2"/>
    </row>
    <row r="10" customFormat="false" ht="15" hidden="false" customHeight="false" outlineLevel="0" collapsed="false">
      <c r="A10" s="2" t="s">
        <v>1214</v>
      </c>
      <c r="B10" s="2" t="s">
        <v>47</v>
      </c>
      <c r="C10" s="13" t="s">
        <v>2269</v>
      </c>
      <c r="D10" s="29" t="n">
        <v>72750</v>
      </c>
      <c r="E10" s="2" t="s">
        <v>821</v>
      </c>
      <c r="F10" s="30" t="n">
        <v>3.46967697594502</v>
      </c>
      <c r="G10" s="31" t="n">
        <v>92.4</v>
      </c>
      <c r="H10" s="32" t="n">
        <v>0.0135135135135135</v>
      </c>
      <c r="I10" s="31" t="n">
        <v>14</v>
      </c>
      <c r="J10" s="2" t="s">
        <v>2886</v>
      </c>
      <c r="K10" s="33" t="n">
        <v>0.0200835156094651</v>
      </c>
      <c r="L10" s="31" t="n">
        <v>13.6</v>
      </c>
      <c r="M10" s="34" t="s">
        <v>822</v>
      </c>
      <c r="N10" s="2" t="s">
        <v>24</v>
      </c>
      <c r="O10" s="2" t="s">
        <v>24</v>
      </c>
      <c r="P10" s="2" t="s">
        <v>24</v>
      </c>
      <c r="Q10" s="2" t="s">
        <v>24</v>
      </c>
    </row>
    <row r="11" customFormat="false" ht="15" hidden="false" customHeight="false" outlineLevel="0" collapsed="false">
      <c r="A11" s="2" t="s">
        <v>1832</v>
      </c>
      <c r="B11" s="2" t="s">
        <v>45</v>
      </c>
      <c r="C11" s="13" t="s">
        <v>2887</v>
      </c>
      <c r="D11" s="29" t="n">
        <v>30830</v>
      </c>
      <c r="E11" s="2" t="s">
        <v>821</v>
      </c>
      <c r="F11" s="30" t="n">
        <v>0.579987025624392</v>
      </c>
      <c r="G11" s="31" t="n">
        <v>52.4</v>
      </c>
      <c r="H11" s="32" t="n">
        <v>0.0598143691990375</v>
      </c>
      <c r="I11" s="31" t="n">
        <v>32</v>
      </c>
      <c r="J11" s="2" t="s">
        <v>2883</v>
      </c>
      <c r="K11" s="38"/>
      <c r="L11" s="31"/>
      <c r="M11" s="39" t="s">
        <v>832</v>
      </c>
      <c r="N11" s="2" t="s">
        <v>24</v>
      </c>
      <c r="O11" s="2" t="s">
        <v>24</v>
      </c>
      <c r="P11" s="2" t="s">
        <v>24</v>
      </c>
      <c r="Q11" s="2"/>
    </row>
    <row r="12" customFormat="false" ht="15" hidden="false" customHeight="false" outlineLevel="0" collapsed="false">
      <c r="A12" s="2" t="s">
        <v>1832</v>
      </c>
      <c r="B12" s="2" t="s">
        <v>46</v>
      </c>
      <c r="C12" s="13" t="s">
        <v>1833</v>
      </c>
      <c r="D12" s="29" t="n">
        <v>260580</v>
      </c>
      <c r="E12" s="2" t="s">
        <v>827</v>
      </c>
      <c r="F12" s="30" t="n">
        <v>3.71474403254279</v>
      </c>
      <c r="G12" s="31" t="n">
        <v>59.5</v>
      </c>
      <c r="H12" s="41" t="n">
        <v>0.0532859315276807</v>
      </c>
      <c r="I12" s="31" t="n">
        <v>38.2</v>
      </c>
      <c r="J12" s="2" t="s">
        <v>2888</v>
      </c>
      <c r="K12" s="33" t="n">
        <v>0.468574335495358</v>
      </c>
      <c r="L12" s="31" t="n">
        <v>98.9</v>
      </c>
      <c r="M12" s="34" t="s">
        <v>822</v>
      </c>
      <c r="N12" s="2" t="s">
        <v>24</v>
      </c>
      <c r="O12" s="2" t="s">
        <v>24</v>
      </c>
      <c r="P12" s="2" t="s">
        <v>22</v>
      </c>
      <c r="Q12" s="2" t="s">
        <v>24</v>
      </c>
    </row>
    <row r="13" customFormat="false" ht="15" hidden="false" customHeight="false" outlineLevel="0" collapsed="false">
      <c r="A13" s="2" t="s">
        <v>1832</v>
      </c>
      <c r="B13" s="2" t="s">
        <v>47</v>
      </c>
      <c r="C13" s="14" t="s">
        <v>2807</v>
      </c>
      <c r="D13" s="42" t="n">
        <v>3745</v>
      </c>
      <c r="E13" s="2" t="s">
        <v>825</v>
      </c>
      <c r="F13" s="43" t="n">
        <v>0.45607476635514</v>
      </c>
      <c r="G13" s="31" t="n">
        <v>10.4</v>
      </c>
      <c r="H13" s="41" t="n">
        <v>0.15159901599016</v>
      </c>
      <c r="I13" s="31" t="n">
        <v>70</v>
      </c>
      <c r="J13" s="2" t="s">
        <v>2889</v>
      </c>
      <c r="K13" s="44" t="n">
        <v>0.135802469135803</v>
      </c>
      <c r="L13" s="31" t="n">
        <v>69.9</v>
      </c>
      <c r="M13" s="34" t="s">
        <v>822</v>
      </c>
      <c r="N13" s="2" t="s">
        <v>22</v>
      </c>
      <c r="O13" s="2" t="s">
        <v>22</v>
      </c>
      <c r="P13" s="2" t="s">
        <v>22</v>
      </c>
      <c r="Q13" s="2" t="s">
        <v>22</v>
      </c>
    </row>
    <row r="14" customFormat="false" ht="15" hidden="false" customHeight="false" outlineLevel="0" collapsed="false">
      <c r="A14" s="2" t="s">
        <v>720</v>
      </c>
      <c r="B14" s="2" t="s">
        <v>45</v>
      </c>
      <c r="C14" s="13" t="s">
        <v>1525</v>
      </c>
      <c r="D14" s="29" t="n">
        <v>38700</v>
      </c>
      <c r="E14" s="2" t="s">
        <v>821</v>
      </c>
      <c r="F14" s="30" t="n">
        <v>0.216692506459948</v>
      </c>
      <c r="G14" s="31" t="n">
        <v>10</v>
      </c>
      <c r="H14" s="32" t="n">
        <v>-0.0150165436497837</v>
      </c>
      <c r="I14" s="31" t="n">
        <v>6.9</v>
      </c>
      <c r="J14" s="2" t="s">
        <v>2883</v>
      </c>
      <c r="K14" s="44" t="n">
        <v>0.0298507462686567</v>
      </c>
      <c r="L14" s="31" t="n">
        <v>8.2</v>
      </c>
      <c r="M14" s="34" t="s">
        <v>822</v>
      </c>
      <c r="N14" s="2" t="s">
        <v>24</v>
      </c>
      <c r="O14" s="2" t="s">
        <v>24</v>
      </c>
      <c r="P14" s="2" t="s">
        <v>24</v>
      </c>
      <c r="Q14" s="2" t="s">
        <v>22</v>
      </c>
    </row>
    <row r="15" customFormat="false" ht="15" hidden="false" customHeight="false" outlineLevel="0" collapsed="false">
      <c r="A15" s="2" t="s">
        <v>720</v>
      </c>
      <c r="B15" s="2" t="s">
        <v>46</v>
      </c>
      <c r="C15" s="13" t="s">
        <v>1887</v>
      </c>
      <c r="D15" s="29" t="n">
        <v>291450</v>
      </c>
      <c r="E15" s="2" t="s">
        <v>827</v>
      </c>
      <c r="F15" s="30" t="n">
        <v>3.29140504374678</v>
      </c>
      <c r="G15" s="31" t="n">
        <v>52.1</v>
      </c>
      <c r="H15" s="32" t="n">
        <v>0.0940315315315315</v>
      </c>
      <c r="I15" s="31" t="n">
        <v>58</v>
      </c>
      <c r="J15" s="2" t="s">
        <v>2888</v>
      </c>
      <c r="K15" s="33" t="n">
        <v>0.282623264719962</v>
      </c>
      <c r="L15" s="31" t="n">
        <v>86.1</v>
      </c>
      <c r="M15" s="34" t="s">
        <v>822</v>
      </c>
      <c r="N15" s="2" t="s">
        <v>24</v>
      </c>
      <c r="O15" s="2" t="s">
        <v>24</v>
      </c>
      <c r="P15" s="2" t="s">
        <v>24</v>
      </c>
      <c r="Q15" s="2" t="s">
        <v>24</v>
      </c>
    </row>
    <row r="16" customFormat="false" ht="15" hidden="false" customHeight="false" outlineLevel="0" collapsed="false">
      <c r="A16" s="2" t="s">
        <v>720</v>
      </c>
      <c r="B16" s="2" t="s">
        <v>47</v>
      </c>
      <c r="C16" s="14" t="s">
        <v>2773</v>
      </c>
      <c r="D16" s="42" t="n">
        <v>16753</v>
      </c>
      <c r="E16" s="2" t="s">
        <v>821</v>
      </c>
      <c r="F16" s="43" t="n">
        <v>0.552677132453889</v>
      </c>
      <c r="G16" s="31" t="n">
        <v>15.9</v>
      </c>
      <c r="H16" s="41" t="n">
        <v>0.127085575888052</v>
      </c>
      <c r="I16" s="31" t="n">
        <v>66.6</v>
      </c>
      <c r="J16" s="2" t="s">
        <v>2886</v>
      </c>
      <c r="K16" s="44" t="n">
        <v>0.122875816993464</v>
      </c>
      <c r="L16" s="31" t="n">
        <v>66.3</v>
      </c>
      <c r="M16" s="34" t="s">
        <v>822</v>
      </c>
      <c r="N16" s="2" t="s">
        <v>22</v>
      </c>
      <c r="O16" s="2" t="s">
        <v>22</v>
      </c>
      <c r="P16" s="2" t="s">
        <v>22</v>
      </c>
      <c r="Q16" s="2" t="s">
        <v>22</v>
      </c>
    </row>
    <row r="17" customFormat="false" ht="15" hidden="false" customHeight="false" outlineLevel="0" collapsed="false">
      <c r="A17" s="2" t="s">
        <v>2632</v>
      </c>
      <c r="B17" s="2" t="s">
        <v>45</v>
      </c>
      <c r="C17" s="16"/>
      <c r="D17" s="35"/>
      <c r="E17" s="2"/>
      <c r="F17" s="36"/>
      <c r="G17" s="31"/>
      <c r="H17" s="37"/>
      <c r="I17" s="31"/>
      <c r="J17" s="2"/>
      <c r="K17" s="38"/>
      <c r="L17" s="31"/>
      <c r="M17" s="39" t="s">
        <v>832</v>
      </c>
      <c r="N17" s="2"/>
      <c r="O17" s="2"/>
      <c r="P17" s="2"/>
      <c r="Q17" s="2"/>
    </row>
    <row r="18" customFormat="false" ht="15" hidden="false" customHeight="false" outlineLevel="0" collapsed="false">
      <c r="A18" s="2" t="s">
        <v>2632</v>
      </c>
      <c r="B18" s="2" t="s">
        <v>47</v>
      </c>
      <c r="C18" s="14" t="s">
        <v>2633</v>
      </c>
      <c r="D18" s="42" t="n">
        <v>5276</v>
      </c>
      <c r="E18" s="2" t="s">
        <v>825</v>
      </c>
      <c r="F18" s="43" t="n">
        <v>0.941811978771797</v>
      </c>
      <c r="G18" s="31" t="n">
        <v>36.2</v>
      </c>
      <c r="H18" s="41" t="n">
        <v>0.112845391267665</v>
      </c>
      <c r="I18" s="31" t="n">
        <v>51.2</v>
      </c>
      <c r="J18" s="2" t="s">
        <v>2889</v>
      </c>
      <c r="K18" s="44" t="n">
        <v>0.072992700729927</v>
      </c>
      <c r="L18" s="31" t="n">
        <v>45.5</v>
      </c>
      <c r="M18" s="34" t="s">
        <v>822</v>
      </c>
      <c r="N18" s="2" t="s">
        <v>22</v>
      </c>
      <c r="O18" s="2" t="s">
        <v>22</v>
      </c>
      <c r="P18" s="2" t="s">
        <v>22</v>
      </c>
      <c r="Q18" s="2" t="s">
        <v>22</v>
      </c>
    </row>
    <row r="19" customFormat="false" ht="15" hidden="false" customHeight="false" outlineLevel="0" collapsed="false">
      <c r="A19" s="2" t="s">
        <v>1117</v>
      </c>
      <c r="B19" s="2" t="s">
        <v>45</v>
      </c>
      <c r="C19" s="13" t="s">
        <v>1118</v>
      </c>
      <c r="D19" s="29" t="n">
        <v>110280</v>
      </c>
      <c r="E19" s="2" t="s">
        <v>827</v>
      </c>
      <c r="F19" s="43" t="n">
        <v>0.73672018606745</v>
      </c>
      <c r="G19" s="31" t="n">
        <v>64.3</v>
      </c>
      <c r="H19" s="32" t="n">
        <v>0.0321010762751521</v>
      </c>
      <c r="I19" s="31" t="n">
        <v>22.9</v>
      </c>
      <c r="J19" s="2" t="s">
        <v>2890</v>
      </c>
      <c r="K19" s="44" t="n">
        <v>0.0992555831265509</v>
      </c>
      <c r="L19" s="31" t="n">
        <v>35.9</v>
      </c>
      <c r="M19" s="34" t="s">
        <v>822</v>
      </c>
      <c r="N19" s="2" t="s">
        <v>24</v>
      </c>
      <c r="O19" s="2" t="s">
        <v>22</v>
      </c>
      <c r="P19" s="2" t="s">
        <v>24</v>
      </c>
      <c r="Q19" s="2" t="s">
        <v>22</v>
      </c>
    </row>
    <row r="20" customFormat="false" ht="15" hidden="false" customHeight="false" outlineLevel="0" collapsed="false">
      <c r="A20" s="2" t="s">
        <v>1117</v>
      </c>
      <c r="B20" s="2" t="s">
        <v>46</v>
      </c>
      <c r="C20" s="16"/>
      <c r="D20" s="29" t="n">
        <v>8660</v>
      </c>
      <c r="E20" s="2" t="s">
        <v>825</v>
      </c>
      <c r="F20" s="30" t="n">
        <v>6.9054272517321</v>
      </c>
      <c r="G20" s="31" t="n">
        <v>85.5</v>
      </c>
      <c r="H20" s="37"/>
      <c r="I20" s="31"/>
      <c r="J20" s="2"/>
      <c r="K20" s="33" t="n">
        <v>0.144239631336406</v>
      </c>
      <c r="L20" s="31" t="n">
        <v>54.1</v>
      </c>
      <c r="M20" s="39" t="s">
        <v>832</v>
      </c>
      <c r="N20" s="2" t="s">
        <v>24</v>
      </c>
      <c r="O20" s="2" t="s">
        <v>24</v>
      </c>
      <c r="P20" s="2"/>
      <c r="Q20" s="2" t="s">
        <v>24</v>
      </c>
    </row>
    <row r="21" customFormat="false" ht="15" hidden="false" customHeight="false" outlineLevel="0" collapsed="false">
      <c r="A21" s="2" t="s">
        <v>1117</v>
      </c>
      <c r="B21" s="2" t="s">
        <v>47</v>
      </c>
      <c r="C21" s="14" t="s">
        <v>2344</v>
      </c>
      <c r="D21" s="42" t="n">
        <v>57911</v>
      </c>
      <c r="E21" s="2" t="s">
        <v>821</v>
      </c>
      <c r="F21" s="43" t="n">
        <v>2.27245255650913</v>
      </c>
      <c r="G21" s="31" t="n">
        <v>80.6</v>
      </c>
      <c r="H21" s="41" t="n">
        <v>0.0790199366498975</v>
      </c>
      <c r="I21" s="31" t="n">
        <v>40.3</v>
      </c>
      <c r="J21" s="2" t="s">
        <v>2886</v>
      </c>
      <c r="K21" s="44" t="n">
        <v>0.0362994350282486</v>
      </c>
      <c r="L21" s="31" t="n">
        <v>23.7</v>
      </c>
      <c r="M21" s="34" t="s">
        <v>822</v>
      </c>
      <c r="N21" s="2" t="s">
        <v>22</v>
      </c>
      <c r="O21" s="2" t="s">
        <v>22</v>
      </c>
      <c r="P21" s="2" t="s">
        <v>22</v>
      </c>
      <c r="Q21" s="2" t="s">
        <v>22</v>
      </c>
    </row>
    <row r="22" customFormat="false" ht="15" hidden="false" customHeight="false" outlineLevel="0" collapsed="false">
      <c r="A22" s="2" t="s">
        <v>474</v>
      </c>
      <c r="B22" s="2" t="s">
        <v>46</v>
      </c>
      <c r="C22" s="14" t="s">
        <v>1896</v>
      </c>
      <c r="D22" s="42" t="n">
        <v>489170</v>
      </c>
      <c r="E22" s="2" t="s">
        <v>827</v>
      </c>
      <c r="F22" s="43" t="n">
        <v>3.21557331806938</v>
      </c>
      <c r="G22" s="31" t="n">
        <v>50.7</v>
      </c>
      <c r="H22" s="41" t="n">
        <v>0.119054373089804</v>
      </c>
      <c r="I22" s="31" t="n">
        <v>70.1</v>
      </c>
      <c r="J22" s="2" t="s">
        <v>2888</v>
      </c>
      <c r="K22" s="44" t="n">
        <v>0.168769047303564</v>
      </c>
      <c r="L22" s="31" t="n">
        <v>61.1</v>
      </c>
      <c r="M22" s="34" t="s">
        <v>822</v>
      </c>
      <c r="N22" s="2" t="s">
        <v>22</v>
      </c>
      <c r="O22" s="2" t="s">
        <v>22</v>
      </c>
      <c r="P22" s="2" t="s">
        <v>22</v>
      </c>
      <c r="Q22" s="2" t="s">
        <v>22</v>
      </c>
    </row>
    <row r="23" customFormat="false" ht="15" hidden="false" customHeight="false" outlineLevel="0" collapsed="false">
      <c r="A23" s="2" t="s">
        <v>698</v>
      </c>
      <c r="B23" s="2" t="s">
        <v>45</v>
      </c>
      <c r="C23" s="13" t="s">
        <v>1203</v>
      </c>
      <c r="D23" s="29" t="n">
        <v>182210</v>
      </c>
      <c r="E23" s="2" t="s">
        <v>827</v>
      </c>
      <c r="F23" s="30" t="n">
        <v>0.601152516327315</v>
      </c>
      <c r="G23" s="31" t="n">
        <v>53.9</v>
      </c>
      <c r="H23" s="32" t="n">
        <v>0.0573318632855568</v>
      </c>
      <c r="I23" s="31" t="n">
        <v>32.9</v>
      </c>
      <c r="J23" s="2" t="s">
        <v>2890</v>
      </c>
      <c r="K23" s="33" t="n">
        <v>0.149148936170213</v>
      </c>
      <c r="L23" s="31" t="n">
        <v>57.3</v>
      </c>
      <c r="M23" s="34" t="s">
        <v>822</v>
      </c>
      <c r="N23" s="2" t="s">
        <v>24</v>
      </c>
      <c r="O23" s="2" t="s">
        <v>24</v>
      </c>
      <c r="P23" s="2" t="s">
        <v>24</v>
      </c>
      <c r="Q23" s="2" t="s">
        <v>24</v>
      </c>
    </row>
    <row r="24" customFormat="false" ht="15" hidden="false" customHeight="false" outlineLevel="0" collapsed="false">
      <c r="A24" s="2" t="s">
        <v>698</v>
      </c>
      <c r="B24" s="2" t="s">
        <v>46</v>
      </c>
      <c r="C24" s="13" t="s">
        <v>2147</v>
      </c>
      <c r="D24" s="29" t="n">
        <v>79800</v>
      </c>
      <c r="E24" s="2" t="s">
        <v>821</v>
      </c>
      <c r="F24" s="30" t="n">
        <v>1.16300751879699</v>
      </c>
      <c r="G24" s="31" t="n">
        <v>9.2</v>
      </c>
      <c r="H24" s="32" t="n">
        <v>-0.052143960090272</v>
      </c>
      <c r="I24" s="31" t="n">
        <v>3.6</v>
      </c>
      <c r="J24" s="2" t="s">
        <v>2884</v>
      </c>
      <c r="K24" s="33" t="n">
        <v>0.35947446837329</v>
      </c>
      <c r="L24" s="31" t="n">
        <v>94.9</v>
      </c>
      <c r="M24" s="34" t="s">
        <v>822</v>
      </c>
      <c r="N24" s="2" t="s">
        <v>24</v>
      </c>
      <c r="O24" s="2" t="s">
        <v>24</v>
      </c>
      <c r="P24" s="2" t="s">
        <v>24</v>
      </c>
      <c r="Q24" s="2" t="s">
        <v>24</v>
      </c>
    </row>
    <row r="25" customFormat="false" ht="15" hidden="false" customHeight="false" outlineLevel="0" collapsed="false">
      <c r="A25" s="2" t="s">
        <v>698</v>
      </c>
      <c r="B25" s="2" t="s">
        <v>47</v>
      </c>
      <c r="C25" s="13" t="s">
        <v>2719</v>
      </c>
      <c r="D25" s="29" t="n">
        <v>6810</v>
      </c>
      <c r="E25" s="2" t="s">
        <v>825</v>
      </c>
      <c r="F25" s="30" t="n">
        <v>0.707929515418502</v>
      </c>
      <c r="G25" s="31" t="n">
        <v>22.6</v>
      </c>
      <c r="H25" s="32" t="n">
        <v>0.235934664246824</v>
      </c>
      <c r="I25" s="31" t="n">
        <v>95</v>
      </c>
      <c r="J25" s="2" t="s">
        <v>2889</v>
      </c>
      <c r="K25" s="44" t="n">
        <v>0.0323741007194245</v>
      </c>
      <c r="L25" s="31" t="n">
        <v>21.7</v>
      </c>
      <c r="M25" s="34" t="s">
        <v>822</v>
      </c>
      <c r="N25" s="2" t="s">
        <v>24</v>
      </c>
      <c r="O25" s="2" t="s">
        <v>24</v>
      </c>
      <c r="P25" s="2" t="s">
        <v>24</v>
      </c>
      <c r="Q25" s="2" t="s">
        <v>22</v>
      </c>
    </row>
    <row r="26" customFormat="false" ht="15" hidden="false" customHeight="false" outlineLevel="0" collapsed="false">
      <c r="A26" s="2" t="s">
        <v>1223</v>
      </c>
      <c r="B26" s="2" t="s">
        <v>45</v>
      </c>
      <c r="C26" s="13" t="s">
        <v>1224</v>
      </c>
      <c r="D26" s="29" t="n">
        <v>182110</v>
      </c>
      <c r="E26" s="2" t="s">
        <v>827</v>
      </c>
      <c r="F26" s="30" t="n">
        <v>0.56641041128988</v>
      </c>
      <c r="G26" s="31" t="n">
        <v>50.7</v>
      </c>
      <c r="H26" s="32" t="n">
        <v>0.12434401432364</v>
      </c>
      <c r="I26" s="31" t="n">
        <v>70</v>
      </c>
      <c r="J26" s="2" t="s">
        <v>2890</v>
      </c>
      <c r="K26" s="33" t="n">
        <v>0.321480861744405</v>
      </c>
      <c r="L26" s="31" t="n">
        <v>92.3</v>
      </c>
      <c r="M26" s="34" t="s">
        <v>822</v>
      </c>
      <c r="N26" s="2" t="s">
        <v>24</v>
      </c>
      <c r="O26" s="2" t="s">
        <v>24</v>
      </c>
      <c r="P26" s="2" t="s">
        <v>24</v>
      </c>
      <c r="Q26" s="2" t="s">
        <v>24</v>
      </c>
    </row>
    <row r="27" customFormat="false" ht="15" hidden="false" customHeight="false" outlineLevel="0" collapsed="false">
      <c r="A27" s="2" t="s">
        <v>1223</v>
      </c>
      <c r="B27" s="2" t="s">
        <v>46</v>
      </c>
      <c r="C27" s="16"/>
      <c r="D27" s="35"/>
      <c r="E27" s="2"/>
      <c r="F27" s="36"/>
      <c r="G27" s="31"/>
      <c r="H27" s="37"/>
      <c r="I27" s="31"/>
      <c r="J27" s="2"/>
      <c r="K27" s="38"/>
      <c r="L27" s="31"/>
      <c r="M27" s="39" t="s">
        <v>832</v>
      </c>
      <c r="N27" s="2"/>
      <c r="O27" s="2"/>
      <c r="P27" s="2"/>
      <c r="Q27" s="2"/>
    </row>
    <row r="28" customFormat="false" ht="15" hidden="false" customHeight="false" outlineLevel="0" collapsed="false">
      <c r="A28" s="2" t="s">
        <v>108</v>
      </c>
      <c r="B28" s="2" t="s">
        <v>47</v>
      </c>
      <c r="C28" s="14" t="s">
        <v>2267</v>
      </c>
      <c r="D28" s="42" t="n">
        <v>5060</v>
      </c>
      <c r="E28" s="2" t="s">
        <v>825</v>
      </c>
      <c r="F28" s="43" t="n">
        <v>3.51679841897233</v>
      </c>
      <c r="G28" s="31" t="n">
        <v>92.8</v>
      </c>
      <c r="H28" s="41" t="n">
        <v>0.0458867300537412</v>
      </c>
      <c r="I28" s="31" t="n">
        <v>25</v>
      </c>
      <c r="J28" s="2" t="s">
        <v>2889</v>
      </c>
      <c r="K28" s="45" t="n">
        <v>0.00909090909090909</v>
      </c>
      <c r="L28" s="31" t="n">
        <v>6.3</v>
      </c>
      <c r="M28" s="34" t="s">
        <v>822</v>
      </c>
      <c r="N28" s="2" t="s">
        <v>22</v>
      </c>
      <c r="O28" s="2" t="s">
        <v>22</v>
      </c>
      <c r="P28" s="2" t="s">
        <v>22</v>
      </c>
      <c r="Q28" s="2" t="s">
        <v>19</v>
      </c>
    </row>
    <row r="29" customFormat="false" ht="15" hidden="false" customHeight="false" outlineLevel="0" collapsed="false">
      <c r="A29" s="2" t="s">
        <v>1635</v>
      </c>
      <c r="B29" s="2" t="s">
        <v>45</v>
      </c>
      <c r="C29" s="16"/>
      <c r="D29" s="35"/>
      <c r="E29" s="2"/>
      <c r="F29" s="36"/>
      <c r="G29" s="31"/>
      <c r="H29" s="37"/>
      <c r="I29" s="31"/>
      <c r="J29" s="2"/>
      <c r="K29" s="38"/>
      <c r="L29" s="31"/>
      <c r="M29" s="39" t="s">
        <v>832</v>
      </c>
      <c r="N29" s="2"/>
      <c r="O29" s="2"/>
      <c r="P29" s="2"/>
      <c r="Q29" s="2"/>
    </row>
    <row r="30" customFormat="false" ht="15" hidden="false" customHeight="false" outlineLevel="0" collapsed="false">
      <c r="A30" s="2" t="s">
        <v>1635</v>
      </c>
      <c r="B30" s="2" t="s">
        <v>46</v>
      </c>
      <c r="C30" s="13" t="s">
        <v>1636</v>
      </c>
      <c r="D30" s="29" t="n">
        <v>29230</v>
      </c>
      <c r="E30" s="2" t="s">
        <v>821</v>
      </c>
      <c r="F30" s="30" t="n">
        <v>10.258159425248</v>
      </c>
      <c r="G30" s="31" t="n">
        <v>94.7</v>
      </c>
      <c r="H30" s="32" t="n">
        <v>0.0854066097289268</v>
      </c>
      <c r="I30" s="31" t="n">
        <v>51.3</v>
      </c>
      <c r="J30" s="2" t="s">
        <v>2884</v>
      </c>
      <c r="K30" s="33" t="n">
        <v>0.00690936106983655</v>
      </c>
      <c r="L30" s="31" t="n">
        <v>0.9</v>
      </c>
      <c r="M30" s="34" t="s">
        <v>822</v>
      </c>
      <c r="N30" s="2" t="s">
        <v>24</v>
      </c>
      <c r="O30" s="2" t="s">
        <v>24</v>
      </c>
      <c r="P30" s="2" t="s">
        <v>24</v>
      </c>
      <c r="Q30" s="2" t="s">
        <v>24</v>
      </c>
    </row>
    <row r="31" customFormat="false" ht="15" hidden="false" customHeight="false" outlineLevel="0" collapsed="false">
      <c r="A31" s="2" t="s">
        <v>1635</v>
      </c>
      <c r="B31" s="2" t="s">
        <v>47</v>
      </c>
      <c r="C31" s="14" t="s">
        <v>2891</v>
      </c>
      <c r="D31" s="35"/>
      <c r="E31" s="2"/>
      <c r="F31" s="36"/>
      <c r="G31" s="31"/>
      <c r="H31" s="37"/>
      <c r="I31" s="31"/>
      <c r="J31" s="2"/>
      <c r="K31" s="44" t="n">
        <v>0.10438222763238</v>
      </c>
      <c r="L31" s="31" t="n">
        <v>60.6</v>
      </c>
      <c r="M31" s="39" t="s">
        <v>832</v>
      </c>
      <c r="N31" s="2"/>
      <c r="O31" s="2"/>
      <c r="P31" s="2"/>
      <c r="Q31" s="2" t="s">
        <v>22</v>
      </c>
    </row>
    <row r="32" customFormat="false" ht="15" hidden="false" customHeight="false" outlineLevel="0" collapsed="false">
      <c r="A32" s="2" t="s">
        <v>190</v>
      </c>
      <c r="B32" s="2" t="s">
        <v>47</v>
      </c>
      <c r="C32" s="14" t="s">
        <v>2367</v>
      </c>
      <c r="D32" s="42" t="n">
        <v>12410</v>
      </c>
      <c r="E32" s="2" t="s">
        <v>821</v>
      </c>
      <c r="F32" s="43" t="n">
        <v>1.98597904915391</v>
      </c>
      <c r="G32" s="31" t="n">
        <v>76.4</v>
      </c>
      <c r="H32" s="41" t="n">
        <v>0.0494714587737844</v>
      </c>
      <c r="I32" s="31" t="n">
        <v>27.9</v>
      </c>
      <c r="J32" s="2" t="s">
        <v>2886</v>
      </c>
      <c r="K32" s="44" t="n">
        <v>0</v>
      </c>
      <c r="L32" s="31" t="n">
        <v>0.9</v>
      </c>
      <c r="M32" s="34" t="s">
        <v>822</v>
      </c>
      <c r="N32" s="2" t="s">
        <v>22</v>
      </c>
      <c r="O32" s="2" t="s">
        <v>22</v>
      </c>
      <c r="P32" s="2" t="s">
        <v>22</v>
      </c>
      <c r="Q32" s="2" t="s">
        <v>22</v>
      </c>
    </row>
    <row r="33" customFormat="false" ht="15" hidden="false" customHeight="false" outlineLevel="0" collapsed="false">
      <c r="A33" s="2" t="s">
        <v>1185</v>
      </c>
      <c r="B33" s="2" t="s">
        <v>45</v>
      </c>
      <c r="C33" s="13" t="s">
        <v>1186</v>
      </c>
      <c r="D33" s="29" t="n">
        <v>2281430</v>
      </c>
      <c r="E33" s="2" t="s">
        <v>935</v>
      </c>
      <c r="F33" s="30" t="n">
        <v>0.61833674493629</v>
      </c>
      <c r="G33" s="31" t="n">
        <v>56.5</v>
      </c>
      <c r="H33" s="32" t="n">
        <v>0.207987842975294</v>
      </c>
      <c r="I33" s="31" t="n">
        <v>100</v>
      </c>
      <c r="J33" s="2" t="s">
        <v>2892</v>
      </c>
      <c r="K33" s="33" t="n">
        <v>0.0837522329774417</v>
      </c>
      <c r="L33" s="31" t="n">
        <v>28</v>
      </c>
      <c r="M33" s="34" t="s">
        <v>822</v>
      </c>
      <c r="N33" s="2" t="s">
        <v>24</v>
      </c>
      <c r="O33" s="2" t="s">
        <v>24</v>
      </c>
      <c r="P33" s="2" t="s">
        <v>24</v>
      </c>
      <c r="Q33" s="2" t="s">
        <v>24</v>
      </c>
    </row>
    <row r="34" customFormat="false" ht="15" hidden="false" customHeight="false" outlineLevel="0" collapsed="false">
      <c r="A34" s="2" t="s">
        <v>1185</v>
      </c>
      <c r="B34" s="2" t="s">
        <v>46</v>
      </c>
      <c r="C34" s="13" t="s">
        <v>2893</v>
      </c>
      <c r="D34" s="29" t="n">
        <v>98580</v>
      </c>
      <c r="E34" s="2" t="s">
        <v>821</v>
      </c>
      <c r="F34" s="30" t="n">
        <v>0.465601541894908</v>
      </c>
      <c r="G34" s="31" t="n">
        <v>1.2</v>
      </c>
      <c r="H34" s="32" t="n">
        <v>-0.021149836163241</v>
      </c>
      <c r="I34" s="31" t="n">
        <v>8</v>
      </c>
      <c r="J34" s="2" t="s">
        <v>2884</v>
      </c>
      <c r="K34" s="38"/>
      <c r="L34" s="31"/>
      <c r="M34" s="39" t="s">
        <v>832</v>
      </c>
      <c r="N34" s="2" t="s">
        <v>24</v>
      </c>
      <c r="O34" s="2" t="s">
        <v>24</v>
      </c>
      <c r="P34" s="2" t="s">
        <v>24</v>
      </c>
      <c r="Q34" s="2"/>
    </row>
    <row r="35" customFormat="false" ht="15" hidden="false" customHeight="false" outlineLevel="0" collapsed="false">
      <c r="A35" s="2" t="s">
        <v>1185</v>
      </c>
      <c r="B35" s="2" t="s">
        <v>47</v>
      </c>
      <c r="C35" s="13" t="s">
        <v>2787</v>
      </c>
      <c r="D35" s="29" t="n">
        <v>12990</v>
      </c>
      <c r="E35" s="2" t="s">
        <v>821</v>
      </c>
      <c r="F35" s="30" t="n">
        <v>0.506081601231717</v>
      </c>
      <c r="G35" s="31" t="n">
        <v>13.6</v>
      </c>
      <c r="H35" s="32" t="n">
        <v>0.0518218623481781</v>
      </c>
      <c r="I35" s="31" t="n">
        <v>28.9</v>
      </c>
      <c r="J35" s="2" t="s">
        <v>2886</v>
      </c>
      <c r="K35" s="33" t="n">
        <v>0.0338983050847458</v>
      </c>
      <c r="L35" s="31" t="n">
        <v>22.4</v>
      </c>
      <c r="M35" s="34" t="s">
        <v>822</v>
      </c>
      <c r="N35" s="2" t="s">
        <v>24</v>
      </c>
      <c r="O35" s="2" t="s">
        <v>24</v>
      </c>
      <c r="P35" s="2" t="s">
        <v>24</v>
      </c>
      <c r="Q35" s="2" t="s">
        <v>24</v>
      </c>
    </row>
    <row r="36" customFormat="false" ht="15" hidden="false" customHeight="false" outlineLevel="0" collapsed="false">
      <c r="A36" s="2" t="s">
        <v>2074</v>
      </c>
      <c r="B36" s="2" t="s">
        <v>45</v>
      </c>
      <c r="C36" s="16"/>
      <c r="D36" s="35"/>
      <c r="E36" s="2"/>
      <c r="F36" s="36"/>
      <c r="G36" s="31"/>
      <c r="H36" s="37"/>
      <c r="I36" s="31"/>
      <c r="J36" s="2"/>
      <c r="K36" s="38"/>
      <c r="L36" s="31"/>
      <c r="M36" s="39" t="s">
        <v>832</v>
      </c>
      <c r="N36" s="2"/>
      <c r="O36" s="2"/>
      <c r="P36" s="2"/>
      <c r="Q36" s="2"/>
    </row>
    <row r="37" customFormat="false" ht="15" hidden="false" customHeight="false" outlineLevel="0" collapsed="false">
      <c r="A37" s="2" t="s">
        <v>2074</v>
      </c>
      <c r="B37" s="2" t="s">
        <v>46</v>
      </c>
      <c r="C37" s="13" t="s">
        <v>2075</v>
      </c>
      <c r="D37" s="29" t="n">
        <v>12610</v>
      </c>
      <c r="E37" s="2" t="s">
        <v>821</v>
      </c>
      <c r="F37" s="30" t="n">
        <v>1.70832672482157</v>
      </c>
      <c r="G37" s="31" t="n">
        <v>21.4</v>
      </c>
      <c r="H37" s="41" t="n">
        <v>-0.0165606072222648</v>
      </c>
      <c r="I37" s="31" t="n">
        <v>9.5</v>
      </c>
      <c r="J37" s="2" t="s">
        <v>2884</v>
      </c>
      <c r="K37" s="44" t="n">
        <v>0.0578358208955224</v>
      </c>
      <c r="L37" s="31" t="n">
        <v>15</v>
      </c>
      <c r="M37" s="34" t="s">
        <v>822</v>
      </c>
      <c r="N37" s="2" t="s">
        <v>24</v>
      </c>
      <c r="O37" s="2" t="s">
        <v>24</v>
      </c>
      <c r="P37" s="2" t="s">
        <v>22</v>
      </c>
      <c r="Q37" s="2" t="s">
        <v>22</v>
      </c>
    </row>
    <row r="38" customFormat="false" ht="15" hidden="false" customHeight="false" outlineLevel="0" collapsed="false">
      <c r="A38" s="2" t="s">
        <v>2074</v>
      </c>
      <c r="B38" s="2" t="s">
        <v>47</v>
      </c>
      <c r="C38" s="16"/>
      <c r="D38" s="35"/>
      <c r="E38" s="2"/>
      <c r="F38" s="36"/>
      <c r="G38" s="31"/>
      <c r="H38" s="37"/>
      <c r="I38" s="31"/>
      <c r="J38" s="2"/>
      <c r="K38" s="38"/>
      <c r="L38" s="31"/>
      <c r="M38" s="39" t="s">
        <v>832</v>
      </c>
      <c r="N38" s="2"/>
      <c r="O38" s="2"/>
      <c r="P38" s="2"/>
      <c r="Q38" s="2"/>
    </row>
    <row r="39" customFormat="false" ht="15" hidden="false" customHeight="false" outlineLevel="0" collapsed="false">
      <c r="A39" s="2" t="s">
        <v>2063</v>
      </c>
      <c r="B39" s="2" t="s">
        <v>45</v>
      </c>
      <c r="C39" s="13" t="s">
        <v>2894</v>
      </c>
      <c r="D39" s="29" t="n">
        <v>9490</v>
      </c>
      <c r="E39" s="2" t="s">
        <v>825</v>
      </c>
      <c r="F39" s="30" t="n">
        <v>1.19062170706006</v>
      </c>
      <c r="G39" s="31" t="n">
        <v>83.6</v>
      </c>
      <c r="H39" s="37"/>
      <c r="I39" s="31"/>
      <c r="J39" s="2"/>
      <c r="K39" s="33" t="n">
        <v>0.290233837689133</v>
      </c>
      <c r="L39" s="31" t="n">
        <v>89.5</v>
      </c>
      <c r="M39" s="39" t="s">
        <v>832</v>
      </c>
      <c r="N39" s="2" t="s">
        <v>24</v>
      </c>
      <c r="O39" s="2" t="s">
        <v>24</v>
      </c>
      <c r="P39" s="2"/>
      <c r="Q39" s="2" t="s">
        <v>24</v>
      </c>
    </row>
    <row r="40" customFormat="false" ht="15" hidden="false" customHeight="false" outlineLevel="0" collapsed="false">
      <c r="A40" s="2" t="s">
        <v>2063</v>
      </c>
      <c r="B40" s="2" t="s">
        <v>46</v>
      </c>
      <c r="C40" s="13" t="s">
        <v>2064</v>
      </c>
      <c r="D40" s="29" t="n">
        <v>32640</v>
      </c>
      <c r="E40" s="2" t="s">
        <v>821</v>
      </c>
      <c r="F40" s="30" t="n">
        <v>1.78348651960784</v>
      </c>
      <c r="G40" s="31" t="n">
        <v>23.2</v>
      </c>
      <c r="H40" s="32" t="n">
        <v>0.0978809283551968</v>
      </c>
      <c r="I40" s="31" t="n">
        <v>55.6</v>
      </c>
      <c r="J40" s="2" t="s">
        <v>2884</v>
      </c>
      <c r="K40" s="33" t="n">
        <v>0.43242542153048</v>
      </c>
      <c r="L40" s="31" t="n">
        <v>98</v>
      </c>
      <c r="M40" s="34" t="s">
        <v>822</v>
      </c>
      <c r="N40" s="2" t="s">
        <v>24</v>
      </c>
      <c r="O40" s="2" t="s">
        <v>24</v>
      </c>
      <c r="P40" s="2" t="s">
        <v>24</v>
      </c>
      <c r="Q40" s="2" t="s">
        <v>24</v>
      </c>
    </row>
    <row r="41" customFormat="false" ht="15" hidden="false" customHeight="false" outlineLevel="0" collapsed="false">
      <c r="A41" s="2" t="s">
        <v>2063</v>
      </c>
      <c r="B41" s="2" t="s">
        <v>47</v>
      </c>
      <c r="C41" s="14" t="s">
        <v>2895</v>
      </c>
      <c r="D41" s="42" t="n">
        <v>21923</v>
      </c>
      <c r="E41" s="2" t="s">
        <v>821</v>
      </c>
      <c r="F41" s="43" t="n">
        <v>0.330155544405419</v>
      </c>
      <c r="G41" s="31" t="n">
        <v>4.6</v>
      </c>
      <c r="H41" s="41" t="n">
        <v>0.00957863228183284</v>
      </c>
      <c r="I41" s="31" t="n">
        <v>12.7</v>
      </c>
      <c r="J41" s="2" t="s">
        <v>2886</v>
      </c>
      <c r="K41" s="38"/>
      <c r="L41" s="31"/>
      <c r="M41" s="39" t="s">
        <v>832</v>
      </c>
      <c r="N41" s="2" t="s">
        <v>22</v>
      </c>
      <c r="O41" s="2" t="s">
        <v>22</v>
      </c>
      <c r="P41" s="2" t="s">
        <v>22</v>
      </c>
      <c r="Q41" s="2"/>
    </row>
    <row r="42" customFormat="false" ht="15" hidden="false" customHeight="false" outlineLevel="0" collapsed="false">
      <c r="A42" s="2" t="s">
        <v>364</v>
      </c>
      <c r="B42" s="2" t="s">
        <v>45</v>
      </c>
      <c r="C42" s="14" t="s">
        <v>1110</v>
      </c>
      <c r="D42" s="42" t="n">
        <v>19167</v>
      </c>
      <c r="E42" s="2" t="s">
        <v>821</v>
      </c>
      <c r="F42" s="43" t="n">
        <v>0.746595711378933</v>
      </c>
      <c r="G42" s="31" t="n">
        <v>65</v>
      </c>
      <c r="H42" s="41" t="n">
        <v>0.100855780828212</v>
      </c>
      <c r="I42" s="31" t="n">
        <v>53.3</v>
      </c>
      <c r="J42" s="2" t="s">
        <v>2883</v>
      </c>
      <c r="K42" s="44" t="n">
        <v>0.107391029690461</v>
      </c>
      <c r="L42" s="31" t="n">
        <v>38.2</v>
      </c>
      <c r="M42" s="34" t="s">
        <v>822</v>
      </c>
      <c r="N42" s="2" t="s">
        <v>22</v>
      </c>
      <c r="O42" s="2" t="s">
        <v>22</v>
      </c>
      <c r="P42" s="2" t="s">
        <v>22</v>
      </c>
      <c r="Q42" s="2" t="s">
        <v>22</v>
      </c>
    </row>
    <row r="43" customFormat="false" ht="15" hidden="false" customHeight="false" outlineLevel="0" collapsed="false">
      <c r="A43" s="2" t="s">
        <v>364</v>
      </c>
      <c r="B43" s="2" t="s">
        <v>46</v>
      </c>
      <c r="C43" s="13" t="s">
        <v>1803</v>
      </c>
      <c r="D43" s="29" t="n">
        <v>137760</v>
      </c>
      <c r="E43" s="2" t="s">
        <v>827</v>
      </c>
      <c r="F43" s="30" t="n">
        <v>4.14128919860627</v>
      </c>
      <c r="G43" s="31" t="n">
        <v>65.6</v>
      </c>
      <c r="H43" s="32" t="n">
        <v>0.211289897124769</v>
      </c>
      <c r="I43" s="31" t="n">
        <v>98.7</v>
      </c>
      <c r="J43" s="2" t="s">
        <v>2888</v>
      </c>
      <c r="K43" s="33" t="n">
        <v>0.381278183797232</v>
      </c>
      <c r="L43" s="31" t="n">
        <v>96.5</v>
      </c>
      <c r="M43" s="34" t="s">
        <v>822</v>
      </c>
      <c r="N43" s="2" t="s">
        <v>24</v>
      </c>
      <c r="O43" s="2" t="s">
        <v>24</v>
      </c>
      <c r="P43" s="2" t="s">
        <v>24</v>
      </c>
      <c r="Q43" s="2" t="s">
        <v>24</v>
      </c>
    </row>
    <row r="44" customFormat="false" ht="15" hidden="false" customHeight="false" outlineLevel="0" collapsed="false">
      <c r="A44" s="2" t="s">
        <v>364</v>
      </c>
      <c r="B44" s="2" t="s">
        <v>47</v>
      </c>
      <c r="C44" s="14" t="s">
        <v>2592</v>
      </c>
      <c r="D44" s="42" t="n">
        <v>2681</v>
      </c>
      <c r="E44" s="2" t="s">
        <v>825</v>
      </c>
      <c r="F44" s="43" t="n">
        <v>1.09474076837001</v>
      </c>
      <c r="G44" s="31" t="n">
        <v>42</v>
      </c>
      <c r="H44" s="41" t="n">
        <v>0.147197261446299</v>
      </c>
      <c r="I44" s="31" t="n">
        <v>67.5</v>
      </c>
      <c r="J44" s="2" t="s">
        <v>2889</v>
      </c>
      <c r="K44" s="44" t="n">
        <v>0.113475177304965</v>
      </c>
      <c r="L44" s="31" t="n">
        <v>63.3</v>
      </c>
      <c r="M44" s="34" t="s">
        <v>822</v>
      </c>
      <c r="N44" s="2" t="s">
        <v>22</v>
      </c>
      <c r="O44" s="2" t="s">
        <v>22</v>
      </c>
      <c r="P44" s="2" t="s">
        <v>22</v>
      </c>
      <c r="Q44" s="2" t="s">
        <v>22</v>
      </c>
    </row>
    <row r="45" customFormat="false" ht="15" hidden="false" customHeight="false" outlineLevel="0" collapsed="false">
      <c r="A45" s="2" t="s">
        <v>500</v>
      </c>
      <c r="B45" s="2" t="s">
        <v>45</v>
      </c>
      <c r="C45" s="13" t="s">
        <v>1135</v>
      </c>
      <c r="D45" s="29" t="n">
        <v>58280</v>
      </c>
      <c r="E45" s="2" t="s">
        <v>821</v>
      </c>
      <c r="F45" s="30" t="n">
        <v>0.711616334934798</v>
      </c>
      <c r="G45" s="31" t="n">
        <v>62.4</v>
      </c>
      <c r="H45" s="32" t="n">
        <v>0.0416443252904379</v>
      </c>
      <c r="I45" s="31" t="n">
        <v>23</v>
      </c>
      <c r="J45" s="2" t="s">
        <v>2883</v>
      </c>
      <c r="K45" s="40" t="s">
        <v>857</v>
      </c>
      <c r="L45" s="31"/>
      <c r="M45" s="34" t="s">
        <v>822</v>
      </c>
      <c r="N45" s="2" t="s">
        <v>24</v>
      </c>
      <c r="O45" s="2" t="s">
        <v>24</v>
      </c>
      <c r="P45" s="2" t="s">
        <v>24</v>
      </c>
      <c r="Q45" s="2" t="s">
        <v>2885</v>
      </c>
    </row>
    <row r="46" customFormat="false" ht="15" hidden="false" customHeight="false" outlineLevel="0" collapsed="false">
      <c r="A46" s="2" t="s">
        <v>500</v>
      </c>
      <c r="B46" s="2" t="s">
        <v>47</v>
      </c>
      <c r="C46" s="14" t="s">
        <v>2644</v>
      </c>
      <c r="D46" s="29" t="n">
        <v>8780</v>
      </c>
      <c r="E46" s="2" t="s">
        <v>825</v>
      </c>
      <c r="F46" s="30" t="n">
        <v>0.912072892938497</v>
      </c>
      <c r="G46" s="31" t="n">
        <v>34.7</v>
      </c>
      <c r="H46" s="32" t="n">
        <v>0.0681265206812652</v>
      </c>
      <c r="I46" s="31" t="n">
        <v>36.2</v>
      </c>
      <c r="J46" s="2" t="s">
        <v>2889</v>
      </c>
      <c r="K46" s="33" t="n">
        <v>0.06</v>
      </c>
      <c r="L46" s="31" t="n">
        <v>37.5</v>
      </c>
      <c r="M46" s="34" t="s">
        <v>822</v>
      </c>
      <c r="N46" s="2" t="s">
        <v>24</v>
      </c>
      <c r="O46" s="2" t="s">
        <v>24</v>
      </c>
      <c r="P46" s="2" t="s">
        <v>24</v>
      </c>
      <c r="Q46" s="2" t="s">
        <v>24</v>
      </c>
    </row>
    <row r="47" customFormat="false" ht="15" hidden="false" customHeight="false" outlineLevel="0" collapsed="false">
      <c r="A47" s="2" t="s">
        <v>940</v>
      </c>
      <c r="B47" s="2" t="s">
        <v>45</v>
      </c>
      <c r="C47" s="13" t="s">
        <v>941</v>
      </c>
      <c r="D47" s="29" t="n">
        <v>50410</v>
      </c>
      <c r="E47" s="2" t="s">
        <v>821</v>
      </c>
      <c r="F47" s="30" t="n">
        <v>1.28972426105931</v>
      </c>
      <c r="G47" s="31" t="n">
        <v>85.8</v>
      </c>
      <c r="H47" s="32" t="n">
        <v>0.0495523631063918</v>
      </c>
      <c r="I47" s="31" t="n">
        <v>26.8</v>
      </c>
      <c r="J47" s="2" t="s">
        <v>2883</v>
      </c>
      <c r="K47" s="33" t="n">
        <v>0.0572851805728518</v>
      </c>
      <c r="L47" s="31" t="n">
        <v>18.6</v>
      </c>
      <c r="M47" s="34" t="s">
        <v>822</v>
      </c>
      <c r="N47" s="2" t="s">
        <v>24</v>
      </c>
      <c r="O47" s="2" t="s">
        <v>24</v>
      </c>
      <c r="P47" s="2" t="s">
        <v>24</v>
      </c>
      <c r="Q47" s="2" t="s">
        <v>24</v>
      </c>
    </row>
    <row r="48" customFormat="false" ht="15" hidden="false" customHeight="false" outlineLevel="0" collapsed="false">
      <c r="A48" s="2" t="s">
        <v>940</v>
      </c>
      <c r="B48" s="2" t="s">
        <v>46</v>
      </c>
      <c r="C48" s="15" t="s">
        <v>2896</v>
      </c>
      <c r="D48" s="46" t="n">
        <v>19771</v>
      </c>
      <c r="E48" s="2" t="s">
        <v>821</v>
      </c>
      <c r="F48" s="47" t="n">
        <v>16.9644428708715</v>
      </c>
      <c r="G48" s="31" t="n">
        <v>99</v>
      </c>
      <c r="H48" s="48" t="n">
        <v>0.0859606723058332</v>
      </c>
      <c r="I48" s="31" t="n">
        <v>52.4</v>
      </c>
      <c r="J48" s="2" t="s">
        <v>2884</v>
      </c>
      <c r="K48" s="38"/>
      <c r="L48" s="31"/>
      <c r="M48" s="39" t="s">
        <v>832</v>
      </c>
      <c r="N48" s="2" t="s">
        <v>19</v>
      </c>
      <c r="O48" s="2" t="s">
        <v>19</v>
      </c>
      <c r="P48" s="2" t="s">
        <v>19</v>
      </c>
      <c r="Q48" s="2"/>
    </row>
    <row r="49" customFormat="false" ht="15" hidden="false" customHeight="false" outlineLevel="0" collapsed="false">
      <c r="A49" s="2" t="s">
        <v>940</v>
      </c>
      <c r="B49" s="2" t="s">
        <v>47</v>
      </c>
      <c r="C49" s="13" t="s">
        <v>2517</v>
      </c>
      <c r="D49" s="29" t="n">
        <v>117820</v>
      </c>
      <c r="E49" s="2" t="s">
        <v>827</v>
      </c>
      <c r="F49" s="30" t="n">
        <v>1.32100662026821</v>
      </c>
      <c r="G49" s="31" t="n">
        <v>52.9</v>
      </c>
      <c r="H49" s="32" t="n">
        <v>0.0421015390058376</v>
      </c>
      <c r="I49" s="31" t="n">
        <v>27.3</v>
      </c>
      <c r="J49" s="2" t="s">
        <v>2897</v>
      </c>
      <c r="K49" s="33" t="n">
        <v>0.00836187789643361</v>
      </c>
      <c r="L49" s="31" t="n">
        <v>5.9</v>
      </c>
      <c r="M49" s="34" t="s">
        <v>822</v>
      </c>
      <c r="N49" s="2" t="s">
        <v>24</v>
      </c>
      <c r="O49" s="2" t="s">
        <v>24</v>
      </c>
      <c r="P49" s="2" t="s">
        <v>24</v>
      </c>
      <c r="Q49" s="2" t="s">
        <v>24</v>
      </c>
    </row>
    <row r="50" customFormat="false" ht="15" hidden="false" customHeight="false" outlineLevel="0" collapsed="false">
      <c r="A50" s="2" t="s">
        <v>220</v>
      </c>
      <c r="B50" s="2" t="s">
        <v>45</v>
      </c>
      <c r="C50" s="13" t="s">
        <v>853</v>
      </c>
      <c r="D50" s="29" t="n">
        <v>32330</v>
      </c>
      <c r="E50" s="2" t="s">
        <v>821</v>
      </c>
      <c r="F50" s="30" t="n">
        <v>2.31459944324157</v>
      </c>
      <c r="G50" s="31" t="n">
        <v>96.8</v>
      </c>
      <c r="H50" s="32" t="n">
        <v>0.226479514415782</v>
      </c>
      <c r="I50" s="31" t="n">
        <v>95.9</v>
      </c>
      <c r="J50" s="2" t="s">
        <v>2883</v>
      </c>
      <c r="K50" s="33" t="n">
        <v>0.116797900262467</v>
      </c>
      <c r="L50" s="31" t="n">
        <v>43.6</v>
      </c>
      <c r="M50" s="34" t="s">
        <v>822</v>
      </c>
      <c r="N50" s="2" t="s">
        <v>24</v>
      </c>
      <c r="O50" s="2" t="s">
        <v>24</v>
      </c>
      <c r="P50" s="2" t="s">
        <v>24</v>
      </c>
      <c r="Q50" s="2" t="s">
        <v>24</v>
      </c>
    </row>
    <row r="51" customFormat="false" ht="15" hidden="false" customHeight="false" outlineLevel="0" collapsed="false">
      <c r="A51" s="2" t="s">
        <v>220</v>
      </c>
      <c r="B51" s="2" t="s">
        <v>46</v>
      </c>
      <c r="C51" s="13" t="s">
        <v>2001</v>
      </c>
      <c r="D51" s="29" t="n">
        <v>51530</v>
      </c>
      <c r="E51" s="2" t="s">
        <v>821</v>
      </c>
      <c r="F51" s="30" t="n">
        <v>2.3613623132156</v>
      </c>
      <c r="G51" s="31" t="n">
        <v>34</v>
      </c>
      <c r="H51" s="32" t="n">
        <v>0.0312187312387433</v>
      </c>
      <c r="I51" s="31" t="n">
        <v>22.2</v>
      </c>
      <c r="J51" s="2" t="s">
        <v>2884</v>
      </c>
      <c r="K51" s="33" t="n">
        <v>0.247946611909651</v>
      </c>
      <c r="L51" s="31" t="n">
        <v>81.5</v>
      </c>
      <c r="M51" s="34" t="s">
        <v>822</v>
      </c>
      <c r="N51" s="2" t="s">
        <v>24</v>
      </c>
      <c r="O51" s="2" t="s">
        <v>24</v>
      </c>
      <c r="P51" s="2" t="s">
        <v>24</v>
      </c>
      <c r="Q51" s="2" t="s">
        <v>24</v>
      </c>
    </row>
    <row r="52" customFormat="false" ht="15" hidden="false" customHeight="false" outlineLevel="0" collapsed="false">
      <c r="A52" s="2" t="s">
        <v>220</v>
      </c>
      <c r="B52" s="2" t="s">
        <v>47</v>
      </c>
      <c r="C52" s="14" t="s">
        <v>2300</v>
      </c>
      <c r="D52" s="42" t="n">
        <v>126028</v>
      </c>
      <c r="E52" s="2" t="s">
        <v>827</v>
      </c>
      <c r="F52" s="43" t="n">
        <v>2.7619179864792</v>
      </c>
      <c r="G52" s="31" t="n">
        <v>87.5</v>
      </c>
      <c r="H52" s="41" t="n">
        <v>0.0521095954452106</v>
      </c>
      <c r="I52" s="31" t="n">
        <v>32.3</v>
      </c>
      <c r="J52" s="2" t="s">
        <v>2897</v>
      </c>
      <c r="K52" s="44" t="n">
        <v>0.031961616534416</v>
      </c>
      <c r="L52" s="31" t="n">
        <v>21.1</v>
      </c>
      <c r="M52" s="34" t="s">
        <v>822</v>
      </c>
      <c r="N52" s="2" t="s">
        <v>22</v>
      </c>
      <c r="O52" s="2" t="s">
        <v>22</v>
      </c>
      <c r="P52" s="2" t="s">
        <v>22</v>
      </c>
      <c r="Q52" s="2" t="s">
        <v>22</v>
      </c>
    </row>
    <row r="53" customFormat="false" ht="15" hidden="false" customHeight="false" outlineLevel="0" collapsed="false">
      <c r="A53" s="2" t="s">
        <v>1090</v>
      </c>
      <c r="B53" s="2" t="s">
        <v>45</v>
      </c>
      <c r="C53" s="15" t="s">
        <v>1091</v>
      </c>
      <c r="D53" s="46" t="n">
        <v>230295</v>
      </c>
      <c r="E53" s="2" t="s">
        <v>827</v>
      </c>
      <c r="F53" s="47" t="n">
        <v>0.808549903384789</v>
      </c>
      <c r="G53" s="31" t="n">
        <v>68.4</v>
      </c>
      <c r="H53" s="48" t="n">
        <v>0.077146505395204</v>
      </c>
      <c r="I53" s="31" t="n">
        <v>44.3</v>
      </c>
      <c r="J53" s="2" t="s">
        <v>2890</v>
      </c>
      <c r="K53" s="40" t="s">
        <v>857</v>
      </c>
      <c r="L53" s="31"/>
      <c r="M53" s="34" t="s">
        <v>822</v>
      </c>
      <c r="N53" s="2" t="s">
        <v>19</v>
      </c>
      <c r="O53" s="2" t="s">
        <v>19</v>
      </c>
      <c r="P53" s="2" t="s">
        <v>19</v>
      </c>
      <c r="Q53" s="2" t="s">
        <v>2898</v>
      </c>
    </row>
    <row r="54" customFormat="false" ht="15" hidden="false" customHeight="false" outlineLevel="0" collapsed="false">
      <c r="A54" s="2" t="s">
        <v>1090</v>
      </c>
      <c r="B54" s="2" t="s">
        <v>46</v>
      </c>
      <c r="C54" s="16"/>
      <c r="D54" s="35"/>
      <c r="E54" s="2"/>
      <c r="F54" s="36"/>
      <c r="G54" s="31"/>
      <c r="H54" s="37"/>
      <c r="I54" s="31"/>
      <c r="J54" s="2"/>
      <c r="K54" s="38"/>
      <c r="L54" s="31"/>
      <c r="M54" s="39" t="s">
        <v>832</v>
      </c>
      <c r="N54" s="2"/>
      <c r="O54" s="2"/>
      <c r="P54" s="2"/>
      <c r="Q54" s="2"/>
    </row>
    <row r="55" customFormat="false" ht="15" hidden="false" customHeight="false" outlineLevel="0" collapsed="false">
      <c r="A55" s="2" t="s">
        <v>1273</v>
      </c>
      <c r="B55" s="2" t="s">
        <v>45</v>
      </c>
      <c r="C55" s="14" t="s">
        <v>1274</v>
      </c>
      <c r="D55" s="42" t="n">
        <v>6348</v>
      </c>
      <c r="E55" s="2" t="s">
        <v>825</v>
      </c>
      <c r="F55" s="43" t="n">
        <v>0.519061121613107</v>
      </c>
      <c r="G55" s="31" t="n">
        <v>44</v>
      </c>
      <c r="H55" s="41" t="n">
        <v>0.100745621640368</v>
      </c>
      <c r="I55" s="31" t="n">
        <v>50.7</v>
      </c>
      <c r="J55" s="2" t="s">
        <v>2899</v>
      </c>
      <c r="K55" s="44" t="n">
        <v>0.0344827586206897</v>
      </c>
      <c r="L55" s="31" t="n">
        <v>10.7</v>
      </c>
      <c r="M55" s="34" t="s">
        <v>822</v>
      </c>
      <c r="N55" s="2" t="s">
        <v>22</v>
      </c>
      <c r="O55" s="2" t="s">
        <v>22</v>
      </c>
      <c r="P55" s="2" t="s">
        <v>22</v>
      </c>
      <c r="Q55" s="2" t="s">
        <v>22</v>
      </c>
    </row>
    <row r="56" customFormat="false" ht="15" hidden="false" customHeight="false" outlineLevel="0" collapsed="false">
      <c r="A56" s="2" t="s">
        <v>1273</v>
      </c>
      <c r="B56" s="2" t="s">
        <v>46</v>
      </c>
      <c r="C56" s="16"/>
      <c r="D56" s="35"/>
      <c r="E56" s="2"/>
      <c r="F56" s="36"/>
      <c r="G56" s="31"/>
      <c r="H56" s="37"/>
      <c r="I56" s="31"/>
      <c r="J56" s="2"/>
      <c r="K56" s="38"/>
      <c r="L56" s="31"/>
      <c r="M56" s="39" t="s">
        <v>832</v>
      </c>
      <c r="N56" s="2"/>
      <c r="O56" s="2"/>
      <c r="P56" s="2"/>
      <c r="Q56" s="2"/>
    </row>
    <row r="57" customFormat="false" ht="15" hidden="false" customHeight="false" outlineLevel="0" collapsed="false">
      <c r="A57" s="2" t="s">
        <v>1273</v>
      </c>
      <c r="B57" s="2" t="s">
        <v>47</v>
      </c>
      <c r="C57" s="13" t="s">
        <v>2697</v>
      </c>
      <c r="D57" s="29" t="n">
        <v>211120</v>
      </c>
      <c r="E57" s="2" t="s">
        <v>827</v>
      </c>
      <c r="F57" s="30" t="n">
        <v>0.764655172413793</v>
      </c>
      <c r="G57" s="31" t="n">
        <v>26.1</v>
      </c>
      <c r="H57" s="32" t="n">
        <v>0.0484704012713548</v>
      </c>
      <c r="I57" s="31" t="n">
        <v>30.4</v>
      </c>
      <c r="J57" s="2" t="s">
        <v>2897</v>
      </c>
      <c r="K57" s="33" t="n">
        <v>0.0131862449366543</v>
      </c>
      <c r="L57" s="31" t="n">
        <v>9.1</v>
      </c>
      <c r="M57" s="34" t="s">
        <v>822</v>
      </c>
      <c r="N57" s="2" t="s">
        <v>24</v>
      </c>
      <c r="O57" s="2" t="s">
        <v>24</v>
      </c>
      <c r="P57" s="2" t="s">
        <v>24</v>
      </c>
      <c r="Q57" s="2" t="s">
        <v>24</v>
      </c>
    </row>
    <row r="58" customFormat="false" ht="15" hidden="false" customHeight="false" outlineLevel="0" collapsed="false">
      <c r="A58" s="2" t="s">
        <v>90</v>
      </c>
      <c r="B58" s="2" t="s">
        <v>45</v>
      </c>
      <c r="C58" s="13" t="s">
        <v>890</v>
      </c>
      <c r="D58" s="29" t="n">
        <v>20130</v>
      </c>
      <c r="E58" s="2" t="s">
        <v>821</v>
      </c>
      <c r="F58" s="30" t="n">
        <v>1.77675111773472</v>
      </c>
      <c r="G58" s="31" t="n">
        <v>93.4</v>
      </c>
      <c r="H58" s="32" t="n">
        <v>0.0970027247956403</v>
      </c>
      <c r="I58" s="31" t="n">
        <v>50.2</v>
      </c>
      <c r="J58" s="2" t="s">
        <v>2883</v>
      </c>
      <c r="K58" s="40" t="s">
        <v>857</v>
      </c>
      <c r="L58" s="31"/>
      <c r="M58" s="34" t="s">
        <v>822</v>
      </c>
      <c r="N58" s="2" t="s">
        <v>24</v>
      </c>
      <c r="O58" s="2" t="s">
        <v>24</v>
      </c>
      <c r="P58" s="2" t="s">
        <v>24</v>
      </c>
      <c r="Q58" s="2" t="s">
        <v>2885</v>
      </c>
    </row>
    <row r="59" customFormat="false" ht="15" hidden="false" customHeight="false" outlineLevel="0" collapsed="false">
      <c r="A59" s="2" t="s">
        <v>90</v>
      </c>
      <c r="B59" s="2" t="s">
        <v>47</v>
      </c>
      <c r="C59" s="14" t="s">
        <v>2230</v>
      </c>
      <c r="D59" s="42" t="n">
        <v>175579</v>
      </c>
      <c r="E59" s="2" t="s">
        <v>827</v>
      </c>
      <c r="F59" s="43" t="n">
        <v>4.74658131097683</v>
      </c>
      <c r="G59" s="31" t="n">
        <v>97.4</v>
      </c>
      <c r="H59" s="41" t="n">
        <v>0.0749954080695525</v>
      </c>
      <c r="I59" s="31" t="n">
        <v>45.3</v>
      </c>
      <c r="J59" s="2" t="s">
        <v>2897</v>
      </c>
      <c r="K59" s="44" t="n">
        <v>0.132590716042024</v>
      </c>
      <c r="L59" s="31" t="n">
        <v>69</v>
      </c>
      <c r="M59" s="34" t="s">
        <v>822</v>
      </c>
      <c r="N59" s="2" t="s">
        <v>22</v>
      </c>
      <c r="O59" s="2" t="s">
        <v>22</v>
      </c>
      <c r="P59" s="2" t="s">
        <v>22</v>
      </c>
      <c r="Q59" s="2" t="s">
        <v>22</v>
      </c>
    </row>
    <row r="60" customFormat="false" ht="15" hidden="false" customHeight="false" outlineLevel="0" collapsed="false">
      <c r="A60" s="2" t="s">
        <v>314</v>
      </c>
      <c r="B60" s="2" t="s">
        <v>46</v>
      </c>
      <c r="C60" s="13" t="s">
        <v>1780</v>
      </c>
      <c r="D60" s="29" t="n">
        <v>12010</v>
      </c>
      <c r="E60" s="2" t="s">
        <v>821</v>
      </c>
      <c r="F60" s="30" t="n">
        <v>4.42206494587844</v>
      </c>
      <c r="G60" s="31" t="n">
        <v>69</v>
      </c>
      <c r="H60" s="32" t="n">
        <v>0.100824931255729</v>
      </c>
      <c r="I60" s="31" t="n">
        <v>57.8</v>
      </c>
      <c r="J60" s="2" t="s">
        <v>2884</v>
      </c>
      <c r="K60" s="33" t="n">
        <v>0.18737388296339</v>
      </c>
      <c r="L60" s="31" t="n">
        <v>66.2</v>
      </c>
      <c r="M60" s="34" t="s">
        <v>822</v>
      </c>
      <c r="N60" s="2" t="s">
        <v>24</v>
      </c>
      <c r="O60" s="2" t="s">
        <v>24</v>
      </c>
      <c r="P60" s="2" t="s">
        <v>24</v>
      </c>
      <c r="Q60" s="2" t="s">
        <v>24</v>
      </c>
    </row>
    <row r="61" customFormat="false" ht="15" hidden="false" customHeight="false" outlineLevel="0" collapsed="false">
      <c r="A61" s="2" t="s">
        <v>314</v>
      </c>
      <c r="B61" s="2" t="s">
        <v>47</v>
      </c>
      <c r="C61" s="14" t="s">
        <v>2498</v>
      </c>
      <c r="D61" s="42" t="n">
        <v>7447</v>
      </c>
      <c r="E61" s="2" t="s">
        <v>825</v>
      </c>
      <c r="F61" s="43" t="n">
        <v>1.39559554182892</v>
      </c>
      <c r="G61" s="31" t="n">
        <v>55.7</v>
      </c>
      <c r="H61" s="41" t="n">
        <v>0.0469562772388584</v>
      </c>
      <c r="I61" s="31" t="n">
        <v>26.2</v>
      </c>
      <c r="J61" s="2" t="s">
        <v>2889</v>
      </c>
      <c r="K61" s="44" t="n">
        <v>0.10580204778157</v>
      </c>
      <c r="L61" s="31" t="n">
        <v>61.1</v>
      </c>
      <c r="M61" s="34" t="s">
        <v>822</v>
      </c>
      <c r="N61" s="2" t="s">
        <v>22</v>
      </c>
      <c r="O61" s="2" t="s">
        <v>22</v>
      </c>
      <c r="P61" s="2" t="s">
        <v>22</v>
      </c>
      <c r="Q61" s="2" t="s">
        <v>22</v>
      </c>
    </row>
    <row r="62" customFormat="false" ht="15" hidden="false" customHeight="false" outlineLevel="0" collapsed="false">
      <c r="A62" s="2" t="s">
        <v>2900</v>
      </c>
      <c r="B62" s="2" t="s">
        <v>45</v>
      </c>
      <c r="C62" s="13" t="s">
        <v>2901</v>
      </c>
      <c r="D62" s="46" t="n">
        <v>296963</v>
      </c>
      <c r="E62" s="2" t="s">
        <v>827</v>
      </c>
      <c r="F62" s="36"/>
      <c r="G62" s="31"/>
      <c r="H62" s="48" t="n">
        <v>0.105196559693633</v>
      </c>
      <c r="I62" s="31" t="n">
        <v>62.9</v>
      </c>
      <c r="J62" s="2" t="s">
        <v>2890</v>
      </c>
      <c r="K62" s="33" t="n">
        <v>0.226608641591545</v>
      </c>
      <c r="L62" s="31" t="n">
        <v>77.6</v>
      </c>
      <c r="M62" s="39" t="s">
        <v>832</v>
      </c>
      <c r="N62" s="2" t="s">
        <v>19</v>
      </c>
      <c r="O62" s="2" t="s">
        <v>2902</v>
      </c>
      <c r="P62" s="2" t="s">
        <v>19</v>
      </c>
      <c r="Q62" s="2" t="s">
        <v>24</v>
      </c>
    </row>
    <row r="63" customFormat="false" ht="15" hidden="false" customHeight="false" outlineLevel="0" collapsed="false">
      <c r="A63" s="2" t="s">
        <v>2900</v>
      </c>
      <c r="B63" s="2" t="s">
        <v>47</v>
      </c>
      <c r="C63" s="16"/>
      <c r="D63" s="35"/>
      <c r="E63" s="2"/>
      <c r="F63" s="36"/>
      <c r="G63" s="31"/>
      <c r="H63" s="37"/>
      <c r="I63" s="31"/>
      <c r="J63" s="2"/>
      <c r="K63" s="38"/>
      <c r="L63" s="31"/>
      <c r="M63" s="39" t="s">
        <v>832</v>
      </c>
      <c r="N63" s="2"/>
      <c r="O63" s="2"/>
      <c r="P63" s="2"/>
      <c r="Q63" s="2"/>
    </row>
    <row r="64" customFormat="false" ht="15" hidden="false" customHeight="false" outlineLevel="0" collapsed="false">
      <c r="A64" s="2" t="s">
        <v>710</v>
      </c>
      <c r="B64" s="2" t="s">
        <v>45</v>
      </c>
      <c r="C64" s="13" t="s">
        <v>1504</v>
      </c>
      <c r="D64" s="29" t="n">
        <v>694040</v>
      </c>
      <c r="E64" s="2" t="s">
        <v>827</v>
      </c>
      <c r="F64" s="30" t="n">
        <v>0.25214685032563</v>
      </c>
      <c r="G64" s="31" t="n">
        <v>13</v>
      </c>
      <c r="H64" s="32" t="n">
        <v>0.102893737386579</v>
      </c>
      <c r="I64" s="31" t="n">
        <v>59.3</v>
      </c>
      <c r="J64" s="2" t="s">
        <v>2890</v>
      </c>
      <c r="K64" s="33" t="n">
        <v>0.0953568842037499</v>
      </c>
      <c r="L64" s="31" t="n">
        <v>34.5</v>
      </c>
      <c r="M64" s="34" t="s">
        <v>822</v>
      </c>
      <c r="N64" s="2" t="s">
        <v>24</v>
      </c>
      <c r="O64" s="2" t="s">
        <v>24</v>
      </c>
      <c r="P64" s="2" t="s">
        <v>24</v>
      </c>
      <c r="Q64" s="2" t="s">
        <v>24</v>
      </c>
    </row>
    <row r="65" customFormat="false" ht="15" hidden="false" customHeight="false" outlineLevel="0" collapsed="false">
      <c r="A65" s="2" t="s">
        <v>710</v>
      </c>
      <c r="B65" s="2" t="s">
        <v>46</v>
      </c>
      <c r="C65" s="13" t="s">
        <v>2109</v>
      </c>
      <c r="D65" s="42" t="n">
        <v>28401</v>
      </c>
      <c r="E65" s="2" t="s">
        <v>821</v>
      </c>
      <c r="F65" s="43" t="n">
        <v>1.47188479278899</v>
      </c>
      <c r="G65" s="31" t="n">
        <v>15.7</v>
      </c>
      <c r="H65" s="41" t="n">
        <v>0.0650641266031651</v>
      </c>
      <c r="I65" s="31" t="n">
        <v>38.2</v>
      </c>
      <c r="J65" s="2" t="s">
        <v>2884</v>
      </c>
      <c r="K65" s="33" t="n">
        <v>0.249379212486697</v>
      </c>
      <c r="L65" s="31" t="n">
        <v>81.7</v>
      </c>
      <c r="M65" s="34" t="s">
        <v>822</v>
      </c>
      <c r="N65" s="2" t="s">
        <v>22</v>
      </c>
      <c r="O65" s="2" t="s">
        <v>22</v>
      </c>
      <c r="P65" s="2" t="s">
        <v>22</v>
      </c>
      <c r="Q65" s="2" t="s">
        <v>24</v>
      </c>
    </row>
    <row r="66" customFormat="false" ht="15" hidden="false" customHeight="false" outlineLevel="0" collapsed="false">
      <c r="A66" s="2" t="s">
        <v>710</v>
      </c>
      <c r="B66" s="2" t="s">
        <v>47</v>
      </c>
      <c r="C66" s="13" t="s">
        <v>2521</v>
      </c>
      <c r="D66" s="29" t="n">
        <v>42090</v>
      </c>
      <c r="E66" s="2" t="s">
        <v>821</v>
      </c>
      <c r="F66" s="30" t="n">
        <v>1.31494416726063</v>
      </c>
      <c r="G66" s="31" t="n">
        <v>52.6</v>
      </c>
      <c r="H66" s="32" t="n">
        <v>0.0935307872174591</v>
      </c>
      <c r="I66" s="31" t="n">
        <v>48.7</v>
      </c>
      <c r="J66" s="2" t="s">
        <v>2886</v>
      </c>
      <c r="K66" s="33" t="n">
        <v>0.280609563846558</v>
      </c>
      <c r="L66" s="31" t="n">
        <v>95.9</v>
      </c>
      <c r="M66" s="34" t="s">
        <v>822</v>
      </c>
      <c r="N66" s="2" t="s">
        <v>24</v>
      </c>
      <c r="O66" s="2" t="s">
        <v>24</v>
      </c>
      <c r="P66" s="2" t="s">
        <v>24</v>
      </c>
      <c r="Q66" s="2" t="s">
        <v>24</v>
      </c>
    </row>
    <row r="67" customFormat="false" ht="15" hidden="false" customHeight="false" outlineLevel="0" collapsed="false">
      <c r="A67" s="2" t="s">
        <v>2903</v>
      </c>
      <c r="B67" s="2" t="s">
        <v>45</v>
      </c>
      <c r="C67" s="15" t="s">
        <v>2904</v>
      </c>
      <c r="D67" s="46" t="n">
        <v>17919</v>
      </c>
      <c r="E67" s="2" t="s">
        <v>821</v>
      </c>
      <c r="F67" s="47" t="n">
        <v>0.287292817679558</v>
      </c>
      <c r="G67" s="31" t="n">
        <v>15.9</v>
      </c>
      <c r="H67" s="48" t="n">
        <v>0.17810650887574</v>
      </c>
      <c r="I67" s="31" t="n">
        <v>86.3</v>
      </c>
      <c r="J67" s="2" t="s">
        <v>2883</v>
      </c>
      <c r="K67" s="38"/>
      <c r="L67" s="31"/>
      <c r="M67" s="39" t="s">
        <v>832</v>
      </c>
      <c r="N67" s="2" t="s">
        <v>19</v>
      </c>
      <c r="O67" s="2" t="s">
        <v>19</v>
      </c>
      <c r="P67" s="2" t="s">
        <v>19</v>
      </c>
      <c r="Q67" s="2"/>
    </row>
    <row r="68" customFormat="false" ht="15" hidden="false" customHeight="false" outlineLevel="0" collapsed="false">
      <c r="A68" s="2" t="s">
        <v>2903</v>
      </c>
      <c r="B68" s="2" t="s">
        <v>47</v>
      </c>
      <c r="C68" s="16"/>
      <c r="D68" s="35"/>
      <c r="E68" s="2"/>
      <c r="F68" s="36"/>
      <c r="G68" s="31"/>
      <c r="H68" s="37"/>
      <c r="I68" s="31"/>
      <c r="J68" s="2"/>
      <c r="K68" s="38"/>
      <c r="L68" s="31"/>
      <c r="M68" s="39" t="s">
        <v>832</v>
      </c>
      <c r="N68" s="2"/>
      <c r="O68" s="2"/>
      <c r="P68" s="2"/>
      <c r="Q68" s="2"/>
    </row>
    <row r="69" customFormat="false" ht="15" hidden="false" customHeight="false" outlineLevel="0" collapsed="false">
      <c r="A69" s="2" t="s">
        <v>614</v>
      </c>
      <c r="B69" s="2" t="s">
        <v>46</v>
      </c>
      <c r="C69" s="13" t="s">
        <v>1977</v>
      </c>
      <c r="D69" s="29" t="n">
        <v>9120</v>
      </c>
      <c r="E69" s="2" t="s">
        <v>825</v>
      </c>
      <c r="F69" s="30" t="n">
        <v>2.49046052631579</v>
      </c>
      <c r="G69" s="31" t="n">
        <v>38.1</v>
      </c>
      <c r="H69" s="32" t="n">
        <v>0.130111524163569</v>
      </c>
      <c r="I69" s="31" t="n">
        <v>58.5</v>
      </c>
      <c r="J69" s="2" t="s">
        <v>2905</v>
      </c>
      <c r="K69" s="33" t="n">
        <v>0.14968152866242</v>
      </c>
      <c r="L69" s="31" t="n">
        <v>55</v>
      </c>
      <c r="M69" s="34" t="s">
        <v>822</v>
      </c>
      <c r="N69" s="2" t="s">
        <v>24</v>
      </c>
      <c r="O69" s="2" t="s">
        <v>24</v>
      </c>
      <c r="P69" s="2" t="s">
        <v>24</v>
      </c>
      <c r="Q69" s="2" t="s">
        <v>24</v>
      </c>
    </row>
    <row r="70" customFormat="false" ht="15" hidden="false" customHeight="false" outlineLevel="0" collapsed="false">
      <c r="A70" s="2" t="s">
        <v>728</v>
      </c>
      <c r="B70" s="2" t="s">
        <v>45</v>
      </c>
      <c r="C70" s="13" t="s">
        <v>1528</v>
      </c>
      <c r="D70" s="29" t="n">
        <v>12800</v>
      </c>
      <c r="E70" s="2" t="s">
        <v>821</v>
      </c>
      <c r="F70" s="30" t="n">
        <v>0.204765625</v>
      </c>
      <c r="G70" s="31" t="n">
        <v>9.3</v>
      </c>
      <c r="H70" s="32" t="n">
        <v>-0.0383170548459805</v>
      </c>
      <c r="I70" s="31" t="n">
        <v>2.7</v>
      </c>
      <c r="J70" s="2" t="s">
        <v>2883</v>
      </c>
      <c r="K70" s="33" t="n">
        <v>0</v>
      </c>
      <c r="L70" s="31" t="n">
        <v>1.3</v>
      </c>
      <c r="M70" s="34" t="s">
        <v>822</v>
      </c>
      <c r="N70" s="2" t="s">
        <v>24</v>
      </c>
      <c r="O70" s="2" t="s">
        <v>24</v>
      </c>
      <c r="P70" s="2" t="s">
        <v>24</v>
      </c>
      <c r="Q70" s="2" t="s">
        <v>24</v>
      </c>
    </row>
    <row r="71" customFormat="false" ht="15" hidden="false" customHeight="false" outlineLevel="0" collapsed="false">
      <c r="A71" s="2" t="s">
        <v>728</v>
      </c>
      <c r="B71" s="2" t="s">
        <v>47</v>
      </c>
      <c r="C71" s="14" t="s">
        <v>2599</v>
      </c>
      <c r="D71" s="42" t="n">
        <v>47823</v>
      </c>
      <c r="E71" s="2" t="s">
        <v>821</v>
      </c>
      <c r="F71" s="43" t="n">
        <v>1.06668339501913</v>
      </c>
      <c r="G71" s="31" t="n">
        <v>41.1</v>
      </c>
      <c r="H71" s="41" t="n">
        <v>0.184558604973744</v>
      </c>
      <c r="I71" s="31" t="n">
        <v>88.6</v>
      </c>
      <c r="J71" s="2" t="s">
        <v>2886</v>
      </c>
      <c r="K71" s="44" t="n">
        <v>0.0788131664348632</v>
      </c>
      <c r="L71" s="31" t="n">
        <v>48.6</v>
      </c>
      <c r="M71" s="34" t="s">
        <v>822</v>
      </c>
      <c r="N71" s="2" t="s">
        <v>22</v>
      </c>
      <c r="O71" s="2" t="s">
        <v>22</v>
      </c>
      <c r="P71" s="2" t="s">
        <v>22</v>
      </c>
      <c r="Q71" s="2" t="s">
        <v>22</v>
      </c>
    </row>
    <row r="72" customFormat="false" ht="15" hidden="false" customHeight="false" outlineLevel="0" collapsed="false">
      <c r="A72" s="2" t="s">
        <v>566</v>
      </c>
      <c r="B72" s="2" t="s">
        <v>45</v>
      </c>
      <c r="C72" s="13" t="s">
        <v>1068</v>
      </c>
      <c r="D72" s="29" t="n">
        <v>14840</v>
      </c>
      <c r="E72" s="2" t="s">
        <v>821</v>
      </c>
      <c r="F72" s="30" t="n">
        <v>0.838274932614555</v>
      </c>
      <c r="G72" s="31" t="n">
        <v>70.7</v>
      </c>
      <c r="H72" s="32" t="n">
        <v>0.0753623188405797</v>
      </c>
      <c r="I72" s="31" t="n">
        <v>40.5</v>
      </c>
      <c r="J72" s="2" t="s">
        <v>2883</v>
      </c>
      <c r="K72" s="33" t="n">
        <v>0.232699619771863</v>
      </c>
      <c r="L72" s="31" t="n">
        <v>79.5</v>
      </c>
      <c r="M72" s="34" t="s">
        <v>822</v>
      </c>
      <c r="N72" s="2" t="s">
        <v>24</v>
      </c>
      <c r="O72" s="2" t="s">
        <v>24</v>
      </c>
      <c r="P72" s="2" t="s">
        <v>24</v>
      </c>
      <c r="Q72" s="2" t="s">
        <v>24</v>
      </c>
    </row>
    <row r="73" customFormat="false" ht="15" hidden="false" customHeight="false" outlineLevel="0" collapsed="false">
      <c r="A73" s="2" t="s">
        <v>566</v>
      </c>
      <c r="B73" s="2" t="s">
        <v>46</v>
      </c>
      <c r="C73" s="13" t="s">
        <v>2099</v>
      </c>
      <c r="D73" s="29" t="n">
        <v>2795520</v>
      </c>
      <c r="E73" s="2" t="s">
        <v>935</v>
      </c>
      <c r="F73" s="30" t="n">
        <v>1.52417940132784</v>
      </c>
      <c r="G73" s="31" t="n">
        <v>17.5</v>
      </c>
      <c r="H73" s="32" t="n">
        <v>0.133997785160576</v>
      </c>
      <c r="I73" s="31" t="n">
        <v>83.3</v>
      </c>
      <c r="J73" s="2" t="s">
        <v>2906</v>
      </c>
      <c r="K73" s="33" t="n">
        <v>0.021695738541968</v>
      </c>
      <c r="L73" s="31" t="n">
        <v>4.6</v>
      </c>
      <c r="M73" s="34" t="s">
        <v>822</v>
      </c>
      <c r="N73" s="2" t="s">
        <v>24</v>
      </c>
      <c r="O73" s="2" t="s">
        <v>24</v>
      </c>
      <c r="P73" s="2" t="s">
        <v>24</v>
      </c>
      <c r="Q73" s="2" t="s">
        <v>24</v>
      </c>
    </row>
    <row r="74" customFormat="false" ht="15" hidden="false" customHeight="false" outlineLevel="0" collapsed="false">
      <c r="A74" s="2" t="s">
        <v>566</v>
      </c>
      <c r="B74" s="2" t="s">
        <v>47</v>
      </c>
      <c r="C74" s="13" t="s">
        <v>2607</v>
      </c>
      <c r="D74" s="29" t="n">
        <v>78610</v>
      </c>
      <c r="E74" s="2" t="s">
        <v>821</v>
      </c>
      <c r="F74" s="30" t="n">
        <v>1.01920875206717</v>
      </c>
      <c r="G74" s="31" t="n">
        <v>39.7</v>
      </c>
      <c r="H74" s="32" t="n">
        <v>0.18050758372128</v>
      </c>
      <c r="I74" s="31" t="n">
        <v>87.3</v>
      </c>
      <c r="J74" s="2" t="s">
        <v>2886</v>
      </c>
      <c r="K74" s="33" t="n">
        <v>0.12474645030426</v>
      </c>
      <c r="L74" s="31" t="n">
        <v>66.7</v>
      </c>
      <c r="M74" s="34" t="s">
        <v>822</v>
      </c>
      <c r="N74" s="2" t="s">
        <v>24</v>
      </c>
      <c r="O74" s="2" t="s">
        <v>24</v>
      </c>
      <c r="P74" s="2" t="s">
        <v>24</v>
      </c>
      <c r="Q74" s="2" t="s">
        <v>24</v>
      </c>
    </row>
    <row r="75" customFormat="false" ht="15" hidden="false" customHeight="false" outlineLevel="0" collapsed="false">
      <c r="A75" s="2" t="s">
        <v>1079</v>
      </c>
      <c r="B75" s="2" t="s">
        <v>45</v>
      </c>
      <c r="C75" s="13" t="s">
        <v>1080</v>
      </c>
      <c r="D75" s="29" t="n">
        <v>29470</v>
      </c>
      <c r="E75" s="2" t="s">
        <v>821</v>
      </c>
      <c r="F75" s="30" t="n">
        <v>0.817373600271463</v>
      </c>
      <c r="G75" s="31" t="n">
        <v>69.4</v>
      </c>
      <c r="H75" s="32" t="n">
        <v>0.0983973164368245</v>
      </c>
      <c r="I75" s="31" t="n">
        <v>51.5</v>
      </c>
      <c r="J75" s="2" t="s">
        <v>2883</v>
      </c>
      <c r="K75" s="33" t="n">
        <v>0.348080676642811</v>
      </c>
      <c r="L75" s="31" t="n">
        <v>95.1</v>
      </c>
      <c r="M75" s="34" t="s">
        <v>822</v>
      </c>
      <c r="N75" s="2" t="s">
        <v>24</v>
      </c>
      <c r="O75" s="2" t="s">
        <v>24</v>
      </c>
      <c r="P75" s="2" t="s">
        <v>24</v>
      </c>
      <c r="Q75" s="2" t="s">
        <v>24</v>
      </c>
    </row>
    <row r="76" customFormat="false" ht="15" hidden="false" customHeight="false" outlineLevel="0" collapsed="false">
      <c r="A76" s="2" t="s">
        <v>1079</v>
      </c>
      <c r="B76" s="2" t="s">
        <v>46</v>
      </c>
      <c r="C76" s="16"/>
      <c r="D76" s="35"/>
      <c r="E76" s="2"/>
      <c r="F76" s="36"/>
      <c r="G76" s="31"/>
      <c r="H76" s="37"/>
      <c r="I76" s="31"/>
      <c r="J76" s="2"/>
      <c r="K76" s="38"/>
      <c r="L76" s="31"/>
      <c r="M76" s="39" t="s">
        <v>832</v>
      </c>
      <c r="N76" s="2"/>
      <c r="O76" s="2"/>
      <c r="P76" s="2"/>
      <c r="Q76" s="2"/>
    </row>
    <row r="77" customFormat="false" ht="15" hidden="false" customHeight="false" outlineLevel="0" collapsed="false">
      <c r="A77" s="2" t="s">
        <v>1079</v>
      </c>
      <c r="B77" s="2" t="s">
        <v>47</v>
      </c>
      <c r="C77" s="13" t="s">
        <v>2784</v>
      </c>
      <c r="D77" s="29" t="n">
        <v>18430</v>
      </c>
      <c r="E77" s="2" t="s">
        <v>821</v>
      </c>
      <c r="F77" s="30" t="n">
        <v>0.520130222463375</v>
      </c>
      <c r="G77" s="31" t="n">
        <v>14.3</v>
      </c>
      <c r="H77" s="32" t="n">
        <v>0.098331346841478</v>
      </c>
      <c r="I77" s="31" t="n">
        <v>51.6</v>
      </c>
      <c r="J77" s="2" t="s">
        <v>2886</v>
      </c>
      <c r="K77" s="33" t="n">
        <v>0.0935524652338812</v>
      </c>
      <c r="L77" s="31" t="n">
        <v>55.6</v>
      </c>
      <c r="M77" s="34" t="s">
        <v>822</v>
      </c>
      <c r="N77" s="2" t="s">
        <v>24</v>
      </c>
      <c r="O77" s="2" t="s">
        <v>24</v>
      </c>
      <c r="P77" s="2" t="s">
        <v>24</v>
      </c>
      <c r="Q77" s="2" t="s">
        <v>24</v>
      </c>
    </row>
    <row r="78" customFormat="false" ht="15" hidden="false" customHeight="false" outlineLevel="0" collapsed="false">
      <c r="A78" s="2" t="s">
        <v>2907</v>
      </c>
      <c r="B78" s="2" t="s">
        <v>46</v>
      </c>
      <c r="C78" s="13" t="s">
        <v>2908</v>
      </c>
      <c r="D78" s="29" t="n">
        <v>8560</v>
      </c>
      <c r="E78" s="2" t="s">
        <v>825</v>
      </c>
      <c r="F78" s="30" t="n">
        <v>3.85292056074766</v>
      </c>
      <c r="G78" s="31" t="n">
        <v>61.5</v>
      </c>
      <c r="H78" s="32" t="n">
        <v>0.0821744627054362</v>
      </c>
      <c r="I78" s="31" t="n">
        <v>28.3</v>
      </c>
      <c r="J78" s="2" t="s">
        <v>2905</v>
      </c>
      <c r="K78" s="38"/>
      <c r="L78" s="31"/>
      <c r="M78" s="39" t="s">
        <v>832</v>
      </c>
      <c r="N78" s="2" t="s">
        <v>24</v>
      </c>
      <c r="O78" s="2" t="s">
        <v>24</v>
      </c>
      <c r="P78" s="2" t="s">
        <v>24</v>
      </c>
      <c r="Q78" s="2"/>
    </row>
    <row r="79" customFormat="false" ht="15" hidden="false" customHeight="false" outlineLevel="0" collapsed="false">
      <c r="A79" s="2" t="s">
        <v>564</v>
      </c>
      <c r="B79" s="2" t="s">
        <v>45</v>
      </c>
      <c r="C79" s="13" t="s">
        <v>1235</v>
      </c>
      <c r="D79" s="29" t="n">
        <v>2440</v>
      </c>
      <c r="E79" s="2" t="s">
        <v>825</v>
      </c>
      <c r="F79" s="30" t="n">
        <v>0.563114754098361</v>
      </c>
      <c r="G79" s="31" t="n">
        <v>49.7</v>
      </c>
      <c r="H79" s="41" t="n">
        <v>0.12082957619477</v>
      </c>
      <c r="I79" s="31" t="n">
        <v>63.4</v>
      </c>
      <c r="J79" s="2" t="s">
        <v>2899</v>
      </c>
      <c r="K79" s="44" t="n">
        <v>0.150537634408602</v>
      </c>
      <c r="L79" s="31" t="n">
        <v>58</v>
      </c>
      <c r="M79" s="34" t="s">
        <v>822</v>
      </c>
      <c r="N79" s="2" t="s">
        <v>24</v>
      </c>
      <c r="O79" s="2" t="s">
        <v>24</v>
      </c>
      <c r="P79" s="2" t="s">
        <v>22</v>
      </c>
      <c r="Q79" s="2" t="s">
        <v>22</v>
      </c>
    </row>
    <row r="80" customFormat="false" ht="15" hidden="false" customHeight="false" outlineLevel="0" collapsed="false">
      <c r="A80" s="2" t="s">
        <v>564</v>
      </c>
      <c r="B80" s="2" t="s">
        <v>46</v>
      </c>
      <c r="C80" s="13" t="s">
        <v>2105</v>
      </c>
      <c r="D80" s="29" t="n">
        <v>36680</v>
      </c>
      <c r="E80" s="2" t="s">
        <v>821</v>
      </c>
      <c r="F80" s="30" t="n">
        <v>1.48732279171211</v>
      </c>
      <c r="G80" s="31" t="n">
        <v>16.7</v>
      </c>
      <c r="H80" s="32" t="n">
        <v>0.191295875284183</v>
      </c>
      <c r="I80" s="31" t="n">
        <v>91.6</v>
      </c>
      <c r="J80" s="2" t="s">
        <v>2884</v>
      </c>
      <c r="K80" s="44" t="n">
        <v>0.0456385719543614</v>
      </c>
      <c r="L80" s="31" t="n">
        <v>10.6</v>
      </c>
      <c r="M80" s="34" t="s">
        <v>822</v>
      </c>
      <c r="N80" s="2" t="s">
        <v>24</v>
      </c>
      <c r="O80" s="2" t="s">
        <v>24</v>
      </c>
      <c r="P80" s="2" t="s">
        <v>24</v>
      </c>
      <c r="Q80" s="2" t="s">
        <v>22</v>
      </c>
    </row>
    <row r="81" customFormat="false" ht="15" hidden="false" customHeight="false" outlineLevel="0" collapsed="false">
      <c r="A81" s="2" t="s">
        <v>564</v>
      </c>
      <c r="B81" s="2" t="s">
        <v>47</v>
      </c>
      <c r="C81" s="14" t="s">
        <v>2464</v>
      </c>
      <c r="D81" s="42" t="n">
        <v>93291</v>
      </c>
      <c r="E81" s="2" t="s">
        <v>821</v>
      </c>
      <c r="F81" s="43" t="n">
        <v>1.52709264559282</v>
      </c>
      <c r="G81" s="31" t="n">
        <v>61.4</v>
      </c>
      <c r="H81" s="41" t="n">
        <v>0.198173668460462</v>
      </c>
      <c r="I81" s="31" t="n">
        <v>91.6</v>
      </c>
      <c r="J81" s="2" t="s">
        <v>2886</v>
      </c>
      <c r="K81" s="44" t="n">
        <v>0</v>
      </c>
      <c r="L81" s="31" t="n">
        <v>0.9</v>
      </c>
      <c r="M81" s="34" t="s">
        <v>822</v>
      </c>
      <c r="N81" s="2" t="s">
        <v>22</v>
      </c>
      <c r="O81" s="2" t="s">
        <v>22</v>
      </c>
      <c r="P81" s="2" t="s">
        <v>22</v>
      </c>
      <c r="Q81" s="2" t="s">
        <v>22</v>
      </c>
    </row>
    <row r="82" customFormat="false" ht="15" hidden="false" customHeight="false" outlineLevel="0" collapsed="false">
      <c r="A82" s="2" t="s">
        <v>2029</v>
      </c>
      <c r="B82" s="2" t="s">
        <v>45</v>
      </c>
      <c r="C82" s="13" t="s">
        <v>2909</v>
      </c>
      <c r="D82" s="29" t="n">
        <v>10600</v>
      </c>
      <c r="E82" s="2" t="s">
        <v>821</v>
      </c>
      <c r="F82" s="30" t="n">
        <v>0.388207547169811</v>
      </c>
      <c r="G82" s="31" t="n">
        <v>28.2</v>
      </c>
      <c r="H82" s="37"/>
      <c r="I82" s="31"/>
      <c r="J82" s="2"/>
      <c r="K82" s="33" t="n">
        <v>0.0447761194029851</v>
      </c>
      <c r="L82" s="31" t="n">
        <v>13.8</v>
      </c>
      <c r="M82" s="39" t="s">
        <v>832</v>
      </c>
      <c r="N82" s="2" t="s">
        <v>24</v>
      </c>
      <c r="O82" s="2" t="s">
        <v>24</v>
      </c>
      <c r="P82" s="2"/>
      <c r="Q82" s="2" t="s">
        <v>24</v>
      </c>
    </row>
    <row r="83" customFormat="false" ht="15" hidden="false" customHeight="false" outlineLevel="0" collapsed="false">
      <c r="A83" s="2" t="s">
        <v>2029</v>
      </c>
      <c r="B83" s="2" t="s">
        <v>46</v>
      </c>
      <c r="C83" s="14" t="s">
        <v>2030</v>
      </c>
      <c r="D83" s="42" t="n">
        <v>79553</v>
      </c>
      <c r="E83" s="2" t="s">
        <v>821</v>
      </c>
      <c r="F83" s="43" t="n">
        <v>2.07664073007932</v>
      </c>
      <c r="G83" s="31" t="n">
        <v>29.1</v>
      </c>
      <c r="H83" s="41" t="n">
        <v>0.112256025949332</v>
      </c>
      <c r="I83" s="31" t="n">
        <v>65.5</v>
      </c>
      <c r="J83" s="2" t="s">
        <v>2884</v>
      </c>
      <c r="K83" s="44" t="n">
        <v>0.173088972431078</v>
      </c>
      <c r="L83" s="31" t="n">
        <v>62.3</v>
      </c>
      <c r="M83" s="34" t="s">
        <v>822</v>
      </c>
      <c r="N83" s="2" t="s">
        <v>22</v>
      </c>
      <c r="O83" s="2" t="s">
        <v>22</v>
      </c>
      <c r="P83" s="2" t="s">
        <v>22</v>
      </c>
      <c r="Q83" s="2" t="s">
        <v>22</v>
      </c>
    </row>
    <row r="84" customFormat="false" ht="15" hidden="false" customHeight="false" outlineLevel="0" collapsed="false">
      <c r="A84" s="2" t="s">
        <v>2029</v>
      </c>
      <c r="B84" s="2" t="s">
        <v>47</v>
      </c>
      <c r="C84" s="14" t="s">
        <v>2696</v>
      </c>
      <c r="D84" s="42" t="n">
        <v>24492</v>
      </c>
      <c r="E84" s="2" t="s">
        <v>821</v>
      </c>
      <c r="F84" s="43" t="n">
        <v>0.76551527029234</v>
      </c>
      <c r="G84" s="31" t="n">
        <v>26.3</v>
      </c>
      <c r="H84" s="41" t="n">
        <v>0.232922225018877</v>
      </c>
      <c r="I84" s="31" t="n">
        <v>96.8</v>
      </c>
      <c r="J84" s="2" t="s">
        <v>2886</v>
      </c>
      <c r="K84" s="44" t="n">
        <v>0.0862857142857143</v>
      </c>
      <c r="L84" s="31" t="n">
        <v>52.5</v>
      </c>
      <c r="M84" s="34" t="s">
        <v>822</v>
      </c>
      <c r="N84" s="2" t="s">
        <v>22</v>
      </c>
      <c r="O84" s="2" t="s">
        <v>22</v>
      </c>
      <c r="P84" s="2" t="s">
        <v>22</v>
      </c>
      <c r="Q84" s="2" t="s">
        <v>22</v>
      </c>
    </row>
    <row r="85" customFormat="false" ht="15" hidden="false" customHeight="false" outlineLevel="0" collapsed="false">
      <c r="A85" s="2" t="s">
        <v>776</v>
      </c>
      <c r="B85" s="2" t="s">
        <v>45</v>
      </c>
      <c r="C85" s="13" t="s">
        <v>1470</v>
      </c>
      <c r="D85" s="29" t="n">
        <v>89620</v>
      </c>
      <c r="E85" s="2" t="s">
        <v>821</v>
      </c>
      <c r="F85" s="30" t="n">
        <v>0.296697165811203</v>
      </c>
      <c r="G85" s="31" t="n">
        <v>17</v>
      </c>
      <c r="H85" s="32" t="n">
        <v>-0.0104891244341393</v>
      </c>
      <c r="I85" s="31" t="n">
        <v>8.2</v>
      </c>
      <c r="J85" s="2" t="s">
        <v>2883</v>
      </c>
      <c r="K85" s="33" t="n">
        <v>0.106939704209329</v>
      </c>
      <c r="L85" s="31" t="n">
        <v>37.3</v>
      </c>
      <c r="M85" s="34" t="s">
        <v>822</v>
      </c>
      <c r="N85" s="2" t="s">
        <v>24</v>
      </c>
      <c r="O85" s="2" t="s">
        <v>24</v>
      </c>
      <c r="P85" s="2" t="s">
        <v>24</v>
      </c>
      <c r="Q85" s="2" t="s">
        <v>24</v>
      </c>
    </row>
    <row r="86" customFormat="false" ht="15" hidden="false" customHeight="false" outlineLevel="0" collapsed="false">
      <c r="A86" s="2" t="s">
        <v>776</v>
      </c>
      <c r="B86" s="2" t="s">
        <v>46</v>
      </c>
      <c r="C86" s="13" t="s">
        <v>2145</v>
      </c>
      <c r="D86" s="29" t="n">
        <v>26000</v>
      </c>
      <c r="E86" s="2" t="s">
        <v>821</v>
      </c>
      <c r="F86" s="30" t="n">
        <v>1.19815384615385</v>
      </c>
      <c r="G86" s="31" t="n">
        <v>10</v>
      </c>
      <c r="H86" s="32" t="n">
        <v>0.146890163211292</v>
      </c>
      <c r="I86" s="31" t="n">
        <v>79.6</v>
      </c>
      <c r="J86" s="2" t="s">
        <v>2884</v>
      </c>
      <c r="K86" s="33" t="n">
        <v>0.147912243453645</v>
      </c>
      <c r="L86" s="31" t="n">
        <v>54.3</v>
      </c>
      <c r="M86" s="34" t="s">
        <v>822</v>
      </c>
      <c r="N86" s="2" t="s">
        <v>24</v>
      </c>
      <c r="O86" s="2" t="s">
        <v>24</v>
      </c>
      <c r="P86" s="2" t="s">
        <v>24</v>
      </c>
      <c r="Q86" s="2" t="s">
        <v>24</v>
      </c>
    </row>
    <row r="87" customFormat="false" ht="15" hidden="false" customHeight="false" outlineLevel="0" collapsed="false">
      <c r="A87" s="2" t="s">
        <v>776</v>
      </c>
      <c r="B87" s="2" t="s">
        <v>47</v>
      </c>
      <c r="C87" s="14" t="s">
        <v>2714</v>
      </c>
      <c r="D87" s="42" t="n">
        <v>5849</v>
      </c>
      <c r="E87" s="2" t="s">
        <v>825</v>
      </c>
      <c r="F87" s="43" t="n">
        <v>0.724568302273893</v>
      </c>
      <c r="G87" s="31" t="n">
        <v>23.5</v>
      </c>
      <c r="H87" s="41" t="n">
        <v>0.020589774908393</v>
      </c>
      <c r="I87" s="31" t="n">
        <v>15</v>
      </c>
      <c r="J87" s="2" t="s">
        <v>2889</v>
      </c>
      <c r="K87" s="44" t="n">
        <v>0.209876543209877</v>
      </c>
      <c r="L87" s="31" t="n">
        <v>86.9</v>
      </c>
      <c r="M87" s="34" t="s">
        <v>822</v>
      </c>
      <c r="N87" s="2" t="s">
        <v>22</v>
      </c>
      <c r="O87" s="2" t="s">
        <v>22</v>
      </c>
      <c r="P87" s="2" t="s">
        <v>22</v>
      </c>
      <c r="Q87" s="2" t="s">
        <v>22</v>
      </c>
    </row>
    <row r="88" customFormat="false" ht="15" hidden="false" customHeight="false" outlineLevel="0" collapsed="false">
      <c r="A88" s="2" t="s">
        <v>954</v>
      </c>
      <c r="B88" s="2" t="s">
        <v>45</v>
      </c>
      <c r="C88" s="13" t="s">
        <v>955</v>
      </c>
      <c r="D88" s="29" t="n">
        <v>104240</v>
      </c>
      <c r="E88" s="2" t="s">
        <v>827</v>
      </c>
      <c r="F88" s="30" t="n">
        <v>1.23242517267843</v>
      </c>
      <c r="G88" s="31" t="n">
        <v>84.7</v>
      </c>
      <c r="H88" s="32" t="n">
        <v>0.0117441521886829</v>
      </c>
      <c r="I88" s="31" t="n">
        <v>15.7</v>
      </c>
      <c r="J88" s="2" t="s">
        <v>2890</v>
      </c>
      <c r="K88" s="33" t="n">
        <v>0.166036679266415</v>
      </c>
      <c r="L88" s="31" t="n">
        <v>64.8</v>
      </c>
      <c r="M88" s="34" t="s">
        <v>822</v>
      </c>
      <c r="N88" s="2" t="s">
        <v>24</v>
      </c>
      <c r="O88" s="2" t="s">
        <v>24</v>
      </c>
      <c r="P88" s="2" t="s">
        <v>24</v>
      </c>
      <c r="Q88" s="2" t="s">
        <v>24</v>
      </c>
    </row>
    <row r="89" customFormat="false" ht="15" hidden="false" customHeight="false" outlineLevel="0" collapsed="false">
      <c r="A89" s="2" t="s">
        <v>954</v>
      </c>
      <c r="B89" s="2" t="s">
        <v>46</v>
      </c>
      <c r="C89" s="13" t="s">
        <v>2910</v>
      </c>
      <c r="D89" s="29" t="n">
        <v>13880</v>
      </c>
      <c r="E89" s="2" t="s">
        <v>821</v>
      </c>
      <c r="F89" s="30" t="n">
        <v>1.14812680115274</v>
      </c>
      <c r="G89" s="31" t="n">
        <v>8.8</v>
      </c>
      <c r="H89" s="32" t="n">
        <v>0.0627871362940276</v>
      </c>
      <c r="I89" s="31" t="n">
        <v>36.4</v>
      </c>
      <c r="J89" s="2" t="s">
        <v>2884</v>
      </c>
      <c r="K89" s="38"/>
      <c r="L89" s="31"/>
      <c r="M89" s="39" t="s">
        <v>832</v>
      </c>
      <c r="N89" s="2" t="s">
        <v>24</v>
      </c>
      <c r="O89" s="2" t="s">
        <v>24</v>
      </c>
      <c r="P89" s="2" t="s">
        <v>24</v>
      </c>
      <c r="Q89" s="2"/>
    </row>
    <row r="90" customFormat="false" ht="15" hidden="false" customHeight="false" outlineLevel="0" collapsed="false">
      <c r="A90" s="2" t="s">
        <v>954</v>
      </c>
      <c r="B90" s="2" t="s">
        <v>47</v>
      </c>
      <c r="C90" s="13" t="s">
        <v>2911</v>
      </c>
      <c r="D90" s="29" t="n">
        <v>79290</v>
      </c>
      <c r="E90" s="2" t="s">
        <v>821</v>
      </c>
      <c r="F90" s="30" t="n">
        <v>2.17177449867575</v>
      </c>
      <c r="G90" s="31" t="n">
        <v>79</v>
      </c>
      <c r="H90" s="32" t="n">
        <v>0.0762861408986019</v>
      </c>
      <c r="I90" s="31" t="n">
        <v>39</v>
      </c>
      <c r="J90" s="2" t="s">
        <v>2886</v>
      </c>
      <c r="K90" s="38"/>
      <c r="L90" s="31"/>
      <c r="M90" s="39" t="s">
        <v>832</v>
      </c>
      <c r="N90" s="2" t="s">
        <v>24</v>
      </c>
      <c r="O90" s="2" t="s">
        <v>24</v>
      </c>
      <c r="P90" s="2" t="s">
        <v>24</v>
      </c>
      <c r="Q90" s="2"/>
    </row>
    <row r="91" customFormat="false" ht="15" hidden="false" customHeight="false" outlineLevel="0" collapsed="false">
      <c r="A91" s="2" t="s">
        <v>574</v>
      </c>
      <c r="B91" s="2" t="s">
        <v>45</v>
      </c>
      <c r="C91" s="13" t="s">
        <v>1001</v>
      </c>
      <c r="D91" s="29" t="n">
        <v>30990</v>
      </c>
      <c r="E91" s="2" t="s">
        <v>821</v>
      </c>
      <c r="F91" s="30" t="n">
        <v>1.00458212326557</v>
      </c>
      <c r="G91" s="31" t="n">
        <v>78.4</v>
      </c>
      <c r="H91" s="32" t="n">
        <v>0.215770890545312</v>
      </c>
      <c r="I91" s="31" t="n">
        <v>94.8</v>
      </c>
      <c r="J91" s="2" t="s">
        <v>2883</v>
      </c>
      <c r="K91" s="33" t="n">
        <v>0.04251269035533</v>
      </c>
      <c r="L91" s="31" t="n">
        <v>13.1</v>
      </c>
      <c r="M91" s="34" t="s">
        <v>822</v>
      </c>
      <c r="N91" s="2" t="s">
        <v>24</v>
      </c>
      <c r="O91" s="2" t="s">
        <v>24</v>
      </c>
      <c r="P91" s="2" t="s">
        <v>24</v>
      </c>
      <c r="Q91" s="2" t="s">
        <v>24</v>
      </c>
    </row>
    <row r="92" customFormat="false" ht="15" hidden="false" customHeight="false" outlineLevel="0" collapsed="false">
      <c r="A92" s="2" t="s">
        <v>574</v>
      </c>
      <c r="B92" s="2" t="s">
        <v>46</v>
      </c>
      <c r="C92" s="13" t="s">
        <v>2188</v>
      </c>
      <c r="D92" s="29" t="n">
        <v>11820</v>
      </c>
      <c r="E92" s="2" t="s">
        <v>821</v>
      </c>
      <c r="F92" s="30" t="n">
        <v>0.66497461928934</v>
      </c>
      <c r="G92" s="31" t="n">
        <v>2.8</v>
      </c>
      <c r="H92" s="32" t="n">
        <v>0.102611940298508</v>
      </c>
      <c r="I92" s="31" t="n">
        <v>59.6</v>
      </c>
      <c r="J92" s="2" t="s">
        <v>2884</v>
      </c>
      <c r="K92" s="33" t="n">
        <v>0.295112781954887</v>
      </c>
      <c r="L92" s="31" t="n">
        <v>87.9</v>
      </c>
      <c r="M92" s="34" t="s">
        <v>822</v>
      </c>
      <c r="N92" s="2" t="s">
        <v>24</v>
      </c>
      <c r="O92" s="2" t="s">
        <v>24</v>
      </c>
      <c r="P92" s="2" t="s">
        <v>24</v>
      </c>
      <c r="Q92" s="2" t="s">
        <v>24</v>
      </c>
    </row>
    <row r="93" customFormat="false" ht="15" hidden="false" customHeight="false" outlineLevel="0" collapsed="false">
      <c r="A93" s="2" t="s">
        <v>574</v>
      </c>
      <c r="B93" s="2" t="s">
        <v>47</v>
      </c>
      <c r="C93" s="13" t="s">
        <v>2581</v>
      </c>
      <c r="D93" s="29" t="n">
        <v>6330</v>
      </c>
      <c r="E93" s="2" t="s">
        <v>825</v>
      </c>
      <c r="F93" s="30" t="n">
        <v>1.12969984202212</v>
      </c>
      <c r="G93" s="31" t="n">
        <v>43.9</v>
      </c>
      <c r="H93" s="41" t="n">
        <v>0.02486144101346</v>
      </c>
      <c r="I93" s="31" t="n">
        <v>20</v>
      </c>
      <c r="J93" s="2" t="s">
        <v>2889</v>
      </c>
      <c r="K93" s="33" t="n">
        <v>0.185185185185185</v>
      </c>
      <c r="L93" s="31" t="n">
        <v>81.4</v>
      </c>
      <c r="M93" s="34" t="s">
        <v>822</v>
      </c>
      <c r="N93" s="2" t="s">
        <v>24</v>
      </c>
      <c r="O93" s="2" t="s">
        <v>24</v>
      </c>
      <c r="P93" s="2" t="s">
        <v>22</v>
      </c>
      <c r="Q93" s="2" t="s">
        <v>24</v>
      </c>
    </row>
    <row r="94" customFormat="false" ht="15" hidden="false" customHeight="false" outlineLevel="0" collapsed="false">
      <c r="A94" s="2" t="s">
        <v>1264</v>
      </c>
      <c r="B94" s="2" t="s">
        <v>45</v>
      </c>
      <c r="C94" s="13" t="s">
        <v>1265</v>
      </c>
      <c r="D94" s="29" t="n">
        <v>203770</v>
      </c>
      <c r="E94" s="2" t="s">
        <v>827</v>
      </c>
      <c r="F94" s="30" t="n">
        <v>0.528998380527065</v>
      </c>
      <c r="G94" s="31" t="n">
        <v>45.4</v>
      </c>
      <c r="H94" s="32" t="n">
        <v>0.0492790937178167</v>
      </c>
      <c r="I94" s="31" t="n">
        <v>29.3</v>
      </c>
      <c r="J94" s="2" t="s">
        <v>2890</v>
      </c>
      <c r="K94" s="33" t="n">
        <v>0.18650935526159</v>
      </c>
      <c r="L94" s="31" t="n">
        <v>69.2</v>
      </c>
      <c r="M94" s="34" t="s">
        <v>822</v>
      </c>
      <c r="N94" s="2" t="s">
        <v>24</v>
      </c>
      <c r="O94" s="2" t="s">
        <v>24</v>
      </c>
      <c r="P94" s="2" t="s">
        <v>24</v>
      </c>
      <c r="Q94" s="2" t="s">
        <v>24</v>
      </c>
    </row>
    <row r="95" customFormat="false" ht="15" hidden="false" customHeight="false" outlineLevel="0" collapsed="false">
      <c r="A95" s="2" t="s">
        <v>1264</v>
      </c>
      <c r="B95" s="2" t="s">
        <v>46</v>
      </c>
      <c r="C95" s="13" t="s">
        <v>2912</v>
      </c>
      <c r="D95" s="29" t="n">
        <v>1560</v>
      </c>
      <c r="E95" s="2" t="s">
        <v>825</v>
      </c>
      <c r="F95" s="30" t="n">
        <v>6.73974358974359</v>
      </c>
      <c r="G95" s="31" t="n">
        <v>84.5</v>
      </c>
      <c r="H95" s="37"/>
      <c r="I95" s="31"/>
      <c r="J95" s="2"/>
      <c r="K95" s="33" t="n">
        <v>0.13882863340564</v>
      </c>
      <c r="L95" s="31" t="n">
        <v>52.1</v>
      </c>
      <c r="M95" s="39" t="s">
        <v>832</v>
      </c>
      <c r="N95" s="2" t="s">
        <v>24</v>
      </c>
      <c r="O95" s="2" t="s">
        <v>24</v>
      </c>
      <c r="P95" s="2"/>
      <c r="Q95" s="2" t="s">
        <v>24</v>
      </c>
    </row>
    <row r="96" customFormat="false" ht="15" hidden="false" customHeight="false" outlineLevel="0" collapsed="false">
      <c r="A96" s="2" t="s">
        <v>1264</v>
      </c>
      <c r="B96" s="2" t="s">
        <v>47</v>
      </c>
      <c r="C96" s="16"/>
      <c r="D96" s="35"/>
      <c r="E96" s="2"/>
      <c r="F96" s="36"/>
      <c r="G96" s="31"/>
      <c r="H96" s="37"/>
      <c r="I96" s="31"/>
      <c r="J96" s="2"/>
      <c r="K96" s="38"/>
      <c r="L96" s="31"/>
      <c r="M96" s="39" t="s">
        <v>832</v>
      </c>
      <c r="N96" s="2"/>
      <c r="O96" s="2"/>
      <c r="P96" s="2"/>
      <c r="Q96" s="2"/>
    </row>
    <row r="97" customFormat="false" ht="15" hidden="false" customHeight="false" outlineLevel="0" collapsed="false">
      <c r="A97" s="2" t="s">
        <v>248</v>
      </c>
      <c r="B97" s="2" t="s">
        <v>46</v>
      </c>
      <c r="C97" s="13" t="s">
        <v>1601</v>
      </c>
      <c r="D97" s="29" t="n">
        <v>410680</v>
      </c>
      <c r="E97" s="2" t="s">
        <v>827</v>
      </c>
      <c r="F97" s="30" t="n">
        <v>19.6092943410928</v>
      </c>
      <c r="G97" s="31" t="n">
        <v>99.8</v>
      </c>
      <c r="H97" s="32" t="n">
        <v>0.129234491860977</v>
      </c>
      <c r="I97" s="31" t="n">
        <v>75.2</v>
      </c>
      <c r="J97" s="2" t="s">
        <v>2888</v>
      </c>
      <c r="K97" s="33" t="n">
        <v>0.274063415957622</v>
      </c>
      <c r="L97" s="31" t="n">
        <v>85.2</v>
      </c>
      <c r="M97" s="34" t="s">
        <v>822</v>
      </c>
      <c r="N97" s="2" t="s">
        <v>24</v>
      </c>
      <c r="O97" s="2" t="s">
        <v>24</v>
      </c>
      <c r="P97" s="2" t="s">
        <v>24</v>
      </c>
      <c r="Q97" s="2" t="s">
        <v>24</v>
      </c>
    </row>
    <row r="98" customFormat="false" ht="15" hidden="false" customHeight="false" outlineLevel="0" collapsed="false">
      <c r="A98" s="2" t="s">
        <v>248</v>
      </c>
      <c r="B98" s="2" t="s">
        <v>47</v>
      </c>
      <c r="C98" s="14" t="s">
        <v>2630</v>
      </c>
      <c r="D98" s="42" t="n">
        <v>21465</v>
      </c>
      <c r="E98" s="2" t="s">
        <v>821</v>
      </c>
      <c r="F98" s="43" t="n">
        <v>0.947449336128581</v>
      </c>
      <c r="G98" s="31" t="n">
        <v>36.3</v>
      </c>
      <c r="H98" s="41" t="n">
        <v>0.113907628437987</v>
      </c>
      <c r="I98" s="31" t="n">
        <v>59.7</v>
      </c>
      <c r="J98" s="2" t="s">
        <v>2886</v>
      </c>
      <c r="K98" s="44" t="n">
        <v>0.0272452068617558</v>
      </c>
      <c r="L98" s="31" t="n">
        <v>18.5</v>
      </c>
      <c r="M98" s="34" t="s">
        <v>822</v>
      </c>
      <c r="N98" s="2" t="s">
        <v>22</v>
      </c>
      <c r="O98" s="2" t="s">
        <v>22</v>
      </c>
      <c r="P98" s="2" t="s">
        <v>22</v>
      </c>
      <c r="Q98" s="2" t="s">
        <v>22</v>
      </c>
    </row>
    <row r="99" customFormat="false" ht="15" hidden="false" customHeight="false" outlineLevel="0" collapsed="false">
      <c r="A99" s="2" t="s">
        <v>200</v>
      </c>
      <c r="B99" s="2" t="s">
        <v>47</v>
      </c>
      <c r="C99" s="13" t="s">
        <v>2372</v>
      </c>
      <c r="D99" s="29" t="n">
        <v>33240</v>
      </c>
      <c r="E99" s="2" t="s">
        <v>821</v>
      </c>
      <c r="F99" s="30" t="n">
        <v>1.94398315282792</v>
      </c>
      <c r="G99" s="31" t="n">
        <v>75.3</v>
      </c>
      <c r="H99" s="32" t="n">
        <v>-0.0300554420776189</v>
      </c>
      <c r="I99" s="31" t="n">
        <v>4.9</v>
      </c>
      <c r="J99" s="2" t="s">
        <v>2886</v>
      </c>
      <c r="K99" s="33" t="n">
        <v>0.196017699115044</v>
      </c>
      <c r="L99" s="31" t="n">
        <v>84.1</v>
      </c>
      <c r="M99" s="34" t="s">
        <v>822</v>
      </c>
      <c r="N99" s="2" t="s">
        <v>24</v>
      </c>
      <c r="O99" s="2" t="s">
        <v>24</v>
      </c>
      <c r="P99" s="2" t="s">
        <v>24</v>
      </c>
      <c r="Q99" s="2" t="s">
        <v>24</v>
      </c>
    </row>
    <row r="100" customFormat="false" ht="15" hidden="false" customHeight="false" outlineLevel="0" collapsed="false">
      <c r="A100" s="2" t="s">
        <v>726</v>
      </c>
      <c r="B100" s="2" t="s">
        <v>45</v>
      </c>
      <c r="C100" s="13" t="s">
        <v>1451</v>
      </c>
      <c r="D100" s="29" t="n">
        <v>22580</v>
      </c>
      <c r="E100" s="2" t="s">
        <v>821</v>
      </c>
      <c r="F100" s="30" t="n">
        <v>0.325819309123118</v>
      </c>
      <c r="G100" s="31" t="n">
        <v>20.4</v>
      </c>
      <c r="H100" s="32" t="n">
        <v>0.0788342092689919</v>
      </c>
      <c r="I100" s="31" t="n">
        <v>41.9</v>
      </c>
      <c r="J100" s="2" t="s">
        <v>2883</v>
      </c>
      <c r="K100" s="33" t="n">
        <v>0.0938628158844765</v>
      </c>
      <c r="L100" s="31" t="n">
        <v>33.8</v>
      </c>
      <c r="M100" s="34" t="s">
        <v>822</v>
      </c>
      <c r="N100" s="2" t="s">
        <v>24</v>
      </c>
      <c r="O100" s="2" t="s">
        <v>24</v>
      </c>
      <c r="P100" s="2" t="s">
        <v>24</v>
      </c>
      <c r="Q100" s="2" t="s">
        <v>24</v>
      </c>
    </row>
    <row r="101" customFormat="false" ht="15" hidden="false" customHeight="false" outlineLevel="0" collapsed="false">
      <c r="A101" s="2" t="s">
        <v>726</v>
      </c>
      <c r="B101" s="2" t="s">
        <v>46</v>
      </c>
      <c r="C101" s="15" t="s">
        <v>2104</v>
      </c>
      <c r="D101" s="29" t="n">
        <v>30080</v>
      </c>
      <c r="E101" s="2" t="s">
        <v>821</v>
      </c>
      <c r="F101" s="30" t="n">
        <v>1.49271941489362</v>
      </c>
      <c r="G101" s="31" t="n">
        <v>16.9</v>
      </c>
      <c r="H101" s="32" t="n">
        <v>0.107918968692449</v>
      </c>
      <c r="I101" s="31" t="n">
        <v>64</v>
      </c>
      <c r="J101" s="2" t="s">
        <v>2884</v>
      </c>
      <c r="K101" s="33" t="n">
        <v>0.0585305105853051</v>
      </c>
      <c r="L101" s="31" t="n">
        <v>15.5</v>
      </c>
      <c r="M101" s="34" t="s">
        <v>822</v>
      </c>
      <c r="N101" s="2" t="s">
        <v>24</v>
      </c>
      <c r="O101" s="2" t="s">
        <v>24</v>
      </c>
      <c r="P101" s="2" t="s">
        <v>24</v>
      </c>
      <c r="Q101" s="2" t="s">
        <v>24</v>
      </c>
    </row>
    <row r="102" customFormat="false" ht="15" hidden="false" customHeight="false" outlineLevel="0" collapsed="false">
      <c r="A102" s="2" t="s">
        <v>726</v>
      </c>
      <c r="B102" s="2" t="s">
        <v>47</v>
      </c>
      <c r="C102" s="14" t="s">
        <v>2611</v>
      </c>
      <c r="D102" s="42" t="n">
        <v>8522</v>
      </c>
      <c r="E102" s="2" t="s">
        <v>825</v>
      </c>
      <c r="F102" s="43" t="n">
        <v>1.00668857075804</v>
      </c>
      <c r="G102" s="31" t="n">
        <v>39</v>
      </c>
      <c r="H102" s="41" t="n">
        <v>0.0235407158299303</v>
      </c>
      <c r="I102" s="31" t="n">
        <v>17.5</v>
      </c>
      <c r="J102" s="2" t="s">
        <v>2889</v>
      </c>
      <c r="K102" s="44" t="n">
        <v>0.0958466453674121</v>
      </c>
      <c r="L102" s="31" t="n">
        <v>56.8</v>
      </c>
      <c r="M102" s="34" t="s">
        <v>822</v>
      </c>
      <c r="N102" s="2" t="s">
        <v>22</v>
      </c>
      <c r="O102" s="2" t="s">
        <v>22</v>
      </c>
      <c r="P102" s="2" t="s">
        <v>22</v>
      </c>
      <c r="Q102" s="2" t="s">
        <v>22</v>
      </c>
    </row>
    <row r="103" customFormat="false" ht="15" hidden="false" customHeight="false" outlineLevel="0" collapsed="false">
      <c r="A103" s="2" t="s">
        <v>153</v>
      </c>
      <c r="B103" s="2" t="s">
        <v>47</v>
      </c>
      <c r="C103" s="13" t="s">
        <v>2330</v>
      </c>
      <c r="D103" s="29" t="n">
        <v>13930</v>
      </c>
      <c r="E103" s="2" t="s">
        <v>821</v>
      </c>
      <c r="F103" s="47" t="n">
        <v>2.39886907351022</v>
      </c>
      <c r="G103" s="31" t="n">
        <v>82.9</v>
      </c>
      <c r="H103" s="32" t="n">
        <v>0.0715384615384615</v>
      </c>
      <c r="I103" s="31" t="n">
        <v>36.7</v>
      </c>
      <c r="J103" s="2" t="s">
        <v>2886</v>
      </c>
      <c r="K103" s="33" t="n">
        <v>0.0061652281134402</v>
      </c>
      <c r="L103" s="31" t="n">
        <v>4.5</v>
      </c>
      <c r="M103" s="34" t="s">
        <v>822</v>
      </c>
      <c r="N103" s="2" t="s">
        <v>24</v>
      </c>
      <c r="O103" s="2" t="s">
        <v>19</v>
      </c>
      <c r="P103" s="2" t="s">
        <v>24</v>
      </c>
      <c r="Q103" s="2" t="s">
        <v>24</v>
      </c>
    </row>
    <row r="104" customFormat="false" ht="15" hidden="false" customHeight="false" outlineLevel="0" collapsed="false">
      <c r="A104" s="2" t="s">
        <v>2038</v>
      </c>
      <c r="B104" s="2" t="s">
        <v>45</v>
      </c>
      <c r="C104" s="13" t="s">
        <v>2913</v>
      </c>
      <c r="D104" s="35"/>
      <c r="E104" s="2"/>
      <c r="F104" s="36"/>
      <c r="G104" s="31"/>
      <c r="H104" s="37"/>
      <c r="I104" s="31"/>
      <c r="J104" s="2"/>
      <c r="K104" s="38"/>
      <c r="L104" s="31"/>
      <c r="M104" s="39" t="s">
        <v>832</v>
      </c>
      <c r="N104" s="2"/>
      <c r="O104" s="2"/>
      <c r="P104" s="2"/>
      <c r="Q104" s="2"/>
    </row>
    <row r="105" customFormat="false" ht="15" hidden="false" customHeight="false" outlineLevel="0" collapsed="false">
      <c r="A105" s="2" t="s">
        <v>2038</v>
      </c>
      <c r="B105" s="2" t="s">
        <v>46</v>
      </c>
      <c r="C105" s="13" t="s">
        <v>2039</v>
      </c>
      <c r="D105" s="29" t="n">
        <v>15780</v>
      </c>
      <c r="E105" s="2" t="s">
        <v>821</v>
      </c>
      <c r="F105" s="30" t="n">
        <v>2.02357414448669</v>
      </c>
      <c r="G105" s="31" t="n">
        <v>27.9</v>
      </c>
      <c r="H105" s="32" t="n">
        <v>0.119148936170213</v>
      </c>
      <c r="I105" s="31" t="n">
        <v>68</v>
      </c>
      <c r="J105" s="2" t="s">
        <v>2884</v>
      </c>
      <c r="K105" s="33" t="n">
        <v>0.213227783452503</v>
      </c>
      <c r="L105" s="31" t="n">
        <v>72.6</v>
      </c>
      <c r="M105" s="34" t="s">
        <v>822</v>
      </c>
      <c r="N105" s="2" t="s">
        <v>24</v>
      </c>
      <c r="O105" s="2" t="s">
        <v>24</v>
      </c>
      <c r="P105" s="2" t="s">
        <v>24</v>
      </c>
      <c r="Q105" s="2" t="s">
        <v>24</v>
      </c>
    </row>
    <row r="106" customFormat="false" ht="15" hidden="false" customHeight="false" outlineLevel="0" collapsed="false">
      <c r="A106" s="2" t="s">
        <v>2914</v>
      </c>
      <c r="B106" s="2" t="s">
        <v>45</v>
      </c>
      <c r="C106" s="13" t="s">
        <v>2915</v>
      </c>
      <c r="D106" s="29" t="n">
        <v>121620</v>
      </c>
      <c r="E106" s="2" t="s">
        <v>827</v>
      </c>
      <c r="F106" s="30" t="n">
        <v>0.275053445157047</v>
      </c>
      <c r="G106" s="31" t="n">
        <v>14.9</v>
      </c>
      <c r="H106" s="37"/>
      <c r="I106" s="31"/>
      <c r="J106" s="2"/>
      <c r="K106" s="33" t="n">
        <v>0.0837662337662338</v>
      </c>
      <c r="L106" s="31" t="n">
        <v>28.2</v>
      </c>
      <c r="M106" s="39" t="s">
        <v>832</v>
      </c>
      <c r="N106" s="2" t="s">
        <v>24</v>
      </c>
      <c r="O106" s="2" t="s">
        <v>24</v>
      </c>
      <c r="P106" s="2"/>
      <c r="Q106" s="2" t="s">
        <v>24</v>
      </c>
    </row>
    <row r="107" customFormat="false" ht="15" hidden="false" customHeight="false" outlineLevel="0" collapsed="false">
      <c r="A107" s="2" t="s">
        <v>2916</v>
      </c>
      <c r="B107" s="2" t="s">
        <v>45</v>
      </c>
      <c r="C107" s="16"/>
      <c r="D107" s="35"/>
      <c r="E107" s="2"/>
      <c r="F107" s="36"/>
      <c r="G107" s="31"/>
      <c r="H107" s="37"/>
      <c r="I107" s="31"/>
      <c r="J107" s="2"/>
      <c r="K107" s="38"/>
      <c r="L107" s="31"/>
      <c r="M107" s="39" t="s">
        <v>832</v>
      </c>
      <c r="N107" s="2"/>
      <c r="O107" s="2"/>
      <c r="P107" s="2"/>
      <c r="Q107" s="2"/>
    </row>
    <row r="108" customFormat="false" ht="15" hidden="false" customHeight="false" outlineLevel="0" collapsed="false">
      <c r="A108" s="2" t="s">
        <v>2916</v>
      </c>
      <c r="B108" s="2" t="s">
        <v>46</v>
      </c>
      <c r="C108" s="15" t="s">
        <v>2917</v>
      </c>
      <c r="D108" s="46" t="n">
        <v>47649</v>
      </c>
      <c r="E108" s="2" t="s">
        <v>821</v>
      </c>
      <c r="F108" s="47" t="n">
        <v>4.0336838128817</v>
      </c>
      <c r="G108" s="31" t="n">
        <v>64.8</v>
      </c>
      <c r="H108" s="48" t="n">
        <v>0.132558471192242</v>
      </c>
      <c r="I108" s="31" t="n">
        <v>73.5</v>
      </c>
      <c r="J108" s="2" t="s">
        <v>2884</v>
      </c>
      <c r="K108" s="38"/>
      <c r="L108" s="31"/>
      <c r="M108" s="39" t="s">
        <v>832</v>
      </c>
      <c r="N108" s="2" t="s">
        <v>19</v>
      </c>
      <c r="O108" s="2" t="s">
        <v>19</v>
      </c>
      <c r="P108" s="2" t="s">
        <v>19</v>
      </c>
      <c r="Q108" s="2"/>
    </row>
    <row r="109" customFormat="false" ht="15" hidden="false" customHeight="false" outlineLevel="0" collapsed="false">
      <c r="A109" s="2" t="s">
        <v>2916</v>
      </c>
      <c r="B109" s="2" t="s">
        <v>47</v>
      </c>
      <c r="C109" s="14" t="s">
        <v>2918</v>
      </c>
      <c r="D109" s="42" t="n">
        <v>107481</v>
      </c>
      <c r="E109" s="2" t="s">
        <v>827</v>
      </c>
      <c r="F109" s="43" t="n">
        <v>3.99638075566844</v>
      </c>
      <c r="G109" s="31" t="n">
        <v>94.4</v>
      </c>
      <c r="H109" s="41" t="n">
        <v>-0.0270659268043197</v>
      </c>
      <c r="I109" s="31" t="n">
        <v>8.7</v>
      </c>
      <c r="J109" s="2" t="s">
        <v>2897</v>
      </c>
      <c r="K109" s="38"/>
      <c r="L109" s="31"/>
      <c r="M109" s="39" t="s">
        <v>832</v>
      </c>
      <c r="N109" s="2" t="s">
        <v>22</v>
      </c>
      <c r="O109" s="2" t="s">
        <v>22</v>
      </c>
      <c r="P109" s="2" t="s">
        <v>22</v>
      </c>
      <c r="Q109" s="2"/>
    </row>
    <row r="110" customFormat="false" ht="15" hidden="false" customHeight="false" outlineLevel="0" collapsed="false">
      <c r="A110" s="2" t="s">
        <v>1789</v>
      </c>
      <c r="B110" s="2" t="s">
        <v>45</v>
      </c>
      <c r="C110" s="16"/>
      <c r="D110" s="35"/>
      <c r="E110" s="2"/>
      <c r="F110" s="36"/>
      <c r="G110" s="31"/>
      <c r="H110" s="37"/>
      <c r="I110" s="31"/>
      <c r="J110" s="2"/>
      <c r="K110" s="38"/>
      <c r="L110" s="31"/>
      <c r="M110" s="39" t="s">
        <v>832</v>
      </c>
      <c r="N110" s="2"/>
      <c r="O110" s="2"/>
      <c r="P110" s="2"/>
      <c r="Q110" s="2"/>
    </row>
    <row r="111" customFormat="false" ht="15" hidden="false" customHeight="false" outlineLevel="0" collapsed="false">
      <c r="A111" s="2" t="s">
        <v>1789</v>
      </c>
      <c r="B111" s="2" t="s">
        <v>46</v>
      </c>
      <c r="C111" s="13" t="s">
        <v>1790</v>
      </c>
      <c r="D111" s="29" t="n">
        <v>4830</v>
      </c>
      <c r="E111" s="2" t="s">
        <v>825</v>
      </c>
      <c r="F111" s="30" t="n">
        <v>4.26149068322981</v>
      </c>
      <c r="G111" s="31" t="n">
        <v>67.4</v>
      </c>
      <c r="H111" s="32" t="n">
        <v>0.139150943396226</v>
      </c>
      <c r="I111" s="31" t="n">
        <v>64.2</v>
      </c>
      <c r="J111" s="2" t="s">
        <v>2905</v>
      </c>
      <c r="K111" s="33" t="n">
        <v>0.0418326693227092</v>
      </c>
      <c r="L111" s="31" t="n">
        <v>9.3</v>
      </c>
      <c r="M111" s="34" t="s">
        <v>822</v>
      </c>
      <c r="N111" s="2" t="s">
        <v>24</v>
      </c>
      <c r="O111" s="2" t="s">
        <v>24</v>
      </c>
      <c r="P111" s="2" t="s">
        <v>24</v>
      </c>
      <c r="Q111" s="2" t="s">
        <v>24</v>
      </c>
    </row>
    <row r="112" customFormat="false" ht="15" hidden="false" customHeight="false" outlineLevel="0" collapsed="false">
      <c r="A112" s="2" t="s">
        <v>1789</v>
      </c>
      <c r="B112" s="2" t="s">
        <v>47</v>
      </c>
      <c r="C112" s="14" t="s">
        <v>2919</v>
      </c>
      <c r="D112" s="42" t="n">
        <v>55602</v>
      </c>
      <c r="E112" s="2" t="s">
        <v>821</v>
      </c>
      <c r="F112" s="43" t="n">
        <v>2.12830473723967</v>
      </c>
      <c r="G112" s="31" t="n">
        <v>78.5</v>
      </c>
      <c r="H112" s="41" t="n">
        <v>0.0221519569093884</v>
      </c>
      <c r="I112" s="31" t="n">
        <v>18.2</v>
      </c>
      <c r="J112" s="2" t="s">
        <v>2886</v>
      </c>
      <c r="K112" s="38"/>
      <c r="L112" s="31"/>
      <c r="M112" s="39" t="s">
        <v>832</v>
      </c>
      <c r="N112" s="2" t="s">
        <v>22</v>
      </c>
      <c r="O112" s="2" t="s">
        <v>22</v>
      </c>
      <c r="P112" s="2" t="s">
        <v>22</v>
      </c>
      <c r="Q112" s="2"/>
    </row>
    <row r="113" customFormat="false" ht="15" hidden="false" customHeight="false" outlineLevel="0" collapsed="false">
      <c r="A113" s="2" t="s">
        <v>867</v>
      </c>
      <c r="B113" s="2" t="s">
        <v>45</v>
      </c>
      <c r="C113" s="13" t="s">
        <v>868</v>
      </c>
      <c r="D113" s="29" t="n">
        <v>180880</v>
      </c>
      <c r="E113" s="2" t="s">
        <v>827</v>
      </c>
      <c r="F113" s="30" t="n">
        <v>2.04332706766917</v>
      </c>
      <c r="G113" s="31" t="n">
        <v>95.3</v>
      </c>
      <c r="H113" s="32" t="n">
        <v>0.130853391684902</v>
      </c>
      <c r="I113" s="31" t="n">
        <v>74.3</v>
      </c>
      <c r="J113" s="2" t="s">
        <v>2890</v>
      </c>
      <c r="K113" s="33" t="n">
        <v>0.0119186974566351</v>
      </c>
      <c r="L113" s="31" t="n">
        <v>3</v>
      </c>
      <c r="M113" s="34" t="s">
        <v>822</v>
      </c>
      <c r="N113" s="2" t="s">
        <v>24</v>
      </c>
      <c r="O113" s="2" t="s">
        <v>24</v>
      </c>
      <c r="P113" s="2" t="s">
        <v>24</v>
      </c>
      <c r="Q113" s="2" t="s">
        <v>24</v>
      </c>
    </row>
    <row r="114" customFormat="false" ht="15" hidden="false" customHeight="false" outlineLevel="0" collapsed="false">
      <c r="A114" s="2" t="s">
        <v>867</v>
      </c>
      <c r="B114" s="2" t="s">
        <v>46</v>
      </c>
      <c r="C114" s="16"/>
      <c r="D114" s="35"/>
      <c r="E114" s="2"/>
      <c r="F114" s="36"/>
      <c r="G114" s="31"/>
      <c r="H114" s="37"/>
      <c r="I114" s="31"/>
      <c r="J114" s="2"/>
      <c r="K114" s="38"/>
      <c r="L114" s="31"/>
      <c r="M114" s="39" t="s">
        <v>832</v>
      </c>
      <c r="N114" s="2"/>
      <c r="O114" s="2"/>
      <c r="P114" s="2"/>
      <c r="Q114" s="2"/>
    </row>
    <row r="115" customFormat="false" ht="15" hidden="false" customHeight="false" outlineLevel="0" collapsed="false">
      <c r="A115" s="2" t="s">
        <v>867</v>
      </c>
      <c r="B115" s="2" t="s">
        <v>47</v>
      </c>
      <c r="C115" s="13" t="s">
        <v>2796</v>
      </c>
      <c r="D115" s="29" t="n">
        <v>6000</v>
      </c>
      <c r="E115" s="2" t="s">
        <v>825</v>
      </c>
      <c r="F115" s="30" t="n">
        <v>0.4865</v>
      </c>
      <c r="G115" s="31" t="n">
        <v>12.3</v>
      </c>
      <c r="H115" s="32" t="n">
        <v>0.115241635687732</v>
      </c>
      <c r="I115" s="31" t="n">
        <v>52.5</v>
      </c>
      <c r="J115" s="2" t="s">
        <v>2889</v>
      </c>
      <c r="K115" s="33" t="n">
        <v>0.0613496932515337</v>
      </c>
      <c r="L115" s="31" t="n">
        <v>39.6</v>
      </c>
      <c r="M115" s="34" t="s">
        <v>822</v>
      </c>
      <c r="N115" s="2" t="s">
        <v>24</v>
      </c>
      <c r="O115" s="2" t="s">
        <v>24</v>
      </c>
      <c r="P115" s="2" t="s">
        <v>24</v>
      </c>
      <c r="Q115" s="2" t="s">
        <v>24</v>
      </c>
    </row>
    <row r="116" customFormat="false" ht="15" hidden="false" customHeight="false" outlineLevel="0" collapsed="false">
      <c r="A116" s="2" t="s">
        <v>76</v>
      </c>
      <c r="B116" s="2" t="s">
        <v>47</v>
      </c>
      <c r="C116" s="14" t="s">
        <v>2222</v>
      </c>
      <c r="D116" s="42" t="n">
        <v>6232</v>
      </c>
      <c r="E116" s="2" t="s">
        <v>825</v>
      </c>
      <c r="F116" s="43" t="n">
        <v>6.11681643132221</v>
      </c>
      <c r="G116" s="31" t="n">
        <v>98.6</v>
      </c>
      <c r="H116" s="41" t="n">
        <v>0.107320540156361</v>
      </c>
      <c r="I116" s="31" t="n">
        <v>48.8</v>
      </c>
      <c r="J116" s="2" t="s">
        <v>2889</v>
      </c>
      <c r="K116" s="44" t="n">
        <v>0.0825439783491204</v>
      </c>
      <c r="L116" s="31" t="n">
        <v>50.4</v>
      </c>
      <c r="M116" s="34" t="s">
        <v>822</v>
      </c>
      <c r="N116" s="2" t="s">
        <v>22</v>
      </c>
      <c r="O116" s="2" t="s">
        <v>22</v>
      </c>
      <c r="P116" s="2" t="s">
        <v>22</v>
      </c>
      <c r="Q116" s="2" t="s">
        <v>22</v>
      </c>
    </row>
    <row r="117" customFormat="false" ht="15" hidden="false" customHeight="false" outlineLevel="0" collapsed="false">
      <c r="A117" s="2" t="s">
        <v>326</v>
      </c>
      <c r="B117" s="2" t="s">
        <v>45</v>
      </c>
      <c r="C117" s="13" t="s">
        <v>891</v>
      </c>
      <c r="D117" s="29" t="n">
        <v>17620</v>
      </c>
      <c r="E117" s="2" t="s">
        <v>821</v>
      </c>
      <c r="F117" s="30" t="n">
        <v>1.75590238365494</v>
      </c>
      <c r="G117" s="31" t="n">
        <v>93</v>
      </c>
      <c r="H117" s="32" t="n">
        <v>0.0737355271176112</v>
      </c>
      <c r="I117" s="31" t="n">
        <v>40.2</v>
      </c>
      <c r="J117" s="2" t="s">
        <v>2883</v>
      </c>
      <c r="K117" s="33" t="n">
        <v>0.276355421686747</v>
      </c>
      <c r="L117" s="31" t="n">
        <v>86.7</v>
      </c>
      <c r="M117" s="34" t="s">
        <v>822</v>
      </c>
      <c r="N117" s="2" t="s">
        <v>24</v>
      </c>
      <c r="O117" s="2" t="s">
        <v>24</v>
      </c>
      <c r="P117" s="2" t="s">
        <v>24</v>
      </c>
      <c r="Q117" s="2" t="s">
        <v>24</v>
      </c>
    </row>
    <row r="118" customFormat="false" ht="15" hidden="false" customHeight="false" outlineLevel="0" collapsed="false">
      <c r="A118" s="2" t="s">
        <v>326</v>
      </c>
      <c r="B118" s="2" t="s">
        <v>46</v>
      </c>
      <c r="C118" s="13" t="s">
        <v>1993</v>
      </c>
      <c r="D118" s="29" t="n">
        <v>219670</v>
      </c>
      <c r="E118" s="2" t="s">
        <v>827</v>
      </c>
      <c r="F118" s="30" t="n">
        <v>2.40798470432922</v>
      </c>
      <c r="G118" s="31" t="n">
        <v>35.6</v>
      </c>
      <c r="H118" s="32" t="n">
        <v>-0.0685239367340881</v>
      </c>
      <c r="I118" s="31" t="n">
        <v>4.5</v>
      </c>
      <c r="J118" s="2" t="s">
        <v>2888</v>
      </c>
      <c r="K118" s="33" t="n">
        <v>0.101608031001129</v>
      </c>
      <c r="L118" s="31" t="n">
        <v>37.7</v>
      </c>
      <c r="M118" s="34" t="s">
        <v>822</v>
      </c>
      <c r="N118" s="2" t="s">
        <v>24</v>
      </c>
      <c r="O118" s="2" t="s">
        <v>24</v>
      </c>
      <c r="P118" s="2" t="s">
        <v>24</v>
      </c>
      <c r="Q118" s="2" t="s">
        <v>24</v>
      </c>
    </row>
    <row r="119" customFormat="false" ht="15" hidden="false" customHeight="false" outlineLevel="0" collapsed="false">
      <c r="A119" s="2" t="s">
        <v>326</v>
      </c>
      <c r="B119" s="2" t="s">
        <v>47</v>
      </c>
      <c r="C119" s="14" t="s">
        <v>2516</v>
      </c>
      <c r="D119" s="42" t="n">
        <v>88928</v>
      </c>
      <c r="E119" s="2" t="s">
        <v>821</v>
      </c>
      <c r="F119" s="43" t="n">
        <v>1.32584787693415</v>
      </c>
      <c r="G119" s="31" t="n">
        <v>53.1</v>
      </c>
      <c r="H119" s="41" t="n">
        <v>0.10730917693936</v>
      </c>
      <c r="I119" s="31" t="n">
        <v>56.2</v>
      </c>
      <c r="J119" s="2" t="s">
        <v>2886</v>
      </c>
      <c r="K119" s="44" t="n">
        <v>0.0703132972752322</v>
      </c>
      <c r="L119" s="31" t="n">
        <v>44.6</v>
      </c>
      <c r="M119" s="34" t="s">
        <v>822</v>
      </c>
      <c r="N119" s="2" t="s">
        <v>22</v>
      </c>
      <c r="O119" s="2" t="s">
        <v>22</v>
      </c>
      <c r="P119" s="2" t="s">
        <v>22</v>
      </c>
      <c r="Q119" s="2" t="s">
        <v>22</v>
      </c>
    </row>
    <row r="120" customFormat="false" ht="15" hidden="false" customHeight="false" outlineLevel="0" collapsed="false">
      <c r="A120" s="2" t="s">
        <v>558</v>
      </c>
      <c r="B120" s="2" t="s">
        <v>47</v>
      </c>
      <c r="C120" s="13" t="s">
        <v>2585</v>
      </c>
      <c r="D120" s="29" t="n">
        <v>15890</v>
      </c>
      <c r="E120" s="2" t="s">
        <v>821</v>
      </c>
      <c r="F120" s="30" t="n">
        <v>1.11415984896161</v>
      </c>
      <c r="G120" s="31" t="n">
        <v>43.2</v>
      </c>
      <c r="H120" s="32" t="n">
        <v>0.105006954102921</v>
      </c>
      <c r="I120" s="31" t="n">
        <v>55.2</v>
      </c>
      <c r="J120" s="2" t="s">
        <v>2886</v>
      </c>
      <c r="K120" s="33" t="n">
        <v>0.257731958762887</v>
      </c>
      <c r="L120" s="31" t="n">
        <v>93.2</v>
      </c>
      <c r="M120" s="34" t="s">
        <v>822</v>
      </c>
      <c r="N120" s="2" t="s">
        <v>24</v>
      </c>
      <c r="O120" s="2" t="s">
        <v>24</v>
      </c>
      <c r="P120" s="2" t="s">
        <v>24</v>
      </c>
      <c r="Q120" s="2" t="s">
        <v>24</v>
      </c>
    </row>
    <row r="121" customFormat="false" ht="15" hidden="false" customHeight="false" outlineLevel="0" collapsed="false">
      <c r="A121" s="2" t="s">
        <v>2920</v>
      </c>
      <c r="B121" s="2" t="s">
        <v>45</v>
      </c>
      <c r="C121" s="16"/>
      <c r="D121" s="35"/>
      <c r="E121" s="2"/>
      <c r="F121" s="36"/>
      <c r="G121" s="31"/>
      <c r="H121" s="37"/>
      <c r="I121" s="31"/>
      <c r="J121" s="2"/>
      <c r="K121" s="38"/>
      <c r="L121" s="31"/>
      <c r="M121" s="39" t="s">
        <v>832</v>
      </c>
      <c r="N121" s="2"/>
      <c r="O121" s="2"/>
      <c r="P121" s="2"/>
      <c r="Q121" s="2"/>
    </row>
    <row r="122" customFormat="false" ht="15" hidden="false" customHeight="false" outlineLevel="0" collapsed="false">
      <c r="A122" s="2" t="s">
        <v>438</v>
      </c>
      <c r="B122" s="2" t="s">
        <v>45</v>
      </c>
      <c r="C122" s="13" t="s">
        <v>1414</v>
      </c>
      <c r="D122" s="29" t="n">
        <v>41170</v>
      </c>
      <c r="E122" s="2" t="s">
        <v>821</v>
      </c>
      <c r="F122" s="30" t="n">
        <v>0.373354384260384</v>
      </c>
      <c r="G122" s="31" t="n">
        <v>25.9</v>
      </c>
      <c r="H122" s="32" t="n">
        <v>0.0575391728743899</v>
      </c>
      <c r="I122" s="31" t="n">
        <v>31.3</v>
      </c>
      <c r="J122" s="2" t="s">
        <v>2883</v>
      </c>
      <c r="K122" s="33" t="n">
        <v>0.030812324929972</v>
      </c>
      <c r="L122" s="31" t="n">
        <v>8.9</v>
      </c>
      <c r="M122" s="34" t="s">
        <v>822</v>
      </c>
      <c r="N122" s="2" t="s">
        <v>24</v>
      </c>
      <c r="O122" s="2" t="s">
        <v>24</v>
      </c>
      <c r="P122" s="2" t="s">
        <v>24</v>
      </c>
      <c r="Q122" s="2" t="s">
        <v>24</v>
      </c>
    </row>
    <row r="123" customFormat="false" ht="15" hidden="false" customHeight="false" outlineLevel="0" collapsed="false">
      <c r="A123" s="2" t="s">
        <v>438</v>
      </c>
      <c r="B123" s="2" t="s">
        <v>46</v>
      </c>
      <c r="C123" s="13" t="s">
        <v>1663</v>
      </c>
      <c r="D123" s="29" t="n">
        <v>18130</v>
      </c>
      <c r="E123" s="2" t="s">
        <v>821</v>
      </c>
      <c r="F123" s="30" t="n">
        <v>7.99972421400993</v>
      </c>
      <c r="G123" s="31" t="n">
        <v>90</v>
      </c>
      <c r="H123" s="48" t="n">
        <v>-0.0159717552118359</v>
      </c>
      <c r="I123" s="31" t="n">
        <v>9.8</v>
      </c>
      <c r="J123" s="2" t="s">
        <v>2884</v>
      </c>
      <c r="K123" s="33" t="n">
        <v>0.270054730258014</v>
      </c>
      <c r="L123" s="31" t="n">
        <v>84.1</v>
      </c>
      <c r="M123" s="34" t="s">
        <v>822</v>
      </c>
      <c r="N123" s="2" t="s">
        <v>24</v>
      </c>
      <c r="O123" s="2" t="s">
        <v>24</v>
      </c>
      <c r="P123" s="2" t="s">
        <v>19</v>
      </c>
      <c r="Q123" s="2" t="s">
        <v>24</v>
      </c>
    </row>
    <row r="124" customFormat="false" ht="15" hidden="false" customHeight="false" outlineLevel="0" collapsed="false">
      <c r="A124" s="2" t="s">
        <v>438</v>
      </c>
      <c r="B124" s="2" t="s">
        <v>47</v>
      </c>
      <c r="C124" s="13" t="s">
        <v>2588</v>
      </c>
      <c r="D124" s="29" t="n">
        <v>28140</v>
      </c>
      <c r="E124" s="2" t="s">
        <v>821</v>
      </c>
      <c r="F124" s="30" t="n">
        <v>1.09939587775409</v>
      </c>
      <c r="G124" s="31" t="n">
        <v>42.7</v>
      </c>
      <c r="H124" s="32" t="n">
        <v>0.0433815350389322</v>
      </c>
      <c r="I124" s="31" t="n">
        <v>25.3</v>
      </c>
      <c r="J124" s="2" t="s">
        <v>2886</v>
      </c>
      <c r="K124" s="33" t="n">
        <v>0.0423357664233577</v>
      </c>
      <c r="L124" s="31" t="n">
        <v>27.6</v>
      </c>
      <c r="M124" s="34" t="s">
        <v>822</v>
      </c>
      <c r="N124" s="2" t="s">
        <v>24</v>
      </c>
      <c r="O124" s="2" t="s">
        <v>24</v>
      </c>
      <c r="P124" s="2" t="s">
        <v>24</v>
      </c>
      <c r="Q124" s="2" t="s">
        <v>24</v>
      </c>
    </row>
    <row r="125" customFormat="false" ht="15" hidden="false" customHeight="false" outlineLevel="0" collapsed="false">
      <c r="A125" s="2" t="s">
        <v>1893</v>
      </c>
      <c r="B125" s="2" t="s">
        <v>46</v>
      </c>
      <c r="C125" s="13" t="s">
        <v>1894</v>
      </c>
      <c r="D125" s="29" t="n">
        <v>421260</v>
      </c>
      <c r="E125" s="2" t="s">
        <v>827</v>
      </c>
      <c r="F125" s="30" t="n">
        <v>3.21927075915112</v>
      </c>
      <c r="G125" s="31" t="n">
        <v>51.1</v>
      </c>
      <c r="H125" s="32" t="n">
        <v>0.00898182079471151</v>
      </c>
      <c r="I125" s="31" t="n">
        <v>14.6</v>
      </c>
      <c r="J125" s="2" t="s">
        <v>2888</v>
      </c>
      <c r="K125" s="33" t="n">
        <v>0.132215147279598</v>
      </c>
      <c r="L125" s="31" t="n">
        <v>50.1</v>
      </c>
      <c r="M125" s="34" t="s">
        <v>822</v>
      </c>
      <c r="N125" s="2" t="s">
        <v>24</v>
      </c>
      <c r="O125" s="2" t="s">
        <v>24</v>
      </c>
      <c r="P125" s="2" t="s">
        <v>24</v>
      </c>
      <c r="Q125" s="2" t="s">
        <v>24</v>
      </c>
    </row>
    <row r="126" customFormat="false" ht="15" hidden="false" customHeight="false" outlineLevel="0" collapsed="false">
      <c r="A126" s="2" t="s">
        <v>1893</v>
      </c>
      <c r="B126" s="2" t="s">
        <v>47</v>
      </c>
      <c r="C126" s="13" t="s">
        <v>2921</v>
      </c>
      <c r="D126" s="29" t="n">
        <v>3534780</v>
      </c>
      <c r="E126" s="2" t="s">
        <v>935</v>
      </c>
      <c r="F126" s="36"/>
      <c r="G126" s="31"/>
      <c r="H126" s="32" t="n">
        <v>0.10956672411033</v>
      </c>
      <c r="I126" s="31" t="n">
        <v>57.1</v>
      </c>
      <c r="J126" s="2" t="s">
        <v>2922</v>
      </c>
      <c r="K126" s="33" t="n">
        <v>0.23041204691489</v>
      </c>
      <c r="L126" s="31" t="n">
        <v>90.5</v>
      </c>
      <c r="M126" s="39" t="s">
        <v>832</v>
      </c>
      <c r="N126" s="2" t="s">
        <v>24</v>
      </c>
      <c r="O126" s="2"/>
      <c r="P126" s="2" t="s">
        <v>24</v>
      </c>
      <c r="Q126" s="2" t="s">
        <v>24</v>
      </c>
    </row>
    <row r="127" customFormat="false" ht="15" hidden="false" customHeight="false" outlineLevel="0" collapsed="false">
      <c r="A127" s="2" t="s">
        <v>622</v>
      </c>
      <c r="B127" s="2" t="s">
        <v>47</v>
      </c>
      <c r="C127" s="13" t="s">
        <v>2618</v>
      </c>
      <c r="D127" s="29" t="n">
        <v>35840</v>
      </c>
      <c r="E127" s="2" t="s">
        <v>821</v>
      </c>
      <c r="F127" s="30" t="n">
        <v>0.974916294642857</v>
      </c>
      <c r="G127" s="31" t="n">
        <v>37.7</v>
      </c>
      <c r="H127" s="32" t="n">
        <v>0.0930161634644709</v>
      </c>
      <c r="I127" s="31" t="n">
        <v>48.4</v>
      </c>
      <c r="J127" s="2" t="s">
        <v>2886</v>
      </c>
      <c r="K127" s="33" t="n">
        <v>0.0829769033361848</v>
      </c>
      <c r="L127" s="31" t="n">
        <v>50.9</v>
      </c>
      <c r="M127" s="34" t="s">
        <v>822</v>
      </c>
      <c r="N127" s="2" t="s">
        <v>24</v>
      </c>
      <c r="O127" s="2" t="s">
        <v>24</v>
      </c>
      <c r="P127" s="2" t="s">
        <v>24</v>
      </c>
      <c r="Q127" s="2" t="s">
        <v>24</v>
      </c>
    </row>
    <row r="128" customFormat="false" ht="15" hidden="false" customHeight="false" outlineLevel="0" collapsed="false">
      <c r="A128" s="2" t="s">
        <v>196</v>
      </c>
      <c r="B128" s="2" t="s">
        <v>45</v>
      </c>
      <c r="C128" s="13" t="s">
        <v>968</v>
      </c>
      <c r="D128" s="29" t="n">
        <v>122330</v>
      </c>
      <c r="E128" s="2" t="s">
        <v>827</v>
      </c>
      <c r="F128" s="30" t="n">
        <v>1.17421728112483</v>
      </c>
      <c r="G128" s="31" t="n">
        <v>83.2</v>
      </c>
      <c r="H128" s="32" t="n">
        <v>0.0239390642002176</v>
      </c>
      <c r="I128" s="31" t="n">
        <v>18.6</v>
      </c>
      <c r="J128" s="2" t="s">
        <v>2890</v>
      </c>
      <c r="K128" s="33" t="n">
        <v>0.264114832535885</v>
      </c>
      <c r="L128" s="31" t="n">
        <v>84.8</v>
      </c>
      <c r="M128" s="34" t="s">
        <v>822</v>
      </c>
      <c r="N128" s="2" t="s">
        <v>24</v>
      </c>
      <c r="O128" s="2" t="s">
        <v>24</v>
      </c>
      <c r="P128" s="2" t="s">
        <v>24</v>
      </c>
      <c r="Q128" s="2" t="s">
        <v>24</v>
      </c>
    </row>
    <row r="129" customFormat="false" ht="15" hidden="false" customHeight="false" outlineLevel="0" collapsed="false">
      <c r="A129" s="2" t="s">
        <v>196</v>
      </c>
      <c r="B129" s="2" t="s">
        <v>47</v>
      </c>
      <c r="C129" s="13" t="s">
        <v>2413</v>
      </c>
      <c r="D129" s="29" t="n">
        <v>8420</v>
      </c>
      <c r="E129" s="2" t="s">
        <v>825</v>
      </c>
      <c r="F129" s="30" t="n">
        <v>1.70878859857482</v>
      </c>
      <c r="G129" s="31" t="n">
        <v>69</v>
      </c>
      <c r="H129" s="32" t="n">
        <v>0.187588152327222</v>
      </c>
      <c r="I129" s="31" t="n">
        <v>82.5</v>
      </c>
      <c r="J129" s="2" t="s">
        <v>2889</v>
      </c>
      <c r="K129" s="33" t="n">
        <v>0.0503246753246753</v>
      </c>
      <c r="L129" s="31" t="n">
        <v>32.4</v>
      </c>
      <c r="M129" s="34" t="s">
        <v>822</v>
      </c>
      <c r="N129" s="2" t="s">
        <v>24</v>
      </c>
      <c r="O129" s="2" t="s">
        <v>24</v>
      </c>
      <c r="P129" s="2" t="s">
        <v>24</v>
      </c>
      <c r="Q129" s="2" t="s">
        <v>24</v>
      </c>
    </row>
    <row r="130" customFormat="false" ht="15" hidden="false" customHeight="false" outlineLevel="0" collapsed="false">
      <c r="A130" s="2" t="s">
        <v>708</v>
      </c>
      <c r="B130" s="2" t="s">
        <v>45</v>
      </c>
      <c r="C130" s="13" t="s">
        <v>1320</v>
      </c>
      <c r="D130" s="29" t="n">
        <v>89530</v>
      </c>
      <c r="E130" s="2" t="s">
        <v>821</v>
      </c>
      <c r="F130" s="30" t="n">
        <v>0.473606612308723</v>
      </c>
      <c r="G130" s="31" t="n">
        <v>38.9</v>
      </c>
      <c r="H130" s="32" t="n">
        <v>0.120946538124452</v>
      </c>
      <c r="I130" s="31" t="n">
        <v>65.6</v>
      </c>
      <c r="J130" s="2" t="s">
        <v>2883</v>
      </c>
      <c r="K130" s="33" t="n">
        <v>0.215366242038217</v>
      </c>
      <c r="L130" s="31" t="n">
        <v>76</v>
      </c>
      <c r="M130" s="34" t="s">
        <v>822</v>
      </c>
      <c r="N130" s="2" t="s">
        <v>24</v>
      </c>
      <c r="O130" s="2" t="s">
        <v>24</v>
      </c>
      <c r="P130" s="2" t="s">
        <v>24</v>
      </c>
      <c r="Q130" s="2" t="s">
        <v>24</v>
      </c>
    </row>
    <row r="131" customFormat="false" ht="15" hidden="false" customHeight="false" outlineLevel="0" collapsed="false">
      <c r="A131" s="2" t="s">
        <v>708</v>
      </c>
      <c r="B131" s="2" t="s">
        <v>46</v>
      </c>
      <c r="C131" s="13" t="s">
        <v>2184</v>
      </c>
      <c r="D131" s="29" t="n">
        <v>1201940</v>
      </c>
      <c r="E131" s="2" t="s">
        <v>935</v>
      </c>
      <c r="F131" s="30" t="n">
        <v>0.700795380801038</v>
      </c>
      <c r="G131" s="31" t="n">
        <v>3.3</v>
      </c>
      <c r="H131" s="32" t="n">
        <v>0.10793197216205</v>
      </c>
      <c r="I131" s="31" t="n">
        <v>50</v>
      </c>
      <c r="J131" s="2" t="s">
        <v>2906</v>
      </c>
      <c r="K131" s="44" t="n">
        <v>0.0482907612148939</v>
      </c>
      <c r="L131" s="31" t="n">
        <v>11.7</v>
      </c>
      <c r="M131" s="34" t="s">
        <v>822</v>
      </c>
      <c r="N131" s="2" t="s">
        <v>24</v>
      </c>
      <c r="O131" s="2" t="s">
        <v>24</v>
      </c>
      <c r="P131" s="2" t="s">
        <v>24</v>
      </c>
      <c r="Q131" s="2" t="s">
        <v>22</v>
      </c>
    </row>
    <row r="132" customFormat="false" ht="15" hidden="false" customHeight="false" outlineLevel="0" collapsed="false">
      <c r="A132" s="2" t="s">
        <v>708</v>
      </c>
      <c r="B132" s="2" t="s">
        <v>47</v>
      </c>
      <c r="C132" s="13" t="s">
        <v>2609</v>
      </c>
      <c r="D132" s="29" t="n">
        <v>51340</v>
      </c>
      <c r="E132" s="2" t="s">
        <v>821</v>
      </c>
      <c r="F132" s="30" t="n">
        <v>1.01511492014024</v>
      </c>
      <c r="G132" s="31" t="n">
        <v>39.3</v>
      </c>
      <c r="H132" s="32" t="n">
        <v>0.139369729249889</v>
      </c>
      <c r="I132" s="31" t="n">
        <v>70.1</v>
      </c>
      <c r="J132" s="2" t="s">
        <v>2886</v>
      </c>
      <c r="K132" s="33" t="n">
        <v>0.0901559454191033</v>
      </c>
      <c r="L132" s="31" t="n">
        <v>54.3</v>
      </c>
      <c r="M132" s="34" t="s">
        <v>822</v>
      </c>
      <c r="N132" s="2" t="s">
        <v>24</v>
      </c>
      <c r="O132" s="2" t="s">
        <v>24</v>
      </c>
      <c r="P132" s="2" t="s">
        <v>24</v>
      </c>
      <c r="Q132" s="2" t="s">
        <v>24</v>
      </c>
    </row>
    <row r="133" customFormat="false" ht="15" hidden="false" customHeight="false" outlineLevel="0" collapsed="false">
      <c r="A133" s="2" t="s">
        <v>278</v>
      </c>
      <c r="B133" s="2" t="s">
        <v>45</v>
      </c>
      <c r="C133" s="13" t="s">
        <v>1254</v>
      </c>
      <c r="D133" s="29" t="n">
        <v>16390</v>
      </c>
      <c r="E133" s="2" t="s">
        <v>821</v>
      </c>
      <c r="F133" s="30" t="n">
        <v>0.539353264185479</v>
      </c>
      <c r="G133" s="31" t="n">
        <v>47.1</v>
      </c>
      <c r="H133" s="32" t="n">
        <v>0.0649772579597141</v>
      </c>
      <c r="I133" s="31" t="n">
        <v>36.4</v>
      </c>
      <c r="J133" s="2" t="s">
        <v>2883</v>
      </c>
      <c r="K133" s="33" t="n">
        <v>0.180645161290323</v>
      </c>
      <c r="L133" s="31" t="n">
        <v>68.3</v>
      </c>
      <c r="M133" s="34" t="s">
        <v>822</v>
      </c>
      <c r="N133" s="2" t="s">
        <v>24</v>
      </c>
      <c r="O133" s="2" t="s">
        <v>24</v>
      </c>
      <c r="P133" s="2" t="s">
        <v>24</v>
      </c>
      <c r="Q133" s="2" t="s">
        <v>24</v>
      </c>
    </row>
    <row r="134" customFormat="false" ht="15" hidden="false" customHeight="false" outlineLevel="0" collapsed="false">
      <c r="A134" s="2" t="s">
        <v>278</v>
      </c>
      <c r="B134" s="2" t="s">
        <v>46</v>
      </c>
      <c r="C134" s="13" t="s">
        <v>1694</v>
      </c>
      <c r="D134" s="29" t="n">
        <v>23170</v>
      </c>
      <c r="E134" s="2" t="s">
        <v>821</v>
      </c>
      <c r="F134" s="30" t="n">
        <v>6.8775571860164</v>
      </c>
      <c r="G134" s="31" t="n">
        <v>84.9</v>
      </c>
      <c r="H134" s="32" t="n">
        <v>0.0796831314072693</v>
      </c>
      <c r="I134" s="31" t="n">
        <v>47.6</v>
      </c>
      <c r="J134" s="2" t="s">
        <v>2884</v>
      </c>
      <c r="K134" s="33" t="n">
        <v>0.17035157665821</v>
      </c>
      <c r="L134" s="31" t="n">
        <v>61.6</v>
      </c>
      <c r="M134" s="34" t="s">
        <v>822</v>
      </c>
      <c r="N134" s="2" t="s">
        <v>24</v>
      </c>
      <c r="O134" s="2" t="s">
        <v>24</v>
      </c>
      <c r="P134" s="2" t="s">
        <v>24</v>
      </c>
      <c r="Q134" s="2" t="s">
        <v>24</v>
      </c>
    </row>
    <row r="135" customFormat="false" ht="15" hidden="false" customHeight="false" outlineLevel="0" collapsed="false">
      <c r="A135" s="2" t="s">
        <v>278</v>
      </c>
      <c r="B135" s="2" t="s">
        <v>47</v>
      </c>
      <c r="C135" s="13" t="s">
        <v>2455</v>
      </c>
      <c r="D135" s="29" t="n">
        <v>49600</v>
      </c>
      <c r="E135" s="2" t="s">
        <v>821</v>
      </c>
      <c r="F135" s="30" t="n">
        <v>1.59532258064516</v>
      </c>
      <c r="G135" s="31" t="n">
        <v>62.8</v>
      </c>
      <c r="H135" s="48" t="n">
        <v>-0.00741639161729033</v>
      </c>
      <c r="I135" s="31" t="n">
        <v>7.8</v>
      </c>
      <c r="J135" s="2" t="s">
        <v>2886</v>
      </c>
      <c r="K135" s="33" t="n">
        <v>0.00263342696629214</v>
      </c>
      <c r="L135" s="31" t="n">
        <v>3.2</v>
      </c>
      <c r="M135" s="34" t="s">
        <v>822</v>
      </c>
      <c r="N135" s="2" t="s">
        <v>24</v>
      </c>
      <c r="O135" s="2" t="s">
        <v>24</v>
      </c>
      <c r="P135" s="2" t="s">
        <v>19</v>
      </c>
      <c r="Q135" s="2" t="s">
        <v>24</v>
      </c>
    </row>
    <row r="136" customFormat="false" ht="15" hidden="false" customHeight="false" outlineLevel="0" collapsed="false">
      <c r="A136" s="2" t="s">
        <v>366</v>
      </c>
      <c r="B136" s="2" t="s">
        <v>45</v>
      </c>
      <c r="C136" s="13" t="s">
        <v>963</v>
      </c>
      <c r="D136" s="42" t="n">
        <v>5257</v>
      </c>
      <c r="E136" s="2" t="s">
        <v>825</v>
      </c>
      <c r="F136" s="43" t="n">
        <v>1.20448925242534</v>
      </c>
      <c r="G136" s="31" t="n">
        <v>83.9</v>
      </c>
      <c r="H136" s="41" t="n">
        <v>0.0977239507204009</v>
      </c>
      <c r="I136" s="31" t="n">
        <v>49.3</v>
      </c>
      <c r="J136" s="2" t="s">
        <v>2899</v>
      </c>
      <c r="K136" s="33" t="n">
        <v>0.201716738197425</v>
      </c>
      <c r="L136" s="31" t="n">
        <v>73.9</v>
      </c>
      <c r="M136" s="34" t="s">
        <v>822</v>
      </c>
      <c r="N136" s="2" t="s">
        <v>22</v>
      </c>
      <c r="O136" s="2" t="s">
        <v>22</v>
      </c>
      <c r="P136" s="2" t="s">
        <v>22</v>
      </c>
      <c r="Q136" s="2" t="s">
        <v>24</v>
      </c>
    </row>
    <row r="137" customFormat="false" ht="15" hidden="false" customHeight="false" outlineLevel="0" collapsed="false">
      <c r="A137" s="2" t="s">
        <v>366</v>
      </c>
      <c r="B137" s="2" t="s">
        <v>46</v>
      </c>
      <c r="C137" s="13" t="s">
        <v>2087</v>
      </c>
      <c r="D137" s="29" t="n">
        <v>8720</v>
      </c>
      <c r="E137" s="2" t="s">
        <v>825</v>
      </c>
      <c r="F137" s="30" t="n">
        <v>1.62316513761468</v>
      </c>
      <c r="G137" s="31" t="n">
        <v>19.1</v>
      </c>
      <c r="H137" s="32" t="n">
        <v>0.249283667621777</v>
      </c>
      <c r="I137" s="31" t="n">
        <v>98.1</v>
      </c>
      <c r="J137" s="2" t="s">
        <v>2905</v>
      </c>
      <c r="K137" s="33" t="n">
        <v>0.125435540069686</v>
      </c>
      <c r="L137" s="31" t="n">
        <v>47.5</v>
      </c>
      <c r="M137" s="34" t="s">
        <v>822</v>
      </c>
      <c r="N137" s="2" t="s">
        <v>24</v>
      </c>
      <c r="O137" s="2" t="s">
        <v>24</v>
      </c>
      <c r="P137" s="2" t="s">
        <v>24</v>
      </c>
      <c r="Q137" s="2" t="s">
        <v>24</v>
      </c>
    </row>
    <row r="138" customFormat="false" ht="15" hidden="false" customHeight="false" outlineLevel="0" collapsed="false">
      <c r="A138" s="2" t="s">
        <v>366</v>
      </c>
      <c r="B138" s="2" t="s">
        <v>47</v>
      </c>
      <c r="C138" s="14" t="s">
        <v>2410</v>
      </c>
      <c r="D138" s="42" t="n">
        <v>31372</v>
      </c>
      <c r="E138" s="2" t="s">
        <v>821</v>
      </c>
      <c r="F138" s="43" t="n">
        <v>1.72950401632029</v>
      </c>
      <c r="G138" s="31" t="n">
        <v>69.5</v>
      </c>
      <c r="H138" s="41" t="n">
        <v>0.146972799064054</v>
      </c>
      <c r="I138" s="31" t="n">
        <v>75.6</v>
      </c>
      <c r="J138" s="2" t="s">
        <v>2886</v>
      </c>
      <c r="K138" s="44" t="n">
        <v>0.0665009322560597</v>
      </c>
      <c r="L138" s="31" t="n">
        <v>43.2</v>
      </c>
      <c r="M138" s="34" t="s">
        <v>822</v>
      </c>
      <c r="N138" s="2" t="s">
        <v>22</v>
      </c>
      <c r="O138" s="2" t="s">
        <v>22</v>
      </c>
      <c r="P138" s="2" t="s">
        <v>22</v>
      </c>
      <c r="Q138" s="2" t="s">
        <v>22</v>
      </c>
    </row>
    <row r="139" customFormat="false" ht="15" hidden="false" customHeight="false" outlineLevel="0" collapsed="false">
      <c r="A139" s="2" t="s">
        <v>1053</v>
      </c>
      <c r="B139" s="2" t="s">
        <v>45</v>
      </c>
      <c r="C139" s="13" t="s">
        <v>1054</v>
      </c>
      <c r="D139" s="29" t="n">
        <v>123680</v>
      </c>
      <c r="E139" s="2" t="s">
        <v>827</v>
      </c>
      <c r="F139" s="30" t="n">
        <v>0.859079883570505</v>
      </c>
      <c r="G139" s="31" t="n">
        <v>72.8</v>
      </c>
      <c r="H139" s="32" t="n">
        <v>-0.0578197607983545</v>
      </c>
      <c r="I139" s="31" t="n">
        <v>2.9</v>
      </c>
      <c r="J139" s="2" t="s">
        <v>2890</v>
      </c>
      <c r="K139" s="33" t="n">
        <v>0.232086127779739</v>
      </c>
      <c r="L139" s="31" t="n">
        <v>79.3</v>
      </c>
      <c r="M139" s="34" t="s">
        <v>822</v>
      </c>
      <c r="N139" s="2" t="s">
        <v>24</v>
      </c>
      <c r="O139" s="2" t="s">
        <v>24</v>
      </c>
      <c r="P139" s="2" t="s">
        <v>24</v>
      </c>
      <c r="Q139" s="2" t="s">
        <v>24</v>
      </c>
    </row>
    <row r="140" customFormat="false" ht="15" hidden="false" customHeight="false" outlineLevel="0" collapsed="false">
      <c r="A140" s="2" t="s">
        <v>1053</v>
      </c>
      <c r="B140" s="2" t="s">
        <v>46</v>
      </c>
      <c r="C140" s="16"/>
      <c r="D140" s="35"/>
      <c r="E140" s="2"/>
      <c r="F140" s="36"/>
      <c r="G140" s="31"/>
      <c r="H140" s="37"/>
      <c r="I140" s="31"/>
      <c r="J140" s="2"/>
      <c r="K140" s="38"/>
      <c r="L140" s="31"/>
      <c r="M140" s="39" t="s">
        <v>832</v>
      </c>
      <c r="N140" s="2"/>
      <c r="O140" s="2"/>
      <c r="P140" s="2"/>
      <c r="Q140" s="2"/>
    </row>
    <row r="141" customFormat="false" ht="15" hidden="false" customHeight="false" outlineLevel="0" collapsed="false">
      <c r="A141" s="2" t="s">
        <v>1053</v>
      </c>
      <c r="B141" s="2" t="s">
        <v>47</v>
      </c>
      <c r="C141" s="16"/>
      <c r="D141" s="35"/>
      <c r="E141" s="2"/>
      <c r="F141" s="36"/>
      <c r="G141" s="31"/>
      <c r="H141" s="37"/>
      <c r="I141" s="31"/>
      <c r="J141" s="2"/>
      <c r="K141" s="38"/>
      <c r="L141" s="31"/>
      <c r="M141" s="39" t="s">
        <v>832</v>
      </c>
      <c r="N141" s="2"/>
      <c r="O141" s="2"/>
      <c r="P141" s="2"/>
      <c r="Q141" s="2"/>
    </row>
    <row r="142" customFormat="false" ht="15" hidden="false" customHeight="false" outlineLevel="0" collapsed="false">
      <c r="A142" s="2" t="s">
        <v>306</v>
      </c>
      <c r="B142" s="2" t="s">
        <v>45</v>
      </c>
      <c r="C142" s="13" t="s">
        <v>1396</v>
      </c>
      <c r="D142" s="29" t="n">
        <v>146070</v>
      </c>
      <c r="E142" s="2" t="s">
        <v>827</v>
      </c>
      <c r="F142" s="30" t="n">
        <v>0.391168617785993</v>
      </c>
      <c r="G142" s="31" t="n">
        <v>28.5</v>
      </c>
      <c r="H142" s="32" t="n">
        <v>-0.00841762270042767</v>
      </c>
      <c r="I142" s="31" t="n">
        <v>10.7</v>
      </c>
      <c r="J142" s="2" t="s">
        <v>2890</v>
      </c>
      <c r="K142" s="33" t="n">
        <v>0.130449947680502</v>
      </c>
      <c r="L142" s="31" t="n">
        <v>48.3</v>
      </c>
      <c r="M142" s="34" t="s">
        <v>822</v>
      </c>
      <c r="N142" s="2" t="s">
        <v>24</v>
      </c>
      <c r="O142" s="2" t="s">
        <v>24</v>
      </c>
      <c r="P142" s="2" t="s">
        <v>24</v>
      </c>
      <c r="Q142" s="2" t="s">
        <v>24</v>
      </c>
    </row>
    <row r="143" customFormat="false" ht="15" hidden="false" customHeight="false" outlineLevel="0" collapsed="false">
      <c r="A143" s="2" t="s">
        <v>306</v>
      </c>
      <c r="B143" s="2" t="s">
        <v>46</v>
      </c>
      <c r="C143" s="13" t="s">
        <v>1690</v>
      </c>
      <c r="D143" s="29" t="n">
        <v>2990</v>
      </c>
      <c r="E143" s="2" t="s">
        <v>825</v>
      </c>
      <c r="F143" s="43" t="n">
        <v>7.0093896713615</v>
      </c>
      <c r="G143" s="31" t="n">
        <v>85.7</v>
      </c>
      <c r="H143" s="41" t="n">
        <v>0.099963113242346</v>
      </c>
      <c r="I143" s="31" t="n">
        <v>45.3</v>
      </c>
      <c r="J143" s="2" t="s">
        <v>2905</v>
      </c>
      <c r="K143" s="33" t="n">
        <v>0.199651770168311</v>
      </c>
      <c r="L143" s="31" t="n">
        <v>69.3</v>
      </c>
      <c r="M143" s="34" t="s">
        <v>822</v>
      </c>
      <c r="N143" s="2" t="s">
        <v>24</v>
      </c>
      <c r="O143" s="2" t="s">
        <v>22</v>
      </c>
      <c r="P143" s="2" t="s">
        <v>22</v>
      </c>
      <c r="Q143" s="2" t="s">
        <v>24</v>
      </c>
    </row>
    <row r="144" customFormat="false" ht="15" hidden="false" customHeight="false" outlineLevel="0" collapsed="false">
      <c r="A144" s="2" t="s">
        <v>306</v>
      </c>
      <c r="B144" s="2" t="s">
        <v>47</v>
      </c>
      <c r="C144" s="14" t="s">
        <v>2373</v>
      </c>
      <c r="D144" s="42" t="n">
        <v>103540</v>
      </c>
      <c r="E144" s="2" t="s">
        <v>827</v>
      </c>
      <c r="F144" s="43" t="n">
        <v>1.94353872899363</v>
      </c>
      <c r="G144" s="31" t="n">
        <v>75.1</v>
      </c>
      <c r="H144" s="41" t="n">
        <v>0.101091094710424</v>
      </c>
      <c r="I144" s="31" t="n">
        <v>59</v>
      </c>
      <c r="J144" s="2" t="s">
        <v>2897</v>
      </c>
      <c r="K144" s="44" t="n">
        <v>0.100589721988206</v>
      </c>
      <c r="L144" s="31" t="n">
        <v>59.1</v>
      </c>
      <c r="M144" s="34" t="s">
        <v>822</v>
      </c>
      <c r="N144" s="2" t="s">
        <v>22</v>
      </c>
      <c r="O144" s="2" t="s">
        <v>22</v>
      </c>
      <c r="P144" s="2" t="s">
        <v>22</v>
      </c>
      <c r="Q144" s="2" t="s">
        <v>22</v>
      </c>
    </row>
    <row r="145" customFormat="false" ht="15" hidden="false" customHeight="false" outlineLevel="0" collapsed="false">
      <c r="A145" s="2" t="s">
        <v>358</v>
      </c>
      <c r="B145" s="2" t="s">
        <v>46</v>
      </c>
      <c r="C145" s="13" t="s">
        <v>1836</v>
      </c>
      <c r="D145" s="29" t="n">
        <v>11990</v>
      </c>
      <c r="E145" s="2" t="s">
        <v>821</v>
      </c>
      <c r="F145" s="30" t="n">
        <v>3.64778982485405</v>
      </c>
      <c r="G145" s="31" t="n">
        <v>58.9</v>
      </c>
      <c r="H145" s="32" t="n">
        <v>0.0426086956521739</v>
      </c>
      <c r="I145" s="31" t="n">
        <v>27.3</v>
      </c>
      <c r="J145" s="2" t="s">
        <v>2884</v>
      </c>
      <c r="K145" s="33" t="n">
        <v>0.212798530312309</v>
      </c>
      <c r="L145" s="31" t="n">
        <v>72.4</v>
      </c>
      <c r="M145" s="34" t="s">
        <v>822</v>
      </c>
      <c r="N145" s="2" t="s">
        <v>24</v>
      </c>
      <c r="O145" s="2" t="s">
        <v>24</v>
      </c>
      <c r="P145" s="2" t="s">
        <v>24</v>
      </c>
      <c r="Q145" s="2" t="s">
        <v>24</v>
      </c>
    </row>
    <row r="146" customFormat="false" ht="15" hidden="false" customHeight="false" outlineLevel="0" collapsed="false">
      <c r="A146" s="2" t="s">
        <v>1444</v>
      </c>
      <c r="B146" s="2" t="s">
        <v>45</v>
      </c>
      <c r="C146" s="14" t="s">
        <v>1445</v>
      </c>
      <c r="D146" s="42" t="n">
        <v>229816</v>
      </c>
      <c r="E146" s="2" t="s">
        <v>827</v>
      </c>
      <c r="F146" s="43" t="n">
        <v>0.329106763671807</v>
      </c>
      <c r="G146" s="31" t="n">
        <v>21.4</v>
      </c>
      <c r="H146" s="41" t="n">
        <v>-0.0301567339911041</v>
      </c>
      <c r="I146" s="31" t="n">
        <v>8.6</v>
      </c>
      <c r="J146" s="2" t="s">
        <v>2890</v>
      </c>
      <c r="K146" s="44" t="n">
        <v>0.0504201680672269</v>
      </c>
      <c r="L146" s="31" t="n">
        <v>15.6</v>
      </c>
      <c r="M146" s="34" t="s">
        <v>822</v>
      </c>
      <c r="N146" s="2" t="s">
        <v>22</v>
      </c>
      <c r="O146" s="2" t="s">
        <v>22</v>
      </c>
      <c r="P146" s="2" t="s">
        <v>22</v>
      </c>
      <c r="Q146" s="2" t="s">
        <v>22</v>
      </c>
    </row>
    <row r="147" customFormat="false" ht="15" hidden="false" customHeight="false" outlineLevel="0" collapsed="false">
      <c r="A147" s="2" t="s">
        <v>1444</v>
      </c>
      <c r="B147" s="2" t="s">
        <v>46</v>
      </c>
      <c r="C147" s="15" t="s">
        <v>2923</v>
      </c>
      <c r="D147" s="46" t="n">
        <v>32132</v>
      </c>
      <c r="E147" s="2" t="s">
        <v>821</v>
      </c>
      <c r="F147" s="47" t="n">
        <v>1.37193452010457</v>
      </c>
      <c r="G147" s="31" t="n">
        <v>13</v>
      </c>
      <c r="H147" s="48" t="n">
        <v>-0.0508374442442324</v>
      </c>
      <c r="I147" s="31" t="n">
        <v>4.4</v>
      </c>
      <c r="J147" s="2" t="s">
        <v>2884</v>
      </c>
      <c r="K147" s="38"/>
      <c r="L147" s="31"/>
      <c r="M147" s="39" t="s">
        <v>832</v>
      </c>
      <c r="N147" s="2" t="s">
        <v>19</v>
      </c>
      <c r="O147" s="2" t="s">
        <v>19</v>
      </c>
      <c r="P147" s="2" t="s">
        <v>19</v>
      </c>
      <c r="Q147" s="2"/>
    </row>
    <row r="148" customFormat="false" ht="15" hidden="false" customHeight="false" outlineLevel="0" collapsed="false">
      <c r="A148" s="2" t="s">
        <v>1444</v>
      </c>
      <c r="B148" s="2" t="s">
        <v>47</v>
      </c>
      <c r="C148" s="16"/>
      <c r="D148" s="35"/>
      <c r="E148" s="2"/>
      <c r="F148" s="36"/>
      <c r="G148" s="31"/>
      <c r="H148" s="37"/>
      <c r="I148" s="31"/>
      <c r="J148" s="2"/>
      <c r="K148" s="38"/>
      <c r="L148" s="31"/>
      <c r="M148" s="39" t="s">
        <v>832</v>
      </c>
      <c r="N148" s="2"/>
      <c r="O148" s="2"/>
      <c r="P148" s="2"/>
      <c r="Q148" s="2"/>
    </row>
    <row r="149" customFormat="false" ht="15" hidden="false" customHeight="false" outlineLevel="0" collapsed="false">
      <c r="A149" s="2" t="s">
        <v>624</v>
      </c>
      <c r="B149" s="2" t="s">
        <v>45</v>
      </c>
      <c r="C149" s="13" t="s">
        <v>1564</v>
      </c>
      <c r="D149" s="29" t="n">
        <v>72490</v>
      </c>
      <c r="E149" s="2" t="s">
        <v>821</v>
      </c>
      <c r="F149" s="30" t="n">
        <v>0.146392605876673</v>
      </c>
      <c r="G149" s="31" t="n">
        <v>5.1</v>
      </c>
      <c r="H149" s="32" t="n">
        <v>0.0976680799515445</v>
      </c>
      <c r="I149" s="31" t="n">
        <v>50.9</v>
      </c>
      <c r="J149" s="2" t="s">
        <v>2883</v>
      </c>
      <c r="K149" s="44" t="n">
        <v>0.161397670549085</v>
      </c>
      <c r="L149" s="31" t="n">
        <v>62.9</v>
      </c>
      <c r="M149" s="34" t="s">
        <v>822</v>
      </c>
      <c r="N149" s="2" t="s">
        <v>24</v>
      </c>
      <c r="O149" s="2" t="s">
        <v>24</v>
      </c>
      <c r="P149" s="2" t="s">
        <v>24</v>
      </c>
      <c r="Q149" s="2" t="s">
        <v>22</v>
      </c>
    </row>
    <row r="150" customFormat="false" ht="15" hidden="false" customHeight="false" outlineLevel="0" collapsed="false">
      <c r="A150" s="2" t="s">
        <v>624</v>
      </c>
      <c r="B150" s="2" t="s">
        <v>46</v>
      </c>
      <c r="C150" s="13" t="s">
        <v>1923</v>
      </c>
      <c r="D150" s="29" t="n">
        <v>217320</v>
      </c>
      <c r="E150" s="2" t="s">
        <v>827</v>
      </c>
      <c r="F150" s="30" t="n">
        <v>2.93914964108228</v>
      </c>
      <c r="G150" s="31" t="n">
        <v>45.4</v>
      </c>
      <c r="H150" s="32" t="n">
        <v>0.139949643306756</v>
      </c>
      <c r="I150" s="31" t="n">
        <v>80.9</v>
      </c>
      <c r="J150" s="2" t="s">
        <v>2888</v>
      </c>
      <c r="K150" s="33" t="n">
        <v>0.0865199155007195</v>
      </c>
      <c r="L150" s="31" t="n">
        <v>30</v>
      </c>
      <c r="M150" s="34" t="s">
        <v>822</v>
      </c>
      <c r="N150" s="2" t="s">
        <v>24</v>
      </c>
      <c r="O150" s="2" t="s">
        <v>24</v>
      </c>
      <c r="P150" s="2" t="s">
        <v>24</v>
      </c>
      <c r="Q150" s="2" t="s">
        <v>24</v>
      </c>
    </row>
    <row r="151" customFormat="false" ht="15" hidden="false" customHeight="false" outlineLevel="0" collapsed="false">
      <c r="A151" s="2" t="s">
        <v>624</v>
      </c>
      <c r="B151" s="2" t="s">
        <v>47</v>
      </c>
      <c r="C151" s="13" t="s">
        <v>2461</v>
      </c>
      <c r="D151" s="29" t="n">
        <v>234130</v>
      </c>
      <c r="E151" s="2" t="s">
        <v>827</v>
      </c>
      <c r="F151" s="30" t="n">
        <v>1.55902703626191</v>
      </c>
      <c r="G151" s="31" t="n">
        <v>61.9</v>
      </c>
      <c r="H151" s="41" t="n">
        <v>0.12402170259759</v>
      </c>
      <c r="I151" s="31" t="n">
        <v>72</v>
      </c>
      <c r="J151" s="2" t="s">
        <v>2897</v>
      </c>
      <c r="K151" s="33" t="n">
        <v>0.116487636805837</v>
      </c>
      <c r="L151" s="31" t="n">
        <v>64.9</v>
      </c>
      <c r="M151" s="34" t="s">
        <v>822</v>
      </c>
      <c r="N151" s="2" t="s">
        <v>24</v>
      </c>
      <c r="O151" s="2" t="s">
        <v>24</v>
      </c>
      <c r="P151" s="2" t="s">
        <v>22</v>
      </c>
      <c r="Q151" s="2" t="s">
        <v>24</v>
      </c>
    </row>
    <row r="152" customFormat="false" ht="15" hidden="false" customHeight="false" outlineLevel="0" collapsed="false">
      <c r="A152" s="2" t="s">
        <v>762</v>
      </c>
      <c r="B152" s="2" t="s">
        <v>46</v>
      </c>
      <c r="C152" s="14" t="s">
        <v>2086</v>
      </c>
      <c r="D152" s="42" t="n">
        <v>5288</v>
      </c>
      <c r="E152" s="2" t="s">
        <v>825</v>
      </c>
      <c r="F152" s="43" t="n">
        <v>1.63672465960666</v>
      </c>
      <c r="G152" s="31" t="n">
        <v>19.3</v>
      </c>
      <c r="H152" s="41" t="n">
        <v>0.0838286534125846</v>
      </c>
      <c r="I152" s="31" t="n">
        <v>30.2</v>
      </c>
      <c r="J152" s="2" t="s">
        <v>2905</v>
      </c>
      <c r="K152" s="44" t="n">
        <v>0.242125984251969</v>
      </c>
      <c r="L152" s="31" t="n">
        <v>79.9</v>
      </c>
      <c r="M152" s="34" t="s">
        <v>822</v>
      </c>
      <c r="N152" s="2" t="s">
        <v>22</v>
      </c>
      <c r="O152" s="2" t="s">
        <v>22</v>
      </c>
      <c r="P152" s="2" t="s">
        <v>22</v>
      </c>
      <c r="Q152" s="2" t="s">
        <v>22</v>
      </c>
    </row>
    <row r="153" customFormat="false" ht="15" hidden="false" customHeight="false" outlineLevel="0" collapsed="false">
      <c r="A153" s="2" t="s">
        <v>334</v>
      </c>
      <c r="B153" s="2" t="s">
        <v>45</v>
      </c>
      <c r="C153" s="13" t="s">
        <v>1149</v>
      </c>
      <c r="D153" s="29" t="n">
        <v>4540</v>
      </c>
      <c r="E153" s="2" t="s">
        <v>825</v>
      </c>
      <c r="F153" s="30" t="n">
        <v>0.677753303964758</v>
      </c>
      <c r="G153" s="31" t="n">
        <v>60.3</v>
      </c>
      <c r="H153" s="32" t="n">
        <v>0.104622871046229</v>
      </c>
      <c r="I153" s="31" t="n">
        <v>57.7</v>
      </c>
      <c r="J153" s="2" t="s">
        <v>2899</v>
      </c>
      <c r="K153" s="44" t="n">
        <v>0.246305418719212</v>
      </c>
      <c r="L153" s="31" t="n">
        <v>81.8</v>
      </c>
      <c r="M153" s="34" t="s">
        <v>822</v>
      </c>
      <c r="N153" s="2" t="s">
        <v>24</v>
      </c>
      <c r="O153" s="2" t="s">
        <v>24</v>
      </c>
      <c r="P153" s="2" t="s">
        <v>24</v>
      </c>
      <c r="Q153" s="2" t="s">
        <v>22</v>
      </c>
    </row>
    <row r="154" customFormat="false" ht="15" hidden="false" customHeight="false" outlineLevel="0" collapsed="false">
      <c r="A154" s="2" t="s">
        <v>2007</v>
      </c>
      <c r="B154" s="2" t="s">
        <v>45</v>
      </c>
      <c r="C154" s="13" t="s">
        <v>2924</v>
      </c>
      <c r="D154" s="29" t="n">
        <v>148510</v>
      </c>
      <c r="E154" s="2" t="s">
        <v>827</v>
      </c>
      <c r="F154" s="30" t="n">
        <v>0.572089421587772</v>
      </c>
      <c r="G154" s="31" t="n">
        <v>51.2</v>
      </c>
      <c r="H154" s="32" t="n">
        <v>0.124990531020377</v>
      </c>
      <c r="I154" s="31" t="n">
        <v>71.4</v>
      </c>
      <c r="J154" s="2" t="s">
        <v>2890</v>
      </c>
      <c r="K154" s="38"/>
      <c r="L154" s="31"/>
      <c r="M154" s="39" t="s">
        <v>832</v>
      </c>
      <c r="N154" s="2" t="s">
        <v>24</v>
      </c>
      <c r="O154" s="2" t="s">
        <v>24</v>
      </c>
      <c r="P154" s="2" t="s">
        <v>24</v>
      </c>
      <c r="Q154" s="2"/>
    </row>
    <row r="155" customFormat="false" ht="15" hidden="false" customHeight="false" outlineLevel="0" collapsed="false">
      <c r="A155" s="2" t="s">
        <v>2007</v>
      </c>
      <c r="B155" s="2" t="s">
        <v>46</v>
      </c>
      <c r="C155" s="13" t="s">
        <v>2008</v>
      </c>
      <c r="D155" s="29" t="n">
        <v>42370</v>
      </c>
      <c r="E155" s="2" t="s">
        <v>821</v>
      </c>
      <c r="F155" s="30" t="n">
        <v>2.31463299504366</v>
      </c>
      <c r="G155" s="31" t="n">
        <v>33</v>
      </c>
      <c r="H155" s="32" t="n">
        <v>0.0751078406495813</v>
      </c>
      <c r="I155" s="31" t="n">
        <v>44</v>
      </c>
      <c r="J155" s="2" t="s">
        <v>2884</v>
      </c>
      <c r="K155" s="33" t="n">
        <v>0.591196994095545</v>
      </c>
      <c r="L155" s="31" t="n">
        <v>100</v>
      </c>
      <c r="M155" s="34" t="s">
        <v>822</v>
      </c>
      <c r="N155" s="2" t="s">
        <v>24</v>
      </c>
      <c r="O155" s="2" t="s">
        <v>24</v>
      </c>
      <c r="P155" s="2" t="s">
        <v>24</v>
      </c>
      <c r="Q155" s="2" t="s">
        <v>24</v>
      </c>
    </row>
    <row r="156" customFormat="false" ht="15" hidden="false" customHeight="false" outlineLevel="0" collapsed="false">
      <c r="A156" s="2" t="s">
        <v>2007</v>
      </c>
      <c r="B156" s="2" t="s">
        <v>47</v>
      </c>
      <c r="C156" s="13" t="s">
        <v>2576</v>
      </c>
      <c r="D156" s="42" t="n">
        <v>8612</v>
      </c>
      <c r="E156" s="2" t="s">
        <v>825</v>
      </c>
      <c r="F156" s="43" t="n">
        <v>1.14177891314445</v>
      </c>
      <c r="G156" s="31" t="n">
        <v>45</v>
      </c>
      <c r="H156" s="41" t="n">
        <v>0.143691899070385</v>
      </c>
      <c r="I156" s="31" t="n">
        <v>65</v>
      </c>
      <c r="J156" s="2" t="s">
        <v>2889</v>
      </c>
      <c r="K156" s="44" t="n">
        <v>0.0102564102564103</v>
      </c>
      <c r="L156" s="31" t="n">
        <v>6.6</v>
      </c>
      <c r="M156" s="34" t="s">
        <v>822</v>
      </c>
      <c r="N156" s="2" t="s">
        <v>22</v>
      </c>
      <c r="O156" s="2" t="s">
        <v>22</v>
      </c>
      <c r="P156" s="2" t="s">
        <v>22</v>
      </c>
      <c r="Q156" s="2" t="s">
        <v>22</v>
      </c>
    </row>
    <row r="157" customFormat="false" ht="15" hidden="false" customHeight="false" outlineLevel="0" collapsed="false">
      <c r="A157" s="2" t="s">
        <v>1605</v>
      </c>
      <c r="B157" s="2" t="s">
        <v>45</v>
      </c>
      <c r="C157" s="13" t="s">
        <v>2925</v>
      </c>
      <c r="D157" s="29" t="n">
        <v>2051030</v>
      </c>
      <c r="E157" s="2" t="s">
        <v>935</v>
      </c>
      <c r="F157" s="36"/>
      <c r="G157" s="31"/>
      <c r="H157" s="32" t="n">
        <v>0.0471009868437846</v>
      </c>
      <c r="I157" s="31" t="n">
        <v>17.6</v>
      </c>
      <c r="J157" s="2" t="s">
        <v>2892</v>
      </c>
      <c r="K157" s="40" t="s">
        <v>857</v>
      </c>
      <c r="L157" s="31"/>
      <c r="M157" s="39" t="s">
        <v>832</v>
      </c>
      <c r="N157" s="2" t="s">
        <v>24</v>
      </c>
      <c r="O157" s="2"/>
      <c r="P157" s="2" t="s">
        <v>24</v>
      </c>
      <c r="Q157" s="2" t="s">
        <v>2885</v>
      </c>
    </row>
    <row r="158" customFormat="false" ht="15" hidden="false" customHeight="false" outlineLevel="0" collapsed="false">
      <c r="A158" s="2" t="s">
        <v>1605</v>
      </c>
      <c r="B158" s="2" t="s">
        <v>46</v>
      </c>
      <c r="C158" s="13" t="s">
        <v>1606</v>
      </c>
      <c r="D158" s="29" t="n">
        <v>17460</v>
      </c>
      <c r="E158" s="2" t="s">
        <v>821</v>
      </c>
      <c r="F158" s="30" t="n">
        <v>17.8077319587629</v>
      </c>
      <c r="G158" s="31" t="n">
        <v>99.2</v>
      </c>
      <c r="H158" s="32" t="n">
        <v>0.167892976588629</v>
      </c>
      <c r="I158" s="31" t="n">
        <v>85.1</v>
      </c>
      <c r="J158" s="2" t="s">
        <v>2884</v>
      </c>
      <c r="K158" s="33" t="n">
        <v>0.0309359433714935</v>
      </c>
      <c r="L158" s="31" t="n">
        <v>6.8</v>
      </c>
      <c r="M158" s="34" t="s">
        <v>822</v>
      </c>
      <c r="N158" s="2" t="s">
        <v>24</v>
      </c>
      <c r="O158" s="2" t="s">
        <v>24</v>
      </c>
      <c r="P158" s="2" t="s">
        <v>24</v>
      </c>
      <c r="Q158" s="2" t="s">
        <v>24</v>
      </c>
    </row>
    <row r="159" customFormat="false" ht="15" hidden="false" customHeight="false" outlineLevel="0" collapsed="false">
      <c r="A159" s="2" t="s">
        <v>1605</v>
      </c>
      <c r="B159" s="2" t="s">
        <v>47</v>
      </c>
      <c r="C159" s="13" t="s">
        <v>2411</v>
      </c>
      <c r="D159" s="29" t="n">
        <v>193920</v>
      </c>
      <c r="E159" s="2" t="s">
        <v>827</v>
      </c>
      <c r="F159" s="30" t="n">
        <v>1.71336117986799</v>
      </c>
      <c r="G159" s="31" t="n">
        <v>69.3</v>
      </c>
      <c r="H159" s="32" t="n">
        <v>0.14582840935949</v>
      </c>
      <c r="I159" s="31" t="n">
        <v>81.4</v>
      </c>
      <c r="J159" s="2" t="s">
        <v>2897</v>
      </c>
      <c r="K159" s="33" t="n">
        <v>0.114506172839506</v>
      </c>
      <c r="L159" s="31" t="n">
        <v>63.6</v>
      </c>
      <c r="M159" s="34" t="s">
        <v>822</v>
      </c>
      <c r="N159" s="2" t="s">
        <v>24</v>
      </c>
      <c r="O159" s="2" t="s">
        <v>24</v>
      </c>
      <c r="P159" s="2" t="s">
        <v>24</v>
      </c>
      <c r="Q159" s="2" t="s">
        <v>24</v>
      </c>
    </row>
    <row r="160" customFormat="false" ht="15" hidden="false" customHeight="false" outlineLevel="0" collapsed="false">
      <c r="A160" s="2" t="s">
        <v>374</v>
      </c>
      <c r="B160" s="2" t="s">
        <v>45</v>
      </c>
      <c r="C160" s="13" t="s">
        <v>1236</v>
      </c>
      <c r="D160" s="29" t="n">
        <v>68400</v>
      </c>
      <c r="E160" s="2" t="s">
        <v>821</v>
      </c>
      <c r="F160" s="30" t="n">
        <v>0.562280701754386</v>
      </c>
      <c r="G160" s="31" t="n">
        <v>49.5</v>
      </c>
      <c r="H160" s="32" t="n">
        <v>0.0064743967039435</v>
      </c>
      <c r="I160" s="31" t="n">
        <v>10.7</v>
      </c>
      <c r="J160" s="2" t="s">
        <v>2883</v>
      </c>
      <c r="K160" s="33" t="n">
        <v>0.152278177458034</v>
      </c>
      <c r="L160" s="31" t="n">
        <v>58.7</v>
      </c>
      <c r="M160" s="34" t="s">
        <v>822</v>
      </c>
      <c r="N160" s="2" t="s">
        <v>24</v>
      </c>
      <c r="O160" s="2" t="s">
        <v>24</v>
      </c>
      <c r="P160" s="2" t="s">
        <v>24</v>
      </c>
      <c r="Q160" s="2" t="s">
        <v>24</v>
      </c>
    </row>
    <row r="161" customFormat="false" ht="15" hidden="false" customHeight="false" outlineLevel="0" collapsed="false">
      <c r="A161" s="2" t="s">
        <v>374</v>
      </c>
      <c r="B161" s="2" t="s">
        <v>47</v>
      </c>
      <c r="C161" s="14" t="s">
        <v>2442</v>
      </c>
      <c r="D161" s="29" t="n">
        <v>52290</v>
      </c>
      <c r="E161" s="2" t="s">
        <v>821</v>
      </c>
      <c r="F161" s="30" t="n">
        <v>1.62227959456875</v>
      </c>
      <c r="G161" s="31" t="n">
        <v>64.4</v>
      </c>
      <c r="H161" s="32" t="n">
        <v>0.125968992248062</v>
      </c>
      <c r="I161" s="31" t="n">
        <v>65.6</v>
      </c>
      <c r="J161" s="2" t="s">
        <v>2886</v>
      </c>
      <c r="K161" s="44" t="n">
        <v>0.0307096004770423</v>
      </c>
      <c r="L161" s="31" t="n">
        <v>19.7</v>
      </c>
      <c r="M161" s="34" t="s">
        <v>822</v>
      </c>
      <c r="N161" s="2" t="s">
        <v>24</v>
      </c>
      <c r="O161" s="2" t="s">
        <v>24</v>
      </c>
      <c r="P161" s="2" t="s">
        <v>24</v>
      </c>
      <c r="Q161" s="2" t="s">
        <v>22</v>
      </c>
    </row>
    <row r="162" customFormat="false" ht="15" hidden="false" customHeight="false" outlineLevel="0" collapsed="false">
      <c r="A162" s="2" t="s">
        <v>2926</v>
      </c>
      <c r="B162" s="2" t="s">
        <v>46</v>
      </c>
      <c r="C162" s="16"/>
      <c r="D162" s="35"/>
      <c r="E162" s="2"/>
      <c r="F162" s="36"/>
      <c r="G162" s="31"/>
      <c r="H162" s="37"/>
      <c r="I162" s="31"/>
      <c r="J162" s="2"/>
      <c r="K162" s="38"/>
      <c r="L162" s="31"/>
      <c r="M162" s="39" t="s">
        <v>832</v>
      </c>
      <c r="N162" s="2"/>
      <c r="O162" s="2"/>
      <c r="P162" s="2"/>
      <c r="Q162" s="2"/>
    </row>
    <row r="163" customFormat="false" ht="15" hidden="false" customHeight="false" outlineLevel="0" collapsed="false">
      <c r="A163" s="2" t="s">
        <v>1472</v>
      </c>
      <c r="B163" s="2" t="s">
        <v>45</v>
      </c>
      <c r="C163" s="13" t="s">
        <v>1473</v>
      </c>
      <c r="D163" s="29" t="n">
        <v>18570</v>
      </c>
      <c r="E163" s="2" t="s">
        <v>821</v>
      </c>
      <c r="F163" s="30" t="n">
        <v>0.293537964458805</v>
      </c>
      <c r="G163" s="31" t="n">
        <v>16.6</v>
      </c>
      <c r="H163" s="32" t="n">
        <v>0.0356943669827105</v>
      </c>
      <c r="I163" s="31" t="n">
        <v>20.6</v>
      </c>
      <c r="J163" s="2" t="s">
        <v>2883</v>
      </c>
      <c r="K163" s="33" t="n">
        <v>0.307547169811321</v>
      </c>
      <c r="L163" s="31" t="n">
        <v>90.9</v>
      </c>
      <c r="M163" s="34" t="s">
        <v>822</v>
      </c>
      <c r="N163" s="2" t="s">
        <v>24</v>
      </c>
      <c r="O163" s="2" t="s">
        <v>24</v>
      </c>
      <c r="P163" s="2" t="s">
        <v>24</v>
      </c>
      <c r="Q163" s="2" t="s">
        <v>24</v>
      </c>
    </row>
    <row r="164" customFormat="false" ht="15" hidden="false" customHeight="false" outlineLevel="0" collapsed="false">
      <c r="A164" s="2" t="s">
        <v>1472</v>
      </c>
      <c r="B164" s="2" t="s">
        <v>46</v>
      </c>
      <c r="C164" s="15" t="s">
        <v>2927</v>
      </c>
      <c r="D164" s="35"/>
      <c r="E164" s="2"/>
      <c r="F164" s="36"/>
      <c r="G164" s="31"/>
      <c r="H164" s="37"/>
      <c r="I164" s="31"/>
      <c r="J164" s="2"/>
      <c r="K164" s="38"/>
      <c r="L164" s="31"/>
      <c r="M164" s="39" t="s">
        <v>832</v>
      </c>
      <c r="N164" s="2"/>
      <c r="O164" s="2"/>
      <c r="P164" s="2"/>
      <c r="Q164" s="2"/>
    </row>
    <row r="165" customFormat="false" ht="15" hidden="false" customHeight="false" outlineLevel="0" collapsed="false">
      <c r="A165" s="2" t="s">
        <v>1472</v>
      </c>
      <c r="B165" s="2" t="s">
        <v>47</v>
      </c>
      <c r="C165" s="14" t="s">
        <v>2342</v>
      </c>
      <c r="D165" s="42" t="n">
        <v>446469</v>
      </c>
      <c r="E165" s="2" t="s">
        <v>827</v>
      </c>
      <c r="F165" s="43" t="n">
        <v>2.29938248792189</v>
      </c>
      <c r="G165" s="31" t="n">
        <v>81</v>
      </c>
      <c r="H165" s="41" t="n">
        <v>0.121787044156001</v>
      </c>
      <c r="I165" s="31" t="n">
        <v>70.2</v>
      </c>
      <c r="J165" s="2" t="s">
        <v>2897</v>
      </c>
      <c r="K165" s="44" t="n">
        <v>0.0816370030906959</v>
      </c>
      <c r="L165" s="31" t="n">
        <v>49.8</v>
      </c>
      <c r="M165" s="34" t="s">
        <v>822</v>
      </c>
      <c r="N165" s="2" t="s">
        <v>22</v>
      </c>
      <c r="O165" s="2" t="s">
        <v>22</v>
      </c>
      <c r="P165" s="2" t="s">
        <v>22</v>
      </c>
      <c r="Q165" s="2" t="s">
        <v>22</v>
      </c>
    </row>
    <row r="166" customFormat="false" ht="15" hidden="false" customHeight="false" outlineLevel="0" collapsed="false">
      <c r="A166" s="2" t="s">
        <v>1037</v>
      </c>
      <c r="B166" s="2" t="s">
        <v>45</v>
      </c>
      <c r="C166" s="13" t="s">
        <v>1038</v>
      </c>
      <c r="D166" s="29" t="n">
        <v>93060</v>
      </c>
      <c r="E166" s="2" t="s">
        <v>821</v>
      </c>
      <c r="F166" s="30" t="n">
        <v>0.896013324736729</v>
      </c>
      <c r="G166" s="31" t="n">
        <v>74.9</v>
      </c>
      <c r="H166" s="32" t="n">
        <v>0.0707628581290991</v>
      </c>
      <c r="I166" s="31" t="n">
        <v>38.1</v>
      </c>
      <c r="J166" s="2" t="s">
        <v>2883</v>
      </c>
      <c r="K166" s="33" t="n">
        <v>0.138047953499637</v>
      </c>
      <c r="L166" s="31" t="n">
        <v>52.4</v>
      </c>
      <c r="M166" s="34" t="s">
        <v>822</v>
      </c>
      <c r="N166" s="2" t="s">
        <v>24</v>
      </c>
      <c r="O166" s="2" t="s">
        <v>24</v>
      </c>
      <c r="P166" s="2" t="s">
        <v>24</v>
      </c>
      <c r="Q166" s="2" t="s">
        <v>24</v>
      </c>
    </row>
    <row r="167" customFormat="false" ht="15" hidden="false" customHeight="false" outlineLevel="0" collapsed="false">
      <c r="A167" s="2" t="s">
        <v>1037</v>
      </c>
      <c r="B167" s="2" t="s">
        <v>46</v>
      </c>
      <c r="C167" s="13" t="s">
        <v>1963</v>
      </c>
      <c r="D167" s="29" t="n">
        <v>1278060</v>
      </c>
      <c r="E167" s="2" t="s">
        <v>935</v>
      </c>
      <c r="F167" s="30" t="n">
        <v>2.59817770683693</v>
      </c>
      <c r="G167" s="31" t="n">
        <v>39.9</v>
      </c>
      <c r="H167" s="32" t="n">
        <v>0.0148729880174378</v>
      </c>
      <c r="I167" s="31" t="n">
        <v>8.3</v>
      </c>
      <c r="J167" s="2" t="s">
        <v>2906</v>
      </c>
      <c r="K167" s="33" t="n">
        <v>0.158893506607736</v>
      </c>
      <c r="L167" s="31" t="n">
        <v>58.3</v>
      </c>
      <c r="M167" s="34" t="s">
        <v>822</v>
      </c>
      <c r="N167" s="2" t="s">
        <v>24</v>
      </c>
      <c r="O167" s="2" t="s">
        <v>24</v>
      </c>
      <c r="P167" s="2" t="s">
        <v>24</v>
      </c>
      <c r="Q167" s="2" t="s">
        <v>24</v>
      </c>
    </row>
    <row r="168" customFormat="false" ht="15" hidden="false" customHeight="false" outlineLevel="0" collapsed="false">
      <c r="A168" s="2" t="s">
        <v>1037</v>
      </c>
      <c r="B168" s="2" t="s">
        <v>47</v>
      </c>
      <c r="C168" s="16"/>
      <c r="D168" s="35"/>
      <c r="E168" s="2"/>
      <c r="F168" s="36"/>
      <c r="G168" s="31"/>
      <c r="H168" s="37"/>
      <c r="I168" s="31"/>
      <c r="J168" s="2"/>
      <c r="K168" s="38"/>
      <c r="L168" s="31"/>
      <c r="M168" s="39" t="s">
        <v>832</v>
      </c>
      <c r="N168" s="2"/>
      <c r="O168" s="2"/>
      <c r="P168" s="2"/>
      <c r="Q168" s="2"/>
    </row>
    <row r="169" customFormat="false" ht="15" hidden="false" customHeight="false" outlineLevel="0" collapsed="false">
      <c r="A169" s="2" t="s">
        <v>932</v>
      </c>
      <c r="B169" s="2" t="s">
        <v>45</v>
      </c>
      <c r="C169" s="13" t="s">
        <v>933</v>
      </c>
      <c r="D169" s="29" t="n">
        <v>59020</v>
      </c>
      <c r="E169" s="2" t="s">
        <v>821</v>
      </c>
      <c r="F169" s="30" t="n">
        <v>1.37114537444934</v>
      </c>
      <c r="G169" s="31" t="n">
        <v>87</v>
      </c>
      <c r="H169" s="32" t="n">
        <v>0.0262563032516084</v>
      </c>
      <c r="I169" s="31" t="n">
        <v>16.2</v>
      </c>
      <c r="J169" s="2" t="s">
        <v>2883</v>
      </c>
      <c r="K169" s="40" t="s">
        <v>857</v>
      </c>
      <c r="L169" s="31"/>
      <c r="M169" s="34" t="s">
        <v>822</v>
      </c>
      <c r="N169" s="2" t="s">
        <v>24</v>
      </c>
      <c r="O169" s="2" t="s">
        <v>24</v>
      </c>
      <c r="P169" s="2" t="s">
        <v>24</v>
      </c>
      <c r="Q169" s="2" t="s">
        <v>2885</v>
      </c>
    </row>
    <row r="170" customFormat="false" ht="15" hidden="false" customHeight="false" outlineLevel="0" collapsed="false">
      <c r="A170" s="2" t="s">
        <v>932</v>
      </c>
      <c r="B170" s="2" t="s">
        <v>46</v>
      </c>
      <c r="C170" s="13" t="s">
        <v>2928</v>
      </c>
      <c r="D170" s="29" t="n">
        <v>57410</v>
      </c>
      <c r="E170" s="2" t="s">
        <v>821</v>
      </c>
      <c r="F170" s="30" t="n">
        <v>7.37951576380422</v>
      </c>
      <c r="G170" s="31" t="n">
        <v>87.8</v>
      </c>
      <c r="H170" s="32" t="n">
        <v>0.0275639878288885</v>
      </c>
      <c r="I170" s="31" t="n">
        <v>20.7</v>
      </c>
      <c r="J170" s="2" t="s">
        <v>2884</v>
      </c>
      <c r="K170" s="38"/>
      <c r="L170" s="31"/>
      <c r="M170" s="39" t="s">
        <v>832</v>
      </c>
      <c r="N170" s="2" t="s">
        <v>24</v>
      </c>
      <c r="O170" s="2" t="s">
        <v>24</v>
      </c>
      <c r="P170" s="2" t="s">
        <v>24</v>
      </c>
      <c r="Q170" s="2"/>
    </row>
    <row r="171" customFormat="false" ht="15" hidden="false" customHeight="false" outlineLevel="0" collapsed="false">
      <c r="A171" s="2" t="s">
        <v>932</v>
      </c>
      <c r="B171" s="2" t="s">
        <v>47</v>
      </c>
      <c r="C171" s="13" t="s">
        <v>2353</v>
      </c>
      <c r="D171" s="29" t="n">
        <v>34750</v>
      </c>
      <c r="E171" s="2" t="s">
        <v>821</v>
      </c>
      <c r="F171" s="30" t="n">
        <v>2.13346762589928</v>
      </c>
      <c r="G171" s="31" t="n">
        <v>78.7</v>
      </c>
      <c r="H171" s="32" t="n">
        <v>0.08458177278402</v>
      </c>
      <c r="I171" s="31" t="n">
        <v>43.2</v>
      </c>
      <c r="J171" s="2" t="s">
        <v>2886</v>
      </c>
      <c r="K171" s="33" t="n">
        <v>0.0603015075376884</v>
      </c>
      <c r="L171" s="31" t="n">
        <v>38.2</v>
      </c>
      <c r="M171" s="34" t="s">
        <v>822</v>
      </c>
      <c r="N171" s="2" t="s">
        <v>24</v>
      </c>
      <c r="O171" s="2" t="s">
        <v>24</v>
      </c>
      <c r="P171" s="2" t="s">
        <v>24</v>
      </c>
      <c r="Q171" s="2" t="s">
        <v>24</v>
      </c>
    </row>
    <row r="172" customFormat="false" ht="15" hidden="false" customHeight="false" outlineLevel="0" collapsed="false">
      <c r="A172" s="2" t="s">
        <v>376</v>
      </c>
      <c r="B172" s="2" t="s">
        <v>47</v>
      </c>
      <c r="C172" s="13" t="s">
        <v>2491</v>
      </c>
      <c r="D172" s="42" t="n">
        <v>365625</v>
      </c>
      <c r="E172" s="2" t="s">
        <v>827</v>
      </c>
      <c r="F172" s="43" t="n">
        <v>1.40645196581197</v>
      </c>
      <c r="G172" s="31" t="n">
        <v>56.6</v>
      </c>
      <c r="H172" s="41" t="n">
        <v>0.140073525972629</v>
      </c>
      <c r="I172" s="31" t="n">
        <v>76.4</v>
      </c>
      <c r="J172" s="2" t="s">
        <v>2897</v>
      </c>
      <c r="K172" s="33" t="n">
        <v>0.0676366903988387</v>
      </c>
      <c r="L172" s="31" t="n">
        <v>43.7</v>
      </c>
      <c r="M172" s="34" t="s">
        <v>822</v>
      </c>
      <c r="N172" s="2" t="s">
        <v>22</v>
      </c>
      <c r="O172" s="2" t="s">
        <v>22</v>
      </c>
      <c r="P172" s="2" t="s">
        <v>22</v>
      </c>
      <c r="Q172" s="2" t="s">
        <v>24</v>
      </c>
    </row>
    <row r="173" customFormat="false" ht="15" hidden="false" customHeight="false" outlineLevel="0" collapsed="false">
      <c r="A173" s="2" t="s">
        <v>1380</v>
      </c>
      <c r="B173" s="2" t="s">
        <v>45</v>
      </c>
      <c r="C173" s="13" t="s">
        <v>1381</v>
      </c>
      <c r="D173" s="29" t="n">
        <v>93220</v>
      </c>
      <c r="E173" s="2" t="s">
        <v>821</v>
      </c>
      <c r="F173" s="43" t="n">
        <v>0.42400113594163</v>
      </c>
      <c r="G173" s="31" t="n">
        <v>31.4</v>
      </c>
      <c r="H173" s="32" t="n">
        <v>0.0300552486187845</v>
      </c>
      <c r="I173" s="31" t="n">
        <v>18.2</v>
      </c>
      <c r="J173" s="2" t="s">
        <v>2883</v>
      </c>
      <c r="K173" s="33" t="n">
        <v>0.437540453074434</v>
      </c>
      <c r="L173" s="31" t="n">
        <v>99.3</v>
      </c>
      <c r="M173" s="34" t="s">
        <v>822</v>
      </c>
      <c r="N173" s="2" t="s">
        <v>24</v>
      </c>
      <c r="O173" s="2" t="s">
        <v>22</v>
      </c>
      <c r="P173" s="2" t="s">
        <v>24</v>
      </c>
      <c r="Q173" s="2" t="s">
        <v>24</v>
      </c>
    </row>
    <row r="174" customFormat="false" ht="15" hidden="false" customHeight="false" outlineLevel="0" collapsed="false">
      <c r="A174" s="2" t="s">
        <v>1380</v>
      </c>
      <c r="B174" s="2" t="s">
        <v>46</v>
      </c>
      <c r="C174" s="13" t="s">
        <v>2929</v>
      </c>
      <c r="D174" s="29" t="n">
        <v>83990</v>
      </c>
      <c r="E174" s="2" t="s">
        <v>821</v>
      </c>
      <c r="F174" s="30" t="n">
        <v>5.73576616263841</v>
      </c>
      <c r="G174" s="31" t="n">
        <v>78.2</v>
      </c>
      <c r="H174" s="32" t="n">
        <v>0.010831628354796</v>
      </c>
      <c r="I174" s="31" t="n">
        <v>15.6</v>
      </c>
      <c r="J174" s="2" t="s">
        <v>2884</v>
      </c>
      <c r="K174" s="38"/>
      <c r="L174" s="31"/>
      <c r="M174" s="39" t="s">
        <v>832</v>
      </c>
      <c r="N174" s="2" t="s">
        <v>24</v>
      </c>
      <c r="O174" s="2" t="s">
        <v>24</v>
      </c>
      <c r="P174" s="2" t="s">
        <v>24</v>
      </c>
      <c r="Q174" s="2"/>
    </row>
    <row r="175" customFormat="false" ht="15" hidden="false" customHeight="false" outlineLevel="0" collapsed="false">
      <c r="A175" s="2" t="s">
        <v>1380</v>
      </c>
      <c r="B175" s="2" t="s">
        <v>47</v>
      </c>
      <c r="C175" s="14" t="s">
        <v>2541</v>
      </c>
      <c r="D175" s="29" t="n">
        <v>188200</v>
      </c>
      <c r="E175" s="2" t="s">
        <v>827</v>
      </c>
      <c r="F175" s="30" t="n">
        <v>1.24984059511158</v>
      </c>
      <c r="G175" s="31" t="n">
        <v>49.9</v>
      </c>
      <c r="H175" s="32" t="n">
        <v>0.0872328134026574</v>
      </c>
      <c r="I175" s="31" t="n">
        <v>51.6</v>
      </c>
      <c r="J175" s="2" t="s">
        <v>2897</v>
      </c>
      <c r="K175" s="44" t="n">
        <v>0.217150170648464</v>
      </c>
      <c r="L175" s="31" t="n">
        <v>88.4</v>
      </c>
      <c r="M175" s="34" t="s">
        <v>822</v>
      </c>
      <c r="N175" s="2" t="s">
        <v>24</v>
      </c>
      <c r="O175" s="2" t="s">
        <v>24</v>
      </c>
      <c r="P175" s="2" t="s">
        <v>24</v>
      </c>
      <c r="Q175" s="2" t="s">
        <v>22</v>
      </c>
    </row>
    <row r="176" customFormat="false" ht="15" hidden="false" customHeight="false" outlineLevel="0" collapsed="false">
      <c r="A176" s="2" t="s">
        <v>2094</v>
      </c>
      <c r="B176" s="2" t="s">
        <v>45</v>
      </c>
      <c r="C176" s="13" t="s">
        <v>2930</v>
      </c>
      <c r="D176" s="29" t="n">
        <v>4620</v>
      </c>
      <c r="E176" s="2" t="s">
        <v>825</v>
      </c>
      <c r="F176" s="30" t="n">
        <v>0.114069264069264</v>
      </c>
      <c r="G176" s="31" t="n">
        <v>2.8</v>
      </c>
      <c r="H176" s="37"/>
      <c r="I176" s="31"/>
      <c r="J176" s="2"/>
      <c r="K176" s="33" t="n">
        <v>0</v>
      </c>
      <c r="L176" s="31" t="n">
        <v>1.3</v>
      </c>
      <c r="M176" s="39" t="s">
        <v>832</v>
      </c>
      <c r="N176" s="2" t="s">
        <v>24</v>
      </c>
      <c r="O176" s="2" t="s">
        <v>24</v>
      </c>
      <c r="P176" s="2"/>
      <c r="Q176" s="2" t="s">
        <v>24</v>
      </c>
    </row>
    <row r="177" customFormat="false" ht="15" hidden="false" customHeight="false" outlineLevel="0" collapsed="false">
      <c r="A177" s="2" t="s">
        <v>2094</v>
      </c>
      <c r="B177" s="2" t="s">
        <v>46</v>
      </c>
      <c r="C177" s="13" t="s">
        <v>2095</v>
      </c>
      <c r="D177" s="29" t="n">
        <v>19960</v>
      </c>
      <c r="E177" s="2" t="s">
        <v>821</v>
      </c>
      <c r="F177" s="30" t="n">
        <v>1.5812625250501</v>
      </c>
      <c r="G177" s="31" t="n">
        <v>18.3</v>
      </c>
      <c r="H177" s="32" t="n">
        <v>0.0771721532649757</v>
      </c>
      <c r="I177" s="31" t="n">
        <v>44.7</v>
      </c>
      <c r="J177" s="2" t="s">
        <v>2884</v>
      </c>
      <c r="K177" s="33" t="n">
        <v>0.0820598006644518</v>
      </c>
      <c r="L177" s="31" t="n">
        <v>27.6</v>
      </c>
      <c r="M177" s="34" t="s">
        <v>822</v>
      </c>
      <c r="N177" s="2" t="s">
        <v>24</v>
      </c>
      <c r="O177" s="2" t="s">
        <v>24</v>
      </c>
      <c r="P177" s="2" t="s">
        <v>24</v>
      </c>
      <c r="Q177" s="2" t="s">
        <v>24</v>
      </c>
    </row>
    <row r="178" customFormat="false" ht="15" hidden="false" customHeight="false" outlineLevel="0" collapsed="false">
      <c r="A178" s="2" t="s">
        <v>2094</v>
      </c>
      <c r="B178" s="2" t="s">
        <v>47</v>
      </c>
      <c r="C178" s="13" t="s">
        <v>2846</v>
      </c>
      <c r="D178" s="29" t="n">
        <v>67730</v>
      </c>
      <c r="E178" s="2" t="s">
        <v>821</v>
      </c>
      <c r="F178" s="30" t="n">
        <v>0.325276834489886</v>
      </c>
      <c r="G178" s="31" t="n">
        <v>4.4</v>
      </c>
      <c r="H178" s="32" t="n">
        <v>-0.0523296488036939</v>
      </c>
      <c r="I178" s="31" t="n">
        <v>1.9</v>
      </c>
      <c r="J178" s="2" t="s">
        <v>2886</v>
      </c>
      <c r="K178" s="33" t="n">
        <v>0.0436657681940701</v>
      </c>
      <c r="L178" s="31" t="n">
        <v>28.5</v>
      </c>
      <c r="M178" s="34" t="s">
        <v>822</v>
      </c>
      <c r="N178" s="2" t="s">
        <v>24</v>
      </c>
      <c r="O178" s="2" t="s">
        <v>24</v>
      </c>
      <c r="P178" s="2" t="s">
        <v>24</v>
      </c>
      <c r="Q178" s="2" t="s">
        <v>24</v>
      </c>
    </row>
    <row r="179" customFormat="false" ht="15" hidden="false" customHeight="false" outlineLevel="0" collapsed="false">
      <c r="A179" s="2" t="s">
        <v>700</v>
      </c>
      <c r="B179" s="2" t="s">
        <v>45</v>
      </c>
      <c r="C179" s="13" t="s">
        <v>1397</v>
      </c>
      <c r="D179" s="29" t="n">
        <v>103010</v>
      </c>
      <c r="E179" s="2" t="s">
        <v>827</v>
      </c>
      <c r="F179" s="30" t="n">
        <v>0.390263081254247</v>
      </c>
      <c r="G179" s="31" t="n">
        <v>28.4</v>
      </c>
      <c r="H179" s="32" t="n">
        <v>0.0784128978224456</v>
      </c>
      <c r="I179" s="31" t="n">
        <v>45</v>
      </c>
      <c r="J179" s="2" t="s">
        <v>2890</v>
      </c>
      <c r="K179" s="33" t="n">
        <v>0.260802469135803</v>
      </c>
      <c r="L179" s="31" t="n">
        <v>84.4</v>
      </c>
      <c r="M179" s="34" t="s">
        <v>822</v>
      </c>
      <c r="N179" s="2" t="s">
        <v>24</v>
      </c>
      <c r="O179" s="2" t="s">
        <v>24</v>
      </c>
      <c r="P179" s="2" t="s">
        <v>24</v>
      </c>
      <c r="Q179" s="2" t="s">
        <v>24</v>
      </c>
    </row>
    <row r="180" customFormat="false" ht="15" hidden="false" customHeight="false" outlineLevel="0" collapsed="false">
      <c r="A180" s="2" t="s">
        <v>2689</v>
      </c>
      <c r="B180" s="2" t="s">
        <v>46</v>
      </c>
      <c r="C180" s="13" t="s">
        <v>2931</v>
      </c>
      <c r="D180" s="29" t="n">
        <v>50050</v>
      </c>
      <c r="E180" s="2" t="s">
        <v>821</v>
      </c>
      <c r="F180" s="30" t="n">
        <v>2.2214985014985</v>
      </c>
      <c r="G180" s="31" t="n">
        <v>30.8</v>
      </c>
      <c r="H180" s="32" t="n">
        <v>0.205733558178752</v>
      </c>
      <c r="I180" s="31" t="n">
        <v>95.6</v>
      </c>
      <c r="J180" s="2" t="s">
        <v>2884</v>
      </c>
      <c r="K180" s="38"/>
      <c r="L180" s="31"/>
      <c r="M180" s="39" t="s">
        <v>832</v>
      </c>
      <c r="N180" s="2" t="s">
        <v>24</v>
      </c>
      <c r="O180" s="2" t="s">
        <v>24</v>
      </c>
      <c r="P180" s="2" t="s">
        <v>24</v>
      </c>
      <c r="Q180" s="2"/>
    </row>
    <row r="181" customFormat="false" ht="15" hidden="false" customHeight="false" outlineLevel="0" collapsed="false">
      <c r="A181" s="2" t="s">
        <v>2689</v>
      </c>
      <c r="B181" s="2" t="s">
        <v>47</v>
      </c>
      <c r="C181" s="14" t="s">
        <v>2690</v>
      </c>
      <c r="D181" s="42" t="n">
        <v>97601</v>
      </c>
      <c r="E181" s="2" t="s">
        <v>821</v>
      </c>
      <c r="F181" s="43" t="n">
        <v>0.782307558324198</v>
      </c>
      <c r="G181" s="31" t="n">
        <v>27.5</v>
      </c>
      <c r="H181" s="41" t="n">
        <v>0.0841784877198049</v>
      </c>
      <c r="I181" s="31" t="n">
        <v>42.9</v>
      </c>
      <c r="J181" s="2" t="s">
        <v>2886</v>
      </c>
      <c r="K181" s="44" t="n">
        <v>0.0597122302158273</v>
      </c>
      <c r="L181" s="31" t="n">
        <v>37.1</v>
      </c>
      <c r="M181" s="34" t="s">
        <v>822</v>
      </c>
      <c r="N181" s="2" t="s">
        <v>22</v>
      </c>
      <c r="O181" s="2" t="s">
        <v>22</v>
      </c>
      <c r="P181" s="2" t="s">
        <v>22</v>
      </c>
      <c r="Q181" s="2" t="s">
        <v>22</v>
      </c>
    </row>
    <row r="182" customFormat="false" ht="15" hidden="false" customHeight="false" outlineLevel="0" collapsed="false">
      <c r="A182" s="2" t="s">
        <v>2932</v>
      </c>
      <c r="B182" s="2" t="s">
        <v>45</v>
      </c>
      <c r="C182" s="15" t="s">
        <v>2933</v>
      </c>
      <c r="D182" s="46" t="n">
        <v>54553</v>
      </c>
      <c r="E182" s="2" t="s">
        <v>821</v>
      </c>
      <c r="F182" s="47" t="n">
        <v>0.328414569317911</v>
      </c>
      <c r="G182" s="31" t="n">
        <v>21</v>
      </c>
      <c r="H182" s="48" t="n">
        <v>0.0637638203693232</v>
      </c>
      <c r="I182" s="31" t="n">
        <v>35.4</v>
      </c>
      <c r="J182" s="2" t="s">
        <v>2883</v>
      </c>
      <c r="K182" s="38"/>
      <c r="L182" s="31"/>
      <c r="M182" s="39" t="s">
        <v>832</v>
      </c>
      <c r="N182" s="2" t="s">
        <v>19</v>
      </c>
      <c r="O182" s="2" t="s">
        <v>19</v>
      </c>
      <c r="P182" s="2" t="s">
        <v>19</v>
      </c>
      <c r="Q182" s="2"/>
    </row>
    <row r="183" customFormat="false" ht="15" hidden="false" customHeight="false" outlineLevel="0" collapsed="false">
      <c r="A183" s="2" t="s">
        <v>1677</v>
      </c>
      <c r="B183" s="2" t="s">
        <v>45</v>
      </c>
      <c r="C183" s="13" t="s">
        <v>2934</v>
      </c>
      <c r="D183" s="29" t="n">
        <v>216220</v>
      </c>
      <c r="E183" s="2" t="s">
        <v>827</v>
      </c>
      <c r="F183" s="30" t="n">
        <v>1.77533068171307</v>
      </c>
      <c r="G183" s="31" t="n">
        <v>93.2</v>
      </c>
      <c r="H183" s="32" t="n">
        <v>0.247591021868328</v>
      </c>
      <c r="I183" s="31" t="n">
        <v>97.1</v>
      </c>
      <c r="J183" s="2" t="s">
        <v>2890</v>
      </c>
      <c r="K183" s="38"/>
      <c r="L183" s="31"/>
      <c r="M183" s="39" t="s">
        <v>832</v>
      </c>
      <c r="N183" s="2" t="s">
        <v>24</v>
      </c>
      <c r="O183" s="2" t="s">
        <v>24</v>
      </c>
      <c r="P183" s="2" t="s">
        <v>24</v>
      </c>
      <c r="Q183" s="2"/>
    </row>
    <row r="184" customFormat="false" ht="15" hidden="false" customHeight="false" outlineLevel="0" collapsed="false">
      <c r="A184" s="2" t="s">
        <v>1677</v>
      </c>
      <c r="B184" s="2" t="s">
        <v>46</v>
      </c>
      <c r="C184" s="14" t="s">
        <v>1678</v>
      </c>
      <c r="D184" s="42" t="n">
        <v>52677</v>
      </c>
      <c r="E184" s="2" t="s">
        <v>821</v>
      </c>
      <c r="F184" s="43" t="n">
        <v>7.18791882605312</v>
      </c>
      <c r="G184" s="31" t="n">
        <v>87.2</v>
      </c>
      <c r="H184" s="41" t="n">
        <v>-0.0260511037976556</v>
      </c>
      <c r="I184" s="31" t="n">
        <v>7.3</v>
      </c>
      <c r="J184" s="2" t="s">
        <v>2884</v>
      </c>
      <c r="K184" s="44" t="n">
        <v>0.223416674773811</v>
      </c>
      <c r="L184" s="31" t="n">
        <v>75.1</v>
      </c>
      <c r="M184" s="34" t="s">
        <v>822</v>
      </c>
      <c r="N184" s="2" t="s">
        <v>22</v>
      </c>
      <c r="O184" s="2" t="s">
        <v>22</v>
      </c>
      <c r="P184" s="2" t="s">
        <v>22</v>
      </c>
      <c r="Q184" s="2" t="s">
        <v>22</v>
      </c>
    </row>
    <row r="185" customFormat="false" ht="15" hidden="false" customHeight="false" outlineLevel="0" collapsed="false">
      <c r="A185" s="2" t="s">
        <v>1677</v>
      </c>
      <c r="B185" s="2" t="s">
        <v>47</v>
      </c>
      <c r="C185" s="13" t="s">
        <v>2634</v>
      </c>
      <c r="D185" s="29" t="n">
        <v>33230</v>
      </c>
      <c r="E185" s="2" t="s">
        <v>821</v>
      </c>
      <c r="F185" s="30" t="n">
        <v>0.941769485404755</v>
      </c>
      <c r="G185" s="31" t="n">
        <v>35.8</v>
      </c>
      <c r="H185" s="32" t="n">
        <v>0.147444751381216</v>
      </c>
      <c r="I185" s="31" t="n">
        <v>76</v>
      </c>
      <c r="J185" s="2" t="s">
        <v>2886</v>
      </c>
      <c r="K185" s="33" t="n">
        <v>0.268203883495146</v>
      </c>
      <c r="L185" s="31" t="n">
        <v>93.9</v>
      </c>
      <c r="M185" s="34" t="s">
        <v>822</v>
      </c>
      <c r="N185" s="2" t="s">
        <v>24</v>
      </c>
      <c r="O185" s="2" t="s">
        <v>24</v>
      </c>
      <c r="P185" s="2" t="s">
        <v>24</v>
      </c>
      <c r="Q185" s="2" t="s">
        <v>24</v>
      </c>
    </row>
    <row r="186" customFormat="false" ht="15" hidden="false" customHeight="false" outlineLevel="0" collapsed="false">
      <c r="A186" s="2" t="s">
        <v>302</v>
      </c>
      <c r="B186" s="2" t="s">
        <v>45</v>
      </c>
      <c r="C186" s="14" t="s">
        <v>1188</v>
      </c>
      <c r="D186" s="29" t="n">
        <v>1683510</v>
      </c>
      <c r="E186" s="2" t="s">
        <v>935</v>
      </c>
      <c r="F186" s="30" t="n">
        <v>0.615459367630724</v>
      </c>
      <c r="G186" s="31" t="n">
        <v>56</v>
      </c>
      <c r="H186" s="32" t="n">
        <v>0.0751824957369762</v>
      </c>
      <c r="I186" s="31" t="n">
        <v>23.5</v>
      </c>
      <c r="J186" s="2" t="s">
        <v>2892</v>
      </c>
      <c r="K186" s="33" t="n">
        <v>0.146388630434386</v>
      </c>
      <c r="L186" s="31" t="n">
        <v>55.9</v>
      </c>
      <c r="M186" s="34" t="s">
        <v>822</v>
      </c>
      <c r="N186" s="2" t="s">
        <v>24</v>
      </c>
      <c r="O186" s="2" t="s">
        <v>24</v>
      </c>
      <c r="P186" s="2" t="s">
        <v>24</v>
      </c>
      <c r="Q186" s="2" t="s">
        <v>24</v>
      </c>
    </row>
    <row r="187" customFormat="false" ht="15" hidden="false" customHeight="false" outlineLevel="0" collapsed="false">
      <c r="A187" s="2" t="s">
        <v>302</v>
      </c>
      <c r="B187" s="2" t="s">
        <v>46</v>
      </c>
      <c r="C187" s="13" t="s">
        <v>1769</v>
      </c>
      <c r="D187" s="29" t="n">
        <v>253310</v>
      </c>
      <c r="E187" s="2" t="s">
        <v>827</v>
      </c>
      <c r="F187" s="30" t="n">
        <v>4.80115273775216</v>
      </c>
      <c r="G187" s="31" t="n">
        <v>71.5</v>
      </c>
      <c r="H187" s="32" t="n">
        <v>-0.0650352489572953</v>
      </c>
      <c r="I187" s="31" t="n">
        <v>5.1</v>
      </c>
      <c r="J187" s="2" t="s">
        <v>2888</v>
      </c>
      <c r="K187" s="33" t="n">
        <v>0.0611937364869292</v>
      </c>
      <c r="L187" s="31" t="n">
        <v>16.3</v>
      </c>
      <c r="M187" s="34" t="s">
        <v>822</v>
      </c>
      <c r="N187" s="2" t="s">
        <v>24</v>
      </c>
      <c r="O187" s="2" t="s">
        <v>24</v>
      </c>
      <c r="P187" s="2" t="s">
        <v>24</v>
      </c>
      <c r="Q187" s="2" t="s">
        <v>24</v>
      </c>
    </row>
    <row r="188" customFormat="false" ht="15" hidden="false" customHeight="false" outlineLevel="0" collapsed="false">
      <c r="A188" s="2" t="s">
        <v>338</v>
      </c>
      <c r="B188" s="2" t="s">
        <v>47</v>
      </c>
      <c r="C188" s="14" t="s">
        <v>2471</v>
      </c>
      <c r="D188" s="42" t="n">
        <v>94724</v>
      </c>
      <c r="E188" s="2" t="s">
        <v>821</v>
      </c>
      <c r="F188" s="43" t="n">
        <v>1.49804695747646</v>
      </c>
      <c r="G188" s="31" t="n">
        <v>60</v>
      </c>
      <c r="H188" s="41" t="n">
        <v>0.0259731819855729</v>
      </c>
      <c r="I188" s="31" t="n">
        <v>20.1</v>
      </c>
      <c r="J188" s="2" t="s">
        <v>2886</v>
      </c>
      <c r="K188" s="44" t="n">
        <v>0.0173758075295166</v>
      </c>
      <c r="L188" s="31" t="n">
        <v>11.1</v>
      </c>
      <c r="M188" s="34" t="s">
        <v>822</v>
      </c>
      <c r="N188" s="2" t="s">
        <v>22</v>
      </c>
      <c r="O188" s="2" t="s">
        <v>22</v>
      </c>
      <c r="P188" s="2" t="s">
        <v>22</v>
      </c>
      <c r="Q188" s="2" t="s">
        <v>22</v>
      </c>
    </row>
    <row r="189" customFormat="false" ht="15" hidden="false" customHeight="false" outlineLevel="0" collapsed="false">
      <c r="A189" s="2" t="s">
        <v>2494</v>
      </c>
      <c r="B189" s="2" t="s">
        <v>45</v>
      </c>
      <c r="C189" s="13" t="s">
        <v>2935</v>
      </c>
      <c r="D189" s="29" t="n">
        <v>24940</v>
      </c>
      <c r="E189" s="2" t="s">
        <v>821</v>
      </c>
      <c r="F189" s="30" t="n">
        <v>0.461948676824379</v>
      </c>
      <c r="G189" s="31" t="n">
        <v>37.1</v>
      </c>
      <c r="H189" s="32" t="n">
        <v>0.0400333611342786</v>
      </c>
      <c r="I189" s="31" t="n">
        <v>22.7</v>
      </c>
      <c r="J189" s="2" t="s">
        <v>2883</v>
      </c>
      <c r="K189" s="38"/>
      <c r="L189" s="31"/>
      <c r="M189" s="39" t="s">
        <v>832</v>
      </c>
      <c r="N189" s="2" t="s">
        <v>24</v>
      </c>
      <c r="O189" s="2" t="s">
        <v>24</v>
      </c>
      <c r="P189" s="2" t="s">
        <v>24</v>
      </c>
      <c r="Q189" s="2"/>
    </row>
    <row r="190" customFormat="false" ht="15" hidden="false" customHeight="false" outlineLevel="0" collapsed="false">
      <c r="A190" s="2" t="s">
        <v>2494</v>
      </c>
      <c r="B190" s="2" t="s">
        <v>47</v>
      </c>
      <c r="C190" s="13" t="s">
        <v>2495</v>
      </c>
      <c r="D190" s="29" t="n">
        <v>95230</v>
      </c>
      <c r="E190" s="2" t="s">
        <v>821</v>
      </c>
      <c r="F190" s="30" t="n">
        <v>1.40301375616927</v>
      </c>
      <c r="G190" s="31" t="n">
        <v>56.3</v>
      </c>
      <c r="H190" s="32" t="n">
        <v>0.142942870859338</v>
      </c>
      <c r="I190" s="31" t="n">
        <v>73.4</v>
      </c>
      <c r="J190" s="2" t="s">
        <v>2886</v>
      </c>
      <c r="K190" s="33" t="n">
        <v>0.050080775444265</v>
      </c>
      <c r="L190" s="31" t="n">
        <v>32.3</v>
      </c>
      <c r="M190" s="34" t="s">
        <v>822</v>
      </c>
      <c r="N190" s="2" t="s">
        <v>24</v>
      </c>
      <c r="O190" s="2" t="s">
        <v>24</v>
      </c>
      <c r="P190" s="2" t="s">
        <v>24</v>
      </c>
      <c r="Q190" s="2" t="s">
        <v>24</v>
      </c>
    </row>
    <row r="191" customFormat="false" ht="15" hidden="false" customHeight="false" outlineLevel="0" collapsed="false">
      <c r="A191" s="2" t="s">
        <v>662</v>
      </c>
      <c r="B191" s="2" t="s">
        <v>45</v>
      </c>
      <c r="C191" s="13" t="s">
        <v>1301</v>
      </c>
      <c r="D191" s="29" t="n">
        <v>57810</v>
      </c>
      <c r="E191" s="2" t="s">
        <v>821</v>
      </c>
      <c r="F191" s="30" t="n">
        <v>0.488687078360145</v>
      </c>
      <c r="G191" s="31" t="n">
        <v>41</v>
      </c>
      <c r="H191" s="32" t="n">
        <v>0.0717463848720801</v>
      </c>
      <c r="I191" s="31" t="n">
        <v>38.8</v>
      </c>
      <c r="J191" s="2" t="s">
        <v>2883</v>
      </c>
      <c r="K191" s="33" t="n">
        <v>0.175243393602225</v>
      </c>
      <c r="L191" s="31" t="n">
        <v>66.7</v>
      </c>
      <c r="M191" s="34" t="s">
        <v>822</v>
      </c>
      <c r="N191" s="2" t="s">
        <v>24</v>
      </c>
      <c r="O191" s="2" t="s">
        <v>24</v>
      </c>
      <c r="P191" s="2" t="s">
        <v>24</v>
      </c>
      <c r="Q191" s="2" t="s">
        <v>24</v>
      </c>
    </row>
    <row r="192" customFormat="false" ht="15" hidden="false" customHeight="false" outlineLevel="0" collapsed="false">
      <c r="A192" s="2" t="s">
        <v>662</v>
      </c>
      <c r="B192" s="2" t="s">
        <v>46</v>
      </c>
      <c r="C192" s="13" t="s">
        <v>2043</v>
      </c>
      <c r="D192" s="29" t="n">
        <v>314370</v>
      </c>
      <c r="E192" s="2" t="s">
        <v>827</v>
      </c>
      <c r="F192" s="30" t="n">
        <v>1.93531825555874</v>
      </c>
      <c r="G192" s="31" t="n">
        <v>26.5</v>
      </c>
      <c r="H192" s="32" t="n">
        <v>0.136920907019638</v>
      </c>
      <c r="I192" s="31" t="n">
        <v>79</v>
      </c>
      <c r="J192" s="2" t="s">
        <v>2888</v>
      </c>
      <c r="K192" s="33" t="n">
        <v>0.195996789405037</v>
      </c>
      <c r="L192" s="31" t="n">
        <v>68.4</v>
      </c>
      <c r="M192" s="34" t="s">
        <v>822</v>
      </c>
      <c r="N192" s="2" t="s">
        <v>24</v>
      </c>
      <c r="O192" s="2" t="s">
        <v>24</v>
      </c>
      <c r="P192" s="2" t="s">
        <v>24</v>
      </c>
      <c r="Q192" s="2" t="s">
        <v>24</v>
      </c>
    </row>
    <row r="193" customFormat="false" ht="15" hidden="false" customHeight="false" outlineLevel="0" collapsed="false">
      <c r="A193" s="2" t="s">
        <v>380</v>
      </c>
      <c r="B193" s="2" t="s">
        <v>45</v>
      </c>
      <c r="C193" s="13" t="s">
        <v>1187</v>
      </c>
      <c r="D193" s="29" t="n">
        <v>308810</v>
      </c>
      <c r="E193" s="2" t="s">
        <v>827</v>
      </c>
      <c r="F193" s="30" t="n">
        <v>0.617353712638839</v>
      </c>
      <c r="G193" s="31" t="n">
        <v>56.3</v>
      </c>
      <c r="H193" s="41" t="n">
        <v>0.0742206914897341</v>
      </c>
      <c r="I193" s="31" t="n">
        <v>43.6</v>
      </c>
      <c r="J193" s="2" t="s">
        <v>2890</v>
      </c>
      <c r="K193" s="33" t="n">
        <v>0.29692994962456</v>
      </c>
      <c r="L193" s="31" t="n">
        <v>90</v>
      </c>
      <c r="M193" s="34" t="s">
        <v>822</v>
      </c>
      <c r="N193" s="2" t="s">
        <v>24</v>
      </c>
      <c r="O193" s="2" t="s">
        <v>24</v>
      </c>
      <c r="P193" s="2" t="s">
        <v>22</v>
      </c>
      <c r="Q193" s="2" t="s">
        <v>24</v>
      </c>
    </row>
    <row r="194" customFormat="false" ht="15" hidden="false" customHeight="false" outlineLevel="0" collapsed="false">
      <c r="A194" s="2" t="s">
        <v>1308</v>
      </c>
      <c r="B194" s="2" t="s">
        <v>45</v>
      </c>
      <c r="C194" s="13" t="s">
        <v>1309</v>
      </c>
      <c r="D194" s="29" t="n">
        <v>24420</v>
      </c>
      <c r="E194" s="2" t="s">
        <v>821</v>
      </c>
      <c r="F194" s="30" t="n">
        <v>0.483497133497134</v>
      </c>
      <c r="G194" s="31" t="n">
        <v>40.3</v>
      </c>
      <c r="H194" s="32" t="n">
        <v>0.188321167883212</v>
      </c>
      <c r="I194" s="31" t="n">
        <v>89</v>
      </c>
      <c r="J194" s="2" t="s">
        <v>2883</v>
      </c>
      <c r="K194" s="33" t="n">
        <v>0.0813397129186603</v>
      </c>
      <c r="L194" s="31" t="n">
        <v>26.6</v>
      </c>
      <c r="M194" s="34" t="s">
        <v>822</v>
      </c>
      <c r="N194" s="2" t="s">
        <v>24</v>
      </c>
      <c r="O194" s="2" t="s">
        <v>24</v>
      </c>
      <c r="P194" s="2" t="s">
        <v>24</v>
      </c>
      <c r="Q194" s="2" t="s">
        <v>24</v>
      </c>
    </row>
    <row r="195" customFormat="false" ht="15" hidden="false" customHeight="false" outlineLevel="0" collapsed="false">
      <c r="A195" s="2" t="s">
        <v>1308</v>
      </c>
      <c r="B195" s="2" t="s">
        <v>46</v>
      </c>
      <c r="C195" s="16"/>
      <c r="D195" s="35"/>
      <c r="E195" s="2"/>
      <c r="F195" s="36"/>
      <c r="G195" s="31"/>
      <c r="H195" s="37"/>
      <c r="I195" s="31"/>
      <c r="J195" s="2"/>
      <c r="K195" s="38"/>
      <c r="L195" s="31"/>
      <c r="M195" s="39" t="s">
        <v>832</v>
      </c>
      <c r="N195" s="2"/>
      <c r="O195" s="2"/>
      <c r="P195" s="2"/>
      <c r="Q195" s="2"/>
    </row>
    <row r="196" customFormat="false" ht="15" hidden="false" customHeight="false" outlineLevel="0" collapsed="false">
      <c r="A196" s="2" t="s">
        <v>1308</v>
      </c>
      <c r="B196" s="2" t="s">
        <v>47</v>
      </c>
      <c r="C196" s="13" t="s">
        <v>2606</v>
      </c>
      <c r="D196" s="29" t="n">
        <v>6680</v>
      </c>
      <c r="E196" s="2" t="s">
        <v>825</v>
      </c>
      <c r="F196" s="30" t="n">
        <v>1.02455089820359</v>
      </c>
      <c r="G196" s="31" t="n">
        <v>39.9</v>
      </c>
      <c r="H196" s="32" t="n">
        <v>0.161739130434783</v>
      </c>
      <c r="I196" s="31" t="n">
        <v>73.8</v>
      </c>
      <c r="J196" s="2" t="s">
        <v>2889</v>
      </c>
      <c r="K196" s="33" t="n">
        <v>0.192429022082019</v>
      </c>
      <c r="L196" s="31" t="n">
        <v>82.8</v>
      </c>
      <c r="M196" s="34" t="s">
        <v>822</v>
      </c>
      <c r="N196" s="2" t="s">
        <v>24</v>
      </c>
      <c r="O196" s="2" t="s">
        <v>24</v>
      </c>
      <c r="P196" s="2" t="s">
        <v>24</v>
      </c>
      <c r="Q196" s="2" t="s">
        <v>24</v>
      </c>
    </row>
    <row r="197" customFormat="false" ht="15" hidden="false" customHeight="false" outlineLevel="0" collapsed="false">
      <c r="A197" s="2" t="s">
        <v>1428</v>
      </c>
      <c r="B197" s="2" t="s">
        <v>45</v>
      </c>
      <c r="C197" s="13" t="s">
        <v>1429</v>
      </c>
      <c r="D197" s="29" t="n">
        <v>42220</v>
      </c>
      <c r="E197" s="2" t="s">
        <v>821</v>
      </c>
      <c r="F197" s="30" t="n">
        <v>0.344552344860256</v>
      </c>
      <c r="G197" s="31" t="n">
        <v>23.6</v>
      </c>
      <c r="H197" s="32" t="n">
        <v>0.19366694939214</v>
      </c>
      <c r="I197" s="31" t="n">
        <v>89.7</v>
      </c>
      <c r="J197" s="2" t="s">
        <v>2883</v>
      </c>
      <c r="K197" s="33" t="n">
        <v>0.10951526032316</v>
      </c>
      <c r="L197" s="31" t="n">
        <v>40.1</v>
      </c>
      <c r="M197" s="34" t="s">
        <v>822</v>
      </c>
      <c r="N197" s="2" t="s">
        <v>24</v>
      </c>
      <c r="O197" s="2" t="s">
        <v>24</v>
      </c>
      <c r="P197" s="2" t="s">
        <v>24</v>
      </c>
      <c r="Q197" s="2" t="s">
        <v>24</v>
      </c>
    </row>
    <row r="198" customFormat="false" ht="15" hidden="false" customHeight="false" outlineLevel="0" collapsed="false">
      <c r="A198" s="2" t="s">
        <v>1428</v>
      </c>
      <c r="B198" s="2" t="s">
        <v>46</v>
      </c>
      <c r="C198" s="13" t="s">
        <v>2936</v>
      </c>
      <c r="D198" s="29" t="n">
        <v>11440</v>
      </c>
      <c r="E198" s="2" t="s">
        <v>821</v>
      </c>
      <c r="F198" s="30" t="n">
        <v>2.77281468531469</v>
      </c>
      <c r="G198" s="31" t="n">
        <v>43</v>
      </c>
      <c r="H198" s="32" t="n">
        <v>0.316455696202532</v>
      </c>
      <c r="I198" s="31" t="n">
        <v>99.6</v>
      </c>
      <c r="J198" s="2" t="s">
        <v>2884</v>
      </c>
      <c r="K198" s="38"/>
      <c r="L198" s="31"/>
      <c r="M198" s="39" t="s">
        <v>832</v>
      </c>
      <c r="N198" s="2" t="s">
        <v>24</v>
      </c>
      <c r="O198" s="2" t="s">
        <v>24</v>
      </c>
      <c r="P198" s="2" t="s">
        <v>24</v>
      </c>
      <c r="Q198" s="2"/>
    </row>
    <row r="199" customFormat="false" ht="15" hidden="false" customHeight="false" outlineLevel="0" collapsed="false">
      <c r="A199" s="2" t="s">
        <v>1428</v>
      </c>
      <c r="B199" s="2" t="s">
        <v>47</v>
      </c>
      <c r="C199" s="13" t="s">
        <v>2660</v>
      </c>
      <c r="D199" s="29" t="n">
        <v>24210</v>
      </c>
      <c r="E199" s="2" t="s">
        <v>821</v>
      </c>
      <c r="F199" s="30" t="n">
        <v>0.867905824039653</v>
      </c>
      <c r="G199" s="31" t="n">
        <v>32.3</v>
      </c>
      <c r="H199" s="32" t="n">
        <v>0.197329376854599</v>
      </c>
      <c r="I199" s="31" t="n">
        <v>91.2</v>
      </c>
      <c r="J199" s="2" t="s">
        <v>2886</v>
      </c>
      <c r="K199" s="33" t="n">
        <v>0.0246913580246914</v>
      </c>
      <c r="L199" s="31" t="n">
        <v>16.3</v>
      </c>
      <c r="M199" s="34" t="s">
        <v>822</v>
      </c>
      <c r="N199" s="2" t="s">
        <v>24</v>
      </c>
      <c r="O199" s="2" t="s">
        <v>24</v>
      </c>
      <c r="P199" s="2" t="s">
        <v>24</v>
      </c>
      <c r="Q199" s="2" t="s">
        <v>24</v>
      </c>
    </row>
    <row r="200" customFormat="false" ht="15" hidden="false" customHeight="false" outlineLevel="0" collapsed="false">
      <c r="A200" s="2" t="s">
        <v>1810</v>
      </c>
      <c r="B200" s="2" t="s">
        <v>45</v>
      </c>
      <c r="C200" s="13" t="s">
        <v>2937</v>
      </c>
      <c r="D200" s="29" t="n">
        <v>365030</v>
      </c>
      <c r="E200" s="2" t="s">
        <v>827</v>
      </c>
      <c r="F200" s="30" t="n">
        <v>0.511073062488015</v>
      </c>
      <c r="G200" s="31" t="n">
        <v>42.7</v>
      </c>
      <c r="H200" s="32" t="n">
        <v>0.0450329229888348</v>
      </c>
      <c r="I200" s="31" t="n">
        <v>26.4</v>
      </c>
      <c r="J200" s="2" t="s">
        <v>2890</v>
      </c>
      <c r="K200" s="38"/>
      <c r="L200" s="31"/>
      <c r="M200" s="39" t="s">
        <v>832</v>
      </c>
      <c r="N200" s="2" t="s">
        <v>24</v>
      </c>
      <c r="O200" s="2" t="s">
        <v>24</v>
      </c>
      <c r="P200" s="2" t="s">
        <v>24</v>
      </c>
      <c r="Q200" s="2"/>
    </row>
    <row r="201" customFormat="false" ht="15" hidden="false" customHeight="false" outlineLevel="0" collapsed="false">
      <c r="A201" s="2" t="s">
        <v>1810</v>
      </c>
      <c r="B201" s="2" t="s">
        <v>46</v>
      </c>
      <c r="C201" s="15" t="s">
        <v>1811</v>
      </c>
      <c r="D201" s="29" t="n">
        <v>1180880</v>
      </c>
      <c r="E201" s="2" t="s">
        <v>935</v>
      </c>
      <c r="F201" s="30" t="n">
        <v>4.03133002506605</v>
      </c>
      <c r="G201" s="31" t="n">
        <v>64.6</v>
      </c>
      <c r="H201" s="32" t="n">
        <v>0.0624583880661472</v>
      </c>
      <c r="I201" s="31" t="n">
        <v>16.7</v>
      </c>
      <c r="J201" s="2" t="s">
        <v>2906</v>
      </c>
      <c r="K201" s="33" t="n">
        <v>0.0503176600809692</v>
      </c>
      <c r="L201" s="31" t="n">
        <v>12.6</v>
      </c>
      <c r="M201" s="34" t="s">
        <v>822</v>
      </c>
      <c r="N201" s="2" t="s">
        <v>24</v>
      </c>
      <c r="O201" s="2" t="s">
        <v>24</v>
      </c>
      <c r="P201" s="2" t="s">
        <v>24</v>
      </c>
      <c r="Q201" s="2" t="s">
        <v>24</v>
      </c>
    </row>
    <row r="202" customFormat="false" ht="15" hidden="false" customHeight="false" outlineLevel="0" collapsed="false">
      <c r="A202" s="2" t="s">
        <v>1810</v>
      </c>
      <c r="B202" s="2" t="s">
        <v>47</v>
      </c>
      <c r="C202" s="14" t="s">
        <v>2291</v>
      </c>
      <c r="D202" s="42" t="n">
        <v>15117</v>
      </c>
      <c r="E202" s="2" t="s">
        <v>821</v>
      </c>
      <c r="F202" s="43" t="n">
        <v>2.92624197922868</v>
      </c>
      <c r="G202" s="31" t="n">
        <v>88.9</v>
      </c>
      <c r="H202" s="41" t="n">
        <v>0.0785530821917808</v>
      </c>
      <c r="I202" s="31" t="n">
        <v>39.9</v>
      </c>
      <c r="J202" s="2" t="s">
        <v>2886</v>
      </c>
      <c r="K202" s="44" t="n">
        <v>0.045985401459854</v>
      </c>
      <c r="L202" s="31" t="n">
        <v>29.4</v>
      </c>
      <c r="M202" s="34" t="s">
        <v>822</v>
      </c>
      <c r="N202" s="2" t="s">
        <v>22</v>
      </c>
      <c r="O202" s="2" t="s">
        <v>22</v>
      </c>
      <c r="P202" s="2" t="s">
        <v>22</v>
      </c>
      <c r="Q202" s="2" t="s">
        <v>22</v>
      </c>
    </row>
    <row r="203" customFormat="false" ht="15" hidden="false" customHeight="false" outlineLevel="0" collapsed="false">
      <c r="A203" s="2" t="s">
        <v>1462</v>
      </c>
      <c r="B203" s="2" t="s">
        <v>45</v>
      </c>
      <c r="C203" s="13" t="s">
        <v>1463</v>
      </c>
      <c r="D203" s="29" t="n">
        <v>137830</v>
      </c>
      <c r="E203" s="2" t="s">
        <v>827</v>
      </c>
      <c r="F203" s="30" t="n">
        <v>0.306362910832185</v>
      </c>
      <c r="G203" s="31" t="n">
        <v>18.7</v>
      </c>
      <c r="H203" s="32" t="n">
        <v>0.103257824381654</v>
      </c>
      <c r="I203" s="31" t="n">
        <v>60.7</v>
      </c>
      <c r="J203" s="2" t="s">
        <v>2890</v>
      </c>
      <c r="K203" s="33" t="n">
        <v>0.118610421836228</v>
      </c>
      <c r="L203" s="31" t="n">
        <v>44.1</v>
      </c>
      <c r="M203" s="34" t="s">
        <v>822</v>
      </c>
      <c r="N203" s="2" t="s">
        <v>24</v>
      </c>
      <c r="O203" s="2" t="s">
        <v>24</v>
      </c>
      <c r="P203" s="2" t="s">
        <v>24</v>
      </c>
      <c r="Q203" s="2" t="s">
        <v>24</v>
      </c>
    </row>
    <row r="204" customFormat="false" ht="15" hidden="false" customHeight="false" outlineLevel="0" collapsed="false">
      <c r="A204" s="2" t="s">
        <v>1462</v>
      </c>
      <c r="B204" s="2" t="s">
        <v>46</v>
      </c>
      <c r="C204" s="14" t="s">
        <v>2938</v>
      </c>
      <c r="D204" s="42" t="n">
        <v>115745</v>
      </c>
      <c r="E204" s="2" t="s">
        <v>827</v>
      </c>
      <c r="F204" s="43" t="n">
        <v>9.29060434576008</v>
      </c>
      <c r="G204" s="31" t="n">
        <v>92.3</v>
      </c>
      <c r="H204" s="41" t="n">
        <v>0.135500770113702</v>
      </c>
      <c r="I204" s="31" t="n">
        <v>78.3</v>
      </c>
      <c r="J204" s="2" t="s">
        <v>2888</v>
      </c>
      <c r="K204" s="38"/>
      <c r="L204" s="31"/>
      <c r="M204" s="39" t="s">
        <v>832</v>
      </c>
      <c r="N204" s="2" t="s">
        <v>22</v>
      </c>
      <c r="O204" s="2" t="s">
        <v>22</v>
      </c>
      <c r="P204" s="2" t="s">
        <v>22</v>
      </c>
      <c r="Q204" s="2"/>
    </row>
    <row r="205" customFormat="false" ht="15" hidden="false" customHeight="false" outlineLevel="0" collapsed="false">
      <c r="A205" s="2" t="s">
        <v>1462</v>
      </c>
      <c r="B205" s="2" t="s">
        <v>47</v>
      </c>
      <c r="C205" s="14" t="s">
        <v>2369</v>
      </c>
      <c r="D205" s="42" t="n">
        <v>245184</v>
      </c>
      <c r="E205" s="2" t="s">
        <v>827</v>
      </c>
      <c r="F205" s="43" t="n">
        <v>1.9547605063952</v>
      </c>
      <c r="G205" s="31" t="n">
        <v>76</v>
      </c>
      <c r="H205" s="41" t="n">
        <v>0.00879668869267546</v>
      </c>
      <c r="I205" s="31" t="n">
        <v>14.3</v>
      </c>
      <c r="J205" s="2" t="s">
        <v>2897</v>
      </c>
      <c r="K205" s="44" t="n">
        <v>0.000293183483997068</v>
      </c>
      <c r="L205" s="31" t="n">
        <v>1.8</v>
      </c>
      <c r="M205" s="34" t="s">
        <v>822</v>
      </c>
      <c r="N205" s="2" t="s">
        <v>22</v>
      </c>
      <c r="O205" s="2" t="s">
        <v>22</v>
      </c>
      <c r="P205" s="2" t="s">
        <v>22</v>
      </c>
      <c r="Q205" s="2" t="s">
        <v>22</v>
      </c>
    </row>
    <row r="206" customFormat="false" ht="15" hidden="false" customHeight="false" outlineLevel="0" collapsed="false">
      <c r="A206" s="2" t="s">
        <v>1954</v>
      </c>
      <c r="B206" s="2" t="s">
        <v>45</v>
      </c>
      <c r="C206" s="13" t="s">
        <v>2939</v>
      </c>
      <c r="D206" s="29" t="n">
        <v>31180</v>
      </c>
      <c r="E206" s="2" t="s">
        <v>821</v>
      </c>
      <c r="F206" s="30" t="n">
        <v>0.460327132777421</v>
      </c>
      <c r="G206" s="31" t="n">
        <v>36.7</v>
      </c>
      <c r="H206" s="32" t="n">
        <v>0.0293826345328491</v>
      </c>
      <c r="I206" s="31" t="n">
        <v>17.5</v>
      </c>
      <c r="J206" s="2" t="s">
        <v>2883</v>
      </c>
      <c r="K206" s="38"/>
      <c r="L206" s="31"/>
      <c r="M206" s="39" t="s">
        <v>832</v>
      </c>
      <c r="N206" s="2" t="s">
        <v>24</v>
      </c>
      <c r="O206" s="2" t="s">
        <v>24</v>
      </c>
      <c r="P206" s="2" t="s">
        <v>24</v>
      </c>
      <c r="Q206" s="2"/>
    </row>
    <row r="207" customFormat="false" ht="15" hidden="false" customHeight="false" outlineLevel="0" collapsed="false">
      <c r="A207" s="2" t="s">
        <v>1954</v>
      </c>
      <c r="B207" s="2" t="s">
        <v>46</v>
      </c>
      <c r="C207" s="13" t="s">
        <v>1955</v>
      </c>
      <c r="D207" s="29" t="n">
        <v>211630</v>
      </c>
      <c r="E207" s="2" t="s">
        <v>827</v>
      </c>
      <c r="F207" s="30" t="n">
        <v>2.68244577800879</v>
      </c>
      <c r="G207" s="31" t="n">
        <v>41.7</v>
      </c>
      <c r="H207" s="32" t="n">
        <v>0.0768330534778405</v>
      </c>
      <c r="I207" s="31" t="n">
        <v>50.3</v>
      </c>
      <c r="J207" s="2" t="s">
        <v>2888</v>
      </c>
      <c r="K207" s="33" t="n">
        <v>0.229366861248316</v>
      </c>
      <c r="L207" s="31" t="n">
        <v>76.6</v>
      </c>
      <c r="M207" s="34" t="s">
        <v>822</v>
      </c>
      <c r="N207" s="2" t="s">
        <v>24</v>
      </c>
      <c r="O207" s="2" t="s">
        <v>24</v>
      </c>
      <c r="P207" s="2" t="s">
        <v>24</v>
      </c>
      <c r="Q207" s="2" t="s">
        <v>24</v>
      </c>
    </row>
    <row r="208" customFormat="false" ht="15" hidden="false" customHeight="false" outlineLevel="0" collapsed="false">
      <c r="A208" s="2" t="s">
        <v>1954</v>
      </c>
      <c r="B208" s="2" t="s">
        <v>47</v>
      </c>
      <c r="C208" s="14" t="s">
        <v>2248</v>
      </c>
      <c r="D208" s="42" t="n">
        <v>35702</v>
      </c>
      <c r="E208" s="2" t="s">
        <v>821</v>
      </c>
      <c r="F208" s="43" t="n">
        <v>4.03187496498796</v>
      </c>
      <c r="G208" s="31" t="n">
        <v>94.9</v>
      </c>
      <c r="H208" s="41" t="n">
        <v>0.0798499788276571</v>
      </c>
      <c r="I208" s="31" t="n">
        <v>40.6</v>
      </c>
      <c r="J208" s="2" t="s">
        <v>2886</v>
      </c>
      <c r="K208" s="44" t="n">
        <v>0.0196430026897058</v>
      </c>
      <c r="L208" s="31" t="n">
        <v>13.1</v>
      </c>
      <c r="M208" s="34" t="s">
        <v>822</v>
      </c>
      <c r="N208" s="2" t="s">
        <v>22</v>
      </c>
      <c r="O208" s="2" t="s">
        <v>22</v>
      </c>
      <c r="P208" s="2" t="s">
        <v>22</v>
      </c>
      <c r="Q208" s="2" t="s">
        <v>22</v>
      </c>
    </row>
    <row r="209" customFormat="false" ht="15" hidden="false" customHeight="false" outlineLevel="0" collapsed="false">
      <c r="A209" s="2" t="s">
        <v>2084</v>
      </c>
      <c r="B209" s="2" t="s">
        <v>45</v>
      </c>
      <c r="C209" s="13" t="s">
        <v>2940</v>
      </c>
      <c r="D209" s="29" t="n">
        <v>112630</v>
      </c>
      <c r="E209" s="2" t="s">
        <v>827</v>
      </c>
      <c r="F209" s="36"/>
      <c r="G209" s="31"/>
      <c r="H209" s="32" t="n">
        <v>0.0844405931061044</v>
      </c>
      <c r="I209" s="31" t="n">
        <v>47.9</v>
      </c>
      <c r="J209" s="2" t="s">
        <v>2890</v>
      </c>
      <c r="K209" s="44" t="n">
        <v>0.156030150753769</v>
      </c>
      <c r="L209" s="31" t="n">
        <v>60.8</v>
      </c>
      <c r="M209" s="39" t="s">
        <v>832</v>
      </c>
      <c r="N209" s="2" t="s">
        <v>24</v>
      </c>
      <c r="O209" s="2"/>
      <c r="P209" s="2" t="s">
        <v>24</v>
      </c>
      <c r="Q209" s="2" t="s">
        <v>22</v>
      </c>
    </row>
    <row r="210" customFormat="false" ht="15" hidden="false" customHeight="false" outlineLevel="0" collapsed="false">
      <c r="A210" s="2" t="s">
        <v>2084</v>
      </c>
      <c r="B210" s="2" t="s">
        <v>46</v>
      </c>
      <c r="C210" s="13" t="s">
        <v>2085</v>
      </c>
      <c r="D210" s="29" t="n">
        <v>555680</v>
      </c>
      <c r="E210" s="2" t="s">
        <v>827</v>
      </c>
      <c r="F210" s="30" t="n">
        <v>1.64666534696228</v>
      </c>
      <c r="G210" s="31" t="n">
        <v>19.4</v>
      </c>
      <c r="H210" s="32" t="n">
        <v>0.165998699036868</v>
      </c>
      <c r="I210" s="31" t="n">
        <v>91.1</v>
      </c>
      <c r="J210" s="2" t="s">
        <v>2888</v>
      </c>
      <c r="K210" s="33" t="n">
        <v>0.0412921944660675</v>
      </c>
      <c r="L210" s="31" t="n">
        <v>9.1</v>
      </c>
      <c r="M210" s="34" t="s">
        <v>822</v>
      </c>
      <c r="N210" s="2" t="s">
        <v>24</v>
      </c>
      <c r="O210" s="2" t="s">
        <v>24</v>
      </c>
      <c r="P210" s="2" t="s">
        <v>24</v>
      </c>
      <c r="Q210" s="2" t="s">
        <v>24</v>
      </c>
    </row>
    <row r="211" customFormat="false" ht="15" hidden="false" customHeight="false" outlineLevel="0" collapsed="false">
      <c r="A211" s="2" t="s">
        <v>2084</v>
      </c>
      <c r="B211" s="2" t="s">
        <v>47</v>
      </c>
      <c r="C211" s="13" t="s">
        <v>2941</v>
      </c>
      <c r="D211" s="29" t="n">
        <v>142140</v>
      </c>
      <c r="E211" s="2" t="s">
        <v>827</v>
      </c>
      <c r="F211" s="30" t="n">
        <v>4.83984100182918</v>
      </c>
      <c r="G211" s="31" t="n">
        <v>97.9</v>
      </c>
      <c r="H211" s="32" t="n">
        <v>0.0524211461572634</v>
      </c>
      <c r="I211" s="31" t="n">
        <v>32.9</v>
      </c>
      <c r="J211" s="2" t="s">
        <v>2897</v>
      </c>
      <c r="K211" s="38"/>
      <c r="L211" s="31"/>
      <c r="M211" s="39" t="s">
        <v>832</v>
      </c>
      <c r="N211" s="2" t="s">
        <v>24</v>
      </c>
      <c r="O211" s="2" t="s">
        <v>24</v>
      </c>
      <c r="P211" s="2" t="s">
        <v>24</v>
      </c>
      <c r="Q211" s="2"/>
    </row>
    <row r="212" customFormat="false" ht="15" hidden="false" customHeight="false" outlineLevel="0" collapsed="false">
      <c r="A212" s="2" t="s">
        <v>1981</v>
      </c>
      <c r="B212" s="2" t="s">
        <v>45</v>
      </c>
      <c r="C212" s="13" t="s">
        <v>2942</v>
      </c>
      <c r="D212" s="35"/>
      <c r="E212" s="2"/>
      <c r="F212" s="36"/>
      <c r="G212" s="31"/>
      <c r="H212" s="37"/>
      <c r="I212" s="31"/>
      <c r="J212" s="2"/>
      <c r="K212" s="33" t="n">
        <v>0.116383616383616</v>
      </c>
      <c r="L212" s="31" t="n">
        <v>43.1</v>
      </c>
      <c r="M212" s="39" t="s">
        <v>832</v>
      </c>
      <c r="N212" s="2"/>
      <c r="O212" s="2"/>
      <c r="P212" s="2"/>
      <c r="Q212" s="2" t="s">
        <v>24</v>
      </c>
    </row>
    <row r="213" customFormat="false" ht="15" hidden="false" customHeight="false" outlineLevel="0" collapsed="false">
      <c r="A213" s="2" t="s">
        <v>1981</v>
      </c>
      <c r="B213" s="2" t="s">
        <v>46</v>
      </c>
      <c r="C213" s="13" t="s">
        <v>1982</v>
      </c>
      <c r="D213" s="29" t="n">
        <v>6050</v>
      </c>
      <c r="E213" s="2" t="s">
        <v>825</v>
      </c>
      <c r="F213" s="30" t="n">
        <v>2.46727272727273</v>
      </c>
      <c r="G213" s="31" t="n">
        <v>37.3</v>
      </c>
      <c r="H213" s="32" t="n">
        <v>0.200396825396825</v>
      </c>
      <c r="I213" s="31" t="n">
        <v>90.6</v>
      </c>
      <c r="J213" s="2" t="s">
        <v>2905</v>
      </c>
      <c r="K213" s="33" t="n">
        <v>0.304132231404959</v>
      </c>
      <c r="L213" s="31" t="n">
        <v>89.2</v>
      </c>
      <c r="M213" s="34" t="s">
        <v>822</v>
      </c>
      <c r="N213" s="2" t="s">
        <v>24</v>
      </c>
      <c r="O213" s="2" t="s">
        <v>24</v>
      </c>
      <c r="P213" s="2" t="s">
        <v>24</v>
      </c>
      <c r="Q213" s="2" t="s">
        <v>24</v>
      </c>
    </row>
    <row r="214" customFormat="false" ht="15" hidden="false" customHeight="false" outlineLevel="0" collapsed="false">
      <c r="A214" s="2" t="s">
        <v>2943</v>
      </c>
      <c r="B214" s="2" t="s">
        <v>46</v>
      </c>
      <c r="C214" s="13" t="s">
        <v>2944</v>
      </c>
      <c r="D214" s="46" t="n">
        <v>159653</v>
      </c>
      <c r="E214" s="2" t="s">
        <v>827</v>
      </c>
      <c r="F214" s="36"/>
      <c r="G214" s="31"/>
      <c r="H214" s="48" t="n">
        <v>0.0980941048620616</v>
      </c>
      <c r="I214" s="31" t="n">
        <v>60.5</v>
      </c>
      <c r="J214" s="2" t="s">
        <v>2888</v>
      </c>
      <c r="K214" s="38"/>
      <c r="L214" s="31"/>
      <c r="M214" s="39" t="s">
        <v>832</v>
      </c>
      <c r="N214" s="2" t="s">
        <v>19</v>
      </c>
      <c r="O214" s="2" t="s">
        <v>2945</v>
      </c>
      <c r="P214" s="2" t="s">
        <v>19</v>
      </c>
      <c r="Q214" s="2"/>
    </row>
    <row r="215" customFormat="false" ht="15" hidden="false" customHeight="false" outlineLevel="0" collapsed="false">
      <c r="A215" s="2" t="s">
        <v>2656</v>
      </c>
      <c r="B215" s="2" t="s">
        <v>45</v>
      </c>
      <c r="C215" s="15" t="s">
        <v>2946</v>
      </c>
      <c r="D215" s="46" t="n">
        <v>242408</v>
      </c>
      <c r="E215" s="2" t="s">
        <v>827</v>
      </c>
      <c r="F215" s="47" t="n">
        <v>1.03266806376027</v>
      </c>
      <c r="G215" s="31" t="n">
        <v>79.2</v>
      </c>
      <c r="H215" s="48" t="n">
        <v>0.0731193363170733</v>
      </c>
      <c r="I215" s="31" t="n">
        <v>42.1</v>
      </c>
      <c r="J215" s="2" t="s">
        <v>2890</v>
      </c>
      <c r="K215" s="38"/>
      <c r="L215" s="31"/>
      <c r="M215" s="39" t="s">
        <v>832</v>
      </c>
      <c r="N215" s="2" t="s">
        <v>19</v>
      </c>
      <c r="O215" s="2" t="s">
        <v>19</v>
      </c>
      <c r="P215" s="2" t="s">
        <v>19</v>
      </c>
      <c r="Q215" s="2"/>
    </row>
    <row r="216" customFormat="false" ht="15" hidden="false" customHeight="false" outlineLevel="0" collapsed="false">
      <c r="A216" s="2" t="s">
        <v>2656</v>
      </c>
      <c r="B216" s="2" t="s">
        <v>47</v>
      </c>
      <c r="C216" s="14" t="s">
        <v>2657</v>
      </c>
      <c r="D216" s="42" t="n">
        <v>21623</v>
      </c>
      <c r="E216" s="2" t="s">
        <v>821</v>
      </c>
      <c r="F216" s="43" t="n">
        <v>0.87379179577302</v>
      </c>
      <c r="G216" s="31" t="n">
        <v>32.8</v>
      </c>
      <c r="H216" s="41" t="n">
        <v>0.124967483481609</v>
      </c>
      <c r="I216" s="31" t="n">
        <v>64.6</v>
      </c>
      <c r="J216" s="2" t="s">
        <v>2886</v>
      </c>
      <c r="K216" s="44" t="n">
        <v>0.0490883590462833</v>
      </c>
      <c r="L216" s="31" t="n">
        <v>31.5</v>
      </c>
      <c r="M216" s="34" t="s">
        <v>822</v>
      </c>
      <c r="N216" s="2" t="s">
        <v>22</v>
      </c>
      <c r="O216" s="2" t="s">
        <v>22</v>
      </c>
      <c r="P216" s="2" t="s">
        <v>22</v>
      </c>
      <c r="Q216" s="2" t="s">
        <v>22</v>
      </c>
    </row>
    <row r="217" customFormat="false" ht="15" hidden="false" customHeight="false" outlineLevel="0" collapsed="false">
      <c r="A217" s="2" t="s">
        <v>2947</v>
      </c>
      <c r="B217" s="2" t="s">
        <v>46</v>
      </c>
      <c r="C217" s="13" t="s">
        <v>2948</v>
      </c>
      <c r="D217" s="29" t="n">
        <v>62870</v>
      </c>
      <c r="E217" s="2" t="s">
        <v>821</v>
      </c>
      <c r="F217" s="30" t="n">
        <v>5.51159535549547</v>
      </c>
      <c r="G217" s="31" t="n">
        <v>76.4</v>
      </c>
      <c r="H217" s="32" t="n">
        <v>0.0780178326474623</v>
      </c>
      <c r="I217" s="31" t="n">
        <v>45.1</v>
      </c>
      <c r="J217" s="2" t="s">
        <v>2884</v>
      </c>
      <c r="K217" s="38"/>
      <c r="L217" s="31"/>
      <c r="M217" s="39" t="s">
        <v>832</v>
      </c>
      <c r="N217" s="2" t="s">
        <v>24</v>
      </c>
      <c r="O217" s="2" t="s">
        <v>24</v>
      </c>
      <c r="P217" s="2" t="s">
        <v>24</v>
      </c>
      <c r="Q217" s="2"/>
    </row>
    <row r="218" customFormat="false" ht="15" hidden="false" customHeight="false" outlineLevel="0" collapsed="false">
      <c r="A218" s="2" t="s">
        <v>1727</v>
      </c>
      <c r="B218" s="2" t="s">
        <v>45</v>
      </c>
      <c r="C218" s="13" t="s">
        <v>2949</v>
      </c>
      <c r="D218" s="29" t="n">
        <v>14580</v>
      </c>
      <c r="E218" s="2" t="s">
        <v>821</v>
      </c>
      <c r="F218" s="30" t="n">
        <v>0.205212620027435</v>
      </c>
      <c r="G218" s="31" t="n">
        <v>9.6</v>
      </c>
      <c r="H218" s="37"/>
      <c r="I218" s="31"/>
      <c r="J218" s="2"/>
      <c r="K218" s="33" t="n">
        <v>0.0860927152317881</v>
      </c>
      <c r="L218" s="31" t="n">
        <v>29.8</v>
      </c>
      <c r="M218" s="39" t="s">
        <v>832</v>
      </c>
      <c r="N218" s="2" t="s">
        <v>24</v>
      </c>
      <c r="O218" s="2" t="s">
        <v>24</v>
      </c>
      <c r="P218" s="2"/>
      <c r="Q218" s="2" t="s">
        <v>24</v>
      </c>
    </row>
    <row r="219" customFormat="false" ht="15" hidden="false" customHeight="false" outlineLevel="0" collapsed="false">
      <c r="A219" s="2" t="s">
        <v>1727</v>
      </c>
      <c r="B219" s="2" t="s">
        <v>46</v>
      </c>
      <c r="C219" s="13" t="s">
        <v>1728</v>
      </c>
      <c r="D219" s="29" t="n">
        <v>76780</v>
      </c>
      <c r="E219" s="2" t="s">
        <v>821</v>
      </c>
      <c r="F219" s="30" t="n">
        <v>5.65626465225319</v>
      </c>
      <c r="G219" s="31" t="n">
        <v>77.6</v>
      </c>
      <c r="H219" s="32" t="n">
        <v>0.174724602203182</v>
      </c>
      <c r="I219" s="31" t="n">
        <v>86.2</v>
      </c>
      <c r="J219" s="2" t="s">
        <v>2884</v>
      </c>
      <c r="K219" s="33" t="n">
        <v>0.081553230130589</v>
      </c>
      <c r="L219" s="31" t="n">
        <v>26.9</v>
      </c>
      <c r="M219" s="34" t="s">
        <v>822</v>
      </c>
      <c r="N219" s="2" t="s">
        <v>24</v>
      </c>
      <c r="O219" s="2" t="s">
        <v>24</v>
      </c>
      <c r="P219" s="2" t="s">
        <v>24</v>
      </c>
      <c r="Q219" s="2" t="s">
        <v>24</v>
      </c>
    </row>
    <row r="220" customFormat="false" ht="15" hidden="false" customHeight="false" outlineLevel="0" collapsed="false">
      <c r="A220" s="2" t="s">
        <v>1727</v>
      </c>
      <c r="B220" s="2" t="s">
        <v>47</v>
      </c>
      <c r="C220" s="13" t="s">
        <v>2568</v>
      </c>
      <c r="D220" s="29" t="n">
        <v>45850</v>
      </c>
      <c r="E220" s="2" t="s">
        <v>821</v>
      </c>
      <c r="F220" s="30" t="n">
        <v>1.17197382769902</v>
      </c>
      <c r="G220" s="31" t="n">
        <v>46.6</v>
      </c>
      <c r="H220" s="32" t="n">
        <v>0.167260692464359</v>
      </c>
      <c r="I220" s="31" t="n">
        <v>84.7</v>
      </c>
      <c r="J220" s="2" t="s">
        <v>2886</v>
      </c>
      <c r="K220" s="33" t="n">
        <v>0.0176146010186757</v>
      </c>
      <c r="L220" s="31" t="n">
        <v>11.5</v>
      </c>
      <c r="M220" s="34" t="s">
        <v>822</v>
      </c>
      <c r="N220" s="2" t="s">
        <v>24</v>
      </c>
      <c r="O220" s="2" t="s">
        <v>24</v>
      </c>
      <c r="P220" s="2" t="s">
        <v>24</v>
      </c>
      <c r="Q220" s="2" t="s">
        <v>24</v>
      </c>
    </row>
    <row r="221" customFormat="false" ht="15" hidden="false" customHeight="false" outlineLevel="0" collapsed="false">
      <c r="A221" s="2" t="s">
        <v>1489</v>
      </c>
      <c r="B221" s="2" t="s">
        <v>45</v>
      </c>
      <c r="C221" s="13" t="s">
        <v>1490</v>
      </c>
      <c r="D221" s="29" t="n">
        <v>8030</v>
      </c>
      <c r="E221" s="2" t="s">
        <v>825</v>
      </c>
      <c r="F221" s="43" t="n">
        <v>0.261082506592993</v>
      </c>
      <c r="G221" s="31" t="n">
        <v>14.2</v>
      </c>
      <c r="H221" s="41" t="n">
        <v>0.0541435001323802</v>
      </c>
      <c r="I221" s="31" t="n">
        <v>22.5</v>
      </c>
      <c r="J221" s="2" t="s">
        <v>2899</v>
      </c>
      <c r="K221" s="33" t="n">
        <v>0.0819672131147541</v>
      </c>
      <c r="L221" s="31" t="n">
        <v>27</v>
      </c>
      <c r="M221" s="34" t="s">
        <v>822</v>
      </c>
      <c r="N221" s="2" t="s">
        <v>24</v>
      </c>
      <c r="O221" s="2" t="s">
        <v>22</v>
      </c>
      <c r="P221" s="2" t="s">
        <v>22</v>
      </c>
      <c r="Q221" s="2" t="s">
        <v>24</v>
      </c>
    </row>
    <row r="222" customFormat="false" ht="15" hidden="false" customHeight="false" outlineLevel="0" collapsed="false">
      <c r="A222" s="2" t="s">
        <v>1489</v>
      </c>
      <c r="B222" s="2" t="s">
        <v>46</v>
      </c>
      <c r="C222" s="13" t="s">
        <v>2950</v>
      </c>
      <c r="D222" s="29" t="n">
        <v>159500</v>
      </c>
      <c r="E222" s="2" t="s">
        <v>827</v>
      </c>
      <c r="F222" s="30" t="n">
        <v>4.75383072100314</v>
      </c>
      <c r="G222" s="31" t="n">
        <v>70.9</v>
      </c>
      <c r="H222" s="37"/>
      <c r="I222" s="31"/>
      <c r="J222" s="2"/>
      <c r="K222" s="33" t="n">
        <v>0.16635687732342</v>
      </c>
      <c r="L222" s="31" t="n">
        <v>60.7</v>
      </c>
      <c r="M222" s="39" t="s">
        <v>832</v>
      </c>
      <c r="N222" s="2" t="s">
        <v>24</v>
      </c>
      <c r="O222" s="2" t="s">
        <v>24</v>
      </c>
      <c r="P222" s="2"/>
      <c r="Q222" s="2" t="s">
        <v>24</v>
      </c>
    </row>
    <row r="223" customFormat="false" ht="15" hidden="false" customHeight="false" outlineLevel="0" collapsed="false">
      <c r="A223" s="2" t="s">
        <v>1489</v>
      </c>
      <c r="B223" s="2" t="s">
        <v>47</v>
      </c>
      <c r="C223" s="14" t="s">
        <v>2707</v>
      </c>
      <c r="D223" s="42" t="n">
        <v>13339</v>
      </c>
      <c r="E223" s="2" t="s">
        <v>821</v>
      </c>
      <c r="F223" s="43" t="n">
        <v>0.740160431816478</v>
      </c>
      <c r="G223" s="31" t="n">
        <v>24.3</v>
      </c>
      <c r="H223" s="41" t="n">
        <v>0.181592700859244</v>
      </c>
      <c r="I223" s="31" t="n">
        <v>88</v>
      </c>
      <c r="J223" s="2" t="s">
        <v>2886</v>
      </c>
      <c r="K223" s="44" t="n">
        <v>0.0692124105011933</v>
      </c>
      <c r="L223" s="31" t="n">
        <v>44.3</v>
      </c>
      <c r="M223" s="34" t="s">
        <v>822</v>
      </c>
      <c r="N223" s="2" t="s">
        <v>22</v>
      </c>
      <c r="O223" s="2" t="s">
        <v>22</v>
      </c>
      <c r="P223" s="2" t="s">
        <v>22</v>
      </c>
      <c r="Q223" s="2" t="s">
        <v>22</v>
      </c>
    </row>
    <row r="224" customFormat="false" ht="15" hidden="false" customHeight="false" outlineLevel="0" collapsed="false">
      <c r="A224" s="2" t="s">
        <v>2186</v>
      </c>
      <c r="B224" s="2" t="s">
        <v>45</v>
      </c>
      <c r="C224" s="15" t="s">
        <v>2951</v>
      </c>
      <c r="D224" s="46" t="n">
        <v>3222</v>
      </c>
      <c r="E224" s="2" t="s">
        <v>825</v>
      </c>
      <c r="F224" s="47" t="n">
        <v>0.776225946617008</v>
      </c>
      <c r="G224" s="31" t="n">
        <v>66.5</v>
      </c>
      <c r="H224" s="48" t="n">
        <v>0.0962912555290915</v>
      </c>
      <c r="I224" s="31" t="n">
        <v>46.5</v>
      </c>
      <c r="J224" s="2" t="s">
        <v>2899</v>
      </c>
      <c r="K224" s="38"/>
      <c r="L224" s="31"/>
      <c r="M224" s="39" t="s">
        <v>832</v>
      </c>
      <c r="N224" s="2" t="s">
        <v>19</v>
      </c>
      <c r="O224" s="2" t="s">
        <v>19</v>
      </c>
      <c r="P224" s="2" t="s">
        <v>19</v>
      </c>
      <c r="Q224" s="2"/>
    </row>
    <row r="225" customFormat="false" ht="15" hidden="false" customHeight="false" outlineLevel="0" collapsed="false">
      <c r="A225" s="2" t="s">
        <v>2186</v>
      </c>
      <c r="B225" s="2" t="s">
        <v>46</v>
      </c>
      <c r="C225" s="13" t="s">
        <v>2187</v>
      </c>
      <c r="D225" s="29" t="n">
        <v>58500</v>
      </c>
      <c r="E225" s="2" t="s">
        <v>821</v>
      </c>
      <c r="F225" s="30" t="n">
        <v>0.684444444444444</v>
      </c>
      <c r="G225" s="31" t="n">
        <v>2.9</v>
      </c>
      <c r="H225" s="32" t="n">
        <v>-0.0138233310856372</v>
      </c>
      <c r="I225" s="31" t="n">
        <v>10.2</v>
      </c>
      <c r="J225" s="2" t="s">
        <v>2884</v>
      </c>
      <c r="K225" s="33" t="n">
        <v>0.0211930926216641</v>
      </c>
      <c r="L225" s="31" t="n">
        <v>4.2</v>
      </c>
      <c r="M225" s="34" t="s">
        <v>822</v>
      </c>
      <c r="N225" s="2" t="s">
        <v>24</v>
      </c>
      <c r="O225" s="2" t="s">
        <v>24</v>
      </c>
      <c r="P225" s="2" t="s">
        <v>24</v>
      </c>
      <c r="Q225" s="2" t="s">
        <v>24</v>
      </c>
    </row>
    <row r="226" customFormat="false" ht="15" hidden="false" customHeight="false" outlineLevel="0" collapsed="false">
      <c r="A226" s="2" t="s">
        <v>1747</v>
      </c>
      <c r="B226" s="2" t="s">
        <v>45</v>
      </c>
      <c r="C226" s="15" t="s">
        <v>2952</v>
      </c>
      <c r="D226" s="46" t="n">
        <v>46845</v>
      </c>
      <c r="E226" s="2" t="s">
        <v>821</v>
      </c>
      <c r="F226" s="47" t="n">
        <v>0.376432917066923</v>
      </c>
      <c r="G226" s="31" t="n">
        <v>26.1</v>
      </c>
      <c r="H226" s="48" t="n">
        <v>0.158869950275833</v>
      </c>
      <c r="I226" s="31" t="n">
        <v>78.4</v>
      </c>
      <c r="J226" s="2" t="s">
        <v>2883</v>
      </c>
      <c r="K226" s="38"/>
      <c r="L226" s="31"/>
      <c r="M226" s="39" t="s">
        <v>832</v>
      </c>
      <c r="N226" s="2" t="s">
        <v>19</v>
      </c>
      <c r="O226" s="2" t="s">
        <v>19</v>
      </c>
      <c r="P226" s="2" t="s">
        <v>19</v>
      </c>
      <c r="Q226" s="2"/>
    </row>
    <row r="227" customFormat="false" ht="15" hidden="false" customHeight="false" outlineLevel="0" collapsed="false">
      <c r="A227" s="2" t="s">
        <v>1747</v>
      </c>
      <c r="B227" s="2" t="s">
        <v>46</v>
      </c>
      <c r="C227" s="13" t="s">
        <v>1748</v>
      </c>
      <c r="D227" s="29" t="n">
        <v>978930</v>
      </c>
      <c r="E227" s="2" t="s">
        <v>827</v>
      </c>
      <c r="F227" s="30" t="n">
        <v>5.19209136506185</v>
      </c>
      <c r="G227" s="31" t="n">
        <v>73.9</v>
      </c>
      <c r="H227" s="32" t="n">
        <v>0.0772862330802245</v>
      </c>
      <c r="I227" s="31" t="n">
        <v>51.6</v>
      </c>
      <c r="J227" s="2" t="s">
        <v>2888</v>
      </c>
      <c r="K227" s="33" t="n">
        <v>0.0261394766927673</v>
      </c>
      <c r="L227" s="31" t="n">
        <v>5.7</v>
      </c>
      <c r="M227" s="34" t="s">
        <v>822</v>
      </c>
      <c r="N227" s="2" t="s">
        <v>24</v>
      </c>
      <c r="O227" s="2" t="s">
        <v>24</v>
      </c>
      <c r="P227" s="2" t="s">
        <v>24</v>
      </c>
      <c r="Q227" s="2" t="s">
        <v>24</v>
      </c>
    </row>
    <row r="228" customFormat="false" ht="15" hidden="false" customHeight="false" outlineLevel="0" collapsed="false">
      <c r="A228" s="2" t="s">
        <v>1747</v>
      </c>
      <c r="B228" s="2" t="s">
        <v>47</v>
      </c>
      <c r="C228" s="13" t="s">
        <v>2629</v>
      </c>
      <c r="D228" s="29" t="n">
        <v>13640</v>
      </c>
      <c r="E228" s="2" t="s">
        <v>821</v>
      </c>
      <c r="F228" s="30" t="n">
        <v>0.950806451612903</v>
      </c>
      <c r="G228" s="31" t="n">
        <v>36.5</v>
      </c>
      <c r="H228" s="41" t="n">
        <v>-0.00438375853395616</v>
      </c>
      <c r="I228" s="31" t="n">
        <v>8.8</v>
      </c>
      <c r="J228" s="2" t="s">
        <v>2886</v>
      </c>
      <c r="K228" s="33" t="n">
        <v>0.185661764705882</v>
      </c>
      <c r="L228" s="31" t="n">
        <v>81.5</v>
      </c>
      <c r="M228" s="34" t="s">
        <v>822</v>
      </c>
      <c r="N228" s="2" t="s">
        <v>24</v>
      </c>
      <c r="O228" s="2" t="s">
        <v>24</v>
      </c>
      <c r="P228" s="2" t="s">
        <v>22</v>
      </c>
      <c r="Q228" s="2" t="s">
        <v>24</v>
      </c>
    </row>
    <row r="229" customFormat="false" ht="15" hidden="false" customHeight="false" outlineLevel="0" collapsed="false">
      <c r="A229" s="2" t="s">
        <v>2953</v>
      </c>
      <c r="B229" s="2" t="s">
        <v>45</v>
      </c>
      <c r="C229" s="14" t="s">
        <v>2954</v>
      </c>
      <c r="D229" s="42" t="n">
        <v>48125</v>
      </c>
      <c r="E229" s="2" t="s">
        <v>821</v>
      </c>
      <c r="F229" s="43" t="n">
        <v>0.331220779220779</v>
      </c>
      <c r="G229" s="31" t="n">
        <v>21.9</v>
      </c>
      <c r="H229" s="41" t="n">
        <v>0.0692305983247795</v>
      </c>
      <c r="I229" s="31" t="n">
        <v>37.5</v>
      </c>
      <c r="J229" s="2" t="s">
        <v>2883</v>
      </c>
      <c r="K229" s="38"/>
      <c r="L229" s="31"/>
      <c r="M229" s="39" t="s">
        <v>832</v>
      </c>
      <c r="N229" s="2" t="s">
        <v>22</v>
      </c>
      <c r="O229" s="2" t="s">
        <v>22</v>
      </c>
      <c r="P229" s="2" t="s">
        <v>22</v>
      </c>
      <c r="Q229" s="2"/>
    </row>
    <row r="230" customFormat="false" ht="15" hidden="false" customHeight="false" outlineLevel="0" collapsed="false">
      <c r="A230" s="2" t="s">
        <v>847</v>
      </c>
      <c r="B230" s="2" t="s">
        <v>45</v>
      </c>
      <c r="C230" s="14" t="s">
        <v>848</v>
      </c>
      <c r="D230" s="42" t="n">
        <v>196143</v>
      </c>
      <c r="E230" s="2" t="s">
        <v>827</v>
      </c>
      <c r="F230" s="43" t="n">
        <v>2.39974406427963</v>
      </c>
      <c r="G230" s="31" t="n">
        <v>97.4</v>
      </c>
      <c r="H230" s="41" t="n">
        <v>0.0867671747477602</v>
      </c>
      <c r="I230" s="31" t="n">
        <v>52.9</v>
      </c>
      <c r="J230" s="2" t="s">
        <v>2890</v>
      </c>
      <c r="K230" s="44" t="n">
        <v>0.327144351464435</v>
      </c>
      <c r="L230" s="31" t="n">
        <v>93</v>
      </c>
      <c r="M230" s="34" t="s">
        <v>822</v>
      </c>
      <c r="N230" s="2" t="s">
        <v>22</v>
      </c>
      <c r="O230" s="2" t="s">
        <v>22</v>
      </c>
      <c r="P230" s="2" t="s">
        <v>22</v>
      </c>
      <c r="Q230" s="2" t="s">
        <v>22</v>
      </c>
    </row>
    <row r="231" customFormat="false" ht="15" hidden="false" customHeight="false" outlineLevel="0" collapsed="false">
      <c r="A231" s="2" t="s">
        <v>847</v>
      </c>
      <c r="B231" s="2" t="s">
        <v>46</v>
      </c>
      <c r="C231" s="13" t="s">
        <v>2955</v>
      </c>
      <c r="D231" s="29" t="n">
        <v>3390</v>
      </c>
      <c r="E231" s="2" t="s">
        <v>825</v>
      </c>
      <c r="F231" s="30" t="n">
        <v>6.53244837758112</v>
      </c>
      <c r="G231" s="31" t="n">
        <v>83.3</v>
      </c>
      <c r="H231" s="37"/>
      <c r="I231" s="31"/>
      <c r="J231" s="2"/>
      <c r="K231" s="33" t="n">
        <v>0.173154362416107</v>
      </c>
      <c r="L231" s="31" t="n">
        <v>62.5</v>
      </c>
      <c r="M231" s="39" t="s">
        <v>832</v>
      </c>
      <c r="N231" s="2" t="s">
        <v>24</v>
      </c>
      <c r="O231" s="2" t="s">
        <v>24</v>
      </c>
      <c r="P231" s="2"/>
      <c r="Q231" s="2" t="s">
        <v>24</v>
      </c>
    </row>
    <row r="232" customFormat="false" ht="15" hidden="false" customHeight="false" outlineLevel="0" collapsed="false">
      <c r="A232" s="2" t="s">
        <v>847</v>
      </c>
      <c r="B232" s="2" t="s">
        <v>47</v>
      </c>
      <c r="C232" s="14" t="s">
        <v>2500</v>
      </c>
      <c r="D232" s="42" t="n">
        <v>1521249</v>
      </c>
      <c r="E232" s="2" t="s">
        <v>935</v>
      </c>
      <c r="F232" s="43" t="n">
        <v>1.3735095306554</v>
      </c>
      <c r="G232" s="31" t="n">
        <v>55.4</v>
      </c>
      <c r="H232" s="41" t="n">
        <v>0.12405263636236</v>
      </c>
      <c r="I232" s="31" t="n">
        <v>71.4</v>
      </c>
      <c r="J232" s="2" t="s">
        <v>2922</v>
      </c>
      <c r="K232" s="44" t="n">
        <v>0.0426200025691897</v>
      </c>
      <c r="L232" s="31" t="n">
        <v>27.8</v>
      </c>
      <c r="M232" s="34" t="s">
        <v>822</v>
      </c>
      <c r="N232" s="2" t="s">
        <v>22</v>
      </c>
      <c r="O232" s="2" t="s">
        <v>22</v>
      </c>
      <c r="P232" s="2" t="s">
        <v>22</v>
      </c>
      <c r="Q232" s="2" t="s">
        <v>22</v>
      </c>
    </row>
    <row r="233" customFormat="false" ht="15" hidden="false" customHeight="false" outlineLevel="0" collapsed="false">
      <c r="A233" s="2" t="s">
        <v>2956</v>
      </c>
      <c r="B233" s="2" t="s">
        <v>45</v>
      </c>
      <c r="C233" s="16"/>
      <c r="D233" s="29" t="n">
        <v>30350</v>
      </c>
      <c r="E233" s="2" t="s">
        <v>821</v>
      </c>
      <c r="F233" s="30" t="n">
        <v>0.863459637561779</v>
      </c>
      <c r="G233" s="31" t="n">
        <v>73.3</v>
      </c>
      <c r="H233" s="32" t="n">
        <v>0.126577579806979</v>
      </c>
      <c r="I233" s="31" t="n">
        <v>68.7</v>
      </c>
      <c r="J233" s="2" t="s">
        <v>2883</v>
      </c>
      <c r="K233" s="33" t="n">
        <v>0.0680345572354212</v>
      </c>
      <c r="L233" s="31" t="n">
        <v>22.8</v>
      </c>
      <c r="M233" s="39" t="s">
        <v>832</v>
      </c>
      <c r="N233" s="2" t="s">
        <v>24</v>
      </c>
      <c r="O233" s="2" t="s">
        <v>24</v>
      </c>
      <c r="P233" s="2" t="s">
        <v>24</v>
      </c>
      <c r="Q233" s="2" t="s">
        <v>24</v>
      </c>
    </row>
    <row r="234" customFormat="false" ht="15" hidden="false" customHeight="false" outlineLevel="0" collapsed="false">
      <c r="A234" s="2" t="s">
        <v>658</v>
      </c>
      <c r="B234" s="2" t="s">
        <v>45</v>
      </c>
      <c r="C234" s="13" t="s">
        <v>1559</v>
      </c>
      <c r="D234" s="29" t="n">
        <v>25760</v>
      </c>
      <c r="E234" s="2" t="s">
        <v>821</v>
      </c>
      <c r="F234" s="43" t="n">
        <v>0.149763531266421</v>
      </c>
      <c r="G234" s="31" t="n">
        <v>5.7</v>
      </c>
      <c r="H234" s="32" t="n">
        <v>0.109866436880655</v>
      </c>
      <c r="I234" s="31" t="n">
        <v>59.5</v>
      </c>
      <c r="J234" s="2" t="s">
        <v>2883</v>
      </c>
      <c r="K234" s="33" t="n">
        <v>0.103626943005181</v>
      </c>
      <c r="L234" s="31" t="n">
        <v>36.6</v>
      </c>
      <c r="M234" s="34" t="s">
        <v>822</v>
      </c>
      <c r="N234" s="2" t="s">
        <v>24</v>
      </c>
      <c r="O234" s="2" t="s">
        <v>22</v>
      </c>
      <c r="P234" s="2" t="s">
        <v>24</v>
      </c>
      <c r="Q234" s="2" t="s">
        <v>24</v>
      </c>
    </row>
    <row r="235" customFormat="false" ht="15" hidden="false" customHeight="false" outlineLevel="0" collapsed="false">
      <c r="A235" s="2" t="s">
        <v>658</v>
      </c>
      <c r="B235" s="2" t="s">
        <v>46</v>
      </c>
      <c r="C235" s="13" t="s">
        <v>1742</v>
      </c>
      <c r="D235" s="29" t="n">
        <v>27720</v>
      </c>
      <c r="E235" s="2" t="s">
        <v>821</v>
      </c>
      <c r="F235" s="30" t="n">
        <v>5.29805194805195</v>
      </c>
      <c r="G235" s="31" t="n">
        <v>74.7</v>
      </c>
      <c r="H235" s="32" t="n">
        <v>0.115044247787611</v>
      </c>
      <c r="I235" s="31" t="n">
        <v>66.2</v>
      </c>
      <c r="J235" s="2" t="s">
        <v>2884</v>
      </c>
      <c r="K235" s="33" t="n">
        <v>0.355142503097893</v>
      </c>
      <c r="L235" s="31" t="n">
        <v>94.5</v>
      </c>
      <c r="M235" s="34" t="s">
        <v>822</v>
      </c>
      <c r="N235" s="2" t="s">
        <v>24</v>
      </c>
      <c r="O235" s="2" t="s">
        <v>24</v>
      </c>
      <c r="P235" s="2" t="s">
        <v>24</v>
      </c>
      <c r="Q235" s="2" t="s">
        <v>24</v>
      </c>
    </row>
    <row r="236" customFormat="false" ht="15" hidden="false" customHeight="false" outlineLevel="0" collapsed="false">
      <c r="A236" s="2" t="s">
        <v>658</v>
      </c>
      <c r="B236" s="2" t="s">
        <v>47</v>
      </c>
      <c r="C236" s="14" t="s">
        <v>2728</v>
      </c>
      <c r="D236" s="42" t="n">
        <v>24534</v>
      </c>
      <c r="E236" s="2" t="s">
        <v>821</v>
      </c>
      <c r="F236" s="43" t="n">
        <v>0.676652808347599</v>
      </c>
      <c r="G236" s="31" t="n">
        <v>21.3</v>
      </c>
      <c r="H236" s="41" t="n">
        <v>0.0959528276601447</v>
      </c>
      <c r="I236" s="31" t="n">
        <v>50.6</v>
      </c>
      <c r="J236" s="2" t="s">
        <v>2886</v>
      </c>
      <c r="K236" s="44" t="n">
        <v>0.163366336633663</v>
      </c>
      <c r="L236" s="31" t="n">
        <v>77.4</v>
      </c>
      <c r="M236" s="34" t="s">
        <v>822</v>
      </c>
      <c r="N236" s="2" t="s">
        <v>22</v>
      </c>
      <c r="O236" s="2" t="s">
        <v>22</v>
      </c>
      <c r="P236" s="2" t="s">
        <v>22</v>
      </c>
      <c r="Q236" s="2" t="s">
        <v>22</v>
      </c>
    </row>
    <row r="237" customFormat="false" ht="15" hidden="false" customHeight="false" outlineLevel="0" collapsed="false">
      <c r="A237" s="2" t="s">
        <v>322</v>
      </c>
      <c r="B237" s="2" t="s">
        <v>45</v>
      </c>
      <c r="C237" s="13" t="s">
        <v>997</v>
      </c>
      <c r="D237" s="29" t="n">
        <v>50860</v>
      </c>
      <c r="E237" s="2" t="s">
        <v>821</v>
      </c>
      <c r="F237" s="30" t="n">
        <v>1.01217066456941</v>
      </c>
      <c r="G237" s="31" t="n">
        <v>78.8</v>
      </c>
      <c r="H237" s="32" t="n">
        <v>0.0855923159018143</v>
      </c>
      <c r="I237" s="31" t="n">
        <v>45.7</v>
      </c>
      <c r="J237" s="2" t="s">
        <v>2883</v>
      </c>
      <c r="K237" s="33" t="n">
        <v>0.133911965282083</v>
      </c>
      <c r="L237" s="31" t="n">
        <v>50.1</v>
      </c>
      <c r="M237" s="34" t="s">
        <v>822</v>
      </c>
      <c r="N237" s="2" t="s">
        <v>24</v>
      </c>
      <c r="O237" s="2" t="s">
        <v>24</v>
      </c>
      <c r="P237" s="2" t="s">
        <v>24</v>
      </c>
      <c r="Q237" s="2" t="s">
        <v>24</v>
      </c>
    </row>
    <row r="238" customFormat="false" ht="15" hidden="false" customHeight="false" outlineLevel="0" collapsed="false">
      <c r="A238" s="2" t="s">
        <v>322</v>
      </c>
      <c r="B238" s="2" t="s">
        <v>46</v>
      </c>
      <c r="C238" s="14" t="s">
        <v>2003</v>
      </c>
      <c r="D238" s="42" t="n">
        <v>32665</v>
      </c>
      <c r="E238" s="2" t="s">
        <v>821</v>
      </c>
      <c r="F238" s="43" t="n">
        <v>2.3465789070871</v>
      </c>
      <c r="G238" s="31" t="n">
        <v>33.6</v>
      </c>
      <c r="H238" s="41" t="n">
        <v>0.119853268881347</v>
      </c>
      <c r="I238" s="31" t="n">
        <v>68.4</v>
      </c>
      <c r="J238" s="2" t="s">
        <v>2884</v>
      </c>
      <c r="K238" s="44" t="n">
        <v>0.175027870680045</v>
      </c>
      <c r="L238" s="31" t="n">
        <v>62.9</v>
      </c>
      <c r="M238" s="34" t="s">
        <v>822</v>
      </c>
      <c r="N238" s="2" t="s">
        <v>22</v>
      </c>
      <c r="O238" s="2" t="s">
        <v>22</v>
      </c>
      <c r="P238" s="2" t="s">
        <v>22</v>
      </c>
      <c r="Q238" s="2" t="s">
        <v>22</v>
      </c>
    </row>
    <row r="239" customFormat="false" ht="15" hidden="false" customHeight="false" outlineLevel="0" collapsed="false">
      <c r="A239" s="2" t="s">
        <v>322</v>
      </c>
      <c r="B239" s="2" t="s">
        <v>47</v>
      </c>
      <c r="C239" s="13" t="s">
        <v>2406</v>
      </c>
      <c r="D239" s="29" t="n">
        <v>4480</v>
      </c>
      <c r="E239" s="2" t="s">
        <v>825</v>
      </c>
      <c r="F239" s="30" t="n">
        <v>1.74375</v>
      </c>
      <c r="G239" s="31" t="n">
        <v>70.4</v>
      </c>
      <c r="H239" s="32" t="n">
        <v>0.197860962566845</v>
      </c>
      <c r="I239" s="31" t="n">
        <v>88.8</v>
      </c>
      <c r="J239" s="2" t="s">
        <v>2889</v>
      </c>
      <c r="K239" s="33" t="n">
        <v>0.0949720670391061</v>
      </c>
      <c r="L239" s="31" t="n">
        <v>56.3</v>
      </c>
      <c r="M239" s="34" t="s">
        <v>822</v>
      </c>
      <c r="N239" s="2" t="s">
        <v>24</v>
      </c>
      <c r="O239" s="2" t="s">
        <v>24</v>
      </c>
      <c r="P239" s="2" t="s">
        <v>24</v>
      </c>
      <c r="Q239" s="2" t="s">
        <v>24</v>
      </c>
    </row>
    <row r="240" customFormat="false" ht="15" hidden="false" customHeight="false" outlineLevel="0" collapsed="false">
      <c r="A240" s="2" t="s">
        <v>1114</v>
      </c>
      <c r="B240" s="2" t="s">
        <v>45</v>
      </c>
      <c r="C240" s="13" t="s">
        <v>1115</v>
      </c>
      <c r="D240" s="29" t="n">
        <v>8340</v>
      </c>
      <c r="E240" s="2" t="s">
        <v>825</v>
      </c>
      <c r="F240" s="30" t="n">
        <v>0.736810551558753</v>
      </c>
      <c r="G240" s="31" t="n">
        <v>64.5</v>
      </c>
      <c r="H240" s="32" t="n">
        <v>0.161559888579387</v>
      </c>
      <c r="I240" s="31" t="n">
        <v>87.3</v>
      </c>
      <c r="J240" s="2" t="s">
        <v>2899</v>
      </c>
      <c r="K240" s="33" t="n">
        <v>0.132183908045977</v>
      </c>
      <c r="L240" s="31" t="n">
        <v>49</v>
      </c>
      <c r="M240" s="34" t="s">
        <v>822</v>
      </c>
      <c r="N240" s="2" t="s">
        <v>24</v>
      </c>
      <c r="O240" s="2" t="s">
        <v>24</v>
      </c>
      <c r="P240" s="2" t="s">
        <v>24</v>
      </c>
      <c r="Q240" s="2" t="s">
        <v>24</v>
      </c>
    </row>
    <row r="241" customFormat="false" ht="15" hidden="false" customHeight="false" outlineLevel="0" collapsed="false">
      <c r="A241" s="2" t="s">
        <v>1114</v>
      </c>
      <c r="B241" s="2" t="s">
        <v>46</v>
      </c>
      <c r="C241" s="16"/>
      <c r="D241" s="35"/>
      <c r="E241" s="2"/>
      <c r="F241" s="36"/>
      <c r="G241" s="31"/>
      <c r="H241" s="37"/>
      <c r="I241" s="31"/>
      <c r="J241" s="2"/>
      <c r="K241" s="38"/>
      <c r="L241" s="31"/>
      <c r="M241" s="39" t="s">
        <v>832</v>
      </c>
      <c r="N241" s="2"/>
      <c r="O241" s="2"/>
      <c r="P241" s="2"/>
      <c r="Q241" s="2"/>
    </row>
    <row r="242" customFormat="false" ht="15" hidden="false" customHeight="false" outlineLevel="0" collapsed="false">
      <c r="A242" s="2" t="s">
        <v>1114</v>
      </c>
      <c r="B242" s="2" t="s">
        <v>47</v>
      </c>
      <c r="C242" s="14" t="s">
        <v>2706</v>
      </c>
      <c r="D242" s="42" t="n">
        <v>234494</v>
      </c>
      <c r="E242" s="2" t="s">
        <v>827</v>
      </c>
      <c r="F242" s="43" t="n">
        <v>0.743861250181241</v>
      </c>
      <c r="G242" s="31" t="n">
        <v>24.5</v>
      </c>
      <c r="H242" s="41" t="n">
        <v>0.000729761909842397</v>
      </c>
      <c r="I242" s="31" t="n">
        <v>12.4</v>
      </c>
      <c r="J242" s="2" t="s">
        <v>2897</v>
      </c>
      <c r="K242" s="44" t="n">
        <v>0.194697737250929</v>
      </c>
      <c r="L242" s="31" t="n">
        <v>83.3</v>
      </c>
      <c r="M242" s="34" t="s">
        <v>822</v>
      </c>
      <c r="N242" s="2" t="s">
        <v>22</v>
      </c>
      <c r="O242" s="2" t="s">
        <v>22</v>
      </c>
      <c r="P242" s="2" t="s">
        <v>22</v>
      </c>
      <c r="Q242" s="2" t="s">
        <v>22</v>
      </c>
    </row>
    <row r="243" customFormat="false" ht="15" hidden="false" customHeight="false" outlineLevel="0" collapsed="false">
      <c r="A243" s="2" t="s">
        <v>104</v>
      </c>
      <c r="B243" s="2" t="s">
        <v>46</v>
      </c>
      <c r="C243" s="13" t="s">
        <v>1614</v>
      </c>
      <c r="D243" s="29" t="n">
        <v>123830</v>
      </c>
      <c r="E243" s="2" t="s">
        <v>827</v>
      </c>
      <c r="F243" s="30" t="n">
        <v>15.6017927804248</v>
      </c>
      <c r="G243" s="31" t="n">
        <v>97.8</v>
      </c>
      <c r="H243" s="32" t="n">
        <v>0.0771572720946416</v>
      </c>
      <c r="I243" s="31" t="n">
        <v>51</v>
      </c>
      <c r="J243" s="2" t="s">
        <v>2888</v>
      </c>
      <c r="K243" s="33" t="n">
        <v>0.133263009845288</v>
      </c>
      <c r="L243" s="31" t="n">
        <v>50.6</v>
      </c>
      <c r="M243" s="34" t="s">
        <v>822</v>
      </c>
      <c r="N243" s="2" t="s">
        <v>24</v>
      </c>
      <c r="O243" s="2" t="s">
        <v>24</v>
      </c>
      <c r="P243" s="2" t="s">
        <v>24</v>
      </c>
      <c r="Q243" s="2" t="s">
        <v>24</v>
      </c>
    </row>
    <row r="244" customFormat="false" ht="15" hidden="false" customHeight="false" outlineLevel="0" collapsed="false">
      <c r="A244" s="2" t="s">
        <v>104</v>
      </c>
      <c r="B244" s="2" t="s">
        <v>47</v>
      </c>
      <c r="C244" s="14" t="s">
        <v>2284</v>
      </c>
      <c r="D244" s="42" t="n">
        <v>49434</v>
      </c>
      <c r="E244" s="2" t="s">
        <v>821</v>
      </c>
      <c r="F244" s="43" t="n">
        <v>3.13519035481652</v>
      </c>
      <c r="G244" s="31" t="n">
        <v>89.9</v>
      </c>
      <c r="H244" s="41" t="n">
        <v>0.200437105390967</v>
      </c>
      <c r="I244" s="31" t="n">
        <v>92.2</v>
      </c>
      <c r="J244" s="2" t="s">
        <v>2886</v>
      </c>
      <c r="K244" s="44" t="n">
        <v>0.204966139954853</v>
      </c>
      <c r="L244" s="31" t="n">
        <v>86.4</v>
      </c>
      <c r="M244" s="34" t="s">
        <v>822</v>
      </c>
      <c r="N244" s="2" t="s">
        <v>22</v>
      </c>
      <c r="O244" s="2" t="s">
        <v>22</v>
      </c>
      <c r="P244" s="2" t="s">
        <v>22</v>
      </c>
      <c r="Q244" s="2" t="s">
        <v>22</v>
      </c>
    </row>
    <row r="245" customFormat="false" ht="15" hidden="false" customHeight="false" outlineLevel="0" collapsed="false">
      <c r="A245" s="2" t="s">
        <v>1755</v>
      </c>
      <c r="B245" s="2" t="s">
        <v>45</v>
      </c>
      <c r="C245" s="16"/>
      <c r="D245" s="35"/>
      <c r="E245" s="2"/>
      <c r="F245" s="36"/>
      <c r="G245" s="31"/>
      <c r="H245" s="37"/>
      <c r="I245" s="31"/>
      <c r="J245" s="2"/>
      <c r="K245" s="38"/>
      <c r="L245" s="31"/>
      <c r="M245" s="39" t="s">
        <v>832</v>
      </c>
      <c r="N245" s="2"/>
      <c r="O245" s="2"/>
      <c r="P245" s="2"/>
      <c r="Q245" s="2"/>
    </row>
    <row r="246" customFormat="false" ht="15" hidden="false" customHeight="false" outlineLevel="0" collapsed="false">
      <c r="A246" s="2" t="s">
        <v>1755</v>
      </c>
      <c r="B246" s="2" t="s">
        <v>46</v>
      </c>
      <c r="C246" s="13" t="s">
        <v>1756</v>
      </c>
      <c r="D246" s="29" t="n">
        <v>143900</v>
      </c>
      <c r="E246" s="2" t="s">
        <v>827</v>
      </c>
      <c r="F246" s="30" t="n">
        <v>5.14178596247394</v>
      </c>
      <c r="G246" s="31" t="n">
        <v>72.9</v>
      </c>
      <c r="H246" s="32" t="n">
        <v>0.125713838692013</v>
      </c>
      <c r="I246" s="31" t="n">
        <v>73.2</v>
      </c>
      <c r="J246" s="2" t="s">
        <v>2888</v>
      </c>
      <c r="K246" s="33" t="n">
        <v>0.100575282682008</v>
      </c>
      <c r="L246" s="31" t="n">
        <v>37.3</v>
      </c>
      <c r="M246" s="34" t="s">
        <v>822</v>
      </c>
      <c r="N246" s="2" t="s">
        <v>24</v>
      </c>
      <c r="O246" s="2" t="s">
        <v>24</v>
      </c>
      <c r="P246" s="2" t="s">
        <v>24</v>
      </c>
      <c r="Q246" s="2" t="s">
        <v>24</v>
      </c>
    </row>
    <row r="247" customFormat="false" ht="15" hidden="false" customHeight="false" outlineLevel="0" collapsed="false">
      <c r="A247" s="2" t="s">
        <v>1755</v>
      </c>
      <c r="B247" s="2" t="s">
        <v>47</v>
      </c>
      <c r="C247" s="14" t="s">
        <v>2809</v>
      </c>
      <c r="D247" s="42" t="n">
        <v>14778</v>
      </c>
      <c r="E247" s="2" t="s">
        <v>821</v>
      </c>
      <c r="F247" s="43" t="n">
        <v>0.454391663283259</v>
      </c>
      <c r="G247" s="31" t="n">
        <v>10.1</v>
      </c>
      <c r="H247" s="41" t="n">
        <v>0.00804911323328786</v>
      </c>
      <c r="I247" s="31" t="n">
        <v>12</v>
      </c>
      <c r="J247" s="2" t="s">
        <v>2886</v>
      </c>
      <c r="K247" s="44" t="n">
        <v>0.334101382488479</v>
      </c>
      <c r="L247" s="31" t="n">
        <v>97.5</v>
      </c>
      <c r="M247" s="34" t="s">
        <v>822</v>
      </c>
      <c r="N247" s="2" t="s">
        <v>22</v>
      </c>
      <c r="O247" s="2" t="s">
        <v>22</v>
      </c>
      <c r="P247" s="2" t="s">
        <v>22</v>
      </c>
      <c r="Q247" s="2" t="s">
        <v>22</v>
      </c>
    </row>
    <row r="248" customFormat="false" ht="15" hidden="false" customHeight="false" outlineLevel="0" collapsed="false">
      <c r="A248" s="2" t="s">
        <v>754</v>
      </c>
      <c r="B248" s="2" t="s">
        <v>45</v>
      </c>
      <c r="C248" s="13" t="s">
        <v>1477</v>
      </c>
      <c r="D248" s="42" t="n">
        <v>177829</v>
      </c>
      <c r="E248" s="2" t="s">
        <v>827</v>
      </c>
      <c r="F248" s="43" t="n">
        <v>0.290588149289486</v>
      </c>
      <c r="G248" s="31" t="n">
        <v>16.3</v>
      </c>
      <c r="H248" s="41" t="n">
        <v>0.00337978897477854</v>
      </c>
      <c r="I248" s="31" t="n">
        <v>13.6</v>
      </c>
      <c r="J248" s="2" t="s">
        <v>2890</v>
      </c>
      <c r="K248" s="33" t="n">
        <v>0.159420289855073</v>
      </c>
      <c r="L248" s="31" t="n">
        <v>61.5</v>
      </c>
      <c r="M248" s="34" t="s">
        <v>822</v>
      </c>
      <c r="N248" s="2" t="s">
        <v>22</v>
      </c>
      <c r="O248" s="2" t="s">
        <v>22</v>
      </c>
      <c r="P248" s="2" t="s">
        <v>22</v>
      </c>
      <c r="Q248" s="2" t="s">
        <v>24</v>
      </c>
    </row>
    <row r="249" customFormat="false" ht="15" hidden="false" customHeight="false" outlineLevel="0" collapsed="false">
      <c r="A249" s="2" t="s">
        <v>754</v>
      </c>
      <c r="B249" s="2" t="s">
        <v>46</v>
      </c>
      <c r="C249" s="13" t="s">
        <v>2165</v>
      </c>
      <c r="D249" s="29" t="n">
        <v>40180</v>
      </c>
      <c r="E249" s="2" t="s">
        <v>821</v>
      </c>
      <c r="F249" s="30" t="n">
        <v>0.920905923344948</v>
      </c>
      <c r="G249" s="31" t="n">
        <v>5.9</v>
      </c>
      <c r="H249" s="32" t="n">
        <v>0.0999178757185875</v>
      </c>
      <c r="I249" s="31" t="n">
        <v>57.1</v>
      </c>
      <c r="J249" s="2" t="s">
        <v>2884</v>
      </c>
      <c r="K249" s="33" t="n">
        <v>0.210862619808307</v>
      </c>
      <c r="L249" s="31" t="n">
        <v>71.3</v>
      </c>
      <c r="M249" s="34" t="s">
        <v>822</v>
      </c>
      <c r="N249" s="2" t="s">
        <v>24</v>
      </c>
      <c r="O249" s="2" t="s">
        <v>24</v>
      </c>
      <c r="P249" s="2" t="s">
        <v>24</v>
      </c>
      <c r="Q249" s="2" t="s">
        <v>24</v>
      </c>
    </row>
    <row r="250" customFormat="false" ht="15" hidden="false" customHeight="false" outlineLevel="0" collapsed="false">
      <c r="A250" s="2" t="s">
        <v>754</v>
      </c>
      <c r="B250" s="2" t="s">
        <v>47</v>
      </c>
      <c r="C250" s="13" t="s">
        <v>2605</v>
      </c>
      <c r="D250" s="29" t="n">
        <v>291560</v>
      </c>
      <c r="E250" s="2" t="s">
        <v>827</v>
      </c>
      <c r="F250" s="30" t="n">
        <v>1.02609411441899</v>
      </c>
      <c r="G250" s="31" t="n">
        <v>40</v>
      </c>
      <c r="H250" s="32" t="n">
        <v>0.0744002653204113</v>
      </c>
      <c r="I250" s="31" t="n">
        <v>44.7</v>
      </c>
      <c r="J250" s="2" t="s">
        <v>2897</v>
      </c>
      <c r="K250" s="33" t="n">
        <v>0.0602290400113106</v>
      </c>
      <c r="L250" s="31" t="n">
        <v>37.8</v>
      </c>
      <c r="M250" s="34" t="s">
        <v>822</v>
      </c>
      <c r="N250" s="2" t="s">
        <v>24</v>
      </c>
      <c r="O250" s="2" t="s">
        <v>24</v>
      </c>
      <c r="P250" s="2" t="s">
        <v>24</v>
      </c>
      <c r="Q250" s="2" t="s">
        <v>24</v>
      </c>
    </row>
    <row r="251" customFormat="false" ht="15" hidden="false" customHeight="false" outlineLevel="0" collapsed="false">
      <c r="A251" s="2" t="s">
        <v>2957</v>
      </c>
      <c r="B251" s="2" t="s">
        <v>46</v>
      </c>
      <c r="C251" s="13" t="s">
        <v>2958</v>
      </c>
      <c r="D251" s="29" t="n">
        <v>114470</v>
      </c>
      <c r="E251" s="2" t="s">
        <v>827</v>
      </c>
      <c r="F251" s="36"/>
      <c r="G251" s="31"/>
      <c r="H251" s="32" t="n">
        <v>0.150105495830403</v>
      </c>
      <c r="I251" s="31" t="n">
        <v>89.2</v>
      </c>
      <c r="J251" s="2" t="s">
        <v>2888</v>
      </c>
      <c r="K251" s="33" t="n">
        <v>0.303824456980411</v>
      </c>
      <c r="L251" s="31" t="n">
        <v>89</v>
      </c>
      <c r="M251" s="39" t="s">
        <v>832</v>
      </c>
      <c r="N251" s="2" t="s">
        <v>24</v>
      </c>
      <c r="O251" s="2"/>
      <c r="P251" s="2" t="s">
        <v>24</v>
      </c>
      <c r="Q251" s="2" t="s">
        <v>24</v>
      </c>
    </row>
    <row r="252" customFormat="false" ht="15" hidden="false" customHeight="false" outlineLevel="0" collapsed="false">
      <c r="A252" s="2" t="s">
        <v>362</v>
      </c>
      <c r="B252" s="2" t="s">
        <v>45</v>
      </c>
      <c r="C252" s="13" t="s">
        <v>855</v>
      </c>
      <c r="D252" s="29" t="n">
        <v>42010</v>
      </c>
      <c r="E252" s="2" t="s">
        <v>821</v>
      </c>
      <c r="F252" s="30" t="n">
        <v>2.27326826945965</v>
      </c>
      <c r="G252" s="31" t="n">
        <v>96.4</v>
      </c>
      <c r="H252" s="32" t="n">
        <v>0.120864461045891</v>
      </c>
      <c r="I252" s="31" t="n">
        <v>65.3</v>
      </c>
      <c r="J252" s="2" t="s">
        <v>2883</v>
      </c>
      <c r="K252" s="33" t="n">
        <v>0.410804020100503</v>
      </c>
      <c r="L252" s="31" t="n">
        <v>98.8</v>
      </c>
      <c r="M252" s="34" t="s">
        <v>822</v>
      </c>
      <c r="N252" s="2" t="s">
        <v>24</v>
      </c>
      <c r="O252" s="2" t="s">
        <v>24</v>
      </c>
      <c r="P252" s="2" t="s">
        <v>24</v>
      </c>
      <c r="Q252" s="2" t="s">
        <v>24</v>
      </c>
    </row>
    <row r="253" customFormat="false" ht="15" hidden="false" customHeight="false" outlineLevel="0" collapsed="false">
      <c r="A253" s="2" t="s">
        <v>362</v>
      </c>
      <c r="B253" s="2" t="s">
        <v>47</v>
      </c>
      <c r="C253" s="14" t="s">
        <v>2746</v>
      </c>
      <c r="D253" s="42" t="n">
        <v>181536</v>
      </c>
      <c r="E253" s="2" t="s">
        <v>827</v>
      </c>
      <c r="F253" s="43" t="n">
        <v>0.624493213467301</v>
      </c>
      <c r="G253" s="31" t="n">
        <v>19</v>
      </c>
      <c r="H253" s="41" t="n">
        <v>0.113909137765997</v>
      </c>
      <c r="I253" s="31" t="n">
        <v>67.1</v>
      </c>
      <c r="J253" s="2" t="s">
        <v>2897</v>
      </c>
      <c r="K253" s="44" t="n">
        <v>0.0290999567286889</v>
      </c>
      <c r="L253" s="31" t="n">
        <v>19.2</v>
      </c>
      <c r="M253" s="34" t="s">
        <v>822</v>
      </c>
      <c r="N253" s="2" t="s">
        <v>22</v>
      </c>
      <c r="O253" s="2" t="s">
        <v>22</v>
      </c>
      <c r="P253" s="2" t="s">
        <v>22</v>
      </c>
      <c r="Q253" s="2" t="s">
        <v>22</v>
      </c>
    </row>
    <row r="254" customFormat="false" ht="15" hidden="false" customHeight="false" outlineLevel="0" collapsed="false">
      <c r="A254" s="2" t="s">
        <v>2959</v>
      </c>
      <c r="B254" s="2" t="s">
        <v>46</v>
      </c>
      <c r="C254" s="16"/>
      <c r="D254" s="35"/>
      <c r="E254" s="2"/>
      <c r="F254" s="36"/>
      <c r="G254" s="31"/>
      <c r="H254" s="37"/>
      <c r="I254" s="31"/>
      <c r="J254" s="2"/>
      <c r="K254" s="38"/>
      <c r="L254" s="31"/>
      <c r="M254" s="39" t="s">
        <v>832</v>
      </c>
      <c r="N254" s="2"/>
      <c r="O254" s="2"/>
      <c r="P254" s="2"/>
      <c r="Q254" s="2"/>
    </row>
    <row r="255" customFormat="false" ht="15" hidden="false" customHeight="false" outlineLevel="0" collapsed="false">
      <c r="A255" s="2" t="s">
        <v>1243</v>
      </c>
      <c r="B255" s="2" t="s">
        <v>45</v>
      </c>
      <c r="C255" s="13" t="s">
        <v>1244</v>
      </c>
      <c r="D255" s="29" t="n">
        <v>82280</v>
      </c>
      <c r="E255" s="2" t="s">
        <v>821</v>
      </c>
      <c r="F255" s="30" t="n">
        <v>0.549562469615946</v>
      </c>
      <c r="G255" s="31" t="n">
        <v>48.6</v>
      </c>
      <c r="H255" s="32" t="n">
        <v>0.0319829424307036</v>
      </c>
      <c r="I255" s="31" t="n">
        <v>19.2</v>
      </c>
      <c r="J255" s="2" t="s">
        <v>2883</v>
      </c>
      <c r="K255" s="44" t="n">
        <v>0.177190406265296</v>
      </c>
      <c r="L255" s="31" t="n">
        <v>67.1</v>
      </c>
      <c r="M255" s="34" t="s">
        <v>822</v>
      </c>
      <c r="N255" s="2" t="s">
        <v>24</v>
      </c>
      <c r="O255" s="2" t="s">
        <v>24</v>
      </c>
      <c r="P255" s="2" t="s">
        <v>24</v>
      </c>
      <c r="Q255" s="2" t="s">
        <v>22</v>
      </c>
    </row>
    <row r="256" customFormat="false" ht="15" hidden="false" customHeight="false" outlineLevel="0" collapsed="false">
      <c r="A256" s="2" t="s">
        <v>1243</v>
      </c>
      <c r="B256" s="2" t="s">
        <v>46</v>
      </c>
      <c r="C256" s="16"/>
      <c r="D256" s="35"/>
      <c r="E256" s="2"/>
      <c r="F256" s="36"/>
      <c r="G256" s="31"/>
      <c r="H256" s="37"/>
      <c r="I256" s="31"/>
      <c r="J256" s="2"/>
      <c r="K256" s="38"/>
      <c r="L256" s="31"/>
      <c r="M256" s="39" t="s">
        <v>832</v>
      </c>
      <c r="N256" s="2"/>
      <c r="O256" s="2"/>
      <c r="P256" s="2"/>
      <c r="Q256" s="2"/>
    </row>
    <row r="257" customFormat="false" ht="15" hidden="false" customHeight="false" outlineLevel="0" collapsed="false">
      <c r="A257" s="2" t="s">
        <v>1243</v>
      </c>
      <c r="B257" s="2" t="s">
        <v>47</v>
      </c>
      <c r="C257" s="15" t="s">
        <v>2960</v>
      </c>
      <c r="D257" s="46" t="n">
        <v>16748</v>
      </c>
      <c r="E257" s="2" t="s">
        <v>821</v>
      </c>
      <c r="F257" s="47" t="n">
        <v>0.517196083114402</v>
      </c>
      <c r="G257" s="31" t="n">
        <v>13.9</v>
      </c>
      <c r="H257" s="48" t="n">
        <v>0.0893008130081301</v>
      </c>
      <c r="I257" s="31" t="n">
        <v>47.1</v>
      </c>
      <c r="J257" s="2" t="s">
        <v>2886</v>
      </c>
      <c r="K257" s="38"/>
      <c r="L257" s="31"/>
      <c r="M257" s="39" t="s">
        <v>832</v>
      </c>
      <c r="N257" s="2" t="s">
        <v>19</v>
      </c>
      <c r="O257" s="2" t="s">
        <v>19</v>
      </c>
      <c r="P257" s="2" t="s">
        <v>19</v>
      </c>
      <c r="Q257" s="2"/>
    </row>
    <row r="258" customFormat="false" ht="15" hidden="false" customHeight="false" outlineLevel="0" collapsed="false">
      <c r="A258" s="2" t="s">
        <v>188</v>
      </c>
      <c r="B258" s="2" t="s">
        <v>47</v>
      </c>
      <c r="C258" s="13" t="s">
        <v>2366</v>
      </c>
      <c r="D258" s="29" t="n">
        <v>33710</v>
      </c>
      <c r="E258" s="2" t="s">
        <v>821</v>
      </c>
      <c r="F258" s="30" t="n">
        <v>2.01972708395135</v>
      </c>
      <c r="G258" s="31" t="n">
        <v>76.5</v>
      </c>
      <c r="H258" s="32" t="n">
        <v>-0.0423295454545455</v>
      </c>
      <c r="I258" s="31" t="n">
        <v>3.2</v>
      </c>
      <c r="J258" s="2" t="s">
        <v>2886</v>
      </c>
      <c r="K258" s="33" t="n">
        <v>0.120434782608696</v>
      </c>
      <c r="L258" s="31" t="n">
        <v>65.6</v>
      </c>
      <c r="M258" s="34" t="s">
        <v>822</v>
      </c>
      <c r="N258" s="2" t="s">
        <v>24</v>
      </c>
      <c r="O258" s="2" t="s">
        <v>24</v>
      </c>
      <c r="P258" s="2" t="s">
        <v>24</v>
      </c>
      <c r="Q258" s="2" t="s">
        <v>24</v>
      </c>
    </row>
    <row r="259" customFormat="false" ht="15" hidden="false" customHeight="false" outlineLevel="0" collapsed="false">
      <c r="A259" s="2" t="s">
        <v>222</v>
      </c>
      <c r="B259" s="2" t="s">
        <v>45</v>
      </c>
      <c r="C259" s="13" t="s">
        <v>1315</v>
      </c>
      <c r="D259" s="29" t="n">
        <v>24180</v>
      </c>
      <c r="E259" s="2" t="s">
        <v>821</v>
      </c>
      <c r="F259" s="30" t="n">
        <v>0.478453267162945</v>
      </c>
      <c r="G259" s="31" t="n">
        <v>39.5</v>
      </c>
      <c r="H259" s="32" t="n">
        <v>0.0458477508650519</v>
      </c>
      <c r="I259" s="31" t="n">
        <v>24.7</v>
      </c>
      <c r="J259" s="2" t="s">
        <v>2883</v>
      </c>
      <c r="K259" s="33" t="n">
        <v>0.244791666666667</v>
      </c>
      <c r="L259" s="31" t="n">
        <v>81.4</v>
      </c>
      <c r="M259" s="34" t="s">
        <v>822</v>
      </c>
      <c r="N259" s="2" t="s">
        <v>24</v>
      </c>
      <c r="O259" s="2" t="s">
        <v>24</v>
      </c>
      <c r="P259" s="2" t="s">
        <v>24</v>
      </c>
      <c r="Q259" s="2" t="s">
        <v>24</v>
      </c>
    </row>
    <row r="260" customFormat="false" ht="15" hidden="false" customHeight="false" outlineLevel="0" collapsed="false">
      <c r="A260" s="2" t="s">
        <v>222</v>
      </c>
      <c r="B260" s="2" t="s">
        <v>46</v>
      </c>
      <c r="C260" s="13" t="s">
        <v>1713</v>
      </c>
      <c r="D260" s="29" t="n">
        <v>26690</v>
      </c>
      <c r="E260" s="2" t="s">
        <v>821</v>
      </c>
      <c r="F260" s="30" t="n">
        <v>5.99539153240914</v>
      </c>
      <c r="G260" s="31" t="n">
        <v>80</v>
      </c>
      <c r="H260" s="32" t="n">
        <v>0.472145615002758</v>
      </c>
      <c r="I260" s="31" t="n">
        <v>100</v>
      </c>
      <c r="J260" s="2" t="s">
        <v>2884</v>
      </c>
      <c r="K260" s="33" t="n">
        <v>0.236724828159227</v>
      </c>
      <c r="L260" s="31" t="n">
        <v>78.1</v>
      </c>
      <c r="M260" s="34" t="s">
        <v>822</v>
      </c>
      <c r="N260" s="2" t="s">
        <v>24</v>
      </c>
      <c r="O260" s="2" t="s">
        <v>24</v>
      </c>
      <c r="P260" s="2" t="s">
        <v>24</v>
      </c>
      <c r="Q260" s="2" t="s">
        <v>24</v>
      </c>
    </row>
    <row r="261" customFormat="false" ht="15" hidden="false" customHeight="false" outlineLevel="0" collapsed="false">
      <c r="A261" s="2" t="s">
        <v>222</v>
      </c>
      <c r="B261" s="2" t="s">
        <v>47</v>
      </c>
      <c r="C261" s="14" t="s">
        <v>2241</v>
      </c>
      <c r="D261" s="42" t="n">
        <v>96079</v>
      </c>
      <c r="E261" s="2" t="s">
        <v>821</v>
      </c>
      <c r="F261" s="43" t="n">
        <v>4.26889330654982</v>
      </c>
      <c r="G261" s="31" t="n">
        <v>95.8</v>
      </c>
      <c r="H261" s="41" t="n">
        <v>0.0279017021322121</v>
      </c>
      <c r="I261" s="31" t="n">
        <v>20.8</v>
      </c>
      <c r="J261" s="2" t="s">
        <v>2886</v>
      </c>
      <c r="K261" s="44" t="n">
        <v>0.0602542841348812</v>
      </c>
      <c r="L261" s="31" t="n">
        <v>38</v>
      </c>
      <c r="M261" s="34" t="s">
        <v>822</v>
      </c>
      <c r="N261" s="2" t="s">
        <v>22</v>
      </c>
      <c r="O261" s="2" t="s">
        <v>22</v>
      </c>
      <c r="P261" s="2" t="s">
        <v>22</v>
      </c>
      <c r="Q261" s="2" t="s">
        <v>22</v>
      </c>
    </row>
    <row r="262" customFormat="false" ht="15" hidden="false" customHeight="false" outlineLevel="0" collapsed="false">
      <c r="A262" s="2" t="s">
        <v>2116</v>
      </c>
      <c r="B262" s="2" t="s">
        <v>45</v>
      </c>
      <c r="C262" s="16"/>
      <c r="D262" s="35"/>
      <c r="E262" s="2"/>
      <c r="F262" s="36"/>
      <c r="G262" s="31"/>
      <c r="H262" s="37"/>
      <c r="I262" s="31"/>
      <c r="J262" s="2"/>
      <c r="K262" s="38"/>
      <c r="L262" s="31"/>
      <c r="M262" s="39" t="s">
        <v>832</v>
      </c>
      <c r="N262" s="2"/>
      <c r="O262" s="2"/>
      <c r="P262" s="2"/>
      <c r="Q262" s="2"/>
    </row>
    <row r="263" customFormat="false" ht="15" hidden="false" customHeight="false" outlineLevel="0" collapsed="false">
      <c r="A263" s="2" t="s">
        <v>2116</v>
      </c>
      <c r="B263" s="2" t="s">
        <v>46</v>
      </c>
      <c r="C263" s="13" t="s">
        <v>2117</v>
      </c>
      <c r="D263" s="29" t="n">
        <v>14300</v>
      </c>
      <c r="E263" s="2" t="s">
        <v>821</v>
      </c>
      <c r="F263" s="30" t="n">
        <v>1.45125874125874</v>
      </c>
      <c r="G263" s="31" t="n">
        <v>14.9</v>
      </c>
      <c r="H263" s="32" t="n">
        <v>0.12156862745098</v>
      </c>
      <c r="I263" s="31" t="n">
        <v>69.8</v>
      </c>
      <c r="J263" s="2" t="s">
        <v>2884</v>
      </c>
      <c r="K263" s="33" t="n">
        <v>0.188368055555556</v>
      </c>
      <c r="L263" s="31" t="n">
        <v>66.4</v>
      </c>
      <c r="M263" s="34" t="s">
        <v>822</v>
      </c>
      <c r="N263" s="2" t="s">
        <v>24</v>
      </c>
      <c r="O263" s="2" t="s">
        <v>24</v>
      </c>
      <c r="P263" s="2" t="s">
        <v>24</v>
      </c>
      <c r="Q263" s="2" t="s">
        <v>24</v>
      </c>
    </row>
    <row r="264" customFormat="false" ht="15" hidden="false" customHeight="false" outlineLevel="0" collapsed="false">
      <c r="A264" s="2" t="s">
        <v>2116</v>
      </c>
      <c r="B264" s="2" t="s">
        <v>47</v>
      </c>
      <c r="C264" s="14" t="s">
        <v>2806</v>
      </c>
      <c r="D264" s="42" t="n">
        <v>77930</v>
      </c>
      <c r="E264" s="2" t="s">
        <v>821</v>
      </c>
      <c r="F264" s="43" t="n">
        <v>0.457153856024638</v>
      </c>
      <c r="G264" s="31" t="n">
        <v>10.6</v>
      </c>
      <c r="H264" s="41" t="n">
        <v>0.0857692200518294</v>
      </c>
      <c r="I264" s="31" t="n">
        <v>44.2</v>
      </c>
      <c r="J264" s="2" t="s">
        <v>2886</v>
      </c>
      <c r="K264" s="44" t="n">
        <v>0.036019536019536</v>
      </c>
      <c r="L264" s="31" t="n">
        <v>23.5</v>
      </c>
      <c r="M264" s="34" t="s">
        <v>822</v>
      </c>
      <c r="N264" s="2" t="s">
        <v>22</v>
      </c>
      <c r="O264" s="2" t="s">
        <v>22</v>
      </c>
      <c r="P264" s="2" t="s">
        <v>22</v>
      </c>
      <c r="Q264" s="2" t="s">
        <v>22</v>
      </c>
    </row>
    <row r="265" customFormat="false" ht="15" hidden="false" customHeight="false" outlineLevel="0" collapsed="false">
      <c r="A265" s="2" t="s">
        <v>810</v>
      </c>
      <c r="B265" s="2" t="s">
        <v>47</v>
      </c>
      <c r="C265" s="14" t="s">
        <v>2871</v>
      </c>
      <c r="D265" s="42" t="n">
        <v>383499</v>
      </c>
      <c r="E265" s="2" t="s">
        <v>827</v>
      </c>
      <c r="F265" s="43" t="n">
        <v>0.195103507440697</v>
      </c>
      <c r="G265" s="31" t="n">
        <v>0.4</v>
      </c>
      <c r="H265" s="41" t="n">
        <v>0.00275070794123107</v>
      </c>
      <c r="I265" s="31" t="n">
        <v>13.7</v>
      </c>
      <c r="J265" s="2" t="s">
        <v>2897</v>
      </c>
      <c r="K265" s="44" t="n">
        <v>0.00328812166050144</v>
      </c>
      <c r="L265" s="31" t="n">
        <v>3.6</v>
      </c>
      <c r="M265" s="34" t="s">
        <v>822</v>
      </c>
      <c r="N265" s="2" t="s">
        <v>22</v>
      </c>
      <c r="O265" s="2" t="s">
        <v>22</v>
      </c>
      <c r="P265" s="2" t="s">
        <v>22</v>
      </c>
      <c r="Q265" s="2" t="s">
        <v>22</v>
      </c>
    </row>
    <row r="266" customFormat="false" ht="15" hidden="false" customHeight="false" outlineLevel="0" collapsed="false">
      <c r="A266" s="2" t="s">
        <v>756</v>
      </c>
      <c r="B266" s="2" t="s">
        <v>45</v>
      </c>
      <c r="C266" s="13" t="s">
        <v>1377</v>
      </c>
      <c r="D266" s="29" t="n">
        <v>699880</v>
      </c>
      <c r="E266" s="2" t="s">
        <v>827</v>
      </c>
      <c r="F266" s="30" t="n">
        <v>0.429730810996171</v>
      </c>
      <c r="G266" s="31" t="n">
        <v>31.9</v>
      </c>
      <c r="H266" s="32" t="n">
        <v>0.0509971167707833</v>
      </c>
      <c r="I266" s="31" t="n">
        <v>30</v>
      </c>
      <c r="J266" s="2" t="s">
        <v>2890</v>
      </c>
      <c r="K266" s="33" t="n">
        <v>0.226806013934727</v>
      </c>
      <c r="L266" s="31" t="n">
        <v>77.9</v>
      </c>
      <c r="M266" s="34" t="s">
        <v>822</v>
      </c>
      <c r="N266" s="2" t="s">
        <v>24</v>
      </c>
      <c r="O266" s="2" t="s">
        <v>24</v>
      </c>
      <c r="P266" s="2" t="s">
        <v>24</v>
      </c>
      <c r="Q266" s="2" t="s">
        <v>24</v>
      </c>
    </row>
    <row r="267" customFormat="false" ht="15" hidden="false" customHeight="false" outlineLevel="0" collapsed="false">
      <c r="A267" s="2" t="s">
        <v>756</v>
      </c>
      <c r="B267" s="2" t="s">
        <v>47</v>
      </c>
      <c r="C267" s="13" t="s">
        <v>2822</v>
      </c>
      <c r="D267" s="29" t="n">
        <v>61300</v>
      </c>
      <c r="E267" s="2" t="s">
        <v>821</v>
      </c>
      <c r="F267" s="43" t="n">
        <v>0.387996418858427</v>
      </c>
      <c r="G267" s="31" t="n">
        <v>7.2</v>
      </c>
      <c r="H267" s="32" t="n">
        <v>0.085724406659582</v>
      </c>
      <c r="I267" s="31" t="n">
        <v>43.8</v>
      </c>
      <c r="J267" s="2" t="s">
        <v>2886</v>
      </c>
      <c r="K267" s="33" t="n">
        <v>0.0574712643678161</v>
      </c>
      <c r="L267" s="31" t="n">
        <v>36</v>
      </c>
      <c r="M267" s="34" t="s">
        <v>822</v>
      </c>
      <c r="N267" s="2" t="s">
        <v>24</v>
      </c>
      <c r="O267" s="2" t="s">
        <v>22</v>
      </c>
      <c r="P267" s="2" t="s">
        <v>24</v>
      </c>
      <c r="Q267" s="2" t="s">
        <v>24</v>
      </c>
    </row>
    <row r="268" customFormat="false" ht="15" hidden="false" customHeight="false" outlineLevel="0" collapsed="false">
      <c r="A268" s="2" t="s">
        <v>2961</v>
      </c>
      <c r="B268" s="2" t="s">
        <v>45</v>
      </c>
      <c r="C268" s="13" t="s">
        <v>2962</v>
      </c>
      <c r="D268" s="29" t="n">
        <v>28550</v>
      </c>
      <c r="E268" s="2" t="s">
        <v>821</v>
      </c>
      <c r="F268" s="30" t="n">
        <v>0.573765323992995</v>
      </c>
      <c r="G268" s="31" t="n">
        <v>51.4</v>
      </c>
      <c r="H268" s="37"/>
      <c r="I268" s="31"/>
      <c r="J268" s="2"/>
      <c r="K268" s="33" t="n">
        <v>0.162106703146375</v>
      </c>
      <c r="L268" s="31" t="n">
        <v>63.6</v>
      </c>
      <c r="M268" s="39" t="s">
        <v>832</v>
      </c>
      <c r="N268" s="2" t="s">
        <v>24</v>
      </c>
      <c r="O268" s="2" t="s">
        <v>24</v>
      </c>
      <c r="P268" s="2"/>
      <c r="Q268" s="2" t="s">
        <v>24</v>
      </c>
    </row>
    <row r="269" customFormat="false" ht="15" hidden="false" customHeight="false" outlineLevel="0" collapsed="false">
      <c r="A269" s="2" t="s">
        <v>2961</v>
      </c>
      <c r="B269" s="2" t="s">
        <v>46</v>
      </c>
      <c r="C269" s="15" t="s">
        <v>2963</v>
      </c>
      <c r="D269" s="46" t="n">
        <v>2662</v>
      </c>
      <c r="E269" s="2" t="s">
        <v>825</v>
      </c>
      <c r="F269" s="47" t="n">
        <v>10.9192336589031</v>
      </c>
      <c r="G269" s="31" t="n">
        <v>95.9</v>
      </c>
      <c r="H269" s="48" t="n">
        <v>0.26882745471878</v>
      </c>
      <c r="I269" s="31" t="n">
        <v>100</v>
      </c>
      <c r="J269" s="2" t="s">
        <v>2905</v>
      </c>
      <c r="K269" s="38"/>
      <c r="L269" s="31"/>
      <c r="M269" s="39" t="s">
        <v>832</v>
      </c>
      <c r="N269" s="2" t="s">
        <v>19</v>
      </c>
      <c r="O269" s="2" t="s">
        <v>19</v>
      </c>
      <c r="P269" s="2" t="s">
        <v>19</v>
      </c>
      <c r="Q269" s="2"/>
    </row>
    <row r="270" customFormat="false" ht="15" hidden="false" customHeight="false" outlineLevel="0" collapsed="false">
      <c r="A270" s="2" t="s">
        <v>2961</v>
      </c>
      <c r="B270" s="2" t="s">
        <v>47</v>
      </c>
      <c r="C270" s="16"/>
      <c r="D270" s="35"/>
      <c r="E270" s="2"/>
      <c r="F270" s="36"/>
      <c r="G270" s="31"/>
      <c r="H270" s="37"/>
      <c r="I270" s="31"/>
      <c r="J270" s="2"/>
      <c r="K270" s="38"/>
      <c r="L270" s="31"/>
      <c r="M270" s="39" t="s">
        <v>832</v>
      </c>
      <c r="N270" s="2"/>
      <c r="O270" s="2"/>
      <c r="P270" s="2"/>
      <c r="Q270" s="2"/>
    </row>
    <row r="271" customFormat="false" ht="15" hidden="false" customHeight="false" outlineLevel="0" collapsed="false">
      <c r="A271" s="2" t="s">
        <v>456</v>
      </c>
      <c r="B271" s="2" t="s">
        <v>45</v>
      </c>
      <c r="C271" s="13" t="s">
        <v>1358</v>
      </c>
      <c r="D271" s="29" t="n">
        <v>41320</v>
      </c>
      <c r="E271" s="2" t="s">
        <v>821</v>
      </c>
      <c r="F271" s="30" t="n">
        <v>0.44622458857696</v>
      </c>
      <c r="G271" s="31" t="n">
        <v>34</v>
      </c>
      <c r="H271" s="32" t="n">
        <v>0.0260740004966476</v>
      </c>
      <c r="I271" s="31" t="n">
        <v>15.8</v>
      </c>
      <c r="J271" s="2" t="s">
        <v>2883</v>
      </c>
      <c r="K271" s="33" t="n">
        <v>0.113417346182357</v>
      </c>
      <c r="L271" s="31" t="n">
        <v>41</v>
      </c>
      <c r="M271" s="34" t="s">
        <v>822</v>
      </c>
      <c r="N271" s="2" t="s">
        <v>24</v>
      </c>
      <c r="O271" s="2" t="s">
        <v>24</v>
      </c>
      <c r="P271" s="2" t="s">
        <v>24</v>
      </c>
      <c r="Q271" s="2" t="s">
        <v>24</v>
      </c>
    </row>
    <row r="272" customFormat="false" ht="15" hidden="false" customHeight="false" outlineLevel="0" collapsed="false">
      <c r="A272" s="2" t="s">
        <v>456</v>
      </c>
      <c r="B272" s="2" t="s">
        <v>46</v>
      </c>
      <c r="C272" s="13" t="s">
        <v>2056</v>
      </c>
      <c r="D272" s="29" t="n">
        <v>26410</v>
      </c>
      <c r="E272" s="2" t="s">
        <v>821</v>
      </c>
      <c r="F272" s="30" t="n">
        <v>1.81385838697463</v>
      </c>
      <c r="G272" s="31" t="n">
        <v>24</v>
      </c>
      <c r="H272" s="32" t="n">
        <v>-0.0877374784110536</v>
      </c>
      <c r="I272" s="31" t="n">
        <v>2.2</v>
      </c>
      <c r="J272" s="2" t="s">
        <v>2884</v>
      </c>
      <c r="K272" s="33" t="n">
        <v>0.0365031388049291</v>
      </c>
      <c r="L272" s="31" t="n">
        <v>7.7</v>
      </c>
      <c r="M272" s="34" t="s">
        <v>822</v>
      </c>
      <c r="N272" s="2" t="s">
        <v>24</v>
      </c>
      <c r="O272" s="2" t="s">
        <v>24</v>
      </c>
      <c r="P272" s="2" t="s">
        <v>24</v>
      </c>
      <c r="Q272" s="2" t="s">
        <v>24</v>
      </c>
    </row>
    <row r="273" customFormat="false" ht="15" hidden="false" customHeight="false" outlineLevel="0" collapsed="false">
      <c r="A273" s="2" t="s">
        <v>456</v>
      </c>
      <c r="B273" s="2" t="s">
        <v>47</v>
      </c>
      <c r="C273" s="14" t="s">
        <v>2231</v>
      </c>
      <c r="D273" s="42" t="n">
        <v>13935</v>
      </c>
      <c r="E273" s="2" t="s">
        <v>821</v>
      </c>
      <c r="F273" s="43" t="n">
        <v>4.74094007893793</v>
      </c>
      <c r="G273" s="31" t="n">
        <v>97.2</v>
      </c>
      <c r="H273" s="41" t="n">
        <v>0.0868886982294673</v>
      </c>
      <c r="I273" s="31" t="n">
        <v>45.8</v>
      </c>
      <c r="J273" s="2" t="s">
        <v>2886</v>
      </c>
      <c r="K273" s="44" t="n">
        <v>0.0217489805165383</v>
      </c>
      <c r="L273" s="31" t="n">
        <v>14.5</v>
      </c>
      <c r="M273" s="34" t="s">
        <v>822</v>
      </c>
      <c r="N273" s="2" t="s">
        <v>22</v>
      </c>
      <c r="O273" s="2" t="s">
        <v>22</v>
      </c>
      <c r="P273" s="2" t="s">
        <v>22</v>
      </c>
      <c r="Q273" s="2" t="s">
        <v>22</v>
      </c>
    </row>
    <row r="274" customFormat="false" ht="15" hidden="false" customHeight="false" outlineLevel="0" collapsed="false">
      <c r="A274" s="2" t="s">
        <v>1374</v>
      </c>
      <c r="B274" s="2" t="s">
        <v>45</v>
      </c>
      <c r="C274" s="13" t="s">
        <v>1375</v>
      </c>
      <c r="D274" s="29" t="n">
        <v>9240</v>
      </c>
      <c r="E274" s="2" t="s">
        <v>825</v>
      </c>
      <c r="F274" s="30" t="n">
        <v>0.431818181818182</v>
      </c>
      <c r="G274" s="31" t="n">
        <v>32.3</v>
      </c>
      <c r="H274" s="32" t="n">
        <v>0.124087591240876</v>
      </c>
      <c r="I274" s="31" t="n">
        <v>64.8</v>
      </c>
      <c r="J274" s="2" t="s">
        <v>2899</v>
      </c>
      <c r="K274" s="33" t="n">
        <v>0.0588235294117647</v>
      </c>
      <c r="L274" s="31" t="n">
        <v>19.6</v>
      </c>
      <c r="M274" s="34" t="s">
        <v>822</v>
      </c>
      <c r="N274" s="2" t="s">
        <v>24</v>
      </c>
      <c r="O274" s="2" t="s">
        <v>24</v>
      </c>
      <c r="P274" s="2" t="s">
        <v>24</v>
      </c>
      <c r="Q274" s="2" t="s">
        <v>24</v>
      </c>
    </row>
    <row r="275" customFormat="false" ht="15" hidden="false" customHeight="false" outlineLevel="0" collapsed="false">
      <c r="A275" s="2" t="s">
        <v>1374</v>
      </c>
      <c r="B275" s="2" t="s">
        <v>46</v>
      </c>
      <c r="C275" s="13" t="s">
        <v>2964</v>
      </c>
      <c r="D275" s="29" t="n">
        <v>4910</v>
      </c>
      <c r="E275" s="2" t="s">
        <v>825</v>
      </c>
      <c r="F275" s="30" t="n">
        <v>3.9877800407332</v>
      </c>
      <c r="G275" s="31" t="n">
        <v>63.7</v>
      </c>
      <c r="H275" s="48" t="n">
        <v>-0.0268358643644685</v>
      </c>
      <c r="I275" s="31" t="n">
        <v>1.9</v>
      </c>
      <c r="J275" s="2" t="s">
        <v>2905</v>
      </c>
      <c r="K275" s="38"/>
      <c r="L275" s="31"/>
      <c r="M275" s="39" t="s">
        <v>832</v>
      </c>
      <c r="N275" s="2" t="s">
        <v>24</v>
      </c>
      <c r="O275" s="2" t="s">
        <v>24</v>
      </c>
      <c r="P275" s="2" t="s">
        <v>19</v>
      </c>
      <c r="Q275" s="2"/>
    </row>
    <row r="276" customFormat="false" ht="15" hidden="false" customHeight="false" outlineLevel="0" collapsed="false">
      <c r="A276" s="2" t="s">
        <v>1374</v>
      </c>
      <c r="B276" s="2" t="s">
        <v>47</v>
      </c>
      <c r="C276" s="14" t="s">
        <v>2858</v>
      </c>
      <c r="D276" s="42" t="n">
        <v>28985</v>
      </c>
      <c r="E276" s="2" t="s">
        <v>821</v>
      </c>
      <c r="F276" s="43" t="n">
        <v>0.282594445402795</v>
      </c>
      <c r="G276" s="31" t="n">
        <v>2.6</v>
      </c>
      <c r="H276" s="41" t="n">
        <v>0.021173900789177</v>
      </c>
      <c r="I276" s="31" t="n">
        <v>16.6</v>
      </c>
      <c r="J276" s="2" t="s">
        <v>2886</v>
      </c>
      <c r="K276" s="44" t="n">
        <v>0.234104046242775</v>
      </c>
      <c r="L276" s="31" t="n">
        <v>90.9</v>
      </c>
      <c r="M276" s="34" t="s">
        <v>822</v>
      </c>
      <c r="N276" s="2" t="s">
        <v>22</v>
      </c>
      <c r="O276" s="2" t="s">
        <v>22</v>
      </c>
      <c r="P276" s="2" t="s">
        <v>22</v>
      </c>
      <c r="Q276" s="2" t="s">
        <v>22</v>
      </c>
    </row>
    <row r="277" customFormat="false" ht="15" hidden="false" customHeight="false" outlineLevel="0" collapsed="false">
      <c r="A277" s="2" t="s">
        <v>834</v>
      </c>
      <c r="B277" s="2" t="s">
        <v>45</v>
      </c>
      <c r="C277" s="13" t="s">
        <v>835</v>
      </c>
      <c r="D277" s="29" t="n">
        <v>174450</v>
      </c>
      <c r="E277" s="2" t="s">
        <v>827</v>
      </c>
      <c r="F277" s="30" t="n">
        <v>2.70635712238464</v>
      </c>
      <c r="G277" s="31" t="n">
        <v>98.9</v>
      </c>
      <c r="H277" s="32" t="n">
        <v>0.209861987655177</v>
      </c>
      <c r="I277" s="31" t="n">
        <v>95.7</v>
      </c>
      <c r="J277" s="2" t="s">
        <v>2890</v>
      </c>
      <c r="K277" s="33" t="n">
        <v>0.0898027898027898</v>
      </c>
      <c r="L277" s="31" t="n">
        <v>31.9</v>
      </c>
      <c r="M277" s="34" t="s">
        <v>822</v>
      </c>
      <c r="N277" s="2" t="s">
        <v>24</v>
      </c>
      <c r="O277" s="2" t="s">
        <v>24</v>
      </c>
      <c r="P277" s="2" t="s">
        <v>24</v>
      </c>
      <c r="Q277" s="2" t="s">
        <v>24</v>
      </c>
    </row>
    <row r="278" customFormat="false" ht="15" hidden="false" customHeight="false" outlineLevel="0" collapsed="false">
      <c r="A278" s="2" t="s">
        <v>834</v>
      </c>
      <c r="B278" s="2" t="s">
        <v>46</v>
      </c>
      <c r="C278" s="13" t="s">
        <v>2965</v>
      </c>
      <c r="D278" s="29" t="n">
        <v>116990</v>
      </c>
      <c r="E278" s="2" t="s">
        <v>827</v>
      </c>
      <c r="F278" s="36"/>
      <c r="G278" s="31"/>
      <c r="H278" s="37"/>
      <c r="I278" s="31"/>
      <c r="J278" s="2"/>
      <c r="K278" s="38"/>
      <c r="L278" s="31"/>
      <c r="M278" s="39" t="s">
        <v>832</v>
      </c>
      <c r="N278" s="2" t="s">
        <v>24</v>
      </c>
      <c r="O278" s="2"/>
      <c r="P278" s="2"/>
      <c r="Q278" s="2"/>
    </row>
    <row r="279" customFormat="false" ht="15" hidden="false" customHeight="false" outlineLevel="0" collapsed="false">
      <c r="A279" s="2" t="s">
        <v>834</v>
      </c>
      <c r="B279" s="2" t="s">
        <v>47</v>
      </c>
      <c r="C279" s="14" t="s">
        <v>2704</v>
      </c>
      <c r="D279" s="42" t="n">
        <v>57055</v>
      </c>
      <c r="E279" s="2" t="s">
        <v>821</v>
      </c>
      <c r="F279" s="43" t="n">
        <v>0.74599947419157</v>
      </c>
      <c r="G279" s="31" t="n">
        <v>24.9</v>
      </c>
      <c r="H279" s="41" t="n">
        <v>0.0440837389744904</v>
      </c>
      <c r="I279" s="31" t="n">
        <v>25.6</v>
      </c>
      <c r="J279" s="2" t="s">
        <v>2886</v>
      </c>
      <c r="K279" s="44" t="n">
        <v>0.317445838084379</v>
      </c>
      <c r="L279" s="31" t="n">
        <v>97</v>
      </c>
      <c r="M279" s="34" t="s">
        <v>822</v>
      </c>
      <c r="N279" s="2" t="s">
        <v>22</v>
      </c>
      <c r="O279" s="2" t="s">
        <v>22</v>
      </c>
      <c r="P279" s="2" t="s">
        <v>22</v>
      </c>
      <c r="Q279" s="2" t="s">
        <v>22</v>
      </c>
    </row>
    <row r="280" customFormat="false" ht="15" hidden="false" customHeight="false" outlineLevel="0" collapsed="false">
      <c r="A280" s="2" t="s">
        <v>2966</v>
      </c>
      <c r="B280" s="2" t="s">
        <v>45</v>
      </c>
      <c r="C280" s="13" t="s">
        <v>2967</v>
      </c>
      <c r="D280" s="35"/>
      <c r="E280" s="2"/>
      <c r="F280" s="36"/>
      <c r="G280" s="31"/>
      <c r="H280" s="37"/>
      <c r="I280" s="31"/>
      <c r="J280" s="2"/>
      <c r="K280" s="33" t="n">
        <v>0.0430622009569378</v>
      </c>
      <c r="L280" s="31" t="n">
        <v>13.3</v>
      </c>
      <c r="M280" s="39" t="s">
        <v>832</v>
      </c>
      <c r="N280" s="2"/>
      <c r="O280" s="2"/>
      <c r="P280" s="2"/>
      <c r="Q280" s="2" t="s">
        <v>24</v>
      </c>
    </row>
    <row r="281" customFormat="false" ht="15" hidden="false" customHeight="false" outlineLevel="0" collapsed="false">
      <c r="A281" s="2" t="s">
        <v>129</v>
      </c>
      <c r="B281" s="2" t="s">
        <v>47</v>
      </c>
      <c r="C281" s="14" t="s">
        <v>2299</v>
      </c>
      <c r="D281" s="42" t="n">
        <v>53974</v>
      </c>
      <c r="E281" s="2" t="s">
        <v>821</v>
      </c>
      <c r="F281" s="43" t="n">
        <v>2.7624226479416</v>
      </c>
      <c r="G281" s="31" t="n">
        <v>87.7</v>
      </c>
      <c r="H281" s="41" t="n">
        <v>0.0862145300865365</v>
      </c>
      <c r="I281" s="31" t="n">
        <v>44.5</v>
      </c>
      <c r="J281" s="2" t="s">
        <v>2886</v>
      </c>
      <c r="K281" s="44" t="n">
        <v>0.199606040709127</v>
      </c>
      <c r="L281" s="31" t="n">
        <v>85.1</v>
      </c>
      <c r="M281" s="34" t="s">
        <v>822</v>
      </c>
      <c r="N281" s="2" t="s">
        <v>22</v>
      </c>
      <c r="O281" s="2" t="s">
        <v>22</v>
      </c>
      <c r="P281" s="2" t="s">
        <v>22</v>
      </c>
      <c r="Q281" s="2" t="s">
        <v>22</v>
      </c>
    </row>
    <row r="282" customFormat="false" ht="15" hidden="false" customHeight="false" outlineLevel="0" collapsed="false">
      <c r="A282" s="2" t="s">
        <v>798</v>
      </c>
      <c r="B282" s="2" t="s">
        <v>45</v>
      </c>
      <c r="C282" s="13" t="s">
        <v>1523</v>
      </c>
      <c r="D282" s="29" t="n">
        <v>36450</v>
      </c>
      <c r="E282" s="2" t="s">
        <v>821</v>
      </c>
      <c r="F282" s="30" t="n">
        <v>0.223429355281207</v>
      </c>
      <c r="G282" s="31" t="n">
        <v>10.4</v>
      </c>
      <c r="H282" s="32" t="n">
        <v>0.0969003912127596</v>
      </c>
      <c r="I282" s="31" t="n">
        <v>49.5</v>
      </c>
      <c r="J282" s="2" t="s">
        <v>2883</v>
      </c>
      <c r="K282" s="40" t="s">
        <v>857</v>
      </c>
      <c r="L282" s="31"/>
      <c r="M282" s="34" t="s">
        <v>822</v>
      </c>
      <c r="N282" s="2" t="s">
        <v>24</v>
      </c>
      <c r="O282" s="2" t="s">
        <v>24</v>
      </c>
      <c r="P282" s="2" t="s">
        <v>24</v>
      </c>
      <c r="Q282" s="2" t="s">
        <v>2885</v>
      </c>
    </row>
    <row r="283" customFormat="false" ht="15" hidden="false" customHeight="false" outlineLevel="0" collapsed="false">
      <c r="A283" s="2" t="s">
        <v>2446</v>
      </c>
      <c r="B283" s="2" t="s">
        <v>45</v>
      </c>
      <c r="C283" s="13" t="s">
        <v>2968</v>
      </c>
      <c r="D283" s="29" t="n">
        <v>10490</v>
      </c>
      <c r="E283" s="2" t="s">
        <v>821</v>
      </c>
      <c r="F283" s="30" t="n">
        <v>0.0895138226882745</v>
      </c>
      <c r="G283" s="31" t="n">
        <v>1.1</v>
      </c>
      <c r="H283" s="32" t="n">
        <v>0.0521564694082247</v>
      </c>
      <c r="I283" s="31" t="n">
        <v>28.5</v>
      </c>
      <c r="J283" s="2" t="s">
        <v>2883</v>
      </c>
      <c r="K283" s="38"/>
      <c r="L283" s="31"/>
      <c r="M283" s="39" t="s">
        <v>832</v>
      </c>
      <c r="N283" s="2" t="s">
        <v>24</v>
      </c>
      <c r="O283" s="2" t="s">
        <v>24</v>
      </c>
      <c r="P283" s="2" t="s">
        <v>24</v>
      </c>
      <c r="Q283" s="2"/>
    </row>
    <row r="284" customFormat="false" ht="15" hidden="false" customHeight="false" outlineLevel="0" collapsed="false">
      <c r="A284" s="2" t="s">
        <v>2446</v>
      </c>
      <c r="B284" s="2" t="s">
        <v>46</v>
      </c>
      <c r="C284" s="15" t="s">
        <v>2969</v>
      </c>
      <c r="D284" s="35"/>
      <c r="E284" s="2"/>
      <c r="F284" s="36"/>
      <c r="G284" s="31"/>
      <c r="H284" s="37"/>
      <c r="I284" s="31"/>
      <c r="J284" s="2"/>
      <c r="K284" s="38"/>
      <c r="L284" s="31"/>
      <c r="M284" s="39" t="s">
        <v>832</v>
      </c>
      <c r="N284" s="2"/>
      <c r="O284" s="2"/>
      <c r="P284" s="2"/>
      <c r="Q284" s="2"/>
    </row>
    <row r="285" customFormat="false" ht="15" hidden="false" customHeight="false" outlineLevel="0" collapsed="false">
      <c r="A285" s="2" t="s">
        <v>2446</v>
      </c>
      <c r="B285" s="2" t="s">
        <v>47</v>
      </c>
      <c r="C285" s="13" t="s">
        <v>2447</v>
      </c>
      <c r="D285" s="29" t="n">
        <v>100730</v>
      </c>
      <c r="E285" s="2" t="s">
        <v>827</v>
      </c>
      <c r="F285" s="30" t="n">
        <v>1.61266752705252</v>
      </c>
      <c r="G285" s="31" t="n">
        <v>63.8</v>
      </c>
      <c r="H285" s="32" t="n">
        <v>0.0532204098703471</v>
      </c>
      <c r="I285" s="31" t="n">
        <v>34.2</v>
      </c>
      <c r="J285" s="2" t="s">
        <v>2897</v>
      </c>
      <c r="K285" s="33" t="n">
        <v>0.115388003170968</v>
      </c>
      <c r="L285" s="31" t="n">
        <v>64.5</v>
      </c>
      <c r="M285" s="34" t="s">
        <v>822</v>
      </c>
      <c r="N285" s="2" t="s">
        <v>24</v>
      </c>
      <c r="O285" s="2" t="s">
        <v>24</v>
      </c>
      <c r="P285" s="2" t="s">
        <v>24</v>
      </c>
      <c r="Q285" s="2" t="s">
        <v>24</v>
      </c>
    </row>
    <row r="286" customFormat="false" ht="15" hidden="false" customHeight="false" outlineLevel="0" collapsed="false">
      <c r="A286" s="2" t="s">
        <v>394</v>
      </c>
      <c r="B286" s="2" t="s">
        <v>45</v>
      </c>
      <c r="C286" s="13" t="s">
        <v>1455</v>
      </c>
      <c r="D286" s="29" t="n">
        <v>16700</v>
      </c>
      <c r="E286" s="2" t="s">
        <v>821</v>
      </c>
      <c r="F286" s="43" t="n">
        <v>0.317555422408628</v>
      </c>
      <c r="G286" s="31" t="n">
        <v>19.7</v>
      </c>
      <c r="H286" s="32" t="n">
        <v>0.214545454545455</v>
      </c>
      <c r="I286" s="31" t="n">
        <v>94.2</v>
      </c>
      <c r="J286" s="2" t="s">
        <v>2883</v>
      </c>
      <c r="K286" s="33" t="n">
        <v>0.121739130434783</v>
      </c>
      <c r="L286" s="31" t="n">
        <v>45.5</v>
      </c>
      <c r="M286" s="34" t="s">
        <v>822</v>
      </c>
      <c r="N286" s="2" t="s">
        <v>24</v>
      </c>
      <c r="O286" s="2" t="s">
        <v>22</v>
      </c>
      <c r="P286" s="2" t="s">
        <v>24</v>
      </c>
      <c r="Q286" s="2" t="s">
        <v>24</v>
      </c>
    </row>
    <row r="287" customFormat="false" ht="15" hidden="false" customHeight="false" outlineLevel="0" collapsed="false">
      <c r="A287" s="2" t="s">
        <v>394</v>
      </c>
      <c r="B287" s="2" t="s">
        <v>46</v>
      </c>
      <c r="C287" s="13" t="s">
        <v>1855</v>
      </c>
      <c r="D287" s="29" t="n">
        <v>82620</v>
      </c>
      <c r="E287" s="2" t="s">
        <v>821</v>
      </c>
      <c r="F287" s="30" t="n">
        <v>3.5219922536916</v>
      </c>
      <c r="G287" s="31" t="n">
        <v>56.8</v>
      </c>
      <c r="H287" s="32" t="n">
        <v>0.157791479820628</v>
      </c>
      <c r="I287" s="31" t="n">
        <v>82.9</v>
      </c>
      <c r="J287" s="2" t="s">
        <v>2884</v>
      </c>
      <c r="K287" s="33" t="n">
        <v>0.0599198057265488</v>
      </c>
      <c r="L287" s="31" t="n">
        <v>15.9</v>
      </c>
      <c r="M287" s="34" t="s">
        <v>822</v>
      </c>
      <c r="N287" s="2" t="s">
        <v>24</v>
      </c>
      <c r="O287" s="2" t="s">
        <v>24</v>
      </c>
      <c r="P287" s="2" t="s">
        <v>24</v>
      </c>
      <c r="Q287" s="2" t="s">
        <v>24</v>
      </c>
    </row>
    <row r="288" customFormat="false" ht="15" hidden="false" customHeight="false" outlineLevel="0" collapsed="false">
      <c r="A288" s="2" t="s">
        <v>394</v>
      </c>
      <c r="B288" s="2" t="s">
        <v>47</v>
      </c>
      <c r="C288" s="14" t="s">
        <v>2282</v>
      </c>
      <c r="D288" s="42" t="n">
        <v>90879</v>
      </c>
      <c r="E288" s="2" t="s">
        <v>821</v>
      </c>
      <c r="F288" s="43" t="n">
        <v>3.17107362537</v>
      </c>
      <c r="G288" s="31" t="n">
        <v>90.3</v>
      </c>
      <c r="H288" s="41" t="n">
        <v>0.124517422292615</v>
      </c>
      <c r="I288" s="31" t="n">
        <v>64</v>
      </c>
      <c r="J288" s="2" t="s">
        <v>2886</v>
      </c>
      <c r="K288" s="44" t="n">
        <v>0.0499606771803469</v>
      </c>
      <c r="L288" s="31" t="n">
        <v>32.1</v>
      </c>
      <c r="M288" s="34" t="s">
        <v>822</v>
      </c>
      <c r="N288" s="2" t="s">
        <v>22</v>
      </c>
      <c r="O288" s="2" t="s">
        <v>22</v>
      </c>
      <c r="P288" s="2" t="s">
        <v>22</v>
      </c>
      <c r="Q288" s="2" t="s">
        <v>22</v>
      </c>
    </row>
    <row r="289" customFormat="false" ht="15" hidden="false" customHeight="false" outlineLevel="0" collapsed="false">
      <c r="A289" s="2" t="s">
        <v>1496</v>
      </c>
      <c r="B289" s="2" t="s">
        <v>45</v>
      </c>
      <c r="C289" s="13" t="s">
        <v>1497</v>
      </c>
      <c r="D289" s="29" t="n">
        <v>27100</v>
      </c>
      <c r="E289" s="2" t="s">
        <v>821</v>
      </c>
      <c r="F289" s="30" t="n">
        <v>0.256273062730627</v>
      </c>
      <c r="G289" s="31" t="n">
        <v>13.6</v>
      </c>
      <c r="H289" s="41" t="n">
        <v>-0.00535714285714286</v>
      </c>
      <c r="I289" s="31" t="n">
        <v>8.9</v>
      </c>
      <c r="J289" s="2" t="s">
        <v>2883</v>
      </c>
      <c r="K289" s="33" t="n">
        <v>0.200564971751412</v>
      </c>
      <c r="L289" s="31" t="n">
        <v>73.7</v>
      </c>
      <c r="M289" s="34" t="s">
        <v>822</v>
      </c>
      <c r="N289" s="2" t="s">
        <v>24</v>
      </c>
      <c r="O289" s="2" t="s">
        <v>24</v>
      </c>
      <c r="P289" s="2" t="s">
        <v>22</v>
      </c>
      <c r="Q289" s="2" t="s">
        <v>24</v>
      </c>
    </row>
    <row r="290" customFormat="false" ht="15" hidden="false" customHeight="false" outlineLevel="0" collapsed="false">
      <c r="A290" s="2" t="s">
        <v>1496</v>
      </c>
      <c r="B290" s="2" t="s">
        <v>46</v>
      </c>
      <c r="C290" s="13" t="s">
        <v>2970</v>
      </c>
      <c r="D290" s="46" t="n">
        <v>1807241</v>
      </c>
      <c r="E290" s="2" t="s">
        <v>935</v>
      </c>
      <c r="F290" s="47" t="n">
        <v>2.60257154413828</v>
      </c>
      <c r="G290" s="31" t="n">
        <v>40.1</v>
      </c>
      <c r="H290" s="48" t="n">
        <v>0.102549679802971</v>
      </c>
      <c r="I290" s="31" t="n">
        <v>33.3</v>
      </c>
      <c r="J290" s="2" t="s">
        <v>2906</v>
      </c>
      <c r="K290" s="38"/>
      <c r="L290" s="31"/>
      <c r="M290" s="39" t="s">
        <v>832</v>
      </c>
      <c r="N290" s="2" t="s">
        <v>19</v>
      </c>
      <c r="O290" s="2" t="s">
        <v>19</v>
      </c>
      <c r="P290" s="2" t="s">
        <v>19</v>
      </c>
      <c r="Q290" s="2"/>
    </row>
    <row r="291" customFormat="false" ht="15" hidden="false" customHeight="false" outlineLevel="0" collapsed="false">
      <c r="A291" s="2" t="s">
        <v>1496</v>
      </c>
      <c r="B291" s="2" t="s">
        <v>47</v>
      </c>
      <c r="C291" s="16"/>
      <c r="D291" s="35"/>
      <c r="E291" s="2"/>
      <c r="F291" s="36"/>
      <c r="G291" s="31"/>
      <c r="H291" s="37"/>
      <c r="I291" s="31"/>
      <c r="J291" s="2"/>
      <c r="K291" s="38"/>
      <c r="L291" s="31"/>
      <c r="M291" s="39" t="s">
        <v>832</v>
      </c>
      <c r="N291" s="2"/>
      <c r="O291" s="2"/>
      <c r="P291" s="2"/>
      <c r="Q291" s="2"/>
    </row>
    <row r="292" customFormat="false" ht="15" hidden="false" customHeight="false" outlineLevel="0" collapsed="false">
      <c r="A292" s="2" t="s">
        <v>2790</v>
      </c>
      <c r="B292" s="2" t="s">
        <v>46</v>
      </c>
      <c r="C292" s="16"/>
      <c r="D292" s="29" t="n">
        <v>16820</v>
      </c>
      <c r="E292" s="2" t="s">
        <v>821</v>
      </c>
      <c r="F292" s="30" t="n">
        <v>2.25231866825208</v>
      </c>
      <c r="G292" s="31" t="n">
        <v>32</v>
      </c>
      <c r="H292" s="32" t="n">
        <v>0.084461637653127</v>
      </c>
      <c r="I292" s="31" t="n">
        <v>50.5</v>
      </c>
      <c r="J292" s="2" t="s">
        <v>2884</v>
      </c>
      <c r="K292" s="33" t="n">
        <v>0.282945736434109</v>
      </c>
      <c r="L292" s="31" t="n">
        <v>86.3</v>
      </c>
      <c r="M292" s="39" t="s">
        <v>832</v>
      </c>
      <c r="N292" s="2" t="s">
        <v>24</v>
      </c>
      <c r="O292" s="2" t="s">
        <v>24</v>
      </c>
      <c r="P292" s="2" t="s">
        <v>24</v>
      </c>
      <c r="Q292" s="2" t="s">
        <v>24</v>
      </c>
    </row>
    <row r="293" customFormat="false" ht="15" hidden="false" customHeight="false" outlineLevel="0" collapsed="false">
      <c r="A293" s="2" t="s">
        <v>2790</v>
      </c>
      <c r="B293" s="2" t="s">
        <v>47</v>
      </c>
      <c r="C293" s="14" t="s">
        <v>2791</v>
      </c>
      <c r="D293" s="42" t="n">
        <v>26753</v>
      </c>
      <c r="E293" s="2" t="s">
        <v>821</v>
      </c>
      <c r="F293" s="43" t="n">
        <v>0.498822561955669</v>
      </c>
      <c r="G293" s="31" t="n">
        <v>13.2</v>
      </c>
      <c r="H293" s="41" t="n">
        <v>0.0399611273080661</v>
      </c>
      <c r="I293" s="31" t="n">
        <v>23.7</v>
      </c>
      <c r="J293" s="2" t="s">
        <v>2886</v>
      </c>
      <c r="K293" s="44" t="n">
        <v>0.030622009569378</v>
      </c>
      <c r="L293" s="31" t="n">
        <v>19.5</v>
      </c>
      <c r="M293" s="34" t="s">
        <v>822</v>
      </c>
      <c r="N293" s="2" t="s">
        <v>22</v>
      </c>
      <c r="O293" s="2" t="s">
        <v>22</v>
      </c>
      <c r="P293" s="2" t="s">
        <v>22</v>
      </c>
      <c r="Q293" s="2" t="s">
        <v>22</v>
      </c>
    </row>
    <row r="294" customFormat="false" ht="15" hidden="false" customHeight="false" outlineLevel="0" collapsed="false">
      <c r="A294" s="2" t="s">
        <v>885</v>
      </c>
      <c r="B294" s="2" t="s">
        <v>45</v>
      </c>
      <c r="C294" s="13" t="s">
        <v>886</v>
      </c>
      <c r="D294" s="29" t="n">
        <v>21650</v>
      </c>
      <c r="E294" s="2" t="s">
        <v>821</v>
      </c>
      <c r="F294" s="30" t="n">
        <v>1.84628175519631</v>
      </c>
      <c r="G294" s="31" t="n">
        <v>93.8</v>
      </c>
      <c r="H294" s="32" t="n">
        <v>0.181123840698309</v>
      </c>
      <c r="I294" s="31" t="n">
        <v>87.3</v>
      </c>
      <c r="J294" s="2" t="s">
        <v>2883</v>
      </c>
      <c r="K294" s="33" t="n">
        <v>0.0856353591160221</v>
      </c>
      <c r="L294" s="31" t="n">
        <v>29.4</v>
      </c>
      <c r="M294" s="34" t="s">
        <v>822</v>
      </c>
      <c r="N294" s="2" t="s">
        <v>24</v>
      </c>
      <c r="O294" s="2" t="s">
        <v>24</v>
      </c>
      <c r="P294" s="2" t="s">
        <v>24</v>
      </c>
      <c r="Q294" s="2" t="s">
        <v>24</v>
      </c>
    </row>
    <row r="295" customFormat="false" ht="15" hidden="false" customHeight="false" outlineLevel="0" collapsed="false">
      <c r="A295" s="2" t="s">
        <v>885</v>
      </c>
      <c r="B295" s="2" t="s">
        <v>46</v>
      </c>
      <c r="C295" s="16"/>
      <c r="D295" s="35"/>
      <c r="E295" s="2"/>
      <c r="F295" s="36"/>
      <c r="G295" s="31"/>
      <c r="H295" s="37"/>
      <c r="I295" s="31"/>
      <c r="J295" s="2"/>
      <c r="K295" s="38"/>
      <c r="L295" s="31"/>
      <c r="M295" s="39" t="s">
        <v>832</v>
      </c>
      <c r="N295" s="2"/>
      <c r="O295" s="2"/>
      <c r="P295" s="2"/>
      <c r="Q295" s="2"/>
    </row>
    <row r="296" customFormat="false" ht="15" hidden="false" customHeight="false" outlineLevel="0" collapsed="false">
      <c r="A296" s="2" t="s">
        <v>885</v>
      </c>
      <c r="B296" s="2" t="s">
        <v>47</v>
      </c>
      <c r="C296" s="13" t="s">
        <v>2388</v>
      </c>
      <c r="D296" s="29" t="n">
        <v>39760</v>
      </c>
      <c r="E296" s="2" t="s">
        <v>821</v>
      </c>
      <c r="F296" s="30" t="n">
        <v>1.86109154929578</v>
      </c>
      <c r="G296" s="31" t="n">
        <v>72.5</v>
      </c>
      <c r="H296" s="32" t="n">
        <v>0.14318573893042</v>
      </c>
      <c r="I296" s="31" t="n">
        <v>73.7</v>
      </c>
      <c r="J296" s="2" t="s">
        <v>2886</v>
      </c>
      <c r="K296" s="44" t="n">
        <v>0.470932020916641</v>
      </c>
      <c r="L296" s="31" t="n">
        <v>99.6</v>
      </c>
      <c r="M296" s="34" t="s">
        <v>822</v>
      </c>
      <c r="N296" s="2" t="s">
        <v>24</v>
      </c>
      <c r="O296" s="2" t="s">
        <v>24</v>
      </c>
      <c r="P296" s="2" t="s">
        <v>24</v>
      </c>
      <c r="Q296" s="2" t="s">
        <v>22</v>
      </c>
    </row>
    <row r="297" customFormat="false" ht="15" hidden="false" customHeight="false" outlineLevel="0" collapsed="false">
      <c r="A297" s="2" t="s">
        <v>2024</v>
      </c>
      <c r="B297" s="2" t="s">
        <v>45</v>
      </c>
      <c r="C297" s="13" t="s">
        <v>2971</v>
      </c>
      <c r="D297" s="29" t="n">
        <v>199080</v>
      </c>
      <c r="E297" s="2" t="s">
        <v>827</v>
      </c>
      <c r="F297" s="36"/>
      <c r="G297" s="31"/>
      <c r="H297" s="32" t="n">
        <v>0.114295309526475</v>
      </c>
      <c r="I297" s="31" t="n">
        <v>66.4</v>
      </c>
      <c r="J297" s="2" t="s">
        <v>2890</v>
      </c>
      <c r="K297" s="33" t="n">
        <v>0.16550742965539</v>
      </c>
      <c r="L297" s="31" t="n">
        <v>64.6</v>
      </c>
      <c r="M297" s="39" t="s">
        <v>832</v>
      </c>
      <c r="N297" s="2" t="s">
        <v>24</v>
      </c>
      <c r="O297" s="2"/>
      <c r="P297" s="2" t="s">
        <v>24</v>
      </c>
      <c r="Q297" s="2" t="s">
        <v>24</v>
      </c>
    </row>
    <row r="298" customFormat="false" ht="15" hidden="false" customHeight="false" outlineLevel="0" collapsed="false">
      <c r="A298" s="2" t="s">
        <v>2024</v>
      </c>
      <c r="B298" s="2" t="s">
        <v>46</v>
      </c>
      <c r="C298" s="13" t="s">
        <v>2025</v>
      </c>
      <c r="D298" s="29" t="n">
        <v>101890</v>
      </c>
      <c r="E298" s="2" t="s">
        <v>827</v>
      </c>
      <c r="F298" s="30" t="n">
        <v>2.104161350476</v>
      </c>
      <c r="G298" s="31" t="n">
        <v>29.7</v>
      </c>
      <c r="H298" s="32" t="n">
        <v>0.132111111111111</v>
      </c>
      <c r="I298" s="31" t="n">
        <v>76.4</v>
      </c>
      <c r="J298" s="2" t="s">
        <v>2888</v>
      </c>
      <c r="K298" s="33" t="n">
        <v>0.287613140072157</v>
      </c>
      <c r="L298" s="31" t="n">
        <v>87</v>
      </c>
      <c r="M298" s="34" t="s">
        <v>822</v>
      </c>
      <c r="N298" s="2" t="s">
        <v>24</v>
      </c>
      <c r="O298" s="2" t="s">
        <v>24</v>
      </c>
      <c r="P298" s="2" t="s">
        <v>24</v>
      </c>
      <c r="Q298" s="2" t="s">
        <v>24</v>
      </c>
    </row>
    <row r="299" customFormat="false" ht="15" hidden="false" customHeight="false" outlineLevel="0" collapsed="false">
      <c r="A299" s="2" t="s">
        <v>2024</v>
      </c>
      <c r="B299" s="2" t="s">
        <v>47</v>
      </c>
      <c r="C299" s="14" t="s">
        <v>2452</v>
      </c>
      <c r="D299" s="42" t="n">
        <v>146463</v>
      </c>
      <c r="E299" s="2" t="s">
        <v>827</v>
      </c>
      <c r="F299" s="43" t="n">
        <v>1.60407748031926</v>
      </c>
      <c r="G299" s="31" t="n">
        <v>63.3</v>
      </c>
      <c r="H299" s="41" t="n">
        <v>0.118029633361577</v>
      </c>
      <c r="I299" s="31" t="n">
        <v>68.9</v>
      </c>
      <c r="J299" s="2" t="s">
        <v>2897</v>
      </c>
      <c r="K299" s="44" t="n">
        <v>0.0786466502352678</v>
      </c>
      <c r="L299" s="31" t="n">
        <v>48.4</v>
      </c>
      <c r="M299" s="34" t="s">
        <v>822</v>
      </c>
      <c r="N299" s="2" t="s">
        <v>22</v>
      </c>
      <c r="O299" s="2" t="s">
        <v>22</v>
      </c>
      <c r="P299" s="2" t="s">
        <v>22</v>
      </c>
      <c r="Q299" s="2" t="s">
        <v>22</v>
      </c>
    </row>
    <row r="300" customFormat="false" ht="15" hidden="false" customHeight="false" outlineLevel="0" collapsed="false">
      <c r="A300" s="2" t="s">
        <v>422</v>
      </c>
      <c r="B300" s="2" t="s">
        <v>45</v>
      </c>
      <c r="C300" s="13" t="s">
        <v>1447</v>
      </c>
      <c r="D300" s="29" t="n">
        <v>78590</v>
      </c>
      <c r="E300" s="2" t="s">
        <v>821</v>
      </c>
      <c r="F300" s="30" t="n">
        <v>0.328349662806973</v>
      </c>
      <c r="G300" s="31" t="n">
        <v>20.8</v>
      </c>
      <c r="H300" s="32" t="n">
        <v>0.169668105372823</v>
      </c>
      <c r="I300" s="31" t="n">
        <v>82.5</v>
      </c>
      <c r="J300" s="2" t="s">
        <v>2883</v>
      </c>
      <c r="K300" s="33" t="n">
        <v>0.0896980461811723</v>
      </c>
      <c r="L300" s="31" t="n">
        <v>31.7</v>
      </c>
      <c r="M300" s="34" t="s">
        <v>822</v>
      </c>
      <c r="N300" s="2" t="s">
        <v>24</v>
      </c>
      <c r="O300" s="2" t="s">
        <v>24</v>
      </c>
      <c r="P300" s="2" t="s">
        <v>24</v>
      </c>
      <c r="Q300" s="2" t="s">
        <v>24</v>
      </c>
    </row>
    <row r="301" customFormat="false" ht="15" hidden="false" customHeight="false" outlineLevel="0" collapsed="false">
      <c r="A301" s="2" t="s">
        <v>422</v>
      </c>
      <c r="B301" s="2" t="s">
        <v>46</v>
      </c>
      <c r="C301" s="13" t="s">
        <v>1732</v>
      </c>
      <c r="D301" s="29" t="n">
        <v>97970</v>
      </c>
      <c r="E301" s="2" t="s">
        <v>821</v>
      </c>
      <c r="F301" s="30" t="n">
        <v>5.50824742268041</v>
      </c>
      <c r="G301" s="31" t="n">
        <v>76.2</v>
      </c>
      <c r="H301" s="32" t="n">
        <v>0.126480395538692</v>
      </c>
      <c r="I301" s="31" t="n">
        <v>71.6</v>
      </c>
      <c r="J301" s="2" t="s">
        <v>2884</v>
      </c>
      <c r="K301" s="44" t="n">
        <v>0.0768082565677243</v>
      </c>
      <c r="L301" s="31" t="n">
        <v>24.1</v>
      </c>
      <c r="M301" s="34" t="s">
        <v>822</v>
      </c>
      <c r="N301" s="2" t="s">
        <v>24</v>
      </c>
      <c r="O301" s="2" t="s">
        <v>24</v>
      </c>
      <c r="P301" s="2" t="s">
        <v>24</v>
      </c>
      <c r="Q301" s="2" t="s">
        <v>22</v>
      </c>
    </row>
    <row r="302" customFormat="false" ht="15" hidden="false" customHeight="false" outlineLevel="0" collapsed="false">
      <c r="A302" s="2" t="s">
        <v>422</v>
      </c>
      <c r="B302" s="2" t="s">
        <v>47</v>
      </c>
      <c r="C302" s="14" t="s">
        <v>2444</v>
      </c>
      <c r="D302" s="42" t="n">
        <v>22469</v>
      </c>
      <c r="E302" s="2" t="s">
        <v>821</v>
      </c>
      <c r="F302" s="43" t="n">
        <v>1.61858560683609</v>
      </c>
      <c r="G302" s="31" t="n">
        <v>64</v>
      </c>
      <c r="H302" s="41" t="n">
        <v>0.0691886747561266</v>
      </c>
      <c r="I302" s="31" t="n">
        <v>35.7</v>
      </c>
      <c r="J302" s="2" t="s">
        <v>2886</v>
      </c>
      <c r="K302" s="44" t="n">
        <v>0.0310483870967742</v>
      </c>
      <c r="L302" s="31" t="n">
        <v>20.1</v>
      </c>
      <c r="M302" s="34" t="s">
        <v>822</v>
      </c>
      <c r="N302" s="2" t="s">
        <v>22</v>
      </c>
      <c r="O302" s="2" t="s">
        <v>22</v>
      </c>
      <c r="P302" s="2" t="s">
        <v>22</v>
      </c>
      <c r="Q302" s="2" t="s">
        <v>22</v>
      </c>
    </row>
    <row r="303" customFormat="false" ht="15" hidden="false" customHeight="false" outlineLevel="0" collapsed="false">
      <c r="A303" s="2" t="s">
        <v>216</v>
      </c>
      <c r="B303" s="2" t="s">
        <v>47</v>
      </c>
      <c r="C303" s="13" t="s">
        <v>2385</v>
      </c>
      <c r="D303" s="29" t="n">
        <v>11480</v>
      </c>
      <c r="E303" s="2" t="s">
        <v>821</v>
      </c>
      <c r="F303" s="30" t="n">
        <v>1.8883275261324</v>
      </c>
      <c r="G303" s="31" t="n">
        <v>73.2</v>
      </c>
      <c r="H303" s="32" t="n">
        <v>0.262926292629263</v>
      </c>
      <c r="I303" s="31" t="n">
        <v>99.4</v>
      </c>
      <c r="J303" s="2" t="s">
        <v>2886</v>
      </c>
      <c r="K303" s="45" t="n">
        <v>0.0467289719626168</v>
      </c>
      <c r="L303" s="31" t="n">
        <v>30.6</v>
      </c>
      <c r="M303" s="34" t="s">
        <v>822</v>
      </c>
      <c r="N303" s="2" t="s">
        <v>24</v>
      </c>
      <c r="O303" s="2" t="s">
        <v>24</v>
      </c>
      <c r="P303" s="2" t="s">
        <v>24</v>
      </c>
      <c r="Q303" s="2" t="s">
        <v>19</v>
      </c>
    </row>
    <row r="304" customFormat="false" ht="15" hidden="false" customHeight="false" outlineLevel="0" collapsed="false">
      <c r="A304" s="2" t="s">
        <v>1486</v>
      </c>
      <c r="B304" s="2" t="s">
        <v>45</v>
      </c>
      <c r="C304" s="13" t="s">
        <v>1487</v>
      </c>
      <c r="D304" s="29" t="n">
        <v>106810</v>
      </c>
      <c r="E304" s="2" t="s">
        <v>827</v>
      </c>
      <c r="F304" s="30" t="n">
        <v>0.271912742252598</v>
      </c>
      <c r="G304" s="31" t="n">
        <v>14.4</v>
      </c>
      <c r="H304" s="32" t="n">
        <v>-0.0381809995497524</v>
      </c>
      <c r="I304" s="31" t="n">
        <v>6.4</v>
      </c>
      <c r="J304" s="2" t="s">
        <v>2890</v>
      </c>
      <c r="K304" s="33" t="n">
        <v>0.277894736842105</v>
      </c>
      <c r="L304" s="31" t="n">
        <v>86.9</v>
      </c>
      <c r="M304" s="34" t="s">
        <v>822</v>
      </c>
      <c r="N304" s="2" t="s">
        <v>24</v>
      </c>
      <c r="O304" s="2" t="s">
        <v>24</v>
      </c>
      <c r="P304" s="2" t="s">
        <v>24</v>
      </c>
      <c r="Q304" s="2" t="s">
        <v>24</v>
      </c>
    </row>
    <row r="305" customFormat="false" ht="15" hidden="false" customHeight="false" outlineLevel="0" collapsed="false">
      <c r="A305" s="2" t="s">
        <v>1486</v>
      </c>
      <c r="B305" s="2" t="s">
        <v>46</v>
      </c>
      <c r="C305" s="13" t="s">
        <v>1962</v>
      </c>
      <c r="D305" s="29" t="n">
        <v>56980</v>
      </c>
      <c r="E305" s="2" t="s">
        <v>821</v>
      </c>
      <c r="F305" s="30" t="n">
        <v>2.61182871182871</v>
      </c>
      <c r="G305" s="31" t="n">
        <v>40.3</v>
      </c>
      <c r="H305" s="32" t="n">
        <v>0.115068493150685</v>
      </c>
      <c r="I305" s="31" t="n">
        <v>66.5</v>
      </c>
      <c r="J305" s="2" t="s">
        <v>2884</v>
      </c>
      <c r="K305" s="33" t="n">
        <v>0.0290246371920351</v>
      </c>
      <c r="L305" s="31" t="n">
        <v>6.4</v>
      </c>
      <c r="M305" s="34" t="s">
        <v>822</v>
      </c>
      <c r="N305" s="2" t="s">
        <v>24</v>
      </c>
      <c r="O305" s="2" t="s">
        <v>24</v>
      </c>
      <c r="P305" s="2" t="s">
        <v>24</v>
      </c>
      <c r="Q305" s="2" t="s">
        <v>24</v>
      </c>
    </row>
    <row r="306" customFormat="false" ht="15" hidden="false" customHeight="false" outlineLevel="0" collapsed="false">
      <c r="A306" s="2" t="s">
        <v>1486</v>
      </c>
      <c r="B306" s="2" t="s">
        <v>47</v>
      </c>
      <c r="C306" s="13" t="s">
        <v>2972</v>
      </c>
      <c r="D306" s="29" t="n">
        <v>338040</v>
      </c>
      <c r="E306" s="2" t="s">
        <v>827</v>
      </c>
      <c r="F306" s="30" t="n">
        <v>1.64113122707372</v>
      </c>
      <c r="G306" s="31" t="n">
        <v>65.1</v>
      </c>
      <c r="H306" s="32" t="n">
        <v>0.117192147531231</v>
      </c>
      <c r="I306" s="31" t="n">
        <v>68.3</v>
      </c>
      <c r="J306" s="2" t="s">
        <v>2897</v>
      </c>
      <c r="K306" s="38"/>
      <c r="L306" s="31"/>
      <c r="M306" s="39" t="s">
        <v>832</v>
      </c>
      <c r="N306" s="2" t="s">
        <v>24</v>
      </c>
      <c r="O306" s="2" t="s">
        <v>24</v>
      </c>
      <c r="P306" s="2" t="s">
        <v>24</v>
      </c>
      <c r="Q306" s="2"/>
    </row>
    <row r="307" customFormat="false" ht="15" hidden="false" customHeight="false" outlineLevel="0" collapsed="false">
      <c r="A307" s="2" t="s">
        <v>136</v>
      </c>
      <c r="B307" s="2" t="s">
        <v>47</v>
      </c>
      <c r="C307" s="14" t="s">
        <v>2309</v>
      </c>
      <c r="D307" s="42" t="n">
        <v>44236</v>
      </c>
      <c r="E307" s="2" t="s">
        <v>821</v>
      </c>
      <c r="F307" s="43" t="n">
        <v>2.62629984627905</v>
      </c>
      <c r="G307" s="31" t="n">
        <v>86.1</v>
      </c>
      <c r="H307" s="41" t="n">
        <v>0.14500181187555</v>
      </c>
      <c r="I307" s="31" t="n">
        <v>74.7</v>
      </c>
      <c r="J307" s="2" t="s">
        <v>2886</v>
      </c>
      <c r="K307" s="44" t="n">
        <v>0.130815292491939</v>
      </c>
      <c r="L307" s="31" t="n">
        <v>68.5</v>
      </c>
      <c r="M307" s="34" t="s">
        <v>822</v>
      </c>
      <c r="N307" s="2" t="s">
        <v>22</v>
      </c>
      <c r="O307" s="2" t="s">
        <v>22</v>
      </c>
      <c r="P307" s="2" t="s">
        <v>22</v>
      </c>
      <c r="Q307" s="2" t="s">
        <v>22</v>
      </c>
    </row>
    <row r="308" customFormat="false" ht="15" hidden="false" customHeight="false" outlineLevel="0" collapsed="false">
      <c r="A308" s="2" t="s">
        <v>2126</v>
      </c>
      <c r="B308" s="2" t="s">
        <v>45</v>
      </c>
      <c r="C308" s="13" t="s">
        <v>2973</v>
      </c>
      <c r="D308" s="29" t="n">
        <v>44290</v>
      </c>
      <c r="E308" s="2" t="s">
        <v>821</v>
      </c>
      <c r="F308" s="30" t="n">
        <v>0.315466245202077</v>
      </c>
      <c r="G308" s="31" t="n">
        <v>19.3</v>
      </c>
      <c r="H308" s="37"/>
      <c r="I308" s="31"/>
      <c r="J308" s="2"/>
      <c r="K308" s="38"/>
      <c r="L308" s="31"/>
      <c r="M308" s="39" t="s">
        <v>832</v>
      </c>
      <c r="N308" s="2" t="s">
        <v>24</v>
      </c>
      <c r="O308" s="2" t="s">
        <v>24</v>
      </c>
      <c r="P308" s="2"/>
      <c r="Q308" s="2"/>
    </row>
    <row r="309" customFormat="false" ht="15" hidden="false" customHeight="false" outlineLevel="0" collapsed="false">
      <c r="A309" s="2" t="s">
        <v>2126</v>
      </c>
      <c r="B309" s="2" t="s">
        <v>46</v>
      </c>
      <c r="C309" s="13" t="s">
        <v>2127</v>
      </c>
      <c r="D309" s="29" t="n">
        <v>47630</v>
      </c>
      <c r="E309" s="2" t="s">
        <v>821</v>
      </c>
      <c r="F309" s="30" t="n">
        <v>1.39632584505564</v>
      </c>
      <c r="G309" s="31" t="n">
        <v>13.4</v>
      </c>
      <c r="H309" s="32" t="n">
        <v>-0.0189495365602472</v>
      </c>
      <c r="I309" s="31" t="n">
        <v>8.7</v>
      </c>
      <c r="J309" s="2" t="s">
        <v>2884</v>
      </c>
      <c r="K309" s="33" t="n">
        <v>0.160808709175739</v>
      </c>
      <c r="L309" s="31" t="n">
        <v>58.7</v>
      </c>
      <c r="M309" s="34" t="s">
        <v>822</v>
      </c>
      <c r="N309" s="2" t="s">
        <v>24</v>
      </c>
      <c r="O309" s="2" t="s">
        <v>24</v>
      </c>
      <c r="P309" s="2" t="s">
        <v>24</v>
      </c>
      <c r="Q309" s="2" t="s">
        <v>24</v>
      </c>
    </row>
    <row r="310" customFormat="false" ht="15" hidden="false" customHeight="false" outlineLevel="0" collapsed="false">
      <c r="A310" s="2" t="s">
        <v>2126</v>
      </c>
      <c r="B310" s="2" t="s">
        <v>47</v>
      </c>
      <c r="C310" s="13" t="s">
        <v>2974</v>
      </c>
      <c r="D310" s="29" t="n">
        <v>95190</v>
      </c>
      <c r="E310" s="2" t="s">
        <v>821</v>
      </c>
      <c r="F310" s="30" t="n">
        <v>2.80876142451938</v>
      </c>
      <c r="G310" s="31" t="n">
        <v>88.2</v>
      </c>
      <c r="H310" s="37"/>
      <c r="I310" s="31"/>
      <c r="J310" s="2"/>
      <c r="K310" s="33" t="n">
        <v>0.0894962486602358</v>
      </c>
      <c r="L310" s="31" t="n">
        <v>53.9</v>
      </c>
      <c r="M310" s="39" t="s">
        <v>832</v>
      </c>
      <c r="N310" s="2" t="s">
        <v>24</v>
      </c>
      <c r="O310" s="2" t="s">
        <v>24</v>
      </c>
      <c r="P310" s="2"/>
      <c r="Q310" s="2" t="s">
        <v>24</v>
      </c>
    </row>
    <row r="311" customFormat="false" ht="15" hidden="false" customHeight="false" outlineLevel="0" collapsed="false">
      <c r="A311" s="2" t="s">
        <v>2140</v>
      </c>
      <c r="B311" s="2" t="s">
        <v>46</v>
      </c>
      <c r="C311" s="13" t="s">
        <v>2141</v>
      </c>
      <c r="D311" s="29" t="n">
        <v>97830</v>
      </c>
      <c r="E311" s="2" t="s">
        <v>821</v>
      </c>
      <c r="F311" s="30" t="n">
        <v>1.26319125012777</v>
      </c>
      <c r="G311" s="31" t="n">
        <v>10.8</v>
      </c>
      <c r="H311" s="32" t="n">
        <v>0.0436313206742053</v>
      </c>
      <c r="I311" s="31" t="n">
        <v>28</v>
      </c>
      <c r="J311" s="2" t="s">
        <v>2884</v>
      </c>
      <c r="K311" s="33" t="n">
        <v>0.100324981654262</v>
      </c>
      <c r="L311" s="31" t="n">
        <v>37.1</v>
      </c>
      <c r="M311" s="34" t="s">
        <v>822</v>
      </c>
      <c r="N311" s="2" t="s">
        <v>24</v>
      </c>
      <c r="O311" s="2" t="s">
        <v>24</v>
      </c>
      <c r="P311" s="2" t="s">
        <v>24</v>
      </c>
      <c r="Q311" s="2" t="s">
        <v>24</v>
      </c>
    </row>
    <row r="312" customFormat="false" ht="15" hidden="false" customHeight="false" outlineLevel="0" collapsed="false">
      <c r="A312" s="2" t="s">
        <v>2140</v>
      </c>
      <c r="B312" s="2" t="s">
        <v>47</v>
      </c>
      <c r="C312" s="16"/>
      <c r="D312" s="35"/>
      <c r="E312" s="2"/>
      <c r="F312" s="36"/>
      <c r="G312" s="31"/>
      <c r="H312" s="37"/>
      <c r="I312" s="31"/>
      <c r="J312" s="2"/>
      <c r="K312" s="38"/>
      <c r="L312" s="31"/>
      <c r="M312" s="39" t="s">
        <v>832</v>
      </c>
      <c r="N312" s="2"/>
      <c r="O312" s="2"/>
      <c r="P312" s="2"/>
      <c r="Q312" s="2"/>
    </row>
    <row r="313" customFormat="false" ht="15" hidden="false" customHeight="false" outlineLevel="0" collapsed="false">
      <c r="A313" s="2" t="s">
        <v>94</v>
      </c>
      <c r="B313" s="2" t="s">
        <v>45</v>
      </c>
      <c r="C313" s="13" t="s">
        <v>870</v>
      </c>
      <c r="D313" s="29" t="n">
        <v>132660</v>
      </c>
      <c r="E313" s="2" t="s">
        <v>827</v>
      </c>
      <c r="F313" s="30" t="n">
        <v>2.03195386702849</v>
      </c>
      <c r="G313" s="31" t="n">
        <v>94.9</v>
      </c>
      <c r="H313" s="32" t="n">
        <v>0.0617896590363374</v>
      </c>
      <c r="I313" s="31" t="n">
        <v>34.3</v>
      </c>
      <c r="J313" s="2" t="s">
        <v>2890</v>
      </c>
      <c r="K313" s="33" t="n">
        <v>0.130458676812513</v>
      </c>
      <c r="L313" s="31" t="n">
        <v>48.5</v>
      </c>
      <c r="M313" s="34" t="s">
        <v>822</v>
      </c>
      <c r="N313" s="2" t="s">
        <v>24</v>
      </c>
      <c r="O313" s="2" t="s">
        <v>24</v>
      </c>
      <c r="P313" s="2" t="s">
        <v>24</v>
      </c>
      <c r="Q313" s="2" t="s">
        <v>24</v>
      </c>
    </row>
    <row r="314" customFormat="false" ht="15" hidden="false" customHeight="false" outlineLevel="0" collapsed="false">
      <c r="A314" s="2" t="s">
        <v>688</v>
      </c>
      <c r="B314" s="2" t="s">
        <v>45</v>
      </c>
      <c r="C314" s="13" t="s">
        <v>1204</v>
      </c>
      <c r="D314" s="29" t="n">
        <v>117610</v>
      </c>
      <c r="E314" s="2" t="s">
        <v>827</v>
      </c>
      <c r="F314" s="30" t="n">
        <v>0.600374117847122</v>
      </c>
      <c r="G314" s="31" t="n">
        <v>53.7</v>
      </c>
      <c r="H314" s="32" t="n">
        <v>0.172465357392085</v>
      </c>
      <c r="I314" s="31" t="n">
        <v>85</v>
      </c>
      <c r="J314" s="2" t="s">
        <v>2890</v>
      </c>
      <c r="K314" s="33" t="n">
        <v>0.137094946748244</v>
      </c>
      <c r="L314" s="31" t="n">
        <v>52</v>
      </c>
      <c r="M314" s="34" t="s">
        <v>822</v>
      </c>
      <c r="N314" s="2" t="s">
        <v>24</v>
      </c>
      <c r="O314" s="2" t="s">
        <v>24</v>
      </c>
      <c r="P314" s="2" t="s">
        <v>24</v>
      </c>
      <c r="Q314" s="2" t="s">
        <v>24</v>
      </c>
    </row>
    <row r="315" customFormat="false" ht="15" hidden="false" customHeight="false" outlineLevel="0" collapsed="false">
      <c r="A315" s="2" t="s">
        <v>688</v>
      </c>
      <c r="B315" s="2" t="s">
        <v>46</v>
      </c>
      <c r="C315" s="13" t="s">
        <v>2169</v>
      </c>
      <c r="D315" s="29" t="n">
        <v>8700</v>
      </c>
      <c r="E315" s="2" t="s">
        <v>825</v>
      </c>
      <c r="F315" s="43" t="n">
        <v>0.908739002932551</v>
      </c>
      <c r="G315" s="31" t="n">
        <v>5.5</v>
      </c>
      <c r="H315" s="32" t="n">
        <v>0.0532687651331719</v>
      </c>
      <c r="I315" s="31" t="n">
        <v>17</v>
      </c>
      <c r="J315" s="2" t="s">
        <v>2905</v>
      </c>
      <c r="K315" s="33" t="n">
        <v>0.379958246346555</v>
      </c>
      <c r="L315" s="31" t="n">
        <v>96</v>
      </c>
      <c r="M315" s="34" t="s">
        <v>822</v>
      </c>
      <c r="N315" s="2" t="s">
        <v>24</v>
      </c>
      <c r="O315" s="2" t="s">
        <v>22</v>
      </c>
      <c r="P315" s="2" t="s">
        <v>24</v>
      </c>
      <c r="Q315" s="2" t="s">
        <v>24</v>
      </c>
    </row>
    <row r="316" customFormat="false" ht="15" hidden="false" customHeight="false" outlineLevel="0" collapsed="false">
      <c r="A316" s="2" t="s">
        <v>1158</v>
      </c>
      <c r="B316" s="2" t="s">
        <v>45</v>
      </c>
      <c r="C316" s="13" t="s">
        <v>1159</v>
      </c>
      <c r="D316" s="29" t="n">
        <v>93990</v>
      </c>
      <c r="E316" s="2" t="s">
        <v>821</v>
      </c>
      <c r="F316" s="30" t="n">
        <v>0.661123523779125</v>
      </c>
      <c r="G316" s="31" t="n">
        <v>59.2</v>
      </c>
      <c r="H316" s="32" t="n">
        <v>0.0212974030207541</v>
      </c>
      <c r="I316" s="31" t="n">
        <v>13.1</v>
      </c>
      <c r="J316" s="2" t="s">
        <v>2883</v>
      </c>
      <c r="K316" s="33" t="n">
        <v>0.187780772686433</v>
      </c>
      <c r="L316" s="31" t="n">
        <v>69.7</v>
      </c>
      <c r="M316" s="34" t="s">
        <v>822</v>
      </c>
      <c r="N316" s="2" t="s">
        <v>24</v>
      </c>
      <c r="O316" s="2" t="s">
        <v>24</v>
      </c>
      <c r="P316" s="2" t="s">
        <v>24</v>
      </c>
      <c r="Q316" s="2" t="s">
        <v>24</v>
      </c>
    </row>
    <row r="317" customFormat="false" ht="15" hidden="false" customHeight="false" outlineLevel="0" collapsed="false">
      <c r="A317" s="2" t="s">
        <v>1158</v>
      </c>
      <c r="B317" s="2" t="s">
        <v>46</v>
      </c>
      <c r="C317" s="13" t="s">
        <v>2975</v>
      </c>
      <c r="D317" s="35"/>
      <c r="E317" s="2"/>
      <c r="F317" s="36"/>
      <c r="G317" s="31"/>
      <c r="H317" s="37"/>
      <c r="I317" s="31"/>
      <c r="J317" s="2"/>
      <c r="K317" s="33" t="n">
        <v>0.131470264317181</v>
      </c>
      <c r="L317" s="31" t="n">
        <v>49.7</v>
      </c>
      <c r="M317" s="39" t="s">
        <v>832</v>
      </c>
      <c r="N317" s="2"/>
      <c r="O317" s="2"/>
      <c r="P317" s="2"/>
      <c r="Q317" s="2" t="s">
        <v>24</v>
      </c>
    </row>
    <row r="318" customFormat="false" ht="15" hidden="false" customHeight="false" outlineLevel="0" collapsed="false">
      <c r="A318" s="2" t="s">
        <v>1158</v>
      </c>
      <c r="B318" s="2" t="s">
        <v>47</v>
      </c>
      <c r="C318" s="14" t="s">
        <v>2310</v>
      </c>
      <c r="D318" s="42" t="n">
        <v>150336</v>
      </c>
      <c r="E318" s="2" t="s">
        <v>827</v>
      </c>
      <c r="F318" s="43" t="n">
        <v>2.62092246700724</v>
      </c>
      <c r="G318" s="31" t="n">
        <v>85.9</v>
      </c>
      <c r="H318" s="41" t="n">
        <v>0.047250841152745</v>
      </c>
      <c r="I318" s="31" t="n">
        <v>28.6</v>
      </c>
      <c r="J318" s="2" t="s">
        <v>2897</v>
      </c>
      <c r="K318" s="44" t="n">
        <v>0.059408095169012</v>
      </c>
      <c r="L318" s="31" t="n">
        <v>36.9</v>
      </c>
      <c r="M318" s="34" t="s">
        <v>822</v>
      </c>
      <c r="N318" s="2" t="s">
        <v>22</v>
      </c>
      <c r="O318" s="2" t="s">
        <v>22</v>
      </c>
      <c r="P318" s="2" t="s">
        <v>22</v>
      </c>
      <c r="Q318" s="2" t="s">
        <v>22</v>
      </c>
    </row>
    <row r="319" customFormat="false" ht="15" hidden="false" customHeight="false" outlineLevel="0" collapsed="false">
      <c r="A319" s="2" t="s">
        <v>2976</v>
      </c>
      <c r="B319" s="2" t="s">
        <v>46</v>
      </c>
      <c r="C319" s="16"/>
      <c r="D319" s="35"/>
      <c r="E319" s="2"/>
      <c r="F319" s="36"/>
      <c r="G319" s="31"/>
      <c r="H319" s="37"/>
      <c r="I319" s="31"/>
      <c r="J319" s="2"/>
      <c r="K319" s="38"/>
      <c r="L319" s="31"/>
      <c r="M319" s="39" t="s">
        <v>832</v>
      </c>
      <c r="N319" s="2"/>
      <c r="O319" s="2"/>
      <c r="P319" s="2"/>
      <c r="Q319" s="2"/>
    </row>
    <row r="320" customFormat="false" ht="15" hidden="false" customHeight="false" outlineLevel="0" collapsed="false">
      <c r="A320" s="2" t="s">
        <v>252</v>
      </c>
      <c r="B320" s="2" t="s">
        <v>45</v>
      </c>
      <c r="C320" s="13" t="s">
        <v>1097</v>
      </c>
      <c r="D320" s="29" t="n">
        <v>43660</v>
      </c>
      <c r="E320" s="2" t="s">
        <v>821</v>
      </c>
      <c r="F320" s="30" t="n">
        <v>0.791662849289968</v>
      </c>
      <c r="G320" s="31" t="n">
        <v>67.7</v>
      </c>
      <c r="H320" s="32" t="n">
        <v>-0.0186558777253315</v>
      </c>
      <c r="I320" s="31" t="n">
        <v>6.2</v>
      </c>
      <c r="J320" s="2" t="s">
        <v>2883</v>
      </c>
      <c r="K320" s="33" t="n">
        <v>0.159563924677899</v>
      </c>
      <c r="L320" s="31" t="n">
        <v>61.8</v>
      </c>
      <c r="M320" s="34" t="s">
        <v>822</v>
      </c>
      <c r="N320" s="2" t="s">
        <v>24</v>
      </c>
      <c r="O320" s="2" t="s">
        <v>24</v>
      </c>
      <c r="P320" s="2" t="s">
        <v>24</v>
      </c>
      <c r="Q320" s="2" t="s">
        <v>24</v>
      </c>
    </row>
    <row r="321" customFormat="false" ht="15" hidden="false" customHeight="false" outlineLevel="0" collapsed="false">
      <c r="A321" s="2" t="s">
        <v>520</v>
      </c>
      <c r="B321" s="2" t="s">
        <v>45</v>
      </c>
      <c r="C321" s="14" t="s">
        <v>1555</v>
      </c>
      <c r="D321" s="46" t="n">
        <v>17016</v>
      </c>
      <c r="E321" s="2" t="s">
        <v>821</v>
      </c>
      <c r="F321" s="47" t="n">
        <v>0.157616361071932</v>
      </c>
      <c r="G321" s="31" t="n">
        <v>6</v>
      </c>
      <c r="H321" s="48" t="n">
        <v>0.0674361708801204</v>
      </c>
      <c r="I321" s="31" t="n">
        <v>37.1</v>
      </c>
      <c r="J321" s="2" t="s">
        <v>2883</v>
      </c>
      <c r="K321" s="44" t="n">
        <v>0.0853658536585366</v>
      </c>
      <c r="L321" s="31" t="n">
        <v>29.1</v>
      </c>
      <c r="M321" s="34" t="s">
        <v>822</v>
      </c>
      <c r="N321" s="2" t="s">
        <v>19</v>
      </c>
      <c r="O321" s="2" t="s">
        <v>19</v>
      </c>
      <c r="P321" s="2" t="s">
        <v>19</v>
      </c>
      <c r="Q321" s="2" t="s">
        <v>22</v>
      </c>
    </row>
    <row r="322" customFormat="false" ht="15" hidden="false" customHeight="false" outlineLevel="0" collapsed="false">
      <c r="A322" s="2" t="s">
        <v>520</v>
      </c>
      <c r="B322" s="2" t="s">
        <v>46</v>
      </c>
      <c r="C322" s="14" t="s">
        <v>1917</v>
      </c>
      <c r="D322" s="42" t="n">
        <v>11241</v>
      </c>
      <c r="E322" s="2" t="s">
        <v>821</v>
      </c>
      <c r="F322" s="43" t="n">
        <v>2.99003647362334</v>
      </c>
      <c r="G322" s="31" t="n">
        <v>46.2</v>
      </c>
      <c r="H322" s="41" t="n">
        <v>0.0179299103504483</v>
      </c>
      <c r="I322" s="31" t="n">
        <v>17.8</v>
      </c>
      <c r="J322" s="2" t="s">
        <v>2884</v>
      </c>
      <c r="K322" s="44" t="n">
        <v>0.22507403751234</v>
      </c>
      <c r="L322" s="31" t="n">
        <v>75.5</v>
      </c>
      <c r="M322" s="34" t="s">
        <v>822</v>
      </c>
      <c r="N322" s="2" t="s">
        <v>22</v>
      </c>
      <c r="O322" s="2" t="s">
        <v>22</v>
      </c>
      <c r="P322" s="2" t="s">
        <v>22</v>
      </c>
      <c r="Q322" s="2" t="s">
        <v>22</v>
      </c>
    </row>
    <row r="323" customFormat="false" ht="15" hidden="false" customHeight="false" outlineLevel="0" collapsed="false">
      <c r="A323" s="2" t="s">
        <v>520</v>
      </c>
      <c r="B323" s="2" t="s">
        <v>47</v>
      </c>
      <c r="C323" s="13" t="s">
        <v>2306</v>
      </c>
      <c r="D323" s="29" t="n">
        <v>14740</v>
      </c>
      <c r="E323" s="2" t="s">
        <v>821</v>
      </c>
      <c r="F323" s="30" t="n">
        <v>2.67740841248304</v>
      </c>
      <c r="G323" s="31" t="n">
        <v>86.6</v>
      </c>
      <c r="H323" s="32" t="n">
        <v>0.0983606557377049</v>
      </c>
      <c r="I323" s="31" t="n">
        <v>51.9</v>
      </c>
      <c r="J323" s="2" t="s">
        <v>2886</v>
      </c>
      <c r="K323" s="33" t="n">
        <v>0.180405697022011</v>
      </c>
      <c r="L323" s="31" t="n">
        <v>80.5</v>
      </c>
      <c r="M323" s="34" t="s">
        <v>822</v>
      </c>
      <c r="N323" s="2" t="s">
        <v>24</v>
      </c>
      <c r="O323" s="2" t="s">
        <v>24</v>
      </c>
      <c r="P323" s="2" t="s">
        <v>24</v>
      </c>
      <c r="Q323" s="2" t="s">
        <v>24</v>
      </c>
    </row>
    <row r="324" customFormat="false" ht="15" hidden="false" customHeight="false" outlineLevel="0" collapsed="false">
      <c r="A324" s="2" t="s">
        <v>582</v>
      </c>
      <c r="B324" s="2" t="s">
        <v>45</v>
      </c>
      <c r="C324" s="13" t="s">
        <v>1099</v>
      </c>
      <c r="D324" s="29" t="n">
        <v>13890</v>
      </c>
      <c r="E324" s="2" t="s">
        <v>821</v>
      </c>
      <c r="F324" s="30" t="n">
        <v>0.780561555075594</v>
      </c>
      <c r="G324" s="31" t="n">
        <v>66.9</v>
      </c>
      <c r="H324" s="32" t="n">
        <v>0.155574043261231</v>
      </c>
      <c r="I324" s="31" t="n">
        <v>77.3</v>
      </c>
      <c r="J324" s="2" t="s">
        <v>2883</v>
      </c>
      <c r="K324" s="33" t="n">
        <v>0.0759075907590759</v>
      </c>
      <c r="L324" s="31" t="n">
        <v>24.2</v>
      </c>
      <c r="M324" s="34" t="s">
        <v>822</v>
      </c>
      <c r="N324" s="2" t="s">
        <v>24</v>
      </c>
      <c r="O324" s="2" t="s">
        <v>24</v>
      </c>
      <c r="P324" s="2" t="s">
        <v>24</v>
      </c>
      <c r="Q324" s="2" t="s">
        <v>24</v>
      </c>
    </row>
    <row r="325" customFormat="false" ht="15" hidden="false" customHeight="false" outlineLevel="0" collapsed="false">
      <c r="A325" s="2" t="s">
        <v>582</v>
      </c>
      <c r="B325" s="2" t="s">
        <v>46</v>
      </c>
      <c r="C325" s="13" t="s">
        <v>2107</v>
      </c>
      <c r="D325" s="29" t="n">
        <v>22870</v>
      </c>
      <c r="E325" s="2" t="s">
        <v>821</v>
      </c>
      <c r="F325" s="30" t="n">
        <v>1.4794490599038</v>
      </c>
      <c r="G325" s="31" t="n">
        <v>16.3</v>
      </c>
      <c r="H325" s="32" t="n">
        <v>0.0490825688073395</v>
      </c>
      <c r="I325" s="31" t="n">
        <v>29.8</v>
      </c>
      <c r="J325" s="2" t="s">
        <v>2884</v>
      </c>
      <c r="K325" s="33" t="n">
        <v>0.07</v>
      </c>
      <c r="L325" s="31" t="n">
        <v>20.8</v>
      </c>
      <c r="M325" s="34" t="s">
        <v>822</v>
      </c>
      <c r="N325" s="2" t="s">
        <v>24</v>
      </c>
      <c r="O325" s="2" t="s">
        <v>24</v>
      </c>
      <c r="P325" s="2" t="s">
        <v>24</v>
      </c>
      <c r="Q325" s="2" t="s">
        <v>24</v>
      </c>
    </row>
    <row r="326" customFormat="false" ht="15" hidden="false" customHeight="false" outlineLevel="0" collapsed="false">
      <c r="A326" s="2" t="s">
        <v>582</v>
      </c>
      <c r="B326" s="2" t="s">
        <v>47</v>
      </c>
      <c r="C326" s="14" t="s">
        <v>2612</v>
      </c>
      <c r="D326" s="42" t="n">
        <v>10387</v>
      </c>
      <c r="E326" s="2" t="s">
        <v>821</v>
      </c>
      <c r="F326" s="43" t="n">
        <v>0.996726677577741</v>
      </c>
      <c r="G326" s="31" t="n">
        <v>38.8</v>
      </c>
      <c r="H326" s="41" t="n">
        <v>0.0764846098041248</v>
      </c>
      <c r="I326" s="31" t="n">
        <v>39.3</v>
      </c>
      <c r="J326" s="2" t="s">
        <v>2886</v>
      </c>
      <c r="K326" s="44" t="n">
        <v>0.0883280757097792</v>
      </c>
      <c r="L326" s="31" t="n">
        <v>53.4</v>
      </c>
      <c r="M326" s="34" t="s">
        <v>822</v>
      </c>
      <c r="N326" s="2" t="s">
        <v>22</v>
      </c>
      <c r="O326" s="2" t="s">
        <v>22</v>
      </c>
      <c r="P326" s="2" t="s">
        <v>22</v>
      </c>
      <c r="Q326" s="2" t="s">
        <v>22</v>
      </c>
    </row>
    <row r="327" customFormat="false" ht="15" hidden="false" customHeight="false" outlineLevel="0" collapsed="false">
      <c r="A327" s="2" t="s">
        <v>1057</v>
      </c>
      <c r="B327" s="2" t="s">
        <v>45</v>
      </c>
      <c r="C327" s="13" t="s">
        <v>1058</v>
      </c>
      <c r="D327" s="29" t="n">
        <v>91690</v>
      </c>
      <c r="E327" s="2" t="s">
        <v>821</v>
      </c>
      <c r="F327" s="30" t="n">
        <v>0.857072745119424</v>
      </c>
      <c r="G327" s="31" t="n">
        <v>72.2</v>
      </c>
      <c r="H327" s="32" t="n">
        <v>0.0811225091380733</v>
      </c>
      <c r="I327" s="31" t="n">
        <v>44</v>
      </c>
      <c r="J327" s="2" t="s">
        <v>2883</v>
      </c>
      <c r="K327" s="40" t="s">
        <v>857</v>
      </c>
      <c r="L327" s="31"/>
      <c r="M327" s="34" t="s">
        <v>822</v>
      </c>
      <c r="N327" s="2" t="s">
        <v>24</v>
      </c>
      <c r="O327" s="2" t="s">
        <v>24</v>
      </c>
      <c r="P327" s="2" t="s">
        <v>24</v>
      </c>
      <c r="Q327" s="2" t="s">
        <v>2885</v>
      </c>
    </row>
    <row r="328" customFormat="false" ht="15" hidden="false" customHeight="false" outlineLevel="0" collapsed="false">
      <c r="A328" s="2" t="s">
        <v>1057</v>
      </c>
      <c r="B328" s="2" t="s">
        <v>46</v>
      </c>
      <c r="C328" s="13" t="s">
        <v>2977</v>
      </c>
      <c r="D328" s="29" t="n">
        <v>3150</v>
      </c>
      <c r="E328" s="2" t="s">
        <v>825</v>
      </c>
      <c r="F328" s="30" t="n">
        <v>3.15968253968254</v>
      </c>
      <c r="G328" s="31" t="n">
        <v>49.5</v>
      </c>
      <c r="H328" s="37"/>
      <c r="I328" s="31"/>
      <c r="J328" s="2"/>
      <c r="K328" s="33" t="n">
        <v>0.0855614973262032</v>
      </c>
      <c r="L328" s="31" t="n">
        <v>29.4</v>
      </c>
      <c r="M328" s="39" t="s">
        <v>832</v>
      </c>
      <c r="N328" s="2" t="s">
        <v>24</v>
      </c>
      <c r="O328" s="2" t="s">
        <v>24</v>
      </c>
      <c r="P328" s="2"/>
      <c r="Q328" s="2" t="s">
        <v>24</v>
      </c>
    </row>
    <row r="329" customFormat="false" ht="15" hidden="false" customHeight="false" outlineLevel="0" collapsed="false">
      <c r="A329" s="2" t="s">
        <v>1926</v>
      </c>
      <c r="B329" s="2" t="s">
        <v>45</v>
      </c>
      <c r="C329" s="13" t="s">
        <v>2978</v>
      </c>
      <c r="D329" s="35"/>
      <c r="E329" s="2"/>
      <c r="F329" s="36"/>
      <c r="G329" s="31"/>
      <c r="H329" s="37"/>
      <c r="I329" s="31"/>
      <c r="J329" s="2"/>
      <c r="K329" s="38"/>
      <c r="L329" s="31"/>
      <c r="M329" s="39" t="s">
        <v>832</v>
      </c>
      <c r="N329" s="2"/>
      <c r="O329" s="2"/>
      <c r="P329" s="2"/>
      <c r="Q329" s="2"/>
    </row>
    <row r="330" customFormat="false" ht="15" hidden="false" customHeight="false" outlineLevel="0" collapsed="false">
      <c r="A330" s="2" t="s">
        <v>1926</v>
      </c>
      <c r="B330" s="2" t="s">
        <v>46</v>
      </c>
      <c r="C330" s="13" t="s">
        <v>1927</v>
      </c>
      <c r="D330" s="29" t="n">
        <v>14950</v>
      </c>
      <c r="E330" s="2" t="s">
        <v>821</v>
      </c>
      <c r="F330" s="30" t="n">
        <v>2.92608695652174</v>
      </c>
      <c r="G330" s="31" t="n">
        <v>45</v>
      </c>
      <c r="H330" s="32" t="n">
        <v>0.0786435786435786</v>
      </c>
      <c r="I330" s="31" t="n">
        <v>45.8</v>
      </c>
      <c r="J330" s="2" t="s">
        <v>2884</v>
      </c>
      <c r="K330" s="33" t="n">
        <v>0.0908304498269896</v>
      </c>
      <c r="L330" s="31" t="n">
        <v>33.6</v>
      </c>
      <c r="M330" s="34" t="s">
        <v>822</v>
      </c>
      <c r="N330" s="2" t="s">
        <v>24</v>
      </c>
      <c r="O330" s="2" t="s">
        <v>24</v>
      </c>
      <c r="P330" s="2" t="s">
        <v>24</v>
      </c>
      <c r="Q330" s="2" t="s">
        <v>24</v>
      </c>
    </row>
    <row r="331" customFormat="false" ht="15" hidden="false" customHeight="false" outlineLevel="0" collapsed="false">
      <c r="A331" s="2" t="s">
        <v>1926</v>
      </c>
      <c r="B331" s="2" t="s">
        <v>47</v>
      </c>
      <c r="C331" s="15" t="s">
        <v>2979</v>
      </c>
      <c r="D331" s="35"/>
      <c r="E331" s="2"/>
      <c r="F331" s="36"/>
      <c r="G331" s="31"/>
      <c r="H331" s="37"/>
      <c r="I331" s="31"/>
      <c r="J331" s="2"/>
      <c r="K331" s="38"/>
      <c r="L331" s="31"/>
      <c r="M331" s="39" t="s">
        <v>832</v>
      </c>
      <c r="N331" s="2"/>
      <c r="O331" s="2"/>
      <c r="P331" s="2"/>
      <c r="Q331" s="2"/>
    </row>
    <row r="332" customFormat="false" ht="15" hidden="false" customHeight="false" outlineLevel="0" collapsed="false">
      <c r="A332" s="2" t="s">
        <v>368</v>
      </c>
      <c r="B332" s="2" t="s">
        <v>45</v>
      </c>
      <c r="C332" s="14" t="s">
        <v>1388</v>
      </c>
      <c r="D332" s="42" t="n">
        <v>101987</v>
      </c>
      <c r="E332" s="2" t="s">
        <v>827</v>
      </c>
      <c r="F332" s="43" t="n">
        <v>0.403698510594488</v>
      </c>
      <c r="G332" s="31" t="n">
        <v>29.9</v>
      </c>
      <c r="H332" s="41" t="n">
        <v>0.176700664574488</v>
      </c>
      <c r="I332" s="31" t="n">
        <v>87.9</v>
      </c>
      <c r="J332" s="2" t="s">
        <v>2890</v>
      </c>
      <c r="K332" s="44" t="n">
        <v>0.0219594594594595</v>
      </c>
      <c r="L332" s="31" t="n">
        <v>6.3</v>
      </c>
      <c r="M332" s="34" t="s">
        <v>822</v>
      </c>
      <c r="N332" s="2" t="s">
        <v>22</v>
      </c>
      <c r="O332" s="2" t="s">
        <v>22</v>
      </c>
      <c r="P332" s="2" t="s">
        <v>22</v>
      </c>
      <c r="Q332" s="2" t="s">
        <v>22</v>
      </c>
    </row>
    <row r="333" customFormat="false" ht="15" hidden="false" customHeight="false" outlineLevel="0" collapsed="false">
      <c r="A333" s="2" t="s">
        <v>368</v>
      </c>
      <c r="B333" s="2" t="s">
        <v>46</v>
      </c>
      <c r="C333" s="13" t="s">
        <v>1638</v>
      </c>
      <c r="D333" s="29" t="n">
        <v>62880</v>
      </c>
      <c r="E333" s="2" t="s">
        <v>821</v>
      </c>
      <c r="F333" s="30" t="n">
        <v>10.0271787531807</v>
      </c>
      <c r="G333" s="31" t="n">
        <v>94.3</v>
      </c>
      <c r="H333" s="32" t="n">
        <v>-0.0572713643178411</v>
      </c>
      <c r="I333" s="31" t="n">
        <v>3.3</v>
      </c>
      <c r="J333" s="2" t="s">
        <v>2884</v>
      </c>
      <c r="K333" s="33" t="n">
        <v>0.499322807142603</v>
      </c>
      <c r="L333" s="31" t="n">
        <v>99.3</v>
      </c>
      <c r="M333" s="34" t="s">
        <v>822</v>
      </c>
      <c r="N333" s="2" t="s">
        <v>24</v>
      </c>
      <c r="O333" s="2" t="s">
        <v>24</v>
      </c>
      <c r="P333" s="2" t="s">
        <v>24</v>
      </c>
      <c r="Q333" s="2" t="s">
        <v>24</v>
      </c>
    </row>
    <row r="334" customFormat="false" ht="15" hidden="false" customHeight="false" outlineLevel="0" collapsed="false">
      <c r="A334" s="2" t="s">
        <v>368</v>
      </c>
      <c r="B334" s="2" t="s">
        <v>47</v>
      </c>
      <c r="C334" s="13" t="s">
        <v>2555</v>
      </c>
      <c r="D334" s="29" t="n">
        <v>216580</v>
      </c>
      <c r="E334" s="2" t="s">
        <v>827</v>
      </c>
      <c r="F334" s="43" t="n">
        <v>1.21671773184309</v>
      </c>
      <c r="G334" s="31" t="n">
        <v>48.3</v>
      </c>
      <c r="H334" s="32" t="n">
        <v>0.142721468896745</v>
      </c>
      <c r="I334" s="31" t="n">
        <v>78.9</v>
      </c>
      <c r="J334" s="2" t="s">
        <v>2897</v>
      </c>
      <c r="K334" s="44" t="n">
        <v>0.195190763487999</v>
      </c>
      <c r="L334" s="31" t="n">
        <v>83.9</v>
      </c>
      <c r="M334" s="34" t="s">
        <v>822</v>
      </c>
      <c r="N334" s="2" t="s">
        <v>24</v>
      </c>
      <c r="O334" s="2" t="s">
        <v>22</v>
      </c>
      <c r="P334" s="2" t="s">
        <v>24</v>
      </c>
      <c r="Q334" s="2" t="s">
        <v>22</v>
      </c>
    </row>
    <row r="335" customFormat="false" ht="15" hidden="false" customHeight="false" outlineLevel="0" collapsed="false">
      <c r="A335" s="2" t="s">
        <v>508</v>
      </c>
      <c r="B335" s="2" t="s">
        <v>45</v>
      </c>
      <c r="C335" s="13" t="s">
        <v>978</v>
      </c>
      <c r="D335" s="29" t="n">
        <v>14750</v>
      </c>
      <c r="E335" s="2" t="s">
        <v>821</v>
      </c>
      <c r="F335" s="30" t="n">
        <v>1.10881355932203</v>
      </c>
      <c r="G335" s="31" t="n">
        <v>81.5</v>
      </c>
      <c r="H335" s="32" t="n">
        <v>0.139876352395672</v>
      </c>
      <c r="I335" s="31" t="n">
        <v>73.9</v>
      </c>
      <c r="J335" s="2" t="s">
        <v>2883</v>
      </c>
      <c r="K335" s="33" t="n">
        <v>0.161764705882353</v>
      </c>
      <c r="L335" s="31" t="n">
        <v>63.4</v>
      </c>
      <c r="M335" s="34" t="s">
        <v>822</v>
      </c>
      <c r="N335" s="2" t="s">
        <v>24</v>
      </c>
      <c r="O335" s="2" t="s">
        <v>24</v>
      </c>
      <c r="P335" s="2" t="s">
        <v>24</v>
      </c>
      <c r="Q335" s="2" t="s">
        <v>24</v>
      </c>
    </row>
    <row r="336" customFormat="false" ht="15" hidden="false" customHeight="false" outlineLevel="0" collapsed="false">
      <c r="A336" s="2" t="s">
        <v>508</v>
      </c>
      <c r="B336" s="2" t="s">
        <v>47</v>
      </c>
      <c r="C336" s="14" t="s">
        <v>2785</v>
      </c>
      <c r="D336" s="42" t="n">
        <v>10335</v>
      </c>
      <c r="E336" s="2" t="s">
        <v>821</v>
      </c>
      <c r="F336" s="43" t="n">
        <v>0.52007740686986</v>
      </c>
      <c r="G336" s="31" t="n">
        <v>14.1</v>
      </c>
      <c r="H336" s="41" t="n">
        <v>0.145660126371799</v>
      </c>
      <c r="I336" s="31" t="n">
        <v>75.3</v>
      </c>
      <c r="J336" s="2" t="s">
        <v>2886</v>
      </c>
      <c r="K336" s="44" t="n">
        <v>0.0271739130434783</v>
      </c>
      <c r="L336" s="31" t="n">
        <v>18.3</v>
      </c>
      <c r="M336" s="34" t="s">
        <v>822</v>
      </c>
      <c r="N336" s="2" t="s">
        <v>22</v>
      </c>
      <c r="O336" s="2" t="s">
        <v>22</v>
      </c>
      <c r="P336" s="2" t="s">
        <v>22</v>
      </c>
      <c r="Q336" s="2" t="s">
        <v>22</v>
      </c>
    </row>
    <row r="337" customFormat="false" ht="15" hidden="false" customHeight="false" outlineLevel="0" collapsed="false">
      <c r="A337" s="2" t="s">
        <v>532</v>
      </c>
      <c r="B337" s="2" t="s">
        <v>47</v>
      </c>
      <c r="C337" s="14" t="s">
        <v>2573</v>
      </c>
      <c r="D337" s="42" t="n">
        <v>2794445</v>
      </c>
      <c r="E337" s="2" t="s">
        <v>935</v>
      </c>
      <c r="F337" s="43" t="n">
        <v>1.15404024770572</v>
      </c>
      <c r="G337" s="31" t="n">
        <v>45.5</v>
      </c>
      <c r="H337" s="41" t="n">
        <v>-0.119117681826421</v>
      </c>
      <c r="I337" s="31" t="n">
        <v>7.1</v>
      </c>
      <c r="J337" s="2" t="s">
        <v>2922</v>
      </c>
      <c r="K337" s="44" t="n">
        <v>0.012135602163303</v>
      </c>
      <c r="L337" s="31" t="n">
        <v>8.2</v>
      </c>
      <c r="M337" s="34" t="s">
        <v>822</v>
      </c>
      <c r="N337" s="2" t="s">
        <v>22</v>
      </c>
      <c r="O337" s="2" t="s">
        <v>22</v>
      </c>
      <c r="P337" s="2" t="s">
        <v>22</v>
      </c>
      <c r="Q337" s="2" t="s">
        <v>22</v>
      </c>
    </row>
    <row r="338" customFormat="false" ht="15" hidden="false" customHeight="false" outlineLevel="0" collapsed="false">
      <c r="A338" s="2" t="s">
        <v>644</v>
      </c>
      <c r="B338" s="2" t="s">
        <v>45</v>
      </c>
      <c r="C338" s="13" t="s">
        <v>1508</v>
      </c>
      <c r="D338" s="29" t="n">
        <v>1420030</v>
      </c>
      <c r="E338" s="2" t="s">
        <v>935</v>
      </c>
      <c r="F338" s="30" t="n">
        <v>0.249268677422308</v>
      </c>
      <c r="G338" s="31" t="n">
        <v>12.7</v>
      </c>
      <c r="H338" s="32" t="n">
        <v>0.108541050281423</v>
      </c>
      <c r="I338" s="31" t="n">
        <v>64.7</v>
      </c>
      <c r="J338" s="2" t="s">
        <v>2892</v>
      </c>
      <c r="K338" s="33" t="n">
        <v>0.0156597342291162</v>
      </c>
      <c r="L338" s="31" t="n">
        <v>4</v>
      </c>
      <c r="M338" s="34" t="s">
        <v>822</v>
      </c>
      <c r="N338" s="2" t="s">
        <v>24</v>
      </c>
      <c r="O338" s="2" t="s">
        <v>24</v>
      </c>
      <c r="P338" s="2" t="s">
        <v>24</v>
      </c>
      <c r="Q338" s="2" t="s">
        <v>24</v>
      </c>
    </row>
    <row r="339" customFormat="false" ht="15" hidden="false" customHeight="false" outlineLevel="0" collapsed="false">
      <c r="A339" s="2" t="s">
        <v>644</v>
      </c>
      <c r="B339" s="2" t="s">
        <v>46</v>
      </c>
      <c r="C339" s="13" t="s">
        <v>2123</v>
      </c>
      <c r="D339" s="29" t="n">
        <v>173250</v>
      </c>
      <c r="E339" s="2" t="s">
        <v>827</v>
      </c>
      <c r="F339" s="30" t="n">
        <v>1.42440404040404</v>
      </c>
      <c r="G339" s="31" t="n">
        <v>13.8</v>
      </c>
      <c r="H339" s="32" t="n">
        <v>0.164001612469766</v>
      </c>
      <c r="I339" s="31" t="n">
        <v>90.4</v>
      </c>
      <c r="J339" s="2" t="s">
        <v>2888</v>
      </c>
      <c r="K339" s="33" t="n">
        <v>0.158601638407316</v>
      </c>
      <c r="L339" s="31" t="n">
        <v>58.1</v>
      </c>
      <c r="M339" s="34" t="s">
        <v>822</v>
      </c>
      <c r="N339" s="2" t="s">
        <v>24</v>
      </c>
      <c r="O339" s="2" t="s">
        <v>24</v>
      </c>
      <c r="P339" s="2" t="s">
        <v>24</v>
      </c>
      <c r="Q339" s="2" t="s">
        <v>24</v>
      </c>
    </row>
    <row r="340" customFormat="false" ht="15" hidden="false" customHeight="false" outlineLevel="0" collapsed="false">
      <c r="A340" s="2" t="s">
        <v>644</v>
      </c>
      <c r="B340" s="2" t="s">
        <v>47</v>
      </c>
      <c r="C340" s="14" t="s">
        <v>2349</v>
      </c>
      <c r="D340" s="42" t="n">
        <v>53223</v>
      </c>
      <c r="E340" s="2" t="s">
        <v>821</v>
      </c>
      <c r="F340" s="43" t="n">
        <v>2.17868214869511</v>
      </c>
      <c r="G340" s="31" t="n">
        <v>79.5</v>
      </c>
      <c r="H340" s="41" t="n">
        <v>0.0128453984928066</v>
      </c>
      <c r="I340" s="31" t="n">
        <v>13.6</v>
      </c>
      <c r="J340" s="2" t="s">
        <v>2886</v>
      </c>
      <c r="K340" s="44" t="n">
        <v>0.183958499600958</v>
      </c>
      <c r="L340" s="31" t="n">
        <v>81.2</v>
      </c>
      <c r="M340" s="34" t="s">
        <v>822</v>
      </c>
      <c r="N340" s="2" t="s">
        <v>22</v>
      </c>
      <c r="O340" s="2" t="s">
        <v>22</v>
      </c>
      <c r="P340" s="2" t="s">
        <v>22</v>
      </c>
      <c r="Q340" s="2" t="s">
        <v>22</v>
      </c>
    </row>
    <row r="341" customFormat="false" ht="15" hidden="false" customHeight="false" outlineLevel="0" collapsed="false">
      <c r="A341" s="2" t="s">
        <v>980</v>
      </c>
      <c r="B341" s="2" t="s">
        <v>45</v>
      </c>
      <c r="C341" s="13" t="s">
        <v>981</v>
      </c>
      <c r="D341" s="29" t="n">
        <v>17150</v>
      </c>
      <c r="E341" s="2" t="s">
        <v>821</v>
      </c>
      <c r="F341" s="30" t="n">
        <v>1.10472303206997</v>
      </c>
      <c r="G341" s="31" t="n">
        <v>81.3</v>
      </c>
      <c r="H341" s="32" t="n">
        <v>0.0393939393939394</v>
      </c>
      <c r="I341" s="31" t="n">
        <v>22</v>
      </c>
      <c r="J341" s="2" t="s">
        <v>2883</v>
      </c>
      <c r="K341" s="33" t="n">
        <v>0.0885122410546139</v>
      </c>
      <c r="L341" s="31" t="n">
        <v>31</v>
      </c>
      <c r="M341" s="34" t="s">
        <v>822</v>
      </c>
      <c r="N341" s="2" t="s">
        <v>24</v>
      </c>
      <c r="O341" s="2" t="s">
        <v>24</v>
      </c>
      <c r="P341" s="2" t="s">
        <v>24</v>
      </c>
      <c r="Q341" s="2" t="s">
        <v>24</v>
      </c>
    </row>
    <row r="342" customFormat="false" ht="15" hidden="false" customHeight="false" outlineLevel="0" collapsed="false">
      <c r="A342" s="2" t="s">
        <v>980</v>
      </c>
      <c r="B342" s="2" t="s">
        <v>46</v>
      </c>
      <c r="C342" s="13" t="s">
        <v>2980</v>
      </c>
      <c r="D342" s="29" t="n">
        <v>19830</v>
      </c>
      <c r="E342" s="2" t="s">
        <v>821</v>
      </c>
      <c r="F342" s="30" t="n">
        <v>2.23928391326273</v>
      </c>
      <c r="G342" s="31" t="n">
        <v>31.2</v>
      </c>
      <c r="H342" s="32" t="n">
        <v>0.0469904963041183</v>
      </c>
      <c r="I342" s="31" t="n">
        <v>29.1</v>
      </c>
      <c r="J342" s="2" t="s">
        <v>2884</v>
      </c>
      <c r="K342" s="38"/>
      <c r="L342" s="31"/>
      <c r="M342" s="39" t="s">
        <v>832</v>
      </c>
      <c r="N342" s="2" t="s">
        <v>24</v>
      </c>
      <c r="O342" s="2" t="s">
        <v>24</v>
      </c>
      <c r="P342" s="2" t="s">
        <v>24</v>
      </c>
      <c r="Q342" s="2"/>
    </row>
    <row r="343" customFormat="false" ht="15" hidden="false" customHeight="false" outlineLevel="0" collapsed="false">
      <c r="A343" s="2" t="s">
        <v>980</v>
      </c>
      <c r="B343" s="2" t="s">
        <v>47</v>
      </c>
      <c r="C343" s="13" t="s">
        <v>2317</v>
      </c>
      <c r="D343" s="29" t="n">
        <v>333180</v>
      </c>
      <c r="E343" s="2" t="s">
        <v>827</v>
      </c>
      <c r="F343" s="43" t="n">
        <v>2.53219447323072</v>
      </c>
      <c r="G343" s="31" t="n">
        <v>84.8</v>
      </c>
      <c r="H343" s="32" t="n">
        <v>-0.00768406004288778</v>
      </c>
      <c r="I343" s="31" t="n">
        <v>11.2</v>
      </c>
      <c r="J343" s="2" t="s">
        <v>2897</v>
      </c>
      <c r="K343" s="33" t="n">
        <v>0.168520063015476</v>
      </c>
      <c r="L343" s="31" t="n">
        <v>78.1</v>
      </c>
      <c r="M343" s="34" t="s">
        <v>822</v>
      </c>
      <c r="N343" s="2" t="s">
        <v>24</v>
      </c>
      <c r="O343" s="2" t="s">
        <v>22</v>
      </c>
      <c r="P343" s="2" t="s">
        <v>24</v>
      </c>
      <c r="Q343" s="2" t="s">
        <v>24</v>
      </c>
    </row>
    <row r="344" customFormat="false" ht="15" hidden="false" customHeight="false" outlineLevel="0" collapsed="false">
      <c r="A344" s="2" t="s">
        <v>2360</v>
      </c>
      <c r="B344" s="2" t="s">
        <v>45</v>
      </c>
      <c r="C344" s="13" t="s">
        <v>2981</v>
      </c>
      <c r="D344" s="29" t="n">
        <v>217030</v>
      </c>
      <c r="E344" s="2" t="s">
        <v>827</v>
      </c>
      <c r="F344" s="36"/>
      <c r="G344" s="31"/>
      <c r="H344" s="32" t="n">
        <v>0.0624143332680634</v>
      </c>
      <c r="I344" s="31" t="n">
        <v>35.7</v>
      </c>
      <c r="J344" s="2" t="s">
        <v>2890</v>
      </c>
      <c r="K344" s="33" t="n">
        <v>0.192184675288555</v>
      </c>
      <c r="L344" s="31" t="n">
        <v>70.2</v>
      </c>
      <c r="M344" s="39" t="s">
        <v>832</v>
      </c>
      <c r="N344" s="2" t="s">
        <v>24</v>
      </c>
      <c r="O344" s="2"/>
      <c r="P344" s="2" t="s">
        <v>24</v>
      </c>
      <c r="Q344" s="2" t="s">
        <v>24</v>
      </c>
    </row>
    <row r="345" customFormat="false" ht="15" hidden="false" customHeight="false" outlineLevel="0" collapsed="false">
      <c r="A345" s="2" t="s">
        <v>2360</v>
      </c>
      <c r="B345" s="2" t="s">
        <v>46</v>
      </c>
      <c r="C345" s="16"/>
      <c r="D345" s="35"/>
      <c r="E345" s="2"/>
      <c r="F345" s="36"/>
      <c r="G345" s="31"/>
      <c r="H345" s="37"/>
      <c r="I345" s="31"/>
      <c r="J345" s="2"/>
      <c r="K345" s="38"/>
      <c r="L345" s="31"/>
      <c r="M345" s="39" t="s">
        <v>832</v>
      </c>
      <c r="N345" s="2"/>
      <c r="O345" s="2"/>
      <c r="P345" s="2"/>
      <c r="Q345" s="2"/>
    </row>
    <row r="346" customFormat="false" ht="15" hidden="false" customHeight="false" outlineLevel="0" collapsed="false">
      <c r="A346" s="2" t="s">
        <v>2360</v>
      </c>
      <c r="B346" s="2" t="s">
        <v>47</v>
      </c>
      <c r="C346" s="13" t="s">
        <v>2361</v>
      </c>
      <c r="D346" s="29" t="n">
        <v>10520</v>
      </c>
      <c r="E346" s="2" t="s">
        <v>821</v>
      </c>
      <c r="F346" s="30" t="n">
        <v>2.06121673003802</v>
      </c>
      <c r="G346" s="31" t="n">
        <v>77.4</v>
      </c>
      <c r="H346" s="32" t="n">
        <v>0.174107142857143</v>
      </c>
      <c r="I346" s="31" t="n">
        <v>86</v>
      </c>
      <c r="J346" s="2" t="s">
        <v>2886</v>
      </c>
      <c r="K346" s="33" t="n">
        <v>0.219895287958115</v>
      </c>
      <c r="L346" s="31" t="n">
        <v>88.7</v>
      </c>
      <c r="M346" s="34" t="s">
        <v>822</v>
      </c>
      <c r="N346" s="2" t="s">
        <v>24</v>
      </c>
      <c r="O346" s="2" t="s">
        <v>24</v>
      </c>
      <c r="P346" s="2" t="s">
        <v>24</v>
      </c>
      <c r="Q346" s="2" t="s">
        <v>24</v>
      </c>
    </row>
    <row r="347" customFormat="false" ht="15" hidden="false" customHeight="false" outlineLevel="0" collapsed="false">
      <c r="A347" s="2" t="s">
        <v>494</v>
      </c>
      <c r="B347" s="2" t="s">
        <v>45</v>
      </c>
      <c r="C347" s="13" t="s">
        <v>1241</v>
      </c>
      <c r="D347" s="29" t="n">
        <v>86110</v>
      </c>
      <c r="E347" s="2" t="s">
        <v>821</v>
      </c>
      <c r="F347" s="30" t="n">
        <v>0.555823946115434</v>
      </c>
      <c r="G347" s="31" t="n">
        <v>48.8</v>
      </c>
      <c r="H347" s="32" t="n">
        <v>0.0448974639000121</v>
      </c>
      <c r="I347" s="31" t="n">
        <v>24.4</v>
      </c>
      <c r="J347" s="2" t="s">
        <v>2883</v>
      </c>
      <c r="K347" s="40" t="s">
        <v>857</v>
      </c>
      <c r="L347" s="31"/>
      <c r="M347" s="34" t="s">
        <v>822</v>
      </c>
      <c r="N347" s="2" t="s">
        <v>24</v>
      </c>
      <c r="O347" s="2" t="s">
        <v>24</v>
      </c>
      <c r="P347" s="2" t="s">
        <v>24</v>
      </c>
      <c r="Q347" s="2" t="s">
        <v>2885</v>
      </c>
    </row>
    <row r="348" customFormat="false" ht="15" hidden="false" customHeight="false" outlineLevel="0" collapsed="false">
      <c r="A348" s="2" t="s">
        <v>630</v>
      </c>
      <c r="B348" s="2" t="s">
        <v>45</v>
      </c>
      <c r="C348" s="13" t="s">
        <v>1453</v>
      </c>
      <c r="D348" s="29" t="n">
        <v>64690</v>
      </c>
      <c r="E348" s="2" t="s">
        <v>821</v>
      </c>
      <c r="F348" s="30" t="n">
        <v>0.320791466996445</v>
      </c>
      <c r="G348" s="31" t="n">
        <v>20</v>
      </c>
      <c r="H348" s="32" t="n">
        <v>0.0874096486804505</v>
      </c>
      <c r="I348" s="31" t="n">
        <v>46.7</v>
      </c>
      <c r="J348" s="2" t="s">
        <v>2883</v>
      </c>
      <c r="K348" s="33" t="n">
        <v>0.063003663003663</v>
      </c>
      <c r="L348" s="31" t="n">
        <v>21.2</v>
      </c>
      <c r="M348" s="34" t="s">
        <v>822</v>
      </c>
      <c r="N348" s="2" t="s">
        <v>24</v>
      </c>
      <c r="O348" s="2" t="s">
        <v>24</v>
      </c>
      <c r="P348" s="2" t="s">
        <v>24</v>
      </c>
      <c r="Q348" s="2" t="s">
        <v>24</v>
      </c>
    </row>
    <row r="349" customFormat="false" ht="15" hidden="false" customHeight="false" outlineLevel="0" collapsed="false">
      <c r="A349" s="2" t="s">
        <v>630</v>
      </c>
      <c r="B349" s="2" t="s">
        <v>47</v>
      </c>
      <c r="C349" s="14" t="s">
        <v>2510</v>
      </c>
      <c r="D349" s="42" t="n">
        <v>9051</v>
      </c>
      <c r="E349" s="2" t="s">
        <v>825</v>
      </c>
      <c r="F349" s="43" t="n">
        <v>1.35001657275439</v>
      </c>
      <c r="G349" s="31" t="n">
        <v>54.3</v>
      </c>
      <c r="H349" s="41" t="n">
        <v>-0.0198180636777128</v>
      </c>
      <c r="I349" s="31" t="n">
        <v>7.5</v>
      </c>
      <c r="J349" s="2" t="s">
        <v>2889</v>
      </c>
      <c r="K349" s="44" t="n">
        <v>0.0922087205146533</v>
      </c>
      <c r="L349" s="31" t="n">
        <v>54.7</v>
      </c>
      <c r="M349" s="34" t="s">
        <v>822</v>
      </c>
      <c r="N349" s="2" t="s">
        <v>22</v>
      </c>
      <c r="O349" s="2" t="s">
        <v>22</v>
      </c>
      <c r="P349" s="2" t="s">
        <v>22</v>
      </c>
      <c r="Q349" s="2" t="s">
        <v>22</v>
      </c>
    </row>
    <row r="350" customFormat="false" ht="15" hidden="false" customHeight="false" outlineLevel="0" collapsed="false">
      <c r="A350" s="2" t="s">
        <v>907</v>
      </c>
      <c r="B350" s="2" t="s">
        <v>45</v>
      </c>
      <c r="C350" s="13" t="s">
        <v>908</v>
      </c>
      <c r="D350" s="42" t="n">
        <v>84833</v>
      </c>
      <c r="E350" s="2" t="s">
        <v>821</v>
      </c>
      <c r="F350" s="43" t="n">
        <v>1.54659153867009</v>
      </c>
      <c r="G350" s="31" t="n">
        <v>90.4</v>
      </c>
      <c r="H350" s="41" t="n">
        <v>0.102586430985183</v>
      </c>
      <c r="I350" s="31" t="n">
        <v>54</v>
      </c>
      <c r="J350" s="2" t="s">
        <v>2883</v>
      </c>
      <c r="K350" s="40" t="s">
        <v>857</v>
      </c>
      <c r="L350" s="31"/>
      <c r="M350" s="34" t="s">
        <v>822</v>
      </c>
      <c r="N350" s="2" t="s">
        <v>22</v>
      </c>
      <c r="O350" s="2" t="s">
        <v>22</v>
      </c>
      <c r="P350" s="2" t="s">
        <v>22</v>
      </c>
      <c r="Q350" s="2" t="s">
        <v>2885</v>
      </c>
    </row>
    <row r="351" customFormat="false" ht="15" hidden="false" customHeight="false" outlineLevel="0" collapsed="false">
      <c r="A351" s="2" t="s">
        <v>907</v>
      </c>
      <c r="B351" s="2" t="s">
        <v>46</v>
      </c>
      <c r="C351" s="13" t="s">
        <v>2982</v>
      </c>
      <c r="D351" s="29" t="n">
        <v>25380</v>
      </c>
      <c r="E351" s="2" t="s">
        <v>821</v>
      </c>
      <c r="F351" s="36"/>
      <c r="G351" s="31"/>
      <c r="H351" s="32" t="n">
        <v>0.121520106053911</v>
      </c>
      <c r="I351" s="31" t="n">
        <v>69.5</v>
      </c>
      <c r="J351" s="2" t="s">
        <v>2884</v>
      </c>
      <c r="K351" s="33" t="n">
        <v>0.0765018521501047</v>
      </c>
      <c r="L351" s="31" t="n">
        <v>23.8</v>
      </c>
      <c r="M351" s="39" t="s">
        <v>832</v>
      </c>
      <c r="N351" s="2" t="s">
        <v>24</v>
      </c>
      <c r="O351" s="2"/>
      <c r="P351" s="2" t="s">
        <v>24</v>
      </c>
      <c r="Q351" s="2" t="s">
        <v>24</v>
      </c>
    </row>
    <row r="352" customFormat="false" ht="15" hidden="false" customHeight="false" outlineLevel="0" collapsed="false">
      <c r="A352" s="2" t="s">
        <v>907</v>
      </c>
      <c r="B352" s="2" t="s">
        <v>47</v>
      </c>
      <c r="C352" s="13" t="s">
        <v>2619</v>
      </c>
      <c r="D352" s="29" t="n">
        <v>207730</v>
      </c>
      <c r="E352" s="2" t="s">
        <v>827</v>
      </c>
      <c r="F352" s="30" t="n">
        <v>0.970471284840899</v>
      </c>
      <c r="G352" s="31" t="n">
        <v>37.6</v>
      </c>
      <c r="H352" s="32" t="n">
        <v>0.289447548106766</v>
      </c>
      <c r="I352" s="31" t="n">
        <v>99.4</v>
      </c>
      <c r="J352" s="2" t="s">
        <v>2897</v>
      </c>
      <c r="K352" s="33" t="n">
        <v>0.0988055050636198</v>
      </c>
      <c r="L352" s="31" t="n">
        <v>58.6</v>
      </c>
      <c r="M352" s="34" t="s">
        <v>822</v>
      </c>
      <c r="N352" s="2" t="s">
        <v>24</v>
      </c>
      <c r="O352" s="2" t="s">
        <v>24</v>
      </c>
      <c r="P352" s="2" t="s">
        <v>24</v>
      </c>
      <c r="Q352" s="2" t="s">
        <v>24</v>
      </c>
    </row>
    <row r="353" customFormat="false" ht="15" hidden="false" customHeight="false" outlineLevel="0" collapsed="false">
      <c r="A353" s="2" t="s">
        <v>760</v>
      </c>
      <c r="B353" s="2" t="s">
        <v>45</v>
      </c>
      <c r="C353" s="13" t="s">
        <v>1532</v>
      </c>
      <c r="D353" s="29" t="n">
        <v>29430</v>
      </c>
      <c r="E353" s="2" t="s">
        <v>821</v>
      </c>
      <c r="F353" s="30" t="n">
        <v>0.202514441046551</v>
      </c>
      <c r="G353" s="31" t="n">
        <v>8.7</v>
      </c>
      <c r="H353" s="48" t="n">
        <v>0.122270742358079</v>
      </c>
      <c r="I353" s="31" t="n">
        <v>66</v>
      </c>
      <c r="J353" s="2" t="s">
        <v>2883</v>
      </c>
      <c r="K353" s="33" t="n">
        <v>0.0135135135135135</v>
      </c>
      <c r="L353" s="31" t="n">
        <v>3.5</v>
      </c>
      <c r="M353" s="34" t="s">
        <v>822</v>
      </c>
      <c r="N353" s="2" t="s">
        <v>24</v>
      </c>
      <c r="O353" s="2" t="s">
        <v>24</v>
      </c>
      <c r="P353" s="2" t="s">
        <v>19</v>
      </c>
      <c r="Q353" s="2" t="s">
        <v>24</v>
      </c>
    </row>
    <row r="354" customFormat="false" ht="15" hidden="false" customHeight="false" outlineLevel="0" collapsed="false">
      <c r="A354" s="2" t="s">
        <v>760</v>
      </c>
      <c r="B354" s="2" t="s">
        <v>46</v>
      </c>
      <c r="C354" s="13" t="s">
        <v>1978</v>
      </c>
      <c r="D354" s="29" t="n">
        <v>125650</v>
      </c>
      <c r="E354" s="2" t="s">
        <v>827</v>
      </c>
      <c r="F354" s="30" t="n">
        <v>2.47986470354158</v>
      </c>
      <c r="G354" s="31" t="n">
        <v>37.9</v>
      </c>
      <c r="H354" s="32" t="n">
        <v>0.237199684915321</v>
      </c>
      <c r="I354" s="31" t="n">
        <v>99.4</v>
      </c>
      <c r="J354" s="2" t="s">
        <v>2888</v>
      </c>
      <c r="K354" s="33" t="n">
        <v>0.081377353623936</v>
      </c>
      <c r="L354" s="31" t="n">
        <v>26.7</v>
      </c>
      <c r="M354" s="34" t="s">
        <v>822</v>
      </c>
      <c r="N354" s="2" t="s">
        <v>24</v>
      </c>
      <c r="O354" s="2" t="s">
        <v>24</v>
      </c>
      <c r="P354" s="2" t="s">
        <v>24</v>
      </c>
      <c r="Q354" s="2" t="s">
        <v>24</v>
      </c>
    </row>
    <row r="355" customFormat="false" ht="15" hidden="false" customHeight="false" outlineLevel="0" collapsed="false">
      <c r="A355" s="2" t="s">
        <v>760</v>
      </c>
      <c r="B355" s="2" t="s">
        <v>47</v>
      </c>
      <c r="C355" s="14" t="s">
        <v>2802</v>
      </c>
      <c r="D355" s="42" t="n">
        <v>247945</v>
      </c>
      <c r="E355" s="2" t="s">
        <v>827</v>
      </c>
      <c r="F355" s="43" t="n">
        <v>0.475532880275868</v>
      </c>
      <c r="G355" s="31" t="n">
        <v>11.3</v>
      </c>
      <c r="H355" s="41" t="n">
        <v>0.145226625035219</v>
      </c>
      <c r="I355" s="31" t="n">
        <v>80.7</v>
      </c>
      <c r="J355" s="2" t="s">
        <v>2897</v>
      </c>
      <c r="K355" s="44" t="n">
        <v>0.0458579881656805</v>
      </c>
      <c r="L355" s="31" t="n">
        <v>29.2</v>
      </c>
      <c r="M355" s="34" t="s">
        <v>822</v>
      </c>
      <c r="N355" s="2" t="s">
        <v>22</v>
      </c>
      <c r="O355" s="2" t="s">
        <v>22</v>
      </c>
      <c r="P355" s="2" t="s">
        <v>22</v>
      </c>
      <c r="Q355" s="2" t="s">
        <v>22</v>
      </c>
    </row>
    <row r="356" customFormat="false" ht="15" hidden="false" customHeight="false" outlineLevel="0" collapsed="false">
      <c r="A356" s="2" t="s">
        <v>1518</v>
      </c>
      <c r="B356" s="2" t="s">
        <v>45</v>
      </c>
      <c r="C356" s="13" t="s">
        <v>1519</v>
      </c>
      <c r="D356" s="29" t="n">
        <v>64690</v>
      </c>
      <c r="E356" s="2" t="s">
        <v>821</v>
      </c>
      <c r="F356" s="30" t="n">
        <v>0.241706600711084</v>
      </c>
      <c r="G356" s="31" t="n">
        <v>11.7</v>
      </c>
      <c r="H356" s="32" t="n">
        <v>0.0386962106615286</v>
      </c>
      <c r="I356" s="31" t="n">
        <v>21.6</v>
      </c>
      <c r="J356" s="2" t="s">
        <v>2883</v>
      </c>
      <c r="K356" s="33" t="n">
        <v>0.142367066895369</v>
      </c>
      <c r="L356" s="31" t="n">
        <v>54.5</v>
      </c>
      <c r="M356" s="34" t="s">
        <v>822</v>
      </c>
      <c r="N356" s="2" t="s">
        <v>24</v>
      </c>
      <c r="O356" s="2" t="s">
        <v>24</v>
      </c>
      <c r="P356" s="2" t="s">
        <v>24</v>
      </c>
      <c r="Q356" s="2" t="s">
        <v>24</v>
      </c>
    </row>
    <row r="357" customFormat="false" ht="15" hidden="false" customHeight="false" outlineLevel="0" collapsed="false">
      <c r="A357" s="2" t="s">
        <v>1518</v>
      </c>
      <c r="B357" s="2" t="s">
        <v>46</v>
      </c>
      <c r="C357" s="16"/>
      <c r="D357" s="35"/>
      <c r="E357" s="2"/>
      <c r="F357" s="36"/>
      <c r="G357" s="31"/>
      <c r="H357" s="37"/>
      <c r="I357" s="31"/>
      <c r="J357" s="2"/>
      <c r="K357" s="38"/>
      <c r="L357" s="31"/>
      <c r="M357" s="39" t="s">
        <v>832</v>
      </c>
      <c r="N357" s="2"/>
      <c r="O357" s="2"/>
      <c r="P357" s="2"/>
      <c r="Q357" s="2"/>
    </row>
    <row r="358" customFormat="false" ht="15" hidden="false" customHeight="false" outlineLevel="0" collapsed="false">
      <c r="A358" s="2" t="s">
        <v>1518</v>
      </c>
      <c r="B358" s="2" t="s">
        <v>47</v>
      </c>
      <c r="C358" s="16"/>
      <c r="D358" s="35"/>
      <c r="E358" s="2"/>
      <c r="F358" s="36"/>
      <c r="G358" s="31"/>
      <c r="H358" s="37"/>
      <c r="I358" s="31"/>
      <c r="J358" s="2"/>
      <c r="K358" s="38"/>
      <c r="L358" s="31"/>
      <c r="M358" s="39" t="s">
        <v>832</v>
      </c>
      <c r="N358" s="2"/>
      <c r="O358" s="2"/>
      <c r="P358" s="2"/>
      <c r="Q358" s="2"/>
    </row>
    <row r="359" customFormat="false" ht="15" hidden="false" customHeight="false" outlineLevel="0" collapsed="false">
      <c r="A359" s="2" t="s">
        <v>572</v>
      </c>
      <c r="B359" s="2" t="s">
        <v>45</v>
      </c>
      <c r="C359" s="13" t="s">
        <v>1524</v>
      </c>
      <c r="D359" s="29" t="n">
        <v>3080</v>
      </c>
      <c r="E359" s="2" t="s">
        <v>825</v>
      </c>
      <c r="F359" s="30" t="n">
        <v>0.218831168831169</v>
      </c>
      <c r="G359" s="31" t="n">
        <v>10.2</v>
      </c>
      <c r="H359" s="41" t="n">
        <v>0.131617647058824</v>
      </c>
      <c r="I359" s="31" t="n">
        <v>74.6</v>
      </c>
      <c r="J359" s="2" t="s">
        <v>2899</v>
      </c>
      <c r="K359" s="44" t="n">
        <v>0.142857142857143</v>
      </c>
      <c r="L359" s="31" t="n">
        <v>54.9</v>
      </c>
      <c r="M359" s="34" t="s">
        <v>822</v>
      </c>
      <c r="N359" s="2" t="s">
        <v>24</v>
      </c>
      <c r="O359" s="2" t="s">
        <v>24</v>
      </c>
      <c r="P359" s="2" t="s">
        <v>22</v>
      </c>
      <c r="Q359" s="2" t="s">
        <v>22</v>
      </c>
    </row>
    <row r="360" customFormat="false" ht="15" hidden="false" customHeight="false" outlineLevel="0" collapsed="false">
      <c r="A360" s="2" t="s">
        <v>572</v>
      </c>
      <c r="B360" s="2" t="s">
        <v>46</v>
      </c>
      <c r="C360" s="13" t="s">
        <v>1964</v>
      </c>
      <c r="D360" s="29" t="n">
        <v>57180</v>
      </c>
      <c r="E360" s="2" t="s">
        <v>821</v>
      </c>
      <c r="F360" s="30" t="n">
        <v>2.55169639734173</v>
      </c>
      <c r="G360" s="31" t="n">
        <v>39.5</v>
      </c>
      <c r="H360" s="32" t="n">
        <v>0.122276741903827</v>
      </c>
      <c r="I360" s="31" t="n">
        <v>70.5</v>
      </c>
      <c r="J360" s="2" t="s">
        <v>2884</v>
      </c>
      <c r="K360" s="33" t="n">
        <v>0.150771309537214</v>
      </c>
      <c r="L360" s="31" t="n">
        <v>55.6</v>
      </c>
      <c r="M360" s="34" t="s">
        <v>822</v>
      </c>
      <c r="N360" s="2" t="s">
        <v>24</v>
      </c>
      <c r="O360" s="2" t="s">
        <v>24</v>
      </c>
      <c r="P360" s="2" t="s">
        <v>24</v>
      </c>
      <c r="Q360" s="2" t="s">
        <v>24</v>
      </c>
    </row>
    <row r="361" customFormat="false" ht="15" hidden="false" customHeight="false" outlineLevel="0" collapsed="false">
      <c r="A361" s="2" t="s">
        <v>572</v>
      </c>
      <c r="B361" s="2" t="s">
        <v>47</v>
      </c>
      <c r="C361" s="14" t="s">
        <v>2364</v>
      </c>
      <c r="D361" s="42" t="n">
        <v>249476</v>
      </c>
      <c r="E361" s="2" t="s">
        <v>827</v>
      </c>
      <c r="F361" s="43" t="n">
        <v>2.04918308775193</v>
      </c>
      <c r="G361" s="31" t="n">
        <v>76.9</v>
      </c>
      <c r="H361" s="41" t="n">
        <v>0.184905839606735</v>
      </c>
      <c r="I361" s="31" t="n">
        <v>94.4</v>
      </c>
      <c r="J361" s="2" t="s">
        <v>2897</v>
      </c>
      <c r="K361" s="44" t="n">
        <v>0.0976265259204093</v>
      </c>
      <c r="L361" s="31" t="n">
        <v>57.7</v>
      </c>
      <c r="M361" s="34" t="s">
        <v>822</v>
      </c>
      <c r="N361" s="2" t="s">
        <v>22</v>
      </c>
      <c r="O361" s="2" t="s">
        <v>22</v>
      </c>
      <c r="P361" s="2" t="s">
        <v>22</v>
      </c>
      <c r="Q361" s="2" t="s">
        <v>22</v>
      </c>
    </row>
    <row r="362" customFormat="false" ht="15" hidden="false" customHeight="false" outlineLevel="0" collapsed="false">
      <c r="A362" s="2" t="s">
        <v>1006</v>
      </c>
      <c r="B362" s="2" t="s">
        <v>45</v>
      </c>
      <c r="C362" s="13" t="s">
        <v>1007</v>
      </c>
      <c r="D362" s="29" t="n">
        <v>1920</v>
      </c>
      <c r="E362" s="2" t="s">
        <v>825</v>
      </c>
      <c r="F362" s="30" t="n">
        <v>0.967708333333333</v>
      </c>
      <c r="G362" s="31" t="n">
        <v>78.1</v>
      </c>
      <c r="H362" s="48" t="n">
        <v>0.102357676825762</v>
      </c>
      <c r="I362" s="31" t="n">
        <v>54.9</v>
      </c>
      <c r="J362" s="2" t="s">
        <v>2899</v>
      </c>
      <c r="K362" s="40" t="s">
        <v>857</v>
      </c>
      <c r="L362" s="31"/>
      <c r="M362" s="34" t="s">
        <v>822</v>
      </c>
      <c r="N362" s="2" t="s">
        <v>24</v>
      </c>
      <c r="O362" s="2" t="s">
        <v>24</v>
      </c>
      <c r="P362" s="2" t="s">
        <v>19</v>
      </c>
      <c r="Q362" s="2" t="s">
        <v>2885</v>
      </c>
    </row>
    <row r="363" customFormat="false" ht="15" hidden="false" customHeight="false" outlineLevel="0" collapsed="false">
      <c r="A363" s="2" t="s">
        <v>1006</v>
      </c>
      <c r="B363" s="2" t="s">
        <v>46</v>
      </c>
      <c r="C363" s="13" t="s">
        <v>1902</v>
      </c>
      <c r="D363" s="29" t="n">
        <v>40220</v>
      </c>
      <c r="E363" s="2" t="s">
        <v>821</v>
      </c>
      <c r="F363" s="30" t="n">
        <v>3.15193933366484</v>
      </c>
      <c r="G363" s="31" t="n">
        <v>49.3</v>
      </c>
      <c r="H363" s="32" t="n">
        <v>0.167150319210679</v>
      </c>
      <c r="I363" s="31" t="n">
        <v>84.7</v>
      </c>
      <c r="J363" s="2" t="s">
        <v>2884</v>
      </c>
      <c r="K363" s="44" t="n">
        <v>0.0888273511556076</v>
      </c>
      <c r="L363" s="31" t="n">
        <v>31.8</v>
      </c>
      <c r="M363" s="34" t="s">
        <v>822</v>
      </c>
      <c r="N363" s="2" t="s">
        <v>24</v>
      </c>
      <c r="O363" s="2" t="s">
        <v>24</v>
      </c>
      <c r="P363" s="2" t="s">
        <v>24</v>
      </c>
      <c r="Q363" s="2" t="s">
        <v>22</v>
      </c>
    </row>
    <row r="364" customFormat="false" ht="15" hidden="false" customHeight="false" outlineLevel="0" collapsed="false">
      <c r="A364" s="2" t="s">
        <v>1006</v>
      </c>
      <c r="B364" s="2" t="s">
        <v>47</v>
      </c>
      <c r="C364" s="15" t="s">
        <v>2983</v>
      </c>
      <c r="D364" s="35"/>
      <c r="E364" s="2"/>
      <c r="F364" s="36"/>
      <c r="G364" s="31"/>
      <c r="H364" s="37"/>
      <c r="I364" s="31"/>
      <c r="J364" s="2"/>
      <c r="K364" s="45" t="n">
        <v>0.15250326076051</v>
      </c>
      <c r="L364" s="31" t="n">
        <v>73.8</v>
      </c>
      <c r="M364" s="39" t="s">
        <v>832</v>
      </c>
      <c r="N364" s="2"/>
      <c r="O364" s="2"/>
      <c r="P364" s="2"/>
      <c r="Q364" s="2" t="s">
        <v>19</v>
      </c>
    </row>
    <row r="365" customFormat="false" ht="15" hidden="false" customHeight="false" outlineLevel="0" collapsed="false">
      <c r="A365" s="2" t="s">
        <v>704</v>
      </c>
      <c r="B365" s="2" t="s">
        <v>47</v>
      </c>
      <c r="C365" s="13" t="s">
        <v>2685</v>
      </c>
      <c r="D365" s="29" t="n">
        <v>98240</v>
      </c>
      <c r="E365" s="2" t="s">
        <v>821</v>
      </c>
      <c r="F365" s="30" t="n">
        <v>0.786583876221498</v>
      </c>
      <c r="G365" s="31" t="n">
        <v>28</v>
      </c>
      <c r="H365" s="32" t="n">
        <v>0.174417214584579</v>
      </c>
      <c r="I365" s="31" t="n">
        <v>86.4</v>
      </c>
      <c r="J365" s="2" t="s">
        <v>2886</v>
      </c>
      <c r="K365" s="33" t="n">
        <v>0.16969196919692</v>
      </c>
      <c r="L365" s="31" t="n">
        <v>78.5</v>
      </c>
      <c r="M365" s="34" t="s">
        <v>822</v>
      </c>
      <c r="N365" s="2" t="s">
        <v>24</v>
      </c>
      <c r="O365" s="2" t="s">
        <v>24</v>
      </c>
      <c r="P365" s="2" t="s">
        <v>24</v>
      </c>
      <c r="Q365" s="2" t="s">
        <v>24</v>
      </c>
    </row>
    <row r="366" customFormat="false" ht="15" hidden="false" customHeight="false" outlineLevel="0" collapsed="false">
      <c r="A366" s="2" t="s">
        <v>922</v>
      </c>
      <c r="B366" s="2" t="s">
        <v>45</v>
      </c>
      <c r="C366" s="13" t="s">
        <v>923</v>
      </c>
      <c r="D366" s="29" t="n">
        <v>119160</v>
      </c>
      <c r="E366" s="2" t="s">
        <v>827</v>
      </c>
      <c r="F366" s="30" t="n">
        <v>1.4327626720376</v>
      </c>
      <c r="G366" s="31" t="n">
        <v>88.5</v>
      </c>
      <c r="H366" s="32" t="n">
        <v>0.00633392449961997</v>
      </c>
      <c r="I366" s="31" t="n">
        <v>15</v>
      </c>
      <c r="J366" s="2" t="s">
        <v>2890</v>
      </c>
      <c r="K366" s="40" t="s">
        <v>857</v>
      </c>
      <c r="L366" s="31"/>
      <c r="M366" s="34" t="s">
        <v>822</v>
      </c>
      <c r="N366" s="2" t="s">
        <v>24</v>
      </c>
      <c r="O366" s="2" t="s">
        <v>24</v>
      </c>
      <c r="P366" s="2" t="s">
        <v>24</v>
      </c>
      <c r="Q366" s="2" t="s">
        <v>2885</v>
      </c>
    </row>
    <row r="367" customFormat="false" ht="15" hidden="false" customHeight="false" outlineLevel="0" collapsed="false">
      <c r="A367" s="2" t="s">
        <v>922</v>
      </c>
      <c r="B367" s="2" t="s">
        <v>46</v>
      </c>
      <c r="C367" s="15" t="s">
        <v>2984</v>
      </c>
      <c r="D367" s="46" t="n">
        <v>31045</v>
      </c>
      <c r="E367" s="2" t="s">
        <v>821</v>
      </c>
      <c r="F367" s="47" t="n">
        <v>1.35554839748752</v>
      </c>
      <c r="G367" s="31" t="n">
        <v>12.4</v>
      </c>
      <c r="H367" s="48" t="n">
        <v>0.19307482418047</v>
      </c>
      <c r="I367" s="31" t="n">
        <v>92</v>
      </c>
      <c r="J367" s="2" t="s">
        <v>2884</v>
      </c>
      <c r="K367" s="38"/>
      <c r="L367" s="31"/>
      <c r="M367" s="39" t="s">
        <v>832</v>
      </c>
      <c r="N367" s="2" t="s">
        <v>19</v>
      </c>
      <c r="O367" s="2" t="s">
        <v>19</v>
      </c>
      <c r="P367" s="2" t="s">
        <v>19</v>
      </c>
      <c r="Q367" s="2"/>
    </row>
    <row r="368" customFormat="false" ht="15" hidden="false" customHeight="false" outlineLevel="0" collapsed="false">
      <c r="A368" s="2" t="s">
        <v>922</v>
      </c>
      <c r="B368" s="2" t="s">
        <v>47</v>
      </c>
      <c r="C368" s="13" t="s">
        <v>2577</v>
      </c>
      <c r="D368" s="29" t="n">
        <v>12100</v>
      </c>
      <c r="E368" s="2" t="s">
        <v>821</v>
      </c>
      <c r="F368" s="30" t="n">
        <v>1.13884297520661</v>
      </c>
      <c r="G368" s="31" t="n">
        <v>44.8</v>
      </c>
      <c r="H368" s="32" t="n">
        <v>0.0558464223385689</v>
      </c>
      <c r="I368" s="31" t="n">
        <v>31.5</v>
      </c>
      <c r="J368" s="2" t="s">
        <v>2886</v>
      </c>
      <c r="K368" s="44" t="n">
        <v>0.00744186046511628</v>
      </c>
      <c r="L368" s="31" t="n">
        <v>5.4</v>
      </c>
      <c r="M368" s="34" t="s">
        <v>822</v>
      </c>
      <c r="N368" s="2" t="s">
        <v>24</v>
      </c>
      <c r="O368" s="2" t="s">
        <v>24</v>
      </c>
      <c r="P368" s="2" t="s">
        <v>24</v>
      </c>
      <c r="Q368" s="2" t="s">
        <v>22</v>
      </c>
    </row>
    <row r="369" customFormat="false" ht="15" hidden="false" customHeight="false" outlineLevel="0" collapsed="false">
      <c r="A369" s="2" t="s">
        <v>1031</v>
      </c>
      <c r="B369" s="2" t="s">
        <v>45</v>
      </c>
      <c r="C369" s="13" t="s">
        <v>1032</v>
      </c>
      <c r="D369" s="29" t="n">
        <v>11000</v>
      </c>
      <c r="E369" s="2" t="s">
        <v>821</v>
      </c>
      <c r="F369" s="30" t="n">
        <v>0.898272727272727</v>
      </c>
      <c r="G369" s="31" t="n">
        <v>75.2</v>
      </c>
      <c r="H369" s="32" t="n">
        <v>0.189189189189189</v>
      </c>
      <c r="I369" s="31" t="n">
        <v>89.3</v>
      </c>
      <c r="J369" s="2" t="s">
        <v>2883</v>
      </c>
      <c r="K369" s="33" t="n">
        <v>0.0422343324250681</v>
      </c>
      <c r="L369" s="31" t="n">
        <v>12.8</v>
      </c>
      <c r="M369" s="34" t="s">
        <v>822</v>
      </c>
      <c r="N369" s="2" t="s">
        <v>24</v>
      </c>
      <c r="O369" s="2" t="s">
        <v>24</v>
      </c>
      <c r="P369" s="2" t="s">
        <v>24</v>
      </c>
      <c r="Q369" s="2" t="s">
        <v>24</v>
      </c>
    </row>
    <row r="370" customFormat="false" ht="15" hidden="false" customHeight="false" outlineLevel="0" collapsed="false">
      <c r="A370" s="2" t="s">
        <v>1031</v>
      </c>
      <c r="B370" s="2" t="s">
        <v>46</v>
      </c>
      <c r="C370" s="16"/>
      <c r="D370" s="35"/>
      <c r="E370" s="2"/>
      <c r="F370" s="36"/>
      <c r="G370" s="31"/>
      <c r="H370" s="37"/>
      <c r="I370" s="31"/>
      <c r="J370" s="2"/>
      <c r="K370" s="38"/>
      <c r="L370" s="31"/>
      <c r="M370" s="39" t="s">
        <v>832</v>
      </c>
      <c r="N370" s="2"/>
      <c r="O370" s="2"/>
      <c r="P370" s="2"/>
      <c r="Q370" s="2"/>
    </row>
    <row r="371" customFormat="false" ht="15" hidden="false" customHeight="false" outlineLevel="0" collapsed="false">
      <c r="A371" s="2" t="s">
        <v>1031</v>
      </c>
      <c r="B371" s="2" t="s">
        <v>47</v>
      </c>
      <c r="C371" s="13" t="s">
        <v>2835</v>
      </c>
      <c r="D371" s="29" t="n">
        <v>10940</v>
      </c>
      <c r="E371" s="2" t="s">
        <v>821</v>
      </c>
      <c r="F371" s="30" t="n">
        <v>0.36819012797075</v>
      </c>
      <c r="G371" s="31" t="n">
        <v>6</v>
      </c>
      <c r="H371" s="32" t="n">
        <v>0.145549738219895</v>
      </c>
      <c r="I371" s="31" t="n">
        <v>75</v>
      </c>
      <c r="J371" s="2" t="s">
        <v>2886</v>
      </c>
      <c r="K371" s="33" t="n">
        <v>0.0659340659340659</v>
      </c>
      <c r="L371" s="31" t="n">
        <v>42.3</v>
      </c>
      <c r="M371" s="34" t="s">
        <v>822</v>
      </c>
      <c r="N371" s="2" t="s">
        <v>24</v>
      </c>
      <c r="O371" s="2" t="s">
        <v>24</v>
      </c>
      <c r="P371" s="2" t="s">
        <v>24</v>
      </c>
      <c r="Q371" s="2" t="s">
        <v>24</v>
      </c>
    </row>
    <row r="372" customFormat="false" ht="15" hidden="false" customHeight="false" outlineLevel="0" collapsed="false">
      <c r="A372" s="2" t="s">
        <v>1247</v>
      </c>
      <c r="B372" s="2" t="s">
        <v>45</v>
      </c>
      <c r="C372" s="13" t="s">
        <v>1248</v>
      </c>
      <c r="D372" s="29" t="n">
        <v>60300</v>
      </c>
      <c r="E372" s="2" t="s">
        <v>821</v>
      </c>
      <c r="F372" s="30" t="n">
        <v>0.545970149253731</v>
      </c>
      <c r="G372" s="31" t="n">
        <v>48</v>
      </c>
      <c r="H372" s="32" t="n">
        <v>0.0230743128605361</v>
      </c>
      <c r="I372" s="31" t="n">
        <v>13.7</v>
      </c>
      <c r="J372" s="2" t="s">
        <v>2883</v>
      </c>
      <c r="K372" s="33" t="n">
        <v>0.016772269847186</v>
      </c>
      <c r="L372" s="31" t="n">
        <v>4.2</v>
      </c>
      <c r="M372" s="34" t="s">
        <v>822</v>
      </c>
      <c r="N372" s="2" t="s">
        <v>24</v>
      </c>
      <c r="O372" s="2" t="s">
        <v>24</v>
      </c>
      <c r="P372" s="2" t="s">
        <v>24</v>
      </c>
      <c r="Q372" s="2" t="s">
        <v>24</v>
      </c>
    </row>
    <row r="373" customFormat="false" ht="15" hidden="false" customHeight="false" outlineLevel="0" collapsed="false">
      <c r="A373" s="2" t="s">
        <v>1247</v>
      </c>
      <c r="B373" s="2" t="s">
        <v>46</v>
      </c>
      <c r="C373" s="13" t="s">
        <v>1825</v>
      </c>
      <c r="D373" s="29" t="n">
        <v>41160</v>
      </c>
      <c r="E373" s="2" t="s">
        <v>821</v>
      </c>
      <c r="F373" s="30" t="n">
        <v>3.9033527696793</v>
      </c>
      <c r="G373" s="31" t="n">
        <v>62.1</v>
      </c>
      <c r="H373" s="32" t="n">
        <v>0.0917771883289125</v>
      </c>
      <c r="I373" s="31" t="n">
        <v>53.8</v>
      </c>
      <c r="J373" s="2" t="s">
        <v>2884</v>
      </c>
      <c r="K373" s="33" t="n">
        <v>0.0897198568431445</v>
      </c>
      <c r="L373" s="31" t="n">
        <v>32.7</v>
      </c>
      <c r="M373" s="34" t="s">
        <v>822</v>
      </c>
      <c r="N373" s="2" t="s">
        <v>24</v>
      </c>
      <c r="O373" s="2" t="s">
        <v>24</v>
      </c>
      <c r="P373" s="2" t="s">
        <v>24</v>
      </c>
      <c r="Q373" s="2" t="s">
        <v>24</v>
      </c>
    </row>
    <row r="374" customFormat="false" ht="15" hidden="false" customHeight="false" outlineLevel="0" collapsed="false">
      <c r="A374" s="2" t="s">
        <v>1247</v>
      </c>
      <c r="B374" s="2" t="s">
        <v>47</v>
      </c>
      <c r="C374" s="15" t="s">
        <v>2985</v>
      </c>
      <c r="D374" s="46" t="n">
        <v>36911</v>
      </c>
      <c r="E374" s="2" t="s">
        <v>821</v>
      </c>
      <c r="F374" s="47" t="n">
        <v>0.389125193031888</v>
      </c>
      <c r="G374" s="31" t="n">
        <v>7.4</v>
      </c>
      <c r="H374" s="37"/>
      <c r="I374" s="31"/>
      <c r="J374" s="2"/>
      <c r="K374" s="45" t="n">
        <v>0.0574452003023432</v>
      </c>
      <c r="L374" s="31" t="n">
        <v>35.8</v>
      </c>
      <c r="M374" s="39" t="s">
        <v>832</v>
      </c>
      <c r="N374" s="2" t="s">
        <v>19</v>
      </c>
      <c r="O374" s="2" t="s">
        <v>19</v>
      </c>
      <c r="P374" s="2"/>
      <c r="Q374" s="2" t="s">
        <v>19</v>
      </c>
    </row>
    <row r="375" customFormat="false" ht="15" hidden="false" customHeight="false" outlineLevel="0" collapsed="false">
      <c r="A375" s="2" t="s">
        <v>178</v>
      </c>
      <c r="B375" s="2" t="s">
        <v>47</v>
      </c>
      <c r="C375" s="14" t="s">
        <v>2356</v>
      </c>
      <c r="D375" s="42" t="n">
        <v>40655</v>
      </c>
      <c r="E375" s="2" t="s">
        <v>821</v>
      </c>
      <c r="F375" s="43" t="n">
        <v>2.09039478538925</v>
      </c>
      <c r="G375" s="31" t="n">
        <v>78</v>
      </c>
      <c r="H375" s="41" t="n">
        <v>0.0949072203818911</v>
      </c>
      <c r="I375" s="31" t="n">
        <v>50</v>
      </c>
      <c r="J375" s="2" t="s">
        <v>2886</v>
      </c>
      <c r="K375" s="44" t="n">
        <v>0.0697597894044093</v>
      </c>
      <c r="L375" s="31" t="n">
        <v>44.4</v>
      </c>
      <c r="M375" s="34" t="s">
        <v>822</v>
      </c>
      <c r="N375" s="2" t="s">
        <v>22</v>
      </c>
      <c r="O375" s="2" t="s">
        <v>22</v>
      </c>
      <c r="P375" s="2" t="s">
        <v>22</v>
      </c>
      <c r="Q375" s="2" t="s">
        <v>22</v>
      </c>
    </row>
    <row r="376" customFormat="false" ht="15" hidden="false" customHeight="false" outlineLevel="0" collapsed="false">
      <c r="A376" s="2" t="s">
        <v>1905</v>
      </c>
      <c r="B376" s="2" t="s">
        <v>45</v>
      </c>
      <c r="C376" s="14" t="s">
        <v>2986</v>
      </c>
      <c r="D376" s="42" t="n">
        <v>10179</v>
      </c>
      <c r="E376" s="2" t="s">
        <v>821</v>
      </c>
      <c r="F376" s="36"/>
      <c r="G376" s="31"/>
      <c r="H376" s="41" t="n">
        <v>0.170269027362612</v>
      </c>
      <c r="I376" s="31" t="n">
        <v>83.2</v>
      </c>
      <c r="J376" s="2" t="s">
        <v>2883</v>
      </c>
      <c r="K376" s="44" t="n">
        <v>0.218340611353712</v>
      </c>
      <c r="L376" s="31" t="n">
        <v>76.6</v>
      </c>
      <c r="M376" s="39" t="s">
        <v>832</v>
      </c>
      <c r="N376" s="2" t="s">
        <v>22</v>
      </c>
      <c r="O376" s="2"/>
      <c r="P376" s="2" t="s">
        <v>22</v>
      </c>
      <c r="Q376" s="2" t="s">
        <v>22</v>
      </c>
    </row>
    <row r="377" customFormat="false" ht="15" hidden="false" customHeight="false" outlineLevel="0" collapsed="false">
      <c r="A377" s="2" t="s">
        <v>1905</v>
      </c>
      <c r="B377" s="2" t="s">
        <v>46</v>
      </c>
      <c r="C377" s="13" t="s">
        <v>1906</v>
      </c>
      <c r="D377" s="29" t="n">
        <v>55870</v>
      </c>
      <c r="E377" s="2" t="s">
        <v>821</v>
      </c>
      <c r="F377" s="30" t="n">
        <v>3.08097368892071</v>
      </c>
      <c r="G377" s="31" t="n">
        <v>47.9</v>
      </c>
      <c r="H377" s="32" t="n">
        <v>-0.0444672481614503</v>
      </c>
      <c r="I377" s="31" t="n">
        <v>4.7</v>
      </c>
      <c r="J377" s="2" t="s">
        <v>2884</v>
      </c>
      <c r="K377" s="33" t="n">
        <v>0.0990234709611102</v>
      </c>
      <c r="L377" s="31" t="n">
        <v>36.9</v>
      </c>
      <c r="M377" s="34" t="s">
        <v>822</v>
      </c>
      <c r="N377" s="2" t="s">
        <v>24</v>
      </c>
      <c r="O377" s="2" t="s">
        <v>24</v>
      </c>
      <c r="P377" s="2" t="s">
        <v>24</v>
      </c>
      <c r="Q377" s="2" t="s">
        <v>24</v>
      </c>
    </row>
    <row r="378" customFormat="false" ht="15" hidden="false" customHeight="false" outlineLevel="0" collapsed="false">
      <c r="A378" s="2" t="s">
        <v>1905</v>
      </c>
      <c r="B378" s="2" t="s">
        <v>47</v>
      </c>
      <c r="C378" s="14" t="s">
        <v>2426</v>
      </c>
      <c r="D378" s="42" t="n">
        <v>113204</v>
      </c>
      <c r="E378" s="2" t="s">
        <v>827</v>
      </c>
      <c r="F378" s="43" t="n">
        <v>1.66069220168899</v>
      </c>
      <c r="G378" s="31" t="n">
        <v>66.7</v>
      </c>
      <c r="H378" s="41" t="n">
        <v>0.020462617412155</v>
      </c>
      <c r="I378" s="31" t="n">
        <v>19.3</v>
      </c>
      <c r="J378" s="2" t="s">
        <v>2897</v>
      </c>
      <c r="K378" s="44" t="n">
        <v>0.0769317034877201</v>
      </c>
      <c r="L378" s="31" t="n">
        <v>47.8</v>
      </c>
      <c r="M378" s="34" t="s">
        <v>822</v>
      </c>
      <c r="N378" s="2" t="s">
        <v>22</v>
      </c>
      <c r="O378" s="2" t="s">
        <v>22</v>
      </c>
      <c r="P378" s="2" t="s">
        <v>22</v>
      </c>
      <c r="Q378" s="2" t="s">
        <v>22</v>
      </c>
    </row>
    <row r="379" customFormat="false" ht="15" hidden="false" customHeight="false" outlineLevel="0" collapsed="false">
      <c r="A379" s="2" t="s">
        <v>524</v>
      </c>
      <c r="B379" s="2" t="s">
        <v>45</v>
      </c>
      <c r="C379" s="14" t="s">
        <v>973</v>
      </c>
      <c r="D379" s="42" t="n">
        <v>52353</v>
      </c>
      <c r="E379" s="2" t="s">
        <v>821</v>
      </c>
      <c r="F379" s="43" t="n">
        <v>1.12622008289878</v>
      </c>
      <c r="G379" s="31" t="n">
        <v>82.2</v>
      </c>
      <c r="H379" s="41" t="n">
        <v>0.0422448288905258</v>
      </c>
      <c r="I379" s="31" t="n">
        <v>23.7</v>
      </c>
      <c r="J379" s="2" t="s">
        <v>2883</v>
      </c>
      <c r="K379" s="44" t="n">
        <v>0.0312292358803987</v>
      </c>
      <c r="L379" s="31" t="n">
        <v>9.3</v>
      </c>
      <c r="M379" s="34" t="s">
        <v>822</v>
      </c>
      <c r="N379" s="2" t="s">
        <v>22</v>
      </c>
      <c r="O379" s="2" t="s">
        <v>22</v>
      </c>
      <c r="P379" s="2" t="s">
        <v>22</v>
      </c>
      <c r="Q379" s="2" t="s">
        <v>22</v>
      </c>
    </row>
    <row r="380" customFormat="false" ht="15" hidden="false" customHeight="false" outlineLevel="0" collapsed="false">
      <c r="A380" s="2" t="s">
        <v>524</v>
      </c>
      <c r="B380" s="2" t="s">
        <v>46</v>
      </c>
      <c r="C380" s="13" t="s">
        <v>1879</v>
      </c>
      <c r="D380" s="29" t="n">
        <v>51430</v>
      </c>
      <c r="E380" s="2" t="s">
        <v>821</v>
      </c>
      <c r="F380" s="30" t="n">
        <v>3.3514874586817</v>
      </c>
      <c r="G380" s="31" t="n">
        <v>53</v>
      </c>
      <c r="H380" s="32" t="n">
        <v>0.0736951983298539</v>
      </c>
      <c r="I380" s="31" t="n">
        <v>43.3</v>
      </c>
      <c r="J380" s="2" t="s">
        <v>2884</v>
      </c>
      <c r="K380" s="33" t="n">
        <v>0.21706978893853</v>
      </c>
      <c r="L380" s="31" t="n">
        <v>73.5</v>
      </c>
      <c r="M380" s="34" t="s">
        <v>822</v>
      </c>
      <c r="N380" s="2" t="s">
        <v>24</v>
      </c>
      <c r="O380" s="2" t="s">
        <v>24</v>
      </c>
      <c r="P380" s="2" t="s">
        <v>24</v>
      </c>
      <c r="Q380" s="2" t="s">
        <v>24</v>
      </c>
    </row>
    <row r="381" customFormat="false" ht="15" hidden="false" customHeight="false" outlineLevel="0" collapsed="false">
      <c r="A381" s="2" t="s">
        <v>524</v>
      </c>
      <c r="B381" s="2" t="s">
        <v>47</v>
      </c>
      <c r="C381" s="14" t="s">
        <v>2855</v>
      </c>
      <c r="D381" s="42" t="n">
        <v>51719</v>
      </c>
      <c r="E381" s="2" t="s">
        <v>821</v>
      </c>
      <c r="F381" s="43" t="n">
        <v>0.290299503083973</v>
      </c>
      <c r="G381" s="31" t="n">
        <v>3.2</v>
      </c>
      <c r="H381" s="41" t="n">
        <v>0.0525041209629826</v>
      </c>
      <c r="I381" s="31" t="n">
        <v>29.2</v>
      </c>
      <c r="J381" s="2" t="s">
        <v>2886</v>
      </c>
      <c r="K381" s="44" t="n">
        <v>0.0648275862068966</v>
      </c>
      <c r="L381" s="31" t="n">
        <v>41.6</v>
      </c>
      <c r="M381" s="34" t="s">
        <v>822</v>
      </c>
      <c r="N381" s="2" t="s">
        <v>22</v>
      </c>
      <c r="O381" s="2" t="s">
        <v>22</v>
      </c>
      <c r="P381" s="2" t="s">
        <v>22</v>
      </c>
      <c r="Q381" s="2" t="s">
        <v>22</v>
      </c>
    </row>
    <row r="382" customFormat="false" ht="15" hidden="false" customHeight="false" outlineLevel="0" collapsed="false">
      <c r="A382" s="2" t="s">
        <v>628</v>
      </c>
      <c r="B382" s="2" t="s">
        <v>45</v>
      </c>
      <c r="C382" s="13" t="s">
        <v>1059</v>
      </c>
      <c r="D382" s="29" t="n">
        <v>96240</v>
      </c>
      <c r="E382" s="2" t="s">
        <v>821</v>
      </c>
      <c r="F382" s="30" t="n">
        <v>0.855995428096426</v>
      </c>
      <c r="G382" s="31" t="n">
        <v>72</v>
      </c>
      <c r="H382" s="32" t="n">
        <v>0.186390532544379</v>
      </c>
      <c r="I382" s="31" t="n">
        <v>88.3</v>
      </c>
      <c r="J382" s="2" t="s">
        <v>2883</v>
      </c>
      <c r="K382" s="33" t="n">
        <v>0.0448015583150718</v>
      </c>
      <c r="L382" s="31" t="n">
        <v>14</v>
      </c>
      <c r="M382" s="34" t="s">
        <v>822</v>
      </c>
      <c r="N382" s="2" t="s">
        <v>24</v>
      </c>
      <c r="O382" s="2" t="s">
        <v>24</v>
      </c>
      <c r="P382" s="2" t="s">
        <v>24</v>
      </c>
      <c r="Q382" s="2" t="s">
        <v>24</v>
      </c>
    </row>
    <row r="383" customFormat="false" ht="15" hidden="false" customHeight="false" outlineLevel="0" collapsed="false">
      <c r="A383" s="2" t="s">
        <v>628</v>
      </c>
      <c r="B383" s="2" t="s">
        <v>47</v>
      </c>
      <c r="C383" s="13" t="s">
        <v>2860</v>
      </c>
      <c r="D383" s="29" t="n">
        <v>1290</v>
      </c>
      <c r="E383" s="2" t="s">
        <v>825</v>
      </c>
      <c r="F383" s="30" t="n">
        <v>0.268992248062016</v>
      </c>
      <c r="G383" s="31" t="n">
        <v>2.3</v>
      </c>
      <c r="H383" s="41" t="n">
        <v>0.136878814298169</v>
      </c>
      <c r="I383" s="31" t="n">
        <v>61.3</v>
      </c>
      <c r="J383" s="2" t="s">
        <v>2889</v>
      </c>
      <c r="K383" s="44" t="n">
        <v>0</v>
      </c>
      <c r="L383" s="31" t="n">
        <v>0.9</v>
      </c>
      <c r="M383" s="34" t="s">
        <v>822</v>
      </c>
      <c r="N383" s="2" t="s">
        <v>24</v>
      </c>
      <c r="O383" s="2" t="s">
        <v>24</v>
      </c>
      <c r="P383" s="2" t="s">
        <v>22</v>
      </c>
      <c r="Q383" s="2" t="s">
        <v>22</v>
      </c>
    </row>
    <row r="384" customFormat="false" ht="15" hidden="false" customHeight="false" outlineLevel="0" collapsed="false">
      <c r="A384" s="2" t="s">
        <v>1082</v>
      </c>
      <c r="B384" s="2" t="s">
        <v>45</v>
      </c>
      <c r="C384" s="13" t="s">
        <v>1083</v>
      </c>
      <c r="D384" s="29" t="n">
        <v>246240</v>
      </c>
      <c r="E384" s="2" t="s">
        <v>827</v>
      </c>
      <c r="F384" s="30" t="n">
        <v>0.815858512020793</v>
      </c>
      <c r="G384" s="31" t="n">
        <v>69.2</v>
      </c>
      <c r="H384" s="32" t="n">
        <v>-0.0527773503615941</v>
      </c>
      <c r="I384" s="31" t="n">
        <v>3.6</v>
      </c>
      <c r="J384" s="2" t="s">
        <v>2890</v>
      </c>
      <c r="K384" s="33" t="n">
        <v>0.129239766081871</v>
      </c>
      <c r="L384" s="31" t="n">
        <v>47.3</v>
      </c>
      <c r="M384" s="34" t="s">
        <v>822</v>
      </c>
      <c r="N384" s="2" t="s">
        <v>24</v>
      </c>
      <c r="O384" s="2" t="s">
        <v>24</v>
      </c>
      <c r="P384" s="2" t="s">
        <v>24</v>
      </c>
      <c r="Q384" s="2" t="s">
        <v>24</v>
      </c>
    </row>
    <row r="385" customFormat="false" ht="15" hidden="false" customHeight="false" outlineLevel="0" collapsed="false">
      <c r="A385" s="2" t="s">
        <v>1082</v>
      </c>
      <c r="B385" s="2" t="s">
        <v>46</v>
      </c>
      <c r="C385" s="16"/>
      <c r="D385" s="35"/>
      <c r="E385" s="2"/>
      <c r="F385" s="36"/>
      <c r="G385" s="31"/>
      <c r="H385" s="37"/>
      <c r="I385" s="31"/>
      <c r="J385" s="2"/>
      <c r="K385" s="38"/>
      <c r="L385" s="31"/>
      <c r="M385" s="39" t="s">
        <v>832</v>
      </c>
      <c r="N385" s="2"/>
      <c r="O385" s="2"/>
      <c r="P385" s="2"/>
      <c r="Q385" s="2"/>
    </row>
    <row r="386" customFormat="false" ht="15" hidden="false" customHeight="false" outlineLevel="0" collapsed="false">
      <c r="A386" s="2" t="s">
        <v>1082</v>
      </c>
      <c r="B386" s="2" t="s">
        <v>47</v>
      </c>
      <c r="C386" s="13" t="s">
        <v>2987</v>
      </c>
      <c r="D386" s="29" t="n">
        <v>468900</v>
      </c>
      <c r="E386" s="2" t="s">
        <v>827</v>
      </c>
      <c r="F386" s="30" t="n">
        <v>1.49910428662828</v>
      </c>
      <c r="G386" s="31" t="n">
        <v>60.1</v>
      </c>
      <c r="H386" s="37"/>
      <c r="I386" s="31"/>
      <c r="J386" s="2"/>
      <c r="K386" s="33" t="n">
        <v>0.081236194755423</v>
      </c>
      <c r="L386" s="31" t="n">
        <v>49.5</v>
      </c>
      <c r="M386" s="39" t="s">
        <v>832</v>
      </c>
      <c r="N386" s="2" t="s">
        <v>24</v>
      </c>
      <c r="O386" s="2" t="s">
        <v>24</v>
      </c>
      <c r="P386" s="2"/>
      <c r="Q386" s="2" t="s">
        <v>24</v>
      </c>
    </row>
    <row r="387" customFormat="false" ht="15" hidden="false" customHeight="false" outlineLevel="0" collapsed="false">
      <c r="A387" s="2" t="s">
        <v>1420</v>
      </c>
      <c r="B387" s="2" t="s">
        <v>45</v>
      </c>
      <c r="C387" s="13" t="s">
        <v>1421</v>
      </c>
      <c r="D387" s="29" t="n">
        <v>108000</v>
      </c>
      <c r="E387" s="2" t="s">
        <v>827</v>
      </c>
      <c r="F387" s="30" t="n">
        <v>0.361611111111111</v>
      </c>
      <c r="G387" s="31" t="n">
        <v>25.1</v>
      </c>
      <c r="H387" s="32" t="n">
        <v>0.127113337507827</v>
      </c>
      <c r="I387" s="31" t="n">
        <v>72.1</v>
      </c>
      <c r="J387" s="2" t="s">
        <v>2890</v>
      </c>
      <c r="K387" s="33" t="n">
        <v>0.0309843707156567</v>
      </c>
      <c r="L387" s="31" t="n">
        <v>9.1</v>
      </c>
      <c r="M387" s="34" t="s">
        <v>822</v>
      </c>
      <c r="N387" s="2" t="s">
        <v>24</v>
      </c>
      <c r="O387" s="2" t="s">
        <v>24</v>
      </c>
      <c r="P387" s="2" t="s">
        <v>24</v>
      </c>
      <c r="Q387" s="2" t="s">
        <v>24</v>
      </c>
    </row>
    <row r="388" customFormat="false" ht="15" hidden="false" customHeight="false" outlineLevel="0" collapsed="false">
      <c r="A388" s="2" t="s">
        <v>1420</v>
      </c>
      <c r="B388" s="2" t="s">
        <v>46</v>
      </c>
      <c r="C388" s="13" t="s">
        <v>2988</v>
      </c>
      <c r="D388" s="29" t="n">
        <v>66910</v>
      </c>
      <c r="E388" s="2" t="s">
        <v>821</v>
      </c>
      <c r="F388" s="36"/>
      <c r="G388" s="31"/>
      <c r="H388" s="32" t="n">
        <v>0.0710741155754762</v>
      </c>
      <c r="I388" s="31" t="n">
        <v>41.8</v>
      </c>
      <c r="J388" s="2" t="s">
        <v>2884</v>
      </c>
      <c r="K388" s="33" t="n">
        <v>0.142073322803226</v>
      </c>
      <c r="L388" s="31" t="n">
        <v>53</v>
      </c>
      <c r="M388" s="39" t="s">
        <v>832</v>
      </c>
      <c r="N388" s="2" t="s">
        <v>24</v>
      </c>
      <c r="O388" s="2"/>
      <c r="P388" s="2" t="s">
        <v>24</v>
      </c>
      <c r="Q388" s="2" t="s">
        <v>24</v>
      </c>
    </row>
    <row r="389" customFormat="false" ht="15" hidden="false" customHeight="false" outlineLevel="0" collapsed="false">
      <c r="A389" s="2" t="s">
        <v>1420</v>
      </c>
      <c r="B389" s="2" t="s">
        <v>47</v>
      </c>
      <c r="C389" s="13" t="s">
        <v>2384</v>
      </c>
      <c r="D389" s="29" t="n">
        <v>124220</v>
      </c>
      <c r="E389" s="2" t="s">
        <v>827</v>
      </c>
      <c r="F389" s="30" t="n">
        <v>1.8904282724199</v>
      </c>
      <c r="G389" s="31" t="n">
        <v>73.4</v>
      </c>
      <c r="H389" s="32" t="n">
        <v>0.0147034798235582</v>
      </c>
      <c r="I389" s="31" t="n">
        <v>17.4</v>
      </c>
      <c r="J389" s="2" t="s">
        <v>2897</v>
      </c>
      <c r="K389" s="33" t="n">
        <v>0.0105556903664159</v>
      </c>
      <c r="L389" s="31" t="n">
        <v>7</v>
      </c>
      <c r="M389" s="34" t="s">
        <v>822</v>
      </c>
      <c r="N389" s="2" t="s">
        <v>24</v>
      </c>
      <c r="O389" s="2" t="s">
        <v>24</v>
      </c>
      <c r="P389" s="2" t="s">
        <v>24</v>
      </c>
      <c r="Q389" s="2" t="s">
        <v>24</v>
      </c>
    </row>
    <row r="390" customFormat="false" ht="15" hidden="false" customHeight="false" outlineLevel="0" collapsed="false">
      <c r="A390" s="2" t="s">
        <v>1288</v>
      </c>
      <c r="B390" s="2" t="s">
        <v>45</v>
      </c>
      <c r="C390" s="13" t="s">
        <v>1289</v>
      </c>
      <c r="D390" s="29" t="n">
        <v>53040</v>
      </c>
      <c r="E390" s="2" t="s">
        <v>821</v>
      </c>
      <c r="F390" s="30" t="n">
        <v>0.509521116138763</v>
      </c>
      <c r="G390" s="31" t="n">
        <v>42.3</v>
      </c>
      <c r="H390" s="32" t="n">
        <v>0.0233455527686668</v>
      </c>
      <c r="I390" s="31" t="n">
        <v>14.4</v>
      </c>
      <c r="J390" s="2" t="s">
        <v>2883</v>
      </c>
      <c r="K390" s="40" t="s">
        <v>857</v>
      </c>
      <c r="L390" s="31"/>
      <c r="M390" s="34" t="s">
        <v>822</v>
      </c>
      <c r="N390" s="2" t="s">
        <v>24</v>
      </c>
      <c r="O390" s="2" t="s">
        <v>24</v>
      </c>
      <c r="P390" s="2" t="s">
        <v>24</v>
      </c>
      <c r="Q390" s="2" t="s">
        <v>2885</v>
      </c>
    </row>
    <row r="391" customFormat="false" ht="15" hidden="false" customHeight="false" outlineLevel="0" collapsed="false">
      <c r="A391" s="2" t="s">
        <v>1288</v>
      </c>
      <c r="B391" s="2" t="s">
        <v>46</v>
      </c>
      <c r="C391" s="16"/>
      <c r="D391" s="35"/>
      <c r="E391" s="2"/>
      <c r="F391" s="36"/>
      <c r="G391" s="31"/>
      <c r="H391" s="37"/>
      <c r="I391" s="31"/>
      <c r="J391" s="2"/>
      <c r="K391" s="38"/>
      <c r="L391" s="31"/>
      <c r="M391" s="39" t="s">
        <v>832</v>
      </c>
      <c r="N391" s="2"/>
      <c r="O391" s="2"/>
      <c r="P391" s="2"/>
      <c r="Q391" s="2"/>
    </row>
    <row r="392" customFormat="false" ht="15" hidden="false" customHeight="false" outlineLevel="0" collapsed="false">
      <c r="A392" s="2" t="s">
        <v>1288</v>
      </c>
      <c r="B392" s="2" t="s">
        <v>47</v>
      </c>
      <c r="C392" s="14" t="s">
        <v>2318</v>
      </c>
      <c r="D392" s="42" t="n">
        <v>15543</v>
      </c>
      <c r="E392" s="2" t="s">
        <v>821</v>
      </c>
      <c r="F392" s="43" t="n">
        <v>2.52621758991186</v>
      </c>
      <c r="G392" s="31" t="n">
        <v>84.7</v>
      </c>
      <c r="H392" s="41" t="n">
        <v>0.117960152485075</v>
      </c>
      <c r="I392" s="31" t="n">
        <v>61.7</v>
      </c>
      <c r="J392" s="2" t="s">
        <v>2886</v>
      </c>
      <c r="K392" s="44" t="n">
        <v>0.0836526181353768</v>
      </c>
      <c r="L392" s="31" t="n">
        <v>51.3</v>
      </c>
      <c r="M392" s="34" t="s">
        <v>822</v>
      </c>
      <c r="N392" s="2" t="s">
        <v>22</v>
      </c>
      <c r="O392" s="2" t="s">
        <v>22</v>
      </c>
      <c r="P392" s="2" t="s">
        <v>22</v>
      </c>
      <c r="Q392" s="2" t="s">
        <v>22</v>
      </c>
    </row>
    <row r="393" customFormat="false" ht="15" hidden="false" customHeight="false" outlineLevel="0" collapsed="false">
      <c r="A393" s="2" t="s">
        <v>926</v>
      </c>
      <c r="B393" s="2" t="s">
        <v>45</v>
      </c>
      <c r="C393" s="13" t="s">
        <v>927</v>
      </c>
      <c r="D393" s="29" t="n">
        <v>25240</v>
      </c>
      <c r="E393" s="2" t="s">
        <v>821</v>
      </c>
      <c r="F393" s="30" t="n">
        <v>1.41564976228209</v>
      </c>
      <c r="G393" s="31" t="n">
        <v>88.1</v>
      </c>
      <c r="H393" s="32" t="n">
        <v>0.169059749884206</v>
      </c>
      <c r="I393" s="31" t="n">
        <v>82.1</v>
      </c>
      <c r="J393" s="2" t="s">
        <v>2883</v>
      </c>
      <c r="K393" s="33" t="n">
        <v>0.0715859030837004</v>
      </c>
      <c r="L393" s="31" t="n">
        <v>23.5</v>
      </c>
      <c r="M393" s="34" t="s">
        <v>822</v>
      </c>
      <c r="N393" s="2" t="s">
        <v>24</v>
      </c>
      <c r="O393" s="2" t="s">
        <v>24</v>
      </c>
      <c r="P393" s="2" t="s">
        <v>24</v>
      </c>
      <c r="Q393" s="2" t="s">
        <v>24</v>
      </c>
    </row>
    <row r="394" customFormat="false" ht="15" hidden="false" customHeight="false" outlineLevel="0" collapsed="false">
      <c r="A394" s="2" t="s">
        <v>926</v>
      </c>
      <c r="B394" s="2" t="s">
        <v>46</v>
      </c>
      <c r="C394" s="13" t="s">
        <v>2989</v>
      </c>
      <c r="D394" s="29" t="n">
        <v>15420</v>
      </c>
      <c r="E394" s="2" t="s">
        <v>821</v>
      </c>
      <c r="F394" s="30" t="n">
        <v>2.03690012970169</v>
      </c>
      <c r="G394" s="31" t="n">
        <v>28.5</v>
      </c>
      <c r="H394" s="32" t="n">
        <v>0.13716814159292</v>
      </c>
      <c r="I394" s="31" t="n">
        <v>76.4</v>
      </c>
      <c r="J394" s="2" t="s">
        <v>2884</v>
      </c>
      <c r="K394" s="38"/>
      <c r="L394" s="31"/>
      <c r="M394" s="39" t="s">
        <v>832</v>
      </c>
      <c r="N394" s="2" t="s">
        <v>24</v>
      </c>
      <c r="O394" s="2" t="s">
        <v>24</v>
      </c>
      <c r="P394" s="2" t="s">
        <v>24</v>
      </c>
      <c r="Q394" s="2"/>
    </row>
    <row r="395" customFormat="false" ht="15" hidden="false" customHeight="false" outlineLevel="0" collapsed="false">
      <c r="A395" s="2" t="s">
        <v>926</v>
      </c>
      <c r="B395" s="2" t="s">
        <v>47</v>
      </c>
      <c r="C395" s="13" t="s">
        <v>2865</v>
      </c>
      <c r="D395" s="29" t="n">
        <v>222650</v>
      </c>
      <c r="E395" s="2" t="s">
        <v>827</v>
      </c>
      <c r="F395" s="43" t="n">
        <v>0.243722935846585</v>
      </c>
      <c r="G395" s="31" t="n">
        <v>1.8</v>
      </c>
      <c r="H395" s="32" t="n">
        <v>0.150527077304671</v>
      </c>
      <c r="I395" s="31" t="n">
        <v>83.2</v>
      </c>
      <c r="J395" s="2" t="s">
        <v>2897</v>
      </c>
      <c r="K395" s="33" t="n">
        <v>0.110574601641719</v>
      </c>
      <c r="L395" s="31" t="n">
        <v>62.5</v>
      </c>
      <c r="M395" s="34" t="s">
        <v>822</v>
      </c>
      <c r="N395" s="2" t="s">
        <v>24</v>
      </c>
      <c r="O395" s="2" t="s">
        <v>22</v>
      </c>
      <c r="P395" s="2" t="s">
        <v>24</v>
      </c>
      <c r="Q395" s="2" t="s">
        <v>24</v>
      </c>
    </row>
    <row r="396" customFormat="false" ht="15" hidden="false" customHeight="false" outlineLevel="0" collapsed="false">
      <c r="A396" s="2" t="s">
        <v>384</v>
      </c>
      <c r="B396" s="2" t="s">
        <v>45</v>
      </c>
      <c r="C396" s="13" t="s">
        <v>1069</v>
      </c>
      <c r="D396" s="29" t="n">
        <v>18030</v>
      </c>
      <c r="E396" s="2" t="s">
        <v>821</v>
      </c>
      <c r="F396" s="30" t="n">
        <v>0.837881308929562</v>
      </c>
      <c r="G396" s="31" t="n">
        <v>70.5</v>
      </c>
      <c r="H396" s="32" t="n">
        <v>0.165481577246283</v>
      </c>
      <c r="I396" s="31" t="n">
        <v>80.4</v>
      </c>
      <c r="J396" s="2" t="s">
        <v>2883</v>
      </c>
      <c r="K396" s="33" t="n">
        <v>0.0571620712844654</v>
      </c>
      <c r="L396" s="31" t="n">
        <v>18.4</v>
      </c>
      <c r="M396" s="34" t="s">
        <v>822</v>
      </c>
      <c r="N396" s="2" t="s">
        <v>24</v>
      </c>
      <c r="O396" s="2" t="s">
        <v>24</v>
      </c>
      <c r="P396" s="2" t="s">
        <v>24</v>
      </c>
      <c r="Q396" s="2" t="s">
        <v>24</v>
      </c>
    </row>
    <row r="397" customFormat="false" ht="15" hidden="false" customHeight="false" outlineLevel="0" collapsed="false">
      <c r="A397" s="2" t="s">
        <v>384</v>
      </c>
      <c r="B397" s="2" t="s">
        <v>46</v>
      </c>
      <c r="C397" s="13" t="s">
        <v>1968</v>
      </c>
      <c r="D397" s="29" t="n">
        <v>600160</v>
      </c>
      <c r="E397" s="2" t="s">
        <v>827</v>
      </c>
      <c r="F397" s="30" t="n">
        <v>2.5393295121301</v>
      </c>
      <c r="G397" s="31" t="n">
        <v>39.1</v>
      </c>
      <c r="H397" s="32" t="n">
        <v>0.0504060487258471</v>
      </c>
      <c r="I397" s="31" t="n">
        <v>35</v>
      </c>
      <c r="J397" s="2" t="s">
        <v>2888</v>
      </c>
      <c r="K397" s="33" t="n">
        <v>0.0877166117959319</v>
      </c>
      <c r="L397" s="31" t="n">
        <v>31.1</v>
      </c>
      <c r="M397" s="34" t="s">
        <v>822</v>
      </c>
      <c r="N397" s="2" t="s">
        <v>24</v>
      </c>
      <c r="O397" s="2" t="s">
        <v>24</v>
      </c>
      <c r="P397" s="2" t="s">
        <v>24</v>
      </c>
      <c r="Q397" s="2" t="s">
        <v>24</v>
      </c>
    </row>
    <row r="398" customFormat="false" ht="15" hidden="false" customHeight="false" outlineLevel="0" collapsed="false">
      <c r="A398" s="2" t="s">
        <v>384</v>
      </c>
      <c r="B398" s="2" t="s">
        <v>47</v>
      </c>
      <c r="C398" s="13" t="s">
        <v>2477</v>
      </c>
      <c r="D398" s="42" t="n">
        <v>14300</v>
      </c>
      <c r="E398" s="2" t="s">
        <v>821</v>
      </c>
      <c r="F398" s="43" t="n">
        <v>1.4779020979021</v>
      </c>
      <c r="G398" s="31" t="n">
        <v>58.9</v>
      </c>
      <c r="H398" s="41" t="n">
        <v>0.0941086457536343</v>
      </c>
      <c r="I398" s="31" t="n">
        <v>49.4</v>
      </c>
      <c r="J398" s="2" t="s">
        <v>2886</v>
      </c>
      <c r="K398" s="33" t="n">
        <v>0.170336037079954</v>
      </c>
      <c r="L398" s="31" t="n">
        <v>78.9</v>
      </c>
      <c r="M398" s="34" t="s">
        <v>822</v>
      </c>
      <c r="N398" s="2" t="s">
        <v>22</v>
      </c>
      <c r="O398" s="2" t="s">
        <v>22</v>
      </c>
      <c r="P398" s="2" t="s">
        <v>22</v>
      </c>
      <c r="Q398" s="2" t="s">
        <v>24</v>
      </c>
    </row>
    <row r="399" customFormat="false" ht="15" hidden="false" customHeight="false" outlineLevel="0" collapsed="false">
      <c r="A399" s="2" t="s">
        <v>1371</v>
      </c>
      <c r="B399" s="2" t="s">
        <v>45</v>
      </c>
      <c r="C399" s="13" t="s">
        <v>1372</v>
      </c>
      <c r="D399" s="29" t="n">
        <v>190160</v>
      </c>
      <c r="E399" s="2" t="s">
        <v>827</v>
      </c>
      <c r="F399" s="30" t="n">
        <v>0.434718132099285</v>
      </c>
      <c r="G399" s="31" t="n">
        <v>32.7</v>
      </c>
      <c r="H399" s="32" t="n">
        <v>0.132039528515299</v>
      </c>
      <c r="I399" s="31" t="n">
        <v>75</v>
      </c>
      <c r="J399" s="2" t="s">
        <v>2890</v>
      </c>
      <c r="K399" s="33" t="n">
        <v>0.198079042670446</v>
      </c>
      <c r="L399" s="31" t="n">
        <v>72.5</v>
      </c>
      <c r="M399" s="34" t="s">
        <v>822</v>
      </c>
      <c r="N399" s="2" t="s">
        <v>24</v>
      </c>
      <c r="O399" s="2" t="s">
        <v>24</v>
      </c>
      <c r="P399" s="2" t="s">
        <v>24</v>
      </c>
      <c r="Q399" s="2" t="s">
        <v>24</v>
      </c>
    </row>
    <row r="400" customFormat="false" ht="15" hidden="false" customHeight="false" outlineLevel="0" collapsed="false">
      <c r="A400" s="2" t="s">
        <v>1371</v>
      </c>
      <c r="B400" s="2" t="s">
        <v>46</v>
      </c>
      <c r="C400" s="13" t="s">
        <v>2990</v>
      </c>
      <c r="D400" s="29" t="n">
        <v>6610</v>
      </c>
      <c r="E400" s="2" t="s">
        <v>825</v>
      </c>
      <c r="F400" s="30" t="n">
        <v>1.67019667170953</v>
      </c>
      <c r="G400" s="31" t="n">
        <v>20.2</v>
      </c>
      <c r="H400" s="37"/>
      <c r="I400" s="31"/>
      <c r="J400" s="2"/>
      <c r="K400" s="33" t="n">
        <v>0.232931726907631</v>
      </c>
      <c r="L400" s="31" t="n">
        <v>77.3</v>
      </c>
      <c r="M400" s="39" t="s">
        <v>832</v>
      </c>
      <c r="N400" s="2" t="s">
        <v>24</v>
      </c>
      <c r="O400" s="2" t="s">
        <v>24</v>
      </c>
      <c r="P400" s="2"/>
      <c r="Q400" s="2" t="s">
        <v>24</v>
      </c>
    </row>
    <row r="401" customFormat="false" ht="15" hidden="false" customHeight="false" outlineLevel="0" collapsed="false">
      <c r="A401" s="2" t="s">
        <v>1371</v>
      </c>
      <c r="B401" s="2" t="s">
        <v>47</v>
      </c>
      <c r="C401" s="14" t="s">
        <v>2738</v>
      </c>
      <c r="D401" s="42" t="n">
        <v>407828</v>
      </c>
      <c r="E401" s="2" t="s">
        <v>827</v>
      </c>
      <c r="F401" s="43" t="n">
        <v>0.651666879174554</v>
      </c>
      <c r="G401" s="31" t="n">
        <v>20.1</v>
      </c>
      <c r="H401" s="41" t="n">
        <v>-0.0293299313818127</v>
      </c>
      <c r="I401" s="31" t="n">
        <v>8.1</v>
      </c>
      <c r="J401" s="2" t="s">
        <v>2897</v>
      </c>
      <c r="K401" s="44" t="n">
        <v>0.345566956064194</v>
      </c>
      <c r="L401" s="31" t="n">
        <v>98</v>
      </c>
      <c r="M401" s="34" t="s">
        <v>822</v>
      </c>
      <c r="N401" s="2" t="s">
        <v>22</v>
      </c>
      <c r="O401" s="2" t="s">
        <v>22</v>
      </c>
      <c r="P401" s="2" t="s">
        <v>22</v>
      </c>
      <c r="Q401" s="2" t="s">
        <v>22</v>
      </c>
    </row>
    <row r="402" customFormat="false" ht="15" hidden="false" customHeight="false" outlineLevel="0" collapsed="false">
      <c r="A402" s="2" t="s">
        <v>1935</v>
      </c>
      <c r="B402" s="2" t="s">
        <v>45</v>
      </c>
      <c r="C402" s="13" t="s">
        <v>2991</v>
      </c>
      <c r="D402" s="35"/>
      <c r="E402" s="2"/>
      <c r="F402" s="36"/>
      <c r="G402" s="31"/>
      <c r="H402" s="37"/>
      <c r="I402" s="31"/>
      <c r="J402" s="2"/>
      <c r="K402" s="40" t="s">
        <v>857</v>
      </c>
      <c r="L402" s="31"/>
      <c r="M402" s="39" t="s">
        <v>832</v>
      </c>
      <c r="N402" s="2"/>
      <c r="O402" s="2"/>
      <c r="P402" s="2"/>
      <c r="Q402" s="2" t="s">
        <v>2885</v>
      </c>
    </row>
    <row r="403" customFormat="false" ht="15" hidden="false" customHeight="false" outlineLevel="0" collapsed="false">
      <c r="A403" s="2" t="s">
        <v>1935</v>
      </c>
      <c r="B403" s="2" t="s">
        <v>46</v>
      </c>
      <c r="C403" s="13" t="s">
        <v>1936</v>
      </c>
      <c r="D403" s="29" t="n">
        <v>146730</v>
      </c>
      <c r="E403" s="2" t="s">
        <v>827</v>
      </c>
      <c r="F403" s="30" t="n">
        <v>2.83839705581681</v>
      </c>
      <c r="G403" s="31" t="n">
        <v>44.2</v>
      </c>
      <c r="H403" s="32" t="n">
        <v>0.133225208526413</v>
      </c>
      <c r="I403" s="31" t="n">
        <v>77.1</v>
      </c>
      <c r="J403" s="2" t="s">
        <v>2888</v>
      </c>
      <c r="K403" s="33" t="n">
        <v>0.132883124307714</v>
      </c>
      <c r="L403" s="31" t="n">
        <v>50.3</v>
      </c>
      <c r="M403" s="34" t="s">
        <v>822</v>
      </c>
      <c r="N403" s="2" t="s">
        <v>24</v>
      </c>
      <c r="O403" s="2" t="s">
        <v>24</v>
      </c>
      <c r="P403" s="2" t="s">
        <v>24</v>
      </c>
      <c r="Q403" s="2" t="s">
        <v>24</v>
      </c>
    </row>
    <row r="404" customFormat="false" ht="15" hidden="false" customHeight="false" outlineLevel="0" collapsed="false">
      <c r="A404" s="2" t="s">
        <v>2992</v>
      </c>
      <c r="B404" s="2" t="s">
        <v>45</v>
      </c>
      <c r="C404" s="16"/>
      <c r="D404" s="35"/>
      <c r="E404" s="2"/>
      <c r="F404" s="36"/>
      <c r="G404" s="31"/>
      <c r="H404" s="37"/>
      <c r="I404" s="31"/>
      <c r="J404" s="2"/>
      <c r="K404" s="38"/>
      <c r="L404" s="31"/>
      <c r="M404" s="39" t="s">
        <v>832</v>
      </c>
      <c r="N404" s="2"/>
      <c r="O404" s="2"/>
      <c r="P404" s="2"/>
      <c r="Q404" s="2"/>
    </row>
    <row r="405" customFormat="false" ht="15" hidden="false" customHeight="false" outlineLevel="0" collapsed="false">
      <c r="A405" s="2" t="s">
        <v>2992</v>
      </c>
      <c r="B405" s="2" t="s">
        <v>47</v>
      </c>
      <c r="C405" s="13" t="s">
        <v>2993</v>
      </c>
      <c r="D405" s="35"/>
      <c r="E405" s="2"/>
      <c r="F405" s="36"/>
      <c r="G405" s="31"/>
      <c r="H405" s="37"/>
      <c r="I405" s="31"/>
      <c r="J405" s="2"/>
      <c r="K405" s="33" t="n">
        <v>0.0599708348523514</v>
      </c>
      <c r="L405" s="31" t="n">
        <v>37.3</v>
      </c>
      <c r="M405" s="39" t="s">
        <v>832</v>
      </c>
      <c r="N405" s="2"/>
      <c r="O405" s="2"/>
      <c r="P405" s="2"/>
      <c r="Q405" s="2" t="s">
        <v>24</v>
      </c>
    </row>
    <row r="406" customFormat="false" ht="15" hidden="false" customHeight="false" outlineLevel="0" collapsed="false">
      <c r="A406" s="2" t="s">
        <v>138</v>
      </c>
      <c r="B406" s="2" t="s">
        <v>46</v>
      </c>
      <c r="C406" s="13" t="s">
        <v>1701</v>
      </c>
      <c r="D406" s="29" t="n">
        <v>35830</v>
      </c>
      <c r="E406" s="2" t="s">
        <v>821</v>
      </c>
      <c r="F406" s="30" t="n">
        <v>6.46784817192297</v>
      </c>
      <c r="G406" s="31" t="n">
        <v>82.9</v>
      </c>
      <c r="H406" s="32" t="n">
        <v>-0.122673849167483</v>
      </c>
      <c r="I406" s="31" t="n">
        <v>0.7</v>
      </c>
      <c r="J406" s="2" t="s">
        <v>2884</v>
      </c>
      <c r="K406" s="33" t="n">
        <v>0.121209203812458</v>
      </c>
      <c r="L406" s="31" t="n">
        <v>45.5</v>
      </c>
      <c r="M406" s="34" t="s">
        <v>822</v>
      </c>
      <c r="N406" s="2" t="s">
        <v>24</v>
      </c>
      <c r="O406" s="2" t="s">
        <v>24</v>
      </c>
      <c r="P406" s="2" t="s">
        <v>24</v>
      </c>
      <c r="Q406" s="2" t="s">
        <v>24</v>
      </c>
    </row>
    <row r="407" customFormat="false" ht="15" hidden="false" customHeight="false" outlineLevel="0" collapsed="false">
      <c r="A407" s="2" t="s">
        <v>138</v>
      </c>
      <c r="B407" s="2" t="s">
        <v>47</v>
      </c>
      <c r="C407" s="14" t="s">
        <v>2292</v>
      </c>
      <c r="D407" s="42" t="n">
        <v>33594</v>
      </c>
      <c r="E407" s="2" t="s">
        <v>821</v>
      </c>
      <c r="F407" s="43" t="n">
        <v>2.85905221170447</v>
      </c>
      <c r="G407" s="31" t="n">
        <v>88.7</v>
      </c>
      <c r="H407" s="41" t="n">
        <v>0.0429032658636533</v>
      </c>
      <c r="I407" s="31" t="n">
        <v>24.7</v>
      </c>
      <c r="J407" s="2" t="s">
        <v>2886</v>
      </c>
      <c r="K407" s="44" t="n">
        <v>0.0393530098382525</v>
      </c>
      <c r="L407" s="31" t="n">
        <v>26</v>
      </c>
      <c r="M407" s="34" t="s">
        <v>822</v>
      </c>
      <c r="N407" s="2" t="s">
        <v>22</v>
      </c>
      <c r="O407" s="2" t="s">
        <v>22</v>
      </c>
      <c r="P407" s="2" t="s">
        <v>22</v>
      </c>
      <c r="Q407" s="2" t="s">
        <v>22</v>
      </c>
    </row>
    <row r="408" customFormat="false" ht="15" hidden="false" customHeight="false" outlineLevel="0" collapsed="false">
      <c r="A408" s="2" t="s">
        <v>580</v>
      </c>
      <c r="B408" s="2" t="s">
        <v>46</v>
      </c>
      <c r="C408" s="13" t="s">
        <v>1959</v>
      </c>
      <c r="D408" s="29" t="n">
        <v>171990</v>
      </c>
      <c r="E408" s="2" t="s">
        <v>827</v>
      </c>
      <c r="F408" s="30" t="n">
        <v>2.61916390487819</v>
      </c>
      <c r="G408" s="31" t="n">
        <v>40.9</v>
      </c>
      <c r="H408" s="32" t="n">
        <v>0.140063635158425</v>
      </c>
      <c r="I408" s="31" t="n">
        <v>81.5</v>
      </c>
      <c r="J408" s="2" t="s">
        <v>2888</v>
      </c>
      <c r="K408" s="33" t="n">
        <v>0.272634520693785</v>
      </c>
      <c r="L408" s="31" t="n">
        <v>85</v>
      </c>
      <c r="M408" s="34" t="s">
        <v>822</v>
      </c>
      <c r="N408" s="2" t="s">
        <v>24</v>
      </c>
      <c r="O408" s="2" t="s">
        <v>24</v>
      </c>
      <c r="P408" s="2" t="s">
        <v>24</v>
      </c>
      <c r="Q408" s="2" t="s">
        <v>24</v>
      </c>
    </row>
    <row r="409" customFormat="false" ht="15" hidden="false" customHeight="false" outlineLevel="0" collapsed="false">
      <c r="A409" s="2" t="s">
        <v>2543</v>
      </c>
      <c r="B409" s="2" t="s">
        <v>45</v>
      </c>
      <c r="C409" s="16"/>
      <c r="D409" s="35"/>
      <c r="E409" s="2"/>
      <c r="F409" s="36"/>
      <c r="G409" s="31"/>
      <c r="H409" s="37"/>
      <c r="I409" s="31"/>
      <c r="J409" s="2"/>
      <c r="K409" s="38"/>
      <c r="L409" s="31"/>
      <c r="M409" s="39" t="s">
        <v>832</v>
      </c>
      <c r="N409" s="2"/>
      <c r="O409" s="2"/>
      <c r="P409" s="2"/>
      <c r="Q409" s="2"/>
    </row>
    <row r="410" customFormat="false" ht="15" hidden="false" customHeight="false" outlineLevel="0" collapsed="false">
      <c r="A410" s="2" t="s">
        <v>2543</v>
      </c>
      <c r="B410" s="2" t="s">
        <v>46</v>
      </c>
      <c r="C410" s="13" t="s">
        <v>2994</v>
      </c>
      <c r="D410" s="29" t="n">
        <v>7360</v>
      </c>
      <c r="E410" s="2" t="s">
        <v>825</v>
      </c>
      <c r="F410" s="30" t="n">
        <v>3.07907608695652</v>
      </c>
      <c r="G410" s="31" t="n">
        <v>47.5</v>
      </c>
      <c r="H410" s="32" t="n">
        <v>0.210526315789474</v>
      </c>
      <c r="I410" s="31" t="n">
        <v>96.2</v>
      </c>
      <c r="J410" s="2" t="s">
        <v>2905</v>
      </c>
      <c r="K410" s="38"/>
      <c r="L410" s="31"/>
      <c r="M410" s="39" t="s">
        <v>832</v>
      </c>
      <c r="N410" s="2" t="s">
        <v>24</v>
      </c>
      <c r="O410" s="2" t="s">
        <v>24</v>
      </c>
      <c r="P410" s="2" t="s">
        <v>24</v>
      </c>
      <c r="Q410" s="2"/>
    </row>
    <row r="411" customFormat="false" ht="15" hidden="false" customHeight="false" outlineLevel="0" collapsed="false">
      <c r="A411" s="2" t="s">
        <v>2543</v>
      </c>
      <c r="B411" s="2" t="s">
        <v>47</v>
      </c>
      <c r="C411" s="13" t="s">
        <v>2544</v>
      </c>
      <c r="D411" s="29" t="n">
        <v>315480</v>
      </c>
      <c r="E411" s="2" t="s">
        <v>827</v>
      </c>
      <c r="F411" s="30" t="n">
        <v>1.24725180677064</v>
      </c>
      <c r="G411" s="31" t="n">
        <v>49.7</v>
      </c>
      <c r="H411" s="32" t="n">
        <v>0.0516701113407561</v>
      </c>
      <c r="I411" s="31" t="n">
        <v>31.7</v>
      </c>
      <c r="J411" s="2" t="s">
        <v>2897</v>
      </c>
      <c r="K411" s="44" t="n">
        <v>0.159680963620086</v>
      </c>
      <c r="L411" s="31" t="n">
        <v>75.8</v>
      </c>
      <c r="M411" s="34" t="s">
        <v>822</v>
      </c>
      <c r="N411" s="2" t="s">
        <v>24</v>
      </c>
      <c r="O411" s="2" t="s">
        <v>24</v>
      </c>
      <c r="P411" s="2" t="s">
        <v>24</v>
      </c>
      <c r="Q411" s="2" t="s">
        <v>22</v>
      </c>
    </row>
    <row r="412" customFormat="false" ht="15" hidden="false" customHeight="false" outlineLevel="0" collapsed="false">
      <c r="A412" s="2" t="s">
        <v>2201</v>
      </c>
      <c r="B412" s="2" t="s">
        <v>45</v>
      </c>
      <c r="C412" s="13" t="s">
        <v>2995</v>
      </c>
      <c r="D412" s="29" t="n">
        <v>18400</v>
      </c>
      <c r="E412" s="2" t="s">
        <v>821</v>
      </c>
      <c r="F412" s="36"/>
      <c r="G412" s="31"/>
      <c r="H412" s="32" t="n">
        <v>0.10910186859554</v>
      </c>
      <c r="I412" s="31" t="n">
        <v>58.1</v>
      </c>
      <c r="J412" s="2" t="s">
        <v>2883</v>
      </c>
      <c r="K412" s="38"/>
      <c r="L412" s="31"/>
      <c r="M412" s="39" t="s">
        <v>832</v>
      </c>
      <c r="N412" s="2" t="s">
        <v>24</v>
      </c>
      <c r="O412" s="2"/>
      <c r="P412" s="2" t="s">
        <v>24</v>
      </c>
      <c r="Q412" s="2"/>
    </row>
    <row r="413" customFormat="false" ht="15" hidden="false" customHeight="false" outlineLevel="0" collapsed="false">
      <c r="A413" s="2" t="s">
        <v>2201</v>
      </c>
      <c r="B413" s="2" t="s">
        <v>46</v>
      </c>
      <c r="C413" s="13" t="s">
        <v>2202</v>
      </c>
      <c r="D413" s="29" t="n">
        <v>29170</v>
      </c>
      <c r="E413" s="2" t="s">
        <v>821</v>
      </c>
      <c r="F413" s="30" t="n">
        <v>0.479945149125814</v>
      </c>
      <c r="G413" s="31" t="n">
        <v>1.4</v>
      </c>
      <c r="H413" s="32" t="n">
        <v>0.117624521072797</v>
      </c>
      <c r="I413" s="31" t="n">
        <v>67.3</v>
      </c>
      <c r="J413" s="2" t="s">
        <v>2884</v>
      </c>
      <c r="K413" s="33" t="n">
        <v>0.148296593186373</v>
      </c>
      <c r="L413" s="31" t="n">
        <v>54.5</v>
      </c>
      <c r="M413" s="34" t="s">
        <v>822</v>
      </c>
      <c r="N413" s="2" t="s">
        <v>24</v>
      </c>
      <c r="O413" s="2" t="s">
        <v>24</v>
      </c>
      <c r="P413" s="2" t="s">
        <v>24</v>
      </c>
      <c r="Q413" s="2" t="s">
        <v>24</v>
      </c>
    </row>
    <row r="414" customFormat="false" ht="15" hidden="false" customHeight="false" outlineLevel="0" collapsed="false">
      <c r="A414" s="2" t="s">
        <v>2201</v>
      </c>
      <c r="B414" s="2" t="s">
        <v>47</v>
      </c>
      <c r="C414" s="13" t="s">
        <v>2765</v>
      </c>
      <c r="D414" s="29" t="n">
        <v>16800</v>
      </c>
      <c r="E414" s="2" t="s">
        <v>821</v>
      </c>
      <c r="F414" s="30" t="n">
        <v>0.575654761904762</v>
      </c>
      <c r="G414" s="31" t="n">
        <v>16.6</v>
      </c>
      <c r="H414" s="32" t="n">
        <v>0.103086014445174</v>
      </c>
      <c r="I414" s="31" t="n">
        <v>54.5</v>
      </c>
      <c r="J414" s="2" t="s">
        <v>2886</v>
      </c>
      <c r="K414" s="33" t="n">
        <v>0.0650969529085873</v>
      </c>
      <c r="L414" s="31" t="n">
        <v>41.8</v>
      </c>
      <c r="M414" s="34" t="s">
        <v>822</v>
      </c>
      <c r="N414" s="2" t="s">
        <v>24</v>
      </c>
      <c r="O414" s="2" t="s">
        <v>24</v>
      </c>
      <c r="P414" s="2" t="s">
        <v>24</v>
      </c>
      <c r="Q414" s="2" t="s">
        <v>24</v>
      </c>
    </row>
    <row r="415" customFormat="false" ht="15" hidden="false" customHeight="false" outlineLevel="0" collapsed="false">
      <c r="A415" s="2" t="s">
        <v>2246</v>
      </c>
      <c r="B415" s="2" t="s">
        <v>47</v>
      </c>
      <c r="C415" s="15" t="s">
        <v>2247</v>
      </c>
      <c r="D415" s="46" t="n">
        <v>14791</v>
      </c>
      <c r="E415" s="2" t="s">
        <v>821</v>
      </c>
      <c r="F415" s="47" t="n">
        <v>4.05956324792103</v>
      </c>
      <c r="G415" s="31" t="n">
        <v>95.1</v>
      </c>
      <c r="H415" s="48" t="n">
        <v>0.26203071672355</v>
      </c>
      <c r="I415" s="31" t="n">
        <v>99</v>
      </c>
      <c r="J415" s="2" t="s">
        <v>2886</v>
      </c>
      <c r="K415" s="45" t="n">
        <v>0.108734804142278</v>
      </c>
      <c r="L415" s="31" t="n">
        <v>62</v>
      </c>
      <c r="M415" s="34" t="s">
        <v>822</v>
      </c>
      <c r="N415" s="2" t="s">
        <v>19</v>
      </c>
      <c r="O415" s="2" t="s">
        <v>19</v>
      </c>
      <c r="P415" s="2" t="s">
        <v>19</v>
      </c>
      <c r="Q415" s="2" t="s">
        <v>19</v>
      </c>
    </row>
    <row r="416" customFormat="false" ht="15" hidden="false" customHeight="false" outlineLevel="0" collapsed="false">
      <c r="A416" s="2" t="s">
        <v>404</v>
      </c>
      <c r="B416" s="2" t="s">
        <v>46</v>
      </c>
      <c r="C416" s="13" t="s">
        <v>1952</v>
      </c>
      <c r="D416" s="29" t="n">
        <v>3860</v>
      </c>
      <c r="E416" s="2" t="s">
        <v>825</v>
      </c>
      <c r="F416" s="30" t="n">
        <v>2.7059585492228</v>
      </c>
      <c r="G416" s="31" t="n">
        <v>42</v>
      </c>
      <c r="H416" s="41" t="n">
        <v>0.0962536023054755</v>
      </c>
      <c r="I416" s="31" t="n">
        <v>34</v>
      </c>
      <c r="J416" s="2" t="s">
        <v>2905</v>
      </c>
      <c r="K416" s="33" t="n">
        <v>0.156084656084656</v>
      </c>
      <c r="L416" s="31" t="n">
        <v>57.6</v>
      </c>
      <c r="M416" s="34" t="s">
        <v>822</v>
      </c>
      <c r="N416" s="2" t="s">
        <v>24</v>
      </c>
      <c r="O416" s="2" t="s">
        <v>24</v>
      </c>
      <c r="P416" s="2" t="s">
        <v>22</v>
      </c>
      <c r="Q416" s="2" t="s">
        <v>24</v>
      </c>
    </row>
    <row r="417" customFormat="false" ht="15" hidden="false" customHeight="false" outlineLevel="0" collapsed="false">
      <c r="A417" s="2" t="s">
        <v>404</v>
      </c>
      <c r="B417" s="2" t="s">
        <v>47</v>
      </c>
      <c r="C417" s="14" t="s">
        <v>2420</v>
      </c>
      <c r="D417" s="42" t="n">
        <v>28882</v>
      </c>
      <c r="E417" s="2" t="s">
        <v>821</v>
      </c>
      <c r="F417" s="43" t="n">
        <v>1.68371303926321</v>
      </c>
      <c r="G417" s="31" t="n">
        <v>67.7</v>
      </c>
      <c r="H417" s="41" t="n">
        <v>0.0873837581416362</v>
      </c>
      <c r="I417" s="31" t="n">
        <v>46.1</v>
      </c>
      <c r="J417" s="2" t="s">
        <v>2886</v>
      </c>
      <c r="K417" s="44" t="n">
        <v>0.0159409020217729</v>
      </c>
      <c r="L417" s="31" t="n">
        <v>10</v>
      </c>
      <c r="M417" s="34" t="s">
        <v>822</v>
      </c>
      <c r="N417" s="2" t="s">
        <v>22</v>
      </c>
      <c r="O417" s="2" t="s">
        <v>22</v>
      </c>
      <c r="P417" s="2" t="s">
        <v>22</v>
      </c>
      <c r="Q417" s="2" t="s">
        <v>22</v>
      </c>
    </row>
    <row r="418" customFormat="false" ht="15" hidden="false" customHeight="false" outlineLevel="0" collapsed="false">
      <c r="A418" s="2" t="s">
        <v>1908</v>
      </c>
      <c r="B418" s="2" t="s">
        <v>45</v>
      </c>
      <c r="C418" s="16"/>
      <c r="D418" s="35"/>
      <c r="E418" s="2"/>
      <c r="F418" s="36"/>
      <c r="G418" s="31"/>
      <c r="H418" s="37"/>
      <c r="I418" s="31"/>
      <c r="J418" s="2"/>
      <c r="K418" s="38"/>
      <c r="L418" s="31"/>
      <c r="M418" s="39" t="s">
        <v>832</v>
      </c>
      <c r="N418" s="2"/>
      <c r="O418" s="2"/>
      <c r="P418" s="2"/>
      <c r="Q418" s="2"/>
    </row>
    <row r="419" customFormat="false" ht="15" hidden="false" customHeight="false" outlineLevel="0" collapsed="false">
      <c r="A419" s="2" t="s">
        <v>1908</v>
      </c>
      <c r="B419" s="2" t="s">
        <v>46</v>
      </c>
      <c r="C419" s="13" t="s">
        <v>1909</v>
      </c>
      <c r="D419" s="29" t="n">
        <v>241850</v>
      </c>
      <c r="E419" s="2" t="s">
        <v>827</v>
      </c>
      <c r="F419" s="30" t="n">
        <v>3.08072358900145</v>
      </c>
      <c r="G419" s="31" t="n">
        <v>47.7</v>
      </c>
      <c r="H419" s="32" t="n">
        <v>0.0171166624610985</v>
      </c>
      <c r="I419" s="31" t="n">
        <v>21</v>
      </c>
      <c r="J419" s="2" t="s">
        <v>2888</v>
      </c>
      <c r="K419" s="33" t="n">
        <v>0.0561667807958609</v>
      </c>
      <c r="L419" s="31" t="n">
        <v>13.5</v>
      </c>
      <c r="M419" s="34" t="s">
        <v>822</v>
      </c>
      <c r="N419" s="2" t="s">
        <v>24</v>
      </c>
      <c r="O419" s="2" t="s">
        <v>24</v>
      </c>
      <c r="P419" s="2" t="s">
        <v>24</v>
      </c>
      <c r="Q419" s="2" t="s">
        <v>24</v>
      </c>
    </row>
    <row r="420" customFormat="false" ht="15" hidden="false" customHeight="false" outlineLevel="0" collapsed="false">
      <c r="A420" s="2" t="s">
        <v>1908</v>
      </c>
      <c r="B420" s="2" t="s">
        <v>47</v>
      </c>
      <c r="C420" s="14" t="s">
        <v>2264</v>
      </c>
      <c r="D420" s="42" t="n">
        <v>196244</v>
      </c>
      <c r="E420" s="2" t="s">
        <v>827</v>
      </c>
      <c r="F420" s="43" t="n">
        <v>3.60934347037362</v>
      </c>
      <c r="G420" s="31" t="n">
        <v>93.3</v>
      </c>
      <c r="H420" s="41" t="n">
        <v>0.0925509408751809</v>
      </c>
      <c r="I420" s="31" t="n">
        <v>54</v>
      </c>
      <c r="J420" s="2" t="s">
        <v>2897</v>
      </c>
      <c r="K420" s="44" t="n">
        <v>0.0979345751777481</v>
      </c>
      <c r="L420" s="31" t="n">
        <v>57.9</v>
      </c>
      <c r="M420" s="34" t="s">
        <v>822</v>
      </c>
      <c r="N420" s="2" t="s">
        <v>22</v>
      </c>
      <c r="O420" s="2" t="s">
        <v>22</v>
      </c>
      <c r="P420" s="2" t="s">
        <v>22</v>
      </c>
      <c r="Q420" s="2" t="s">
        <v>22</v>
      </c>
    </row>
    <row r="421" customFormat="false" ht="15" hidden="false" customHeight="false" outlineLevel="0" collapsed="false">
      <c r="A421" s="2" t="s">
        <v>2525</v>
      </c>
      <c r="B421" s="2" t="s">
        <v>45</v>
      </c>
      <c r="C421" s="16"/>
      <c r="D421" s="29" t="n">
        <v>19400</v>
      </c>
      <c r="E421" s="2" t="s">
        <v>821</v>
      </c>
      <c r="F421" s="30" t="n">
        <v>0.691030927835052</v>
      </c>
      <c r="G421" s="31" t="n">
        <v>60.5</v>
      </c>
      <c r="H421" s="32" t="n">
        <v>0.143193871538008</v>
      </c>
      <c r="I421" s="31" t="n">
        <v>74.9</v>
      </c>
      <c r="J421" s="2" t="s">
        <v>2883</v>
      </c>
      <c r="K421" s="33" t="n">
        <v>0.160146699266504</v>
      </c>
      <c r="L421" s="31" t="n">
        <v>62</v>
      </c>
      <c r="M421" s="39" t="s">
        <v>832</v>
      </c>
      <c r="N421" s="2" t="s">
        <v>24</v>
      </c>
      <c r="O421" s="2" t="s">
        <v>24</v>
      </c>
      <c r="P421" s="2" t="s">
        <v>24</v>
      </c>
      <c r="Q421" s="2" t="s">
        <v>24</v>
      </c>
    </row>
    <row r="422" customFormat="false" ht="15" hidden="false" customHeight="false" outlineLevel="0" collapsed="false">
      <c r="A422" s="2" t="s">
        <v>2525</v>
      </c>
      <c r="B422" s="2" t="s">
        <v>46</v>
      </c>
      <c r="C422" s="13" t="s">
        <v>2996</v>
      </c>
      <c r="D422" s="29" t="n">
        <v>38060</v>
      </c>
      <c r="E422" s="2" t="s">
        <v>821</v>
      </c>
      <c r="F422" s="30" t="n">
        <v>6.78975302154493</v>
      </c>
      <c r="G422" s="31" t="n">
        <v>84.7</v>
      </c>
      <c r="H422" s="32" t="n">
        <v>0.186778921110072</v>
      </c>
      <c r="I422" s="31" t="n">
        <v>90.9</v>
      </c>
      <c r="J422" s="2" t="s">
        <v>2884</v>
      </c>
      <c r="K422" s="38"/>
      <c r="L422" s="31"/>
      <c r="M422" s="39" t="s">
        <v>832</v>
      </c>
      <c r="N422" s="2" t="s">
        <v>24</v>
      </c>
      <c r="O422" s="2" t="s">
        <v>24</v>
      </c>
      <c r="P422" s="2" t="s">
        <v>24</v>
      </c>
      <c r="Q422" s="2"/>
    </row>
    <row r="423" customFormat="false" ht="15" hidden="false" customHeight="false" outlineLevel="0" collapsed="false">
      <c r="A423" s="2" t="s">
        <v>2525</v>
      </c>
      <c r="B423" s="2" t="s">
        <v>47</v>
      </c>
      <c r="C423" s="14" t="s">
        <v>2526</v>
      </c>
      <c r="D423" s="42" t="n">
        <v>90367</v>
      </c>
      <c r="E423" s="2" t="s">
        <v>821</v>
      </c>
      <c r="F423" s="43" t="n">
        <v>1.29078092666571</v>
      </c>
      <c r="G423" s="31" t="n">
        <v>52</v>
      </c>
      <c r="H423" s="41" t="n">
        <v>0.0355231645410063</v>
      </c>
      <c r="I423" s="31" t="n">
        <v>22.1</v>
      </c>
      <c r="J423" s="2" t="s">
        <v>2886</v>
      </c>
      <c r="K423" s="44" t="n">
        <v>0</v>
      </c>
      <c r="L423" s="31" t="n">
        <v>0.9</v>
      </c>
      <c r="M423" s="34" t="s">
        <v>822</v>
      </c>
      <c r="N423" s="2" t="s">
        <v>22</v>
      </c>
      <c r="O423" s="2" t="s">
        <v>22</v>
      </c>
      <c r="P423" s="2" t="s">
        <v>22</v>
      </c>
      <c r="Q423" s="2" t="s">
        <v>22</v>
      </c>
    </row>
    <row r="424" customFormat="false" ht="15" hidden="false" customHeight="false" outlineLevel="0" collapsed="false">
      <c r="A424" s="2" t="s">
        <v>2519</v>
      </c>
      <c r="B424" s="2" t="s">
        <v>45</v>
      </c>
      <c r="C424" s="16"/>
      <c r="D424" s="35"/>
      <c r="E424" s="2"/>
      <c r="F424" s="36"/>
      <c r="G424" s="31"/>
      <c r="H424" s="37"/>
      <c r="I424" s="31"/>
      <c r="J424" s="2"/>
      <c r="K424" s="38"/>
      <c r="L424" s="31"/>
      <c r="M424" s="39" t="s">
        <v>832</v>
      </c>
      <c r="N424" s="2"/>
      <c r="O424" s="2"/>
      <c r="P424" s="2"/>
      <c r="Q424" s="2"/>
    </row>
    <row r="425" customFormat="false" ht="15" hidden="false" customHeight="false" outlineLevel="0" collapsed="false">
      <c r="A425" s="2" t="s">
        <v>2519</v>
      </c>
      <c r="B425" s="2" t="s">
        <v>47</v>
      </c>
      <c r="C425" s="14" t="s">
        <v>2520</v>
      </c>
      <c r="D425" s="42" t="n">
        <v>32016</v>
      </c>
      <c r="E425" s="2" t="s">
        <v>821</v>
      </c>
      <c r="F425" s="43" t="n">
        <v>1.3164980009995</v>
      </c>
      <c r="G425" s="31" t="n">
        <v>52.7</v>
      </c>
      <c r="H425" s="41" t="n">
        <v>0.0804900273362357</v>
      </c>
      <c r="I425" s="31" t="n">
        <v>40.9</v>
      </c>
      <c r="J425" s="2" t="s">
        <v>2886</v>
      </c>
      <c r="K425" s="44" t="n">
        <v>0.125967628430683</v>
      </c>
      <c r="L425" s="31" t="n">
        <v>67</v>
      </c>
      <c r="M425" s="34" t="s">
        <v>822</v>
      </c>
      <c r="N425" s="2" t="s">
        <v>22</v>
      </c>
      <c r="O425" s="2" t="s">
        <v>22</v>
      </c>
      <c r="P425" s="2" t="s">
        <v>22</v>
      </c>
      <c r="Q425" s="2" t="s">
        <v>22</v>
      </c>
    </row>
    <row r="426" customFormat="false" ht="15" hidden="false" customHeight="false" outlineLevel="0" collapsed="false">
      <c r="A426" s="2" t="s">
        <v>1493</v>
      </c>
      <c r="B426" s="2" t="s">
        <v>45</v>
      </c>
      <c r="C426" s="14" t="s">
        <v>1494</v>
      </c>
      <c r="D426" s="42" t="n">
        <v>10484</v>
      </c>
      <c r="E426" s="2" t="s">
        <v>821</v>
      </c>
      <c r="F426" s="43" t="n">
        <v>0.257153758107593</v>
      </c>
      <c r="G426" s="31" t="n">
        <v>13.8</v>
      </c>
      <c r="H426" s="41" t="n">
        <v>0.0797116374871267</v>
      </c>
      <c r="I426" s="31" t="n">
        <v>43</v>
      </c>
      <c r="J426" s="2" t="s">
        <v>2883</v>
      </c>
      <c r="K426" s="44" t="n">
        <v>0.285714285714286</v>
      </c>
      <c r="L426" s="31" t="n">
        <v>88.6</v>
      </c>
      <c r="M426" s="34" t="s">
        <v>822</v>
      </c>
      <c r="N426" s="2" t="s">
        <v>22</v>
      </c>
      <c r="O426" s="2" t="s">
        <v>22</v>
      </c>
      <c r="P426" s="2" t="s">
        <v>22</v>
      </c>
      <c r="Q426" s="2" t="s">
        <v>22</v>
      </c>
    </row>
    <row r="427" customFormat="false" ht="15" hidden="false" customHeight="false" outlineLevel="0" collapsed="false">
      <c r="A427" s="2" t="s">
        <v>1493</v>
      </c>
      <c r="B427" s="2" t="s">
        <v>46</v>
      </c>
      <c r="C427" s="16"/>
      <c r="D427" s="35"/>
      <c r="E427" s="2"/>
      <c r="F427" s="36"/>
      <c r="G427" s="31"/>
      <c r="H427" s="37"/>
      <c r="I427" s="31"/>
      <c r="J427" s="2"/>
      <c r="K427" s="38"/>
      <c r="L427" s="31"/>
      <c r="M427" s="39" t="s">
        <v>832</v>
      </c>
      <c r="N427" s="2"/>
      <c r="O427" s="2"/>
      <c r="P427" s="2"/>
      <c r="Q427" s="2"/>
    </row>
    <row r="428" customFormat="false" ht="15" hidden="false" customHeight="false" outlineLevel="0" collapsed="false">
      <c r="A428" s="2" t="s">
        <v>450</v>
      </c>
      <c r="B428" s="2" t="s">
        <v>45</v>
      </c>
      <c r="C428" s="13" t="s">
        <v>929</v>
      </c>
      <c r="D428" s="29" t="n">
        <v>27220</v>
      </c>
      <c r="E428" s="2" t="s">
        <v>821</v>
      </c>
      <c r="F428" s="30" t="n">
        <v>1.38629684055841</v>
      </c>
      <c r="G428" s="31" t="n">
        <v>87.5</v>
      </c>
      <c r="H428" s="32" t="n">
        <v>0.167238421955403</v>
      </c>
      <c r="I428" s="31" t="n">
        <v>81.1</v>
      </c>
      <c r="J428" s="2" t="s">
        <v>2883</v>
      </c>
      <c r="K428" s="33" t="n">
        <v>0.227600411946447</v>
      </c>
      <c r="L428" s="31" t="n">
        <v>78.1</v>
      </c>
      <c r="M428" s="34" t="s">
        <v>822</v>
      </c>
      <c r="N428" s="2" t="s">
        <v>24</v>
      </c>
      <c r="O428" s="2" t="s">
        <v>24</v>
      </c>
      <c r="P428" s="2" t="s">
        <v>24</v>
      </c>
      <c r="Q428" s="2" t="s">
        <v>24</v>
      </c>
    </row>
    <row r="429" customFormat="false" ht="15" hidden="false" customHeight="false" outlineLevel="0" collapsed="false">
      <c r="A429" s="2" t="s">
        <v>450</v>
      </c>
      <c r="B429" s="2" t="s">
        <v>46</v>
      </c>
      <c r="C429" s="13" t="s">
        <v>1834</v>
      </c>
      <c r="D429" s="29" t="n">
        <v>14830</v>
      </c>
      <c r="E429" s="2" t="s">
        <v>821</v>
      </c>
      <c r="F429" s="30" t="n">
        <v>3.6627781523938</v>
      </c>
      <c r="G429" s="31" t="n">
        <v>59.3</v>
      </c>
      <c r="H429" s="32" t="n">
        <v>0.181673306772908</v>
      </c>
      <c r="I429" s="31" t="n">
        <v>88.7</v>
      </c>
      <c r="J429" s="2" t="s">
        <v>2884</v>
      </c>
      <c r="K429" s="33" t="n">
        <v>0.0283496456294296</v>
      </c>
      <c r="L429" s="31" t="n">
        <v>6.2</v>
      </c>
      <c r="M429" s="34" t="s">
        <v>822</v>
      </c>
      <c r="N429" s="2" t="s">
        <v>24</v>
      </c>
      <c r="O429" s="2" t="s">
        <v>24</v>
      </c>
      <c r="P429" s="2" t="s">
        <v>24</v>
      </c>
      <c r="Q429" s="2" t="s">
        <v>24</v>
      </c>
    </row>
    <row r="430" customFormat="false" ht="15" hidden="false" customHeight="false" outlineLevel="0" collapsed="false">
      <c r="A430" s="2" t="s">
        <v>450</v>
      </c>
      <c r="B430" s="2" t="s">
        <v>47</v>
      </c>
      <c r="C430" s="13" t="s">
        <v>2815</v>
      </c>
      <c r="D430" s="42" t="n">
        <v>94656</v>
      </c>
      <c r="E430" s="2" t="s">
        <v>821</v>
      </c>
      <c r="F430" s="43" t="n">
        <v>0.428340517241379</v>
      </c>
      <c r="G430" s="31" t="n">
        <v>9.2</v>
      </c>
      <c r="H430" s="41" t="n">
        <v>0.0146207606225614</v>
      </c>
      <c r="I430" s="31" t="n">
        <v>14.9</v>
      </c>
      <c r="J430" s="2" t="s">
        <v>2886</v>
      </c>
      <c r="K430" s="33" t="n">
        <v>0.172340425531915</v>
      </c>
      <c r="L430" s="31" t="n">
        <v>79.6</v>
      </c>
      <c r="M430" s="34" t="s">
        <v>822</v>
      </c>
      <c r="N430" s="2" t="s">
        <v>22</v>
      </c>
      <c r="O430" s="2" t="s">
        <v>22</v>
      </c>
      <c r="P430" s="2" t="s">
        <v>22</v>
      </c>
      <c r="Q430" s="2" t="s">
        <v>24</v>
      </c>
    </row>
    <row r="431" customFormat="false" ht="15" hidden="false" customHeight="false" outlineLevel="0" collapsed="false">
      <c r="A431" s="2" t="s">
        <v>238</v>
      </c>
      <c r="B431" s="2" t="s">
        <v>45</v>
      </c>
      <c r="C431" s="13" t="s">
        <v>1310</v>
      </c>
      <c r="D431" s="29" t="n">
        <v>117660</v>
      </c>
      <c r="E431" s="2" t="s">
        <v>827</v>
      </c>
      <c r="F431" s="30" t="n">
        <v>0.482100968893422</v>
      </c>
      <c r="G431" s="31" t="n">
        <v>40.1</v>
      </c>
      <c r="H431" s="32" t="n">
        <v>0.0791525268274787</v>
      </c>
      <c r="I431" s="31" t="n">
        <v>45.7</v>
      </c>
      <c r="J431" s="2" t="s">
        <v>2890</v>
      </c>
      <c r="K431" s="33" t="n">
        <v>0.0317535545023697</v>
      </c>
      <c r="L431" s="31" t="n">
        <v>9.6</v>
      </c>
      <c r="M431" s="34" t="s">
        <v>822</v>
      </c>
      <c r="N431" s="2" t="s">
        <v>24</v>
      </c>
      <c r="O431" s="2" t="s">
        <v>24</v>
      </c>
      <c r="P431" s="2" t="s">
        <v>24</v>
      </c>
      <c r="Q431" s="2" t="s">
        <v>24</v>
      </c>
    </row>
    <row r="432" customFormat="false" ht="15" hidden="false" customHeight="false" outlineLevel="0" collapsed="false">
      <c r="A432" s="2" t="s">
        <v>238</v>
      </c>
      <c r="B432" s="2" t="s">
        <v>46</v>
      </c>
      <c r="C432" s="13" t="s">
        <v>1778</v>
      </c>
      <c r="D432" s="29" t="n">
        <v>58870</v>
      </c>
      <c r="E432" s="2" t="s">
        <v>821</v>
      </c>
      <c r="F432" s="30" t="n">
        <v>4.43111941566163</v>
      </c>
      <c r="G432" s="31" t="n">
        <v>69.4</v>
      </c>
      <c r="H432" s="32" t="n">
        <v>-0.114603699804482</v>
      </c>
      <c r="I432" s="31" t="n">
        <v>1.5</v>
      </c>
      <c r="J432" s="2" t="s">
        <v>2884</v>
      </c>
      <c r="K432" s="33" t="n">
        <v>0.212345496262305</v>
      </c>
      <c r="L432" s="31" t="n">
        <v>72.2</v>
      </c>
      <c r="M432" s="34" t="s">
        <v>822</v>
      </c>
      <c r="N432" s="2" t="s">
        <v>24</v>
      </c>
      <c r="O432" s="2" t="s">
        <v>24</v>
      </c>
      <c r="P432" s="2" t="s">
        <v>24</v>
      </c>
      <c r="Q432" s="2" t="s">
        <v>24</v>
      </c>
    </row>
    <row r="433" customFormat="false" ht="15" hidden="false" customHeight="false" outlineLevel="0" collapsed="false">
      <c r="A433" s="2" t="s">
        <v>238</v>
      </c>
      <c r="B433" s="2" t="s">
        <v>47</v>
      </c>
      <c r="C433" s="14" t="s">
        <v>2217</v>
      </c>
      <c r="D433" s="42" t="n">
        <v>72696</v>
      </c>
      <c r="E433" s="2" t="s">
        <v>821</v>
      </c>
      <c r="F433" s="43" t="n">
        <v>6.80547760537031</v>
      </c>
      <c r="G433" s="31" t="n">
        <v>99.1</v>
      </c>
      <c r="H433" s="41" t="n">
        <v>0.253833284465065</v>
      </c>
      <c r="I433" s="31" t="n">
        <v>98.7</v>
      </c>
      <c r="J433" s="2" t="s">
        <v>2886</v>
      </c>
      <c r="K433" s="44" t="n">
        <v>0.134240402114568</v>
      </c>
      <c r="L433" s="31" t="n">
        <v>69.4</v>
      </c>
      <c r="M433" s="34" t="s">
        <v>822</v>
      </c>
      <c r="N433" s="2" t="s">
        <v>22</v>
      </c>
      <c r="O433" s="2" t="s">
        <v>22</v>
      </c>
      <c r="P433" s="2" t="s">
        <v>22</v>
      </c>
      <c r="Q433" s="2" t="s">
        <v>22</v>
      </c>
    </row>
    <row r="434" customFormat="false" ht="15" hidden="false" customHeight="false" outlineLevel="0" collapsed="false">
      <c r="A434" s="2" t="s">
        <v>1515</v>
      </c>
      <c r="B434" s="2" t="s">
        <v>45</v>
      </c>
      <c r="C434" s="13" t="s">
        <v>1516</v>
      </c>
      <c r="D434" s="29" t="n">
        <v>5920</v>
      </c>
      <c r="E434" s="2" t="s">
        <v>825</v>
      </c>
      <c r="F434" s="30" t="n">
        <v>0.241891891891892</v>
      </c>
      <c r="G434" s="31" t="n">
        <v>11.9</v>
      </c>
      <c r="H434" s="48" t="n">
        <v>0.0467764540995095</v>
      </c>
      <c r="I434" s="31" t="n">
        <v>18.3</v>
      </c>
      <c r="J434" s="2" t="s">
        <v>2899</v>
      </c>
      <c r="K434" s="33" t="n">
        <v>0.0769230769230769</v>
      </c>
      <c r="L434" s="31" t="n">
        <v>24.7</v>
      </c>
      <c r="M434" s="34" t="s">
        <v>822</v>
      </c>
      <c r="N434" s="2" t="s">
        <v>24</v>
      </c>
      <c r="O434" s="2" t="s">
        <v>24</v>
      </c>
      <c r="P434" s="2" t="s">
        <v>19</v>
      </c>
      <c r="Q434" s="2" t="s">
        <v>24</v>
      </c>
    </row>
    <row r="435" customFormat="false" ht="15" hidden="false" customHeight="false" outlineLevel="0" collapsed="false">
      <c r="A435" s="2" t="s">
        <v>1515</v>
      </c>
      <c r="B435" s="2" t="s">
        <v>46</v>
      </c>
      <c r="C435" s="16"/>
      <c r="D435" s="29" t="n">
        <v>62340</v>
      </c>
      <c r="E435" s="2" t="s">
        <v>821</v>
      </c>
      <c r="F435" s="30" t="n">
        <v>2.44523580365736</v>
      </c>
      <c r="G435" s="31" t="n">
        <v>36.7</v>
      </c>
      <c r="H435" s="32" t="n">
        <v>0.134073130798617</v>
      </c>
      <c r="I435" s="31" t="n">
        <v>74.5</v>
      </c>
      <c r="J435" s="2" t="s">
        <v>2884</v>
      </c>
      <c r="K435" s="33" t="n">
        <v>0.325927478516034</v>
      </c>
      <c r="L435" s="31" t="n">
        <v>92.7</v>
      </c>
      <c r="M435" s="39" t="s">
        <v>832</v>
      </c>
      <c r="N435" s="2" t="s">
        <v>24</v>
      </c>
      <c r="O435" s="2" t="s">
        <v>24</v>
      </c>
      <c r="P435" s="2" t="s">
        <v>24</v>
      </c>
      <c r="Q435" s="2" t="s">
        <v>24</v>
      </c>
    </row>
    <row r="436" customFormat="false" ht="15" hidden="false" customHeight="false" outlineLevel="0" collapsed="false">
      <c r="A436" s="2" t="s">
        <v>1515</v>
      </c>
      <c r="B436" s="2" t="s">
        <v>47</v>
      </c>
      <c r="C436" s="13" t="s">
        <v>2417</v>
      </c>
      <c r="D436" s="29" t="n">
        <v>85770</v>
      </c>
      <c r="E436" s="2" t="s">
        <v>821</v>
      </c>
      <c r="F436" s="30" t="n">
        <v>1.68886557071237</v>
      </c>
      <c r="G436" s="31" t="n">
        <v>68.3</v>
      </c>
      <c r="H436" s="32" t="n">
        <v>0.0675877520537715</v>
      </c>
      <c r="I436" s="31" t="n">
        <v>35.1</v>
      </c>
      <c r="J436" s="2" t="s">
        <v>2886</v>
      </c>
      <c r="K436" s="33" t="n">
        <v>0.0676049838486387</v>
      </c>
      <c r="L436" s="31" t="n">
        <v>43.5</v>
      </c>
      <c r="M436" s="34" t="s">
        <v>822</v>
      </c>
      <c r="N436" s="2" t="s">
        <v>24</v>
      </c>
      <c r="O436" s="2" t="s">
        <v>24</v>
      </c>
      <c r="P436" s="2" t="s">
        <v>24</v>
      </c>
      <c r="Q436" s="2" t="s">
        <v>24</v>
      </c>
    </row>
    <row r="437" customFormat="false" ht="15" hidden="false" customHeight="false" outlineLevel="0" collapsed="false">
      <c r="A437" s="2" t="s">
        <v>264</v>
      </c>
      <c r="B437" s="2" t="s">
        <v>45</v>
      </c>
      <c r="C437" s="13" t="s">
        <v>1103</v>
      </c>
      <c r="D437" s="29" t="n">
        <v>43090</v>
      </c>
      <c r="E437" s="2" t="s">
        <v>821</v>
      </c>
      <c r="F437" s="30" t="n">
        <v>0.766465537247621</v>
      </c>
      <c r="G437" s="31" t="n">
        <v>66.2</v>
      </c>
      <c r="H437" s="32" t="n">
        <v>-0.0270941521788214</v>
      </c>
      <c r="I437" s="31" t="n">
        <v>4.1</v>
      </c>
      <c r="J437" s="2" t="s">
        <v>2883</v>
      </c>
      <c r="K437" s="33" t="n">
        <v>0.266256590509666</v>
      </c>
      <c r="L437" s="31" t="n">
        <v>85.1</v>
      </c>
      <c r="M437" s="34" t="s">
        <v>822</v>
      </c>
      <c r="N437" s="2" t="s">
        <v>24</v>
      </c>
      <c r="O437" s="2" t="s">
        <v>24</v>
      </c>
      <c r="P437" s="2" t="s">
        <v>24</v>
      </c>
      <c r="Q437" s="2" t="s">
        <v>24</v>
      </c>
    </row>
    <row r="438" customFormat="false" ht="15" hidden="false" customHeight="false" outlineLevel="0" collapsed="false">
      <c r="A438" s="2" t="s">
        <v>354</v>
      </c>
      <c r="B438" s="2" t="s">
        <v>46</v>
      </c>
      <c r="C438" s="13" t="s">
        <v>1835</v>
      </c>
      <c r="D438" s="29" t="n">
        <v>16960</v>
      </c>
      <c r="E438" s="2" t="s">
        <v>821</v>
      </c>
      <c r="F438" s="30" t="n">
        <v>3.65341981132076</v>
      </c>
      <c r="G438" s="31" t="n">
        <v>59.1</v>
      </c>
      <c r="H438" s="32" t="n">
        <v>0.0272562083585706</v>
      </c>
      <c r="I438" s="31" t="n">
        <v>20.4</v>
      </c>
      <c r="J438" s="2" t="s">
        <v>2884</v>
      </c>
      <c r="K438" s="33" t="n">
        <v>0.069177744953225</v>
      </c>
      <c r="L438" s="31" t="n">
        <v>19.9</v>
      </c>
      <c r="M438" s="34" t="s">
        <v>822</v>
      </c>
      <c r="N438" s="2" t="s">
        <v>24</v>
      </c>
      <c r="O438" s="2" t="s">
        <v>24</v>
      </c>
      <c r="P438" s="2" t="s">
        <v>24</v>
      </c>
      <c r="Q438" s="2" t="s">
        <v>24</v>
      </c>
    </row>
    <row r="439" customFormat="false" ht="15" hidden="false" customHeight="false" outlineLevel="0" collapsed="false">
      <c r="A439" s="2" t="s">
        <v>732</v>
      </c>
      <c r="B439" s="2" t="s">
        <v>46</v>
      </c>
      <c r="C439" s="13" t="s">
        <v>1995</v>
      </c>
      <c r="D439" s="29" t="n">
        <v>334300</v>
      </c>
      <c r="E439" s="2" t="s">
        <v>827</v>
      </c>
      <c r="F439" s="30" t="n">
        <v>2.39276697577027</v>
      </c>
      <c r="G439" s="31" t="n">
        <v>35</v>
      </c>
      <c r="H439" s="32" t="n">
        <v>0.0734009761109684</v>
      </c>
      <c r="I439" s="31" t="n">
        <v>47.8</v>
      </c>
      <c r="J439" s="2" t="s">
        <v>2888</v>
      </c>
      <c r="K439" s="33" t="n">
        <v>0.187133831131534</v>
      </c>
      <c r="L439" s="31" t="n">
        <v>65.8</v>
      </c>
      <c r="M439" s="34" t="s">
        <v>822</v>
      </c>
      <c r="N439" s="2" t="s">
        <v>24</v>
      </c>
      <c r="O439" s="2" t="s">
        <v>24</v>
      </c>
      <c r="P439" s="2" t="s">
        <v>24</v>
      </c>
      <c r="Q439" s="2" t="s">
        <v>24</v>
      </c>
    </row>
    <row r="440" customFormat="false" ht="15" hidden="false" customHeight="false" outlineLevel="0" collapsed="false">
      <c r="A440" s="2" t="s">
        <v>732</v>
      </c>
      <c r="B440" s="2" t="s">
        <v>47</v>
      </c>
      <c r="C440" s="14" t="s">
        <v>2788</v>
      </c>
      <c r="D440" s="42" t="n">
        <v>16486</v>
      </c>
      <c r="E440" s="2" t="s">
        <v>821</v>
      </c>
      <c r="F440" s="43" t="n">
        <v>0.501759068300376</v>
      </c>
      <c r="G440" s="31" t="n">
        <v>13.4</v>
      </c>
      <c r="H440" s="41" t="n">
        <v>0.051201938404642</v>
      </c>
      <c r="I440" s="31" t="n">
        <v>28.2</v>
      </c>
      <c r="J440" s="2" t="s">
        <v>2886</v>
      </c>
      <c r="K440" s="44" t="n">
        <v>0.00609756097560976</v>
      </c>
      <c r="L440" s="31" t="n">
        <v>4.3</v>
      </c>
      <c r="M440" s="34" t="s">
        <v>822</v>
      </c>
      <c r="N440" s="2" t="s">
        <v>22</v>
      </c>
      <c r="O440" s="2" t="s">
        <v>22</v>
      </c>
      <c r="P440" s="2" t="s">
        <v>22</v>
      </c>
      <c r="Q440" s="2" t="s">
        <v>22</v>
      </c>
    </row>
    <row r="441" customFormat="false" ht="15" hidden="false" customHeight="false" outlineLevel="0" collapsed="false">
      <c r="A441" s="2" t="s">
        <v>2171</v>
      </c>
      <c r="B441" s="2" t="s">
        <v>45</v>
      </c>
      <c r="C441" s="13" t="s">
        <v>2997</v>
      </c>
      <c r="D441" s="35"/>
      <c r="E441" s="2"/>
      <c r="F441" s="36"/>
      <c r="G441" s="31"/>
      <c r="H441" s="37"/>
      <c r="I441" s="31"/>
      <c r="J441" s="2"/>
      <c r="K441" s="33" t="n">
        <v>0.37696335078534</v>
      </c>
      <c r="L441" s="31" t="n">
        <v>97</v>
      </c>
      <c r="M441" s="39" t="s">
        <v>832</v>
      </c>
      <c r="N441" s="2"/>
      <c r="O441" s="2"/>
      <c r="P441" s="2"/>
      <c r="Q441" s="2" t="s">
        <v>24</v>
      </c>
    </row>
    <row r="442" customFormat="false" ht="15" hidden="false" customHeight="false" outlineLevel="0" collapsed="false">
      <c r="A442" s="2" t="s">
        <v>2171</v>
      </c>
      <c r="B442" s="2" t="s">
        <v>46</v>
      </c>
      <c r="C442" s="13" t="s">
        <v>2172</v>
      </c>
      <c r="D442" s="29" t="n">
        <v>1300</v>
      </c>
      <c r="E442" s="2" t="s">
        <v>825</v>
      </c>
      <c r="F442" s="30" t="n">
        <v>0.871538461538462</v>
      </c>
      <c r="G442" s="31" t="n">
        <v>5.1</v>
      </c>
      <c r="H442" s="41" t="n">
        <v>0.166820276497696</v>
      </c>
      <c r="I442" s="31" t="n">
        <v>75.5</v>
      </c>
      <c r="J442" s="2" t="s">
        <v>2905</v>
      </c>
      <c r="K442" s="44" t="n">
        <v>0.121212121212121</v>
      </c>
      <c r="L442" s="31" t="n">
        <v>45.7</v>
      </c>
      <c r="M442" s="34" t="s">
        <v>822</v>
      </c>
      <c r="N442" s="2" t="s">
        <v>24</v>
      </c>
      <c r="O442" s="2" t="s">
        <v>24</v>
      </c>
      <c r="P442" s="2" t="s">
        <v>22</v>
      </c>
      <c r="Q442" s="2" t="s">
        <v>22</v>
      </c>
    </row>
    <row r="443" customFormat="false" ht="15" hidden="false" customHeight="false" outlineLevel="0" collapsed="false">
      <c r="A443" s="2" t="s">
        <v>2171</v>
      </c>
      <c r="B443" s="2" t="s">
        <v>47</v>
      </c>
      <c r="C443" s="14" t="s">
        <v>2998</v>
      </c>
      <c r="D443" s="42" t="n">
        <v>19248</v>
      </c>
      <c r="E443" s="2" t="s">
        <v>821</v>
      </c>
      <c r="F443" s="43" t="n">
        <v>1.17503117206983</v>
      </c>
      <c r="G443" s="31" t="n">
        <v>46.7</v>
      </c>
      <c r="H443" s="41" t="n">
        <v>0.139811689465269</v>
      </c>
      <c r="I443" s="31" t="n">
        <v>70.8</v>
      </c>
      <c r="J443" s="2" t="s">
        <v>2886</v>
      </c>
      <c r="K443" s="38"/>
      <c r="L443" s="31"/>
      <c r="M443" s="39" t="s">
        <v>832</v>
      </c>
      <c r="N443" s="2" t="s">
        <v>22</v>
      </c>
      <c r="O443" s="2" t="s">
        <v>22</v>
      </c>
      <c r="P443" s="2" t="s">
        <v>22</v>
      </c>
      <c r="Q443" s="2"/>
    </row>
    <row r="444" customFormat="false" ht="15" hidden="false" customHeight="false" outlineLevel="0" collapsed="false">
      <c r="A444" s="2" t="s">
        <v>2999</v>
      </c>
      <c r="B444" s="2" t="s">
        <v>45</v>
      </c>
      <c r="C444" s="13" t="s">
        <v>3000</v>
      </c>
      <c r="D444" s="29" t="n">
        <v>62930</v>
      </c>
      <c r="E444" s="2" t="s">
        <v>821</v>
      </c>
      <c r="F444" s="36"/>
      <c r="G444" s="31"/>
      <c r="H444" s="32" t="n">
        <v>0.094244479221005</v>
      </c>
      <c r="I444" s="31" t="n">
        <v>48.8</v>
      </c>
      <c r="J444" s="2" t="s">
        <v>2883</v>
      </c>
      <c r="K444" s="33" t="n">
        <v>0.15475763016158</v>
      </c>
      <c r="L444" s="31" t="n">
        <v>59.9</v>
      </c>
      <c r="M444" s="39" t="s">
        <v>832</v>
      </c>
      <c r="N444" s="2" t="s">
        <v>24</v>
      </c>
      <c r="O444" s="2"/>
      <c r="P444" s="2" t="s">
        <v>24</v>
      </c>
      <c r="Q444" s="2" t="s">
        <v>24</v>
      </c>
    </row>
    <row r="445" customFormat="false" ht="15" hidden="false" customHeight="false" outlineLevel="0" collapsed="false">
      <c r="A445" s="2" t="s">
        <v>734</v>
      </c>
      <c r="B445" s="2" t="s">
        <v>46</v>
      </c>
      <c r="C445" s="13" t="s">
        <v>2057</v>
      </c>
      <c r="D445" s="29" t="n">
        <v>52450</v>
      </c>
      <c r="E445" s="2" t="s">
        <v>821</v>
      </c>
      <c r="F445" s="30" t="n">
        <v>1.8112869399428</v>
      </c>
      <c r="G445" s="31" t="n">
        <v>23.8</v>
      </c>
      <c r="H445" s="32" t="n">
        <v>0.166592526690392</v>
      </c>
      <c r="I445" s="31" t="n">
        <v>84.4</v>
      </c>
      <c r="J445" s="2" t="s">
        <v>2884</v>
      </c>
      <c r="K445" s="33" t="n">
        <v>0.0115178469608849</v>
      </c>
      <c r="L445" s="31" t="n">
        <v>1.1</v>
      </c>
      <c r="M445" s="34" t="s">
        <v>822</v>
      </c>
      <c r="N445" s="2" t="s">
        <v>24</v>
      </c>
      <c r="O445" s="2" t="s">
        <v>24</v>
      </c>
      <c r="P445" s="2" t="s">
        <v>24</v>
      </c>
      <c r="Q445" s="2" t="s">
        <v>24</v>
      </c>
    </row>
    <row r="446" customFormat="false" ht="15" hidden="false" customHeight="false" outlineLevel="0" collapsed="false">
      <c r="A446" s="2" t="s">
        <v>1932</v>
      </c>
      <c r="B446" s="2" t="s">
        <v>45</v>
      </c>
      <c r="C446" s="13" t="s">
        <v>3001</v>
      </c>
      <c r="D446" s="29" t="n">
        <v>21270</v>
      </c>
      <c r="E446" s="2" t="s">
        <v>821</v>
      </c>
      <c r="F446" s="30" t="n">
        <v>0.424071462153268</v>
      </c>
      <c r="G446" s="31" t="n">
        <v>31.6</v>
      </c>
      <c r="H446" s="32" t="n">
        <v>0.289090909090909</v>
      </c>
      <c r="I446" s="31" t="n">
        <v>99.7</v>
      </c>
      <c r="J446" s="2" t="s">
        <v>2883</v>
      </c>
      <c r="K446" s="38"/>
      <c r="L446" s="31"/>
      <c r="M446" s="39" t="s">
        <v>832</v>
      </c>
      <c r="N446" s="2" t="s">
        <v>24</v>
      </c>
      <c r="O446" s="2" t="s">
        <v>24</v>
      </c>
      <c r="P446" s="2" t="s">
        <v>24</v>
      </c>
      <c r="Q446" s="2"/>
    </row>
    <row r="447" customFormat="false" ht="15" hidden="false" customHeight="false" outlineLevel="0" collapsed="false">
      <c r="A447" s="2" t="s">
        <v>1932</v>
      </c>
      <c r="B447" s="2" t="s">
        <v>46</v>
      </c>
      <c r="C447" s="13" t="s">
        <v>1933</v>
      </c>
      <c r="D447" s="29" t="n">
        <v>31860</v>
      </c>
      <c r="E447" s="2" t="s">
        <v>821</v>
      </c>
      <c r="F447" s="30" t="n">
        <v>2.90128688010044</v>
      </c>
      <c r="G447" s="31" t="n">
        <v>44.6</v>
      </c>
      <c r="H447" s="32" t="n">
        <v>0.0648395721925134</v>
      </c>
      <c r="I447" s="31" t="n">
        <v>37.8</v>
      </c>
      <c r="J447" s="2" t="s">
        <v>2884</v>
      </c>
      <c r="K447" s="33" t="n">
        <v>0.332916319154851</v>
      </c>
      <c r="L447" s="31" t="n">
        <v>93.6</v>
      </c>
      <c r="M447" s="34" t="s">
        <v>822</v>
      </c>
      <c r="N447" s="2" t="s">
        <v>24</v>
      </c>
      <c r="O447" s="2" t="s">
        <v>24</v>
      </c>
      <c r="P447" s="2" t="s">
        <v>24</v>
      </c>
      <c r="Q447" s="2" t="s">
        <v>24</v>
      </c>
    </row>
    <row r="448" customFormat="false" ht="15" hidden="false" customHeight="false" outlineLevel="0" collapsed="false">
      <c r="A448" s="2" t="s">
        <v>180</v>
      </c>
      <c r="B448" s="2" t="s">
        <v>45</v>
      </c>
      <c r="C448" s="13" t="s">
        <v>1125</v>
      </c>
      <c r="D448" s="42" t="n">
        <v>4735</v>
      </c>
      <c r="E448" s="2" t="s">
        <v>825</v>
      </c>
      <c r="F448" s="43" t="n">
        <v>0.731573389651531</v>
      </c>
      <c r="G448" s="31" t="n">
        <v>63.7</v>
      </c>
      <c r="H448" s="41" t="n">
        <v>0.13142174432497</v>
      </c>
      <c r="I448" s="31" t="n">
        <v>73.2</v>
      </c>
      <c r="J448" s="2" t="s">
        <v>2899</v>
      </c>
      <c r="K448" s="33" t="n">
        <v>0.142335766423358</v>
      </c>
      <c r="L448" s="31" t="n">
        <v>54.3</v>
      </c>
      <c r="M448" s="34" t="s">
        <v>822</v>
      </c>
      <c r="N448" s="2" t="s">
        <v>22</v>
      </c>
      <c r="O448" s="2" t="s">
        <v>22</v>
      </c>
      <c r="P448" s="2" t="s">
        <v>22</v>
      </c>
      <c r="Q448" s="2" t="s">
        <v>24</v>
      </c>
    </row>
    <row r="449" customFormat="false" ht="15" hidden="false" customHeight="false" outlineLevel="0" collapsed="false">
      <c r="A449" s="2" t="s">
        <v>180</v>
      </c>
      <c r="B449" s="2" t="s">
        <v>47</v>
      </c>
      <c r="C449" s="14" t="s">
        <v>2273</v>
      </c>
      <c r="D449" s="42" t="n">
        <v>38170</v>
      </c>
      <c r="E449" s="2" t="s">
        <v>821</v>
      </c>
      <c r="F449" s="43" t="n">
        <v>3.33824993450354</v>
      </c>
      <c r="G449" s="31" t="n">
        <v>91.5</v>
      </c>
      <c r="H449" s="41" t="n">
        <v>-0.0175790801225131</v>
      </c>
      <c r="I449" s="31" t="n">
        <v>6.8</v>
      </c>
      <c r="J449" s="2" t="s">
        <v>2886</v>
      </c>
      <c r="K449" s="44" t="n">
        <v>0.023312101910828</v>
      </c>
      <c r="L449" s="31" t="n">
        <v>15.8</v>
      </c>
      <c r="M449" s="34" t="s">
        <v>822</v>
      </c>
      <c r="N449" s="2" t="s">
        <v>22</v>
      </c>
      <c r="O449" s="2" t="s">
        <v>22</v>
      </c>
      <c r="P449" s="2" t="s">
        <v>22</v>
      </c>
      <c r="Q449" s="2" t="s">
        <v>22</v>
      </c>
    </row>
    <row r="450" customFormat="false" ht="15" hidden="false" customHeight="false" outlineLevel="0" collapsed="false">
      <c r="A450" s="2" t="s">
        <v>706</v>
      </c>
      <c r="B450" s="2" t="s">
        <v>47</v>
      </c>
      <c r="C450" s="13" t="s">
        <v>2687</v>
      </c>
      <c r="D450" s="29" t="n">
        <v>21550</v>
      </c>
      <c r="E450" s="2" t="s">
        <v>821</v>
      </c>
      <c r="F450" s="30" t="n">
        <v>0.783665893271462</v>
      </c>
      <c r="G450" s="31" t="n">
        <v>27.7</v>
      </c>
      <c r="H450" s="32" t="n">
        <v>0.251451800232288</v>
      </c>
      <c r="I450" s="31" t="n">
        <v>98.1</v>
      </c>
      <c r="J450" s="2" t="s">
        <v>2886</v>
      </c>
      <c r="K450" s="33" t="n">
        <v>0.0593654042988741</v>
      </c>
      <c r="L450" s="31" t="n">
        <v>36.7</v>
      </c>
      <c r="M450" s="34" t="s">
        <v>822</v>
      </c>
      <c r="N450" s="2" t="s">
        <v>24</v>
      </c>
      <c r="O450" s="2" t="s">
        <v>24</v>
      </c>
      <c r="P450" s="2" t="s">
        <v>24</v>
      </c>
      <c r="Q450" s="2" t="s">
        <v>24</v>
      </c>
    </row>
    <row r="451" customFormat="false" ht="15" hidden="false" customHeight="false" outlineLevel="0" collapsed="false">
      <c r="A451" s="2" t="s">
        <v>772</v>
      </c>
      <c r="B451" s="2" t="s">
        <v>47</v>
      </c>
      <c r="C451" s="14" t="s">
        <v>2760</v>
      </c>
      <c r="D451" s="42" t="n">
        <v>39618</v>
      </c>
      <c r="E451" s="2" t="s">
        <v>821</v>
      </c>
      <c r="F451" s="43" t="n">
        <v>0.581553839164016</v>
      </c>
      <c r="G451" s="31" t="n">
        <v>17.3</v>
      </c>
      <c r="H451" s="41" t="n">
        <v>-0.0184331797235023</v>
      </c>
      <c r="I451" s="31" t="n">
        <v>6.2</v>
      </c>
      <c r="J451" s="2" t="s">
        <v>2886</v>
      </c>
      <c r="K451" s="44" t="n">
        <v>0.0318570318570319</v>
      </c>
      <c r="L451" s="31" t="n">
        <v>21</v>
      </c>
      <c r="M451" s="34" t="s">
        <v>822</v>
      </c>
      <c r="N451" s="2" t="s">
        <v>22</v>
      </c>
      <c r="O451" s="2" t="s">
        <v>22</v>
      </c>
      <c r="P451" s="2" t="s">
        <v>22</v>
      </c>
      <c r="Q451" s="2" t="s">
        <v>22</v>
      </c>
    </row>
    <row r="452" customFormat="false" ht="15" hidden="false" customHeight="false" outlineLevel="0" collapsed="false">
      <c r="A452" s="2" t="s">
        <v>958</v>
      </c>
      <c r="B452" s="2" t="s">
        <v>45</v>
      </c>
      <c r="C452" s="13" t="s">
        <v>959</v>
      </c>
      <c r="D452" s="29" t="n">
        <v>17900</v>
      </c>
      <c r="E452" s="2" t="s">
        <v>821</v>
      </c>
      <c r="F452" s="30" t="n">
        <v>1.23067039106145</v>
      </c>
      <c r="G452" s="31" t="n">
        <v>84.3</v>
      </c>
      <c r="H452" s="32" t="n">
        <v>0.142310146777281</v>
      </c>
      <c r="I452" s="31" t="n">
        <v>74.6</v>
      </c>
      <c r="J452" s="2" t="s">
        <v>2883</v>
      </c>
      <c r="K452" s="33" t="n">
        <v>0.161341853035144</v>
      </c>
      <c r="L452" s="31" t="n">
        <v>62.7</v>
      </c>
      <c r="M452" s="34" t="s">
        <v>822</v>
      </c>
      <c r="N452" s="2" t="s">
        <v>24</v>
      </c>
      <c r="O452" s="2" t="s">
        <v>24</v>
      </c>
      <c r="P452" s="2" t="s">
        <v>24</v>
      </c>
      <c r="Q452" s="2" t="s">
        <v>24</v>
      </c>
    </row>
    <row r="453" customFormat="false" ht="15" hidden="false" customHeight="false" outlineLevel="0" collapsed="false">
      <c r="A453" s="2" t="s">
        <v>958</v>
      </c>
      <c r="B453" s="2" t="s">
        <v>46</v>
      </c>
      <c r="C453" s="13" t="s">
        <v>1956</v>
      </c>
      <c r="D453" s="29" t="n">
        <v>64610</v>
      </c>
      <c r="E453" s="2" t="s">
        <v>821</v>
      </c>
      <c r="F453" s="30" t="n">
        <v>2.67710880668627</v>
      </c>
      <c r="G453" s="31" t="n">
        <v>41.5</v>
      </c>
      <c r="H453" s="32" t="n">
        <v>0.104255682789267</v>
      </c>
      <c r="I453" s="31" t="n">
        <v>60</v>
      </c>
      <c r="J453" s="2" t="s">
        <v>2884</v>
      </c>
      <c r="K453" s="33" t="n">
        <v>0.178070599613153</v>
      </c>
      <c r="L453" s="31" t="n">
        <v>63.8</v>
      </c>
      <c r="M453" s="34" t="s">
        <v>822</v>
      </c>
      <c r="N453" s="2" t="s">
        <v>24</v>
      </c>
      <c r="O453" s="2" t="s">
        <v>24</v>
      </c>
      <c r="P453" s="2" t="s">
        <v>24</v>
      </c>
      <c r="Q453" s="2" t="s">
        <v>24</v>
      </c>
    </row>
    <row r="454" customFormat="false" ht="15" hidden="false" customHeight="false" outlineLevel="0" collapsed="false">
      <c r="A454" s="2" t="s">
        <v>958</v>
      </c>
      <c r="B454" s="2" t="s">
        <v>47</v>
      </c>
      <c r="C454" s="13" t="s">
        <v>3002</v>
      </c>
      <c r="D454" s="29" t="n">
        <v>5740</v>
      </c>
      <c r="E454" s="2" t="s">
        <v>825</v>
      </c>
      <c r="F454" s="30" t="n">
        <v>0.854006968641115</v>
      </c>
      <c r="G454" s="31" t="n">
        <v>31.7</v>
      </c>
      <c r="H454" s="37"/>
      <c r="I454" s="31"/>
      <c r="J454" s="2"/>
      <c r="K454" s="33" t="n">
        <v>0.132911392405063</v>
      </c>
      <c r="L454" s="31" t="n">
        <v>69.2</v>
      </c>
      <c r="M454" s="39" t="s">
        <v>832</v>
      </c>
      <c r="N454" s="2" t="s">
        <v>24</v>
      </c>
      <c r="O454" s="2" t="s">
        <v>24</v>
      </c>
      <c r="P454" s="2"/>
      <c r="Q454" s="2" t="s">
        <v>24</v>
      </c>
    </row>
    <row r="455" customFormat="false" ht="15" hidden="false" customHeight="false" outlineLevel="0" collapsed="false">
      <c r="A455" s="2" t="s">
        <v>686</v>
      </c>
      <c r="B455" s="2" t="s">
        <v>45</v>
      </c>
      <c r="C455" s="13" t="s">
        <v>1180</v>
      </c>
      <c r="D455" s="29" t="n">
        <v>55650</v>
      </c>
      <c r="E455" s="2" t="s">
        <v>821</v>
      </c>
      <c r="F455" s="30" t="n">
        <v>0.620790655884996</v>
      </c>
      <c r="G455" s="31" t="n">
        <v>56.9</v>
      </c>
      <c r="H455" s="32" t="n">
        <v>0.117918842908799</v>
      </c>
      <c r="I455" s="31" t="n">
        <v>61.5</v>
      </c>
      <c r="J455" s="2" t="s">
        <v>2883</v>
      </c>
      <c r="K455" s="33" t="n">
        <v>0.0386029411764706</v>
      </c>
      <c r="L455" s="31" t="n">
        <v>12.1</v>
      </c>
      <c r="M455" s="34" t="s">
        <v>822</v>
      </c>
      <c r="N455" s="2" t="s">
        <v>24</v>
      </c>
      <c r="O455" s="2" t="s">
        <v>24</v>
      </c>
      <c r="P455" s="2" t="s">
        <v>24</v>
      </c>
      <c r="Q455" s="2" t="s">
        <v>24</v>
      </c>
    </row>
    <row r="456" customFormat="false" ht="15" hidden="false" customHeight="false" outlineLevel="0" collapsed="false">
      <c r="A456" s="2" t="s">
        <v>686</v>
      </c>
      <c r="B456" s="2" t="s">
        <v>46</v>
      </c>
      <c r="C456" s="13" t="s">
        <v>2080</v>
      </c>
      <c r="D456" s="29" t="n">
        <v>29180</v>
      </c>
      <c r="E456" s="2" t="s">
        <v>821</v>
      </c>
      <c r="F456" s="30" t="n">
        <v>1.69256339958876</v>
      </c>
      <c r="G456" s="31" t="n">
        <v>20.8</v>
      </c>
      <c r="H456" s="32" t="n">
        <v>0.0637987604812249</v>
      </c>
      <c r="I456" s="31" t="n">
        <v>37.5</v>
      </c>
      <c r="J456" s="2" t="s">
        <v>2884</v>
      </c>
      <c r="K456" s="33" t="n">
        <v>0.264502762430939</v>
      </c>
      <c r="L456" s="31" t="n">
        <v>83.4</v>
      </c>
      <c r="M456" s="34" t="s">
        <v>822</v>
      </c>
      <c r="N456" s="2" t="s">
        <v>24</v>
      </c>
      <c r="O456" s="2" t="s">
        <v>24</v>
      </c>
      <c r="P456" s="2" t="s">
        <v>24</v>
      </c>
      <c r="Q456" s="2" t="s">
        <v>24</v>
      </c>
    </row>
    <row r="457" customFormat="false" ht="15" hidden="false" customHeight="false" outlineLevel="0" collapsed="false">
      <c r="A457" s="2" t="s">
        <v>686</v>
      </c>
      <c r="B457" s="2" t="s">
        <v>47</v>
      </c>
      <c r="C457" s="14" t="s">
        <v>2798</v>
      </c>
      <c r="D457" s="42" t="n">
        <v>3961233</v>
      </c>
      <c r="E457" s="2" t="s">
        <v>935</v>
      </c>
      <c r="F457" s="43" t="n">
        <v>0.482576006006211</v>
      </c>
      <c r="G457" s="31" t="n">
        <v>12</v>
      </c>
      <c r="H457" s="41" t="n">
        <v>-0.000307637795990967</v>
      </c>
      <c r="I457" s="31" t="n">
        <v>21.4</v>
      </c>
      <c r="J457" s="2" t="s">
        <v>2922</v>
      </c>
      <c r="K457" s="44" t="n">
        <v>0.0539655295716227</v>
      </c>
      <c r="L457" s="31" t="n">
        <v>34.4</v>
      </c>
      <c r="M457" s="34" t="s">
        <v>822</v>
      </c>
      <c r="N457" s="2" t="s">
        <v>22</v>
      </c>
      <c r="O457" s="2" t="s">
        <v>22</v>
      </c>
      <c r="P457" s="2" t="s">
        <v>22</v>
      </c>
      <c r="Q457" s="2" t="s">
        <v>22</v>
      </c>
    </row>
    <row r="458" customFormat="false" ht="15" hidden="false" customHeight="false" outlineLevel="0" collapsed="false">
      <c r="A458" s="2" t="s">
        <v>764</v>
      </c>
      <c r="B458" s="2" t="s">
        <v>45</v>
      </c>
      <c r="C458" s="13" t="s">
        <v>1466</v>
      </c>
      <c r="D458" s="29" t="n">
        <v>115300</v>
      </c>
      <c r="E458" s="2" t="s">
        <v>827</v>
      </c>
      <c r="F458" s="30" t="n">
        <v>0.300112749349523</v>
      </c>
      <c r="G458" s="31" t="n">
        <v>18</v>
      </c>
      <c r="H458" s="32" t="n">
        <v>0.0677903315428783</v>
      </c>
      <c r="I458" s="31" t="n">
        <v>39.3</v>
      </c>
      <c r="J458" s="2" t="s">
        <v>2890</v>
      </c>
      <c r="K458" s="44" t="n">
        <v>0.0821964529331514</v>
      </c>
      <c r="L458" s="31" t="n">
        <v>27.5</v>
      </c>
      <c r="M458" s="34" t="s">
        <v>822</v>
      </c>
      <c r="N458" s="2" t="s">
        <v>24</v>
      </c>
      <c r="O458" s="2" t="s">
        <v>24</v>
      </c>
      <c r="P458" s="2" t="s">
        <v>24</v>
      </c>
      <c r="Q458" s="2" t="s">
        <v>22</v>
      </c>
    </row>
    <row r="459" customFormat="false" ht="15" hidden="false" customHeight="false" outlineLevel="0" collapsed="false">
      <c r="A459" s="2" t="s">
        <v>764</v>
      </c>
      <c r="B459" s="2" t="s">
        <v>46</v>
      </c>
      <c r="C459" s="13" t="s">
        <v>2010</v>
      </c>
      <c r="D459" s="29" t="n">
        <v>71490</v>
      </c>
      <c r="E459" s="2" t="s">
        <v>821</v>
      </c>
      <c r="F459" s="30" t="n">
        <v>2.28861379213876</v>
      </c>
      <c r="G459" s="31" t="n">
        <v>32.6</v>
      </c>
      <c r="H459" s="32" t="n">
        <v>0.0381934359570142</v>
      </c>
      <c r="I459" s="31" t="n">
        <v>25.8</v>
      </c>
      <c r="J459" s="2" t="s">
        <v>2884</v>
      </c>
      <c r="K459" s="44" t="n">
        <v>0.352750809061489</v>
      </c>
      <c r="L459" s="31" t="n">
        <v>94.3</v>
      </c>
      <c r="M459" s="34" t="s">
        <v>822</v>
      </c>
      <c r="N459" s="2" t="s">
        <v>24</v>
      </c>
      <c r="O459" s="2" t="s">
        <v>24</v>
      </c>
      <c r="P459" s="2" t="s">
        <v>24</v>
      </c>
      <c r="Q459" s="2" t="s">
        <v>22</v>
      </c>
    </row>
    <row r="460" customFormat="false" ht="15" hidden="false" customHeight="false" outlineLevel="0" collapsed="false">
      <c r="A460" s="2" t="s">
        <v>764</v>
      </c>
      <c r="B460" s="2" t="s">
        <v>47</v>
      </c>
      <c r="C460" s="15" t="s">
        <v>2827</v>
      </c>
      <c r="D460" s="46" t="n">
        <v>90864</v>
      </c>
      <c r="E460" s="2" t="s">
        <v>821</v>
      </c>
      <c r="F460" s="47" t="n">
        <v>0.378642806832189</v>
      </c>
      <c r="G460" s="31" t="n">
        <v>6.7</v>
      </c>
      <c r="H460" s="48" t="n">
        <v>0.0236928380707743</v>
      </c>
      <c r="I460" s="31" t="n">
        <v>19.2</v>
      </c>
      <c r="J460" s="2" t="s">
        <v>2886</v>
      </c>
      <c r="K460" s="45" t="n">
        <v>0.0315490960652251</v>
      </c>
      <c r="L460" s="31" t="n">
        <v>20.6</v>
      </c>
      <c r="M460" s="34" t="s">
        <v>822</v>
      </c>
      <c r="N460" s="2" t="s">
        <v>19</v>
      </c>
      <c r="O460" s="2" t="s">
        <v>19</v>
      </c>
      <c r="P460" s="2" t="s">
        <v>19</v>
      </c>
      <c r="Q460" s="2" t="s">
        <v>19</v>
      </c>
    </row>
    <row r="461" customFormat="false" ht="15" hidden="false" customHeight="false" outlineLevel="0" collapsed="false">
      <c r="A461" s="2" t="s">
        <v>1093</v>
      </c>
      <c r="B461" s="2" t="s">
        <v>45</v>
      </c>
      <c r="C461" s="13" t="s">
        <v>1094</v>
      </c>
      <c r="D461" s="29" t="n">
        <v>31320</v>
      </c>
      <c r="E461" s="2" t="s">
        <v>821</v>
      </c>
      <c r="F461" s="30" t="n">
        <v>0.803735632183908</v>
      </c>
      <c r="G461" s="31" t="n">
        <v>68.2</v>
      </c>
      <c r="H461" s="32" t="n">
        <v>-0.0774668630338734</v>
      </c>
      <c r="I461" s="31" t="n">
        <v>1.7</v>
      </c>
      <c r="J461" s="2" t="s">
        <v>2883</v>
      </c>
      <c r="K461" s="33" t="n">
        <v>0.0688723835246455</v>
      </c>
      <c r="L461" s="31" t="n">
        <v>23.3</v>
      </c>
      <c r="M461" s="34" t="s">
        <v>822</v>
      </c>
      <c r="N461" s="2" t="s">
        <v>24</v>
      </c>
      <c r="O461" s="2" t="s">
        <v>24</v>
      </c>
      <c r="P461" s="2" t="s">
        <v>24</v>
      </c>
      <c r="Q461" s="2" t="s">
        <v>24</v>
      </c>
    </row>
    <row r="462" customFormat="false" ht="15" hidden="false" customHeight="false" outlineLevel="0" collapsed="false">
      <c r="A462" s="2" t="s">
        <v>1093</v>
      </c>
      <c r="B462" s="2" t="s">
        <v>46</v>
      </c>
      <c r="C462" s="13" t="s">
        <v>3003</v>
      </c>
      <c r="D462" s="29" t="n">
        <v>381870</v>
      </c>
      <c r="E462" s="2" t="s">
        <v>827</v>
      </c>
      <c r="F462" s="30" t="n">
        <v>7.08788592976667</v>
      </c>
      <c r="G462" s="31" t="n">
        <v>86.2</v>
      </c>
      <c r="H462" s="32" t="n">
        <v>-0.0279001094621083</v>
      </c>
      <c r="I462" s="31" t="n">
        <v>7</v>
      </c>
      <c r="J462" s="2" t="s">
        <v>2888</v>
      </c>
      <c r="K462" s="38"/>
      <c r="L462" s="31"/>
      <c r="M462" s="39" t="s">
        <v>832</v>
      </c>
      <c r="N462" s="2" t="s">
        <v>24</v>
      </c>
      <c r="O462" s="2" t="s">
        <v>24</v>
      </c>
      <c r="P462" s="2" t="s">
        <v>24</v>
      </c>
      <c r="Q462" s="2"/>
    </row>
    <row r="463" customFormat="false" ht="15" hidden="false" customHeight="false" outlineLevel="0" collapsed="false">
      <c r="A463" s="2" t="s">
        <v>1093</v>
      </c>
      <c r="B463" s="2" t="s">
        <v>47</v>
      </c>
      <c r="C463" s="14" t="s">
        <v>2572</v>
      </c>
      <c r="D463" s="42" t="n">
        <v>45522</v>
      </c>
      <c r="E463" s="2" t="s">
        <v>821</v>
      </c>
      <c r="F463" s="43" t="n">
        <v>1.15700101050042</v>
      </c>
      <c r="G463" s="31" t="n">
        <v>45.7</v>
      </c>
      <c r="H463" s="41" t="n">
        <v>0.021588868940754</v>
      </c>
      <c r="I463" s="31" t="n">
        <v>17.5</v>
      </c>
      <c r="J463" s="2" t="s">
        <v>2886</v>
      </c>
      <c r="K463" s="44" t="n">
        <v>0.139819587628866</v>
      </c>
      <c r="L463" s="31" t="n">
        <v>71</v>
      </c>
      <c r="M463" s="34" t="s">
        <v>822</v>
      </c>
      <c r="N463" s="2" t="s">
        <v>22</v>
      </c>
      <c r="O463" s="2" t="s">
        <v>22</v>
      </c>
      <c r="P463" s="2" t="s">
        <v>22</v>
      </c>
      <c r="Q463" s="2" t="s">
        <v>22</v>
      </c>
    </row>
    <row r="464" customFormat="false" ht="15" hidden="false" customHeight="false" outlineLevel="0" collapsed="false">
      <c r="A464" s="2" t="s">
        <v>598</v>
      </c>
      <c r="B464" s="2" t="s">
        <v>45</v>
      </c>
      <c r="C464" s="13" t="s">
        <v>1464</v>
      </c>
      <c r="D464" s="42" t="n">
        <v>158193</v>
      </c>
      <c r="E464" s="2" t="s">
        <v>827</v>
      </c>
      <c r="F464" s="43" t="n">
        <v>0.304887068327929</v>
      </c>
      <c r="G464" s="31" t="n">
        <v>18.5</v>
      </c>
      <c r="H464" s="41" t="n">
        <v>0.130450628135317</v>
      </c>
      <c r="I464" s="31" t="n">
        <v>73.6</v>
      </c>
      <c r="J464" s="2" t="s">
        <v>2890</v>
      </c>
      <c r="K464" s="33" t="n">
        <v>0.141272775283866</v>
      </c>
      <c r="L464" s="31" t="n">
        <v>53.6</v>
      </c>
      <c r="M464" s="34" t="s">
        <v>822</v>
      </c>
      <c r="N464" s="2" t="s">
        <v>22</v>
      </c>
      <c r="O464" s="2" t="s">
        <v>22</v>
      </c>
      <c r="P464" s="2" t="s">
        <v>22</v>
      </c>
      <c r="Q464" s="2" t="s">
        <v>24</v>
      </c>
    </row>
    <row r="465" customFormat="false" ht="15" hidden="false" customHeight="false" outlineLevel="0" collapsed="false">
      <c r="A465" s="2" t="s">
        <v>598</v>
      </c>
      <c r="B465" s="2" t="s">
        <v>46</v>
      </c>
      <c r="C465" s="13" t="s">
        <v>2021</v>
      </c>
      <c r="D465" s="29" t="n">
        <v>124860</v>
      </c>
      <c r="E465" s="2" t="s">
        <v>827</v>
      </c>
      <c r="F465" s="30" t="n">
        <v>2.15768861124459</v>
      </c>
      <c r="G465" s="31" t="n">
        <v>30.1</v>
      </c>
      <c r="H465" s="32" t="n">
        <v>0.116216699445736</v>
      </c>
      <c r="I465" s="31" t="n">
        <v>69.4</v>
      </c>
      <c r="J465" s="2" t="s">
        <v>2888</v>
      </c>
      <c r="K465" s="33" t="n">
        <v>0.114707451538325</v>
      </c>
      <c r="L465" s="31" t="n">
        <v>42.4</v>
      </c>
      <c r="M465" s="34" t="s">
        <v>822</v>
      </c>
      <c r="N465" s="2" t="s">
        <v>24</v>
      </c>
      <c r="O465" s="2" t="s">
        <v>24</v>
      </c>
      <c r="P465" s="2" t="s">
        <v>24</v>
      </c>
      <c r="Q465" s="2" t="s">
        <v>24</v>
      </c>
    </row>
    <row r="466" customFormat="false" ht="15" hidden="false" customHeight="false" outlineLevel="0" collapsed="false">
      <c r="A466" s="2" t="s">
        <v>598</v>
      </c>
      <c r="B466" s="2" t="s">
        <v>47</v>
      </c>
      <c r="C466" s="14" t="s">
        <v>2414</v>
      </c>
      <c r="D466" s="42" t="n">
        <v>186863</v>
      </c>
      <c r="E466" s="2" t="s">
        <v>827</v>
      </c>
      <c r="F466" s="43" t="n">
        <v>1.70750228777233</v>
      </c>
      <c r="G466" s="31" t="n">
        <v>68.8</v>
      </c>
      <c r="H466" s="41" t="n">
        <v>0.180391141207535</v>
      </c>
      <c r="I466" s="31" t="n">
        <v>93.2</v>
      </c>
      <c r="J466" s="2" t="s">
        <v>2897</v>
      </c>
      <c r="K466" s="44" t="n">
        <v>0.0214507031063796</v>
      </c>
      <c r="L466" s="31" t="n">
        <v>14.3</v>
      </c>
      <c r="M466" s="34" t="s">
        <v>822</v>
      </c>
      <c r="N466" s="2" t="s">
        <v>22</v>
      </c>
      <c r="O466" s="2" t="s">
        <v>22</v>
      </c>
      <c r="P466" s="2" t="s">
        <v>22</v>
      </c>
      <c r="Q466" s="2" t="s">
        <v>22</v>
      </c>
    </row>
    <row r="467" customFormat="false" ht="15" hidden="false" customHeight="false" outlineLevel="0" collapsed="false">
      <c r="A467" s="2" t="s">
        <v>97</v>
      </c>
      <c r="B467" s="2" t="s">
        <v>45</v>
      </c>
      <c r="C467" s="14" t="s">
        <v>839</v>
      </c>
      <c r="D467" s="42" t="n">
        <v>20574</v>
      </c>
      <c r="E467" s="2" t="s">
        <v>821</v>
      </c>
      <c r="F467" s="43" t="n">
        <v>2.62613006707495</v>
      </c>
      <c r="G467" s="31" t="n">
        <v>98.5</v>
      </c>
      <c r="H467" s="41" t="n">
        <v>0.131745420540184</v>
      </c>
      <c r="I467" s="31" t="n">
        <v>70.1</v>
      </c>
      <c r="J467" s="2" t="s">
        <v>2883</v>
      </c>
      <c r="K467" s="44" t="n">
        <v>0.0771698449474247</v>
      </c>
      <c r="L467" s="31" t="n">
        <v>24.9</v>
      </c>
      <c r="M467" s="34" t="s">
        <v>822</v>
      </c>
      <c r="N467" s="2" t="s">
        <v>22</v>
      </c>
      <c r="O467" s="2" t="s">
        <v>22</v>
      </c>
      <c r="P467" s="2" t="s">
        <v>22</v>
      </c>
      <c r="Q467" s="2" t="s">
        <v>22</v>
      </c>
    </row>
    <row r="468" customFormat="false" ht="15" hidden="false" customHeight="false" outlineLevel="0" collapsed="false">
      <c r="A468" s="2" t="s">
        <v>97</v>
      </c>
      <c r="B468" s="2" t="s">
        <v>46</v>
      </c>
      <c r="C468" s="13" t="s">
        <v>1666</v>
      </c>
      <c r="D468" s="29" t="n">
        <v>112300</v>
      </c>
      <c r="E468" s="2" t="s">
        <v>827</v>
      </c>
      <c r="F468" s="30" t="n">
        <v>7.79560106856634</v>
      </c>
      <c r="G468" s="31" t="n">
        <v>89.2</v>
      </c>
      <c r="H468" s="32" t="n">
        <v>0.148966646204215</v>
      </c>
      <c r="I468" s="31" t="n">
        <v>88.5</v>
      </c>
      <c r="J468" s="2" t="s">
        <v>2888</v>
      </c>
      <c r="K468" s="33" t="n">
        <v>0.0973490323262946</v>
      </c>
      <c r="L468" s="31" t="n">
        <v>35.8</v>
      </c>
      <c r="M468" s="34" t="s">
        <v>822</v>
      </c>
      <c r="N468" s="2" t="s">
        <v>24</v>
      </c>
      <c r="O468" s="2" t="s">
        <v>24</v>
      </c>
      <c r="P468" s="2" t="s">
        <v>24</v>
      </c>
      <c r="Q468" s="2" t="s">
        <v>24</v>
      </c>
    </row>
    <row r="469" customFormat="false" ht="15" hidden="false" customHeight="false" outlineLevel="0" collapsed="false">
      <c r="A469" s="2" t="s">
        <v>97</v>
      </c>
      <c r="B469" s="2" t="s">
        <v>47</v>
      </c>
      <c r="C469" s="14" t="s">
        <v>2238</v>
      </c>
      <c r="D469" s="42" t="n">
        <v>285682</v>
      </c>
      <c r="E469" s="2" t="s">
        <v>827</v>
      </c>
      <c r="F469" s="43" t="n">
        <v>4.46292381039057</v>
      </c>
      <c r="G469" s="31" t="n">
        <v>96.3</v>
      </c>
      <c r="H469" s="41" t="n">
        <v>0.105452153387765</v>
      </c>
      <c r="I469" s="31" t="n">
        <v>62.7</v>
      </c>
      <c r="J469" s="2" t="s">
        <v>2897</v>
      </c>
      <c r="K469" s="44" t="n">
        <v>0.0690142233025654</v>
      </c>
      <c r="L469" s="31" t="n">
        <v>44.1</v>
      </c>
      <c r="M469" s="34" t="s">
        <v>822</v>
      </c>
      <c r="N469" s="2" t="s">
        <v>22</v>
      </c>
      <c r="O469" s="2" t="s">
        <v>22</v>
      </c>
      <c r="P469" s="2" t="s">
        <v>22</v>
      </c>
      <c r="Q469" s="2" t="s">
        <v>22</v>
      </c>
    </row>
    <row r="470" customFormat="false" ht="15" hidden="false" customHeight="false" outlineLevel="0" collapsed="false">
      <c r="A470" s="2" t="s">
        <v>502</v>
      </c>
      <c r="B470" s="2" t="s">
        <v>45</v>
      </c>
      <c r="C470" s="15" t="s">
        <v>1200</v>
      </c>
      <c r="D470" s="29" t="n">
        <v>16410</v>
      </c>
      <c r="E470" s="2" t="s">
        <v>821</v>
      </c>
      <c r="F470" s="30" t="n">
        <v>0.604265691651432</v>
      </c>
      <c r="G470" s="31" t="n">
        <v>54.4</v>
      </c>
      <c r="H470" s="32" t="n">
        <v>0.123203285420945</v>
      </c>
      <c r="I470" s="31" t="n">
        <v>67.4</v>
      </c>
      <c r="J470" s="2" t="s">
        <v>2883</v>
      </c>
      <c r="K470" s="33" t="n">
        <v>0.231147540983607</v>
      </c>
      <c r="L470" s="31" t="n">
        <v>78.8</v>
      </c>
      <c r="M470" s="34" t="s">
        <v>822</v>
      </c>
      <c r="N470" s="2" t="s">
        <v>24</v>
      </c>
      <c r="O470" s="2" t="s">
        <v>24</v>
      </c>
      <c r="P470" s="2" t="s">
        <v>24</v>
      </c>
      <c r="Q470" s="2" t="s">
        <v>24</v>
      </c>
    </row>
    <row r="471" customFormat="false" ht="15" hidden="false" customHeight="false" outlineLevel="0" collapsed="false">
      <c r="A471" s="2" t="s">
        <v>502</v>
      </c>
      <c r="B471" s="2" t="s">
        <v>46</v>
      </c>
      <c r="C471" s="13" t="s">
        <v>1948</v>
      </c>
      <c r="D471" s="29" t="n">
        <v>173470</v>
      </c>
      <c r="E471" s="2" t="s">
        <v>827</v>
      </c>
      <c r="F471" s="30" t="n">
        <v>2.74941488441806</v>
      </c>
      <c r="G471" s="31" t="n">
        <v>42.8</v>
      </c>
      <c r="H471" s="32" t="n">
        <v>0.106243224284166</v>
      </c>
      <c r="I471" s="31" t="n">
        <v>65</v>
      </c>
      <c r="J471" s="2" t="s">
        <v>2888</v>
      </c>
      <c r="K471" s="33" t="n">
        <v>0.0164426523297491</v>
      </c>
      <c r="L471" s="31" t="n">
        <v>2.6</v>
      </c>
      <c r="M471" s="34" t="s">
        <v>822</v>
      </c>
      <c r="N471" s="2" t="s">
        <v>24</v>
      </c>
      <c r="O471" s="2" t="s">
        <v>24</v>
      </c>
      <c r="P471" s="2" t="s">
        <v>24</v>
      </c>
      <c r="Q471" s="2" t="s">
        <v>24</v>
      </c>
    </row>
    <row r="472" customFormat="false" ht="15" hidden="false" customHeight="false" outlineLevel="0" collapsed="false">
      <c r="A472" s="2" t="s">
        <v>3004</v>
      </c>
      <c r="B472" s="2" t="s">
        <v>46</v>
      </c>
      <c r="C472" s="16"/>
      <c r="D472" s="35"/>
      <c r="E472" s="2"/>
      <c r="F472" s="36"/>
      <c r="G472" s="31"/>
      <c r="H472" s="37"/>
      <c r="I472" s="31"/>
      <c r="J472" s="2"/>
      <c r="K472" s="38"/>
      <c r="L472" s="31"/>
      <c r="M472" s="39" t="s">
        <v>832</v>
      </c>
      <c r="N472" s="2"/>
      <c r="O472" s="2"/>
      <c r="P472" s="2"/>
      <c r="Q472" s="2"/>
    </row>
    <row r="473" customFormat="false" ht="15" hidden="false" customHeight="false" outlineLevel="0" collapsed="false">
      <c r="A473" s="2" t="s">
        <v>2207</v>
      </c>
      <c r="B473" s="2" t="s">
        <v>45</v>
      </c>
      <c r="C473" s="16"/>
      <c r="D473" s="35"/>
      <c r="E473" s="2"/>
      <c r="F473" s="36"/>
      <c r="G473" s="31"/>
      <c r="H473" s="37"/>
      <c r="I473" s="31"/>
      <c r="J473" s="2"/>
      <c r="K473" s="38"/>
      <c r="L473" s="31"/>
      <c r="M473" s="39" t="s">
        <v>832</v>
      </c>
      <c r="N473" s="2"/>
      <c r="O473" s="2"/>
      <c r="P473" s="2"/>
      <c r="Q473" s="2"/>
    </row>
    <row r="474" customFormat="false" ht="15" hidden="false" customHeight="false" outlineLevel="0" collapsed="false">
      <c r="A474" s="2" t="s">
        <v>2207</v>
      </c>
      <c r="B474" s="2" t="s">
        <v>46</v>
      </c>
      <c r="C474" s="13" t="s">
        <v>2208</v>
      </c>
      <c r="D474" s="29" t="n">
        <v>217990</v>
      </c>
      <c r="E474" s="2" t="s">
        <v>827</v>
      </c>
      <c r="F474" s="30" t="n">
        <v>0.275008027891188</v>
      </c>
      <c r="G474" s="31" t="n">
        <v>0.2</v>
      </c>
      <c r="H474" s="32" t="n">
        <v>0.045515587529976</v>
      </c>
      <c r="I474" s="31" t="n">
        <v>31.2</v>
      </c>
      <c r="J474" s="2" t="s">
        <v>2888</v>
      </c>
      <c r="K474" s="33" t="n">
        <v>0.235440340909091</v>
      </c>
      <c r="L474" s="31" t="n">
        <v>77.7</v>
      </c>
      <c r="M474" s="34" t="s">
        <v>822</v>
      </c>
      <c r="N474" s="2" t="s">
        <v>24</v>
      </c>
      <c r="O474" s="2" t="s">
        <v>24</v>
      </c>
      <c r="P474" s="2" t="s">
        <v>24</v>
      </c>
      <c r="Q474" s="2" t="s">
        <v>24</v>
      </c>
    </row>
    <row r="475" customFormat="false" ht="15" hidden="false" customHeight="false" outlineLevel="0" collapsed="false">
      <c r="A475" s="2" t="s">
        <v>2207</v>
      </c>
      <c r="B475" s="2" t="s">
        <v>47</v>
      </c>
      <c r="C475" s="14" t="s">
        <v>2552</v>
      </c>
      <c r="D475" s="42" t="n">
        <v>6677</v>
      </c>
      <c r="E475" s="2" t="s">
        <v>825</v>
      </c>
      <c r="F475" s="43" t="n">
        <v>1.23034296839898</v>
      </c>
      <c r="G475" s="31" t="n">
        <v>48.9</v>
      </c>
      <c r="H475" s="41" t="n">
        <v>0.182188385269122</v>
      </c>
      <c r="I475" s="31" t="n">
        <v>80</v>
      </c>
      <c r="J475" s="2" t="s">
        <v>2889</v>
      </c>
      <c r="K475" s="44" t="n">
        <v>0.0585480093676815</v>
      </c>
      <c r="L475" s="31" t="n">
        <v>36.2</v>
      </c>
      <c r="M475" s="34" t="s">
        <v>822</v>
      </c>
      <c r="N475" s="2" t="s">
        <v>22</v>
      </c>
      <c r="O475" s="2" t="s">
        <v>22</v>
      </c>
      <c r="P475" s="2" t="s">
        <v>22</v>
      </c>
      <c r="Q475" s="2" t="s">
        <v>22</v>
      </c>
    </row>
    <row r="476" customFormat="false" ht="15" hidden="false" customHeight="false" outlineLevel="0" collapsed="false">
      <c r="A476" s="2" t="s">
        <v>114</v>
      </c>
      <c r="B476" s="2" t="s">
        <v>46</v>
      </c>
      <c r="C476" s="14" t="s">
        <v>1696</v>
      </c>
      <c r="D476" s="42" t="n">
        <v>58535</v>
      </c>
      <c r="E476" s="2" t="s">
        <v>821</v>
      </c>
      <c r="F476" s="43" t="n">
        <v>6.567540787563</v>
      </c>
      <c r="G476" s="31" t="n">
        <v>83.9</v>
      </c>
      <c r="H476" s="41" t="n">
        <v>0.0734458096460664</v>
      </c>
      <c r="I476" s="31" t="n">
        <v>42.9</v>
      </c>
      <c r="J476" s="2" t="s">
        <v>2884</v>
      </c>
      <c r="K476" s="44" t="n">
        <v>0.0363132608247119</v>
      </c>
      <c r="L476" s="31" t="n">
        <v>7.5</v>
      </c>
      <c r="M476" s="34" t="s">
        <v>822</v>
      </c>
      <c r="N476" s="2" t="s">
        <v>22</v>
      </c>
      <c r="O476" s="2" t="s">
        <v>22</v>
      </c>
      <c r="P476" s="2" t="s">
        <v>22</v>
      </c>
      <c r="Q476" s="2" t="s">
        <v>22</v>
      </c>
    </row>
    <row r="477" customFormat="false" ht="15" hidden="false" customHeight="false" outlineLevel="0" collapsed="false">
      <c r="A477" s="2" t="s">
        <v>114</v>
      </c>
      <c r="B477" s="2" t="s">
        <v>47</v>
      </c>
      <c r="C477" s="13" t="s">
        <v>2214</v>
      </c>
      <c r="D477" s="29" t="n">
        <v>9430</v>
      </c>
      <c r="E477" s="2" t="s">
        <v>825</v>
      </c>
      <c r="F477" s="30" t="n">
        <v>7.7407211028632</v>
      </c>
      <c r="G477" s="31" t="n">
        <v>99.6</v>
      </c>
      <c r="H477" s="32" t="n">
        <v>0.0619369369369369</v>
      </c>
      <c r="I477" s="31" t="n">
        <v>30</v>
      </c>
      <c r="J477" s="2" t="s">
        <v>2889</v>
      </c>
      <c r="K477" s="33" t="n">
        <v>0.212235294117647</v>
      </c>
      <c r="L477" s="31" t="n">
        <v>87.5</v>
      </c>
      <c r="M477" s="34" t="s">
        <v>822</v>
      </c>
      <c r="N477" s="2" t="s">
        <v>24</v>
      </c>
      <c r="O477" s="2" t="s">
        <v>24</v>
      </c>
      <c r="P477" s="2" t="s">
        <v>24</v>
      </c>
      <c r="Q477" s="2" t="s">
        <v>24</v>
      </c>
    </row>
    <row r="478" customFormat="false" ht="15" hidden="false" customHeight="false" outlineLevel="0" collapsed="false">
      <c r="A478" s="2" t="s">
        <v>3005</v>
      </c>
      <c r="B478" s="2" t="s">
        <v>46</v>
      </c>
      <c r="C478" s="14" t="s">
        <v>3006</v>
      </c>
      <c r="D478" s="42" t="n">
        <v>25388</v>
      </c>
      <c r="E478" s="2" t="s">
        <v>821</v>
      </c>
      <c r="F478" s="43" t="n">
        <v>1.16519615566409</v>
      </c>
      <c r="G478" s="31" t="n">
        <v>9.4</v>
      </c>
      <c r="H478" s="41" t="n">
        <v>0.0701850524807149</v>
      </c>
      <c r="I478" s="31" t="n">
        <v>41.5</v>
      </c>
      <c r="J478" s="2" t="s">
        <v>2884</v>
      </c>
      <c r="K478" s="38"/>
      <c r="L478" s="31"/>
      <c r="M478" s="39" t="s">
        <v>832</v>
      </c>
      <c r="N478" s="2" t="s">
        <v>22</v>
      </c>
      <c r="O478" s="2" t="s">
        <v>22</v>
      </c>
      <c r="P478" s="2" t="s">
        <v>22</v>
      </c>
      <c r="Q478" s="2"/>
    </row>
    <row r="479" customFormat="false" ht="15" hidden="false" customHeight="false" outlineLevel="0" collapsed="false">
      <c r="A479" s="2" t="s">
        <v>882</v>
      </c>
      <c r="B479" s="2" t="s">
        <v>45</v>
      </c>
      <c r="C479" s="13" t="s">
        <v>883</v>
      </c>
      <c r="D479" s="29" t="n">
        <v>136460</v>
      </c>
      <c r="E479" s="2" t="s">
        <v>827</v>
      </c>
      <c r="F479" s="30" t="n">
        <v>1.85321705994431</v>
      </c>
      <c r="G479" s="31" t="n">
        <v>94</v>
      </c>
      <c r="H479" s="32" t="n">
        <v>0.014647929214068</v>
      </c>
      <c r="I479" s="31" t="n">
        <v>17.1</v>
      </c>
      <c r="J479" s="2" t="s">
        <v>2890</v>
      </c>
      <c r="K479" s="33" t="n">
        <v>0.114037028841189</v>
      </c>
      <c r="L479" s="31" t="n">
        <v>41.5</v>
      </c>
      <c r="M479" s="34" t="s">
        <v>822</v>
      </c>
      <c r="N479" s="2" t="s">
        <v>24</v>
      </c>
      <c r="O479" s="2" t="s">
        <v>24</v>
      </c>
      <c r="P479" s="2" t="s">
        <v>24</v>
      </c>
      <c r="Q479" s="2" t="s">
        <v>24</v>
      </c>
    </row>
    <row r="480" customFormat="false" ht="15" hidden="false" customHeight="false" outlineLevel="0" collapsed="false">
      <c r="A480" s="2" t="s">
        <v>882</v>
      </c>
      <c r="B480" s="2" t="s">
        <v>46</v>
      </c>
      <c r="C480" s="13" t="s">
        <v>3007</v>
      </c>
      <c r="D480" s="29" t="n">
        <v>3560</v>
      </c>
      <c r="E480" s="2" t="s">
        <v>825</v>
      </c>
      <c r="F480" s="30" t="n">
        <v>10.8688202247191</v>
      </c>
      <c r="G480" s="31" t="n">
        <v>95.7</v>
      </c>
      <c r="H480" s="37"/>
      <c r="I480" s="31"/>
      <c r="J480" s="2"/>
      <c r="K480" s="33" t="n">
        <v>0.139712108382727</v>
      </c>
      <c r="L480" s="31" t="n">
        <v>52.5</v>
      </c>
      <c r="M480" s="39" t="s">
        <v>832</v>
      </c>
      <c r="N480" s="2" t="s">
        <v>24</v>
      </c>
      <c r="O480" s="2" t="s">
        <v>24</v>
      </c>
      <c r="P480" s="2"/>
      <c r="Q480" s="2" t="s">
        <v>24</v>
      </c>
    </row>
    <row r="481" customFormat="false" ht="15" hidden="false" customHeight="false" outlineLevel="0" collapsed="false">
      <c r="A481" s="2" t="s">
        <v>882</v>
      </c>
      <c r="B481" s="2" t="s">
        <v>47</v>
      </c>
      <c r="C481" s="13" t="s">
        <v>2693</v>
      </c>
      <c r="D481" s="29" t="n">
        <v>891990</v>
      </c>
      <c r="E481" s="2" t="s">
        <v>827</v>
      </c>
      <c r="F481" s="30" t="n">
        <v>0.776064754089171</v>
      </c>
      <c r="G481" s="31" t="n">
        <v>26.8</v>
      </c>
      <c r="H481" s="32" t="n">
        <v>0.178524713623211</v>
      </c>
      <c r="I481" s="31" t="n">
        <v>91.9</v>
      </c>
      <c r="J481" s="2" t="s">
        <v>2897</v>
      </c>
      <c r="K481" s="44" t="n">
        <v>0.104240236469696</v>
      </c>
      <c r="L481" s="31" t="n">
        <v>60.4</v>
      </c>
      <c r="M481" s="34" t="s">
        <v>822</v>
      </c>
      <c r="N481" s="2" t="s">
        <v>24</v>
      </c>
      <c r="O481" s="2" t="s">
        <v>24</v>
      </c>
      <c r="P481" s="2" t="s">
        <v>24</v>
      </c>
      <c r="Q481" s="2" t="s">
        <v>22</v>
      </c>
    </row>
    <row r="482" customFormat="false" ht="15" hidden="false" customHeight="false" outlineLevel="0" collapsed="false">
      <c r="A482" s="2" t="s">
        <v>859</v>
      </c>
      <c r="B482" s="2" t="s">
        <v>45</v>
      </c>
      <c r="C482" s="13" t="s">
        <v>860</v>
      </c>
      <c r="D482" s="29" t="n">
        <v>18270</v>
      </c>
      <c r="E482" s="2" t="s">
        <v>821</v>
      </c>
      <c r="F482" s="30" t="n">
        <v>2.12501368363437</v>
      </c>
      <c r="G482" s="31" t="n">
        <v>96</v>
      </c>
      <c r="H482" s="32" t="n">
        <v>0.201973684210526</v>
      </c>
      <c r="I482" s="31" t="n">
        <v>91.4</v>
      </c>
      <c r="J482" s="2" t="s">
        <v>2883</v>
      </c>
      <c r="K482" s="33" t="n">
        <v>0.149350649350649</v>
      </c>
      <c r="L482" s="31" t="n">
        <v>57.6</v>
      </c>
      <c r="M482" s="34" t="s">
        <v>822</v>
      </c>
      <c r="N482" s="2" t="s">
        <v>24</v>
      </c>
      <c r="O482" s="2" t="s">
        <v>24</v>
      </c>
      <c r="P482" s="2" t="s">
        <v>24</v>
      </c>
      <c r="Q482" s="2" t="s">
        <v>24</v>
      </c>
    </row>
    <row r="483" customFormat="false" ht="15" hidden="false" customHeight="false" outlineLevel="0" collapsed="false">
      <c r="A483" s="2" t="s">
        <v>859</v>
      </c>
      <c r="B483" s="2" t="s">
        <v>46</v>
      </c>
      <c r="C483" s="13" t="s">
        <v>1603</v>
      </c>
      <c r="D483" s="46" t="n">
        <v>37019</v>
      </c>
      <c r="E483" s="2" t="s">
        <v>821</v>
      </c>
      <c r="F483" s="47" t="n">
        <v>17.8501040006483</v>
      </c>
      <c r="G483" s="31" t="n">
        <v>99.4</v>
      </c>
      <c r="H483" s="48" t="n">
        <v>0.0854420172995162</v>
      </c>
      <c r="I483" s="31" t="n">
        <v>51.6</v>
      </c>
      <c r="J483" s="2" t="s">
        <v>2884</v>
      </c>
      <c r="K483" s="33" t="n">
        <v>0.183887513716284</v>
      </c>
      <c r="L483" s="31" t="n">
        <v>65.3</v>
      </c>
      <c r="M483" s="34" t="s">
        <v>822</v>
      </c>
      <c r="N483" s="2" t="s">
        <v>19</v>
      </c>
      <c r="O483" s="2" t="s">
        <v>19</v>
      </c>
      <c r="P483" s="2" t="s">
        <v>19</v>
      </c>
      <c r="Q483" s="2" t="s">
        <v>24</v>
      </c>
    </row>
    <row r="484" customFormat="false" ht="15" hidden="false" customHeight="false" outlineLevel="0" collapsed="false">
      <c r="A484" s="2" t="s">
        <v>859</v>
      </c>
      <c r="B484" s="2" t="s">
        <v>47</v>
      </c>
      <c r="C484" s="14" t="s">
        <v>3008</v>
      </c>
      <c r="D484" s="42" t="n">
        <v>533067</v>
      </c>
      <c r="E484" s="2" t="s">
        <v>827</v>
      </c>
      <c r="F484" s="43" t="n">
        <v>0.411664950184498</v>
      </c>
      <c r="G484" s="31" t="n">
        <v>8.8</v>
      </c>
      <c r="H484" s="37"/>
      <c r="I484" s="31"/>
      <c r="J484" s="2"/>
      <c r="K484" s="44" t="n">
        <v>0.204331121201537</v>
      </c>
      <c r="L484" s="31" t="n">
        <v>86</v>
      </c>
      <c r="M484" s="39" t="s">
        <v>832</v>
      </c>
      <c r="N484" s="2" t="s">
        <v>22</v>
      </c>
      <c r="O484" s="2" t="s">
        <v>22</v>
      </c>
      <c r="P484" s="2"/>
      <c r="Q484" s="2" t="s">
        <v>22</v>
      </c>
    </row>
    <row r="485" customFormat="false" ht="15" hidden="false" customHeight="false" outlineLevel="0" collapsed="false">
      <c r="A485" s="2" t="s">
        <v>3009</v>
      </c>
      <c r="B485" s="2" t="s">
        <v>45</v>
      </c>
      <c r="C485" s="15" t="s">
        <v>3010</v>
      </c>
      <c r="D485" s="35"/>
      <c r="E485" s="2"/>
      <c r="F485" s="36"/>
      <c r="G485" s="31"/>
      <c r="H485" s="37"/>
      <c r="I485" s="31"/>
      <c r="J485" s="2"/>
      <c r="K485" s="38"/>
      <c r="L485" s="31"/>
      <c r="M485" s="39" t="s">
        <v>832</v>
      </c>
      <c r="N485" s="2"/>
      <c r="O485" s="2"/>
      <c r="P485" s="2"/>
      <c r="Q485" s="2"/>
    </row>
    <row r="486" customFormat="false" ht="15" hidden="false" customHeight="false" outlineLevel="0" collapsed="false">
      <c r="A486" s="2" t="s">
        <v>3009</v>
      </c>
      <c r="B486" s="2" t="s">
        <v>46</v>
      </c>
      <c r="C486" s="16"/>
      <c r="D486" s="35"/>
      <c r="E486" s="2"/>
      <c r="F486" s="36"/>
      <c r="G486" s="31"/>
      <c r="H486" s="37"/>
      <c r="I486" s="31"/>
      <c r="J486" s="2"/>
      <c r="K486" s="38"/>
      <c r="L486" s="31"/>
      <c r="M486" s="39" t="s">
        <v>832</v>
      </c>
      <c r="N486" s="2"/>
      <c r="O486" s="2"/>
      <c r="P486" s="2"/>
      <c r="Q486" s="2"/>
    </row>
    <row r="487" customFormat="false" ht="15" hidden="false" customHeight="false" outlineLevel="0" collapsed="false">
      <c r="A487" s="2" t="s">
        <v>3009</v>
      </c>
      <c r="B487" s="2" t="s">
        <v>47</v>
      </c>
      <c r="C487" s="13" t="s">
        <v>3011</v>
      </c>
      <c r="D487" s="35"/>
      <c r="E487" s="2"/>
      <c r="F487" s="36"/>
      <c r="G487" s="31"/>
      <c r="H487" s="37"/>
      <c r="I487" s="31"/>
      <c r="J487" s="2"/>
      <c r="K487" s="33" t="n">
        <v>0</v>
      </c>
      <c r="L487" s="31" t="n">
        <v>0.9</v>
      </c>
      <c r="M487" s="39" t="s">
        <v>832</v>
      </c>
      <c r="N487" s="2"/>
      <c r="O487" s="2"/>
      <c r="P487" s="2"/>
      <c r="Q487" s="2" t="s">
        <v>24</v>
      </c>
    </row>
    <row r="488" customFormat="false" ht="15" hidden="false" customHeight="false" outlineLevel="0" collapsed="false">
      <c r="A488" s="2" t="s">
        <v>744</v>
      </c>
      <c r="B488" s="2" t="s">
        <v>45</v>
      </c>
      <c r="C488" s="13" t="s">
        <v>1436</v>
      </c>
      <c r="D488" s="29" t="n">
        <v>996530</v>
      </c>
      <c r="E488" s="2" t="s">
        <v>827</v>
      </c>
      <c r="F488" s="30" t="n">
        <v>0.335037580404002</v>
      </c>
      <c r="G488" s="31" t="n">
        <v>22.5</v>
      </c>
      <c r="H488" s="32" t="n">
        <v>0.163246486436009</v>
      </c>
      <c r="I488" s="31" t="n">
        <v>82.1</v>
      </c>
      <c r="J488" s="2" t="s">
        <v>2890</v>
      </c>
      <c r="K488" s="44" t="n">
        <v>0.0949481375719145</v>
      </c>
      <c r="L488" s="31" t="n">
        <v>34.3</v>
      </c>
      <c r="M488" s="34" t="s">
        <v>822</v>
      </c>
      <c r="N488" s="2" t="s">
        <v>24</v>
      </c>
      <c r="O488" s="2" t="s">
        <v>24</v>
      </c>
      <c r="P488" s="2" t="s">
        <v>24</v>
      </c>
      <c r="Q488" s="2" t="s">
        <v>22</v>
      </c>
    </row>
    <row r="489" customFormat="false" ht="15" hidden="false" customHeight="false" outlineLevel="0" collapsed="false">
      <c r="A489" s="2" t="s">
        <v>837</v>
      </c>
      <c r="B489" s="2" t="s">
        <v>45</v>
      </c>
      <c r="C489" s="13" t="s">
        <v>838</v>
      </c>
      <c r="D489" s="29" t="n">
        <v>20020</v>
      </c>
      <c r="E489" s="2" t="s">
        <v>821</v>
      </c>
      <c r="F489" s="30" t="n">
        <v>2.63346653346653</v>
      </c>
      <c r="G489" s="31" t="n">
        <v>98.7</v>
      </c>
      <c r="H489" s="32" t="n">
        <v>0.120313374370453</v>
      </c>
      <c r="I489" s="31" t="n">
        <v>64.6</v>
      </c>
      <c r="J489" s="2" t="s">
        <v>2883</v>
      </c>
      <c r="K489" s="44" t="n">
        <v>0.1724</v>
      </c>
      <c r="L489" s="31" t="n">
        <v>65.7</v>
      </c>
      <c r="M489" s="34" t="s">
        <v>822</v>
      </c>
      <c r="N489" s="2" t="s">
        <v>24</v>
      </c>
      <c r="O489" s="2" t="s">
        <v>24</v>
      </c>
      <c r="P489" s="2" t="s">
        <v>24</v>
      </c>
      <c r="Q489" s="2" t="s">
        <v>22</v>
      </c>
    </row>
    <row r="490" customFormat="false" ht="15" hidden="false" customHeight="false" outlineLevel="0" collapsed="false">
      <c r="A490" s="2" t="s">
        <v>837</v>
      </c>
      <c r="B490" s="2" t="s">
        <v>46</v>
      </c>
      <c r="C490" s="13" t="s">
        <v>3012</v>
      </c>
      <c r="D490" s="35"/>
      <c r="E490" s="2"/>
      <c r="F490" s="36"/>
      <c r="G490" s="31"/>
      <c r="H490" s="37"/>
      <c r="I490" s="31"/>
      <c r="J490" s="2"/>
      <c r="K490" s="38"/>
      <c r="L490" s="31"/>
      <c r="M490" s="39" t="s">
        <v>832</v>
      </c>
      <c r="N490" s="2"/>
      <c r="O490" s="2"/>
      <c r="P490" s="2"/>
      <c r="Q490" s="2"/>
    </row>
    <row r="491" customFormat="false" ht="15" hidden="false" customHeight="false" outlineLevel="0" collapsed="false">
      <c r="A491" s="2" t="s">
        <v>837</v>
      </c>
      <c r="B491" s="2" t="s">
        <v>47</v>
      </c>
      <c r="C491" s="14" t="s">
        <v>2243</v>
      </c>
      <c r="D491" s="42" t="n">
        <v>9623</v>
      </c>
      <c r="E491" s="2" t="s">
        <v>825</v>
      </c>
      <c r="F491" s="43" t="n">
        <v>4.11067234750078</v>
      </c>
      <c r="G491" s="31" t="n">
        <v>95.4</v>
      </c>
      <c r="H491" s="41" t="n">
        <v>0.19897832045851</v>
      </c>
      <c r="I491" s="31" t="n">
        <v>90</v>
      </c>
      <c r="J491" s="2" t="s">
        <v>2889</v>
      </c>
      <c r="K491" s="44" t="n">
        <v>0.343406593406593</v>
      </c>
      <c r="L491" s="31" t="n">
        <v>97.8</v>
      </c>
      <c r="M491" s="34" t="s">
        <v>822</v>
      </c>
      <c r="N491" s="2" t="s">
        <v>22</v>
      </c>
      <c r="O491" s="2" t="s">
        <v>22</v>
      </c>
      <c r="P491" s="2" t="s">
        <v>22</v>
      </c>
      <c r="Q491" s="2" t="s">
        <v>22</v>
      </c>
    </row>
    <row r="492" customFormat="false" ht="15" hidden="false" customHeight="false" outlineLevel="0" collapsed="false">
      <c r="A492" s="2" t="s">
        <v>872</v>
      </c>
      <c r="B492" s="2" t="s">
        <v>45</v>
      </c>
      <c r="C492" s="14" t="s">
        <v>873</v>
      </c>
      <c r="D492" s="42" t="n">
        <v>7461</v>
      </c>
      <c r="E492" s="2" t="s">
        <v>825</v>
      </c>
      <c r="F492" s="43" t="n">
        <v>1.97252379037663</v>
      </c>
      <c r="G492" s="31" t="n">
        <v>94.7</v>
      </c>
      <c r="H492" s="41" t="n">
        <v>0.051882137318483</v>
      </c>
      <c r="I492" s="31" t="n">
        <v>21.1</v>
      </c>
      <c r="J492" s="2" t="s">
        <v>2899</v>
      </c>
      <c r="K492" s="44" t="n">
        <v>0.132558139534884</v>
      </c>
      <c r="L492" s="31" t="n">
        <v>49.2</v>
      </c>
      <c r="M492" s="34" t="s">
        <v>822</v>
      </c>
      <c r="N492" s="2" t="s">
        <v>22</v>
      </c>
      <c r="O492" s="2" t="s">
        <v>22</v>
      </c>
      <c r="P492" s="2" t="s">
        <v>22</v>
      </c>
      <c r="Q492" s="2" t="s">
        <v>22</v>
      </c>
    </row>
    <row r="493" customFormat="false" ht="15" hidden="false" customHeight="false" outlineLevel="0" collapsed="false">
      <c r="A493" s="2" t="s">
        <v>872</v>
      </c>
      <c r="B493" s="2" t="s">
        <v>46</v>
      </c>
      <c r="C493" s="13" t="s">
        <v>3013</v>
      </c>
      <c r="D493" s="29" t="n">
        <v>176740</v>
      </c>
      <c r="E493" s="2" t="s">
        <v>827</v>
      </c>
      <c r="F493" s="30" t="n">
        <v>3.27084983591717</v>
      </c>
      <c r="G493" s="31" t="n">
        <v>51.5</v>
      </c>
      <c r="H493" s="32" t="n">
        <v>0.0634815572537457</v>
      </c>
      <c r="I493" s="31" t="n">
        <v>43.3</v>
      </c>
      <c r="J493" s="2" t="s">
        <v>2888</v>
      </c>
      <c r="K493" s="38"/>
      <c r="L493" s="31"/>
      <c r="M493" s="39" t="s">
        <v>832</v>
      </c>
      <c r="N493" s="2" t="s">
        <v>24</v>
      </c>
      <c r="O493" s="2" t="s">
        <v>24</v>
      </c>
      <c r="P493" s="2" t="s">
        <v>24</v>
      </c>
      <c r="Q493" s="2"/>
    </row>
    <row r="494" customFormat="false" ht="15" hidden="false" customHeight="false" outlineLevel="0" collapsed="false">
      <c r="A494" s="2" t="s">
        <v>872</v>
      </c>
      <c r="B494" s="2" t="s">
        <v>47</v>
      </c>
      <c r="C494" s="14" t="s">
        <v>3014</v>
      </c>
      <c r="D494" s="42" t="n">
        <v>22980</v>
      </c>
      <c r="E494" s="2" t="s">
        <v>821</v>
      </c>
      <c r="F494" s="43" t="n">
        <v>2.2194952132289</v>
      </c>
      <c r="G494" s="31" t="n">
        <v>79.7</v>
      </c>
      <c r="H494" s="41" t="n">
        <v>0.153440746875471</v>
      </c>
      <c r="I494" s="31" t="n">
        <v>79.2</v>
      </c>
      <c r="J494" s="2" t="s">
        <v>2886</v>
      </c>
      <c r="K494" s="38"/>
      <c r="L494" s="31"/>
      <c r="M494" s="39" t="s">
        <v>832</v>
      </c>
      <c r="N494" s="2" t="s">
        <v>22</v>
      </c>
      <c r="O494" s="2" t="s">
        <v>22</v>
      </c>
      <c r="P494" s="2" t="s">
        <v>22</v>
      </c>
      <c r="Q494" s="2"/>
    </row>
    <row r="495" customFormat="false" ht="15" hidden="false" customHeight="false" outlineLevel="0" collapsed="false">
      <c r="A495" s="2" t="s">
        <v>999</v>
      </c>
      <c r="B495" s="2" t="s">
        <v>45</v>
      </c>
      <c r="C495" s="13" t="s">
        <v>1000</v>
      </c>
      <c r="D495" s="42" t="n">
        <v>48851</v>
      </c>
      <c r="E495" s="2" t="s">
        <v>821</v>
      </c>
      <c r="F495" s="43" t="n">
        <v>1.00810628236884</v>
      </c>
      <c r="G495" s="31" t="n">
        <v>78.6</v>
      </c>
      <c r="H495" s="41" t="n">
        <v>0.107657075482394</v>
      </c>
      <c r="I495" s="31" t="n">
        <v>56.4</v>
      </c>
      <c r="J495" s="2" t="s">
        <v>2883</v>
      </c>
      <c r="K495" s="33" t="n">
        <v>0.16035208572522</v>
      </c>
      <c r="L495" s="31" t="n">
        <v>62.2</v>
      </c>
      <c r="M495" s="34" t="s">
        <v>822</v>
      </c>
      <c r="N495" s="2" t="s">
        <v>22</v>
      </c>
      <c r="O495" s="2" t="s">
        <v>22</v>
      </c>
      <c r="P495" s="2" t="s">
        <v>22</v>
      </c>
      <c r="Q495" s="2" t="s">
        <v>24</v>
      </c>
    </row>
    <row r="496" customFormat="false" ht="15" hidden="false" customHeight="false" outlineLevel="0" collapsed="false">
      <c r="A496" s="2" t="s">
        <v>999</v>
      </c>
      <c r="B496" s="2" t="s">
        <v>46</v>
      </c>
      <c r="C496" s="13" t="s">
        <v>3015</v>
      </c>
      <c r="D496" s="29" t="n">
        <v>40320</v>
      </c>
      <c r="E496" s="2" t="s">
        <v>821</v>
      </c>
      <c r="F496" s="36"/>
      <c r="G496" s="31"/>
      <c r="H496" s="32" t="n">
        <v>0.0304114490161002</v>
      </c>
      <c r="I496" s="31" t="n">
        <v>21.5</v>
      </c>
      <c r="J496" s="2" t="s">
        <v>2884</v>
      </c>
      <c r="K496" s="33" t="n">
        <v>0.0210609659540776</v>
      </c>
      <c r="L496" s="31" t="n">
        <v>4</v>
      </c>
      <c r="M496" s="39" t="s">
        <v>832</v>
      </c>
      <c r="N496" s="2" t="s">
        <v>24</v>
      </c>
      <c r="O496" s="2"/>
      <c r="P496" s="2" t="s">
        <v>24</v>
      </c>
      <c r="Q496" s="2" t="s">
        <v>24</v>
      </c>
    </row>
    <row r="497" customFormat="false" ht="15" hidden="false" customHeight="false" outlineLevel="0" collapsed="false">
      <c r="A497" s="2" t="s">
        <v>999</v>
      </c>
      <c r="B497" s="2" t="s">
        <v>47</v>
      </c>
      <c r="C497" s="13" t="s">
        <v>3016</v>
      </c>
      <c r="D497" s="29" t="n">
        <v>284600</v>
      </c>
      <c r="E497" s="2" t="s">
        <v>827</v>
      </c>
      <c r="F497" s="30" t="n">
        <v>0.239936753338018</v>
      </c>
      <c r="G497" s="31" t="n">
        <v>1.4</v>
      </c>
      <c r="H497" s="37"/>
      <c r="I497" s="31"/>
      <c r="J497" s="2"/>
      <c r="K497" s="33" t="n">
        <v>0.031063321385902</v>
      </c>
      <c r="L497" s="31" t="n">
        <v>20.3</v>
      </c>
      <c r="M497" s="39" t="s">
        <v>832</v>
      </c>
      <c r="N497" s="2" t="s">
        <v>24</v>
      </c>
      <c r="O497" s="2" t="s">
        <v>24</v>
      </c>
      <c r="P497" s="2"/>
      <c r="Q497" s="2" t="s">
        <v>24</v>
      </c>
    </row>
    <row r="498" customFormat="false" ht="15" hidden="false" customHeight="false" outlineLevel="0" collapsed="false">
      <c r="A498" s="2" t="s">
        <v>230</v>
      </c>
      <c r="B498" s="2" t="s">
        <v>45</v>
      </c>
      <c r="C498" s="13" t="s">
        <v>901</v>
      </c>
      <c r="D498" s="29" t="n">
        <v>135790</v>
      </c>
      <c r="E498" s="2" t="s">
        <v>827</v>
      </c>
      <c r="F498" s="30" t="n">
        <v>1.61873481110538</v>
      </c>
      <c r="G498" s="31" t="n">
        <v>90.9</v>
      </c>
      <c r="H498" s="32" t="n">
        <v>0.0738631870304468</v>
      </c>
      <c r="I498" s="31" t="n">
        <v>42.9</v>
      </c>
      <c r="J498" s="2" t="s">
        <v>2890</v>
      </c>
      <c r="K498" s="33" t="n">
        <v>0.0509136880818297</v>
      </c>
      <c r="L498" s="31" t="n">
        <v>15.9</v>
      </c>
      <c r="M498" s="34" t="s">
        <v>822</v>
      </c>
      <c r="N498" s="2" t="s">
        <v>24</v>
      </c>
      <c r="O498" s="2" t="s">
        <v>24</v>
      </c>
      <c r="P498" s="2" t="s">
        <v>24</v>
      </c>
      <c r="Q498" s="2" t="s">
        <v>24</v>
      </c>
    </row>
    <row r="499" customFormat="false" ht="15" hidden="false" customHeight="false" outlineLevel="0" collapsed="false">
      <c r="A499" s="2" t="s">
        <v>230</v>
      </c>
      <c r="B499" s="2" t="s">
        <v>46</v>
      </c>
      <c r="C499" s="14" t="s">
        <v>1901</v>
      </c>
      <c r="D499" s="42" t="n">
        <v>110270</v>
      </c>
      <c r="E499" s="2" t="s">
        <v>827</v>
      </c>
      <c r="F499" s="43" t="n">
        <v>3.16058764849914</v>
      </c>
      <c r="G499" s="31" t="n">
        <v>49.7</v>
      </c>
      <c r="H499" s="41" t="n">
        <v>0.138658846368311</v>
      </c>
      <c r="I499" s="31" t="n">
        <v>80.3</v>
      </c>
      <c r="J499" s="2" t="s">
        <v>2888</v>
      </c>
      <c r="K499" s="44" t="n">
        <v>0.4083920758386</v>
      </c>
      <c r="L499" s="31" t="n">
        <v>97.1</v>
      </c>
      <c r="M499" s="34" t="s">
        <v>822</v>
      </c>
      <c r="N499" s="2" t="s">
        <v>22</v>
      </c>
      <c r="O499" s="2" t="s">
        <v>22</v>
      </c>
      <c r="P499" s="2" t="s">
        <v>22</v>
      </c>
      <c r="Q499" s="2" t="s">
        <v>22</v>
      </c>
    </row>
    <row r="500" customFormat="false" ht="15" hidden="false" customHeight="false" outlineLevel="0" collapsed="false">
      <c r="A500" s="2" t="s">
        <v>670</v>
      </c>
      <c r="B500" s="2" t="s">
        <v>45</v>
      </c>
      <c r="C500" s="14" t="s">
        <v>1526</v>
      </c>
      <c r="D500" s="42" t="n">
        <v>8363</v>
      </c>
      <c r="E500" s="2" t="s">
        <v>825</v>
      </c>
      <c r="F500" s="43" t="n">
        <v>0.206265694128901</v>
      </c>
      <c r="G500" s="31" t="n">
        <v>9.8</v>
      </c>
      <c r="H500" s="41" t="n">
        <v>0.0485205616850552</v>
      </c>
      <c r="I500" s="31" t="n">
        <v>19.7</v>
      </c>
      <c r="J500" s="2" t="s">
        <v>2899</v>
      </c>
      <c r="K500" s="44" t="n">
        <v>0.246031746031746</v>
      </c>
      <c r="L500" s="31" t="n">
        <v>81.6</v>
      </c>
      <c r="M500" s="34" t="s">
        <v>822</v>
      </c>
      <c r="N500" s="2" t="s">
        <v>22</v>
      </c>
      <c r="O500" s="2" t="s">
        <v>22</v>
      </c>
      <c r="P500" s="2" t="s">
        <v>22</v>
      </c>
      <c r="Q500" s="2" t="s">
        <v>22</v>
      </c>
    </row>
    <row r="501" customFormat="false" ht="15" hidden="false" customHeight="false" outlineLevel="0" collapsed="false">
      <c r="A501" s="2" t="s">
        <v>670</v>
      </c>
      <c r="B501" s="2" t="s">
        <v>46</v>
      </c>
      <c r="C501" s="13" t="s">
        <v>1773</v>
      </c>
      <c r="D501" s="29" t="n">
        <v>61080</v>
      </c>
      <c r="E501" s="2" t="s">
        <v>821</v>
      </c>
      <c r="F501" s="30" t="n">
        <v>4.70821872953504</v>
      </c>
      <c r="G501" s="31" t="n">
        <v>70.5</v>
      </c>
      <c r="H501" s="32" t="n">
        <v>-0.0519944125407419</v>
      </c>
      <c r="I501" s="31" t="n">
        <v>4</v>
      </c>
      <c r="J501" s="2" t="s">
        <v>2884</v>
      </c>
      <c r="K501" s="33" t="n">
        <v>0.204490127130106</v>
      </c>
      <c r="L501" s="31" t="n">
        <v>70.2</v>
      </c>
      <c r="M501" s="34" t="s">
        <v>822</v>
      </c>
      <c r="N501" s="2" t="s">
        <v>24</v>
      </c>
      <c r="O501" s="2" t="s">
        <v>24</v>
      </c>
      <c r="P501" s="2" t="s">
        <v>24</v>
      </c>
      <c r="Q501" s="2" t="s">
        <v>24</v>
      </c>
    </row>
    <row r="502" customFormat="false" ht="15" hidden="false" customHeight="false" outlineLevel="0" collapsed="false">
      <c r="A502" s="2" t="s">
        <v>670</v>
      </c>
      <c r="B502" s="2" t="s">
        <v>47</v>
      </c>
      <c r="C502" s="13" t="s">
        <v>2764</v>
      </c>
      <c r="D502" s="29" t="n">
        <v>59250</v>
      </c>
      <c r="E502" s="2" t="s">
        <v>821</v>
      </c>
      <c r="F502" s="30" t="n">
        <v>0.576455696202532</v>
      </c>
      <c r="G502" s="31" t="n">
        <v>16.8</v>
      </c>
      <c r="H502" s="32" t="n">
        <v>0.0941828254847646</v>
      </c>
      <c r="I502" s="31" t="n">
        <v>49.7</v>
      </c>
      <c r="J502" s="2" t="s">
        <v>2886</v>
      </c>
      <c r="K502" s="33" t="n">
        <v>0.223639455782313</v>
      </c>
      <c r="L502" s="31" t="n">
        <v>89.6</v>
      </c>
      <c r="M502" s="34" t="s">
        <v>822</v>
      </c>
      <c r="N502" s="2" t="s">
        <v>24</v>
      </c>
      <c r="O502" s="2" t="s">
        <v>24</v>
      </c>
      <c r="P502" s="2" t="s">
        <v>24</v>
      </c>
      <c r="Q502" s="2" t="s">
        <v>24</v>
      </c>
    </row>
    <row r="503" customFormat="false" ht="15" hidden="false" customHeight="false" outlineLevel="0" collapsed="false">
      <c r="A503" s="2" t="s">
        <v>1441</v>
      </c>
      <c r="B503" s="2" t="s">
        <v>45</v>
      </c>
      <c r="C503" s="13" t="s">
        <v>1442</v>
      </c>
      <c r="D503" s="42" t="n">
        <v>4077</v>
      </c>
      <c r="E503" s="2" t="s">
        <v>825</v>
      </c>
      <c r="F503" s="43" t="n">
        <v>0.329899435859701</v>
      </c>
      <c r="G503" s="31" t="n">
        <v>21.7</v>
      </c>
      <c r="H503" s="41" t="n">
        <v>0.0745914602003163</v>
      </c>
      <c r="I503" s="31" t="n">
        <v>32.4</v>
      </c>
      <c r="J503" s="2" t="s">
        <v>2899</v>
      </c>
      <c r="K503" s="33" t="n">
        <v>0.0638297872340426</v>
      </c>
      <c r="L503" s="31" t="n">
        <v>21.7</v>
      </c>
      <c r="M503" s="34" t="s">
        <v>822</v>
      </c>
      <c r="N503" s="2" t="s">
        <v>22</v>
      </c>
      <c r="O503" s="2" t="s">
        <v>22</v>
      </c>
      <c r="P503" s="2" t="s">
        <v>22</v>
      </c>
      <c r="Q503" s="2" t="s">
        <v>24</v>
      </c>
    </row>
    <row r="504" customFormat="false" ht="15" hidden="false" customHeight="false" outlineLevel="0" collapsed="false">
      <c r="A504" s="2" t="s">
        <v>1441</v>
      </c>
      <c r="B504" s="2" t="s">
        <v>46</v>
      </c>
      <c r="C504" s="13" t="s">
        <v>3017</v>
      </c>
      <c r="D504" s="29" t="n">
        <v>12310</v>
      </c>
      <c r="E504" s="2" t="s">
        <v>821</v>
      </c>
      <c r="F504" s="36"/>
      <c r="G504" s="31"/>
      <c r="H504" s="32" t="n">
        <v>0.193986420950534</v>
      </c>
      <c r="I504" s="31" t="n">
        <v>93.5</v>
      </c>
      <c r="J504" s="2" t="s">
        <v>2884</v>
      </c>
      <c r="K504" s="33" t="n">
        <v>0.410415232851571</v>
      </c>
      <c r="L504" s="31" t="n">
        <v>97.6</v>
      </c>
      <c r="M504" s="39" t="s">
        <v>832</v>
      </c>
      <c r="N504" s="2" t="s">
        <v>24</v>
      </c>
      <c r="O504" s="2"/>
      <c r="P504" s="2" t="s">
        <v>24</v>
      </c>
      <c r="Q504" s="2" t="s">
        <v>24</v>
      </c>
    </row>
    <row r="505" customFormat="false" ht="15" hidden="false" customHeight="false" outlineLevel="0" collapsed="false">
      <c r="A505" s="2" t="s">
        <v>1441</v>
      </c>
      <c r="B505" s="2" t="s">
        <v>47</v>
      </c>
      <c r="C505" s="14" t="s">
        <v>2215</v>
      </c>
      <c r="D505" s="42" t="n">
        <v>35228</v>
      </c>
      <c r="E505" s="2" t="s">
        <v>821</v>
      </c>
      <c r="F505" s="43" t="n">
        <v>7.35769842171</v>
      </c>
      <c r="G505" s="31" t="n">
        <v>99.5</v>
      </c>
      <c r="H505" s="41" t="n">
        <v>0.101012626578322</v>
      </c>
      <c r="I505" s="31" t="n">
        <v>53.2</v>
      </c>
      <c r="J505" s="2" t="s">
        <v>2886</v>
      </c>
      <c r="K505" s="44" t="n">
        <v>0.155302025294066</v>
      </c>
      <c r="L505" s="31" t="n">
        <v>74.9</v>
      </c>
      <c r="M505" s="34" t="s">
        <v>822</v>
      </c>
      <c r="N505" s="2" t="s">
        <v>22</v>
      </c>
      <c r="O505" s="2" t="s">
        <v>22</v>
      </c>
      <c r="P505" s="2" t="s">
        <v>22</v>
      </c>
      <c r="Q505" s="2" t="s">
        <v>22</v>
      </c>
    </row>
    <row r="506" customFormat="false" ht="15" hidden="false" customHeight="false" outlineLevel="0" collapsed="false">
      <c r="A506" s="2" t="s">
        <v>390</v>
      </c>
      <c r="B506" s="2" t="s">
        <v>45</v>
      </c>
      <c r="C506" s="13" t="s">
        <v>1063</v>
      </c>
      <c r="D506" s="29" t="n">
        <v>6470</v>
      </c>
      <c r="E506" s="2" t="s">
        <v>825</v>
      </c>
      <c r="F506" s="30" t="n">
        <v>0.850850077279753</v>
      </c>
      <c r="G506" s="31" t="n">
        <v>71.5</v>
      </c>
      <c r="H506" s="32" t="n">
        <v>0.0801335559265442</v>
      </c>
      <c r="I506" s="31" t="n">
        <v>38</v>
      </c>
      <c r="J506" s="2" t="s">
        <v>2899</v>
      </c>
      <c r="K506" s="33" t="n">
        <v>0.172535211267606</v>
      </c>
      <c r="L506" s="31" t="n">
        <v>66</v>
      </c>
      <c r="M506" s="34" t="s">
        <v>822</v>
      </c>
      <c r="N506" s="2" t="s">
        <v>24</v>
      </c>
      <c r="O506" s="2" t="s">
        <v>24</v>
      </c>
      <c r="P506" s="2" t="s">
        <v>24</v>
      </c>
      <c r="Q506" s="2" t="s">
        <v>24</v>
      </c>
    </row>
    <row r="507" customFormat="false" ht="15" hidden="false" customHeight="false" outlineLevel="0" collapsed="false">
      <c r="A507" s="2" t="s">
        <v>390</v>
      </c>
      <c r="B507" s="2" t="s">
        <v>46</v>
      </c>
      <c r="C507" s="13" t="s">
        <v>1960</v>
      </c>
      <c r="D507" s="29" t="n">
        <v>1465190</v>
      </c>
      <c r="E507" s="2" t="s">
        <v>935</v>
      </c>
      <c r="F507" s="30" t="n">
        <v>2.61570990793003</v>
      </c>
      <c r="G507" s="31" t="n">
        <v>40.7</v>
      </c>
      <c r="H507" s="32" t="n">
        <v>0.145646326588059</v>
      </c>
      <c r="I507" s="31" t="n">
        <v>100</v>
      </c>
      <c r="J507" s="2" t="s">
        <v>2906</v>
      </c>
      <c r="K507" s="33" t="n">
        <v>0.0622365927967936</v>
      </c>
      <c r="L507" s="31" t="n">
        <v>16.8</v>
      </c>
      <c r="M507" s="34" t="s">
        <v>822</v>
      </c>
      <c r="N507" s="2" t="s">
        <v>24</v>
      </c>
      <c r="O507" s="2" t="s">
        <v>24</v>
      </c>
      <c r="P507" s="2" t="s">
        <v>24</v>
      </c>
      <c r="Q507" s="2" t="s">
        <v>24</v>
      </c>
    </row>
    <row r="508" customFormat="false" ht="15" hidden="false" customHeight="false" outlineLevel="0" collapsed="false">
      <c r="A508" s="2" t="s">
        <v>390</v>
      </c>
      <c r="B508" s="2" t="s">
        <v>47</v>
      </c>
      <c r="C508" s="13" t="s">
        <v>2499</v>
      </c>
      <c r="D508" s="42" t="n">
        <v>1428</v>
      </c>
      <c r="E508" s="2" t="s">
        <v>825</v>
      </c>
      <c r="F508" s="43" t="n">
        <v>1.39425770308123</v>
      </c>
      <c r="G508" s="31" t="n">
        <v>55.6</v>
      </c>
      <c r="H508" s="41" t="n">
        <v>-0.0199039121482498</v>
      </c>
      <c r="I508" s="31" t="n">
        <v>6.2</v>
      </c>
      <c r="J508" s="2" t="s">
        <v>2889</v>
      </c>
      <c r="K508" s="33" t="n">
        <v>0.0505050505050505</v>
      </c>
      <c r="L508" s="31" t="n">
        <v>32.8</v>
      </c>
      <c r="M508" s="34" t="s">
        <v>822</v>
      </c>
      <c r="N508" s="2" t="s">
        <v>22</v>
      </c>
      <c r="O508" s="2" t="s">
        <v>22</v>
      </c>
      <c r="P508" s="2" t="s">
        <v>22</v>
      </c>
      <c r="Q508" s="2" t="s">
        <v>24</v>
      </c>
    </row>
    <row r="509" customFormat="false" ht="15" hidden="false" customHeight="false" outlineLevel="0" collapsed="false">
      <c r="A509" s="2" t="s">
        <v>1738</v>
      </c>
      <c r="B509" s="2" t="s">
        <v>45</v>
      </c>
      <c r="C509" s="13" t="s">
        <v>3018</v>
      </c>
      <c r="D509" s="29" t="n">
        <v>247740</v>
      </c>
      <c r="E509" s="2" t="s">
        <v>827</v>
      </c>
      <c r="F509" s="30" t="n">
        <v>0.385464599983854</v>
      </c>
      <c r="G509" s="31" t="n">
        <v>27.8</v>
      </c>
      <c r="H509" s="32" t="n">
        <v>0.0639467468327249</v>
      </c>
      <c r="I509" s="31" t="n">
        <v>36.4</v>
      </c>
      <c r="J509" s="2" t="s">
        <v>2890</v>
      </c>
      <c r="K509" s="38"/>
      <c r="L509" s="31"/>
      <c r="M509" s="39" t="s">
        <v>832</v>
      </c>
      <c r="N509" s="2" t="s">
        <v>24</v>
      </c>
      <c r="O509" s="2" t="s">
        <v>24</v>
      </c>
      <c r="P509" s="2" t="s">
        <v>24</v>
      </c>
      <c r="Q509" s="2"/>
    </row>
    <row r="510" customFormat="false" ht="15" hidden="false" customHeight="false" outlineLevel="0" collapsed="false">
      <c r="A510" s="2" t="s">
        <v>1738</v>
      </c>
      <c r="B510" s="2" t="s">
        <v>46</v>
      </c>
      <c r="C510" s="13" t="s">
        <v>1739</v>
      </c>
      <c r="D510" s="29" t="n">
        <v>27980</v>
      </c>
      <c r="E510" s="2" t="s">
        <v>821</v>
      </c>
      <c r="F510" s="30" t="n">
        <v>5.39599714081487</v>
      </c>
      <c r="G510" s="31" t="n">
        <v>75.2</v>
      </c>
      <c r="H510" s="32" t="n">
        <v>0.0487256371814093</v>
      </c>
      <c r="I510" s="31" t="n">
        <v>29.5</v>
      </c>
      <c r="J510" s="2" t="s">
        <v>2884</v>
      </c>
      <c r="K510" s="33" t="n">
        <v>0.324418843859288</v>
      </c>
      <c r="L510" s="31" t="n">
        <v>92.3</v>
      </c>
      <c r="M510" s="34" t="s">
        <v>822</v>
      </c>
      <c r="N510" s="2" t="s">
        <v>24</v>
      </c>
      <c r="O510" s="2" t="s">
        <v>24</v>
      </c>
      <c r="P510" s="2" t="s">
        <v>24</v>
      </c>
      <c r="Q510" s="2" t="s">
        <v>24</v>
      </c>
    </row>
    <row r="511" customFormat="false" ht="15" hidden="false" customHeight="false" outlineLevel="0" collapsed="false">
      <c r="A511" s="2" t="s">
        <v>266</v>
      </c>
      <c r="B511" s="2" t="s">
        <v>45</v>
      </c>
      <c r="C511" s="13" t="s">
        <v>1376</v>
      </c>
      <c r="D511" s="29" t="n">
        <v>132640</v>
      </c>
      <c r="E511" s="2" t="s">
        <v>827</v>
      </c>
      <c r="F511" s="30" t="n">
        <v>0.431755126658625</v>
      </c>
      <c r="G511" s="31" t="n">
        <v>32.1</v>
      </c>
      <c r="H511" s="32" t="n">
        <v>0.107086219848093</v>
      </c>
      <c r="I511" s="31" t="n">
        <v>64.3</v>
      </c>
      <c r="J511" s="2" t="s">
        <v>2890</v>
      </c>
      <c r="K511" s="33" t="n">
        <v>0.130284728213978</v>
      </c>
      <c r="L511" s="31" t="n">
        <v>48</v>
      </c>
      <c r="M511" s="34" t="s">
        <v>822</v>
      </c>
      <c r="N511" s="2" t="s">
        <v>24</v>
      </c>
      <c r="O511" s="2" t="s">
        <v>24</v>
      </c>
      <c r="P511" s="2" t="s">
        <v>24</v>
      </c>
      <c r="Q511" s="2" t="s">
        <v>24</v>
      </c>
    </row>
    <row r="512" customFormat="false" ht="15" hidden="false" customHeight="false" outlineLevel="0" collapsed="false">
      <c r="A512" s="2" t="s">
        <v>266</v>
      </c>
      <c r="B512" s="2" t="s">
        <v>46</v>
      </c>
      <c r="C512" s="13" t="s">
        <v>1799</v>
      </c>
      <c r="D512" s="29" t="n">
        <v>249480</v>
      </c>
      <c r="E512" s="2" t="s">
        <v>827</v>
      </c>
      <c r="F512" s="47" t="n">
        <v>4.18939319953774</v>
      </c>
      <c r="G512" s="31" t="n">
        <v>66.2</v>
      </c>
      <c r="H512" s="32" t="n">
        <v>-0.00239923224568138</v>
      </c>
      <c r="I512" s="31" t="n">
        <v>12.1</v>
      </c>
      <c r="J512" s="2" t="s">
        <v>2888</v>
      </c>
      <c r="K512" s="33" t="n">
        <v>0.294692872319876</v>
      </c>
      <c r="L512" s="31" t="n">
        <v>87.6</v>
      </c>
      <c r="M512" s="34" t="s">
        <v>822</v>
      </c>
      <c r="N512" s="2" t="s">
        <v>24</v>
      </c>
      <c r="O512" s="2" t="s">
        <v>19</v>
      </c>
      <c r="P512" s="2" t="s">
        <v>24</v>
      </c>
      <c r="Q512" s="2" t="s">
        <v>24</v>
      </c>
    </row>
    <row r="513" customFormat="false" ht="15" hidden="false" customHeight="false" outlineLevel="0" collapsed="false">
      <c r="A513" s="2" t="s">
        <v>266</v>
      </c>
      <c r="B513" s="2" t="s">
        <v>47</v>
      </c>
      <c r="C513" s="14" t="s">
        <v>2210</v>
      </c>
      <c r="D513" s="42" t="n">
        <v>48271</v>
      </c>
      <c r="E513" s="2" t="s">
        <v>821</v>
      </c>
      <c r="F513" s="43" t="n">
        <v>10.0813531934288</v>
      </c>
      <c r="G513" s="31" t="n">
        <v>100</v>
      </c>
      <c r="H513" s="41" t="n">
        <v>0.112901738368608</v>
      </c>
      <c r="I513" s="31" t="n">
        <v>59.1</v>
      </c>
      <c r="J513" s="2" t="s">
        <v>2886</v>
      </c>
      <c r="K513" s="44" t="n">
        <v>0.0611965142465485</v>
      </c>
      <c r="L513" s="31" t="n">
        <v>39.1</v>
      </c>
      <c r="M513" s="34" t="s">
        <v>822</v>
      </c>
      <c r="N513" s="2" t="s">
        <v>22</v>
      </c>
      <c r="O513" s="2" t="s">
        <v>22</v>
      </c>
      <c r="P513" s="2" t="s">
        <v>22</v>
      </c>
      <c r="Q513" s="2" t="s">
        <v>22</v>
      </c>
    </row>
    <row r="514" customFormat="false" ht="15" hidden="false" customHeight="false" outlineLevel="0" collapsed="false">
      <c r="A514" s="2" t="s">
        <v>478</v>
      </c>
      <c r="B514" s="2" t="s">
        <v>45</v>
      </c>
      <c r="C514" s="13" t="s">
        <v>1073</v>
      </c>
      <c r="D514" s="29" t="n">
        <v>27710</v>
      </c>
      <c r="E514" s="2" t="s">
        <v>821</v>
      </c>
      <c r="F514" s="30" t="n">
        <v>0.830205701912667</v>
      </c>
      <c r="G514" s="31" t="n">
        <v>69.9</v>
      </c>
      <c r="H514" s="32" t="n">
        <v>-0.027719298245614</v>
      </c>
      <c r="I514" s="31" t="n">
        <v>3.8</v>
      </c>
      <c r="J514" s="2" t="s">
        <v>2883</v>
      </c>
      <c r="K514" s="33" t="n">
        <v>0.375729288214703</v>
      </c>
      <c r="L514" s="31" t="n">
        <v>96.5</v>
      </c>
      <c r="M514" s="34" t="s">
        <v>822</v>
      </c>
      <c r="N514" s="2" t="s">
        <v>24</v>
      </c>
      <c r="O514" s="2" t="s">
        <v>24</v>
      </c>
      <c r="P514" s="2" t="s">
        <v>24</v>
      </c>
      <c r="Q514" s="2" t="s">
        <v>24</v>
      </c>
    </row>
    <row r="515" customFormat="false" ht="15" hidden="false" customHeight="false" outlineLevel="0" collapsed="false">
      <c r="A515" s="2" t="s">
        <v>478</v>
      </c>
      <c r="B515" s="2" t="s">
        <v>46</v>
      </c>
      <c r="C515" s="14" t="s">
        <v>2071</v>
      </c>
      <c r="D515" s="42" t="n">
        <v>7281</v>
      </c>
      <c r="E515" s="2" t="s">
        <v>825</v>
      </c>
      <c r="F515" s="43" t="n">
        <v>1.72696058233759</v>
      </c>
      <c r="G515" s="31" t="n">
        <v>22</v>
      </c>
      <c r="H515" s="41" t="n">
        <v>0.0431232091690544</v>
      </c>
      <c r="I515" s="31" t="n">
        <v>9.4</v>
      </c>
      <c r="J515" s="2" t="s">
        <v>2905</v>
      </c>
      <c r="K515" s="44" t="n">
        <v>0.0569230769230769</v>
      </c>
      <c r="L515" s="31" t="n">
        <v>14.1</v>
      </c>
      <c r="M515" s="34" t="s">
        <v>822</v>
      </c>
      <c r="N515" s="2" t="s">
        <v>22</v>
      </c>
      <c r="O515" s="2" t="s">
        <v>22</v>
      </c>
      <c r="P515" s="2" t="s">
        <v>22</v>
      </c>
      <c r="Q515" s="2" t="s">
        <v>22</v>
      </c>
    </row>
    <row r="516" customFormat="false" ht="15" hidden="false" customHeight="false" outlineLevel="0" collapsed="false">
      <c r="A516" s="2" t="s">
        <v>478</v>
      </c>
      <c r="B516" s="2" t="s">
        <v>47</v>
      </c>
      <c r="C516" s="13" t="s">
        <v>2483</v>
      </c>
      <c r="D516" s="29" t="n">
        <v>39840</v>
      </c>
      <c r="E516" s="2" t="s">
        <v>821</v>
      </c>
      <c r="F516" s="30" t="n">
        <v>1.43132530120482</v>
      </c>
      <c r="G516" s="31" t="n">
        <v>57.7</v>
      </c>
      <c r="H516" s="32" t="n">
        <v>0.136661911554922</v>
      </c>
      <c r="I516" s="31" t="n">
        <v>69.2</v>
      </c>
      <c r="J516" s="2" t="s">
        <v>2886</v>
      </c>
      <c r="K516" s="33" t="n">
        <v>0.240107568190549</v>
      </c>
      <c r="L516" s="31" t="n">
        <v>91.8</v>
      </c>
      <c r="M516" s="34" t="s">
        <v>822</v>
      </c>
      <c r="N516" s="2" t="s">
        <v>24</v>
      </c>
      <c r="O516" s="2" t="s">
        <v>24</v>
      </c>
      <c r="P516" s="2" t="s">
        <v>24</v>
      </c>
      <c r="Q516" s="2" t="s">
        <v>24</v>
      </c>
    </row>
    <row r="517" customFormat="false" ht="15" hidden="false" customHeight="false" outlineLevel="0" collapsed="false">
      <c r="A517" s="2" t="s">
        <v>1172</v>
      </c>
      <c r="B517" s="2" t="s">
        <v>45</v>
      </c>
      <c r="C517" s="13" t="s">
        <v>1173</v>
      </c>
      <c r="D517" s="29" t="n">
        <v>23940</v>
      </c>
      <c r="E517" s="2" t="s">
        <v>821</v>
      </c>
      <c r="F517" s="30" t="n">
        <v>0.640977443609023</v>
      </c>
      <c r="G517" s="31" t="n">
        <v>58</v>
      </c>
      <c r="H517" s="32" t="n">
        <v>0.0764388489208633</v>
      </c>
      <c r="I517" s="31" t="n">
        <v>41.2</v>
      </c>
      <c r="J517" s="2" t="s">
        <v>2883</v>
      </c>
      <c r="K517" s="33" t="n">
        <v>0.210695187165775</v>
      </c>
      <c r="L517" s="31" t="n">
        <v>75.3</v>
      </c>
      <c r="M517" s="34" t="s">
        <v>822</v>
      </c>
      <c r="N517" s="2" t="s">
        <v>24</v>
      </c>
      <c r="O517" s="2" t="s">
        <v>24</v>
      </c>
      <c r="P517" s="2" t="s">
        <v>24</v>
      </c>
      <c r="Q517" s="2" t="s">
        <v>24</v>
      </c>
    </row>
    <row r="518" customFormat="false" ht="15" hidden="false" customHeight="false" outlineLevel="0" collapsed="false">
      <c r="A518" s="2" t="s">
        <v>1172</v>
      </c>
      <c r="B518" s="2" t="s">
        <v>46</v>
      </c>
      <c r="C518" s="13" t="s">
        <v>3019</v>
      </c>
      <c r="D518" s="29" t="n">
        <v>4510</v>
      </c>
      <c r="E518" s="2" t="s">
        <v>825</v>
      </c>
      <c r="F518" s="30" t="n">
        <v>3.13414634146342</v>
      </c>
      <c r="G518" s="31" t="n">
        <v>48.3</v>
      </c>
      <c r="H518" s="37"/>
      <c r="I518" s="31"/>
      <c r="J518" s="2"/>
      <c r="K518" s="44" t="n">
        <v>0.161849710982659</v>
      </c>
      <c r="L518" s="31" t="n">
        <v>58.9</v>
      </c>
      <c r="M518" s="39" t="s">
        <v>832</v>
      </c>
      <c r="N518" s="2" t="s">
        <v>24</v>
      </c>
      <c r="O518" s="2" t="s">
        <v>24</v>
      </c>
      <c r="P518" s="2"/>
      <c r="Q518" s="2" t="s">
        <v>22</v>
      </c>
    </row>
    <row r="519" customFormat="false" ht="15" hidden="false" customHeight="false" outlineLevel="0" collapsed="false">
      <c r="A519" s="2" t="s">
        <v>1172</v>
      </c>
      <c r="B519" s="2" t="s">
        <v>47</v>
      </c>
      <c r="C519" s="14" t="s">
        <v>2603</v>
      </c>
      <c r="D519" s="42" t="n">
        <v>46051</v>
      </c>
      <c r="E519" s="2" t="s">
        <v>821</v>
      </c>
      <c r="F519" s="43" t="n">
        <v>1.0367201580856</v>
      </c>
      <c r="G519" s="31" t="n">
        <v>40.4</v>
      </c>
      <c r="H519" s="41" t="n">
        <v>-0.0484937394107195</v>
      </c>
      <c r="I519" s="31" t="n">
        <v>2.3</v>
      </c>
      <c r="J519" s="2" t="s">
        <v>2886</v>
      </c>
      <c r="K519" s="44" t="n">
        <v>0.147754137115839</v>
      </c>
      <c r="L519" s="31" t="n">
        <v>72.8</v>
      </c>
      <c r="M519" s="34" t="s">
        <v>822</v>
      </c>
      <c r="N519" s="2" t="s">
        <v>22</v>
      </c>
      <c r="O519" s="2" t="s">
        <v>22</v>
      </c>
      <c r="P519" s="2" t="s">
        <v>22</v>
      </c>
      <c r="Q519" s="2" t="s">
        <v>22</v>
      </c>
    </row>
    <row r="520" customFormat="false" ht="15" hidden="false" customHeight="false" outlineLevel="0" collapsed="false">
      <c r="A520" s="2" t="s">
        <v>482</v>
      </c>
      <c r="B520" s="2" t="s">
        <v>45</v>
      </c>
      <c r="C520" s="13" t="s">
        <v>1170</v>
      </c>
      <c r="D520" s="29" t="n">
        <v>56430</v>
      </c>
      <c r="E520" s="2" t="s">
        <v>821</v>
      </c>
      <c r="F520" s="30" t="n">
        <v>0.643895091263512</v>
      </c>
      <c r="G520" s="31" t="n">
        <v>58.2</v>
      </c>
      <c r="H520" s="32" t="n">
        <v>0.0781429117309897</v>
      </c>
      <c r="I520" s="31" t="n">
        <v>41.6</v>
      </c>
      <c r="J520" s="2" t="s">
        <v>2883</v>
      </c>
      <c r="K520" s="33" t="n">
        <v>0.197701149425287</v>
      </c>
      <c r="L520" s="31" t="n">
        <v>72.3</v>
      </c>
      <c r="M520" s="34" t="s">
        <v>822</v>
      </c>
      <c r="N520" s="2" t="s">
        <v>24</v>
      </c>
      <c r="O520" s="2" t="s">
        <v>24</v>
      </c>
      <c r="P520" s="2" t="s">
        <v>24</v>
      </c>
      <c r="Q520" s="2" t="s">
        <v>24</v>
      </c>
    </row>
    <row r="521" customFormat="false" ht="15" hidden="false" customHeight="false" outlineLevel="0" collapsed="false">
      <c r="A521" s="2" t="s">
        <v>482</v>
      </c>
      <c r="B521" s="2" t="s">
        <v>46</v>
      </c>
      <c r="C521" s="13" t="s">
        <v>2098</v>
      </c>
      <c r="D521" s="29" t="n">
        <v>57650</v>
      </c>
      <c r="E521" s="2" t="s">
        <v>821</v>
      </c>
      <c r="F521" s="30" t="n">
        <v>1.54497831743278</v>
      </c>
      <c r="G521" s="31" t="n">
        <v>17.7</v>
      </c>
      <c r="H521" s="32" t="n">
        <v>0.107376104494814</v>
      </c>
      <c r="I521" s="31" t="n">
        <v>63.6</v>
      </c>
      <c r="J521" s="2" t="s">
        <v>2884</v>
      </c>
      <c r="K521" s="44" t="n">
        <v>0.057828073089701</v>
      </c>
      <c r="L521" s="31" t="n">
        <v>14.8</v>
      </c>
      <c r="M521" s="34" t="s">
        <v>822</v>
      </c>
      <c r="N521" s="2" t="s">
        <v>24</v>
      </c>
      <c r="O521" s="2" t="s">
        <v>24</v>
      </c>
      <c r="P521" s="2" t="s">
        <v>24</v>
      </c>
      <c r="Q521" s="2" t="s">
        <v>22</v>
      </c>
    </row>
    <row r="522" customFormat="false" ht="15" hidden="false" customHeight="false" outlineLevel="0" collapsed="false">
      <c r="A522" s="2" t="s">
        <v>482</v>
      </c>
      <c r="B522" s="2" t="s">
        <v>47</v>
      </c>
      <c r="C522" s="14" t="s">
        <v>2382</v>
      </c>
      <c r="D522" s="42" t="n">
        <v>12546</v>
      </c>
      <c r="E522" s="2" t="s">
        <v>821</v>
      </c>
      <c r="F522" s="43" t="n">
        <v>1.90698230511717</v>
      </c>
      <c r="G522" s="31" t="n">
        <v>73.9</v>
      </c>
      <c r="H522" s="41" t="n">
        <v>0.15705985428387</v>
      </c>
      <c r="I522" s="31" t="n">
        <v>80.2</v>
      </c>
      <c r="J522" s="2" t="s">
        <v>2886</v>
      </c>
      <c r="K522" s="44" t="n">
        <v>0.108508014796548</v>
      </c>
      <c r="L522" s="31" t="n">
        <v>61.8</v>
      </c>
      <c r="M522" s="34" t="s">
        <v>822</v>
      </c>
      <c r="N522" s="2" t="s">
        <v>22</v>
      </c>
      <c r="O522" s="2" t="s">
        <v>22</v>
      </c>
      <c r="P522" s="2" t="s">
        <v>22</v>
      </c>
      <c r="Q522" s="2" t="s">
        <v>22</v>
      </c>
    </row>
    <row r="523" customFormat="false" ht="15" hidden="false" customHeight="false" outlineLevel="0" collapsed="false">
      <c r="A523" s="2" t="s">
        <v>1283</v>
      </c>
      <c r="B523" s="2" t="s">
        <v>45</v>
      </c>
      <c r="C523" s="13" t="s">
        <v>1284</v>
      </c>
      <c r="D523" s="29" t="n">
        <v>46690</v>
      </c>
      <c r="E523" s="2" t="s">
        <v>821</v>
      </c>
      <c r="F523" s="30" t="n">
        <v>0.518226600985222</v>
      </c>
      <c r="G523" s="31" t="n">
        <v>43.3</v>
      </c>
      <c r="H523" s="32" t="n">
        <v>0.0466263169692894</v>
      </c>
      <c r="I523" s="31" t="n">
        <v>25.4</v>
      </c>
      <c r="J523" s="2" t="s">
        <v>2883</v>
      </c>
      <c r="K523" s="33" t="n">
        <v>0.241706161137441</v>
      </c>
      <c r="L523" s="31" t="n">
        <v>80.9</v>
      </c>
      <c r="M523" s="34" t="s">
        <v>822</v>
      </c>
      <c r="N523" s="2" t="s">
        <v>24</v>
      </c>
      <c r="O523" s="2" t="s">
        <v>24</v>
      </c>
      <c r="P523" s="2" t="s">
        <v>24</v>
      </c>
      <c r="Q523" s="2" t="s">
        <v>24</v>
      </c>
    </row>
    <row r="524" customFormat="false" ht="15" hidden="false" customHeight="false" outlineLevel="0" collapsed="false">
      <c r="A524" s="2" t="s">
        <v>1283</v>
      </c>
      <c r="B524" s="2" t="s">
        <v>46</v>
      </c>
      <c r="C524" s="13" t="s">
        <v>3020</v>
      </c>
      <c r="D524" s="29" t="n">
        <v>5320</v>
      </c>
      <c r="E524" s="2" t="s">
        <v>825</v>
      </c>
      <c r="F524" s="30" t="n">
        <v>3.83515037593985</v>
      </c>
      <c r="G524" s="31" t="n">
        <v>61.1</v>
      </c>
      <c r="H524" s="37"/>
      <c r="I524" s="31"/>
      <c r="J524" s="2"/>
      <c r="K524" s="38"/>
      <c r="L524" s="31"/>
      <c r="M524" s="39" t="s">
        <v>832</v>
      </c>
      <c r="N524" s="2" t="s">
        <v>24</v>
      </c>
      <c r="O524" s="2" t="s">
        <v>24</v>
      </c>
      <c r="P524" s="2"/>
      <c r="Q524" s="2"/>
    </row>
    <row r="525" customFormat="false" ht="15" hidden="false" customHeight="false" outlineLevel="0" collapsed="false">
      <c r="A525" s="2" t="s">
        <v>1283</v>
      </c>
      <c r="B525" s="2" t="s">
        <v>47</v>
      </c>
      <c r="C525" s="13" t="s">
        <v>2856</v>
      </c>
      <c r="D525" s="42" t="n">
        <v>147390</v>
      </c>
      <c r="E525" s="2" t="s">
        <v>827</v>
      </c>
      <c r="F525" s="43" t="n">
        <v>0.284822579550852</v>
      </c>
      <c r="G525" s="31" t="n">
        <v>3</v>
      </c>
      <c r="H525" s="41" t="n">
        <v>-0.0437169106197446</v>
      </c>
      <c r="I525" s="31" t="n">
        <v>6.2</v>
      </c>
      <c r="J525" s="2" t="s">
        <v>2897</v>
      </c>
      <c r="K525" s="33" t="n">
        <v>0.278552278820375</v>
      </c>
      <c r="L525" s="31" t="n">
        <v>95.3</v>
      </c>
      <c r="M525" s="34" t="s">
        <v>822</v>
      </c>
      <c r="N525" s="2" t="s">
        <v>22</v>
      </c>
      <c r="O525" s="2" t="s">
        <v>22</v>
      </c>
      <c r="P525" s="2" t="s">
        <v>22</v>
      </c>
      <c r="Q525" s="2" t="s">
        <v>24</v>
      </c>
    </row>
    <row r="526" customFormat="false" ht="15" hidden="false" customHeight="false" outlineLevel="0" collapsed="false">
      <c r="A526" s="2" t="s">
        <v>2550</v>
      </c>
      <c r="B526" s="2" t="s">
        <v>45</v>
      </c>
      <c r="C526" s="16"/>
      <c r="D526" s="35"/>
      <c r="E526" s="2"/>
      <c r="F526" s="36"/>
      <c r="G526" s="31"/>
      <c r="H526" s="37"/>
      <c r="I526" s="31"/>
      <c r="J526" s="2"/>
      <c r="K526" s="38"/>
      <c r="L526" s="31"/>
      <c r="M526" s="39" t="s">
        <v>832</v>
      </c>
      <c r="N526" s="2"/>
      <c r="O526" s="2"/>
      <c r="P526" s="2"/>
      <c r="Q526" s="2"/>
    </row>
    <row r="527" customFormat="false" ht="15" hidden="false" customHeight="false" outlineLevel="0" collapsed="false">
      <c r="A527" s="2" t="s">
        <v>2550</v>
      </c>
      <c r="B527" s="2" t="s">
        <v>46</v>
      </c>
      <c r="C527" s="16"/>
      <c r="D527" s="35"/>
      <c r="E527" s="2"/>
      <c r="F527" s="36"/>
      <c r="G527" s="31"/>
      <c r="H527" s="37"/>
      <c r="I527" s="31"/>
      <c r="J527" s="2"/>
      <c r="K527" s="38"/>
      <c r="L527" s="31"/>
      <c r="M527" s="39" t="s">
        <v>832</v>
      </c>
      <c r="N527" s="2"/>
      <c r="O527" s="2"/>
      <c r="P527" s="2"/>
      <c r="Q527" s="2"/>
    </row>
    <row r="528" customFormat="false" ht="15" hidden="false" customHeight="false" outlineLevel="0" collapsed="false">
      <c r="A528" s="2" t="s">
        <v>2550</v>
      </c>
      <c r="B528" s="2" t="s">
        <v>47</v>
      </c>
      <c r="C528" s="13" t="s">
        <v>2551</v>
      </c>
      <c r="D528" s="29" t="n">
        <v>11358570</v>
      </c>
      <c r="E528" s="2" t="s">
        <v>935</v>
      </c>
      <c r="F528" s="30" t="n">
        <v>1.23068828206368</v>
      </c>
      <c r="G528" s="31" t="n">
        <v>49</v>
      </c>
      <c r="H528" s="32" t="n">
        <v>0.149323624913107</v>
      </c>
      <c r="I528" s="31" t="n">
        <v>85.7</v>
      </c>
      <c r="J528" s="2" t="s">
        <v>2922</v>
      </c>
      <c r="K528" s="33" t="n">
        <v>0.187417156913295</v>
      </c>
      <c r="L528" s="31" t="n">
        <v>81.9</v>
      </c>
      <c r="M528" s="34" t="s">
        <v>822</v>
      </c>
      <c r="N528" s="2" t="s">
        <v>24</v>
      </c>
      <c r="O528" s="2" t="s">
        <v>24</v>
      </c>
      <c r="P528" s="2" t="s">
        <v>24</v>
      </c>
      <c r="Q528" s="2" t="s">
        <v>24</v>
      </c>
    </row>
    <row r="529" customFormat="false" ht="15" hidden="false" customHeight="false" outlineLevel="0" collapsed="false">
      <c r="A529" s="2" t="s">
        <v>1758</v>
      </c>
      <c r="B529" s="2" t="s">
        <v>45</v>
      </c>
      <c r="C529" s="13" t="s">
        <v>3021</v>
      </c>
      <c r="D529" s="29" t="n">
        <v>2880</v>
      </c>
      <c r="E529" s="2" t="s">
        <v>825</v>
      </c>
      <c r="F529" s="30" t="n">
        <v>0.237152777777778</v>
      </c>
      <c r="G529" s="31" t="n">
        <v>11.5</v>
      </c>
      <c r="H529" s="37"/>
      <c r="I529" s="31"/>
      <c r="J529" s="2"/>
      <c r="K529" s="33" t="n">
        <v>0</v>
      </c>
      <c r="L529" s="31" t="n">
        <v>1.3</v>
      </c>
      <c r="M529" s="39" t="s">
        <v>832</v>
      </c>
      <c r="N529" s="2" t="s">
        <v>24</v>
      </c>
      <c r="O529" s="2" t="s">
        <v>24</v>
      </c>
      <c r="P529" s="2"/>
      <c r="Q529" s="2" t="s">
        <v>24</v>
      </c>
    </row>
    <row r="530" customFormat="false" ht="15" hidden="false" customHeight="false" outlineLevel="0" collapsed="false">
      <c r="A530" s="2" t="s">
        <v>1758</v>
      </c>
      <c r="B530" s="2" t="s">
        <v>46</v>
      </c>
      <c r="C530" s="13" t="s">
        <v>1759</v>
      </c>
      <c r="D530" s="29" t="n">
        <v>11030</v>
      </c>
      <c r="E530" s="2" t="s">
        <v>821</v>
      </c>
      <c r="F530" s="30" t="n">
        <v>4.96355394378966</v>
      </c>
      <c r="G530" s="31" t="n">
        <v>72.3</v>
      </c>
      <c r="H530" s="41" t="n">
        <v>0.0358847108226761</v>
      </c>
      <c r="I530" s="31" t="n">
        <v>24</v>
      </c>
      <c r="J530" s="2" t="s">
        <v>2884</v>
      </c>
      <c r="K530" s="33" t="n">
        <v>0.028209556706966</v>
      </c>
      <c r="L530" s="31" t="n">
        <v>6</v>
      </c>
      <c r="M530" s="34" t="s">
        <v>822</v>
      </c>
      <c r="N530" s="2" t="s">
        <v>24</v>
      </c>
      <c r="O530" s="2" t="s">
        <v>24</v>
      </c>
      <c r="P530" s="2" t="s">
        <v>22</v>
      </c>
      <c r="Q530" s="2" t="s">
        <v>24</v>
      </c>
    </row>
    <row r="531" customFormat="false" ht="15" hidden="false" customHeight="false" outlineLevel="0" collapsed="false">
      <c r="A531" s="2" t="s">
        <v>182</v>
      </c>
      <c r="B531" s="2" t="s">
        <v>45</v>
      </c>
      <c r="C531" s="13" t="s">
        <v>823</v>
      </c>
      <c r="D531" s="29" t="n">
        <v>35380</v>
      </c>
      <c r="E531" s="2" t="s">
        <v>821</v>
      </c>
      <c r="F531" s="30" t="n">
        <v>7.62515545505936</v>
      </c>
      <c r="G531" s="31" t="n">
        <v>99.8</v>
      </c>
      <c r="H531" s="32" t="n">
        <v>0.0599161174355902</v>
      </c>
      <c r="I531" s="31" t="n">
        <v>32.3</v>
      </c>
      <c r="J531" s="2" t="s">
        <v>2883</v>
      </c>
      <c r="K531" s="33" t="n">
        <v>0.141790089205685</v>
      </c>
      <c r="L531" s="31" t="n">
        <v>53.8</v>
      </c>
      <c r="M531" s="34" t="s">
        <v>822</v>
      </c>
      <c r="N531" s="2" t="s">
        <v>24</v>
      </c>
      <c r="O531" s="2" t="s">
        <v>24</v>
      </c>
      <c r="P531" s="2" t="s">
        <v>24</v>
      </c>
      <c r="Q531" s="2" t="s">
        <v>24</v>
      </c>
    </row>
    <row r="532" customFormat="false" ht="15" hidden="false" customHeight="false" outlineLevel="0" collapsed="false">
      <c r="A532" s="2" t="s">
        <v>182</v>
      </c>
      <c r="B532" s="2" t="s">
        <v>46</v>
      </c>
      <c r="C532" s="13" t="s">
        <v>1615</v>
      </c>
      <c r="D532" s="46" t="n">
        <v>119732</v>
      </c>
      <c r="E532" s="2" t="s">
        <v>827</v>
      </c>
      <c r="F532" s="47" t="n">
        <v>15.0115591487656</v>
      </c>
      <c r="G532" s="31" t="n">
        <v>97.6</v>
      </c>
      <c r="H532" s="48" t="n">
        <v>0.0521542747172597</v>
      </c>
      <c r="I532" s="31" t="n">
        <v>36.9</v>
      </c>
      <c r="J532" s="2" t="s">
        <v>2888</v>
      </c>
      <c r="K532" s="33" t="n">
        <v>0.36907803710474</v>
      </c>
      <c r="L532" s="31" t="n">
        <v>95.6</v>
      </c>
      <c r="M532" s="34" t="s">
        <v>822</v>
      </c>
      <c r="N532" s="2" t="s">
        <v>19</v>
      </c>
      <c r="O532" s="2" t="s">
        <v>19</v>
      </c>
      <c r="P532" s="2" t="s">
        <v>19</v>
      </c>
      <c r="Q532" s="2" t="s">
        <v>24</v>
      </c>
    </row>
    <row r="533" customFormat="false" ht="15" hidden="false" customHeight="false" outlineLevel="0" collapsed="false">
      <c r="A533" s="2" t="s">
        <v>182</v>
      </c>
      <c r="B533" s="2" t="s">
        <v>47</v>
      </c>
      <c r="C533" s="13" t="s">
        <v>2642</v>
      </c>
      <c r="D533" s="29" t="n">
        <v>175810</v>
      </c>
      <c r="E533" s="2" t="s">
        <v>827</v>
      </c>
      <c r="F533" s="30" t="n">
        <v>0.9272851373642</v>
      </c>
      <c r="G533" s="31" t="n">
        <v>35.1</v>
      </c>
      <c r="H533" s="32" t="n">
        <v>0.130538229052794</v>
      </c>
      <c r="I533" s="31" t="n">
        <v>73.9</v>
      </c>
      <c r="J533" s="2" t="s">
        <v>2897</v>
      </c>
      <c r="K533" s="44" t="n">
        <v>0.0463847203274216</v>
      </c>
      <c r="L533" s="31" t="n">
        <v>29.7</v>
      </c>
      <c r="M533" s="34" t="s">
        <v>822</v>
      </c>
      <c r="N533" s="2" t="s">
        <v>24</v>
      </c>
      <c r="O533" s="2" t="s">
        <v>24</v>
      </c>
      <c r="P533" s="2" t="s">
        <v>24</v>
      </c>
      <c r="Q533" s="2" t="s">
        <v>22</v>
      </c>
    </row>
    <row r="534" customFormat="false" ht="15" hidden="false" customHeight="false" outlineLevel="0" collapsed="false">
      <c r="A534" s="2" t="s">
        <v>951</v>
      </c>
      <c r="B534" s="2" t="s">
        <v>45</v>
      </c>
      <c r="C534" s="13" t="s">
        <v>952</v>
      </c>
      <c r="D534" s="29" t="n">
        <v>505860</v>
      </c>
      <c r="E534" s="2" t="s">
        <v>827</v>
      </c>
      <c r="F534" s="30" t="n">
        <v>1.24653263748863</v>
      </c>
      <c r="G534" s="31" t="n">
        <v>84.9</v>
      </c>
      <c r="H534" s="32" t="n">
        <v>0.119332640010621</v>
      </c>
      <c r="I534" s="31" t="n">
        <v>68.6</v>
      </c>
      <c r="J534" s="2" t="s">
        <v>2890</v>
      </c>
      <c r="K534" s="40" t="s">
        <v>857</v>
      </c>
      <c r="L534" s="31"/>
      <c r="M534" s="34" t="s">
        <v>822</v>
      </c>
      <c r="N534" s="2" t="s">
        <v>24</v>
      </c>
      <c r="O534" s="2" t="s">
        <v>24</v>
      </c>
      <c r="P534" s="2" t="s">
        <v>24</v>
      </c>
      <c r="Q534" s="2" t="s">
        <v>2885</v>
      </c>
    </row>
    <row r="535" customFormat="false" ht="15" hidden="false" customHeight="false" outlineLevel="0" collapsed="false">
      <c r="A535" s="2" t="s">
        <v>951</v>
      </c>
      <c r="B535" s="2" t="s">
        <v>46</v>
      </c>
      <c r="C535" s="16"/>
      <c r="D535" s="35"/>
      <c r="E535" s="2"/>
      <c r="F535" s="36"/>
      <c r="G535" s="31"/>
      <c r="H535" s="37"/>
      <c r="I535" s="31"/>
      <c r="J535" s="2"/>
      <c r="K535" s="38"/>
      <c r="L535" s="31"/>
      <c r="M535" s="39" t="s">
        <v>832</v>
      </c>
      <c r="N535" s="2"/>
      <c r="O535" s="2"/>
      <c r="P535" s="2"/>
      <c r="Q535" s="2"/>
    </row>
    <row r="536" customFormat="false" ht="15" hidden="false" customHeight="false" outlineLevel="0" collapsed="false">
      <c r="A536" s="2" t="s">
        <v>951</v>
      </c>
      <c r="B536" s="2" t="s">
        <v>47</v>
      </c>
      <c r="C536" s="13" t="s">
        <v>2290</v>
      </c>
      <c r="D536" s="29" t="n">
        <v>310750</v>
      </c>
      <c r="E536" s="2" t="s">
        <v>827</v>
      </c>
      <c r="F536" s="43" t="n">
        <v>2.93024142713061</v>
      </c>
      <c r="G536" s="31" t="n">
        <v>89.1</v>
      </c>
      <c r="H536" s="32" t="n">
        <v>0.113759363463675</v>
      </c>
      <c r="I536" s="31" t="n">
        <v>65.8</v>
      </c>
      <c r="J536" s="2" t="s">
        <v>2897</v>
      </c>
      <c r="K536" s="33" t="n">
        <v>0.0315721258024666</v>
      </c>
      <c r="L536" s="31" t="n">
        <v>20.8</v>
      </c>
      <c r="M536" s="34" t="s">
        <v>822</v>
      </c>
      <c r="N536" s="2" t="s">
        <v>24</v>
      </c>
      <c r="O536" s="2" t="s">
        <v>22</v>
      </c>
      <c r="P536" s="2" t="s">
        <v>24</v>
      </c>
      <c r="Q536" s="2" t="s">
        <v>24</v>
      </c>
    </row>
    <row r="537" customFormat="false" ht="15" hidden="false" customHeight="false" outlineLevel="0" collapsed="false">
      <c r="A537" s="2" t="s">
        <v>250</v>
      </c>
      <c r="B537" s="2" t="s">
        <v>45</v>
      </c>
      <c r="C537" s="14" t="s">
        <v>943</v>
      </c>
      <c r="D537" s="42" t="n">
        <v>1148762</v>
      </c>
      <c r="E537" s="2" t="s">
        <v>935</v>
      </c>
      <c r="F537" s="43" t="n">
        <v>1.28725532355701</v>
      </c>
      <c r="G537" s="31" t="n">
        <v>85.4</v>
      </c>
      <c r="H537" s="41" t="n">
        <v>0.045095811199671</v>
      </c>
      <c r="I537" s="31" t="n">
        <v>11.8</v>
      </c>
      <c r="J537" s="2" t="s">
        <v>2892</v>
      </c>
      <c r="K537" s="44" t="n">
        <v>0.178208838098975</v>
      </c>
      <c r="L537" s="31" t="n">
        <v>67.4</v>
      </c>
      <c r="M537" s="34" t="s">
        <v>822</v>
      </c>
      <c r="N537" s="2" t="s">
        <v>22</v>
      </c>
      <c r="O537" s="2" t="s">
        <v>22</v>
      </c>
      <c r="P537" s="2" t="s">
        <v>22</v>
      </c>
      <c r="Q537" s="2" t="s">
        <v>22</v>
      </c>
    </row>
    <row r="538" customFormat="false" ht="15" hidden="false" customHeight="false" outlineLevel="0" collapsed="false">
      <c r="A538" s="2" t="s">
        <v>250</v>
      </c>
      <c r="B538" s="2" t="s">
        <v>46</v>
      </c>
      <c r="C538" s="13" t="s">
        <v>1897</v>
      </c>
      <c r="D538" s="29" t="n">
        <v>301720</v>
      </c>
      <c r="E538" s="2" t="s">
        <v>827</v>
      </c>
      <c r="F538" s="30" t="n">
        <v>3.17424101816254</v>
      </c>
      <c r="G538" s="31" t="n">
        <v>50.3</v>
      </c>
      <c r="H538" s="32" t="n">
        <v>0.0796536176912617</v>
      </c>
      <c r="I538" s="31" t="n">
        <v>52.9</v>
      </c>
      <c r="J538" s="2" t="s">
        <v>2888</v>
      </c>
      <c r="K538" s="33" t="n">
        <v>0.152691248913358</v>
      </c>
      <c r="L538" s="31" t="n">
        <v>56.5</v>
      </c>
      <c r="M538" s="34" t="s">
        <v>822</v>
      </c>
      <c r="N538" s="2" t="s">
        <v>24</v>
      </c>
      <c r="O538" s="2" t="s">
        <v>24</v>
      </c>
      <c r="P538" s="2" t="s">
        <v>24</v>
      </c>
      <c r="Q538" s="2" t="s">
        <v>24</v>
      </c>
    </row>
    <row r="539" customFormat="false" ht="15" hidden="false" customHeight="false" outlineLevel="0" collapsed="false">
      <c r="A539" s="2" t="s">
        <v>3022</v>
      </c>
      <c r="B539" s="2" t="s">
        <v>46</v>
      </c>
      <c r="C539" s="13" t="s">
        <v>3023</v>
      </c>
      <c r="D539" s="29" t="n">
        <v>36260</v>
      </c>
      <c r="E539" s="2" t="s">
        <v>821</v>
      </c>
      <c r="F539" s="30" t="n">
        <v>5.91514065085494</v>
      </c>
      <c r="G539" s="31" t="n">
        <v>79.6</v>
      </c>
      <c r="H539" s="37"/>
      <c r="I539" s="31"/>
      <c r="J539" s="2"/>
      <c r="K539" s="33" t="n">
        <v>0.0902713298256474</v>
      </c>
      <c r="L539" s="31" t="n">
        <v>33.1</v>
      </c>
      <c r="M539" s="39" t="s">
        <v>832</v>
      </c>
      <c r="N539" s="2" t="s">
        <v>24</v>
      </c>
      <c r="O539" s="2" t="s">
        <v>24</v>
      </c>
      <c r="P539" s="2"/>
      <c r="Q539" s="2" t="s">
        <v>24</v>
      </c>
    </row>
    <row r="540" customFormat="false" ht="15" hidden="false" customHeight="false" outlineLevel="0" collapsed="false">
      <c r="A540" s="2" t="s">
        <v>1168</v>
      </c>
      <c r="B540" s="2" t="s">
        <v>45</v>
      </c>
      <c r="C540" s="13" t="s">
        <v>1169</v>
      </c>
      <c r="D540" s="29" t="n">
        <v>29100</v>
      </c>
      <c r="E540" s="2" t="s">
        <v>821</v>
      </c>
      <c r="F540" s="30" t="n">
        <v>0.647972508591065</v>
      </c>
      <c r="G540" s="31" t="n">
        <v>58.4</v>
      </c>
      <c r="H540" s="32" t="n">
        <v>0.0846067834513604</v>
      </c>
      <c r="I540" s="31" t="n">
        <v>45.4</v>
      </c>
      <c r="J540" s="2" t="s">
        <v>2883</v>
      </c>
      <c r="K540" s="33" t="n">
        <v>0.203389830508475</v>
      </c>
      <c r="L540" s="31" t="n">
        <v>74.4</v>
      </c>
      <c r="M540" s="34" t="s">
        <v>822</v>
      </c>
      <c r="N540" s="2" t="s">
        <v>24</v>
      </c>
      <c r="O540" s="2" t="s">
        <v>24</v>
      </c>
      <c r="P540" s="2" t="s">
        <v>24</v>
      </c>
      <c r="Q540" s="2" t="s">
        <v>24</v>
      </c>
    </row>
    <row r="541" customFormat="false" ht="15" hidden="false" customHeight="false" outlineLevel="0" collapsed="false">
      <c r="A541" s="2" t="s">
        <v>1168</v>
      </c>
      <c r="B541" s="2" t="s">
        <v>46</v>
      </c>
      <c r="C541" s="16"/>
      <c r="D541" s="35"/>
      <c r="E541" s="2"/>
      <c r="F541" s="36"/>
      <c r="G541" s="31"/>
      <c r="H541" s="37"/>
      <c r="I541" s="31"/>
      <c r="J541" s="2"/>
      <c r="K541" s="38"/>
      <c r="L541" s="31"/>
      <c r="M541" s="39" t="s">
        <v>832</v>
      </c>
      <c r="N541" s="2"/>
      <c r="O541" s="2"/>
      <c r="P541" s="2"/>
      <c r="Q541" s="2"/>
    </row>
    <row r="542" customFormat="false" ht="15" hidden="false" customHeight="false" outlineLevel="0" collapsed="false">
      <c r="A542" s="2" t="s">
        <v>1168</v>
      </c>
      <c r="B542" s="2" t="s">
        <v>47</v>
      </c>
      <c r="C542" s="16"/>
      <c r="D542" s="35"/>
      <c r="E542" s="2"/>
      <c r="F542" s="36"/>
      <c r="G542" s="31"/>
      <c r="H542" s="37"/>
      <c r="I542" s="31"/>
      <c r="J542" s="2"/>
      <c r="K542" s="38"/>
      <c r="L542" s="31"/>
      <c r="M542" s="39" t="s">
        <v>832</v>
      </c>
      <c r="N542" s="2"/>
      <c r="O542" s="2"/>
      <c r="P542" s="2"/>
      <c r="Q542" s="2"/>
    </row>
    <row r="543" customFormat="false" ht="15" hidden="false" customHeight="false" outlineLevel="0" collapsed="false">
      <c r="A543" s="2" t="s">
        <v>320</v>
      </c>
      <c r="B543" s="2" t="s">
        <v>45</v>
      </c>
      <c r="C543" s="14" t="s">
        <v>1146</v>
      </c>
      <c r="D543" s="42" t="n">
        <v>120497</v>
      </c>
      <c r="E543" s="2" t="s">
        <v>827</v>
      </c>
      <c r="F543" s="43" t="n">
        <v>0.698706191855399</v>
      </c>
      <c r="G543" s="31" t="n">
        <v>61.1</v>
      </c>
      <c r="H543" s="41" t="n">
        <v>0.00262102477908505</v>
      </c>
      <c r="I543" s="31" t="n">
        <v>12.9</v>
      </c>
      <c r="J543" s="2" t="s">
        <v>2890</v>
      </c>
      <c r="K543" s="44" t="n">
        <v>0.27278278125477</v>
      </c>
      <c r="L543" s="31" t="n">
        <v>85.8</v>
      </c>
      <c r="M543" s="34" t="s">
        <v>822</v>
      </c>
      <c r="N543" s="2" t="s">
        <v>22</v>
      </c>
      <c r="O543" s="2" t="s">
        <v>22</v>
      </c>
      <c r="P543" s="2" t="s">
        <v>22</v>
      </c>
      <c r="Q543" s="2" t="s">
        <v>22</v>
      </c>
    </row>
    <row r="544" customFormat="false" ht="15" hidden="false" customHeight="false" outlineLevel="0" collapsed="false">
      <c r="A544" s="2" t="s">
        <v>1822</v>
      </c>
      <c r="B544" s="2" t="s">
        <v>45</v>
      </c>
      <c r="C544" s="15" t="s">
        <v>3024</v>
      </c>
      <c r="D544" s="46" t="n">
        <v>94575</v>
      </c>
      <c r="E544" s="2" t="s">
        <v>821</v>
      </c>
      <c r="F544" s="47" t="n">
        <v>0.718519693365054</v>
      </c>
      <c r="G544" s="31" t="n">
        <v>62.8</v>
      </c>
      <c r="H544" s="48" t="n">
        <v>0.103713472131454</v>
      </c>
      <c r="I544" s="31" t="n">
        <v>55</v>
      </c>
      <c r="J544" s="2" t="s">
        <v>2883</v>
      </c>
      <c r="K544" s="38"/>
      <c r="L544" s="31"/>
      <c r="M544" s="39" t="s">
        <v>832</v>
      </c>
      <c r="N544" s="2" t="s">
        <v>19</v>
      </c>
      <c r="O544" s="2" t="s">
        <v>19</v>
      </c>
      <c r="P544" s="2" t="s">
        <v>19</v>
      </c>
      <c r="Q544" s="2"/>
    </row>
    <row r="545" customFormat="false" ht="15" hidden="false" customHeight="false" outlineLevel="0" collapsed="false">
      <c r="A545" s="2" t="s">
        <v>1822</v>
      </c>
      <c r="B545" s="2" t="s">
        <v>46</v>
      </c>
      <c r="C545" s="13" t="s">
        <v>1823</v>
      </c>
      <c r="D545" s="29" t="n">
        <v>38110</v>
      </c>
      <c r="E545" s="2" t="s">
        <v>821</v>
      </c>
      <c r="F545" s="30" t="n">
        <v>3.94668066124377</v>
      </c>
      <c r="G545" s="31" t="n">
        <v>62.7</v>
      </c>
      <c r="H545" s="32" t="n">
        <v>0.0829781187837454</v>
      </c>
      <c r="I545" s="31" t="n">
        <v>48.7</v>
      </c>
      <c r="J545" s="2" t="s">
        <v>2884</v>
      </c>
      <c r="K545" s="33" t="n">
        <v>0.0225547835382149</v>
      </c>
      <c r="L545" s="31" t="n">
        <v>4.9</v>
      </c>
      <c r="M545" s="34" t="s">
        <v>822</v>
      </c>
      <c r="N545" s="2" t="s">
        <v>24</v>
      </c>
      <c r="O545" s="2" t="s">
        <v>24</v>
      </c>
      <c r="P545" s="2" t="s">
        <v>24</v>
      </c>
      <c r="Q545" s="2" t="s">
        <v>24</v>
      </c>
    </row>
    <row r="546" customFormat="false" ht="15" hidden="false" customHeight="false" outlineLevel="0" collapsed="false">
      <c r="A546" s="2" t="s">
        <v>1822</v>
      </c>
      <c r="B546" s="2" t="s">
        <v>47</v>
      </c>
      <c r="C546" s="14" t="s">
        <v>2670</v>
      </c>
      <c r="D546" s="42" t="n">
        <v>105901</v>
      </c>
      <c r="E546" s="2" t="s">
        <v>827</v>
      </c>
      <c r="F546" s="43" t="n">
        <v>0.823637170564962</v>
      </c>
      <c r="G546" s="31" t="n">
        <v>30.2</v>
      </c>
      <c r="H546" s="41" t="n">
        <v>0.17243097225605</v>
      </c>
      <c r="I546" s="31" t="n">
        <v>89.4</v>
      </c>
      <c r="J546" s="2" t="s">
        <v>2897</v>
      </c>
      <c r="K546" s="44" t="n">
        <v>0.0859006886553099</v>
      </c>
      <c r="L546" s="31" t="n">
        <v>52.2</v>
      </c>
      <c r="M546" s="34" t="s">
        <v>822</v>
      </c>
      <c r="N546" s="2" t="s">
        <v>22</v>
      </c>
      <c r="O546" s="2" t="s">
        <v>22</v>
      </c>
      <c r="P546" s="2" t="s">
        <v>22</v>
      </c>
      <c r="Q546" s="2" t="s">
        <v>22</v>
      </c>
    </row>
    <row r="547" customFormat="false" ht="15" hidden="false" customHeight="false" outlineLevel="0" collapsed="false">
      <c r="A547" s="2" t="s">
        <v>534</v>
      </c>
      <c r="B547" s="2" t="s">
        <v>45</v>
      </c>
      <c r="C547" s="13" t="s">
        <v>1306</v>
      </c>
      <c r="D547" s="29" t="n">
        <v>92750</v>
      </c>
      <c r="E547" s="2" t="s">
        <v>821</v>
      </c>
      <c r="F547" s="30" t="n">
        <v>0.483719676549865</v>
      </c>
      <c r="G547" s="31" t="n">
        <v>40.5</v>
      </c>
      <c r="H547" s="32" t="n">
        <v>0.0217008151575237</v>
      </c>
      <c r="I547" s="31" t="n">
        <v>13.4</v>
      </c>
      <c r="J547" s="2" t="s">
        <v>2883</v>
      </c>
      <c r="K547" s="33" t="n">
        <v>0.0500517777010701</v>
      </c>
      <c r="L547" s="31" t="n">
        <v>15.2</v>
      </c>
      <c r="M547" s="34" t="s">
        <v>822</v>
      </c>
      <c r="N547" s="2" t="s">
        <v>24</v>
      </c>
      <c r="O547" s="2" t="s">
        <v>24</v>
      </c>
      <c r="P547" s="2" t="s">
        <v>24</v>
      </c>
      <c r="Q547" s="2" t="s">
        <v>24</v>
      </c>
    </row>
    <row r="548" customFormat="false" ht="15" hidden="false" customHeight="false" outlineLevel="0" collapsed="false">
      <c r="A548" s="2" t="s">
        <v>534</v>
      </c>
      <c r="B548" s="2" t="s">
        <v>46</v>
      </c>
      <c r="C548" s="13" t="s">
        <v>1987</v>
      </c>
      <c r="D548" s="29" t="n">
        <v>19450</v>
      </c>
      <c r="E548" s="2" t="s">
        <v>821</v>
      </c>
      <c r="F548" s="30" t="n">
        <v>2.44210796915167</v>
      </c>
      <c r="G548" s="31" t="n">
        <v>36.3</v>
      </c>
      <c r="H548" s="32" t="n">
        <v>0.243606138107417</v>
      </c>
      <c r="I548" s="31" t="n">
        <v>97.8</v>
      </c>
      <c r="J548" s="2" t="s">
        <v>2884</v>
      </c>
      <c r="K548" s="33" t="n">
        <v>0.0794638583054093</v>
      </c>
      <c r="L548" s="31" t="n">
        <v>24.9</v>
      </c>
      <c r="M548" s="34" t="s">
        <v>822</v>
      </c>
      <c r="N548" s="2" t="s">
        <v>24</v>
      </c>
      <c r="O548" s="2" t="s">
        <v>24</v>
      </c>
      <c r="P548" s="2" t="s">
        <v>24</v>
      </c>
      <c r="Q548" s="2" t="s">
        <v>24</v>
      </c>
    </row>
    <row r="549" customFormat="false" ht="15" hidden="false" customHeight="false" outlineLevel="0" collapsed="false">
      <c r="A549" s="2" t="s">
        <v>534</v>
      </c>
      <c r="B549" s="2" t="s">
        <v>47</v>
      </c>
      <c r="C549" s="13" t="s">
        <v>2475</v>
      </c>
      <c r="D549" s="29" t="n">
        <v>26360</v>
      </c>
      <c r="E549" s="2" t="s">
        <v>821</v>
      </c>
      <c r="F549" s="30" t="n">
        <v>1.48414264036419</v>
      </c>
      <c r="G549" s="31" t="n">
        <v>59.3</v>
      </c>
      <c r="H549" s="41" t="n">
        <v>-0.00233755942947702</v>
      </c>
      <c r="I549" s="31" t="n">
        <v>9.4</v>
      </c>
      <c r="J549" s="2" t="s">
        <v>2886</v>
      </c>
      <c r="K549" s="33" t="n">
        <v>0.194906444906445</v>
      </c>
      <c r="L549" s="31" t="n">
        <v>83.5</v>
      </c>
      <c r="M549" s="34" t="s">
        <v>822</v>
      </c>
      <c r="N549" s="2" t="s">
        <v>24</v>
      </c>
      <c r="O549" s="2" t="s">
        <v>24</v>
      </c>
      <c r="P549" s="2" t="s">
        <v>22</v>
      </c>
      <c r="Q549" s="2" t="s">
        <v>24</v>
      </c>
    </row>
    <row r="550" customFormat="false" ht="15" hidden="false" customHeight="false" outlineLevel="0" collapsed="false">
      <c r="A550" s="2" t="s">
        <v>1870</v>
      </c>
      <c r="B550" s="2" t="s">
        <v>45</v>
      </c>
      <c r="C550" s="13" t="s">
        <v>3025</v>
      </c>
      <c r="D550" s="35"/>
      <c r="E550" s="2"/>
      <c r="F550" s="36"/>
      <c r="G550" s="31"/>
      <c r="H550" s="37"/>
      <c r="I550" s="31"/>
      <c r="J550" s="2"/>
      <c r="K550" s="40" t="s">
        <v>857</v>
      </c>
      <c r="L550" s="31"/>
      <c r="M550" s="39" t="s">
        <v>832</v>
      </c>
      <c r="N550" s="2"/>
      <c r="O550" s="2"/>
      <c r="P550" s="2"/>
      <c r="Q550" s="2" t="s">
        <v>2885</v>
      </c>
    </row>
    <row r="551" customFormat="false" ht="15" hidden="false" customHeight="false" outlineLevel="0" collapsed="false">
      <c r="A551" s="2" t="s">
        <v>1870</v>
      </c>
      <c r="B551" s="2" t="s">
        <v>46</v>
      </c>
      <c r="C551" s="13" t="s">
        <v>1871</v>
      </c>
      <c r="D551" s="29" t="n">
        <v>15330</v>
      </c>
      <c r="E551" s="2" t="s">
        <v>821</v>
      </c>
      <c r="F551" s="30" t="n">
        <v>3.43874755381605</v>
      </c>
      <c r="G551" s="31" t="n">
        <v>54.4</v>
      </c>
      <c r="H551" s="32" t="n">
        <v>0.0623700623700624</v>
      </c>
      <c r="I551" s="31" t="n">
        <v>36</v>
      </c>
      <c r="J551" s="2" t="s">
        <v>2884</v>
      </c>
      <c r="K551" s="33" t="n">
        <v>0.306207418622256</v>
      </c>
      <c r="L551" s="31" t="n">
        <v>90.1</v>
      </c>
      <c r="M551" s="34" t="s">
        <v>822</v>
      </c>
      <c r="N551" s="2" t="s">
        <v>24</v>
      </c>
      <c r="O551" s="2" t="s">
        <v>24</v>
      </c>
      <c r="P551" s="2" t="s">
        <v>24</v>
      </c>
      <c r="Q551" s="2" t="s">
        <v>24</v>
      </c>
    </row>
    <row r="552" customFormat="false" ht="15" hidden="false" customHeight="false" outlineLevel="0" collapsed="false">
      <c r="A552" s="2" t="s">
        <v>1870</v>
      </c>
      <c r="B552" s="2" t="s">
        <v>47</v>
      </c>
      <c r="C552" s="16"/>
      <c r="D552" s="35"/>
      <c r="E552" s="2"/>
      <c r="F552" s="36"/>
      <c r="G552" s="31"/>
      <c r="H552" s="37"/>
      <c r="I552" s="31"/>
      <c r="J552" s="2"/>
      <c r="K552" s="38"/>
      <c r="L552" s="31"/>
      <c r="M552" s="39" t="s">
        <v>832</v>
      </c>
      <c r="N552" s="2"/>
      <c r="O552" s="2"/>
      <c r="P552" s="2"/>
      <c r="Q552" s="2"/>
    </row>
    <row r="553" customFormat="false" ht="15" hidden="false" customHeight="false" outlineLevel="0" collapsed="false">
      <c r="A553" s="2" t="s">
        <v>1550</v>
      </c>
      <c r="B553" s="2" t="s">
        <v>45</v>
      </c>
      <c r="C553" s="14" t="s">
        <v>1551</v>
      </c>
      <c r="D553" s="29" t="n">
        <v>24740</v>
      </c>
      <c r="E553" s="2" t="s">
        <v>821</v>
      </c>
      <c r="F553" s="30" t="n">
        <v>0.166976556184317</v>
      </c>
      <c r="G553" s="31" t="n">
        <v>6.6</v>
      </c>
      <c r="H553" s="32" t="n">
        <v>0.173067804646752</v>
      </c>
      <c r="I553" s="31" t="n">
        <v>84.2</v>
      </c>
      <c r="J553" s="2" t="s">
        <v>2883</v>
      </c>
      <c r="K553" s="33" t="n">
        <v>0.116504854368932</v>
      </c>
      <c r="L553" s="31" t="n">
        <v>43.4</v>
      </c>
      <c r="M553" s="34" t="s">
        <v>822</v>
      </c>
      <c r="N553" s="2" t="s">
        <v>24</v>
      </c>
      <c r="O553" s="2" t="s">
        <v>24</v>
      </c>
      <c r="P553" s="2" t="s">
        <v>24</v>
      </c>
      <c r="Q553" s="2" t="s">
        <v>24</v>
      </c>
    </row>
    <row r="554" customFormat="false" ht="15" hidden="false" customHeight="false" outlineLevel="0" collapsed="false">
      <c r="A554" s="2" t="s">
        <v>1550</v>
      </c>
      <c r="B554" s="2" t="s">
        <v>46</v>
      </c>
      <c r="C554" s="15" t="s">
        <v>3026</v>
      </c>
      <c r="D554" s="46" t="n">
        <v>122223</v>
      </c>
      <c r="E554" s="2" t="s">
        <v>827</v>
      </c>
      <c r="F554" s="47" t="n">
        <v>9.53319751601581</v>
      </c>
      <c r="G554" s="31" t="n">
        <v>92.9</v>
      </c>
      <c r="H554" s="48" t="n">
        <v>0.13854680950163</v>
      </c>
      <c r="I554" s="31" t="n">
        <v>79.6</v>
      </c>
      <c r="J554" s="2" t="s">
        <v>2888</v>
      </c>
      <c r="K554" s="38"/>
      <c r="L554" s="31"/>
      <c r="M554" s="39" t="s">
        <v>832</v>
      </c>
      <c r="N554" s="2" t="s">
        <v>19</v>
      </c>
      <c r="O554" s="2" t="s">
        <v>19</v>
      </c>
      <c r="P554" s="2" t="s">
        <v>19</v>
      </c>
      <c r="Q554" s="2"/>
    </row>
    <row r="555" customFormat="false" ht="15" hidden="false" customHeight="false" outlineLevel="0" collapsed="false">
      <c r="A555" s="2" t="s">
        <v>2626</v>
      </c>
      <c r="B555" s="2" t="s">
        <v>45</v>
      </c>
      <c r="C555" s="16"/>
      <c r="D555" s="46" t="n">
        <v>123600</v>
      </c>
      <c r="E555" s="2" t="s">
        <v>827</v>
      </c>
      <c r="F555" s="36"/>
      <c r="G555" s="31"/>
      <c r="H555" s="48" t="n">
        <v>0.104162944434519</v>
      </c>
      <c r="I555" s="31" t="n">
        <v>62.1</v>
      </c>
      <c r="J555" s="2" t="s">
        <v>2890</v>
      </c>
      <c r="K555" s="38"/>
      <c r="L555" s="31"/>
      <c r="M555" s="39" t="s">
        <v>832</v>
      </c>
      <c r="N555" s="2" t="s">
        <v>19</v>
      </c>
      <c r="O555" s="2"/>
      <c r="P555" s="2" t="s">
        <v>19</v>
      </c>
      <c r="Q555" s="2"/>
    </row>
    <row r="556" customFormat="false" ht="15" hidden="false" customHeight="false" outlineLevel="0" collapsed="false">
      <c r="A556" s="2" t="s">
        <v>2626</v>
      </c>
      <c r="B556" s="2" t="s">
        <v>46</v>
      </c>
      <c r="C556" s="13" t="s">
        <v>3027</v>
      </c>
      <c r="D556" s="29" t="n">
        <v>3010</v>
      </c>
      <c r="E556" s="2" t="s">
        <v>825</v>
      </c>
      <c r="F556" s="30" t="n">
        <v>2.6936877076412</v>
      </c>
      <c r="G556" s="31" t="n">
        <v>41.8</v>
      </c>
      <c r="H556" s="37"/>
      <c r="I556" s="31"/>
      <c r="J556" s="2"/>
      <c r="K556" s="33" t="n">
        <v>0.0311418685121107</v>
      </c>
      <c r="L556" s="31" t="n">
        <v>7.1</v>
      </c>
      <c r="M556" s="39" t="s">
        <v>832</v>
      </c>
      <c r="N556" s="2" t="s">
        <v>24</v>
      </c>
      <c r="O556" s="2" t="s">
        <v>24</v>
      </c>
      <c r="P556" s="2"/>
      <c r="Q556" s="2" t="s">
        <v>24</v>
      </c>
    </row>
    <row r="557" customFormat="false" ht="15" hidden="false" customHeight="false" outlineLevel="0" collapsed="false">
      <c r="A557" s="2" t="s">
        <v>2626</v>
      </c>
      <c r="B557" s="2" t="s">
        <v>47</v>
      </c>
      <c r="C557" s="14" t="s">
        <v>2627</v>
      </c>
      <c r="D557" s="42" t="n">
        <v>3841</v>
      </c>
      <c r="E557" s="2" t="s">
        <v>825</v>
      </c>
      <c r="F557" s="43" t="n">
        <v>0.965894298359802</v>
      </c>
      <c r="G557" s="31" t="n">
        <v>36.9</v>
      </c>
      <c r="H557" s="41" t="n">
        <v>0.140778140778141</v>
      </c>
      <c r="I557" s="31" t="n">
        <v>63.7</v>
      </c>
      <c r="J557" s="2" t="s">
        <v>2889</v>
      </c>
      <c r="K557" s="44" t="n">
        <v>0.0504587155963303</v>
      </c>
      <c r="L557" s="31" t="n">
        <v>32.6</v>
      </c>
      <c r="M557" s="34" t="s">
        <v>822</v>
      </c>
      <c r="N557" s="2" t="s">
        <v>22</v>
      </c>
      <c r="O557" s="2" t="s">
        <v>22</v>
      </c>
      <c r="P557" s="2" t="s">
        <v>22</v>
      </c>
      <c r="Q557" s="2" t="s">
        <v>22</v>
      </c>
    </row>
    <row r="558" customFormat="false" ht="15" hidden="false" customHeight="false" outlineLevel="0" collapsed="false">
      <c r="A558" s="2" t="s">
        <v>119</v>
      </c>
      <c r="B558" s="2" t="s">
        <v>47</v>
      </c>
      <c r="C558" s="13" t="s">
        <v>2274</v>
      </c>
      <c r="D558" s="29" t="n">
        <v>38310</v>
      </c>
      <c r="E558" s="2" t="s">
        <v>821</v>
      </c>
      <c r="F558" s="30" t="n">
        <v>3.33790133124511</v>
      </c>
      <c r="G558" s="31" t="n">
        <v>91.4</v>
      </c>
      <c r="H558" s="32" t="n">
        <v>0.158101571946796</v>
      </c>
      <c r="I558" s="31" t="n">
        <v>80.5</v>
      </c>
      <c r="J558" s="2" t="s">
        <v>2886</v>
      </c>
      <c r="K558" s="33" t="n">
        <v>0.0767745050700145</v>
      </c>
      <c r="L558" s="31" t="n">
        <v>47.5</v>
      </c>
      <c r="M558" s="34" t="s">
        <v>822</v>
      </c>
      <c r="N558" s="2" t="s">
        <v>24</v>
      </c>
      <c r="O558" s="2" t="s">
        <v>24</v>
      </c>
      <c r="P558" s="2" t="s">
        <v>24</v>
      </c>
      <c r="Q558" s="2" t="s">
        <v>24</v>
      </c>
    </row>
    <row r="559" customFormat="false" ht="15" hidden="false" customHeight="false" outlineLevel="0" collapsed="false">
      <c r="A559" s="2" t="s">
        <v>1881</v>
      </c>
      <c r="B559" s="2" t="s">
        <v>45</v>
      </c>
      <c r="C559" s="13" t="s">
        <v>3028</v>
      </c>
      <c r="D559" s="35"/>
      <c r="E559" s="2"/>
      <c r="F559" s="36"/>
      <c r="G559" s="31"/>
      <c r="H559" s="37"/>
      <c r="I559" s="31"/>
      <c r="J559" s="2"/>
      <c r="K559" s="38"/>
      <c r="L559" s="31"/>
      <c r="M559" s="39" t="s">
        <v>832</v>
      </c>
      <c r="N559" s="2"/>
      <c r="O559" s="2"/>
      <c r="P559" s="2"/>
      <c r="Q559" s="2"/>
    </row>
    <row r="560" customFormat="false" ht="15" hidden="false" customHeight="false" outlineLevel="0" collapsed="false">
      <c r="A560" s="2" t="s">
        <v>1881</v>
      </c>
      <c r="B560" s="2" t="s">
        <v>46</v>
      </c>
      <c r="C560" s="13" t="s">
        <v>1882</v>
      </c>
      <c r="D560" s="42" t="n">
        <v>61358</v>
      </c>
      <c r="E560" s="2" t="s">
        <v>821</v>
      </c>
      <c r="F560" s="43" t="n">
        <v>3.32740636917761</v>
      </c>
      <c r="G560" s="31" t="n">
        <v>52.8</v>
      </c>
      <c r="H560" s="41" t="n">
        <v>0.106586351175877</v>
      </c>
      <c r="I560" s="31" t="n">
        <v>61.8</v>
      </c>
      <c r="J560" s="2" t="s">
        <v>2884</v>
      </c>
      <c r="K560" s="44" t="n">
        <v>0.397993501681582</v>
      </c>
      <c r="L560" s="31" t="n">
        <v>96.9</v>
      </c>
      <c r="M560" s="34" t="s">
        <v>822</v>
      </c>
      <c r="N560" s="2" t="s">
        <v>22</v>
      </c>
      <c r="O560" s="2" t="s">
        <v>22</v>
      </c>
      <c r="P560" s="2" t="s">
        <v>22</v>
      </c>
      <c r="Q560" s="2" t="s">
        <v>22</v>
      </c>
    </row>
    <row r="561" customFormat="false" ht="15" hidden="false" customHeight="false" outlineLevel="0" collapsed="false">
      <c r="A561" s="2" t="s">
        <v>1881</v>
      </c>
      <c r="B561" s="2" t="s">
        <v>47</v>
      </c>
      <c r="C561" s="13" t="s">
        <v>2283</v>
      </c>
      <c r="D561" s="29" t="n">
        <v>11190</v>
      </c>
      <c r="E561" s="2" t="s">
        <v>821</v>
      </c>
      <c r="F561" s="30" t="n">
        <v>3.13806970509383</v>
      </c>
      <c r="G561" s="31" t="n">
        <v>90.1</v>
      </c>
      <c r="H561" s="32" t="n">
        <v>0.161993769470405</v>
      </c>
      <c r="I561" s="31" t="n">
        <v>82.8</v>
      </c>
      <c r="J561" s="2" t="s">
        <v>2886</v>
      </c>
      <c r="K561" s="33" t="n">
        <v>0.0645661157024793</v>
      </c>
      <c r="L561" s="31" t="n">
        <v>41.4</v>
      </c>
      <c r="M561" s="34" t="s">
        <v>822</v>
      </c>
      <c r="N561" s="2" t="s">
        <v>24</v>
      </c>
      <c r="O561" s="2" t="s">
        <v>24</v>
      </c>
      <c r="P561" s="2" t="s">
        <v>24</v>
      </c>
      <c r="Q561" s="2" t="s">
        <v>24</v>
      </c>
    </row>
    <row r="562" customFormat="false" ht="15" hidden="false" customHeight="false" outlineLevel="0" collapsed="false">
      <c r="A562" s="2" t="s">
        <v>664</v>
      </c>
      <c r="B562" s="2" t="s">
        <v>47</v>
      </c>
      <c r="C562" s="14" t="s">
        <v>2650</v>
      </c>
      <c r="D562" s="42" t="n">
        <v>15286</v>
      </c>
      <c r="E562" s="2" t="s">
        <v>821</v>
      </c>
      <c r="F562" s="43" t="n">
        <v>0.888917964150203</v>
      </c>
      <c r="G562" s="31" t="n">
        <v>33.7</v>
      </c>
      <c r="H562" s="41" t="n">
        <v>0.127203008627682</v>
      </c>
      <c r="I562" s="31" t="n">
        <v>66.9</v>
      </c>
      <c r="J562" s="2" t="s">
        <v>2886</v>
      </c>
      <c r="K562" s="44" t="n">
        <v>0.340406719717065</v>
      </c>
      <c r="L562" s="31" t="n">
        <v>97.7</v>
      </c>
      <c r="M562" s="34" t="s">
        <v>822</v>
      </c>
      <c r="N562" s="2" t="s">
        <v>22</v>
      </c>
      <c r="O562" s="2" t="s">
        <v>22</v>
      </c>
      <c r="P562" s="2" t="s">
        <v>22</v>
      </c>
      <c r="Q562" s="2" t="s">
        <v>22</v>
      </c>
    </row>
    <row r="563" customFormat="false" ht="15" hidden="false" customHeight="false" outlineLevel="0" collapsed="false">
      <c r="A563" s="2" t="s">
        <v>408</v>
      </c>
      <c r="B563" s="2" t="s">
        <v>45</v>
      </c>
      <c r="C563" s="13" t="s">
        <v>1199</v>
      </c>
      <c r="D563" s="29" t="n">
        <v>31570</v>
      </c>
      <c r="E563" s="2" t="s">
        <v>821</v>
      </c>
      <c r="F563" s="30" t="n">
        <v>0.608900855242319</v>
      </c>
      <c r="G563" s="31" t="n">
        <v>54.6</v>
      </c>
      <c r="H563" s="41" t="n">
        <v>0.0104953687604717</v>
      </c>
      <c r="I563" s="31" t="n">
        <v>11.3</v>
      </c>
      <c r="J563" s="2" t="s">
        <v>2883</v>
      </c>
      <c r="K563" s="33" t="n">
        <v>0.155197657393851</v>
      </c>
      <c r="L563" s="31" t="n">
        <v>60.1</v>
      </c>
      <c r="M563" s="34" t="s">
        <v>822</v>
      </c>
      <c r="N563" s="2" t="s">
        <v>24</v>
      </c>
      <c r="O563" s="2" t="s">
        <v>24</v>
      </c>
      <c r="P563" s="2" t="s">
        <v>22</v>
      </c>
      <c r="Q563" s="2" t="s">
        <v>24</v>
      </c>
    </row>
    <row r="564" customFormat="false" ht="15" hidden="false" customHeight="false" outlineLevel="0" collapsed="false">
      <c r="A564" s="2" t="s">
        <v>2753</v>
      </c>
      <c r="B564" s="2" t="s">
        <v>46</v>
      </c>
      <c r="C564" s="15" t="s">
        <v>3029</v>
      </c>
      <c r="D564" s="46" t="n">
        <v>7259</v>
      </c>
      <c r="E564" s="2" t="s">
        <v>825</v>
      </c>
      <c r="F564" s="47" t="n">
        <v>2.39743766359003</v>
      </c>
      <c r="G564" s="31" t="n">
        <v>35.2</v>
      </c>
      <c r="H564" s="48" t="n">
        <v>0.0422110552763819</v>
      </c>
      <c r="I564" s="31" t="n">
        <v>7.5</v>
      </c>
      <c r="J564" s="2" t="s">
        <v>2905</v>
      </c>
      <c r="K564" s="38"/>
      <c r="L564" s="31"/>
      <c r="M564" s="39" t="s">
        <v>832</v>
      </c>
      <c r="N564" s="2" t="s">
        <v>19</v>
      </c>
      <c r="O564" s="2" t="s">
        <v>19</v>
      </c>
      <c r="P564" s="2" t="s">
        <v>19</v>
      </c>
      <c r="Q564" s="2"/>
    </row>
    <row r="565" customFormat="false" ht="15" hidden="false" customHeight="false" outlineLevel="0" collapsed="false">
      <c r="A565" s="2" t="s">
        <v>2753</v>
      </c>
      <c r="B565" s="2" t="s">
        <v>47</v>
      </c>
      <c r="C565" s="14" t="s">
        <v>2754</v>
      </c>
      <c r="D565" s="42" t="n">
        <v>180670</v>
      </c>
      <c r="E565" s="2" t="s">
        <v>827</v>
      </c>
      <c r="F565" s="43" t="n">
        <v>0.589561078208889</v>
      </c>
      <c r="G565" s="31" t="n">
        <v>18</v>
      </c>
      <c r="H565" s="41" t="n">
        <v>0.165989028718942</v>
      </c>
      <c r="I565" s="31" t="n">
        <v>87</v>
      </c>
      <c r="J565" s="2" t="s">
        <v>2897</v>
      </c>
      <c r="K565" s="44" t="n">
        <v>0.00180766449746927</v>
      </c>
      <c r="L565" s="31" t="n">
        <v>2.7</v>
      </c>
      <c r="M565" s="34" t="s">
        <v>822</v>
      </c>
      <c r="N565" s="2" t="s">
        <v>22</v>
      </c>
      <c r="O565" s="2" t="s">
        <v>22</v>
      </c>
      <c r="P565" s="2" t="s">
        <v>22</v>
      </c>
      <c r="Q565" s="2" t="s">
        <v>22</v>
      </c>
    </row>
    <row r="566" customFormat="false" ht="15" hidden="false" customHeight="false" outlineLevel="0" collapsed="false">
      <c r="A566" s="2" t="s">
        <v>1502</v>
      </c>
      <c r="B566" s="2" t="s">
        <v>45</v>
      </c>
      <c r="C566" s="13" t="s">
        <v>1503</v>
      </c>
      <c r="D566" s="29" t="n">
        <v>68520</v>
      </c>
      <c r="E566" s="2" t="s">
        <v>821</v>
      </c>
      <c r="F566" s="30" t="n">
        <v>0.25379451255108</v>
      </c>
      <c r="G566" s="31" t="n">
        <v>13.2</v>
      </c>
      <c r="H566" s="32" t="n">
        <v>-0.00839363241678726</v>
      </c>
      <c r="I566" s="31" t="n">
        <v>8.6</v>
      </c>
      <c r="J566" s="2" t="s">
        <v>2883</v>
      </c>
      <c r="K566" s="33" t="n">
        <v>0.0574121679520137</v>
      </c>
      <c r="L566" s="31" t="n">
        <v>18.9</v>
      </c>
      <c r="M566" s="34" t="s">
        <v>822</v>
      </c>
      <c r="N566" s="2" t="s">
        <v>24</v>
      </c>
      <c r="O566" s="2" t="s">
        <v>24</v>
      </c>
      <c r="P566" s="2" t="s">
        <v>24</v>
      </c>
      <c r="Q566" s="2" t="s">
        <v>24</v>
      </c>
    </row>
    <row r="567" customFormat="false" ht="15" hidden="false" customHeight="false" outlineLevel="0" collapsed="false">
      <c r="A567" s="2" t="s">
        <v>1502</v>
      </c>
      <c r="B567" s="2" t="s">
        <v>46</v>
      </c>
      <c r="C567" s="16"/>
      <c r="D567" s="35"/>
      <c r="E567" s="2"/>
      <c r="F567" s="36"/>
      <c r="G567" s="31"/>
      <c r="H567" s="37"/>
      <c r="I567" s="31"/>
      <c r="J567" s="2"/>
      <c r="K567" s="38"/>
      <c r="L567" s="31"/>
      <c r="M567" s="39" t="s">
        <v>832</v>
      </c>
      <c r="N567" s="2"/>
      <c r="O567" s="2"/>
      <c r="P567" s="2"/>
      <c r="Q567" s="2"/>
    </row>
    <row r="568" customFormat="false" ht="15" hidden="false" customHeight="false" outlineLevel="0" collapsed="false">
      <c r="A568" s="2" t="s">
        <v>1502</v>
      </c>
      <c r="B568" s="2" t="s">
        <v>47</v>
      </c>
      <c r="C568" s="14" t="s">
        <v>3030</v>
      </c>
      <c r="D568" s="42" t="n">
        <v>163313</v>
      </c>
      <c r="E568" s="2" t="s">
        <v>827</v>
      </c>
      <c r="F568" s="43" t="n">
        <v>1.41257585127945</v>
      </c>
      <c r="G568" s="31" t="n">
        <v>56.8</v>
      </c>
      <c r="H568" s="41" t="n">
        <v>0.155690953351449</v>
      </c>
      <c r="I568" s="31" t="n">
        <v>84.5</v>
      </c>
      <c r="J568" s="2" t="s">
        <v>2897</v>
      </c>
      <c r="K568" s="38"/>
      <c r="L568" s="31"/>
      <c r="M568" s="39" t="s">
        <v>832</v>
      </c>
      <c r="N568" s="2" t="s">
        <v>22</v>
      </c>
      <c r="O568" s="2" t="s">
        <v>22</v>
      </c>
      <c r="P568" s="2" t="s">
        <v>22</v>
      </c>
      <c r="Q568" s="2"/>
    </row>
    <row r="569" customFormat="false" ht="15" hidden="false" customHeight="false" outlineLevel="0" collapsed="false">
      <c r="A569" s="2" t="s">
        <v>240</v>
      </c>
      <c r="B569" s="2" t="s">
        <v>45</v>
      </c>
      <c r="C569" s="13" t="s">
        <v>845</v>
      </c>
      <c r="D569" s="29" t="n">
        <v>15310</v>
      </c>
      <c r="E569" s="2" t="s">
        <v>821</v>
      </c>
      <c r="F569" s="30" t="n">
        <v>2.41639451338994</v>
      </c>
      <c r="G569" s="31" t="n">
        <v>97.5</v>
      </c>
      <c r="H569" s="32" t="n">
        <v>0.107013738250181</v>
      </c>
      <c r="I569" s="31" t="n">
        <v>55.7</v>
      </c>
      <c r="J569" s="2" t="s">
        <v>2883</v>
      </c>
      <c r="K569" s="33" t="n">
        <v>0.0971370143149284</v>
      </c>
      <c r="L569" s="31" t="n">
        <v>35.4</v>
      </c>
      <c r="M569" s="34" t="s">
        <v>822</v>
      </c>
      <c r="N569" s="2" t="s">
        <v>24</v>
      </c>
      <c r="O569" s="2" t="s">
        <v>24</v>
      </c>
      <c r="P569" s="2" t="s">
        <v>24</v>
      </c>
      <c r="Q569" s="2" t="s">
        <v>24</v>
      </c>
    </row>
    <row r="570" customFormat="false" ht="15" hidden="false" customHeight="false" outlineLevel="0" collapsed="false">
      <c r="A570" s="2" t="s">
        <v>240</v>
      </c>
      <c r="B570" s="2" t="s">
        <v>46</v>
      </c>
      <c r="C570" s="14" t="s">
        <v>1957</v>
      </c>
      <c r="D570" s="29" t="n">
        <v>36080</v>
      </c>
      <c r="E570" s="2" t="s">
        <v>821</v>
      </c>
      <c r="F570" s="30" t="n">
        <v>2.67649667405765</v>
      </c>
      <c r="G570" s="31" t="n">
        <v>41.3</v>
      </c>
      <c r="H570" s="32" t="n">
        <v>0.133521834747094</v>
      </c>
      <c r="I570" s="31" t="n">
        <v>74.2</v>
      </c>
      <c r="J570" s="2" t="s">
        <v>2884</v>
      </c>
      <c r="K570" s="33" t="n">
        <v>0.115473441108545</v>
      </c>
      <c r="L570" s="31" t="n">
        <v>43</v>
      </c>
      <c r="M570" s="34" t="s">
        <v>822</v>
      </c>
      <c r="N570" s="2" t="s">
        <v>24</v>
      </c>
      <c r="O570" s="2" t="s">
        <v>24</v>
      </c>
      <c r="P570" s="2" t="s">
        <v>24</v>
      </c>
      <c r="Q570" s="2" t="s">
        <v>24</v>
      </c>
    </row>
    <row r="571" customFormat="false" ht="15" hidden="false" customHeight="false" outlineLevel="0" collapsed="false">
      <c r="A571" s="2" t="s">
        <v>1345</v>
      </c>
      <c r="B571" s="2" t="s">
        <v>45</v>
      </c>
      <c r="C571" s="13" t="s">
        <v>1346</v>
      </c>
      <c r="D571" s="29" t="n">
        <v>10020</v>
      </c>
      <c r="E571" s="2" t="s">
        <v>821</v>
      </c>
      <c r="F571" s="30" t="n">
        <v>0.450499001996008</v>
      </c>
      <c r="G571" s="31" t="n">
        <v>35.2</v>
      </c>
      <c r="H571" s="32" t="n">
        <v>0.0728051391862955</v>
      </c>
      <c r="I571" s="31" t="n">
        <v>39.5</v>
      </c>
      <c r="J571" s="2" t="s">
        <v>2883</v>
      </c>
      <c r="K571" s="33" t="n">
        <v>0.03601108033241</v>
      </c>
      <c r="L571" s="31" t="n">
        <v>11.4</v>
      </c>
      <c r="M571" s="34" t="s">
        <v>822</v>
      </c>
      <c r="N571" s="2" t="s">
        <v>24</v>
      </c>
      <c r="O571" s="2" t="s">
        <v>24</v>
      </c>
      <c r="P571" s="2" t="s">
        <v>24</v>
      </c>
      <c r="Q571" s="2" t="s">
        <v>24</v>
      </c>
    </row>
    <row r="572" customFormat="false" ht="15" hidden="false" customHeight="false" outlineLevel="0" collapsed="false">
      <c r="A572" s="2" t="s">
        <v>1345</v>
      </c>
      <c r="B572" s="2" t="s">
        <v>46</v>
      </c>
      <c r="C572" s="16"/>
      <c r="D572" s="35"/>
      <c r="E572" s="2"/>
      <c r="F572" s="36"/>
      <c r="G572" s="31"/>
      <c r="H572" s="37"/>
      <c r="I572" s="31"/>
      <c r="J572" s="2"/>
      <c r="K572" s="38"/>
      <c r="L572" s="31"/>
      <c r="M572" s="39" t="s">
        <v>832</v>
      </c>
      <c r="N572" s="2"/>
      <c r="O572" s="2"/>
      <c r="P572" s="2"/>
      <c r="Q572" s="2"/>
    </row>
    <row r="573" customFormat="false" ht="15" hidden="false" customHeight="false" outlineLevel="0" collapsed="false">
      <c r="A573" s="2" t="s">
        <v>1345</v>
      </c>
      <c r="B573" s="2" t="s">
        <v>47</v>
      </c>
      <c r="C573" s="14" t="s">
        <v>2783</v>
      </c>
      <c r="D573" s="42" t="n">
        <v>3831</v>
      </c>
      <c r="E573" s="2" t="s">
        <v>825</v>
      </c>
      <c r="F573" s="43" t="n">
        <v>0.522056904202558</v>
      </c>
      <c r="G573" s="31" t="n">
        <v>14.5</v>
      </c>
      <c r="H573" s="41" t="n">
        <v>-0.0232024477307496</v>
      </c>
      <c r="I573" s="31" t="n">
        <v>5</v>
      </c>
      <c r="J573" s="2" t="s">
        <v>2889</v>
      </c>
      <c r="K573" s="45" t="n">
        <v>0.131578947368421</v>
      </c>
      <c r="L573" s="31" t="n">
        <v>68.8</v>
      </c>
      <c r="M573" s="34" t="s">
        <v>822</v>
      </c>
      <c r="N573" s="2" t="s">
        <v>22</v>
      </c>
      <c r="O573" s="2" t="s">
        <v>22</v>
      </c>
      <c r="P573" s="2" t="s">
        <v>22</v>
      </c>
      <c r="Q573" s="2" t="s">
        <v>19</v>
      </c>
    </row>
    <row r="574" customFormat="false" ht="15" hidden="false" customHeight="false" outlineLevel="0" collapsed="false">
      <c r="A574" s="2" t="s">
        <v>272</v>
      </c>
      <c r="B574" s="2" t="s">
        <v>45</v>
      </c>
      <c r="C574" s="13" t="s">
        <v>1106</v>
      </c>
      <c r="D574" s="42" t="n">
        <v>12828</v>
      </c>
      <c r="E574" s="2" t="s">
        <v>821</v>
      </c>
      <c r="F574" s="43" t="n">
        <v>0.751637043966324</v>
      </c>
      <c r="G574" s="31" t="n">
        <v>65.6</v>
      </c>
      <c r="H574" s="41" t="n">
        <v>0.0647410358565737</v>
      </c>
      <c r="I574" s="31" t="n">
        <v>36.1</v>
      </c>
      <c r="J574" s="2" t="s">
        <v>2883</v>
      </c>
      <c r="K574" s="33" t="n">
        <v>0.119402985074627</v>
      </c>
      <c r="L574" s="31" t="n">
        <v>44.5</v>
      </c>
      <c r="M574" s="34" t="s">
        <v>822</v>
      </c>
      <c r="N574" s="2" t="s">
        <v>22</v>
      </c>
      <c r="O574" s="2" t="s">
        <v>22</v>
      </c>
      <c r="P574" s="2" t="s">
        <v>22</v>
      </c>
      <c r="Q574" s="2" t="s">
        <v>24</v>
      </c>
    </row>
    <row r="575" customFormat="false" ht="15" hidden="false" customHeight="false" outlineLevel="0" collapsed="false">
      <c r="A575" s="2" t="s">
        <v>194</v>
      </c>
      <c r="B575" s="2" t="s">
        <v>45</v>
      </c>
      <c r="C575" s="13" t="s">
        <v>938</v>
      </c>
      <c r="D575" s="29" t="n">
        <v>17470</v>
      </c>
      <c r="E575" s="2" t="s">
        <v>821</v>
      </c>
      <c r="F575" s="30" t="n">
        <v>1.31230681167716</v>
      </c>
      <c r="G575" s="31" t="n">
        <v>86</v>
      </c>
      <c r="H575" s="32" t="n">
        <v>0.17563930013459</v>
      </c>
      <c r="I575" s="31" t="n">
        <v>85.9</v>
      </c>
      <c r="J575" s="2" t="s">
        <v>2883</v>
      </c>
      <c r="K575" s="33" t="n">
        <v>0.129090909090909</v>
      </c>
      <c r="L575" s="31" t="n">
        <v>47.1</v>
      </c>
      <c r="M575" s="34" t="s">
        <v>822</v>
      </c>
      <c r="N575" s="2" t="s">
        <v>24</v>
      </c>
      <c r="O575" s="2" t="s">
        <v>24</v>
      </c>
      <c r="P575" s="2" t="s">
        <v>24</v>
      </c>
      <c r="Q575" s="2" t="s">
        <v>24</v>
      </c>
    </row>
    <row r="576" customFormat="false" ht="15" hidden="false" customHeight="false" outlineLevel="0" collapsed="false">
      <c r="A576" s="2" t="s">
        <v>194</v>
      </c>
      <c r="B576" s="2" t="s">
        <v>46</v>
      </c>
      <c r="C576" s="13" t="s">
        <v>1812</v>
      </c>
      <c r="D576" s="29" t="n">
        <v>42960</v>
      </c>
      <c r="E576" s="2" t="s">
        <v>821</v>
      </c>
      <c r="F576" s="30" t="n">
        <v>4.01454841713222</v>
      </c>
      <c r="G576" s="31" t="n">
        <v>64.4</v>
      </c>
      <c r="H576" s="32" t="n">
        <v>0.121085594989562</v>
      </c>
      <c r="I576" s="31" t="n">
        <v>68.7</v>
      </c>
      <c r="J576" s="2" t="s">
        <v>2884</v>
      </c>
      <c r="K576" s="33" t="n">
        <v>0.1970342093672</v>
      </c>
      <c r="L576" s="31" t="n">
        <v>68.7</v>
      </c>
      <c r="M576" s="34" t="s">
        <v>822</v>
      </c>
      <c r="N576" s="2" t="s">
        <v>24</v>
      </c>
      <c r="O576" s="2" t="s">
        <v>24</v>
      </c>
      <c r="P576" s="2" t="s">
        <v>24</v>
      </c>
      <c r="Q576" s="2" t="s">
        <v>24</v>
      </c>
    </row>
    <row r="577" customFormat="false" ht="15" hidden="false" customHeight="false" outlineLevel="0" collapsed="false">
      <c r="A577" s="2" t="s">
        <v>194</v>
      </c>
      <c r="B577" s="2" t="s">
        <v>47</v>
      </c>
      <c r="C577" s="14" t="s">
        <v>2354</v>
      </c>
      <c r="D577" s="42" t="n">
        <v>53290</v>
      </c>
      <c r="E577" s="2" t="s">
        <v>821</v>
      </c>
      <c r="F577" s="43" t="n">
        <v>2.11767686245074</v>
      </c>
      <c r="G577" s="31" t="n">
        <v>78.3</v>
      </c>
      <c r="H577" s="41" t="n">
        <v>0.142238607622069</v>
      </c>
      <c r="I577" s="31" t="n">
        <v>72.7</v>
      </c>
      <c r="J577" s="2" t="s">
        <v>2886</v>
      </c>
      <c r="K577" s="44" t="n">
        <v>0.189568868076861</v>
      </c>
      <c r="L577" s="31" t="n">
        <v>82.3</v>
      </c>
      <c r="M577" s="34" t="s">
        <v>822</v>
      </c>
      <c r="N577" s="2" t="s">
        <v>22</v>
      </c>
      <c r="O577" s="2" t="s">
        <v>22</v>
      </c>
      <c r="P577" s="2" t="s">
        <v>22</v>
      </c>
      <c r="Q577" s="2" t="s">
        <v>22</v>
      </c>
    </row>
    <row r="578" customFormat="false" ht="15" hidden="false" customHeight="false" outlineLevel="0" collapsed="false">
      <c r="A578" s="2" t="s">
        <v>1867</v>
      </c>
      <c r="B578" s="2" t="s">
        <v>45</v>
      </c>
      <c r="C578" s="13" t="s">
        <v>3031</v>
      </c>
      <c r="D578" s="29" t="n">
        <v>10520</v>
      </c>
      <c r="E578" s="2" t="s">
        <v>821</v>
      </c>
      <c r="F578" s="30" t="n">
        <v>0.364068441064639</v>
      </c>
      <c r="G578" s="31" t="n">
        <v>25.5</v>
      </c>
      <c r="H578" s="32" t="n">
        <v>0.108535300316122</v>
      </c>
      <c r="I578" s="31" t="n">
        <v>57</v>
      </c>
      <c r="J578" s="2" t="s">
        <v>2883</v>
      </c>
      <c r="K578" s="38"/>
      <c r="L578" s="31"/>
      <c r="M578" s="39" t="s">
        <v>832</v>
      </c>
      <c r="N578" s="2" t="s">
        <v>24</v>
      </c>
      <c r="O578" s="2" t="s">
        <v>24</v>
      </c>
      <c r="P578" s="2" t="s">
        <v>24</v>
      </c>
      <c r="Q578" s="2"/>
    </row>
    <row r="579" customFormat="false" ht="15" hidden="false" customHeight="false" outlineLevel="0" collapsed="false">
      <c r="A579" s="2" t="s">
        <v>1867</v>
      </c>
      <c r="B579" s="2" t="s">
        <v>46</v>
      </c>
      <c r="C579" s="13" t="s">
        <v>1868</v>
      </c>
      <c r="D579" s="29" t="n">
        <v>8630</v>
      </c>
      <c r="E579" s="2" t="s">
        <v>825</v>
      </c>
      <c r="F579" s="30" t="n">
        <v>3.44356894553882</v>
      </c>
      <c r="G579" s="31" t="n">
        <v>54.6</v>
      </c>
      <c r="H579" s="32" t="n">
        <v>0.0951776649746193</v>
      </c>
      <c r="I579" s="31" t="n">
        <v>32.1</v>
      </c>
      <c r="J579" s="2" t="s">
        <v>2905</v>
      </c>
      <c r="K579" s="33" t="n">
        <v>0.0875</v>
      </c>
      <c r="L579" s="31" t="n">
        <v>30.9</v>
      </c>
      <c r="M579" s="34" t="s">
        <v>822</v>
      </c>
      <c r="N579" s="2" t="s">
        <v>24</v>
      </c>
      <c r="O579" s="2" t="s">
        <v>24</v>
      </c>
      <c r="P579" s="2" t="s">
        <v>24</v>
      </c>
      <c r="Q579" s="2" t="s">
        <v>24</v>
      </c>
    </row>
    <row r="580" customFormat="false" ht="15" hidden="false" customHeight="false" outlineLevel="0" collapsed="false">
      <c r="A580" s="2" t="s">
        <v>1867</v>
      </c>
      <c r="B580" s="2" t="s">
        <v>47</v>
      </c>
      <c r="C580" s="14" t="s">
        <v>2325</v>
      </c>
      <c r="D580" s="42" t="n">
        <v>89382</v>
      </c>
      <c r="E580" s="2" t="s">
        <v>821</v>
      </c>
      <c r="F580" s="43" t="n">
        <v>2.44731601441006</v>
      </c>
      <c r="G580" s="31" t="n">
        <v>83.8</v>
      </c>
      <c r="H580" s="41" t="n">
        <v>0.106938957484489</v>
      </c>
      <c r="I580" s="31" t="n">
        <v>55.8</v>
      </c>
      <c r="J580" s="2" t="s">
        <v>2886</v>
      </c>
      <c r="K580" s="44" t="n">
        <v>0.177560578293627</v>
      </c>
      <c r="L580" s="31" t="n">
        <v>80.1</v>
      </c>
      <c r="M580" s="34" t="s">
        <v>822</v>
      </c>
      <c r="N580" s="2" t="s">
        <v>22</v>
      </c>
      <c r="O580" s="2" t="s">
        <v>22</v>
      </c>
      <c r="P580" s="2" t="s">
        <v>22</v>
      </c>
      <c r="Q580" s="2" t="s">
        <v>22</v>
      </c>
    </row>
    <row r="581" customFormat="false" ht="15" hidden="false" customHeight="false" outlineLevel="0" collapsed="false">
      <c r="A581" s="2" t="s">
        <v>218</v>
      </c>
      <c r="B581" s="2" t="s">
        <v>46</v>
      </c>
      <c r="C581" s="13" t="s">
        <v>1651</v>
      </c>
      <c r="D581" s="29" t="n">
        <v>1016260</v>
      </c>
      <c r="E581" s="2" t="s">
        <v>935</v>
      </c>
      <c r="F581" s="30" t="n">
        <v>9.13635486981678</v>
      </c>
      <c r="G581" s="31" t="n">
        <v>91.7</v>
      </c>
      <c r="H581" s="32" t="n">
        <v>0.119710007602384</v>
      </c>
      <c r="I581" s="31" t="n">
        <v>66.7</v>
      </c>
      <c r="J581" s="2" t="s">
        <v>2906</v>
      </c>
      <c r="K581" s="33" t="n">
        <v>0.174733761403234</v>
      </c>
      <c r="L581" s="31" t="n">
        <v>62.7</v>
      </c>
      <c r="M581" s="34" t="s">
        <v>822</v>
      </c>
      <c r="N581" s="2" t="s">
        <v>24</v>
      </c>
      <c r="O581" s="2" t="s">
        <v>24</v>
      </c>
      <c r="P581" s="2" t="s">
        <v>24</v>
      </c>
      <c r="Q581" s="2" t="s">
        <v>24</v>
      </c>
    </row>
    <row r="582" customFormat="false" ht="15" hidden="false" customHeight="false" outlineLevel="0" collapsed="false">
      <c r="A582" s="2" t="s">
        <v>218</v>
      </c>
      <c r="B582" s="2" t="s">
        <v>47</v>
      </c>
      <c r="C582" s="14" t="s">
        <v>2511</v>
      </c>
      <c r="D582" s="42" t="n">
        <v>3267</v>
      </c>
      <c r="E582" s="2" t="s">
        <v>825</v>
      </c>
      <c r="F582" s="43" t="n">
        <v>1.34986225895317</v>
      </c>
      <c r="G582" s="31" t="n">
        <v>54.1</v>
      </c>
      <c r="H582" s="48" t="n">
        <v>0.14822848879248</v>
      </c>
      <c r="I582" s="31" t="n">
        <v>68.8</v>
      </c>
      <c r="J582" s="2" t="s">
        <v>2889</v>
      </c>
      <c r="K582" s="44" t="n">
        <v>0.0549450549450549</v>
      </c>
      <c r="L582" s="31" t="n">
        <v>34.8</v>
      </c>
      <c r="M582" s="34" t="s">
        <v>822</v>
      </c>
      <c r="N582" s="2" t="s">
        <v>22</v>
      </c>
      <c r="O582" s="2" t="s">
        <v>22</v>
      </c>
      <c r="P582" s="2" t="s">
        <v>19</v>
      </c>
      <c r="Q582" s="2" t="s">
        <v>22</v>
      </c>
    </row>
    <row r="583" customFormat="false" ht="15" hidden="false" customHeight="false" outlineLevel="0" collapsed="false">
      <c r="A583" s="2" t="s">
        <v>3032</v>
      </c>
      <c r="B583" s="2" t="s">
        <v>47</v>
      </c>
      <c r="C583" s="13" t="s">
        <v>3033</v>
      </c>
      <c r="D583" s="29" t="n">
        <v>3300</v>
      </c>
      <c r="E583" s="2" t="s">
        <v>825</v>
      </c>
      <c r="F583" s="30" t="n">
        <v>1.87060606060606</v>
      </c>
      <c r="G583" s="31" t="n">
        <v>72.8</v>
      </c>
      <c r="H583" s="37"/>
      <c r="I583" s="31"/>
      <c r="J583" s="2"/>
      <c r="K583" s="33" t="n">
        <v>0.0129032258064516</v>
      </c>
      <c r="L583" s="31" t="n">
        <v>8.8</v>
      </c>
      <c r="M583" s="39" t="s">
        <v>832</v>
      </c>
      <c r="N583" s="2" t="s">
        <v>24</v>
      </c>
      <c r="O583" s="2" t="s">
        <v>24</v>
      </c>
      <c r="P583" s="2"/>
      <c r="Q583" s="2" t="s">
        <v>24</v>
      </c>
    </row>
    <row r="584" customFormat="false" ht="15" hidden="false" customHeight="false" outlineLevel="0" collapsed="false">
      <c r="A584" s="2" t="s">
        <v>1805</v>
      </c>
      <c r="B584" s="2" t="s">
        <v>45</v>
      </c>
      <c r="C584" s="13" t="s">
        <v>3034</v>
      </c>
      <c r="D584" s="29" t="n">
        <v>215630</v>
      </c>
      <c r="E584" s="2" t="s">
        <v>827</v>
      </c>
      <c r="F584" s="30" t="n">
        <v>0.616180494365348</v>
      </c>
      <c r="G584" s="31" t="n">
        <v>56.1</v>
      </c>
      <c r="H584" s="32" t="n">
        <v>0.094957599146905</v>
      </c>
      <c r="I584" s="31" t="n">
        <v>56.4</v>
      </c>
      <c r="J584" s="2" t="s">
        <v>2890</v>
      </c>
      <c r="K584" s="38"/>
      <c r="L584" s="31"/>
      <c r="M584" s="39" t="s">
        <v>832</v>
      </c>
      <c r="N584" s="2" t="s">
        <v>24</v>
      </c>
      <c r="O584" s="2" t="s">
        <v>24</v>
      </c>
      <c r="P584" s="2" t="s">
        <v>24</v>
      </c>
      <c r="Q584" s="2"/>
    </row>
    <row r="585" customFormat="false" ht="15" hidden="false" customHeight="false" outlineLevel="0" collapsed="false">
      <c r="A585" s="2" t="s">
        <v>1805</v>
      </c>
      <c r="B585" s="2" t="s">
        <v>46</v>
      </c>
      <c r="C585" s="13" t="s">
        <v>1806</v>
      </c>
      <c r="D585" s="29" t="n">
        <v>8460</v>
      </c>
      <c r="E585" s="2" t="s">
        <v>825</v>
      </c>
      <c r="F585" s="30" t="n">
        <v>4.12529550827423</v>
      </c>
      <c r="G585" s="31" t="n">
        <v>65.4</v>
      </c>
      <c r="H585" s="32" t="n">
        <v>0.134048257372654</v>
      </c>
      <c r="I585" s="31" t="n">
        <v>62.3</v>
      </c>
      <c r="J585" s="2" t="s">
        <v>2905</v>
      </c>
      <c r="K585" s="33" t="n">
        <v>0.131816398587681</v>
      </c>
      <c r="L585" s="31" t="n">
        <v>49.9</v>
      </c>
      <c r="M585" s="34" t="s">
        <v>822</v>
      </c>
      <c r="N585" s="2" t="s">
        <v>24</v>
      </c>
      <c r="O585" s="2" t="s">
        <v>24</v>
      </c>
      <c r="P585" s="2" t="s">
        <v>24</v>
      </c>
      <c r="Q585" s="2" t="s">
        <v>24</v>
      </c>
    </row>
    <row r="586" customFormat="false" ht="15" hidden="false" customHeight="false" outlineLevel="0" collapsed="false">
      <c r="A586" s="2" t="s">
        <v>1805</v>
      </c>
      <c r="B586" s="2" t="s">
        <v>47</v>
      </c>
      <c r="C586" s="13" t="s">
        <v>2698</v>
      </c>
      <c r="D586" s="29" t="n">
        <v>97370</v>
      </c>
      <c r="E586" s="2" t="s">
        <v>821</v>
      </c>
      <c r="F586" s="30" t="n">
        <v>0.764393550374859</v>
      </c>
      <c r="G586" s="31" t="n">
        <v>25.9</v>
      </c>
      <c r="H586" s="48" t="n">
        <v>0.025245367628395</v>
      </c>
      <c r="I586" s="31" t="n">
        <v>19.8</v>
      </c>
      <c r="J586" s="2" t="s">
        <v>2886</v>
      </c>
      <c r="K586" s="33" t="n">
        <v>0.032055412371134</v>
      </c>
      <c r="L586" s="31" t="n">
        <v>21.5</v>
      </c>
      <c r="M586" s="34" t="s">
        <v>822</v>
      </c>
      <c r="N586" s="2" t="s">
        <v>24</v>
      </c>
      <c r="O586" s="2" t="s">
        <v>24</v>
      </c>
      <c r="P586" s="2" t="s">
        <v>19</v>
      </c>
      <c r="Q586" s="2" t="s">
        <v>24</v>
      </c>
    </row>
    <row r="587" customFormat="false" ht="15" hidden="false" customHeight="false" outlineLevel="0" collapsed="false">
      <c r="A587" s="2" t="s">
        <v>1040</v>
      </c>
      <c r="B587" s="2" t="s">
        <v>45</v>
      </c>
      <c r="C587" s="14" t="s">
        <v>1041</v>
      </c>
      <c r="D587" s="42" t="n">
        <v>14100</v>
      </c>
      <c r="E587" s="2" t="s">
        <v>821</v>
      </c>
      <c r="F587" s="43" t="n">
        <v>0.894326241134752</v>
      </c>
      <c r="G587" s="31" t="n">
        <v>74.7</v>
      </c>
      <c r="H587" s="41" t="n">
        <v>0.110498542962905</v>
      </c>
      <c r="I587" s="31" t="n">
        <v>59.8</v>
      </c>
      <c r="J587" s="2" t="s">
        <v>2883</v>
      </c>
      <c r="K587" s="40" t="s">
        <v>857</v>
      </c>
      <c r="L587" s="31"/>
      <c r="M587" s="34" t="s">
        <v>822</v>
      </c>
      <c r="N587" s="2" t="s">
        <v>22</v>
      </c>
      <c r="O587" s="2" t="s">
        <v>22</v>
      </c>
      <c r="P587" s="2" t="s">
        <v>22</v>
      </c>
      <c r="Q587" s="2" t="s">
        <v>3035</v>
      </c>
    </row>
    <row r="588" customFormat="false" ht="15" hidden="false" customHeight="false" outlineLevel="0" collapsed="false">
      <c r="A588" s="2" t="s">
        <v>1040</v>
      </c>
      <c r="B588" s="2" t="s">
        <v>46</v>
      </c>
      <c r="C588" s="16"/>
      <c r="D588" s="35"/>
      <c r="E588" s="2"/>
      <c r="F588" s="36"/>
      <c r="G588" s="31"/>
      <c r="H588" s="37"/>
      <c r="I588" s="31"/>
      <c r="J588" s="2"/>
      <c r="K588" s="38"/>
      <c r="L588" s="31"/>
      <c r="M588" s="39" t="s">
        <v>832</v>
      </c>
      <c r="N588" s="2"/>
      <c r="O588" s="2"/>
      <c r="P588" s="2"/>
      <c r="Q588" s="2"/>
    </row>
    <row r="589" customFormat="false" ht="15" hidden="false" customHeight="false" outlineLevel="0" collapsed="false">
      <c r="A589" s="2" t="s">
        <v>1040</v>
      </c>
      <c r="B589" s="2" t="s">
        <v>47</v>
      </c>
      <c r="C589" s="14" t="s">
        <v>3036</v>
      </c>
      <c r="D589" s="35"/>
      <c r="E589" s="2"/>
      <c r="F589" s="36"/>
      <c r="G589" s="31"/>
      <c r="H589" s="37"/>
      <c r="I589" s="31"/>
      <c r="J589" s="2"/>
      <c r="K589" s="44" t="n">
        <v>0.00149860320407881</v>
      </c>
      <c r="L589" s="31" t="n">
        <v>2.5</v>
      </c>
      <c r="M589" s="39" t="s">
        <v>832</v>
      </c>
      <c r="N589" s="2"/>
      <c r="O589" s="2"/>
      <c r="P589" s="2"/>
      <c r="Q589" s="2" t="s">
        <v>22</v>
      </c>
    </row>
    <row r="590" customFormat="false" ht="15" hidden="false" customHeight="false" outlineLevel="0" collapsed="false">
      <c r="A590" s="2" t="s">
        <v>2258</v>
      </c>
      <c r="B590" s="2" t="s">
        <v>45</v>
      </c>
      <c r="C590" s="16"/>
      <c r="D590" s="29" t="n">
        <v>4270</v>
      </c>
      <c r="E590" s="2" t="s">
        <v>825</v>
      </c>
      <c r="F590" s="36"/>
      <c r="G590" s="31"/>
      <c r="H590" s="37"/>
      <c r="I590" s="31"/>
      <c r="J590" s="2"/>
      <c r="K590" s="33" t="n">
        <v>0</v>
      </c>
      <c r="L590" s="31" t="n">
        <v>1.3</v>
      </c>
      <c r="M590" s="39" t="s">
        <v>832</v>
      </c>
      <c r="N590" s="2" t="s">
        <v>24</v>
      </c>
      <c r="O590" s="2"/>
      <c r="P590" s="2"/>
      <c r="Q590" s="2" t="s">
        <v>24</v>
      </c>
    </row>
    <row r="591" customFormat="false" ht="15" hidden="false" customHeight="false" outlineLevel="0" collapsed="false">
      <c r="A591" s="2" t="s">
        <v>2258</v>
      </c>
      <c r="B591" s="2" t="s">
        <v>47</v>
      </c>
      <c r="C591" s="14" t="s">
        <v>2259</v>
      </c>
      <c r="D591" s="42" t="n">
        <v>44382</v>
      </c>
      <c r="E591" s="2" t="s">
        <v>821</v>
      </c>
      <c r="F591" s="43" t="n">
        <v>3.85566220539859</v>
      </c>
      <c r="G591" s="31" t="n">
        <v>93.8</v>
      </c>
      <c r="H591" s="41" t="n">
        <v>0.0022808879654931</v>
      </c>
      <c r="I591" s="31" t="n">
        <v>10.4</v>
      </c>
      <c r="J591" s="2" t="s">
        <v>2886</v>
      </c>
      <c r="K591" s="44" t="n">
        <v>0</v>
      </c>
      <c r="L591" s="31" t="n">
        <v>0.9</v>
      </c>
      <c r="M591" s="34" t="s">
        <v>822</v>
      </c>
      <c r="N591" s="2" t="s">
        <v>22</v>
      </c>
      <c r="O591" s="2" t="s">
        <v>22</v>
      </c>
      <c r="P591" s="2" t="s">
        <v>22</v>
      </c>
      <c r="Q591" s="2" t="s">
        <v>22</v>
      </c>
    </row>
    <row r="592" customFormat="false" ht="15" hidden="false" customHeight="false" outlineLevel="0" collapsed="false">
      <c r="A592" s="2" t="s">
        <v>3037</v>
      </c>
      <c r="B592" s="2" t="s">
        <v>45</v>
      </c>
      <c r="C592" s="16"/>
      <c r="D592" s="35"/>
      <c r="E592" s="2"/>
      <c r="F592" s="36"/>
      <c r="G592" s="31"/>
      <c r="H592" s="37"/>
      <c r="I592" s="31"/>
      <c r="J592" s="2"/>
      <c r="K592" s="38"/>
      <c r="L592" s="31"/>
      <c r="M592" s="39" t="s">
        <v>832</v>
      </c>
      <c r="N592" s="2"/>
      <c r="O592" s="2"/>
      <c r="P592" s="2"/>
      <c r="Q592" s="2"/>
    </row>
    <row r="593" customFormat="false" ht="15" hidden="false" customHeight="false" outlineLevel="0" collapsed="false">
      <c r="A593" s="2" t="s">
        <v>1298</v>
      </c>
      <c r="B593" s="2" t="s">
        <v>45</v>
      </c>
      <c r="C593" s="13" t="s">
        <v>1299</v>
      </c>
      <c r="D593" s="29" t="n">
        <v>1670</v>
      </c>
      <c r="E593" s="2" t="s">
        <v>825</v>
      </c>
      <c r="F593" s="43" t="n">
        <v>0.49607250755287</v>
      </c>
      <c r="G593" s="31" t="n">
        <v>41.6</v>
      </c>
      <c r="H593" s="41" t="n">
        <v>0.0548119821542384</v>
      </c>
      <c r="I593" s="31" t="n">
        <v>23.9</v>
      </c>
      <c r="J593" s="2" t="s">
        <v>2899</v>
      </c>
      <c r="K593" s="44" t="n">
        <v>0.037037037037037</v>
      </c>
      <c r="L593" s="31" t="n">
        <v>11.9</v>
      </c>
      <c r="M593" s="34" t="s">
        <v>822</v>
      </c>
      <c r="N593" s="2" t="s">
        <v>24</v>
      </c>
      <c r="O593" s="2" t="s">
        <v>22</v>
      </c>
      <c r="P593" s="2" t="s">
        <v>22</v>
      </c>
      <c r="Q593" s="2" t="s">
        <v>22</v>
      </c>
    </row>
    <row r="594" customFormat="false" ht="15" hidden="false" customHeight="false" outlineLevel="0" collapsed="false">
      <c r="A594" s="2" t="s">
        <v>1298</v>
      </c>
      <c r="B594" s="2" t="s">
        <v>46</v>
      </c>
      <c r="C594" s="13" t="s">
        <v>3038</v>
      </c>
      <c r="D594" s="35"/>
      <c r="E594" s="2"/>
      <c r="F594" s="36"/>
      <c r="G594" s="31"/>
      <c r="H594" s="37"/>
      <c r="I594" s="31"/>
      <c r="J594" s="2"/>
      <c r="K594" s="33" t="n">
        <v>0.24219333632153</v>
      </c>
      <c r="L594" s="31" t="n">
        <v>80.1</v>
      </c>
      <c r="M594" s="39" t="s">
        <v>832</v>
      </c>
      <c r="N594" s="2"/>
      <c r="O594" s="2"/>
      <c r="P594" s="2"/>
      <c r="Q594" s="2" t="s">
        <v>24</v>
      </c>
    </row>
    <row r="595" customFormat="false" ht="15" hidden="false" customHeight="false" outlineLevel="0" collapsed="false">
      <c r="A595" s="2" t="s">
        <v>1298</v>
      </c>
      <c r="B595" s="2" t="s">
        <v>47</v>
      </c>
      <c r="C595" s="13" t="s">
        <v>2587</v>
      </c>
      <c r="D595" s="29" t="n">
        <v>28950</v>
      </c>
      <c r="E595" s="2" t="s">
        <v>821</v>
      </c>
      <c r="F595" s="30" t="n">
        <v>1.10504317789292</v>
      </c>
      <c r="G595" s="31" t="n">
        <v>42.9</v>
      </c>
      <c r="H595" s="32" t="n">
        <v>0.170642943792964</v>
      </c>
      <c r="I595" s="31" t="n">
        <v>85.4</v>
      </c>
      <c r="J595" s="2" t="s">
        <v>2886</v>
      </c>
      <c r="K595" s="33" t="n">
        <v>0.25869432580842</v>
      </c>
      <c r="L595" s="31" t="n">
        <v>93.4</v>
      </c>
      <c r="M595" s="34" t="s">
        <v>822</v>
      </c>
      <c r="N595" s="2" t="s">
        <v>24</v>
      </c>
      <c r="O595" s="2" t="s">
        <v>24</v>
      </c>
      <c r="P595" s="2" t="s">
        <v>24</v>
      </c>
      <c r="Q595" s="2" t="s">
        <v>24</v>
      </c>
    </row>
    <row r="596" customFormat="false" ht="15" hidden="false" customHeight="false" outlineLevel="0" collapsed="false">
      <c r="A596" s="2" t="s">
        <v>965</v>
      </c>
      <c r="B596" s="2" t="s">
        <v>45</v>
      </c>
      <c r="C596" s="13" t="s">
        <v>966</v>
      </c>
      <c r="D596" s="29" t="n">
        <v>8390</v>
      </c>
      <c r="E596" s="2" t="s">
        <v>825</v>
      </c>
      <c r="F596" s="30" t="n">
        <v>1.20071513706794</v>
      </c>
      <c r="G596" s="31" t="n">
        <v>83.7</v>
      </c>
      <c r="H596" s="32" t="n">
        <v>0.106860158311346</v>
      </c>
      <c r="I596" s="31" t="n">
        <v>60.6</v>
      </c>
      <c r="J596" s="2" t="s">
        <v>2899</v>
      </c>
      <c r="K596" s="33" t="n">
        <v>0.254789272030651</v>
      </c>
      <c r="L596" s="31" t="n">
        <v>82.8</v>
      </c>
      <c r="M596" s="34" t="s">
        <v>822</v>
      </c>
      <c r="N596" s="2" t="s">
        <v>24</v>
      </c>
      <c r="O596" s="2" t="s">
        <v>24</v>
      </c>
      <c r="P596" s="2" t="s">
        <v>24</v>
      </c>
      <c r="Q596" s="2" t="s">
        <v>24</v>
      </c>
    </row>
    <row r="597" customFormat="false" ht="15" hidden="false" customHeight="false" outlineLevel="0" collapsed="false">
      <c r="A597" s="2" t="s">
        <v>965</v>
      </c>
      <c r="B597" s="2" t="s">
        <v>47</v>
      </c>
      <c r="C597" s="15" t="s">
        <v>3039</v>
      </c>
      <c r="D597" s="35"/>
      <c r="E597" s="2"/>
      <c r="F597" s="36"/>
      <c r="G597" s="31"/>
      <c r="H597" s="37"/>
      <c r="I597" s="31"/>
      <c r="J597" s="2"/>
      <c r="K597" s="45" t="n">
        <v>0.420775361339997</v>
      </c>
      <c r="L597" s="31" t="n">
        <v>99.3</v>
      </c>
      <c r="M597" s="39" t="s">
        <v>832</v>
      </c>
      <c r="N597" s="2"/>
      <c r="O597" s="2"/>
      <c r="P597" s="2"/>
      <c r="Q597" s="2" t="s">
        <v>19</v>
      </c>
    </row>
    <row r="598" customFormat="false" ht="15" hidden="false" customHeight="false" outlineLevel="0" collapsed="false">
      <c r="A598" s="2" t="s">
        <v>2332</v>
      </c>
      <c r="B598" s="2" t="s">
        <v>45</v>
      </c>
      <c r="C598" s="16"/>
      <c r="D598" s="35"/>
      <c r="E598" s="2"/>
      <c r="F598" s="36"/>
      <c r="G598" s="31"/>
      <c r="H598" s="37"/>
      <c r="I598" s="31"/>
      <c r="J598" s="2"/>
      <c r="K598" s="38"/>
      <c r="L598" s="31"/>
      <c r="M598" s="39" t="s">
        <v>832</v>
      </c>
      <c r="N598" s="2"/>
      <c r="O598" s="2"/>
      <c r="P598" s="2"/>
      <c r="Q598" s="2"/>
    </row>
    <row r="599" customFormat="false" ht="15" hidden="false" customHeight="false" outlineLevel="0" collapsed="false">
      <c r="A599" s="2" t="s">
        <v>2332</v>
      </c>
      <c r="B599" s="2" t="s">
        <v>46</v>
      </c>
      <c r="C599" s="16"/>
      <c r="D599" s="35"/>
      <c r="E599" s="2"/>
      <c r="F599" s="36"/>
      <c r="G599" s="31"/>
      <c r="H599" s="37"/>
      <c r="I599" s="31"/>
      <c r="J599" s="2"/>
      <c r="K599" s="38"/>
      <c r="L599" s="31"/>
      <c r="M599" s="39" t="s">
        <v>832</v>
      </c>
      <c r="N599" s="2"/>
      <c r="O599" s="2"/>
      <c r="P599" s="2"/>
      <c r="Q599" s="2"/>
    </row>
    <row r="600" customFormat="false" ht="15" hidden="false" customHeight="false" outlineLevel="0" collapsed="false">
      <c r="A600" s="2" t="s">
        <v>2332</v>
      </c>
      <c r="B600" s="2" t="s">
        <v>47</v>
      </c>
      <c r="C600" s="13" t="s">
        <v>2333</v>
      </c>
      <c r="D600" s="29" t="n">
        <v>121580</v>
      </c>
      <c r="E600" s="2" t="s">
        <v>827</v>
      </c>
      <c r="F600" s="30" t="n">
        <v>2.38484948182267</v>
      </c>
      <c r="G600" s="31" t="n">
        <v>82.7</v>
      </c>
      <c r="H600" s="32" t="n">
        <v>0.0379919747289337</v>
      </c>
      <c r="I600" s="31" t="n">
        <v>24.8</v>
      </c>
      <c r="J600" s="2" t="s">
        <v>2897</v>
      </c>
      <c r="K600" s="44" t="n">
        <v>0.161404196901353</v>
      </c>
      <c r="L600" s="31" t="n">
        <v>76.5</v>
      </c>
      <c r="M600" s="34" t="s">
        <v>822</v>
      </c>
      <c r="N600" s="2" t="s">
        <v>24</v>
      </c>
      <c r="O600" s="2" t="s">
        <v>24</v>
      </c>
      <c r="P600" s="2" t="s">
        <v>24</v>
      </c>
      <c r="Q600" s="2" t="s">
        <v>22</v>
      </c>
    </row>
    <row r="601" customFormat="false" ht="15" hidden="false" customHeight="false" outlineLevel="0" collapsed="false">
      <c r="A601" s="2" t="s">
        <v>3040</v>
      </c>
      <c r="B601" s="2" t="s">
        <v>46</v>
      </c>
      <c r="C601" s="13" t="s">
        <v>3041</v>
      </c>
      <c r="D601" s="29" t="n">
        <v>14060</v>
      </c>
      <c r="E601" s="2" t="s">
        <v>821</v>
      </c>
      <c r="F601" s="30" t="n">
        <v>1.44651493598862</v>
      </c>
      <c r="G601" s="31" t="n">
        <v>14.7</v>
      </c>
      <c r="H601" s="37"/>
      <c r="I601" s="31"/>
      <c r="J601" s="2"/>
      <c r="K601" s="33" t="n">
        <v>0.33955857385399</v>
      </c>
      <c r="L601" s="31" t="n">
        <v>93.8</v>
      </c>
      <c r="M601" s="39" t="s">
        <v>832</v>
      </c>
      <c r="N601" s="2" t="s">
        <v>24</v>
      </c>
      <c r="O601" s="2" t="s">
        <v>24</v>
      </c>
      <c r="P601" s="2"/>
      <c r="Q601" s="2" t="s">
        <v>24</v>
      </c>
    </row>
    <row r="602" customFormat="false" ht="15" hidden="false" customHeight="false" outlineLevel="0" collapsed="false">
      <c r="A602" s="2" t="s">
        <v>796</v>
      </c>
      <c r="B602" s="2" t="s">
        <v>45</v>
      </c>
      <c r="C602" s="13" t="s">
        <v>1566</v>
      </c>
      <c r="D602" s="29" t="n">
        <v>290640</v>
      </c>
      <c r="E602" s="2" t="s">
        <v>827</v>
      </c>
      <c r="F602" s="30" t="n">
        <v>0.144450178915497</v>
      </c>
      <c r="G602" s="31" t="n">
        <v>4.7</v>
      </c>
      <c r="H602" s="32" t="n">
        <v>0.0285956964892412</v>
      </c>
      <c r="I602" s="31" t="n">
        <v>20.7</v>
      </c>
      <c r="J602" s="2" t="s">
        <v>2890</v>
      </c>
      <c r="K602" s="40" t="s">
        <v>857</v>
      </c>
      <c r="L602" s="31"/>
      <c r="M602" s="34" t="s">
        <v>822</v>
      </c>
      <c r="N602" s="2" t="s">
        <v>24</v>
      </c>
      <c r="O602" s="2" t="s">
        <v>24</v>
      </c>
      <c r="P602" s="2" t="s">
        <v>24</v>
      </c>
      <c r="Q602" s="2" t="s">
        <v>2885</v>
      </c>
    </row>
    <row r="603" customFormat="false" ht="15" hidden="false" customHeight="false" outlineLevel="0" collapsed="false">
      <c r="A603" s="2" t="s">
        <v>796</v>
      </c>
      <c r="B603" s="2" t="s">
        <v>47</v>
      </c>
      <c r="C603" s="13" t="s">
        <v>2750</v>
      </c>
      <c r="D603" s="29" t="n">
        <v>56810</v>
      </c>
      <c r="E603" s="2" t="s">
        <v>821</v>
      </c>
      <c r="F603" s="30" t="n">
        <v>0.592818165815878</v>
      </c>
      <c r="G603" s="31" t="n">
        <v>18.3</v>
      </c>
      <c r="H603" s="32" t="n">
        <v>0.126511996827285</v>
      </c>
      <c r="I603" s="31" t="n">
        <v>65.9</v>
      </c>
      <c r="J603" s="2" t="s">
        <v>2886</v>
      </c>
      <c r="K603" s="33" t="n">
        <v>0.0767951205988356</v>
      </c>
      <c r="L603" s="31" t="n">
        <v>47.7</v>
      </c>
      <c r="M603" s="34" t="s">
        <v>822</v>
      </c>
      <c r="N603" s="2" t="s">
        <v>24</v>
      </c>
      <c r="O603" s="2" t="s">
        <v>24</v>
      </c>
      <c r="P603" s="2" t="s">
        <v>24</v>
      </c>
      <c r="Q603" s="2" t="s">
        <v>24</v>
      </c>
    </row>
    <row r="604" customFormat="false" ht="15" hidden="false" customHeight="false" outlineLevel="0" collapsed="false">
      <c r="A604" s="2" t="s">
        <v>298</v>
      </c>
      <c r="B604" s="2" t="s">
        <v>45</v>
      </c>
      <c r="C604" s="13" t="s">
        <v>1231</v>
      </c>
      <c r="D604" s="29" t="n">
        <v>21740</v>
      </c>
      <c r="E604" s="2" t="s">
        <v>821</v>
      </c>
      <c r="F604" s="30" t="n">
        <v>0.564121435142594</v>
      </c>
      <c r="G604" s="31" t="n">
        <v>50.1</v>
      </c>
      <c r="H604" s="32" t="n">
        <v>0.322384428223844</v>
      </c>
      <c r="I604" s="31" t="n">
        <v>100</v>
      </c>
      <c r="J604" s="2" t="s">
        <v>2883</v>
      </c>
      <c r="K604" s="40" t="s">
        <v>857</v>
      </c>
      <c r="L604" s="31"/>
      <c r="M604" s="34" t="s">
        <v>822</v>
      </c>
      <c r="N604" s="2" t="s">
        <v>24</v>
      </c>
      <c r="O604" s="2" t="s">
        <v>24</v>
      </c>
      <c r="P604" s="2" t="s">
        <v>24</v>
      </c>
      <c r="Q604" s="2" t="s">
        <v>2885</v>
      </c>
    </row>
    <row r="605" customFormat="false" ht="15" hidden="false" customHeight="false" outlineLevel="0" collapsed="false">
      <c r="A605" s="2" t="s">
        <v>298</v>
      </c>
      <c r="B605" s="2" t="s">
        <v>46</v>
      </c>
      <c r="C605" s="13" t="s">
        <v>1725</v>
      </c>
      <c r="D605" s="42" t="n">
        <v>17505</v>
      </c>
      <c r="E605" s="2" t="s">
        <v>821</v>
      </c>
      <c r="F605" s="43" t="n">
        <v>5.68123393316195</v>
      </c>
      <c r="G605" s="31" t="n">
        <v>77.8</v>
      </c>
      <c r="H605" s="41" t="n">
        <v>-0.117469120241997</v>
      </c>
      <c r="I605" s="31" t="n">
        <v>1.1</v>
      </c>
      <c r="J605" s="2" t="s">
        <v>2884</v>
      </c>
      <c r="K605" s="33" t="n">
        <v>0.0729108244531688</v>
      </c>
      <c r="L605" s="31" t="n">
        <v>21.4</v>
      </c>
      <c r="M605" s="34" t="s">
        <v>822</v>
      </c>
      <c r="N605" s="2" t="s">
        <v>22</v>
      </c>
      <c r="O605" s="2" t="s">
        <v>22</v>
      </c>
      <c r="P605" s="2" t="s">
        <v>22</v>
      </c>
      <c r="Q605" s="2" t="s">
        <v>24</v>
      </c>
    </row>
    <row r="606" customFormat="false" ht="15" hidden="false" customHeight="false" outlineLevel="0" collapsed="false">
      <c r="A606" s="2" t="s">
        <v>1009</v>
      </c>
      <c r="B606" s="2" t="s">
        <v>45</v>
      </c>
      <c r="C606" s="13" t="s">
        <v>1010</v>
      </c>
      <c r="D606" s="29" t="n">
        <v>50960</v>
      </c>
      <c r="E606" s="2" t="s">
        <v>821</v>
      </c>
      <c r="F606" s="30" t="n">
        <v>0.963854003139718</v>
      </c>
      <c r="G606" s="31" t="n">
        <v>77.9</v>
      </c>
      <c r="H606" s="32" t="n">
        <v>0.0794323236602415</v>
      </c>
      <c r="I606" s="31" t="n">
        <v>42.3</v>
      </c>
      <c r="J606" s="2" t="s">
        <v>2883</v>
      </c>
      <c r="K606" s="33" t="n">
        <v>0.0889712696941613</v>
      </c>
      <c r="L606" s="31" t="n">
        <v>31.5</v>
      </c>
      <c r="M606" s="34" t="s">
        <v>822</v>
      </c>
      <c r="N606" s="2" t="s">
        <v>24</v>
      </c>
      <c r="O606" s="2" t="s">
        <v>24</v>
      </c>
      <c r="P606" s="2" t="s">
        <v>24</v>
      </c>
      <c r="Q606" s="2" t="s">
        <v>24</v>
      </c>
    </row>
    <row r="607" customFormat="false" ht="15" hidden="false" customHeight="false" outlineLevel="0" collapsed="false">
      <c r="A607" s="2" t="s">
        <v>1009</v>
      </c>
      <c r="B607" s="2" t="s">
        <v>46</v>
      </c>
      <c r="C607" s="13" t="s">
        <v>1996</v>
      </c>
      <c r="D607" s="29" t="n">
        <v>200420</v>
      </c>
      <c r="E607" s="2" t="s">
        <v>827</v>
      </c>
      <c r="F607" s="30" t="n">
        <v>2.38298572996707</v>
      </c>
      <c r="G607" s="31" t="n">
        <v>34.6</v>
      </c>
      <c r="H607" s="32" t="n">
        <v>0.102723521320495</v>
      </c>
      <c r="I607" s="31" t="n">
        <v>63.1</v>
      </c>
      <c r="J607" s="2" t="s">
        <v>2888</v>
      </c>
      <c r="K607" s="33" t="n">
        <v>0.198582194024961</v>
      </c>
      <c r="L607" s="31" t="n">
        <v>69.1</v>
      </c>
      <c r="M607" s="34" t="s">
        <v>822</v>
      </c>
      <c r="N607" s="2" t="s">
        <v>24</v>
      </c>
      <c r="O607" s="2" t="s">
        <v>24</v>
      </c>
      <c r="P607" s="2" t="s">
        <v>24</v>
      </c>
      <c r="Q607" s="2" t="s">
        <v>24</v>
      </c>
    </row>
    <row r="608" customFormat="false" ht="15" hidden="false" customHeight="false" outlineLevel="0" collapsed="false">
      <c r="A608" s="2" t="s">
        <v>1009</v>
      </c>
      <c r="B608" s="2" t="s">
        <v>47</v>
      </c>
      <c r="C608" s="13" t="s">
        <v>3042</v>
      </c>
      <c r="D608" s="29" t="n">
        <v>56540</v>
      </c>
      <c r="E608" s="2" t="s">
        <v>821</v>
      </c>
      <c r="F608" s="30" t="n">
        <v>3.00272373540856</v>
      </c>
      <c r="G608" s="31" t="n">
        <v>89.4</v>
      </c>
      <c r="H608" s="37"/>
      <c r="I608" s="31"/>
      <c r="J608" s="2"/>
      <c r="K608" s="33" t="n">
        <v>0.161950770646423</v>
      </c>
      <c r="L608" s="31" t="n">
        <v>76.9</v>
      </c>
      <c r="M608" s="39" t="s">
        <v>832</v>
      </c>
      <c r="N608" s="2" t="s">
        <v>24</v>
      </c>
      <c r="O608" s="2" t="s">
        <v>24</v>
      </c>
      <c r="P608" s="2"/>
      <c r="Q608" s="2" t="s">
        <v>24</v>
      </c>
    </row>
    <row r="609" customFormat="false" ht="15" hidden="false" customHeight="false" outlineLevel="0" collapsed="false">
      <c r="A609" s="2" t="s">
        <v>626</v>
      </c>
      <c r="B609" s="2" t="s">
        <v>45</v>
      </c>
      <c r="C609" s="15" t="s">
        <v>1314</v>
      </c>
      <c r="D609" s="29" t="n">
        <v>112480</v>
      </c>
      <c r="E609" s="2" t="s">
        <v>827</v>
      </c>
      <c r="F609" s="30" t="n">
        <v>0.480556543385491</v>
      </c>
      <c r="G609" s="31" t="n">
        <v>39.7</v>
      </c>
      <c r="H609" s="32" t="n">
        <v>0.0846673095467695</v>
      </c>
      <c r="I609" s="31" t="n">
        <v>49.3</v>
      </c>
      <c r="J609" s="2" t="s">
        <v>2890</v>
      </c>
      <c r="K609" s="33" t="n">
        <v>0.13880303456027</v>
      </c>
      <c r="L609" s="31" t="n">
        <v>52.7</v>
      </c>
      <c r="M609" s="34" t="s">
        <v>822</v>
      </c>
      <c r="N609" s="2" t="s">
        <v>24</v>
      </c>
      <c r="O609" s="2" t="s">
        <v>24</v>
      </c>
      <c r="P609" s="2" t="s">
        <v>24</v>
      </c>
      <c r="Q609" s="2" t="s">
        <v>24</v>
      </c>
    </row>
    <row r="610" customFormat="false" ht="15" hidden="false" customHeight="false" outlineLevel="0" collapsed="false">
      <c r="A610" s="2" t="s">
        <v>626</v>
      </c>
      <c r="B610" s="2" t="s">
        <v>46</v>
      </c>
      <c r="C610" s="13" t="s">
        <v>2144</v>
      </c>
      <c r="D610" s="29" t="n">
        <v>205320</v>
      </c>
      <c r="E610" s="2" t="s">
        <v>827</v>
      </c>
      <c r="F610" s="30" t="n">
        <v>1.21864893824274</v>
      </c>
      <c r="G610" s="31" t="n">
        <v>10.2</v>
      </c>
      <c r="H610" s="32" t="n">
        <v>0.185929648241206</v>
      </c>
      <c r="I610" s="31" t="n">
        <v>95.5</v>
      </c>
      <c r="J610" s="2" t="s">
        <v>2888</v>
      </c>
      <c r="K610" s="33" t="n">
        <v>0.184101669573885</v>
      </c>
      <c r="L610" s="31" t="n">
        <v>65.6</v>
      </c>
      <c r="M610" s="34" t="s">
        <v>822</v>
      </c>
      <c r="N610" s="2" t="s">
        <v>24</v>
      </c>
      <c r="O610" s="2" t="s">
        <v>24</v>
      </c>
      <c r="P610" s="2" t="s">
        <v>24</v>
      </c>
      <c r="Q610" s="2" t="s">
        <v>24</v>
      </c>
    </row>
    <row r="611" customFormat="false" ht="15" hidden="false" customHeight="false" outlineLevel="0" collapsed="false">
      <c r="A611" s="2" t="s">
        <v>626</v>
      </c>
      <c r="B611" s="2" t="s">
        <v>47</v>
      </c>
      <c r="C611" s="14" t="s">
        <v>2457</v>
      </c>
      <c r="D611" s="42" t="n">
        <v>98372</v>
      </c>
      <c r="E611" s="2" t="s">
        <v>821</v>
      </c>
      <c r="F611" s="43" t="n">
        <v>1.57237831903387</v>
      </c>
      <c r="G611" s="31" t="n">
        <v>62.4</v>
      </c>
      <c r="H611" s="41" t="n">
        <v>0.213959572525113</v>
      </c>
      <c r="I611" s="31" t="n">
        <v>93.2</v>
      </c>
      <c r="J611" s="2" t="s">
        <v>2886</v>
      </c>
      <c r="K611" s="44" t="n">
        <v>0.0331325301204819</v>
      </c>
      <c r="L611" s="31" t="n">
        <v>22</v>
      </c>
      <c r="M611" s="34" t="s">
        <v>822</v>
      </c>
      <c r="N611" s="2" t="s">
        <v>22</v>
      </c>
      <c r="O611" s="2" t="s">
        <v>22</v>
      </c>
      <c r="P611" s="2" t="s">
        <v>22</v>
      </c>
      <c r="Q611" s="2" t="s">
        <v>22</v>
      </c>
    </row>
    <row r="612" customFormat="false" ht="15" hidden="false" customHeight="false" outlineLevel="0" collapsed="false">
      <c r="A612" s="2" t="s">
        <v>1801</v>
      </c>
      <c r="B612" s="2" t="s">
        <v>45</v>
      </c>
      <c r="C612" s="13" t="s">
        <v>3043</v>
      </c>
      <c r="D612" s="35"/>
      <c r="E612" s="2"/>
      <c r="F612" s="36"/>
      <c r="G612" s="31"/>
      <c r="H612" s="37"/>
      <c r="I612" s="31"/>
      <c r="J612" s="2"/>
      <c r="K612" s="33" t="n">
        <v>0.192982456140351</v>
      </c>
      <c r="L612" s="31" t="n">
        <v>71.1</v>
      </c>
      <c r="M612" s="39" t="s">
        <v>832</v>
      </c>
      <c r="N612" s="2"/>
      <c r="O612" s="2"/>
      <c r="P612" s="2"/>
      <c r="Q612" s="2" t="s">
        <v>24</v>
      </c>
    </row>
    <row r="613" customFormat="false" ht="15" hidden="false" customHeight="false" outlineLevel="0" collapsed="false">
      <c r="A613" s="2" t="s">
        <v>1801</v>
      </c>
      <c r="B613" s="2" t="s">
        <v>46</v>
      </c>
      <c r="C613" s="13" t="s">
        <v>1802</v>
      </c>
      <c r="D613" s="29" t="n">
        <v>24880</v>
      </c>
      <c r="E613" s="2" t="s">
        <v>821</v>
      </c>
      <c r="F613" s="30" t="n">
        <v>4.14533762057878</v>
      </c>
      <c r="G613" s="31" t="n">
        <v>65.8</v>
      </c>
      <c r="H613" s="32" t="n">
        <v>0.101860053144376</v>
      </c>
      <c r="I613" s="31" t="n">
        <v>58.9</v>
      </c>
      <c r="J613" s="2" t="s">
        <v>2884</v>
      </c>
      <c r="K613" s="33" t="n">
        <v>0.0389570076051529</v>
      </c>
      <c r="L613" s="31" t="n">
        <v>7.9</v>
      </c>
      <c r="M613" s="34" t="s">
        <v>822</v>
      </c>
      <c r="N613" s="2" t="s">
        <v>24</v>
      </c>
      <c r="O613" s="2" t="s">
        <v>24</v>
      </c>
      <c r="P613" s="2" t="s">
        <v>24</v>
      </c>
      <c r="Q613" s="2" t="s">
        <v>24</v>
      </c>
    </row>
    <row r="614" customFormat="false" ht="15" hidden="false" customHeight="false" outlineLevel="0" collapsed="false">
      <c r="A614" s="2" t="s">
        <v>1801</v>
      </c>
      <c r="B614" s="2" t="s">
        <v>47</v>
      </c>
      <c r="C614" s="13" t="s">
        <v>2403</v>
      </c>
      <c r="D614" s="29" t="n">
        <v>17630</v>
      </c>
      <c r="E614" s="2" t="s">
        <v>821</v>
      </c>
      <c r="F614" s="30" t="n">
        <v>1.77549631310267</v>
      </c>
      <c r="G614" s="31" t="n">
        <v>70.9</v>
      </c>
      <c r="H614" s="41" t="n">
        <v>-0.00369230769230769</v>
      </c>
      <c r="I614" s="31" t="n">
        <v>9.1</v>
      </c>
      <c r="J614" s="2" t="s">
        <v>2886</v>
      </c>
      <c r="K614" s="44" t="n">
        <v>0.0833902939166097</v>
      </c>
      <c r="L614" s="31" t="n">
        <v>51.1</v>
      </c>
      <c r="M614" s="34" t="s">
        <v>822</v>
      </c>
      <c r="N614" s="2" t="s">
        <v>24</v>
      </c>
      <c r="O614" s="2" t="s">
        <v>24</v>
      </c>
      <c r="P614" s="2" t="s">
        <v>22</v>
      </c>
      <c r="Q614" s="2" t="s">
        <v>22</v>
      </c>
    </row>
    <row r="615" customFormat="false" ht="15" hidden="false" customHeight="false" outlineLevel="0" collapsed="false">
      <c r="A615" s="2" t="s">
        <v>716</v>
      </c>
      <c r="B615" s="2" t="s">
        <v>45</v>
      </c>
      <c r="C615" s="13" t="s">
        <v>1257</v>
      </c>
      <c r="D615" s="29" t="n">
        <v>24850</v>
      </c>
      <c r="E615" s="2" t="s">
        <v>821</v>
      </c>
      <c r="F615" s="30" t="n">
        <v>0.534969818913481</v>
      </c>
      <c r="G615" s="31" t="n">
        <v>46.3</v>
      </c>
      <c r="H615" s="32" t="n">
        <v>0.109375</v>
      </c>
      <c r="I615" s="31" t="n">
        <v>58.4</v>
      </c>
      <c r="J615" s="2" t="s">
        <v>2883</v>
      </c>
      <c r="K615" s="33" t="n">
        <v>0.190301921317475</v>
      </c>
      <c r="L615" s="31" t="n">
        <v>69.9</v>
      </c>
      <c r="M615" s="34" t="s">
        <v>822</v>
      </c>
      <c r="N615" s="2" t="s">
        <v>24</v>
      </c>
      <c r="O615" s="2" t="s">
        <v>24</v>
      </c>
      <c r="P615" s="2" t="s">
        <v>24</v>
      </c>
      <c r="Q615" s="2" t="s">
        <v>24</v>
      </c>
    </row>
    <row r="616" customFormat="false" ht="15" hidden="false" customHeight="false" outlineLevel="0" collapsed="false">
      <c r="A616" s="2" t="s">
        <v>716</v>
      </c>
      <c r="B616" s="2" t="s">
        <v>46</v>
      </c>
      <c r="C616" s="13" t="s">
        <v>2032</v>
      </c>
      <c r="D616" s="46" t="n">
        <v>14812</v>
      </c>
      <c r="E616" s="2" t="s">
        <v>821</v>
      </c>
      <c r="F616" s="47" t="n">
        <v>2.03733459357278</v>
      </c>
      <c r="G616" s="31" t="n">
        <v>28.7</v>
      </c>
      <c r="H616" s="48" t="n">
        <v>0.0444961568295607</v>
      </c>
      <c r="I616" s="31" t="n">
        <v>28.4</v>
      </c>
      <c r="J616" s="2" t="s">
        <v>2884</v>
      </c>
      <c r="K616" s="33" t="n">
        <v>0.143540669856459</v>
      </c>
      <c r="L616" s="31" t="n">
        <v>53.9</v>
      </c>
      <c r="M616" s="34" t="s">
        <v>822</v>
      </c>
      <c r="N616" s="2" t="s">
        <v>19</v>
      </c>
      <c r="O616" s="2" t="s">
        <v>19</v>
      </c>
      <c r="P616" s="2" t="s">
        <v>19</v>
      </c>
      <c r="Q616" s="2" t="s">
        <v>24</v>
      </c>
    </row>
    <row r="617" customFormat="false" ht="15" hidden="false" customHeight="false" outlineLevel="0" collapsed="false">
      <c r="A617" s="2" t="s">
        <v>716</v>
      </c>
      <c r="B617" s="2" t="s">
        <v>47</v>
      </c>
      <c r="C617" s="14" t="s">
        <v>2845</v>
      </c>
      <c r="D617" s="42" t="n">
        <v>94798</v>
      </c>
      <c r="E617" s="2" t="s">
        <v>821</v>
      </c>
      <c r="F617" s="43" t="n">
        <v>0.334637861558261</v>
      </c>
      <c r="G617" s="31" t="n">
        <v>4.8</v>
      </c>
      <c r="H617" s="41" t="n">
        <v>0.163179916317992</v>
      </c>
      <c r="I617" s="31" t="n">
        <v>83.1</v>
      </c>
      <c r="J617" s="2" t="s">
        <v>2886</v>
      </c>
      <c r="K617" s="44" t="n">
        <v>0.0760279286268425</v>
      </c>
      <c r="L617" s="31" t="n">
        <v>47.1</v>
      </c>
      <c r="M617" s="34" t="s">
        <v>822</v>
      </c>
      <c r="N617" s="2" t="s">
        <v>22</v>
      </c>
      <c r="O617" s="2" t="s">
        <v>22</v>
      </c>
      <c r="P617" s="2" t="s">
        <v>22</v>
      </c>
      <c r="Q617" s="2" t="s">
        <v>22</v>
      </c>
    </row>
    <row r="618" customFormat="false" ht="15" hidden="false" customHeight="false" outlineLevel="0" collapsed="false">
      <c r="A618" s="2" t="s">
        <v>416</v>
      </c>
      <c r="B618" s="2" t="s">
        <v>45</v>
      </c>
      <c r="C618" s="13" t="s">
        <v>1105</v>
      </c>
      <c r="D618" s="29" t="n">
        <v>166920</v>
      </c>
      <c r="E618" s="2" t="s">
        <v>827</v>
      </c>
      <c r="F618" s="30" t="n">
        <v>0.755373831775701</v>
      </c>
      <c r="G618" s="31" t="n">
        <v>65.8</v>
      </c>
      <c r="H618" s="32" t="n">
        <v>0.0301160207356208</v>
      </c>
      <c r="I618" s="31" t="n">
        <v>21.4</v>
      </c>
      <c r="J618" s="2" t="s">
        <v>2890</v>
      </c>
      <c r="K618" s="33" t="n">
        <v>0.0200018693335826</v>
      </c>
      <c r="L618" s="31" t="n">
        <v>5.6</v>
      </c>
      <c r="M618" s="34" t="s">
        <v>822</v>
      </c>
      <c r="N618" s="2" t="s">
        <v>24</v>
      </c>
      <c r="O618" s="2" t="s">
        <v>24</v>
      </c>
      <c r="P618" s="2" t="s">
        <v>24</v>
      </c>
      <c r="Q618" s="2" t="s">
        <v>24</v>
      </c>
    </row>
    <row r="619" customFormat="false" ht="15" hidden="false" customHeight="false" outlineLevel="0" collapsed="false">
      <c r="A619" s="2" t="s">
        <v>416</v>
      </c>
      <c r="B619" s="2" t="s">
        <v>46</v>
      </c>
      <c r="C619" s="13" t="s">
        <v>1895</v>
      </c>
      <c r="D619" s="29" t="n">
        <v>61860</v>
      </c>
      <c r="E619" s="2" t="s">
        <v>821</v>
      </c>
      <c r="F619" s="30" t="n">
        <v>3.21590688651794</v>
      </c>
      <c r="G619" s="31" t="n">
        <v>50.9</v>
      </c>
      <c r="H619" s="32" t="n">
        <v>0.124318429661941</v>
      </c>
      <c r="I619" s="31" t="n">
        <v>70.9</v>
      </c>
      <c r="J619" s="2" t="s">
        <v>2884</v>
      </c>
      <c r="K619" s="44" t="n">
        <v>0.309618071727993</v>
      </c>
      <c r="L619" s="31" t="n">
        <v>90.7</v>
      </c>
      <c r="M619" s="34" t="s">
        <v>822</v>
      </c>
      <c r="N619" s="2" t="s">
        <v>24</v>
      </c>
      <c r="O619" s="2" t="s">
        <v>24</v>
      </c>
      <c r="P619" s="2" t="s">
        <v>24</v>
      </c>
      <c r="Q619" s="2" t="s">
        <v>22</v>
      </c>
    </row>
    <row r="620" customFormat="false" ht="15" hidden="false" customHeight="false" outlineLevel="0" collapsed="false">
      <c r="A620" s="2" t="s">
        <v>416</v>
      </c>
      <c r="B620" s="2" t="s">
        <v>47</v>
      </c>
      <c r="C620" s="14" t="s">
        <v>2575</v>
      </c>
      <c r="D620" s="42" t="n">
        <v>9502</v>
      </c>
      <c r="E620" s="2" t="s">
        <v>825</v>
      </c>
      <c r="F620" s="43" t="n">
        <v>1.14544306461798</v>
      </c>
      <c r="G620" s="31" t="n">
        <v>45.1</v>
      </c>
      <c r="H620" s="41" t="n">
        <v>0.0763479836882646</v>
      </c>
      <c r="I620" s="31" t="n">
        <v>38.8</v>
      </c>
      <c r="J620" s="2" t="s">
        <v>2889</v>
      </c>
      <c r="K620" s="44" t="n">
        <v>0.22237017310253</v>
      </c>
      <c r="L620" s="31" t="n">
        <v>89.1</v>
      </c>
      <c r="M620" s="34" t="s">
        <v>822</v>
      </c>
      <c r="N620" s="2" t="s">
        <v>22</v>
      </c>
      <c r="O620" s="2" t="s">
        <v>22</v>
      </c>
      <c r="P620" s="2" t="s">
        <v>22</v>
      </c>
      <c r="Q620" s="2" t="s">
        <v>22</v>
      </c>
    </row>
    <row r="621" customFormat="false" ht="15" hidden="false" customHeight="false" outlineLevel="0" collapsed="false">
      <c r="A621" s="2" t="s">
        <v>304</v>
      </c>
      <c r="B621" s="2" t="s">
        <v>45</v>
      </c>
      <c r="C621" s="13" t="s">
        <v>1126</v>
      </c>
      <c r="D621" s="29" t="n">
        <v>487480</v>
      </c>
      <c r="E621" s="2" t="s">
        <v>827</v>
      </c>
      <c r="F621" s="30" t="n">
        <v>0.724573315828342</v>
      </c>
      <c r="G621" s="31" t="n">
        <v>63.5</v>
      </c>
      <c r="H621" s="41" t="n">
        <v>0.1456485948911</v>
      </c>
      <c r="I621" s="31" t="n">
        <v>80.7</v>
      </c>
      <c r="J621" s="2" t="s">
        <v>2890</v>
      </c>
      <c r="K621" s="33" t="n">
        <v>0.167371209559238</v>
      </c>
      <c r="L621" s="31" t="n">
        <v>65</v>
      </c>
      <c r="M621" s="34" t="s">
        <v>822</v>
      </c>
      <c r="N621" s="2" t="s">
        <v>24</v>
      </c>
      <c r="O621" s="2" t="s">
        <v>24</v>
      </c>
      <c r="P621" s="2" t="s">
        <v>22</v>
      </c>
      <c r="Q621" s="2" t="s">
        <v>24</v>
      </c>
    </row>
    <row r="622" customFormat="false" ht="15" hidden="false" customHeight="false" outlineLevel="0" collapsed="false">
      <c r="A622" s="2" t="s">
        <v>1782</v>
      </c>
      <c r="B622" s="2" t="s">
        <v>45</v>
      </c>
      <c r="C622" s="13" t="s">
        <v>3044</v>
      </c>
      <c r="D622" s="29" t="n">
        <v>34310</v>
      </c>
      <c r="E622" s="2" t="s">
        <v>821</v>
      </c>
      <c r="F622" s="30" t="n">
        <v>1.74887787816963</v>
      </c>
      <c r="G622" s="31" t="n">
        <v>92.8</v>
      </c>
      <c r="H622" s="32" t="n">
        <v>0.133465477370334</v>
      </c>
      <c r="I622" s="31" t="n">
        <v>70.8</v>
      </c>
      <c r="J622" s="2" t="s">
        <v>2883</v>
      </c>
      <c r="K622" s="38"/>
      <c r="L622" s="31"/>
      <c r="M622" s="39" t="s">
        <v>832</v>
      </c>
      <c r="N622" s="2" t="s">
        <v>24</v>
      </c>
      <c r="O622" s="2" t="s">
        <v>24</v>
      </c>
      <c r="P622" s="2" t="s">
        <v>24</v>
      </c>
      <c r="Q622" s="2"/>
    </row>
    <row r="623" customFormat="false" ht="15" hidden="false" customHeight="false" outlineLevel="0" collapsed="false">
      <c r="A623" s="2" t="s">
        <v>1782</v>
      </c>
      <c r="B623" s="2" t="s">
        <v>46</v>
      </c>
      <c r="C623" s="13" t="s">
        <v>1783</v>
      </c>
      <c r="D623" s="29" t="n">
        <v>135100</v>
      </c>
      <c r="E623" s="2" t="s">
        <v>827</v>
      </c>
      <c r="F623" s="30" t="n">
        <v>4.36516654330126</v>
      </c>
      <c r="G623" s="31" t="n">
        <v>68.8</v>
      </c>
      <c r="H623" s="32" t="n">
        <v>0.145983543981678</v>
      </c>
      <c r="I623" s="31" t="n">
        <v>85.4</v>
      </c>
      <c r="J623" s="2" t="s">
        <v>2888</v>
      </c>
      <c r="K623" s="33" t="n">
        <v>0.190638571658356</v>
      </c>
      <c r="L623" s="31" t="n">
        <v>66.7</v>
      </c>
      <c r="M623" s="34" t="s">
        <v>822</v>
      </c>
      <c r="N623" s="2" t="s">
        <v>24</v>
      </c>
      <c r="O623" s="2" t="s">
        <v>24</v>
      </c>
      <c r="P623" s="2" t="s">
        <v>24</v>
      </c>
      <c r="Q623" s="2" t="s">
        <v>24</v>
      </c>
    </row>
    <row r="624" customFormat="false" ht="15" hidden="false" customHeight="false" outlineLevel="0" collapsed="false">
      <c r="A624" s="2" t="s">
        <v>1782</v>
      </c>
      <c r="B624" s="2" t="s">
        <v>47</v>
      </c>
      <c r="C624" s="13" t="s">
        <v>2659</v>
      </c>
      <c r="D624" s="29" t="n">
        <v>43590</v>
      </c>
      <c r="E624" s="2" t="s">
        <v>821</v>
      </c>
      <c r="F624" s="30" t="n">
        <v>0.869259004358798</v>
      </c>
      <c r="G624" s="31" t="n">
        <v>32.5</v>
      </c>
      <c r="H624" s="41" t="n">
        <v>0.040772226443769</v>
      </c>
      <c r="I624" s="31" t="n">
        <v>24.4</v>
      </c>
      <c r="J624" s="2" t="s">
        <v>2886</v>
      </c>
      <c r="K624" s="33" t="n">
        <v>0.199318040917545</v>
      </c>
      <c r="L624" s="31" t="n">
        <v>84.9</v>
      </c>
      <c r="M624" s="34" t="s">
        <v>822</v>
      </c>
      <c r="N624" s="2" t="s">
        <v>24</v>
      </c>
      <c r="O624" s="2" t="s">
        <v>24</v>
      </c>
      <c r="P624" s="2" t="s">
        <v>22</v>
      </c>
      <c r="Q624" s="2" t="s">
        <v>24</v>
      </c>
    </row>
    <row r="625" customFormat="false" ht="15" hidden="false" customHeight="false" outlineLevel="0" collapsed="false">
      <c r="A625" s="2" t="s">
        <v>770</v>
      </c>
      <c r="B625" s="2" t="s">
        <v>45</v>
      </c>
      <c r="C625" s="13" t="s">
        <v>1468</v>
      </c>
      <c r="D625" s="29" t="n">
        <v>34920</v>
      </c>
      <c r="E625" s="2" t="s">
        <v>821</v>
      </c>
      <c r="F625" s="30" t="n">
        <v>0.297966781214204</v>
      </c>
      <c r="G625" s="31" t="n">
        <v>17.6</v>
      </c>
      <c r="H625" s="32" t="n">
        <v>0.113165444692381</v>
      </c>
      <c r="I625" s="31" t="n">
        <v>60.1</v>
      </c>
      <c r="J625" s="2" t="s">
        <v>2883</v>
      </c>
      <c r="K625" s="40" t="s">
        <v>857</v>
      </c>
      <c r="L625" s="31"/>
      <c r="M625" s="34" t="s">
        <v>822</v>
      </c>
      <c r="N625" s="2" t="s">
        <v>24</v>
      </c>
      <c r="O625" s="2" t="s">
        <v>24</v>
      </c>
      <c r="P625" s="2" t="s">
        <v>24</v>
      </c>
      <c r="Q625" s="2" t="s">
        <v>2885</v>
      </c>
    </row>
    <row r="626" customFormat="false" ht="15" hidden="false" customHeight="false" outlineLevel="0" collapsed="false">
      <c r="A626" s="2" t="s">
        <v>1929</v>
      </c>
      <c r="B626" s="2" t="s">
        <v>45</v>
      </c>
      <c r="C626" s="13" t="s">
        <v>3045</v>
      </c>
      <c r="D626" s="29" t="n">
        <v>1690</v>
      </c>
      <c r="E626" s="2" t="s">
        <v>825</v>
      </c>
      <c r="F626" s="30" t="n">
        <v>0.515976331360947</v>
      </c>
      <c r="G626" s="31" t="n">
        <v>43.1</v>
      </c>
      <c r="H626" s="37"/>
      <c r="I626" s="31"/>
      <c r="J626" s="2"/>
      <c r="K626" s="33" t="n">
        <v>0.142857142857143</v>
      </c>
      <c r="L626" s="31" t="n">
        <v>54.9</v>
      </c>
      <c r="M626" s="39" t="s">
        <v>832</v>
      </c>
      <c r="N626" s="2" t="s">
        <v>24</v>
      </c>
      <c r="O626" s="2" t="s">
        <v>24</v>
      </c>
      <c r="P626" s="2"/>
      <c r="Q626" s="2" t="s">
        <v>24</v>
      </c>
    </row>
    <row r="627" customFormat="false" ht="15" hidden="false" customHeight="false" outlineLevel="0" collapsed="false">
      <c r="A627" s="2" t="s">
        <v>1929</v>
      </c>
      <c r="B627" s="2" t="s">
        <v>46</v>
      </c>
      <c r="C627" s="13" t="s">
        <v>1930</v>
      </c>
      <c r="D627" s="29" t="n">
        <v>7690</v>
      </c>
      <c r="E627" s="2" t="s">
        <v>825</v>
      </c>
      <c r="F627" s="30" t="n">
        <v>2.90858257477243</v>
      </c>
      <c r="G627" s="31" t="n">
        <v>44.8</v>
      </c>
      <c r="H627" s="32" t="n">
        <v>0.168693009118541</v>
      </c>
      <c r="I627" s="31" t="n">
        <v>81.1</v>
      </c>
      <c r="J627" s="2" t="s">
        <v>2905</v>
      </c>
      <c r="K627" s="33" t="n">
        <v>0.232425585813806</v>
      </c>
      <c r="L627" s="31" t="n">
        <v>77</v>
      </c>
      <c r="M627" s="34" t="s">
        <v>822</v>
      </c>
      <c r="N627" s="2" t="s">
        <v>24</v>
      </c>
      <c r="O627" s="2" t="s">
        <v>24</v>
      </c>
      <c r="P627" s="2" t="s">
        <v>24</v>
      </c>
      <c r="Q627" s="2" t="s">
        <v>24</v>
      </c>
    </row>
    <row r="628" customFormat="false" ht="15" hidden="false" customHeight="false" outlineLevel="0" collapsed="false">
      <c r="A628" s="2" t="s">
        <v>3046</v>
      </c>
      <c r="B628" s="2" t="s">
        <v>45</v>
      </c>
      <c r="C628" s="15" t="s">
        <v>3047</v>
      </c>
      <c r="D628" s="46" t="n">
        <v>139044</v>
      </c>
      <c r="E628" s="2" t="s">
        <v>827</v>
      </c>
      <c r="F628" s="47" t="n">
        <v>0.451964845660367</v>
      </c>
      <c r="G628" s="31" t="n">
        <v>35.7</v>
      </c>
      <c r="H628" s="48" t="n">
        <v>0.279283092125238</v>
      </c>
      <c r="I628" s="31" t="n">
        <v>99.3</v>
      </c>
      <c r="J628" s="2" t="s">
        <v>2890</v>
      </c>
      <c r="K628" s="38"/>
      <c r="L628" s="31"/>
      <c r="M628" s="39" t="s">
        <v>832</v>
      </c>
      <c r="N628" s="2" t="s">
        <v>19</v>
      </c>
      <c r="O628" s="2" t="s">
        <v>19</v>
      </c>
      <c r="P628" s="2" t="s">
        <v>19</v>
      </c>
      <c r="Q628" s="2"/>
    </row>
    <row r="629" customFormat="false" ht="15" hidden="false" customHeight="false" outlineLevel="0" collapsed="false">
      <c r="A629" s="2" t="s">
        <v>3046</v>
      </c>
      <c r="B629" s="2" t="s">
        <v>46</v>
      </c>
      <c r="C629" s="13" t="s">
        <v>3048</v>
      </c>
      <c r="D629" s="29" t="n">
        <v>133940</v>
      </c>
      <c r="E629" s="2" t="s">
        <v>827</v>
      </c>
      <c r="F629" s="30" t="n">
        <v>5.00418097655667</v>
      </c>
      <c r="G629" s="31" t="n">
        <v>72.5</v>
      </c>
      <c r="H629" s="32" t="n">
        <v>0.026281510995326</v>
      </c>
      <c r="I629" s="31" t="n">
        <v>22.9</v>
      </c>
      <c r="J629" s="2" t="s">
        <v>2888</v>
      </c>
      <c r="K629" s="38"/>
      <c r="L629" s="31"/>
      <c r="M629" s="39" t="s">
        <v>832</v>
      </c>
      <c r="N629" s="2" t="s">
        <v>24</v>
      </c>
      <c r="O629" s="2" t="s">
        <v>24</v>
      </c>
      <c r="P629" s="2" t="s">
        <v>24</v>
      </c>
      <c r="Q629" s="2"/>
    </row>
    <row r="630" customFormat="false" ht="15" hidden="false" customHeight="false" outlineLevel="0" collapsed="false">
      <c r="A630" s="2" t="s">
        <v>3046</v>
      </c>
      <c r="B630" s="2" t="s">
        <v>47</v>
      </c>
      <c r="C630" s="15" t="s">
        <v>3049</v>
      </c>
      <c r="D630" s="46" t="n">
        <v>3911</v>
      </c>
      <c r="E630" s="2" t="s">
        <v>825</v>
      </c>
      <c r="F630" s="36"/>
      <c r="G630" s="31"/>
      <c r="H630" s="48" t="n">
        <v>0.0765207817230939</v>
      </c>
      <c r="I630" s="31" t="n">
        <v>40</v>
      </c>
      <c r="J630" s="2" t="s">
        <v>2889</v>
      </c>
      <c r="K630" s="45" t="n">
        <v>0.0862068965517241</v>
      </c>
      <c r="L630" s="31" t="n">
        <v>52.3</v>
      </c>
      <c r="M630" s="39" t="s">
        <v>832</v>
      </c>
      <c r="N630" s="2" t="s">
        <v>19</v>
      </c>
      <c r="O630" s="2"/>
      <c r="P630" s="2" t="s">
        <v>19</v>
      </c>
      <c r="Q630" s="2" t="s">
        <v>19</v>
      </c>
    </row>
    <row r="631" customFormat="false" ht="15" hidden="false" customHeight="false" outlineLevel="0" collapsed="false">
      <c r="A631" s="2" t="s">
        <v>142</v>
      </c>
      <c r="B631" s="2" t="s">
        <v>47</v>
      </c>
      <c r="C631" s="14" t="s">
        <v>2321</v>
      </c>
      <c r="D631" s="42" t="n">
        <v>695720</v>
      </c>
      <c r="E631" s="2" t="s">
        <v>827</v>
      </c>
      <c r="F631" s="43" t="n">
        <v>2.45683033404243</v>
      </c>
      <c r="G631" s="31" t="n">
        <v>84.1</v>
      </c>
      <c r="H631" s="41" t="n">
        <v>0.14235047822339</v>
      </c>
      <c r="I631" s="31" t="n">
        <v>78.3</v>
      </c>
      <c r="J631" s="2" t="s">
        <v>2897</v>
      </c>
      <c r="K631" s="44" t="n">
        <v>0.0465149009535203</v>
      </c>
      <c r="L631" s="31" t="n">
        <v>30.1</v>
      </c>
      <c r="M631" s="34" t="s">
        <v>822</v>
      </c>
      <c r="N631" s="2" t="s">
        <v>22</v>
      </c>
      <c r="O631" s="2" t="s">
        <v>22</v>
      </c>
      <c r="P631" s="2" t="s">
        <v>22</v>
      </c>
      <c r="Q631" s="2" t="s">
        <v>22</v>
      </c>
    </row>
    <row r="632" customFormat="false" ht="15" hidden="false" customHeight="false" outlineLevel="0" collapsed="false">
      <c r="A632" s="2" t="s">
        <v>131</v>
      </c>
      <c r="B632" s="2" t="s">
        <v>45</v>
      </c>
      <c r="C632" s="13" t="s">
        <v>934</v>
      </c>
      <c r="D632" s="29" t="n">
        <v>1207050</v>
      </c>
      <c r="E632" s="2" t="s">
        <v>935</v>
      </c>
      <c r="F632" s="30" t="n">
        <v>1.36189221656104</v>
      </c>
      <c r="G632" s="31" t="n">
        <v>86.8</v>
      </c>
      <c r="H632" s="32" t="n">
        <v>0.0374925865759006</v>
      </c>
      <c r="I632" s="31" t="n">
        <v>5.9</v>
      </c>
      <c r="J632" s="2" t="s">
        <v>2892</v>
      </c>
      <c r="K632" s="33" t="n">
        <v>0.0221872492748257</v>
      </c>
      <c r="L632" s="31" t="n">
        <v>6.5</v>
      </c>
      <c r="M632" s="34" t="s">
        <v>822</v>
      </c>
      <c r="N632" s="2" t="s">
        <v>24</v>
      </c>
      <c r="O632" s="2" t="s">
        <v>24</v>
      </c>
      <c r="P632" s="2" t="s">
        <v>24</v>
      </c>
      <c r="Q632" s="2" t="s">
        <v>24</v>
      </c>
    </row>
    <row r="633" customFormat="false" ht="15" hidden="false" customHeight="false" outlineLevel="0" collapsed="false">
      <c r="A633" s="2" t="s">
        <v>2255</v>
      </c>
      <c r="B633" s="2" t="s">
        <v>46</v>
      </c>
      <c r="C633" s="13" t="s">
        <v>3050</v>
      </c>
      <c r="D633" s="29" t="n">
        <v>273950</v>
      </c>
      <c r="E633" s="2" t="s">
        <v>827</v>
      </c>
      <c r="F633" s="30" t="n">
        <v>3.4752692097098</v>
      </c>
      <c r="G633" s="31" t="n">
        <v>55.8</v>
      </c>
      <c r="H633" s="32" t="n">
        <v>0.148637316561845</v>
      </c>
      <c r="I633" s="31" t="n">
        <v>87.9</v>
      </c>
      <c r="J633" s="2" t="s">
        <v>2888</v>
      </c>
      <c r="K633" s="38"/>
      <c r="L633" s="31"/>
      <c r="M633" s="39" t="s">
        <v>832</v>
      </c>
      <c r="N633" s="2" t="s">
        <v>24</v>
      </c>
      <c r="O633" s="2" t="s">
        <v>24</v>
      </c>
      <c r="P633" s="2" t="s">
        <v>24</v>
      </c>
      <c r="Q633" s="2"/>
    </row>
    <row r="634" customFormat="false" ht="15" hidden="false" customHeight="false" outlineLevel="0" collapsed="false">
      <c r="A634" s="2" t="s">
        <v>2255</v>
      </c>
      <c r="B634" s="2" t="s">
        <v>47</v>
      </c>
      <c r="C634" s="14" t="s">
        <v>2256</v>
      </c>
      <c r="D634" s="42" t="n">
        <v>72746</v>
      </c>
      <c r="E634" s="2" t="s">
        <v>821</v>
      </c>
      <c r="F634" s="43" t="n">
        <v>3.90530063508647</v>
      </c>
      <c r="G634" s="31" t="n">
        <v>94</v>
      </c>
      <c r="H634" s="41" t="n">
        <v>-0.0380821410625975</v>
      </c>
      <c r="I634" s="31" t="n">
        <v>3.9</v>
      </c>
      <c r="J634" s="2" t="s">
        <v>2886</v>
      </c>
      <c r="K634" s="44" t="n">
        <v>0.128023818384816</v>
      </c>
      <c r="L634" s="31" t="n">
        <v>67.7</v>
      </c>
      <c r="M634" s="34" t="s">
        <v>822</v>
      </c>
      <c r="N634" s="2" t="s">
        <v>22</v>
      </c>
      <c r="O634" s="2" t="s">
        <v>22</v>
      </c>
      <c r="P634" s="2" t="s">
        <v>22</v>
      </c>
      <c r="Q634" s="2" t="s">
        <v>22</v>
      </c>
    </row>
    <row r="635" customFormat="false" ht="15" hidden="false" customHeight="false" outlineLevel="0" collapsed="false">
      <c r="A635" s="2" t="s">
        <v>2013</v>
      </c>
      <c r="B635" s="2" t="s">
        <v>45</v>
      </c>
      <c r="C635" s="13" t="s">
        <v>3051</v>
      </c>
      <c r="D635" s="35"/>
      <c r="E635" s="2"/>
      <c r="F635" s="36"/>
      <c r="G635" s="31"/>
      <c r="H635" s="37"/>
      <c r="I635" s="31"/>
      <c r="J635" s="2"/>
      <c r="K635" s="33" t="n">
        <v>0.21446636317653</v>
      </c>
      <c r="L635" s="31" t="n">
        <v>75.5</v>
      </c>
      <c r="M635" s="39" t="s">
        <v>832</v>
      </c>
      <c r="N635" s="2"/>
      <c r="O635" s="2"/>
      <c r="P635" s="2"/>
      <c r="Q635" s="2" t="s">
        <v>24</v>
      </c>
    </row>
    <row r="636" customFormat="false" ht="15" hidden="false" customHeight="false" outlineLevel="0" collapsed="false">
      <c r="A636" s="2" t="s">
        <v>2013</v>
      </c>
      <c r="B636" s="2" t="s">
        <v>46</v>
      </c>
      <c r="C636" s="13" t="s">
        <v>2014</v>
      </c>
      <c r="D636" s="29" t="n">
        <v>253760</v>
      </c>
      <c r="E636" s="2" t="s">
        <v>827</v>
      </c>
      <c r="F636" s="30" t="n">
        <v>2.24052648171501</v>
      </c>
      <c r="G636" s="31" t="n">
        <v>31.6</v>
      </c>
      <c r="H636" s="32" t="n">
        <v>0.144764740379844</v>
      </c>
      <c r="I636" s="31" t="n">
        <v>84.1</v>
      </c>
      <c r="J636" s="2" t="s">
        <v>2888</v>
      </c>
      <c r="K636" s="33" t="n">
        <v>0.0409085205170034</v>
      </c>
      <c r="L636" s="31" t="n">
        <v>8.6</v>
      </c>
      <c r="M636" s="34" t="s">
        <v>822</v>
      </c>
      <c r="N636" s="2" t="s">
        <v>24</v>
      </c>
      <c r="O636" s="2" t="s">
        <v>24</v>
      </c>
      <c r="P636" s="2" t="s">
        <v>24</v>
      </c>
      <c r="Q636" s="2" t="s">
        <v>24</v>
      </c>
    </row>
    <row r="637" customFormat="false" ht="15" hidden="false" customHeight="false" outlineLevel="0" collapsed="false">
      <c r="A637" s="2" t="s">
        <v>2013</v>
      </c>
      <c r="B637" s="2" t="s">
        <v>47</v>
      </c>
      <c r="C637" s="14" t="s">
        <v>2315</v>
      </c>
      <c r="D637" s="42" t="n">
        <v>812604</v>
      </c>
      <c r="E637" s="2" t="s">
        <v>827</v>
      </c>
      <c r="F637" s="43" t="n">
        <v>2.57627085271547</v>
      </c>
      <c r="G637" s="31" t="n">
        <v>85.2</v>
      </c>
      <c r="H637" s="41" t="n">
        <v>-0.151488698753866</v>
      </c>
      <c r="I637" s="31" t="n">
        <v>0.6</v>
      </c>
      <c r="J637" s="2" t="s">
        <v>2897</v>
      </c>
      <c r="K637" s="44" t="n">
        <v>0.115204248827617</v>
      </c>
      <c r="L637" s="31" t="n">
        <v>64.3</v>
      </c>
      <c r="M637" s="34" t="s">
        <v>822</v>
      </c>
      <c r="N637" s="2" t="s">
        <v>22</v>
      </c>
      <c r="O637" s="2" t="s">
        <v>22</v>
      </c>
      <c r="P637" s="2" t="s">
        <v>22</v>
      </c>
      <c r="Q637" s="2" t="s">
        <v>22</v>
      </c>
    </row>
    <row r="638" customFormat="false" ht="15" hidden="false" customHeight="false" outlineLevel="0" collapsed="false">
      <c r="A638" s="2" t="s">
        <v>3052</v>
      </c>
      <c r="B638" s="2" t="s">
        <v>45</v>
      </c>
      <c r="C638" s="16"/>
      <c r="D638" s="35"/>
      <c r="E638" s="2"/>
      <c r="F638" s="36"/>
      <c r="G638" s="31"/>
      <c r="H638" s="37"/>
      <c r="I638" s="31"/>
      <c r="J638" s="2"/>
      <c r="K638" s="38"/>
      <c r="L638" s="31"/>
      <c r="M638" s="39" t="s">
        <v>832</v>
      </c>
      <c r="N638" s="2"/>
      <c r="O638" s="2"/>
      <c r="P638" s="2"/>
      <c r="Q638" s="2"/>
    </row>
    <row r="639" customFormat="false" ht="15" hidden="false" customHeight="false" outlineLevel="0" collapsed="false">
      <c r="A639" s="2" t="s">
        <v>1061</v>
      </c>
      <c r="B639" s="2" t="s">
        <v>45</v>
      </c>
      <c r="C639" s="13" t="s">
        <v>1062</v>
      </c>
      <c r="D639" s="29" t="n">
        <v>72280</v>
      </c>
      <c r="E639" s="2" t="s">
        <v>821</v>
      </c>
      <c r="F639" s="30" t="n">
        <v>0.854828444936359</v>
      </c>
      <c r="G639" s="31" t="n">
        <v>71.8</v>
      </c>
      <c r="H639" s="32" t="n">
        <v>0.20889780899816</v>
      </c>
      <c r="I639" s="31" t="n">
        <v>92.4</v>
      </c>
      <c r="J639" s="2" t="s">
        <v>2883</v>
      </c>
      <c r="K639" s="33" t="n">
        <v>0.036908077994429</v>
      </c>
      <c r="L639" s="31" t="n">
        <v>11.7</v>
      </c>
      <c r="M639" s="34" t="s">
        <v>822</v>
      </c>
      <c r="N639" s="2" t="s">
        <v>24</v>
      </c>
      <c r="O639" s="2" t="s">
        <v>24</v>
      </c>
      <c r="P639" s="2" t="s">
        <v>24</v>
      </c>
      <c r="Q639" s="2" t="s">
        <v>24</v>
      </c>
    </row>
    <row r="640" customFormat="false" ht="15" hidden="false" customHeight="false" outlineLevel="0" collapsed="false">
      <c r="A640" s="2" t="s">
        <v>1061</v>
      </c>
      <c r="B640" s="2" t="s">
        <v>46</v>
      </c>
      <c r="C640" s="13" t="s">
        <v>3053</v>
      </c>
      <c r="D640" s="29" t="n">
        <v>6800</v>
      </c>
      <c r="E640" s="2" t="s">
        <v>825</v>
      </c>
      <c r="F640" s="30" t="n">
        <v>7.59514705882353</v>
      </c>
      <c r="G640" s="31" t="n">
        <v>88.6</v>
      </c>
      <c r="H640" s="37"/>
      <c r="I640" s="31"/>
      <c r="J640" s="2"/>
      <c r="K640" s="38"/>
      <c r="L640" s="31"/>
      <c r="M640" s="39" t="s">
        <v>832</v>
      </c>
      <c r="N640" s="2" t="s">
        <v>24</v>
      </c>
      <c r="O640" s="2" t="s">
        <v>24</v>
      </c>
      <c r="P640" s="2"/>
      <c r="Q640" s="2"/>
    </row>
    <row r="641" customFormat="false" ht="15" hidden="false" customHeight="false" outlineLevel="0" collapsed="false">
      <c r="A641" s="2" t="s">
        <v>1061</v>
      </c>
      <c r="B641" s="2" t="s">
        <v>47</v>
      </c>
      <c r="C641" s="14" t="s">
        <v>2465</v>
      </c>
      <c r="D641" s="29" t="n">
        <v>67780</v>
      </c>
      <c r="E641" s="2" t="s">
        <v>821</v>
      </c>
      <c r="F641" s="30" t="n">
        <v>1.52502213042195</v>
      </c>
      <c r="G641" s="31" t="n">
        <v>61.2</v>
      </c>
      <c r="H641" s="32" t="n">
        <v>0.095877122069523</v>
      </c>
      <c r="I641" s="31" t="n">
        <v>50.3</v>
      </c>
      <c r="J641" s="2" t="s">
        <v>2886</v>
      </c>
      <c r="K641" s="44" t="n">
        <v>0.0189746167378738</v>
      </c>
      <c r="L641" s="31" t="n">
        <v>12.4</v>
      </c>
      <c r="M641" s="34" t="s">
        <v>822</v>
      </c>
      <c r="N641" s="2" t="s">
        <v>24</v>
      </c>
      <c r="O641" s="2" t="s">
        <v>24</v>
      </c>
      <c r="P641" s="2" t="s">
        <v>24</v>
      </c>
      <c r="Q641" s="2" t="s">
        <v>22</v>
      </c>
    </row>
    <row r="642" customFormat="false" ht="15" hidden="false" customHeight="false" outlineLevel="0" collapsed="false">
      <c r="A642" s="2" t="s">
        <v>843</v>
      </c>
      <c r="B642" s="2" t="s">
        <v>45</v>
      </c>
      <c r="C642" s="13" t="s">
        <v>844</v>
      </c>
      <c r="D642" s="29" t="n">
        <v>164740</v>
      </c>
      <c r="E642" s="2" t="s">
        <v>827</v>
      </c>
      <c r="F642" s="30" t="n">
        <v>2.48722835983975</v>
      </c>
      <c r="G642" s="31" t="n">
        <v>97.7</v>
      </c>
      <c r="H642" s="32" t="n">
        <v>0.0885423549623365</v>
      </c>
      <c r="I642" s="31" t="n">
        <v>55</v>
      </c>
      <c r="J642" s="2" t="s">
        <v>2890</v>
      </c>
      <c r="K642" s="33" t="n">
        <v>0.311611030478955</v>
      </c>
      <c r="L642" s="31" t="n">
        <v>91.8</v>
      </c>
      <c r="M642" s="34" t="s">
        <v>822</v>
      </c>
      <c r="N642" s="2" t="s">
        <v>24</v>
      </c>
      <c r="O642" s="2" t="s">
        <v>24</v>
      </c>
      <c r="P642" s="2" t="s">
        <v>24</v>
      </c>
      <c r="Q642" s="2" t="s">
        <v>24</v>
      </c>
    </row>
    <row r="643" customFormat="false" ht="15" hidden="false" customHeight="false" outlineLevel="0" collapsed="false">
      <c r="A643" s="2" t="s">
        <v>843</v>
      </c>
      <c r="B643" s="2" t="s">
        <v>46</v>
      </c>
      <c r="C643" s="13" t="s">
        <v>3054</v>
      </c>
      <c r="D643" s="29" t="n">
        <v>23650</v>
      </c>
      <c r="E643" s="2" t="s">
        <v>821</v>
      </c>
      <c r="F643" s="30" t="n">
        <v>5.9292600422833</v>
      </c>
      <c r="G643" s="31" t="n">
        <v>79.8</v>
      </c>
      <c r="H643" s="32" t="n">
        <v>0.105140186915888</v>
      </c>
      <c r="I643" s="31" t="n">
        <v>61.5</v>
      </c>
      <c r="J643" s="2" t="s">
        <v>2884</v>
      </c>
      <c r="K643" s="38"/>
      <c r="L643" s="31"/>
      <c r="M643" s="39" t="s">
        <v>832</v>
      </c>
      <c r="N643" s="2" t="s">
        <v>24</v>
      </c>
      <c r="O643" s="2" t="s">
        <v>24</v>
      </c>
      <c r="P643" s="2" t="s">
        <v>24</v>
      </c>
      <c r="Q643" s="2"/>
    </row>
    <row r="644" customFormat="false" ht="15" hidden="false" customHeight="false" outlineLevel="0" collapsed="false">
      <c r="A644" s="2" t="s">
        <v>843</v>
      </c>
      <c r="B644" s="2" t="s">
        <v>47</v>
      </c>
      <c r="C644" s="14" t="s">
        <v>2453</v>
      </c>
      <c r="D644" s="42" t="n">
        <v>94677</v>
      </c>
      <c r="E644" s="2" t="s">
        <v>821</v>
      </c>
      <c r="F644" s="43" t="n">
        <v>1.60232157757428</v>
      </c>
      <c r="G644" s="31" t="n">
        <v>63.1</v>
      </c>
      <c r="H644" s="41" t="n">
        <v>0.0135313072056352</v>
      </c>
      <c r="I644" s="31" t="n">
        <v>14.3</v>
      </c>
      <c r="J644" s="2" t="s">
        <v>2886</v>
      </c>
      <c r="K644" s="44" t="n">
        <v>0.229565575458102</v>
      </c>
      <c r="L644" s="31" t="n">
        <v>90.3</v>
      </c>
      <c r="M644" s="34" t="s">
        <v>822</v>
      </c>
      <c r="N644" s="2" t="s">
        <v>22</v>
      </c>
      <c r="O644" s="2" t="s">
        <v>22</v>
      </c>
      <c r="P644" s="2" t="s">
        <v>22</v>
      </c>
      <c r="Q644" s="2" t="s">
        <v>22</v>
      </c>
    </row>
    <row r="645" customFormat="false" ht="15" hidden="false" customHeight="false" outlineLevel="0" collapsed="false">
      <c r="A645" s="2" t="s">
        <v>1767</v>
      </c>
      <c r="B645" s="2" t="s">
        <v>45</v>
      </c>
      <c r="C645" s="16"/>
      <c r="D645" s="29" t="n">
        <v>2280</v>
      </c>
      <c r="E645" s="2" t="s">
        <v>825</v>
      </c>
      <c r="F645" s="36"/>
      <c r="G645" s="31"/>
      <c r="H645" s="37"/>
      <c r="I645" s="31"/>
      <c r="J645" s="2"/>
      <c r="K645" s="40" t="s">
        <v>857</v>
      </c>
      <c r="L645" s="31"/>
      <c r="M645" s="39" t="s">
        <v>832</v>
      </c>
      <c r="N645" s="2" t="s">
        <v>24</v>
      </c>
      <c r="O645" s="2"/>
      <c r="P645" s="2"/>
      <c r="Q645" s="2" t="s">
        <v>2885</v>
      </c>
    </row>
    <row r="646" customFormat="false" ht="15" hidden="false" customHeight="false" outlineLevel="0" collapsed="false">
      <c r="A646" s="2" t="s">
        <v>1767</v>
      </c>
      <c r="B646" s="2" t="s">
        <v>46</v>
      </c>
      <c r="C646" s="13" t="s">
        <v>1768</v>
      </c>
      <c r="D646" s="29" t="n">
        <v>63210</v>
      </c>
      <c r="E646" s="2" t="s">
        <v>821</v>
      </c>
      <c r="F646" s="30" t="n">
        <v>4.86419870273691</v>
      </c>
      <c r="G646" s="31" t="n">
        <v>71.7</v>
      </c>
      <c r="H646" s="32" t="n">
        <v>0.10487676979549</v>
      </c>
      <c r="I646" s="31" t="n">
        <v>61.1</v>
      </c>
      <c r="J646" s="2" t="s">
        <v>2884</v>
      </c>
      <c r="K646" s="44" t="n">
        <v>0.221043458492782</v>
      </c>
      <c r="L646" s="31" t="n">
        <v>74.4</v>
      </c>
      <c r="M646" s="34" t="s">
        <v>822</v>
      </c>
      <c r="N646" s="2" t="s">
        <v>24</v>
      </c>
      <c r="O646" s="2" t="s">
        <v>24</v>
      </c>
      <c r="P646" s="2" t="s">
        <v>24</v>
      </c>
      <c r="Q646" s="2" t="s">
        <v>22</v>
      </c>
    </row>
    <row r="647" customFormat="false" ht="15" hidden="false" customHeight="false" outlineLevel="0" collapsed="false">
      <c r="A647" s="2" t="s">
        <v>1767</v>
      </c>
      <c r="B647" s="2" t="s">
        <v>47</v>
      </c>
      <c r="C647" s="14" t="s">
        <v>2557</v>
      </c>
      <c r="D647" s="42" t="n">
        <v>14424</v>
      </c>
      <c r="E647" s="2" t="s">
        <v>821</v>
      </c>
      <c r="F647" s="43" t="n">
        <v>1.20382695507488</v>
      </c>
      <c r="G647" s="31" t="n">
        <v>48</v>
      </c>
      <c r="H647" s="41" t="n">
        <v>0.161633244745108</v>
      </c>
      <c r="I647" s="31" t="n">
        <v>82.1</v>
      </c>
      <c r="J647" s="2" t="s">
        <v>2886</v>
      </c>
      <c r="K647" s="44" t="n">
        <v>0.015970515970516</v>
      </c>
      <c r="L647" s="31" t="n">
        <v>10.2</v>
      </c>
      <c r="M647" s="34" t="s">
        <v>822</v>
      </c>
      <c r="N647" s="2" t="s">
        <v>22</v>
      </c>
      <c r="O647" s="2" t="s">
        <v>22</v>
      </c>
      <c r="P647" s="2" t="s">
        <v>22</v>
      </c>
      <c r="Q647" s="2" t="s">
        <v>22</v>
      </c>
    </row>
    <row r="648" customFormat="false" ht="15" hidden="false" customHeight="false" outlineLevel="0" collapsed="false">
      <c r="A648" s="2" t="s">
        <v>1720</v>
      </c>
      <c r="B648" s="2" t="s">
        <v>45</v>
      </c>
      <c r="C648" s="13" t="s">
        <v>3055</v>
      </c>
      <c r="D648" s="29" t="n">
        <v>148540</v>
      </c>
      <c r="E648" s="2" t="s">
        <v>827</v>
      </c>
      <c r="F648" s="30" t="n">
        <v>0.46947623535748</v>
      </c>
      <c r="G648" s="31" t="n">
        <v>38</v>
      </c>
      <c r="H648" s="32" t="n">
        <v>0.103402169068489</v>
      </c>
      <c r="I648" s="31" t="n">
        <v>61.4</v>
      </c>
      <c r="J648" s="2" t="s">
        <v>2890</v>
      </c>
      <c r="K648" s="38"/>
      <c r="L648" s="31"/>
      <c r="M648" s="39" t="s">
        <v>832</v>
      </c>
      <c r="N648" s="2" t="s">
        <v>24</v>
      </c>
      <c r="O648" s="2" t="s">
        <v>24</v>
      </c>
      <c r="P648" s="2" t="s">
        <v>24</v>
      </c>
      <c r="Q648" s="2"/>
    </row>
    <row r="649" customFormat="false" ht="15" hidden="false" customHeight="false" outlineLevel="0" collapsed="false">
      <c r="A649" s="2" t="s">
        <v>1720</v>
      </c>
      <c r="B649" s="2" t="s">
        <v>46</v>
      </c>
      <c r="C649" s="14" t="s">
        <v>1721</v>
      </c>
      <c r="D649" s="42" t="n">
        <v>25475</v>
      </c>
      <c r="E649" s="2" t="s">
        <v>821</v>
      </c>
      <c r="F649" s="43" t="n">
        <v>5.83497546614328</v>
      </c>
      <c r="G649" s="31" t="n">
        <v>78.8</v>
      </c>
      <c r="H649" s="41" t="n">
        <v>0.0636299110684314</v>
      </c>
      <c r="I649" s="31" t="n">
        <v>37.1</v>
      </c>
      <c r="J649" s="2" t="s">
        <v>2884</v>
      </c>
      <c r="K649" s="44" t="n">
        <v>0.300776332354175</v>
      </c>
      <c r="L649" s="31" t="n">
        <v>88.7</v>
      </c>
      <c r="M649" s="34" t="s">
        <v>822</v>
      </c>
      <c r="N649" s="2" t="s">
        <v>22</v>
      </c>
      <c r="O649" s="2" t="s">
        <v>22</v>
      </c>
      <c r="P649" s="2" t="s">
        <v>22</v>
      </c>
      <c r="Q649" s="2" t="s">
        <v>22</v>
      </c>
    </row>
    <row r="650" customFormat="false" ht="15" hidden="false" customHeight="false" outlineLevel="0" collapsed="false">
      <c r="A650" s="2" t="s">
        <v>1720</v>
      </c>
      <c r="B650" s="2" t="s">
        <v>47</v>
      </c>
      <c r="C650" s="13" t="s">
        <v>2527</v>
      </c>
      <c r="D650" s="29" t="n">
        <v>7700</v>
      </c>
      <c r="E650" s="2" t="s">
        <v>825</v>
      </c>
      <c r="F650" s="30" t="n">
        <v>1.28818181818182</v>
      </c>
      <c r="G650" s="31" t="n">
        <v>51.9</v>
      </c>
      <c r="H650" s="32" t="n">
        <v>0.193798449612403</v>
      </c>
      <c r="I650" s="31" t="n">
        <v>86.2</v>
      </c>
      <c r="J650" s="2" t="s">
        <v>2889</v>
      </c>
      <c r="K650" s="33" t="n">
        <v>0.0653753026634383</v>
      </c>
      <c r="L650" s="31" t="n">
        <v>42.1</v>
      </c>
      <c r="M650" s="34" t="s">
        <v>822</v>
      </c>
      <c r="N650" s="2" t="s">
        <v>24</v>
      </c>
      <c r="O650" s="2" t="s">
        <v>24</v>
      </c>
      <c r="P650" s="2" t="s">
        <v>24</v>
      </c>
      <c r="Q650" s="2" t="s">
        <v>24</v>
      </c>
    </row>
    <row r="651" customFormat="false" ht="15" hidden="false" customHeight="false" outlineLevel="0" collapsed="false">
      <c r="A651" s="2" t="s">
        <v>1432</v>
      </c>
      <c r="B651" s="2" t="s">
        <v>45</v>
      </c>
      <c r="C651" s="13" t="s">
        <v>1433</v>
      </c>
      <c r="D651" s="29" t="n">
        <v>4160</v>
      </c>
      <c r="E651" s="2" t="s">
        <v>825</v>
      </c>
      <c r="F651" s="30" t="n">
        <v>0.343269230769231</v>
      </c>
      <c r="G651" s="31" t="n">
        <v>23.3</v>
      </c>
      <c r="H651" s="32" t="n">
        <v>0.136612021857924</v>
      </c>
      <c r="I651" s="31" t="n">
        <v>76.1</v>
      </c>
      <c r="J651" s="2" t="s">
        <v>2899</v>
      </c>
      <c r="K651" s="33" t="n">
        <v>0.0535714285714286</v>
      </c>
      <c r="L651" s="31" t="n">
        <v>17</v>
      </c>
      <c r="M651" s="34" t="s">
        <v>822</v>
      </c>
      <c r="N651" s="2" t="s">
        <v>24</v>
      </c>
      <c r="O651" s="2" t="s">
        <v>24</v>
      </c>
      <c r="P651" s="2" t="s">
        <v>24</v>
      </c>
      <c r="Q651" s="2" t="s">
        <v>24</v>
      </c>
    </row>
    <row r="652" customFormat="false" ht="15" hidden="false" customHeight="false" outlineLevel="0" collapsed="false">
      <c r="A652" s="2" t="s">
        <v>1432</v>
      </c>
      <c r="B652" s="2" t="s">
        <v>46</v>
      </c>
      <c r="C652" s="13" t="s">
        <v>3056</v>
      </c>
      <c r="D652" s="29" t="n">
        <v>320870</v>
      </c>
      <c r="E652" s="2" t="s">
        <v>827</v>
      </c>
      <c r="F652" s="30" t="n">
        <v>2.71441082058154</v>
      </c>
      <c r="G652" s="31" t="n">
        <v>42.4</v>
      </c>
      <c r="H652" s="32" t="n">
        <v>0.145023730507084</v>
      </c>
      <c r="I652" s="31" t="n">
        <v>84.7</v>
      </c>
      <c r="J652" s="2" t="s">
        <v>2888</v>
      </c>
      <c r="K652" s="38"/>
      <c r="L652" s="31"/>
      <c r="M652" s="39" t="s">
        <v>832</v>
      </c>
      <c r="N652" s="2" t="s">
        <v>24</v>
      </c>
      <c r="O652" s="2" t="s">
        <v>24</v>
      </c>
      <c r="P652" s="2" t="s">
        <v>24</v>
      </c>
      <c r="Q652" s="2"/>
    </row>
    <row r="653" customFormat="false" ht="15" hidden="false" customHeight="false" outlineLevel="0" collapsed="false">
      <c r="A653" s="2" t="s">
        <v>1432</v>
      </c>
      <c r="B653" s="2" t="s">
        <v>47</v>
      </c>
      <c r="C653" s="16"/>
      <c r="D653" s="35"/>
      <c r="E653" s="2"/>
      <c r="F653" s="36"/>
      <c r="G653" s="31"/>
      <c r="H653" s="37"/>
      <c r="I653" s="31"/>
      <c r="J653" s="2"/>
      <c r="K653" s="38"/>
      <c r="L653" s="31"/>
      <c r="M653" s="39" t="s">
        <v>832</v>
      </c>
      <c r="N653" s="2"/>
      <c r="O653" s="2"/>
      <c r="P653" s="2"/>
      <c r="Q653" s="2"/>
    </row>
    <row r="654" customFormat="false" ht="15" hidden="false" customHeight="false" outlineLevel="0" collapsed="false">
      <c r="A654" s="2" t="s">
        <v>117</v>
      </c>
      <c r="B654" s="2" t="s">
        <v>45</v>
      </c>
      <c r="C654" s="13" t="s">
        <v>895</v>
      </c>
      <c r="D654" s="29" t="n">
        <v>19100</v>
      </c>
      <c r="E654" s="2" t="s">
        <v>821</v>
      </c>
      <c r="F654" s="30" t="n">
        <v>1.68005235602094</v>
      </c>
      <c r="G654" s="31" t="n">
        <v>91.7</v>
      </c>
      <c r="H654" s="32" t="n">
        <v>0.100230414746544</v>
      </c>
      <c r="I654" s="31" t="n">
        <v>52.6</v>
      </c>
      <c r="J654" s="2" t="s">
        <v>2883</v>
      </c>
      <c r="K654" s="33" t="n">
        <v>0.0946612830865859</v>
      </c>
      <c r="L654" s="31" t="n">
        <v>34</v>
      </c>
      <c r="M654" s="34" t="s">
        <v>822</v>
      </c>
      <c r="N654" s="2" t="s">
        <v>24</v>
      </c>
      <c r="O654" s="2" t="s">
        <v>24</v>
      </c>
      <c r="P654" s="2" t="s">
        <v>24</v>
      </c>
      <c r="Q654" s="2" t="s">
        <v>24</v>
      </c>
    </row>
    <row r="655" customFormat="false" ht="15" hidden="false" customHeight="false" outlineLevel="0" collapsed="false">
      <c r="A655" s="2" t="s">
        <v>1941</v>
      </c>
      <c r="B655" s="2" t="s">
        <v>45</v>
      </c>
      <c r="C655" s="16"/>
      <c r="D655" s="35"/>
      <c r="E655" s="2"/>
      <c r="F655" s="36"/>
      <c r="G655" s="31"/>
      <c r="H655" s="37"/>
      <c r="I655" s="31"/>
      <c r="J655" s="2"/>
      <c r="K655" s="38"/>
      <c r="L655" s="31"/>
      <c r="M655" s="39" t="s">
        <v>832</v>
      </c>
      <c r="N655" s="2"/>
      <c r="O655" s="2"/>
      <c r="P655" s="2"/>
      <c r="Q655" s="2"/>
    </row>
    <row r="656" customFormat="false" ht="15" hidden="false" customHeight="false" outlineLevel="0" collapsed="false">
      <c r="A656" s="2" t="s">
        <v>1941</v>
      </c>
      <c r="B656" s="2" t="s">
        <v>46</v>
      </c>
      <c r="C656" s="13" t="s">
        <v>1942</v>
      </c>
      <c r="D656" s="29" t="n">
        <v>124880</v>
      </c>
      <c r="E656" s="2" t="s">
        <v>827</v>
      </c>
      <c r="F656" s="30" t="n">
        <v>2.81563901345292</v>
      </c>
      <c r="G656" s="31" t="n">
        <v>43.8</v>
      </c>
      <c r="H656" s="32" t="n">
        <v>0.0678980673849838</v>
      </c>
      <c r="I656" s="31" t="n">
        <v>43.9</v>
      </c>
      <c r="J656" s="2" t="s">
        <v>2888</v>
      </c>
      <c r="K656" s="33" t="n">
        <v>0.127537109966677</v>
      </c>
      <c r="L656" s="31" t="n">
        <v>48.3</v>
      </c>
      <c r="M656" s="34" t="s">
        <v>822</v>
      </c>
      <c r="N656" s="2" t="s">
        <v>24</v>
      </c>
      <c r="O656" s="2" t="s">
        <v>24</v>
      </c>
      <c r="P656" s="2" t="s">
        <v>24</v>
      </c>
      <c r="Q656" s="2" t="s">
        <v>24</v>
      </c>
    </row>
    <row r="657" customFormat="false" ht="15" hidden="false" customHeight="false" outlineLevel="0" collapsed="false">
      <c r="A657" s="2" t="s">
        <v>1941</v>
      </c>
      <c r="B657" s="2" t="s">
        <v>47</v>
      </c>
      <c r="C657" s="13" t="s">
        <v>2745</v>
      </c>
      <c r="D657" s="29" t="n">
        <v>11000</v>
      </c>
      <c r="E657" s="2" t="s">
        <v>821</v>
      </c>
      <c r="F657" s="30" t="n">
        <v>0.627818181818182</v>
      </c>
      <c r="G657" s="31" t="n">
        <v>19.2</v>
      </c>
      <c r="H657" s="32" t="n">
        <v>0.083743842364532</v>
      </c>
      <c r="I657" s="31" t="n">
        <v>42.2</v>
      </c>
      <c r="J657" s="2" t="s">
        <v>2886</v>
      </c>
      <c r="K657" s="33" t="n">
        <v>0.105670103092784</v>
      </c>
      <c r="L657" s="31" t="n">
        <v>60.9</v>
      </c>
      <c r="M657" s="34" t="s">
        <v>822</v>
      </c>
      <c r="N657" s="2" t="s">
        <v>24</v>
      </c>
      <c r="O657" s="2" t="s">
        <v>24</v>
      </c>
      <c r="P657" s="2" t="s">
        <v>24</v>
      </c>
      <c r="Q657" s="2" t="s">
        <v>24</v>
      </c>
    </row>
    <row r="658" customFormat="false" ht="15" hidden="false" customHeight="false" outlineLevel="0" collapsed="false">
      <c r="A658" s="2" t="s">
        <v>2862</v>
      </c>
      <c r="B658" s="2" t="s">
        <v>46</v>
      </c>
      <c r="C658" s="16"/>
      <c r="D658" s="29" t="n">
        <v>10090</v>
      </c>
      <c r="E658" s="2" t="s">
        <v>821</v>
      </c>
      <c r="F658" s="30" t="n">
        <v>3.27898909811695</v>
      </c>
      <c r="G658" s="31" t="n">
        <v>51.7</v>
      </c>
      <c r="H658" s="32" t="n">
        <v>0.147895335608646</v>
      </c>
      <c r="I658" s="31" t="n">
        <v>80.7</v>
      </c>
      <c r="J658" s="2" t="s">
        <v>2884</v>
      </c>
      <c r="K658" s="38"/>
      <c r="L658" s="31"/>
      <c r="M658" s="39" t="s">
        <v>832</v>
      </c>
      <c r="N658" s="2" t="s">
        <v>24</v>
      </c>
      <c r="O658" s="2" t="s">
        <v>24</v>
      </c>
      <c r="P658" s="2" t="s">
        <v>24</v>
      </c>
      <c r="Q658" s="2"/>
    </row>
    <row r="659" customFormat="false" ht="15" hidden="false" customHeight="false" outlineLevel="0" collapsed="false">
      <c r="A659" s="2" t="s">
        <v>2862</v>
      </c>
      <c r="B659" s="2" t="s">
        <v>47</v>
      </c>
      <c r="C659" s="14" t="s">
        <v>2863</v>
      </c>
      <c r="D659" s="42" t="n">
        <v>71299</v>
      </c>
      <c r="E659" s="2" t="s">
        <v>821</v>
      </c>
      <c r="F659" s="43" t="n">
        <v>0.259218221854444</v>
      </c>
      <c r="G659" s="31" t="n">
        <v>2.1</v>
      </c>
      <c r="H659" s="41" t="n">
        <v>0.103033772180882</v>
      </c>
      <c r="I659" s="31" t="n">
        <v>54.2</v>
      </c>
      <c r="J659" s="2" t="s">
        <v>2886</v>
      </c>
      <c r="K659" s="44" t="n">
        <v>0.127777777777778</v>
      </c>
      <c r="L659" s="31" t="n">
        <v>67.6</v>
      </c>
      <c r="M659" s="34" t="s">
        <v>822</v>
      </c>
      <c r="N659" s="2" t="s">
        <v>22</v>
      </c>
      <c r="O659" s="2" t="s">
        <v>22</v>
      </c>
      <c r="P659" s="2" t="s">
        <v>22</v>
      </c>
      <c r="Q659" s="2" t="s">
        <v>22</v>
      </c>
    </row>
    <row r="660" customFormat="false" ht="15" hidden="false" customHeight="false" outlineLevel="0" collapsed="false">
      <c r="A660" s="2" t="s">
        <v>1842</v>
      </c>
      <c r="B660" s="2" t="s">
        <v>45</v>
      </c>
      <c r="C660" s="16"/>
      <c r="D660" s="29" t="n">
        <v>16550</v>
      </c>
      <c r="E660" s="2" t="s">
        <v>821</v>
      </c>
      <c r="F660" s="30" t="n">
        <v>0.452628398791541</v>
      </c>
      <c r="G660" s="31" t="n">
        <v>35.9</v>
      </c>
      <c r="H660" s="32" t="n">
        <v>0.0866710439921208</v>
      </c>
      <c r="I660" s="31" t="n">
        <v>46.4</v>
      </c>
      <c r="J660" s="2" t="s">
        <v>2883</v>
      </c>
      <c r="K660" s="40" t="s">
        <v>857</v>
      </c>
      <c r="L660" s="31"/>
      <c r="M660" s="39" t="s">
        <v>832</v>
      </c>
      <c r="N660" s="2" t="s">
        <v>24</v>
      </c>
      <c r="O660" s="2" t="s">
        <v>24</v>
      </c>
      <c r="P660" s="2" t="s">
        <v>24</v>
      </c>
      <c r="Q660" s="2" t="s">
        <v>2885</v>
      </c>
    </row>
    <row r="661" customFormat="false" ht="15" hidden="false" customHeight="false" outlineLevel="0" collapsed="false">
      <c r="A661" s="2" t="s">
        <v>1842</v>
      </c>
      <c r="B661" s="2" t="s">
        <v>46</v>
      </c>
      <c r="C661" s="13" t="s">
        <v>1843</v>
      </c>
      <c r="D661" s="29" t="n">
        <v>223020</v>
      </c>
      <c r="E661" s="2" t="s">
        <v>827</v>
      </c>
      <c r="F661" s="30" t="n">
        <v>3.60458703255313</v>
      </c>
      <c r="G661" s="31" t="n">
        <v>58.3</v>
      </c>
      <c r="H661" s="32" t="n">
        <v>0.119297365119197</v>
      </c>
      <c r="I661" s="31" t="n">
        <v>71.3</v>
      </c>
      <c r="J661" s="2" t="s">
        <v>2888</v>
      </c>
      <c r="K661" s="33" t="n">
        <v>0.181630082763584</v>
      </c>
      <c r="L661" s="31" t="n">
        <v>64.5</v>
      </c>
      <c r="M661" s="34" t="s">
        <v>822</v>
      </c>
      <c r="N661" s="2" t="s">
        <v>24</v>
      </c>
      <c r="O661" s="2" t="s">
        <v>24</v>
      </c>
      <c r="P661" s="2" t="s">
        <v>24</v>
      </c>
      <c r="Q661" s="2" t="s">
        <v>24</v>
      </c>
    </row>
    <row r="662" customFormat="false" ht="15" hidden="false" customHeight="false" outlineLevel="0" collapsed="false">
      <c r="A662" s="2" t="s">
        <v>1842</v>
      </c>
      <c r="B662" s="2" t="s">
        <v>47</v>
      </c>
      <c r="C662" s="14" t="s">
        <v>2580</v>
      </c>
      <c r="D662" s="42" t="n">
        <v>23393</v>
      </c>
      <c r="E662" s="2" t="s">
        <v>821</v>
      </c>
      <c r="F662" s="43" t="n">
        <v>1.13166331808661</v>
      </c>
      <c r="G662" s="31" t="n">
        <v>44.1</v>
      </c>
      <c r="H662" s="41" t="n">
        <v>0.02143917561785</v>
      </c>
      <c r="I662" s="31" t="n">
        <v>17.2</v>
      </c>
      <c r="J662" s="2" t="s">
        <v>2886</v>
      </c>
      <c r="K662" s="44" t="n">
        <v>0.0432937181663837</v>
      </c>
      <c r="L662" s="31" t="n">
        <v>28.1</v>
      </c>
      <c r="M662" s="34" t="s">
        <v>822</v>
      </c>
      <c r="N662" s="2" t="s">
        <v>22</v>
      </c>
      <c r="O662" s="2" t="s">
        <v>22</v>
      </c>
      <c r="P662" s="2" t="s">
        <v>22</v>
      </c>
      <c r="Q662" s="2" t="s">
        <v>22</v>
      </c>
    </row>
    <row r="663" customFormat="false" ht="15" hidden="false" customHeight="false" outlineLevel="0" collapsed="false">
      <c r="A663" s="2" t="s">
        <v>1946</v>
      </c>
      <c r="B663" s="2" t="s">
        <v>45</v>
      </c>
      <c r="C663" s="16"/>
      <c r="D663" s="35"/>
      <c r="E663" s="2"/>
      <c r="F663" s="36"/>
      <c r="G663" s="31"/>
      <c r="H663" s="37"/>
      <c r="I663" s="31"/>
      <c r="J663" s="2"/>
      <c r="K663" s="38"/>
      <c r="L663" s="31"/>
      <c r="M663" s="39" t="s">
        <v>832</v>
      </c>
      <c r="N663" s="2"/>
      <c r="O663" s="2"/>
      <c r="P663" s="2"/>
      <c r="Q663" s="2"/>
    </row>
    <row r="664" customFormat="false" ht="15" hidden="false" customHeight="false" outlineLevel="0" collapsed="false">
      <c r="A664" s="2" t="s">
        <v>1946</v>
      </c>
      <c r="B664" s="2" t="s">
        <v>46</v>
      </c>
      <c r="C664" s="13" t="s">
        <v>1947</v>
      </c>
      <c r="D664" s="29" t="n">
        <v>5810</v>
      </c>
      <c r="E664" s="2" t="s">
        <v>825</v>
      </c>
      <c r="F664" s="30" t="n">
        <v>2.77418244406196</v>
      </c>
      <c r="G664" s="31" t="n">
        <v>43.2</v>
      </c>
      <c r="H664" s="48" t="n">
        <v>0.0974222896133434</v>
      </c>
      <c r="I664" s="31" t="n">
        <v>37.7</v>
      </c>
      <c r="J664" s="2" t="s">
        <v>2905</v>
      </c>
      <c r="K664" s="33" t="n">
        <v>0.016246953696182</v>
      </c>
      <c r="L664" s="31" t="n">
        <v>2.2</v>
      </c>
      <c r="M664" s="34" t="s">
        <v>822</v>
      </c>
      <c r="N664" s="2" t="s">
        <v>24</v>
      </c>
      <c r="O664" s="2" t="s">
        <v>24</v>
      </c>
      <c r="P664" s="2" t="s">
        <v>19</v>
      </c>
      <c r="Q664" s="2" t="s">
        <v>24</v>
      </c>
    </row>
    <row r="665" customFormat="false" ht="15" hidden="false" customHeight="false" outlineLevel="0" collapsed="false">
      <c r="A665" s="2" t="s">
        <v>1946</v>
      </c>
      <c r="B665" s="2" t="s">
        <v>47</v>
      </c>
      <c r="C665" s="14" t="s">
        <v>2836</v>
      </c>
      <c r="D665" s="42" t="n">
        <v>9604</v>
      </c>
      <c r="E665" s="2" t="s">
        <v>825</v>
      </c>
      <c r="F665" s="43" t="n">
        <v>0.366513952519783</v>
      </c>
      <c r="G665" s="31" t="n">
        <v>5.8</v>
      </c>
      <c r="H665" s="41" t="n">
        <v>0.107216970255937</v>
      </c>
      <c r="I665" s="31" t="n">
        <v>47.5</v>
      </c>
      <c r="J665" s="2" t="s">
        <v>2889</v>
      </c>
      <c r="K665" s="44" t="n">
        <v>0.171003717472119</v>
      </c>
      <c r="L665" s="31" t="n">
        <v>79</v>
      </c>
      <c r="M665" s="34" t="s">
        <v>822</v>
      </c>
      <c r="N665" s="2" t="s">
        <v>22</v>
      </c>
      <c r="O665" s="2" t="s">
        <v>22</v>
      </c>
      <c r="P665" s="2" t="s">
        <v>22</v>
      </c>
      <c r="Q665" s="2" t="s">
        <v>22</v>
      </c>
    </row>
    <row r="666" customFormat="false" ht="15" hidden="false" customHeight="false" outlineLevel="0" collapsed="false">
      <c r="A666" s="2" t="s">
        <v>2486</v>
      </c>
      <c r="B666" s="2" t="s">
        <v>45</v>
      </c>
      <c r="C666" s="16"/>
      <c r="D666" s="29" t="n">
        <v>84000</v>
      </c>
      <c r="E666" s="2" t="s">
        <v>821</v>
      </c>
      <c r="F666" s="30" t="n">
        <v>0.334511904761905</v>
      </c>
      <c r="G666" s="31" t="n">
        <v>22.3</v>
      </c>
      <c r="H666" s="32" t="n">
        <v>0.0618126659082291</v>
      </c>
      <c r="I666" s="31" t="n">
        <v>33.3</v>
      </c>
      <c r="J666" s="2" t="s">
        <v>2883</v>
      </c>
      <c r="K666" s="40" t="s">
        <v>857</v>
      </c>
      <c r="L666" s="31"/>
      <c r="M666" s="39" t="s">
        <v>832</v>
      </c>
      <c r="N666" s="2" t="s">
        <v>24</v>
      </c>
      <c r="O666" s="2" t="s">
        <v>24</v>
      </c>
      <c r="P666" s="2" t="s">
        <v>24</v>
      </c>
      <c r="Q666" s="2" t="s">
        <v>2885</v>
      </c>
    </row>
    <row r="667" customFormat="false" ht="15" hidden="false" customHeight="false" outlineLevel="0" collapsed="false">
      <c r="A667" s="2" t="s">
        <v>2486</v>
      </c>
      <c r="B667" s="2" t="s">
        <v>46</v>
      </c>
      <c r="C667" s="13" t="s">
        <v>3057</v>
      </c>
      <c r="D667" s="29" t="n">
        <v>11970</v>
      </c>
      <c r="E667" s="2" t="s">
        <v>821</v>
      </c>
      <c r="F667" s="30" t="n">
        <v>4.00401002506266</v>
      </c>
      <c r="G667" s="31" t="n">
        <v>64</v>
      </c>
      <c r="H667" s="32" t="n">
        <v>0.0793507664562669</v>
      </c>
      <c r="I667" s="31" t="n">
        <v>47.3</v>
      </c>
      <c r="J667" s="2" t="s">
        <v>2884</v>
      </c>
      <c r="K667" s="38"/>
      <c r="L667" s="31"/>
      <c r="M667" s="39" t="s">
        <v>832</v>
      </c>
      <c r="N667" s="2" t="s">
        <v>24</v>
      </c>
      <c r="O667" s="2" t="s">
        <v>24</v>
      </c>
      <c r="P667" s="2" t="s">
        <v>24</v>
      </c>
      <c r="Q667" s="2"/>
    </row>
    <row r="668" customFormat="false" ht="15" hidden="false" customHeight="false" outlineLevel="0" collapsed="false">
      <c r="A668" s="2" t="s">
        <v>2486</v>
      </c>
      <c r="B668" s="2" t="s">
        <v>47</v>
      </c>
      <c r="C668" s="13" t="s">
        <v>2487</v>
      </c>
      <c r="D668" s="29" t="n">
        <v>30890</v>
      </c>
      <c r="E668" s="2" t="s">
        <v>821</v>
      </c>
      <c r="F668" s="30" t="n">
        <v>1.41939138879896</v>
      </c>
      <c r="G668" s="31" t="n">
        <v>57.1</v>
      </c>
      <c r="H668" s="32" t="n">
        <v>0.0725694444444445</v>
      </c>
      <c r="I668" s="31" t="n">
        <v>37.3</v>
      </c>
      <c r="J668" s="2" t="s">
        <v>2886</v>
      </c>
      <c r="K668" s="33" t="n">
        <v>0.042332268370607</v>
      </c>
      <c r="L668" s="31" t="n">
        <v>27.4</v>
      </c>
      <c r="M668" s="34" t="s">
        <v>822</v>
      </c>
      <c r="N668" s="2" t="s">
        <v>24</v>
      </c>
      <c r="O668" s="2" t="s">
        <v>24</v>
      </c>
      <c r="P668" s="2" t="s">
        <v>24</v>
      </c>
      <c r="Q668" s="2" t="s">
        <v>24</v>
      </c>
    </row>
    <row r="669" customFormat="false" ht="15" hidden="false" customHeight="false" outlineLevel="0" collapsed="false">
      <c r="A669" s="2" t="s">
        <v>1161</v>
      </c>
      <c r="B669" s="2" t="s">
        <v>45</v>
      </c>
      <c r="C669" s="13" t="s">
        <v>1162</v>
      </c>
      <c r="D669" s="29" t="n">
        <v>273400</v>
      </c>
      <c r="E669" s="2" t="s">
        <v>827</v>
      </c>
      <c r="F669" s="30" t="n">
        <v>0.660248719824433</v>
      </c>
      <c r="G669" s="31" t="n">
        <v>59</v>
      </c>
      <c r="H669" s="32" t="n">
        <v>0.0476701410177805</v>
      </c>
      <c r="I669" s="31" t="n">
        <v>27.9</v>
      </c>
      <c r="J669" s="2" t="s">
        <v>2890</v>
      </c>
      <c r="K669" s="33" t="n">
        <v>0.133658834299664</v>
      </c>
      <c r="L669" s="31" t="n">
        <v>49.9</v>
      </c>
      <c r="M669" s="34" t="s">
        <v>822</v>
      </c>
      <c r="N669" s="2" t="s">
        <v>24</v>
      </c>
      <c r="O669" s="2" t="s">
        <v>24</v>
      </c>
      <c r="P669" s="2" t="s">
        <v>24</v>
      </c>
      <c r="Q669" s="2" t="s">
        <v>24</v>
      </c>
    </row>
    <row r="670" customFormat="false" ht="15" hidden="false" customHeight="false" outlineLevel="0" collapsed="false">
      <c r="A670" s="2" t="s">
        <v>1161</v>
      </c>
      <c r="B670" s="2" t="s">
        <v>46</v>
      </c>
      <c r="C670" s="13" t="s">
        <v>3058</v>
      </c>
      <c r="D670" s="29" t="n">
        <v>7380</v>
      </c>
      <c r="E670" s="2" t="s">
        <v>825</v>
      </c>
      <c r="F670" s="36"/>
      <c r="G670" s="31"/>
      <c r="H670" s="32" t="n">
        <v>0.0982142857142857</v>
      </c>
      <c r="I670" s="31" t="n">
        <v>39.6</v>
      </c>
      <c r="J670" s="2" t="s">
        <v>2905</v>
      </c>
      <c r="K670" s="33" t="n">
        <v>0.308571428571429</v>
      </c>
      <c r="L670" s="31" t="n">
        <v>90.5</v>
      </c>
      <c r="M670" s="39" t="s">
        <v>832</v>
      </c>
      <c r="N670" s="2" t="s">
        <v>24</v>
      </c>
      <c r="O670" s="2"/>
      <c r="P670" s="2" t="s">
        <v>24</v>
      </c>
      <c r="Q670" s="2" t="s">
        <v>24</v>
      </c>
    </row>
    <row r="671" customFormat="false" ht="15" hidden="false" customHeight="false" outlineLevel="0" collapsed="false">
      <c r="A671" s="2" t="s">
        <v>1161</v>
      </c>
      <c r="B671" s="2" t="s">
        <v>47</v>
      </c>
      <c r="C671" s="14" t="s">
        <v>2326</v>
      </c>
      <c r="D671" s="42" t="n">
        <v>48268</v>
      </c>
      <c r="E671" s="2" t="s">
        <v>821</v>
      </c>
      <c r="F671" s="43" t="n">
        <v>2.44232203530289</v>
      </c>
      <c r="G671" s="31" t="n">
        <v>83.6</v>
      </c>
      <c r="H671" s="41" t="n">
        <v>0.142383792483196</v>
      </c>
      <c r="I671" s="31" t="n">
        <v>73.1</v>
      </c>
      <c r="J671" s="2" t="s">
        <v>2886</v>
      </c>
      <c r="K671" s="44" t="n">
        <v>0.0923970432946146</v>
      </c>
      <c r="L671" s="31" t="n">
        <v>54.8</v>
      </c>
      <c r="M671" s="34" t="s">
        <v>822</v>
      </c>
      <c r="N671" s="2" t="s">
        <v>22</v>
      </c>
      <c r="O671" s="2" t="s">
        <v>22</v>
      </c>
      <c r="P671" s="2" t="s">
        <v>22</v>
      </c>
      <c r="Q671" s="2" t="s">
        <v>22</v>
      </c>
    </row>
    <row r="672" customFormat="false" ht="15" hidden="false" customHeight="false" outlineLevel="0" collapsed="false">
      <c r="A672" s="2" t="s">
        <v>2566</v>
      </c>
      <c r="B672" s="2" t="s">
        <v>45</v>
      </c>
      <c r="C672" s="13" t="s">
        <v>3059</v>
      </c>
      <c r="D672" s="29" t="n">
        <v>20980</v>
      </c>
      <c r="E672" s="2" t="s">
        <v>821</v>
      </c>
      <c r="F672" s="30" t="n">
        <v>0.302240228789323</v>
      </c>
      <c r="G672" s="31" t="n">
        <v>18.1</v>
      </c>
      <c r="H672" s="32" t="n">
        <v>0.211316397228637</v>
      </c>
      <c r="I672" s="31" t="n">
        <v>93.1</v>
      </c>
      <c r="J672" s="2" t="s">
        <v>2883</v>
      </c>
      <c r="K672" s="38"/>
      <c r="L672" s="31"/>
      <c r="M672" s="39" t="s">
        <v>832</v>
      </c>
      <c r="N672" s="2" t="s">
        <v>24</v>
      </c>
      <c r="O672" s="2" t="s">
        <v>24</v>
      </c>
      <c r="P672" s="2" t="s">
        <v>24</v>
      </c>
      <c r="Q672" s="2"/>
    </row>
    <row r="673" customFormat="false" ht="15" hidden="false" customHeight="false" outlineLevel="0" collapsed="false">
      <c r="A673" s="2" t="s">
        <v>2566</v>
      </c>
      <c r="B673" s="2" t="s">
        <v>46</v>
      </c>
      <c r="C673" s="13" t="s">
        <v>3060</v>
      </c>
      <c r="D673" s="29" t="n">
        <v>10980</v>
      </c>
      <c r="E673" s="2" t="s">
        <v>821</v>
      </c>
      <c r="F673" s="30" t="n">
        <v>0.765573770491803</v>
      </c>
      <c r="G673" s="31" t="n">
        <v>3.7</v>
      </c>
      <c r="H673" s="37"/>
      <c r="I673" s="31"/>
      <c r="J673" s="2"/>
      <c r="K673" s="33" t="n">
        <v>0.0751565762004175</v>
      </c>
      <c r="L673" s="31" t="n">
        <v>22.3</v>
      </c>
      <c r="M673" s="39" t="s">
        <v>832</v>
      </c>
      <c r="N673" s="2" t="s">
        <v>24</v>
      </c>
      <c r="O673" s="2" t="s">
        <v>24</v>
      </c>
      <c r="P673" s="2"/>
      <c r="Q673" s="2" t="s">
        <v>24</v>
      </c>
    </row>
    <row r="674" customFormat="false" ht="15" hidden="false" customHeight="false" outlineLevel="0" collapsed="false">
      <c r="A674" s="2" t="s">
        <v>2566</v>
      </c>
      <c r="B674" s="2" t="s">
        <v>47</v>
      </c>
      <c r="C674" s="14" t="s">
        <v>2567</v>
      </c>
      <c r="D674" s="42" t="n">
        <v>115475</v>
      </c>
      <c r="E674" s="2" t="s">
        <v>827</v>
      </c>
      <c r="F674" s="43" t="n">
        <v>1.19099372158476</v>
      </c>
      <c r="G674" s="31" t="n">
        <v>46.9</v>
      </c>
      <c r="H674" s="41" t="n">
        <v>0.22204819404612</v>
      </c>
      <c r="I674" s="31" t="n">
        <v>97.5</v>
      </c>
      <c r="J674" s="2" t="s">
        <v>2897</v>
      </c>
      <c r="K674" s="44" t="n">
        <v>0.149871170913255</v>
      </c>
      <c r="L674" s="31" t="n">
        <v>73.5</v>
      </c>
      <c r="M674" s="34" t="s">
        <v>822</v>
      </c>
      <c r="N674" s="2" t="s">
        <v>22</v>
      </c>
      <c r="O674" s="2" t="s">
        <v>22</v>
      </c>
      <c r="P674" s="2" t="s">
        <v>22</v>
      </c>
      <c r="Q674" s="2" t="s">
        <v>22</v>
      </c>
    </row>
    <row r="675" customFormat="false" ht="15" hidden="false" customHeight="false" outlineLevel="0" collapsed="false">
      <c r="A675" s="2" t="s">
        <v>448</v>
      </c>
      <c r="B675" s="2" t="s">
        <v>45</v>
      </c>
      <c r="C675" s="14" t="s">
        <v>1198</v>
      </c>
      <c r="D675" s="42" t="n">
        <v>21060</v>
      </c>
      <c r="E675" s="2" t="s">
        <v>821</v>
      </c>
      <c r="F675" s="43" t="n">
        <v>0.609259259259259</v>
      </c>
      <c r="G675" s="31" t="n">
        <v>54.8</v>
      </c>
      <c r="H675" s="41" t="n">
        <v>0.152330925804334</v>
      </c>
      <c r="I675" s="31" t="n">
        <v>76.6</v>
      </c>
      <c r="J675" s="2" t="s">
        <v>2883</v>
      </c>
      <c r="K675" s="44" t="n">
        <v>0.0200752823086575</v>
      </c>
      <c r="L675" s="31" t="n">
        <v>5.8</v>
      </c>
      <c r="M675" s="34" t="s">
        <v>822</v>
      </c>
      <c r="N675" s="2" t="s">
        <v>22</v>
      </c>
      <c r="O675" s="2" t="s">
        <v>22</v>
      </c>
      <c r="P675" s="2" t="s">
        <v>22</v>
      </c>
      <c r="Q675" s="2" t="s">
        <v>22</v>
      </c>
    </row>
    <row r="676" customFormat="false" ht="15" hidden="false" customHeight="false" outlineLevel="0" collapsed="false">
      <c r="A676" s="2" t="s">
        <v>448</v>
      </c>
      <c r="B676" s="2" t="s">
        <v>46</v>
      </c>
      <c r="C676" s="13" t="s">
        <v>2133</v>
      </c>
      <c r="D676" s="29" t="n">
        <v>56480</v>
      </c>
      <c r="E676" s="2" t="s">
        <v>821</v>
      </c>
      <c r="F676" s="30" t="n">
        <v>1.33314447592068</v>
      </c>
      <c r="G676" s="31" t="n">
        <v>11.8</v>
      </c>
      <c r="H676" s="32" t="n">
        <v>0.0246734397677794</v>
      </c>
      <c r="I676" s="31" t="n">
        <v>20</v>
      </c>
      <c r="J676" s="2" t="s">
        <v>2884</v>
      </c>
      <c r="K676" s="33" t="n">
        <v>0.124069478908189</v>
      </c>
      <c r="L676" s="31" t="n">
        <v>46.8</v>
      </c>
      <c r="M676" s="34" t="s">
        <v>822</v>
      </c>
      <c r="N676" s="2" t="s">
        <v>24</v>
      </c>
      <c r="O676" s="2" t="s">
        <v>24</v>
      </c>
      <c r="P676" s="2" t="s">
        <v>24</v>
      </c>
      <c r="Q676" s="2" t="s">
        <v>24</v>
      </c>
    </row>
    <row r="677" customFormat="false" ht="15" hidden="false" customHeight="false" outlineLevel="0" collapsed="false">
      <c r="A677" s="2" t="s">
        <v>448</v>
      </c>
      <c r="B677" s="2" t="s">
        <v>47</v>
      </c>
      <c r="C677" s="13" t="s">
        <v>2286</v>
      </c>
      <c r="D677" s="29" t="n">
        <v>8390</v>
      </c>
      <c r="E677" s="2" t="s">
        <v>825</v>
      </c>
      <c r="F677" s="30" t="n">
        <v>3.07079856972586</v>
      </c>
      <c r="G677" s="31" t="n">
        <v>89.6</v>
      </c>
      <c r="H677" s="32" t="n">
        <v>0.130727762803235</v>
      </c>
      <c r="I677" s="31" t="n">
        <v>58.8</v>
      </c>
      <c r="J677" s="2" t="s">
        <v>2889</v>
      </c>
      <c r="K677" s="33" t="n">
        <v>0.0661840744570838</v>
      </c>
      <c r="L677" s="31" t="n">
        <v>42.7</v>
      </c>
      <c r="M677" s="34" t="s">
        <v>822</v>
      </c>
      <c r="N677" s="2" t="s">
        <v>24</v>
      </c>
      <c r="O677" s="2" t="s">
        <v>24</v>
      </c>
      <c r="P677" s="2" t="s">
        <v>24</v>
      </c>
      <c r="Q677" s="2" t="s">
        <v>24</v>
      </c>
    </row>
    <row r="678" customFormat="false" ht="15" hidden="false" customHeight="false" outlineLevel="0" collapsed="false">
      <c r="A678" s="2" t="s">
        <v>618</v>
      </c>
      <c r="B678" s="2" t="s">
        <v>47</v>
      </c>
      <c r="C678" s="14" t="s">
        <v>2617</v>
      </c>
      <c r="D678" s="42" t="n">
        <v>64629</v>
      </c>
      <c r="E678" s="2" t="s">
        <v>821</v>
      </c>
      <c r="F678" s="43" t="n">
        <v>0.97675965897662</v>
      </c>
      <c r="G678" s="31" t="n">
        <v>37.9</v>
      </c>
      <c r="H678" s="41" t="n">
        <v>0.0620860791112718</v>
      </c>
      <c r="I678" s="31" t="n">
        <v>33.4</v>
      </c>
      <c r="J678" s="2" t="s">
        <v>2886</v>
      </c>
      <c r="K678" s="44" t="n">
        <v>0.355387029288703</v>
      </c>
      <c r="L678" s="31" t="n">
        <v>98.4</v>
      </c>
      <c r="M678" s="34" t="s">
        <v>822</v>
      </c>
      <c r="N678" s="2" t="s">
        <v>22</v>
      </c>
      <c r="O678" s="2" t="s">
        <v>22</v>
      </c>
      <c r="P678" s="2" t="s">
        <v>22</v>
      </c>
      <c r="Q678" s="2" t="s">
        <v>22</v>
      </c>
    </row>
    <row r="679" customFormat="false" ht="15" hidden="false" customHeight="false" outlineLevel="0" collapsed="false">
      <c r="A679" s="2" t="s">
        <v>3061</v>
      </c>
      <c r="B679" s="2" t="s">
        <v>45</v>
      </c>
      <c r="C679" s="13" t="s">
        <v>3062</v>
      </c>
      <c r="D679" s="29" t="n">
        <v>3060</v>
      </c>
      <c r="E679" s="2" t="s">
        <v>825</v>
      </c>
      <c r="F679" s="30" t="n">
        <v>0.295424836601307</v>
      </c>
      <c r="G679" s="31" t="n">
        <v>16.8</v>
      </c>
      <c r="H679" s="37"/>
      <c r="I679" s="31"/>
      <c r="J679" s="2"/>
      <c r="K679" s="33" t="n">
        <v>0.0666666666666667</v>
      </c>
      <c r="L679" s="31" t="n">
        <v>22.6</v>
      </c>
      <c r="M679" s="39" t="s">
        <v>832</v>
      </c>
      <c r="N679" s="2" t="s">
        <v>24</v>
      </c>
      <c r="O679" s="2" t="s">
        <v>24</v>
      </c>
      <c r="P679" s="2"/>
      <c r="Q679" s="2" t="s">
        <v>24</v>
      </c>
    </row>
    <row r="680" customFormat="false" ht="15" hidden="false" customHeight="false" outlineLevel="0" collapsed="false">
      <c r="A680" s="2" t="s">
        <v>3061</v>
      </c>
      <c r="B680" s="2" t="s">
        <v>46</v>
      </c>
      <c r="C680" s="16"/>
      <c r="D680" s="46" t="n">
        <v>106269</v>
      </c>
      <c r="E680" s="2" t="s">
        <v>827</v>
      </c>
      <c r="F680" s="47" t="n">
        <v>6.38188935625629</v>
      </c>
      <c r="G680" s="31" t="n">
        <v>82.3</v>
      </c>
      <c r="H680" s="48" t="n">
        <v>0.022121978666718</v>
      </c>
      <c r="I680" s="31" t="n">
        <v>21.7</v>
      </c>
      <c r="J680" s="2" t="s">
        <v>2888</v>
      </c>
      <c r="K680" s="38"/>
      <c r="L680" s="31"/>
      <c r="M680" s="39" t="s">
        <v>832</v>
      </c>
      <c r="N680" s="2" t="s">
        <v>19</v>
      </c>
      <c r="O680" s="2" t="s">
        <v>19</v>
      </c>
      <c r="P680" s="2" t="s">
        <v>19</v>
      </c>
      <c r="Q680" s="2"/>
    </row>
    <row r="681" customFormat="false" ht="15" hidden="false" customHeight="false" outlineLevel="0" collapsed="false">
      <c r="A681" s="2" t="s">
        <v>260</v>
      </c>
      <c r="B681" s="2" t="s">
        <v>47</v>
      </c>
      <c r="C681" s="14" t="s">
        <v>2425</v>
      </c>
      <c r="D681" s="42" t="n">
        <v>656872</v>
      </c>
      <c r="E681" s="2" t="s">
        <v>827</v>
      </c>
      <c r="F681" s="43" t="n">
        <v>1.66513262857908</v>
      </c>
      <c r="G681" s="31" t="n">
        <v>66.8</v>
      </c>
      <c r="H681" s="41" t="n">
        <v>-0.0395681454643284</v>
      </c>
      <c r="I681" s="31" t="n">
        <v>7.5</v>
      </c>
      <c r="J681" s="2" t="s">
        <v>2897</v>
      </c>
      <c r="K681" s="44" t="n">
        <v>0.0749706227967098</v>
      </c>
      <c r="L681" s="31" t="n">
        <v>46.6</v>
      </c>
      <c r="M681" s="34" t="s">
        <v>822</v>
      </c>
      <c r="N681" s="2" t="s">
        <v>22</v>
      </c>
      <c r="O681" s="2" t="s">
        <v>22</v>
      </c>
      <c r="P681" s="2" t="s">
        <v>22</v>
      </c>
      <c r="Q681" s="2" t="s">
        <v>22</v>
      </c>
    </row>
    <row r="682" customFormat="false" ht="15" hidden="false" customHeight="false" outlineLevel="0" collapsed="false">
      <c r="A682" s="2" t="s">
        <v>918</v>
      </c>
      <c r="B682" s="2" t="s">
        <v>45</v>
      </c>
      <c r="C682" s="13" t="s">
        <v>919</v>
      </c>
      <c r="D682" s="29" t="n">
        <v>75760</v>
      </c>
      <c r="E682" s="2" t="s">
        <v>821</v>
      </c>
      <c r="F682" s="30" t="n">
        <v>1.48268215417107</v>
      </c>
      <c r="G682" s="31" t="n">
        <v>89</v>
      </c>
      <c r="H682" s="32" t="n">
        <v>0.109548916227299</v>
      </c>
      <c r="I682" s="31" t="n">
        <v>59.1</v>
      </c>
      <c r="J682" s="2" t="s">
        <v>2883</v>
      </c>
      <c r="K682" s="33" t="n">
        <v>0.0503965631196299</v>
      </c>
      <c r="L682" s="31" t="n">
        <v>15.4</v>
      </c>
      <c r="M682" s="34" t="s">
        <v>822</v>
      </c>
      <c r="N682" s="2" t="s">
        <v>24</v>
      </c>
      <c r="O682" s="2" t="s">
        <v>24</v>
      </c>
      <c r="P682" s="2" t="s">
        <v>24</v>
      </c>
      <c r="Q682" s="2" t="s">
        <v>24</v>
      </c>
    </row>
    <row r="683" customFormat="false" ht="15" hidden="false" customHeight="false" outlineLevel="0" collapsed="false">
      <c r="A683" s="2" t="s">
        <v>918</v>
      </c>
      <c r="B683" s="2" t="s">
        <v>46</v>
      </c>
      <c r="C683" s="13" t="s">
        <v>2005</v>
      </c>
      <c r="D683" s="29" t="n">
        <v>47590</v>
      </c>
      <c r="E683" s="2" t="s">
        <v>821</v>
      </c>
      <c r="F683" s="30" t="n">
        <v>2.31920571548645</v>
      </c>
      <c r="G683" s="31" t="n">
        <v>33.2</v>
      </c>
      <c r="H683" s="32" t="n">
        <v>0.0830678197542103</v>
      </c>
      <c r="I683" s="31" t="n">
        <v>49.5</v>
      </c>
      <c r="J683" s="2" t="s">
        <v>2884</v>
      </c>
      <c r="K683" s="33" t="n">
        <v>0.0208217656857302</v>
      </c>
      <c r="L683" s="31" t="n">
        <v>3.8</v>
      </c>
      <c r="M683" s="34" t="s">
        <v>822</v>
      </c>
      <c r="N683" s="2" t="s">
        <v>24</v>
      </c>
      <c r="O683" s="2" t="s">
        <v>24</v>
      </c>
      <c r="P683" s="2" t="s">
        <v>24</v>
      </c>
      <c r="Q683" s="2" t="s">
        <v>24</v>
      </c>
    </row>
    <row r="684" customFormat="false" ht="15" hidden="false" customHeight="false" outlineLevel="0" collapsed="false">
      <c r="A684" s="2" t="s">
        <v>918</v>
      </c>
      <c r="B684" s="2" t="s">
        <v>47</v>
      </c>
      <c r="C684" s="15" t="s">
        <v>3063</v>
      </c>
      <c r="D684" s="46" t="n">
        <v>57124</v>
      </c>
      <c r="E684" s="2" t="s">
        <v>821</v>
      </c>
      <c r="F684" s="47" t="n">
        <v>0.667250192563546</v>
      </c>
      <c r="G684" s="31" t="n">
        <v>20.6</v>
      </c>
      <c r="H684" s="48" t="n">
        <v>0.0556818391824213</v>
      </c>
      <c r="I684" s="31" t="n">
        <v>31.2</v>
      </c>
      <c r="J684" s="2" t="s">
        <v>2886</v>
      </c>
      <c r="K684" s="38"/>
      <c r="L684" s="31"/>
      <c r="M684" s="39" t="s">
        <v>832</v>
      </c>
      <c r="N684" s="2" t="s">
        <v>19</v>
      </c>
      <c r="O684" s="2" t="s">
        <v>19</v>
      </c>
      <c r="P684" s="2" t="s">
        <v>19</v>
      </c>
      <c r="Q684" s="2"/>
    </row>
    <row r="685" customFormat="false" ht="15" hidden="false" customHeight="false" outlineLevel="0" collapsed="false">
      <c r="A685" s="2" t="s">
        <v>778</v>
      </c>
      <c r="B685" s="2" t="s">
        <v>47</v>
      </c>
      <c r="C685" s="14" t="s">
        <v>2766</v>
      </c>
      <c r="D685" s="42" t="n">
        <v>13378</v>
      </c>
      <c r="E685" s="2" t="s">
        <v>821</v>
      </c>
      <c r="F685" s="43" t="n">
        <v>0.568545373000449</v>
      </c>
      <c r="G685" s="31" t="n">
        <v>16.4</v>
      </c>
      <c r="H685" s="41" t="n">
        <v>-0.0365836093907533</v>
      </c>
      <c r="I685" s="31" t="n">
        <v>4.2</v>
      </c>
      <c r="J685" s="2" t="s">
        <v>2886</v>
      </c>
      <c r="K685" s="44" t="n">
        <v>0.0613107822410148</v>
      </c>
      <c r="L685" s="31" t="n">
        <v>39.4</v>
      </c>
      <c r="M685" s="34" t="s">
        <v>822</v>
      </c>
      <c r="N685" s="2" t="s">
        <v>22</v>
      </c>
      <c r="O685" s="2" t="s">
        <v>22</v>
      </c>
      <c r="P685" s="2" t="s">
        <v>22</v>
      </c>
      <c r="Q685" s="2" t="s">
        <v>22</v>
      </c>
    </row>
    <row r="686" customFormat="false" ht="15" hidden="false" customHeight="false" outlineLevel="0" collapsed="false">
      <c r="A686" s="2" t="s">
        <v>274</v>
      </c>
      <c r="B686" s="2" t="s">
        <v>45</v>
      </c>
      <c r="C686" s="13" t="s">
        <v>1210</v>
      </c>
      <c r="D686" s="29" t="n">
        <v>42310</v>
      </c>
      <c r="E686" s="2" t="s">
        <v>821</v>
      </c>
      <c r="F686" s="30" t="n">
        <v>0.591798629165682</v>
      </c>
      <c r="G686" s="31" t="n">
        <v>52.9</v>
      </c>
      <c r="H686" s="32" t="n">
        <v>0.233887430737824</v>
      </c>
      <c r="I686" s="31" t="n">
        <v>96.9</v>
      </c>
      <c r="J686" s="2" t="s">
        <v>2883</v>
      </c>
      <c r="K686" s="33" t="n">
        <v>0.194295900178253</v>
      </c>
      <c r="L686" s="31" t="n">
        <v>71.6</v>
      </c>
      <c r="M686" s="34" t="s">
        <v>822</v>
      </c>
      <c r="N686" s="2" t="s">
        <v>24</v>
      </c>
      <c r="O686" s="2" t="s">
        <v>24</v>
      </c>
      <c r="P686" s="2" t="s">
        <v>24</v>
      </c>
      <c r="Q686" s="2" t="s">
        <v>24</v>
      </c>
    </row>
    <row r="687" customFormat="false" ht="15" hidden="false" customHeight="false" outlineLevel="0" collapsed="false">
      <c r="A687" s="2" t="s">
        <v>274</v>
      </c>
      <c r="B687" s="2" t="s">
        <v>46</v>
      </c>
      <c r="C687" s="13" t="s">
        <v>1608</v>
      </c>
      <c r="D687" s="29" t="n">
        <v>844210</v>
      </c>
      <c r="E687" s="2" t="s">
        <v>827</v>
      </c>
      <c r="F687" s="30" t="n">
        <v>15.9878039824214</v>
      </c>
      <c r="G687" s="31" t="n">
        <v>98.6</v>
      </c>
      <c r="H687" s="32" t="n">
        <v>0.050744299512098</v>
      </c>
      <c r="I687" s="31" t="n">
        <v>35.7</v>
      </c>
      <c r="J687" s="2" t="s">
        <v>2888</v>
      </c>
      <c r="K687" s="33" t="n">
        <v>0.0563931705003557</v>
      </c>
      <c r="L687" s="31" t="n">
        <v>13.7</v>
      </c>
      <c r="M687" s="34" t="s">
        <v>822</v>
      </c>
      <c r="N687" s="2" t="s">
        <v>24</v>
      </c>
      <c r="O687" s="2" t="s">
        <v>24</v>
      </c>
      <c r="P687" s="2" t="s">
        <v>24</v>
      </c>
      <c r="Q687" s="2" t="s">
        <v>24</v>
      </c>
    </row>
    <row r="688" customFormat="false" ht="15" hidden="false" customHeight="false" outlineLevel="0" collapsed="false">
      <c r="A688" s="2" t="s">
        <v>274</v>
      </c>
      <c r="B688" s="2" t="s">
        <v>47</v>
      </c>
      <c r="C688" s="14" t="s">
        <v>2578</v>
      </c>
      <c r="D688" s="42" t="n">
        <v>313608</v>
      </c>
      <c r="E688" s="2" t="s">
        <v>827</v>
      </c>
      <c r="F688" s="43" t="n">
        <v>1.1343970817071</v>
      </c>
      <c r="G688" s="31" t="n">
        <v>44.6</v>
      </c>
      <c r="H688" s="41" t="n">
        <v>0.0699546918499918</v>
      </c>
      <c r="I688" s="31" t="n">
        <v>41.6</v>
      </c>
      <c r="J688" s="2" t="s">
        <v>2897</v>
      </c>
      <c r="K688" s="44" t="n">
        <v>0.0619141914191419</v>
      </c>
      <c r="L688" s="31" t="n">
        <v>40</v>
      </c>
      <c r="M688" s="34" t="s">
        <v>822</v>
      </c>
      <c r="N688" s="2" t="s">
        <v>22</v>
      </c>
      <c r="O688" s="2" t="s">
        <v>22</v>
      </c>
      <c r="P688" s="2" t="s">
        <v>22</v>
      </c>
      <c r="Q688" s="2" t="s">
        <v>22</v>
      </c>
    </row>
    <row r="689" customFormat="false" ht="15" hidden="false" customHeight="false" outlineLevel="0" collapsed="false">
      <c r="A689" s="2" t="s">
        <v>522</v>
      </c>
      <c r="B689" s="2" t="s">
        <v>45</v>
      </c>
      <c r="C689" s="14" t="s">
        <v>1452</v>
      </c>
      <c r="D689" s="42" t="n">
        <v>240672</v>
      </c>
      <c r="E689" s="2" t="s">
        <v>827</v>
      </c>
      <c r="F689" s="43" t="n">
        <v>0.324030215396889</v>
      </c>
      <c r="G689" s="31" t="n">
        <v>20.2</v>
      </c>
      <c r="H689" s="41" t="n">
        <v>0.138176624703245</v>
      </c>
      <c r="I689" s="31" t="n">
        <v>77.9</v>
      </c>
      <c r="J689" s="2" t="s">
        <v>2890</v>
      </c>
      <c r="K689" s="44" t="n">
        <v>0.00769026783346593</v>
      </c>
      <c r="L689" s="31" t="n">
        <v>2.6</v>
      </c>
      <c r="M689" s="34" t="s">
        <v>822</v>
      </c>
      <c r="N689" s="2" t="s">
        <v>22</v>
      </c>
      <c r="O689" s="2" t="s">
        <v>22</v>
      </c>
      <c r="P689" s="2" t="s">
        <v>22</v>
      </c>
      <c r="Q689" s="2" t="s">
        <v>22</v>
      </c>
    </row>
    <row r="690" customFormat="false" ht="15" hidden="false" customHeight="false" outlineLevel="0" collapsed="false">
      <c r="A690" s="2" t="s">
        <v>522</v>
      </c>
      <c r="B690" s="2" t="s">
        <v>46</v>
      </c>
      <c r="C690" s="14" t="s">
        <v>1844</v>
      </c>
      <c r="D690" s="42" t="n">
        <v>144788</v>
      </c>
      <c r="E690" s="2" t="s">
        <v>827</v>
      </c>
      <c r="F690" s="43" t="n">
        <v>3.58869519573445</v>
      </c>
      <c r="G690" s="31" t="n">
        <v>58</v>
      </c>
      <c r="H690" s="41" t="n">
        <v>0.0551215530810937</v>
      </c>
      <c r="I690" s="31" t="n">
        <v>39.5</v>
      </c>
      <c r="J690" s="2" t="s">
        <v>2888</v>
      </c>
      <c r="K690" s="44" t="n">
        <v>0.0785616493516953</v>
      </c>
      <c r="L690" s="31" t="n">
        <v>24.7</v>
      </c>
      <c r="M690" s="34" t="s">
        <v>822</v>
      </c>
      <c r="N690" s="2" t="s">
        <v>22</v>
      </c>
      <c r="O690" s="2" t="s">
        <v>22</v>
      </c>
      <c r="P690" s="2" t="s">
        <v>22</v>
      </c>
      <c r="Q690" s="2" t="s">
        <v>22</v>
      </c>
    </row>
    <row r="691" customFormat="false" ht="15" hidden="false" customHeight="false" outlineLevel="0" collapsed="false">
      <c r="A691" s="2" t="s">
        <v>522</v>
      </c>
      <c r="B691" s="2" t="s">
        <v>47</v>
      </c>
      <c r="C691" s="13" t="s">
        <v>2467</v>
      </c>
      <c r="D691" s="29" t="n">
        <v>33630</v>
      </c>
      <c r="E691" s="2" t="s">
        <v>821</v>
      </c>
      <c r="F691" s="30" t="n">
        <v>1.52200416294975</v>
      </c>
      <c r="G691" s="31" t="n">
        <v>60.8</v>
      </c>
      <c r="H691" s="32" t="n">
        <v>-0.079890560875513</v>
      </c>
      <c r="I691" s="31" t="n">
        <v>0.6</v>
      </c>
      <c r="J691" s="2" t="s">
        <v>2886</v>
      </c>
      <c r="K691" s="33" t="n">
        <v>0.154898741105638</v>
      </c>
      <c r="L691" s="31" t="n">
        <v>74.7</v>
      </c>
      <c r="M691" s="34" t="s">
        <v>822</v>
      </c>
      <c r="N691" s="2" t="s">
        <v>24</v>
      </c>
      <c r="O691" s="2" t="s">
        <v>24</v>
      </c>
      <c r="P691" s="2" t="s">
        <v>24</v>
      </c>
      <c r="Q691" s="2" t="s">
        <v>24</v>
      </c>
    </row>
    <row r="692" customFormat="false" ht="15" hidden="false" customHeight="false" outlineLevel="0" collapsed="false">
      <c r="A692" s="2" t="s">
        <v>2313</v>
      </c>
      <c r="B692" s="2" t="s">
        <v>45</v>
      </c>
      <c r="C692" s="16"/>
      <c r="D692" s="35"/>
      <c r="E692" s="2"/>
      <c r="F692" s="36"/>
      <c r="G692" s="31"/>
      <c r="H692" s="37"/>
      <c r="I692" s="31"/>
      <c r="J692" s="2"/>
      <c r="K692" s="38"/>
      <c r="L692" s="31"/>
      <c r="M692" s="39" t="s">
        <v>832</v>
      </c>
      <c r="N692" s="2"/>
      <c r="O692" s="2"/>
      <c r="P692" s="2"/>
      <c r="Q692" s="2"/>
    </row>
    <row r="693" customFormat="false" ht="15" hidden="false" customHeight="false" outlineLevel="0" collapsed="false">
      <c r="A693" s="2" t="s">
        <v>2313</v>
      </c>
      <c r="B693" s="2" t="s">
        <v>46</v>
      </c>
      <c r="C693" s="15" t="s">
        <v>3064</v>
      </c>
      <c r="D693" s="46" t="n">
        <v>21501</v>
      </c>
      <c r="E693" s="2" t="s">
        <v>821</v>
      </c>
      <c r="F693" s="47" t="n">
        <v>2.38523789591182</v>
      </c>
      <c r="G693" s="31" t="n">
        <v>34.8</v>
      </c>
      <c r="H693" s="48" t="n">
        <v>0.0635635140482786</v>
      </c>
      <c r="I693" s="31" t="n">
        <v>36.7</v>
      </c>
      <c r="J693" s="2" t="s">
        <v>2884</v>
      </c>
      <c r="K693" s="38"/>
      <c r="L693" s="31"/>
      <c r="M693" s="39" t="s">
        <v>832</v>
      </c>
      <c r="N693" s="2" t="s">
        <v>19</v>
      </c>
      <c r="O693" s="2" t="s">
        <v>19</v>
      </c>
      <c r="P693" s="2" t="s">
        <v>19</v>
      </c>
      <c r="Q693" s="2"/>
    </row>
    <row r="694" customFormat="false" ht="15" hidden="false" customHeight="false" outlineLevel="0" collapsed="false">
      <c r="A694" s="2" t="s">
        <v>2313</v>
      </c>
      <c r="B694" s="2" t="s">
        <v>47</v>
      </c>
      <c r="C694" s="14" t="s">
        <v>2314</v>
      </c>
      <c r="D694" s="42" t="n">
        <v>9194</v>
      </c>
      <c r="E694" s="2" t="s">
        <v>825</v>
      </c>
      <c r="F694" s="43" t="n">
        <v>2.57678921035458</v>
      </c>
      <c r="G694" s="31" t="n">
        <v>85.4</v>
      </c>
      <c r="H694" s="41" t="n">
        <v>0.111594728569701</v>
      </c>
      <c r="I694" s="31" t="n">
        <v>50</v>
      </c>
      <c r="J694" s="2" t="s">
        <v>2889</v>
      </c>
      <c r="K694" s="44" t="n">
        <v>0.0775316455696203</v>
      </c>
      <c r="L694" s="31" t="n">
        <v>48.2</v>
      </c>
      <c r="M694" s="34" t="s">
        <v>822</v>
      </c>
      <c r="N694" s="2" t="s">
        <v>22</v>
      </c>
      <c r="O694" s="2" t="s">
        <v>22</v>
      </c>
      <c r="P694" s="2" t="s">
        <v>22</v>
      </c>
      <c r="Q694" s="2" t="s">
        <v>22</v>
      </c>
    </row>
    <row r="695" customFormat="false" ht="15" hidden="false" customHeight="false" outlineLevel="0" collapsed="false">
      <c r="A695" s="2" t="s">
        <v>1182</v>
      </c>
      <c r="B695" s="2" t="s">
        <v>45</v>
      </c>
      <c r="C695" s="13" t="s">
        <v>1183</v>
      </c>
      <c r="D695" s="29" t="n">
        <v>51300</v>
      </c>
      <c r="E695" s="2" t="s">
        <v>821</v>
      </c>
      <c r="F695" s="30" t="n">
        <v>0.620311890838207</v>
      </c>
      <c r="G695" s="31" t="n">
        <v>56.7</v>
      </c>
      <c r="H695" s="32" t="n">
        <v>-0.0295119182746879</v>
      </c>
      <c r="I695" s="31" t="n">
        <v>3.4</v>
      </c>
      <c r="J695" s="2" t="s">
        <v>2883</v>
      </c>
      <c r="K695" s="33" t="n">
        <v>0.3375</v>
      </c>
      <c r="L695" s="31" t="n">
        <v>94.6</v>
      </c>
      <c r="M695" s="34" t="s">
        <v>822</v>
      </c>
      <c r="N695" s="2" t="s">
        <v>24</v>
      </c>
      <c r="O695" s="2" t="s">
        <v>24</v>
      </c>
      <c r="P695" s="2" t="s">
        <v>24</v>
      </c>
      <c r="Q695" s="2" t="s">
        <v>24</v>
      </c>
    </row>
    <row r="696" customFormat="false" ht="15" hidden="false" customHeight="false" outlineLevel="0" collapsed="false">
      <c r="A696" s="2" t="s">
        <v>1182</v>
      </c>
      <c r="B696" s="2" t="s">
        <v>46</v>
      </c>
      <c r="C696" s="13" t="s">
        <v>3065</v>
      </c>
      <c r="D696" s="29" t="n">
        <v>29100</v>
      </c>
      <c r="E696" s="2" t="s">
        <v>821</v>
      </c>
      <c r="F696" s="36"/>
      <c r="G696" s="31"/>
      <c r="H696" s="32" t="n">
        <v>-0.182354593987075</v>
      </c>
      <c r="I696" s="31" t="n">
        <v>0.4</v>
      </c>
      <c r="J696" s="2" t="s">
        <v>2884</v>
      </c>
      <c r="K696" s="33" t="n">
        <v>0.0773034448656667</v>
      </c>
      <c r="L696" s="31" t="n">
        <v>24.3</v>
      </c>
      <c r="M696" s="39" t="s">
        <v>832</v>
      </c>
      <c r="N696" s="2" t="s">
        <v>24</v>
      </c>
      <c r="O696" s="2"/>
      <c r="P696" s="2" t="s">
        <v>24</v>
      </c>
      <c r="Q696" s="2" t="s">
        <v>24</v>
      </c>
    </row>
    <row r="697" customFormat="false" ht="15" hidden="false" customHeight="false" outlineLevel="0" collapsed="false">
      <c r="A697" s="2" t="s">
        <v>1182</v>
      </c>
      <c r="B697" s="2" t="s">
        <v>47</v>
      </c>
      <c r="C697" s="13" t="s">
        <v>2867</v>
      </c>
      <c r="D697" s="29" t="n">
        <v>18800</v>
      </c>
      <c r="E697" s="2" t="s">
        <v>821</v>
      </c>
      <c r="F697" s="30" t="n">
        <v>0.228882978723404</v>
      </c>
      <c r="G697" s="31" t="n">
        <v>1.2</v>
      </c>
      <c r="H697" s="32" t="n">
        <v>0.0273224043715847</v>
      </c>
      <c r="I697" s="31" t="n">
        <v>20.5</v>
      </c>
      <c r="J697" s="2" t="s">
        <v>2886</v>
      </c>
      <c r="K697" s="33" t="n">
        <v>0.267857142857143</v>
      </c>
      <c r="L697" s="31" t="n">
        <v>93.7</v>
      </c>
      <c r="M697" s="34" t="s">
        <v>822</v>
      </c>
      <c r="N697" s="2" t="s">
        <v>24</v>
      </c>
      <c r="O697" s="2" t="s">
        <v>24</v>
      </c>
      <c r="P697" s="2" t="s">
        <v>24</v>
      </c>
      <c r="Q697" s="2" t="s">
        <v>24</v>
      </c>
    </row>
    <row r="698" customFormat="false" ht="15" hidden="false" customHeight="false" outlineLevel="0" collapsed="false">
      <c r="A698" s="2" t="s">
        <v>1458</v>
      </c>
      <c r="B698" s="2" t="s">
        <v>45</v>
      </c>
      <c r="C698" s="13" t="s">
        <v>1459</v>
      </c>
      <c r="D698" s="29" t="n">
        <v>67150</v>
      </c>
      <c r="E698" s="2" t="s">
        <v>821</v>
      </c>
      <c r="F698" s="30" t="n">
        <v>0.308518242740134</v>
      </c>
      <c r="G698" s="31" t="n">
        <v>19.1</v>
      </c>
      <c r="H698" s="32" t="n">
        <v>0.0521780006267628</v>
      </c>
      <c r="I698" s="31" t="n">
        <v>28.9</v>
      </c>
      <c r="J698" s="2" t="s">
        <v>2883</v>
      </c>
      <c r="K698" s="33" t="n">
        <v>0.120165745856354</v>
      </c>
      <c r="L698" s="31" t="n">
        <v>44.8</v>
      </c>
      <c r="M698" s="34" t="s">
        <v>822</v>
      </c>
      <c r="N698" s="2" t="s">
        <v>24</v>
      </c>
      <c r="O698" s="2" t="s">
        <v>24</v>
      </c>
      <c r="P698" s="2" t="s">
        <v>24</v>
      </c>
      <c r="Q698" s="2" t="s">
        <v>24</v>
      </c>
    </row>
    <row r="699" customFormat="false" ht="15" hidden="false" customHeight="false" outlineLevel="0" collapsed="false">
      <c r="A699" s="2" t="s">
        <v>1458</v>
      </c>
      <c r="B699" s="2" t="s">
        <v>46</v>
      </c>
      <c r="C699" s="13" t="s">
        <v>1744</v>
      </c>
      <c r="D699" s="29" t="n">
        <v>171000</v>
      </c>
      <c r="E699" s="2" t="s">
        <v>827</v>
      </c>
      <c r="F699" s="30" t="n">
        <v>5.26343859649123</v>
      </c>
      <c r="G699" s="31" t="n">
        <v>74.3</v>
      </c>
      <c r="H699" s="32" t="n">
        <v>0.031425297062549</v>
      </c>
      <c r="I699" s="31" t="n">
        <v>25.5</v>
      </c>
      <c r="J699" s="2" t="s">
        <v>2888</v>
      </c>
      <c r="K699" s="33" t="n">
        <v>0.242300578374094</v>
      </c>
      <c r="L699" s="31" t="n">
        <v>80.4</v>
      </c>
      <c r="M699" s="34" t="s">
        <v>822</v>
      </c>
      <c r="N699" s="2" t="s">
        <v>24</v>
      </c>
      <c r="O699" s="2" t="s">
        <v>24</v>
      </c>
      <c r="P699" s="2" t="s">
        <v>24</v>
      </c>
      <c r="Q699" s="2" t="s">
        <v>24</v>
      </c>
    </row>
    <row r="700" customFormat="false" ht="15" hidden="false" customHeight="false" outlineLevel="0" collapsed="false">
      <c r="A700" s="2" t="s">
        <v>1458</v>
      </c>
      <c r="B700" s="2" t="s">
        <v>47</v>
      </c>
      <c r="C700" s="14" t="s">
        <v>3066</v>
      </c>
      <c r="D700" s="42" t="n">
        <v>121293</v>
      </c>
      <c r="E700" s="2" t="s">
        <v>827</v>
      </c>
      <c r="F700" s="43" t="n">
        <v>0.411466449011897</v>
      </c>
      <c r="G700" s="31" t="n">
        <v>8.6</v>
      </c>
      <c r="H700" s="41" t="n">
        <v>0.172105563232608</v>
      </c>
      <c r="I700" s="31" t="n">
        <v>88.8</v>
      </c>
      <c r="J700" s="2" t="s">
        <v>2897</v>
      </c>
      <c r="K700" s="38"/>
      <c r="L700" s="31"/>
      <c r="M700" s="39" t="s">
        <v>832</v>
      </c>
      <c r="N700" s="2" t="s">
        <v>22</v>
      </c>
      <c r="O700" s="2" t="s">
        <v>22</v>
      </c>
      <c r="P700" s="2" t="s">
        <v>22</v>
      </c>
      <c r="Q700" s="2"/>
    </row>
    <row r="701" customFormat="false" ht="15" hidden="false" customHeight="false" outlineLevel="0" collapsed="false">
      <c r="A701" s="2" t="s">
        <v>3067</v>
      </c>
      <c r="B701" s="2" t="s">
        <v>45</v>
      </c>
      <c r="C701" s="13" t="s">
        <v>3068</v>
      </c>
      <c r="D701" s="29" t="n">
        <v>36420</v>
      </c>
      <c r="E701" s="2" t="s">
        <v>821</v>
      </c>
      <c r="F701" s="30" t="n">
        <v>1.11518396485448</v>
      </c>
      <c r="G701" s="31" t="n">
        <v>81.9</v>
      </c>
      <c r="H701" s="32" t="n">
        <v>0.109013398294763</v>
      </c>
      <c r="I701" s="31" t="n">
        <v>57.7</v>
      </c>
      <c r="J701" s="2" t="s">
        <v>2883</v>
      </c>
      <c r="K701" s="38"/>
      <c r="L701" s="31"/>
      <c r="M701" s="39" t="s">
        <v>832</v>
      </c>
      <c r="N701" s="2" t="s">
        <v>24</v>
      </c>
      <c r="O701" s="2" t="s">
        <v>24</v>
      </c>
      <c r="P701" s="2" t="s">
        <v>24</v>
      </c>
      <c r="Q701" s="2"/>
    </row>
    <row r="702" customFormat="false" ht="15" hidden="false" customHeight="false" outlineLevel="0" collapsed="false">
      <c r="A702" s="2" t="s">
        <v>594</v>
      </c>
      <c r="B702" s="2" t="s">
        <v>45</v>
      </c>
      <c r="C702" s="14" t="s">
        <v>1305</v>
      </c>
      <c r="D702" s="42" t="n">
        <v>128678</v>
      </c>
      <c r="E702" s="2" t="s">
        <v>827</v>
      </c>
      <c r="F702" s="43" t="n">
        <v>0.484053218110322</v>
      </c>
      <c r="G702" s="31" t="n">
        <v>40.6</v>
      </c>
      <c r="H702" s="41" t="n">
        <v>0.0884069494019928</v>
      </c>
      <c r="I702" s="31" t="n">
        <v>54.3</v>
      </c>
      <c r="J702" s="2" t="s">
        <v>2890</v>
      </c>
      <c r="K702" s="44" t="n">
        <v>0.186861313868613</v>
      </c>
      <c r="L702" s="31" t="n">
        <v>69.5</v>
      </c>
      <c r="M702" s="34" t="s">
        <v>822</v>
      </c>
      <c r="N702" s="2" t="s">
        <v>22</v>
      </c>
      <c r="O702" s="2" t="s">
        <v>22</v>
      </c>
      <c r="P702" s="2" t="s">
        <v>22</v>
      </c>
      <c r="Q702" s="2" t="s">
        <v>22</v>
      </c>
    </row>
    <row r="703" customFormat="false" ht="15" hidden="false" customHeight="false" outlineLevel="0" collapsed="false">
      <c r="A703" s="2" t="s">
        <v>594</v>
      </c>
      <c r="B703" s="2" t="s">
        <v>46</v>
      </c>
      <c r="C703" s="13" t="s">
        <v>2076</v>
      </c>
      <c r="D703" s="29" t="n">
        <v>87890</v>
      </c>
      <c r="E703" s="2" t="s">
        <v>821</v>
      </c>
      <c r="F703" s="30" t="n">
        <v>1.70628057799522</v>
      </c>
      <c r="G703" s="31" t="n">
        <v>21.2</v>
      </c>
      <c r="H703" s="32" t="n">
        <v>0.307303287222966</v>
      </c>
      <c r="I703" s="31" t="n">
        <v>99.3</v>
      </c>
      <c r="J703" s="2" t="s">
        <v>2884</v>
      </c>
      <c r="K703" s="33" t="n">
        <v>0.104957295060315</v>
      </c>
      <c r="L703" s="31" t="n">
        <v>39.7</v>
      </c>
      <c r="M703" s="34" t="s">
        <v>822</v>
      </c>
      <c r="N703" s="2" t="s">
        <v>24</v>
      </c>
      <c r="O703" s="2" t="s">
        <v>24</v>
      </c>
      <c r="P703" s="2" t="s">
        <v>24</v>
      </c>
      <c r="Q703" s="2" t="s">
        <v>24</v>
      </c>
    </row>
    <row r="704" customFormat="false" ht="15" hidden="false" customHeight="false" outlineLevel="0" collapsed="false">
      <c r="A704" s="2" t="s">
        <v>594</v>
      </c>
      <c r="B704" s="2" t="s">
        <v>47</v>
      </c>
      <c r="C704" s="13" t="s">
        <v>2497</v>
      </c>
      <c r="D704" s="29" t="n">
        <v>6250</v>
      </c>
      <c r="E704" s="2" t="s">
        <v>825</v>
      </c>
      <c r="F704" s="30" t="n">
        <v>1.3968</v>
      </c>
      <c r="G704" s="31" t="n">
        <v>55.9</v>
      </c>
      <c r="H704" s="32" t="n">
        <v>0.118067978533095</v>
      </c>
      <c r="I704" s="31" t="n">
        <v>53.8</v>
      </c>
      <c r="J704" s="2" t="s">
        <v>2889</v>
      </c>
      <c r="K704" s="33" t="n">
        <v>0.126666666666667</v>
      </c>
      <c r="L704" s="31" t="n">
        <v>67.2</v>
      </c>
      <c r="M704" s="34" t="s">
        <v>822</v>
      </c>
      <c r="N704" s="2" t="s">
        <v>24</v>
      </c>
      <c r="O704" s="2" t="s">
        <v>24</v>
      </c>
      <c r="P704" s="2" t="s">
        <v>24</v>
      </c>
      <c r="Q704" s="2" t="s">
        <v>24</v>
      </c>
    </row>
    <row r="705" customFormat="false" ht="15" hidden="false" customHeight="false" outlineLevel="0" collapsed="false">
      <c r="A705" s="2" t="s">
        <v>420</v>
      </c>
      <c r="B705" s="2" t="s">
        <v>45</v>
      </c>
      <c r="C705" s="13" t="s">
        <v>1249</v>
      </c>
      <c r="D705" s="29" t="n">
        <v>17340</v>
      </c>
      <c r="E705" s="2" t="s">
        <v>821</v>
      </c>
      <c r="F705" s="30" t="n">
        <v>0.542848904267589</v>
      </c>
      <c r="G705" s="31" t="n">
        <v>47.8</v>
      </c>
      <c r="H705" s="41" t="n">
        <v>-0.020865577529378</v>
      </c>
      <c r="I705" s="31" t="n">
        <v>5.8</v>
      </c>
      <c r="J705" s="2" t="s">
        <v>2883</v>
      </c>
      <c r="K705" s="40" t="s">
        <v>857</v>
      </c>
      <c r="L705" s="31"/>
      <c r="M705" s="34" t="s">
        <v>822</v>
      </c>
      <c r="N705" s="2" t="s">
        <v>24</v>
      </c>
      <c r="O705" s="2" t="s">
        <v>24</v>
      </c>
      <c r="P705" s="2" t="s">
        <v>22</v>
      </c>
      <c r="Q705" s="2" t="s">
        <v>2885</v>
      </c>
    </row>
    <row r="706" customFormat="false" ht="15" hidden="false" customHeight="false" outlineLevel="0" collapsed="false">
      <c r="A706" s="2" t="s">
        <v>420</v>
      </c>
      <c r="B706" s="2" t="s">
        <v>46</v>
      </c>
      <c r="C706" s="13" t="s">
        <v>1903</v>
      </c>
      <c r="D706" s="29" t="n">
        <v>18970</v>
      </c>
      <c r="E706" s="2" t="s">
        <v>821</v>
      </c>
      <c r="F706" s="30" t="n">
        <v>3.14992092778071</v>
      </c>
      <c r="G706" s="31" t="n">
        <v>49.1</v>
      </c>
      <c r="H706" s="32" t="n">
        <v>0.144840072420036</v>
      </c>
      <c r="I706" s="31" t="n">
        <v>78.5</v>
      </c>
      <c r="J706" s="2" t="s">
        <v>2884</v>
      </c>
      <c r="K706" s="33" t="n">
        <v>0.0617900954111767</v>
      </c>
      <c r="L706" s="31" t="n">
        <v>16.6</v>
      </c>
      <c r="M706" s="34" t="s">
        <v>822</v>
      </c>
      <c r="N706" s="2" t="s">
        <v>24</v>
      </c>
      <c r="O706" s="2" t="s">
        <v>24</v>
      </c>
      <c r="P706" s="2" t="s">
        <v>24</v>
      </c>
      <c r="Q706" s="2" t="s">
        <v>24</v>
      </c>
    </row>
    <row r="707" customFormat="false" ht="15" hidden="false" customHeight="false" outlineLevel="0" collapsed="false">
      <c r="A707" s="2" t="s">
        <v>420</v>
      </c>
      <c r="B707" s="2" t="s">
        <v>47</v>
      </c>
      <c r="C707" s="14" t="s">
        <v>2443</v>
      </c>
      <c r="D707" s="42" t="n">
        <v>22587</v>
      </c>
      <c r="E707" s="2" t="s">
        <v>821</v>
      </c>
      <c r="F707" s="43" t="n">
        <v>1.62066675521318</v>
      </c>
      <c r="G707" s="31" t="n">
        <v>64.2</v>
      </c>
      <c r="H707" s="41" t="n">
        <v>0.165961181086104</v>
      </c>
      <c r="I707" s="31" t="n">
        <v>84.4</v>
      </c>
      <c r="J707" s="2" t="s">
        <v>2886</v>
      </c>
      <c r="K707" s="44" t="n">
        <v>0.00469208211143695</v>
      </c>
      <c r="L707" s="31" t="n">
        <v>3.9</v>
      </c>
      <c r="M707" s="34" t="s">
        <v>822</v>
      </c>
      <c r="N707" s="2" t="s">
        <v>22</v>
      </c>
      <c r="O707" s="2" t="s">
        <v>22</v>
      </c>
      <c r="P707" s="2" t="s">
        <v>22</v>
      </c>
      <c r="Q707" s="2" t="s">
        <v>22</v>
      </c>
    </row>
    <row r="708" customFormat="false" ht="15" hidden="false" customHeight="false" outlineLevel="0" collapsed="false">
      <c r="A708" s="2" t="s">
        <v>608</v>
      </c>
      <c r="B708" s="2" t="s">
        <v>45</v>
      </c>
      <c r="C708" s="13" t="s">
        <v>1211</v>
      </c>
      <c r="D708" s="29" t="n">
        <v>215000</v>
      </c>
      <c r="E708" s="2" t="s">
        <v>827</v>
      </c>
      <c r="F708" s="30" t="n">
        <v>0.589260465116279</v>
      </c>
      <c r="G708" s="31" t="n">
        <v>52.7</v>
      </c>
      <c r="H708" s="32" t="n">
        <v>0.085474832130055</v>
      </c>
      <c r="I708" s="31" t="n">
        <v>52.1</v>
      </c>
      <c r="J708" s="2" t="s">
        <v>2890</v>
      </c>
      <c r="K708" s="40" t="s">
        <v>857</v>
      </c>
      <c r="L708" s="31"/>
      <c r="M708" s="34" t="s">
        <v>822</v>
      </c>
      <c r="N708" s="2" t="s">
        <v>24</v>
      </c>
      <c r="O708" s="2" t="s">
        <v>24</v>
      </c>
      <c r="P708" s="2" t="s">
        <v>24</v>
      </c>
      <c r="Q708" s="2" t="s">
        <v>2885</v>
      </c>
    </row>
    <row r="709" customFormat="false" ht="15" hidden="false" customHeight="false" outlineLevel="0" collapsed="false">
      <c r="A709" s="2" t="s">
        <v>608</v>
      </c>
      <c r="B709" s="2" t="s">
        <v>46</v>
      </c>
      <c r="C709" s="13" t="s">
        <v>2055</v>
      </c>
      <c r="D709" s="29" t="n">
        <v>141060</v>
      </c>
      <c r="E709" s="2" t="s">
        <v>827</v>
      </c>
      <c r="F709" s="30" t="n">
        <v>1.82564866014462</v>
      </c>
      <c r="G709" s="31" t="n">
        <v>24.2</v>
      </c>
      <c r="H709" s="32" t="n">
        <v>0.0758904736480818</v>
      </c>
      <c r="I709" s="31" t="n">
        <v>49</v>
      </c>
      <c r="J709" s="2" t="s">
        <v>2888</v>
      </c>
      <c r="K709" s="33" t="n">
        <v>0.200290608748853</v>
      </c>
      <c r="L709" s="31" t="n">
        <v>69.8</v>
      </c>
      <c r="M709" s="34" t="s">
        <v>822</v>
      </c>
      <c r="N709" s="2" t="s">
        <v>24</v>
      </c>
      <c r="O709" s="2" t="s">
        <v>24</v>
      </c>
      <c r="P709" s="2" t="s">
        <v>24</v>
      </c>
      <c r="Q709" s="2" t="s">
        <v>24</v>
      </c>
    </row>
    <row r="710" customFormat="false" ht="15" hidden="false" customHeight="false" outlineLevel="0" collapsed="false">
      <c r="A710" s="2" t="s">
        <v>346</v>
      </c>
      <c r="B710" s="2" t="s">
        <v>45</v>
      </c>
      <c r="C710" s="13" t="s">
        <v>1333</v>
      </c>
      <c r="D710" s="29" t="n">
        <v>155750</v>
      </c>
      <c r="E710" s="2" t="s">
        <v>827</v>
      </c>
      <c r="F710" s="30" t="n">
        <v>0.463492776886035</v>
      </c>
      <c r="G710" s="31" t="n">
        <v>37.2</v>
      </c>
      <c r="H710" s="32" t="n">
        <v>0.0537889039242219</v>
      </c>
      <c r="I710" s="31" t="n">
        <v>30.7</v>
      </c>
      <c r="J710" s="2" t="s">
        <v>2890</v>
      </c>
      <c r="K710" s="33" t="n">
        <v>0.122275306061511</v>
      </c>
      <c r="L710" s="31" t="n">
        <v>45.9</v>
      </c>
      <c r="M710" s="34" t="s">
        <v>822</v>
      </c>
      <c r="N710" s="2" t="s">
        <v>24</v>
      </c>
      <c r="O710" s="2" t="s">
        <v>24</v>
      </c>
      <c r="P710" s="2" t="s">
        <v>24</v>
      </c>
      <c r="Q710" s="2" t="s">
        <v>24</v>
      </c>
    </row>
    <row r="711" customFormat="false" ht="15" hidden="false" customHeight="false" outlineLevel="0" collapsed="false">
      <c r="A711" s="2" t="s">
        <v>346</v>
      </c>
      <c r="B711" s="2" t="s">
        <v>46</v>
      </c>
      <c r="C711" s="13" t="s">
        <v>1753</v>
      </c>
      <c r="D711" s="29" t="n">
        <v>202500</v>
      </c>
      <c r="E711" s="2" t="s">
        <v>827</v>
      </c>
      <c r="F711" s="30" t="n">
        <v>5.15033580246914</v>
      </c>
      <c r="G711" s="31" t="n">
        <v>73.3</v>
      </c>
      <c r="H711" s="32" t="n">
        <v>0.0994082197730604</v>
      </c>
      <c r="I711" s="31" t="n">
        <v>61.1</v>
      </c>
      <c r="J711" s="2" t="s">
        <v>2888</v>
      </c>
      <c r="K711" s="33" t="n">
        <v>0.368962476731655</v>
      </c>
      <c r="L711" s="31" t="n">
        <v>95.4</v>
      </c>
      <c r="M711" s="34" t="s">
        <v>822</v>
      </c>
      <c r="N711" s="2" t="s">
        <v>24</v>
      </c>
      <c r="O711" s="2" t="s">
        <v>24</v>
      </c>
      <c r="P711" s="2" t="s">
        <v>24</v>
      </c>
      <c r="Q711" s="2" t="s">
        <v>24</v>
      </c>
    </row>
    <row r="712" customFormat="false" ht="15" hidden="false" customHeight="false" outlineLevel="0" collapsed="false">
      <c r="A712" s="2" t="s">
        <v>346</v>
      </c>
      <c r="B712" s="2" t="s">
        <v>47</v>
      </c>
      <c r="C712" s="13" t="s">
        <v>2419</v>
      </c>
      <c r="D712" s="29" t="n">
        <v>771030</v>
      </c>
      <c r="E712" s="2" t="s">
        <v>827</v>
      </c>
      <c r="F712" s="30" t="n">
        <v>1.68419516750321</v>
      </c>
      <c r="G712" s="31" t="n">
        <v>67.9</v>
      </c>
      <c r="H712" s="32" t="n">
        <v>0.177234903427743</v>
      </c>
      <c r="I712" s="31" t="n">
        <v>90.7</v>
      </c>
      <c r="J712" s="2" t="s">
        <v>2897</v>
      </c>
      <c r="K712" s="33" t="n">
        <v>0.0173720826157122</v>
      </c>
      <c r="L712" s="31" t="n">
        <v>10.9</v>
      </c>
      <c r="M712" s="34" t="s">
        <v>822</v>
      </c>
      <c r="N712" s="2" t="s">
        <v>24</v>
      </c>
      <c r="O712" s="2" t="s">
        <v>24</v>
      </c>
      <c r="P712" s="2" t="s">
        <v>24</v>
      </c>
      <c r="Q712" s="2" t="s">
        <v>24</v>
      </c>
    </row>
    <row r="713" customFormat="false" ht="15" hidden="false" customHeight="false" outlineLevel="0" collapsed="false">
      <c r="A713" s="2" t="s">
        <v>3069</v>
      </c>
      <c r="B713" s="2" t="s">
        <v>46</v>
      </c>
      <c r="C713" s="16"/>
      <c r="D713" s="35"/>
      <c r="E713" s="2"/>
      <c r="F713" s="36"/>
      <c r="G713" s="31"/>
      <c r="H713" s="37"/>
      <c r="I713" s="31"/>
      <c r="J713" s="2"/>
      <c r="K713" s="38"/>
      <c r="L713" s="31"/>
      <c r="M713" s="39" t="s">
        <v>832</v>
      </c>
      <c r="N713" s="2"/>
      <c r="O713" s="2"/>
      <c r="P713" s="2"/>
      <c r="Q713" s="2"/>
    </row>
    <row r="714" customFormat="false" ht="15" hidden="false" customHeight="false" outlineLevel="0" collapsed="false">
      <c r="A714" s="2" t="s">
        <v>3069</v>
      </c>
      <c r="B714" s="2" t="s">
        <v>47</v>
      </c>
      <c r="C714" s="14" t="s">
        <v>3070</v>
      </c>
      <c r="D714" s="42" t="n">
        <v>46767</v>
      </c>
      <c r="E714" s="2" t="s">
        <v>821</v>
      </c>
      <c r="F714" s="36"/>
      <c r="G714" s="31"/>
      <c r="H714" s="41" t="n">
        <v>0.0101736651114567</v>
      </c>
      <c r="I714" s="31" t="n">
        <v>13.3</v>
      </c>
      <c r="J714" s="2" t="s">
        <v>2886</v>
      </c>
      <c r="K714" s="44" t="n">
        <v>0.399518652226234</v>
      </c>
      <c r="L714" s="31" t="n">
        <v>99.1</v>
      </c>
      <c r="M714" s="39" t="s">
        <v>832</v>
      </c>
      <c r="N714" s="2" t="s">
        <v>22</v>
      </c>
      <c r="O714" s="2"/>
      <c r="P714" s="2" t="s">
        <v>22</v>
      </c>
      <c r="Q714" s="2" t="s">
        <v>22</v>
      </c>
    </row>
    <row r="715" customFormat="false" ht="15" hidden="false" customHeight="false" outlineLevel="0" collapsed="false">
      <c r="A715" s="2" t="s">
        <v>736</v>
      </c>
      <c r="B715" s="2" t="s">
        <v>45</v>
      </c>
      <c r="C715" s="14" t="s">
        <v>1293</v>
      </c>
      <c r="D715" s="42" t="n">
        <v>32866</v>
      </c>
      <c r="E715" s="2" t="s">
        <v>821</v>
      </c>
      <c r="F715" s="43" t="n">
        <v>0.505902756648208</v>
      </c>
      <c r="G715" s="31" t="n">
        <v>42</v>
      </c>
      <c r="H715" s="41" t="n">
        <v>0.0795204467071769</v>
      </c>
      <c r="I715" s="31" t="n">
        <v>42.6</v>
      </c>
      <c r="J715" s="2" t="s">
        <v>2883</v>
      </c>
      <c r="K715" s="44" t="n">
        <v>0.114737883283877</v>
      </c>
      <c r="L715" s="31" t="n">
        <v>41.7</v>
      </c>
      <c r="M715" s="34" t="s">
        <v>822</v>
      </c>
      <c r="N715" s="2" t="s">
        <v>22</v>
      </c>
      <c r="O715" s="2" t="s">
        <v>22</v>
      </c>
      <c r="P715" s="2" t="s">
        <v>22</v>
      </c>
      <c r="Q715" s="2" t="s">
        <v>22</v>
      </c>
    </row>
    <row r="716" customFormat="false" ht="15" hidden="false" customHeight="false" outlineLevel="0" collapsed="false">
      <c r="A716" s="2" t="s">
        <v>736</v>
      </c>
      <c r="B716" s="2" t="s">
        <v>46</v>
      </c>
      <c r="C716" s="13" t="s">
        <v>2173</v>
      </c>
      <c r="D716" s="29" t="n">
        <v>137690</v>
      </c>
      <c r="E716" s="2" t="s">
        <v>827</v>
      </c>
      <c r="F716" s="30" t="n">
        <v>0.846081777906892</v>
      </c>
      <c r="G716" s="31" t="n">
        <v>4.9</v>
      </c>
      <c r="H716" s="32" t="n">
        <v>0.0244029462093594</v>
      </c>
      <c r="I716" s="31" t="n">
        <v>22.3</v>
      </c>
      <c r="J716" s="2" t="s">
        <v>2888</v>
      </c>
      <c r="K716" s="33" t="n">
        <v>0.0187595712098009</v>
      </c>
      <c r="L716" s="31" t="n">
        <v>2.9</v>
      </c>
      <c r="M716" s="34" t="s">
        <v>822</v>
      </c>
      <c r="N716" s="2" t="s">
        <v>24</v>
      </c>
      <c r="O716" s="2" t="s">
        <v>24</v>
      </c>
      <c r="P716" s="2" t="s">
        <v>24</v>
      </c>
      <c r="Q716" s="2" t="s">
        <v>24</v>
      </c>
    </row>
    <row r="717" customFormat="false" ht="15" hidden="false" customHeight="false" outlineLevel="0" collapsed="false">
      <c r="A717" s="2" t="s">
        <v>2167</v>
      </c>
      <c r="B717" s="2" t="s">
        <v>45</v>
      </c>
      <c r="C717" s="16"/>
      <c r="D717" s="35"/>
      <c r="E717" s="2"/>
      <c r="F717" s="36"/>
      <c r="G717" s="31"/>
      <c r="H717" s="37"/>
      <c r="I717" s="31"/>
      <c r="J717" s="2"/>
      <c r="K717" s="38"/>
      <c r="L717" s="31"/>
      <c r="M717" s="39" t="s">
        <v>832</v>
      </c>
      <c r="N717" s="2"/>
      <c r="O717" s="2"/>
      <c r="P717" s="2"/>
      <c r="Q717" s="2"/>
    </row>
    <row r="718" customFormat="false" ht="15" hidden="false" customHeight="false" outlineLevel="0" collapsed="false">
      <c r="A718" s="2" t="s">
        <v>2167</v>
      </c>
      <c r="B718" s="2" t="s">
        <v>46</v>
      </c>
      <c r="C718" s="13" t="s">
        <v>2168</v>
      </c>
      <c r="D718" s="29" t="n">
        <v>55410</v>
      </c>
      <c r="E718" s="2" t="s">
        <v>821</v>
      </c>
      <c r="F718" s="30" t="n">
        <v>0.914347590687602</v>
      </c>
      <c r="G718" s="31" t="n">
        <v>5.7</v>
      </c>
      <c r="H718" s="32" t="n">
        <v>0.130585594776576</v>
      </c>
      <c r="I718" s="31" t="n">
        <v>72.4</v>
      </c>
      <c r="J718" s="2" t="s">
        <v>2884</v>
      </c>
      <c r="K718" s="33" t="n">
        <v>0.0736503396496246</v>
      </c>
      <c r="L718" s="31" t="n">
        <v>21.6</v>
      </c>
      <c r="M718" s="34" t="s">
        <v>822</v>
      </c>
      <c r="N718" s="2" t="s">
        <v>24</v>
      </c>
      <c r="O718" s="2" t="s">
        <v>24</v>
      </c>
      <c r="P718" s="2" t="s">
        <v>24</v>
      </c>
      <c r="Q718" s="2" t="s">
        <v>24</v>
      </c>
    </row>
    <row r="719" customFormat="false" ht="15" hidden="false" customHeight="false" outlineLevel="0" collapsed="false">
      <c r="A719" s="2" t="s">
        <v>2167</v>
      </c>
      <c r="B719" s="2" t="s">
        <v>47</v>
      </c>
      <c r="C719" s="14" t="s">
        <v>2725</v>
      </c>
      <c r="D719" s="42" t="n">
        <v>62329</v>
      </c>
      <c r="E719" s="2" t="s">
        <v>821</v>
      </c>
      <c r="F719" s="43" t="n">
        <v>0.691540053586613</v>
      </c>
      <c r="G719" s="31" t="n">
        <v>21.9</v>
      </c>
      <c r="H719" s="41" t="n">
        <v>-0.00168177595540891</v>
      </c>
      <c r="I719" s="31" t="n">
        <v>9.7</v>
      </c>
      <c r="J719" s="2" t="s">
        <v>2886</v>
      </c>
      <c r="K719" s="44" t="n">
        <v>0.0617836175566117</v>
      </c>
      <c r="L719" s="31" t="n">
        <v>39.8</v>
      </c>
      <c r="M719" s="34" t="s">
        <v>822</v>
      </c>
      <c r="N719" s="2" t="s">
        <v>22</v>
      </c>
      <c r="O719" s="2" t="s">
        <v>22</v>
      </c>
      <c r="P719" s="2" t="s">
        <v>22</v>
      </c>
      <c r="Q719" s="2" t="s">
        <v>22</v>
      </c>
    </row>
    <row r="720" customFormat="false" ht="15" hidden="false" customHeight="false" outlineLevel="0" collapsed="false">
      <c r="A720" s="2" t="s">
        <v>1643</v>
      </c>
      <c r="B720" s="2" t="s">
        <v>45</v>
      </c>
      <c r="C720" s="15" t="s">
        <v>3071</v>
      </c>
      <c r="D720" s="46" t="n">
        <v>23897</v>
      </c>
      <c r="E720" s="2" t="s">
        <v>821</v>
      </c>
      <c r="F720" s="47" t="n">
        <v>0.360547349039628</v>
      </c>
      <c r="G720" s="31" t="n">
        <v>25</v>
      </c>
      <c r="H720" s="48" t="n">
        <v>0.0916358320771093</v>
      </c>
      <c r="I720" s="31" t="n">
        <v>47.8</v>
      </c>
      <c r="J720" s="2" t="s">
        <v>2883</v>
      </c>
      <c r="K720" s="38"/>
      <c r="L720" s="31"/>
      <c r="M720" s="39" t="s">
        <v>832</v>
      </c>
      <c r="N720" s="2" t="s">
        <v>19</v>
      </c>
      <c r="O720" s="2" t="s">
        <v>19</v>
      </c>
      <c r="P720" s="2" t="s">
        <v>19</v>
      </c>
      <c r="Q720" s="2"/>
    </row>
    <row r="721" customFormat="false" ht="15" hidden="false" customHeight="false" outlineLevel="0" collapsed="false">
      <c r="A721" s="2" t="s">
        <v>1643</v>
      </c>
      <c r="B721" s="2" t="s">
        <v>46</v>
      </c>
      <c r="C721" s="13" t="s">
        <v>1644</v>
      </c>
      <c r="D721" s="29" t="n">
        <v>20880</v>
      </c>
      <c r="E721" s="2" t="s">
        <v>821</v>
      </c>
      <c r="F721" s="30" t="n">
        <v>9.76068007662835</v>
      </c>
      <c r="G721" s="31" t="n">
        <v>93.5</v>
      </c>
      <c r="H721" s="32" t="n">
        <v>0.219626168224299</v>
      </c>
      <c r="I721" s="31" t="n">
        <v>96.4</v>
      </c>
      <c r="J721" s="2" t="s">
        <v>2884</v>
      </c>
      <c r="K721" s="33" t="n">
        <v>0.262901135757299</v>
      </c>
      <c r="L721" s="31" t="n">
        <v>83.2</v>
      </c>
      <c r="M721" s="34" t="s">
        <v>822</v>
      </c>
      <c r="N721" s="2" t="s">
        <v>24</v>
      </c>
      <c r="O721" s="2" t="s">
        <v>24</v>
      </c>
      <c r="P721" s="2" t="s">
        <v>24</v>
      </c>
      <c r="Q721" s="2" t="s">
        <v>24</v>
      </c>
    </row>
    <row r="722" customFormat="false" ht="15" hidden="false" customHeight="false" outlineLevel="0" collapsed="false">
      <c r="A722" s="2" t="s">
        <v>3072</v>
      </c>
      <c r="B722" s="2" t="s">
        <v>45</v>
      </c>
      <c r="C722" s="16"/>
      <c r="D722" s="35"/>
      <c r="E722" s="2"/>
      <c r="F722" s="36"/>
      <c r="G722" s="31"/>
      <c r="H722" s="37"/>
      <c r="I722" s="31"/>
      <c r="J722" s="2"/>
      <c r="K722" s="38"/>
      <c r="L722" s="31"/>
      <c r="M722" s="39" t="s">
        <v>832</v>
      </c>
      <c r="N722" s="2"/>
      <c r="O722" s="2"/>
      <c r="P722" s="2"/>
      <c r="Q722" s="2"/>
    </row>
    <row r="723" customFormat="false" ht="15" hidden="false" customHeight="false" outlineLevel="0" collapsed="false">
      <c r="A723" s="2" t="s">
        <v>3072</v>
      </c>
      <c r="B723" s="2" t="s">
        <v>46</v>
      </c>
      <c r="C723" s="16"/>
      <c r="D723" s="35"/>
      <c r="E723" s="2"/>
      <c r="F723" s="36"/>
      <c r="G723" s="31"/>
      <c r="H723" s="37"/>
      <c r="I723" s="31"/>
      <c r="J723" s="2"/>
      <c r="K723" s="38"/>
      <c r="L723" s="31"/>
      <c r="M723" s="39" t="s">
        <v>832</v>
      </c>
      <c r="N723" s="2"/>
      <c r="O723" s="2"/>
      <c r="P723" s="2"/>
      <c r="Q723" s="2"/>
    </row>
    <row r="724" customFormat="false" ht="15" hidden="false" customHeight="false" outlineLevel="0" collapsed="false">
      <c r="A724" s="2" t="s">
        <v>3072</v>
      </c>
      <c r="B724" s="2" t="s">
        <v>47</v>
      </c>
      <c r="C724" s="16"/>
      <c r="D724" s="35"/>
      <c r="E724" s="2"/>
      <c r="F724" s="36"/>
      <c r="G724" s="31"/>
      <c r="H724" s="37"/>
      <c r="I724" s="31"/>
      <c r="J724" s="2"/>
      <c r="K724" s="38"/>
      <c r="L724" s="31"/>
      <c r="M724" s="39" t="s">
        <v>832</v>
      </c>
      <c r="N724" s="2"/>
      <c r="O724" s="2"/>
      <c r="P724" s="2"/>
      <c r="Q724" s="2"/>
    </row>
    <row r="725" customFormat="false" ht="15" hidden="false" customHeight="false" outlineLevel="0" collapsed="false">
      <c r="A725" s="2" t="s">
        <v>794</v>
      </c>
      <c r="B725" s="2" t="s">
        <v>45</v>
      </c>
      <c r="C725" s="13" t="s">
        <v>1509</v>
      </c>
      <c r="D725" s="29" t="n">
        <v>149030</v>
      </c>
      <c r="E725" s="2" t="s">
        <v>827</v>
      </c>
      <c r="F725" s="30" t="n">
        <v>0.247909816815406</v>
      </c>
      <c r="G725" s="31" t="n">
        <v>12.5</v>
      </c>
      <c r="H725" s="32" t="n">
        <v>0.173095088161209</v>
      </c>
      <c r="I725" s="31" t="n">
        <v>85.7</v>
      </c>
      <c r="J725" s="2" t="s">
        <v>2890</v>
      </c>
      <c r="K725" s="33" t="n">
        <v>0.0456273764258555</v>
      </c>
      <c r="L725" s="31" t="n">
        <v>14.5</v>
      </c>
      <c r="M725" s="34" t="s">
        <v>822</v>
      </c>
      <c r="N725" s="2" t="s">
        <v>24</v>
      </c>
      <c r="O725" s="2" t="s">
        <v>24</v>
      </c>
      <c r="P725" s="2" t="s">
        <v>24</v>
      </c>
      <c r="Q725" s="2" t="s">
        <v>24</v>
      </c>
    </row>
    <row r="726" customFormat="false" ht="15" hidden="false" customHeight="false" outlineLevel="0" collapsed="false">
      <c r="A726" s="2" t="s">
        <v>428</v>
      </c>
      <c r="B726" s="2" t="s">
        <v>45</v>
      </c>
      <c r="C726" s="13" t="s">
        <v>865</v>
      </c>
      <c r="D726" s="29" t="n">
        <v>85530</v>
      </c>
      <c r="E726" s="2" t="s">
        <v>821</v>
      </c>
      <c r="F726" s="30" t="n">
        <v>2.04454577341284</v>
      </c>
      <c r="G726" s="31" t="n">
        <v>95.5</v>
      </c>
      <c r="H726" s="41" t="n">
        <v>0.0903381336040094</v>
      </c>
      <c r="I726" s="31" t="n">
        <v>47.4</v>
      </c>
      <c r="J726" s="2" t="s">
        <v>2883</v>
      </c>
      <c r="K726" s="33" t="n">
        <v>0.0798509029819404</v>
      </c>
      <c r="L726" s="31" t="n">
        <v>25.9</v>
      </c>
      <c r="M726" s="34" t="s">
        <v>822</v>
      </c>
      <c r="N726" s="2" t="s">
        <v>24</v>
      </c>
      <c r="O726" s="2" t="s">
        <v>24</v>
      </c>
      <c r="P726" s="2" t="s">
        <v>22</v>
      </c>
      <c r="Q726" s="2" t="s">
        <v>24</v>
      </c>
    </row>
    <row r="727" customFormat="false" ht="15" hidden="false" customHeight="false" outlineLevel="0" collapsed="false">
      <c r="A727" s="2" t="s">
        <v>428</v>
      </c>
      <c r="B727" s="2" t="s">
        <v>46</v>
      </c>
      <c r="C727" s="13" t="s">
        <v>2122</v>
      </c>
      <c r="D727" s="29" t="n">
        <v>131140</v>
      </c>
      <c r="E727" s="2" t="s">
        <v>827</v>
      </c>
      <c r="F727" s="30" t="n">
        <v>1.42502668903462</v>
      </c>
      <c r="G727" s="31" t="n">
        <v>13.9</v>
      </c>
      <c r="H727" s="32" t="n">
        <v>0.0944750459021866</v>
      </c>
      <c r="I727" s="31" t="n">
        <v>58.6</v>
      </c>
      <c r="J727" s="2" t="s">
        <v>2888</v>
      </c>
      <c r="K727" s="33" t="n">
        <v>0.0297269711661138</v>
      </c>
      <c r="L727" s="31" t="n">
        <v>6.6</v>
      </c>
      <c r="M727" s="34" t="s">
        <v>822</v>
      </c>
      <c r="N727" s="2" t="s">
        <v>24</v>
      </c>
      <c r="O727" s="2" t="s">
        <v>24</v>
      </c>
      <c r="P727" s="2" t="s">
        <v>24</v>
      </c>
      <c r="Q727" s="2" t="s">
        <v>24</v>
      </c>
    </row>
    <row r="728" customFormat="false" ht="15" hidden="false" customHeight="false" outlineLevel="0" collapsed="false">
      <c r="A728" s="2" t="s">
        <v>428</v>
      </c>
      <c r="B728" s="2" t="s">
        <v>47</v>
      </c>
      <c r="C728" s="14" t="s">
        <v>2532</v>
      </c>
      <c r="D728" s="42" t="n">
        <v>60094</v>
      </c>
      <c r="E728" s="2" t="s">
        <v>821</v>
      </c>
      <c r="F728" s="43" t="n">
        <v>1.28197490598063</v>
      </c>
      <c r="G728" s="31" t="n">
        <v>51.3</v>
      </c>
      <c r="H728" s="41" t="n">
        <v>0.130734203891168</v>
      </c>
      <c r="I728" s="31" t="n">
        <v>68.5</v>
      </c>
      <c r="J728" s="2" t="s">
        <v>2886</v>
      </c>
      <c r="K728" s="44" t="n">
        <v>0.014917695473251</v>
      </c>
      <c r="L728" s="31" t="n">
        <v>9.9</v>
      </c>
      <c r="M728" s="34" t="s">
        <v>822</v>
      </c>
      <c r="N728" s="2" t="s">
        <v>22</v>
      </c>
      <c r="O728" s="2" t="s">
        <v>22</v>
      </c>
      <c r="P728" s="2" t="s">
        <v>22</v>
      </c>
      <c r="Q728" s="2" t="s">
        <v>22</v>
      </c>
    </row>
    <row r="729" customFormat="false" ht="15" hidden="false" customHeight="false" outlineLevel="0" collapsed="false">
      <c r="A729" s="2" t="s">
        <v>1857</v>
      </c>
      <c r="B729" s="2" t="s">
        <v>45</v>
      </c>
      <c r="C729" s="15" t="s">
        <v>3073</v>
      </c>
      <c r="D729" s="46" t="n">
        <v>42836</v>
      </c>
      <c r="E729" s="2" t="s">
        <v>821</v>
      </c>
      <c r="F729" s="47" t="n">
        <v>0.747898963488654</v>
      </c>
      <c r="G729" s="31" t="n">
        <v>65.2</v>
      </c>
      <c r="H729" s="48" t="n">
        <v>-0.0235918944177247</v>
      </c>
      <c r="I729" s="31" t="n">
        <v>5.2</v>
      </c>
      <c r="J729" s="2" t="s">
        <v>2883</v>
      </c>
      <c r="K729" s="38"/>
      <c r="L729" s="31"/>
      <c r="M729" s="39" t="s">
        <v>832</v>
      </c>
      <c r="N729" s="2" t="s">
        <v>19</v>
      </c>
      <c r="O729" s="2" t="s">
        <v>19</v>
      </c>
      <c r="P729" s="2" t="s">
        <v>19</v>
      </c>
      <c r="Q729" s="2"/>
    </row>
    <row r="730" customFormat="false" ht="15" hidden="false" customHeight="false" outlineLevel="0" collapsed="false">
      <c r="A730" s="2" t="s">
        <v>1857</v>
      </c>
      <c r="B730" s="2" t="s">
        <v>46</v>
      </c>
      <c r="C730" s="14" t="s">
        <v>1858</v>
      </c>
      <c r="D730" s="29" t="n">
        <v>142240</v>
      </c>
      <c r="E730" s="2" t="s">
        <v>827</v>
      </c>
      <c r="F730" s="30" t="n">
        <v>3.51847581552306</v>
      </c>
      <c r="G730" s="31" t="n">
        <v>56.6</v>
      </c>
      <c r="H730" s="32" t="n">
        <v>0.0740768707996678</v>
      </c>
      <c r="I730" s="31" t="n">
        <v>48.4</v>
      </c>
      <c r="J730" s="2" t="s">
        <v>2888</v>
      </c>
      <c r="K730" s="33" t="n">
        <v>0.179388763613683</v>
      </c>
      <c r="L730" s="31" t="n">
        <v>64.2</v>
      </c>
      <c r="M730" s="34" t="s">
        <v>822</v>
      </c>
      <c r="N730" s="2" t="s">
        <v>24</v>
      </c>
      <c r="O730" s="2" t="s">
        <v>24</v>
      </c>
      <c r="P730" s="2" t="s">
        <v>24</v>
      </c>
      <c r="Q730" s="2" t="s">
        <v>24</v>
      </c>
    </row>
    <row r="731" customFormat="false" ht="15" hidden="false" customHeight="false" outlineLevel="0" collapsed="false">
      <c r="A731" s="2" t="s">
        <v>1857</v>
      </c>
      <c r="B731" s="2" t="s">
        <v>47</v>
      </c>
      <c r="C731" s="13" t="s">
        <v>2412</v>
      </c>
      <c r="D731" s="29" t="n">
        <v>170620</v>
      </c>
      <c r="E731" s="2" t="s">
        <v>827</v>
      </c>
      <c r="F731" s="30" t="n">
        <v>1.71267729457274</v>
      </c>
      <c r="G731" s="31" t="n">
        <v>69.1</v>
      </c>
      <c r="H731" s="32" t="n">
        <v>0.131057341730196</v>
      </c>
      <c r="I731" s="31" t="n">
        <v>74.5</v>
      </c>
      <c r="J731" s="2" t="s">
        <v>2897</v>
      </c>
      <c r="K731" s="33" t="n">
        <v>0.0107660758752014</v>
      </c>
      <c r="L731" s="31" t="n">
        <v>7.3</v>
      </c>
      <c r="M731" s="34" t="s">
        <v>822</v>
      </c>
      <c r="N731" s="2" t="s">
        <v>24</v>
      </c>
      <c r="O731" s="2" t="s">
        <v>24</v>
      </c>
      <c r="P731" s="2" t="s">
        <v>24</v>
      </c>
      <c r="Q731" s="2" t="s">
        <v>24</v>
      </c>
    </row>
    <row r="732" customFormat="false" ht="15" hidden="false" customHeight="false" outlineLevel="0" collapsed="false">
      <c r="A732" s="2" t="s">
        <v>426</v>
      </c>
      <c r="B732" s="2" t="s">
        <v>45</v>
      </c>
      <c r="C732" s="13" t="s">
        <v>1596</v>
      </c>
      <c r="D732" s="29" t="n">
        <v>33280</v>
      </c>
      <c r="E732" s="2" t="s">
        <v>821</v>
      </c>
      <c r="F732" s="30" t="n">
        <v>0.05625</v>
      </c>
      <c r="G732" s="31" t="n">
        <v>0.2</v>
      </c>
      <c r="H732" s="32" t="n">
        <v>0.213270142180095</v>
      </c>
      <c r="I732" s="31" t="n">
        <v>93.8</v>
      </c>
      <c r="J732" s="2" t="s">
        <v>2883</v>
      </c>
      <c r="K732" s="33" t="n">
        <v>0.117647058823529</v>
      </c>
      <c r="L732" s="31" t="n">
        <v>43.8</v>
      </c>
      <c r="M732" s="34" t="s">
        <v>822</v>
      </c>
      <c r="N732" s="2" t="s">
        <v>24</v>
      </c>
      <c r="O732" s="2" t="s">
        <v>24</v>
      </c>
      <c r="P732" s="2" t="s">
        <v>24</v>
      </c>
      <c r="Q732" s="2" t="s">
        <v>24</v>
      </c>
    </row>
    <row r="733" customFormat="false" ht="15" hidden="false" customHeight="false" outlineLevel="0" collapsed="false">
      <c r="A733" s="2" t="s">
        <v>426</v>
      </c>
      <c r="B733" s="2" t="s">
        <v>46</v>
      </c>
      <c r="C733" s="13" t="s">
        <v>1718</v>
      </c>
      <c r="D733" s="29" t="n">
        <v>56020</v>
      </c>
      <c r="E733" s="2" t="s">
        <v>821</v>
      </c>
      <c r="F733" s="30" t="n">
        <v>5.84277043912888</v>
      </c>
      <c r="G733" s="31" t="n">
        <v>79</v>
      </c>
      <c r="H733" s="32" t="n">
        <v>0.106677202686685</v>
      </c>
      <c r="I733" s="31" t="n">
        <v>62.2</v>
      </c>
      <c r="J733" s="2" t="s">
        <v>2884</v>
      </c>
      <c r="K733" s="33" t="n">
        <v>0.0498055378185407</v>
      </c>
      <c r="L733" s="31" t="n">
        <v>12.1</v>
      </c>
      <c r="M733" s="34" t="s">
        <v>822</v>
      </c>
      <c r="N733" s="2" t="s">
        <v>24</v>
      </c>
      <c r="O733" s="2" t="s">
        <v>24</v>
      </c>
      <c r="P733" s="2" t="s">
        <v>24</v>
      </c>
      <c r="Q733" s="2" t="s">
        <v>24</v>
      </c>
    </row>
    <row r="734" customFormat="false" ht="15" hidden="false" customHeight="false" outlineLevel="0" collapsed="false">
      <c r="A734" s="2" t="s">
        <v>426</v>
      </c>
      <c r="B734" s="2" t="s">
        <v>47</v>
      </c>
      <c r="C734" s="14" t="s">
        <v>2338</v>
      </c>
      <c r="D734" s="42" t="n">
        <v>497219</v>
      </c>
      <c r="E734" s="2" t="s">
        <v>827</v>
      </c>
      <c r="F734" s="43" t="n">
        <v>2.33637089491753</v>
      </c>
      <c r="G734" s="31" t="n">
        <v>81.7</v>
      </c>
      <c r="H734" s="41" t="n">
        <v>-0.0539577379570682</v>
      </c>
      <c r="I734" s="31" t="n">
        <v>5</v>
      </c>
      <c r="J734" s="2" t="s">
        <v>2897</v>
      </c>
      <c r="K734" s="44" t="n">
        <v>0.105045605165169</v>
      </c>
      <c r="L734" s="31" t="n">
        <v>60.8</v>
      </c>
      <c r="M734" s="34" t="s">
        <v>822</v>
      </c>
      <c r="N734" s="2" t="s">
        <v>22</v>
      </c>
      <c r="O734" s="2" t="s">
        <v>22</v>
      </c>
      <c r="P734" s="2" t="s">
        <v>22</v>
      </c>
      <c r="Q734" s="2" t="s">
        <v>22</v>
      </c>
    </row>
    <row r="735" customFormat="false" ht="15" hidden="false" customHeight="false" outlineLevel="0" collapsed="false">
      <c r="A735" s="2" t="s">
        <v>330</v>
      </c>
      <c r="B735" s="2" t="s">
        <v>45</v>
      </c>
      <c r="C735" s="14" t="s">
        <v>1179</v>
      </c>
      <c r="D735" s="42" t="n">
        <v>275285</v>
      </c>
      <c r="E735" s="2" t="s">
        <v>827</v>
      </c>
      <c r="F735" s="43" t="n">
        <v>0.629859963310751</v>
      </c>
      <c r="G735" s="31" t="n">
        <v>57.1</v>
      </c>
      <c r="H735" s="41" t="n">
        <v>-0.0152108665400287</v>
      </c>
      <c r="I735" s="31" t="n">
        <v>10</v>
      </c>
      <c r="J735" s="2" t="s">
        <v>2890</v>
      </c>
      <c r="K735" s="44" t="n">
        <v>0.108831819605387</v>
      </c>
      <c r="L735" s="31" t="n">
        <v>39.4</v>
      </c>
      <c r="M735" s="34" t="s">
        <v>822</v>
      </c>
      <c r="N735" s="2" t="s">
        <v>22</v>
      </c>
      <c r="O735" s="2" t="s">
        <v>22</v>
      </c>
      <c r="P735" s="2" t="s">
        <v>22</v>
      </c>
      <c r="Q735" s="2" t="s">
        <v>22</v>
      </c>
    </row>
    <row r="736" customFormat="false" ht="15" hidden="false" customHeight="false" outlineLevel="0" collapsed="false">
      <c r="A736" s="2" t="s">
        <v>330</v>
      </c>
      <c r="B736" s="2" t="s">
        <v>46</v>
      </c>
      <c r="C736" s="14" t="s">
        <v>1656</v>
      </c>
      <c r="D736" s="42" t="n">
        <v>19676</v>
      </c>
      <c r="E736" s="2" t="s">
        <v>821</v>
      </c>
      <c r="F736" s="43" t="n">
        <v>8.78425492986379</v>
      </c>
      <c r="G736" s="31" t="n">
        <v>91.2</v>
      </c>
      <c r="H736" s="41" t="n">
        <v>-0.0116039584065907</v>
      </c>
      <c r="I736" s="31" t="n">
        <v>11.6</v>
      </c>
      <c r="J736" s="2" t="s">
        <v>2884</v>
      </c>
      <c r="K736" s="44" t="n">
        <v>0.150882600168114</v>
      </c>
      <c r="L736" s="31" t="n">
        <v>55.8</v>
      </c>
      <c r="M736" s="34" t="s">
        <v>822</v>
      </c>
      <c r="N736" s="2" t="s">
        <v>22</v>
      </c>
      <c r="O736" s="2" t="s">
        <v>22</v>
      </c>
      <c r="P736" s="2" t="s">
        <v>22</v>
      </c>
      <c r="Q736" s="2" t="s">
        <v>22</v>
      </c>
    </row>
    <row r="737" customFormat="false" ht="15" hidden="false" customHeight="false" outlineLevel="0" collapsed="false">
      <c r="A737" s="2" t="s">
        <v>330</v>
      </c>
      <c r="B737" s="2" t="s">
        <v>47</v>
      </c>
      <c r="C737" s="14" t="s">
        <v>2654</v>
      </c>
      <c r="D737" s="42" t="n">
        <v>752</v>
      </c>
      <c r="E737" s="2" t="s">
        <v>825</v>
      </c>
      <c r="F737" s="43" t="n">
        <v>0.875</v>
      </c>
      <c r="G737" s="31" t="n">
        <v>33</v>
      </c>
      <c r="H737" s="41" t="n">
        <v>0.151607963246554</v>
      </c>
      <c r="I737" s="31" t="n">
        <v>71.2</v>
      </c>
      <c r="J737" s="2" t="s">
        <v>2889</v>
      </c>
      <c r="K737" s="44" t="n">
        <v>0.02</v>
      </c>
      <c r="L737" s="31" t="n">
        <v>13.4</v>
      </c>
      <c r="M737" s="34" t="s">
        <v>822</v>
      </c>
      <c r="N737" s="2" t="s">
        <v>22</v>
      </c>
      <c r="O737" s="2" t="s">
        <v>22</v>
      </c>
      <c r="P737" s="2" t="s">
        <v>22</v>
      </c>
      <c r="Q737" s="2" t="s">
        <v>22</v>
      </c>
    </row>
    <row r="738" customFormat="false" ht="15" hidden="false" customHeight="false" outlineLevel="0" collapsed="false">
      <c r="A738" s="2" t="s">
        <v>442</v>
      </c>
      <c r="B738" s="2" t="s">
        <v>45</v>
      </c>
      <c r="C738" s="14" t="s">
        <v>1456</v>
      </c>
      <c r="D738" s="42" t="n">
        <v>1380272</v>
      </c>
      <c r="E738" s="2" t="s">
        <v>935</v>
      </c>
      <c r="F738" s="43" t="n">
        <v>0.315748635051642</v>
      </c>
      <c r="G738" s="31" t="n">
        <v>19.5</v>
      </c>
      <c r="H738" s="41" t="n">
        <v>0.110600442865235</v>
      </c>
      <c r="I738" s="31" t="n">
        <v>70.6</v>
      </c>
      <c r="J738" s="2" t="s">
        <v>2892</v>
      </c>
      <c r="K738" s="44" t="n">
        <v>0.473283053060789</v>
      </c>
      <c r="L738" s="31" t="n">
        <v>100</v>
      </c>
      <c r="M738" s="34" t="s">
        <v>822</v>
      </c>
      <c r="N738" s="2" t="s">
        <v>22</v>
      </c>
      <c r="O738" s="2" t="s">
        <v>22</v>
      </c>
      <c r="P738" s="2" t="s">
        <v>22</v>
      </c>
      <c r="Q738" s="2" t="s">
        <v>22</v>
      </c>
    </row>
    <row r="739" customFormat="false" ht="15" hidden="false" customHeight="false" outlineLevel="0" collapsed="false">
      <c r="A739" s="2" t="s">
        <v>442</v>
      </c>
      <c r="B739" s="2" t="s">
        <v>46</v>
      </c>
      <c r="C739" s="14" t="s">
        <v>1712</v>
      </c>
      <c r="D739" s="42" t="n">
        <v>88771</v>
      </c>
      <c r="E739" s="2" t="s">
        <v>821</v>
      </c>
      <c r="F739" s="43" t="n">
        <v>6.02658525869935</v>
      </c>
      <c r="G739" s="31" t="n">
        <v>80.2</v>
      </c>
      <c r="H739" s="41" t="n">
        <v>0.0507184622304287</v>
      </c>
      <c r="I739" s="31" t="n">
        <v>30.9</v>
      </c>
      <c r="J739" s="2" t="s">
        <v>2884</v>
      </c>
      <c r="K739" s="44" t="n">
        <v>0.229320966290579</v>
      </c>
      <c r="L739" s="31" t="n">
        <v>76.4</v>
      </c>
      <c r="M739" s="34" t="s">
        <v>822</v>
      </c>
      <c r="N739" s="2" t="s">
        <v>22</v>
      </c>
      <c r="O739" s="2" t="s">
        <v>22</v>
      </c>
      <c r="P739" s="2" t="s">
        <v>22</v>
      </c>
      <c r="Q739" s="2" t="s">
        <v>22</v>
      </c>
    </row>
    <row r="740" customFormat="false" ht="15" hidden="false" customHeight="false" outlineLevel="0" collapsed="false">
      <c r="A740" s="2" t="s">
        <v>442</v>
      </c>
      <c r="B740" s="2" t="s">
        <v>47</v>
      </c>
      <c r="C740" s="13" t="s">
        <v>2481</v>
      </c>
      <c r="D740" s="29" t="n">
        <v>27800</v>
      </c>
      <c r="E740" s="2" t="s">
        <v>821</v>
      </c>
      <c r="F740" s="30" t="n">
        <v>1.43884892086331</v>
      </c>
      <c r="G740" s="31" t="n">
        <v>58</v>
      </c>
      <c r="H740" s="32" t="n">
        <v>-0.0176678445229682</v>
      </c>
      <c r="I740" s="31" t="n">
        <v>6.5</v>
      </c>
      <c r="J740" s="2" t="s">
        <v>2886</v>
      </c>
      <c r="K740" s="33" t="n">
        <v>0.0466101694915254</v>
      </c>
      <c r="L740" s="31" t="n">
        <v>30.3</v>
      </c>
      <c r="M740" s="34" t="s">
        <v>822</v>
      </c>
      <c r="N740" s="2" t="s">
        <v>24</v>
      </c>
      <c r="O740" s="2" t="s">
        <v>24</v>
      </c>
      <c r="P740" s="2" t="s">
        <v>24</v>
      </c>
      <c r="Q740" s="2" t="s">
        <v>24</v>
      </c>
    </row>
    <row r="741" customFormat="false" ht="15" hidden="false" customHeight="false" outlineLevel="0" collapsed="false">
      <c r="A741" s="2" t="s">
        <v>2594</v>
      </c>
      <c r="B741" s="2" t="s">
        <v>46</v>
      </c>
      <c r="C741" s="13" t="s">
        <v>3074</v>
      </c>
      <c r="D741" s="29" t="n">
        <v>36980</v>
      </c>
      <c r="E741" s="2" t="s">
        <v>821</v>
      </c>
      <c r="F741" s="30" t="n">
        <v>0.951865873445105</v>
      </c>
      <c r="G741" s="31" t="n">
        <v>6.7</v>
      </c>
      <c r="H741" s="32" t="n">
        <v>0.0338272295219458</v>
      </c>
      <c r="I741" s="31" t="n">
        <v>22.5</v>
      </c>
      <c r="J741" s="2" t="s">
        <v>2884</v>
      </c>
      <c r="K741" s="38"/>
      <c r="L741" s="31"/>
      <c r="M741" s="39" t="s">
        <v>832</v>
      </c>
      <c r="N741" s="2" t="s">
        <v>24</v>
      </c>
      <c r="O741" s="2" t="s">
        <v>24</v>
      </c>
      <c r="P741" s="2" t="s">
        <v>24</v>
      </c>
      <c r="Q741" s="2"/>
    </row>
    <row r="742" customFormat="false" ht="15" hidden="false" customHeight="false" outlineLevel="0" collapsed="false">
      <c r="A742" s="2" t="s">
        <v>2594</v>
      </c>
      <c r="B742" s="2" t="s">
        <v>47</v>
      </c>
      <c r="C742" s="14" t="s">
        <v>2595</v>
      </c>
      <c r="D742" s="42" t="n">
        <v>37113</v>
      </c>
      <c r="E742" s="2" t="s">
        <v>821</v>
      </c>
      <c r="F742" s="43" t="n">
        <v>1.0904534799127</v>
      </c>
      <c r="G742" s="31" t="n">
        <v>41.8</v>
      </c>
      <c r="H742" s="41" t="n">
        <v>0.159636295463067</v>
      </c>
      <c r="I742" s="31" t="n">
        <v>80.8</v>
      </c>
      <c r="J742" s="2" t="s">
        <v>2886</v>
      </c>
      <c r="K742" s="45" t="n">
        <v>0.0969030969030969</v>
      </c>
      <c r="L742" s="31" t="n">
        <v>57.3</v>
      </c>
      <c r="M742" s="34" t="s">
        <v>822</v>
      </c>
      <c r="N742" s="2" t="s">
        <v>22</v>
      </c>
      <c r="O742" s="2" t="s">
        <v>22</v>
      </c>
      <c r="P742" s="2" t="s">
        <v>22</v>
      </c>
      <c r="Q742" s="2" t="s">
        <v>19</v>
      </c>
    </row>
    <row r="743" customFormat="false" ht="15" hidden="false" customHeight="false" outlineLevel="0" collapsed="false">
      <c r="A743" s="2" t="s">
        <v>1899</v>
      </c>
      <c r="B743" s="2" t="s">
        <v>45</v>
      </c>
      <c r="C743" s="13" t="s">
        <v>3075</v>
      </c>
      <c r="D743" s="29" t="n">
        <v>11950</v>
      </c>
      <c r="E743" s="2" t="s">
        <v>821</v>
      </c>
      <c r="F743" s="30" t="n">
        <v>0.285188284518828</v>
      </c>
      <c r="G743" s="31" t="n">
        <v>15.5</v>
      </c>
      <c r="H743" s="32" t="n">
        <v>0.052863436123348</v>
      </c>
      <c r="I743" s="31" t="n">
        <v>30.2</v>
      </c>
      <c r="J743" s="2" t="s">
        <v>2883</v>
      </c>
      <c r="K743" s="38"/>
      <c r="L743" s="31"/>
      <c r="M743" s="39" t="s">
        <v>832</v>
      </c>
      <c r="N743" s="2" t="s">
        <v>24</v>
      </c>
      <c r="O743" s="2" t="s">
        <v>24</v>
      </c>
      <c r="P743" s="2" t="s">
        <v>24</v>
      </c>
      <c r="Q743" s="2"/>
    </row>
    <row r="744" customFormat="false" ht="15" hidden="false" customHeight="false" outlineLevel="0" collapsed="false">
      <c r="A744" s="2" t="s">
        <v>1899</v>
      </c>
      <c r="B744" s="2" t="s">
        <v>46</v>
      </c>
      <c r="C744" s="13" t="s">
        <v>1900</v>
      </c>
      <c r="D744" s="29" t="n">
        <v>79300</v>
      </c>
      <c r="E744" s="2" t="s">
        <v>821</v>
      </c>
      <c r="F744" s="30" t="n">
        <v>3.16517023959647</v>
      </c>
      <c r="G744" s="31" t="n">
        <v>49.9</v>
      </c>
      <c r="H744" s="32" t="n">
        <v>0.144300144300144</v>
      </c>
      <c r="I744" s="31" t="n">
        <v>77.8</v>
      </c>
      <c r="J744" s="2" t="s">
        <v>2884</v>
      </c>
      <c r="K744" s="33" t="n">
        <v>0.101962189767942</v>
      </c>
      <c r="L744" s="31" t="n">
        <v>38</v>
      </c>
      <c r="M744" s="34" t="s">
        <v>822</v>
      </c>
      <c r="N744" s="2" t="s">
        <v>24</v>
      </c>
      <c r="O744" s="2" t="s">
        <v>24</v>
      </c>
      <c r="P744" s="2" t="s">
        <v>24</v>
      </c>
      <c r="Q744" s="2" t="s">
        <v>24</v>
      </c>
    </row>
    <row r="745" customFormat="false" ht="15" hidden="false" customHeight="false" outlineLevel="0" collapsed="false">
      <c r="A745" s="2" t="s">
        <v>1899</v>
      </c>
      <c r="B745" s="2" t="s">
        <v>47</v>
      </c>
      <c r="C745" s="13" t="s">
        <v>2327</v>
      </c>
      <c r="D745" s="29" t="n">
        <v>992400</v>
      </c>
      <c r="E745" s="2" t="s">
        <v>827</v>
      </c>
      <c r="F745" s="30" t="n">
        <v>2.4420264006449</v>
      </c>
      <c r="G745" s="31" t="n">
        <v>83.4</v>
      </c>
      <c r="H745" s="32" t="n">
        <v>0.0358973288379036</v>
      </c>
      <c r="I745" s="31" t="n">
        <v>23</v>
      </c>
      <c r="J745" s="2" t="s">
        <v>2897</v>
      </c>
      <c r="K745" s="33" t="n">
        <v>0.22131644901728</v>
      </c>
      <c r="L745" s="31" t="n">
        <v>88.9</v>
      </c>
      <c r="M745" s="34" t="s">
        <v>822</v>
      </c>
      <c r="N745" s="2" t="s">
        <v>24</v>
      </c>
      <c r="O745" s="2" t="s">
        <v>24</v>
      </c>
      <c r="P745" s="2" t="s">
        <v>24</v>
      </c>
      <c r="Q745" s="2" t="s">
        <v>24</v>
      </c>
    </row>
    <row r="746" customFormat="false" ht="15" hidden="false" customHeight="false" outlineLevel="0" collapsed="false">
      <c r="A746" s="2" t="s">
        <v>398</v>
      </c>
      <c r="B746" s="2" t="s">
        <v>45</v>
      </c>
      <c r="C746" s="14" t="s">
        <v>937</v>
      </c>
      <c r="D746" s="42" t="n">
        <v>7313</v>
      </c>
      <c r="E746" s="2" t="s">
        <v>825</v>
      </c>
      <c r="F746" s="43" t="n">
        <v>1.31396143853412</v>
      </c>
      <c r="G746" s="31" t="n">
        <v>86.2</v>
      </c>
      <c r="H746" s="41" t="n">
        <v>0.0220824598183089</v>
      </c>
      <c r="I746" s="31" t="n">
        <v>9.9</v>
      </c>
      <c r="J746" s="2" t="s">
        <v>2899</v>
      </c>
      <c r="K746" s="44" t="n">
        <v>0.112721417069243</v>
      </c>
      <c r="L746" s="31" t="n">
        <v>40.8</v>
      </c>
      <c r="M746" s="34" t="s">
        <v>822</v>
      </c>
      <c r="N746" s="2" t="s">
        <v>22</v>
      </c>
      <c r="O746" s="2" t="s">
        <v>22</v>
      </c>
      <c r="P746" s="2" t="s">
        <v>22</v>
      </c>
      <c r="Q746" s="2" t="s">
        <v>22</v>
      </c>
    </row>
    <row r="747" customFormat="false" ht="15" hidden="false" customHeight="false" outlineLevel="0" collapsed="false">
      <c r="A747" s="2" t="s">
        <v>398</v>
      </c>
      <c r="B747" s="2" t="s">
        <v>46</v>
      </c>
      <c r="C747" s="13" t="s">
        <v>2053</v>
      </c>
      <c r="D747" s="29" t="n">
        <v>12200</v>
      </c>
      <c r="E747" s="2" t="s">
        <v>821</v>
      </c>
      <c r="F747" s="30" t="n">
        <v>1.83434426229508</v>
      </c>
      <c r="G747" s="31" t="n">
        <v>24.6</v>
      </c>
      <c r="H747" s="32" t="n">
        <v>0.150943396226415</v>
      </c>
      <c r="I747" s="31" t="n">
        <v>81.5</v>
      </c>
      <c r="J747" s="2" t="s">
        <v>2884</v>
      </c>
      <c r="K747" s="33" t="n">
        <v>0.0695067264573991</v>
      </c>
      <c r="L747" s="31" t="n">
        <v>20.1</v>
      </c>
      <c r="M747" s="34" t="s">
        <v>822</v>
      </c>
      <c r="N747" s="2" t="s">
        <v>24</v>
      </c>
      <c r="O747" s="2" t="s">
        <v>24</v>
      </c>
      <c r="P747" s="2" t="s">
        <v>24</v>
      </c>
      <c r="Q747" s="2" t="s">
        <v>24</v>
      </c>
    </row>
    <row r="748" customFormat="false" ht="15" hidden="false" customHeight="false" outlineLevel="0" collapsed="false">
      <c r="A748" s="2" t="s">
        <v>350</v>
      </c>
      <c r="B748" s="2" t="s">
        <v>45</v>
      </c>
      <c r="C748" s="14" t="s">
        <v>1465</v>
      </c>
      <c r="D748" s="42" t="n">
        <v>10271</v>
      </c>
      <c r="E748" s="2" t="s">
        <v>821</v>
      </c>
      <c r="F748" s="43" t="n">
        <v>0.302404829130562</v>
      </c>
      <c r="G748" s="31" t="n">
        <v>18.3</v>
      </c>
      <c r="H748" s="41" t="n">
        <v>0.24210908211392</v>
      </c>
      <c r="I748" s="31" t="n">
        <v>97.9</v>
      </c>
      <c r="J748" s="2" t="s">
        <v>2883</v>
      </c>
      <c r="K748" s="44" t="n">
        <v>0.146919431279621</v>
      </c>
      <c r="L748" s="31" t="n">
        <v>56.4</v>
      </c>
      <c r="M748" s="34" t="s">
        <v>822</v>
      </c>
      <c r="N748" s="2" t="s">
        <v>22</v>
      </c>
      <c r="O748" s="2" t="s">
        <v>22</v>
      </c>
      <c r="P748" s="2" t="s">
        <v>22</v>
      </c>
      <c r="Q748" s="2" t="s">
        <v>22</v>
      </c>
    </row>
    <row r="749" customFormat="false" ht="15" hidden="false" customHeight="false" outlineLevel="0" collapsed="false">
      <c r="A749" s="2" t="s">
        <v>350</v>
      </c>
      <c r="B749" s="2" t="s">
        <v>46</v>
      </c>
      <c r="C749" s="13" t="s">
        <v>1717</v>
      </c>
      <c r="D749" s="29" t="n">
        <v>828970</v>
      </c>
      <c r="E749" s="2" t="s">
        <v>827</v>
      </c>
      <c r="F749" s="30" t="n">
        <v>5.88553747421499</v>
      </c>
      <c r="G749" s="31" t="n">
        <v>79.2</v>
      </c>
      <c r="H749" s="32" t="n">
        <v>0.0619923646519255</v>
      </c>
      <c r="I749" s="31" t="n">
        <v>42</v>
      </c>
      <c r="J749" s="2" t="s">
        <v>2888</v>
      </c>
      <c r="K749" s="33" t="n">
        <v>0.224096671101121</v>
      </c>
      <c r="L749" s="31" t="n">
        <v>75.3</v>
      </c>
      <c r="M749" s="34" t="s">
        <v>822</v>
      </c>
      <c r="N749" s="2" t="s">
        <v>24</v>
      </c>
      <c r="O749" s="2" t="s">
        <v>24</v>
      </c>
      <c r="P749" s="2" t="s">
        <v>24</v>
      </c>
      <c r="Q749" s="2" t="s">
        <v>24</v>
      </c>
    </row>
    <row r="750" customFormat="false" ht="15" hidden="false" customHeight="false" outlineLevel="0" collapsed="false">
      <c r="A750" s="2" t="s">
        <v>350</v>
      </c>
      <c r="B750" s="2" t="s">
        <v>47</v>
      </c>
      <c r="C750" s="13" t="s">
        <v>2346</v>
      </c>
      <c r="D750" s="29" t="n">
        <v>26220</v>
      </c>
      <c r="E750" s="2" t="s">
        <v>821</v>
      </c>
      <c r="F750" s="30" t="n">
        <v>2.23054919908467</v>
      </c>
      <c r="G750" s="31" t="n">
        <v>80.2</v>
      </c>
      <c r="H750" s="32" t="n">
        <v>0.120034173430158</v>
      </c>
      <c r="I750" s="31" t="n">
        <v>63</v>
      </c>
      <c r="J750" s="2" t="s">
        <v>2886</v>
      </c>
      <c r="K750" s="33" t="n">
        <v>0.0270506108202443</v>
      </c>
      <c r="L750" s="31" t="n">
        <v>17.7</v>
      </c>
      <c r="M750" s="34" t="s">
        <v>822</v>
      </c>
      <c r="N750" s="2" t="s">
        <v>24</v>
      </c>
      <c r="O750" s="2" t="s">
        <v>24</v>
      </c>
      <c r="P750" s="2" t="s">
        <v>24</v>
      </c>
      <c r="Q750" s="2" t="s">
        <v>24</v>
      </c>
    </row>
    <row r="751" customFormat="false" ht="15" hidden="false" customHeight="false" outlineLevel="0" collapsed="false">
      <c r="A751" s="2" t="s">
        <v>648</v>
      </c>
      <c r="B751" s="2" t="s">
        <v>47</v>
      </c>
      <c r="C751" s="14" t="s">
        <v>2645</v>
      </c>
      <c r="D751" s="42" t="n">
        <v>47604</v>
      </c>
      <c r="E751" s="2" t="s">
        <v>821</v>
      </c>
      <c r="F751" s="43" t="n">
        <v>0.911457020418452</v>
      </c>
      <c r="G751" s="31" t="n">
        <v>34.6</v>
      </c>
      <c r="H751" s="41" t="n">
        <v>0.1929033228086</v>
      </c>
      <c r="I751" s="31" t="n">
        <v>90.3</v>
      </c>
      <c r="J751" s="2" t="s">
        <v>2886</v>
      </c>
      <c r="K751" s="44" t="n">
        <v>0.0108049702863317</v>
      </c>
      <c r="L751" s="31" t="n">
        <v>7.5</v>
      </c>
      <c r="M751" s="34" t="s">
        <v>822</v>
      </c>
      <c r="N751" s="2" t="s">
        <v>22</v>
      </c>
      <c r="O751" s="2" t="s">
        <v>22</v>
      </c>
      <c r="P751" s="2" t="s">
        <v>22</v>
      </c>
      <c r="Q751" s="2" t="s">
        <v>22</v>
      </c>
    </row>
    <row r="752" customFormat="false" ht="15" hidden="false" customHeight="false" outlineLevel="0" collapsed="false">
      <c r="A752" s="2" t="s">
        <v>468</v>
      </c>
      <c r="B752" s="2" t="s">
        <v>45</v>
      </c>
      <c r="C752" s="13" t="s">
        <v>1217</v>
      </c>
      <c r="D752" s="29" t="n">
        <v>63840</v>
      </c>
      <c r="E752" s="2" t="s">
        <v>821</v>
      </c>
      <c r="F752" s="30" t="n">
        <v>0.577537593984962</v>
      </c>
      <c r="G752" s="31" t="n">
        <v>51.8</v>
      </c>
      <c r="H752" s="32" t="n">
        <v>0.0271922767497989</v>
      </c>
      <c r="I752" s="31" t="n">
        <v>16.5</v>
      </c>
      <c r="J752" s="2" t="s">
        <v>2883</v>
      </c>
      <c r="K752" s="33" t="n">
        <v>0.0348027842227378</v>
      </c>
      <c r="L752" s="31" t="n">
        <v>11</v>
      </c>
      <c r="M752" s="34" t="s">
        <v>822</v>
      </c>
      <c r="N752" s="2" t="s">
        <v>24</v>
      </c>
      <c r="O752" s="2" t="s">
        <v>24</v>
      </c>
      <c r="P752" s="2" t="s">
        <v>24</v>
      </c>
      <c r="Q752" s="2" t="s">
        <v>24</v>
      </c>
    </row>
    <row r="753" customFormat="false" ht="15" hidden="false" customHeight="false" outlineLevel="0" collapsed="false">
      <c r="A753" s="2" t="s">
        <v>468</v>
      </c>
      <c r="B753" s="2" t="s">
        <v>46</v>
      </c>
      <c r="C753" s="13" t="s">
        <v>2088</v>
      </c>
      <c r="D753" s="29" t="n">
        <v>22390</v>
      </c>
      <c r="E753" s="2" t="s">
        <v>821</v>
      </c>
      <c r="F753" s="30" t="n">
        <v>1.60714604734256</v>
      </c>
      <c r="G753" s="31" t="n">
        <v>18.9</v>
      </c>
      <c r="H753" s="32" t="n">
        <v>0.0656830080913851</v>
      </c>
      <c r="I753" s="31" t="n">
        <v>38.9</v>
      </c>
      <c r="J753" s="2" t="s">
        <v>2884</v>
      </c>
      <c r="K753" s="33" t="n">
        <v>0.112372304199773</v>
      </c>
      <c r="L753" s="31" t="n">
        <v>41.9</v>
      </c>
      <c r="M753" s="34" t="s">
        <v>822</v>
      </c>
      <c r="N753" s="2" t="s">
        <v>24</v>
      </c>
      <c r="O753" s="2" t="s">
        <v>24</v>
      </c>
      <c r="P753" s="2" t="s">
        <v>24</v>
      </c>
      <c r="Q753" s="2" t="s">
        <v>24</v>
      </c>
    </row>
    <row r="754" customFormat="false" ht="15" hidden="false" customHeight="false" outlineLevel="0" collapsed="false">
      <c r="A754" s="2" t="s">
        <v>468</v>
      </c>
      <c r="B754" s="2" t="s">
        <v>47</v>
      </c>
      <c r="C754" s="13" t="s">
        <v>2336</v>
      </c>
      <c r="D754" s="29" t="n">
        <v>75210</v>
      </c>
      <c r="E754" s="2" t="s">
        <v>821</v>
      </c>
      <c r="F754" s="30" t="n">
        <v>2.36864778619864</v>
      </c>
      <c r="G754" s="31" t="n">
        <v>82.2</v>
      </c>
      <c r="H754" s="32" t="n">
        <v>0.0724369028946243</v>
      </c>
      <c r="I754" s="31" t="n">
        <v>37</v>
      </c>
      <c r="J754" s="2" t="s">
        <v>2886</v>
      </c>
      <c r="K754" s="33" t="n">
        <v>0.135275036234385</v>
      </c>
      <c r="L754" s="31" t="n">
        <v>69.7</v>
      </c>
      <c r="M754" s="34" t="s">
        <v>822</v>
      </c>
      <c r="N754" s="2" t="s">
        <v>24</v>
      </c>
      <c r="O754" s="2" t="s">
        <v>24</v>
      </c>
      <c r="P754" s="2" t="s">
        <v>24</v>
      </c>
      <c r="Q754" s="2" t="s">
        <v>24</v>
      </c>
    </row>
    <row r="755" customFormat="false" ht="15" hidden="false" customHeight="false" outlineLevel="0" collapsed="false">
      <c r="A755" s="2" t="s">
        <v>318</v>
      </c>
      <c r="B755" s="2" t="s">
        <v>45</v>
      </c>
      <c r="C755" s="14" t="s">
        <v>1178</v>
      </c>
      <c r="D755" s="42" t="n">
        <v>52005</v>
      </c>
      <c r="E755" s="2" t="s">
        <v>821</v>
      </c>
      <c r="F755" s="43" t="n">
        <v>0.630862417075281</v>
      </c>
      <c r="G755" s="31" t="n">
        <v>57.3</v>
      </c>
      <c r="H755" s="41" t="n">
        <v>0.10266522485847</v>
      </c>
      <c r="I755" s="31" t="n">
        <v>54.3</v>
      </c>
      <c r="J755" s="2" t="s">
        <v>2883</v>
      </c>
      <c r="K755" s="44" t="n">
        <v>0.0554166666666667</v>
      </c>
      <c r="L755" s="31" t="n">
        <v>17.9</v>
      </c>
      <c r="M755" s="34" t="s">
        <v>822</v>
      </c>
      <c r="N755" s="2" t="s">
        <v>22</v>
      </c>
      <c r="O755" s="2" t="s">
        <v>22</v>
      </c>
      <c r="P755" s="2" t="s">
        <v>22</v>
      </c>
      <c r="Q755" s="2" t="s">
        <v>22</v>
      </c>
    </row>
    <row r="756" customFormat="false" ht="15" hidden="false" customHeight="false" outlineLevel="0" collapsed="false">
      <c r="A756" s="2" t="s">
        <v>318</v>
      </c>
      <c r="B756" s="2" t="s">
        <v>46</v>
      </c>
      <c r="C756" s="13" t="s">
        <v>1621</v>
      </c>
      <c r="D756" s="29" t="n">
        <v>9010</v>
      </c>
      <c r="E756" s="2" t="s">
        <v>825</v>
      </c>
      <c r="F756" s="30" t="n">
        <v>11.7005549389567</v>
      </c>
      <c r="G756" s="31" t="n">
        <v>96.9</v>
      </c>
      <c r="H756" s="32" t="n">
        <v>0.146310432569975</v>
      </c>
      <c r="I756" s="31" t="n">
        <v>66</v>
      </c>
      <c r="J756" s="2" t="s">
        <v>2905</v>
      </c>
      <c r="K756" s="33" t="n">
        <v>0.0635634931795809</v>
      </c>
      <c r="L756" s="31" t="n">
        <v>17.2</v>
      </c>
      <c r="M756" s="34" t="s">
        <v>822</v>
      </c>
      <c r="N756" s="2" t="s">
        <v>24</v>
      </c>
      <c r="O756" s="2" t="s">
        <v>24</v>
      </c>
      <c r="P756" s="2" t="s">
        <v>24</v>
      </c>
      <c r="Q756" s="2" t="s">
        <v>24</v>
      </c>
    </row>
    <row r="757" customFormat="false" ht="15" hidden="false" customHeight="false" outlineLevel="0" collapsed="false">
      <c r="A757" s="2" t="s">
        <v>318</v>
      </c>
      <c r="B757" s="2" t="s">
        <v>47</v>
      </c>
      <c r="C757" s="14" t="s">
        <v>2675</v>
      </c>
      <c r="D757" s="42" t="n">
        <v>9466</v>
      </c>
      <c r="E757" s="2" t="s">
        <v>825</v>
      </c>
      <c r="F757" s="43" t="n">
        <v>0.809106275089795</v>
      </c>
      <c r="G757" s="31" t="n">
        <v>29.3</v>
      </c>
      <c r="H757" s="41" t="n">
        <v>0.220789270054166</v>
      </c>
      <c r="I757" s="31" t="n">
        <v>92.5</v>
      </c>
      <c r="J757" s="2" t="s">
        <v>2889</v>
      </c>
      <c r="K757" s="44" t="n">
        <v>0.0411764705882353</v>
      </c>
      <c r="L757" s="31" t="n">
        <v>26.3</v>
      </c>
      <c r="M757" s="34" t="s">
        <v>822</v>
      </c>
      <c r="N757" s="2" t="s">
        <v>22</v>
      </c>
      <c r="O757" s="2" t="s">
        <v>22</v>
      </c>
      <c r="P757" s="2" t="s">
        <v>22</v>
      </c>
      <c r="Q757" s="2" t="s">
        <v>22</v>
      </c>
    </row>
    <row r="758" customFormat="false" ht="15" hidden="false" customHeight="false" outlineLevel="0" collapsed="false">
      <c r="A758" s="2" t="s">
        <v>2735</v>
      </c>
      <c r="B758" s="2" t="s">
        <v>46</v>
      </c>
      <c r="C758" s="16"/>
      <c r="D758" s="35"/>
      <c r="E758" s="2"/>
      <c r="F758" s="36"/>
      <c r="G758" s="31"/>
      <c r="H758" s="37"/>
      <c r="I758" s="31"/>
      <c r="J758" s="2"/>
      <c r="K758" s="38"/>
      <c r="L758" s="31"/>
      <c r="M758" s="39" t="s">
        <v>832</v>
      </c>
      <c r="N758" s="2"/>
      <c r="O758" s="2"/>
      <c r="P758" s="2"/>
      <c r="Q758" s="2"/>
    </row>
    <row r="759" customFormat="false" ht="15" hidden="false" customHeight="false" outlineLevel="0" collapsed="false">
      <c r="A759" s="2" t="s">
        <v>2735</v>
      </c>
      <c r="B759" s="2" t="s">
        <v>47</v>
      </c>
      <c r="C759" s="13" t="s">
        <v>2736</v>
      </c>
      <c r="D759" s="29" t="n">
        <v>203530</v>
      </c>
      <c r="E759" s="2" t="s">
        <v>827</v>
      </c>
      <c r="F759" s="30" t="n">
        <v>0.661131037193534</v>
      </c>
      <c r="G759" s="31" t="n">
        <v>20.5</v>
      </c>
      <c r="H759" s="32" t="n">
        <v>0.103323033555592</v>
      </c>
      <c r="I759" s="31" t="n">
        <v>60.2</v>
      </c>
      <c r="J759" s="2" t="s">
        <v>2897</v>
      </c>
      <c r="K759" s="33" t="n">
        <v>0.236040834442965</v>
      </c>
      <c r="L759" s="31" t="n">
        <v>91</v>
      </c>
      <c r="M759" s="34" t="s">
        <v>822</v>
      </c>
      <c r="N759" s="2" t="s">
        <v>24</v>
      </c>
      <c r="O759" s="2" t="s">
        <v>24</v>
      </c>
      <c r="P759" s="2" t="s">
        <v>24</v>
      </c>
      <c r="Q759" s="2" t="s">
        <v>24</v>
      </c>
    </row>
    <row r="760" customFormat="false" ht="15" hidden="false" customHeight="false" outlineLevel="0" collapsed="false">
      <c r="A760" s="2" t="s">
        <v>806</v>
      </c>
      <c r="B760" s="2" t="s">
        <v>46</v>
      </c>
      <c r="C760" s="13" t="s">
        <v>2192</v>
      </c>
      <c r="D760" s="29" t="n">
        <v>95130</v>
      </c>
      <c r="E760" s="2" t="s">
        <v>821</v>
      </c>
      <c r="F760" s="30" t="n">
        <v>0.588710186061179</v>
      </c>
      <c r="G760" s="31" t="n">
        <v>2.2</v>
      </c>
      <c r="H760" s="32" t="n">
        <v>0.00805340680300943</v>
      </c>
      <c r="I760" s="31" t="n">
        <v>15.3</v>
      </c>
      <c r="J760" s="2" t="s">
        <v>2884</v>
      </c>
      <c r="K760" s="33" t="n">
        <v>0.222685571309425</v>
      </c>
      <c r="L760" s="31" t="n">
        <v>74.6</v>
      </c>
      <c r="M760" s="34" t="s">
        <v>822</v>
      </c>
      <c r="N760" s="2" t="s">
        <v>24</v>
      </c>
      <c r="O760" s="2" t="s">
        <v>24</v>
      </c>
      <c r="P760" s="2" t="s">
        <v>24</v>
      </c>
      <c r="Q760" s="2" t="s">
        <v>24</v>
      </c>
    </row>
    <row r="761" customFormat="false" ht="15" hidden="false" customHeight="false" outlineLevel="0" collapsed="false">
      <c r="A761" s="2" t="s">
        <v>1861</v>
      </c>
      <c r="B761" s="2" t="s">
        <v>45</v>
      </c>
      <c r="C761" s="13" t="s">
        <v>3076</v>
      </c>
      <c r="D761" s="29" t="n">
        <v>7050</v>
      </c>
      <c r="E761" s="2" t="s">
        <v>825</v>
      </c>
      <c r="F761" s="36"/>
      <c r="G761" s="31"/>
      <c r="H761" s="32" t="n">
        <v>0.14448051948052</v>
      </c>
      <c r="I761" s="31" t="n">
        <v>80.3</v>
      </c>
      <c r="J761" s="2" t="s">
        <v>2899</v>
      </c>
      <c r="K761" s="33" t="n">
        <v>0.0323624595469256</v>
      </c>
      <c r="L761" s="31" t="n">
        <v>10.5</v>
      </c>
      <c r="M761" s="39" t="s">
        <v>832</v>
      </c>
      <c r="N761" s="2" t="s">
        <v>24</v>
      </c>
      <c r="O761" s="2"/>
      <c r="P761" s="2" t="s">
        <v>24</v>
      </c>
      <c r="Q761" s="2" t="s">
        <v>24</v>
      </c>
    </row>
    <row r="762" customFormat="false" ht="15" hidden="false" customHeight="false" outlineLevel="0" collapsed="false">
      <c r="A762" s="2" t="s">
        <v>1861</v>
      </c>
      <c r="B762" s="2" t="s">
        <v>46</v>
      </c>
      <c r="C762" s="13" t="s">
        <v>1862</v>
      </c>
      <c r="D762" s="29" t="n">
        <v>106720</v>
      </c>
      <c r="E762" s="2" t="s">
        <v>827</v>
      </c>
      <c r="F762" s="30" t="n">
        <v>3.47331334332834</v>
      </c>
      <c r="G762" s="31" t="n">
        <v>55.6</v>
      </c>
      <c r="H762" s="32" t="n">
        <v>0.146787019127445</v>
      </c>
      <c r="I762" s="31" t="n">
        <v>86.6</v>
      </c>
      <c r="J762" s="2" t="s">
        <v>2888</v>
      </c>
      <c r="K762" s="33" t="n">
        <v>0.0804702451471794</v>
      </c>
      <c r="L762" s="31" t="n">
        <v>25.8</v>
      </c>
      <c r="M762" s="34" t="s">
        <v>822</v>
      </c>
      <c r="N762" s="2" t="s">
        <v>24</v>
      </c>
      <c r="O762" s="2" t="s">
        <v>24</v>
      </c>
      <c r="P762" s="2" t="s">
        <v>24</v>
      </c>
      <c r="Q762" s="2" t="s">
        <v>24</v>
      </c>
    </row>
    <row r="763" customFormat="false" ht="15" hidden="false" customHeight="false" outlineLevel="0" collapsed="false">
      <c r="A763" s="2" t="s">
        <v>1861</v>
      </c>
      <c r="B763" s="2" t="s">
        <v>47</v>
      </c>
      <c r="C763" s="14" t="s">
        <v>3077</v>
      </c>
      <c r="D763" s="42" t="n">
        <v>143323</v>
      </c>
      <c r="E763" s="2" t="s">
        <v>827</v>
      </c>
      <c r="F763" s="43" t="n">
        <v>1.23606120441241</v>
      </c>
      <c r="G763" s="31" t="n">
        <v>49.4</v>
      </c>
      <c r="H763" s="41" t="n">
        <v>0.122350214175522</v>
      </c>
      <c r="I763" s="31" t="n">
        <v>70.8</v>
      </c>
      <c r="J763" s="2" t="s">
        <v>2897</v>
      </c>
      <c r="K763" s="38"/>
      <c r="L763" s="31"/>
      <c r="M763" s="39" t="s">
        <v>832</v>
      </c>
      <c r="N763" s="2" t="s">
        <v>22</v>
      </c>
      <c r="O763" s="2" t="s">
        <v>22</v>
      </c>
      <c r="P763" s="2" t="s">
        <v>22</v>
      </c>
      <c r="Q763" s="2"/>
    </row>
    <row r="764" customFormat="false" ht="15" hidden="false" customHeight="false" outlineLevel="0" collapsed="false">
      <c r="A764" s="2" t="s">
        <v>850</v>
      </c>
      <c r="B764" s="2" t="s">
        <v>45</v>
      </c>
      <c r="C764" s="13" t="s">
        <v>851</v>
      </c>
      <c r="D764" s="29" t="n">
        <v>542100</v>
      </c>
      <c r="E764" s="2" t="s">
        <v>827</v>
      </c>
      <c r="F764" s="30" t="n">
        <v>2.37243128574064</v>
      </c>
      <c r="G764" s="31" t="n">
        <v>97.2</v>
      </c>
      <c r="H764" s="32" t="n">
        <v>0.0845687533761479</v>
      </c>
      <c r="I764" s="31" t="n">
        <v>48.6</v>
      </c>
      <c r="J764" s="2" t="s">
        <v>2890</v>
      </c>
      <c r="K764" s="33" t="n">
        <v>0.115777726035536</v>
      </c>
      <c r="L764" s="31" t="n">
        <v>42.4</v>
      </c>
      <c r="M764" s="34" t="s">
        <v>822</v>
      </c>
      <c r="N764" s="2" t="s">
        <v>24</v>
      </c>
      <c r="O764" s="2" t="s">
        <v>24</v>
      </c>
      <c r="P764" s="2" t="s">
        <v>24</v>
      </c>
      <c r="Q764" s="2" t="s">
        <v>24</v>
      </c>
    </row>
    <row r="765" customFormat="false" ht="15" hidden="false" customHeight="false" outlineLevel="0" collapsed="false">
      <c r="A765" s="2" t="s">
        <v>850</v>
      </c>
      <c r="B765" s="2" t="s">
        <v>46</v>
      </c>
      <c r="C765" s="13" t="s">
        <v>3078</v>
      </c>
      <c r="D765" s="29" t="n">
        <v>2308620</v>
      </c>
      <c r="E765" s="2" t="s">
        <v>935</v>
      </c>
      <c r="F765" s="30" t="n">
        <v>1.1412159645156</v>
      </c>
      <c r="G765" s="31" t="n">
        <v>8.6</v>
      </c>
      <c r="H765" s="32" t="n">
        <v>0.141643465747531</v>
      </c>
      <c r="I765" s="31" t="n">
        <v>91.7</v>
      </c>
      <c r="J765" s="2" t="s">
        <v>2906</v>
      </c>
      <c r="K765" s="38"/>
      <c r="L765" s="31"/>
      <c r="M765" s="39" t="s">
        <v>832</v>
      </c>
      <c r="N765" s="2" t="s">
        <v>24</v>
      </c>
      <c r="O765" s="2" t="s">
        <v>24</v>
      </c>
      <c r="P765" s="2" t="s">
        <v>24</v>
      </c>
      <c r="Q765" s="2"/>
    </row>
    <row r="766" customFormat="false" ht="15" hidden="false" customHeight="false" outlineLevel="0" collapsed="false">
      <c r="A766" s="2" t="s">
        <v>850</v>
      </c>
      <c r="B766" s="2" t="s">
        <v>47</v>
      </c>
      <c r="C766" s="14" t="s">
        <v>2297</v>
      </c>
      <c r="D766" s="42" t="n">
        <v>223568</v>
      </c>
      <c r="E766" s="2" t="s">
        <v>827</v>
      </c>
      <c r="F766" s="43" t="n">
        <v>2.8052180991913</v>
      </c>
      <c r="G766" s="31" t="n">
        <v>88</v>
      </c>
      <c r="H766" s="41" t="n">
        <v>0.0630604928057212</v>
      </c>
      <c r="I766" s="31" t="n">
        <v>39.1</v>
      </c>
      <c r="J766" s="2" t="s">
        <v>2897</v>
      </c>
      <c r="K766" s="44" t="n">
        <v>0.0358053346524105</v>
      </c>
      <c r="L766" s="31" t="n">
        <v>23.3</v>
      </c>
      <c r="M766" s="34" t="s">
        <v>822</v>
      </c>
      <c r="N766" s="2" t="s">
        <v>22</v>
      </c>
      <c r="O766" s="2" t="s">
        <v>22</v>
      </c>
      <c r="P766" s="2" t="s">
        <v>22</v>
      </c>
      <c r="Q766" s="2" t="s">
        <v>22</v>
      </c>
    </row>
    <row r="767" customFormat="false" ht="15" hidden="false" customHeight="false" outlineLevel="0" collapsed="false">
      <c r="A767" s="2" t="s">
        <v>2813</v>
      </c>
      <c r="B767" s="2" t="s">
        <v>45</v>
      </c>
      <c r="C767" s="13" t="s">
        <v>3079</v>
      </c>
      <c r="D767" s="29" t="n">
        <v>270360</v>
      </c>
      <c r="E767" s="2" t="s">
        <v>827</v>
      </c>
      <c r="F767" s="36"/>
      <c r="G767" s="31"/>
      <c r="H767" s="32" t="n">
        <v>0.178193227872925</v>
      </c>
      <c r="I767" s="31" t="n">
        <v>89.3</v>
      </c>
      <c r="J767" s="2" t="s">
        <v>2890</v>
      </c>
      <c r="K767" s="33" t="n">
        <v>0.0926479378362224</v>
      </c>
      <c r="L767" s="31" t="n">
        <v>33.3</v>
      </c>
      <c r="M767" s="39" t="s">
        <v>832</v>
      </c>
      <c r="N767" s="2" t="s">
        <v>24</v>
      </c>
      <c r="O767" s="2"/>
      <c r="P767" s="2" t="s">
        <v>24</v>
      </c>
      <c r="Q767" s="2" t="s">
        <v>24</v>
      </c>
    </row>
    <row r="768" customFormat="false" ht="15" hidden="false" customHeight="false" outlineLevel="0" collapsed="false">
      <c r="A768" s="2" t="s">
        <v>2813</v>
      </c>
      <c r="B768" s="2" t="s">
        <v>47</v>
      </c>
      <c r="C768" s="14" t="s">
        <v>2814</v>
      </c>
      <c r="D768" s="42" t="n">
        <v>7504</v>
      </c>
      <c r="E768" s="2" t="s">
        <v>825</v>
      </c>
      <c r="F768" s="43" t="n">
        <v>0.428571428571429</v>
      </c>
      <c r="G768" s="31" t="n">
        <v>9.3</v>
      </c>
      <c r="H768" s="41" t="n">
        <v>0.134906231094979</v>
      </c>
      <c r="I768" s="31" t="n">
        <v>60</v>
      </c>
      <c r="J768" s="2" t="s">
        <v>2889</v>
      </c>
      <c r="K768" s="44" t="n">
        <v>0.157190635451505</v>
      </c>
      <c r="L768" s="31" t="n">
        <v>75.4</v>
      </c>
      <c r="M768" s="34" t="s">
        <v>822</v>
      </c>
      <c r="N768" s="2" t="s">
        <v>22</v>
      </c>
      <c r="O768" s="2" t="s">
        <v>22</v>
      </c>
      <c r="P768" s="2" t="s">
        <v>22</v>
      </c>
      <c r="Q768" s="2" t="s">
        <v>22</v>
      </c>
    </row>
    <row r="769" customFormat="false" ht="15" hidden="false" customHeight="false" outlineLevel="0" collapsed="false">
      <c r="A769" s="2" t="s">
        <v>504</v>
      </c>
      <c r="B769" s="2" t="s">
        <v>45</v>
      </c>
      <c r="C769" s="13" t="s">
        <v>1327</v>
      </c>
      <c r="D769" s="29" t="n">
        <v>9980</v>
      </c>
      <c r="E769" s="2" t="s">
        <v>825</v>
      </c>
      <c r="F769" s="30" t="n">
        <v>0.470140280561122</v>
      </c>
      <c r="G769" s="31" t="n">
        <v>38.2</v>
      </c>
      <c r="H769" s="32" t="n">
        <v>0.163170163170163</v>
      </c>
      <c r="I769" s="31" t="n">
        <v>88.7</v>
      </c>
      <c r="J769" s="2" t="s">
        <v>2899</v>
      </c>
      <c r="K769" s="33" t="n">
        <v>0.318181818181818</v>
      </c>
      <c r="L769" s="31" t="n">
        <v>92.1</v>
      </c>
      <c r="M769" s="34" t="s">
        <v>822</v>
      </c>
      <c r="N769" s="2" t="s">
        <v>24</v>
      </c>
      <c r="O769" s="2" t="s">
        <v>24</v>
      </c>
      <c r="P769" s="2" t="s">
        <v>24</v>
      </c>
      <c r="Q769" s="2" t="s">
        <v>24</v>
      </c>
    </row>
    <row r="770" customFormat="false" ht="15" hidden="false" customHeight="false" outlineLevel="0" collapsed="false">
      <c r="A770" s="2" t="s">
        <v>504</v>
      </c>
      <c r="B770" s="2" t="s">
        <v>47</v>
      </c>
      <c r="C770" s="14" t="s">
        <v>2478</v>
      </c>
      <c r="D770" s="42" t="n">
        <v>8456</v>
      </c>
      <c r="E770" s="2" t="s">
        <v>825</v>
      </c>
      <c r="F770" s="43" t="n">
        <v>1.47114474929045</v>
      </c>
      <c r="G770" s="31" t="n">
        <v>58.6</v>
      </c>
      <c r="H770" s="41" t="n">
        <v>0.0122097198946612</v>
      </c>
      <c r="I770" s="31" t="n">
        <v>11.2</v>
      </c>
      <c r="J770" s="2" t="s">
        <v>2889</v>
      </c>
      <c r="K770" s="44" t="n">
        <v>0.0338164251207729</v>
      </c>
      <c r="L770" s="31" t="n">
        <v>22.2</v>
      </c>
      <c r="M770" s="34" t="s">
        <v>822</v>
      </c>
      <c r="N770" s="2" t="s">
        <v>22</v>
      </c>
      <c r="O770" s="2" t="s">
        <v>22</v>
      </c>
      <c r="P770" s="2" t="s">
        <v>22</v>
      </c>
      <c r="Q770" s="2" t="s">
        <v>22</v>
      </c>
    </row>
    <row r="771" customFormat="false" ht="15" hidden="false" customHeight="false" outlineLevel="0" collapsed="false">
      <c r="A771" s="2" t="s">
        <v>234</v>
      </c>
      <c r="B771" s="2" t="s">
        <v>45</v>
      </c>
      <c r="C771" s="13" t="s">
        <v>852</v>
      </c>
      <c r="D771" s="29" t="n">
        <v>71860</v>
      </c>
      <c r="E771" s="2" t="s">
        <v>821</v>
      </c>
      <c r="F771" s="30" t="n">
        <v>2.34851099359866</v>
      </c>
      <c r="G771" s="31" t="n">
        <v>97</v>
      </c>
      <c r="H771" s="32" t="n">
        <v>0.0488979710991096</v>
      </c>
      <c r="I771" s="31" t="n">
        <v>26.5</v>
      </c>
      <c r="J771" s="2" t="s">
        <v>2883</v>
      </c>
      <c r="K771" s="33" t="n">
        <v>0.371517371517372</v>
      </c>
      <c r="L771" s="31" t="n">
        <v>96</v>
      </c>
      <c r="M771" s="34" t="s">
        <v>822</v>
      </c>
      <c r="N771" s="2" t="s">
        <v>24</v>
      </c>
      <c r="O771" s="2" t="s">
        <v>24</v>
      </c>
      <c r="P771" s="2" t="s">
        <v>24</v>
      </c>
      <c r="Q771" s="2" t="s">
        <v>24</v>
      </c>
    </row>
    <row r="772" customFormat="false" ht="15" hidden="false" customHeight="false" outlineLevel="0" collapsed="false">
      <c r="A772" s="2" t="s">
        <v>234</v>
      </c>
      <c r="B772" s="2" t="s">
        <v>46</v>
      </c>
      <c r="C772" s="13" t="s">
        <v>2124</v>
      </c>
      <c r="D772" s="29" t="n">
        <v>261820</v>
      </c>
      <c r="E772" s="2" t="s">
        <v>827</v>
      </c>
      <c r="F772" s="30" t="n">
        <v>1.41772209915209</v>
      </c>
      <c r="G772" s="31" t="n">
        <v>13.6</v>
      </c>
      <c r="H772" s="32" t="n">
        <v>-0.00694102029205386</v>
      </c>
      <c r="I772" s="31" t="n">
        <v>10.2</v>
      </c>
      <c r="J772" s="2" t="s">
        <v>2888</v>
      </c>
      <c r="K772" s="33" t="n">
        <v>0.130024019215372</v>
      </c>
      <c r="L772" s="31" t="n">
        <v>49</v>
      </c>
      <c r="M772" s="34" t="s">
        <v>822</v>
      </c>
      <c r="N772" s="2" t="s">
        <v>24</v>
      </c>
      <c r="O772" s="2" t="s">
        <v>24</v>
      </c>
      <c r="P772" s="2" t="s">
        <v>24</v>
      </c>
      <c r="Q772" s="2" t="s">
        <v>24</v>
      </c>
    </row>
    <row r="773" customFormat="false" ht="15" hidden="false" customHeight="false" outlineLevel="0" collapsed="false">
      <c r="A773" s="2" t="s">
        <v>234</v>
      </c>
      <c r="B773" s="2" t="s">
        <v>47</v>
      </c>
      <c r="C773" s="13" t="s">
        <v>2216</v>
      </c>
      <c r="D773" s="29" t="n">
        <v>89220</v>
      </c>
      <c r="E773" s="2" t="s">
        <v>821</v>
      </c>
      <c r="F773" s="30" t="n">
        <v>6.89339834117911</v>
      </c>
      <c r="G773" s="31" t="n">
        <v>99.3</v>
      </c>
      <c r="H773" s="32" t="n">
        <v>0.0460780865283152</v>
      </c>
      <c r="I773" s="31" t="n">
        <v>26.3</v>
      </c>
      <c r="J773" s="2" t="s">
        <v>2886</v>
      </c>
      <c r="K773" s="33" t="n">
        <v>0.127274754683319</v>
      </c>
      <c r="L773" s="31" t="n">
        <v>67.4</v>
      </c>
      <c r="M773" s="34" t="s">
        <v>822</v>
      </c>
      <c r="N773" s="2" t="s">
        <v>24</v>
      </c>
      <c r="O773" s="2" t="s">
        <v>24</v>
      </c>
      <c r="P773" s="2" t="s">
        <v>24</v>
      </c>
      <c r="Q773" s="2" t="s">
        <v>24</v>
      </c>
    </row>
    <row r="774" customFormat="false" ht="15" hidden="false" customHeight="false" outlineLevel="0" collapsed="false">
      <c r="A774" s="2" t="s">
        <v>157</v>
      </c>
      <c r="B774" s="2" t="s">
        <v>46</v>
      </c>
      <c r="C774" s="13" t="s">
        <v>1707</v>
      </c>
      <c r="D774" s="42" t="n">
        <v>19368</v>
      </c>
      <c r="E774" s="2" t="s">
        <v>821</v>
      </c>
      <c r="F774" s="43" t="n">
        <v>6.22924411400248</v>
      </c>
      <c r="G774" s="31" t="n">
        <v>81.3</v>
      </c>
      <c r="H774" s="41" t="n">
        <v>0.241618052439259</v>
      </c>
      <c r="I774" s="31" t="n">
        <v>97.5</v>
      </c>
      <c r="J774" s="2" t="s">
        <v>2884</v>
      </c>
      <c r="K774" s="33" t="n">
        <v>0.305962607377463</v>
      </c>
      <c r="L774" s="31" t="n">
        <v>89.8</v>
      </c>
      <c r="M774" s="34" t="s">
        <v>822</v>
      </c>
      <c r="N774" s="2" t="s">
        <v>22</v>
      </c>
      <c r="O774" s="2" t="s">
        <v>22</v>
      </c>
      <c r="P774" s="2" t="s">
        <v>22</v>
      </c>
      <c r="Q774" s="2" t="s">
        <v>24</v>
      </c>
    </row>
    <row r="775" customFormat="false" ht="15" hidden="false" customHeight="false" outlineLevel="0" collapsed="false">
      <c r="A775" s="2" t="s">
        <v>2119</v>
      </c>
      <c r="B775" s="2" t="s">
        <v>45</v>
      </c>
      <c r="C775" s="16"/>
      <c r="D775" s="35"/>
      <c r="E775" s="2"/>
      <c r="F775" s="36"/>
      <c r="G775" s="31"/>
      <c r="H775" s="37"/>
      <c r="I775" s="31"/>
      <c r="J775" s="2"/>
      <c r="K775" s="38"/>
      <c r="L775" s="31"/>
      <c r="M775" s="39" t="s">
        <v>832</v>
      </c>
      <c r="N775" s="2"/>
      <c r="O775" s="2"/>
      <c r="P775" s="2"/>
      <c r="Q775" s="2"/>
    </row>
    <row r="776" customFormat="false" ht="15" hidden="false" customHeight="false" outlineLevel="0" collapsed="false">
      <c r="A776" s="2" t="s">
        <v>2119</v>
      </c>
      <c r="B776" s="2" t="s">
        <v>46</v>
      </c>
      <c r="C776" s="13" t="s">
        <v>2120</v>
      </c>
      <c r="D776" s="42" t="n">
        <v>170433</v>
      </c>
      <c r="E776" s="2" t="s">
        <v>827</v>
      </c>
      <c r="F776" s="43" t="n">
        <v>1.44511332899145</v>
      </c>
      <c r="G776" s="31" t="n">
        <v>14.5</v>
      </c>
      <c r="H776" s="41" t="n">
        <v>0.100753715293251</v>
      </c>
      <c r="I776" s="31" t="n">
        <v>61.8</v>
      </c>
      <c r="J776" s="2" t="s">
        <v>2888</v>
      </c>
      <c r="K776" s="44" t="n">
        <v>0.11016393442623</v>
      </c>
      <c r="L776" s="31" t="n">
        <v>41.3</v>
      </c>
      <c r="M776" s="34" t="s">
        <v>822</v>
      </c>
      <c r="N776" s="2" t="s">
        <v>22</v>
      </c>
      <c r="O776" s="2" t="s">
        <v>22</v>
      </c>
      <c r="P776" s="2" t="s">
        <v>22</v>
      </c>
      <c r="Q776" s="2" t="s">
        <v>22</v>
      </c>
    </row>
    <row r="777" customFormat="false" ht="15" hidden="false" customHeight="false" outlineLevel="0" collapsed="false">
      <c r="A777" s="2" t="s">
        <v>2119</v>
      </c>
      <c r="B777" s="2" t="s">
        <v>47</v>
      </c>
      <c r="C777" s="13" t="s">
        <v>2421</v>
      </c>
      <c r="D777" s="29" t="n">
        <v>21390</v>
      </c>
      <c r="E777" s="2" t="s">
        <v>821</v>
      </c>
      <c r="F777" s="30" t="n">
        <v>1.67695184665732</v>
      </c>
      <c r="G777" s="31" t="n">
        <v>67.5</v>
      </c>
      <c r="H777" s="32" t="n">
        <v>0.0846855983772819</v>
      </c>
      <c r="I777" s="31" t="n">
        <v>43.5</v>
      </c>
      <c r="J777" s="2" t="s">
        <v>2886</v>
      </c>
      <c r="K777" s="33" t="n">
        <v>0.0275</v>
      </c>
      <c r="L777" s="31" t="n">
        <v>18.6</v>
      </c>
      <c r="M777" s="34" t="s">
        <v>822</v>
      </c>
      <c r="N777" s="2" t="s">
        <v>24</v>
      </c>
      <c r="O777" s="2" t="s">
        <v>24</v>
      </c>
      <c r="P777" s="2" t="s">
        <v>24</v>
      </c>
      <c r="Q777" s="2" t="s">
        <v>24</v>
      </c>
    </row>
    <row r="778" customFormat="false" ht="15" hidden="false" customHeight="false" outlineLevel="0" collapsed="false">
      <c r="A778" s="2" t="s">
        <v>1348</v>
      </c>
      <c r="B778" s="2" t="s">
        <v>45</v>
      </c>
      <c r="C778" s="13" t="s">
        <v>1349</v>
      </c>
      <c r="D778" s="42" t="n">
        <v>3045</v>
      </c>
      <c r="E778" s="2" t="s">
        <v>825</v>
      </c>
      <c r="F778" s="43" t="n">
        <v>0.449589490968801</v>
      </c>
      <c r="G778" s="31" t="n">
        <v>35</v>
      </c>
      <c r="H778" s="41" t="n">
        <v>0.29080118694362</v>
      </c>
      <c r="I778" s="31" t="n">
        <v>100</v>
      </c>
      <c r="J778" s="2" t="s">
        <v>2899</v>
      </c>
      <c r="K778" s="44" t="n">
        <v>0.156862745098039</v>
      </c>
      <c r="L778" s="31" t="n">
        <v>61.1</v>
      </c>
      <c r="M778" s="34" t="s">
        <v>822</v>
      </c>
      <c r="N778" s="2" t="s">
        <v>22</v>
      </c>
      <c r="O778" s="2" t="s">
        <v>22</v>
      </c>
      <c r="P778" s="2" t="s">
        <v>22</v>
      </c>
      <c r="Q778" s="2" t="s">
        <v>22</v>
      </c>
    </row>
    <row r="779" customFormat="false" ht="15" hidden="false" customHeight="false" outlineLevel="0" collapsed="false">
      <c r="A779" s="2" t="s">
        <v>1348</v>
      </c>
      <c r="B779" s="2" t="s">
        <v>46</v>
      </c>
      <c r="C779" s="16"/>
      <c r="D779" s="35"/>
      <c r="E779" s="2"/>
      <c r="F779" s="36"/>
      <c r="G779" s="31"/>
      <c r="H779" s="37"/>
      <c r="I779" s="31"/>
      <c r="J779" s="2"/>
      <c r="K779" s="38"/>
      <c r="L779" s="31"/>
      <c r="M779" s="39" t="s">
        <v>832</v>
      </c>
      <c r="N779" s="2"/>
      <c r="O779" s="2"/>
      <c r="P779" s="2"/>
      <c r="Q779" s="2"/>
    </row>
    <row r="780" customFormat="false" ht="15" hidden="false" customHeight="false" outlineLevel="0" collapsed="false">
      <c r="A780" s="2" t="s">
        <v>1348</v>
      </c>
      <c r="B780" s="2" t="s">
        <v>47</v>
      </c>
      <c r="C780" s="14" t="s">
        <v>2723</v>
      </c>
      <c r="D780" s="42" t="n">
        <v>112866</v>
      </c>
      <c r="E780" s="2" t="s">
        <v>827</v>
      </c>
      <c r="F780" s="43" t="n">
        <v>0.704242198713519</v>
      </c>
      <c r="G780" s="31" t="n">
        <v>22.2</v>
      </c>
      <c r="H780" s="41" t="n">
        <v>0.104872103609292</v>
      </c>
      <c r="I780" s="31" t="n">
        <v>60.9</v>
      </c>
      <c r="J780" s="2" t="s">
        <v>2897</v>
      </c>
      <c r="K780" s="44" t="n">
        <v>0.0263819095477387</v>
      </c>
      <c r="L780" s="31" t="n">
        <v>17</v>
      </c>
      <c r="M780" s="34" t="s">
        <v>822</v>
      </c>
      <c r="N780" s="2" t="s">
        <v>22</v>
      </c>
      <c r="O780" s="2" t="s">
        <v>22</v>
      </c>
      <c r="P780" s="2" t="s">
        <v>22</v>
      </c>
      <c r="Q780" s="2" t="s">
        <v>22</v>
      </c>
    </row>
    <row r="781" customFormat="false" ht="15" hidden="false" customHeight="false" outlineLevel="0" collapsed="false">
      <c r="A781" s="2" t="s">
        <v>214</v>
      </c>
      <c r="B781" s="2" t="s">
        <v>45</v>
      </c>
      <c r="C781" s="13" t="s">
        <v>824</v>
      </c>
      <c r="D781" s="29" t="n">
        <v>7490</v>
      </c>
      <c r="E781" s="2" t="s">
        <v>825</v>
      </c>
      <c r="F781" s="30" t="n">
        <v>4.9392523364486</v>
      </c>
      <c r="G781" s="31" t="n">
        <v>99.6</v>
      </c>
      <c r="H781" s="32" t="n">
        <v>0.101470588235294</v>
      </c>
      <c r="I781" s="31" t="n">
        <v>53.5</v>
      </c>
      <c r="J781" s="2" t="s">
        <v>2899</v>
      </c>
      <c r="K781" s="33" t="n">
        <v>0.109253065774805</v>
      </c>
      <c r="L781" s="31" t="n">
        <v>39.9</v>
      </c>
      <c r="M781" s="34" t="s">
        <v>822</v>
      </c>
      <c r="N781" s="2" t="s">
        <v>24</v>
      </c>
      <c r="O781" s="2" t="s">
        <v>24</v>
      </c>
      <c r="P781" s="2" t="s">
        <v>24</v>
      </c>
      <c r="Q781" s="2" t="s">
        <v>24</v>
      </c>
    </row>
    <row r="782" customFormat="false" ht="15" hidden="false" customHeight="false" outlineLevel="0" collapsed="false">
      <c r="A782" s="2" t="s">
        <v>214</v>
      </c>
      <c r="B782" s="2" t="s">
        <v>46</v>
      </c>
      <c r="C782" s="13" t="s">
        <v>1657</v>
      </c>
      <c r="D782" s="29" t="n">
        <v>38510</v>
      </c>
      <c r="E782" s="2" t="s">
        <v>821</v>
      </c>
      <c r="F782" s="30" t="n">
        <v>8.68184887042327</v>
      </c>
      <c r="G782" s="31" t="n">
        <v>91</v>
      </c>
      <c r="H782" s="32" t="n">
        <v>0.164851784633999</v>
      </c>
      <c r="I782" s="31" t="n">
        <v>84</v>
      </c>
      <c r="J782" s="2" t="s">
        <v>2884</v>
      </c>
      <c r="K782" s="33" t="n">
        <v>0.0811022849857801</v>
      </c>
      <c r="L782" s="31" t="n">
        <v>26.5</v>
      </c>
      <c r="M782" s="34" t="s">
        <v>822</v>
      </c>
      <c r="N782" s="2" t="s">
        <v>24</v>
      </c>
      <c r="O782" s="2" t="s">
        <v>24</v>
      </c>
      <c r="P782" s="2" t="s">
        <v>24</v>
      </c>
      <c r="Q782" s="2" t="s">
        <v>24</v>
      </c>
    </row>
    <row r="783" customFormat="false" ht="15" hidden="false" customHeight="false" outlineLevel="0" collapsed="false">
      <c r="A783" s="2" t="s">
        <v>214</v>
      </c>
      <c r="B783" s="2" t="s">
        <v>47</v>
      </c>
      <c r="C783" s="13" t="s">
        <v>2666</v>
      </c>
      <c r="D783" s="29" t="n">
        <v>121080</v>
      </c>
      <c r="E783" s="2" t="s">
        <v>827</v>
      </c>
      <c r="F783" s="30" t="n">
        <v>0.840122233234225</v>
      </c>
      <c r="G783" s="31" t="n">
        <v>30.9</v>
      </c>
      <c r="H783" s="32" t="n">
        <v>0.0825212337952615</v>
      </c>
      <c r="I783" s="31" t="n">
        <v>48.4</v>
      </c>
      <c r="J783" s="2" t="s">
        <v>2897</v>
      </c>
      <c r="K783" s="44" t="n">
        <v>0.191582639193336</v>
      </c>
      <c r="L783" s="31" t="n">
        <v>82.6</v>
      </c>
      <c r="M783" s="34" t="s">
        <v>822</v>
      </c>
      <c r="N783" s="2" t="s">
        <v>24</v>
      </c>
      <c r="O783" s="2" t="s">
        <v>24</v>
      </c>
      <c r="P783" s="2" t="s">
        <v>24</v>
      </c>
      <c r="Q783" s="2" t="s">
        <v>22</v>
      </c>
    </row>
    <row r="784" customFormat="false" ht="15" hidden="false" customHeight="false" outlineLevel="0" collapsed="false">
      <c r="A784" s="2" t="s">
        <v>2459</v>
      </c>
      <c r="B784" s="2" t="s">
        <v>46</v>
      </c>
      <c r="C784" s="16"/>
      <c r="D784" s="35"/>
      <c r="E784" s="2"/>
      <c r="F784" s="36"/>
      <c r="G784" s="31"/>
      <c r="H784" s="37"/>
      <c r="I784" s="31"/>
      <c r="J784" s="2"/>
      <c r="K784" s="38"/>
      <c r="L784" s="31"/>
      <c r="M784" s="39" t="s">
        <v>832</v>
      </c>
      <c r="N784" s="2"/>
      <c r="O784" s="2"/>
      <c r="P784" s="2"/>
      <c r="Q784" s="2"/>
    </row>
    <row r="785" customFormat="false" ht="15" hidden="false" customHeight="false" outlineLevel="0" collapsed="false">
      <c r="A785" s="2" t="s">
        <v>2459</v>
      </c>
      <c r="B785" s="2" t="s">
        <v>47</v>
      </c>
      <c r="C785" s="13" t="s">
        <v>2460</v>
      </c>
      <c r="D785" s="29" t="n">
        <v>103300</v>
      </c>
      <c r="E785" s="2" t="s">
        <v>827</v>
      </c>
      <c r="F785" s="30" t="n">
        <v>1.56302032913843</v>
      </c>
      <c r="G785" s="31" t="n">
        <v>62.3</v>
      </c>
      <c r="H785" s="32" t="n">
        <v>0.140176600441501</v>
      </c>
      <c r="I785" s="31" t="n">
        <v>77</v>
      </c>
      <c r="J785" s="2" t="s">
        <v>2897</v>
      </c>
      <c r="K785" s="44" t="n">
        <v>0.11460396039604</v>
      </c>
      <c r="L785" s="31" t="n">
        <v>63.8</v>
      </c>
      <c r="M785" s="34" t="s">
        <v>822</v>
      </c>
      <c r="N785" s="2" t="s">
        <v>24</v>
      </c>
      <c r="O785" s="2" t="s">
        <v>24</v>
      </c>
      <c r="P785" s="2" t="s">
        <v>24</v>
      </c>
      <c r="Q785" s="2" t="s">
        <v>22</v>
      </c>
    </row>
    <row r="786" customFormat="false" ht="15" hidden="false" customHeight="false" outlineLevel="0" collapsed="false">
      <c r="A786" s="2" t="s">
        <v>899</v>
      </c>
      <c r="B786" s="2" t="s">
        <v>45</v>
      </c>
      <c r="C786" s="13" t="s">
        <v>900</v>
      </c>
      <c r="D786" s="29" t="n">
        <v>76200</v>
      </c>
      <c r="E786" s="2" t="s">
        <v>821</v>
      </c>
      <c r="F786" s="30" t="n">
        <v>1.62666666666667</v>
      </c>
      <c r="G786" s="31" t="n">
        <v>91.1</v>
      </c>
      <c r="H786" s="32" t="n">
        <v>0.0086035737921906</v>
      </c>
      <c r="I786" s="31" t="n">
        <v>11</v>
      </c>
      <c r="J786" s="2" t="s">
        <v>2883</v>
      </c>
      <c r="K786" s="33" t="n">
        <v>0.214729910986465</v>
      </c>
      <c r="L786" s="31" t="n">
        <v>75.8</v>
      </c>
      <c r="M786" s="34" t="s">
        <v>822</v>
      </c>
      <c r="N786" s="2" t="s">
        <v>24</v>
      </c>
      <c r="O786" s="2" t="s">
        <v>24</v>
      </c>
      <c r="P786" s="2" t="s">
        <v>24</v>
      </c>
      <c r="Q786" s="2" t="s">
        <v>24</v>
      </c>
    </row>
    <row r="787" customFormat="false" ht="15" hidden="false" customHeight="false" outlineLevel="0" collapsed="false">
      <c r="A787" s="2" t="s">
        <v>899</v>
      </c>
      <c r="B787" s="2" t="s">
        <v>46</v>
      </c>
      <c r="C787" s="16"/>
      <c r="D787" s="35"/>
      <c r="E787" s="2"/>
      <c r="F787" s="36"/>
      <c r="G787" s="31"/>
      <c r="H787" s="37"/>
      <c r="I787" s="31"/>
      <c r="J787" s="2"/>
      <c r="K787" s="38"/>
      <c r="L787" s="31"/>
      <c r="M787" s="39" t="s">
        <v>832</v>
      </c>
      <c r="N787" s="2"/>
      <c r="O787" s="2"/>
      <c r="P787" s="2"/>
      <c r="Q787" s="2"/>
    </row>
    <row r="788" customFormat="false" ht="15" hidden="false" customHeight="false" outlineLevel="0" collapsed="false">
      <c r="A788" s="2" t="s">
        <v>1669</v>
      </c>
      <c r="B788" s="2" t="s">
        <v>45</v>
      </c>
      <c r="C788" s="16"/>
      <c r="D788" s="35"/>
      <c r="E788" s="2"/>
      <c r="F788" s="36"/>
      <c r="G788" s="31"/>
      <c r="H788" s="37"/>
      <c r="I788" s="31"/>
      <c r="J788" s="2"/>
      <c r="K788" s="38"/>
      <c r="L788" s="31"/>
      <c r="M788" s="39" t="s">
        <v>832</v>
      </c>
      <c r="N788" s="2"/>
      <c r="O788" s="2"/>
      <c r="P788" s="2"/>
      <c r="Q788" s="2"/>
    </row>
    <row r="789" customFormat="false" ht="15" hidden="false" customHeight="false" outlineLevel="0" collapsed="false">
      <c r="A789" s="2" t="s">
        <v>1669</v>
      </c>
      <c r="B789" s="2" t="s">
        <v>46</v>
      </c>
      <c r="C789" s="13" t="s">
        <v>1670</v>
      </c>
      <c r="D789" s="29" t="n">
        <v>216800</v>
      </c>
      <c r="E789" s="2" t="s">
        <v>827</v>
      </c>
      <c r="F789" s="30" t="n">
        <v>7.66921125461255</v>
      </c>
      <c r="G789" s="31" t="n">
        <v>88.8</v>
      </c>
      <c r="H789" s="32" t="n">
        <v>0.0170763745543254</v>
      </c>
      <c r="I789" s="31" t="n">
        <v>20.4</v>
      </c>
      <c r="J789" s="2" t="s">
        <v>2888</v>
      </c>
      <c r="K789" s="33" t="n">
        <v>0.0681704816272239</v>
      </c>
      <c r="L789" s="31" t="n">
        <v>18.8</v>
      </c>
      <c r="M789" s="34" t="s">
        <v>822</v>
      </c>
      <c r="N789" s="2" t="s">
        <v>24</v>
      </c>
      <c r="O789" s="2" t="s">
        <v>24</v>
      </c>
      <c r="P789" s="2" t="s">
        <v>24</v>
      </c>
      <c r="Q789" s="2" t="s">
        <v>24</v>
      </c>
    </row>
    <row r="790" customFormat="false" ht="15" hidden="false" customHeight="false" outlineLevel="0" collapsed="false">
      <c r="A790" s="2" t="s">
        <v>1669</v>
      </c>
      <c r="B790" s="2" t="s">
        <v>47</v>
      </c>
      <c r="C790" s="13" t="s">
        <v>2223</v>
      </c>
      <c r="D790" s="29" t="n">
        <v>7730</v>
      </c>
      <c r="E790" s="2" t="s">
        <v>825</v>
      </c>
      <c r="F790" s="30" t="n">
        <v>5.90310478654593</v>
      </c>
      <c r="G790" s="31" t="n">
        <v>98.4</v>
      </c>
      <c r="H790" s="32" t="n">
        <v>0.281923714759536</v>
      </c>
      <c r="I790" s="31" t="n">
        <v>98.8</v>
      </c>
      <c r="J790" s="2" t="s">
        <v>2889</v>
      </c>
      <c r="K790" s="33" t="n">
        <v>0.0803839232153569</v>
      </c>
      <c r="L790" s="31" t="n">
        <v>49.1</v>
      </c>
      <c r="M790" s="34" t="s">
        <v>822</v>
      </c>
      <c r="N790" s="2" t="s">
        <v>24</v>
      </c>
      <c r="O790" s="2" t="s">
        <v>24</v>
      </c>
      <c r="P790" s="2" t="s">
        <v>24</v>
      </c>
      <c r="Q790" s="2" t="s">
        <v>24</v>
      </c>
    </row>
    <row r="791" customFormat="false" ht="15" hidden="false" customHeight="false" outlineLevel="0" collapsed="false">
      <c r="A791" s="2" t="s">
        <v>3080</v>
      </c>
      <c r="B791" s="2" t="s">
        <v>45</v>
      </c>
      <c r="C791" s="13" t="s">
        <v>3081</v>
      </c>
      <c r="D791" s="29" t="n">
        <v>143110</v>
      </c>
      <c r="E791" s="2" t="s">
        <v>827</v>
      </c>
      <c r="F791" s="30" t="n">
        <v>1.38373279295647</v>
      </c>
      <c r="G791" s="31" t="n">
        <v>87.3</v>
      </c>
      <c r="H791" s="32" t="n">
        <v>0.00512712459615115</v>
      </c>
      <c r="I791" s="31" t="n">
        <v>14.3</v>
      </c>
      <c r="J791" s="2" t="s">
        <v>2890</v>
      </c>
      <c r="K791" s="38"/>
      <c r="L791" s="31"/>
      <c r="M791" s="39" t="s">
        <v>832</v>
      </c>
      <c r="N791" s="2" t="s">
        <v>24</v>
      </c>
      <c r="O791" s="2" t="s">
        <v>24</v>
      </c>
      <c r="P791" s="2" t="s">
        <v>24</v>
      </c>
      <c r="Q791" s="2"/>
    </row>
    <row r="792" customFormat="false" ht="15" hidden="false" customHeight="false" outlineLevel="0" collapsed="false">
      <c r="A792" s="2" t="s">
        <v>444</v>
      </c>
      <c r="B792" s="2" t="s">
        <v>45</v>
      </c>
      <c r="C792" s="13" t="s">
        <v>1212</v>
      </c>
      <c r="D792" s="29" t="n">
        <v>24450</v>
      </c>
      <c r="E792" s="2" t="s">
        <v>821</v>
      </c>
      <c r="F792" s="30" t="n">
        <v>0.588425357873211</v>
      </c>
      <c r="G792" s="31" t="n">
        <v>52.6</v>
      </c>
      <c r="H792" s="32" t="n">
        <v>0.137209302325581</v>
      </c>
      <c r="I792" s="31" t="n">
        <v>72.5</v>
      </c>
      <c r="J792" s="2" t="s">
        <v>2883</v>
      </c>
      <c r="K792" s="40" t="s">
        <v>857</v>
      </c>
      <c r="L792" s="31"/>
      <c r="M792" s="34" t="s">
        <v>822</v>
      </c>
      <c r="N792" s="2" t="s">
        <v>24</v>
      </c>
      <c r="O792" s="2" t="s">
        <v>24</v>
      </c>
      <c r="P792" s="2" t="s">
        <v>24</v>
      </c>
      <c r="Q792" s="2" t="s">
        <v>2885</v>
      </c>
    </row>
    <row r="793" customFormat="false" ht="15" hidden="false" customHeight="false" outlineLevel="0" collapsed="false">
      <c r="A793" s="2" t="s">
        <v>792</v>
      </c>
      <c r="B793" s="2" t="s">
        <v>46</v>
      </c>
      <c r="C793" s="13" t="s">
        <v>2130</v>
      </c>
      <c r="D793" s="29" t="n">
        <v>82670</v>
      </c>
      <c r="E793" s="2" t="s">
        <v>821</v>
      </c>
      <c r="F793" s="30" t="n">
        <v>1.35609048022257</v>
      </c>
      <c r="G793" s="31" t="n">
        <v>12.6</v>
      </c>
      <c r="H793" s="32" t="n">
        <v>0.273805855161787</v>
      </c>
      <c r="I793" s="31" t="n">
        <v>98.5</v>
      </c>
      <c r="J793" s="2" t="s">
        <v>2884</v>
      </c>
      <c r="K793" s="44" t="n">
        <v>0.0907997594708358</v>
      </c>
      <c r="L793" s="31" t="n">
        <v>33.3</v>
      </c>
      <c r="M793" s="34" t="s">
        <v>822</v>
      </c>
      <c r="N793" s="2" t="s">
        <v>24</v>
      </c>
      <c r="O793" s="2" t="s">
        <v>24</v>
      </c>
      <c r="P793" s="2" t="s">
        <v>24</v>
      </c>
      <c r="Q793" s="2" t="s">
        <v>22</v>
      </c>
    </row>
    <row r="794" customFormat="false" ht="15" hidden="false" customHeight="false" outlineLevel="0" collapsed="false">
      <c r="A794" s="2" t="s">
        <v>2377</v>
      </c>
      <c r="B794" s="2" t="s">
        <v>45</v>
      </c>
      <c r="C794" s="15" t="s">
        <v>3082</v>
      </c>
      <c r="D794" s="46" t="n">
        <v>57588</v>
      </c>
      <c r="E794" s="2" t="s">
        <v>821</v>
      </c>
      <c r="F794" s="36"/>
      <c r="G794" s="31"/>
      <c r="H794" s="37"/>
      <c r="I794" s="31"/>
      <c r="J794" s="2"/>
      <c r="K794" s="38"/>
      <c r="L794" s="31"/>
      <c r="M794" s="39" t="s">
        <v>832</v>
      </c>
      <c r="N794" s="2" t="s">
        <v>19</v>
      </c>
      <c r="O794" s="2"/>
      <c r="P794" s="2"/>
      <c r="Q794" s="2"/>
    </row>
    <row r="795" customFormat="false" ht="15" hidden="false" customHeight="false" outlineLevel="0" collapsed="false">
      <c r="A795" s="2" t="s">
        <v>2377</v>
      </c>
      <c r="B795" s="2" t="s">
        <v>46</v>
      </c>
      <c r="C795" s="16"/>
      <c r="D795" s="35"/>
      <c r="E795" s="2"/>
      <c r="F795" s="36"/>
      <c r="G795" s="31"/>
      <c r="H795" s="37"/>
      <c r="I795" s="31"/>
      <c r="J795" s="2"/>
      <c r="K795" s="38"/>
      <c r="L795" s="31"/>
      <c r="M795" s="39" t="s">
        <v>832</v>
      </c>
      <c r="N795" s="2"/>
      <c r="O795" s="2"/>
      <c r="P795" s="2"/>
      <c r="Q795" s="2"/>
    </row>
    <row r="796" customFormat="false" ht="15" hidden="false" customHeight="false" outlineLevel="0" collapsed="false">
      <c r="A796" s="2" t="s">
        <v>2377</v>
      </c>
      <c r="B796" s="2" t="s">
        <v>47</v>
      </c>
      <c r="C796" s="14" t="s">
        <v>2378</v>
      </c>
      <c r="D796" s="42" t="n">
        <v>16998</v>
      </c>
      <c r="E796" s="2" t="s">
        <v>821</v>
      </c>
      <c r="F796" s="43" t="n">
        <v>1.93205082950935</v>
      </c>
      <c r="G796" s="31" t="n">
        <v>74.6</v>
      </c>
      <c r="H796" s="41" t="n">
        <v>0.00496630010642072</v>
      </c>
      <c r="I796" s="31" t="n">
        <v>11.4</v>
      </c>
      <c r="J796" s="2" t="s">
        <v>2886</v>
      </c>
      <c r="K796" s="44" t="n">
        <v>0.139689578713969</v>
      </c>
      <c r="L796" s="31" t="n">
        <v>70.8</v>
      </c>
      <c r="M796" s="34" t="s">
        <v>822</v>
      </c>
      <c r="N796" s="2" t="s">
        <v>22</v>
      </c>
      <c r="O796" s="2" t="s">
        <v>22</v>
      </c>
      <c r="P796" s="2" t="s">
        <v>22</v>
      </c>
      <c r="Q796" s="2" t="s">
        <v>22</v>
      </c>
    </row>
    <row r="797" customFormat="false" ht="15" hidden="false" customHeight="false" outlineLevel="0" collapsed="false">
      <c r="A797" s="2" t="s">
        <v>1989</v>
      </c>
      <c r="B797" s="2" t="s">
        <v>45</v>
      </c>
      <c r="C797" s="16"/>
      <c r="D797" s="35"/>
      <c r="E797" s="2"/>
      <c r="F797" s="36"/>
      <c r="G797" s="31"/>
      <c r="H797" s="37"/>
      <c r="I797" s="31"/>
      <c r="J797" s="2"/>
      <c r="K797" s="38"/>
      <c r="L797" s="31"/>
      <c r="M797" s="39" t="s">
        <v>832</v>
      </c>
      <c r="N797" s="2"/>
      <c r="O797" s="2"/>
      <c r="P797" s="2"/>
      <c r="Q797" s="2"/>
    </row>
    <row r="798" customFormat="false" ht="15" hidden="false" customHeight="false" outlineLevel="0" collapsed="false">
      <c r="A798" s="2" t="s">
        <v>1989</v>
      </c>
      <c r="B798" s="2" t="s">
        <v>46</v>
      </c>
      <c r="C798" s="13" t="s">
        <v>1990</v>
      </c>
      <c r="D798" s="29" t="n">
        <v>21990</v>
      </c>
      <c r="E798" s="2" t="s">
        <v>821</v>
      </c>
      <c r="F798" s="30" t="n">
        <v>2.4331059572533</v>
      </c>
      <c r="G798" s="31" t="n">
        <v>36.1</v>
      </c>
      <c r="H798" s="32" t="n">
        <v>0.0869995056846268</v>
      </c>
      <c r="I798" s="31" t="n">
        <v>53.1</v>
      </c>
      <c r="J798" s="2" t="s">
        <v>2884</v>
      </c>
      <c r="K798" s="33" t="n">
        <v>0.0741467242055708</v>
      </c>
      <c r="L798" s="31" t="n">
        <v>21.9</v>
      </c>
      <c r="M798" s="34" t="s">
        <v>822</v>
      </c>
      <c r="N798" s="2" t="s">
        <v>24</v>
      </c>
      <c r="O798" s="2" t="s">
        <v>24</v>
      </c>
      <c r="P798" s="2" t="s">
        <v>24</v>
      </c>
      <c r="Q798" s="2" t="s">
        <v>24</v>
      </c>
    </row>
    <row r="799" customFormat="false" ht="15" hidden="false" customHeight="false" outlineLevel="0" collapsed="false">
      <c r="A799" s="2" t="s">
        <v>1989</v>
      </c>
      <c r="B799" s="2" t="s">
        <v>47</v>
      </c>
      <c r="C799" s="15" t="s">
        <v>3083</v>
      </c>
      <c r="D799" s="46" t="n">
        <v>296660</v>
      </c>
      <c r="E799" s="2" t="s">
        <v>827</v>
      </c>
      <c r="F799" s="36"/>
      <c r="G799" s="31"/>
      <c r="H799" s="48" t="n">
        <v>0.0401932699151814</v>
      </c>
      <c r="I799" s="31" t="n">
        <v>26.1</v>
      </c>
      <c r="J799" s="2" t="s">
        <v>2897</v>
      </c>
      <c r="K799" s="45" t="n">
        <v>0.0736666534291728</v>
      </c>
      <c r="L799" s="31" t="n">
        <v>45.9</v>
      </c>
      <c r="M799" s="39" t="s">
        <v>832</v>
      </c>
      <c r="N799" s="2" t="s">
        <v>19</v>
      </c>
      <c r="O799" s="2"/>
      <c r="P799" s="2" t="s">
        <v>19</v>
      </c>
      <c r="Q799" s="2" t="s">
        <v>19</v>
      </c>
    </row>
    <row r="800" customFormat="false" ht="15" hidden="false" customHeight="false" outlineLevel="0" collapsed="false">
      <c r="A800" s="2" t="s">
        <v>3084</v>
      </c>
      <c r="B800" s="2" t="s">
        <v>46</v>
      </c>
      <c r="C800" s="16"/>
      <c r="D800" s="46" t="n">
        <v>2421</v>
      </c>
      <c r="E800" s="2" t="s">
        <v>825</v>
      </c>
      <c r="F800" s="47" t="n">
        <v>0.976042957455597</v>
      </c>
      <c r="G800" s="31" t="n">
        <v>6.9</v>
      </c>
      <c r="H800" s="48" t="n">
        <v>0.161708253358925</v>
      </c>
      <c r="I800" s="31" t="n">
        <v>73.6</v>
      </c>
      <c r="J800" s="2" t="s">
        <v>2905</v>
      </c>
      <c r="K800" s="38"/>
      <c r="L800" s="31"/>
      <c r="M800" s="39" t="s">
        <v>832</v>
      </c>
      <c r="N800" s="2" t="s">
        <v>19</v>
      </c>
      <c r="O800" s="2" t="s">
        <v>19</v>
      </c>
      <c r="P800" s="2" t="s">
        <v>19</v>
      </c>
      <c r="Q800" s="2"/>
    </row>
    <row r="801" customFormat="false" ht="15" hidden="false" customHeight="false" outlineLevel="0" collapsed="false">
      <c r="A801" s="2" t="s">
        <v>186</v>
      </c>
      <c r="B801" s="2" t="s">
        <v>45</v>
      </c>
      <c r="C801" s="13" t="s">
        <v>1166</v>
      </c>
      <c r="D801" s="29" t="n">
        <v>33790</v>
      </c>
      <c r="E801" s="2" t="s">
        <v>821</v>
      </c>
      <c r="F801" s="30" t="n">
        <v>0.648475880437999</v>
      </c>
      <c r="G801" s="31" t="n">
        <v>58.6</v>
      </c>
      <c r="H801" s="41" t="n">
        <v>-0.0147135492092916</v>
      </c>
      <c r="I801" s="31" t="n">
        <v>7.2</v>
      </c>
      <c r="J801" s="2" t="s">
        <v>2883</v>
      </c>
      <c r="K801" s="33" t="n">
        <v>0.0813793103448276</v>
      </c>
      <c r="L801" s="31" t="n">
        <v>26.8</v>
      </c>
      <c r="M801" s="34" t="s">
        <v>822</v>
      </c>
      <c r="N801" s="2" t="s">
        <v>24</v>
      </c>
      <c r="O801" s="2" t="s">
        <v>24</v>
      </c>
      <c r="P801" s="2" t="s">
        <v>22</v>
      </c>
      <c r="Q801" s="2" t="s">
        <v>24</v>
      </c>
    </row>
    <row r="802" customFormat="false" ht="15" hidden="false" customHeight="false" outlineLevel="0" collapsed="false">
      <c r="A802" s="2" t="s">
        <v>186</v>
      </c>
      <c r="B802" s="2" t="s">
        <v>46</v>
      </c>
      <c r="C802" s="13" t="s">
        <v>1637</v>
      </c>
      <c r="D802" s="29" t="n">
        <v>28930</v>
      </c>
      <c r="E802" s="2" t="s">
        <v>821</v>
      </c>
      <c r="F802" s="30" t="n">
        <v>10.125198755617</v>
      </c>
      <c r="G802" s="31" t="n">
        <v>94.5</v>
      </c>
      <c r="H802" s="32" t="n">
        <v>0.0531488896978522</v>
      </c>
      <c r="I802" s="31" t="n">
        <v>32</v>
      </c>
      <c r="J802" s="2" t="s">
        <v>2884</v>
      </c>
      <c r="K802" s="33" t="n">
        <v>0.108274565115186</v>
      </c>
      <c r="L802" s="31" t="n">
        <v>40.6</v>
      </c>
      <c r="M802" s="34" t="s">
        <v>822</v>
      </c>
      <c r="N802" s="2" t="s">
        <v>24</v>
      </c>
      <c r="O802" s="2" t="s">
        <v>24</v>
      </c>
      <c r="P802" s="2" t="s">
        <v>24</v>
      </c>
      <c r="Q802" s="2" t="s">
        <v>24</v>
      </c>
    </row>
    <row r="803" customFormat="false" ht="15" hidden="false" customHeight="false" outlineLevel="0" collapsed="false">
      <c r="A803" s="2" t="s">
        <v>1190</v>
      </c>
      <c r="B803" s="2" t="s">
        <v>45</v>
      </c>
      <c r="C803" s="13" t="s">
        <v>1191</v>
      </c>
      <c r="D803" s="29" t="n">
        <v>39810</v>
      </c>
      <c r="E803" s="2" t="s">
        <v>821</v>
      </c>
      <c r="F803" s="30" t="n">
        <v>0.615222305953278</v>
      </c>
      <c r="G803" s="31" t="n">
        <v>55.8</v>
      </c>
      <c r="H803" s="32" t="n">
        <v>0.152576722640417</v>
      </c>
      <c r="I803" s="31" t="n">
        <v>77</v>
      </c>
      <c r="J803" s="2" t="s">
        <v>2883</v>
      </c>
      <c r="K803" s="33" t="n">
        <v>0.0520425293788472</v>
      </c>
      <c r="L803" s="31" t="n">
        <v>16.1</v>
      </c>
      <c r="M803" s="34" t="s">
        <v>822</v>
      </c>
      <c r="N803" s="2" t="s">
        <v>24</v>
      </c>
      <c r="O803" s="2" t="s">
        <v>24</v>
      </c>
      <c r="P803" s="2" t="s">
        <v>24</v>
      </c>
      <c r="Q803" s="2" t="s">
        <v>24</v>
      </c>
    </row>
    <row r="804" customFormat="false" ht="15" hidden="false" customHeight="false" outlineLevel="0" collapsed="false">
      <c r="A804" s="2" t="s">
        <v>1190</v>
      </c>
      <c r="B804" s="2" t="s">
        <v>46</v>
      </c>
      <c r="C804" s="16"/>
      <c r="D804" s="35"/>
      <c r="E804" s="2"/>
      <c r="F804" s="36"/>
      <c r="G804" s="31"/>
      <c r="H804" s="37"/>
      <c r="I804" s="31"/>
      <c r="J804" s="2"/>
      <c r="K804" s="38"/>
      <c r="L804" s="31"/>
      <c r="M804" s="39" t="s">
        <v>832</v>
      </c>
      <c r="N804" s="2"/>
      <c r="O804" s="2"/>
      <c r="P804" s="2"/>
      <c r="Q804" s="2"/>
    </row>
    <row r="805" customFormat="false" ht="15" hidden="false" customHeight="false" outlineLevel="0" collapsed="false">
      <c r="A805" s="2" t="s">
        <v>1190</v>
      </c>
      <c r="B805" s="2" t="s">
        <v>47</v>
      </c>
      <c r="C805" s="14" t="s">
        <v>2662</v>
      </c>
      <c r="D805" s="42" t="n">
        <v>19355</v>
      </c>
      <c r="E805" s="2" t="s">
        <v>821</v>
      </c>
      <c r="F805" s="43" t="n">
        <v>0.858951175406872</v>
      </c>
      <c r="G805" s="31" t="n">
        <v>31.9</v>
      </c>
      <c r="H805" s="41" t="n">
        <v>0.0939354546995987</v>
      </c>
      <c r="I805" s="31" t="n">
        <v>49</v>
      </c>
      <c r="J805" s="2" t="s">
        <v>2886</v>
      </c>
      <c r="K805" s="44" t="n">
        <v>0.0382022471910112</v>
      </c>
      <c r="L805" s="31" t="n">
        <v>24.9</v>
      </c>
      <c r="M805" s="34" t="s">
        <v>822</v>
      </c>
      <c r="N805" s="2" t="s">
        <v>22</v>
      </c>
      <c r="O805" s="2" t="s">
        <v>22</v>
      </c>
      <c r="P805" s="2" t="s">
        <v>22</v>
      </c>
      <c r="Q805" s="2" t="s">
        <v>22</v>
      </c>
    </row>
    <row r="806" customFormat="false" ht="15" hidden="false" customHeight="false" outlineLevel="0" collapsed="false">
      <c r="A806" s="2" t="s">
        <v>654</v>
      </c>
      <c r="B806" s="2" t="s">
        <v>45</v>
      </c>
      <c r="C806" s="13" t="s">
        <v>1425</v>
      </c>
      <c r="D806" s="29" t="n">
        <v>804080</v>
      </c>
      <c r="E806" s="2" t="s">
        <v>827</v>
      </c>
      <c r="F806" s="30" t="n">
        <v>0.345662123171824</v>
      </c>
      <c r="G806" s="31" t="n">
        <v>24</v>
      </c>
      <c r="H806" s="32" t="n">
        <v>0.0613096102319074</v>
      </c>
      <c r="I806" s="31" t="n">
        <v>33.6</v>
      </c>
      <c r="J806" s="2" t="s">
        <v>2890</v>
      </c>
      <c r="K806" s="33" t="n">
        <v>0.14184625281441</v>
      </c>
      <c r="L806" s="31" t="n">
        <v>54.1</v>
      </c>
      <c r="M806" s="34" t="s">
        <v>822</v>
      </c>
      <c r="N806" s="2" t="s">
        <v>24</v>
      </c>
      <c r="O806" s="2" t="s">
        <v>24</v>
      </c>
      <c r="P806" s="2" t="s">
        <v>24</v>
      </c>
      <c r="Q806" s="2" t="s">
        <v>24</v>
      </c>
    </row>
    <row r="807" customFormat="false" ht="15" hidden="false" customHeight="false" outlineLevel="0" collapsed="false">
      <c r="A807" s="2" t="s">
        <v>654</v>
      </c>
      <c r="B807" s="2" t="s">
        <v>46</v>
      </c>
      <c r="C807" s="14" t="s">
        <v>2177</v>
      </c>
      <c r="D807" s="42" t="n">
        <v>121984</v>
      </c>
      <c r="E807" s="2" t="s">
        <v>827</v>
      </c>
      <c r="F807" s="43" t="n">
        <v>0.820837158971668</v>
      </c>
      <c r="G807" s="31" t="n">
        <v>4.5</v>
      </c>
      <c r="H807" s="41" t="n">
        <v>0.0461839295362739</v>
      </c>
      <c r="I807" s="31" t="n">
        <v>33.1</v>
      </c>
      <c r="J807" s="2" t="s">
        <v>2888</v>
      </c>
      <c r="K807" s="44" t="n">
        <v>0.103956228956229</v>
      </c>
      <c r="L807" s="31" t="n">
        <v>39.1</v>
      </c>
      <c r="M807" s="34" t="s">
        <v>822</v>
      </c>
      <c r="N807" s="2" t="s">
        <v>22</v>
      </c>
      <c r="O807" s="2" t="s">
        <v>22</v>
      </c>
      <c r="P807" s="2" t="s">
        <v>22</v>
      </c>
      <c r="Q807" s="2" t="s">
        <v>22</v>
      </c>
    </row>
    <row r="808" customFormat="false" ht="15" hidden="false" customHeight="false" outlineLevel="0" collapsed="false">
      <c r="A808" s="2" t="s">
        <v>654</v>
      </c>
      <c r="B808" s="2" t="s">
        <v>47</v>
      </c>
      <c r="C808" s="14" t="s">
        <v>2380</v>
      </c>
      <c r="D808" s="46" t="n">
        <v>31396</v>
      </c>
      <c r="E808" s="2" t="s">
        <v>821</v>
      </c>
      <c r="F808" s="47" t="n">
        <v>1.92129570645942</v>
      </c>
      <c r="G808" s="31" t="n">
        <v>74.3</v>
      </c>
      <c r="H808" s="48" t="n">
        <v>0.148396064230586</v>
      </c>
      <c r="I808" s="31" t="n">
        <v>76.6</v>
      </c>
      <c r="J808" s="2" t="s">
        <v>2886</v>
      </c>
      <c r="K808" s="44" t="n">
        <v>0.178912685337727</v>
      </c>
      <c r="L808" s="31" t="n">
        <v>80.3</v>
      </c>
      <c r="M808" s="34" t="s">
        <v>822</v>
      </c>
      <c r="N808" s="2" t="s">
        <v>19</v>
      </c>
      <c r="O808" s="2" t="s">
        <v>19</v>
      </c>
      <c r="P808" s="2" t="s">
        <v>19</v>
      </c>
      <c r="Q808" s="2" t="s">
        <v>22</v>
      </c>
    </row>
    <row r="809" customFormat="false" ht="15" hidden="false" customHeight="false" outlineLevel="0" collapsed="false">
      <c r="A809" s="2" t="s">
        <v>1303</v>
      </c>
      <c r="B809" s="2" t="s">
        <v>45</v>
      </c>
      <c r="C809" s="13" t="s">
        <v>1304</v>
      </c>
      <c r="D809" s="29" t="n">
        <v>17390</v>
      </c>
      <c r="E809" s="2" t="s">
        <v>821</v>
      </c>
      <c r="F809" s="30" t="n">
        <v>0.48487636572743</v>
      </c>
      <c r="G809" s="31" t="n">
        <v>40.8</v>
      </c>
      <c r="H809" s="32" t="n">
        <v>0.0603658536585366</v>
      </c>
      <c r="I809" s="31" t="n">
        <v>32.6</v>
      </c>
      <c r="J809" s="2" t="s">
        <v>2883</v>
      </c>
      <c r="K809" s="33" t="n">
        <v>0.0449275362318841</v>
      </c>
      <c r="L809" s="31" t="n">
        <v>14.2</v>
      </c>
      <c r="M809" s="34" t="s">
        <v>822</v>
      </c>
      <c r="N809" s="2" t="s">
        <v>24</v>
      </c>
      <c r="O809" s="2" t="s">
        <v>24</v>
      </c>
      <c r="P809" s="2" t="s">
        <v>24</v>
      </c>
      <c r="Q809" s="2" t="s">
        <v>24</v>
      </c>
    </row>
    <row r="810" customFormat="false" ht="15" hidden="false" customHeight="false" outlineLevel="0" collapsed="false">
      <c r="A810" s="2" t="s">
        <v>1303</v>
      </c>
      <c r="B810" s="2" t="s">
        <v>46</v>
      </c>
      <c r="C810" s="13" t="s">
        <v>3085</v>
      </c>
      <c r="D810" s="46" t="n">
        <v>3260</v>
      </c>
      <c r="E810" s="2" t="s">
        <v>825</v>
      </c>
      <c r="F810" s="47" t="n">
        <v>3.93036809815951</v>
      </c>
      <c r="G810" s="31" t="n">
        <v>62.5</v>
      </c>
      <c r="H810" s="37"/>
      <c r="I810" s="31"/>
      <c r="J810" s="2"/>
      <c r="K810" s="33" t="n">
        <v>0.116135662898253</v>
      </c>
      <c r="L810" s="31" t="n">
        <v>43.7</v>
      </c>
      <c r="M810" s="39" t="s">
        <v>832</v>
      </c>
      <c r="N810" s="2" t="s">
        <v>19</v>
      </c>
      <c r="O810" s="2" t="s">
        <v>19</v>
      </c>
      <c r="P810" s="2"/>
      <c r="Q810" s="2" t="s">
        <v>24</v>
      </c>
    </row>
    <row r="811" customFormat="false" ht="15" hidden="false" customHeight="false" outlineLevel="0" collapsed="false">
      <c r="A811" s="2" t="s">
        <v>1303</v>
      </c>
      <c r="B811" s="2" t="s">
        <v>47</v>
      </c>
      <c r="C811" s="16"/>
      <c r="D811" s="42" t="n">
        <v>47462</v>
      </c>
      <c r="E811" s="2" t="s">
        <v>821</v>
      </c>
      <c r="F811" s="43" t="n">
        <v>0.439867683620581</v>
      </c>
      <c r="G811" s="31" t="n">
        <v>9.9</v>
      </c>
      <c r="H811" s="41" t="n">
        <v>0.160894237354466</v>
      </c>
      <c r="I811" s="31" t="n">
        <v>81.2</v>
      </c>
      <c r="J811" s="2" t="s">
        <v>2886</v>
      </c>
      <c r="K811" s="44" t="n">
        <v>0.0287292817679558</v>
      </c>
      <c r="L811" s="31" t="n">
        <v>19</v>
      </c>
      <c r="M811" s="39" t="s">
        <v>832</v>
      </c>
      <c r="N811" s="2" t="s">
        <v>22</v>
      </c>
      <c r="O811" s="2" t="s">
        <v>22</v>
      </c>
      <c r="P811" s="2" t="s">
        <v>22</v>
      </c>
      <c r="Q811" s="2" t="s">
        <v>22</v>
      </c>
    </row>
    <row r="812" customFormat="false" ht="15" hidden="false" customHeight="false" outlineLevel="0" collapsed="false">
      <c r="A812" s="2" t="s">
        <v>2843</v>
      </c>
      <c r="B812" s="2" t="s">
        <v>45</v>
      </c>
      <c r="C812" s="13" t="s">
        <v>3086</v>
      </c>
      <c r="D812" s="29" t="n">
        <v>10590</v>
      </c>
      <c r="E812" s="2" t="s">
        <v>821</v>
      </c>
      <c r="F812" s="30" t="n">
        <v>0.406987724268178</v>
      </c>
      <c r="G812" s="31" t="n">
        <v>30.2</v>
      </c>
      <c r="H812" s="37"/>
      <c r="I812" s="31"/>
      <c r="J812" s="2"/>
      <c r="K812" s="40" t="s">
        <v>857</v>
      </c>
      <c r="L812" s="31"/>
      <c r="M812" s="39" t="s">
        <v>832</v>
      </c>
      <c r="N812" s="2" t="s">
        <v>24</v>
      </c>
      <c r="O812" s="2" t="s">
        <v>24</v>
      </c>
      <c r="P812" s="2"/>
      <c r="Q812" s="2" t="s">
        <v>2885</v>
      </c>
    </row>
    <row r="813" customFormat="false" ht="15" hidden="false" customHeight="false" outlineLevel="0" collapsed="false">
      <c r="A813" s="2" t="s">
        <v>2843</v>
      </c>
      <c r="B813" s="2" t="s">
        <v>46</v>
      </c>
      <c r="C813" s="15" t="s">
        <v>3087</v>
      </c>
      <c r="D813" s="46" t="n">
        <v>76990</v>
      </c>
      <c r="E813" s="2" t="s">
        <v>821</v>
      </c>
      <c r="F813" s="36"/>
      <c r="G813" s="31"/>
      <c r="H813" s="48" t="n">
        <v>0.0678965254178515</v>
      </c>
      <c r="I813" s="31" t="n">
        <v>40</v>
      </c>
      <c r="J813" s="2" t="s">
        <v>2884</v>
      </c>
      <c r="K813" s="38"/>
      <c r="L813" s="31"/>
      <c r="M813" s="39" t="s">
        <v>832</v>
      </c>
      <c r="N813" s="2" t="s">
        <v>19</v>
      </c>
      <c r="O813" s="2"/>
      <c r="P813" s="2" t="s">
        <v>19</v>
      </c>
      <c r="Q813" s="2"/>
    </row>
    <row r="814" customFormat="false" ht="15" hidden="false" customHeight="false" outlineLevel="0" collapsed="false">
      <c r="A814" s="2" t="s">
        <v>2843</v>
      </c>
      <c r="B814" s="2" t="s">
        <v>47</v>
      </c>
      <c r="C814" s="14" t="s">
        <v>2844</v>
      </c>
      <c r="D814" s="42" t="n">
        <v>241641</v>
      </c>
      <c r="E814" s="2" t="s">
        <v>827</v>
      </c>
      <c r="F814" s="43" t="n">
        <v>0.341692841860446</v>
      </c>
      <c r="G814" s="31" t="n">
        <v>4.9</v>
      </c>
      <c r="H814" s="41" t="n">
        <v>0.0992875859810023</v>
      </c>
      <c r="I814" s="31" t="n">
        <v>57.1</v>
      </c>
      <c r="J814" s="2" t="s">
        <v>2897</v>
      </c>
      <c r="K814" s="44" t="n">
        <v>0.107843137254902</v>
      </c>
      <c r="L814" s="31" t="n">
        <v>61.5</v>
      </c>
      <c r="M814" s="34" t="s">
        <v>822</v>
      </c>
      <c r="N814" s="2" t="s">
        <v>22</v>
      </c>
      <c r="O814" s="2" t="s">
        <v>22</v>
      </c>
      <c r="P814" s="2" t="s">
        <v>22</v>
      </c>
      <c r="Q814" s="2" t="s">
        <v>22</v>
      </c>
    </row>
    <row r="815" customFormat="false" ht="15" hidden="false" customHeight="false" outlineLevel="0" collapsed="false">
      <c r="A815" s="2" t="s">
        <v>1583</v>
      </c>
      <c r="B815" s="2" t="s">
        <v>45</v>
      </c>
      <c r="C815" s="14" t="s">
        <v>1584</v>
      </c>
      <c r="D815" s="42" t="n">
        <v>52648</v>
      </c>
      <c r="E815" s="2" t="s">
        <v>821</v>
      </c>
      <c r="F815" s="43" t="n">
        <v>0.113907460872208</v>
      </c>
      <c r="G815" s="31" t="n">
        <v>2.6</v>
      </c>
      <c r="H815" s="41" t="n">
        <v>0.159085905508344</v>
      </c>
      <c r="I815" s="31" t="n">
        <v>78.7</v>
      </c>
      <c r="J815" s="2" t="s">
        <v>2883</v>
      </c>
      <c r="K815" s="44" t="n">
        <v>0.333333333333333</v>
      </c>
      <c r="L815" s="31" t="n">
        <v>94.2</v>
      </c>
      <c r="M815" s="34" t="s">
        <v>822</v>
      </c>
      <c r="N815" s="2" t="s">
        <v>22</v>
      </c>
      <c r="O815" s="2" t="s">
        <v>22</v>
      </c>
      <c r="P815" s="2" t="s">
        <v>22</v>
      </c>
      <c r="Q815" s="2" t="s">
        <v>22</v>
      </c>
    </row>
    <row r="816" customFormat="false" ht="15" hidden="false" customHeight="false" outlineLevel="0" collapsed="false">
      <c r="A816" s="2" t="s">
        <v>1583</v>
      </c>
      <c r="B816" s="2" t="s">
        <v>46</v>
      </c>
      <c r="C816" s="13" t="s">
        <v>3088</v>
      </c>
      <c r="D816" s="29" t="n">
        <v>65720</v>
      </c>
      <c r="E816" s="2" t="s">
        <v>821</v>
      </c>
      <c r="F816" s="30" t="n">
        <v>1.85447352404139</v>
      </c>
      <c r="G816" s="31" t="n">
        <v>25.3</v>
      </c>
      <c r="H816" s="37"/>
      <c r="I816" s="31"/>
      <c r="J816" s="2"/>
      <c r="K816" s="33" t="n">
        <v>0.0322657743785851</v>
      </c>
      <c r="L816" s="31" t="n">
        <v>7.3</v>
      </c>
      <c r="M816" s="39" t="s">
        <v>832</v>
      </c>
      <c r="N816" s="2" t="s">
        <v>24</v>
      </c>
      <c r="O816" s="2" t="s">
        <v>24</v>
      </c>
      <c r="P816" s="2"/>
      <c r="Q816" s="2" t="s">
        <v>24</v>
      </c>
    </row>
    <row r="817" customFormat="false" ht="15" hidden="false" customHeight="false" outlineLevel="0" collapsed="false">
      <c r="A817" s="2" t="s">
        <v>1583</v>
      </c>
      <c r="B817" s="2" t="s">
        <v>47</v>
      </c>
      <c r="C817" s="13" t="s">
        <v>2316</v>
      </c>
      <c r="D817" s="42" t="n">
        <v>10604</v>
      </c>
      <c r="E817" s="2" t="s">
        <v>821</v>
      </c>
      <c r="F817" s="43" t="n">
        <v>2.56007167106752</v>
      </c>
      <c r="G817" s="31" t="n">
        <v>85</v>
      </c>
      <c r="H817" s="41" t="n">
        <v>0.165018677213799</v>
      </c>
      <c r="I817" s="31" t="n">
        <v>84.1</v>
      </c>
      <c r="J817" s="2" t="s">
        <v>2886</v>
      </c>
      <c r="K817" s="33" t="n">
        <v>0.0446096654275093</v>
      </c>
      <c r="L817" s="31" t="n">
        <v>29</v>
      </c>
      <c r="M817" s="34" t="s">
        <v>822</v>
      </c>
      <c r="N817" s="2" t="s">
        <v>22</v>
      </c>
      <c r="O817" s="2" t="s">
        <v>22</v>
      </c>
      <c r="P817" s="2" t="s">
        <v>22</v>
      </c>
      <c r="Q817" s="2" t="s">
        <v>24</v>
      </c>
    </row>
    <row r="818" customFormat="false" ht="15" hidden="false" customHeight="false" outlineLevel="0" collapsed="false">
      <c r="A818" s="2" t="s">
        <v>159</v>
      </c>
      <c r="B818" s="2" t="s">
        <v>45</v>
      </c>
      <c r="C818" s="13" t="s">
        <v>869</v>
      </c>
      <c r="D818" s="29" t="n">
        <v>852710</v>
      </c>
      <c r="E818" s="2" t="s">
        <v>827</v>
      </c>
      <c r="F818" s="43" t="n">
        <v>2.04149464992839</v>
      </c>
      <c r="G818" s="31" t="n">
        <v>95.1</v>
      </c>
      <c r="H818" s="32" t="n">
        <v>0.0698996235884567</v>
      </c>
      <c r="I818" s="31" t="n">
        <v>40.7</v>
      </c>
      <c r="J818" s="2" t="s">
        <v>2890</v>
      </c>
      <c r="K818" s="33" t="n">
        <v>0.192387256930079</v>
      </c>
      <c r="L818" s="31" t="n">
        <v>70.6</v>
      </c>
      <c r="M818" s="34" t="s">
        <v>822</v>
      </c>
      <c r="N818" s="2" t="s">
        <v>24</v>
      </c>
      <c r="O818" s="2" t="s">
        <v>22</v>
      </c>
      <c r="P818" s="2" t="s">
        <v>24</v>
      </c>
      <c r="Q818" s="2" t="s">
        <v>24</v>
      </c>
    </row>
    <row r="819" customFormat="false" ht="15" hidden="false" customHeight="false" outlineLevel="0" collapsed="false">
      <c r="A819" s="2" t="s">
        <v>159</v>
      </c>
      <c r="B819" s="2" t="s">
        <v>46</v>
      </c>
      <c r="C819" s="13" t="s">
        <v>1828</v>
      </c>
      <c r="D819" s="29" t="n">
        <v>60110</v>
      </c>
      <c r="E819" s="2" t="s">
        <v>821</v>
      </c>
      <c r="F819" s="30" t="n">
        <v>3.80823490267842</v>
      </c>
      <c r="G819" s="31" t="n">
        <v>60.5</v>
      </c>
      <c r="H819" s="32" t="n">
        <v>0.0858020231213873</v>
      </c>
      <c r="I819" s="31" t="n">
        <v>52</v>
      </c>
      <c r="J819" s="2" t="s">
        <v>2884</v>
      </c>
      <c r="K819" s="33" t="n">
        <v>0.380927701477067</v>
      </c>
      <c r="L819" s="31" t="n">
        <v>96.2</v>
      </c>
      <c r="M819" s="34" t="s">
        <v>822</v>
      </c>
      <c r="N819" s="2" t="s">
        <v>24</v>
      </c>
      <c r="O819" s="2" t="s">
        <v>24</v>
      </c>
      <c r="P819" s="2" t="s">
        <v>24</v>
      </c>
      <c r="Q819" s="2" t="s">
        <v>24</v>
      </c>
    </row>
    <row r="820" customFormat="false" ht="15" hidden="false" customHeight="false" outlineLevel="0" collapsed="false">
      <c r="A820" s="2" t="s">
        <v>159</v>
      </c>
      <c r="B820" s="2" t="s">
        <v>47</v>
      </c>
      <c r="C820" s="13" t="s">
        <v>2304</v>
      </c>
      <c r="D820" s="29" t="n">
        <v>5700</v>
      </c>
      <c r="E820" s="2" t="s">
        <v>825</v>
      </c>
      <c r="F820" s="30" t="n">
        <v>2.70333333333333</v>
      </c>
      <c r="G820" s="31" t="n">
        <v>87.1</v>
      </c>
      <c r="H820" s="32" t="n">
        <v>0.258278145695364</v>
      </c>
      <c r="I820" s="31" t="n">
        <v>97.5</v>
      </c>
      <c r="J820" s="2" t="s">
        <v>2889</v>
      </c>
      <c r="K820" s="33" t="n">
        <v>0.0313014827018122</v>
      </c>
      <c r="L820" s="31" t="n">
        <v>20.4</v>
      </c>
      <c r="M820" s="34" t="s">
        <v>822</v>
      </c>
      <c r="N820" s="2" t="s">
        <v>24</v>
      </c>
      <c r="O820" s="2" t="s">
        <v>24</v>
      </c>
      <c r="P820" s="2" t="s">
        <v>24</v>
      </c>
      <c r="Q820" s="2" t="s">
        <v>24</v>
      </c>
    </row>
    <row r="821" customFormat="false" ht="15" hidden="false" customHeight="false" outlineLevel="0" collapsed="false">
      <c r="A821" s="2" t="s">
        <v>1819</v>
      </c>
      <c r="B821" s="2" t="s">
        <v>45</v>
      </c>
      <c r="C821" s="13" t="s">
        <v>3089</v>
      </c>
      <c r="D821" s="29" t="n">
        <v>4010</v>
      </c>
      <c r="E821" s="2" t="s">
        <v>825</v>
      </c>
      <c r="F821" s="30" t="n">
        <v>0.297755610972569</v>
      </c>
      <c r="G821" s="31" t="n">
        <v>17.4</v>
      </c>
      <c r="H821" s="32" t="n">
        <v>0.215151515151515</v>
      </c>
      <c r="I821" s="31" t="n">
        <v>93</v>
      </c>
      <c r="J821" s="2" t="s">
        <v>2899</v>
      </c>
      <c r="K821" s="38"/>
      <c r="L821" s="31"/>
      <c r="M821" s="39" t="s">
        <v>832</v>
      </c>
      <c r="N821" s="2" t="s">
        <v>24</v>
      </c>
      <c r="O821" s="2" t="s">
        <v>24</v>
      </c>
      <c r="P821" s="2" t="s">
        <v>24</v>
      </c>
      <c r="Q821" s="2"/>
    </row>
    <row r="822" customFormat="false" ht="15" hidden="false" customHeight="false" outlineLevel="0" collapsed="false">
      <c r="A822" s="2" t="s">
        <v>1819</v>
      </c>
      <c r="B822" s="2" t="s">
        <v>46</v>
      </c>
      <c r="C822" s="13" t="s">
        <v>1820</v>
      </c>
      <c r="D822" s="29" t="n">
        <v>14670</v>
      </c>
      <c r="E822" s="2" t="s">
        <v>821</v>
      </c>
      <c r="F822" s="30" t="n">
        <v>3.97000681663258</v>
      </c>
      <c r="G822" s="31" t="n">
        <v>63.3</v>
      </c>
      <c r="H822" s="32" t="n">
        <v>0.140746500777605</v>
      </c>
      <c r="I822" s="31" t="n">
        <v>76.7</v>
      </c>
      <c r="J822" s="2" t="s">
        <v>2884</v>
      </c>
      <c r="K822" s="33" t="n">
        <v>0.278054385292991</v>
      </c>
      <c r="L822" s="31" t="n">
        <v>85.9</v>
      </c>
      <c r="M822" s="34" t="s">
        <v>822</v>
      </c>
      <c r="N822" s="2" t="s">
        <v>24</v>
      </c>
      <c r="O822" s="2" t="s">
        <v>24</v>
      </c>
      <c r="P822" s="2" t="s">
        <v>24</v>
      </c>
      <c r="Q822" s="2" t="s">
        <v>24</v>
      </c>
    </row>
    <row r="823" customFormat="false" ht="15" hidden="false" customHeight="false" outlineLevel="0" collapsed="false">
      <c r="A823" s="2" t="s">
        <v>1819</v>
      </c>
      <c r="B823" s="2" t="s">
        <v>47</v>
      </c>
      <c r="C823" s="13" t="s">
        <v>2268</v>
      </c>
      <c r="D823" s="29" t="n">
        <v>102470</v>
      </c>
      <c r="E823" s="2" t="s">
        <v>827</v>
      </c>
      <c r="F823" s="30" t="n">
        <v>3.46972772518786</v>
      </c>
      <c r="G823" s="31" t="n">
        <v>92.6</v>
      </c>
      <c r="H823" s="32" t="n">
        <v>0.0719740558635841</v>
      </c>
      <c r="I823" s="31" t="n">
        <v>43.5</v>
      </c>
      <c r="J823" s="2" t="s">
        <v>2897</v>
      </c>
      <c r="K823" s="33" t="n">
        <v>0.173042591175721</v>
      </c>
      <c r="L823" s="31" t="n">
        <v>79.7</v>
      </c>
      <c r="M823" s="34" t="s">
        <v>822</v>
      </c>
      <c r="N823" s="2" t="s">
        <v>24</v>
      </c>
      <c r="O823" s="2" t="s">
        <v>24</v>
      </c>
      <c r="P823" s="2" t="s">
        <v>24</v>
      </c>
      <c r="Q823" s="2" t="s">
        <v>24</v>
      </c>
    </row>
    <row r="824" customFormat="false" ht="15" hidden="false" customHeight="false" outlineLevel="0" collapsed="false">
      <c r="A824" s="2" t="s">
        <v>1025</v>
      </c>
      <c r="B824" s="2" t="s">
        <v>45</v>
      </c>
      <c r="C824" s="13" t="s">
        <v>1026</v>
      </c>
      <c r="D824" s="29" t="n">
        <v>191870</v>
      </c>
      <c r="E824" s="2" t="s">
        <v>827</v>
      </c>
      <c r="F824" s="30" t="n">
        <v>0.915484442591338</v>
      </c>
      <c r="G824" s="31" t="n">
        <v>75.8</v>
      </c>
      <c r="H824" s="32" t="n">
        <v>0.0851761778179967</v>
      </c>
      <c r="I824" s="31" t="n">
        <v>50.7</v>
      </c>
      <c r="J824" s="2" t="s">
        <v>2890</v>
      </c>
      <c r="K824" s="44" t="n">
        <v>0.0867947000148876</v>
      </c>
      <c r="L824" s="31" t="n">
        <v>30.1</v>
      </c>
      <c r="M824" s="34" t="s">
        <v>822</v>
      </c>
      <c r="N824" s="2" t="s">
        <v>24</v>
      </c>
      <c r="O824" s="2" t="s">
        <v>24</v>
      </c>
      <c r="P824" s="2" t="s">
        <v>24</v>
      </c>
      <c r="Q824" s="2" t="s">
        <v>22</v>
      </c>
    </row>
    <row r="825" customFormat="false" ht="15" hidden="false" customHeight="false" outlineLevel="0" collapsed="false">
      <c r="A825" s="2" t="s">
        <v>1025</v>
      </c>
      <c r="B825" s="2" t="s">
        <v>46</v>
      </c>
      <c r="C825" s="16"/>
      <c r="D825" s="35"/>
      <c r="E825" s="2"/>
      <c r="F825" s="36"/>
      <c r="G825" s="31"/>
      <c r="H825" s="37"/>
      <c r="I825" s="31"/>
      <c r="J825" s="2"/>
      <c r="K825" s="38"/>
      <c r="L825" s="31"/>
      <c r="M825" s="39" t="s">
        <v>832</v>
      </c>
      <c r="N825" s="2"/>
      <c r="O825" s="2"/>
      <c r="P825" s="2"/>
      <c r="Q825" s="2"/>
    </row>
    <row r="826" customFormat="false" ht="15" hidden="false" customHeight="false" outlineLevel="0" collapsed="false">
      <c r="A826" s="2" t="s">
        <v>1025</v>
      </c>
      <c r="B826" s="2" t="s">
        <v>47</v>
      </c>
      <c r="C826" s="14" t="s">
        <v>2579</v>
      </c>
      <c r="D826" s="42" t="n">
        <v>81720</v>
      </c>
      <c r="E826" s="2" t="s">
        <v>821</v>
      </c>
      <c r="F826" s="43" t="n">
        <v>1.13327214880078</v>
      </c>
      <c r="G826" s="31" t="n">
        <v>44.3</v>
      </c>
      <c r="H826" s="41" t="n">
        <v>0.0397078843242281</v>
      </c>
      <c r="I826" s="31" t="n">
        <v>23.1</v>
      </c>
      <c r="J826" s="2" t="s">
        <v>2886</v>
      </c>
      <c r="K826" s="44" t="n">
        <v>0.0982539682539683</v>
      </c>
      <c r="L826" s="31" t="n">
        <v>58.2</v>
      </c>
      <c r="M826" s="34" t="s">
        <v>822</v>
      </c>
      <c r="N826" s="2" t="s">
        <v>22</v>
      </c>
      <c r="O826" s="2" t="s">
        <v>22</v>
      </c>
      <c r="P826" s="2" t="s">
        <v>22</v>
      </c>
      <c r="Q826" s="2" t="s">
        <v>22</v>
      </c>
    </row>
    <row r="827" customFormat="false" ht="15" hidden="false" customHeight="false" outlineLevel="0" collapsed="false">
      <c r="A827" s="2" t="s">
        <v>236</v>
      </c>
      <c r="B827" s="2" t="s">
        <v>47</v>
      </c>
      <c r="C827" s="14" t="s">
        <v>2408</v>
      </c>
      <c r="D827" s="42" t="n">
        <v>344440</v>
      </c>
      <c r="E827" s="2" t="s">
        <v>827</v>
      </c>
      <c r="F827" s="43" t="n">
        <v>1.73082975264197</v>
      </c>
      <c r="G827" s="31" t="n">
        <v>69.8</v>
      </c>
      <c r="H827" s="41" t="n">
        <v>0.0707968178271318</v>
      </c>
      <c r="I827" s="31" t="n">
        <v>42.9</v>
      </c>
      <c r="J827" s="2" t="s">
        <v>2897</v>
      </c>
      <c r="K827" s="44" t="n">
        <v>0.314890175823029</v>
      </c>
      <c r="L827" s="31" t="n">
        <v>96.8</v>
      </c>
      <c r="M827" s="34" t="s">
        <v>822</v>
      </c>
      <c r="N827" s="2" t="s">
        <v>22</v>
      </c>
      <c r="O827" s="2" t="s">
        <v>22</v>
      </c>
      <c r="P827" s="2" t="s">
        <v>22</v>
      </c>
      <c r="Q827" s="2" t="s">
        <v>22</v>
      </c>
    </row>
    <row r="828" customFormat="false" ht="15" hidden="false" customHeight="false" outlineLevel="0" collapsed="false">
      <c r="A828" s="2" t="s">
        <v>340</v>
      </c>
      <c r="B828" s="2" t="s">
        <v>46</v>
      </c>
      <c r="C828" s="13" t="s">
        <v>1830</v>
      </c>
      <c r="D828" s="29" t="n">
        <v>12740</v>
      </c>
      <c r="E828" s="2" t="s">
        <v>821</v>
      </c>
      <c r="F828" s="30" t="n">
        <v>3.77299843014129</v>
      </c>
      <c r="G828" s="31" t="n">
        <v>59.9</v>
      </c>
      <c r="H828" s="32" t="n">
        <v>0.0787468247248095</v>
      </c>
      <c r="I828" s="31" t="n">
        <v>46.5</v>
      </c>
      <c r="J828" s="2" t="s">
        <v>2884</v>
      </c>
      <c r="K828" s="33" t="n">
        <v>0.02455871066769</v>
      </c>
      <c r="L828" s="31" t="n">
        <v>5.1</v>
      </c>
      <c r="M828" s="34" t="s">
        <v>822</v>
      </c>
      <c r="N828" s="2" t="s">
        <v>24</v>
      </c>
      <c r="O828" s="2" t="s">
        <v>24</v>
      </c>
      <c r="P828" s="2" t="s">
        <v>24</v>
      </c>
      <c r="Q828" s="2" t="s">
        <v>24</v>
      </c>
    </row>
    <row r="829" customFormat="false" ht="15" hidden="false" customHeight="false" outlineLevel="0" collapsed="false">
      <c r="A829" s="2" t="s">
        <v>2279</v>
      </c>
      <c r="B829" s="2" t="s">
        <v>45</v>
      </c>
      <c r="C829" s="16"/>
      <c r="D829" s="35"/>
      <c r="E829" s="2"/>
      <c r="F829" s="36"/>
      <c r="G829" s="31"/>
      <c r="H829" s="37"/>
      <c r="I829" s="31"/>
      <c r="J829" s="2"/>
      <c r="K829" s="38"/>
      <c r="L829" s="31"/>
      <c r="M829" s="39" t="s">
        <v>832</v>
      </c>
      <c r="N829" s="2"/>
      <c r="O829" s="2"/>
      <c r="P829" s="2"/>
      <c r="Q829" s="2"/>
    </row>
    <row r="830" customFormat="false" ht="15" hidden="false" customHeight="false" outlineLevel="0" collapsed="false">
      <c r="A830" s="2" t="s">
        <v>2279</v>
      </c>
      <c r="B830" s="2" t="s">
        <v>46</v>
      </c>
      <c r="C830" s="13" t="s">
        <v>3090</v>
      </c>
      <c r="D830" s="29" t="n">
        <v>106840</v>
      </c>
      <c r="E830" s="2" t="s">
        <v>827</v>
      </c>
      <c r="F830" s="30" t="n">
        <v>3.59391613627855</v>
      </c>
      <c r="G830" s="31" t="n">
        <v>58.2</v>
      </c>
      <c r="H830" s="32" t="n">
        <v>0.146721047547494</v>
      </c>
      <c r="I830" s="31" t="n">
        <v>86</v>
      </c>
      <c r="J830" s="2" t="s">
        <v>2888</v>
      </c>
      <c r="K830" s="38"/>
      <c r="L830" s="31"/>
      <c r="M830" s="39" t="s">
        <v>832</v>
      </c>
      <c r="N830" s="2" t="s">
        <v>24</v>
      </c>
      <c r="O830" s="2" t="s">
        <v>24</v>
      </c>
      <c r="P830" s="2" t="s">
        <v>24</v>
      </c>
      <c r="Q830" s="2"/>
    </row>
    <row r="831" customFormat="false" ht="15" hidden="false" customHeight="false" outlineLevel="0" collapsed="false">
      <c r="A831" s="2" t="s">
        <v>2279</v>
      </c>
      <c r="B831" s="2" t="s">
        <v>47</v>
      </c>
      <c r="C831" s="14" t="s">
        <v>2280</v>
      </c>
      <c r="D831" s="42" t="n">
        <v>37827</v>
      </c>
      <c r="E831" s="2" t="s">
        <v>821</v>
      </c>
      <c r="F831" s="43" t="n">
        <v>3.2470193248209</v>
      </c>
      <c r="G831" s="31" t="n">
        <v>90.7</v>
      </c>
      <c r="H831" s="41" t="n">
        <v>0.0397746014293568</v>
      </c>
      <c r="I831" s="31" t="n">
        <v>23.4</v>
      </c>
      <c r="J831" s="2" t="s">
        <v>2886</v>
      </c>
      <c r="K831" s="44" t="n">
        <v>0.0162831382048177</v>
      </c>
      <c r="L831" s="31" t="n">
        <v>10.4</v>
      </c>
      <c r="M831" s="34" t="s">
        <v>822</v>
      </c>
      <c r="N831" s="2" t="s">
        <v>22</v>
      </c>
      <c r="O831" s="2" t="s">
        <v>22</v>
      </c>
      <c r="P831" s="2" t="s">
        <v>22</v>
      </c>
      <c r="Q831" s="2" t="s">
        <v>22</v>
      </c>
    </row>
    <row r="832" customFormat="false" ht="15" hidden="false" customHeight="false" outlineLevel="0" collapsed="false">
      <c r="A832" s="2" t="s">
        <v>146</v>
      </c>
      <c r="B832" s="2" t="s">
        <v>45</v>
      </c>
      <c r="C832" s="14" t="s">
        <v>1134</v>
      </c>
      <c r="D832" s="42" t="n">
        <v>46031</v>
      </c>
      <c r="E832" s="2" t="s">
        <v>821</v>
      </c>
      <c r="F832" s="43" t="n">
        <v>0.713453976667898</v>
      </c>
      <c r="G832" s="31" t="n">
        <v>62.6</v>
      </c>
      <c r="H832" s="41" t="n">
        <v>-0.00320491998527469</v>
      </c>
      <c r="I832" s="31" t="n">
        <v>9.3</v>
      </c>
      <c r="J832" s="2" t="s">
        <v>2883</v>
      </c>
      <c r="K832" s="44" t="n">
        <v>0.203603603603604</v>
      </c>
      <c r="L832" s="31" t="n">
        <v>74.6</v>
      </c>
      <c r="M832" s="34" t="s">
        <v>822</v>
      </c>
      <c r="N832" s="2" t="s">
        <v>22</v>
      </c>
      <c r="O832" s="2" t="s">
        <v>22</v>
      </c>
      <c r="P832" s="2" t="s">
        <v>22</v>
      </c>
      <c r="Q832" s="2" t="s">
        <v>22</v>
      </c>
    </row>
    <row r="833" customFormat="false" ht="15" hidden="false" customHeight="false" outlineLevel="0" collapsed="false">
      <c r="A833" s="2" t="s">
        <v>146</v>
      </c>
      <c r="B833" s="2" t="s">
        <v>46</v>
      </c>
      <c r="C833" s="13" t="s">
        <v>1602</v>
      </c>
      <c r="D833" s="29" t="n">
        <v>201170</v>
      </c>
      <c r="E833" s="2" t="s">
        <v>827</v>
      </c>
      <c r="F833" s="30" t="n">
        <v>18.1730178456032</v>
      </c>
      <c r="G833" s="31" t="n">
        <v>99.6</v>
      </c>
      <c r="H833" s="32" t="n">
        <v>-0.0210705596107056</v>
      </c>
      <c r="I833" s="31" t="n">
        <v>7.6</v>
      </c>
      <c r="J833" s="2" t="s">
        <v>2888</v>
      </c>
      <c r="K833" s="33" t="n">
        <v>0.211542547786</v>
      </c>
      <c r="L833" s="31" t="n">
        <v>71.5</v>
      </c>
      <c r="M833" s="34" t="s">
        <v>822</v>
      </c>
      <c r="N833" s="2" t="s">
        <v>24</v>
      </c>
      <c r="O833" s="2" t="s">
        <v>24</v>
      </c>
      <c r="P833" s="2" t="s">
        <v>24</v>
      </c>
      <c r="Q833" s="2" t="s">
        <v>24</v>
      </c>
    </row>
    <row r="834" customFormat="false" ht="15" hidden="false" customHeight="false" outlineLevel="0" collapsed="false">
      <c r="A834" s="2" t="s">
        <v>146</v>
      </c>
      <c r="B834" s="2" t="s">
        <v>47</v>
      </c>
      <c r="C834" s="14" t="s">
        <v>2285</v>
      </c>
      <c r="D834" s="42" t="n">
        <v>300628</v>
      </c>
      <c r="E834" s="2" t="s">
        <v>827</v>
      </c>
      <c r="F834" s="43" t="n">
        <v>3.10241893635989</v>
      </c>
      <c r="G834" s="31" t="n">
        <v>89.8</v>
      </c>
      <c r="H834" s="41" t="n">
        <v>0.0385714236361815</v>
      </c>
      <c r="I834" s="31" t="n">
        <v>25.5</v>
      </c>
      <c r="J834" s="2" t="s">
        <v>2897</v>
      </c>
      <c r="K834" s="44" t="n">
        <v>0.0218767298019302</v>
      </c>
      <c r="L834" s="31" t="n">
        <v>14.9</v>
      </c>
      <c r="M834" s="34" t="s">
        <v>822</v>
      </c>
      <c r="N834" s="2" t="s">
        <v>22</v>
      </c>
      <c r="O834" s="2" t="s">
        <v>22</v>
      </c>
      <c r="P834" s="2" t="s">
        <v>22</v>
      </c>
      <c r="Q834" s="2" t="s">
        <v>22</v>
      </c>
    </row>
    <row r="835" customFormat="false" ht="15" hidden="false" customHeight="false" outlineLevel="0" collapsed="false">
      <c r="A835" s="2" t="s">
        <v>3091</v>
      </c>
      <c r="B835" s="2" t="s">
        <v>45</v>
      </c>
      <c r="C835" s="16"/>
      <c r="D835" s="35"/>
      <c r="E835" s="2"/>
      <c r="F835" s="36"/>
      <c r="G835" s="31"/>
      <c r="H835" s="37"/>
      <c r="I835" s="31"/>
      <c r="J835" s="2"/>
      <c r="K835" s="38"/>
      <c r="L835" s="31"/>
      <c r="M835" s="39" t="s">
        <v>832</v>
      </c>
      <c r="N835" s="2"/>
      <c r="O835" s="2"/>
      <c r="P835" s="2"/>
      <c r="Q835" s="2"/>
    </row>
    <row r="836" customFormat="false" ht="15" hidden="false" customHeight="false" outlineLevel="0" collapsed="false">
      <c r="A836" s="2" t="s">
        <v>652</v>
      </c>
      <c r="B836" s="2" t="s">
        <v>47</v>
      </c>
      <c r="C836" s="14" t="s">
        <v>2646</v>
      </c>
      <c r="D836" s="42" t="n">
        <v>548234</v>
      </c>
      <c r="E836" s="2" t="s">
        <v>827</v>
      </c>
      <c r="F836" s="43" t="n">
        <v>0.904869088746776</v>
      </c>
      <c r="G836" s="31" t="n">
        <v>34.4</v>
      </c>
      <c r="H836" s="41" t="n">
        <v>0.0477797696632864</v>
      </c>
      <c r="I836" s="31" t="n">
        <v>29.2</v>
      </c>
      <c r="J836" s="2" t="s">
        <v>2897</v>
      </c>
      <c r="K836" s="44" t="n">
        <v>0.0128543757703821</v>
      </c>
      <c r="L836" s="31" t="n">
        <v>8.6</v>
      </c>
      <c r="M836" s="34" t="s">
        <v>822</v>
      </c>
      <c r="N836" s="2" t="s">
        <v>22</v>
      </c>
      <c r="O836" s="2" t="s">
        <v>22</v>
      </c>
      <c r="P836" s="2" t="s">
        <v>22</v>
      </c>
      <c r="Q836" s="2" t="s">
        <v>22</v>
      </c>
    </row>
    <row r="837" customFormat="false" ht="15" hidden="false" customHeight="false" outlineLevel="0" collapsed="false">
      <c r="A837" s="2" t="s">
        <v>3092</v>
      </c>
      <c r="B837" s="2" t="s">
        <v>46</v>
      </c>
      <c r="C837" s="13" t="s">
        <v>3093</v>
      </c>
      <c r="D837" s="29" t="n">
        <v>3270</v>
      </c>
      <c r="E837" s="2" t="s">
        <v>825</v>
      </c>
      <c r="F837" s="30" t="n">
        <v>1.99510703363914</v>
      </c>
      <c r="G837" s="31" t="n">
        <v>27.7</v>
      </c>
      <c r="H837" s="37"/>
      <c r="I837" s="31"/>
      <c r="J837" s="2"/>
      <c r="K837" s="33" t="n">
        <v>0.115942028985507</v>
      </c>
      <c r="L837" s="31" t="n">
        <v>43.3</v>
      </c>
      <c r="M837" s="39" t="s">
        <v>832</v>
      </c>
      <c r="N837" s="2" t="s">
        <v>24</v>
      </c>
      <c r="O837" s="2" t="s">
        <v>24</v>
      </c>
      <c r="P837" s="2"/>
      <c r="Q837" s="2" t="s">
        <v>24</v>
      </c>
    </row>
    <row r="838" customFormat="false" ht="15" hidden="false" customHeight="false" outlineLevel="0" collapsed="false">
      <c r="A838" s="2" t="s">
        <v>768</v>
      </c>
      <c r="B838" s="2" t="s">
        <v>46</v>
      </c>
      <c r="C838" s="13" t="s">
        <v>2092</v>
      </c>
      <c r="D838" s="29" t="n">
        <v>84160</v>
      </c>
      <c r="E838" s="2" t="s">
        <v>821</v>
      </c>
      <c r="F838" s="30" t="n">
        <v>1.58714353612167</v>
      </c>
      <c r="G838" s="31" t="n">
        <v>18.5</v>
      </c>
      <c r="H838" s="32" t="n">
        <v>0.0551654964894684</v>
      </c>
      <c r="I838" s="31" t="n">
        <v>33.5</v>
      </c>
      <c r="J838" s="2" t="s">
        <v>2884</v>
      </c>
      <c r="K838" s="33" t="n">
        <v>0.192760447321954</v>
      </c>
      <c r="L838" s="31" t="n">
        <v>67.5</v>
      </c>
      <c r="M838" s="34" t="s">
        <v>822</v>
      </c>
      <c r="N838" s="2" t="s">
        <v>24</v>
      </c>
      <c r="O838" s="2" t="s">
        <v>24</v>
      </c>
      <c r="P838" s="2" t="s">
        <v>24</v>
      </c>
      <c r="Q838" s="2" t="s">
        <v>24</v>
      </c>
    </row>
    <row r="839" customFormat="false" ht="15" hidden="false" customHeight="false" outlineLevel="0" collapsed="false">
      <c r="A839" s="2" t="s">
        <v>1312</v>
      </c>
      <c r="B839" s="2" t="s">
        <v>45</v>
      </c>
      <c r="C839" s="13" t="s">
        <v>1313</v>
      </c>
      <c r="D839" s="29" t="n">
        <v>249400</v>
      </c>
      <c r="E839" s="2" t="s">
        <v>827</v>
      </c>
      <c r="F839" s="30" t="n">
        <v>0.48107858861267</v>
      </c>
      <c r="G839" s="31" t="n">
        <v>39.9</v>
      </c>
      <c r="H839" s="32" t="n">
        <v>0.140583554376658</v>
      </c>
      <c r="I839" s="31" t="n">
        <v>79.3</v>
      </c>
      <c r="J839" s="2" t="s">
        <v>2890</v>
      </c>
      <c r="K839" s="33" t="n">
        <v>0.154430914338002</v>
      </c>
      <c r="L839" s="31" t="n">
        <v>59.7</v>
      </c>
      <c r="M839" s="34" t="s">
        <v>822</v>
      </c>
      <c r="N839" s="2" t="s">
        <v>24</v>
      </c>
      <c r="O839" s="2" t="s">
        <v>24</v>
      </c>
      <c r="P839" s="2" t="s">
        <v>24</v>
      </c>
      <c r="Q839" s="2" t="s">
        <v>24</v>
      </c>
    </row>
    <row r="840" customFormat="false" ht="15" hidden="false" customHeight="false" outlineLevel="0" collapsed="false">
      <c r="A840" s="2" t="s">
        <v>1312</v>
      </c>
      <c r="B840" s="2" t="s">
        <v>46</v>
      </c>
      <c r="C840" s="13" t="s">
        <v>3094</v>
      </c>
      <c r="D840" s="29" t="n">
        <v>132500</v>
      </c>
      <c r="E840" s="2" t="s">
        <v>827</v>
      </c>
      <c r="F840" s="36"/>
      <c r="G840" s="31"/>
      <c r="H840" s="32" t="n">
        <v>0.143226919758412</v>
      </c>
      <c r="I840" s="31" t="n">
        <v>83.4</v>
      </c>
      <c r="J840" s="2" t="s">
        <v>2888</v>
      </c>
      <c r="K840" s="33" t="n">
        <v>0.0206061684988206</v>
      </c>
      <c r="L840" s="31" t="n">
        <v>3.5</v>
      </c>
      <c r="M840" s="39" t="s">
        <v>832</v>
      </c>
      <c r="N840" s="2" t="s">
        <v>24</v>
      </c>
      <c r="O840" s="2"/>
      <c r="P840" s="2" t="s">
        <v>24</v>
      </c>
      <c r="Q840" s="2" t="s">
        <v>24</v>
      </c>
    </row>
    <row r="841" customFormat="false" ht="15" hidden="false" customHeight="false" outlineLevel="0" collapsed="false">
      <c r="A841" s="2" t="s">
        <v>724</v>
      </c>
      <c r="B841" s="2" t="s">
        <v>45</v>
      </c>
      <c r="C841" s="13" t="s">
        <v>1415</v>
      </c>
      <c r="D841" s="29" t="n">
        <v>23430</v>
      </c>
      <c r="E841" s="2" t="s">
        <v>821</v>
      </c>
      <c r="F841" s="30" t="n">
        <v>0.37251387110542</v>
      </c>
      <c r="G841" s="31" t="n">
        <v>25.7</v>
      </c>
      <c r="H841" s="32" t="n">
        <v>0.194798572157063</v>
      </c>
      <c r="I841" s="31" t="n">
        <v>90</v>
      </c>
      <c r="J841" s="2" t="s">
        <v>2883</v>
      </c>
      <c r="K841" s="33" t="n">
        <v>0.0876777251184834</v>
      </c>
      <c r="L841" s="31" t="n">
        <v>30.5</v>
      </c>
      <c r="M841" s="34" t="s">
        <v>822</v>
      </c>
      <c r="N841" s="2" t="s">
        <v>24</v>
      </c>
      <c r="O841" s="2" t="s">
        <v>24</v>
      </c>
      <c r="P841" s="2" t="s">
        <v>24</v>
      </c>
      <c r="Q841" s="2" t="s">
        <v>24</v>
      </c>
    </row>
    <row r="842" customFormat="false" ht="15" hidden="false" customHeight="false" outlineLevel="0" collapsed="false">
      <c r="A842" s="2" t="s">
        <v>3095</v>
      </c>
      <c r="B842" s="2" t="s">
        <v>46</v>
      </c>
      <c r="C842" s="13" t="s">
        <v>3096</v>
      </c>
      <c r="D842" s="29" t="n">
        <v>15800</v>
      </c>
      <c r="E842" s="2" t="s">
        <v>821</v>
      </c>
      <c r="F842" s="36"/>
      <c r="G842" s="31"/>
      <c r="H842" s="32" t="n">
        <v>0.0429042904290429</v>
      </c>
      <c r="I842" s="31" t="n">
        <v>27.6</v>
      </c>
      <c r="J842" s="2" t="s">
        <v>2884</v>
      </c>
      <c r="K842" s="33" t="n">
        <v>0.141843971631206</v>
      </c>
      <c r="L842" s="31" t="n">
        <v>52.8</v>
      </c>
      <c r="M842" s="39" t="s">
        <v>832</v>
      </c>
      <c r="N842" s="2" t="s">
        <v>24</v>
      </c>
      <c r="O842" s="2" t="s">
        <v>3097</v>
      </c>
      <c r="P842" s="2" t="s">
        <v>24</v>
      </c>
      <c r="Q842" s="2" t="s">
        <v>24</v>
      </c>
    </row>
    <row r="843" customFormat="false" ht="15" hidden="false" customHeight="false" outlineLevel="0" collapsed="false">
      <c r="A843" s="2" t="s">
        <v>784</v>
      </c>
      <c r="B843" s="2" t="s">
        <v>46</v>
      </c>
      <c r="C843" s="13" t="s">
        <v>2100</v>
      </c>
      <c r="D843" s="29" t="n">
        <v>46110</v>
      </c>
      <c r="E843" s="2" t="s">
        <v>821</v>
      </c>
      <c r="F843" s="30" t="n">
        <v>1.50503144654088</v>
      </c>
      <c r="G843" s="31" t="n">
        <v>17.3</v>
      </c>
      <c r="H843" s="32" t="n">
        <v>0.163512490537472</v>
      </c>
      <c r="I843" s="31" t="n">
        <v>83.6</v>
      </c>
      <c r="J843" s="2" t="s">
        <v>2884</v>
      </c>
      <c r="K843" s="33" t="n">
        <v>0.0805181610363221</v>
      </c>
      <c r="L843" s="31" t="n">
        <v>26</v>
      </c>
      <c r="M843" s="34" t="s">
        <v>822</v>
      </c>
      <c r="N843" s="2" t="s">
        <v>24</v>
      </c>
      <c r="O843" s="2" t="s">
        <v>24</v>
      </c>
      <c r="P843" s="2" t="s">
        <v>24</v>
      </c>
      <c r="Q843" s="2" t="s">
        <v>24</v>
      </c>
    </row>
    <row r="844" customFormat="false" ht="15" hidden="false" customHeight="false" outlineLevel="0" collapsed="false">
      <c r="A844" s="2" t="s">
        <v>784</v>
      </c>
      <c r="B844" s="2" t="s">
        <v>47</v>
      </c>
      <c r="C844" s="14" t="s">
        <v>2794</v>
      </c>
      <c r="D844" s="42" t="n">
        <v>40657</v>
      </c>
      <c r="E844" s="2" t="s">
        <v>821</v>
      </c>
      <c r="F844" s="43" t="n">
        <v>0.490198489804954</v>
      </c>
      <c r="G844" s="31" t="n">
        <v>12.7</v>
      </c>
      <c r="H844" s="41" t="n">
        <v>0.114714994653579</v>
      </c>
      <c r="I844" s="31" t="n">
        <v>60.1</v>
      </c>
      <c r="J844" s="2" t="s">
        <v>2886</v>
      </c>
      <c r="K844" s="44" t="n">
        <v>0.0388821385176185</v>
      </c>
      <c r="L844" s="31" t="n">
        <v>25.1</v>
      </c>
      <c r="M844" s="34" t="s">
        <v>822</v>
      </c>
      <c r="N844" s="2" t="s">
        <v>22</v>
      </c>
      <c r="O844" s="2" t="s">
        <v>22</v>
      </c>
      <c r="P844" s="2" t="s">
        <v>22</v>
      </c>
      <c r="Q844" s="2" t="s">
        <v>22</v>
      </c>
    </row>
    <row r="845" customFormat="false" ht="15" hidden="false" customHeight="false" outlineLevel="0" collapsed="false">
      <c r="A845" s="2" t="s">
        <v>290</v>
      </c>
      <c r="B845" s="2" t="s">
        <v>45</v>
      </c>
      <c r="C845" s="13" t="s">
        <v>920</v>
      </c>
      <c r="D845" s="29" t="n">
        <v>19690</v>
      </c>
      <c r="E845" s="2" t="s">
        <v>821</v>
      </c>
      <c r="F845" s="30" t="n">
        <v>1.47531742001016</v>
      </c>
      <c r="G845" s="31" t="n">
        <v>88.8</v>
      </c>
      <c r="H845" s="32" t="n">
        <v>0.0501333333333333</v>
      </c>
      <c r="I845" s="31" t="n">
        <v>27.5</v>
      </c>
      <c r="J845" s="2" t="s">
        <v>2883</v>
      </c>
      <c r="K845" s="33" t="n">
        <v>0.13314447592068</v>
      </c>
      <c r="L845" s="31" t="n">
        <v>49.4</v>
      </c>
      <c r="M845" s="34" t="s">
        <v>822</v>
      </c>
      <c r="N845" s="2" t="s">
        <v>24</v>
      </c>
      <c r="O845" s="2" t="s">
        <v>24</v>
      </c>
      <c r="P845" s="2" t="s">
        <v>24</v>
      </c>
      <c r="Q845" s="2" t="s">
        <v>24</v>
      </c>
    </row>
    <row r="846" customFormat="false" ht="15" hidden="false" customHeight="false" outlineLevel="0" collapsed="false">
      <c r="A846" s="2" t="s">
        <v>290</v>
      </c>
      <c r="B846" s="2" t="s">
        <v>46</v>
      </c>
      <c r="C846" s="13" t="s">
        <v>2081</v>
      </c>
      <c r="D846" s="29" t="n">
        <v>104700</v>
      </c>
      <c r="E846" s="2" t="s">
        <v>827</v>
      </c>
      <c r="F846" s="30" t="n">
        <v>1.69122254059217</v>
      </c>
      <c r="G846" s="31" t="n">
        <v>20.6</v>
      </c>
      <c r="H846" s="32" t="n">
        <v>0.268783325254484</v>
      </c>
      <c r="I846" s="31" t="n">
        <v>100</v>
      </c>
      <c r="J846" s="2" t="s">
        <v>2888</v>
      </c>
      <c r="K846" s="33" t="n">
        <v>0.298018626164135</v>
      </c>
      <c r="L846" s="31" t="n">
        <v>88.3</v>
      </c>
      <c r="M846" s="34" t="s">
        <v>822</v>
      </c>
      <c r="N846" s="2" t="s">
        <v>24</v>
      </c>
      <c r="O846" s="2" t="s">
        <v>24</v>
      </c>
      <c r="P846" s="2" t="s">
        <v>24</v>
      </c>
      <c r="Q846" s="2" t="s">
        <v>24</v>
      </c>
    </row>
    <row r="847" customFormat="false" ht="15" hidden="false" customHeight="false" outlineLevel="0" collapsed="false">
      <c r="A847" s="2" t="s">
        <v>290</v>
      </c>
      <c r="B847" s="2" t="s">
        <v>47</v>
      </c>
      <c r="C847" s="14" t="s">
        <v>2329</v>
      </c>
      <c r="D847" s="42" t="n">
        <v>303997</v>
      </c>
      <c r="E847" s="2" t="s">
        <v>827</v>
      </c>
      <c r="F847" s="43" t="n">
        <v>2.40875074425077</v>
      </c>
      <c r="G847" s="31" t="n">
        <v>83.1</v>
      </c>
      <c r="H847" s="41" t="n">
        <v>0.0996494832681616</v>
      </c>
      <c r="I847" s="31" t="n">
        <v>58.4</v>
      </c>
      <c r="J847" s="2" t="s">
        <v>2897</v>
      </c>
      <c r="K847" s="44" t="n">
        <v>0.100982822737737</v>
      </c>
      <c r="L847" s="31" t="n">
        <v>59.5</v>
      </c>
      <c r="M847" s="34" t="s">
        <v>822</v>
      </c>
      <c r="N847" s="2" t="s">
        <v>22</v>
      </c>
      <c r="O847" s="2" t="s">
        <v>22</v>
      </c>
      <c r="P847" s="2" t="s">
        <v>22</v>
      </c>
      <c r="Q847" s="2" t="s">
        <v>22</v>
      </c>
    </row>
    <row r="848" customFormat="false" ht="15" hidden="false" customHeight="false" outlineLevel="0" collapsed="false">
      <c r="A848" s="2" t="s">
        <v>660</v>
      </c>
      <c r="B848" s="2" t="s">
        <v>46</v>
      </c>
      <c r="C848" s="13" t="s">
        <v>2002</v>
      </c>
      <c r="D848" s="29" t="n">
        <v>31340</v>
      </c>
      <c r="E848" s="2" t="s">
        <v>821</v>
      </c>
      <c r="F848" s="30" t="n">
        <v>2.35861518825782</v>
      </c>
      <c r="G848" s="31" t="n">
        <v>33.8</v>
      </c>
      <c r="H848" s="32" t="n">
        <v>0.0198503091441588</v>
      </c>
      <c r="I848" s="31" t="n">
        <v>18.5</v>
      </c>
      <c r="J848" s="2" t="s">
        <v>2884</v>
      </c>
      <c r="K848" s="33" t="n">
        <v>0.0926301555104801</v>
      </c>
      <c r="L848" s="31" t="n">
        <v>33.8</v>
      </c>
      <c r="M848" s="34" t="s">
        <v>822</v>
      </c>
      <c r="N848" s="2" t="s">
        <v>24</v>
      </c>
      <c r="O848" s="2" t="s">
        <v>24</v>
      </c>
      <c r="P848" s="2" t="s">
        <v>24</v>
      </c>
      <c r="Q848" s="2" t="s">
        <v>24</v>
      </c>
    </row>
    <row r="849" customFormat="false" ht="15" hidden="false" customHeight="false" outlineLevel="0" collapsed="false">
      <c r="A849" s="2" t="s">
        <v>3098</v>
      </c>
      <c r="B849" s="2" t="s">
        <v>45</v>
      </c>
      <c r="C849" s="16"/>
      <c r="D849" s="35"/>
      <c r="E849" s="2"/>
      <c r="F849" s="36"/>
      <c r="G849" s="31"/>
      <c r="H849" s="37"/>
      <c r="I849" s="31"/>
      <c r="J849" s="2"/>
      <c r="K849" s="38"/>
      <c r="L849" s="31"/>
      <c r="M849" s="39" t="s">
        <v>832</v>
      </c>
      <c r="N849" s="2"/>
      <c r="O849" s="2"/>
      <c r="P849" s="2"/>
      <c r="Q849" s="2"/>
    </row>
    <row r="850" customFormat="false" ht="15" hidden="false" customHeight="false" outlineLevel="0" collapsed="false">
      <c r="A850" s="2" t="s">
        <v>3098</v>
      </c>
      <c r="B850" s="2" t="s">
        <v>47</v>
      </c>
      <c r="C850" s="14" t="s">
        <v>3099</v>
      </c>
      <c r="D850" s="42" t="n">
        <v>28636</v>
      </c>
      <c r="E850" s="2" t="s">
        <v>821</v>
      </c>
      <c r="F850" s="43" t="n">
        <v>1.13343344042464</v>
      </c>
      <c r="G850" s="31" t="n">
        <v>44.4</v>
      </c>
      <c r="H850" s="41" t="n">
        <v>-0.0689296397450904</v>
      </c>
      <c r="I850" s="31" t="n">
        <v>1</v>
      </c>
      <c r="J850" s="2" t="s">
        <v>2886</v>
      </c>
      <c r="K850" s="38"/>
      <c r="L850" s="31"/>
      <c r="M850" s="39" t="s">
        <v>832</v>
      </c>
      <c r="N850" s="2" t="s">
        <v>22</v>
      </c>
      <c r="O850" s="2" t="s">
        <v>22</v>
      </c>
      <c r="P850" s="2" t="s">
        <v>22</v>
      </c>
      <c r="Q850" s="2"/>
    </row>
    <row r="851" customFormat="false" ht="15" hidden="false" customHeight="false" outlineLevel="0" collapsed="false">
      <c r="A851" s="2" t="s">
        <v>3100</v>
      </c>
      <c r="B851" s="2" t="s">
        <v>46</v>
      </c>
      <c r="C851" s="16"/>
      <c r="D851" s="35"/>
      <c r="E851" s="2"/>
      <c r="F851" s="36"/>
      <c r="G851" s="31"/>
      <c r="H851" s="37"/>
      <c r="I851" s="31"/>
      <c r="J851" s="2"/>
      <c r="K851" s="38"/>
      <c r="L851" s="31"/>
      <c r="M851" s="39" t="s">
        <v>832</v>
      </c>
      <c r="N851" s="2"/>
      <c r="O851" s="2"/>
      <c r="P851" s="2"/>
      <c r="Q851" s="2"/>
    </row>
    <row r="852" customFormat="false" ht="15" hidden="false" customHeight="false" outlineLevel="0" collapsed="false">
      <c r="A852" s="2" t="s">
        <v>3101</v>
      </c>
      <c r="B852" s="2" t="s">
        <v>46</v>
      </c>
      <c r="C852" s="13" t="s">
        <v>3102</v>
      </c>
      <c r="D852" s="29" t="n">
        <v>8620</v>
      </c>
      <c r="E852" s="2" t="s">
        <v>825</v>
      </c>
      <c r="F852" s="36"/>
      <c r="G852" s="31"/>
      <c r="H852" s="32" t="n">
        <v>0.175989085948158</v>
      </c>
      <c r="I852" s="31" t="n">
        <v>84.9</v>
      </c>
      <c r="J852" s="2" t="s">
        <v>2905</v>
      </c>
      <c r="K852" s="33" t="n">
        <v>0.0803571428571429</v>
      </c>
      <c r="L852" s="31" t="n">
        <v>25.6</v>
      </c>
      <c r="M852" s="39" t="s">
        <v>832</v>
      </c>
      <c r="N852" s="2" t="s">
        <v>24</v>
      </c>
      <c r="O852" s="2"/>
      <c r="P852" s="2" t="s">
        <v>24</v>
      </c>
      <c r="Q852" s="2" t="s">
        <v>24</v>
      </c>
    </row>
    <row r="853" customFormat="false" ht="15" hidden="false" customHeight="false" outlineLevel="0" collapsed="false">
      <c r="A853" s="2" t="s">
        <v>172</v>
      </c>
      <c r="B853" s="2" t="s">
        <v>45</v>
      </c>
      <c r="C853" s="13" t="s">
        <v>1147</v>
      </c>
      <c r="D853" s="29" t="n">
        <v>44780</v>
      </c>
      <c r="E853" s="2" t="s">
        <v>821</v>
      </c>
      <c r="F853" s="30" t="n">
        <v>0.69696292987941</v>
      </c>
      <c r="G853" s="31" t="n">
        <v>60.9</v>
      </c>
      <c r="H853" s="32" t="n">
        <v>0.117265469061876</v>
      </c>
      <c r="I853" s="31" t="n">
        <v>61.2</v>
      </c>
      <c r="J853" s="2" t="s">
        <v>2883</v>
      </c>
      <c r="K853" s="44" t="n">
        <v>0.116368903911154</v>
      </c>
      <c r="L853" s="31" t="n">
        <v>42.9</v>
      </c>
      <c r="M853" s="34" t="s">
        <v>822</v>
      </c>
      <c r="N853" s="2" t="s">
        <v>24</v>
      </c>
      <c r="O853" s="2" t="s">
        <v>24</v>
      </c>
      <c r="P853" s="2" t="s">
        <v>24</v>
      </c>
      <c r="Q853" s="2" t="s">
        <v>22</v>
      </c>
    </row>
    <row r="854" customFormat="false" ht="15" hidden="false" customHeight="false" outlineLevel="0" collapsed="false">
      <c r="A854" s="2" t="s">
        <v>172</v>
      </c>
      <c r="B854" s="2" t="s">
        <v>47</v>
      </c>
      <c r="C854" s="13" t="s">
        <v>2227</v>
      </c>
      <c r="D854" s="29" t="n">
        <v>101840</v>
      </c>
      <c r="E854" s="2" t="s">
        <v>827</v>
      </c>
      <c r="F854" s="30" t="n">
        <v>5.32942851531815</v>
      </c>
      <c r="G854" s="31" t="n">
        <v>98.1</v>
      </c>
      <c r="H854" s="32" t="n">
        <v>0.215709681270144</v>
      </c>
      <c r="I854" s="31" t="n">
        <v>96.3</v>
      </c>
      <c r="J854" s="2" t="s">
        <v>2897</v>
      </c>
      <c r="K854" s="33" t="n">
        <v>0.0742010021548926</v>
      </c>
      <c r="L854" s="31" t="n">
        <v>46.2</v>
      </c>
      <c r="M854" s="34" t="s">
        <v>822</v>
      </c>
      <c r="N854" s="2" t="s">
        <v>24</v>
      </c>
      <c r="O854" s="2" t="s">
        <v>24</v>
      </c>
      <c r="P854" s="2" t="s">
        <v>24</v>
      </c>
      <c r="Q854" s="2" t="s">
        <v>24</v>
      </c>
    </row>
    <row r="855" customFormat="false" ht="15" hidden="false" customHeight="false" outlineLevel="0" collapsed="false">
      <c r="A855" s="2" t="s">
        <v>476</v>
      </c>
      <c r="B855" s="2" t="s">
        <v>45</v>
      </c>
      <c r="C855" s="13" t="s">
        <v>864</v>
      </c>
      <c r="D855" s="29" t="n">
        <v>335870</v>
      </c>
      <c r="E855" s="2" t="s">
        <v>827</v>
      </c>
      <c r="F855" s="30" t="n">
        <v>2.08989787715485</v>
      </c>
      <c r="G855" s="31" t="n">
        <v>95.7</v>
      </c>
      <c r="H855" s="32" t="n">
        <v>0.17396015379238</v>
      </c>
      <c r="I855" s="31" t="n">
        <v>87.1</v>
      </c>
      <c r="J855" s="2" t="s">
        <v>2890</v>
      </c>
      <c r="K855" s="33" t="n">
        <v>0.163468965949185</v>
      </c>
      <c r="L855" s="31" t="n">
        <v>63.9</v>
      </c>
      <c r="M855" s="34" t="s">
        <v>822</v>
      </c>
      <c r="N855" s="2" t="s">
        <v>24</v>
      </c>
      <c r="O855" s="2" t="s">
        <v>24</v>
      </c>
      <c r="P855" s="2" t="s">
        <v>24</v>
      </c>
      <c r="Q855" s="2" t="s">
        <v>24</v>
      </c>
    </row>
    <row r="856" customFormat="false" ht="15" hidden="false" customHeight="false" outlineLevel="0" collapsed="false">
      <c r="A856" s="2" t="s">
        <v>476</v>
      </c>
      <c r="B856" s="2" t="s">
        <v>46</v>
      </c>
      <c r="C856" s="13" t="s">
        <v>2205</v>
      </c>
      <c r="D856" s="29" t="n">
        <v>20780</v>
      </c>
      <c r="E856" s="2" t="s">
        <v>821</v>
      </c>
      <c r="F856" s="43" t="n">
        <v>0.345233463035019</v>
      </c>
      <c r="G856" s="31" t="n">
        <v>0.4</v>
      </c>
      <c r="H856" s="32" t="n">
        <v>0.0948366701791359</v>
      </c>
      <c r="I856" s="31" t="n">
        <v>54.9</v>
      </c>
      <c r="J856" s="2" t="s">
        <v>2884</v>
      </c>
      <c r="K856" s="33" t="n">
        <v>0.171328671328671</v>
      </c>
      <c r="L856" s="31" t="n">
        <v>62</v>
      </c>
      <c r="M856" s="34" t="s">
        <v>822</v>
      </c>
      <c r="N856" s="2" t="s">
        <v>24</v>
      </c>
      <c r="O856" s="2" t="s">
        <v>22</v>
      </c>
      <c r="P856" s="2" t="s">
        <v>24</v>
      </c>
      <c r="Q856" s="2" t="s">
        <v>24</v>
      </c>
    </row>
    <row r="857" customFormat="false" ht="15" hidden="false" customHeight="false" outlineLevel="0" collapsed="false">
      <c r="A857" s="2" t="s">
        <v>476</v>
      </c>
      <c r="B857" s="2" t="s">
        <v>47</v>
      </c>
      <c r="C857" s="14" t="s">
        <v>2501</v>
      </c>
      <c r="D857" s="42" t="n">
        <v>728588</v>
      </c>
      <c r="E857" s="2" t="s">
        <v>827</v>
      </c>
      <c r="F857" s="43" t="n">
        <v>1.37326719627554</v>
      </c>
      <c r="G857" s="31" t="n">
        <v>55.2</v>
      </c>
      <c r="H857" s="41" t="n">
        <v>0.144038840805457</v>
      </c>
      <c r="I857" s="31" t="n">
        <v>80.1</v>
      </c>
      <c r="J857" s="2" t="s">
        <v>2897</v>
      </c>
      <c r="K857" s="44" t="n">
        <v>0.311467001025875</v>
      </c>
      <c r="L857" s="31" t="n">
        <v>96.4</v>
      </c>
      <c r="M857" s="34" t="s">
        <v>822</v>
      </c>
      <c r="N857" s="2" t="s">
        <v>22</v>
      </c>
      <c r="O857" s="2" t="s">
        <v>22</v>
      </c>
      <c r="P857" s="2" t="s">
        <v>22</v>
      </c>
      <c r="Q857" s="2" t="s">
        <v>22</v>
      </c>
    </row>
    <row r="858" customFormat="false" ht="15" hidden="false" customHeight="false" outlineLevel="0" collapsed="false">
      <c r="A858" s="2" t="s">
        <v>262</v>
      </c>
      <c r="B858" s="2" t="s">
        <v>47</v>
      </c>
      <c r="C858" s="13" t="s">
        <v>2428</v>
      </c>
      <c r="D858" s="29" t="n">
        <v>126080</v>
      </c>
      <c r="E858" s="2" t="s">
        <v>827</v>
      </c>
      <c r="F858" s="30" t="n">
        <v>1.65725729695432</v>
      </c>
      <c r="G858" s="31" t="n">
        <v>66.3</v>
      </c>
      <c r="H858" s="32" t="n">
        <v>0.02813340944304</v>
      </c>
      <c r="I858" s="31" t="n">
        <v>21.1</v>
      </c>
      <c r="J858" s="2" t="s">
        <v>2897</v>
      </c>
      <c r="K858" s="33" t="n">
        <v>0.21027820197862</v>
      </c>
      <c r="L858" s="31" t="n">
        <v>87.1</v>
      </c>
      <c r="M858" s="34" t="s">
        <v>822</v>
      </c>
      <c r="N858" s="2" t="s">
        <v>24</v>
      </c>
      <c r="O858" s="2" t="s">
        <v>24</v>
      </c>
      <c r="P858" s="2" t="s">
        <v>24</v>
      </c>
      <c r="Q858" s="2" t="s">
        <v>24</v>
      </c>
    </row>
    <row r="859" customFormat="false" ht="15" hidden="false" customHeight="false" outlineLevel="0" collapsed="false">
      <c r="A859" s="2" t="s">
        <v>2136</v>
      </c>
      <c r="B859" s="2" t="s">
        <v>45</v>
      </c>
      <c r="C859" s="14" t="s">
        <v>3103</v>
      </c>
      <c r="D859" s="35"/>
      <c r="E859" s="2"/>
      <c r="F859" s="36"/>
      <c r="G859" s="31"/>
      <c r="H859" s="37"/>
      <c r="I859" s="31"/>
      <c r="J859" s="2"/>
      <c r="K859" s="44" t="n">
        <v>0.218340611353712</v>
      </c>
      <c r="L859" s="31" t="n">
        <v>76.6</v>
      </c>
      <c r="M859" s="39" t="s">
        <v>832</v>
      </c>
      <c r="N859" s="2"/>
      <c r="O859" s="2"/>
      <c r="P859" s="2"/>
      <c r="Q859" s="2" t="s">
        <v>22</v>
      </c>
    </row>
    <row r="860" customFormat="false" ht="15" hidden="false" customHeight="false" outlineLevel="0" collapsed="false">
      <c r="A860" s="2" t="s">
        <v>2136</v>
      </c>
      <c r="B860" s="2" t="s">
        <v>46</v>
      </c>
      <c r="C860" s="14" t="s">
        <v>2137</v>
      </c>
      <c r="D860" s="42" t="n">
        <v>45437</v>
      </c>
      <c r="E860" s="2" t="s">
        <v>821</v>
      </c>
      <c r="F860" s="43" t="n">
        <v>1.31104606378062</v>
      </c>
      <c r="G860" s="31" t="n">
        <v>11.4</v>
      </c>
      <c r="H860" s="41" t="n">
        <v>0.0983610520208857</v>
      </c>
      <c r="I860" s="31" t="n">
        <v>56.4</v>
      </c>
      <c r="J860" s="2" t="s">
        <v>2884</v>
      </c>
      <c r="K860" s="44" t="n">
        <v>0.1008</v>
      </c>
      <c r="L860" s="31" t="n">
        <v>37.5</v>
      </c>
      <c r="M860" s="34" t="s">
        <v>822</v>
      </c>
      <c r="N860" s="2" t="s">
        <v>22</v>
      </c>
      <c r="O860" s="2" t="s">
        <v>22</v>
      </c>
      <c r="P860" s="2" t="s">
        <v>22</v>
      </c>
      <c r="Q860" s="2" t="s">
        <v>22</v>
      </c>
    </row>
    <row r="861" customFormat="false" ht="15" hidden="false" customHeight="false" outlineLevel="0" collapsed="false">
      <c r="A861" s="2" t="s">
        <v>1625</v>
      </c>
      <c r="B861" s="2" t="s">
        <v>45</v>
      </c>
      <c r="C861" s="16"/>
      <c r="D861" s="35"/>
      <c r="E861" s="2"/>
      <c r="F861" s="36"/>
      <c r="G861" s="31"/>
      <c r="H861" s="37"/>
      <c r="I861" s="31"/>
      <c r="J861" s="2"/>
      <c r="K861" s="38"/>
      <c r="L861" s="31"/>
      <c r="M861" s="39" t="s">
        <v>832</v>
      </c>
      <c r="N861" s="2"/>
      <c r="O861" s="2"/>
      <c r="P861" s="2"/>
      <c r="Q861" s="2"/>
    </row>
    <row r="862" customFormat="false" ht="15" hidden="false" customHeight="false" outlineLevel="0" collapsed="false">
      <c r="A862" s="2" t="s">
        <v>1625</v>
      </c>
      <c r="B862" s="2" t="s">
        <v>46</v>
      </c>
      <c r="C862" s="14" t="s">
        <v>1626</v>
      </c>
      <c r="D862" s="29" t="n">
        <v>276960</v>
      </c>
      <c r="E862" s="2" t="s">
        <v>827</v>
      </c>
      <c r="F862" s="30" t="n">
        <v>11.1753249566724</v>
      </c>
      <c r="G862" s="31" t="n">
        <v>96.3</v>
      </c>
      <c r="H862" s="41" t="n">
        <v>0.107373407109323</v>
      </c>
      <c r="I862" s="31" t="n">
        <v>65.6</v>
      </c>
      <c r="J862" s="2" t="s">
        <v>2888</v>
      </c>
      <c r="K862" s="33" t="n">
        <v>0.179305818406581</v>
      </c>
      <c r="L862" s="31" t="n">
        <v>64</v>
      </c>
      <c r="M862" s="34" t="s">
        <v>822</v>
      </c>
      <c r="N862" s="2" t="s">
        <v>24</v>
      </c>
      <c r="O862" s="2" t="s">
        <v>24</v>
      </c>
      <c r="P862" s="2" t="s">
        <v>22</v>
      </c>
      <c r="Q862" s="2" t="s">
        <v>24</v>
      </c>
    </row>
    <row r="863" customFormat="false" ht="15" hidden="false" customHeight="false" outlineLevel="0" collapsed="false">
      <c r="A863" s="2" t="s">
        <v>1625</v>
      </c>
      <c r="B863" s="2" t="s">
        <v>47</v>
      </c>
      <c r="C863" s="15" t="s">
        <v>2358</v>
      </c>
      <c r="D863" s="42" t="n">
        <v>57595</v>
      </c>
      <c r="E863" s="2" t="s">
        <v>821</v>
      </c>
      <c r="F863" s="43" t="n">
        <v>2.06236652487195</v>
      </c>
      <c r="G863" s="31" t="n">
        <v>77.6</v>
      </c>
      <c r="H863" s="41" t="n">
        <v>0.0339472928335488</v>
      </c>
      <c r="I863" s="31" t="n">
        <v>21.4</v>
      </c>
      <c r="J863" s="2" t="s">
        <v>2886</v>
      </c>
      <c r="K863" s="44" t="n">
        <v>0.0478159266582779</v>
      </c>
      <c r="L863" s="31" t="n">
        <v>31</v>
      </c>
      <c r="M863" s="34" t="s">
        <v>822</v>
      </c>
      <c r="N863" s="2" t="s">
        <v>22</v>
      </c>
      <c r="O863" s="2" t="s">
        <v>22</v>
      </c>
      <c r="P863" s="2" t="s">
        <v>22</v>
      </c>
      <c r="Q863" s="2" t="s">
        <v>22</v>
      </c>
    </row>
    <row r="864" customFormat="false" ht="15" hidden="false" customHeight="false" outlineLevel="0" collapsed="false">
      <c r="A864" s="2" t="s">
        <v>590</v>
      </c>
      <c r="B864" s="2" t="s">
        <v>45</v>
      </c>
      <c r="C864" s="14" t="s">
        <v>1096</v>
      </c>
      <c r="D864" s="42" t="n">
        <v>8104</v>
      </c>
      <c r="E864" s="2" t="s">
        <v>825</v>
      </c>
      <c r="F864" s="43" t="n">
        <v>0.798741362290227</v>
      </c>
      <c r="G864" s="31" t="n">
        <v>67.9</v>
      </c>
      <c r="H864" s="41" t="n">
        <v>-0.00258461538461538</v>
      </c>
      <c r="I864" s="31" t="n">
        <v>7</v>
      </c>
      <c r="J864" s="2" t="s">
        <v>2899</v>
      </c>
      <c r="K864" s="44" t="n">
        <v>0.279220779220779</v>
      </c>
      <c r="L864" s="31" t="n">
        <v>87.4</v>
      </c>
      <c r="M864" s="34" t="s">
        <v>822</v>
      </c>
      <c r="N864" s="2" t="s">
        <v>22</v>
      </c>
      <c r="O864" s="2" t="s">
        <v>22</v>
      </c>
      <c r="P864" s="2" t="s">
        <v>22</v>
      </c>
      <c r="Q864" s="2" t="s">
        <v>22</v>
      </c>
    </row>
    <row r="865" customFormat="false" ht="15" hidden="false" customHeight="false" outlineLevel="0" collapsed="false">
      <c r="A865" s="2" t="s">
        <v>590</v>
      </c>
      <c r="B865" s="2" t="s">
        <v>46</v>
      </c>
      <c r="C865" s="13" t="s">
        <v>2065</v>
      </c>
      <c r="D865" s="29" t="n">
        <v>432750</v>
      </c>
      <c r="E865" s="2" t="s">
        <v>827</v>
      </c>
      <c r="F865" s="30" t="n">
        <v>1.78330906990179</v>
      </c>
      <c r="G865" s="31" t="n">
        <v>23</v>
      </c>
      <c r="H865" s="32" t="n">
        <v>0.0420930960579864</v>
      </c>
      <c r="I865" s="31" t="n">
        <v>29.9</v>
      </c>
      <c r="J865" s="2" t="s">
        <v>2888</v>
      </c>
      <c r="K865" s="33" t="n">
        <v>0.212128245084712</v>
      </c>
      <c r="L865" s="31" t="n">
        <v>72</v>
      </c>
      <c r="M865" s="34" t="s">
        <v>822</v>
      </c>
      <c r="N865" s="2" t="s">
        <v>24</v>
      </c>
      <c r="O865" s="2" t="s">
        <v>24</v>
      </c>
      <c r="P865" s="2" t="s">
        <v>24</v>
      </c>
      <c r="Q865" s="2" t="s">
        <v>24</v>
      </c>
    </row>
    <row r="866" customFormat="false" ht="15" hidden="false" customHeight="false" outlineLevel="0" collapsed="false">
      <c r="A866" s="2" t="s">
        <v>590</v>
      </c>
      <c r="B866" s="2" t="s">
        <v>47</v>
      </c>
      <c r="C866" s="14" t="s">
        <v>2677</v>
      </c>
      <c r="D866" s="42" t="n">
        <v>82989</v>
      </c>
      <c r="E866" s="2" t="s">
        <v>821</v>
      </c>
      <c r="F866" s="43" t="n">
        <v>0.805456144790273</v>
      </c>
      <c r="G866" s="31" t="n">
        <v>28.9</v>
      </c>
      <c r="H866" s="41" t="n">
        <v>-0.00448640284058875</v>
      </c>
      <c r="I866" s="31" t="n">
        <v>8.4</v>
      </c>
      <c r="J866" s="2" t="s">
        <v>2886</v>
      </c>
      <c r="K866" s="44" t="n">
        <v>0.0856363016035483</v>
      </c>
      <c r="L866" s="31" t="n">
        <v>52</v>
      </c>
      <c r="M866" s="34" t="s">
        <v>822</v>
      </c>
      <c r="N866" s="2" t="s">
        <v>22</v>
      </c>
      <c r="O866" s="2" t="s">
        <v>22</v>
      </c>
      <c r="P866" s="2" t="s">
        <v>22</v>
      </c>
      <c r="Q866" s="2" t="s">
        <v>22</v>
      </c>
    </row>
    <row r="867" customFormat="false" ht="15" hidden="false" customHeight="false" outlineLevel="0" collapsed="false">
      <c r="A867" s="2" t="s">
        <v>1207</v>
      </c>
      <c r="B867" s="2" t="s">
        <v>45</v>
      </c>
      <c r="C867" s="13" t="s">
        <v>1208</v>
      </c>
      <c r="D867" s="29" t="n">
        <v>105190</v>
      </c>
      <c r="E867" s="2" t="s">
        <v>827</v>
      </c>
      <c r="F867" s="30" t="n">
        <v>0.595978705200114</v>
      </c>
      <c r="G867" s="31" t="n">
        <v>53.3</v>
      </c>
      <c r="H867" s="32" t="n">
        <v>0.046875</v>
      </c>
      <c r="I867" s="31" t="n">
        <v>27.1</v>
      </c>
      <c r="J867" s="2" t="s">
        <v>2890</v>
      </c>
      <c r="K867" s="33" t="n">
        <v>0.186038854132368</v>
      </c>
      <c r="L867" s="31" t="n">
        <v>69</v>
      </c>
      <c r="M867" s="34" t="s">
        <v>822</v>
      </c>
      <c r="N867" s="2" t="s">
        <v>24</v>
      </c>
      <c r="O867" s="2" t="s">
        <v>24</v>
      </c>
      <c r="P867" s="2" t="s">
        <v>24</v>
      </c>
      <c r="Q867" s="2" t="s">
        <v>24</v>
      </c>
    </row>
    <row r="868" customFormat="false" ht="15" hidden="false" customHeight="false" outlineLevel="0" collapsed="false">
      <c r="A868" s="2" t="s">
        <v>1207</v>
      </c>
      <c r="B868" s="2" t="s">
        <v>46</v>
      </c>
      <c r="C868" s="16"/>
      <c r="D868" s="35"/>
      <c r="E868" s="2"/>
      <c r="F868" s="36"/>
      <c r="G868" s="31"/>
      <c r="H868" s="37"/>
      <c r="I868" s="31"/>
      <c r="J868" s="2"/>
      <c r="K868" s="38"/>
      <c r="L868" s="31"/>
      <c r="M868" s="39" t="s">
        <v>832</v>
      </c>
      <c r="N868" s="2"/>
      <c r="O868" s="2"/>
      <c r="P868" s="2"/>
      <c r="Q868" s="2"/>
    </row>
    <row r="869" customFormat="false" ht="15" hidden="false" customHeight="false" outlineLevel="0" collapsed="false">
      <c r="A869" s="2" t="s">
        <v>1207</v>
      </c>
      <c r="B869" s="2" t="s">
        <v>47</v>
      </c>
      <c r="C869" s="14" t="s">
        <v>2468</v>
      </c>
      <c r="D869" s="42" t="n">
        <v>61442</v>
      </c>
      <c r="E869" s="2" t="s">
        <v>821</v>
      </c>
      <c r="F869" s="43" t="n">
        <v>1.51344357280037</v>
      </c>
      <c r="G869" s="31" t="n">
        <v>60.7</v>
      </c>
      <c r="H869" s="41" t="n">
        <v>0.10988276522336</v>
      </c>
      <c r="I869" s="31" t="n">
        <v>58.1</v>
      </c>
      <c r="J869" s="2" t="s">
        <v>2886</v>
      </c>
      <c r="K869" s="44" t="n">
        <v>0.0774950256571369</v>
      </c>
      <c r="L869" s="31" t="n">
        <v>48</v>
      </c>
      <c r="M869" s="34" t="s">
        <v>822</v>
      </c>
      <c r="N869" s="2" t="s">
        <v>22</v>
      </c>
      <c r="O869" s="2" t="s">
        <v>22</v>
      </c>
      <c r="P869" s="2" t="s">
        <v>22</v>
      </c>
      <c r="Q869" s="2" t="s">
        <v>22</v>
      </c>
    </row>
    <row r="870" customFormat="false" ht="15" hidden="false" customHeight="false" outlineLevel="0" collapsed="false">
      <c r="A870" s="2" t="s">
        <v>332</v>
      </c>
      <c r="B870" s="2" t="s">
        <v>46</v>
      </c>
      <c r="C870" s="13" t="s">
        <v>1829</v>
      </c>
      <c r="D870" s="29" t="n">
        <v>76610</v>
      </c>
      <c r="E870" s="2" t="s">
        <v>821</v>
      </c>
      <c r="F870" s="30" t="n">
        <v>3.79056258974024</v>
      </c>
      <c r="G870" s="31" t="n">
        <v>60.3</v>
      </c>
      <c r="H870" s="32" t="n">
        <v>0.0963079564968517</v>
      </c>
      <c r="I870" s="31" t="n">
        <v>55.3</v>
      </c>
      <c r="J870" s="2" t="s">
        <v>2884</v>
      </c>
      <c r="K870" s="33" t="n">
        <v>0.0869886164963674</v>
      </c>
      <c r="L870" s="31" t="n">
        <v>30.5</v>
      </c>
      <c r="M870" s="34" t="s">
        <v>822</v>
      </c>
      <c r="N870" s="2" t="s">
        <v>24</v>
      </c>
      <c r="O870" s="2" t="s">
        <v>24</v>
      </c>
      <c r="P870" s="2" t="s">
        <v>24</v>
      </c>
      <c r="Q870" s="2" t="s">
        <v>24</v>
      </c>
    </row>
    <row r="871" customFormat="false" ht="15" hidden="false" customHeight="false" outlineLevel="0" collapsed="false">
      <c r="A871" s="2" t="s">
        <v>1688</v>
      </c>
      <c r="B871" s="2" t="s">
        <v>45</v>
      </c>
      <c r="C871" s="13" t="s">
        <v>3104</v>
      </c>
      <c r="D871" s="29" t="n">
        <v>2471390</v>
      </c>
      <c r="E871" s="2" t="s">
        <v>935</v>
      </c>
      <c r="F871" s="36"/>
      <c r="G871" s="31"/>
      <c r="H871" s="32" t="n">
        <v>0.0821725860762875</v>
      </c>
      <c r="I871" s="31" t="n">
        <v>35.3</v>
      </c>
      <c r="J871" s="2" t="s">
        <v>2892</v>
      </c>
      <c r="K871" s="33" t="n">
        <v>0.128697413978532</v>
      </c>
      <c r="L871" s="31" t="n">
        <v>46.9</v>
      </c>
      <c r="M871" s="39" t="s">
        <v>832</v>
      </c>
      <c r="N871" s="2" t="s">
        <v>24</v>
      </c>
      <c r="O871" s="2"/>
      <c r="P871" s="2" t="s">
        <v>24</v>
      </c>
      <c r="Q871" s="2" t="s">
        <v>24</v>
      </c>
    </row>
    <row r="872" customFormat="false" ht="15" hidden="false" customHeight="false" outlineLevel="0" collapsed="false">
      <c r="A872" s="2" t="s">
        <v>1688</v>
      </c>
      <c r="B872" s="2" t="s">
        <v>46</v>
      </c>
      <c r="C872" s="13" t="s">
        <v>1689</v>
      </c>
      <c r="D872" s="29" t="n">
        <v>38800</v>
      </c>
      <c r="E872" s="2" t="s">
        <v>821</v>
      </c>
      <c r="F872" s="30" t="n">
        <v>7.02237113402062</v>
      </c>
      <c r="G872" s="31" t="n">
        <v>85.9</v>
      </c>
      <c r="H872" s="32" t="n">
        <v>-0.0388902650483032</v>
      </c>
      <c r="I872" s="31" t="n">
        <v>5.8</v>
      </c>
      <c r="J872" s="2" t="s">
        <v>2884</v>
      </c>
      <c r="K872" s="33" t="n">
        <v>0.0883712156936716</v>
      </c>
      <c r="L872" s="31" t="n">
        <v>31.6</v>
      </c>
      <c r="M872" s="34" t="s">
        <v>822</v>
      </c>
      <c r="N872" s="2" t="s">
        <v>24</v>
      </c>
      <c r="O872" s="2" t="s">
        <v>24</v>
      </c>
      <c r="P872" s="2" t="s">
        <v>24</v>
      </c>
      <c r="Q872" s="2" t="s">
        <v>24</v>
      </c>
    </row>
    <row r="873" customFormat="false" ht="15" hidden="false" customHeight="false" outlineLevel="0" collapsed="false">
      <c r="A873" s="2" t="s">
        <v>1688</v>
      </c>
      <c r="B873" s="2" t="s">
        <v>47</v>
      </c>
      <c r="C873" s="14" t="s">
        <v>2574</v>
      </c>
      <c r="D873" s="42" t="n">
        <v>281229</v>
      </c>
      <c r="E873" s="2" t="s">
        <v>827</v>
      </c>
      <c r="F873" s="43" t="n">
        <v>1.15266917707633</v>
      </c>
      <c r="G873" s="31" t="n">
        <v>45.3</v>
      </c>
      <c r="H873" s="41" t="n">
        <v>0.0869929886132606</v>
      </c>
      <c r="I873" s="31" t="n">
        <v>50.9</v>
      </c>
      <c r="J873" s="2" t="s">
        <v>2897</v>
      </c>
      <c r="K873" s="44" t="n">
        <v>0.142400116334024</v>
      </c>
      <c r="L873" s="31" t="n">
        <v>71.9</v>
      </c>
      <c r="M873" s="34" t="s">
        <v>822</v>
      </c>
      <c r="N873" s="2" t="s">
        <v>22</v>
      </c>
      <c r="O873" s="2" t="s">
        <v>22</v>
      </c>
      <c r="P873" s="2" t="s">
        <v>22</v>
      </c>
      <c r="Q873" s="2" t="s">
        <v>22</v>
      </c>
    </row>
    <row r="874" customFormat="false" ht="15" hidden="false" customHeight="false" outlineLevel="0" collapsed="false">
      <c r="A874" s="2" t="s">
        <v>1260</v>
      </c>
      <c r="B874" s="2" t="s">
        <v>45</v>
      </c>
      <c r="C874" s="13" t="s">
        <v>1261</v>
      </c>
      <c r="D874" s="29" t="n">
        <v>104370</v>
      </c>
      <c r="E874" s="2" t="s">
        <v>827</v>
      </c>
      <c r="F874" s="30" t="n">
        <v>0.530909265114497</v>
      </c>
      <c r="G874" s="31" t="n">
        <v>45.7</v>
      </c>
      <c r="H874" s="32" t="n">
        <v>-0.0454545454545455</v>
      </c>
      <c r="I874" s="31" t="n">
        <v>4.3</v>
      </c>
      <c r="J874" s="2" t="s">
        <v>2890</v>
      </c>
      <c r="K874" s="33" t="n">
        <v>0.121231979030144</v>
      </c>
      <c r="L874" s="31" t="n">
        <v>45.2</v>
      </c>
      <c r="M874" s="34" t="s">
        <v>822</v>
      </c>
      <c r="N874" s="2" t="s">
        <v>24</v>
      </c>
      <c r="O874" s="2" t="s">
        <v>24</v>
      </c>
      <c r="P874" s="2" t="s">
        <v>24</v>
      </c>
      <c r="Q874" s="2" t="s">
        <v>24</v>
      </c>
    </row>
    <row r="875" customFormat="false" ht="15" hidden="false" customHeight="false" outlineLevel="0" collapsed="false">
      <c r="A875" s="2" t="s">
        <v>1260</v>
      </c>
      <c r="B875" s="2" t="s">
        <v>46</v>
      </c>
      <c r="C875" s="13" t="s">
        <v>3105</v>
      </c>
      <c r="D875" s="29" t="n">
        <v>196900</v>
      </c>
      <c r="E875" s="2" t="s">
        <v>827</v>
      </c>
      <c r="F875" s="43" t="n">
        <v>3.73534589685112</v>
      </c>
      <c r="G875" s="31" t="n">
        <v>59.7</v>
      </c>
      <c r="H875" s="32" t="n">
        <v>0.04561627104243</v>
      </c>
      <c r="I875" s="31" t="n">
        <v>31.8</v>
      </c>
      <c r="J875" s="2" t="s">
        <v>2888</v>
      </c>
      <c r="K875" s="38"/>
      <c r="L875" s="31"/>
      <c r="M875" s="39" t="s">
        <v>832</v>
      </c>
      <c r="N875" s="2" t="s">
        <v>24</v>
      </c>
      <c r="O875" s="2" t="s">
        <v>22</v>
      </c>
      <c r="P875" s="2" t="s">
        <v>24</v>
      </c>
      <c r="Q875" s="2"/>
    </row>
    <row r="876" customFormat="false" ht="15" hidden="false" customHeight="false" outlineLevel="0" collapsed="false">
      <c r="A876" s="2" t="s">
        <v>1260</v>
      </c>
      <c r="B876" s="2" t="s">
        <v>47</v>
      </c>
      <c r="C876" s="14" t="s">
        <v>2392</v>
      </c>
      <c r="D876" s="42" t="n">
        <v>12520</v>
      </c>
      <c r="E876" s="2" t="s">
        <v>821</v>
      </c>
      <c r="F876" s="43" t="n">
        <v>1.85167731629393</v>
      </c>
      <c r="G876" s="31" t="n">
        <v>72.1</v>
      </c>
      <c r="H876" s="41" t="n">
        <v>0.16965620328849</v>
      </c>
      <c r="I876" s="31" t="n">
        <v>85.1</v>
      </c>
      <c r="J876" s="2" t="s">
        <v>2886</v>
      </c>
      <c r="K876" s="44" t="n">
        <v>0.148514851485149</v>
      </c>
      <c r="L876" s="31" t="n">
        <v>72.9</v>
      </c>
      <c r="M876" s="34" t="s">
        <v>822</v>
      </c>
      <c r="N876" s="2" t="s">
        <v>22</v>
      </c>
      <c r="O876" s="2" t="s">
        <v>22</v>
      </c>
      <c r="P876" s="2" t="s">
        <v>22</v>
      </c>
      <c r="Q876" s="2" t="s">
        <v>22</v>
      </c>
    </row>
    <row r="877" customFormat="false" ht="15" hidden="false" customHeight="false" outlineLevel="0" collapsed="false">
      <c r="A877" s="2" t="s">
        <v>718</v>
      </c>
      <c r="B877" s="2" t="s">
        <v>45</v>
      </c>
      <c r="C877" s="13" t="s">
        <v>1270</v>
      </c>
      <c r="D877" s="29" t="n">
        <v>605680</v>
      </c>
      <c r="E877" s="2" t="s">
        <v>827</v>
      </c>
      <c r="F877" s="30" t="n">
        <v>0.523570202086911</v>
      </c>
      <c r="G877" s="31" t="n">
        <v>44.6</v>
      </c>
      <c r="H877" s="32" t="n">
        <v>0.0992976024102946</v>
      </c>
      <c r="I877" s="31" t="n">
        <v>58.6</v>
      </c>
      <c r="J877" s="2" t="s">
        <v>2890</v>
      </c>
      <c r="K877" s="33" t="n">
        <v>0.0852281062050756</v>
      </c>
      <c r="L877" s="31" t="n">
        <v>28.9</v>
      </c>
      <c r="M877" s="34" t="s">
        <v>822</v>
      </c>
      <c r="N877" s="2" t="s">
        <v>24</v>
      </c>
      <c r="O877" s="2" t="s">
        <v>24</v>
      </c>
      <c r="P877" s="2" t="s">
        <v>24</v>
      </c>
      <c r="Q877" s="2" t="s">
        <v>24</v>
      </c>
    </row>
    <row r="878" customFormat="false" ht="15" hidden="false" customHeight="false" outlineLevel="0" collapsed="false">
      <c r="A878" s="2" t="s">
        <v>718</v>
      </c>
      <c r="B878" s="2" t="s">
        <v>46</v>
      </c>
      <c r="C878" s="13" t="s">
        <v>2113</v>
      </c>
      <c r="D878" s="29" t="n">
        <v>71360</v>
      </c>
      <c r="E878" s="2" t="s">
        <v>821</v>
      </c>
      <c r="F878" s="30" t="n">
        <v>1.46258408071749</v>
      </c>
      <c r="G878" s="31" t="n">
        <v>15.3</v>
      </c>
      <c r="H878" s="32" t="n">
        <v>-0.00751043115438109</v>
      </c>
      <c r="I878" s="31" t="n">
        <v>12</v>
      </c>
      <c r="J878" s="2" t="s">
        <v>2884</v>
      </c>
      <c r="K878" s="33" t="n">
        <v>0.0699447804364975</v>
      </c>
      <c r="L878" s="31" t="n">
        <v>20.5</v>
      </c>
      <c r="M878" s="34" t="s">
        <v>822</v>
      </c>
      <c r="N878" s="2" t="s">
        <v>24</v>
      </c>
      <c r="O878" s="2" t="s">
        <v>24</v>
      </c>
      <c r="P878" s="2" t="s">
        <v>24</v>
      </c>
      <c r="Q878" s="2" t="s">
        <v>24</v>
      </c>
    </row>
    <row r="879" customFormat="false" ht="15" hidden="false" customHeight="false" outlineLevel="0" collapsed="false">
      <c r="A879" s="2" t="s">
        <v>718</v>
      </c>
      <c r="B879" s="2" t="s">
        <v>47</v>
      </c>
      <c r="C879" s="13" t="s">
        <v>2743</v>
      </c>
      <c r="D879" s="29" t="n">
        <v>272790</v>
      </c>
      <c r="E879" s="2" t="s">
        <v>827</v>
      </c>
      <c r="F879" s="43" t="n">
        <v>0.637777032044325</v>
      </c>
      <c r="G879" s="31" t="n">
        <v>19.6</v>
      </c>
      <c r="H879" s="32" t="n">
        <v>0.0941799366250852</v>
      </c>
      <c r="I879" s="31" t="n">
        <v>54.7</v>
      </c>
      <c r="J879" s="2" t="s">
        <v>2897</v>
      </c>
      <c r="K879" s="33" t="n">
        <v>0.0875892214906214</v>
      </c>
      <c r="L879" s="31" t="n">
        <v>53.2</v>
      </c>
      <c r="M879" s="34" t="s">
        <v>822</v>
      </c>
      <c r="N879" s="2" t="s">
        <v>24</v>
      </c>
      <c r="O879" s="2" t="s">
        <v>22</v>
      </c>
      <c r="P879" s="2" t="s">
        <v>24</v>
      </c>
      <c r="Q879" s="2" t="s">
        <v>24</v>
      </c>
    </row>
    <row r="880" customFormat="false" ht="15" hidden="false" customHeight="false" outlineLevel="0" collapsed="false">
      <c r="A880" s="2" t="s">
        <v>1071</v>
      </c>
      <c r="B880" s="2" t="s">
        <v>45</v>
      </c>
      <c r="C880" s="13" t="s">
        <v>1072</v>
      </c>
      <c r="D880" s="29" t="n">
        <v>197840</v>
      </c>
      <c r="E880" s="2" t="s">
        <v>827</v>
      </c>
      <c r="F880" s="30" t="n">
        <v>0.831156490093004</v>
      </c>
      <c r="G880" s="31" t="n">
        <v>70.1</v>
      </c>
      <c r="H880" s="32" t="n">
        <v>0.19317290875098</v>
      </c>
      <c r="I880" s="31" t="n">
        <v>94.3</v>
      </c>
      <c r="J880" s="2" t="s">
        <v>2890</v>
      </c>
      <c r="K880" s="33" t="n">
        <v>0.301988365025614</v>
      </c>
      <c r="L880" s="31" t="n">
        <v>90.7</v>
      </c>
      <c r="M880" s="34" t="s">
        <v>822</v>
      </c>
      <c r="N880" s="2" t="s">
        <v>24</v>
      </c>
      <c r="O880" s="2" t="s">
        <v>24</v>
      </c>
      <c r="P880" s="2" t="s">
        <v>24</v>
      </c>
      <c r="Q880" s="2" t="s">
        <v>24</v>
      </c>
    </row>
    <row r="881" customFormat="false" ht="15" hidden="false" customHeight="false" outlineLevel="0" collapsed="false">
      <c r="A881" s="2" t="s">
        <v>1071</v>
      </c>
      <c r="B881" s="2" t="s">
        <v>46</v>
      </c>
      <c r="C881" s="13" t="s">
        <v>3106</v>
      </c>
      <c r="D881" s="29" t="n">
        <v>107090</v>
      </c>
      <c r="E881" s="2" t="s">
        <v>827</v>
      </c>
      <c r="F881" s="30" t="n">
        <v>2.44404706321785</v>
      </c>
      <c r="G881" s="31" t="n">
        <v>36.5</v>
      </c>
      <c r="H881" s="37"/>
      <c r="I881" s="31"/>
      <c r="J881" s="2"/>
      <c r="K881" s="33" t="n">
        <v>0.122898167390894</v>
      </c>
      <c r="L881" s="31" t="n">
        <v>46.4</v>
      </c>
      <c r="M881" s="39" t="s">
        <v>832</v>
      </c>
      <c r="N881" s="2" t="s">
        <v>24</v>
      </c>
      <c r="O881" s="2" t="s">
        <v>24</v>
      </c>
      <c r="P881" s="2"/>
      <c r="Q881" s="2" t="s">
        <v>24</v>
      </c>
    </row>
    <row r="882" customFormat="false" ht="15" hidden="false" customHeight="false" outlineLevel="0" collapsed="false">
      <c r="A882" s="2" t="s">
        <v>1071</v>
      </c>
      <c r="B882" s="2" t="s">
        <v>47</v>
      </c>
      <c r="C882" s="14" t="s">
        <v>2482</v>
      </c>
      <c r="D882" s="42" t="n">
        <v>58586</v>
      </c>
      <c r="E882" s="2" t="s">
        <v>821</v>
      </c>
      <c r="F882" s="43" t="n">
        <v>1.4352234322193</v>
      </c>
      <c r="G882" s="31" t="n">
        <v>57.8</v>
      </c>
      <c r="H882" s="41" t="n">
        <v>0.164245543610024</v>
      </c>
      <c r="I882" s="31" t="n">
        <v>83.8</v>
      </c>
      <c r="J882" s="2" t="s">
        <v>2886</v>
      </c>
      <c r="K882" s="44" t="n">
        <v>0.0271413979279148</v>
      </c>
      <c r="L882" s="31" t="n">
        <v>18.1</v>
      </c>
      <c r="M882" s="34" t="s">
        <v>822</v>
      </c>
      <c r="N882" s="2" t="s">
        <v>22</v>
      </c>
      <c r="O882" s="2" t="s">
        <v>22</v>
      </c>
      <c r="P882" s="2" t="s">
        <v>22</v>
      </c>
      <c r="Q882" s="2" t="s">
        <v>22</v>
      </c>
    </row>
    <row r="883" customFormat="false" ht="15" hidden="false" customHeight="false" outlineLevel="0" collapsed="false">
      <c r="A883" s="2" t="s">
        <v>1499</v>
      </c>
      <c r="B883" s="2" t="s">
        <v>45</v>
      </c>
      <c r="C883" s="13" t="s">
        <v>1500</v>
      </c>
      <c r="D883" s="29" t="n">
        <v>132460</v>
      </c>
      <c r="E883" s="2" t="s">
        <v>827</v>
      </c>
      <c r="F883" s="30" t="n">
        <v>0.255171372489808</v>
      </c>
      <c r="G883" s="31" t="n">
        <v>13.4</v>
      </c>
      <c r="H883" s="32" t="n">
        <v>0.139734985372569</v>
      </c>
      <c r="I883" s="31" t="n">
        <v>78.6</v>
      </c>
      <c r="J883" s="2" t="s">
        <v>2890</v>
      </c>
      <c r="K883" s="33" t="n">
        <v>0.0959232613908873</v>
      </c>
      <c r="L883" s="31" t="n">
        <v>34.7</v>
      </c>
      <c r="M883" s="34" t="s">
        <v>822</v>
      </c>
      <c r="N883" s="2" t="s">
        <v>24</v>
      </c>
      <c r="O883" s="2" t="s">
        <v>24</v>
      </c>
      <c r="P883" s="2" t="s">
        <v>24</v>
      </c>
      <c r="Q883" s="2" t="s">
        <v>24</v>
      </c>
    </row>
    <row r="884" customFormat="false" ht="15" hidden="false" customHeight="false" outlineLevel="0" collapsed="false">
      <c r="A884" s="2" t="s">
        <v>1499</v>
      </c>
      <c r="B884" s="2" t="s">
        <v>46</v>
      </c>
      <c r="C884" s="13" t="s">
        <v>3107</v>
      </c>
      <c r="D884" s="29" t="n">
        <v>11660</v>
      </c>
      <c r="E884" s="2" t="s">
        <v>821</v>
      </c>
      <c r="F884" s="30" t="n">
        <v>5.55994854202401</v>
      </c>
      <c r="G884" s="31" t="n">
        <v>77.2</v>
      </c>
      <c r="H884" s="37"/>
      <c r="I884" s="31"/>
      <c r="J884" s="2"/>
      <c r="K884" s="38"/>
      <c r="L884" s="31"/>
      <c r="M884" s="39" t="s">
        <v>832</v>
      </c>
      <c r="N884" s="2" t="s">
        <v>24</v>
      </c>
      <c r="O884" s="2" t="s">
        <v>24</v>
      </c>
      <c r="P884" s="2"/>
      <c r="Q884" s="2"/>
    </row>
    <row r="885" customFormat="false" ht="15" hidden="false" customHeight="false" outlineLevel="0" collapsed="false">
      <c r="A885" s="2" t="s">
        <v>1499</v>
      </c>
      <c r="B885" s="2" t="s">
        <v>47</v>
      </c>
      <c r="C885" s="14" t="s">
        <v>2441</v>
      </c>
      <c r="D885" s="42" t="n">
        <v>56529</v>
      </c>
      <c r="E885" s="2" t="s">
        <v>821</v>
      </c>
      <c r="F885" s="43" t="n">
        <v>1.62514815404483</v>
      </c>
      <c r="G885" s="31" t="n">
        <v>64.6</v>
      </c>
      <c r="H885" s="41" t="n">
        <v>0.1612605024754</v>
      </c>
      <c r="I885" s="31" t="n">
        <v>81.5</v>
      </c>
      <c r="J885" s="2" t="s">
        <v>2886</v>
      </c>
      <c r="K885" s="44" t="n">
        <v>0.140651085141903</v>
      </c>
      <c r="L885" s="31" t="n">
        <v>71.3</v>
      </c>
      <c r="M885" s="34" t="s">
        <v>822</v>
      </c>
      <c r="N885" s="2" t="s">
        <v>22</v>
      </c>
      <c r="O885" s="2" t="s">
        <v>22</v>
      </c>
      <c r="P885" s="2" t="s">
        <v>22</v>
      </c>
      <c r="Q885" s="2" t="s">
        <v>22</v>
      </c>
    </row>
    <row r="886" customFormat="false" ht="15" hidden="false" customHeight="false" outlineLevel="0" collapsed="false">
      <c r="A886" s="2" t="s">
        <v>1034</v>
      </c>
      <c r="B886" s="2" t="s">
        <v>45</v>
      </c>
      <c r="C886" s="13" t="s">
        <v>1035</v>
      </c>
      <c r="D886" s="29" t="n">
        <v>18440</v>
      </c>
      <c r="E886" s="2" t="s">
        <v>821</v>
      </c>
      <c r="F886" s="30" t="n">
        <v>0.897885032537961</v>
      </c>
      <c r="G886" s="31" t="n">
        <v>75</v>
      </c>
      <c r="H886" s="32" t="n">
        <v>0.109506618531889</v>
      </c>
      <c r="I886" s="31" t="n">
        <v>58.8</v>
      </c>
      <c r="J886" s="2" t="s">
        <v>2883</v>
      </c>
      <c r="K886" s="40" t="s">
        <v>857</v>
      </c>
      <c r="L886" s="31"/>
      <c r="M886" s="34" t="s">
        <v>822</v>
      </c>
      <c r="N886" s="2" t="s">
        <v>24</v>
      </c>
      <c r="O886" s="2" t="s">
        <v>24</v>
      </c>
      <c r="P886" s="2" t="s">
        <v>24</v>
      </c>
      <c r="Q886" s="2" t="s">
        <v>2885</v>
      </c>
    </row>
    <row r="887" customFormat="false" ht="15" hidden="false" customHeight="false" outlineLevel="0" collapsed="false">
      <c r="A887" s="2" t="s">
        <v>1034</v>
      </c>
      <c r="B887" s="2" t="s">
        <v>46</v>
      </c>
      <c r="C887" s="16"/>
      <c r="D887" s="35"/>
      <c r="E887" s="2"/>
      <c r="F887" s="36"/>
      <c r="G887" s="31"/>
      <c r="H887" s="37"/>
      <c r="I887" s="31"/>
      <c r="J887" s="2"/>
      <c r="K887" s="38"/>
      <c r="L887" s="31"/>
      <c r="M887" s="39" t="s">
        <v>832</v>
      </c>
      <c r="N887" s="2"/>
      <c r="O887" s="2"/>
      <c r="P887" s="2"/>
      <c r="Q887" s="2"/>
    </row>
    <row r="888" customFormat="false" ht="15" hidden="false" customHeight="false" outlineLevel="0" collapsed="false">
      <c r="A888" s="2" t="s">
        <v>1034</v>
      </c>
      <c r="B888" s="2" t="s">
        <v>47</v>
      </c>
      <c r="C888" s="15" t="s">
        <v>2409</v>
      </c>
      <c r="D888" s="46" t="n">
        <v>93218</v>
      </c>
      <c r="E888" s="2" t="s">
        <v>821</v>
      </c>
      <c r="F888" s="47" t="n">
        <v>1.7306421506576</v>
      </c>
      <c r="G888" s="31" t="n">
        <v>69.7</v>
      </c>
      <c r="H888" s="48" t="n">
        <v>0.204989658738366</v>
      </c>
      <c r="I888" s="31" t="n">
        <v>92.9</v>
      </c>
      <c r="J888" s="2" t="s">
        <v>2886</v>
      </c>
      <c r="K888" s="45" t="n">
        <v>0.0707786836819095</v>
      </c>
      <c r="L888" s="31" t="n">
        <v>44.8</v>
      </c>
      <c r="M888" s="34" t="s">
        <v>822</v>
      </c>
      <c r="N888" s="2" t="s">
        <v>19</v>
      </c>
      <c r="O888" s="2" t="s">
        <v>19</v>
      </c>
      <c r="P888" s="2" t="s">
        <v>19</v>
      </c>
      <c r="Q888" s="2" t="s">
        <v>19</v>
      </c>
    </row>
    <row r="889" customFormat="false" ht="15" hidden="false" customHeight="false" outlineLevel="0" collapsed="false">
      <c r="A889" s="2" t="s">
        <v>2288</v>
      </c>
      <c r="B889" s="2" t="s">
        <v>45</v>
      </c>
      <c r="C889" s="13" t="s">
        <v>3108</v>
      </c>
      <c r="D889" s="29" t="n">
        <v>4890</v>
      </c>
      <c r="E889" s="2" t="s">
        <v>825</v>
      </c>
      <c r="F889" s="30" t="n">
        <v>0.540081799591002</v>
      </c>
      <c r="G889" s="31" t="n">
        <v>47.3</v>
      </c>
      <c r="H889" s="37"/>
      <c r="I889" s="31"/>
      <c r="J889" s="2"/>
      <c r="K889" s="33" t="n">
        <v>0.146666666666667</v>
      </c>
      <c r="L889" s="31" t="n">
        <v>56.2</v>
      </c>
      <c r="M889" s="39" t="s">
        <v>832</v>
      </c>
      <c r="N889" s="2" t="s">
        <v>24</v>
      </c>
      <c r="O889" s="2" t="s">
        <v>24</v>
      </c>
      <c r="P889" s="2"/>
      <c r="Q889" s="2" t="s">
        <v>24</v>
      </c>
    </row>
    <row r="890" customFormat="false" ht="15" hidden="false" customHeight="false" outlineLevel="0" collapsed="false">
      <c r="A890" s="2" t="s">
        <v>2288</v>
      </c>
      <c r="B890" s="2" t="s">
        <v>46</v>
      </c>
      <c r="C890" s="13" t="s">
        <v>3109</v>
      </c>
      <c r="D890" s="29" t="n">
        <v>52700</v>
      </c>
      <c r="E890" s="2" t="s">
        <v>821</v>
      </c>
      <c r="F890" s="30" t="n">
        <v>3.02447817836812</v>
      </c>
      <c r="G890" s="31" t="n">
        <v>46.6</v>
      </c>
      <c r="H890" s="32" t="n">
        <v>0.177653631284916</v>
      </c>
      <c r="I890" s="31" t="n">
        <v>88</v>
      </c>
      <c r="J890" s="2" t="s">
        <v>2884</v>
      </c>
      <c r="K890" s="38"/>
      <c r="L890" s="31"/>
      <c r="M890" s="39" t="s">
        <v>832</v>
      </c>
      <c r="N890" s="2" t="s">
        <v>24</v>
      </c>
      <c r="O890" s="2" t="s">
        <v>24</v>
      </c>
      <c r="P890" s="2" t="s">
        <v>24</v>
      </c>
      <c r="Q890" s="2"/>
    </row>
    <row r="891" customFormat="false" ht="15" hidden="false" customHeight="false" outlineLevel="0" collapsed="false">
      <c r="A891" s="2" t="s">
        <v>2288</v>
      </c>
      <c r="B891" s="2" t="s">
        <v>47</v>
      </c>
      <c r="C891" s="13" t="s">
        <v>2289</v>
      </c>
      <c r="D891" s="29" t="n">
        <v>453180</v>
      </c>
      <c r="E891" s="2" t="s">
        <v>827</v>
      </c>
      <c r="F891" s="30" t="n">
        <v>2.97962840372479</v>
      </c>
      <c r="G891" s="31" t="n">
        <v>89.2</v>
      </c>
      <c r="H891" s="32" t="n">
        <v>0.246884028064383</v>
      </c>
      <c r="I891" s="31" t="n">
        <v>98.1</v>
      </c>
      <c r="J891" s="2" t="s">
        <v>2897</v>
      </c>
      <c r="K891" s="33" t="n">
        <v>0.0190363349131122</v>
      </c>
      <c r="L891" s="31" t="n">
        <v>12.5</v>
      </c>
      <c r="M891" s="34" t="s">
        <v>822</v>
      </c>
      <c r="N891" s="2" t="s">
        <v>24</v>
      </c>
      <c r="O891" s="2" t="s">
        <v>24</v>
      </c>
      <c r="P891" s="2" t="s">
        <v>24</v>
      </c>
      <c r="Q891" s="2" t="s">
        <v>24</v>
      </c>
    </row>
    <row r="892" customFormat="false" ht="15" hidden="false" customHeight="false" outlineLevel="0" collapsed="false">
      <c r="A892" s="2" t="s">
        <v>498</v>
      </c>
      <c r="B892" s="2" t="s">
        <v>45</v>
      </c>
      <c r="C892" s="13" t="s">
        <v>1329</v>
      </c>
      <c r="D892" s="29" t="n">
        <v>8910</v>
      </c>
      <c r="E892" s="2" t="s">
        <v>825</v>
      </c>
      <c r="F892" s="30" t="n">
        <v>0.464085297418631</v>
      </c>
      <c r="G892" s="31" t="n">
        <v>37.6</v>
      </c>
      <c r="H892" s="32" t="n">
        <v>0.18958611481976</v>
      </c>
      <c r="I892" s="31" t="n">
        <v>91.5</v>
      </c>
      <c r="J892" s="2" t="s">
        <v>2899</v>
      </c>
      <c r="K892" s="40" t="s">
        <v>857</v>
      </c>
      <c r="L892" s="31"/>
      <c r="M892" s="34" t="s">
        <v>822</v>
      </c>
      <c r="N892" s="2" t="s">
        <v>24</v>
      </c>
      <c r="O892" s="2" t="s">
        <v>24</v>
      </c>
      <c r="P892" s="2" t="s">
        <v>24</v>
      </c>
      <c r="Q892" s="2" t="s">
        <v>2885</v>
      </c>
    </row>
    <row r="893" customFormat="false" ht="15" hidden="false" customHeight="false" outlineLevel="0" collapsed="false">
      <c r="A893" s="2" t="s">
        <v>498</v>
      </c>
      <c r="B893" s="2" t="s">
        <v>46</v>
      </c>
      <c r="C893" s="13" t="s">
        <v>1664</v>
      </c>
      <c r="D893" s="29" t="n">
        <v>4580</v>
      </c>
      <c r="E893" s="2" t="s">
        <v>825</v>
      </c>
      <c r="F893" s="30" t="n">
        <v>7.98951965065502</v>
      </c>
      <c r="G893" s="31" t="n">
        <v>89.8</v>
      </c>
      <c r="H893" s="32" t="n">
        <v>0.205263157894737</v>
      </c>
      <c r="I893" s="31" t="n">
        <v>94.3</v>
      </c>
      <c r="J893" s="2" t="s">
        <v>2905</v>
      </c>
      <c r="K893" s="33" t="n">
        <v>0.137790697674419</v>
      </c>
      <c r="L893" s="31" t="n">
        <v>51.7</v>
      </c>
      <c r="M893" s="34" t="s">
        <v>822</v>
      </c>
      <c r="N893" s="2" t="s">
        <v>24</v>
      </c>
      <c r="O893" s="2" t="s">
        <v>24</v>
      </c>
      <c r="P893" s="2" t="s">
        <v>24</v>
      </c>
      <c r="Q893" s="2" t="s">
        <v>24</v>
      </c>
    </row>
    <row r="894" customFormat="false" ht="15" hidden="false" customHeight="false" outlineLevel="0" collapsed="false">
      <c r="A894" s="2" t="s">
        <v>498</v>
      </c>
      <c r="B894" s="2" t="s">
        <v>47</v>
      </c>
      <c r="C894" s="14" t="s">
        <v>2748</v>
      </c>
      <c r="D894" s="42" t="n">
        <v>5617</v>
      </c>
      <c r="E894" s="2" t="s">
        <v>825</v>
      </c>
      <c r="F894" s="43" t="n">
        <v>0.607263663877515</v>
      </c>
      <c r="G894" s="31" t="n">
        <v>18.7</v>
      </c>
      <c r="H894" s="41" t="n">
        <v>0.0276253201609952</v>
      </c>
      <c r="I894" s="31" t="n">
        <v>21.2</v>
      </c>
      <c r="J894" s="2" t="s">
        <v>2889</v>
      </c>
      <c r="K894" s="44" t="n">
        <v>0.0461538461538462</v>
      </c>
      <c r="L894" s="31" t="n">
        <v>29.6</v>
      </c>
      <c r="M894" s="34" t="s">
        <v>822</v>
      </c>
      <c r="N894" s="2" t="s">
        <v>22</v>
      </c>
      <c r="O894" s="2" t="s">
        <v>22</v>
      </c>
      <c r="P894" s="2" t="s">
        <v>22</v>
      </c>
      <c r="Q894" s="2" t="s">
        <v>22</v>
      </c>
    </row>
    <row r="895" customFormat="false" ht="15" hidden="false" customHeight="false" outlineLevel="0" collapsed="false">
      <c r="A895" s="2" t="s">
        <v>3110</v>
      </c>
      <c r="B895" s="2" t="s">
        <v>45</v>
      </c>
      <c r="C895" s="13" t="s">
        <v>3111</v>
      </c>
      <c r="D895" s="29" t="n">
        <v>19730</v>
      </c>
      <c r="E895" s="2" t="s">
        <v>821</v>
      </c>
      <c r="F895" s="36"/>
      <c r="G895" s="31"/>
      <c r="H895" s="37"/>
      <c r="I895" s="31"/>
      <c r="J895" s="2"/>
      <c r="K895" s="40" t="s">
        <v>857</v>
      </c>
      <c r="L895" s="31"/>
      <c r="M895" s="39" t="s">
        <v>832</v>
      </c>
      <c r="N895" s="2" t="s">
        <v>24</v>
      </c>
      <c r="O895" s="2"/>
      <c r="P895" s="2"/>
      <c r="Q895" s="2" t="s">
        <v>2885</v>
      </c>
    </row>
    <row r="896" customFormat="false" ht="15" hidden="false" customHeight="false" outlineLevel="0" collapsed="false">
      <c r="A896" s="2" t="s">
        <v>1021</v>
      </c>
      <c r="B896" s="2" t="s">
        <v>45</v>
      </c>
      <c r="C896" s="13" t="s">
        <v>1022</v>
      </c>
      <c r="D896" s="29" t="n">
        <v>28640</v>
      </c>
      <c r="E896" s="2" t="s">
        <v>821</v>
      </c>
      <c r="F896" s="30" t="n">
        <v>0.931319832402235</v>
      </c>
      <c r="G896" s="31" t="n">
        <v>76.4</v>
      </c>
      <c r="H896" s="32" t="n">
        <v>0.120062573328119</v>
      </c>
      <c r="I896" s="31" t="n">
        <v>64.3</v>
      </c>
      <c r="J896" s="2" t="s">
        <v>2883</v>
      </c>
      <c r="K896" s="33" t="n">
        <v>0.357423795476893</v>
      </c>
      <c r="L896" s="31" t="n">
        <v>95.3</v>
      </c>
      <c r="M896" s="34" t="s">
        <v>822</v>
      </c>
      <c r="N896" s="2" t="s">
        <v>24</v>
      </c>
      <c r="O896" s="2" t="s">
        <v>24</v>
      </c>
      <c r="P896" s="2" t="s">
        <v>24</v>
      </c>
      <c r="Q896" s="2" t="s">
        <v>24</v>
      </c>
    </row>
    <row r="897" customFormat="false" ht="15" hidden="false" customHeight="false" outlineLevel="0" collapsed="false">
      <c r="A897" s="2" t="s">
        <v>1021</v>
      </c>
      <c r="B897" s="2" t="s">
        <v>46</v>
      </c>
      <c r="C897" s="13" t="s">
        <v>3112</v>
      </c>
      <c r="D897" s="29" t="n">
        <v>88480</v>
      </c>
      <c r="E897" s="2" t="s">
        <v>821</v>
      </c>
      <c r="F897" s="30" t="n">
        <v>1.65483725135624</v>
      </c>
      <c r="G897" s="31" t="n">
        <v>20</v>
      </c>
      <c r="H897" s="32" t="n">
        <v>0.0193548387096774</v>
      </c>
      <c r="I897" s="31" t="n">
        <v>18.2</v>
      </c>
      <c r="J897" s="2" t="s">
        <v>2884</v>
      </c>
      <c r="K897" s="38"/>
      <c r="L897" s="31"/>
      <c r="M897" s="39" t="s">
        <v>832</v>
      </c>
      <c r="N897" s="2" t="s">
        <v>24</v>
      </c>
      <c r="O897" s="2" t="s">
        <v>24</v>
      </c>
      <c r="P897" s="2" t="s">
        <v>24</v>
      </c>
      <c r="Q897" s="2"/>
    </row>
    <row r="898" customFormat="false" ht="15" hidden="false" customHeight="false" outlineLevel="0" collapsed="false">
      <c r="A898" s="2" t="s">
        <v>1021</v>
      </c>
      <c r="B898" s="2" t="s">
        <v>47</v>
      </c>
      <c r="C898" s="14" t="s">
        <v>2727</v>
      </c>
      <c r="D898" s="42" t="n">
        <v>13706</v>
      </c>
      <c r="E898" s="2" t="s">
        <v>821</v>
      </c>
      <c r="F898" s="43" t="n">
        <v>0.686122865898147</v>
      </c>
      <c r="G898" s="31" t="n">
        <v>21.5</v>
      </c>
      <c r="H898" s="41" t="n">
        <v>0.0866566241179735</v>
      </c>
      <c r="I898" s="31" t="n">
        <v>45.5</v>
      </c>
      <c r="J898" s="2" t="s">
        <v>2886</v>
      </c>
      <c r="K898" s="44" t="n">
        <v>0.107081174438687</v>
      </c>
      <c r="L898" s="31" t="n">
        <v>61.3</v>
      </c>
      <c r="M898" s="34" t="s">
        <v>822</v>
      </c>
      <c r="N898" s="2" t="s">
        <v>22</v>
      </c>
      <c r="O898" s="2" t="s">
        <v>22</v>
      </c>
      <c r="P898" s="2" t="s">
        <v>22</v>
      </c>
      <c r="Q898" s="2" t="s">
        <v>22</v>
      </c>
    </row>
    <row r="899" customFormat="false" ht="15" hidden="false" customHeight="false" outlineLevel="0" collapsed="false">
      <c r="A899" s="2" t="s">
        <v>875</v>
      </c>
      <c r="B899" s="2" t="s">
        <v>45</v>
      </c>
      <c r="C899" s="13" t="s">
        <v>876</v>
      </c>
      <c r="D899" s="29" t="n">
        <v>21860</v>
      </c>
      <c r="E899" s="2" t="s">
        <v>821</v>
      </c>
      <c r="F899" s="30" t="n">
        <v>1.91001829826167</v>
      </c>
      <c r="G899" s="31" t="n">
        <v>94.5</v>
      </c>
      <c r="H899" s="32" t="n">
        <v>0.120451050743209</v>
      </c>
      <c r="I899" s="31" t="n">
        <v>64.9</v>
      </c>
      <c r="J899" s="2" t="s">
        <v>2883</v>
      </c>
      <c r="K899" s="33" t="n">
        <v>0.0319199618866127</v>
      </c>
      <c r="L899" s="31" t="n">
        <v>9.8</v>
      </c>
      <c r="M899" s="34" t="s">
        <v>822</v>
      </c>
      <c r="N899" s="2" t="s">
        <v>24</v>
      </c>
      <c r="O899" s="2" t="s">
        <v>24</v>
      </c>
      <c r="P899" s="2" t="s">
        <v>24</v>
      </c>
      <c r="Q899" s="2" t="s">
        <v>24</v>
      </c>
    </row>
    <row r="900" customFormat="false" ht="15" hidden="false" customHeight="false" outlineLevel="0" collapsed="false">
      <c r="A900" s="2" t="s">
        <v>875</v>
      </c>
      <c r="B900" s="2" t="s">
        <v>46</v>
      </c>
      <c r="C900" s="15" t="s">
        <v>3113</v>
      </c>
      <c r="D900" s="46" t="n">
        <v>12145</v>
      </c>
      <c r="E900" s="2" t="s">
        <v>821</v>
      </c>
      <c r="F900" s="47" t="n">
        <v>4.20008233841087</v>
      </c>
      <c r="G900" s="31" t="n">
        <v>66.4</v>
      </c>
      <c r="H900" s="48" t="n">
        <v>0.186266848993944</v>
      </c>
      <c r="I900" s="31" t="n">
        <v>90.5</v>
      </c>
      <c r="J900" s="2" t="s">
        <v>2884</v>
      </c>
      <c r="K900" s="38"/>
      <c r="L900" s="31"/>
      <c r="M900" s="39" t="s">
        <v>832</v>
      </c>
      <c r="N900" s="2" t="s">
        <v>19</v>
      </c>
      <c r="O900" s="2" t="s">
        <v>19</v>
      </c>
      <c r="P900" s="2" t="s">
        <v>19</v>
      </c>
      <c r="Q900" s="2"/>
    </row>
    <row r="901" customFormat="false" ht="15" hidden="false" customHeight="false" outlineLevel="0" collapsed="false">
      <c r="A901" s="2" t="s">
        <v>875</v>
      </c>
      <c r="B901" s="2" t="s">
        <v>47</v>
      </c>
      <c r="C901" s="13" t="s">
        <v>2340</v>
      </c>
      <c r="D901" s="29" t="n">
        <v>2400</v>
      </c>
      <c r="E901" s="2" t="s">
        <v>825</v>
      </c>
      <c r="F901" s="30" t="n">
        <v>2.32625</v>
      </c>
      <c r="G901" s="31" t="n">
        <v>81.3</v>
      </c>
      <c r="H901" s="48" t="n">
        <v>0.16139846743295</v>
      </c>
      <c r="I901" s="31" t="n">
        <v>72.5</v>
      </c>
      <c r="J901" s="2" t="s">
        <v>2889</v>
      </c>
      <c r="K901" s="33" t="n">
        <v>0.124352331606218</v>
      </c>
      <c r="L901" s="31" t="n">
        <v>66.5</v>
      </c>
      <c r="M901" s="34" t="s">
        <v>822</v>
      </c>
      <c r="N901" s="2" t="s">
        <v>24</v>
      </c>
      <c r="O901" s="2" t="s">
        <v>24</v>
      </c>
      <c r="P901" s="2" t="s">
        <v>19</v>
      </c>
      <c r="Q901" s="2" t="s">
        <v>24</v>
      </c>
    </row>
    <row r="902" customFormat="false" ht="15" hidden="false" customHeight="false" outlineLevel="0" collapsed="false">
      <c r="A902" s="2" t="s">
        <v>2824</v>
      </c>
      <c r="B902" s="2" t="s">
        <v>45</v>
      </c>
      <c r="C902" s="13" t="s">
        <v>3114</v>
      </c>
      <c r="D902" s="29" t="n">
        <v>37780</v>
      </c>
      <c r="E902" s="2" t="s">
        <v>821</v>
      </c>
      <c r="F902" s="30" t="n">
        <v>1.39039174166226</v>
      </c>
      <c r="G902" s="31" t="n">
        <v>87.7</v>
      </c>
      <c r="H902" s="32" t="n">
        <v>0.0919075144508671</v>
      </c>
      <c r="I902" s="31" t="n">
        <v>48.1</v>
      </c>
      <c r="J902" s="2" t="s">
        <v>2883</v>
      </c>
      <c r="K902" s="38"/>
      <c r="L902" s="31"/>
      <c r="M902" s="39" t="s">
        <v>832</v>
      </c>
      <c r="N902" s="2" t="s">
        <v>24</v>
      </c>
      <c r="O902" s="2" t="s">
        <v>24</v>
      </c>
      <c r="P902" s="2" t="s">
        <v>24</v>
      </c>
      <c r="Q902" s="2"/>
    </row>
    <row r="903" customFormat="false" ht="15" hidden="false" customHeight="false" outlineLevel="0" collapsed="false">
      <c r="A903" s="2" t="s">
        <v>2824</v>
      </c>
      <c r="B903" s="2" t="s">
        <v>46</v>
      </c>
      <c r="C903" s="13" t="s">
        <v>3115</v>
      </c>
      <c r="D903" s="29" t="n">
        <v>52950</v>
      </c>
      <c r="E903" s="2" t="s">
        <v>821</v>
      </c>
      <c r="F903" s="36"/>
      <c r="G903" s="31"/>
      <c r="H903" s="32" t="n">
        <v>0.176143936028432</v>
      </c>
      <c r="I903" s="31" t="n">
        <v>86.9</v>
      </c>
      <c r="J903" s="2" t="s">
        <v>2884</v>
      </c>
      <c r="K903" s="33" t="n">
        <v>0.238628229322574</v>
      </c>
      <c r="L903" s="31" t="n">
        <v>78.8</v>
      </c>
      <c r="M903" s="39" t="s">
        <v>832</v>
      </c>
      <c r="N903" s="2" t="s">
        <v>24</v>
      </c>
      <c r="O903" s="2"/>
      <c r="P903" s="2" t="s">
        <v>24</v>
      </c>
      <c r="Q903" s="2" t="s">
        <v>24</v>
      </c>
    </row>
    <row r="904" customFormat="false" ht="15" hidden="false" customHeight="false" outlineLevel="0" collapsed="false">
      <c r="A904" s="2" t="s">
        <v>2824</v>
      </c>
      <c r="B904" s="2" t="s">
        <v>47</v>
      </c>
      <c r="C904" s="14" t="s">
        <v>2825</v>
      </c>
      <c r="D904" s="42" t="n">
        <v>170304</v>
      </c>
      <c r="E904" s="2" t="s">
        <v>827</v>
      </c>
      <c r="F904" s="43" t="n">
        <v>0.37986776587749</v>
      </c>
      <c r="G904" s="31" t="n">
        <v>7.1</v>
      </c>
      <c r="H904" s="41" t="n">
        <v>0.179553954841391</v>
      </c>
      <c r="I904" s="31" t="n">
        <v>92.5</v>
      </c>
      <c r="J904" s="2" t="s">
        <v>2897</v>
      </c>
      <c r="K904" s="44" t="n">
        <v>0.0632746249184605</v>
      </c>
      <c r="L904" s="31" t="n">
        <v>40.3</v>
      </c>
      <c r="M904" s="34" t="s">
        <v>822</v>
      </c>
      <c r="N904" s="2" t="s">
        <v>22</v>
      </c>
      <c r="O904" s="2" t="s">
        <v>22</v>
      </c>
      <c r="P904" s="2" t="s">
        <v>22</v>
      </c>
      <c r="Q904" s="2" t="s">
        <v>22</v>
      </c>
    </row>
    <row r="905" customFormat="false" ht="15" hidden="false" customHeight="false" outlineLevel="0" collapsed="false">
      <c r="A905" s="2" t="s">
        <v>788</v>
      </c>
      <c r="B905" s="2" t="s">
        <v>45</v>
      </c>
      <c r="C905" s="13" t="s">
        <v>1392</v>
      </c>
      <c r="D905" s="29" t="n">
        <v>40060</v>
      </c>
      <c r="E905" s="2" t="s">
        <v>821</v>
      </c>
      <c r="F905" s="30" t="n">
        <v>0.394033949076385</v>
      </c>
      <c r="G905" s="31" t="n">
        <v>28.9</v>
      </c>
      <c r="H905" s="32" t="n">
        <v>0.118057493720346</v>
      </c>
      <c r="I905" s="31" t="n">
        <v>62.2</v>
      </c>
      <c r="J905" s="2" t="s">
        <v>2883</v>
      </c>
      <c r="K905" s="44" t="n">
        <v>0.30151024811219</v>
      </c>
      <c r="L905" s="31" t="n">
        <v>90.4</v>
      </c>
      <c r="M905" s="34" t="s">
        <v>822</v>
      </c>
      <c r="N905" s="2" t="s">
        <v>24</v>
      </c>
      <c r="O905" s="2" t="s">
        <v>24</v>
      </c>
      <c r="P905" s="2" t="s">
        <v>24</v>
      </c>
      <c r="Q905" s="2" t="s">
        <v>22</v>
      </c>
    </row>
    <row r="906" customFormat="false" ht="15" hidden="false" customHeight="false" outlineLevel="0" collapsed="false">
      <c r="A906" s="2" t="s">
        <v>788</v>
      </c>
      <c r="B906" s="2" t="s">
        <v>46</v>
      </c>
      <c r="C906" s="13" t="s">
        <v>2146</v>
      </c>
      <c r="D906" s="29" t="n">
        <v>159950</v>
      </c>
      <c r="E906" s="2" t="s">
        <v>827</v>
      </c>
      <c r="F906" s="30" t="n">
        <v>1.17287902469522</v>
      </c>
      <c r="G906" s="31" t="n">
        <v>9.6</v>
      </c>
      <c r="H906" s="32" t="n">
        <v>0.037895010057751</v>
      </c>
      <c r="I906" s="31" t="n">
        <v>28.7</v>
      </c>
      <c r="J906" s="2" t="s">
        <v>2888</v>
      </c>
      <c r="K906" s="33" t="n">
        <v>0.0251659884343543</v>
      </c>
      <c r="L906" s="31" t="n">
        <v>5.3</v>
      </c>
      <c r="M906" s="34" t="s">
        <v>822</v>
      </c>
      <c r="N906" s="2" t="s">
        <v>24</v>
      </c>
      <c r="O906" s="2" t="s">
        <v>24</v>
      </c>
      <c r="P906" s="2" t="s">
        <v>24</v>
      </c>
      <c r="Q906" s="2" t="s">
        <v>24</v>
      </c>
    </row>
    <row r="907" customFormat="false" ht="15" hidden="false" customHeight="false" outlineLevel="0" collapsed="false">
      <c r="A907" s="2" t="s">
        <v>788</v>
      </c>
      <c r="B907" s="2" t="s">
        <v>47</v>
      </c>
      <c r="C907" s="14" t="s">
        <v>2851</v>
      </c>
      <c r="D907" s="42" t="n">
        <v>206926</v>
      </c>
      <c r="E907" s="2" t="s">
        <v>827</v>
      </c>
      <c r="F907" s="43" t="n">
        <v>0.300924001817075</v>
      </c>
      <c r="G907" s="31" t="n">
        <v>3.5</v>
      </c>
      <c r="H907" s="41" t="n">
        <v>0.0237627583204287</v>
      </c>
      <c r="I907" s="31" t="n">
        <v>20.5</v>
      </c>
      <c r="J907" s="2" t="s">
        <v>2897</v>
      </c>
      <c r="K907" s="44" t="n">
        <v>0.0176600441501104</v>
      </c>
      <c r="L907" s="31" t="n">
        <v>11.6</v>
      </c>
      <c r="M907" s="34" t="s">
        <v>822</v>
      </c>
      <c r="N907" s="2" t="s">
        <v>22</v>
      </c>
      <c r="O907" s="2" t="s">
        <v>22</v>
      </c>
      <c r="P907" s="2" t="s">
        <v>22</v>
      </c>
      <c r="Q907" s="2" t="s">
        <v>22</v>
      </c>
    </row>
    <row r="908" customFormat="false" ht="15" hidden="false" customHeight="false" outlineLevel="0" collapsed="false">
      <c r="A908" s="2" t="s">
        <v>610</v>
      </c>
      <c r="B908" s="2" t="s">
        <v>45</v>
      </c>
      <c r="C908" s="13" t="s">
        <v>1095</v>
      </c>
      <c r="D908" s="29" t="n">
        <v>8820</v>
      </c>
      <c r="E908" s="2" t="s">
        <v>825</v>
      </c>
      <c r="F908" s="30" t="n">
        <v>0.799319727891157</v>
      </c>
      <c r="G908" s="31" t="n">
        <v>68.1</v>
      </c>
      <c r="H908" s="32" t="n">
        <v>0.151436031331593</v>
      </c>
      <c r="I908" s="31" t="n">
        <v>84.5</v>
      </c>
      <c r="J908" s="2" t="s">
        <v>2899</v>
      </c>
      <c r="K908" s="33" t="n">
        <v>0.0622222222222222</v>
      </c>
      <c r="L908" s="31" t="n">
        <v>20.5</v>
      </c>
      <c r="M908" s="34" t="s">
        <v>822</v>
      </c>
      <c r="N908" s="2" t="s">
        <v>24</v>
      </c>
      <c r="O908" s="2" t="s">
        <v>24</v>
      </c>
      <c r="P908" s="2" t="s">
        <v>24</v>
      </c>
      <c r="Q908" s="2" t="s">
        <v>24</v>
      </c>
    </row>
    <row r="909" customFormat="false" ht="15" hidden="false" customHeight="false" outlineLevel="0" collapsed="false">
      <c r="A909" s="2" t="s">
        <v>610</v>
      </c>
      <c r="B909" s="2" t="s">
        <v>46</v>
      </c>
      <c r="C909" s="13" t="s">
        <v>2152</v>
      </c>
      <c r="D909" s="29" t="n">
        <v>190140</v>
      </c>
      <c r="E909" s="2" t="s">
        <v>827</v>
      </c>
      <c r="F909" s="30" t="n">
        <v>1.11708740927738</v>
      </c>
      <c r="G909" s="31" t="n">
        <v>8.3</v>
      </c>
      <c r="H909" s="32" t="n">
        <v>0.0465653896961691</v>
      </c>
      <c r="I909" s="31" t="n">
        <v>33.8</v>
      </c>
      <c r="J909" s="2" t="s">
        <v>2888</v>
      </c>
      <c r="K909" s="33" t="n">
        <v>0.165672556998718</v>
      </c>
      <c r="L909" s="31" t="n">
        <v>60.3</v>
      </c>
      <c r="M909" s="34" t="s">
        <v>822</v>
      </c>
      <c r="N909" s="2" t="s">
        <v>24</v>
      </c>
      <c r="O909" s="2" t="s">
        <v>24</v>
      </c>
      <c r="P909" s="2" t="s">
        <v>24</v>
      </c>
      <c r="Q909" s="2" t="s">
        <v>24</v>
      </c>
    </row>
    <row r="910" customFormat="false" ht="15" hidden="false" customHeight="false" outlineLevel="0" collapsed="false">
      <c r="A910" s="2" t="s">
        <v>112</v>
      </c>
      <c r="B910" s="2" t="s">
        <v>46</v>
      </c>
      <c r="C910" s="13" t="s">
        <v>1648</v>
      </c>
      <c r="D910" s="29" t="n">
        <v>30230</v>
      </c>
      <c r="E910" s="2" t="s">
        <v>821</v>
      </c>
      <c r="F910" s="30" t="n">
        <v>9.45391994707244</v>
      </c>
      <c r="G910" s="31" t="n">
        <v>92.5</v>
      </c>
      <c r="H910" s="32" t="n">
        <v>0.0651867512332629</v>
      </c>
      <c r="I910" s="31" t="n">
        <v>38.5</v>
      </c>
      <c r="J910" s="2" t="s">
        <v>2884</v>
      </c>
      <c r="K910" s="33" t="n">
        <v>0.358074804291099</v>
      </c>
      <c r="L910" s="31" t="n">
        <v>94.7</v>
      </c>
      <c r="M910" s="34" t="s">
        <v>822</v>
      </c>
      <c r="N910" s="2" t="s">
        <v>24</v>
      </c>
      <c r="O910" s="2" t="s">
        <v>24</v>
      </c>
      <c r="P910" s="2" t="s">
        <v>24</v>
      </c>
      <c r="Q910" s="2" t="s">
        <v>24</v>
      </c>
    </row>
    <row r="911" customFormat="false" ht="15" hidden="false" customHeight="false" outlineLevel="0" collapsed="false">
      <c r="A911" s="2" t="s">
        <v>2181</v>
      </c>
      <c r="B911" s="2" t="s">
        <v>45</v>
      </c>
      <c r="C911" s="15" t="s">
        <v>3116</v>
      </c>
      <c r="D911" s="46" t="n">
        <v>95192</v>
      </c>
      <c r="E911" s="2" t="s">
        <v>821</v>
      </c>
      <c r="F911" s="36"/>
      <c r="G911" s="31"/>
      <c r="H911" s="48" t="n">
        <v>0.00233758028851216</v>
      </c>
      <c r="I911" s="31" t="n">
        <v>10</v>
      </c>
      <c r="J911" s="2" t="s">
        <v>2883</v>
      </c>
      <c r="K911" s="38"/>
      <c r="L911" s="31"/>
      <c r="M911" s="39" t="s">
        <v>832</v>
      </c>
      <c r="N911" s="2" t="s">
        <v>19</v>
      </c>
      <c r="O911" s="2"/>
      <c r="P911" s="2" t="s">
        <v>19</v>
      </c>
      <c r="Q911" s="2"/>
    </row>
    <row r="912" customFormat="false" ht="15" hidden="false" customHeight="false" outlineLevel="0" collapsed="false">
      <c r="A912" s="2" t="s">
        <v>2181</v>
      </c>
      <c r="B912" s="2" t="s">
        <v>46</v>
      </c>
      <c r="C912" s="13" t="s">
        <v>2182</v>
      </c>
      <c r="D912" s="29" t="n">
        <v>67130</v>
      </c>
      <c r="E912" s="2" t="s">
        <v>821</v>
      </c>
      <c r="F912" s="30" t="n">
        <v>0.788440339639505</v>
      </c>
      <c r="G912" s="31" t="n">
        <v>3.9</v>
      </c>
      <c r="H912" s="32" t="n">
        <v>0.193846701049262</v>
      </c>
      <c r="I912" s="31" t="n">
        <v>93.1</v>
      </c>
      <c r="J912" s="2" t="s">
        <v>2884</v>
      </c>
      <c r="K912" s="33" t="n">
        <v>0.202581926514399</v>
      </c>
      <c r="L912" s="31" t="n">
        <v>70</v>
      </c>
      <c r="M912" s="34" t="s">
        <v>822</v>
      </c>
      <c r="N912" s="2" t="s">
        <v>24</v>
      </c>
      <c r="O912" s="2" t="s">
        <v>24</v>
      </c>
      <c r="P912" s="2" t="s">
        <v>24</v>
      </c>
      <c r="Q912" s="2" t="s">
        <v>24</v>
      </c>
    </row>
    <row r="913" customFormat="false" ht="15" hidden="false" customHeight="false" outlineLevel="0" collapsed="false">
      <c r="A913" s="2" t="s">
        <v>2181</v>
      </c>
      <c r="B913" s="2" t="s">
        <v>47</v>
      </c>
      <c r="C913" s="14" t="s">
        <v>2476</v>
      </c>
      <c r="D913" s="42" t="n">
        <v>119185</v>
      </c>
      <c r="E913" s="2" t="s">
        <v>827</v>
      </c>
      <c r="F913" s="43" t="n">
        <v>1.48220833158535</v>
      </c>
      <c r="G913" s="31" t="n">
        <v>59.1</v>
      </c>
      <c r="H913" s="41" t="n">
        <v>0.0592150868274649</v>
      </c>
      <c r="I913" s="31" t="n">
        <v>37.3</v>
      </c>
      <c r="J913" s="2" t="s">
        <v>2897</v>
      </c>
      <c r="K913" s="44" t="n">
        <v>0.365383177570094</v>
      </c>
      <c r="L913" s="31" t="n">
        <v>98.6</v>
      </c>
      <c r="M913" s="34" t="s">
        <v>822</v>
      </c>
      <c r="N913" s="2" t="s">
        <v>22</v>
      </c>
      <c r="O913" s="2" t="s">
        <v>22</v>
      </c>
      <c r="P913" s="2" t="s">
        <v>22</v>
      </c>
      <c r="Q913" s="2" t="s">
        <v>22</v>
      </c>
    </row>
    <row r="914" customFormat="false" ht="15" hidden="false" customHeight="false" outlineLevel="0" collapsed="false">
      <c r="A914" s="2" t="s">
        <v>1176</v>
      </c>
      <c r="B914" s="2" t="s">
        <v>45</v>
      </c>
      <c r="C914" s="15" t="s">
        <v>1177</v>
      </c>
      <c r="D914" s="29" t="n">
        <v>23520</v>
      </c>
      <c r="E914" s="2" t="s">
        <v>821</v>
      </c>
      <c r="F914" s="30" t="n">
        <v>0.634566326530612</v>
      </c>
      <c r="G914" s="31" t="n">
        <v>57.5</v>
      </c>
      <c r="H914" s="32" t="n">
        <v>0.024390243902439</v>
      </c>
      <c r="I914" s="31" t="n">
        <v>15.1</v>
      </c>
      <c r="J914" s="2" t="s">
        <v>2883</v>
      </c>
      <c r="K914" s="33" t="n">
        <v>0.15530303030303</v>
      </c>
      <c r="L914" s="31" t="n">
        <v>60.4</v>
      </c>
      <c r="M914" s="34" t="s">
        <v>822</v>
      </c>
      <c r="N914" s="2" t="s">
        <v>24</v>
      </c>
      <c r="O914" s="2" t="s">
        <v>24</v>
      </c>
      <c r="P914" s="2" t="s">
        <v>24</v>
      </c>
      <c r="Q914" s="2" t="s">
        <v>24</v>
      </c>
    </row>
    <row r="915" customFormat="false" ht="15" hidden="false" customHeight="false" outlineLevel="0" collapsed="false">
      <c r="A915" s="2" t="s">
        <v>1176</v>
      </c>
      <c r="B915" s="2" t="s">
        <v>46</v>
      </c>
      <c r="C915" s="13" t="s">
        <v>1854</v>
      </c>
      <c r="D915" s="29" t="n">
        <v>2010</v>
      </c>
      <c r="E915" s="2" t="s">
        <v>825</v>
      </c>
      <c r="F915" s="30" t="n">
        <v>3.52487562189055</v>
      </c>
      <c r="G915" s="31" t="n">
        <v>57</v>
      </c>
      <c r="H915" s="41" t="n">
        <v>0.0506842372022301</v>
      </c>
      <c r="I915" s="31" t="n">
        <v>13.2</v>
      </c>
      <c r="J915" s="2" t="s">
        <v>2905</v>
      </c>
      <c r="K915" s="44" t="n">
        <v>0.0989583333333333</v>
      </c>
      <c r="L915" s="31" t="n">
        <v>36.6</v>
      </c>
      <c r="M915" s="34" t="s">
        <v>822</v>
      </c>
      <c r="N915" s="2" t="s">
        <v>24</v>
      </c>
      <c r="O915" s="2" t="s">
        <v>24</v>
      </c>
      <c r="P915" s="2" t="s">
        <v>22</v>
      </c>
      <c r="Q915" s="2" t="s">
        <v>22</v>
      </c>
    </row>
    <row r="916" customFormat="false" ht="15" hidden="false" customHeight="false" outlineLevel="0" collapsed="false">
      <c r="A916" s="2" t="s">
        <v>1176</v>
      </c>
      <c r="B916" s="2" t="s">
        <v>47</v>
      </c>
      <c r="C916" s="13" t="s">
        <v>3117</v>
      </c>
      <c r="D916" s="29" t="n">
        <v>7820</v>
      </c>
      <c r="E916" s="2" t="s">
        <v>825</v>
      </c>
      <c r="F916" s="30" t="n">
        <v>0.792583120204604</v>
      </c>
      <c r="G916" s="31" t="n">
        <v>28.4</v>
      </c>
      <c r="H916" s="37"/>
      <c r="I916" s="31"/>
      <c r="J916" s="2"/>
      <c r="K916" s="33" t="n">
        <v>0.0933734939759036</v>
      </c>
      <c r="L916" s="31" t="n">
        <v>55.4</v>
      </c>
      <c r="M916" s="39" t="s">
        <v>832</v>
      </c>
      <c r="N916" s="2" t="s">
        <v>24</v>
      </c>
      <c r="O916" s="2" t="s">
        <v>24</v>
      </c>
      <c r="P916" s="2"/>
      <c r="Q916" s="2" t="s">
        <v>24</v>
      </c>
    </row>
    <row r="917" customFormat="false" ht="15" hidden="false" customHeight="false" outlineLevel="0" collapsed="false">
      <c r="A917" s="2" t="s">
        <v>634</v>
      </c>
      <c r="B917" s="2" t="s">
        <v>45</v>
      </c>
      <c r="C917" s="13" t="s">
        <v>1369</v>
      </c>
      <c r="D917" s="29" t="n">
        <v>522030</v>
      </c>
      <c r="E917" s="2" t="s">
        <v>827</v>
      </c>
      <c r="F917" s="30" t="n">
        <v>0.438298565216558</v>
      </c>
      <c r="G917" s="31" t="n">
        <v>32.9</v>
      </c>
      <c r="H917" s="32" t="n">
        <v>0.176909550004509</v>
      </c>
      <c r="I917" s="31" t="n">
        <v>88.6</v>
      </c>
      <c r="J917" s="2" t="s">
        <v>2890</v>
      </c>
      <c r="K917" s="33" t="n">
        <v>0.0787111622554661</v>
      </c>
      <c r="L917" s="31" t="n">
        <v>25.6</v>
      </c>
      <c r="M917" s="34" t="s">
        <v>822</v>
      </c>
      <c r="N917" s="2" t="s">
        <v>24</v>
      </c>
      <c r="O917" s="2" t="s">
        <v>24</v>
      </c>
      <c r="P917" s="2" t="s">
        <v>24</v>
      </c>
      <c r="Q917" s="2" t="s">
        <v>24</v>
      </c>
    </row>
    <row r="918" customFormat="false" ht="15" hidden="false" customHeight="false" outlineLevel="0" collapsed="false">
      <c r="A918" s="2" t="s">
        <v>634</v>
      </c>
      <c r="B918" s="2" t="s">
        <v>46</v>
      </c>
      <c r="C918" s="13" t="s">
        <v>1787</v>
      </c>
      <c r="D918" s="29" t="n">
        <v>11710</v>
      </c>
      <c r="E918" s="2" t="s">
        <v>821</v>
      </c>
      <c r="F918" s="30" t="n">
        <v>4.27378309137489</v>
      </c>
      <c r="G918" s="31" t="n">
        <v>67.8</v>
      </c>
      <c r="H918" s="32" t="n">
        <v>0.036283185840708</v>
      </c>
      <c r="I918" s="31" t="n">
        <v>24.4</v>
      </c>
      <c r="J918" s="2" t="s">
        <v>2884</v>
      </c>
      <c r="K918" s="33" t="n">
        <v>0.153244130270134</v>
      </c>
      <c r="L918" s="31" t="n">
        <v>56.7</v>
      </c>
      <c r="M918" s="34" t="s">
        <v>822</v>
      </c>
      <c r="N918" s="2" t="s">
        <v>24</v>
      </c>
      <c r="O918" s="2" t="s">
        <v>24</v>
      </c>
      <c r="P918" s="2" t="s">
        <v>24</v>
      </c>
      <c r="Q918" s="2" t="s">
        <v>24</v>
      </c>
    </row>
    <row r="919" customFormat="false" ht="15" hidden="false" customHeight="false" outlineLevel="0" collapsed="false">
      <c r="A919" s="2" t="s">
        <v>634</v>
      </c>
      <c r="B919" s="2" t="s">
        <v>47</v>
      </c>
      <c r="C919" s="14" t="s">
        <v>2816</v>
      </c>
      <c r="D919" s="42" t="n">
        <v>157483</v>
      </c>
      <c r="E919" s="2" t="s">
        <v>827</v>
      </c>
      <c r="F919" s="43" t="n">
        <v>0.422210651308395</v>
      </c>
      <c r="G919" s="31" t="n">
        <v>9</v>
      </c>
      <c r="H919" s="41" t="n">
        <v>0.0624734352968163</v>
      </c>
      <c r="I919" s="31" t="n">
        <v>37.9</v>
      </c>
      <c r="J919" s="2" t="s">
        <v>2897</v>
      </c>
      <c r="K919" s="44" t="n">
        <v>0.110381861575179</v>
      </c>
      <c r="L919" s="31" t="n">
        <v>62.4</v>
      </c>
      <c r="M919" s="34" t="s">
        <v>822</v>
      </c>
      <c r="N919" s="2" t="s">
        <v>22</v>
      </c>
      <c r="O919" s="2" t="s">
        <v>22</v>
      </c>
      <c r="P919" s="2" t="s">
        <v>22</v>
      </c>
      <c r="Q919" s="2" t="s">
        <v>22</v>
      </c>
    </row>
    <row r="920" customFormat="false" ht="15" hidden="false" customHeight="false" outlineLevel="0" collapsed="false">
      <c r="A920" s="2" t="s">
        <v>808</v>
      </c>
      <c r="B920" s="2" t="s">
        <v>47</v>
      </c>
      <c r="C920" s="14" t="s">
        <v>2869</v>
      </c>
      <c r="D920" s="42" t="n">
        <v>23846</v>
      </c>
      <c r="E920" s="2" t="s">
        <v>821</v>
      </c>
      <c r="F920" s="43" t="n">
        <v>0.205485196678688</v>
      </c>
      <c r="G920" s="31" t="n">
        <v>0.9</v>
      </c>
      <c r="H920" s="41" t="n">
        <v>0.14150311153662</v>
      </c>
      <c r="I920" s="31" t="n">
        <v>72.4</v>
      </c>
      <c r="J920" s="2" t="s">
        <v>2886</v>
      </c>
      <c r="K920" s="44" t="n">
        <v>0.0864864864864865</v>
      </c>
      <c r="L920" s="31" t="n">
        <v>52.9</v>
      </c>
      <c r="M920" s="34" t="s">
        <v>822</v>
      </c>
      <c r="N920" s="2" t="s">
        <v>22</v>
      </c>
      <c r="O920" s="2" t="s">
        <v>22</v>
      </c>
      <c r="P920" s="2" t="s">
        <v>22</v>
      </c>
      <c r="Q920" s="2" t="s">
        <v>22</v>
      </c>
    </row>
    <row r="921" customFormat="false" ht="15" hidden="false" customHeight="false" outlineLevel="0" collapsed="false">
      <c r="A921" s="2" t="s">
        <v>2102</v>
      </c>
      <c r="B921" s="2" t="s">
        <v>45</v>
      </c>
      <c r="C921" s="13" t="s">
        <v>3118</v>
      </c>
      <c r="D921" s="29" t="n">
        <v>22530</v>
      </c>
      <c r="E921" s="2" t="s">
        <v>821</v>
      </c>
      <c r="F921" s="30" t="n">
        <v>0.532134931202841</v>
      </c>
      <c r="G921" s="31" t="n">
        <v>45.9</v>
      </c>
      <c r="H921" s="32" t="n">
        <v>0.0240909090909091</v>
      </c>
      <c r="I921" s="31" t="n">
        <v>14.8</v>
      </c>
      <c r="J921" s="2" t="s">
        <v>2883</v>
      </c>
      <c r="K921" s="38"/>
      <c r="L921" s="31"/>
      <c r="M921" s="39" t="s">
        <v>832</v>
      </c>
      <c r="N921" s="2" t="s">
        <v>24</v>
      </c>
      <c r="O921" s="2" t="s">
        <v>24</v>
      </c>
      <c r="P921" s="2" t="s">
        <v>24</v>
      </c>
      <c r="Q921" s="2"/>
    </row>
    <row r="922" customFormat="false" ht="15" hidden="false" customHeight="false" outlineLevel="0" collapsed="false">
      <c r="A922" s="2" t="s">
        <v>2102</v>
      </c>
      <c r="B922" s="2" t="s">
        <v>46</v>
      </c>
      <c r="C922" s="13" t="s">
        <v>2103</v>
      </c>
      <c r="D922" s="29" t="n">
        <v>29790</v>
      </c>
      <c r="E922" s="2" t="s">
        <v>821</v>
      </c>
      <c r="F922" s="30" t="n">
        <v>1.49781805975159</v>
      </c>
      <c r="G922" s="31" t="n">
        <v>17.1</v>
      </c>
      <c r="H922" s="41" t="n">
        <v>0.00601430429128739</v>
      </c>
      <c r="I922" s="31" t="n">
        <v>13.5</v>
      </c>
      <c r="J922" s="2" t="s">
        <v>2884</v>
      </c>
      <c r="K922" s="33" t="n">
        <v>0.0958250497017893</v>
      </c>
      <c r="L922" s="31" t="n">
        <v>34.7</v>
      </c>
      <c r="M922" s="34" t="s">
        <v>822</v>
      </c>
      <c r="N922" s="2" t="s">
        <v>24</v>
      </c>
      <c r="O922" s="2" t="s">
        <v>24</v>
      </c>
      <c r="P922" s="2" t="s">
        <v>22</v>
      </c>
      <c r="Q922" s="2" t="s">
        <v>24</v>
      </c>
    </row>
    <row r="923" customFormat="false" ht="15" hidden="false" customHeight="false" outlineLevel="0" collapsed="false">
      <c r="A923" s="2" t="s">
        <v>2102</v>
      </c>
      <c r="B923" s="2" t="s">
        <v>47</v>
      </c>
      <c r="C923" s="13" t="s">
        <v>2672</v>
      </c>
      <c r="D923" s="29" t="n">
        <v>422200</v>
      </c>
      <c r="E923" s="2" t="s">
        <v>827</v>
      </c>
      <c r="F923" s="30" t="n">
        <v>0.819099952629086</v>
      </c>
      <c r="G923" s="31" t="n">
        <v>29.8</v>
      </c>
      <c r="H923" s="32" t="n">
        <v>-0.0405853747216289</v>
      </c>
      <c r="I923" s="31" t="n">
        <v>6.8</v>
      </c>
      <c r="J923" s="2" t="s">
        <v>2897</v>
      </c>
      <c r="K923" s="33" t="n">
        <v>0.010469211002189</v>
      </c>
      <c r="L923" s="31" t="n">
        <v>6.8</v>
      </c>
      <c r="M923" s="34" t="s">
        <v>822</v>
      </c>
      <c r="N923" s="2" t="s">
        <v>24</v>
      </c>
      <c r="O923" s="2" t="s">
        <v>24</v>
      </c>
      <c r="P923" s="2" t="s">
        <v>24</v>
      </c>
      <c r="Q923" s="2" t="s">
        <v>24</v>
      </c>
    </row>
    <row r="924" customFormat="false" ht="15" hidden="false" customHeight="false" outlineLevel="0" collapsed="false">
      <c r="A924" s="2" t="s">
        <v>328</v>
      </c>
      <c r="B924" s="2" t="s">
        <v>45</v>
      </c>
      <c r="C924" s="13" t="s">
        <v>1077</v>
      </c>
      <c r="D924" s="29" t="n">
        <v>4490</v>
      </c>
      <c r="E924" s="2" t="s">
        <v>825</v>
      </c>
      <c r="F924" s="43" t="n">
        <v>0.81766130808192</v>
      </c>
      <c r="G924" s="31" t="n">
        <v>69.6</v>
      </c>
      <c r="H924" s="41" t="n">
        <v>0.0570297951582868</v>
      </c>
      <c r="I924" s="31" t="n">
        <v>25.4</v>
      </c>
      <c r="J924" s="2" t="s">
        <v>2899</v>
      </c>
      <c r="K924" s="33" t="n">
        <v>0.10727969348659</v>
      </c>
      <c r="L924" s="31" t="n">
        <v>37.8</v>
      </c>
      <c r="M924" s="34" t="s">
        <v>822</v>
      </c>
      <c r="N924" s="2" t="s">
        <v>24</v>
      </c>
      <c r="O924" s="2" t="s">
        <v>22</v>
      </c>
      <c r="P924" s="2" t="s">
        <v>22</v>
      </c>
      <c r="Q924" s="2" t="s">
        <v>24</v>
      </c>
    </row>
    <row r="925" customFormat="false" ht="15" hidden="false" customHeight="false" outlineLevel="0" collapsed="false">
      <c r="A925" s="2" t="s">
        <v>328</v>
      </c>
      <c r="B925" s="2" t="s">
        <v>46</v>
      </c>
      <c r="C925" s="13" t="s">
        <v>1730</v>
      </c>
      <c r="D925" s="29" t="n">
        <v>89980</v>
      </c>
      <c r="E925" s="2" t="s">
        <v>821</v>
      </c>
      <c r="F925" s="30" t="n">
        <v>5.55745721271394</v>
      </c>
      <c r="G925" s="31" t="n">
        <v>77</v>
      </c>
      <c r="H925" s="32" t="n">
        <v>0.0595854922279793</v>
      </c>
      <c r="I925" s="31" t="n">
        <v>34.2</v>
      </c>
      <c r="J925" s="2" t="s">
        <v>2884</v>
      </c>
      <c r="K925" s="33" t="n">
        <v>0.0188956154833975</v>
      </c>
      <c r="L925" s="31" t="n">
        <v>3.1</v>
      </c>
      <c r="M925" s="34" t="s">
        <v>822</v>
      </c>
      <c r="N925" s="2" t="s">
        <v>24</v>
      </c>
      <c r="O925" s="2" t="s">
        <v>24</v>
      </c>
      <c r="P925" s="2" t="s">
        <v>24</v>
      </c>
      <c r="Q925" s="2" t="s">
        <v>24</v>
      </c>
    </row>
    <row r="926" customFormat="false" ht="15" hidden="false" customHeight="false" outlineLevel="0" collapsed="false">
      <c r="A926" s="2" t="s">
        <v>328</v>
      </c>
      <c r="B926" s="2" t="s">
        <v>47</v>
      </c>
      <c r="C926" s="14" t="s">
        <v>2643</v>
      </c>
      <c r="D926" s="42" t="n">
        <v>874964</v>
      </c>
      <c r="E926" s="2" t="s">
        <v>827</v>
      </c>
      <c r="F926" s="43" t="n">
        <v>0.924068875976612</v>
      </c>
      <c r="G926" s="31" t="n">
        <v>34.9</v>
      </c>
      <c r="H926" s="41" t="n">
        <v>0.0675461168394942</v>
      </c>
      <c r="I926" s="31" t="n">
        <v>40.4</v>
      </c>
      <c r="J926" s="2" t="s">
        <v>2897</v>
      </c>
      <c r="K926" s="44" t="n">
        <v>0.197109986731019</v>
      </c>
      <c r="L926" s="31" t="n">
        <v>84.6</v>
      </c>
      <c r="M926" s="34" t="s">
        <v>822</v>
      </c>
      <c r="N926" s="2" t="s">
        <v>22</v>
      </c>
      <c r="O926" s="2" t="s">
        <v>22</v>
      </c>
      <c r="P926" s="2" t="s">
        <v>22</v>
      </c>
      <c r="Q926" s="2" t="s">
        <v>22</v>
      </c>
    </row>
    <row r="927" customFormat="false" ht="15" hidden="false" customHeight="false" outlineLevel="0" collapsed="false">
      <c r="A927" s="2" t="s">
        <v>81</v>
      </c>
      <c r="B927" s="2" t="s">
        <v>47</v>
      </c>
      <c r="C927" s="14" t="s">
        <v>2229</v>
      </c>
      <c r="D927" s="42" t="n">
        <v>31387</v>
      </c>
      <c r="E927" s="2" t="s">
        <v>821</v>
      </c>
      <c r="F927" s="43" t="n">
        <v>4.78599420142097</v>
      </c>
      <c r="G927" s="31" t="n">
        <v>97.5</v>
      </c>
      <c r="H927" s="41" t="n">
        <v>0.151393983859134</v>
      </c>
      <c r="I927" s="31" t="n">
        <v>78.2</v>
      </c>
      <c r="J927" s="2" t="s">
        <v>2886</v>
      </c>
      <c r="K927" s="44" t="n">
        <v>0.0961358969572522</v>
      </c>
      <c r="L927" s="31" t="n">
        <v>57</v>
      </c>
      <c r="M927" s="34" t="s">
        <v>822</v>
      </c>
      <c r="N927" s="2" t="s">
        <v>22</v>
      </c>
      <c r="O927" s="2" t="s">
        <v>22</v>
      </c>
      <c r="P927" s="2" t="s">
        <v>22</v>
      </c>
      <c r="Q927" s="2" t="s">
        <v>22</v>
      </c>
    </row>
    <row r="928" customFormat="false" ht="15" hidden="false" customHeight="false" outlineLevel="0" collapsed="false">
      <c r="A928" s="2" t="s">
        <v>440</v>
      </c>
      <c r="B928" s="2" t="s">
        <v>45</v>
      </c>
      <c r="C928" s="13" t="s">
        <v>1205</v>
      </c>
      <c r="D928" s="29" t="n">
        <v>80060</v>
      </c>
      <c r="E928" s="2" t="s">
        <v>821</v>
      </c>
      <c r="F928" s="30" t="n">
        <v>0.597052210841869</v>
      </c>
      <c r="G928" s="31" t="n">
        <v>53.5</v>
      </c>
      <c r="H928" s="32" t="n">
        <v>0.063072633116452</v>
      </c>
      <c r="I928" s="31" t="n">
        <v>35.1</v>
      </c>
      <c r="J928" s="2" t="s">
        <v>2883</v>
      </c>
      <c r="K928" s="33" t="n">
        <v>0.308207115181402</v>
      </c>
      <c r="L928" s="31" t="n">
        <v>91.1</v>
      </c>
      <c r="M928" s="34" t="s">
        <v>822</v>
      </c>
      <c r="N928" s="2" t="s">
        <v>24</v>
      </c>
      <c r="O928" s="2" t="s">
        <v>24</v>
      </c>
      <c r="P928" s="2" t="s">
        <v>24</v>
      </c>
      <c r="Q928" s="2" t="s">
        <v>24</v>
      </c>
    </row>
    <row r="929" customFormat="false" ht="15" hidden="false" customHeight="false" outlineLevel="0" collapsed="false">
      <c r="A929" s="2" t="s">
        <v>440</v>
      </c>
      <c r="B929" s="2" t="s">
        <v>46</v>
      </c>
      <c r="C929" s="13" t="s">
        <v>1979</v>
      </c>
      <c r="D929" s="29" t="n">
        <v>74760</v>
      </c>
      <c r="E929" s="2" t="s">
        <v>821</v>
      </c>
      <c r="F929" s="30" t="n">
        <v>2.47458533975388</v>
      </c>
      <c r="G929" s="31" t="n">
        <v>37.7</v>
      </c>
      <c r="H929" s="32" t="n">
        <v>0.0208930766079476</v>
      </c>
      <c r="I929" s="31" t="n">
        <v>18.9</v>
      </c>
      <c r="J929" s="2" t="s">
        <v>2884</v>
      </c>
      <c r="K929" s="33" t="n">
        <v>0.241339668914776</v>
      </c>
      <c r="L929" s="31" t="n">
        <v>79.7</v>
      </c>
      <c r="M929" s="34" t="s">
        <v>822</v>
      </c>
      <c r="N929" s="2" t="s">
        <v>24</v>
      </c>
      <c r="O929" s="2" t="s">
        <v>24</v>
      </c>
      <c r="P929" s="2" t="s">
        <v>24</v>
      </c>
      <c r="Q929" s="2" t="s">
        <v>24</v>
      </c>
    </row>
    <row r="930" customFormat="false" ht="15" hidden="false" customHeight="false" outlineLevel="0" collapsed="false">
      <c r="A930" s="2" t="s">
        <v>440</v>
      </c>
      <c r="B930" s="2" t="s">
        <v>47</v>
      </c>
      <c r="C930" s="13" t="s">
        <v>2424</v>
      </c>
      <c r="D930" s="29" t="n">
        <v>780760</v>
      </c>
      <c r="E930" s="2" t="s">
        <v>827</v>
      </c>
      <c r="F930" s="30" t="n">
        <v>1.67394205645781</v>
      </c>
      <c r="G930" s="31" t="n">
        <v>67</v>
      </c>
      <c r="H930" s="32" t="n">
        <v>0.1141458681165</v>
      </c>
      <c r="I930" s="31" t="n">
        <v>67.7</v>
      </c>
      <c r="J930" s="2" t="s">
        <v>2897</v>
      </c>
      <c r="K930" s="33" t="n">
        <v>0.14421197583511</v>
      </c>
      <c r="L930" s="31" t="n">
        <v>72.2</v>
      </c>
      <c r="M930" s="34" t="s">
        <v>822</v>
      </c>
      <c r="N930" s="2" t="s">
        <v>24</v>
      </c>
      <c r="O930" s="2" t="s">
        <v>24</v>
      </c>
      <c r="P930" s="2" t="s">
        <v>24</v>
      </c>
      <c r="Q930" s="2" t="s">
        <v>24</v>
      </c>
    </row>
    <row r="931" customFormat="false" ht="15" hidden="false" customHeight="false" outlineLevel="0" collapsed="false">
      <c r="A931" s="2" t="s">
        <v>2160</v>
      </c>
      <c r="B931" s="2" t="s">
        <v>45</v>
      </c>
      <c r="C931" s="16"/>
      <c r="D931" s="29" t="n">
        <v>87790</v>
      </c>
      <c r="E931" s="2" t="s">
        <v>821</v>
      </c>
      <c r="F931" s="30" t="n">
        <v>0.3599840528534</v>
      </c>
      <c r="G931" s="31" t="n">
        <v>24.6</v>
      </c>
      <c r="H931" s="32" t="n">
        <v>0.126090302719343</v>
      </c>
      <c r="I931" s="31" t="n">
        <v>68.4</v>
      </c>
      <c r="J931" s="2" t="s">
        <v>2883</v>
      </c>
      <c r="K931" s="38"/>
      <c r="L931" s="31"/>
      <c r="M931" s="39" t="s">
        <v>832</v>
      </c>
      <c r="N931" s="2" t="s">
        <v>24</v>
      </c>
      <c r="O931" s="2" t="s">
        <v>24</v>
      </c>
      <c r="P931" s="2" t="s">
        <v>24</v>
      </c>
      <c r="Q931" s="2"/>
    </row>
    <row r="932" customFormat="false" ht="15" hidden="false" customHeight="false" outlineLevel="0" collapsed="false">
      <c r="A932" s="2" t="s">
        <v>2160</v>
      </c>
      <c r="B932" s="2" t="s">
        <v>46</v>
      </c>
      <c r="C932" s="13" t="s">
        <v>2161</v>
      </c>
      <c r="D932" s="29" t="n">
        <v>109980</v>
      </c>
      <c r="E932" s="2" t="s">
        <v>827</v>
      </c>
      <c r="F932" s="30" t="n">
        <v>0.978632478632479</v>
      </c>
      <c r="G932" s="31" t="n">
        <v>7.1</v>
      </c>
      <c r="H932" s="32" t="n">
        <v>0.0169209431345354</v>
      </c>
      <c r="I932" s="31" t="n">
        <v>19.7</v>
      </c>
      <c r="J932" s="2" t="s">
        <v>2888</v>
      </c>
      <c r="K932" s="33" t="n">
        <v>0.116311561299336</v>
      </c>
      <c r="L932" s="31" t="n">
        <v>43.9</v>
      </c>
      <c r="M932" s="34" t="s">
        <v>822</v>
      </c>
      <c r="N932" s="2" t="s">
        <v>24</v>
      </c>
      <c r="O932" s="2" t="s">
        <v>24</v>
      </c>
      <c r="P932" s="2" t="s">
        <v>24</v>
      </c>
      <c r="Q932" s="2" t="s">
        <v>24</v>
      </c>
    </row>
    <row r="933" customFormat="false" ht="15" hidden="false" customHeight="false" outlineLevel="0" collapsed="false">
      <c r="A933" s="2" t="s">
        <v>2160</v>
      </c>
      <c r="B933" s="2" t="s">
        <v>47</v>
      </c>
      <c r="C933" s="13" t="s">
        <v>2705</v>
      </c>
      <c r="D933" s="29" t="n">
        <v>191540</v>
      </c>
      <c r="E933" s="2" t="s">
        <v>827</v>
      </c>
      <c r="F933" s="30" t="n">
        <v>0.745128954787512</v>
      </c>
      <c r="G933" s="31" t="n">
        <v>24.7</v>
      </c>
      <c r="H933" s="32" t="n">
        <v>0.12962962962963</v>
      </c>
      <c r="I933" s="31" t="n">
        <v>73.3</v>
      </c>
      <c r="J933" s="2" t="s">
        <v>2897</v>
      </c>
      <c r="K933" s="44" t="n">
        <v>0.048575085899077</v>
      </c>
      <c r="L933" s="31" t="n">
        <v>31.4</v>
      </c>
      <c r="M933" s="34" t="s">
        <v>822</v>
      </c>
      <c r="N933" s="2" t="s">
        <v>24</v>
      </c>
      <c r="O933" s="2" t="s">
        <v>24</v>
      </c>
      <c r="P933" s="2" t="s">
        <v>24</v>
      </c>
      <c r="Q933" s="2" t="s">
        <v>22</v>
      </c>
    </row>
    <row r="934" customFormat="false" ht="15" hidden="false" customHeight="false" outlineLevel="0" collapsed="false">
      <c r="A934" s="2" t="s">
        <v>904</v>
      </c>
      <c r="B934" s="2" t="s">
        <v>45</v>
      </c>
      <c r="C934" s="13" t="s">
        <v>905</v>
      </c>
      <c r="D934" s="29" t="n">
        <v>70500</v>
      </c>
      <c r="E934" s="2" t="s">
        <v>821</v>
      </c>
      <c r="F934" s="30" t="n">
        <v>1.55160283687943</v>
      </c>
      <c r="G934" s="31" t="n">
        <v>90.5</v>
      </c>
      <c r="H934" s="32" t="n">
        <v>0.0962525268232001</v>
      </c>
      <c r="I934" s="31" t="n">
        <v>49.1</v>
      </c>
      <c r="J934" s="2" t="s">
        <v>2883</v>
      </c>
      <c r="K934" s="40" t="s">
        <v>857</v>
      </c>
      <c r="L934" s="31"/>
      <c r="M934" s="34" t="s">
        <v>822</v>
      </c>
      <c r="N934" s="2" t="s">
        <v>24</v>
      </c>
      <c r="O934" s="2" t="s">
        <v>24</v>
      </c>
      <c r="P934" s="2" t="s">
        <v>24</v>
      </c>
      <c r="Q934" s="2" t="s">
        <v>2885</v>
      </c>
    </row>
    <row r="935" customFormat="false" ht="15" hidden="false" customHeight="false" outlineLevel="0" collapsed="false">
      <c r="A935" s="2" t="s">
        <v>904</v>
      </c>
      <c r="B935" s="2" t="s">
        <v>46</v>
      </c>
      <c r="C935" s="16"/>
      <c r="D935" s="35"/>
      <c r="E935" s="2"/>
      <c r="F935" s="36"/>
      <c r="G935" s="31"/>
      <c r="H935" s="37"/>
      <c r="I935" s="31"/>
      <c r="J935" s="2"/>
      <c r="K935" s="38"/>
      <c r="L935" s="31"/>
      <c r="M935" s="39" t="s">
        <v>832</v>
      </c>
      <c r="N935" s="2"/>
      <c r="O935" s="2"/>
      <c r="P935" s="2"/>
      <c r="Q935" s="2"/>
    </row>
    <row r="936" customFormat="false" ht="15" hidden="false" customHeight="false" outlineLevel="0" collapsed="false">
      <c r="A936" s="2" t="s">
        <v>904</v>
      </c>
      <c r="B936" s="2" t="s">
        <v>47</v>
      </c>
      <c r="C936" s="14" t="s">
        <v>2817</v>
      </c>
      <c r="D936" s="42" t="n">
        <v>443682</v>
      </c>
      <c r="E936" s="2" t="s">
        <v>827</v>
      </c>
      <c r="F936" s="43" t="n">
        <v>0.410758155615959</v>
      </c>
      <c r="G936" s="31" t="n">
        <v>8.5</v>
      </c>
      <c r="H936" s="41" t="n">
        <v>0.0143922887511517</v>
      </c>
      <c r="I936" s="31" t="n">
        <v>16.8</v>
      </c>
      <c r="J936" s="2" t="s">
        <v>2897</v>
      </c>
      <c r="K936" s="44" t="n">
        <v>0.00541516245487365</v>
      </c>
      <c r="L936" s="31" t="n">
        <v>4.1</v>
      </c>
      <c r="M936" s="34" t="s">
        <v>822</v>
      </c>
      <c r="N936" s="2" t="s">
        <v>22</v>
      </c>
      <c r="O936" s="2" t="s">
        <v>22</v>
      </c>
      <c r="P936" s="2" t="s">
        <v>22</v>
      </c>
      <c r="Q936" s="2" t="s">
        <v>22</v>
      </c>
    </row>
    <row r="937" customFormat="false" ht="15" hidden="false" customHeight="false" outlineLevel="0" collapsed="false">
      <c r="A937" s="2" t="s">
        <v>2508</v>
      </c>
      <c r="B937" s="2" t="s">
        <v>45</v>
      </c>
      <c r="C937" s="14" t="s">
        <v>3119</v>
      </c>
      <c r="D937" s="42" t="n">
        <v>320211</v>
      </c>
      <c r="E937" s="2" t="s">
        <v>827</v>
      </c>
      <c r="F937" s="43" t="n">
        <v>0.402718832269972</v>
      </c>
      <c r="G937" s="31" t="n">
        <v>29.7</v>
      </c>
      <c r="H937" s="48" t="n">
        <v>0.0844065204887561</v>
      </c>
      <c r="I937" s="31" t="n">
        <v>47.1</v>
      </c>
      <c r="J937" s="2" t="s">
        <v>2890</v>
      </c>
      <c r="K937" s="38"/>
      <c r="L937" s="31"/>
      <c r="M937" s="39" t="s">
        <v>832</v>
      </c>
      <c r="N937" s="2" t="s">
        <v>22</v>
      </c>
      <c r="O937" s="2" t="s">
        <v>22</v>
      </c>
      <c r="P937" s="2" t="s">
        <v>19</v>
      </c>
      <c r="Q937" s="2"/>
    </row>
    <row r="938" customFormat="false" ht="15" hidden="false" customHeight="false" outlineLevel="0" collapsed="false">
      <c r="A938" s="2" t="s">
        <v>2508</v>
      </c>
      <c r="B938" s="2" t="s">
        <v>46</v>
      </c>
      <c r="C938" s="13" t="s">
        <v>3120</v>
      </c>
      <c r="D938" s="29" t="n">
        <v>11670</v>
      </c>
      <c r="E938" s="2" t="s">
        <v>821</v>
      </c>
      <c r="F938" s="36"/>
      <c r="G938" s="31"/>
      <c r="H938" s="37"/>
      <c r="I938" s="31"/>
      <c r="J938" s="2"/>
      <c r="K938" s="33" t="n">
        <v>0.069672131147541</v>
      </c>
      <c r="L938" s="31" t="n">
        <v>20.3</v>
      </c>
      <c r="M938" s="39" t="s">
        <v>832</v>
      </c>
      <c r="N938" s="2" t="s">
        <v>24</v>
      </c>
      <c r="O938" s="2"/>
      <c r="P938" s="2"/>
      <c r="Q938" s="2" t="s">
        <v>24</v>
      </c>
    </row>
    <row r="939" customFormat="false" ht="15" hidden="false" customHeight="false" outlineLevel="0" collapsed="false">
      <c r="A939" s="2" t="s">
        <v>2508</v>
      </c>
      <c r="B939" s="2" t="s">
        <v>47</v>
      </c>
      <c r="C939" s="13" t="s">
        <v>2509</v>
      </c>
      <c r="D939" s="29" t="n">
        <v>17210</v>
      </c>
      <c r="E939" s="2" t="s">
        <v>821</v>
      </c>
      <c r="F939" s="30" t="n">
        <v>1.35386403253922</v>
      </c>
      <c r="G939" s="31" t="n">
        <v>54.5</v>
      </c>
      <c r="H939" s="32" t="n">
        <v>0.0837531486146096</v>
      </c>
      <c r="I939" s="31" t="n">
        <v>42.5</v>
      </c>
      <c r="J939" s="2" t="s">
        <v>2886</v>
      </c>
      <c r="K939" s="33" t="n">
        <v>0.0939226519337017</v>
      </c>
      <c r="L939" s="31" t="n">
        <v>55.9</v>
      </c>
      <c r="M939" s="34" t="s">
        <v>822</v>
      </c>
      <c r="N939" s="2" t="s">
        <v>24</v>
      </c>
      <c r="O939" s="2" t="s">
        <v>24</v>
      </c>
      <c r="P939" s="2" t="s">
        <v>24</v>
      </c>
      <c r="Q939" s="2" t="s">
        <v>24</v>
      </c>
    </row>
    <row r="940" customFormat="false" ht="15" hidden="false" customHeight="false" outlineLevel="0" collapsed="false">
      <c r="A940" s="2" t="s">
        <v>1383</v>
      </c>
      <c r="B940" s="2" t="s">
        <v>45</v>
      </c>
      <c r="C940" s="13" t="s">
        <v>1384</v>
      </c>
      <c r="D940" s="29" t="n">
        <v>92300</v>
      </c>
      <c r="E940" s="2" t="s">
        <v>821</v>
      </c>
      <c r="F940" s="30" t="n">
        <v>0.421592632719393</v>
      </c>
      <c r="G940" s="31" t="n">
        <v>31</v>
      </c>
      <c r="H940" s="32" t="n">
        <v>0.0501763568096484</v>
      </c>
      <c r="I940" s="31" t="n">
        <v>27.8</v>
      </c>
      <c r="J940" s="2" t="s">
        <v>2883</v>
      </c>
      <c r="K940" s="33" t="n">
        <v>0.0177819372952738</v>
      </c>
      <c r="L940" s="31" t="n">
        <v>4.7</v>
      </c>
      <c r="M940" s="34" t="s">
        <v>822</v>
      </c>
      <c r="N940" s="2" t="s">
        <v>24</v>
      </c>
      <c r="O940" s="2" t="s">
        <v>24</v>
      </c>
      <c r="P940" s="2" t="s">
        <v>24</v>
      </c>
      <c r="Q940" s="2" t="s">
        <v>24</v>
      </c>
    </row>
    <row r="941" customFormat="false" ht="15" hidden="false" customHeight="false" outlineLevel="0" collapsed="false">
      <c r="A941" s="2" t="s">
        <v>1383</v>
      </c>
      <c r="B941" s="2" t="s">
        <v>46</v>
      </c>
      <c r="C941" s="16"/>
      <c r="D941" s="35"/>
      <c r="E941" s="2"/>
      <c r="F941" s="36"/>
      <c r="G941" s="31"/>
      <c r="H941" s="37"/>
      <c r="I941" s="31"/>
      <c r="J941" s="2"/>
      <c r="K941" s="38"/>
      <c r="L941" s="31"/>
      <c r="M941" s="39" t="s">
        <v>832</v>
      </c>
      <c r="N941" s="2"/>
      <c r="O941" s="2"/>
      <c r="P941" s="2"/>
      <c r="Q941" s="2"/>
    </row>
    <row r="942" customFormat="false" ht="15" hidden="false" customHeight="false" outlineLevel="0" collapsed="false">
      <c r="A942" s="2" t="s">
        <v>1383</v>
      </c>
      <c r="B942" s="2" t="s">
        <v>47</v>
      </c>
      <c r="C942" s="14" t="s">
        <v>2523</v>
      </c>
      <c r="D942" s="42" t="n">
        <v>37466</v>
      </c>
      <c r="E942" s="2" t="s">
        <v>821</v>
      </c>
      <c r="F942" s="43" t="n">
        <v>1.29600170821545</v>
      </c>
      <c r="G942" s="31" t="n">
        <v>52.2</v>
      </c>
      <c r="H942" s="41" t="n">
        <v>-0.0185466547912192</v>
      </c>
      <c r="I942" s="31" t="n">
        <v>5.8</v>
      </c>
      <c r="J942" s="2" t="s">
        <v>2886</v>
      </c>
      <c r="K942" s="44" t="n">
        <v>0.100211416490486</v>
      </c>
      <c r="L942" s="31" t="n">
        <v>59</v>
      </c>
      <c r="M942" s="34" t="s">
        <v>822</v>
      </c>
      <c r="N942" s="2" t="s">
        <v>22</v>
      </c>
      <c r="O942" s="2" t="s">
        <v>22</v>
      </c>
      <c r="P942" s="2" t="s">
        <v>22</v>
      </c>
      <c r="Q942" s="2" t="s">
        <v>22</v>
      </c>
    </row>
    <row r="943" customFormat="false" ht="15" hidden="false" customHeight="false" outlineLevel="0" collapsed="false">
      <c r="A943" s="2" t="s">
        <v>2546</v>
      </c>
      <c r="B943" s="2" t="s">
        <v>45</v>
      </c>
      <c r="C943" s="16"/>
      <c r="D943" s="35"/>
      <c r="E943" s="2"/>
      <c r="F943" s="36"/>
      <c r="G943" s="31"/>
      <c r="H943" s="37"/>
      <c r="I943" s="31"/>
      <c r="J943" s="2"/>
      <c r="K943" s="38"/>
      <c r="L943" s="31"/>
      <c r="M943" s="39" t="s">
        <v>832</v>
      </c>
      <c r="N943" s="2"/>
      <c r="O943" s="2"/>
      <c r="P943" s="2"/>
      <c r="Q943" s="2"/>
    </row>
    <row r="944" customFormat="false" ht="15" hidden="false" customHeight="false" outlineLevel="0" collapsed="false">
      <c r="A944" s="2" t="s">
        <v>2546</v>
      </c>
      <c r="B944" s="2" t="s">
        <v>46</v>
      </c>
      <c r="C944" s="13" t="s">
        <v>3121</v>
      </c>
      <c r="D944" s="35"/>
      <c r="E944" s="2"/>
      <c r="F944" s="36"/>
      <c r="G944" s="31"/>
      <c r="H944" s="37"/>
      <c r="I944" s="31"/>
      <c r="J944" s="2"/>
      <c r="K944" s="33" t="n">
        <v>0.0396621646761171</v>
      </c>
      <c r="L944" s="31" t="n">
        <v>8.4</v>
      </c>
      <c r="M944" s="39" t="s">
        <v>832</v>
      </c>
      <c r="N944" s="2"/>
      <c r="O944" s="2"/>
      <c r="P944" s="2"/>
      <c r="Q944" s="2" t="s">
        <v>24</v>
      </c>
    </row>
    <row r="945" customFormat="false" ht="15" hidden="false" customHeight="false" outlineLevel="0" collapsed="false">
      <c r="A945" s="2" t="s">
        <v>2546</v>
      </c>
      <c r="B945" s="2" t="s">
        <v>47</v>
      </c>
      <c r="C945" s="14" t="s">
        <v>2547</v>
      </c>
      <c r="D945" s="42" t="n">
        <v>32895</v>
      </c>
      <c r="E945" s="2" t="s">
        <v>821</v>
      </c>
      <c r="F945" s="43" t="n">
        <v>1.24411004711962</v>
      </c>
      <c r="G945" s="31" t="n">
        <v>49.6</v>
      </c>
      <c r="H945" s="41" t="n">
        <v>0.179328146846879</v>
      </c>
      <c r="I945" s="31" t="n">
        <v>87</v>
      </c>
      <c r="J945" s="2" t="s">
        <v>2886</v>
      </c>
      <c r="K945" s="44" t="n">
        <v>0.115728021978022</v>
      </c>
      <c r="L945" s="31" t="n">
        <v>64.7</v>
      </c>
      <c r="M945" s="34" t="s">
        <v>822</v>
      </c>
      <c r="N945" s="2" t="s">
        <v>22</v>
      </c>
      <c r="O945" s="2" t="s">
        <v>22</v>
      </c>
      <c r="P945" s="2" t="s">
        <v>22</v>
      </c>
      <c r="Q945" s="2" t="s">
        <v>22</v>
      </c>
    </row>
    <row r="946" customFormat="false" ht="15" hidden="false" customHeight="false" outlineLevel="0" collapsed="false">
      <c r="A946" s="2" t="s">
        <v>2833</v>
      </c>
      <c r="B946" s="2" t="s">
        <v>45</v>
      </c>
      <c r="C946" s="13" t="s">
        <v>3122</v>
      </c>
      <c r="D946" s="35"/>
      <c r="E946" s="2"/>
      <c r="F946" s="36"/>
      <c r="G946" s="31"/>
      <c r="H946" s="37"/>
      <c r="I946" s="31"/>
      <c r="J946" s="2"/>
      <c r="K946" s="38"/>
      <c r="L946" s="31"/>
      <c r="M946" s="39" t="s">
        <v>832</v>
      </c>
      <c r="N946" s="2"/>
      <c r="O946" s="2"/>
      <c r="P946" s="2"/>
      <c r="Q946" s="2"/>
    </row>
    <row r="947" customFormat="false" ht="15" hidden="false" customHeight="false" outlineLevel="0" collapsed="false">
      <c r="A947" s="2" t="s">
        <v>2833</v>
      </c>
      <c r="B947" s="2" t="s">
        <v>46</v>
      </c>
      <c r="C947" s="16"/>
      <c r="D947" s="35"/>
      <c r="E947" s="2"/>
      <c r="F947" s="36"/>
      <c r="G947" s="31"/>
      <c r="H947" s="37"/>
      <c r="I947" s="31"/>
      <c r="J947" s="2"/>
      <c r="K947" s="38"/>
      <c r="L947" s="31"/>
      <c r="M947" s="39" t="s">
        <v>832</v>
      </c>
      <c r="N947" s="2"/>
      <c r="O947" s="2"/>
      <c r="P947" s="2"/>
      <c r="Q947" s="2"/>
    </row>
    <row r="948" customFormat="false" ht="15" hidden="false" customHeight="false" outlineLevel="0" collapsed="false">
      <c r="A948" s="2" t="s">
        <v>2833</v>
      </c>
      <c r="B948" s="2" t="s">
        <v>47</v>
      </c>
      <c r="C948" s="14" t="s">
        <v>2834</v>
      </c>
      <c r="D948" s="42" t="n">
        <v>175095</v>
      </c>
      <c r="E948" s="2" t="s">
        <v>827</v>
      </c>
      <c r="F948" s="43" t="n">
        <v>0.371689654187727</v>
      </c>
      <c r="G948" s="31" t="n">
        <v>6.2</v>
      </c>
      <c r="H948" s="41" t="n">
        <v>0.1463523219044</v>
      </c>
      <c r="I948" s="31" t="n">
        <v>82</v>
      </c>
      <c r="J948" s="2" t="s">
        <v>2897</v>
      </c>
      <c r="K948" s="44" t="n">
        <v>0.268582375478927</v>
      </c>
      <c r="L948" s="31" t="n">
        <v>94.1</v>
      </c>
      <c r="M948" s="34" t="s">
        <v>822</v>
      </c>
      <c r="N948" s="2" t="s">
        <v>22</v>
      </c>
      <c r="O948" s="2" t="s">
        <v>22</v>
      </c>
      <c r="P948" s="2" t="s">
        <v>22</v>
      </c>
      <c r="Q948" s="2" t="s">
        <v>22</v>
      </c>
    </row>
    <row r="949" customFormat="false" ht="15" hidden="false" customHeight="false" outlineLevel="0" collapsed="false">
      <c r="A949" s="2" t="s">
        <v>684</v>
      </c>
      <c r="B949" s="2" t="s">
        <v>45</v>
      </c>
      <c r="C949" s="14" t="s">
        <v>1541</v>
      </c>
      <c r="D949" s="42" t="n">
        <v>19512</v>
      </c>
      <c r="E949" s="2" t="s">
        <v>821</v>
      </c>
      <c r="F949" s="43" t="n">
        <v>0.179735547355474</v>
      </c>
      <c r="G949" s="31" t="n">
        <v>7.8</v>
      </c>
      <c r="H949" s="41" t="n">
        <v>0.0340222575516693</v>
      </c>
      <c r="I949" s="31" t="n">
        <v>19.9</v>
      </c>
      <c r="J949" s="2" t="s">
        <v>2883</v>
      </c>
      <c r="K949" s="44" t="n">
        <v>0.0186567164179105</v>
      </c>
      <c r="L949" s="31" t="n">
        <v>5.4</v>
      </c>
      <c r="M949" s="34" t="s">
        <v>822</v>
      </c>
      <c r="N949" s="2" t="s">
        <v>22</v>
      </c>
      <c r="O949" s="2" t="s">
        <v>22</v>
      </c>
      <c r="P949" s="2" t="s">
        <v>22</v>
      </c>
      <c r="Q949" s="2" t="s">
        <v>22</v>
      </c>
    </row>
    <row r="950" customFormat="false" ht="15" hidden="false" customHeight="false" outlineLevel="0" collapsed="false">
      <c r="A950" s="2" t="s">
        <v>684</v>
      </c>
      <c r="B950" s="2" t="s">
        <v>46</v>
      </c>
      <c r="C950" s="13" t="s">
        <v>1733</v>
      </c>
      <c r="D950" s="29" t="n">
        <v>426590</v>
      </c>
      <c r="E950" s="2" t="s">
        <v>827</v>
      </c>
      <c r="F950" s="30" t="n">
        <v>5.47594177078694</v>
      </c>
      <c r="G950" s="31" t="n">
        <v>76</v>
      </c>
      <c r="H950" s="32" t="n">
        <v>0.0134464162687383</v>
      </c>
      <c r="I950" s="31" t="n">
        <v>17.8</v>
      </c>
      <c r="J950" s="2" t="s">
        <v>2888</v>
      </c>
      <c r="K950" s="33" t="n">
        <v>0.108571458686876</v>
      </c>
      <c r="L950" s="31" t="n">
        <v>40.8</v>
      </c>
      <c r="M950" s="34" t="s">
        <v>822</v>
      </c>
      <c r="N950" s="2" t="s">
        <v>24</v>
      </c>
      <c r="O950" s="2" t="s">
        <v>24</v>
      </c>
      <c r="P950" s="2" t="s">
        <v>24</v>
      </c>
      <c r="Q950" s="2" t="s">
        <v>24</v>
      </c>
    </row>
    <row r="951" customFormat="false" ht="15" hidden="false" customHeight="false" outlineLevel="0" collapsed="false">
      <c r="A951" s="2" t="s">
        <v>684</v>
      </c>
      <c r="B951" s="2" t="s">
        <v>47</v>
      </c>
      <c r="C951" s="14" t="s">
        <v>2828</v>
      </c>
      <c r="D951" s="42" t="n">
        <v>195387</v>
      </c>
      <c r="E951" s="2" t="s">
        <v>827</v>
      </c>
      <c r="F951" s="43" t="n">
        <v>0.375531637212302</v>
      </c>
      <c r="G951" s="31" t="n">
        <v>6.5</v>
      </c>
      <c r="H951" s="41" t="n">
        <v>0.0780448240474062</v>
      </c>
      <c r="I951" s="31" t="n">
        <v>47.2</v>
      </c>
      <c r="J951" s="2" t="s">
        <v>2897</v>
      </c>
      <c r="K951" s="44" t="n">
        <v>0.0374474589224303</v>
      </c>
      <c r="L951" s="31" t="n">
        <v>24.7</v>
      </c>
      <c r="M951" s="34" t="s">
        <v>822</v>
      </c>
      <c r="N951" s="2" t="s">
        <v>22</v>
      </c>
      <c r="O951" s="2" t="s">
        <v>22</v>
      </c>
      <c r="P951" s="2" t="s">
        <v>22</v>
      </c>
      <c r="Q951" s="2" t="s">
        <v>22</v>
      </c>
    </row>
    <row r="952" customFormat="false" ht="15" hidden="false" customHeight="false" outlineLevel="0" collapsed="false">
      <c r="A952" s="2" t="s">
        <v>1764</v>
      </c>
      <c r="B952" s="2" t="s">
        <v>45</v>
      </c>
      <c r="C952" s="13" t="s">
        <v>3123</v>
      </c>
      <c r="D952" s="29" t="n">
        <v>4420</v>
      </c>
      <c r="E952" s="2" t="s">
        <v>825</v>
      </c>
      <c r="F952" s="30" t="n">
        <v>0.537556561085973</v>
      </c>
      <c r="G952" s="31" t="n">
        <v>46.9</v>
      </c>
      <c r="H952" s="37"/>
      <c r="I952" s="31"/>
      <c r="J952" s="2"/>
      <c r="K952" s="33" t="n">
        <v>0.148148148148148</v>
      </c>
      <c r="L952" s="31" t="n">
        <v>56.9</v>
      </c>
      <c r="M952" s="39" t="s">
        <v>832</v>
      </c>
      <c r="N952" s="2" t="s">
        <v>24</v>
      </c>
      <c r="O952" s="2" t="s">
        <v>24</v>
      </c>
      <c r="P952" s="2"/>
      <c r="Q952" s="2" t="s">
        <v>24</v>
      </c>
    </row>
    <row r="953" customFormat="false" ht="15" hidden="false" customHeight="false" outlineLevel="0" collapsed="false">
      <c r="A953" s="2" t="s">
        <v>1764</v>
      </c>
      <c r="B953" s="2" t="s">
        <v>46</v>
      </c>
      <c r="C953" s="13" t="s">
        <v>1765</v>
      </c>
      <c r="D953" s="29" t="n">
        <v>114460</v>
      </c>
      <c r="E953" s="2" t="s">
        <v>827</v>
      </c>
      <c r="F953" s="30" t="n">
        <v>4.87371134020619</v>
      </c>
      <c r="G953" s="31" t="n">
        <v>71.9</v>
      </c>
      <c r="H953" s="32" t="n">
        <v>0.148274478330658</v>
      </c>
      <c r="I953" s="31" t="n">
        <v>87.3</v>
      </c>
      <c r="J953" s="2" t="s">
        <v>2888</v>
      </c>
      <c r="K953" s="33" t="n">
        <v>0.208005756469365</v>
      </c>
      <c r="L953" s="31" t="n">
        <v>70.6</v>
      </c>
      <c r="M953" s="34" t="s">
        <v>822</v>
      </c>
      <c r="N953" s="2" t="s">
        <v>24</v>
      </c>
      <c r="O953" s="2" t="s">
        <v>24</v>
      </c>
      <c r="P953" s="2" t="s">
        <v>24</v>
      </c>
      <c r="Q953" s="2" t="s">
        <v>24</v>
      </c>
    </row>
    <row r="954" customFormat="false" ht="15" hidden="false" customHeight="false" outlineLevel="0" collapsed="false">
      <c r="A954" s="2" t="s">
        <v>1764</v>
      </c>
      <c r="B954" s="2" t="s">
        <v>47</v>
      </c>
      <c r="C954" s="13" t="s">
        <v>2795</v>
      </c>
      <c r="D954" s="29" t="n">
        <v>102160</v>
      </c>
      <c r="E954" s="2" t="s">
        <v>827</v>
      </c>
      <c r="F954" s="30" t="n">
        <v>0.489545810493344</v>
      </c>
      <c r="G954" s="31" t="n">
        <v>12.5</v>
      </c>
      <c r="H954" s="32" t="n">
        <v>0.207707766875517</v>
      </c>
      <c r="I954" s="31" t="n">
        <v>95.7</v>
      </c>
      <c r="J954" s="2" t="s">
        <v>2897</v>
      </c>
      <c r="K954" s="33" t="n">
        <v>0.129861345958742</v>
      </c>
      <c r="L954" s="31" t="n">
        <v>68.3</v>
      </c>
      <c r="M954" s="34" t="s">
        <v>822</v>
      </c>
      <c r="N954" s="2" t="s">
        <v>24</v>
      </c>
      <c r="O954" s="2" t="s">
        <v>24</v>
      </c>
      <c r="P954" s="2" t="s">
        <v>24</v>
      </c>
      <c r="Q954" s="2" t="s">
        <v>24</v>
      </c>
    </row>
    <row r="955" customFormat="false" ht="15" hidden="false" customHeight="false" outlineLevel="0" collapsed="false">
      <c r="A955" s="2" t="s">
        <v>412</v>
      </c>
      <c r="B955" s="2" t="s">
        <v>46</v>
      </c>
      <c r="C955" s="13" t="s">
        <v>1994</v>
      </c>
      <c r="D955" s="29" t="n">
        <v>72250</v>
      </c>
      <c r="E955" s="2" t="s">
        <v>821</v>
      </c>
      <c r="F955" s="30" t="n">
        <v>2.40591003460208</v>
      </c>
      <c r="G955" s="31" t="n">
        <v>35.4</v>
      </c>
      <c r="H955" s="32" t="n">
        <v>0.184426229508197</v>
      </c>
      <c r="I955" s="31" t="n">
        <v>89.5</v>
      </c>
      <c r="J955" s="2" t="s">
        <v>2884</v>
      </c>
      <c r="K955" s="33" t="n">
        <v>0.191898673676664</v>
      </c>
      <c r="L955" s="31" t="n">
        <v>67.1</v>
      </c>
      <c r="M955" s="34" t="s">
        <v>822</v>
      </c>
      <c r="N955" s="2" t="s">
        <v>24</v>
      </c>
      <c r="O955" s="2" t="s">
        <v>24</v>
      </c>
      <c r="P955" s="2" t="s">
        <v>24</v>
      </c>
      <c r="Q955" s="2" t="s">
        <v>24</v>
      </c>
    </row>
    <row r="956" customFormat="false" ht="15" hidden="false" customHeight="false" outlineLevel="0" collapsed="false">
      <c r="A956" s="2" t="s">
        <v>412</v>
      </c>
      <c r="B956" s="2" t="s">
        <v>47</v>
      </c>
      <c r="C956" s="14" t="s">
        <v>2383</v>
      </c>
      <c r="D956" s="42" t="n">
        <v>68098</v>
      </c>
      <c r="E956" s="2" t="s">
        <v>821</v>
      </c>
      <c r="F956" s="43" t="n">
        <v>1.89507768216394</v>
      </c>
      <c r="G956" s="31" t="n">
        <v>73.5</v>
      </c>
      <c r="H956" s="41" t="n">
        <v>-0.1110037727967</v>
      </c>
      <c r="I956" s="31" t="n">
        <v>0.3</v>
      </c>
      <c r="J956" s="2" t="s">
        <v>2886</v>
      </c>
      <c r="K956" s="44" t="n">
        <v>0.0218201170835551</v>
      </c>
      <c r="L956" s="31" t="n">
        <v>14.7</v>
      </c>
      <c r="M956" s="34" t="s">
        <v>822</v>
      </c>
      <c r="N956" s="2" t="s">
        <v>22</v>
      </c>
      <c r="O956" s="2" t="s">
        <v>22</v>
      </c>
      <c r="P956" s="2" t="s">
        <v>22</v>
      </c>
      <c r="Q956" s="2" t="s">
        <v>22</v>
      </c>
    </row>
    <row r="957" customFormat="false" ht="15" hidden="false" customHeight="false" outlineLevel="0" collapsed="false">
      <c r="A957" s="2" t="s">
        <v>436</v>
      </c>
      <c r="B957" s="2" t="s">
        <v>46</v>
      </c>
      <c r="C957" s="14" t="s">
        <v>1878</v>
      </c>
      <c r="D957" s="42" t="n">
        <v>59959</v>
      </c>
      <c r="E957" s="2" t="s">
        <v>821</v>
      </c>
      <c r="F957" s="43" t="n">
        <v>3.36413215697393</v>
      </c>
      <c r="G957" s="31" t="n">
        <v>53.2</v>
      </c>
      <c r="H957" s="41" t="n">
        <v>0.143230308692585</v>
      </c>
      <c r="I957" s="31" t="n">
        <v>77.5</v>
      </c>
      <c r="J957" s="2" t="s">
        <v>2884</v>
      </c>
      <c r="K957" s="44" t="n">
        <v>0.271150814503416</v>
      </c>
      <c r="L957" s="31" t="n">
        <v>84.5</v>
      </c>
      <c r="M957" s="34" t="s">
        <v>822</v>
      </c>
      <c r="N957" s="2" t="s">
        <v>22</v>
      </c>
      <c r="O957" s="2" t="s">
        <v>22</v>
      </c>
      <c r="P957" s="2" t="s">
        <v>22</v>
      </c>
      <c r="Q957" s="2" t="s">
        <v>22</v>
      </c>
    </row>
    <row r="958" customFormat="false" ht="15" hidden="false" customHeight="false" outlineLevel="0" collapsed="false">
      <c r="A958" s="2" t="s">
        <v>1966</v>
      </c>
      <c r="B958" s="2" t="s">
        <v>45</v>
      </c>
      <c r="C958" s="13" t="s">
        <v>3124</v>
      </c>
      <c r="D958" s="29" t="n">
        <v>77770</v>
      </c>
      <c r="E958" s="2" t="s">
        <v>821</v>
      </c>
      <c r="F958" s="30" t="n">
        <v>0.158171531438858</v>
      </c>
      <c r="G958" s="31" t="n">
        <v>6.2</v>
      </c>
      <c r="H958" s="32" t="n">
        <v>0.0499527474011071</v>
      </c>
      <c r="I958" s="31" t="n">
        <v>27.1</v>
      </c>
      <c r="J958" s="2" t="s">
        <v>2883</v>
      </c>
      <c r="K958" s="38"/>
      <c r="L958" s="31"/>
      <c r="M958" s="39" t="s">
        <v>832</v>
      </c>
      <c r="N958" s="2" t="s">
        <v>24</v>
      </c>
      <c r="O958" s="2" t="s">
        <v>24</v>
      </c>
      <c r="P958" s="2" t="s">
        <v>24</v>
      </c>
      <c r="Q958" s="2"/>
    </row>
    <row r="959" customFormat="false" ht="15" hidden="false" customHeight="false" outlineLevel="0" collapsed="false">
      <c r="A959" s="2" t="s">
        <v>1966</v>
      </c>
      <c r="B959" s="2" t="s">
        <v>46</v>
      </c>
      <c r="C959" s="13" t="s">
        <v>1967</v>
      </c>
      <c r="D959" s="29" t="n">
        <v>69750</v>
      </c>
      <c r="E959" s="2" t="s">
        <v>821</v>
      </c>
      <c r="F959" s="30" t="n">
        <v>2.53959856630824</v>
      </c>
      <c r="G959" s="31" t="n">
        <v>39.3</v>
      </c>
      <c r="H959" s="32" t="n">
        <v>0.137104662536681</v>
      </c>
      <c r="I959" s="31" t="n">
        <v>76</v>
      </c>
      <c r="J959" s="2" t="s">
        <v>2884</v>
      </c>
      <c r="K959" s="44" t="n">
        <v>0.12733019415597</v>
      </c>
      <c r="L959" s="31" t="n">
        <v>48.1</v>
      </c>
      <c r="M959" s="34" t="s">
        <v>822</v>
      </c>
      <c r="N959" s="2" t="s">
        <v>24</v>
      </c>
      <c r="O959" s="2" t="s">
        <v>24</v>
      </c>
      <c r="P959" s="2" t="s">
        <v>24</v>
      </c>
      <c r="Q959" s="2" t="s">
        <v>22</v>
      </c>
    </row>
    <row r="960" customFormat="false" ht="15" hidden="false" customHeight="false" outlineLevel="0" collapsed="false">
      <c r="A960" s="2" t="s">
        <v>1966</v>
      </c>
      <c r="B960" s="2" t="s">
        <v>47</v>
      </c>
      <c r="C960" s="14" t="s">
        <v>2334</v>
      </c>
      <c r="D960" s="42" t="n">
        <v>8595</v>
      </c>
      <c r="E960" s="2" t="s">
        <v>825</v>
      </c>
      <c r="F960" s="43" t="n">
        <v>2.3760325770797</v>
      </c>
      <c r="G960" s="31" t="n">
        <v>82.5</v>
      </c>
      <c r="H960" s="41" t="n">
        <v>0.0636059893577528</v>
      </c>
      <c r="I960" s="31" t="n">
        <v>31.2</v>
      </c>
      <c r="J960" s="2" t="s">
        <v>2889</v>
      </c>
      <c r="K960" s="44" t="n">
        <v>0.101273885350319</v>
      </c>
      <c r="L960" s="31" t="n">
        <v>59.7</v>
      </c>
      <c r="M960" s="34" t="s">
        <v>822</v>
      </c>
      <c r="N960" s="2" t="s">
        <v>22</v>
      </c>
      <c r="O960" s="2" t="s">
        <v>22</v>
      </c>
      <c r="P960" s="2" t="s">
        <v>22</v>
      </c>
      <c r="Q960" s="2" t="s">
        <v>22</v>
      </c>
    </row>
    <row r="961" customFormat="false" ht="15" hidden="false" customHeight="false" outlineLevel="0" collapsed="false">
      <c r="A961" s="2" t="s">
        <v>292</v>
      </c>
      <c r="B961" s="2" t="s">
        <v>45</v>
      </c>
      <c r="C961" s="13" t="s">
        <v>1378</v>
      </c>
      <c r="D961" s="46" t="n">
        <v>9834</v>
      </c>
      <c r="E961" s="2" t="s">
        <v>825</v>
      </c>
      <c r="F961" s="47" t="n">
        <v>0.427394752898109</v>
      </c>
      <c r="G961" s="31" t="n">
        <v>31.8</v>
      </c>
      <c r="H961" s="48" t="n">
        <v>0.0390955198647506</v>
      </c>
      <c r="I961" s="31" t="n">
        <v>12.7</v>
      </c>
      <c r="J961" s="2" t="s">
        <v>2899</v>
      </c>
      <c r="K961" s="33" t="n">
        <v>0.233243967828418</v>
      </c>
      <c r="L961" s="31" t="n">
        <v>79.7</v>
      </c>
      <c r="M961" s="34" t="s">
        <v>822</v>
      </c>
      <c r="N961" s="2" t="s">
        <v>19</v>
      </c>
      <c r="O961" s="2" t="s">
        <v>19</v>
      </c>
      <c r="P961" s="2" t="s">
        <v>19</v>
      </c>
      <c r="Q961" s="2" t="s">
        <v>24</v>
      </c>
    </row>
    <row r="962" customFormat="false" ht="15" hidden="false" customHeight="false" outlineLevel="0" collapsed="false">
      <c r="A962" s="2" t="s">
        <v>292</v>
      </c>
      <c r="B962" s="2" t="s">
        <v>47</v>
      </c>
      <c r="C962" s="13" t="s">
        <v>2239</v>
      </c>
      <c r="D962" s="29" t="n">
        <v>105450</v>
      </c>
      <c r="E962" s="2" t="s">
        <v>827</v>
      </c>
      <c r="F962" s="30" t="n">
        <v>4.32615457562826</v>
      </c>
      <c r="G962" s="31" t="n">
        <v>96.1</v>
      </c>
      <c r="H962" s="32" t="n">
        <v>0.0740476675493991</v>
      </c>
      <c r="I962" s="31" t="n">
        <v>44.1</v>
      </c>
      <c r="J962" s="2" t="s">
        <v>2897</v>
      </c>
      <c r="K962" s="33" t="n">
        <v>0.318382834680061</v>
      </c>
      <c r="L962" s="31" t="n">
        <v>97.1</v>
      </c>
      <c r="M962" s="34" t="s">
        <v>822</v>
      </c>
      <c r="N962" s="2" t="s">
        <v>24</v>
      </c>
      <c r="O962" s="2" t="s">
        <v>24</v>
      </c>
      <c r="P962" s="2" t="s">
        <v>24</v>
      </c>
      <c r="Q962" s="2" t="s">
        <v>24</v>
      </c>
    </row>
    <row r="963" customFormat="false" ht="15" hidden="false" customHeight="false" outlineLevel="0" collapsed="false">
      <c r="A963" s="2" t="s">
        <v>396</v>
      </c>
      <c r="B963" s="2" t="s">
        <v>45</v>
      </c>
      <c r="C963" s="13" t="s">
        <v>942</v>
      </c>
      <c r="D963" s="29" t="n">
        <v>2960</v>
      </c>
      <c r="E963" s="2" t="s">
        <v>825</v>
      </c>
      <c r="F963" s="30" t="n">
        <v>1.28952702702703</v>
      </c>
      <c r="G963" s="31" t="n">
        <v>85.6</v>
      </c>
      <c r="H963" s="48" t="n">
        <v>0.0467158412363892</v>
      </c>
      <c r="I963" s="31" t="n">
        <v>16.9</v>
      </c>
      <c r="J963" s="2" t="s">
        <v>2899</v>
      </c>
      <c r="K963" s="33" t="n">
        <v>0.173333333333333</v>
      </c>
      <c r="L963" s="31" t="n">
        <v>66.2</v>
      </c>
      <c r="M963" s="34" t="s">
        <v>822</v>
      </c>
      <c r="N963" s="2" t="s">
        <v>24</v>
      </c>
      <c r="O963" s="2" t="s">
        <v>24</v>
      </c>
      <c r="P963" s="2" t="s">
        <v>19</v>
      </c>
      <c r="Q963" s="2" t="s">
        <v>24</v>
      </c>
    </row>
    <row r="964" customFormat="false" ht="15" hidden="false" customHeight="false" outlineLevel="0" collapsed="false">
      <c r="A964" s="2" t="s">
        <v>396</v>
      </c>
      <c r="B964" s="2" t="s">
        <v>47</v>
      </c>
      <c r="C964" s="14" t="s">
        <v>2702</v>
      </c>
      <c r="D964" s="42" t="n">
        <v>3080</v>
      </c>
      <c r="E964" s="2" t="s">
        <v>825</v>
      </c>
      <c r="F964" s="43" t="n">
        <v>0.757467532467533</v>
      </c>
      <c r="G964" s="31" t="n">
        <v>25.2</v>
      </c>
      <c r="H964" s="41" t="n">
        <v>0.0871867278503353</v>
      </c>
      <c r="I964" s="31" t="n">
        <v>42.5</v>
      </c>
      <c r="J964" s="2" t="s">
        <v>2889</v>
      </c>
      <c r="K964" s="44" t="n">
        <v>0.228758169934641</v>
      </c>
      <c r="L964" s="31" t="n">
        <v>90.1</v>
      </c>
      <c r="M964" s="34" t="s">
        <v>822</v>
      </c>
      <c r="N964" s="2" t="s">
        <v>22</v>
      </c>
      <c r="O964" s="2" t="s">
        <v>22</v>
      </c>
      <c r="P964" s="2" t="s">
        <v>22</v>
      </c>
      <c r="Q964" s="2" t="s">
        <v>22</v>
      </c>
    </row>
    <row r="965" customFormat="false" ht="15" hidden="false" customHeight="false" outlineLevel="0" collapsed="false">
      <c r="A965" s="2" t="s">
        <v>2111</v>
      </c>
      <c r="B965" s="2" t="s">
        <v>45</v>
      </c>
      <c r="C965" s="13" t="s">
        <v>3125</v>
      </c>
      <c r="D965" s="29" t="n">
        <v>1780790</v>
      </c>
      <c r="E965" s="2" t="s">
        <v>935</v>
      </c>
      <c r="F965" s="30" t="n">
        <v>0.231136742681619</v>
      </c>
      <c r="G965" s="31" t="n">
        <v>10.8</v>
      </c>
      <c r="H965" s="32" t="n">
        <v>0.116881895097308</v>
      </c>
      <c r="I965" s="31" t="n">
        <v>76.5</v>
      </c>
      <c r="J965" s="2" t="s">
        <v>2892</v>
      </c>
      <c r="K965" s="38"/>
      <c r="L965" s="31"/>
      <c r="M965" s="39" t="s">
        <v>832</v>
      </c>
      <c r="N965" s="2" t="s">
        <v>24</v>
      </c>
      <c r="O965" s="2" t="s">
        <v>24</v>
      </c>
      <c r="P965" s="2" t="s">
        <v>24</v>
      </c>
      <c r="Q965" s="2"/>
    </row>
    <row r="966" customFormat="false" ht="15" hidden="false" customHeight="false" outlineLevel="0" collapsed="false">
      <c r="A966" s="2" t="s">
        <v>2111</v>
      </c>
      <c r="B966" s="2" t="s">
        <v>46</v>
      </c>
      <c r="C966" s="13" t="s">
        <v>2112</v>
      </c>
      <c r="D966" s="29" t="n">
        <v>51150</v>
      </c>
      <c r="E966" s="2" t="s">
        <v>821</v>
      </c>
      <c r="F966" s="30" t="n">
        <v>1.47038123167155</v>
      </c>
      <c r="G966" s="31" t="n">
        <v>15.5</v>
      </c>
      <c r="H966" s="48" t="n">
        <v>0.150057714505579</v>
      </c>
      <c r="I966" s="31" t="n">
        <v>81.1</v>
      </c>
      <c r="J966" s="2" t="s">
        <v>2884</v>
      </c>
      <c r="K966" s="33" t="n">
        <v>0.128440366972477</v>
      </c>
      <c r="L966" s="31" t="n">
        <v>48.8</v>
      </c>
      <c r="M966" s="34" t="s">
        <v>822</v>
      </c>
      <c r="N966" s="2" t="s">
        <v>24</v>
      </c>
      <c r="O966" s="2" t="s">
        <v>24</v>
      </c>
      <c r="P966" s="2" t="s">
        <v>19</v>
      </c>
      <c r="Q966" s="2" t="s">
        <v>24</v>
      </c>
    </row>
    <row r="967" customFormat="false" ht="15" hidden="false" customHeight="false" outlineLevel="0" collapsed="false">
      <c r="A967" s="2" t="s">
        <v>2111</v>
      </c>
      <c r="B967" s="2" t="s">
        <v>47</v>
      </c>
      <c r="C967" s="14" t="s">
        <v>2533</v>
      </c>
      <c r="D967" s="42" t="n">
        <v>20091</v>
      </c>
      <c r="E967" s="2" t="s">
        <v>821</v>
      </c>
      <c r="F967" s="43" t="n">
        <v>1.27504852919218</v>
      </c>
      <c r="G967" s="31" t="n">
        <v>51.1</v>
      </c>
      <c r="H967" s="41" t="n">
        <v>0.0712343375099973</v>
      </c>
      <c r="I967" s="31" t="n">
        <v>36.4</v>
      </c>
      <c r="J967" s="2" t="s">
        <v>2886</v>
      </c>
      <c r="K967" s="44" t="n">
        <v>0.0354552780016116</v>
      </c>
      <c r="L967" s="31" t="n">
        <v>22.9</v>
      </c>
      <c r="M967" s="34" t="s">
        <v>822</v>
      </c>
      <c r="N967" s="2" t="s">
        <v>22</v>
      </c>
      <c r="O967" s="2" t="s">
        <v>22</v>
      </c>
      <c r="P967" s="2" t="s">
        <v>22</v>
      </c>
      <c r="Q967" s="2" t="s">
        <v>22</v>
      </c>
    </row>
    <row r="968" customFormat="false" ht="15" hidden="false" customHeight="false" outlineLevel="0" collapsed="false">
      <c r="A968" s="2" t="s">
        <v>486</v>
      </c>
      <c r="B968" s="2" t="s">
        <v>45</v>
      </c>
      <c r="C968" s="13" t="s">
        <v>877</v>
      </c>
      <c r="D968" s="29" t="n">
        <v>24050</v>
      </c>
      <c r="E968" s="2" t="s">
        <v>821</v>
      </c>
      <c r="F968" s="30" t="n">
        <v>1.89397089397089</v>
      </c>
      <c r="G968" s="31" t="n">
        <v>94.3</v>
      </c>
      <c r="H968" s="32" t="n">
        <v>0.226415094339623</v>
      </c>
      <c r="I968" s="31" t="n">
        <v>95.5</v>
      </c>
      <c r="J968" s="2" t="s">
        <v>2883</v>
      </c>
      <c r="K968" s="33" t="n">
        <v>0.0821917808219178</v>
      </c>
      <c r="L968" s="31" t="n">
        <v>27.3</v>
      </c>
      <c r="M968" s="34" t="s">
        <v>822</v>
      </c>
      <c r="N968" s="2" t="s">
        <v>24</v>
      </c>
      <c r="O968" s="2" t="s">
        <v>24</v>
      </c>
      <c r="P968" s="2" t="s">
        <v>24</v>
      </c>
      <c r="Q968" s="2" t="s">
        <v>24</v>
      </c>
    </row>
    <row r="969" customFormat="false" ht="15" hidden="false" customHeight="false" outlineLevel="0" collapsed="false">
      <c r="A969" s="2" t="s">
        <v>486</v>
      </c>
      <c r="B969" s="2" t="s">
        <v>47</v>
      </c>
      <c r="C969" s="13" t="s">
        <v>2840</v>
      </c>
      <c r="D969" s="29" t="n">
        <v>313060</v>
      </c>
      <c r="E969" s="2" t="s">
        <v>827</v>
      </c>
      <c r="F969" s="30" t="n">
        <v>0.347891777933942</v>
      </c>
      <c r="G969" s="31" t="n">
        <v>5.3</v>
      </c>
      <c r="H969" s="32" t="n">
        <v>-0.0637597942460673</v>
      </c>
      <c r="I969" s="31" t="n">
        <v>3.1</v>
      </c>
      <c r="J969" s="2" t="s">
        <v>2897</v>
      </c>
      <c r="K969" s="33" t="n">
        <v>0.0825766174801362</v>
      </c>
      <c r="L969" s="31" t="n">
        <v>50.5</v>
      </c>
      <c r="M969" s="34" t="s">
        <v>822</v>
      </c>
      <c r="N969" s="2" t="s">
        <v>24</v>
      </c>
      <c r="O969" s="2" t="s">
        <v>24</v>
      </c>
      <c r="P969" s="2" t="s">
        <v>24</v>
      </c>
      <c r="Q969" s="2" t="s">
        <v>24</v>
      </c>
    </row>
    <row r="970" customFormat="false" ht="15" hidden="false" customHeight="false" outlineLevel="0" collapsed="false">
      <c r="A970" s="2" t="s">
        <v>714</v>
      </c>
      <c r="B970" s="2" t="s">
        <v>45</v>
      </c>
      <c r="C970" s="13" t="s">
        <v>1202</v>
      </c>
      <c r="D970" s="29" t="n">
        <v>21140</v>
      </c>
      <c r="E970" s="2" t="s">
        <v>821</v>
      </c>
      <c r="F970" s="30" t="n">
        <v>0.601844843897824</v>
      </c>
      <c r="G970" s="31" t="n">
        <v>54.1</v>
      </c>
      <c r="H970" s="32" t="n">
        <v>0.179029559397658</v>
      </c>
      <c r="I970" s="31" t="n">
        <v>86.6</v>
      </c>
      <c r="J970" s="2" t="s">
        <v>2883</v>
      </c>
      <c r="K970" s="33" t="n">
        <v>0.406173842404549</v>
      </c>
      <c r="L970" s="31" t="n">
        <v>97.9</v>
      </c>
      <c r="M970" s="34" t="s">
        <v>822</v>
      </c>
      <c r="N970" s="2" t="s">
        <v>24</v>
      </c>
      <c r="O970" s="2" t="s">
        <v>24</v>
      </c>
      <c r="P970" s="2" t="s">
        <v>24</v>
      </c>
      <c r="Q970" s="2" t="s">
        <v>24</v>
      </c>
    </row>
    <row r="971" customFormat="false" ht="15" hidden="false" customHeight="false" outlineLevel="0" collapsed="false">
      <c r="A971" s="2" t="s">
        <v>714</v>
      </c>
      <c r="B971" s="2" t="s">
        <v>46</v>
      </c>
      <c r="C971" s="13" t="s">
        <v>2097</v>
      </c>
      <c r="D971" s="29" t="n">
        <v>33640</v>
      </c>
      <c r="E971" s="2" t="s">
        <v>821</v>
      </c>
      <c r="F971" s="30" t="n">
        <v>1.56171224732461</v>
      </c>
      <c r="G971" s="31" t="n">
        <v>17.9</v>
      </c>
      <c r="H971" s="32" t="n">
        <v>0.0525657071339174</v>
      </c>
      <c r="I971" s="31" t="n">
        <v>31.3</v>
      </c>
      <c r="J971" s="2" t="s">
        <v>2884</v>
      </c>
      <c r="K971" s="33" t="n">
        <v>0.0836560805577072</v>
      </c>
      <c r="L971" s="31" t="n">
        <v>28.3</v>
      </c>
      <c r="M971" s="34" t="s">
        <v>822</v>
      </c>
      <c r="N971" s="2" t="s">
        <v>24</v>
      </c>
      <c r="O971" s="2" t="s">
        <v>24</v>
      </c>
      <c r="P971" s="2" t="s">
        <v>24</v>
      </c>
      <c r="Q971" s="2" t="s">
        <v>24</v>
      </c>
    </row>
    <row r="972" customFormat="false" ht="15" hidden="false" customHeight="false" outlineLevel="0" collapsed="false">
      <c r="A972" s="2" t="s">
        <v>714</v>
      </c>
      <c r="B972" s="2" t="s">
        <v>47</v>
      </c>
      <c r="C972" s="14" t="s">
        <v>2818</v>
      </c>
      <c r="D972" s="42" t="n">
        <v>294279</v>
      </c>
      <c r="E972" s="2" t="s">
        <v>827</v>
      </c>
      <c r="F972" s="43" t="n">
        <v>0.409699638778166</v>
      </c>
      <c r="G972" s="31" t="n">
        <v>8.3</v>
      </c>
      <c r="H972" s="41" t="n">
        <v>0.0659308816018719</v>
      </c>
      <c r="I972" s="31" t="n">
        <v>39.8</v>
      </c>
      <c r="J972" s="2" t="s">
        <v>2897</v>
      </c>
      <c r="K972" s="44" t="n">
        <v>0.0194738640245986</v>
      </c>
      <c r="L972" s="31" t="n">
        <v>12.9</v>
      </c>
      <c r="M972" s="34" t="s">
        <v>822</v>
      </c>
      <c r="N972" s="2" t="s">
        <v>22</v>
      </c>
      <c r="O972" s="2" t="s">
        <v>22</v>
      </c>
      <c r="P972" s="2" t="s">
        <v>22</v>
      </c>
      <c r="Q972" s="2" t="s">
        <v>22</v>
      </c>
    </row>
    <row r="973" customFormat="false" ht="15" hidden="false" customHeight="false" outlineLevel="0" collapsed="false">
      <c r="A973" s="2" t="s">
        <v>1423</v>
      </c>
      <c r="B973" s="2" t="s">
        <v>45</v>
      </c>
      <c r="C973" s="13" t="s">
        <v>1424</v>
      </c>
      <c r="D973" s="29" t="n">
        <v>4720</v>
      </c>
      <c r="E973" s="2" t="s">
        <v>825</v>
      </c>
      <c r="F973" s="30" t="n">
        <v>0.353813559322034</v>
      </c>
      <c r="G973" s="31" t="n">
        <v>24.4</v>
      </c>
      <c r="H973" s="41" t="n">
        <v>0.00979325353645267</v>
      </c>
      <c r="I973" s="31" t="n">
        <v>8.5</v>
      </c>
      <c r="J973" s="2" t="s">
        <v>2899</v>
      </c>
      <c r="K973" s="33" t="n">
        <v>0.181818181818182</v>
      </c>
      <c r="L973" s="31" t="n">
        <v>68.5</v>
      </c>
      <c r="M973" s="34" t="s">
        <v>822</v>
      </c>
      <c r="N973" s="2" t="s">
        <v>24</v>
      </c>
      <c r="O973" s="2" t="s">
        <v>24</v>
      </c>
      <c r="P973" s="2" t="s">
        <v>22</v>
      </c>
      <c r="Q973" s="2" t="s">
        <v>24</v>
      </c>
    </row>
    <row r="974" customFormat="false" ht="15" hidden="false" customHeight="false" outlineLevel="0" collapsed="false">
      <c r="A974" s="2" t="s">
        <v>1423</v>
      </c>
      <c r="B974" s="2" t="s">
        <v>46</v>
      </c>
      <c r="C974" s="13" t="s">
        <v>3126</v>
      </c>
      <c r="D974" s="29" t="n">
        <v>47390</v>
      </c>
      <c r="E974" s="2" t="s">
        <v>821</v>
      </c>
      <c r="F974" s="30" t="n">
        <v>2.86233382570163</v>
      </c>
      <c r="G974" s="31" t="n">
        <v>44.4</v>
      </c>
      <c r="H974" s="32" t="n">
        <v>0.0461368653421634</v>
      </c>
      <c r="I974" s="31" t="n">
        <v>28.7</v>
      </c>
      <c r="J974" s="2" t="s">
        <v>2884</v>
      </c>
      <c r="K974" s="38"/>
      <c r="L974" s="31"/>
      <c r="M974" s="39" t="s">
        <v>832</v>
      </c>
      <c r="N974" s="2" t="s">
        <v>24</v>
      </c>
      <c r="O974" s="2" t="s">
        <v>24</v>
      </c>
      <c r="P974" s="2" t="s">
        <v>24</v>
      </c>
      <c r="Q974" s="2"/>
    </row>
    <row r="975" customFormat="false" ht="15" hidden="false" customHeight="false" outlineLevel="0" collapsed="false">
      <c r="A975" s="2" t="s">
        <v>1423</v>
      </c>
      <c r="B975" s="2" t="s">
        <v>47</v>
      </c>
      <c r="C975" s="13" t="s">
        <v>2614</v>
      </c>
      <c r="D975" s="29" t="n">
        <v>64330</v>
      </c>
      <c r="E975" s="2" t="s">
        <v>821</v>
      </c>
      <c r="F975" s="30" t="n">
        <v>0.995243276853723</v>
      </c>
      <c r="G975" s="31" t="n">
        <v>38.4</v>
      </c>
      <c r="H975" s="32" t="n">
        <v>0.0196544618798542</v>
      </c>
      <c r="I975" s="31" t="n">
        <v>15.9</v>
      </c>
      <c r="J975" s="2" t="s">
        <v>2886</v>
      </c>
      <c r="K975" s="33" t="n">
        <v>0.121538190156994</v>
      </c>
      <c r="L975" s="31" t="n">
        <v>66.1</v>
      </c>
      <c r="M975" s="34" t="s">
        <v>822</v>
      </c>
      <c r="N975" s="2" t="s">
        <v>24</v>
      </c>
      <c r="O975" s="2" t="s">
        <v>24</v>
      </c>
      <c r="P975" s="2" t="s">
        <v>24</v>
      </c>
      <c r="Q975" s="2" t="s">
        <v>24</v>
      </c>
    </row>
    <row r="976" customFormat="false" ht="15" hidden="false" customHeight="false" outlineLevel="0" collapsed="false">
      <c r="A976" s="2" t="s">
        <v>1128</v>
      </c>
      <c r="B976" s="2" t="s">
        <v>45</v>
      </c>
      <c r="C976" s="13" t="s">
        <v>1129</v>
      </c>
      <c r="D976" s="29" t="n">
        <v>614970</v>
      </c>
      <c r="E976" s="2" t="s">
        <v>827</v>
      </c>
      <c r="F976" s="30" t="n">
        <v>0.722306779192481</v>
      </c>
      <c r="G976" s="31" t="n">
        <v>63.3</v>
      </c>
      <c r="H976" s="32" t="n">
        <v>0.0891750203676809</v>
      </c>
      <c r="I976" s="31" t="n">
        <v>55.7</v>
      </c>
      <c r="J976" s="2" t="s">
        <v>2890</v>
      </c>
      <c r="K976" s="33" t="n">
        <v>0.0827390939597315</v>
      </c>
      <c r="L976" s="31" t="n">
        <v>27.7</v>
      </c>
      <c r="M976" s="34" t="s">
        <v>822</v>
      </c>
      <c r="N976" s="2" t="s">
        <v>24</v>
      </c>
      <c r="O976" s="2" t="s">
        <v>24</v>
      </c>
      <c r="P976" s="2" t="s">
        <v>24</v>
      </c>
      <c r="Q976" s="2" t="s">
        <v>24</v>
      </c>
    </row>
    <row r="977" customFormat="false" ht="15" hidden="false" customHeight="false" outlineLevel="0" collapsed="false">
      <c r="A977" s="2" t="s">
        <v>1128</v>
      </c>
      <c r="B977" s="2" t="s">
        <v>46</v>
      </c>
      <c r="C977" s="14" t="s">
        <v>1740</v>
      </c>
      <c r="D977" s="42" t="n">
        <v>23130</v>
      </c>
      <c r="E977" s="2" t="s">
        <v>821</v>
      </c>
      <c r="F977" s="43" t="n">
        <v>5.39057501080847</v>
      </c>
      <c r="G977" s="31" t="n">
        <v>75</v>
      </c>
      <c r="H977" s="41" t="n">
        <v>0.104320840296013</v>
      </c>
      <c r="I977" s="31" t="n">
        <v>60.4</v>
      </c>
      <c r="J977" s="2" t="s">
        <v>2884</v>
      </c>
      <c r="K977" s="44" t="n">
        <v>0.112051882543686</v>
      </c>
      <c r="L977" s="31" t="n">
        <v>41.7</v>
      </c>
      <c r="M977" s="34" t="s">
        <v>822</v>
      </c>
      <c r="N977" s="2" t="s">
        <v>22</v>
      </c>
      <c r="O977" s="2" t="s">
        <v>22</v>
      </c>
      <c r="P977" s="2" t="s">
        <v>22</v>
      </c>
      <c r="Q977" s="2" t="s">
        <v>22</v>
      </c>
    </row>
    <row r="978" customFormat="false" ht="15" hidden="false" customHeight="false" outlineLevel="0" collapsed="false">
      <c r="A978" s="2" t="s">
        <v>1128</v>
      </c>
      <c r="B978" s="2" t="s">
        <v>47</v>
      </c>
      <c r="C978" s="15" t="s">
        <v>3127</v>
      </c>
      <c r="D978" s="46" t="n">
        <v>14213</v>
      </c>
      <c r="E978" s="2" t="s">
        <v>821</v>
      </c>
      <c r="F978" s="47" t="n">
        <v>2.69218321255189</v>
      </c>
      <c r="G978" s="31" t="n">
        <v>86.9</v>
      </c>
      <c r="H978" s="48" t="n">
        <v>0.0225915533491618</v>
      </c>
      <c r="I978" s="31" t="n">
        <v>18.8</v>
      </c>
      <c r="J978" s="2" t="s">
        <v>2886</v>
      </c>
      <c r="K978" s="38"/>
      <c r="L978" s="31"/>
      <c r="M978" s="39" t="s">
        <v>832</v>
      </c>
      <c r="N978" s="2" t="s">
        <v>19</v>
      </c>
      <c r="O978" s="2" t="s">
        <v>19</v>
      </c>
      <c r="P978" s="2" t="s">
        <v>19</v>
      </c>
      <c r="Q978" s="2"/>
    </row>
    <row r="979" customFormat="false" ht="15" hidden="false" customHeight="false" outlineLevel="0" collapsed="false">
      <c r="A979" s="2" t="s">
        <v>2853</v>
      </c>
      <c r="B979" s="2" t="s">
        <v>46</v>
      </c>
      <c r="C979" s="13" t="s">
        <v>3128</v>
      </c>
      <c r="D979" s="29" t="n">
        <v>183130</v>
      </c>
      <c r="E979" s="2" t="s">
        <v>827</v>
      </c>
      <c r="F979" s="30" t="n">
        <v>5.43834980614864</v>
      </c>
      <c r="G979" s="31" t="n">
        <v>75.8</v>
      </c>
      <c r="H979" s="32" t="n">
        <v>0.034106951267717</v>
      </c>
      <c r="I979" s="31" t="n">
        <v>26.8</v>
      </c>
      <c r="J979" s="2" t="s">
        <v>2888</v>
      </c>
      <c r="K979" s="38"/>
      <c r="L979" s="31"/>
      <c r="M979" s="39" t="s">
        <v>832</v>
      </c>
      <c r="N979" s="2" t="s">
        <v>24</v>
      </c>
      <c r="O979" s="2" t="s">
        <v>24</v>
      </c>
      <c r="P979" s="2" t="s">
        <v>24</v>
      </c>
      <c r="Q979" s="2"/>
    </row>
    <row r="980" customFormat="false" ht="15" hidden="false" customHeight="false" outlineLevel="0" collapsed="false">
      <c r="A980" s="2" t="s">
        <v>2853</v>
      </c>
      <c r="B980" s="2" t="s">
        <v>47</v>
      </c>
      <c r="C980" s="14" t="s">
        <v>2854</v>
      </c>
      <c r="D980" s="42" t="n">
        <v>42516</v>
      </c>
      <c r="E980" s="2" t="s">
        <v>821</v>
      </c>
      <c r="F980" s="43" t="n">
        <v>0.29233700254022</v>
      </c>
      <c r="G980" s="31" t="n">
        <v>3.4</v>
      </c>
      <c r="H980" s="41" t="n">
        <v>0.0400958974484429</v>
      </c>
      <c r="I980" s="31" t="n">
        <v>24</v>
      </c>
      <c r="J980" s="2" t="s">
        <v>2886</v>
      </c>
      <c r="K980" s="44" t="n">
        <v>0.114705882352941</v>
      </c>
      <c r="L980" s="31" t="n">
        <v>64</v>
      </c>
      <c r="M980" s="34" t="s">
        <v>822</v>
      </c>
      <c r="N980" s="2" t="s">
        <v>22</v>
      </c>
      <c r="O980" s="2" t="s">
        <v>22</v>
      </c>
      <c r="P980" s="2" t="s">
        <v>22</v>
      </c>
      <c r="Q980" s="2" t="s">
        <v>22</v>
      </c>
    </row>
    <row r="981" customFormat="false" ht="15" hidden="false" customHeight="false" outlineLevel="0" collapsed="false">
      <c r="A981" s="2" t="s">
        <v>1018</v>
      </c>
      <c r="B981" s="2" t="s">
        <v>45</v>
      </c>
      <c r="C981" s="13" t="s">
        <v>1019</v>
      </c>
      <c r="D981" s="29" t="n">
        <v>14550</v>
      </c>
      <c r="E981" s="2" t="s">
        <v>821</v>
      </c>
      <c r="F981" s="30" t="n">
        <v>0.943436426116839</v>
      </c>
      <c r="G981" s="31" t="n">
        <v>76.7</v>
      </c>
      <c r="H981" s="32" t="n">
        <v>0.155679110405083</v>
      </c>
      <c r="I981" s="31" t="n">
        <v>77.7</v>
      </c>
      <c r="J981" s="2" t="s">
        <v>2883</v>
      </c>
      <c r="K981" s="44" t="n">
        <v>0.136518771331058</v>
      </c>
      <c r="L981" s="31" t="n">
        <v>51.3</v>
      </c>
      <c r="M981" s="34" t="s">
        <v>822</v>
      </c>
      <c r="N981" s="2" t="s">
        <v>24</v>
      </c>
      <c r="O981" s="2" t="s">
        <v>24</v>
      </c>
      <c r="P981" s="2" t="s">
        <v>24</v>
      </c>
      <c r="Q981" s="2" t="s">
        <v>22</v>
      </c>
    </row>
    <row r="982" customFormat="false" ht="15" hidden="false" customHeight="false" outlineLevel="0" collapsed="false">
      <c r="A982" s="2" t="s">
        <v>1018</v>
      </c>
      <c r="B982" s="2" t="s">
        <v>46</v>
      </c>
      <c r="C982" s="16"/>
      <c r="D982" s="35"/>
      <c r="E982" s="2"/>
      <c r="F982" s="36"/>
      <c r="G982" s="31"/>
      <c r="H982" s="37"/>
      <c r="I982" s="31"/>
      <c r="J982" s="2"/>
      <c r="K982" s="38"/>
      <c r="L982" s="31"/>
      <c r="M982" s="39" t="s">
        <v>832</v>
      </c>
      <c r="N982" s="2"/>
      <c r="O982" s="2"/>
      <c r="P982" s="2"/>
      <c r="Q982" s="2"/>
    </row>
    <row r="983" customFormat="false" ht="15" hidden="false" customHeight="false" outlineLevel="0" collapsed="false">
      <c r="A983" s="2" t="s">
        <v>360</v>
      </c>
      <c r="B983" s="2" t="s">
        <v>45</v>
      </c>
      <c r="C983" s="14" t="s">
        <v>1141</v>
      </c>
      <c r="D983" s="42" t="n">
        <v>6100</v>
      </c>
      <c r="E983" s="2" t="s">
        <v>825</v>
      </c>
      <c r="F983" s="43" t="n">
        <v>0.701967213114754</v>
      </c>
      <c r="G983" s="31" t="n">
        <v>61.6</v>
      </c>
      <c r="H983" s="41" t="n">
        <v>0.0407780242279475</v>
      </c>
      <c r="I983" s="31" t="n">
        <v>14.1</v>
      </c>
      <c r="J983" s="2" t="s">
        <v>2899</v>
      </c>
      <c r="K983" s="44" t="n">
        <v>0.0534351145038168</v>
      </c>
      <c r="L983" s="31" t="n">
        <v>16.8</v>
      </c>
      <c r="M983" s="34" t="s">
        <v>822</v>
      </c>
      <c r="N983" s="2" t="s">
        <v>22</v>
      </c>
      <c r="O983" s="2" t="s">
        <v>22</v>
      </c>
      <c r="P983" s="2" t="s">
        <v>22</v>
      </c>
      <c r="Q983" s="2" t="s">
        <v>22</v>
      </c>
    </row>
    <row r="984" customFormat="false" ht="15" hidden="false" customHeight="false" outlineLevel="0" collapsed="false">
      <c r="A984" s="2" t="s">
        <v>360</v>
      </c>
      <c r="B984" s="2" t="s">
        <v>46</v>
      </c>
      <c r="C984" s="13" t="s">
        <v>2067</v>
      </c>
      <c r="D984" s="29" t="n">
        <v>180980</v>
      </c>
      <c r="E984" s="2" t="s">
        <v>827</v>
      </c>
      <c r="F984" s="30" t="n">
        <v>1.73204221460935</v>
      </c>
      <c r="G984" s="31" t="n">
        <v>22.4</v>
      </c>
      <c r="H984" s="32" t="n">
        <v>0.0379078970006309</v>
      </c>
      <c r="I984" s="31" t="n">
        <v>29.3</v>
      </c>
      <c r="J984" s="2" t="s">
        <v>2888</v>
      </c>
      <c r="K984" s="33" t="n">
        <v>0.124920534011443</v>
      </c>
      <c r="L984" s="31" t="n">
        <v>47.2</v>
      </c>
      <c r="M984" s="34" t="s">
        <v>822</v>
      </c>
      <c r="N984" s="2" t="s">
        <v>24</v>
      </c>
      <c r="O984" s="2" t="s">
        <v>24</v>
      </c>
      <c r="P984" s="2" t="s">
        <v>24</v>
      </c>
      <c r="Q984" s="2" t="s">
        <v>24</v>
      </c>
    </row>
    <row r="985" customFormat="false" ht="15" hidden="false" customHeight="false" outlineLevel="0" collapsed="false">
      <c r="A985" s="2" t="s">
        <v>360</v>
      </c>
      <c r="B985" s="2" t="s">
        <v>47</v>
      </c>
      <c r="C985" s="14" t="s">
        <v>2272</v>
      </c>
      <c r="D985" s="42" t="n">
        <v>419156</v>
      </c>
      <c r="E985" s="2" t="s">
        <v>827</v>
      </c>
      <c r="F985" s="43" t="n">
        <v>3.34118084913493</v>
      </c>
      <c r="G985" s="31" t="n">
        <v>91.7</v>
      </c>
      <c r="H985" s="41" t="n">
        <v>0.132180865431365</v>
      </c>
      <c r="I985" s="31" t="n">
        <v>75.2</v>
      </c>
      <c r="J985" s="2" t="s">
        <v>2897</v>
      </c>
      <c r="K985" s="44" t="n">
        <v>0.0319741942785999</v>
      </c>
      <c r="L985" s="31" t="n">
        <v>21.3</v>
      </c>
      <c r="M985" s="34" t="s">
        <v>822</v>
      </c>
      <c r="N985" s="2" t="s">
        <v>22</v>
      </c>
      <c r="O985" s="2" t="s">
        <v>22</v>
      </c>
      <c r="P985" s="2" t="s">
        <v>22</v>
      </c>
      <c r="Q985" s="2" t="s">
        <v>22</v>
      </c>
    </row>
    <row r="986" customFormat="false" ht="15" hidden="false" customHeight="false" outlineLevel="0" collapsed="false">
      <c r="A986" s="2" t="s">
        <v>2251</v>
      </c>
      <c r="B986" s="2" t="s">
        <v>45</v>
      </c>
      <c r="C986" s="16"/>
      <c r="D986" s="35"/>
      <c r="E986" s="2"/>
      <c r="F986" s="36"/>
      <c r="G986" s="31"/>
      <c r="H986" s="37"/>
      <c r="I986" s="31"/>
      <c r="J986" s="2"/>
      <c r="K986" s="38"/>
      <c r="L986" s="31"/>
      <c r="M986" s="39" t="s">
        <v>832</v>
      </c>
      <c r="N986" s="2"/>
      <c r="O986" s="2"/>
      <c r="P986" s="2"/>
      <c r="Q986" s="2"/>
    </row>
    <row r="987" customFormat="false" ht="15" hidden="false" customHeight="false" outlineLevel="0" collapsed="false">
      <c r="A987" s="2" t="s">
        <v>2251</v>
      </c>
      <c r="B987" s="2" t="s">
        <v>46</v>
      </c>
      <c r="C987" s="13" t="s">
        <v>3129</v>
      </c>
      <c r="D987" s="29" t="n">
        <v>27240</v>
      </c>
      <c r="E987" s="2" t="s">
        <v>821</v>
      </c>
      <c r="F987" s="36"/>
      <c r="G987" s="31"/>
      <c r="H987" s="32" t="n">
        <v>0.0813815005954744</v>
      </c>
      <c r="I987" s="31" t="n">
        <v>48.4</v>
      </c>
      <c r="J987" s="2" t="s">
        <v>2884</v>
      </c>
      <c r="K987" s="33" t="n">
        <v>0.163324126336015</v>
      </c>
      <c r="L987" s="31" t="n">
        <v>59.6</v>
      </c>
      <c r="M987" s="39" t="s">
        <v>832</v>
      </c>
      <c r="N987" s="2" t="s">
        <v>24</v>
      </c>
      <c r="O987" s="2"/>
      <c r="P987" s="2" t="s">
        <v>24</v>
      </c>
      <c r="Q987" s="2" t="s">
        <v>24</v>
      </c>
    </row>
    <row r="988" customFormat="false" ht="15" hidden="false" customHeight="false" outlineLevel="0" collapsed="false">
      <c r="A988" s="2" t="s">
        <v>2251</v>
      </c>
      <c r="B988" s="2" t="s">
        <v>47</v>
      </c>
      <c r="C988" s="14" t="s">
        <v>2252</v>
      </c>
      <c r="D988" s="42" t="n">
        <v>19106</v>
      </c>
      <c r="E988" s="2" t="s">
        <v>821</v>
      </c>
      <c r="F988" s="43" t="n">
        <v>4.02753061865383</v>
      </c>
      <c r="G988" s="31" t="n">
        <v>94.5</v>
      </c>
      <c r="H988" s="41" t="n">
        <v>0.11966713548992</v>
      </c>
      <c r="I988" s="31" t="n">
        <v>62.3</v>
      </c>
      <c r="J988" s="2" t="s">
        <v>2886</v>
      </c>
      <c r="K988" s="44" t="n">
        <v>0.0192864030858245</v>
      </c>
      <c r="L988" s="31" t="n">
        <v>12.7</v>
      </c>
      <c r="M988" s="34" t="s">
        <v>822</v>
      </c>
      <c r="N988" s="2" t="s">
        <v>22</v>
      </c>
      <c r="O988" s="2" t="s">
        <v>22</v>
      </c>
      <c r="P988" s="2" t="s">
        <v>22</v>
      </c>
      <c r="Q988" s="2" t="s">
        <v>22</v>
      </c>
    </row>
    <row r="989" customFormat="false" ht="15" hidden="false" customHeight="false" outlineLevel="0" collapsed="false">
      <c r="A989" s="2" t="s">
        <v>2503</v>
      </c>
      <c r="B989" s="2" t="s">
        <v>45</v>
      </c>
      <c r="C989" s="16"/>
      <c r="D989" s="35"/>
      <c r="E989" s="2"/>
      <c r="F989" s="36"/>
      <c r="G989" s="31"/>
      <c r="H989" s="37"/>
      <c r="I989" s="31"/>
      <c r="J989" s="2"/>
      <c r="K989" s="38"/>
      <c r="L989" s="31"/>
      <c r="M989" s="39" t="s">
        <v>832</v>
      </c>
      <c r="N989" s="2"/>
      <c r="O989" s="2"/>
      <c r="P989" s="2"/>
      <c r="Q989" s="2"/>
    </row>
    <row r="990" customFormat="false" ht="15" hidden="false" customHeight="false" outlineLevel="0" collapsed="false">
      <c r="A990" s="2" t="s">
        <v>2503</v>
      </c>
      <c r="B990" s="2" t="s">
        <v>46</v>
      </c>
      <c r="C990" s="14" t="s">
        <v>3130</v>
      </c>
      <c r="D990" s="42" t="n">
        <v>24472</v>
      </c>
      <c r="E990" s="2" t="s">
        <v>821</v>
      </c>
      <c r="F990" s="43" t="n">
        <v>3.2987087283426</v>
      </c>
      <c r="G990" s="31" t="n">
        <v>52.5</v>
      </c>
      <c r="H990" s="41" t="n">
        <v>-0.0329183955739972</v>
      </c>
      <c r="I990" s="31" t="n">
        <v>6.5</v>
      </c>
      <c r="J990" s="2" t="s">
        <v>2884</v>
      </c>
      <c r="K990" s="38"/>
      <c r="L990" s="31"/>
      <c r="M990" s="39" t="s">
        <v>832</v>
      </c>
      <c r="N990" s="2" t="s">
        <v>22</v>
      </c>
      <c r="O990" s="2" t="s">
        <v>22</v>
      </c>
      <c r="P990" s="2" t="s">
        <v>22</v>
      </c>
      <c r="Q990" s="2"/>
    </row>
    <row r="991" customFormat="false" ht="15" hidden="false" customHeight="false" outlineLevel="0" collapsed="false">
      <c r="A991" s="2" t="s">
        <v>2503</v>
      </c>
      <c r="B991" s="2" t="s">
        <v>47</v>
      </c>
      <c r="C991" s="14" t="s">
        <v>2504</v>
      </c>
      <c r="D991" s="42" t="n">
        <v>267914</v>
      </c>
      <c r="E991" s="2" t="s">
        <v>827</v>
      </c>
      <c r="F991" s="43" t="n">
        <v>1.36237747934039</v>
      </c>
      <c r="G991" s="31" t="n">
        <v>55</v>
      </c>
      <c r="H991" s="41" t="n">
        <v>-0.055846293183348</v>
      </c>
      <c r="I991" s="31" t="n">
        <v>4.3</v>
      </c>
      <c r="J991" s="2" t="s">
        <v>2897</v>
      </c>
      <c r="K991" s="44" t="n">
        <v>0.200666324961558</v>
      </c>
      <c r="L991" s="31" t="n">
        <v>85.3</v>
      </c>
      <c r="M991" s="34" t="s">
        <v>822</v>
      </c>
      <c r="N991" s="2" t="s">
        <v>22</v>
      </c>
      <c r="O991" s="2" t="s">
        <v>22</v>
      </c>
      <c r="P991" s="2" t="s">
        <v>22</v>
      </c>
      <c r="Q991" s="2" t="s">
        <v>22</v>
      </c>
    </row>
    <row r="992" customFormat="false" ht="15" hidden="false" customHeight="false" outlineLevel="0" collapsed="false">
      <c r="A992" s="2" t="s">
        <v>538</v>
      </c>
      <c r="B992" s="2" t="s">
        <v>45</v>
      </c>
      <c r="C992" s="13" t="s">
        <v>916</v>
      </c>
      <c r="D992" s="29" t="n">
        <v>15370</v>
      </c>
      <c r="E992" s="2" t="s">
        <v>821</v>
      </c>
      <c r="F992" s="30" t="n">
        <v>1.4925178919974</v>
      </c>
      <c r="G992" s="31" t="n">
        <v>89.2</v>
      </c>
      <c r="H992" s="32" t="n">
        <v>0.266062602965404</v>
      </c>
      <c r="I992" s="31" t="n">
        <v>99.3</v>
      </c>
      <c r="J992" s="2" t="s">
        <v>2883</v>
      </c>
      <c r="K992" s="40" t="s">
        <v>857</v>
      </c>
      <c r="L992" s="31"/>
      <c r="M992" s="34" t="s">
        <v>822</v>
      </c>
      <c r="N992" s="2" t="s">
        <v>24</v>
      </c>
      <c r="O992" s="2" t="s">
        <v>24</v>
      </c>
      <c r="P992" s="2" t="s">
        <v>24</v>
      </c>
      <c r="Q992" s="2" t="s">
        <v>2885</v>
      </c>
    </row>
    <row r="993" customFormat="false" ht="15" hidden="false" customHeight="false" outlineLevel="0" collapsed="false">
      <c r="A993" s="2" t="s">
        <v>538</v>
      </c>
      <c r="B993" s="2" t="s">
        <v>46</v>
      </c>
      <c r="C993" s="13" t="s">
        <v>2153</v>
      </c>
      <c r="D993" s="29" t="n">
        <v>2192560</v>
      </c>
      <c r="E993" s="2" t="s">
        <v>935</v>
      </c>
      <c r="F993" s="30" t="n">
        <v>1.11607481665268</v>
      </c>
      <c r="G993" s="31" t="n">
        <v>8.1</v>
      </c>
      <c r="H993" s="32" t="n">
        <v>0.115982674111437</v>
      </c>
      <c r="I993" s="31" t="n">
        <v>58.3</v>
      </c>
      <c r="J993" s="2" t="s">
        <v>2906</v>
      </c>
      <c r="K993" s="44" t="n">
        <v>0.0120811411257339</v>
      </c>
      <c r="L993" s="31" t="n">
        <v>1.8</v>
      </c>
      <c r="M993" s="34" t="s">
        <v>822</v>
      </c>
      <c r="N993" s="2" t="s">
        <v>24</v>
      </c>
      <c r="O993" s="2" t="s">
        <v>24</v>
      </c>
      <c r="P993" s="2" t="s">
        <v>24</v>
      </c>
      <c r="Q993" s="2" t="s">
        <v>22</v>
      </c>
    </row>
    <row r="994" customFormat="false" ht="15" hidden="false" customHeight="false" outlineLevel="0" collapsed="false">
      <c r="A994" s="2" t="s">
        <v>538</v>
      </c>
      <c r="B994" s="2" t="s">
        <v>47</v>
      </c>
      <c r="C994" s="14" t="s">
        <v>2615</v>
      </c>
      <c r="D994" s="42" t="n">
        <v>22708</v>
      </c>
      <c r="E994" s="2" t="s">
        <v>821</v>
      </c>
      <c r="F994" s="43" t="n">
        <v>0.98903470142681</v>
      </c>
      <c r="G994" s="31" t="n">
        <v>38.3</v>
      </c>
      <c r="H994" s="41" t="n">
        <v>0.125886261093758</v>
      </c>
      <c r="I994" s="31" t="n">
        <v>65.3</v>
      </c>
      <c r="J994" s="2" t="s">
        <v>2886</v>
      </c>
      <c r="K994" s="44" t="n">
        <v>0.0134854771784232</v>
      </c>
      <c r="L994" s="31" t="n">
        <v>9.3</v>
      </c>
      <c r="M994" s="34" t="s">
        <v>822</v>
      </c>
      <c r="N994" s="2" t="s">
        <v>22</v>
      </c>
      <c r="O994" s="2" t="s">
        <v>22</v>
      </c>
      <c r="P994" s="2" t="s">
        <v>22</v>
      </c>
      <c r="Q994" s="2" t="s">
        <v>22</v>
      </c>
    </row>
    <row r="995" customFormat="false" ht="15" hidden="false" customHeight="false" outlineLevel="0" collapsed="false">
      <c r="A995" s="2" t="s">
        <v>1101</v>
      </c>
      <c r="B995" s="2" t="s">
        <v>45</v>
      </c>
      <c r="C995" s="13" t="s">
        <v>1102</v>
      </c>
      <c r="D995" s="29" t="n">
        <v>5580</v>
      </c>
      <c r="E995" s="2" t="s">
        <v>825</v>
      </c>
      <c r="F995" s="30" t="n">
        <v>0.779390681003584</v>
      </c>
      <c r="G995" s="31" t="n">
        <v>66.7</v>
      </c>
      <c r="H995" s="41" t="n">
        <v>0.0463400794401362</v>
      </c>
      <c r="I995" s="31" t="n">
        <v>15.5</v>
      </c>
      <c r="J995" s="2" t="s">
        <v>2899</v>
      </c>
      <c r="K995" s="40" t="s">
        <v>857</v>
      </c>
      <c r="L995" s="31"/>
      <c r="M995" s="34" t="s">
        <v>822</v>
      </c>
      <c r="N995" s="2" t="s">
        <v>24</v>
      </c>
      <c r="O995" s="2" t="s">
        <v>24</v>
      </c>
      <c r="P995" s="2" t="s">
        <v>22</v>
      </c>
      <c r="Q995" s="2" t="s">
        <v>2885</v>
      </c>
    </row>
    <row r="996" customFormat="false" ht="15" hidden="false" customHeight="false" outlineLevel="0" collapsed="false">
      <c r="A996" s="2" t="s">
        <v>1101</v>
      </c>
      <c r="B996" s="2" t="s">
        <v>46</v>
      </c>
      <c r="C996" s="16"/>
      <c r="D996" s="35"/>
      <c r="E996" s="2"/>
      <c r="F996" s="36"/>
      <c r="G996" s="31"/>
      <c r="H996" s="37"/>
      <c r="I996" s="31"/>
      <c r="J996" s="2"/>
      <c r="K996" s="38"/>
      <c r="L996" s="31"/>
      <c r="M996" s="39" t="s">
        <v>832</v>
      </c>
      <c r="N996" s="2"/>
      <c r="O996" s="2"/>
      <c r="P996" s="2"/>
      <c r="Q996" s="2"/>
    </row>
    <row r="997" customFormat="false" ht="15" hidden="false" customHeight="false" outlineLevel="0" collapsed="false">
      <c r="A997" s="2" t="s">
        <v>1101</v>
      </c>
      <c r="B997" s="2" t="s">
        <v>47</v>
      </c>
      <c r="C997" s="13" t="s">
        <v>2793</v>
      </c>
      <c r="D997" s="29" t="n">
        <v>51250</v>
      </c>
      <c r="E997" s="2" t="s">
        <v>821</v>
      </c>
      <c r="F997" s="43" t="n">
        <v>0.493886158727702</v>
      </c>
      <c r="G997" s="31" t="n">
        <v>12.9</v>
      </c>
      <c r="H997" s="32" t="n">
        <v>0.148588077095473</v>
      </c>
      <c r="I997" s="31" t="n">
        <v>76.9</v>
      </c>
      <c r="J997" s="2" t="s">
        <v>2886</v>
      </c>
      <c r="K997" s="33" t="n">
        <v>0.0643056849953402</v>
      </c>
      <c r="L997" s="31" t="n">
        <v>40.9</v>
      </c>
      <c r="M997" s="34" t="s">
        <v>822</v>
      </c>
      <c r="N997" s="2" t="s">
        <v>24</v>
      </c>
      <c r="O997" s="2" t="s">
        <v>22</v>
      </c>
      <c r="P997" s="2" t="s">
        <v>24</v>
      </c>
      <c r="Q997" s="2" t="s">
        <v>24</v>
      </c>
    </row>
    <row r="998" customFormat="false" ht="15" hidden="false" customHeight="false" outlineLevel="0" collapsed="false">
      <c r="A998" s="2" t="s">
        <v>646</v>
      </c>
      <c r="B998" s="2" t="s">
        <v>45</v>
      </c>
      <c r="C998" s="13" t="s">
        <v>1300</v>
      </c>
      <c r="D998" s="29" t="n">
        <v>174530</v>
      </c>
      <c r="E998" s="2" t="s">
        <v>827</v>
      </c>
      <c r="F998" s="30" t="n">
        <v>0.493880708187704</v>
      </c>
      <c r="G998" s="31" t="n">
        <v>41.4</v>
      </c>
      <c r="H998" s="32" t="n">
        <v>0.0727764460015981</v>
      </c>
      <c r="I998" s="31" t="n">
        <v>41.4</v>
      </c>
      <c r="J998" s="2" t="s">
        <v>2890</v>
      </c>
      <c r="K998" s="33" t="n">
        <v>0.228930307941653</v>
      </c>
      <c r="L998" s="31" t="n">
        <v>78.3</v>
      </c>
      <c r="M998" s="34" t="s">
        <v>822</v>
      </c>
      <c r="N998" s="2" t="s">
        <v>24</v>
      </c>
      <c r="O998" s="2" t="s">
        <v>24</v>
      </c>
      <c r="P998" s="2" t="s">
        <v>24</v>
      </c>
      <c r="Q998" s="2" t="s">
        <v>24</v>
      </c>
    </row>
    <row r="999" customFormat="false" ht="15" hidden="false" customHeight="false" outlineLevel="0" collapsed="false">
      <c r="A999" s="2" t="s">
        <v>646</v>
      </c>
      <c r="B999" s="2" t="s">
        <v>46</v>
      </c>
      <c r="C999" s="14" t="s">
        <v>1983</v>
      </c>
      <c r="D999" s="42" t="n">
        <v>4031</v>
      </c>
      <c r="E999" s="2" t="s">
        <v>825</v>
      </c>
      <c r="F999" s="43" t="n">
        <v>2.45398164227239</v>
      </c>
      <c r="G999" s="31" t="n">
        <v>37.1</v>
      </c>
      <c r="H999" s="41" t="n">
        <v>0.0735019973368842</v>
      </c>
      <c r="I999" s="31" t="n">
        <v>18.9</v>
      </c>
      <c r="J999" s="2" t="s">
        <v>2905</v>
      </c>
      <c r="K999" s="44" t="n">
        <v>0.299674267100977</v>
      </c>
      <c r="L999" s="31" t="n">
        <v>88.5</v>
      </c>
      <c r="M999" s="34" t="s">
        <v>822</v>
      </c>
      <c r="N999" s="2" t="s">
        <v>22</v>
      </c>
      <c r="O999" s="2" t="s">
        <v>22</v>
      </c>
      <c r="P999" s="2" t="s">
        <v>22</v>
      </c>
      <c r="Q999" s="2" t="s">
        <v>22</v>
      </c>
    </row>
    <row r="1000" customFormat="false" ht="15" hidden="false" customHeight="false" outlineLevel="0" collapsed="false">
      <c r="A1000" s="2" t="s">
        <v>646</v>
      </c>
      <c r="B1000" s="2" t="s">
        <v>47</v>
      </c>
      <c r="C1000" s="13" t="s">
        <v>2699</v>
      </c>
      <c r="D1000" s="29" t="n">
        <v>5510</v>
      </c>
      <c r="E1000" s="2" t="s">
        <v>825</v>
      </c>
      <c r="F1000" s="30" t="n">
        <v>0.761524500907441</v>
      </c>
      <c r="G1000" s="31" t="n">
        <v>25.7</v>
      </c>
      <c r="H1000" s="41" t="n">
        <v>0.0317132670294614</v>
      </c>
      <c r="I1000" s="31" t="n">
        <v>22.5</v>
      </c>
      <c r="J1000" s="2" t="s">
        <v>2889</v>
      </c>
      <c r="K1000" s="44" t="n">
        <v>0.445652173913044</v>
      </c>
      <c r="L1000" s="31" t="n">
        <v>99.5</v>
      </c>
      <c r="M1000" s="34" t="s">
        <v>822</v>
      </c>
      <c r="N1000" s="2" t="s">
        <v>24</v>
      </c>
      <c r="O1000" s="2" t="s">
        <v>24</v>
      </c>
      <c r="P1000" s="2" t="s">
        <v>22</v>
      </c>
      <c r="Q1000" s="2" t="s">
        <v>22</v>
      </c>
    </row>
    <row r="1001" customFormat="false" ht="15" hidden="false" customHeight="false" outlineLevel="0" collapsed="false">
      <c r="A1001" s="2" t="s">
        <v>548</v>
      </c>
      <c r="B1001" s="2" t="s">
        <v>45</v>
      </c>
      <c r="C1001" s="13" t="s">
        <v>1221</v>
      </c>
      <c r="D1001" s="29" t="n">
        <v>20230</v>
      </c>
      <c r="E1001" s="2" t="s">
        <v>821</v>
      </c>
      <c r="F1001" s="30" t="n">
        <v>0.568956994562531</v>
      </c>
      <c r="G1001" s="31" t="n">
        <v>51</v>
      </c>
      <c r="H1001" s="41" t="n">
        <v>0.166283180874348</v>
      </c>
      <c r="I1001" s="31" t="n">
        <v>80.8</v>
      </c>
      <c r="J1001" s="2" t="s">
        <v>2883</v>
      </c>
      <c r="K1001" s="40" t="s">
        <v>857</v>
      </c>
      <c r="L1001" s="31"/>
      <c r="M1001" s="34" t="s">
        <v>822</v>
      </c>
      <c r="N1001" s="2" t="s">
        <v>24</v>
      </c>
      <c r="O1001" s="2" t="s">
        <v>24</v>
      </c>
      <c r="P1001" s="2" t="s">
        <v>22</v>
      </c>
      <c r="Q1001" s="2" t="s">
        <v>2885</v>
      </c>
    </row>
    <row r="1002" customFormat="false" ht="15" hidden="false" customHeight="false" outlineLevel="0" collapsed="false">
      <c r="A1002" s="2" t="s">
        <v>548</v>
      </c>
      <c r="B1002" s="2" t="s">
        <v>46</v>
      </c>
      <c r="C1002" s="13" t="s">
        <v>2106</v>
      </c>
      <c r="D1002" s="29" t="n">
        <v>82700</v>
      </c>
      <c r="E1002" s="2" t="s">
        <v>821</v>
      </c>
      <c r="F1002" s="30" t="n">
        <v>1.48371221281741</v>
      </c>
      <c r="G1002" s="31" t="n">
        <v>16.5</v>
      </c>
      <c r="H1002" s="32" t="n">
        <v>0.117567567567568</v>
      </c>
      <c r="I1002" s="31" t="n">
        <v>66.9</v>
      </c>
      <c r="J1002" s="2" t="s">
        <v>2884</v>
      </c>
      <c r="K1002" s="33" t="n">
        <v>0.108957018334836</v>
      </c>
      <c r="L1002" s="31" t="n">
        <v>41.1</v>
      </c>
      <c r="M1002" s="34" t="s">
        <v>822</v>
      </c>
      <c r="N1002" s="2" t="s">
        <v>24</v>
      </c>
      <c r="O1002" s="2" t="s">
        <v>24</v>
      </c>
      <c r="P1002" s="2" t="s">
        <v>24</v>
      </c>
      <c r="Q1002" s="2" t="s">
        <v>24</v>
      </c>
    </row>
    <row r="1003" customFormat="false" ht="15" hidden="false" customHeight="false" outlineLevel="0" collapsed="false">
      <c r="A1003" s="2" t="s">
        <v>548</v>
      </c>
      <c r="B1003" s="2" t="s">
        <v>47</v>
      </c>
      <c r="C1003" s="13" t="s">
        <v>2431</v>
      </c>
      <c r="D1003" s="29" t="n">
        <v>7800</v>
      </c>
      <c r="E1003" s="2" t="s">
        <v>825</v>
      </c>
      <c r="F1003" s="30" t="n">
        <v>1.65064102564103</v>
      </c>
      <c r="G1003" s="31" t="n">
        <v>65.8</v>
      </c>
      <c r="H1003" s="32" t="n">
        <v>0.0714285714285714</v>
      </c>
      <c r="I1003" s="31" t="n">
        <v>37.5</v>
      </c>
      <c r="J1003" s="2" t="s">
        <v>2889</v>
      </c>
      <c r="K1003" s="33" t="n">
        <v>0.0791788856304985</v>
      </c>
      <c r="L1003" s="31" t="n">
        <v>48.9</v>
      </c>
      <c r="M1003" s="34" t="s">
        <v>822</v>
      </c>
      <c r="N1003" s="2" t="s">
        <v>24</v>
      </c>
      <c r="O1003" s="2" t="s">
        <v>24</v>
      </c>
      <c r="P1003" s="2" t="s">
        <v>24</v>
      </c>
      <c r="Q1003" s="2" t="s">
        <v>24</v>
      </c>
    </row>
    <row r="1004" customFormat="false" ht="15" hidden="false" customHeight="false" outlineLevel="0" collapsed="false">
      <c r="A1004" s="2" t="s">
        <v>1402</v>
      </c>
      <c r="B1004" s="2" t="s">
        <v>45</v>
      </c>
      <c r="C1004" s="13" t="s">
        <v>1403</v>
      </c>
      <c r="D1004" s="29" t="n">
        <v>21250</v>
      </c>
      <c r="E1004" s="2" t="s">
        <v>821</v>
      </c>
      <c r="F1004" s="30" t="n">
        <v>0.384941176470588</v>
      </c>
      <c r="G1004" s="31" t="n">
        <v>27.6</v>
      </c>
      <c r="H1004" s="32" t="n">
        <v>0.136363636363636</v>
      </c>
      <c r="I1004" s="31" t="n">
        <v>72.2</v>
      </c>
      <c r="J1004" s="2" t="s">
        <v>2883</v>
      </c>
      <c r="K1004" s="33" t="n">
        <v>0.0305084745762712</v>
      </c>
      <c r="L1004" s="31" t="n">
        <v>8.6</v>
      </c>
      <c r="M1004" s="34" t="s">
        <v>822</v>
      </c>
      <c r="N1004" s="2" t="s">
        <v>24</v>
      </c>
      <c r="O1004" s="2" t="s">
        <v>24</v>
      </c>
      <c r="P1004" s="2" t="s">
        <v>24</v>
      </c>
      <c r="Q1004" s="2" t="s">
        <v>24</v>
      </c>
    </row>
    <row r="1005" customFormat="false" ht="15" hidden="false" customHeight="false" outlineLevel="0" collapsed="false">
      <c r="A1005" s="2" t="s">
        <v>1402</v>
      </c>
      <c r="B1005" s="2" t="s">
        <v>47</v>
      </c>
      <c r="C1005" s="14" t="s">
        <v>3131</v>
      </c>
      <c r="D1005" s="42" t="n">
        <v>362008</v>
      </c>
      <c r="E1005" s="2" t="s">
        <v>827</v>
      </c>
      <c r="F1005" s="43" t="n">
        <v>2.60953072860268</v>
      </c>
      <c r="G1005" s="31" t="n">
        <v>85.7</v>
      </c>
      <c r="H1005" s="37"/>
      <c r="I1005" s="31"/>
      <c r="J1005" s="2"/>
      <c r="K1005" s="44" t="n">
        <v>0.0505292399061258</v>
      </c>
      <c r="L1005" s="31" t="n">
        <v>33</v>
      </c>
      <c r="M1005" s="39" t="s">
        <v>832</v>
      </c>
      <c r="N1005" s="2" t="s">
        <v>22</v>
      </c>
      <c r="O1005" s="2" t="s">
        <v>22</v>
      </c>
      <c r="P1005" s="2"/>
      <c r="Q1005" s="2" t="s">
        <v>22</v>
      </c>
    </row>
    <row r="1006" customFormat="false" ht="15" hidden="false" customHeight="false" outlineLevel="0" collapsed="false">
      <c r="A1006" s="2" t="s">
        <v>2730</v>
      </c>
      <c r="B1006" s="2" t="s">
        <v>45</v>
      </c>
      <c r="C1006" s="15" t="s">
        <v>3132</v>
      </c>
      <c r="D1006" s="46" t="n">
        <v>3287</v>
      </c>
      <c r="E1006" s="2" t="s">
        <v>825</v>
      </c>
      <c r="F1006" s="47" t="n">
        <v>0.069364161849711</v>
      </c>
      <c r="G1006" s="31" t="n">
        <v>0.6</v>
      </c>
      <c r="H1006" s="48" t="n">
        <v>0.127615780445969</v>
      </c>
      <c r="I1006" s="31" t="n">
        <v>69</v>
      </c>
      <c r="J1006" s="2" t="s">
        <v>2899</v>
      </c>
      <c r="K1006" s="38"/>
      <c r="L1006" s="31"/>
      <c r="M1006" s="39" t="s">
        <v>832</v>
      </c>
      <c r="N1006" s="2" t="s">
        <v>19</v>
      </c>
      <c r="O1006" s="2" t="s">
        <v>19</v>
      </c>
      <c r="P1006" s="2" t="s">
        <v>19</v>
      </c>
      <c r="Q1006" s="2"/>
    </row>
    <row r="1007" customFormat="false" ht="15" hidden="false" customHeight="false" outlineLevel="0" collapsed="false">
      <c r="A1007" s="2" t="s">
        <v>2730</v>
      </c>
      <c r="B1007" s="2" t="s">
        <v>47</v>
      </c>
      <c r="C1007" s="14" t="s">
        <v>2731</v>
      </c>
      <c r="D1007" s="42" t="n">
        <v>19610</v>
      </c>
      <c r="E1007" s="2" t="s">
        <v>821</v>
      </c>
      <c r="F1007" s="43" t="n">
        <v>0.672106068332483</v>
      </c>
      <c r="G1007" s="31" t="n">
        <v>21.2</v>
      </c>
      <c r="H1007" s="41" t="n">
        <v>0.138131166569936</v>
      </c>
      <c r="I1007" s="31" t="n">
        <v>69.8</v>
      </c>
      <c r="J1007" s="2" t="s">
        <v>2886</v>
      </c>
      <c r="K1007" s="44" t="n">
        <v>0.0427461139896373</v>
      </c>
      <c r="L1007" s="31" t="n">
        <v>28</v>
      </c>
      <c r="M1007" s="34" t="s">
        <v>822</v>
      </c>
      <c r="N1007" s="2" t="s">
        <v>22</v>
      </c>
      <c r="O1007" s="2" t="s">
        <v>22</v>
      </c>
      <c r="P1007" s="2" t="s">
        <v>22</v>
      </c>
      <c r="Q1007" s="2" t="s">
        <v>22</v>
      </c>
    </row>
    <row r="1008" customFormat="false" ht="15" hidden="false" customHeight="false" outlineLevel="0" collapsed="false">
      <c r="A1008" s="2" t="s">
        <v>888</v>
      </c>
      <c r="B1008" s="2" t="s">
        <v>45</v>
      </c>
      <c r="C1008" s="13" t="s">
        <v>889</v>
      </c>
      <c r="D1008" s="29" t="n">
        <v>35610</v>
      </c>
      <c r="E1008" s="2" t="s">
        <v>821</v>
      </c>
      <c r="F1008" s="30" t="n">
        <v>1.77722549845549</v>
      </c>
      <c r="G1008" s="31" t="n">
        <v>93.6</v>
      </c>
      <c r="H1008" s="41" t="n">
        <v>0.00638156564927377</v>
      </c>
      <c r="I1008" s="31" t="n">
        <v>10.3</v>
      </c>
      <c r="J1008" s="2" t="s">
        <v>2883</v>
      </c>
      <c r="K1008" s="40" t="s">
        <v>857</v>
      </c>
      <c r="L1008" s="31"/>
      <c r="M1008" s="34" t="s">
        <v>822</v>
      </c>
      <c r="N1008" s="2" t="s">
        <v>24</v>
      </c>
      <c r="O1008" s="2" t="s">
        <v>24</v>
      </c>
      <c r="P1008" s="2" t="s">
        <v>22</v>
      </c>
      <c r="Q1008" s="2" t="s">
        <v>2885</v>
      </c>
    </row>
    <row r="1009" customFormat="false" ht="15" hidden="false" customHeight="false" outlineLevel="0" collapsed="false">
      <c r="A1009" s="2" t="s">
        <v>888</v>
      </c>
      <c r="B1009" s="2" t="s">
        <v>46</v>
      </c>
      <c r="C1009" s="13" t="s">
        <v>3133</v>
      </c>
      <c r="D1009" s="29" t="n">
        <v>197790</v>
      </c>
      <c r="E1009" s="2" t="s">
        <v>827</v>
      </c>
      <c r="F1009" s="30" t="n">
        <v>0.896471004600839</v>
      </c>
      <c r="G1009" s="31" t="n">
        <v>5.3</v>
      </c>
      <c r="H1009" s="32" t="n">
        <v>0.0352245367947242</v>
      </c>
      <c r="I1009" s="31" t="n">
        <v>27.4</v>
      </c>
      <c r="J1009" s="2" t="s">
        <v>2888</v>
      </c>
      <c r="K1009" s="38"/>
      <c r="L1009" s="31"/>
      <c r="M1009" s="39" t="s">
        <v>832</v>
      </c>
      <c r="N1009" s="2" t="s">
        <v>24</v>
      </c>
      <c r="O1009" s="2" t="s">
        <v>24</v>
      </c>
      <c r="P1009" s="2" t="s">
        <v>24</v>
      </c>
      <c r="Q1009" s="2"/>
    </row>
    <row r="1010" customFormat="false" ht="15" hidden="false" customHeight="false" outlineLevel="0" collapsed="false">
      <c r="A1010" s="2" t="s">
        <v>888</v>
      </c>
      <c r="B1010" s="2" t="s">
        <v>47</v>
      </c>
      <c r="C1010" s="14" t="s">
        <v>2692</v>
      </c>
      <c r="D1010" s="42" t="n">
        <v>265334</v>
      </c>
      <c r="E1010" s="2" t="s">
        <v>827</v>
      </c>
      <c r="F1010" s="43" t="n">
        <v>0.776244280793264</v>
      </c>
      <c r="G1010" s="31" t="n">
        <v>27</v>
      </c>
      <c r="H1010" s="41" t="n">
        <v>-0.0173833824640408</v>
      </c>
      <c r="I1010" s="31" t="n">
        <v>9.9</v>
      </c>
      <c r="J1010" s="2" t="s">
        <v>2897</v>
      </c>
      <c r="K1010" s="44" t="n">
        <v>0.112280196021908</v>
      </c>
      <c r="L1010" s="31" t="n">
        <v>63.1</v>
      </c>
      <c r="M1010" s="34" t="s">
        <v>822</v>
      </c>
      <c r="N1010" s="2" t="s">
        <v>22</v>
      </c>
      <c r="O1010" s="2" t="s">
        <v>22</v>
      </c>
      <c r="P1010" s="2" t="s">
        <v>22</v>
      </c>
      <c r="Q1010" s="2" t="s">
        <v>22</v>
      </c>
    </row>
    <row r="1011" customFormat="false" ht="15" hidden="false" customHeight="false" outlineLevel="0" collapsed="false">
      <c r="A1011" s="2" t="s">
        <v>282</v>
      </c>
      <c r="B1011" s="2" t="s">
        <v>45</v>
      </c>
      <c r="C1011" s="13" t="s">
        <v>915</v>
      </c>
      <c r="D1011" s="29" t="n">
        <v>100910</v>
      </c>
      <c r="E1011" s="2" t="s">
        <v>827</v>
      </c>
      <c r="F1011" s="30" t="n">
        <v>1.49685858685958</v>
      </c>
      <c r="G1011" s="31" t="n">
        <v>89.4</v>
      </c>
      <c r="H1011" s="32" t="n">
        <v>0.136117991443369</v>
      </c>
      <c r="I1011" s="31" t="n">
        <v>76.4</v>
      </c>
      <c r="J1011" s="2" t="s">
        <v>2890</v>
      </c>
      <c r="K1011" s="40" t="s">
        <v>857</v>
      </c>
      <c r="L1011" s="31"/>
      <c r="M1011" s="34" t="s">
        <v>822</v>
      </c>
      <c r="N1011" s="2" t="s">
        <v>24</v>
      </c>
      <c r="O1011" s="2" t="s">
        <v>24</v>
      </c>
      <c r="P1011" s="2" t="s">
        <v>24</v>
      </c>
      <c r="Q1011" s="2" t="s">
        <v>2885</v>
      </c>
    </row>
    <row r="1012" customFormat="false" ht="15" hidden="false" customHeight="false" outlineLevel="0" collapsed="false">
      <c r="A1012" s="2" t="s">
        <v>282</v>
      </c>
      <c r="B1012" s="2" t="s">
        <v>46</v>
      </c>
      <c r="C1012" s="13" t="s">
        <v>2027</v>
      </c>
      <c r="D1012" s="29" t="n">
        <v>174250</v>
      </c>
      <c r="E1012" s="2" t="s">
        <v>827</v>
      </c>
      <c r="F1012" s="30" t="n">
        <v>2.08762697274032</v>
      </c>
      <c r="G1012" s="31" t="n">
        <v>29.3</v>
      </c>
      <c r="H1012" s="32" t="n">
        <v>0.119139370584457</v>
      </c>
      <c r="I1012" s="31" t="n">
        <v>70.7</v>
      </c>
      <c r="J1012" s="2" t="s">
        <v>2888</v>
      </c>
      <c r="K1012" s="33" t="n">
        <v>0.193213499633162</v>
      </c>
      <c r="L1012" s="31" t="n">
        <v>68</v>
      </c>
      <c r="M1012" s="34" t="s">
        <v>822</v>
      </c>
      <c r="N1012" s="2" t="s">
        <v>24</v>
      </c>
      <c r="O1012" s="2" t="s">
        <v>24</v>
      </c>
      <c r="P1012" s="2" t="s">
        <v>24</v>
      </c>
      <c r="Q1012" s="2" t="s">
        <v>24</v>
      </c>
    </row>
    <row r="1013" customFormat="false" ht="15" hidden="false" customHeight="false" outlineLevel="0" collapsed="false">
      <c r="A1013" s="2" t="s">
        <v>282</v>
      </c>
      <c r="B1013" s="2" t="s">
        <v>47</v>
      </c>
      <c r="C1013" s="14" t="s">
        <v>2371</v>
      </c>
      <c r="D1013" s="42" t="n">
        <v>403676</v>
      </c>
      <c r="E1013" s="2" t="s">
        <v>827</v>
      </c>
      <c r="F1013" s="43" t="n">
        <v>1.94648678643268</v>
      </c>
      <c r="G1013" s="31" t="n">
        <v>75.5</v>
      </c>
      <c r="H1013" s="41" t="n">
        <v>0.112876724413617</v>
      </c>
      <c r="I1013" s="31" t="n">
        <v>65.2</v>
      </c>
      <c r="J1013" s="2" t="s">
        <v>2897</v>
      </c>
      <c r="K1013" s="44" t="n">
        <v>0.0497258418984616</v>
      </c>
      <c r="L1013" s="31" t="n">
        <v>31.9</v>
      </c>
      <c r="M1013" s="34" t="s">
        <v>822</v>
      </c>
      <c r="N1013" s="2" t="s">
        <v>22</v>
      </c>
      <c r="O1013" s="2" t="s">
        <v>22</v>
      </c>
      <c r="P1013" s="2" t="s">
        <v>22</v>
      </c>
      <c r="Q1013" s="2" t="s">
        <v>22</v>
      </c>
    </row>
    <row r="1014" customFormat="false" ht="15" hidden="false" customHeight="false" outlineLevel="0" collapsed="false">
      <c r="A1014" s="2" t="s">
        <v>1599</v>
      </c>
      <c r="B1014" s="2" t="s">
        <v>45</v>
      </c>
      <c r="C1014" s="16"/>
      <c r="D1014" s="35"/>
      <c r="E1014" s="2"/>
      <c r="F1014" s="36"/>
      <c r="G1014" s="31"/>
      <c r="H1014" s="37"/>
      <c r="I1014" s="31"/>
      <c r="J1014" s="2"/>
      <c r="K1014" s="38"/>
      <c r="L1014" s="31"/>
      <c r="M1014" s="39" t="s">
        <v>832</v>
      </c>
      <c r="N1014" s="2"/>
      <c r="O1014" s="2"/>
      <c r="P1014" s="2"/>
      <c r="Q1014" s="2"/>
    </row>
    <row r="1015" customFormat="false" ht="15" hidden="false" customHeight="false" outlineLevel="0" collapsed="false">
      <c r="A1015" s="2" t="s">
        <v>1599</v>
      </c>
      <c r="B1015" s="2" t="s">
        <v>46</v>
      </c>
      <c r="C1015" s="13" t="s">
        <v>1600</v>
      </c>
      <c r="D1015" s="29" t="n">
        <v>5020</v>
      </c>
      <c r="E1015" s="2" t="s">
        <v>825</v>
      </c>
      <c r="F1015" s="30" t="n">
        <v>25.6215139442231</v>
      </c>
      <c r="G1015" s="31" t="n">
        <v>100</v>
      </c>
      <c r="H1015" s="32" t="n">
        <v>0.123042505592841</v>
      </c>
      <c r="I1015" s="31" t="n">
        <v>56.6</v>
      </c>
      <c r="J1015" s="2" t="s">
        <v>2905</v>
      </c>
      <c r="K1015" s="44" t="n">
        <v>0.266773162939297</v>
      </c>
      <c r="L1015" s="31" t="n">
        <v>83.9</v>
      </c>
      <c r="M1015" s="34" t="s">
        <v>822</v>
      </c>
      <c r="N1015" s="2" t="s">
        <v>24</v>
      </c>
      <c r="O1015" s="2" t="s">
        <v>24</v>
      </c>
      <c r="P1015" s="2" t="s">
        <v>24</v>
      </c>
      <c r="Q1015" s="2" t="s">
        <v>22</v>
      </c>
    </row>
    <row r="1016" customFormat="false" ht="15" hidden="false" customHeight="false" outlineLevel="0" collapsed="false">
      <c r="A1016" s="2" t="s">
        <v>1599</v>
      </c>
      <c r="B1016" s="2" t="s">
        <v>47</v>
      </c>
      <c r="C1016" s="13" t="s">
        <v>2810</v>
      </c>
      <c r="D1016" s="29" t="n">
        <v>173660</v>
      </c>
      <c r="E1016" s="2" t="s">
        <v>827</v>
      </c>
      <c r="F1016" s="30" t="n">
        <v>0.437279742024646</v>
      </c>
      <c r="G1016" s="31" t="n">
        <v>9.7</v>
      </c>
      <c r="H1016" s="32" t="n">
        <v>-0.0455619675735092</v>
      </c>
      <c r="I1016" s="31" t="n">
        <v>5.6</v>
      </c>
      <c r="J1016" s="2" t="s">
        <v>2897</v>
      </c>
      <c r="K1016" s="33" t="n">
        <v>0.277496274217586</v>
      </c>
      <c r="L1016" s="31" t="n">
        <v>95.2</v>
      </c>
      <c r="M1016" s="34" t="s">
        <v>822</v>
      </c>
      <c r="N1016" s="2" t="s">
        <v>24</v>
      </c>
      <c r="O1016" s="2" t="s">
        <v>24</v>
      </c>
      <c r="P1016" s="2" t="s">
        <v>24</v>
      </c>
      <c r="Q1016" s="2" t="s">
        <v>24</v>
      </c>
    </row>
    <row r="1017" customFormat="false" ht="15" hidden="false" customHeight="false" outlineLevel="0" collapsed="false">
      <c r="A1017" s="2" t="s">
        <v>3134</v>
      </c>
      <c r="B1017" s="2" t="s">
        <v>47</v>
      </c>
      <c r="C1017" s="16"/>
      <c r="D1017" s="35"/>
      <c r="E1017" s="2"/>
      <c r="F1017" s="36"/>
      <c r="G1017" s="31"/>
      <c r="H1017" s="37"/>
      <c r="I1017" s="31"/>
      <c r="J1017" s="2"/>
      <c r="K1017" s="38"/>
      <c r="L1017" s="31"/>
      <c r="M1017" s="39" t="s">
        <v>832</v>
      </c>
      <c r="N1017" s="2"/>
      <c r="O1017" s="2"/>
      <c r="P1017" s="2"/>
      <c r="Q1017" s="2"/>
    </row>
    <row r="1018" customFormat="false" ht="15" hidden="false" customHeight="false" outlineLevel="0" collapsed="false">
      <c r="A1018" s="2" t="s">
        <v>1699</v>
      </c>
      <c r="B1018" s="2" t="s">
        <v>45</v>
      </c>
      <c r="C1018" s="16"/>
      <c r="D1018" s="35"/>
      <c r="E1018" s="2"/>
      <c r="F1018" s="36"/>
      <c r="G1018" s="31"/>
      <c r="H1018" s="37"/>
      <c r="I1018" s="31"/>
      <c r="J1018" s="2"/>
      <c r="K1018" s="38"/>
      <c r="L1018" s="31"/>
      <c r="M1018" s="39" t="s">
        <v>832</v>
      </c>
      <c r="N1018" s="2"/>
      <c r="O1018" s="2"/>
      <c r="P1018" s="2"/>
      <c r="Q1018" s="2"/>
    </row>
    <row r="1019" customFormat="false" ht="15" hidden="false" customHeight="false" outlineLevel="0" collapsed="false">
      <c r="A1019" s="2" t="s">
        <v>1699</v>
      </c>
      <c r="B1019" s="2" t="s">
        <v>46</v>
      </c>
      <c r="C1019" s="13" t="s">
        <v>1700</v>
      </c>
      <c r="D1019" s="29" t="n">
        <v>60670</v>
      </c>
      <c r="E1019" s="2" t="s">
        <v>821</v>
      </c>
      <c r="F1019" s="30" t="n">
        <v>6.53372342179001</v>
      </c>
      <c r="G1019" s="31" t="n">
        <v>83.5</v>
      </c>
      <c r="H1019" s="32" t="n">
        <v>0.109749405524053</v>
      </c>
      <c r="I1019" s="31" t="n">
        <v>64.4</v>
      </c>
      <c r="J1019" s="2" t="s">
        <v>2884</v>
      </c>
      <c r="K1019" s="33" t="n">
        <v>0.104855053308662</v>
      </c>
      <c r="L1019" s="31" t="n">
        <v>39.5</v>
      </c>
      <c r="M1019" s="34" t="s">
        <v>822</v>
      </c>
      <c r="N1019" s="2" t="s">
        <v>24</v>
      </c>
      <c r="O1019" s="2" t="s">
        <v>24</v>
      </c>
      <c r="P1019" s="2" t="s">
        <v>24</v>
      </c>
      <c r="Q1019" s="2" t="s">
        <v>24</v>
      </c>
    </row>
    <row r="1020" customFormat="false" ht="15" hidden="false" customHeight="false" outlineLevel="0" collapsed="false">
      <c r="A1020" s="2" t="s">
        <v>1699</v>
      </c>
      <c r="B1020" s="2" t="s">
        <v>47</v>
      </c>
      <c r="C1020" s="13" t="s">
        <v>2774</v>
      </c>
      <c r="D1020" s="29" t="n">
        <v>490110</v>
      </c>
      <c r="E1020" s="2" t="s">
        <v>827</v>
      </c>
      <c r="F1020" s="30" t="n">
        <v>0.551825100487646</v>
      </c>
      <c r="G1020" s="31" t="n">
        <v>15.7</v>
      </c>
      <c r="H1020" s="32" t="n">
        <v>0.0958790778793909</v>
      </c>
      <c r="I1020" s="31" t="n">
        <v>55.3</v>
      </c>
      <c r="J1020" s="2" t="s">
        <v>2897</v>
      </c>
      <c r="K1020" s="33" t="n">
        <v>0.169805919734356</v>
      </c>
      <c r="L1020" s="31" t="n">
        <v>78.7</v>
      </c>
      <c r="M1020" s="34" t="s">
        <v>822</v>
      </c>
      <c r="N1020" s="2" t="s">
        <v>24</v>
      </c>
      <c r="O1020" s="2" t="s">
        <v>24</v>
      </c>
      <c r="P1020" s="2" t="s">
        <v>24</v>
      </c>
      <c r="Q1020" s="2" t="s">
        <v>24</v>
      </c>
    </row>
    <row r="1021" customFormat="false" ht="15" hidden="false" customHeight="false" outlineLevel="0" collapsed="false">
      <c r="A1021" s="2" t="s">
        <v>3135</v>
      </c>
      <c r="B1021" s="2" t="s">
        <v>46</v>
      </c>
      <c r="C1021" s="13" t="s">
        <v>3136</v>
      </c>
      <c r="D1021" s="29" t="n">
        <v>36080</v>
      </c>
      <c r="E1021" s="2" t="s">
        <v>821</v>
      </c>
      <c r="F1021" s="30" t="n">
        <v>1.71579822616408</v>
      </c>
      <c r="G1021" s="31" t="n">
        <v>21.6</v>
      </c>
      <c r="H1021" s="37"/>
      <c r="I1021" s="31"/>
      <c r="J1021" s="2"/>
      <c r="K1021" s="38"/>
      <c r="L1021" s="31"/>
      <c r="M1021" s="39" t="s">
        <v>832</v>
      </c>
      <c r="N1021" s="2" t="s">
        <v>24</v>
      </c>
      <c r="O1021" s="2" t="s">
        <v>24</v>
      </c>
      <c r="P1021" s="2"/>
      <c r="Q1021" s="2"/>
    </row>
    <row r="1022" customFormat="false" ht="15" hidden="false" customHeight="false" outlineLevel="0" collapsed="false">
      <c r="A1022" s="2" t="s">
        <v>280</v>
      </c>
      <c r="B1022" s="2" t="s">
        <v>45</v>
      </c>
      <c r="C1022" s="13" t="s">
        <v>1536</v>
      </c>
      <c r="D1022" s="29" t="n">
        <v>178040</v>
      </c>
      <c r="E1022" s="2" t="s">
        <v>827</v>
      </c>
      <c r="F1022" s="30" t="n">
        <v>0.195860480790834</v>
      </c>
      <c r="G1022" s="31" t="n">
        <v>8.3</v>
      </c>
      <c r="H1022" s="32" t="n">
        <v>0.0850804485616772</v>
      </c>
      <c r="I1022" s="31" t="n">
        <v>50</v>
      </c>
      <c r="J1022" s="2" t="s">
        <v>2890</v>
      </c>
      <c r="K1022" s="33" t="n">
        <v>0.24109362054681</v>
      </c>
      <c r="L1022" s="31" t="n">
        <v>80.7</v>
      </c>
      <c r="M1022" s="34" t="s">
        <v>822</v>
      </c>
      <c r="N1022" s="2" t="s">
        <v>24</v>
      </c>
      <c r="O1022" s="2" t="s">
        <v>24</v>
      </c>
      <c r="P1022" s="2" t="s">
        <v>24</v>
      </c>
      <c r="Q1022" s="2" t="s">
        <v>24</v>
      </c>
    </row>
    <row r="1023" customFormat="false" ht="15" hidden="false" customHeight="false" outlineLevel="0" collapsed="false">
      <c r="A1023" s="2" t="s">
        <v>280</v>
      </c>
      <c r="B1023" s="2" t="s">
        <v>46</v>
      </c>
      <c r="C1023" s="13" t="s">
        <v>1682</v>
      </c>
      <c r="D1023" s="29" t="n">
        <v>32370</v>
      </c>
      <c r="E1023" s="2" t="s">
        <v>821</v>
      </c>
      <c r="F1023" s="30" t="n">
        <v>7.17951807228916</v>
      </c>
      <c r="G1023" s="31" t="n">
        <v>86.8</v>
      </c>
      <c r="H1023" s="32" t="n">
        <v>0.203793231684641</v>
      </c>
      <c r="I1023" s="31" t="n">
        <v>94.9</v>
      </c>
      <c r="J1023" s="2" t="s">
        <v>2884</v>
      </c>
      <c r="K1023" s="33" t="n">
        <v>0.310848791455874</v>
      </c>
      <c r="L1023" s="31" t="n">
        <v>90.9</v>
      </c>
      <c r="M1023" s="34" t="s">
        <v>822</v>
      </c>
      <c r="N1023" s="2" t="s">
        <v>24</v>
      </c>
      <c r="O1023" s="2" t="s">
        <v>24</v>
      </c>
      <c r="P1023" s="2" t="s">
        <v>24</v>
      </c>
      <c r="Q1023" s="2" t="s">
        <v>24</v>
      </c>
    </row>
    <row r="1024" customFormat="false" ht="15" hidden="false" customHeight="false" outlineLevel="0" collapsed="false">
      <c r="A1024" s="2" t="s">
        <v>280</v>
      </c>
      <c r="B1024" s="2" t="s">
        <v>47</v>
      </c>
      <c r="C1024" s="13" t="s">
        <v>2218</v>
      </c>
      <c r="D1024" s="29" t="n">
        <v>29100</v>
      </c>
      <c r="E1024" s="2" t="s">
        <v>821</v>
      </c>
      <c r="F1024" s="30" t="n">
        <v>6.67034364261168</v>
      </c>
      <c r="G1024" s="31" t="n">
        <v>98.9</v>
      </c>
      <c r="H1024" s="32" t="n">
        <v>0.108993902439024</v>
      </c>
      <c r="I1024" s="31" t="n">
        <v>57.1</v>
      </c>
      <c r="J1024" s="2" t="s">
        <v>2886</v>
      </c>
      <c r="K1024" s="33" t="n">
        <v>0.249021909233177</v>
      </c>
      <c r="L1024" s="31" t="n">
        <v>92.5</v>
      </c>
      <c r="M1024" s="34" t="s">
        <v>822</v>
      </c>
      <c r="N1024" s="2" t="s">
        <v>24</v>
      </c>
      <c r="O1024" s="2" t="s">
        <v>24</v>
      </c>
      <c r="P1024" s="2" t="s">
        <v>24</v>
      </c>
      <c r="Q1024" s="2" t="s">
        <v>24</v>
      </c>
    </row>
    <row r="1025" customFormat="false" ht="15" hidden="false" customHeight="false" outlineLevel="0" collapsed="false">
      <c r="A1025" s="2" t="s">
        <v>2636</v>
      </c>
      <c r="B1025" s="2" t="s">
        <v>45</v>
      </c>
      <c r="C1025" s="13" t="s">
        <v>3137</v>
      </c>
      <c r="D1025" s="29" t="n">
        <v>12110</v>
      </c>
      <c r="E1025" s="2" t="s">
        <v>821</v>
      </c>
      <c r="F1025" s="30" t="n">
        <v>0.421882741535921</v>
      </c>
      <c r="G1025" s="31" t="n">
        <v>31.2</v>
      </c>
      <c r="H1025" s="32" t="n">
        <v>0.0707338638373121</v>
      </c>
      <c r="I1025" s="31" t="n">
        <v>37.8</v>
      </c>
      <c r="J1025" s="2" t="s">
        <v>2883</v>
      </c>
      <c r="K1025" s="38"/>
      <c r="L1025" s="31"/>
      <c r="M1025" s="39" t="s">
        <v>832</v>
      </c>
      <c r="N1025" s="2" t="s">
        <v>24</v>
      </c>
      <c r="O1025" s="2" t="s">
        <v>24</v>
      </c>
      <c r="P1025" s="2" t="s">
        <v>24</v>
      </c>
      <c r="Q1025" s="2"/>
    </row>
    <row r="1026" customFormat="false" ht="15" hidden="false" customHeight="false" outlineLevel="0" collapsed="false">
      <c r="A1026" s="2" t="s">
        <v>2636</v>
      </c>
      <c r="B1026" s="2" t="s">
        <v>46</v>
      </c>
      <c r="C1026" s="16"/>
      <c r="D1026" s="29" t="n">
        <v>133430</v>
      </c>
      <c r="E1026" s="2" t="s">
        <v>827</v>
      </c>
      <c r="F1026" s="30" t="n">
        <v>5.00483399535337</v>
      </c>
      <c r="G1026" s="31" t="n">
        <v>72.7</v>
      </c>
      <c r="H1026" s="32" t="n">
        <v>0.0695791583166333</v>
      </c>
      <c r="I1026" s="31" t="n">
        <v>45.2</v>
      </c>
      <c r="J1026" s="2" t="s">
        <v>2888</v>
      </c>
      <c r="K1026" s="33" t="n">
        <v>0.3472050910781</v>
      </c>
      <c r="L1026" s="31" t="n">
        <v>94</v>
      </c>
      <c r="M1026" s="39" t="s">
        <v>832</v>
      </c>
      <c r="N1026" s="2" t="s">
        <v>24</v>
      </c>
      <c r="O1026" s="2" t="s">
        <v>24</v>
      </c>
      <c r="P1026" s="2" t="s">
        <v>24</v>
      </c>
      <c r="Q1026" s="2" t="s">
        <v>24</v>
      </c>
    </row>
    <row r="1027" customFormat="false" ht="15" hidden="false" customHeight="false" outlineLevel="0" collapsed="false">
      <c r="A1027" s="2" t="s">
        <v>2636</v>
      </c>
      <c r="B1027" s="2" t="s">
        <v>47</v>
      </c>
      <c r="C1027" s="13" t="s">
        <v>2637</v>
      </c>
      <c r="D1027" s="29" t="n">
        <v>30190</v>
      </c>
      <c r="E1027" s="2" t="s">
        <v>821</v>
      </c>
      <c r="F1027" s="30" t="n">
        <v>0.934580987081815</v>
      </c>
      <c r="G1027" s="31" t="n">
        <v>35.6</v>
      </c>
      <c r="H1027" s="32" t="n">
        <v>0.128176382660688</v>
      </c>
      <c r="I1027" s="31" t="n">
        <v>67.5</v>
      </c>
      <c r="J1027" s="2" t="s">
        <v>2886</v>
      </c>
      <c r="K1027" s="44" t="n">
        <v>0.06006628003314</v>
      </c>
      <c r="L1027" s="31" t="n">
        <v>37.6</v>
      </c>
      <c r="M1027" s="34" t="s">
        <v>822</v>
      </c>
      <c r="N1027" s="2" t="s">
        <v>24</v>
      </c>
      <c r="O1027" s="2" t="s">
        <v>24</v>
      </c>
      <c r="P1027" s="2" t="s">
        <v>24</v>
      </c>
      <c r="Q1027" s="2" t="s">
        <v>22</v>
      </c>
    </row>
    <row r="1028" customFormat="false" ht="15" hidden="false" customHeight="false" outlineLevel="0" collapsed="false">
      <c r="A1028" s="2" t="s">
        <v>766</v>
      </c>
      <c r="B1028" s="2" t="s">
        <v>45</v>
      </c>
      <c r="C1028" s="13" t="s">
        <v>1460</v>
      </c>
      <c r="D1028" s="29" t="n">
        <v>29060</v>
      </c>
      <c r="E1028" s="2" t="s">
        <v>821</v>
      </c>
      <c r="F1028" s="30" t="n">
        <v>0.307949070887818</v>
      </c>
      <c r="G1028" s="31" t="n">
        <v>18.9</v>
      </c>
      <c r="H1028" s="32" t="n">
        <v>0.258553486357731</v>
      </c>
      <c r="I1028" s="31" t="n">
        <v>98.6</v>
      </c>
      <c r="J1028" s="2" t="s">
        <v>2883</v>
      </c>
      <c r="K1028" s="33" t="n">
        <v>0.0554156171284635</v>
      </c>
      <c r="L1028" s="31" t="n">
        <v>17.7</v>
      </c>
      <c r="M1028" s="34" t="s">
        <v>822</v>
      </c>
      <c r="N1028" s="2" t="s">
        <v>24</v>
      </c>
      <c r="O1028" s="2" t="s">
        <v>24</v>
      </c>
      <c r="P1028" s="2" t="s">
        <v>24</v>
      </c>
      <c r="Q1028" s="2" t="s">
        <v>24</v>
      </c>
    </row>
    <row r="1029" customFormat="false" ht="15" hidden="false" customHeight="false" outlineLevel="0" collapsed="false">
      <c r="A1029" s="2" t="s">
        <v>1794</v>
      </c>
      <c r="B1029" s="2" t="s">
        <v>45</v>
      </c>
      <c r="C1029" s="13" t="s">
        <v>3138</v>
      </c>
      <c r="D1029" s="35"/>
      <c r="E1029" s="2"/>
      <c r="F1029" s="36"/>
      <c r="G1029" s="31"/>
      <c r="H1029" s="37"/>
      <c r="I1029" s="31"/>
      <c r="J1029" s="2"/>
      <c r="K1029" s="38"/>
      <c r="L1029" s="31"/>
      <c r="M1029" s="39" t="s">
        <v>832</v>
      </c>
      <c r="N1029" s="2"/>
      <c r="O1029" s="2"/>
      <c r="P1029" s="2"/>
      <c r="Q1029" s="2"/>
    </row>
    <row r="1030" customFormat="false" ht="15" hidden="false" customHeight="false" outlineLevel="0" collapsed="false">
      <c r="A1030" s="2" t="s">
        <v>1794</v>
      </c>
      <c r="B1030" s="2" t="s">
        <v>46</v>
      </c>
      <c r="C1030" s="13" t="s">
        <v>1795</v>
      </c>
      <c r="D1030" s="29" t="n">
        <v>86490</v>
      </c>
      <c r="E1030" s="2" t="s">
        <v>821</v>
      </c>
      <c r="F1030" s="30" t="n">
        <v>4.20363047751185</v>
      </c>
      <c r="G1030" s="31" t="n">
        <v>66.8</v>
      </c>
      <c r="H1030" s="32" t="n">
        <v>-0.0591754595888176</v>
      </c>
      <c r="I1030" s="31" t="n">
        <v>2.9</v>
      </c>
      <c r="J1030" s="2" t="s">
        <v>2884</v>
      </c>
      <c r="K1030" s="33" t="n">
        <v>0.075669951942657</v>
      </c>
      <c r="L1030" s="31" t="n">
        <v>23</v>
      </c>
      <c r="M1030" s="34" t="s">
        <v>822</v>
      </c>
      <c r="N1030" s="2" t="s">
        <v>24</v>
      </c>
      <c r="O1030" s="2" t="s">
        <v>24</v>
      </c>
      <c r="P1030" s="2" t="s">
        <v>24</v>
      </c>
      <c r="Q1030" s="2" t="s">
        <v>24</v>
      </c>
    </row>
    <row r="1031" customFormat="false" ht="15" hidden="false" customHeight="false" outlineLevel="0" collapsed="false">
      <c r="A1031" s="2" t="s">
        <v>1794</v>
      </c>
      <c r="B1031" s="2" t="s">
        <v>47</v>
      </c>
      <c r="C1031" s="14" t="s">
        <v>2638</v>
      </c>
      <c r="D1031" s="42" t="n">
        <v>6615</v>
      </c>
      <c r="E1031" s="2" t="s">
        <v>825</v>
      </c>
      <c r="F1031" s="43" t="n">
        <v>0.934240362811791</v>
      </c>
      <c r="G1031" s="31" t="n">
        <v>35.4</v>
      </c>
      <c r="H1031" s="41" t="n">
        <v>0.0950173812282735</v>
      </c>
      <c r="I1031" s="31" t="n">
        <v>45</v>
      </c>
      <c r="J1031" s="2" t="s">
        <v>2889</v>
      </c>
      <c r="K1031" s="44" t="n">
        <v>0.0186915887850467</v>
      </c>
      <c r="L1031" s="31" t="n">
        <v>12.2</v>
      </c>
      <c r="M1031" s="34" t="s">
        <v>822</v>
      </c>
      <c r="N1031" s="2" t="s">
        <v>22</v>
      </c>
      <c r="O1031" s="2" t="s">
        <v>22</v>
      </c>
      <c r="P1031" s="2" t="s">
        <v>22</v>
      </c>
      <c r="Q1031" s="2" t="s">
        <v>22</v>
      </c>
    </row>
    <row r="1032" customFormat="false" ht="15" hidden="false" customHeight="false" outlineLevel="0" collapsed="false">
      <c r="A1032" s="2" t="s">
        <v>3139</v>
      </c>
      <c r="B1032" s="2" t="s">
        <v>46</v>
      </c>
      <c r="C1032" s="15" t="s">
        <v>3140</v>
      </c>
      <c r="D1032" s="46" t="n">
        <v>714866</v>
      </c>
      <c r="E1032" s="2" t="s">
        <v>827</v>
      </c>
      <c r="F1032" s="47" t="n">
        <v>1.181523530284</v>
      </c>
      <c r="G1032" s="31" t="n">
        <v>9.8</v>
      </c>
      <c r="H1032" s="48" t="n">
        <v>0.000508045452573327</v>
      </c>
      <c r="I1032" s="31" t="n">
        <v>13.4</v>
      </c>
      <c r="J1032" s="2" t="s">
        <v>2888</v>
      </c>
      <c r="K1032" s="38"/>
      <c r="L1032" s="31"/>
      <c r="M1032" s="39" t="s">
        <v>832</v>
      </c>
      <c r="N1032" s="2" t="s">
        <v>19</v>
      </c>
      <c r="O1032" s="2" t="s">
        <v>19</v>
      </c>
      <c r="P1032" s="2" t="s">
        <v>19</v>
      </c>
      <c r="Q1032" s="2"/>
    </row>
    <row r="1033" customFormat="false" ht="15" hidden="false" customHeight="false" outlineLevel="0" collapsed="false">
      <c r="A1033" s="2" t="s">
        <v>3139</v>
      </c>
      <c r="B1033" s="2" t="s">
        <v>47</v>
      </c>
      <c r="C1033" s="16"/>
      <c r="D1033" s="35"/>
      <c r="E1033" s="2"/>
      <c r="F1033" s="36"/>
      <c r="G1033" s="31"/>
      <c r="H1033" s="37"/>
      <c r="I1033" s="31"/>
      <c r="J1033" s="2"/>
      <c r="K1033" s="38"/>
      <c r="L1033" s="31"/>
      <c r="M1033" s="39" t="s">
        <v>832</v>
      </c>
      <c r="N1033" s="2"/>
      <c r="O1033" s="2"/>
      <c r="P1033" s="2"/>
      <c r="Q1033" s="2"/>
    </row>
    <row r="1034" customFormat="false" ht="15" hidden="false" customHeight="false" outlineLevel="0" collapsed="false">
      <c r="A1034" s="2" t="s">
        <v>133</v>
      </c>
      <c r="B1034" s="2" t="s">
        <v>45</v>
      </c>
      <c r="C1034" s="13" t="s">
        <v>841</v>
      </c>
      <c r="D1034" s="29" t="n">
        <v>3140</v>
      </c>
      <c r="E1034" s="2" t="s">
        <v>825</v>
      </c>
      <c r="F1034" s="47" t="n">
        <v>2.52751010258004</v>
      </c>
      <c r="G1034" s="31" t="n">
        <v>98.1</v>
      </c>
      <c r="H1034" s="48" t="n">
        <v>0.12640056022409</v>
      </c>
      <c r="I1034" s="31" t="n">
        <v>67.6</v>
      </c>
      <c r="J1034" s="2" t="s">
        <v>2899</v>
      </c>
      <c r="K1034" s="33" t="n">
        <v>0.278481012658228</v>
      </c>
      <c r="L1034" s="31" t="n">
        <v>87.2</v>
      </c>
      <c r="M1034" s="34" t="s">
        <v>822</v>
      </c>
      <c r="N1034" s="2" t="s">
        <v>24</v>
      </c>
      <c r="O1034" s="2" t="s">
        <v>19</v>
      </c>
      <c r="P1034" s="2" t="s">
        <v>19</v>
      </c>
      <c r="Q1034" s="2" t="s">
        <v>24</v>
      </c>
    </row>
    <row r="1035" customFormat="false" ht="15" hidden="false" customHeight="false" outlineLevel="0" collapsed="false">
      <c r="A1035" s="2" t="s">
        <v>133</v>
      </c>
      <c r="B1035" s="2" t="s">
        <v>46</v>
      </c>
      <c r="C1035" s="13" t="s">
        <v>1807</v>
      </c>
      <c r="D1035" s="29" t="n">
        <v>96100</v>
      </c>
      <c r="E1035" s="2" t="s">
        <v>821</v>
      </c>
      <c r="F1035" s="30" t="n">
        <v>4.06107180020812</v>
      </c>
      <c r="G1035" s="31" t="n">
        <v>65.2</v>
      </c>
      <c r="H1035" s="32" t="n">
        <v>0.0534970401227801</v>
      </c>
      <c r="I1035" s="31" t="n">
        <v>32.4</v>
      </c>
      <c r="J1035" s="2" t="s">
        <v>2884</v>
      </c>
      <c r="K1035" s="33" t="n">
        <v>0.0443530621236599</v>
      </c>
      <c r="L1035" s="31" t="n">
        <v>10.2</v>
      </c>
      <c r="M1035" s="34" t="s">
        <v>822</v>
      </c>
      <c r="N1035" s="2" t="s">
        <v>24</v>
      </c>
      <c r="O1035" s="2" t="s">
        <v>24</v>
      </c>
      <c r="P1035" s="2" t="s">
        <v>24</v>
      </c>
      <c r="Q1035" s="2" t="s">
        <v>24</v>
      </c>
    </row>
    <row r="1036" customFormat="false" ht="15" hidden="false" customHeight="false" outlineLevel="0" collapsed="false">
      <c r="A1036" s="2" t="s">
        <v>133</v>
      </c>
      <c r="B1036" s="2" t="s">
        <v>47</v>
      </c>
      <c r="C1036" s="14" t="s">
        <v>2233</v>
      </c>
      <c r="D1036" s="42" t="n">
        <v>18043</v>
      </c>
      <c r="E1036" s="2" t="s">
        <v>821</v>
      </c>
      <c r="F1036" s="43" t="n">
        <v>4.58815052929114</v>
      </c>
      <c r="G1036" s="31" t="n">
        <v>96.8</v>
      </c>
      <c r="H1036" s="41" t="n">
        <v>0.224333310714528</v>
      </c>
      <c r="I1036" s="31" t="n">
        <v>95.5</v>
      </c>
      <c r="J1036" s="2" t="s">
        <v>2886</v>
      </c>
      <c r="K1036" s="44" t="n">
        <v>0.214366872869587</v>
      </c>
      <c r="L1036" s="31" t="n">
        <v>88</v>
      </c>
      <c r="M1036" s="34" t="s">
        <v>822</v>
      </c>
      <c r="N1036" s="2" t="s">
        <v>22</v>
      </c>
      <c r="O1036" s="2" t="s">
        <v>22</v>
      </c>
      <c r="P1036" s="2" t="s">
        <v>22</v>
      </c>
      <c r="Q1036" s="2" t="s">
        <v>22</v>
      </c>
    </row>
    <row r="1037" customFormat="false" ht="15" hidden="false" customHeight="false" outlineLevel="0" collapsed="false">
      <c r="A1037" s="2" t="s">
        <v>192</v>
      </c>
      <c r="B1037" s="2" t="s">
        <v>45</v>
      </c>
      <c r="C1037" s="13" t="s">
        <v>936</v>
      </c>
      <c r="D1037" s="29" t="n">
        <v>19750</v>
      </c>
      <c r="E1037" s="2" t="s">
        <v>821</v>
      </c>
      <c r="F1037" s="30" t="n">
        <v>1.32855696202532</v>
      </c>
      <c r="G1037" s="31" t="n">
        <v>86.4</v>
      </c>
      <c r="H1037" s="32" t="n">
        <v>0.0618279569892473</v>
      </c>
      <c r="I1037" s="31" t="n">
        <v>33.7</v>
      </c>
      <c r="J1037" s="2" t="s">
        <v>2883</v>
      </c>
      <c r="K1037" s="33" t="n">
        <v>0.179540709812109</v>
      </c>
      <c r="L1037" s="31" t="n">
        <v>67.8</v>
      </c>
      <c r="M1037" s="34" t="s">
        <v>822</v>
      </c>
      <c r="N1037" s="2" t="s">
        <v>24</v>
      </c>
      <c r="O1037" s="2" t="s">
        <v>24</v>
      </c>
      <c r="P1037" s="2" t="s">
        <v>24</v>
      </c>
      <c r="Q1037" s="2" t="s">
        <v>24</v>
      </c>
    </row>
    <row r="1038" customFormat="false" ht="15" hidden="false" customHeight="false" outlineLevel="0" collapsed="false">
      <c r="A1038" s="2" t="s">
        <v>192</v>
      </c>
      <c r="B1038" s="2" t="s">
        <v>46</v>
      </c>
      <c r="C1038" s="13" t="s">
        <v>1629</v>
      </c>
      <c r="D1038" s="29" t="n">
        <v>14820</v>
      </c>
      <c r="E1038" s="2" t="s">
        <v>821</v>
      </c>
      <c r="F1038" s="30" t="n">
        <v>10.7238866396761</v>
      </c>
      <c r="G1038" s="31" t="n">
        <v>95.3</v>
      </c>
      <c r="H1038" s="32" t="n">
        <v>0.101040118870728</v>
      </c>
      <c r="I1038" s="31" t="n">
        <v>58.2</v>
      </c>
      <c r="J1038" s="2" t="s">
        <v>2884</v>
      </c>
      <c r="K1038" s="33" t="n">
        <v>0.292263610315186</v>
      </c>
      <c r="L1038" s="31" t="n">
        <v>87.4</v>
      </c>
      <c r="M1038" s="34" t="s">
        <v>822</v>
      </c>
      <c r="N1038" s="2" t="s">
        <v>24</v>
      </c>
      <c r="O1038" s="2" t="s">
        <v>24</v>
      </c>
      <c r="P1038" s="2" t="s">
        <v>24</v>
      </c>
      <c r="Q1038" s="2" t="s">
        <v>24</v>
      </c>
    </row>
    <row r="1039" customFormat="false" ht="15" hidden="false" customHeight="false" outlineLevel="0" collapsed="false">
      <c r="A1039" s="2" t="s">
        <v>192</v>
      </c>
      <c r="B1039" s="2" t="s">
        <v>47</v>
      </c>
      <c r="C1039" s="14" t="s">
        <v>2564</v>
      </c>
      <c r="D1039" s="42" t="n">
        <v>13534</v>
      </c>
      <c r="E1039" s="2" t="s">
        <v>821</v>
      </c>
      <c r="F1039" s="43" t="n">
        <v>1.19572927441998</v>
      </c>
      <c r="G1039" s="31" t="n">
        <v>47.1</v>
      </c>
      <c r="H1039" s="41" t="n">
        <v>0.0493099705380679</v>
      </c>
      <c r="I1039" s="31" t="n">
        <v>27.6</v>
      </c>
      <c r="J1039" s="2" t="s">
        <v>2886</v>
      </c>
      <c r="K1039" s="44" t="n">
        <v>0.250790305584826</v>
      </c>
      <c r="L1039" s="31" t="n">
        <v>92.8</v>
      </c>
      <c r="M1039" s="34" t="s">
        <v>822</v>
      </c>
      <c r="N1039" s="2" t="s">
        <v>22</v>
      </c>
      <c r="O1039" s="2" t="s">
        <v>22</v>
      </c>
      <c r="P1039" s="2" t="s">
        <v>22</v>
      </c>
      <c r="Q1039" s="2" t="s">
        <v>22</v>
      </c>
    </row>
    <row r="1040" customFormat="false" ht="15" hidden="false" customHeight="false" outlineLevel="0" collapsed="false">
      <c r="A1040" s="2" t="s">
        <v>975</v>
      </c>
      <c r="B1040" s="2" t="s">
        <v>45</v>
      </c>
      <c r="C1040" s="13" t="s">
        <v>976</v>
      </c>
      <c r="D1040" s="29" t="n">
        <v>75250</v>
      </c>
      <c r="E1040" s="2" t="s">
        <v>821</v>
      </c>
      <c r="F1040" s="30" t="n">
        <v>1.12439867109635</v>
      </c>
      <c r="G1040" s="31" t="n">
        <v>82</v>
      </c>
      <c r="H1040" s="32" t="n">
        <v>0.0643564356435644</v>
      </c>
      <c r="I1040" s="31" t="n">
        <v>35.7</v>
      </c>
      <c r="J1040" s="2" t="s">
        <v>2883</v>
      </c>
      <c r="K1040" s="33" t="n">
        <v>0.161719233147805</v>
      </c>
      <c r="L1040" s="31" t="n">
        <v>63.2</v>
      </c>
      <c r="M1040" s="34" t="s">
        <v>822</v>
      </c>
      <c r="N1040" s="2" t="s">
        <v>24</v>
      </c>
      <c r="O1040" s="2" t="s">
        <v>24</v>
      </c>
      <c r="P1040" s="2" t="s">
        <v>24</v>
      </c>
      <c r="Q1040" s="2" t="s">
        <v>24</v>
      </c>
    </row>
    <row r="1041" customFormat="false" ht="15" hidden="false" customHeight="false" outlineLevel="0" collapsed="false">
      <c r="A1041" s="2" t="s">
        <v>975</v>
      </c>
      <c r="B1041" s="2" t="s">
        <v>46</v>
      </c>
      <c r="C1041" s="16"/>
      <c r="D1041" s="35"/>
      <c r="E1041" s="2"/>
      <c r="F1041" s="36"/>
      <c r="G1041" s="31"/>
      <c r="H1041" s="37"/>
      <c r="I1041" s="31"/>
      <c r="J1041" s="2"/>
      <c r="K1041" s="38"/>
      <c r="L1041" s="31"/>
      <c r="M1041" s="39" t="s">
        <v>832</v>
      </c>
      <c r="N1041" s="2"/>
      <c r="O1041" s="2"/>
      <c r="P1041" s="2"/>
      <c r="Q1041" s="2"/>
    </row>
    <row r="1042" customFormat="false" ht="15" hidden="false" customHeight="false" outlineLevel="0" collapsed="false">
      <c r="A1042" s="2" t="s">
        <v>975</v>
      </c>
      <c r="B1042" s="2" t="s">
        <v>47</v>
      </c>
      <c r="C1042" s="14" t="s">
        <v>2759</v>
      </c>
      <c r="D1042" s="42" t="n">
        <v>243858</v>
      </c>
      <c r="E1042" s="2" t="s">
        <v>827</v>
      </c>
      <c r="F1042" s="43" t="n">
        <v>0.58155565944115</v>
      </c>
      <c r="G1042" s="31" t="n">
        <v>17.5</v>
      </c>
      <c r="H1042" s="41" t="n">
        <v>0.0834136740668998</v>
      </c>
      <c r="I1042" s="31" t="n">
        <v>49.1</v>
      </c>
      <c r="J1042" s="2" t="s">
        <v>2897</v>
      </c>
      <c r="K1042" s="44" t="n">
        <v>0.15436761572729</v>
      </c>
      <c r="L1042" s="31" t="n">
        <v>74.4</v>
      </c>
      <c r="M1042" s="34" t="s">
        <v>822</v>
      </c>
      <c r="N1042" s="2" t="s">
        <v>22</v>
      </c>
      <c r="O1042" s="2" t="s">
        <v>22</v>
      </c>
      <c r="P1042" s="2" t="s">
        <v>22</v>
      </c>
      <c r="Q1042" s="2" t="s">
        <v>22</v>
      </c>
    </row>
    <row r="1043" customFormat="false" ht="15" hidden="false" customHeight="false" outlineLevel="0" collapsed="false">
      <c r="A1043" s="2" t="s">
        <v>3141</v>
      </c>
      <c r="B1043" s="2" t="s">
        <v>47</v>
      </c>
      <c r="C1043" s="14" t="s">
        <v>3142</v>
      </c>
      <c r="D1043" s="42" t="n">
        <v>91435</v>
      </c>
      <c r="E1043" s="2" t="s">
        <v>821</v>
      </c>
      <c r="F1043" s="43" t="n">
        <v>1.16283698802428</v>
      </c>
      <c r="G1043" s="31" t="n">
        <v>46</v>
      </c>
      <c r="H1043" s="41" t="n">
        <v>0.0895755380252151</v>
      </c>
      <c r="I1043" s="31" t="n">
        <v>47.4</v>
      </c>
      <c r="J1043" s="2" t="s">
        <v>2886</v>
      </c>
      <c r="K1043" s="38"/>
      <c r="L1043" s="31"/>
      <c r="M1043" s="39" t="s">
        <v>832</v>
      </c>
      <c r="N1043" s="2" t="s">
        <v>22</v>
      </c>
      <c r="O1043" s="2" t="s">
        <v>22</v>
      </c>
      <c r="P1043" s="2" t="s">
        <v>22</v>
      </c>
      <c r="Q1043" s="2"/>
    </row>
    <row r="1044" customFormat="false" ht="15" hidden="false" customHeight="false" outlineLevel="0" collapsed="false">
      <c r="A1044" s="2" t="s">
        <v>1044</v>
      </c>
      <c r="B1044" s="2" t="s">
        <v>45</v>
      </c>
      <c r="C1044" s="13" t="s">
        <v>1045</v>
      </c>
      <c r="D1044" s="29" t="n">
        <v>277050</v>
      </c>
      <c r="E1044" s="2" t="s">
        <v>827</v>
      </c>
      <c r="F1044" s="30" t="n">
        <v>0.889749142754016</v>
      </c>
      <c r="G1044" s="31" t="n">
        <v>74.3</v>
      </c>
      <c r="H1044" s="32" t="n">
        <v>0.1082</v>
      </c>
      <c r="I1044" s="31" t="n">
        <v>65</v>
      </c>
      <c r="J1044" s="2" t="s">
        <v>2890</v>
      </c>
      <c r="K1044" s="33" t="n">
        <v>0.155808191225769</v>
      </c>
      <c r="L1044" s="31" t="n">
        <v>60.6</v>
      </c>
      <c r="M1044" s="34" t="s">
        <v>822</v>
      </c>
      <c r="N1044" s="2" t="s">
        <v>24</v>
      </c>
      <c r="O1044" s="2" t="s">
        <v>24</v>
      </c>
      <c r="P1044" s="2" t="s">
        <v>24</v>
      </c>
      <c r="Q1044" s="2" t="s">
        <v>24</v>
      </c>
    </row>
    <row r="1045" customFormat="false" ht="15" hidden="false" customHeight="false" outlineLevel="0" collapsed="false">
      <c r="A1045" s="2" t="s">
        <v>1044</v>
      </c>
      <c r="B1045" s="2" t="s">
        <v>46</v>
      </c>
      <c r="C1045" s="16"/>
      <c r="D1045" s="35"/>
      <c r="E1045" s="2"/>
      <c r="F1045" s="36"/>
      <c r="G1045" s="31"/>
      <c r="H1045" s="37"/>
      <c r="I1045" s="31"/>
      <c r="J1045" s="2"/>
      <c r="K1045" s="38"/>
      <c r="L1045" s="31"/>
      <c r="M1045" s="39" t="s">
        <v>832</v>
      </c>
      <c r="N1045" s="2"/>
      <c r="O1045" s="2"/>
      <c r="P1045" s="2"/>
      <c r="Q1045" s="2"/>
    </row>
    <row r="1046" customFormat="false" ht="15" hidden="false" customHeight="false" outlineLevel="0" collapsed="false">
      <c r="A1046" s="2" t="s">
        <v>1044</v>
      </c>
      <c r="B1046" s="2" t="s">
        <v>47</v>
      </c>
      <c r="C1046" s="13" t="s">
        <v>3143</v>
      </c>
      <c r="D1046" s="29" t="n">
        <v>167680</v>
      </c>
      <c r="E1046" s="2" t="s">
        <v>827</v>
      </c>
      <c r="F1046" s="30" t="n">
        <v>1.90455629770992</v>
      </c>
      <c r="G1046" s="31" t="n">
        <v>73.7</v>
      </c>
      <c r="H1046" s="32" t="n">
        <v>0.0843248836006208</v>
      </c>
      <c r="I1046" s="31" t="n">
        <v>50.3</v>
      </c>
      <c r="J1046" s="2" t="s">
        <v>2897</v>
      </c>
      <c r="K1046" s="38"/>
      <c r="L1046" s="31"/>
      <c r="M1046" s="39" t="s">
        <v>832</v>
      </c>
      <c r="N1046" s="2" t="s">
        <v>24</v>
      </c>
      <c r="O1046" s="2" t="s">
        <v>24</v>
      </c>
      <c r="P1046" s="2" t="s">
        <v>24</v>
      </c>
      <c r="Q1046" s="2"/>
    </row>
    <row r="1047" customFormat="false" ht="15" hidden="false" customHeight="false" outlineLevel="0" collapsed="false">
      <c r="A1047" s="2" t="s">
        <v>3144</v>
      </c>
      <c r="B1047" s="2" t="s">
        <v>46</v>
      </c>
      <c r="C1047" s="13" t="s">
        <v>3145</v>
      </c>
      <c r="D1047" s="29" t="n">
        <v>29660</v>
      </c>
      <c r="E1047" s="2" t="s">
        <v>821</v>
      </c>
      <c r="F1047" s="30" t="n">
        <v>3.16625084288604</v>
      </c>
      <c r="G1047" s="31" t="n">
        <v>50.1</v>
      </c>
      <c r="H1047" s="37"/>
      <c r="I1047" s="31"/>
      <c r="J1047" s="2"/>
      <c r="K1047" s="33" t="n">
        <v>0.284881461329188</v>
      </c>
      <c r="L1047" s="31" t="n">
        <v>86.8</v>
      </c>
      <c r="M1047" s="39" t="s">
        <v>832</v>
      </c>
      <c r="N1047" s="2" t="s">
        <v>24</v>
      </c>
      <c r="O1047" s="2" t="s">
        <v>24</v>
      </c>
      <c r="P1047" s="2"/>
      <c r="Q1047" s="2" t="s">
        <v>24</v>
      </c>
    </row>
    <row r="1048" customFormat="false" ht="15" hidden="false" customHeight="false" outlineLevel="0" collapsed="false">
      <c r="A1048" s="2" t="s">
        <v>434</v>
      </c>
      <c r="B1048" s="2" t="s">
        <v>47</v>
      </c>
      <c r="C1048" s="14" t="s">
        <v>2514</v>
      </c>
      <c r="D1048" s="42" t="n">
        <v>64305</v>
      </c>
      <c r="E1048" s="2" t="s">
        <v>821</v>
      </c>
      <c r="F1048" s="43" t="n">
        <v>1.33818521110334</v>
      </c>
      <c r="G1048" s="31" t="n">
        <v>53.4</v>
      </c>
      <c r="H1048" s="41" t="n">
        <v>0.0189029027760172</v>
      </c>
      <c r="I1048" s="31" t="n">
        <v>15.6</v>
      </c>
      <c r="J1048" s="2" t="s">
        <v>2886</v>
      </c>
      <c r="K1048" s="44" t="n">
        <v>0.0268033109972408</v>
      </c>
      <c r="L1048" s="31" t="n">
        <v>17.2</v>
      </c>
      <c r="M1048" s="34" t="s">
        <v>822</v>
      </c>
      <c r="N1048" s="2" t="s">
        <v>22</v>
      </c>
      <c r="O1048" s="2" t="s">
        <v>22</v>
      </c>
      <c r="P1048" s="2" t="s">
        <v>22</v>
      </c>
      <c r="Q1048" s="2" t="s">
        <v>22</v>
      </c>
    </row>
    <row r="1049" customFormat="false" ht="15" hidden="false" customHeight="false" outlineLevel="0" collapsed="false">
      <c r="A1049" s="2" t="s">
        <v>382</v>
      </c>
      <c r="B1049" s="2" t="s">
        <v>45</v>
      </c>
      <c r="C1049" s="13" t="s">
        <v>971</v>
      </c>
      <c r="D1049" s="29" t="n">
        <v>199990</v>
      </c>
      <c r="E1049" s="2" t="s">
        <v>827</v>
      </c>
      <c r="F1049" s="30" t="n">
        <v>1.15886794339717</v>
      </c>
      <c r="G1049" s="31" t="n">
        <v>82.6</v>
      </c>
      <c r="H1049" s="32" t="n">
        <v>0.168165887850467</v>
      </c>
      <c r="I1049" s="31" t="n">
        <v>84.3</v>
      </c>
      <c r="J1049" s="2" t="s">
        <v>2890</v>
      </c>
      <c r="K1049" s="44" t="n">
        <v>0.224714451249793</v>
      </c>
      <c r="L1049" s="31" t="n">
        <v>77.2</v>
      </c>
      <c r="M1049" s="34" t="s">
        <v>822</v>
      </c>
      <c r="N1049" s="2" t="s">
        <v>24</v>
      </c>
      <c r="O1049" s="2" t="s">
        <v>24</v>
      </c>
      <c r="P1049" s="2" t="s">
        <v>24</v>
      </c>
      <c r="Q1049" s="2" t="s">
        <v>22</v>
      </c>
    </row>
    <row r="1050" customFormat="false" ht="15" hidden="false" customHeight="false" outlineLevel="0" collapsed="false">
      <c r="A1050" s="2" t="s">
        <v>382</v>
      </c>
      <c r="B1050" s="2" t="s">
        <v>46</v>
      </c>
      <c r="C1050" s="13" t="s">
        <v>2128</v>
      </c>
      <c r="D1050" s="29" t="n">
        <v>197590</v>
      </c>
      <c r="E1050" s="2" t="s">
        <v>827</v>
      </c>
      <c r="F1050" s="30" t="n">
        <v>1.39326889012602</v>
      </c>
      <c r="G1050" s="31" t="n">
        <v>13.2</v>
      </c>
      <c r="H1050" s="32" t="n">
        <v>0.0516259513545159</v>
      </c>
      <c r="I1050" s="31" t="n">
        <v>36.3</v>
      </c>
      <c r="J1050" s="2" t="s">
        <v>2888</v>
      </c>
      <c r="K1050" s="33" t="n">
        <v>0.16266404785287</v>
      </c>
      <c r="L1050" s="31" t="n">
        <v>59.4</v>
      </c>
      <c r="M1050" s="34" t="s">
        <v>822</v>
      </c>
      <c r="N1050" s="2" t="s">
        <v>24</v>
      </c>
      <c r="O1050" s="2" t="s">
        <v>24</v>
      </c>
      <c r="P1050" s="2" t="s">
        <v>24</v>
      </c>
      <c r="Q1050" s="2" t="s">
        <v>24</v>
      </c>
    </row>
    <row r="1051" customFormat="false" ht="15" hidden="false" customHeight="false" outlineLevel="0" collapsed="false">
      <c r="A1051" s="2" t="s">
        <v>382</v>
      </c>
      <c r="B1051" s="2" t="s">
        <v>47</v>
      </c>
      <c r="C1051" s="14" t="s">
        <v>2387</v>
      </c>
      <c r="D1051" s="42" t="n">
        <v>157206</v>
      </c>
      <c r="E1051" s="2" t="s">
        <v>827</v>
      </c>
      <c r="F1051" s="43" t="n">
        <v>1.86489701410888</v>
      </c>
      <c r="G1051" s="31" t="n">
        <v>72.7</v>
      </c>
      <c r="H1051" s="41" t="n">
        <v>-0.000622997508009968</v>
      </c>
      <c r="I1051" s="31" t="n">
        <v>11.8</v>
      </c>
      <c r="J1051" s="2" t="s">
        <v>2897</v>
      </c>
      <c r="K1051" s="44" t="n">
        <v>0.0117020165082019</v>
      </c>
      <c r="L1051" s="31" t="n">
        <v>8.1</v>
      </c>
      <c r="M1051" s="34" t="s">
        <v>822</v>
      </c>
      <c r="N1051" s="2" t="s">
        <v>22</v>
      </c>
      <c r="O1051" s="2" t="s">
        <v>22</v>
      </c>
      <c r="P1051" s="2" t="s">
        <v>22</v>
      </c>
      <c r="Q1051" s="2" t="s">
        <v>22</v>
      </c>
    </row>
    <row r="1052" customFormat="false" ht="15" hidden="false" customHeight="false" outlineLevel="0" collapsed="false">
      <c r="A1052" s="2" t="s">
        <v>568</v>
      </c>
      <c r="B1052" s="2" t="s">
        <v>45</v>
      </c>
      <c r="C1052" s="13" t="s">
        <v>1521</v>
      </c>
      <c r="D1052" s="29" t="n">
        <v>50870</v>
      </c>
      <c r="E1052" s="2" t="s">
        <v>821</v>
      </c>
      <c r="F1052" s="30" t="n">
        <v>0.232494594063299</v>
      </c>
      <c r="G1052" s="31" t="n">
        <v>11.2</v>
      </c>
      <c r="H1052" s="32" t="n">
        <v>0.184400465657742</v>
      </c>
      <c r="I1052" s="31" t="n">
        <v>87.6</v>
      </c>
      <c r="J1052" s="2" t="s">
        <v>2883</v>
      </c>
      <c r="K1052" s="33" t="n">
        <v>0.288184438040346</v>
      </c>
      <c r="L1052" s="31" t="n">
        <v>89</v>
      </c>
      <c r="M1052" s="34" t="s">
        <v>822</v>
      </c>
      <c r="N1052" s="2" t="s">
        <v>24</v>
      </c>
      <c r="O1052" s="2" t="s">
        <v>24</v>
      </c>
      <c r="P1052" s="2" t="s">
        <v>24</v>
      </c>
      <c r="Q1052" s="2" t="s">
        <v>24</v>
      </c>
    </row>
    <row r="1053" customFormat="false" ht="15" hidden="false" customHeight="false" outlineLevel="0" collapsed="false">
      <c r="A1053" s="2" t="s">
        <v>568</v>
      </c>
      <c r="B1053" s="2" t="s">
        <v>46</v>
      </c>
      <c r="C1053" s="13" t="s">
        <v>1958</v>
      </c>
      <c r="D1053" s="29" t="n">
        <v>20010</v>
      </c>
      <c r="E1053" s="2" t="s">
        <v>821</v>
      </c>
      <c r="F1053" s="30" t="n">
        <v>2.67366316841579</v>
      </c>
      <c r="G1053" s="31" t="n">
        <v>41.1</v>
      </c>
      <c r="H1053" s="32" t="n">
        <v>0.0689102564102564</v>
      </c>
      <c r="I1053" s="31" t="n">
        <v>40.4</v>
      </c>
      <c r="J1053" s="2" t="s">
        <v>2884</v>
      </c>
      <c r="K1053" s="33" t="n">
        <v>0.107074569789675</v>
      </c>
      <c r="L1053" s="31" t="n">
        <v>40.4</v>
      </c>
      <c r="M1053" s="34" t="s">
        <v>822</v>
      </c>
      <c r="N1053" s="2" t="s">
        <v>24</v>
      </c>
      <c r="O1053" s="2" t="s">
        <v>24</v>
      </c>
      <c r="P1053" s="2" t="s">
        <v>24</v>
      </c>
      <c r="Q1053" s="2" t="s">
        <v>24</v>
      </c>
    </row>
    <row r="1054" customFormat="false" ht="15" hidden="false" customHeight="false" outlineLevel="0" collapsed="false">
      <c r="A1054" s="2" t="s">
        <v>568</v>
      </c>
      <c r="B1054" s="2" t="s">
        <v>47</v>
      </c>
      <c r="C1054" s="13" t="s">
        <v>2375</v>
      </c>
      <c r="D1054" s="29" t="n">
        <v>19980</v>
      </c>
      <c r="E1054" s="2" t="s">
        <v>821</v>
      </c>
      <c r="F1054" s="30" t="n">
        <v>1.93323323323323</v>
      </c>
      <c r="G1054" s="31" t="n">
        <v>74.8</v>
      </c>
      <c r="H1054" s="32" t="n">
        <v>0.199279711884754</v>
      </c>
      <c r="I1054" s="31" t="n">
        <v>91.9</v>
      </c>
      <c r="J1054" s="2" t="s">
        <v>2886</v>
      </c>
      <c r="K1054" s="33" t="n">
        <v>0.202911737943585</v>
      </c>
      <c r="L1054" s="31" t="n">
        <v>85.7</v>
      </c>
      <c r="M1054" s="34" t="s">
        <v>822</v>
      </c>
      <c r="N1054" s="2" t="s">
        <v>24</v>
      </c>
      <c r="O1054" s="2" t="s">
        <v>24</v>
      </c>
      <c r="P1054" s="2" t="s">
        <v>24</v>
      </c>
      <c r="Q1054" s="2" t="s">
        <v>24</v>
      </c>
    </row>
    <row r="1055" customFormat="false" ht="15" hidden="false" customHeight="false" outlineLevel="0" collapsed="false">
      <c r="A1055" s="2" t="s">
        <v>2561</v>
      </c>
      <c r="B1055" s="2" t="s">
        <v>46</v>
      </c>
      <c r="C1055" s="15" t="s">
        <v>3146</v>
      </c>
      <c r="D1055" s="46" t="n">
        <v>59705</v>
      </c>
      <c r="E1055" s="2" t="s">
        <v>821</v>
      </c>
      <c r="F1055" s="36"/>
      <c r="G1055" s="31"/>
      <c r="H1055" s="48" t="n">
        <v>0.022170861153912</v>
      </c>
      <c r="I1055" s="31" t="n">
        <v>19.6</v>
      </c>
      <c r="J1055" s="2" t="s">
        <v>2884</v>
      </c>
      <c r="K1055" s="38"/>
      <c r="L1055" s="31"/>
      <c r="M1055" s="39" t="s">
        <v>832</v>
      </c>
      <c r="N1055" s="2" t="s">
        <v>19</v>
      </c>
      <c r="O1055" s="2"/>
      <c r="P1055" s="2" t="s">
        <v>19</v>
      </c>
      <c r="Q1055" s="2"/>
    </row>
    <row r="1056" customFormat="false" ht="15" hidden="false" customHeight="false" outlineLevel="0" collapsed="false">
      <c r="A1056" s="2" t="s">
        <v>2561</v>
      </c>
      <c r="B1056" s="2" t="s">
        <v>47</v>
      </c>
      <c r="C1056" s="13" t="s">
        <v>2562</v>
      </c>
      <c r="D1056" s="29" t="n">
        <v>27960</v>
      </c>
      <c r="E1056" s="2" t="s">
        <v>821</v>
      </c>
      <c r="F1056" s="30" t="n">
        <v>1.19688841201717</v>
      </c>
      <c r="G1056" s="31" t="n">
        <v>47.4</v>
      </c>
      <c r="H1056" s="32" t="n">
        <v>-0.0566801619433198</v>
      </c>
      <c r="I1056" s="31" t="n">
        <v>1.6</v>
      </c>
      <c r="J1056" s="2" t="s">
        <v>2886</v>
      </c>
      <c r="K1056" s="33" t="n">
        <v>0.0421205519244735</v>
      </c>
      <c r="L1056" s="31" t="n">
        <v>27.2</v>
      </c>
      <c r="M1056" s="34" t="s">
        <v>822</v>
      </c>
      <c r="N1056" s="2" t="s">
        <v>24</v>
      </c>
      <c r="O1056" s="2" t="s">
        <v>24</v>
      </c>
      <c r="P1056" s="2" t="s">
        <v>24</v>
      </c>
      <c r="Q1056" s="2" t="s">
        <v>24</v>
      </c>
    </row>
    <row r="1057" customFormat="false" ht="15" hidden="false" customHeight="false" outlineLevel="0" collapsed="false">
      <c r="A1057" s="2" t="s">
        <v>1619</v>
      </c>
      <c r="B1057" s="2" t="s">
        <v>45</v>
      </c>
      <c r="C1057" s="13" t="s">
        <v>3147</v>
      </c>
      <c r="D1057" s="29" t="n">
        <v>140470</v>
      </c>
      <c r="E1057" s="2" t="s">
        <v>827</v>
      </c>
      <c r="F1057" s="30" t="n">
        <v>0.951206663344486</v>
      </c>
      <c r="G1057" s="31" t="n">
        <v>77.3</v>
      </c>
      <c r="H1057" s="32" t="n">
        <v>0.186903253062949</v>
      </c>
      <c r="I1057" s="31" t="n">
        <v>92.1</v>
      </c>
      <c r="J1057" s="2" t="s">
        <v>2890</v>
      </c>
      <c r="K1057" s="38"/>
      <c r="L1057" s="31"/>
      <c r="M1057" s="39" t="s">
        <v>832</v>
      </c>
      <c r="N1057" s="2" t="s">
        <v>24</v>
      </c>
      <c r="O1057" s="2" t="s">
        <v>24</v>
      </c>
      <c r="P1057" s="2" t="s">
        <v>24</v>
      </c>
      <c r="Q1057" s="2"/>
    </row>
    <row r="1058" customFormat="false" ht="15" hidden="false" customHeight="false" outlineLevel="0" collapsed="false">
      <c r="A1058" s="2" t="s">
        <v>1619</v>
      </c>
      <c r="B1058" s="2" t="s">
        <v>46</v>
      </c>
      <c r="C1058" s="13" t="s">
        <v>1620</v>
      </c>
      <c r="D1058" s="29" t="n">
        <v>34100</v>
      </c>
      <c r="E1058" s="2" t="s">
        <v>821</v>
      </c>
      <c r="F1058" s="30" t="n">
        <v>11.8980938416422</v>
      </c>
      <c r="G1058" s="31" t="n">
        <v>97.1</v>
      </c>
      <c r="H1058" s="32" t="n">
        <v>0.0121697833184921</v>
      </c>
      <c r="I1058" s="31" t="n">
        <v>16.7</v>
      </c>
      <c r="J1058" s="2" t="s">
        <v>2884</v>
      </c>
      <c r="K1058" s="33" t="n">
        <v>0.118561414202987</v>
      </c>
      <c r="L1058" s="31" t="n">
        <v>44.8</v>
      </c>
      <c r="M1058" s="34" t="s">
        <v>822</v>
      </c>
      <c r="N1058" s="2" t="s">
        <v>24</v>
      </c>
      <c r="O1058" s="2" t="s">
        <v>24</v>
      </c>
      <c r="P1058" s="2" t="s">
        <v>24</v>
      </c>
      <c r="Q1058" s="2" t="s">
        <v>24</v>
      </c>
    </row>
    <row r="1059" customFormat="false" ht="15" hidden="false" customHeight="false" outlineLevel="0" collapsed="false">
      <c r="A1059" s="2" t="s">
        <v>1619</v>
      </c>
      <c r="B1059" s="2" t="s">
        <v>47</v>
      </c>
      <c r="C1059" s="14" t="s">
        <v>2275</v>
      </c>
      <c r="D1059" s="42" t="n">
        <v>29074</v>
      </c>
      <c r="E1059" s="2" t="s">
        <v>821</v>
      </c>
      <c r="F1059" s="43" t="n">
        <v>3.30071541583545</v>
      </c>
      <c r="G1059" s="31" t="n">
        <v>91.2</v>
      </c>
      <c r="H1059" s="41" t="n">
        <v>0.0139499197879612</v>
      </c>
      <c r="I1059" s="31" t="n">
        <v>14.6</v>
      </c>
      <c r="J1059" s="2" t="s">
        <v>2886</v>
      </c>
      <c r="K1059" s="44" t="n">
        <v>0.0374404356705242</v>
      </c>
      <c r="L1059" s="31" t="n">
        <v>24.6</v>
      </c>
      <c r="M1059" s="34" t="s">
        <v>822</v>
      </c>
      <c r="N1059" s="2" t="s">
        <v>22</v>
      </c>
      <c r="O1059" s="2" t="s">
        <v>22</v>
      </c>
      <c r="P1059" s="2" t="s">
        <v>22</v>
      </c>
      <c r="Q1059" s="2" t="s">
        <v>22</v>
      </c>
    </row>
    <row r="1060" customFormat="false" ht="15" hidden="false" customHeight="false" outlineLevel="0" collapsed="false">
      <c r="A1060" s="2" t="s">
        <v>3148</v>
      </c>
      <c r="B1060" s="2" t="s">
        <v>47</v>
      </c>
      <c r="C1060" s="16"/>
      <c r="D1060" s="42" t="n">
        <v>15801</v>
      </c>
      <c r="E1060" s="2" t="s">
        <v>821</v>
      </c>
      <c r="F1060" s="43" t="n">
        <v>0.402949180431618</v>
      </c>
      <c r="G1060" s="31" t="n">
        <v>8.1</v>
      </c>
      <c r="H1060" s="41" t="n">
        <v>0.214714022140221</v>
      </c>
      <c r="I1060" s="31" t="n">
        <v>93.5</v>
      </c>
      <c r="J1060" s="2" t="s">
        <v>2886</v>
      </c>
      <c r="K1060" s="44" t="n">
        <v>0.314393939393939</v>
      </c>
      <c r="L1060" s="31" t="n">
        <v>96.6</v>
      </c>
      <c r="M1060" s="39" t="s">
        <v>832</v>
      </c>
      <c r="N1060" s="2" t="s">
        <v>22</v>
      </c>
      <c r="O1060" s="2" t="s">
        <v>22</v>
      </c>
      <c r="P1060" s="2" t="s">
        <v>22</v>
      </c>
      <c r="Q1060" s="2" t="s">
        <v>22</v>
      </c>
    </row>
    <row r="1061" customFormat="false" ht="15" hidden="false" customHeight="false" outlineLevel="0" collapsed="false">
      <c r="A1061" s="2" t="s">
        <v>588</v>
      </c>
      <c r="B1061" s="2" t="s">
        <v>45</v>
      </c>
      <c r="C1061" s="13" t="s">
        <v>1491</v>
      </c>
      <c r="D1061" s="29" t="n">
        <v>35070</v>
      </c>
      <c r="E1061" s="2" t="s">
        <v>821</v>
      </c>
      <c r="F1061" s="30" t="n">
        <v>0.260079840319361</v>
      </c>
      <c r="G1061" s="31" t="n">
        <v>14</v>
      </c>
      <c r="H1061" s="32" t="n">
        <v>0.139006170834687</v>
      </c>
      <c r="I1061" s="31" t="n">
        <v>73.5</v>
      </c>
      <c r="J1061" s="2" t="s">
        <v>2883</v>
      </c>
      <c r="K1061" s="33" t="n">
        <v>0.0909090909090909</v>
      </c>
      <c r="L1061" s="31" t="n">
        <v>32.6</v>
      </c>
      <c r="M1061" s="34" t="s">
        <v>822</v>
      </c>
      <c r="N1061" s="2" t="s">
        <v>24</v>
      </c>
      <c r="O1061" s="2" t="s">
        <v>24</v>
      </c>
      <c r="P1061" s="2" t="s">
        <v>24</v>
      </c>
      <c r="Q1061" s="2" t="s">
        <v>24</v>
      </c>
    </row>
    <row r="1062" customFormat="false" ht="15" hidden="false" customHeight="false" outlineLevel="0" collapsed="false">
      <c r="A1062" s="2" t="s">
        <v>588</v>
      </c>
      <c r="B1062" s="2" t="s">
        <v>46</v>
      </c>
      <c r="C1062" s="13" t="s">
        <v>1708</v>
      </c>
      <c r="D1062" s="29" t="n">
        <v>367390</v>
      </c>
      <c r="E1062" s="2" t="s">
        <v>827</v>
      </c>
      <c r="F1062" s="30" t="n">
        <v>6.1648847274014</v>
      </c>
      <c r="G1062" s="31" t="n">
        <v>81.1</v>
      </c>
      <c r="H1062" s="32" t="n">
        <v>0.0280094017572332</v>
      </c>
      <c r="I1062" s="31" t="n">
        <v>24.2</v>
      </c>
      <c r="J1062" s="2" t="s">
        <v>2888</v>
      </c>
      <c r="K1062" s="33" t="n">
        <v>0.324793984142136</v>
      </c>
      <c r="L1062" s="31" t="n">
        <v>92.5</v>
      </c>
      <c r="M1062" s="34" t="s">
        <v>822</v>
      </c>
      <c r="N1062" s="2" t="s">
        <v>24</v>
      </c>
      <c r="O1062" s="2" t="s">
        <v>24</v>
      </c>
      <c r="P1062" s="2" t="s">
        <v>24</v>
      </c>
      <c r="Q1062" s="2" t="s">
        <v>24</v>
      </c>
    </row>
    <row r="1063" customFormat="false" ht="15" hidden="false" customHeight="false" outlineLevel="0" collapsed="false">
      <c r="A1063" s="2" t="s">
        <v>588</v>
      </c>
      <c r="B1063" s="2" t="s">
        <v>47</v>
      </c>
      <c r="C1063" s="13" t="s">
        <v>2695</v>
      </c>
      <c r="D1063" s="29" t="n">
        <v>41470</v>
      </c>
      <c r="E1063" s="2" t="s">
        <v>821</v>
      </c>
      <c r="F1063" s="30" t="n">
        <v>0.770026525198939</v>
      </c>
      <c r="G1063" s="31" t="n">
        <v>26.5</v>
      </c>
      <c r="H1063" s="32" t="n">
        <v>0.0372686343171586</v>
      </c>
      <c r="I1063" s="31" t="n">
        <v>22.4</v>
      </c>
      <c r="J1063" s="2" t="s">
        <v>2886</v>
      </c>
      <c r="K1063" s="33" t="n">
        <v>0.23957783641161</v>
      </c>
      <c r="L1063" s="31" t="n">
        <v>91.4</v>
      </c>
      <c r="M1063" s="34" t="s">
        <v>822</v>
      </c>
      <c r="N1063" s="2" t="s">
        <v>24</v>
      </c>
      <c r="O1063" s="2" t="s">
        <v>24</v>
      </c>
      <c r="P1063" s="2" t="s">
        <v>24</v>
      </c>
      <c r="Q1063" s="2" t="s">
        <v>24</v>
      </c>
    </row>
    <row r="1064" customFormat="false" ht="15" hidden="false" customHeight="false" outlineLevel="0" collapsed="false">
      <c r="A1064" s="2" t="s">
        <v>1405</v>
      </c>
      <c r="B1064" s="2" t="s">
        <v>45</v>
      </c>
      <c r="C1064" s="13" t="s">
        <v>1406</v>
      </c>
      <c r="D1064" s="29" t="n">
        <v>20690</v>
      </c>
      <c r="E1064" s="2" t="s">
        <v>821</v>
      </c>
      <c r="F1064" s="30" t="n">
        <v>0.384775253745771</v>
      </c>
      <c r="G1064" s="31" t="n">
        <v>27.4</v>
      </c>
      <c r="H1064" s="32" t="n">
        <v>0.0417925478348439</v>
      </c>
      <c r="I1064" s="31" t="n">
        <v>23.4</v>
      </c>
      <c r="J1064" s="2" t="s">
        <v>2883</v>
      </c>
      <c r="K1064" s="33" t="n">
        <v>0.0104821802935011</v>
      </c>
      <c r="L1064" s="31" t="n">
        <v>2.8</v>
      </c>
      <c r="M1064" s="34" t="s">
        <v>822</v>
      </c>
      <c r="N1064" s="2" t="s">
        <v>24</v>
      </c>
      <c r="O1064" s="2" t="s">
        <v>24</v>
      </c>
      <c r="P1064" s="2" t="s">
        <v>24</v>
      </c>
      <c r="Q1064" s="2" t="s">
        <v>24</v>
      </c>
    </row>
    <row r="1065" customFormat="false" ht="15" hidden="false" customHeight="false" outlineLevel="0" collapsed="false">
      <c r="A1065" s="2" t="s">
        <v>1405</v>
      </c>
      <c r="B1065" s="2" t="s">
        <v>46</v>
      </c>
      <c r="C1065" s="15" t="s">
        <v>3149</v>
      </c>
      <c r="D1065" s="46" t="n">
        <v>15885</v>
      </c>
      <c r="E1065" s="2" t="s">
        <v>821</v>
      </c>
      <c r="F1065" s="47" t="n">
        <v>1.76380232924142</v>
      </c>
      <c r="G1065" s="31" t="n">
        <v>22.6</v>
      </c>
      <c r="H1065" s="48" t="n">
        <v>0.0138498851161603</v>
      </c>
      <c r="I1065" s="31" t="n">
        <v>17.1</v>
      </c>
      <c r="J1065" s="2" t="s">
        <v>2884</v>
      </c>
      <c r="K1065" s="38"/>
      <c r="L1065" s="31"/>
      <c r="M1065" s="39" t="s">
        <v>832</v>
      </c>
      <c r="N1065" s="2" t="s">
        <v>19</v>
      </c>
      <c r="O1065" s="2" t="s">
        <v>19</v>
      </c>
      <c r="P1065" s="2" t="s">
        <v>19</v>
      </c>
      <c r="Q1065" s="2"/>
    </row>
    <row r="1066" customFormat="false" ht="15" hidden="false" customHeight="false" outlineLevel="0" collapsed="false">
      <c r="A1066" s="2" t="s">
        <v>1405</v>
      </c>
      <c r="B1066" s="2" t="s">
        <v>47</v>
      </c>
      <c r="C1066" s="13" t="s">
        <v>2673</v>
      </c>
      <c r="D1066" s="29" t="n">
        <v>343470</v>
      </c>
      <c r="E1066" s="2" t="s">
        <v>827</v>
      </c>
      <c r="F1066" s="30" t="n">
        <v>0.809968847352025</v>
      </c>
      <c r="G1066" s="31" t="n">
        <v>29.6</v>
      </c>
      <c r="H1066" s="32" t="n">
        <v>0.1138243019749</v>
      </c>
      <c r="I1066" s="31" t="n">
        <v>66.5</v>
      </c>
      <c r="J1066" s="2" t="s">
        <v>2897</v>
      </c>
      <c r="K1066" s="33" t="n">
        <v>0.00310907677692374</v>
      </c>
      <c r="L1066" s="31" t="n">
        <v>3.4</v>
      </c>
      <c r="M1066" s="34" t="s">
        <v>822</v>
      </c>
      <c r="N1066" s="2" t="s">
        <v>24</v>
      </c>
      <c r="O1066" s="2" t="s">
        <v>24</v>
      </c>
      <c r="P1066" s="2" t="s">
        <v>24</v>
      </c>
      <c r="Q1066" s="2" t="s">
        <v>24</v>
      </c>
    </row>
    <row r="1067" customFormat="false" ht="15" hidden="false" customHeight="false" outlineLevel="0" collapsed="false">
      <c r="A1067" s="2" t="s">
        <v>2597</v>
      </c>
      <c r="B1067" s="2" t="s">
        <v>45</v>
      </c>
      <c r="C1067" s="15" t="s">
        <v>3150</v>
      </c>
      <c r="D1067" s="46" t="n">
        <v>52750</v>
      </c>
      <c r="E1067" s="2" t="s">
        <v>821</v>
      </c>
      <c r="F1067" s="47" t="n">
        <v>0.172189573459716</v>
      </c>
      <c r="G1067" s="31" t="n">
        <v>6.8</v>
      </c>
      <c r="H1067" s="37"/>
      <c r="I1067" s="31"/>
      <c r="J1067" s="2"/>
      <c r="K1067" s="33" t="n">
        <v>0.0607734806629834</v>
      </c>
      <c r="L1067" s="31" t="n">
        <v>20.3</v>
      </c>
      <c r="M1067" s="39" t="s">
        <v>832</v>
      </c>
      <c r="N1067" s="2" t="s">
        <v>19</v>
      </c>
      <c r="O1067" s="2" t="s">
        <v>19</v>
      </c>
      <c r="P1067" s="2"/>
      <c r="Q1067" s="2" t="s">
        <v>24</v>
      </c>
    </row>
    <row r="1068" customFormat="false" ht="15" hidden="false" customHeight="false" outlineLevel="0" collapsed="false">
      <c r="A1068" s="2" t="s">
        <v>2597</v>
      </c>
      <c r="B1068" s="2" t="s">
        <v>47</v>
      </c>
      <c r="C1068" s="13" t="s">
        <v>2598</v>
      </c>
      <c r="D1068" s="29" t="n">
        <v>77380</v>
      </c>
      <c r="E1068" s="2" t="s">
        <v>821</v>
      </c>
      <c r="F1068" s="30" t="n">
        <v>1.07376583096407</v>
      </c>
      <c r="G1068" s="31" t="n">
        <v>41.3</v>
      </c>
      <c r="H1068" s="32" t="n">
        <v>0.0633502817094957</v>
      </c>
      <c r="I1068" s="31" t="n">
        <v>34.1</v>
      </c>
      <c r="J1068" s="2" t="s">
        <v>2886</v>
      </c>
      <c r="K1068" s="33" t="n">
        <v>0.300044091710758</v>
      </c>
      <c r="L1068" s="31" t="n">
        <v>96.2</v>
      </c>
      <c r="M1068" s="34" t="s">
        <v>822</v>
      </c>
      <c r="N1068" s="2" t="s">
        <v>24</v>
      </c>
      <c r="O1068" s="2" t="s">
        <v>24</v>
      </c>
      <c r="P1068" s="2" t="s">
        <v>24</v>
      </c>
      <c r="Q1068" s="2" t="s">
        <v>24</v>
      </c>
    </row>
    <row r="1069" customFormat="false" ht="15" hidden="false" customHeight="false" outlineLevel="0" collapsed="false">
      <c r="A1069" s="2" t="s">
        <v>1322</v>
      </c>
      <c r="B1069" s="2" t="s">
        <v>45</v>
      </c>
      <c r="C1069" s="13" t="s">
        <v>1323</v>
      </c>
      <c r="D1069" s="29" t="n">
        <v>95960</v>
      </c>
      <c r="E1069" s="2" t="s">
        <v>821</v>
      </c>
      <c r="F1069" s="30" t="n">
        <v>0.473332638599416</v>
      </c>
      <c r="G1069" s="31" t="n">
        <v>38.8</v>
      </c>
      <c r="H1069" s="32" t="n">
        <v>0.123521835850603</v>
      </c>
      <c r="I1069" s="31" t="n">
        <v>67.7</v>
      </c>
      <c r="J1069" s="2" t="s">
        <v>2883</v>
      </c>
      <c r="K1069" s="33" t="n">
        <v>0.0884749708963912</v>
      </c>
      <c r="L1069" s="31" t="n">
        <v>30.8</v>
      </c>
      <c r="M1069" s="34" t="s">
        <v>822</v>
      </c>
      <c r="N1069" s="2" t="s">
        <v>24</v>
      </c>
      <c r="O1069" s="2" t="s">
        <v>24</v>
      </c>
      <c r="P1069" s="2" t="s">
        <v>24</v>
      </c>
      <c r="Q1069" s="2" t="s">
        <v>24</v>
      </c>
    </row>
    <row r="1070" customFormat="false" ht="15" hidden="false" customHeight="false" outlineLevel="0" collapsed="false">
      <c r="A1070" s="2" t="s">
        <v>1322</v>
      </c>
      <c r="B1070" s="2" t="s">
        <v>46</v>
      </c>
      <c r="C1070" s="16"/>
      <c r="D1070" s="35"/>
      <c r="E1070" s="2"/>
      <c r="F1070" s="36"/>
      <c r="G1070" s="31"/>
      <c r="H1070" s="37"/>
      <c r="I1070" s="31"/>
      <c r="J1070" s="2"/>
      <c r="K1070" s="38"/>
      <c r="L1070" s="31"/>
      <c r="M1070" s="39" t="s">
        <v>832</v>
      </c>
      <c r="N1070" s="2"/>
      <c r="O1070" s="2"/>
      <c r="P1070" s="2"/>
      <c r="Q1070" s="2"/>
    </row>
    <row r="1071" customFormat="false" ht="15" hidden="false" customHeight="false" outlineLevel="0" collapsed="false">
      <c r="A1071" s="2" t="s">
        <v>1322</v>
      </c>
      <c r="B1071" s="2" t="s">
        <v>47</v>
      </c>
      <c r="C1071" s="13" t="s">
        <v>2335</v>
      </c>
      <c r="D1071" s="29" t="n">
        <v>790</v>
      </c>
      <c r="E1071" s="2" t="s">
        <v>825</v>
      </c>
      <c r="F1071" s="30" t="n">
        <v>2.36962025316456</v>
      </c>
      <c r="G1071" s="31" t="n">
        <v>82.4</v>
      </c>
      <c r="H1071" s="41" t="n">
        <v>0.144736842105263</v>
      </c>
      <c r="I1071" s="31" t="n">
        <v>66.2</v>
      </c>
      <c r="J1071" s="2" t="s">
        <v>2889</v>
      </c>
      <c r="K1071" s="33" t="n">
        <v>0.0606060606060606</v>
      </c>
      <c r="L1071" s="31" t="n">
        <v>38.5</v>
      </c>
      <c r="M1071" s="34" t="s">
        <v>822</v>
      </c>
      <c r="N1071" s="2" t="s">
        <v>24</v>
      </c>
      <c r="O1071" s="2" t="s">
        <v>24</v>
      </c>
      <c r="P1071" s="2" t="s">
        <v>22</v>
      </c>
      <c r="Q1071" s="2" t="s">
        <v>24</v>
      </c>
    </row>
    <row r="1072" customFormat="false" ht="15" hidden="false" customHeight="false" outlineLevel="0" collapsed="false">
      <c r="A1072" s="2" t="s">
        <v>1539</v>
      </c>
      <c r="B1072" s="2" t="s">
        <v>45</v>
      </c>
      <c r="C1072" s="14" t="s">
        <v>1540</v>
      </c>
      <c r="D1072" s="42" t="n">
        <v>49638</v>
      </c>
      <c r="E1072" s="2" t="s">
        <v>821</v>
      </c>
      <c r="F1072" s="43" t="n">
        <v>0.188263024295902</v>
      </c>
      <c r="G1072" s="31" t="n">
        <v>7.9</v>
      </c>
      <c r="H1072" s="41" t="n">
        <v>0.127393308955461</v>
      </c>
      <c r="I1072" s="31" t="n">
        <v>69.1</v>
      </c>
      <c r="J1072" s="2" t="s">
        <v>2883</v>
      </c>
      <c r="K1072" s="40" t="s">
        <v>857</v>
      </c>
      <c r="L1072" s="31"/>
      <c r="M1072" s="34" t="s">
        <v>822</v>
      </c>
      <c r="N1072" s="2" t="s">
        <v>22</v>
      </c>
      <c r="O1072" s="2" t="s">
        <v>22</v>
      </c>
      <c r="P1072" s="2" t="s">
        <v>22</v>
      </c>
      <c r="Q1072" s="2" t="s">
        <v>3035</v>
      </c>
    </row>
    <row r="1073" customFormat="false" ht="15" hidden="false" customHeight="false" outlineLevel="0" collapsed="false">
      <c r="A1073" s="2" t="s">
        <v>1539</v>
      </c>
      <c r="B1073" s="2" t="s">
        <v>46</v>
      </c>
      <c r="C1073" s="16"/>
      <c r="D1073" s="35"/>
      <c r="E1073" s="2"/>
      <c r="F1073" s="36"/>
      <c r="G1073" s="31"/>
      <c r="H1073" s="37"/>
      <c r="I1073" s="31"/>
      <c r="J1073" s="2"/>
      <c r="K1073" s="38"/>
      <c r="L1073" s="31"/>
      <c r="M1073" s="39" t="s">
        <v>832</v>
      </c>
      <c r="N1073" s="2"/>
      <c r="O1073" s="2"/>
      <c r="P1073" s="2"/>
      <c r="Q1073" s="2"/>
    </row>
    <row r="1074" customFormat="false" ht="15" hidden="false" customHeight="false" outlineLevel="0" collapsed="false">
      <c r="A1074" s="2" t="s">
        <v>1539</v>
      </c>
      <c r="B1074" s="2" t="s">
        <v>47</v>
      </c>
      <c r="C1074" s="13" t="s">
        <v>2512</v>
      </c>
      <c r="D1074" s="29" t="n">
        <v>37490</v>
      </c>
      <c r="E1074" s="2" t="s">
        <v>821</v>
      </c>
      <c r="F1074" s="30" t="n">
        <v>1.34891971192318</v>
      </c>
      <c r="G1074" s="31" t="n">
        <v>54</v>
      </c>
      <c r="H1074" s="32" t="n">
        <v>0.0638479001135074</v>
      </c>
      <c r="I1074" s="31" t="n">
        <v>34.4</v>
      </c>
      <c r="J1074" s="2" t="s">
        <v>2886</v>
      </c>
      <c r="K1074" s="44" t="n">
        <v>0.00115008625646924</v>
      </c>
      <c r="L1074" s="31" t="n">
        <v>2.3</v>
      </c>
      <c r="M1074" s="34" t="s">
        <v>822</v>
      </c>
      <c r="N1074" s="2" t="s">
        <v>24</v>
      </c>
      <c r="O1074" s="2" t="s">
        <v>24</v>
      </c>
      <c r="P1074" s="2" t="s">
        <v>24</v>
      </c>
      <c r="Q1074" s="2" t="s">
        <v>22</v>
      </c>
    </row>
    <row r="1075" customFormat="false" ht="15" hidden="false" customHeight="false" outlineLevel="0" collapsed="false">
      <c r="A1075" s="2" t="s">
        <v>740</v>
      </c>
      <c r="B1075" s="2" t="s">
        <v>46</v>
      </c>
      <c r="C1075" s="13" t="s">
        <v>2066</v>
      </c>
      <c r="D1075" s="29" t="n">
        <v>8950</v>
      </c>
      <c r="E1075" s="2" t="s">
        <v>825</v>
      </c>
      <c r="F1075" s="30" t="n">
        <v>1.77664804469274</v>
      </c>
      <c r="G1075" s="31" t="n">
        <v>22.8</v>
      </c>
      <c r="H1075" s="32" t="n">
        <v>0.106304079110012</v>
      </c>
      <c r="I1075" s="31" t="n">
        <v>49.1</v>
      </c>
      <c r="J1075" s="2" t="s">
        <v>2905</v>
      </c>
      <c r="K1075" s="33" t="n">
        <v>0.0434782608695652</v>
      </c>
      <c r="L1075" s="31" t="n">
        <v>9.9</v>
      </c>
      <c r="M1075" s="34" t="s">
        <v>822</v>
      </c>
      <c r="N1075" s="2" t="s">
        <v>24</v>
      </c>
      <c r="O1075" s="2" t="s">
        <v>24</v>
      </c>
      <c r="P1075" s="2" t="s">
        <v>24</v>
      </c>
      <c r="Q1075" s="2" t="s">
        <v>24</v>
      </c>
    </row>
    <row r="1076" customFormat="false" ht="15" hidden="false" customHeight="false" outlineLevel="0" collapsed="false">
      <c r="A1076" s="2" t="s">
        <v>1475</v>
      </c>
      <c r="B1076" s="2" t="s">
        <v>45</v>
      </c>
      <c r="C1076" s="13" t="s">
        <v>1476</v>
      </c>
      <c r="D1076" s="29" t="n">
        <v>47730</v>
      </c>
      <c r="E1076" s="2" t="s">
        <v>821</v>
      </c>
      <c r="F1076" s="30" t="n">
        <v>0.291242405195894</v>
      </c>
      <c r="G1076" s="31" t="n">
        <v>16.4</v>
      </c>
      <c r="H1076" s="32" t="n">
        <v>0.17330383480826</v>
      </c>
      <c r="I1076" s="31" t="n">
        <v>84.5</v>
      </c>
      <c r="J1076" s="2" t="s">
        <v>2883</v>
      </c>
      <c r="K1076" s="33" t="n">
        <v>0.345029239766082</v>
      </c>
      <c r="L1076" s="31" t="n">
        <v>94.9</v>
      </c>
      <c r="M1076" s="34" t="s">
        <v>822</v>
      </c>
      <c r="N1076" s="2" t="s">
        <v>24</v>
      </c>
      <c r="O1076" s="2" t="s">
        <v>24</v>
      </c>
      <c r="P1076" s="2" t="s">
        <v>24</v>
      </c>
      <c r="Q1076" s="2" t="s">
        <v>24</v>
      </c>
    </row>
    <row r="1077" customFormat="false" ht="15" hidden="false" customHeight="false" outlineLevel="0" collapsed="false">
      <c r="A1077" s="2" t="s">
        <v>1475</v>
      </c>
      <c r="B1077" s="2" t="s">
        <v>46</v>
      </c>
      <c r="C1077" s="13" t="s">
        <v>1916</v>
      </c>
      <c r="D1077" s="29" t="n">
        <v>11240</v>
      </c>
      <c r="E1077" s="2" t="s">
        <v>821</v>
      </c>
      <c r="F1077" s="30" t="n">
        <v>3.01174377224199</v>
      </c>
      <c r="G1077" s="31" t="n">
        <v>46.4</v>
      </c>
      <c r="H1077" s="41" t="n">
        <v>0.033986581920904</v>
      </c>
      <c r="I1077" s="31" t="n">
        <v>22.9</v>
      </c>
      <c r="J1077" s="2" t="s">
        <v>2884</v>
      </c>
      <c r="K1077" s="33" t="n">
        <v>0.162287480680062</v>
      </c>
      <c r="L1077" s="31" t="n">
        <v>59.2</v>
      </c>
      <c r="M1077" s="34" t="s">
        <v>822</v>
      </c>
      <c r="N1077" s="2" t="s">
        <v>24</v>
      </c>
      <c r="O1077" s="2" t="s">
        <v>24</v>
      </c>
      <c r="P1077" s="2" t="s">
        <v>22</v>
      </c>
      <c r="Q1077" s="2" t="s">
        <v>24</v>
      </c>
    </row>
    <row r="1078" customFormat="false" ht="15" hidden="false" customHeight="false" outlineLevel="0" collapsed="false">
      <c r="A1078" s="2" t="s">
        <v>1475</v>
      </c>
      <c r="B1078" s="2" t="s">
        <v>47</v>
      </c>
      <c r="C1078" s="16"/>
      <c r="D1078" s="35"/>
      <c r="E1078" s="2"/>
      <c r="F1078" s="36"/>
      <c r="G1078" s="31"/>
      <c r="H1078" s="37"/>
      <c r="I1078" s="31"/>
      <c r="J1078" s="2"/>
      <c r="K1078" s="38"/>
      <c r="L1078" s="31"/>
      <c r="M1078" s="39" t="s">
        <v>832</v>
      </c>
      <c r="N1078" s="2"/>
      <c r="O1078" s="2"/>
      <c r="P1078" s="2"/>
      <c r="Q1078" s="2"/>
    </row>
    <row r="1079" customFormat="false" ht="15" hidden="false" customHeight="false" outlineLevel="0" collapsed="false">
      <c r="A1079" s="2" t="s">
        <v>1015</v>
      </c>
      <c r="B1079" s="2" t="s">
        <v>45</v>
      </c>
      <c r="C1079" s="13" t="s">
        <v>1016</v>
      </c>
      <c r="D1079" s="29" t="n">
        <v>970</v>
      </c>
      <c r="E1079" s="2" t="s">
        <v>825</v>
      </c>
      <c r="F1079" s="30" t="n">
        <v>0.950515463917526</v>
      </c>
      <c r="G1079" s="31" t="n">
        <v>77.1</v>
      </c>
      <c r="H1079" s="41" t="n">
        <v>0.0331196581196581</v>
      </c>
      <c r="I1079" s="31" t="n">
        <v>11.3</v>
      </c>
      <c r="J1079" s="2" t="s">
        <v>2899</v>
      </c>
      <c r="K1079" s="33" t="n">
        <v>0</v>
      </c>
      <c r="L1079" s="31" t="n">
        <v>1.3</v>
      </c>
      <c r="M1079" s="34" t="s">
        <v>822</v>
      </c>
      <c r="N1079" s="2" t="s">
        <v>24</v>
      </c>
      <c r="O1079" s="2" t="s">
        <v>24</v>
      </c>
      <c r="P1079" s="2" t="s">
        <v>22</v>
      </c>
      <c r="Q1079" s="2" t="s">
        <v>24</v>
      </c>
    </row>
    <row r="1080" customFormat="false" ht="15" hidden="false" customHeight="false" outlineLevel="0" collapsed="false">
      <c r="A1080" s="2" t="s">
        <v>1015</v>
      </c>
      <c r="B1080" s="2" t="s">
        <v>46</v>
      </c>
      <c r="C1080" s="16"/>
      <c r="D1080" s="35"/>
      <c r="E1080" s="2"/>
      <c r="F1080" s="36"/>
      <c r="G1080" s="31"/>
      <c r="H1080" s="37"/>
      <c r="I1080" s="31"/>
      <c r="J1080" s="2"/>
      <c r="K1080" s="38"/>
      <c r="L1080" s="31"/>
      <c r="M1080" s="39" t="s">
        <v>832</v>
      </c>
      <c r="N1080" s="2"/>
      <c r="O1080" s="2"/>
      <c r="P1080" s="2"/>
      <c r="Q1080" s="2"/>
    </row>
    <row r="1081" customFormat="false" ht="15" hidden="false" customHeight="false" outlineLevel="0" collapsed="false">
      <c r="A1081" s="2" t="s">
        <v>1015</v>
      </c>
      <c r="B1081" s="2" t="s">
        <v>47</v>
      </c>
      <c r="C1081" s="14" t="s">
        <v>2558</v>
      </c>
      <c r="D1081" s="42" t="n">
        <v>2462</v>
      </c>
      <c r="E1081" s="2" t="s">
        <v>825</v>
      </c>
      <c r="F1081" s="43" t="n">
        <v>1.20308692120228</v>
      </c>
      <c r="G1081" s="31" t="n">
        <v>47.8</v>
      </c>
      <c r="H1081" s="41" t="n">
        <v>0.193407658749394</v>
      </c>
      <c r="I1081" s="31" t="n">
        <v>85</v>
      </c>
      <c r="J1081" s="2" t="s">
        <v>2889</v>
      </c>
      <c r="K1081" s="44" t="n">
        <v>0.222707423580786</v>
      </c>
      <c r="L1081" s="31" t="n">
        <v>89.2</v>
      </c>
      <c r="M1081" s="34" t="s">
        <v>822</v>
      </c>
      <c r="N1081" s="2" t="s">
        <v>22</v>
      </c>
      <c r="O1081" s="2" t="s">
        <v>22</v>
      </c>
      <c r="P1081" s="2" t="s">
        <v>22</v>
      </c>
      <c r="Q1081" s="2" t="s">
        <v>22</v>
      </c>
    </row>
    <row r="1082" customFormat="false" ht="15" hidden="false" customHeight="false" outlineLevel="0" collapsed="false">
      <c r="A1082" s="2" t="s">
        <v>430</v>
      </c>
      <c r="B1082" s="2" t="s">
        <v>46</v>
      </c>
      <c r="C1082" s="13" t="s">
        <v>1876</v>
      </c>
      <c r="D1082" s="29" t="n">
        <v>302830</v>
      </c>
      <c r="E1082" s="2" t="s">
        <v>827</v>
      </c>
      <c r="F1082" s="30" t="n">
        <v>3.39790311395833</v>
      </c>
      <c r="G1082" s="31" t="n">
        <v>53.6</v>
      </c>
      <c r="H1082" s="32" t="n">
        <v>0.0716231996885948</v>
      </c>
      <c r="I1082" s="31" t="n">
        <v>46.5</v>
      </c>
      <c r="J1082" s="2" t="s">
        <v>2888</v>
      </c>
      <c r="K1082" s="33" t="n">
        <v>0.166711835533702</v>
      </c>
      <c r="L1082" s="31" t="n">
        <v>60.9</v>
      </c>
      <c r="M1082" s="34" t="s">
        <v>822</v>
      </c>
      <c r="N1082" s="2" t="s">
        <v>24</v>
      </c>
      <c r="O1082" s="2" t="s">
        <v>24</v>
      </c>
      <c r="P1082" s="2" t="s">
        <v>24</v>
      </c>
      <c r="Q1082" s="2" t="s">
        <v>24</v>
      </c>
    </row>
    <row r="1083" customFormat="false" ht="15" hidden="false" customHeight="false" outlineLevel="0" collapsed="false">
      <c r="A1083" s="2" t="s">
        <v>1050</v>
      </c>
      <c r="B1083" s="2" t="s">
        <v>45</v>
      </c>
      <c r="C1083" s="13" t="s">
        <v>1051</v>
      </c>
      <c r="D1083" s="29" t="n">
        <v>86360</v>
      </c>
      <c r="E1083" s="2" t="s">
        <v>821</v>
      </c>
      <c r="F1083" s="30" t="n">
        <v>0.861428902269569</v>
      </c>
      <c r="G1083" s="31" t="n">
        <v>73</v>
      </c>
      <c r="H1083" s="32" t="n">
        <v>0.0459004481046385</v>
      </c>
      <c r="I1083" s="31" t="n">
        <v>25.1</v>
      </c>
      <c r="J1083" s="2" t="s">
        <v>2883</v>
      </c>
      <c r="K1083" s="33" t="n">
        <v>0.139173147769136</v>
      </c>
      <c r="L1083" s="31" t="n">
        <v>53.1</v>
      </c>
      <c r="M1083" s="34" t="s">
        <v>822</v>
      </c>
      <c r="N1083" s="2" t="s">
        <v>24</v>
      </c>
      <c r="O1083" s="2" t="s">
        <v>24</v>
      </c>
      <c r="P1083" s="2" t="s">
        <v>24</v>
      </c>
      <c r="Q1083" s="2" t="s">
        <v>24</v>
      </c>
    </row>
    <row r="1084" customFormat="false" ht="15" hidden="false" customHeight="false" outlineLevel="0" collapsed="false">
      <c r="A1084" s="2" t="s">
        <v>1050</v>
      </c>
      <c r="B1084" s="2" t="s">
        <v>46</v>
      </c>
      <c r="C1084" s="13" t="s">
        <v>3151</v>
      </c>
      <c r="D1084" s="29" t="n">
        <v>152590</v>
      </c>
      <c r="E1084" s="2" t="s">
        <v>827</v>
      </c>
      <c r="F1084" s="30" t="n">
        <v>6.41945736942133</v>
      </c>
      <c r="G1084" s="31" t="n">
        <v>82.5</v>
      </c>
      <c r="H1084" s="32" t="n">
        <v>0.0714085100407246</v>
      </c>
      <c r="I1084" s="31" t="n">
        <v>45.9</v>
      </c>
      <c r="J1084" s="2" t="s">
        <v>2888</v>
      </c>
      <c r="K1084" s="38"/>
      <c r="L1084" s="31"/>
      <c r="M1084" s="39" t="s">
        <v>832</v>
      </c>
      <c r="N1084" s="2" t="s">
        <v>24</v>
      </c>
      <c r="O1084" s="2" t="s">
        <v>24</v>
      </c>
      <c r="P1084" s="2" t="s">
        <v>24</v>
      </c>
      <c r="Q1084" s="2"/>
    </row>
    <row r="1085" customFormat="false" ht="15" hidden="false" customHeight="false" outlineLevel="0" collapsed="false">
      <c r="A1085" s="2" t="s">
        <v>1050</v>
      </c>
      <c r="B1085" s="2" t="s">
        <v>47</v>
      </c>
      <c r="C1085" s="13" t="s">
        <v>2451</v>
      </c>
      <c r="D1085" s="29" t="n">
        <v>27440</v>
      </c>
      <c r="E1085" s="2" t="s">
        <v>821</v>
      </c>
      <c r="F1085" s="30" t="n">
        <v>1.60543002915452</v>
      </c>
      <c r="G1085" s="31" t="n">
        <v>63.5</v>
      </c>
      <c r="H1085" s="32" t="n">
        <v>0.151973131821998</v>
      </c>
      <c r="I1085" s="31" t="n">
        <v>78.9</v>
      </c>
      <c r="J1085" s="2" t="s">
        <v>2886</v>
      </c>
      <c r="K1085" s="33" t="n">
        <v>0.027047913446677</v>
      </c>
      <c r="L1085" s="31" t="n">
        <v>17.6</v>
      </c>
      <c r="M1085" s="34" t="s">
        <v>822</v>
      </c>
      <c r="N1085" s="2" t="s">
        <v>24</v>
      </c>
      <c r="O1085" s="2" t="s">
        <v>24</v>
      </c>
      <c r="P1085" s="2" t="s">
        <v>24</v>
      </c>
      <c r="Q1085" s="2" t="s">
        <v>24</v>
      </c>
    </row>
    <row r="1086" customFormat="false" ht="15" hidden="false" customHeight="false" outlineLevel="0" collapsed="false">
      <c r="A1086" s="2" t="s">
        <v>992</v>
      </c>
      <c r="B1086" s="2" t="s">
        <v>45</v>
      </c>
      <c r="C1086" s="13" t="s">
        <v>993</v>
      </c>
      <c r="D1086" s="29" t="n">
        <v>63860</v>
      </c>
      <c r="E1086" s="2" t="s">
        <v>821</v>
      </c>
      <c r="F1086" s="30" t="n">
        <v>1.04444096461009</v>
      </c>
      <c r="G1086" s="31" t="n">
        <v>79.8</v>
      </c>
      <c r="H1086" s="32" t="n">
        <v>0.174328797351968</v>
      </c>
      <c r="I1086" s="31" t="n">
        <v>85.2</v>
      </c>
      <c r="J1086" s="2" t="s">
        <v>2883</v>
      </c>
      <c r="K1086" s="33" t="n">
        <v>0.257507987220447</v>
      </c>
      <c r="L1086" s="31" t="n">
        <v>83.7</v>
      </c>
      <c r="M1086" s="34" t="s">
        <v>822</v>
      </c>
      <c r="N1086" s="2" t="s">
        <v>24</v>
      </c>
      <c r="O1086" s="2" t="s">
        <v>24</v>
      </c>
      <c r="P1086" s="2" t="s">
        <v>24</v>
      </c>
      <c r="Q1086" s="2" t="s">
        <v>24</v>
      </c>
    </row>
    <row r="1087" customFormat="false" ht="15" hidden="false" customHeight="false" outlineLevel="0" collapsed="false">
      <c r="A1087" s="2" t="s">
        <v>992</v>
      </c>
      <c r="B1087" s="2" t="s">
        <v>46</v>
      </c>
      <c r="C1087" s="13" t="s">
        <v>2143</v>
      </c>
      <c r="D1087" s="29" t="n">
        <v>60330</v>
      </c>
      <c r="E1087" s="2" t="s">
        <v>821</v>
      </c>
      <c r="F1087" s="30" t="n">
        <v>1.22337145698657</v>
      </c>
      <c r="G1087" s="31" t="n">
        <v>10.4</v>
      </c>
      <c r="H1087" s="32" t="n">
        <v>0.0298736770228747</v>
      </c>
      <c r="I1087" s="31" t="n">
        <v>21.1</v>
      </c>
      <c r="J1087" s="2" t="s">
        <v>2884</v>
      </c>
      <c r="K1087" s="33" t="n">
        <v>0.271525610427758</v>
      </c>
      <c r="L1087" s="31" t="n">
        <v>84.8</v>
      </c>
      <c r="M1087" s="34" t="s">
        <v>822</v>
      </c>
      <c r="N1087" s="2" t="s">
        <v>24</v>
      </c>
      <c r="O1087" s="2" t="s">
        <v>24</v>
      </c>
      <c r="P1087" s="2" t="s">
        <v>24</v>
      </c>
      <c r="Q1087" s="2" t="s">
        <v>24</v>
      </c>
    </row>
    <row r="1088" customFormat="false" ht="15" hidden="false" customHeight="false" outlineLevel="0" collapsed="false">
      <c r="A1088" s="2" t="s">
        <v>992</v>
      </c>
      <c r="B1088" s="2" t="s">
        <v>47</v>
      </c>
      <c r="C1088" s="14" t="s">
        <v>3152</v>
      </c>
      <c r="D1088" s="42" t="n">
        <v>47980</v>
      </c>
      <c r="E1088" s="2" t="s">
        <v>821</v>
      </c>
      <c r="F1088" s="36"/>
      <c r="G1088" s="31"/>
      <c r="H1088" s="41" t="n">
        <v>0.130191034791416</v>
      </c>
      <c r="I1088" s="31" t="n">
        <v>68.2</v>
      </c>
      <c r="J1088" s="2" t="s">
        <v>2886</v>
      </c>
      <c r="K1088" s="44" t="n">
        <v>0.210666666666667</v>
      </c>
      <c r="L1088" s="31" t="n">
        <v>87.3</v>
      </c>
      <c r="M1088" s="39" t="s">
        <v>832</v>
      </c>
      <c r="N1088" s="2" t="s">
        <v>22</v>
      </c>
      <c r="O1088" s="2"/>
      <c r="P1088" s="2" t="s">
        <v>22</v>
      </c>
      <c r="Q1088" s="2" t="s">
        <v>22</v>
      </c>
    </row>
    <row r="1089" customFormat="false" ht="15" hidden="false" customHeight="false" outlineLevel="0" collapsed="false">
      <c r="A1089" s="2" t="s">
        <v>1152</v>
      </c>
      <c r="B1089" s="2" t="s">
        <v>45</v>
      </c>
      <c r="C1089" s="13" t="s">
        <v>1153</v>
      </c>
      <c r="D1089" s="29" t="n">
        <v>127470</v>
      </c>
      <c r="E1089" s="2" t="s">
        <v>827</v>
      </c>
      <c r="F1089" s="30" t="n">
        <v>0.675335373028948</v>
      </c>
      <c r="G1089" s="31" t="n">
        <v>59.9</v>
      </c>
      <c r="H1089" s="32" t="n">
        <v>0.144152230499955</v>
      </c>
      <c r="I1089" s="31" t="n">
        <v>80</v>
      </c>
      <c r="J1089" s="2" t="s">
        <v>2890</v>
      </c>
      <c r="K1089" s="33" t="n">
        <v>0.329446064139942</v>
      </c>
      <c r="L1089" s="31" t="n">
        <v>93.2</v>
      </c>
      <c r="M1089" s="34" t="s">
        <v>822</v>
      </c>
      <c r="N1089" s="2" t="s">
        <v>24</v>
      </c>
      <c r="O1089" s="2" t="s">
        <v>24</v>
      </c>
      <c r="P1089" s="2" t="s">
        <v>24</v>
      </c>
      <c r="Q1089" s="2" t="s">
        <v>24</v>
      </c>
    </row>
    <row r="1090" customFormat="false" ht="15" hidden="false" customHeight="false" outlineLevel="0" collapsed="false">
      <c r="A1090" s="2" t="s">
        <v>1152</v>
      </c>
      <c r="B1090" s="2" t="s">
        <v>46</v>
      </c>
      <c r="C1090" s="13" t="s">
        <v>3153</v>
      </c>
      <c r="D1090" s="29" t="n">
        <v>44990</v>
      </c>
      <c r="E1090" s="2" t="s">
        <v>821</v>
      </c>
      <c r="F1090" s="30" t="n">
        <v>4.59728828628584</v>
      </c>
      <c r="G1090" s="31" t="n">
        <v>69.9</v>
      </c>
      <c r="H1090" s="37"/>
      <c r="I1090" s="31"/>
      <c r="J1090" s="2"/>
      <c r="K1090" s="33" t="n">
        <v>0.215222708070852</v>
      </c>
      <c r="L1090" s="31" t="n">
        <v>73.1</v>
      </c>
      <c r="M1090" s="39" t="s">
        <v>832</v>
      </c>
      <c r="N1090" s="2" t="s">
        <v>24</v>
      </c>
      <c r="O1090" s="2" t="s">
        <v>24</v>
      </c>
      <c r="P1090" s="2"/>
      <c r="Q1090" s="2" t="s">
        <v>24</v>
      </c>
    </row>
    <row r="1091" customFormat="false" ht="15" hidden="false" customHeight="false" outlineLevel="0" collapsed="false">
      <c r="A1091" s="2" t="s">
        <v>1152</v>
      </c>
      <c r="B1091" s="2" t="s">
        <v>47</v>
      </c>
      <c r="C1091" s="13" t="s">
        <v>2571</v>
      </c>
      <c r="D1091" s="29" t="n">
        <v>15300</v>
      </c>
      <c r="E1091" s="2" t="s">
        <v>821</v>
      </c>
      <c r="F1091" s="30" t="n">
        <v>1.15875816993464</v>
      </c>
      <c r="G1091" s="31" t="n">
        <v>45.9</v>
      </c>
      <c r="H1091" s="32" t="n">
        <v>0.148648648648649</v>
      </c>
      <c r="I1091" s="31" t="n">
        <v>77.3</v>
      </c>
      <c r="J1091" s="2" t="s">
        <v>2886</v>
      </c>
      <c r="K1091" s="33" t="n">
        <v>0.0540974825923942</v>
      </c>
      <c r="L1091" s="31" t="n">
        <v>34.6</v>
      </c>
      <c r="M1091" s="34" t="s">
        <v>822</v>
      </c>
      <c r="N1091" s="2" t="s">
        <v>24</v>
      </c>
      <c r="O1091" s="2" t="s">
        <v>24</v>
      </c>
      <c r="P1091" s="2" t="s">
        <v>24</v>
      </c>
      <c r="Q1091" s="2" t="s">
        <v>24</v>
      </c>
    </row>
    <row r="1092" customFormat="false" ht="15" hidden="false" customHeight="false" outlineLevel="0" collapsed="false">
      <c r="A1092" s="2" t="s">
        <v>1355</v>
      </c>
      <c r="B1092" s="2" t="s">
        <v>45</v>
      </c>
      <c r="C1092" s="13" t="s">
        <v>1356</v>
      </c>
      <c r="D1092" s="29" t="n">
        <v>930800</v>
      </c>
      <c r="E1092" s="2" t="s">
        <v>827</v>
      </c>
      <c r="F1092" s="30" t="n">
        <v>0.448250966910185</v>
      </c>
      <c r="G1092" s="31" t="n">
        <v>34.4</v>
      </c>
      <c r="H1092" s="32" t="n">
        <v>0.157006302129299</v>
      </c>
      <c r="I1092" s="31" t="n">
        <v>81.4</v>
      </c>
      <c r="J1092" s="2" t="s">
        <v>2890</v>
      </c>
      <c r="K1092" s="33" t="n">
        <v>0.0580460093368581</v>
      </c>
      <c r="L1092" s="31" t="n">
        <v>19.1</v>
      </c>
      <c r="M1092" s="34" t="s">
        <v>822</v>
      </c>
      <c r="N1092" s="2" t="s">
        <v>24</v>
      </c>
      <c r="O1092" s="2" t="s">
        <v>24</v>
      </c>
      <c r="P1092" s="2" t="s">
        <v>24</v>
      </c>
      <c r="Q1092" s="2" t="s">
        <v>24</v>
      </c>
    </row>
    <row r="1093" customFormat="false" ht="15" hidden="false" customHeight="false" outlineLevel="0" collapsed="false">
      <c r="A1093" s="2" t="s">
        <v>1355</v>
      </c>
      <c r="B1093" s="2" t="s">
        <v>46</v>
      </c>
      <c r="C1093" s="16"/>
      <c r="D1093" s="35"/>
      <c r="E1093" s="2"/>
      <c r="F1093" s="36"/>
      <c r="G1093" s="31"/>
      <c r="H1093" s="37"/>
      <c r="I1093" s="31"/>
      <c r="J1093" s="2"/>
      <c r="K1093" s="38"/>
      <c r="L1093" s="31"/>
      <c r="M1093" s="39" t="s">
        <v>832</v>
      </c>
      <c r="N1093" s="2"/>
      <c r="O1093" s="2"/>
      <c r="P1093" s="2"/>
      <c r="Q1093" s="2"/>
    </row>
    <row r="1094" customFormat="false" ht="15" hidden="false" customHeight="false" outlineLevel="0" collapsed="false">
      <c r="A1094" s="2" t="s">
        <v>1355</v>
      </c>
      <c r="B1094" s="2" t="s">
        <v>47</v>
      </c>
      <c r="C1094" s="14" t="s">
        <v>2819</v>
      </c>
      <c r="D1094" s="42" t="n">
        <v>63743</v>
      </c>
      <c r="E1094" s="2" t="s">
        <v>821</v>
      </c>
      <c r="F1094" s="43" t="n">
        <v>0.402522629935836</v>
      </c>
      <c r="G1094" s="31" t="n">
        <v>7.9</v>
      </c>
      <c r="H1094" s="41" t="n">
        <v>0.00948625364246801</v>
      </c>
      <c r="I1094" s="31" t="n">
        <v>12.3</v>
      </c>
      <c r="J1094" s="2" t="s">
        <v>2886</v>
      </c>
      <c r="K1094" s="44" t="n">
        <v>0.0163339382940109</v>
      </c>
      <c r="L1094" s="31" t="n">
        <v>10.6</v>
      </c>
      <c r="M1094" s="34" t="s">
        <v>822</v>
      </c>
      <c r="N1094" s="2" t="s">
        <v>22</v>
      </c>
      <c r="O1094" s="2" t="s">
        <v>22</v>
      </c>
      <c r="P1094" s="2" t="s">
        <v>22</v>
      </c>
      <c r="Q1094" s="2" t="s">
        <v>22</v>
      </c>
    </row>
    <row r="1095" customFormat="false" ht="15" hidden="false" customHeight="false" outlineLevel="0" collapsed="false">
      <c r="A1095" s="2" t="s">
        <v>466</v>
      </c>
      <c r="B1095" s="2" t="s">
        <v>47</v>
      </c>
      <c r="C1095" s="14" t="s">
        <v>2534</v>
      </c>
      <c r="D1095" s="42" t="n">
        <v>36571</v>
      </c>
      <c r="E1095" s="2" t="s">
        <v>821</v>
      </c>
      <c r="F1095" s="43" t="n">
        <v>1.27382352136939</v>
      </c>
      <c r="G1095" s="31" t="n">
        <v>51</v>
      </c>
      <c r="H1095" s="41" t="n">
        <v>0.109321442654776</v>
      </c>
      <c r="I1095" s="31" t="n">
        <v>57.5</v>
      </c>
      <c r="J1095" s="2" t="s">
        <v>2886</v>
      </c>
      <c r="K1095" s="44" t="n">
        <v>0.0472727272727273</v>
      </c>
      <c r="L1095" s="31" t="n">
        <v>30.8</v>
      </c>
      <c r="M1095" s="34" t="s">
        <v>822</v>
      </c>
      <c r="N1095" s="2" t="s">
        <v>22</v>
      </c>
      <c r="O1095" s="2" t="s">
        <v>22</v>
      </c>
      <c r="P1095" s="2" t="s">
        <v>22</v>
      </c>
      <c r="Q1095" s="2" t="s">
        <v>22</v>
      </c>
    </row>
    <row r="1096" customFormat="false" ht="15" hidden="false" customHeight="false" outlineLevel="0" collapsed="false">
      <c r="A1096" s="2" t="s">
        <v>2449</v>
      </c>
      <c r="B1096" s="2" t="s">
        <v>45</v>
      </c>
      <c r="C1096" s="16"/>
      <c r="D1096" s="35"/>
      <c r="E1096" s="2"/>
      <c r="F1096" s="36"/>
      <c r="G1096" s="31"/>
      <c r="H1096" s="37"/>
      <c r="I1096" s="31"/>
      <c r="J1096" s="2"/>
      <c r="K1096" s="38"/>
      <c r="L1096" s="31"/>
      <c r="M1096" s="39" t="s">
        <v>832</v>
      </c>
      <c r="N1096" s="2"/>
      <c r="O1096" s="2"/>
      <c r="P1096" s="2"/>
      <c r="Q1096" s="2"/>
    </row>
    <row r="1097" customFormat="false" ht="15" hidden="false" customHeight="false" outlineLevel="0" collapsed="false">
      <c r="A1097" s="2" t="s">
        <v>2449</v>
      </c>
      <c r="B1097" s="2" t="s">
        <v>46</v>
      </c>
      <c r="C1097" s="13" t="s">
        <v>3154</v>
      </c>
      <c r="D1097" s="29" t="n">
        <v>6460</v>
      </c>
      <c r="E1097" s="2" t="s">
        <v>825</v>
      </c>
      <c r="F1097" s="36"/>
      <c r="G1097" s="31"/>
      <c r="H1097" s="32" t="n">
        <v>0.1875</v>
      </c>
      <c r="I1097" s="31" t="n">
        <v>86.8</v>
      </c>
      <c r="J1097" s="2" t="s">
        <v>2905</v>
      </c>
      <c r="K1097" s="33" t="n">
        <v>0.143280632411067</v>
      </c>
      <c r="L1097" s="31" t="n">
        <v>53.6</v>
      </c>
      <c r="M1097" s="39" t="s">
        <v>832</v>
      </c>
      <c r="N1097" s="2" t="s">
        <v>24</v>
      </c>
      <c r="O1097" s="2"/>
      <c r="P1097" s="2" t="s">
        <v>24</v>
      </c>
      <c r="Q1097" s="2" t="s">
        <v>24</v>
      </c>
    </row>
    <row r="1098" customFormat="false" ht="15" hidden="false" customHeight="false" outlineLevel="0" collapsed="false">
      <c r="A1098" s="2" t="s">
        <v>2449</v>
      </c>
      <c r="B1098" s="2" t="s">
        <v>47</v>
      </c>
      <c r="C1098" s="14" t="s">
        <v>2450</v>
      </c>
      <c r="D1098" s="42" t="n">
        <v>5064</v>
      </c>
      <c r="E1098" s="2" t="s">
        <v>825</v>
      </c>
      <c r="F1098" s="43" t="n">
        <v>1.6109794628752</v>
      </c>
      <c r="G1098" s="31" t="n">
        <v>63.7</v>
      </c>
      <c r="H1098" s="41" t="n">
        <v>0.0209677419354839</v>
      </c>
      <c r="I1098" s="31" t="n">
        <v>16.2</v>
      </c>
      <c r="J1098" s="2" t="s">
        <v>2889</v>
      </c>
      <c r="K1098" s="44" t="n">
        <v>0.0958083832335329</v>
      </c>
      <c r="L1098" s="31" t="n">
        <v>56.6</v>
      </c>
      <c r="M1098" s="34" t="s">
        <v>822</v>
      </c>
      <c r="N1098" s="2" t="s">
        <v>22</v>
      </c>
      <c r="O1098" s="2" t="s">
        <v>22</v>
      </c>
      <c r="P1098" s="2" t="s">
        <v>22</v>
      </c>
      <c r="Q1098" s="2" t="s">
        <v>22</v>
      </c>
    </row>
    <row r="1099" customFormat="false" ht="15" hidden="false" customHeight="false" outlineLevel="0" collapsed="false">
      <c r="A1099" s="2" t="s">
        <v>1590</v>
      </c>
      <c r="B1099" s="2" t="s">
        <v>45</v>
      </c>
      <c r="C1099" s="13" t="s">
        <v>1591</v>
      </c>
      <c r="D1099" s="29" t="n">
        <v>141250</v>
      </c>
      <c r="E1099" s="2" t="s">
        <v>827</v>
      </c>
      <c r="F1099" s="30" t="n">
        <v>0.0908955752212389</v>
      </c>
      <c r="G1099" s="31" t="n">
        <v>1.3</v>
      </c>
      <c r="H1099" s="32" t="n">
        <v>0.0422046779310854</v>
      </c>
      <c r="I1099" s="31" t="n">
        <v>25.7</v>
      </c>
      <c r="J1099" s="2" t="s">
        <v>2890</v>
      </c>
      <c r="K1099" s="44" t="n">
        <v>0.0320366132723112</v>
      </c>
      <c r="L1099" s="31" t="n">
        <v>10</v>
      </c>
      <c r="M1099" s="34" t="s">
        <v>822</v>
      </c>
      <c r="N1099" s="2" t="s">
        <v>24</v>
      </c>
      <c r="O1099" s="2" t="s">
        <v>24</v>
      </c>
      <c r="P1099" s="2" t="s">
        <v>24</v>
      </c>
      <c r="Q1099" s="2" t="s">
        <v>22</v>
      </c>
    </row>
    <row r="1100" customFormat="false" ht="15" hidden="false" customHeight="false" outlineLevel="0" collapsed="false">
      <c r="A1100" s="2" t="s">
        <v>1590</v>
      </c>
      <c r="B1100" s="2" t="s">
        <v>46</v>
      </c>
      <c r="C1100" s="16"/>
      <c r="D1100" s="35"/>
      <c r="E1100" s="2"/>
      <c r="F1100" s="36"/>
      <c r="G1100" s="31"/>
      <c r="H1100" s="37"/>
      <c r="I1100" s="31"/>
      <c r="J1100" s="2"/>
      <c r="K1100" s="38"/>
      <c r="L1100" s="31"/>
      <c r="M1100" s="39" t="s">
        <v>832</v>
      </c>
      <c r="N1100" s="2"/>
      <c r="O1100" s="2"/>
      <c r="P1100" s="2"/>
      <c r="Q1100" s="2"/>
    </row>
    <row r="1101" customFormat="false" ht="15" hidden="false" customHeight="false" outlineLevel="0" collapsed="false">
      <c r="A1101" s="2" t="s">
        <v>1590</v>
      </c>
      <c r="B1101" s="2" t="s">
        <v>47</v>
      </c>
      <c r="C1101" s="13" t="s">
        <v>2554</v>
      </c>
      <c r="D1101" s="29" t="n">
        <v>269600</v>
      </c>
      <c r="E1101" s="2" t="s">
        <v>827</v>
      </c>
      <c r="F1101" s="30" t="n">
        <v>1.22421364985163</v>
      </c>
      <c r="G1101" s="31" t="n">
        <v>48.5</v>
      </c>
      <c r="H1101" s="32" t="n">
        <v>0.0372023237025353</v>
      </c>
      <c r="I1101" s="31" t="n">
        <v>24.2</v>
      </c>
      <c r="J1101" s="2" t="s">
        <v>2897</v>
      </c>
      <c r="K1101" s="33" t="n">
        <v>0.000438821034154904</v>
      </c>
      <c r="L1101" s="31" t="n">
        <v>2</v>
      </c>
      <c r="M1101" s="34" t="s">
        <v>822</v>
      </c>
      <c r="N1101" s="2" t="s">
        <v>24</v>
      </c>
      <c r="O1101" s="2" t="s">
        <v>24</v>
      </c>
      <c r="P1101" s="2" t="s">
        <v>24</v>
      </c>
      <c r="Q1101" s="2" t="s">
        <v>24</v>
      </c>
    </row>
    <row r="1102" customFormat="false" ht="15" hidden="false" customHeight="false" outlineLevel="0" collapsed="false">
      <c r="A1102" s="2" t="s">
        <v>694</v>
      </c>
      <c r="B1102" s="2" t="s">
        <v>45</v>
      </c>
      <c r="C1102" s="13" t="s">
        <v>1454</v>
      </c>
      <c r="D1102" s="29" t="n">
        <v>11810</v>
      </c>
      <c r="E1102" s="2" t="s">
        <v>821</v>
      </c>
      <c r="F1102" s="30" t="n">
        <v>0.318882303132938</v>
      </c>
      <c r="G1102" s="31" t="n">
        <v>19.8</v>
      </c>
      <c r="H1102" s="32" t="n">
        <v>0.0975836431226766</v>
      </c>
      <c r="I1102" s="31" t="n">
        <v>50.5</v>
      </c>
      <c r="J1102" s="2" t="s">
        <v>2883</v>
      </c>
      <c r="K1102" s="44" t="n">
        <v>0.108374384236453</v>
      </c>
      <c r="L1102" s="31" t="n">
        <v>39.2</v>
      </c>
      <c r="M1102" s="34" t="s">
        <v>822</v>
      </c>
      <c r="N1102" s="2" t="s">
        <v>24</v>
      </c>
      <c r="O1102" s="2" t="s">
        <v>24</v>
      </c>
      <c r="P1102" s="2" t="s">
        <v>24</v>
      </c>
      <c r="Q1102" s="2" t="s">
        <v>22</v>
      </c>
    </row>
    <row r="1103" customFormat="false" ht="15" hidden="false" customHeight="false" outlineLevel="0" collapsed="false">
      <c r="A1103" s="2" t="s">
        <v>694</v>
      </c>
      <c r="B1103" s="2" t="s">
        <v>46</v>
      </c>
      <c r="C1103" s="13" t="s">
        <v>1970</v>
      </c>
      <c r="D1103" s="29" t="n">
        <v>115320</v>
      </c>
      <c r="E1103" s="2" t="s">
        <v>827</v>
      </c>
      <c r="F1103" s="30" t="n">
        <v>2.51181061394381</v>
      </c>
      <c r="G1103" s="31" t="n">
        <v>38.7</v>
      </c>
      <c r="H1103" s="32" t="n">
        <v>0.0680744651292026</v>
      </c>
      <c r="I1103" s="31" t="n">
        <v>44.6</v>
      </c>
      <c r="J1103" s="2" t="s">
        <v>2888</v>
      </c>
      <c r="K1103" s="33" t="n">
        <v>0.313449400013873</v>
      </c>
      <c r="L1103" s="31" t="n">
        <v>91.2</v>
      </c>
      <c r="M1103" s="34" t="s">
        <v>822</v>
      </c>
      <c r="N1103" s="2" t="s">
        <v>24</v>
      </c>
      <c r="O1103" s="2" t="s">
        <v>24</v>
      </c>
      <c r="P1103" s="2" t="s">
        <v>24</v>
      </c>
      <c r="Q1103" s="2" t="s">
        <v>24</v>
      </c>
    </row>
    <row r="1104" customFormat="false" ht="15" hidden="false" customHeight="false" outlineLevel="0" collapsed="false">
      <c r="A1104" s="2" t="s">
        <v>464</v>
      </c>
      <c r="B1104" s="2" t="s">
        <v>45</v>
      </c>
      <c r="C1104" s="13" t="s">
        <v>1343</v>
      </c>
      <c r="D1104" s="29" t="n">
        <v>69470</v>
      </c>
      <c r="E1104" s="2" t="s">
        <v>821</v>
      </c>
      <c r="F1104" s="30" t="n">
        <v>0.451576219951058</v>
      </c>
      <c r="G1104" s="31" t="n">
        <v>35.3</v>
      </c>
      <c r="H1104" s="32" t="n">
        <v>0.137733377006223</v>
      </c>
      <c r="I1104" s="31" t="n">
        <v>72.9</v>
      </c>
      <c r="J1104" s="2" t="s">
        <v>2883</v>
      </c>
      <c r="K1104" s="40" t="s">
        <v>857</v>
      </c>
      <c r="L1104" s="31"/>
      <c r="M1104" s="34" t="s">
        <v>822</v>
      </c>
      <c r="N1104" s="2" t="s">
        <v>24</v>
      </c>
      <c r="O1104" s="2" t="s">
        <v>24</v>
      </c>
      <c r="P1104" s="2" t="s">
        <v>24</v>
      </c>
      <c r="Q1104" s="2" t="s">
        <v>2885</v>
      </c>
    </row>
    <row r="1105" customFormat="false" ht="15" hidden="false" customHeight="false" outlineLevel="0" collapsed="false">
      <c r="A1105" s="2" t="s">
        <v>464</v>
      </c>
      <c r="B1105" s="2" t="s">
        <v>46</v>
      </c>
      <c r="C1105" s="13" t="s">
        <v>1661</v>
      </c>
      <c r="D1105" s="29" t="n">
        <v>11130</v>
      </c>
      <c r="E1105" s="2" t="s">
        <v>821</v>
      </c>
      <c r="F1105" s="43" t="n">
        <v>8.46129837702871</v>
      </c>
      <c r="G1105" s="31" t="n">
        <v>90.6</v>
      </c>
      <c r="H1105" s="41" t="n">
        <v>-0.0127652082049476</v>
      </c>
      <c r="I1105" s="31" t="n">
        <v>10.9</v>
      </c>
      <c r="J1105" s="2" t="s">
        <v>2884</v>
      </c>
      <c r="K1105" s="33" t="n">
        <v>0.0684190902311708</v>
      </c>
      <c r="L1105" s="31" t="n">
        <v>19</v>
      </c>
      <c r="M1105" s="34" t="s">
        <v>822</v>
      </c>
      <c r="N1105" s="2" t="s">
        <v>24</v>
      </c>
      <c r="O1105" s="2" t="s">
        <v>22</v>
      </c>
      <c r="P1105" s="2" t="s">
        <v>22</v>
      </c>
      <c r="Q1105" s="2" t="s">
        <v>24</v>
      </c>
    </row>
    <row r="1106" customFormat="false" ht="15" hidden="false" customHeight="false" outlineLevel="0" collapsed="false">
      <c r="A1106" s="2" t="s">
        <v>464</v>
      </c>
      <c r="B1106" s="2" t="s">
        <v>47</v>
      </c>
      <c r="C1106" s="14" t="s">
        <v>2691</v>
      </c>
      <c r="D1106" s="42" t="n">
        <v>204319</v>
      </c>
      <c r="E1106" s="2" t="s">
        <v>827</v>
      </c>
      <c r="F1106" s="43" t="n">
        <v>0.778410231060254</v>
      </c>
      <c r="G1106" s="31" t="n">
        <v>27.2</v>
      </c>
      <c r="H1106" s="41" t="n">
        <v>0.152384927326975</v>
      </c>
      <c r="I1106" s="31" t="n">
        <v>83.9</v>
      </c>
      <c r="J1106" s="2" t="s">
        <v>2897</v>
      </c>
      <c r="K1106" s="44" t="n">
        <v>0.219668592470319</v>
      </c>
      <c r="L1106" s="31" t="n">
        <v>88.5</v>
      </c>
      <c r="M1106" s="34" t="s">
        <v>822</v>
      </c>
      <c r="N1106" s="2" t="s">
        <v>22</v>
      </c>
      <c r="O1106" s="2" t="s">
        <v>22</v>
      </c>
      <c r="P1106" s="2" t="s">
        <v>22</v>
      </c>
      <c r="Q1106" s="2" t="s">
        <v>22</v>
      </c>
    </row>
    <row r="1107" customFormat="false" ht="15" hidden="false" customHeight="false" outlineLevel="0" collapsed="false">
      <c r="A1107" s="2" t="s">
        <v>388</v>
      </c>
      <c r="B1107" s="2" t="s">
        <v>45</v>
      </c>
      <c r="C1107" s="14" t="s">
        <v>1197</v>
      </c>
      <c r="D1107" s="42" t="n">
        <v>6994</v>
      </c>
      <c r="E1107" s="2" t="s">
        <v>825</v>
      </c>
      <c r="F1107" s="43" t="n">
        <v>0.611810122962539</v>
      </c>
      <c r="G1107" s="31" t="n">
        <v>55</v>
      </c>
      <c r="H1107" s="41" t="n">
        <v>0.0829978321461753</v>
      </c>
      <c r="I1107" s="31" t="n">
        <v>39.4</v>
      </c>
      <c r="J1107" s="2" t="s">
        <v>2899</v>
      </c>
      <c r="K1107" s="44" t="n">
        <v>0.0873015873015873</v>
      </c>
      <c r="L1107" s="31" t="n">
        <v>30.3</v>
      </c>
      <c r="M1107" s="34" t="s">
        <v>822</v>
      </c>
      <c r="N1107" s="2" t="s">
        <v>22</v>
      </c>
      <c r="O1107" s="2" t="s">
        <v>22</v>
      </c>
      <c r="P1107" s="2" t="s">
        <v>22</v>
      </c>
      <c r="Q1107" s="2" t="s">
        <v>22</v>
      </c>
    </row>
    <row r="1108" customFormat="false" ht="15" hidden="false" customHeight="false" outlineLevel="0" collapsed="false">
      <c r="A1108" s="2" t="s">
        <v>388</v>
      </c>
      <c r="B1108" s="2" t="s">
        <v>46</v>
      </c>
      <c r="C1108" s="13" t="s">
        <v>1702</v>
      </c>
      <c r="D1108" s="29" t="n">
        <v>123720</v>
      </c>
      <c r="E1108" s="2" t="s">
        <v>827</v>
      </c>
      <c r="F1108" s="30" t="n">
        <v>6.37988199159392</v>
      </c>
      <c r="G1108" s="31" t="n">
        <v>82.1</v>
      </c>
      <c r="H1108" s="32" t="n">
        <v>0.199185809828439</v>
      </c>
      <c r="I1108" s="31" t="n">
        <v>97.5</v>
      </c>
      <c r="J1108" s="2" t="s">
        <v>2888</v>
      </c>
      <c r="K1108" s="44" t="n">
        <v>0.0606178963402726</v>
      </c>
      <c r="L1108" s="31" t="n">
        <v>16.1</v>
      </c>
      <c r="M1108" s="34" t="s">
        <v>822</v>
      </c>
      <c r="N1108" s="2" t="s">
        <v>24</v>
      </c>
      <c r="O1108" s="2" t="s">
        <v>24</v>
      </c>
      <c r="P1108" s="2" t="s">
        <v>24</v>
      </c>
      <c r="Q1108" s="2" t="s">
        <v>22</v>
      </c>
    </row>
    <row r="1109" customFormat="false" ht="15" hidden="false" customHeight="false" outlineLevel="0" collapsed="false">
      <c r="A1109" s="2" t="s">
        <v>388</v>
      </c>
      <c r="B1109" s="2" t="s">
        <v>47</v>
      </c>
      <c r="C1109" s="13" t="s">
        <v>2665</v>
      </c>
      <c r="D1109" s="29" t="n">
        <v>211050</v>
      </c>
      <c r="E1109" s="2" t="s">
        <v>827</v>
      </c>
      <c r="F1109" s="30" t="n">
        <v>0.840236910684672</v>
      </c>
      <c r="G1109" s="31" t="n">
        <v>31</v>
      </c>
      <c r="H1109" s="32" t="n">
        <v>0.0534591194968554</v>
      </c>
      <c r="I1109" s="31" t="n">
        <v>34.8</v>
      </c>
      <c r="J1109" s="2" t="s">
        <v>2897</v>
      </c>
      <c r="K1109" s="33" t="n">
        <v>0.0035390258027154</v>
      </c>
      <c r="L1109" s="31" t="n">
        <v>3.8</v>
      </c>
      <c r="M1109" s="34" t="s">
        <v>822</v>
      </c>
      <c r="N1109" s="2" t="s">
        <v>24</v>
      </c>
      <c r="O1109" s="2" t="s">
        <v>24</v>
      </c>
      <c r="P1109" s="2" t="s">
        <v>24</v>
      </c>
      <c r="Q1109" s="2" t="s">
        <v>24</v>
      </c>
    </row>
    <row r="1110" customFormat="false" ht="15" hidden="false" customHeight="false" outlineLevel="0" collapsed="false">
      <c r="A1110" s="2" t="s">
        <v>496</v>
      </c>
      <c r="B1110" s="2" t="s">
        <v>45</v>
      </c>
      <c r="C1110" s="13" t="s">
        <v>1434</v>
      </c>
      <c r="D1110" s="29" t="n">
        <v>6040</v>
      </c>
      <c r="E1110" s="2" t="s">
        <v>825</v>
      </c>
      <c r="F1110" s="30" t="n">
        <v>0.341059602649007</v>
      </c>
      <c r="G1110" s="31" t="n">
        <v>23.1</v>
      </c>
      <c r="H1110" s="41" t="n">
        <v>0.0634701621248706</v>
      </c>
      <c r="I1110" s="31" t="n">
        <v>28.2</v>
      </c>
      <c r="J1110" s="2" t="s">
        <v>2899</v>
      </c>
      <c r="K1110" s="33" t="n">
        <v>0.330882352941177</v>
      </c>
      <c r="L1110" s="31" t="n">
        <v>93.9</v>
      </c>
      <c r="M1110" s="34" t="s">
        <v>822</v>
      </c>
      <c r="N1110" s="2" t="s">
        <v>24</v>
      </c>
      <c r="O1110" s="2" t="s">
        <v>24</v>
      </c>
      <c r="P1110" s="2" t="s">
        <v>22</v>
      </c>
      <c r="Q1110" s="2" t="s">
        <v>24</v>
      </c>
    </row>
    <row r="1111" customFormat="false" ht="15" hidden="false" customHeight="false" outlineLevel="0" collapsed="false">
      <c r="A1111" s="2" t="s">
        <v>496</v>
      </c>
      <c r="B1111" s="2" t="s">
        <v>46</v>
      </c>
      <c r="C1111" s="13" t="s">
        <v>1655</v>
      </c>
      <c r="D1111" s="29" t="n">
        <v>422370</v>
      </c>
      <c r="E1111" s="2" t="s">
        <v>827</v>
      </c>
      <c r="F1111" s="30" t="n">
        <v>8.86592561024694</v>
      </c>
      <c r="G1111" s="31" t="n">
        <v>91.4</v>
      </c>
      <c r="H1111" s="32" t="n">
        <v>0.169255045262021</v>
      </c>
      <c r="I1111" s="31" t="n">
        <v>92.4</v>
      </c>
      <c r="J1111" s="2" t="s">
        <v>2888</v>
      </c>
      <c r="K1111" s="33" t="n">
        <v>0.0969012865145251</v>
      </c>
      <c r="L1111" s="31" t="n">
        <v>35.3</v>
      </c>
      <c r="M1111" s="34" t="s">
        <v>822</v>
      </c>
      <c r="N1111" s="2" t="s">
        <v>24</v>
      </c>
      <c r="O1111" s="2" t="s">
        <v>24</v>
      </c>
      <c r="P1111" s="2" t="s">
        <v>24</v>
      </c>
      <c r="Q1111" s="2" t="s">
        <v>24</v>
      </c>
    </row>
    <row r="1112" customFormat="false" ht="15" hidden="false" customHeight="false" outlineLevel="0" collapsed="false">
      <c r="A1112" s="2" t="s">
        <v>496</v>
      </c>
      <c r="B1112" s="2" t="s">
        <v>47</v>
      </c>
      <c r="C1112" s="14" t="s">
        <v>2663</v>
      </c>
      <c r="D1112" s="42" t="n">
        <v>24139</v>
      </c>
      <c r="E1112" s="2" t="s">
        <v>821</v>
      </c>
      <c r="F1112" s="43" t="n">
        <v>0.85140229504122</v>
      </c>
      <c r="G1112" s="31" t="n">
        <v>31.6</v>
      </c>
      <c r="H1112" s="41" t="n">
        <v>0.155639601685178</v>
      </c>
      <c r="I1112" s="31" t="n">
        <v>79.9</v>
      </c>
      <c r="J1112" s="2" t="s">
        <v>2886</v>
      </c>
      <c r="K1112" s="44" t="n">
        <v>0.0135135135135135</v>
      </c>
      <c r="L1112" s="31" t="n">
        <v>9.5</v>
      </c>
      <c r="M1112" s="34" t="s">
        <v>822</v>
      </c>
      <c r="N1112" s="2" t="s">
        <v>22</v>
      </c>
      <c r="O1112" s="2" t="s">
        <v>22</v>
      </c>
      <c r="P1112" s="2" t="s">
        <v>22</v>
      </c>
      <c r="Q1112" s="2" t="s">
        <v>22</v>
      </c>
    </row>
    <row r="1113" customFormat="false" ht="15" hidden="false" customHeight="false" outlineLevel="0" collapsed="false">
      <c r="A1113" s="2" t="s">
        <v>462</v>
      </c>
      <c r="B1113" s="2" t="s">
        <v>45</v>
      </c>
      <c r="C1113" s="13" t="s">
        <v>1478</v>
      </c>
      <c r="D1113" s="29" t="n">
        <v>163950</v>
      </c>
      <c r="E1113" s="2" t="s">
        <v>827</v>
      </c>
      <c r="F1113" s="30" t="n">
        <v>0.286556877096676</v>
      </c>
      <c r="G1113" s="31" t="n">
        <v>15.7</v>
      </c>
      <c r="H1113" s="32" t="n">
        <v>0.0568555405144073</v>
      </c>
      <c r="I1113" s="31" t="n">
        <v>32.1</v>
      </c>
      <c r="J1113" s="2" t="s">
        <v>2890</v>
      </c>
      <c r="K1113" s="33" t="n">
        <v>0.0539436044135676</v>
      </c>
      <c r="L1113" s="31" t="n">
        <v>17.5</v>
      </c>
      <c r="M1113" s="34" t="s">
        <v>822</v>
      </c>
      <c r="N1113" s="2" t="s">
        <v>24</v>
      </c>
      <c r="O1113" s="2" t="s">
        <v>24</v>
      </c>
      <c r="P1113" s="2" t="s">
        <v>24</v>
      </c>
      <c r="Q1113" s="2" t="s">
        <v>24</v>
      </c>
    </row>
    <row r="1114" customFormat="false" ht="15" hidden="false" customHeight="false" outlineLevel="0" collapsed="false">
      <c r="A1114" s="2" t="s">
        <v>462</v>
      </c>
      <c r="B1114" s="2" t="s">
        <v>47</v>
      </c>
      <c r="C1114" s="13" t="s">
        <v>2307</v>
      </c>
      <c r="D1114" s="29" t="n">
        <v>185270</v>
      </c>
      <c r="E1114" s="2" t="s">
        <v>827</v>
      </c>
      <c r="F1114" s="30" t="n">
        <v>2.66192583796621</v>
      </c>
      <c r="G1114" s="31" t="n">
        <v>86.4</v>
      </c>
      <c r="H1114" s="32" t="n">
        <v>0.109999400874723</v>
      </c>
      <c r="I1114" s="31" t="n">
        <v>64.6</v>
      </c>
      <c r="J1114" s="2" t="s">
        <v>2897</v>
      </c>
      <c r="K1114" s="33" t="n">
        <v>0.150711592263715</v>
      </c>
      <c r="L1114" s="31" t="n">
        <v>73.7</v>
      </c>
      <c r="M1114" s="34" t="s">
        <v>822</v>
      </c>
      <c r="N1114" s="2" t="s">
        <v>24</v>
      </c>
      <c r="O1114" s="2" t="s">
        <v>24</v>
      </c>
      <c r="P1114" s="2" t="s">
        <v>24</v>
      </c>
      <c r="Q1114" s="2" t="s">
        <v>24</v>
      </c>
    </row>
    <row r="1115" customFormat="false" ht="15" hidden="false" customHeight="false" outlineLevel="0" collapsed="false">
      <c r="A1115" s="2" t="s">
        <v>472</v>
      </c>
      <c r="B1115" s="2" t="s">
        <v>45</v>
      </c>
      <c r="C1115" s="13" t="s">
        <v>994</v>
      </c>
      <c r="D1115" s="29" t="n">
        <v>24410</v>
      </c>
      <c r="E1115" s="2" t="s">
        <v>821</v>
      </c>
      <c r="F1115" s="30" t="n">
        <v>1.0415813191315</v>
      </c>
      <c r="G1115" s="31" t="n">
        <v>79.6</v>
      </c>
      <c r="H1115" s="32" t="n">
        <v>0.118185982592762</v>
      </c>
      <c r="I1115" s="31" t="n">
        <v>62.9</v>
      </c>
      <c r="J1115" s="2" t="s">
        <v>2883</v>
      </c>
      <c r="K1115" s="33" t="n">
        <v>0.168817759421786</v>
      </c>
      <c r="L1115" s="31" t="n">
        <v>65.3</v>
      </c>
      <c r="M1115" s="34" t="s">
        <v>822</v>
      </c>
      <c r="N1115" s="2" t="s">
        <v>24</v>
      </c>
      <c r="O1115" s="2" t="s">
        <v>24</v>
      </c>
      <c r="P1115" s="2" t="s">
        <v>24</v>
      </c>
      <c r="Q1115" s="2" t="s">
        <v>24</v>
      </c>
    </row>
    <row r="1116" customFormat="false" ht="15" hidden="false" customHeight="false" outlineLevel="0" collapsed="false">
      <c r="A1116" s="2" t="s">
        <v>472</v>
      </c>
      <c r="B1116" s="2" t="s">
        <v>46</v>
      </c>
      <c r="C1116" s="13" t="s">
        <v>1779</v>
      </c>
      <c r="D1116" s="29" t="n">
        <v>44900</v>
      </c>
      <c r="E1116" s="2" t="s">
        <v>821</v>
      </c>
      <c r="F1116" s="30" t="n">
        <v>4.43</v>
      </c>
      <c r="G1116" s="31" t="n">
        <v>69.2</v>
      </c>
      <c r="H1116" s="32" t="n">
        <v>0.0677764565992866</v>
      </c>
      <c r="I1116" s="31" t="n">
        <v>39.6</v>
      </c>
      <c r="J1116" s="2" t="s">
        <v>2884</v>
      </c>
      <c r="K1116" s="33" t="n">
        <v>0.151062607696726</v>
      </c>
      <c r="L1116" s="31" t="n">
        <v>56.1</v>
      </c>
      <c r="M1116" s="34" t="s">
        <v>822</v>
      </c>
      <c r="N1116" s="2" t="s">
        <v>24</v>
      </c>
      <c r="O1116" s="2" t="s">
        <v>24</v>
      </c>
      <c r="P1116" s="2" t="s">
        <v>24</v>
      </c>
      <c r="Q1116" s="2" t="s">
        <v>24</v>
      </c>
    </row>
    <row r="1117" customFormat="false" ht="15" hidden="false" customHeight="false" outlineLevel="0" collapsed="false">
      <c r="A1117" s="2" t="s">
        <v>472</v>
      </c>
      <c r="B1117" s="2" t="s">
        <v>47</v>
      </c>
      <c r="C1117" s="13" t="s">
        <v>2850</v>
      </c>
      <c r="D1117" s="29" t="n">
        <v>640</v>
      </c>
      <c r="E1117" s="2" t="s">
        <v>825</v>
      </c>
      <c r="F1117" s="30" t="n">
        <v>0.303125</v>
      </c>
      <c r="G1117" s="31" t="n">
        <v>3.7</v>
      </c>
      <c r="H1117" s="41" t="n">
        <v>-0.0548148148148148</v>
      </c>
      <c r="I1117" s="31" t="n">
        <v>2.5</v>
      </c>
      <c r="J1117" s="2" t="s">
        <v>2889</v>
      </c>
      <c r="K1117" s="33" t="n">
        <v>0</v>
      </c>
      <c r="L1117" s="31" t="n">
        <v>0.9</v>
      </c>
      <c r="M1117" s="34" t="s">
        <v>822</v>
      </c>
      <c r="N1117" s="2" t="s">
        <v>24</v>
      </c>
      <c r="O1117" s="2" t="s">
        <v>24</v>
      </c>
      <c r="P1117" s="2" t="s">
        <v>22</v>
      </c>
      <c r="Q1117" s="2" t="s">
        <v>24</v>
      </c>
    </row>
    <row r="1118" customFormat="false" ht="15" hidden="false" customHeight="false" outlineLevel="0" collapsed="false">
      <c r="A1118" s="2" t="s">
        <v>1012</v>
      </c>
      <c r="B1118" s="2" t="s">
        <v>45</v>
      </c>
      <c r="C1118" s="13" t="s">
        <v>1013</v>
      </c>
      <c r="D1118" s="29" t="n">
        <v>15690</v>
      </c>
      <c r="E1118" s="2" t="s">
        <v>821</v>
      </c>
      <c r="F1118" s="30" t="n">
        <v>0.95736137667304</v>
      </c>
      <c r="G1118" s="31" t="n">
        <v>77.5</v>
      </c>
      <c r="H1118" s="32" t="n">
        <v>0.185045317220544</v>
      </c>
      <c r="I1118" s="31" t="n">
        <v>88</v>
      </c>
      <c r="J1118" s="2" t="s">
        <v>2883</v>
      </c>
      <c r="K1118" s="33" t="n">
        <v>0.0322939866369711</v>
      </c>
      <c r="L1118" s="31" t="n">
        <v>10.3</v>
      </c>
      <c r="M1118" s="34" t="s">
        <v>822</v>
      </c>
      <c r="N1118" s="2" t="s">
        <v>24</v>
      </c>
      <c r="O1118" s="2" t="s">
        <v>24</v>
      </c>
      <c r="P1118" s="2" t="s">
        <v>24</v>
      </c>
      <c r="Q1118" s="2" t="s">
        <v>24</v>
      </c>
    </row>
    <row r="1119" customFormat="false" ht="15" hidden="false" customHeight="false" outlineLevel="0" collapsed="false">
      <c r="A1119" s="2" t="s">
        <v>1012</v>
      </c>
      <c r="B1119" s="2" t="s">
        <v>46</v>
      </c>
      <c r="C1119" s="16"/>
      <c r="D1119" s="35"/>
      <c r="E1119" s="2"/>
      <c r="F1119" s="36"/>
      <c r="G1119" s="31"/>
      <c r="H1119" s="37"/>
      <c r="I1119" s="31"/>
      <c r="J1119" s="2"/>
      <c r="K1119" s="38"/>
      <c r="L1119" s="31"/>
      <c r="M1119" s="39" t="s">
        <v>832</v>
      </c>
      <c r="N1119" s="2"/>
      <c r="O1119" s="2"/>
      <c r="P1119" s="2"/>
      <c r="Q1119" s="2"/>
    </row>
    <row r="1120" customFormat="false" ht="15" hidden="false" customHeight="false" outlineLevel="0" collapsed="false">
      <c r="A1120" s="2" t="s">
        <v>1012</v>
      </c>
      <c r="B1120" s="2" t="s">
        <v>47</v>
      </c>
      <c r="C1120" s="13" t="s">
        <v>3155</v>
      </c>
      <c r="D1120" s="35"/>
      <c r="E1120" s="2"/>
      <c r="F1120" s="36"/>
      <c r="G1120" s="31"/>
      <c r="H1120" s="37"/>
      <c r="I1120" s="31"/>
      <c r="J1120" s="2"/>
      <c r="K1120" s="38"/>
      <c r="L1120" s="31"/>
      <c r="M1120" s="39" t="s">
        <v>832</v>
      </c>
      <c r="N1120" s="2"/>
      <c r="O1120" s="2"/>
      <c r="P1120" s="2"/>
      <c r="Q1120" s="2"/>
    </row>
    <row r="1121" customFormat="false" ht="15" hidden="false" customHeight="false" outlineLevel="0" collapsed="false">
      <c r="A1121" s="2" t="s">
        <v>244</v>
      </c>
      <c r="B1121" s="2" t="s">
        <v>45</v>
      </c>
      <c r="C1121" s="13" t="s">
        <v>1256</v>
      </c>
      <c r="D1121" s="29" t="n">
        <v>6630</v>
      </c>
      <c r="E1121" s="2" t="s">
        <v>825</v>
      </c>
      <c r="F1121" s="30" t="n">
        <v>0.536802413273002</v>
      </c>
      <c r="G1121" s="31" t="n">
        <v>46.5</v>
      </c>
      <c r="H1121" s="32" t="n">
        <v>0.0922570016474465</v>
      </c>
      <c r="I1121" s="31" t="n">
        <v>45.1</v>
      </c>
      <c r="J1121" s="2" t="s">
        <v>2899</v>
      </c>
      <c r="K1121" s="33" t="n">
        <v>0.197674418604651</v>
      </c>
      <c r="L1121" s="31" t="n">
        <v>72</v>
      </c>
      <c r="M1121" s="34" t="s">
        <v>822</v>
      </c>
      <c r="N1121" s="2" t="s">
        <v>24</v>
      </c>
      <c r="O1121" s="2" t="s">
        <v>24</v>
      </c>
      <c r="P1121" s="2" t="s">
        <v>24</v>
      </c>
      <c r="Q1121" s="2" t="s">
        <v>24</v>
      </c>
    </row>
    <row r="1122" customFormat="false" ht="15" hidden="false" customHeight="false" outlineLevel="0" collapsed="false">
      <c r="A1122" s="2" t="s">
        <v>244</v>
      </c>
      <c r="B1122" s="2" t="s">
        <v>46</v>
      </c>
      <c r="C1122" s="14" t="s">
        <v>1630</v>
      </c>
      <c r="D1122" s="42" t="n">
        <v>36374</v>
      </c>
      <c r="E1122" s="2" t="s">
        <v>821</v>
      </c>
      <c r="F1122" s="43" t="n">
        <v>10.5687304118326</v>
      </c>
      <c r="G1122" s="31" t="n">
        <v>95.1</v>
      </c>
      <c r="H1122" s="41" t="n">
        <v>0.00466786355475763</v>
      </c>
      <c r="I1122" s="31" t="n">
        <v>13.1</v>
      </c>
      <c r="J1122" s="2" t="s">
        <v>2884</v>
      </c>
      <c r="K1122" s="44" t="n">
        <v>0.197996230532685</v>
      </c>
      <c r="L1122" s="31" t="n">
        <v>68.9</v>
      </c>
      <c r="M1122" s="34" t="s">
        <v>822</v>
      </c>
      <c r="N1122" s="2" t="s">
        <v>22</v>
      </c>
      <c r="O1122" s="2" t="s">
        <v>22</v>
      </c>
      <c r="P1122" s="2" t="s">
        <v>22</v>
      </c>
      <c r="Q1122" s="2" t="s">
        <v>22</v>
      </c>
    </row>
    <row r="1123" customFormat="false" ht="15" hidden="false" customHeight="false" outlineLevel="0" collapsed="false">
      <c r="A1123" s="2" t="s">
        <v>244</v>
      </c>
      <c r="B1123" s="2" t="s">
        <v>47</v>
      </c>
      <c r="C1123" s="13" t="s">
        <v>2456</v>
      </c>
      <c r="D1123" s="29" t="n">
        <v>24170</v>
      </c>
      <c r="E1123" s="2" t="s">
        <v>821</v>
      </c>
      <c r="F1123" s="30" t="n">
        <v>1.57310715763343</v>
      </c>
      <c r="G1123" s="31" t="n">
        <v>62.6</v>
      </c>
      <c r="H1123" s="32" t="n">
        <v>0.26810073452256</v>
      </c>
      <c r="I1123" s="31" t="n">
        <v>99.7</v>
      </c>
      <c r="J1123" s="2" t="s">
        <v>2886</v>
      </c>
      <c r="K1123" s="33" t="n">
        <v>0.108163265306123</v>
      </c>
      <c r="L1123" s="31" t="n">
        <v>61.6</v>
      </c>
      <c r="M1123" s="34" t="s">
        <v>822</v>
      </c>
      <c r="N1123" s="2" t="s">
        <v>24</v>
      </c>
      <c r="O1123" s="2" t="s">
        <v>24</v>
      </c>
      <c r="P1123" s="2" t="s">
        <v>24</v>
      </c>
      <c r="Q1123" s="2" t="s">
        <v>24</v>
      </c>
    </row>
    <row r="1124" customFormat="false" ht="15" hidden="false" customHeight="false" outlineLevel="0" collapsed="false">
      <c r="A1124" s="2" t="s">
        <v>228</v>
      </c>
      <c r="B1124" s="2" t="s">
        <v>45</v>
      </c>
      <c r="C1124" s="14" t="s">
        <v>1271</v>
      </c>
      <c r="D1124" s="42" t="n">
        <v>261296</v>
      </c>
      <c r="E1124" s="2" t="s">
        <v>827</v>
      </c>
      <c r="F1124" s="43" t="n">
        <v>0.519847223072684</v>
      </c>
      <c r="G1124" s="31" t="n">
        <v>44.4</v>
      </c>
      <c r="H1124" s="41" t="n">
        <v>0.184500172260603</v>
      </c>
      <c r="I1124" s="31" t="n">
        <v>90.7</v>
      </c>
      <c r="J1124" s="2" t="s">
        <v>2890</v>
      </c>
      <c r="K1124" s="44" t="n">
        <v>0.0435425193269668</v>
      </c>
      <c r="L1124" s="31" t="n">
        <v>13.5</v>
      </c>
      <c r="M1124" s="34" t="s">
        <v>822</v>
      </c>
      <c r="N1124" s="2" t="s">
        <v>22</v>
      </c>
      <c r="O1124" s="2" t="s">
        <v>22</v>
      </c>
      <c r="P1124" s="2" t="s">
        <v>22</v>
      </c>
      <c r="Q1124" s="2" t="s">
        <v>22</v>
      </c>
    </row>
    <row r="1125" customFormat="false" ht="15" hidden="false" customHeight="false" outlineLevel="0" collapsed="false">
      <c r="A1125" s="2" t="s">
        <v>228</v>
      </c>
      <c r="B1125" s="2" t="s">
        <v>46</v>
      </c>
      <c r="C1125" s="13" t="s">
        <v>1613</v>
      </c>
      <c r="D1125" s="29" t="n">
        <v>54360</v>
      </c>
      <c r="E1125" s="2" t="s">
        <v>821</v>
      </c>
      <c r="F1125" s="30" t="n">
        <v>15.6263061074319</v>
      </c>
      <c r="G1125" s="31" t="n">
        <v>98</v>
      </c>
      <c r="H1125" s="32" t="n">
        <v>0.171299288946348</v>
      </c>
      <c r="I1125" s="31" t="n">
        <v>85.8</v>
      </c>
      <c r="J1125" s="2" t="s">
        <v>2884</v>
      </c>
      <c r="K1125" s="33" t="n">
        <v>0.077877574577066</v>
      </c>
      <c r="L1125" s="31" t="n">
        <v>24.5</v>
      </c>
      <c r="M1125" s="34" t="s">
        <v>822</v>
      </c>
      <c r="N1125" s="2" t="s">
        <v>24</v>
      </c>
      <c r="O1125" s="2" t="s">
        <v>24</v>
      </c>
      <c r="P1125" s="2" t="s">
        <v>24</v>
      </c>
      <c r="Q1125" s="2" t="s">
        <v>24</v>
      </c>
    </row>
    <row r="1126" customFormat="false" ht="15" hidden="false" customHeight="false" outlineLevel="0" collapsed="false">
      <c r="A1126" s="2" t="s">
        <v>989</v>
      </c>
      <c r="B1126" s="2" t="s">
        <v>45</v>
      </c>
      <c r="C1126" s="13" t="s">
        <v>990</v>
      </c>
      <c r="D1126" s="29" t="n">
        <v>160720</v>
      </c>
      <c r="E1126" s="2" t="s">
        <v>827</v>
      </c>
      <c r="F1126" s="30" t="n">
        <v>1.06253733200597</v>
      </c>
      <c r="G1126" s="31" t="n">
        <v>80.2</v>
      </c>
      <c r="H1126" s="32" t="n">
        <v>0.13207015566669</v>
      </c>
      <c r="I1126" s="31" t="n">
        <v>75.7</v>
      </c>
      <c r="J1126" s="2" t="s">
        <v>2890</v>
      </c>
      <c r="K1126" s="33" t="n">
        <v>0.274686501692653</v>
      </c>
      <c r="L1126" s="31" t="n">
        <v>86.5</v>
      </c>
      <c r="M1126" s="34" t="s">
        <v>822</v>
      </c>
      <c r="N1126" s="2" t="s">
        <v>24</v>
      </c>
      <c r="O1126" s="2" t="s">
        <v>24</v>
      </c>
      <c r="P1126" s="2" t="s">
        <v>24</v>
      </c>
      <c r="Q1126" s="2" t="s">
        <v>24</v>
      </c>
    </row>
    <row r="1127" customFormat="false" ht="15" hidden="false" customHeight="false" outlineLevel="0" collapsed="false">
      <c r="A1127" s="2" t="s">
        <v>989</v>
      </c>
      <c r="B1127" s="2" t="s">
        <v>46</v>
      </c>
      <c r="C1127" s="13" t="s">
        <v>3156</v>
      </c>
      <c r="D1127" s="29" t="n">
        <v>155040</v>
      </c>
      <c r="E1127" s="2" t="s">
        <v>827</v>
      </c>
      <c r="F1127" s="30" t="n">
        <v>1.44329205366357</v>
      </c>
      <c r="G1127" s="31" t="n">
        <v>14.3</v>
      </c>
      <c r="H1127" s="32" t="n">
        <v>0.0583657587548638</v>
      </c>
      <c r="I1127" s="31" t="n">
        <v>40.8</v>
      </c>
      <c r="J1127" s="2" t="s">
        <v>2888</v>
      </c>
      <c r="K1127" s="38"/>
      <c r="L1127" s="31"/>
      <c r="M1127" s="39" t="s">
        <v>832</v>
      </c>
      <c r="N1127" s="2" t="s">
        <v>24</v>
      </c>
      <c r="O1127" s="2" t="s">
        <v>24</v>
      </c>
      <c r="P1127" s="2" t="s">
        <v>24</v>
      </c>
      <c r="Q1127" s="2"/>
    </row>
    <row r="1128" customFormat="false" ht="15" hidden="false" customHeight="false" outlineLevel="0" collapsed="false">
      <c r="A1128" s="2" t="s">
        <v>989</v>
      </c>
      <c r="B1128" s="2" t="s">
        <v>47</v>
      </c>
      <c r="C1128" s="13" t="s">
        <v>2781</v>
      </c>
      <c r="D1128" s="29" t="n">
        <v>62080</v>
      </c>
      <c r="E1128" s="2" t="s">
        <v>821</v>
      </c>
      <c r="F1128" s="30" t="n">
        <v>0.527577319587629</v>
      </c>
      <c r="G1128" s="31" t="n">
        <v>14.8</v>
      </c>
      <c r="H1128" s="32" t="n">
        <v>0.0999291282778172</v>
      </c>
      <c r="I1128" s="31" t="n">
        <v>52.9</v>
      </c>
      <c r="J1128" s="2" t="s">
        <v>2886</v>
      </c>
      <c r="K1128" s="33" t="n">
        <v>0.136410609714089</v>
      </c>
      <c r="L1128" s="31" t="n">
        <v>70.1</v>
      </c>
      <c r="M1128" s="34" t="s">
        <v>822</v>
      </c>
      <c r="N1128" s="2" t="s">
        <v>24</v>
      </c>
      <c r="O1128" s="2" t="s">
        <v>24</v>
      </c>
      <c r="P1128" s="2" t="s">
        <v>24</v>
      </c>
      <c r="Q1128" s="2" t="s">
        <v>24</v>
      </c>
    </row>
    <row r="1129" customFormat="false" ht="15" hidden="false" customHeight="false" outlineLevel="0" collapsed="false">
      <c r="A1129" s="2" t="s">
        <v>1512</v>
      </c>
      <c r="B1129" s="2" t="s">
        <v>45</v>
      </c>
      <c r="C1129" s="13" t="s">
        <v>1513</v>
      </c>
      <c r="D1129" s="29" t="n">
        <v>1281870</v>
      </c>
      <c r="E1129" s="2" t="s">
        <v>935</v>
      </c>
      <c r="F1129" s="30" t="n">
        <v>0.246782435036314</v>
      </c>
      <c r="G1129" s="31" t="n">
        <v>12.1</v>
      </c>
      <c r="H1129" s="32" t="n">
        <v>0.155222912141885</v>
      </c>
      <c r="I1129" s="31" t="n">
        <v>88.2</v>
      </c>
      <c r="J1129" s="2" t="s">
        <v>2892</v>
      </c>
      <c r="K1129" s="33" t="n">
        <v>0.148964896489649</v>
      </c>
      <c r="L1129" s="31" t="n">
        <v>57.1</v>
      </c>
      <c r="M1129" s="34" t="s">
        <v>822</v>
      </c>
      <c r="N1129" s="2" t="s">
        <v>24</v>
      </c>
      <c r="O1129" s="2" t="s">
        <v>24</v>
      </c>
      <c r="P1129" s="2" t="s">
        <v>24</v>
      </c>
      <c r="Q1129" s="2" t="s">
        <v>24</v>
      </c>
    </row>
    <row r="1130" customFormat="false" ht="15" hidden="false" customHeight="false" outlineLevel="0" collapsed="false">
      <c r="A1130" s="2" t="s">
        <v>1512</v>
      </c>
      <c r="B1130" s="2" t="s">
        <v>46</v>
      </c>
      <c r="C1130" s="13" t="s">
        <v>1817</v>
      </c>
      <c r="D1130" s="46" t="n">
        <v>1608</v>
      </c>
      <c r="E1130" s="2" t="s">
        <v>825</v>
      </c>
      <c r="F1130" s="47" t="n">
        <v>3.97885572139304</v>
      </c>
      <c r="G1130" s="31" t="n">
        <v>63.5</v>
      </c>
      <c r="H1130" s="48" t="n">
        <v>0.0489236790606654</v>
      </c>
      <c r="I1130" s="31" t="n">
        <v>11.3</v>
      </c>
      <c r="J1130" s="2" t="s">
        <v>2905</v>
      </c>
      <c r="K1130" s="33" t="n">
        <v>0.1931330472103</v>
      </c>
      <c r="L1130" s="31" t="n">
        <v>67.8</v>
      </c>
      <c r="M1130" s="34" t="s">
        <v>822</v>
      </c>
      <c r="N1130" s="2" t="s">
        <v>19</v>
      </c>
      <c r="O1130" s="2" t="s">
        <v>19</v>
      </c>
      <c r="P1130" s="2" t="s">
        <v>19</v>
      </c>
      <c r="Q1130" s="2" t="s">
        <v>24</v>
      </c>
    </row>
    <row r="1131" customFormat="false" ht="15" hidden="false" customHeight="false" outlineLevel="0" collapsed="false">
      <c r="A1131" s="2" t="s">
        <v>1512</v>
      </c>
      <c r="B1131" s="2" t="s">
        <v>47</v>
      </c>
      <c r="C1131" s="14" t="s">
        <v>3157</v>
      </c>
      <c r="D1131" s="42" t="n">
        <v>3210</v>
      </c>
      <c r="E1131" s="2" t="s">
        <v>825</v>
      </c>
      <c r="F1131" s="43" t="n">
        <v>1.25046728971963</v>
      </c>
      <c r="G1131" s="31" t="n">
        <v>50.3</v>
      </c>
      <c r="H1131" s="37"/>
      <c r="I1131" s="31"/>
      <c r="J1131" s="2"/>
      <c r="K1131" s="44" t="n">
        <v>0.0903225806451613</v>
      </c>
      <c r="L1131" s="31" t="n">
        <v>54.5</v>
      </c>
      <c r="M1131" s="39" t="s">
        <v>832</v>
      </c>
      <c r="N1131" s="2" t="s">
        <v>22</v>
      </c>
      <c r="O1131" s="2" t="s">
        <v>22</v>
      </c>
      <c r="P1131" s="2"/>
      <c r="Q1131" s="2" t="s">
        <v>22</v>
      </c>
    </row>
    <row r="1132" customFormat="false" ht="15" hidden="false" customHeight="false" outlineLevel="0" collapsed="false">
      <c r="A1132" s="2" t="s">
        <v>702</v>
      </c>
      <c r="B1132" s="2" t="s">
        <v>47</v>
      </c>
      <c r="C1132" s="13" t="s">
        <v>2684</v>
      </c>
      <c r="D1132" s="29" t="n">
        <v>9750</v>
      </c>
      <c r="E1132" s="2" t="s">
        <v>825</v>
      </c>
      <c r="F1132" s="30" t="n">
        <v>0.788410256410256</v>
      </c>
      <c r="G1132" s="31" t="n">
        <v>28.2</v>
      </c>
      <c r="H1132" s="32" t="n">
        <v>0.120689655172414</v>
      </c>
      <c r="I1132" s="31" t="n">
        <v>55</v>
      </c>
      <c r="J1132" s="2" t="s">
        <v>2889</v>
      </c>
      <c r="K1132" s="33" t="n">
        <v>0.349685534591195</v>
      </c>
      <c r="L1132" s="31" t="n">
        <v>98.2</v>
      </c>
      <c r="M1132" s="34" t="s">
        <v>822</v>
      </c>
      <c r="N1132" s="2" t="s">
        <v>24</v>
      </c>
      <c r="O1132" s="2" t="s">
        <v>24</v>
      </c>
      <c r="P1132" s="2" t="s">
        <v>24</v>
      </c>
      <c r="Q1132" s="2" t="s">
        <v>24</v>
      </c>
    </row>
    <row r="1133" customFormat="false" ht="15" hidden="false" customHeight="false" outlineLevel="0" collapsed="false">
      <c r="A1133" s="2" t="s">
        <v>2190</v>
      </c>
      <c r="B1133" s="2" t="s">
        <v>46</v>
      </c>
      <c r="C1133" s="14" t="s">
        <v>2191</v>
      </c>
      <c r="D1133" s="42" t="n">
        <v>178857</v>
      </c>
      <c r="E1133" s="2" t="s">
        <v>827</v>
      </c>
      <c r="F1133" s="43" t="n">
        <v>0.618404647288057</v>
      </c>
      <c r="G1133" s="31" t="n">
        <v>2.4</v>
      </c>
      <c r="H1133" s="41" t="n">
        <v>0.131326101394731</v>
      </c>
      <c r="I1133" s="31" t="n">
        <v>75.8</v>
      </c>
      <c r="J1133" s="2" t="s">
        <v>2888</v>
      </c>
      <c r="K1133" s="44" t="n">
        <v>0.183077418662085</v>
      </c>
      <c r="L1133" s="31" t="n">
        <v>64.7</v>
      </c>
      <c r="M1133" s="34" t="s">
        <v>822</v>
      </c>
      <c r="N1133" s="2" t="s">
        <v>22</v>
      </c>
      <c r="O1133" s="2" t="s">
        <v>22</v>
      </c>
      <c r="P1133" s="2" t="s">
        <v>22</v>
      </c>
      <c r="Q1133" s="2" t="s">
        <v>22</v>
      </c>
    </row>
    <row r="1134" customFormat="false" ht="15" hidden="false" customHeight="false" outlineLevel="0" collapsed="false">
      <c r="A1134" s="2" t="s">
        <v>3158</v>
      </c>
      <c r="B1134" s="2" t="s">
        <v>45</v>
      </c>
      <c r="C1134" s="13" t="s">
        <v>3159</v>
      </c>
      <c r="D1134" s="29" t="n">
        <v>47650</v>
      </c>
      <c r="E1134" s="2" t="s">
        <v>821</v>
      </c>
      <c r="F1134" s="30" t="n">
        <v>0.204029380902413</v>
      </c>
      <c r="G1134" s="31" t="n">
        <v>9.1</v>
      </c>
      <c r="H1134" s="32" t="n">
        <v>0.229043074542172</v>
      </c>
      <c r="I1134" s="31" t="n">
        <v>96.6</v>
      </c>
      <c r="J1134" s="2" t="s">
        <v>2883</v>
      </c>
      <c r="K1134" s="38"/>
      <c r="L1134" s="31"/>
      <c r="M1134" s="39" t="s">
        <v>832</v>
      </c>
      <c r="N1134" s="2" t="s">
        <v>24</v>
      </c>
      <c r="O1134" s="2" t="s">
        <v>24</v>
      </c>
      <c r="P1134" s="2" t="s">
        <v>24</v>
      </c>
      <c r="Q1134" s="2"/>
    </row>
    <row r="1135" customFormat="false" ht="15" hidden="false" customHeight="false" outlineLevel="0" collapsed="false">
      <c r="A1135" s="2" t="s">
        <v>1336</v>
      </c>
      <c r="B1135" s="2" t="s">
        <v>45</v>
      </c>
      <c r="C1135" s="14" t="s">
        <v>1337</v>
      </c>
      <c r="D1135" s="42" t="n">
        <v>81114</v>
      </c>
      <c r="E1135" s="2" t="s">
        <v>821</v>
      </c>
      <c r="F1135" s="43" t="n">
        <v>0.460253470424341</v>
      </c>
      <c r="G1135" s="31" t="n">
        <v>36.5</v>
      </c>
      <c r="H1135" s="41" t="n">
        <v>0.0174096279758172</v>
      </c>
      <c r="I1135" s="31" t="n">
        <v>12.4</v>
      </c>
      <c r="J1135" s="2" t="s">
        <v>2883</v>
      </c>
      <c r="K1135" s="44" t="n">
        <v>0.283492222779729</v>
      </c>
      <c r="L1135" s="31" t="n">
        <v>88.3</v>
      </c>
      <c r="M1135" s="34" t="s">
        <v>822</v>
      </c>
      <c r="N1135" s="2" t="s">
        <v>22</v>
      </c>
      <c r="O1135" s="2" t="s">
        <v>22</v>
      </c>
      <c r="P1135" s="2" t="s">
        <v>22</v>
      </c>
      <c r="Q1135" s="2" t="s">
        <v>22</v>
      </c>
    </row>
    <row r="1136" customFormat="false" ht="15" hidden="false" customHeight="false" outlineLevel="0" collapsed="false">
      <c r="A1136" s="2" t="s">
        <v>1336</v>
      </c>
      <c r="B1136" s="2" t="s">
        <v>46</v>
      </c>
      <c r="C1136" s="13" t="s">
        <v>3160</v>
      </c>
      <c r="D1136" s="29" t="n">
        <v>446810</v>
      </c>
      <c r="E1136" s="2" t="s">
        <v>827</v>
      </c>
      <c r="F1136" s="30" t="n">
        <v>5.40911349343121</v>
      </c>
      <c r="G1136" s="31" t="n">
        <v>75.6</v>
      </c>
      <c r="H1136" s="32" t="n">
        <v>0.128564572756435</v>
      </c>
      <c r="I1136" s="31" t="n">
        <v>74.5</v>
      </c>
      <c r="J1136" s="2" t="s">
        <v>2888</v>
      </c>
      <c r="K1136" s="38"/>
      <c r="L1136" s="31"/>
      <c r="M1136" s="39" t="s">
        <v>832</v>
      </c>
      <c r="N1136" s="2" t="s">
        <v>24</v>
      </c>
      <c r="O1136" s="2" t="s">
        <v>24</v>
      </c>
      <c r="P1136" s="2" t="s">
        <v>24</v>
      </c>
      <c r="Q1136" s="2"/>
    </row>
    <row r="1137" customFormat="false" ht="15" hidden="false" customHeight="false" outlineLevel="0" collapsed="false">
      <c r="A1137" s="2" t="s">
        <v>1336</v>
      </c>
      <c r="B1137" s="2" t="s">
        <v>47</v>
      </c>
      <c r="C1137" s="15" t="s">
        <v>2797</v>
      </c>
      <c r="D1137" s="46" t="n">
        <v>12025</v>
      </c>
      <c r="E1137" s="2" t="s">
        <v>821</v>
      </c>
      <c r="F1137" s="47" t="n">
        <v>0.484158004158004</v>
      </c>
      <c r="G1137" s="31" t="n">
        <v>12.2</v>
      </c>
      <c r="H1137" s="48" t="n">
        <v>0.161274746499276</v>
      </c>
      <c r="I1137" s="31" t="n">
        <v>81.8</v>
      </c>
      <c r="J1137" s="2" t="s">
        <v>2886</v>
      </c>
      <c r="K1137" s="45" t="n">
        <v>0.037037037037037</v>
      </c>
      <c r="L1137" s="31" t="n">
        <v>24.2</v>
      </c>
      <c r="M1137" s="34" t="s">
        <v>822</v>
      </c>
      <c r="N1137" s="2" t="s">
        <v>19</v>
      </c>
      <c r="O1137" s="2" t="s">
        <v>19</v>
      </c>
      <c r="P1137" s="2" t="s">
        <v>19</v>
      </c>
      <c r="Q1137" s="2" t="s">
        <v>19</v>
      </c>
    </row>
    <row r="1138" customFormat="false" ht="15" hidden="false" customHeight="false" outlineLevel="0" collapsed="false">
      <c r="A1138" s="2" t="s">
        <v>2390</v>
      </c>
      <c r="B1138" s="2" t="s">
        <v>45</v>
      </c>
      <c r="C1138" s="16"/>
      <c r="D1138" s="35"/>
      <c r="E1138" s="2"/>
      <c r="F1138" s="36"/>
      <c r="G1138" s="31"/>
      <c r="H1138" s="37"/>
      <c r="I1138" s="31"/>
      <c r="J1138" s="2"/>
      <c r="K1138" s="38"/>
      <c r="L1138" s="31"/>
      <c r="M1138" s="39" t="s">
        <v>832</v>
      </c>
      <c r="N1138" s="2"/>
      <c r="O1138" s="2"/>
      <c r="P1138" s="2"/>
      <c r="Q1138" s="2"/>
    </row>
    <row r="1139" customFormat="false" ht="15" hidden="false" customHeight="false" outlineLevel="0" collapsed="false">
      <c r="A1139" s="2" t="s">
        <v>2390</v>
      </c>
      <c r="B1139" s="2" t="s">
        <v>46</v>
      </c>
      <c r="C1139" s="16"/>
      <c r="D1139" s="46" t="n">
        <v>4301</v>
      </c>
      <c r="E1139" s="2" t="s">
        <v>825</v>
      </c>
      <c r="F1139" s="47" t="n">
        <v>1.93768890955592</v>
      </c>
      <c r="G1139" s="31" t="n">
        <v>26.7</v>
      </c>
      <c r="H1139" s="48" t="n">
        <v>0.0319097888675624</v>
      </c>
      <c r="I1139" s="31" t="n">
        <v>5.7</v>
      </c>
      <c r="J1139" s="2" t="s">
        <v>2905</v>
      </c>
      <c r="K1139" s="38"/>
      <c r="L1139" s="31"/>
      <c r="M1139" s="39" t="s">
        <v>832</v>
      </c>
      <c r="N1139" s="2" t="s">
        <v>19</v>
      </c>
      <c r="O1139" s="2" t="s">
        <v>19</v>
      </c>
      <c r="P1139" s="2" t="s">
        <v>19</v>
      </c>
      <c r="Q1139" s="2"/>
    </row>
    <row r="1140" customFormat="false" ht="15" hidden="false" customHeight="false" outlineLevel="0" collapsed="false">
      <c r="A1140" s="2" t="s">
        <v>2390</v>
      </c>
      <c r="B1140" s="2" t="s">
        <v>47</v>
      </c>
      <c r="C1140" s="13" t="s">
        <v>2391</v>
      </c>
      <c r="D1140" s="29" t="n">
        <v>49720</v>
      </c>
      <c r="E1140" s="2" t="s">
        <v>821</v>
      </c>
      <c r="F1140" s="30" t="n">
        <v>1.85241351568785</v>
      </c>
      <c r="G1140" s="31" t="n">
        <v>72.3</v>
      </c>
      <c r="H1140" s="32" t="n">
        <v>0.087964989059081</v>
      </c>
      <c r="I1140" s="31" t="n">
        <v>46.4</v>
      </c>
      <c r="J1140" s="2" t="s">
        <v>2886</v>
      </c>
      <c r="K1140" s="33" t="n">
        <v>0.272788203753351</v>
      </c>
      <c r="L1140" s="31" t="n">
        <v>94.6</v>
      </c>
      <c r="M1140" s="34" t="s">
        <v>822</v>
      </c>
      <c r="N1140" s="2" t="s">
        <v>24</v>
      </c>
      <c r="O1140" s="2" t="s">
        <v>24</v>
      </c>
      <c r="P1140" s="2" t="s">
        <v>24</v>
      </c>
      <c r="Q1140" s="2" t="s">
        <v>24</v>
      </c>
    </row>
    <row r="1141" customFormat="false" ht="15" hidden="false" customHeight="false" outlineLevel="0" collapsed="false">
      <c r="A1141" s="2" t="s">
        <v>2830</v>
      </c>
      <c r="B1141" s="2" t="s">
        <v>45</v>
      </c>
      <c r="C1141" s="16"/>
      <c r="D1141" s="29" t="n">
        <v>283730</v>
      </c>
      <c r="E1141" s="2" t="s">
        <v>827</v>
      </c>
      <c r="F1141" s="30" t="n">
        <v>0.288545448137314</v>
      </c>
      <c r="G1141" s="31" t="n">
        <v>16.1</v>
      </c>
      <c r="H1141" s="32" t="n">
        <v>0.0795190807746452</v>
      </c>
      <c r="I1141" s="31" t="n">
        <v>46.4</v>
      </c>
      <c r="J1141" s="2" t="s">
        <v>2890</v>
      </c>
      <c r="K1141" s="38"/>
      <c r="L1141" s="31"/>
      <c r="M1141" s="39" t="s">
        <v>832</v>
      </c>
      <c r="N1141" s="2" t="s">
        <v>24</v>
      </c>
      <c r="O1141" s="2" t="s">
        <v>24</v>
      </c>
      <c r="P1141" s="2" t="s">
        <v>24</v>
      </c>
      <c r="Q1141" s="2"/>
    </row>
    <row r="1142" customFormat="false" ht="15" hidden="false" customHeight="false" outlineLevel="0" collapsed="false">
      <c r="A1142" s="2" t="s">
        <v>2830</v>
      </c>
      <c r="B1142" s="2" t="s">
        <v>46</v>
      </c>
      <c r="C1142" s="15" t="s">
        <v>3161</v>
      </c>
      <c r="D1142" s="46" t="n">
        <v>44107</v>
      </c>
      <c r="E1142" s="2" t="s">
        <v>821</v>
      </c>
      <c r="F1142" s="47" t="n">
        <v>2.28673453193371</v>
      </c>
      <c r="G1142" s="31" t="n">
        <v>32.4</v>
      </c>
      <c r="H1142" s="48" t="n">
        <v>0.121202877551539</v>
      </c>
      <c r="I1142" s="31" t="n">
        <v>69.1</v>
      </c>
      <c r="J1142" s="2" t="s">
        <v>2884</v>
      </c>
      <c r="K1142" s="38"/>
      <c r="L1142" s="31"/>
      <c r="M1142" s="39" t="s">
        <v>832</v>
      </c>
      <c r="N1142" s="2" t="s">
        <v>19</v>
      </c>
      <c r="O1142" s="2" t="s">
        <v>19</v>
      </c>
      <c r="P1142" s="2" t="s">
        <v>19</v>
      </c>
      <c r="Q1142" s="2"/>
    </row>
    <row r="1143" customFormat="false" ht="15" hidden="false" customHeight="false" outlineLevel="0" collapsed="false">
      <c r="A1143" s="2" t="s">
        <v>2830</v>
      </c>
      <c r="B1143" s="2" t="s">
        <v>47</v>
      </c>
      <c r="C1143" s="14" t="s">
        <v>2831</v>
      </c>
      <c r="D1143" s="42" t="n">
        <v>21368</v>
      </c>
      <c r="E1143" s="2" t="s">
        <v>821</v>
      </c>
      <c r="F1143" s="43" t="n">
        <v>0.375</v>
      </c>
      <c r="G1143" s="31" t="n">
        <v>6.3</v>
      </c>
      <c r="H1143" s="41" t="n">
        <v>0.140417356033517</v>
      </c>
      <c r="I1143" s="31" t="n">
        <v>71.8</v>
      </c>
      <c r="J1143" s="2" t="s">
        <v>2886</v>
      </c>
      <c r="K1143" s="44" t="n">
        <v>0.233169129720854</v>
      </c>
      <c r="L1143" s="31" t="n">
        <v>90.7</v>
      </c>
      <c r="M1143" s="34" t="s">
        <v>822</v>
      </c>
      <c r="N1143" s="2" t="s">
        <v>22</v>
      </c>
      <c r="O1143" s="2" t="s">
        <v>22</v>
      </c>
      <c r="P1143" s="2" t="s">
        <v>22</v>
      </c>
      <c r="Q1143" s="2" t="s">
        <v>22</v>
      </c>
    </row>
    <row r="1144" customFormat="false" ht="15" hidden="false" customHeight="false" outlineLevel="0" collapsed="false">
      <c r="A1144" s="2" t="s">
        <v>1417</v>
      </c>
      <c r="B1144" s="2" t="s">
        <v>45</v>
      </c>
      <c r="C1144" s="13" t="s">
        <v>1418</v>
      </c>
      <c r="D1144" s="29" t="n">
        <v>101460</v>
      </c>
      <c r="E1144" s="2" t="s">
        <v>827</v>
      </c>
      <c r="F1144" s="30" t="n">
        <v>0.363098758131283</v>
      </c>
      <c r="G1144" s="31" t="n">
        <v>25.3</v>
      </c>
      <c r="H1144" s="32" t="n">
        <v>0.087459807073955</v>
      </c>
      <c r="I1144" s="31" t="n">
        <v>53.6</v>
      </c>
      <c r="J1144" s="2" t="s">
        <v>2890</v>
      </c>
      <c r="K1144" s="33" t="n">
        <v>0.26859250153657</v>
      </c>
      <c r="L1144" s="31" t="n">
        <v>85.3</v>
      </c>
      <c r="M1144" s="34" t="s">
        <v>822</v>
      </c>
      <c r="N1144" s="2" t="s">
        <v>24</v>
      </c>
      <c r="O1144" s="2" t="s">
        <v>24</v>
      </c>
      <c r="P1144" s="2" t="s">
        <v>24</v>
      </c>
      <c r="Q1144" s="2" t="s">
        <v>24</v>
      </c>
    </row>
    <row r="1145" customFormat="false" ht="15" hidden="false" customHeight="false" outlineLevel="0" collapsed="false">
      <c r="A1145" s="2" t="s">
        <v>1417</v>
      </c>
      <c r="B1145" s="2" t="s">
        <v>46</v>
      </c>
      <c r="C1145" s="16"/>
      <c r="D1145" s="29" t="n">
        <v>19320</v>
      </c>
      <c r="E1145" s="2" t="s">
        <v>821</v>
      </c>
      <c r="F1145" s="30" t="n">
        <v>3.83379917184265</v>
      </c>
      <c r="G1145" s="31" t="n">
        <v>60.9</v>
      </c>
      <c r="H1145" s="32" t="n">
        <v>0.155502392344498</v>
      </c>
      <c r="I1145" s="31" t="n">
        <v>82.2</v>
      </c>
      <c r="J1145" s="2" t="s">
        <v>2884</v>
      </c>
      <c r="K1145" s="38"/>
      <c r="L1145" s="31"/>
      <c r="M1145" s="39" t="s">
        <v>832</v>
      </c>
      <c r="N1145" s="2" t="s">
        <v>24</v>
      </c>
      <c r="O1145" s="2" t="s">
        <v>24</v>
      </c>
      <c r="P1145" s="2" t="s">
        <v>24</v>
      </c>
      <c r="Q1145" s="2"/>
    </row>
    <row r="1146" customFormat="false" ht="15" hidden="false" customHeight="false" outlineLevel="0" collapsed="false">
      <c r="A1146" s="2" t="s">
        <v>1417</v>
      </c>
      <c r="B1146" s="2" t="s">
        <v>47</v>
      </c>
      <c r="C1146" s="13" t="s">
        <v>2506</v>
      </c>
      <c r="D1146" s="29" t="n">
        <v>73570</v>
      </c>
      <c r="E1146" s="2" t="s">
        <v>821</v>
      </c>
      <c r="F1146" s="30" t="n">
        <v>1.35837977436455</v>
      </c>
      <c r="G1146" s="31" t="n">
        <v>54.7</v>
      </c>
      <c r="H1146" s="32" t="n">
        <v>0.0460685340537466</v>
      </c>
      <c r="I1146" s="31" t="n">
        <v>26</v>
      </c>
      <c r="J1146" s="2" t="s">
        <v>2886</v>
      </c>
      <c r="K1146" s="44" t="n">
        <v>0.0205150589262331</v>
      </c>
      <c r="L1146" s="31" t="n">
        <v>14</v>
      </c>
      <c r="M1146" s="34" t="s">
        <v>822</v>
      </c>
      <c r="N1146" s="2" t="s">
        <v>24</v>
      </c>
      <c r="O1146" s="2" t="s">
        <v>24</v>
      </c>
      <c r="P1146" s="2" t="s">
        <v>24</v>
      </c>
      <c r="Q1146" s="2" t="s">
        <v>22</v>
      </c>
    </row>
    <row r="1147" customFormat="false" ht="15" hidden="false" customHeight="false" outlineLevel="0" collapsed="false">
      <c r="A1147" s="2" t="s">
        <v>1482</v>
      </c>
      <c r="B1147" s="2" t="s">
        <v>45</v>
      </c>
      <c r="C1147" s="13" t="s">
        <v>1483</v>
      </c>
      <c r="D1147" s="29" t="n">
        <v>32110</v>
      </c>
      <c r="E1147" s="2" t="s">
        <v>821</v>
      </c>
      <c r="F1147" s="30" t="n">
        <v>0.274244783556524</v>
      </c>
      <c r="G1147" s="31" t="n">
        <v>14.7</v>
      </c>
      <c r="H1147" s="32" t="n">
        <v>0.0807808818579603</v>
      </c>
      <c r="I1147" s="31" t="n">
        <v>43.6</v>
      </c>
      <c r="J1147" s="2" t="s">
        <v>2883</v>
      </c>
      <c r="K1147" s="33" t="n">
        <v>0.0681063122923588</v>
      </c>
      <c r="L1147" s="31" t="n">
        <v>23.1</v>
      </c>
      <c r="M1147" s="34" t="s">
        <v>822</v>
      </c>
      <c r="N1147" s="2" t="s">
        <v>24</v>
      </c>
      <c r="O1147" s="2" t="s">
        <v>24</v>
      </c>
      <c r="P1147" s="2" t="s">
        <v>24</v>
      </c>
      <c r="Q1147" s="2" t="s">
        <v>24</v>
      </c>
    </row>
    <row r="1148" customFormat="false" ht="15" hidden="false" customHeight="false" outlineLevel="0" collapsed="false">
      <c r="A1148" s="2" t="s">
        <v>1482</v>
      </c>
      <c r="B1148" s="2" t="s">
        <v>46</v>
      </c>
      <c r="C1148" s="13" t="s">
        <v>3162</v>
      </c>
      <c r="D1148" s="29" t="n">
        <v>2380</v>
      </c>
      <c r="E1148" s="2" t="s">
        <v>825</v>
      </c>
      <c r="F1148" s="30" t="n">
        <v>3.42352941176471</v>
      </c>
      <c r="G1148" s="31" t="n">
        <v>54</v>
      </c>
      <c r="H1148" s="37"/>
      <c r="I1148" s="31"/>
      <c r="J1148" s="2"/>
      <c r="K1148" s="33" t="n">
        <v>0.0445544554455446</v>
      </c>
      <c r="L1148" s="31" t="n">
        <v>10.4</v>
      </c>
      <c r="M1148" s="39" t="s">
        <v>832</v>
      </c>
      <c r="N1148" s="2" t="s">
        <v>24</v>
      </c>
      <c r="O1148" s="2" t="s">
        <v>24</v>
      </c>
      <c r="P1148" s="2"/>
      <c r="Q1148" s="2" t="s">
        <v>24</v>
      </c>
    </row>
    <row r="1149" customFormat="false" ht="15" hidden="false" customHeight="false" outlineLevel="0" collapsed="false">
      <c r="A1149" s="2" t="s">
        <v>1482</v>
      </c>
      <c r="B1149" s="2" t="s">
        <v>47</v>
      </c>
      <c r="C1149" s="13" t="s">
        <v>2583</v>
      </c>
      <c r="D1149" s="29" t="n">
        <v>10840</v>
      </c>
      <c r="E1149" s="2" t="s">
        <v>821</v>
      </c>
      <c r="F1149" s="30" t="n">
        <v>1.12813653136531</v>
      </c>
      <c r="G1149" s="31" t="n">
        <v>43.6</v>
      </c>
      <c r="H1149" s="41" t="n">
        <v>0.0219986838394284</v>
      </c>
      <c r="I1149" s="31" t="n">
        <v>17.9</v>
      </c>
      <c r="J1149" s="2" t="s">
        <v>2886</v>
      </c>
      <c r="K1149" s="33" t="n">
        <v>0.100622406639004</v>
      </c>
      <c r="L1149" s="31" t="n">
        <v>59.3</v>
      </c>
      <c r="M1149" s="34" t="s">
        <v>822</v>
      </c>
      <c r="N1149" s="2" t="s">
        <v>24</v>
      </c>
      <c r="O1149" s="2" t="s">
        <v>24</v>
      </c>
      <c r="P1149" s="2" t="s">
        <v>22</v>
      </c>
      <c r="Q1149" s="2" t="s">
        <v>24</v>
      </c>
    </row>
    <row r="1150" customFormat="false" ht="15" hidden="false" customHeight="false" outlineLevel="0" collapsed="false">
      <c r="A1150" s="2" t="s">
        <v>596</v>
      </c>
      <c r="B1150" s="2" t="s">
        <v>45</v>
      </c>
      <c r="C1150" s="13" t="s">
        <v>982</v>
      </c>
      <c r="D1150" s="29" t="n">
        <v>41370</v>
      </c>
      <c r="E1150" s="2" t="s">
        <v>821</v>
      </c>
      <c r="F1150" s="30" t="n">
        <v>1.10321489001692</v>
      </c>
      <c r="G1150" s="31" t="n">
        <v>81.1</v>
      </c>
      <c r="H1150" s="32" t="n">
        <v>0.149805447470817</v>
      </c>
      <c r="I1150" s="31" t="n">
        <v>76.3</v>
      </c>
      <c r="J1150" s="2" t="s">
        <v>2883</v>
      </c>
      <c r="K1150" s="33" t="n">
        <v>0.035725677830941</v>
      </c>
      <c r="L1150" s="31" t="n">
        <v>11.2</v>
      </c>
      <c r="M1150" s="34" t="s">
        <v>822</v>
      </c>
      <c r="N1150" s="2" t="s">
        <v>24</v>
      </c>
      <c r="O1150" s="2" t="s">
        <v>24</v>
      </c>
      <c r="P1150" s="2" t="s">
        <v>24</v>
      </c>
      <c r="Q1150" s="2" t="s">
        <v>24</v>
      </c>
    </row>
    <row r="1151" customFormat="false" ht="15" hidden="false" customHeight="false" outlineLevel="0" collapsed="false">
      <c r="A1151" s="2" t="s">
        <v>596</v>
      </c>
      <c r="B1151" s="2" t="s">
        <v>46</v>
      </c>
      <c r="C1151" s="13" t="s">
        <v>2015</v>
      </c>
      <c r="D1151" s="29" t="n">
        <v>155540</v>
      </c>
      <c r="E1151" s="2" t="s">
        <v>827</v>
      </c>
      <c r="F1151" s="43" t="n">
        <v>2.24047079492794</v>
      </c>
      <c r="G1151" s="31" t="n">
        <v>31.4</v>
      </c>
      <c r="H1151" s="41" t="n">
        <v>0.000241948834188644</v>
      </c>
      <c r="I1151" s="31" t="n">
        <v>12.7</v>
      </c>
      <c r="J1151" s="2" t="s">
        <v>2888</v>
      </c>
      <c r="K1151" s="33" t="n">
        <v>0.155702479338843</v>
      </c>
      <c r="L1151" s="31" t="n">
        <v>57.4</v>
      </c>
      <c r="M1151" s="34" t="s">
        <v>822</v>
      </c>
      <c r="N1151" s="2" t="s">
        <v>24</v>
      </c>
      <c r="O1151" s="2" t="s">
        <v>22</v>
      </c>
      <c r="P1151" s="2" t="s">
        <v>22</v>
      </c>
      <c r="Q1151" s="2" t="s">
        <v>24</v>
      </c>
    </row>
    <row r="1152" customFormat="false" ht="15" hidden="false" customHeight="false" outlineLevel="0" collapsed="false">
      <c r="A1152" s="2" t="s">
        <v>596</v>
      </c>
      <c r="B1152" s="2" t="s">
        <v>47</v>
      </c>
      <c r="C1152" s="14" t="s">
        <v>2841</v>
      </c>
      <c r="D1152" s="42" t="n">
        <v>8358</v>
      </c>
      <c r="E1152" s="2" t="s">
        <v>825</v>
      </c>
      <c r="F1152" s="43" t="n">
        <v>0.347092605886576</v>
      </c>
      <c r="G1152" s="31" t="n">
        <v>5.1</v>
      </c>
      <c r="H1152" s="41" t="n">
        <v>-0.0173994827180814</v>
      </c>
      <c r="I1152" s="31" t="n">
        <v>8.8</v>
      </c>
      <c r="J1152" s="2" t="s">
        <v>2889</v>
      </c>
      <c r="K1152" s="44" t="n">
        <v>0.00668896321070234</v>
      </c>
      <c r="L1152" s="31" t="n">
        <v>4.8</v>
      </c>
      <c r="M1152" s="34" t="s">
        <v>822</v>
      </c>
      <c r="N1152" s="2" t="s">
        <v>22</v>
      </c>
      <c r="O1152" s="2" t="s">
        <v>22</v>
      </c>
      <c r="P1152" s="2" t="s">
        <v>22</v>
      </c>
      <c r="Q1152" s="2" t="s">
        <v>22</v>
      </c>
    </row>
    <row r="1153" customFormat="false" ht="15" hidden="false" customHeight="false" outlineLevel="0" collapsed="false">
      <c r="A1153" s="2" t="s">
        <v>1219</v>
      </c>
      <c r="B1153" s="2" t="s">
        <v>45</v>
      </c>
      <c r="C1153" s="13" t="s">
        <v>1220</v>
      </c>
      <c r="D1153" s="29" t="n">
        <v>39150</v>
      </c>
      <c r="E1153" s="2" t="s">
        <v>821</v>
      </c>
      <c r="F1153" s="30" t="n">
        <v>0.576679438058748</v>
      </c>
      <c r="G1153" s="31" t="n">
        <v>51.6</v>
      </c>
      <c r="H1153" s="32" t="n">
        <v>-0.154975178070365</v>
      </c>
      <c r="I1153" s="31" t="n">
        <v>0.7</v>
      </c>
      <c r="J1153" s="2" t="s">
        <v>2883</v>
      </c>
      <c r="K1153" s="33" t="n">
        <v>0.193939393939394</v>
      </c>
      <c r="L1153" s="31" t="n">
        <v>71.3</v>
      </c>
      <c r="M1153" s="34" t="s">
        <v>822</v>
      </c>
      <c r="N1153" s="2" t="s">
        <v>24</v>
      </c>
      <c r="O1153" s="2" t="s">
        <v>24</v>
      </c>
      <c r="P1153" s="2" t="s">
        <v>24</v>
      </c>
      <c r="Q1153" s="2" t="s">
        <v>24</v>
      </c>
    </row>
    <row r="1154" customFormat="false" ht="15" hidden="false" customHeight="false" outlineLevel="0" collapsed="false">
      <c r="A1154" s="2" t="s">
        <v>1219</v>
      </c>
      <c r="B1154" s="2" t="s">
        <v>46</v>
      </c>
      <c r="C1154" s="14" t="s">
        <v>3163</v>
      </c>
      <c r="D1154" s="42" t="n">
        <v>6236</v>
      </c>
      <c r="E1154" s="2" t="s">
        <v>825</v>
      </c>
      <c r="F1154" s="43" t="n">
        <v>3.96921103271328</v>
      </c>
      <c r="G1154" s="31" t="n">
        <v>63.1</v>
      </c>
      <c r="H1154" s="41" t="n">
        <v>0.0738763561219218</v>
      </c>
      <c r="I1154" s="31" t="n">
        <v>20.8</v>
      </c>
      <c r="J1154" s="2" t="s">
        <v>2905</v>
      </c>
      <c r="K1154" s="38"/>
      <c r="L1154" s="31"/>
      <c r="M1154" s="39" t="s">
        <v>832</v>
      </c>
      <c r="N1154" s="2" t="s">
        <v>22</v>
      </c>
      <c r="O1154" s="2" t="s">
        <v>22</v>
      </c>
      <c r="P1154" s="2" t="s">
        <v>22</v>
      </c>
      <c r="Q1154" s="2"/>
    </row>
    <row r="1155" customFormat="false" ht="15" hidden="false" customHeight="false" outlineLevel="0" collapsed="false">
      <c r="A1155" s="2" t="s">
        <v>1219</v>
      </c>
      <c r="B1155" s="2" t="s">
        <v>47</v>
      </c>
      <c r="C1155" s="13" t="s">
        <v>2700</v>
      </c>
      <c r="D1155" s="29" t="n">
        <v>521750</v>
      </c>
      <c r="E1155" s="2" t="s">
        <v>827</v>
      </c>
      <c r="F1155" s="30" t="n">
        <v>0.761322472448491</v>
      </c>
      <c r="G1155" s="31" t="n">
        <v>25.6</v>
      </c>
      <c r="H1155" s="32" t="n">
        <v>0.119202883006564</v>
      </c>
      <c r="I1155" s="31" t="n">
        <v>69.6</v>
      </c>
      <c r="J1155" s="2" t="s">
        <v>2897</v>
      </c>
      <c r="K1155" s="33" t="n">
        <v>0.00666121304195396</v>
      </c>
      <c r="L1155" s="31" t="n">
        <v>4.7</v>
      </c>
      <c r="M1155" s="34" t="s">
        <v>822</v>
      </c>
      <c r="N1155" s="2" t="s">
        <v>24</v>
      </c>
      <c r="O1155" s="2" t="s">
        <v>24</v>
      </c>
      <c r="P1155" s="2" t="s">
        <v>24</v>
      </c>
      <c r="Q1155" s="2" t="s">
        <v>24</v>
      </c>
    </row>
    <row r="1156" customFormat="false" ht="15" hidden="false" customHeight="false" outlineLevel="0" collapsed="false">
      <c r="A1156" s="2" t="s">
        <v>402</v>
      </c>
      <c r="B1156" s="2" t="s">
        <v>45</v>
      </c>
      <c r="C1156" s="13" t="s">
        <v>840</v>
      </c>
      <c r="D1156" s="29" t="n">
        <v>280270</v>
      </c>
      <c r="E1156" s="2" t="s">
        <v>827</v>
      </c>
      <c r="F1156" s="30" t="n">
        <v>2.57182359867271</v>
      </c>
      <c r="G1156" s="31" t="n">
        <v>98.3</v>
      </c>
      <c r="H1156" s="41" t="n">
        <v>-0.0925531949659637</v>
      </c>
      <c r="I1156" s="31" t="n">
        <v>1.4</v>
      </c>
      <c r="J1156" s="2" t="s">
        <v>2890</v>
      </c>
      <c r="K1156" s="44" t="n">
        <v>0.0538638389715197</v>
      </c>
      <c r="L1156" s="31" t="n">
        <v>17.2</v>
      </c>
      <c r="M1156" s="34" t="s">
        <v>822</v>
      </c>
      <c r="N1156" s="2" t="s">
        <v>24</v>
      </c>
      <c r="O1156" s="2" t="s">
        <v>24</v>
      </c>
      <c r="P1156" s="2" t="s">
        <v>22</v>
      </c>
      <c r="Q1156" s="2" t="s">
        <v>22</v>
      </c>
    </row>
    <row r="1157" customFormat="false" ht="15" hidden="false" customHeight="false" outlineLevel="0" collapsed="false">
      <c r="A1157" s="2" t="s">
        <v>402</v>
      </c>
      <c r="B1157" s="2" t="s">
        <v>46</v>
      </c>
      <c r="C1157" s="13" t="s">
        <v>1944</v>
      </c>
      <c r="D1157" s="29" t="n">
        <v>109220</v>
      </c>
      <c r="E1157" s="2" t="s">
        <v>827</v>
      </c>
      <c r="F1157" s="30" t="n">
        <v>2.78841787218458</v>
      </c>
      <c r="G1157" s="31" t="n">
        <v>43.4</v>
      </c>
      <c r="H1157" s="32" t="n">
        <v>0.112559845166548</v>
      </c>
      <c r="I1157" s="31" t="n">
        <v>68.8</v>
      </c>
      <c r="J1157" s="2" t="s">
        <v>2888</v>
      </c>
      <c r="K1157" s="33" t="n">
        <v>0.0713215808272843</v>
      </c>
      <c r="L1157" s="31" t="n">
        <v>21.2</v>
      </c>
      <c r="M1157" s="34" t="s">
        <v>822</v>
      </c>
      <c r="N1157" s="2" t="s">
        <v>24</v>
      </c>
      <c r="O1157" s="2" t="s">
        <v>24</v>
      </c>
      <c r="P1157" s="2" t="s">
        <v>24</v>
      </c>
      <c r="Q1157" s="2" t="s">
        <v>24</v>
      </c>
    </row>
    <row r="1158" customFormat="false" ht="15" hidden="false" customHeight="false" outlineLevel="0" collapsed="false">
      <c r="A1158" s="2" t="s">
        <v>402</v>
      </c>
      <c r="B1158" s="2" t="s">
        <v>47</v>
      </c>
      <c r="C1158" s="14" t="s">
        <v>2717</v>
      </c>
      <c r="D1158" s="42" t="n">
        <v>77823</v>
      </c>
      <c r="E1158" s="2" t="s">
        <v>821</v>
      </c>
      <c r="F1158" s="43" t="n">
        <v>0.708672243424181</v>
      </c>
      <c r="G1158" s="31" t="n">
        <v>22.9</v>
      </c>
      <c r="H1158" s="41" t="n">
        <v>0.0998940004239983</v>
      </c>
      <c r="I1158" s="31" t="n">
        <v>52.6</v>
      </c>
      <c r="J1158" s="2" t="s">
        <v>2886</v>
      </c>
      <c r="K1158" s="44" t="n">
        <v>0.00260078023407022</v>
      </c>
      <c r="L1158" s="31" t="n">
        <v>3</v>
      </c>
      <c r="M1158" s="34" t="s">
        <v>822</v>
      </c>
      <c r="N1158" s="2" t="s">
        <v>22</v>
      </c>
      <c r="O1158" s="2" t="s">
        <v>22</v>
      </c>
      <c r="P1158" s="2" t="s">
        <v>22</v>
      </c>
      <c r="Q1158" s="2" t="s">
        <v>22</v>
      </c>
    </row>
    <row r="1159" customFormat="false" ht="15" hidden="false" customHeight="false" outlineLevel="0" collapsed="false">
      <c r="A1159" s="2" t="s">
        <v>1680</v>
      </c>
      <c r="B1159" s="2" t="s">
        <v>45</v>
      </c>
      <c r="C1159" s="13" t="s">
        <v>3164</v>
      </c>
      <c r="D1159" s="29" t="n">
        <v>3767980</v>
      </c>
      <c r="E1159" s="2" t="s">
        <v>935</v>
      </c>
      <c r="F1159" s="30" t="n">
        <v>0.082761320389174</v>
      </c>
      <c r="G1159" s="31" t="n">
        <v>0.9</v>
      </c>
      <c r="H1159" s="32" t="n">
        <v>0.0879896051396809</v>
      </c>
      <c r="I1159" s="31" t="n">
        <v>47.1</v>
      </c>
      <c r="J1159" s="2" t="s">
        <v>2892</v>
      </c>
      <c r="K1159" s="38"/>
      <c r="L1159" s="31"/>
      <c r="M1159" s="39" t="s">
        <v>832</v>
      </c>
      <c r="N1159" s="2" t="s">
        <v>24</v>
      </c>
      <c r="O1159" s="2" t="s">
        <v>24</v>
      </c>
      <c r="P1159" s="2" t="s">
        <v>24</v>
      </c>
      <c r="Q1159" s="2"/>
    </row>
    <row r="1160" customFormat="false" ht="15" hidden="false" customHeight="false" outlineLevel="0" collapsed="false">
      <c r="A1160" s="2" t="s">
        <v>1680</v>
      </c>
      <c r="B1160" s="2" t="s">
        <v>46</v>
      </c>
      <c r="C1160" s="13" t="s">
        <v>1681</v>
      </c>
      <c r="D1160" s="29" t="n">
        <v>759270</v>
      </c>
      <c r="E1160" s="2" t="s">
        <v>827</v>
      </c>
      <c r="F1160" s="30" t="n">
        <v>7.18766315013105</v>
      </c>
      <c r="G1160" s="31" t="n">
        <v>87</v>
      </c>
      <c r="H1160" s="32" t="n">
        <v>0.0100705068511374</v>
      </c>
      <c r="I1160" s="31" t="n">
        <v>15.9</v>
      </c>
      <c r="J1160" s="2" t="s">
        <v>2888</v>
      </c>
      <c r="K1160" s="33" t="n">
        <v>0.457698277397522</v>
      </c>
      <c r="L1160" s="31" t="n">
        <v>98.7</v>
      </c>
      <c r="M1160" s="34" t="s">
        <v>822</v>
      </c>
      <c r="N1160" s="2" t="s">
        <v>24</v>
      </c>
      <c r="O1160" s="2" t="s">
        <v>24</v>
      </c>
      <c r="P1160" s="2" t="s">
        <v>24</v>
      </c>
      <c r="Q1160" s="2" t="s">
        <v>24</v>
      </c>
    </row>
    <row r="1161" customFormat="false" ht="15" hidden="false" customHeight="false" outlineLevel="0" collapsed="false">
      <c r="A1161" s="2" t="s">
        <v>1680</v>
      </c>
      <c r="B1161" s="2" t="s">
        <v>47</v>
      </c>
      <c r="C1161" s="14" t="s">
        <v>2820</v>
      </c>
      <c r="D1161" s="42" t="n">
        <v>210846</v>
      </c>
      <c r="E1161" s="2" t="s">
        <v>827</v>
      </c>
      <c r="F1161" s="43" t="n">
        <v>0.39761247545602</v>
      </c>
      <c r="G1161" s="31" t="n">
        <v>7.8</v>
      </c>
      <c r="H1161" s="41" t="n">
        <v>0.0363019758183427</v>
      </c>
      <c r="I1161" s="31" t="n">
        <v>23.6</v>
      </c>
      <c r="J1161" s="2" t="s">
        <v>2897</v>
      </c>
      <c r="K1161" s="44" t="n">
        <v>0.0938398849472675</v>
      </c>
      <c r="L1161" s="31" t="n">
        <v>55.7</v>
      </c>
      <c r="M1161" s="34" t="s">
        <v>822</v>
      </c>
      <c r="N1161" s="2" t="s">
        <v>22</v>
      </c>
      <c r="O1161" s="2" t="s">
        <v>22</v>
      </c>
      <c r="P1161" s="2" t="s">
        <v>22</v>
      </c>
      <c r="Q1161" s="2" t="s">
        <v>22</v>
      </c>
    </row>
    <row r="1162" customFormat="false" ht="15" hidden="false" customHeight="false" outlineLevel="0" collapsed="false">
      <c r="A1162" s="2" t="s">
        <v>1364</v>
      </c>
      <c r="B1162" s="2" t="s">
        <v>45</v>
      </c>
      <c r="C1162" s="13" t="s">
        <v>1365</v>
      </c>
      <c r="D1162" s="29" t="n">
        <v>12610</v>
      </c>
      <c r="E1162" s="2" t="s">
        <v>821</v>
      </c>
      <c r="F1162" s="30" t="n">
        <v>0.443061062648692</v>
      </c>
      <c r="G1162" s="31" t="n">
        <v>33.3</v>
      </c>
      <c r="H1162" s="32" t="n">
        <v>0.132973944294699</v>
      </c>
      <c r="I1162" s="31" t="n">
        <v>70.4</v>
      </c>
      <c r="J1162" s="2" t="s">
        <v>2883</v>
      </c>
      <c r="K1162" s="33" t="n">
        <v>0.0173611111111111</v>
      </c>
      <c r="L1162" s="31" t="n">
        <v>4.4</v>
      </c>
      <c r="M1162" s="34" t="s">
        <v>822</v>
      </c>
      <c r="N1162" s="2" t="s">
        <v>24</v>
      </c>
      <c r="O1162" s="2" t="s">
        <v>24</v>
      </c>
      <c r="P1162" s="2" t="s">
        <v>24</v>
      </c>
      <c r="Q1162" s="2" t="s">
        <v>24</v>
      </c>
    </row>
    <row r="1163" customFormat="false" ht="15" hidden="false" customHeight="false" outlineLevel="0" collapsed="false">
      <c r="A1163" s="2" t="s">
        <v>1364</v>
      </c>
      <c r="B1163" s="2" t="s">
        <v>46</v>
      </c>
      <c r="C1163" s="13" t="s">
        <v>1752</v>
      </c>
      <c r="D1163" s="29" t="n">
        <v>372250</v>
      </c>
      <c r="E1163" s="2" t="s">
        <v>827</v>
      </c>
      <c r="F1163" s="30" t="n">
        <v>5.15247817327065</v>
      </c>
      <c r="G1163" s="31" t="n">
        <v>73.5</v>
      </c>
      <c r="H1163" s="32" t="n">
        <v>0.0460280439486329</v>
      </c>
      <c r="I1163" s="31" t="n">
        <v>32.5</v>
      </c>
      <c r="J1163" s="2" t="s">
        <v>2888</v>
      </c>
      <c r="K1163" s="33" t="n">
        <v>0.142313561505381</v>
      </c>
      <c r="L1163" s="31" t="n">
        <v>53.2</v>
      </c>
      <c r="M1163" s="34" t="s">
        <v>822</v>
      </c>
      <c r="N1163" s="2" t="s">
        <v>24</v>
      </c>
      <c r="O1163" s="2" t="s">
        <v>24</v>
      </c>
      <c r="P1163" s="2" t="s">
        <v>24</v>
      </c>
      <c r="Q1163" s="2" t="s">
        <v>24</v>
      </c>
    </row>
    <row r="1164" customFormat="false" ht="15" hidden="false" customHeight="false" outlineLevel="0" collapsed="false">
      <c r="A1164" s="2" t="s">
        <v>1364</v>
      </c>
      <c r="B1164" s="2" t="s">
        <v>47</v>
      </c>
      <c r="C1164" s="16"/>
      <c r="D1164" s="35"/>
      <c r="E1164" s="2"/>
      <c r="F1164" s="36"/>
      <c r="G1164" s="31"/>
      <c r="H1164" s="37"/>
      <c r="I1164" s="31"/>
      <c r="J1164" s="2"/>
      <c r="K1164" s="38"/>
      <c r="L1164" s="31"/>
      <c r="M1164" s="39" t="s">
        <v>832</v>
      </c>
      <c r="N1164" s="2"/>
      <c r="O1164" s="2"/>
      <c r="P1164" s="2"/>
      <c r="Q1164" s="2"/>
    </row>
    <row r="1165" customFormat="false" ht="15" hidden="false" customHeight="false" outlineLevel="0" collapsed="false">
      <c r="A1165" s="2" t="s">
        <v>1610</v>
      </c>
      <c r="B1165" s="2" t="s">
        <v>45</v>
      </c>
      <c r="C1165" s="13" t="s">
        <v>3165</v>
      </c>
      <c r="D1165" s="29" t="n">
        <v>9370</v>
      </c>
      <c r="E1165" s="2" t="s">
        <v>825</v>
      </c>
      <c r="F1165" s="30" t="n">
        <v>0.635432230522946</v>
      </c>
      <c r="G1165" s="31" t="n">
        <v>57.7</v>
      </c>
      <c r="H1165" s="32" t="n">
        <v>0.0832369942196532</v>
      </c>
      <c r="I1165" s="31" t="n">
        <v>40.8</v>
      </c>
      <c r="J1165" s="2" t="s">
        <v>2899</v>
      </c>
      <c r="K1165" s="38"/>
      <c r="L1165" s="31"/>
      <c r="M1165" s="39" t="s">
        <v>832</v>
      </c>
      <c r="N1165" s="2" t="s">
        <v>24</v>
      </c>
      <c r="O1165" s="2" t="s">
        <v>24</v>
      </c>
      <c r="P1165" s="2" t="s">
        <v>24</v>
      </c>
      <c r="Q1165" s="2"/>
    </row>
    <row r="1166" customFormat="false" ht="15" hidden="false" customHeight="false" outlineLevel="0" collapsed="false">
      <c r="A1166" s="2" t="s">
        <v>1610</v>
      </c>
      <c r="B1166" s="2" t="s">
        <v>46</v>
      </c>
      <c r="C1166" s="14" t="s">
        <v>1611</v>
      </c>
      <c r="D1166" s="42" t="n">
        <v>64513</v>
      </c>
      <c r="E1166" s="2" t="s">
        <v>821</v>
      </c>
      <c r="F1166" s="43" t="n">
        <v>15.7657991412584</v>
      </c>
      <c r="G1166" s="31" t="n">
        <v>98.4</v>
      </c>
      <c r="H1166" s="41" t="n">
        <v>-0.030885246886689</v>
      </c>
      <c r="I1166" s="31" t="n">
        <v>6.9</v>
      </c>
      <c r="J1166" s="2" t="s">
        <v>2884</v>
      </c>
      <c r="K1166" s="44" t="n">
        <v>0.440091159209796</v>
      </c>
      <c r="L1166" s="31" t="n">
        <v>98.5</v>
      </c>
      <c r="M1166" s="34" t="s">
        <v>822</v>
      </c>
      <c r="N1166" s="2" t="s">
        <v>22</v>
      </c>
      <c r="O1166" s="2" t="s">
        <v>22</v>
      </c>
      <c r="P1166" s="2" t="s">
        <v>22</v>
      </c>
      <c r="Q1166" s="2" t="s">
        <v>22</v>
      </c>
    </row>
    <row r="1167" customFormat="false" ht="15" hidden="false" customHeight="false" outlineLevel="0" collapsed="false">
      <c r="A1167" s="2" t="s">
        <v>1610</v>
      </c>
      <c r="B1167" s="2" t="s">
        <v>47</v>
      </c>
      <c r="C1167" s="14" t="s">
        <v>2427</v>
      </c>
      <c r="D1167" s="42" t="n">
        <v>40539</v>
      </c>
      <c r="E1167" s="2" t="s">
        <v>821</v>
      </c>
      <c r="F1167" s="43" t="n">
        <v>1.65931572066405</v>
      </c>
      <c r="G1167" s="31" t="n">
        <v>66.5</v>
      </c>
      <c r="H1167" s="41" t="n">
        <v>0.127931888372611</v>
      </c>
      <c r="I1167" s="31" t="n">
        <v>67.2</v>
      </c>
      <c r="J1167" s="2" t="s">
        <v>2886</v>
      </c>
      <c r="K1167" s="44" t="n">
        <v>0.0417899408284024</v>
      </c>
      <c r="L1167" s="31" t="n">
        <v>27.1</v>
      </c>
      <c r="M1167" s="34" t="s">
        <v>822</v>
      </c>
      <c r="N1167" s="2" t="s">
        <v>22</v>
      </c>
      <c r="O1167" s="2" t="s">
        <v>22</v>
      </c>
      <c r="P1167" s="2" t="s">
        <v>22</v>
      </c>
      <c r="Q1167" s="2" t="s">
        <v>22</v>
      </c>
    </row>
    <row r="1168" customFormat="false" ht="15" hidden="false" customHeight="false" outlineLevel="0" collapsed="false">
      <c r="A1168" s="2" t="s">
        <v>552</v>
      </c>
      <c r="B1168" s="2" t="s">
        <v>45</v>
      </c>
      <c r="C1168" s="13" t="s">
        <v>1328</v>
      </c>
      <c r="D1168" s="29" t="n">
        <v>125750</v>
      </c>
      <c r="E1168" s="2" t="s">
        <v>827</v>
      </c>
      <c r="F1168" s="30" t="n">
        <v>0.46534393638171</v>
      </c>
      <c r="G1168" s="31" t="n">
        <v>37.8</v>
      </c>
      <c r="H1168" s="32" t="n">
        <v>0.0990211501485754</v>
      </c>
      <c r="I1168" s="31" t="n">
        <v>57.9</v>
      </c>
      <c r="J1168" s="2" t="s">
        <v>2890</v>
      </c>
      <c r="K1168" s="33" t="n">
        <v>0.123227917121047</v>
      </c>
      <c r="L1168" s="31" t="n">
        <v>46.2</v>
      </c>
      <c r="M1168" s="34" t="s">
        <v>822</v>
      </c>
      <c r="N1168" s="2" t="s">
        <v>24</v>
      </c>
      <c r="O1168" s="2" t="s">
        <v>24</v>
      </c>
      <c r="P1168" s="2" t="s">
        <v>24</v>
      </c>
      <c r="Q1168" s="2" t="s">
        <v>24</v>
      </c>
    </row>
    <row r="1169" customFormat="false" ht="15" hidden="false" customHeight="false" outlineLevel="0" collapsed="false">
      <c r="A1169" s="2" t="s">
        <v>552</v>
      </c>
      <c r="B1169" s="2" t="s">
        <v>46</v>
      </c>
      <c r="C1169" s="13" t="s">
        <v>2138</v>
      </c>
      <c r="D1169" s="29" t="n">
        <v>92800</v>
      </c>
      <c r="E1169" s="2" t="s">
        <v>821</v>
      </c>
      <c r="F1169" s="30" t="n">
        <v>1.31016163793104</v>
      </c>
      <c r="G1169" s="31" t="n">
        <v>11.2</v>
      </c>
      <c r="H1169" s="32" t="n">
        <v>0.0345596432552954</v>
      </c>
      <c r="I1169" s="31" t="n">
        <v>23.3</v>
      </c>
      <c r="J1169" s="2" t="s">
        <v>2884</v>
      </c>
      <c r="K1169" s="33" t="n">
        <v>0.212111398963731</v>
      </c>
      <c r="L1169" s="31" t="n">
        <v>71.7</v>
      </c>
      <c r="M1169" s="34" t="s">
        <v>822</v>
      </c>
      <c r="N1169" s="2" t="s">
        <v>24</v>
      </c>
      <c r="O1169" s="2" t="s">
        <v>24</v>
      </c>
      <c r="P1169" s="2" t="s">
        <v>24</v>
      </c>
      <c r="Q1169" s="2" t="s">
        <v>24</v>
      </c>
    </row>
    <row r="1170" customFormat="false" ht="15" hidden="false" customHeight="false" outlineLevel="0" collapsed="false">
      <c r="A1170" s="2" t="s">
        <v>552</v>
      </c>
      <c r="B1170" s="2" t="s">
        <v>47</v>
      </c>
      <c r="C1170" s="14" t="s">
        <v>2339</v>
      </c>
      <c r="D1170" s="42" t="n">
        <v>1825</v>
      </c>
      <c r="E1170" s="2" t="s">
        <v>825</v>
      </c>
      <c r="F1170" s="43" t="n">
        <v>2.33205479452055</v>
      </c>
      <c r="G1170" s="31" t="n">
        <v>81.5</v>
      </c>
      <c r="H1170" s="41" t="n">
        <v>0.0410724472333143</v>
      </c>
      <c r="I1170" s="31" t="n">
        <v>23.8</v>
      </c>
      <c r="J1170" s="2" t="s">
        <v>2889</v>
      </c>
      <c r="K1170" s="44" t="n">
        <v>0.168604651162791</v>
      </c>
      <c r="L1170" s="31" t="n">
        <v>78.3</v>
      </c>
      <c r="M1170" s="34" t="s">
        <v>822</v>
      </c>
      <c r="N1170" s="2" t="s">
        <v>22</v>
      </c>
      <c r="O1170" s="2" t="s">
        <v>22</v>
      </c>
      <c r="P1170" s="2" t="s">
        <v>22</v>
      </c>
      <c r="Q1170" s="2" t="s">
        <v>22</v>
      </c>
    </row>
    <row r="1171" customFormat="false" ht="15" hidden="false" customHeight="false" outlineLevel="0" collapsed="false">
      <c r="A1171" s="2" t="s">
        <v>2437</v>
      </c>
      <c r="B1171" s="2" t="s">
        <v>45</v>
      </c>
      <c r="C1171" s="15" t="s">
        <v>3166</v>
      </c>
      <c r="D1171" s="46" t="n">
        <v>9226</v>
      </c>
      <c r="E1171" s="2" t="s">
        <v>825</v>
      </c>
      <c r="F1171" s="47" t="n">
        <v>0.567851723390418</v>
      </c>
      <c r="G1171" s="31" t="n">
        <v>50.9</v>
      </c>
      <c r="H1171" s="48" t="n">
        <v>0.234908312140276</v>
      </c>
      <c r="I1171" s="31" t="n">
        <v>95.8</v>
      </c>
      <c r="J1171" s="2" t="s">
        <v>2899</v>
      </c>
      <c r="K1171" s="38"/>
      <c r="L1171" s="31"/>
      <c r="M1171" s="39" t="s">
        <v>832</v>
      </c>
      <c r="N1171" s="2" t="s">
        <v>19</v>
      </c>
      <c r="O1171" s="2" t="s">
        <v>19</v>
      </c>
      <c r="P1171" s="2" t="s">
        <v>19</v>
      </c>
      <c r="Q1171" s="2"/>
    </row>
    <row r="1172" customFormat="false" ht="15" hidden="false" customHeight="false" outlineLevel="0" collapsed="false">
      <c r="A1172" s="2" t="s">
        <v>2437</v>
      </c>
      <c r="B1172" s="2" t="s">
        <v>46</v>
      </c>
      <c r="C1172" s="13" t="s">
        <v>3167</v>
      </c>
      <c r="D1172" s="29" t="n">
        <v>285270</v>
      </c>
      <c r="E1172" s="2" t="s">
        <v>827</v>
      </c>
      <c r="F1172" s="30" t="n">
        <v>3.88084621586567</v>
      </c>
      <c r="G1172" s="31" t="n">
        <v>61.7</v>
      </c>
      <c r="H1172" s="32" t="n">
        <v>0.195900058690366</v>
      </c>
      <c r="I1172" s="31" t="n">
        <v>96.8</v>
      </c>
      <c r="J1172" s="2" t="s">
        <v>2888</v>
      </c>
      <c r="K1172" s="38"/>
      <c r="L1172" s="31"/>
      <c r="M1172" s="39" t="s">
        <v>832</v>
      </c>
      <c r="N1172" s="2" t="s">
        <v>24</v>
      </c>
      <c r="O1172" s="2" t="s">
        <v>24</v>
      </c>
      <c r="P1172" s="2" t="s">
        <v>24</v>
      </c>
      <c r="Q1172" s="2"/>
    </row>
    <row r="1173" customFormat="false" ht="15" hidden="false" customHeight="false" outlineLevel="0" collapsed="false">
      <c r="A1173" s="2" t="s">
        <v>2437</v>
      </c>
      <c r="B1173" s="2" t="s">
        <v>47</v>
      </c>
      <c r="C1173" s="13" t="s">
        <v>2438</v>
      </c>
      <c r="D1173" s="29" t="n">
        <v>23400</v>
      </c>
      <c r="E1173" s="2" t="s">
        <v>821</v>
      </c>
      <c r="F1173" s="30" t="n">
        <v>1.64388888888889</v>
      </c>
      <c r="G1173" s="31" t="n">
        <v>65.3</v>
      </c>
      <c r="H1173" s="32" t="n">
        <v>0.055956678700361</v>
      </c>
      <c r="I1173" s="31" t="n">
        <v>32.1</v>
      </c>
      <c r="J1173" s="2" t="s">
        <v>2886</v>
      </c>
      <c r="K1173" s="33" t="n">
        <v>0.0482315112540193</v>
      </c>
      <c r="L1173" s="31" t="n">
        <v>31.2</v>
      </c>
      <c r="M1173" s="34" t="s">
        <v>822</v>
      </c>
      <c r="N1173" s="2" t="s">
        <v>24</v>
      </c>
      <c r="O1173" s="2" t="s">
        <v>24</v>
      </c>
      <c r="P1173" s="2" t="s">
        <v>24</v>
      </c>
      <c r="Q1173" s="2" t="s">
        <v>24</v>
      </c>
    </row>
    <row r="1174" customFormat="false" ht="15" hidden="false" customHeight="false" outlineLevel="0" collapsed="false">
      <c r="A1174" s="2" t="s">
        <v>666</v>
      </c>
      <c r="B1174" s="2" t="s">
        <v>46</v>
      </c>
      <c r="C1174" s="13" t="s">
        <v>2004</v>
      </c>
      <c r="D1174" s="29" t="n">
        <v>285960</v>
      </c>
      <c r="E1174" s="2" t="s">
        <v>827</v>
      </c>
      <c r="F1174" s="30" t="n">
        <v>2.326437263953</v>
      </c>
      <c r="G1174" s="31" t="n">
        <v>33.4</v>
      </c>
      <c r="H1174" s="32" t="n">
        <v>0.0377789874795863</v>
      </c>
      <c r="I1174" s="31" t="n">
        <v>28</v>
      </c>
      <c r="J1174" s="2" t="s">
        <v>2888</v>
      </c>
      <c r="K1174" s="33" t="n">
        <v>0.0496391914302362</v>
      </c>
      <c r="L1174" s="31" t="n">
        <v>11.9</v>
      </c>
      <c r="M1174" s="34" t="s">
        <v>822</v>
      </c>
      <c r="N1174" s="2" t="s">
        <v>24</v>
      </c>
      <c r="O1174" s="2" t="s">
        <v>24</v>
      </c>
      <c r="P1174" s="2" t="s">
        <v>24</v>
      </c>
      <c r="Q1174" s="2" t="s">
        <v>24</v>
      </c>
    </row>
    <row r="1175" customFormat="false" ht="15" hidden="false" customHeight="false" outlineLevel="0" collapsed="false">
      <c r="A1175" s="2" t="s">
        <v>2198</v>
      </c>
      <c r="B1175" s="2" t="s">
        <v>46</v>
      </c>
      <c r="C1175" s="13" t="s">
        <v>2199</v>
      </c>
      <c r="D1175" s="29" t="n">
        <v>53350</v>
      </c>
      <c r="E1175" s="2" t="s">
        <v>821</v>
      </c>
      <c r="F1175" s="43" t="n">
        <v>0.511471489425305</v>
      </c>
      <c r="G1175" s="31" t="n">
        <v>1.6</v>
      </c>
      <c r="H1175" s="32" t="n">
        <v>0.106846473029046</v>
      </c>
      <c r="I1175" s="31" t="n">
        <v>62.9</v>
      </c>
      <c r="J1175" s="2" t="s">
        <v>2884</v>
      </c>
      <c r="K1175" s="33" t="n">
        <v>0.139502762430939</v>
      </c>
      <c r="L1175" s="31" t="n">
        <v>52.3</v>
      </c>
      <c r="M1175" s="34" t="s">
        <v>822</v>
      </c>
      <c r="N1175" s="2" t="s">
        <v>24</v>
      </c>
      <c r="O1175" s="2" t="s">
        <v>22</v>
      </c>
      <c r="P1175" s="2" t="s">
        <v>24</v>
      </c>
      <c r="Q1175" s="2" t="s">
        <v>24</v>
      </c>
    </row>
    <row r="1176" customFormat="false" ht="15" hidden="false" customHeight="false" outlineLevel="0" collapsed="false">
      <c r="A1176" s="2" t="s">
        <v>2198</v>
      </c>
      <c r="B1176" s="2" t="s">
        <v>47</v>
      </c>
      <c r="C1176" s="14" t="s">
        <v>3168</v>
      </c>
      <c r="D1176" s="35"/>
      <c r="E1176" s="2"/>
      <c r="F1176" s="36"/>
      <c r="G1176" s="31"/>
      <c r="H1176" s="37"/>
      <c r="I1176" s="31"/>
      <c r="J1176" s="2"/>
      <c r="K1176" s="44" t="n">
        <v>0.128205128205128</v>
      </c>
      <c r="L1176" s="31" t="n">
        <v>67.9</v>
      </c>
      <c r="M1176" s="39" t="s">
        <v>832</v>
      </c>
      <c r="N1176" s="2"/>
      <c r="O1176" s="2"/>
      <c r="P1176" s="2"/>
      <c r="Q1176" s="2" t="s">
        <v>22</v>
      </c>
    </row>
    <row r="1177" customFormat="false" ht="15" hidden="false" customHeight="false" outlineLevel="0" collapsed="false">
      <c r="A1177" s="2" t="s">
        <v>562</v>
      </c>
      <c r="B1177" s="2" t="s">
        <v>45</v>
      </c>
      <c r="C1177" s="13" t="s">
        <v>996</v>
      </c>
      <c r="D1177" s="29" t="n">
        <v>5590</v>
      </c>
      <c r="E1177" s="2" t="s">
        <v>825</v>
      </c>
      <c r="F1177" s="30" t="n">
        <v>1.01484794275492</v>
      </c>
      <c r="G1177" s="31" t="n">
        <v>79</v>
      </c>
      <c r="H1177" s="32" t="n">
        <v>0.104743083003953</v>
      </c>
      <c r="I1177" s="31" t="n">
        <v>59.2</v>
      </c>
      <c r="J1177" s="2" t="s">
        <v>2899</v>
      </c>
      <c r="K1177" s="33" t="n">
        <v>0.13677811550152</v>
      </c>
      <c r="L1177" s="31" t="n">
        <v>51.5</v>
      </c>
      <c r="M1177" s="34" t="s">
        <v>822</v>
      </c>
      <c r="N1177" s="2" t="s">
        <v>24</v>
      </c>
      <c r="O1177" s="2" t="s">
        <v>24</v>
      </c>
      <c r="P1177" s="2" t="s">
        <v>24</v>
      </c>
      <c r="Q1177" s="2" t="s">
        <v>24</v>
      </c>
    </row>
    <row r="1178" customFormat="false" ht="15" hidden="false" customHeight="false" outlineLevel="0" collapsed="false">
      <c r="A1178" s="2" t="s">
        <v>562</v>
      </c>
      <c r="B1178" s="2" t="s">
        <v>46</v>
      </c>
      <c r="C1178" s="13" t="s">
        <v>2046</v>
      </c>
      <c r="D1178" s="29" t="n">
        <v>137500</v>
      </c>
      <c r="E1178" s="2" t="s">
        <v>827</v>
      </c>
      <c r="F1178" s="30" t="n">
        <v>1.91205090909091</v>
      </c>
      <c r="G1178" s="31" t="n">
        <v>25.9</v>
      </c>
      <c r="H1178" s="32" t="n">
        <v>-0.0503487809931625</v>
      </c>
      <c r="I1178" s="31" t="n">
        <v>5.7</v>
      </c>
      <c r="J1178" s="2" t="s">
        <v>2888</v>
      </c>
      <c r="K1178" s="33" t="n">
        <v>0.088091269014378</v>
      </c>
      <c r="L1178" s="31" t="n">
        <v>31.3</v>
      </c>
      <c r="M1178" s="34" t="s">
        <v>822</v>
      </c>
      <c r="N1178" s="2" t="s">
        <v>24</v>
      </c>
      <c r="O1178" s="2" t="s">
        <v>24</v>
      </c>
      <c r="P1178" s="2" t="s">
        <v>24</v>
      </c>
      <c r="Q1178" s="2" t="s">
        <v>24</v>
      </c>
    </row>
    <row r="1179" customFormat="false" ht="15" hidden="false" customHeight="false" outlineLevel="0" collapsed="false">
      <c r="A1179" s="2" t="s">
        <v>562</v>
      </c>
      <c r="B1179" s="2" t="s">
        <v>47</v>
      </c>
      <c r="C1179" s="13" t="s">
        <v>2708</v>
      </c>
      <c r="D1179" s="42" t="n">
        <v>4023</v>
      </c>
      <c r="E1179" s="2" t="s">
        <v>825</v>
      </c>
      <c r="F1179" s="43" t="n">
        <v>0.738503604275416</v>
      </c>
      <c r="G1179" s="31" t="n">
        <v>24.2</v>
      </c>
      <c r="H1179" s="41" t="n">
        <v>-0.0244907856450049</v>
      </c>
      <c r="I1179" s="31" t="n">
        <v>3.8</v>
      </c>
      <c r="J1179" s="2" t="s">
        <v>2889</v>
      </c>
      <c r="K1179" s="33" t="n">
        <v>0.0565217391304348</v>
      </c>
      <c r="L1179" s="31" t="n">
        <v>35.3</v>
      </c>
      <c r="M1179" s="34" t="s">
        <v>822</v>
      </c>
      <c r="N1179" s="2" t="s">
        <v>22</v>
      </c>
      <c r="O1179" s="2" t="s">
        <v>22</v>
      </c>
      <c r="P1179" s="2" t="s">
        <v>22</v>
      </c>
      <c r="Q1179" s="2" t="s">
        <v>24</v>
      </c>
    </row>
    <row r="1180" customFormat="false" ht="15" hidden="false" customHeight="false" outlineLevel="0" collapsed="false">
      <c r="A1180" s="2" t="s">
        <v>1874</v>
      </c>
      <c r="B1180" s="2" t="s">
        <v>45</v>
      </c>
      <c r="C1180" s="13" t="s">
        <v>3169</v>
      </c>
      <c r="D1180" s="42" t="n">
        <v>247435</v>
      </c>
      <c r="E1180" s="2" t="s">
        <v>827</v>
      </c>
      <c r="F1180" s="43" t="n">
        <v>0.443288136278215</v>
      </c>
      <c r="G1180" s="31" t="n">
        <v>33.5</v>
      </c>
      <c r="H1180" s="37"/>
      <c r="I1180" s="31"/>
      <c r="J1180" s="2"/>
      <c r="K1180" s="44" t="n">
        <v>0.410725552050473</v>
      </c>
      <c r="L1180" s="31" t="n">
        <v>98.6</v>
      </c>
      <c r="M1180" s="39" t="s">
        <v>832</v>
      </c>
      <c r="N1180" s="2" t="s">
        <v>22</v>
      </c>
      <c r="O1180" s="2" t="s">
        <v>22</v>
      </c>
      <c r="P1180" s="2"/>
      <c r="Q1180" s="2" t="s">
        <v>22</v>
      </c>
    </row>
    <row r="1181" customFormat="false" ht="15" hidden="false" customHeight="false" outlineLevel="0" collapsed="false">
      <c r="A1181" s="2" t="s">
        <v>1874</v>
      </c>
      <c r="B1181" s="2" t="s">
        <v>46</v>
      </c>
      <c r="C1181" s="13" t="s">
        <v>1875</v>
      </c>
      <c r="D1181" s="29" t="n">
        <v>20320</v>
      </c>
      <c r="E1181" s="2" t="s">
        <v>821</v>
      </c>
      <c r="F1181" s="30" t="n">
        <v>3.39990157480315</v>
      </c>
      <c r="G1181" s="31" t="n">
        <v>53.8</v>
      </c>
      <c r="H1181" s="32" t="n">
        <v>0.193188490898415</v>
      </c>
      <c r="I1181" s="31" t="n">
        <v>92.4</v>
      </c>
      <c r="J1181" s="2" t="s">
        <v>2884</v>
      </c>
      <c r="K1181" s="33" t="n">
        <v>0.142967542503864</v>
      </c>
      <c r="L1181" s="31" t="n">
        <v>53.4</v>
      </c>
      <c r="M1181" s="34" t="s">
        <v>822</v>
      </c>
      <c r="N1181" s="2" t="s">
        <v>24</v>
      </c>
      <c r="O1181" s="2" t="s">
        <v>24</v>
      </c>
      <c r="P1181" s="2" t="s">
        <v>24</v>
      </c>
      <c r="Q1181" s="2" t="s">
        <v>24</v>
      </c>
    </row>
    <row r="1182" customFormat="false" ht="15" hidden="false" customHeight="false" outlineLevel="0" collapsed="false">
      <c r="A1182" s="2" t="s">
        <v>1874</v>
      </c>
      <c r="B1182" s="2" t="s">
        <v>47</v>
      </c>
      <c r="C1182" s="16"/>
      <c r="D1182" s="35"/>
      <c r="E1182" s="2"/>
      <c r="F1182" s="36"/>
      <c r="G1182" s="31"/>
      <c r="H1182" s="37"/>
      <c r="I1182" s="31"/>
      <c r="J1182" s="2"/>
      <c r="K1182" s="38"/>
      <c r="L1182" s="31"/>
      <c r="M1182" s="39" t="s">
        <v>832</v>
      </c>
      <c r="N1182" s="2"/>
      <c r="O1182" s="2"/>
      <c r="P1182" s="2"/>
      <c r="Q1182" s="2"/>
    </row>
    <row r="1183" customFormat="false" ht="15" hidden="false" customHeight="false" outlineLevel="0" collapsed="false">
      <c r="A1183" s="2" t="s">
        <v>1568</v>
      </c>
      <c r="B1183" s="2" t="s">
        <v>45</v>
      </c>
      <c r="C1183" s="14" t="s">
        <v>1569</v>
      </c>
      <c r="D1183" s="42" t="n">
        <v>112627</v>
      </c>
      <c r="E1183" s="2" t="s">
        <v>827</v>
      </c>
      <c r="F1183" s="43" t="n">
        <v>0.141928667193479</v>
      </c>
      <c r="G1183" s="31" t="n">
        <v>4.5</v>
      </c>
      <c r="H1183" s="41" t="n">
        <v>0.0663113147704572</v>
      </c>
      <c r="I1183" s="31" t="n">
        <v>37.9</v>
      </c>
      <c r="J1183" s="2" t="s">
        <v>2890</v>
      </c>
      <c r="K1183" s="44" t="n">
        <v>0.0726172465960666</v>
      </c>
      <c r="L1183" s="31" t="n">
        <v>23.8</v>
      </c>
      <c r="M1183" s="34" t="s">
        <v>822</v>
      </c>
      <c r="N1183" s="2" t="s">
        <v>22</v>
      </c>
      <c r="O1183" s="2" t="s">
        <v>22</v>
      </c>
      <c r="P1183" s="2" t="s">
        <v>22</v>
      </c>
      <c r="Q1183" s="2" t="s">
        <v>22</v>
      </c>
    </row>
    <row r="1184" customFormat="false" ht="15" hidden="false" customHeight="false" outlineLevel="0" collapsed="false">
      <c r="A1184" s="2" t="s">
        <v>1568</v>
      </c>
      <c r="B1184" s="2" t="s">
        <v>46</v>
      </c>
      <c r="C1184" s="13" t="s">
        <v>2179</v>
      </c>
      <c r="D1184" s="29" t="n">
        <v>650</v>
      </c>
      <c r="E1184" s="2" t="s">
        <v>825</v>
      </c>
      <c r="F1184" s="30" t="n">
        <v>0.792307692307692</v>
      </c>
      <c r="G1184" s="31" t="n">
        <v>4.1</v>
      </c>
      <c r="H1184" s="41" t="n">
        <v>0.171985815602837</v>
      </c>
      <c r="I1184" s="31" t="n">
        <v>83</v>
      </c>
      <c r="J1184" s="2" t="s">
        <v>2905</v>
      </c>
      <c r="K1184" s="33" t="n">
        <v>0.137931034482759</v>
      </c>
      <c r="L1184" s="31" t="n">
        <v>51.9</v>
      </c>
      <c r="M1184" s="34" t="s">
        <v>822</v>
      </c>
      <c r="N1184" s="2" t="s">
        <v>24</v>
      </c>
      <c r="O1184" s="2" t="s">
        <v>24</v>
      </c>
      <c r="P1184" s="2" t="s">
        <v>22</v>
      </c>
      <c r="Q1184" s="2" t="s">
        <v>24</v>
      </c>
    </row>
    <row r="1185" customFormat="false" ht="15" hidden="false" customHeight="false" outlineLevel="0" collapsed="false">
      <c r="A1185" s="2" t="s">
        <v>1568</v>
      </c>
      <c r="B1185" s="2" t="s">
        <v>47</v>
      </c>
      <c r="C1185" s="16"/>
      <c r="D1185" s="42" t="n">
        <v>1026774</v>
      </c>
      <c r="E1185" s="2" t="s">
        <v>935</v>
      </c>
      <c r="F1185" s="43" t="n">
        <v>1.56191917598225</v>
      </c>
      <c r="G1185" s="31" t="n">
        <v>62.1</v>
      </c>
      <c r="H1185" s="41" t="n">
        <v>0.122040881001426</v>
      </c>
      <c r="I1185" s="31" t="n">
        <v>64.3</v>
      </c>
      <c r="J1185" s="2" t="s">
        <v>2922</v>
      </c>
      <c r="K1185" s="44" t="n">
        <v>0.194179806623957</v>
      </c>
      <c r="L1185" s="31" t="n">
        <v>83.2</v>
      </c>
      <c r="M1185" s="39" t="s">
        <v>832</v>
      </c>
      <c r="N1185" s="2" t="s">
        <v>22</v>
      </c>
      <c r="O1185" s="2" t="s">
        <v>22</v>
      </c>
      <c r="P1185" s="2" t="s">
        <v>22</v>
      </c>
      <c r="Q1185" s="2" t="s">
        <v>22</v>
      </c>
    </row>
    <row r="1186" customFormat="false" ht="15" hidden="false" customHeight="false" outlineLevel="0" collapsed="false">
      <c r="A1186" s="2" t="s">
        <v>1276</v>
      </c>
      <c r="B1186" s="2" t="s">
        <v>45</v>
      </c>
      <c r="C1186" s="13" t="s">
        <v>1277</v>
      </c>
      <c r="D1186" s="29" t="n">
        <v>960</v>
      </c>
      <c r="E1186" s="2" t="s">
        <v>825</v>
      </c>
      <c r="F1186" s="30" t="n">
        <v>0.51875</v>
      </c>
      <c r="G1186" s="31" t="n">
        <v>43.9</v>
      </c>
      <c r="H1186" s="41" t="n">
        <v>0.10128055878929</v>
      </c>
      <c r="I1186" s="31" t="n">
        <v>52.1</v>
      </c>
      <c r="J1186" s="2" t="s">
        <v>2899</v>
      </c>
      <c r="K1186" s="44" t="n">
        <v>0.448979591836735</v>
      </c>
      <c r="L1186" s="31" t="n">
        <v>99.5</v>
      </c>
      <c r="M1186" s="34" t="s">
        <v>822</v>
      </c>
      <c r="N1186" s="2" t="s">
        <v>24</v>
      </c>
      <c r="O1186" s="2" t="s">
        <v>24</v>
      </c>
      <c r="P1186" s="2" t="s">
        <v>22</v>
      </c>
      <c r="Q1186" s="2" t="s">
        <v>22</v>
      </c>
    </row>
    <row r="1187" customFormat="false" ht="15" hidden="false" customHeight="false" outlineLevel="0" collapsed="false">
      <c r="A1187" s="2" t="s">
        <v>1276</v>
      </c>
      <c r="B1187" s="2" t="s">
        <v>47</v>
      </c>
      <c r="C1187" s="13" t="s">
        <v>3170</v>
      </c>
      <c r="D1187" s="29" t="n">
        <v>50170</v>
      </c>
      <c r="E1187" s="2" t="s">
        <v>821</v>
      </c>
      <c r="F1187" s="36"/>
      <c r="G1187" s="31"/>
      <c r="H1187" s="32" t="n">
        <v>0.047827903091061</v>
      </c>
      <c r="I1187" s="31" t="n">
        <v>27.3</v>
      </c>
      <c r="J1187" s="2" t="s">
        <v>2886</v>
      </c>
      <c r="K1187" s="33" t="n">
        <v>0.0232479784366577</v>
      </c>
      <c r="L1187" s="31" t="n">
        <v>15.6</v>
      </c>
      <c r="M1187" s="39" t="s">
        <v>832</v>
      </c>
      <c r="N1187" s="2" t="s">
        <v>24</v>
      </c>
      <c r="O1187" s="2" t="s">
        <v>3171</v>
      </c>
      <c r="P1187" s="2" t="s">
        <v>24</v>
      </c>
      <c r="Q1187" s="2" t="s">
        <v>24</v>
      </c>
    </row>
    <row r="1188" customFormat="false" ht="15" hidden="false" customHeight="false" outlineLevel="0" collapsed="false">
      <c r="A1188" s="2" t="s">
        <v>3172</v>
      </c>
      <c r="B1188" s="2" t="s">
        <v>46</v>
      </c>
      <c r="C1188" s="13" t="s">
        <v>3173</v>
      </c>
      <c r="D1188" s="29" t="n">
        <v>216350</v>
      </c>
      <c r="E1188" s="2" t="s">
        <v>827</v>
      </c>
      <c r="F1188" s="30" t="n">
        <v>1.65119482320314</v>
      </c>
      <c r="G1188" s="31" t="n">
        <v>19.8</v>
      </c>
      <c r="H1188" s="32" t="n">
        <v>-0.071379517555155</v>
      </c>
      <c r="I1188" s="31" t="n">
        <v>3.2</v>
      </c>
      <c r="J1188" s="2" t="s">
        <v>2888</v>
      </c>
      <c r="K1188" s="38"/>
      <c r="L1188" s="31"/>
      <c r="M1188" s="39" t="s">
        <v>832</v>
      </c>
      <c r="N1188" s="2" t="s">
        <v>24</v>
      </c>
      <c r="O1188" s="2" t="s">
        <v>24</v>
      </c>
      <c r="P1188" s="2" t="s">
        <v>24</v>
      </c>
      <c r="Q1188" s="2"/>
    </row>
    <row r="1189" customFormat="false" ht="15" hidden="false" customHeight="false" outlineLevel="0" collapsed="false">
      <c r="A1189" s="2" t="s">
        <v>226</v>
      </c>
      <c r="B1189" s="2" t="s">
        <v>47</v>
      </c>
      <c r="C1189" s="13" t="s">
        <v>2396</v>
      </c>
      <c r="D1189" s="29" t="n">
        <v>99650</v>
      </c>
      <c r="E1189" s="2" t="s">
        <v>821</v>
      </c>
      <c r="F1189" s="30" t="n">
        <v>1.81782237832414</v>
      </c>
      <c r="G1189" s="31" t="n">
        <v>71.4</v>
      </c>
      <c r="H1189" s="32" t="n">
        <v>0.117528316698441</v>
      </c>
      <c r="I1189" s="31" t="n">
        <v>61.4</v>
      </c>
      <c r="J1189" s="2" t="s">
        <v>2886</v>
      </c>
      <c r="K1189" s="44" t="n">
        <v>0.0985084236506063</v>
      </c>
      <c r="L1189" s="31" t="n">
        <v>58.4</v>
      </c>
      <c r="M1189" s="34" t="s">
        <v>822</v>
      </c>
      <c r="N1189" s="2" t="s">
        <v>24</v>
      </c>
      <c r="O1189" s="2" t="s">
        <v>24</v>
      </c>
      <c r="P1189" s="2" t="s">
        <v>24</v>
      </c>
      <c r="Q1189" s="2" t="s">
        <v>22</v>
      </c>
    </row>
    <row r="1190" customFormat="false" ht="15" hidden="false" customHeight="false" outlineLevel="0" collapsed="false">
      <c r="A1190" s="2" t="s">
        <v>3174</v>
      </c>
      <c r="B1190" s="2" t="s">
        <v>45</v>
      </c>
      <c r="C1190" s="13" t="s">
        <v>3175</v>
      </c>
      <c r="D1190" s="29" t="n">
        <v>670</v>
      </c>
      <c r="E1190" s="2" t="s">
        <v>825</v>
      </c>
      <c r="F1190" s="30" t="n">
        <v>0.0955223880597015</v>
      </c>
      <c r="G1190" s="31" t="n">
        <v>1.7</v>
      </c>
      <c r="H1190" s="41" t="n">
        <v>0.0907590759075908</v>
      </c>
      <c r="I1190" s="31" t="n">
        <v>43.7</v>
      </c>
      <c r="J1190" s="2" t="s">
        <v>2899</v>
      </c>
      <c r="K1190" s="38"/>
      <c r="L1190" s="31"/>
      <c r="M1190" s="39" t="s">
        <v>832</v>
      </c>
      <c r="N1190" s="2" t="s">
        <v>24</v>
      </c>
      <c r="O1190" s="2" t="s">
        <v>24</v>
      </c>
      <c r="P1190" s="2" t="s">
        <v>22</v>
      </c>
      <c r="Q1190" s="2"/>
    </row>
    <row r="1191" customFormat="false" ht="15" hidden="false" customHeight="false" outlineLevel="0" collapsed="false">
      <c r="A1191" s="2" t="s">
        <v>570</v>
      </c>
      <c r="B1191" s="2" t="s">
        <v>45</v>
      </c>
      <c r="C1191" s="14" t="s">
        <v>1391</v>
      </c>
      <c r="D1191" s="42" t="n">
        <v>117080</v>
      </c>
      <c r="E1191" s="2" t="s">
        <v>827</v>
      </c>
      <c r="F1191" s="43" t="n">
        <v>0.397745131533994</v>
      </c>
      <c r="G1191" s="31" t="n">
        <v>29.1</v>
      </c>
      <c r="H1191" s="41" t="n">
        <v>0.036509791423209</v>
      </c>
      <c r="I1191" s="31" t="n">
        <v>23.6</v>
      </c>
      <c r="J1191" s="2" t="s">
        <v>2890</v>
      </c>
      <c r="K1191" s="44" t="n">
        <v>0.112275108175814</v>
      </c>
      <c r="L1191" s="31" t="n">
        <v>40.3</v>
      </c>
      <c r="M1191" s="34" t="s">
        <v>822</v>
      </c>
      <c r="N1191" s="2" t="s">
        <v>22</v>
      </c>
      <c r="O1191" s="2" t="s">
        <v>22</v>
      </c>
      <c r="P1191" s="2" t="s">
        <v>22</v>
      </c>
      <c r="Q1191" s="2" t="s">
        <v>22</v>
      </c>
    </row>
    <row r="1192" customFormat="false" ht="15" hidden="false" customHeight="false" outlineLevel="0" collapsed="false">
      <c r="A1192" s="2" t="s">
        <v>570</v>
      </c>
      <c r="B1192" s="2" t="s">
        <v>46</v>
      </c>
      <c r="C1192" s="13" t="s">
        <v>1816</v>
      </c>
      <c r="D1192" s="29" t="n">
        <v>7340</v>
      </c>
      <c r="E1192" s="2" t="s">
        <v>825</v>
      </c>
      <c r="F1192" s="30" t="n">
        <v>3.99223433242507</v>
      </c>
      <c r="G1192" s="31" t="n">
        <v>63.9</v>
      </c>
      <c r="H1192" s="32" t="n">
        <v>0.103759398496241</v>
      </c>
      <c r="I1192" s="31" t="n">
        <v>47.2</v>
      </c>
      <c r="J1192" s="2" t="s">
        <v>2905</v>
      </c>
      <c r="K1192" s="33" t="n">
        <v>0.120468692786525</v>
      </c>
      <c r="L1192" s="31" t="n">
        <v>45</v>
      </c>
      <c r="M1192" s="34" t="s">
        <v>822</v>
      </c>
      <c r="N1192" s="2" t="s">
        <v>24</v>
      </c>
      <c r="O1192" s="2" t="s">
        <v>24</v>
      </c>
      <c r="P1192" s="2" t="s">
        <v>24</v>
      </c>
      <c r="Q1192" s="2" t="s">
        <v>24</v>
      </c>
    </row>
    <row r="1193" customFormat="false" ht="15" hidden="false" customHeight="false" outlineLevel="0" collapsed="false">
      <c r="A1193" s="2" t="s">
        <v>570</v>
      </c>
      <c r="B1193" s="2" t="s">
        <v>47</v>
      </c>
      <c r="C1193" s="14" t="s">
        <v>2647</v>
      </c>
      <c r="D1193" s="42" t="n">
        <v>76933</v>
      </c>
      <c r="E1193" s="2" t="s">
        <v>821</v>
      </c>
      <c r="F1193" s="43" t="n">
        <v>0.899821922971937</v>
      </c>
      <c r="G1193" s="31" t="n">
        <v>34.2</v>
      </c>
      <c r="H1193" s="41" t="n">
        <v>0.297636918717425</v>
      </c>
      <c r="I1193" s="31" t="n">
        <v>100</v>
      </c>
      <c r="J1193" s="2" t="s">
        <v>2886</v>
      </c>
      <c r="K1193" s="44" t="n">
        <v>0.0270157938487116</v>
      </c>
      <c r="L1193" s="31" t="n">
        <v>17.4</v>
      </c>
      <c r="M1193" s="34" t="s">
        <v>822</v>
      </c>
      <c r="N1193" s="2" t="s">
        <v>22</v>
      </c>
      <c r="O1193" s="2" t="s">
        <v>22</v>
      </c>
      <c r="P1193" s="2" t="s">
        <v>22</v>
      </c>
      <c r="Q1193" s="2" t="s">
        <v>22</v>
      </c>
    </row>
    <row r="1194" customFormat="false" ht="15" hidden="false" customHeight="false" outlineLevel="0" collapsed="false">
      <c r="A1194" s="2" t="s">
        <v>488</v>
      </c>
      <c r="B1194" s="2" t="s">
        <v>45</v>
      </c>
      <c r="C1194" s="14" t="s">
        <v>1408</v>
      </c>
      <c r="D1194" s="42" t="n">
        <v>59393</v>
      </c>
      <c r="E1194" s="2" t="s">
        <v>821</v>
      </c>
      <c r="F1194" s="43" t="n">
        <v>0.382132574545822</v>
      </c>
      <c r="G1194" s="31" t="n">
        <v>27</v>
      </c>
      <c r="H1194" s="41" t="n">
        <v>0.0898398076958365</v>
      </c>
      <c r="I1194" s="31" t="n">
        <v>47.1</v>
      </c>
      <c r="J1194" s="2" t="s">
        <v>2883</v>
      </c>
      <c r="K1194" s="44" t="n">
        <v>0.2</v>
      </c>
      <c r="L1194" s="31" t="n">
        <v>73</v>
      </c>
      <c r="M1194" s="34" t="s">
        <v>822</v>
      </c>
      <c r="N1194" s="2" t="s">
        <v>22</v>
      </c>
      <c r="O1194" s="2" t="s">
        <v>22</v>
      </c>
      <c r="P1194" s="2" t="s">
        <v>22</v>
      </c>
      <c r="Q1194" s="2" t="s">
        <v>22</v>
      </c>
    </row>
    <row r="1195" customFormat="false" ht="15" hidden="false" customHeight="false" outlineLevel="0" collapsed="false">
      <c r="A1195" s="2" t="s">
        <v>488</v>
      </c>
      <c r="B1195" s="2" t="s">
        <v>46</v>
      </c>
      <c r="C1195" s="13" t="s">
        <v>1703</v>
      </c>
      <c r="D1195" s="29" t="n">
        <v>303830</v>
      </c>
      <c r="E1195" s="2" t="s">
        <v>827</v>
      </c>
      <c r="F1195" s="30" t="n">
        <v>6.33092189711352</v>
      </c>
      <c r="G1195" s="31" t="n">
        <v>81.7</v>
      </c>
      <c r="H1195" s="32" t="n">
        <v>0.11085517896969</v>
      </c>
      <c r="I1195" s="31" t="n">
        <v>68.2</v>
      </c>
      <c r="J1195" s="2" t="s">
        <v>2888</v>
      </c>
      <c r="K1195" s="33" t="n">
        <v>0.501228176751803</v>
      </c>
      <c r="L1195" s="31" t="n">
        <v>99.6</v>
      </c>
      <c r="M1195" s="34" t="s">
        <v>822</v>
      </c>
      <c r="N1195" s="2" t="s">
        <v>24</v>
      </c>
      <c r="O1195" s="2" t="s">
        <v>24</v>
      </c>
      <c r="P1195" s="2" t="s">
        <v>24</v>
      </c>
      <c r="Q1195" s="2" t="s">
        <v>24</v>
      </c>
    </row>
    <row r="1196" customFormat="false" ht="15" hidden="false" customHeight="false" outlineLevel="0" collapsed="false">
      <c r="A1196" s="2" t="s">
        <v>488</v>
      </c>
      <c r="B1196" s="2" t="s">
        <v>47</v>
      </c>
      <c r="C1196" s="13" t="s">
        <v>2604</v>
      </c>
      <c r="D1196" s="42" t="n">
        <v>19549</v>
      </c>
      <c r="E1196" s="2" t="s">
        <v>821</v>
      </c>
      <c r="F1196" s="43" t="n">
        <v>1.02649751905468</v>
      </c>
      <c r="G1196" s="31" t="n">
        <v>40.2</v>
      </c>
      <c r="H1196" s="41" t="n">
        <v>0.143483855872719</v>
      </c>
      <c r="I1196" s="31" t="n">
        <v>74.4</v>
      </c>
      <c r="J1196" s="2" t="s">
        <v>2886</v>
      </c>
      <c r="K1196" s="33" t="n">
        <v>0.120496894409938</v>
      </c>
      <c r="L1196" s="31" t="n">
        <v>65.8</v>
      </c>
      <c r="M1196" s="34" t="s">
        <v>822</v>
      </c>
      <c r="N1196" s="2" t="s">
        <v>22</v>
      </c>
      <c r="O1196" s="2" t="s">
        <v>22</v>
      </c>
      <c r="P1196" s="2" t="s">
        <v>22</v>
      </c>
      <c r="Q1196" s="2" t="s">
        <v>24</v>
      </c>
    </row>
    <row r="1197" customFormat="false" ht="15" hidden="false" customHeight="false" outlineLevel="0" collapsed="false">
      <c r="A1197" s="2" t="s">
        <v>3176</v>
      </c>
      <c r="B1197" s="2" t="s">
        <v>45</v>
      </c>
      <c r="C1197" s="13" t="s">
        <v>3177</v>
      </c>
      <c r="D1197" s="29" t="n">
        <v>2320</v>
      </c>
      <c r="E1197" s="2" t="s">
        <v>825</v>
      </c>
      <c r="F1197" s="30" t="n">
        <v>0.857327586206897</v>
      </c>
      <c r="G1197" s="31" t="n">
        <v>72.4</v>
      </c>
      <c r="H1197" s="37"/>
      <c r="I1197" s="31"/>
      <c r="J1197" s="2"/>
      <c r="K1197" s="33" t="n">
        <v>0.263888888888889</v>
      </c>
      <c r="L1197" s="31" t="n">
        <v>84.6</v>
      </c>
      <c r="M1197" s="39" t="s">
        <v>832</v>
      </c>
      <c r="N1197" s="2" t="s">
        <v>24</v>
      </c>
      <c r="O1197" s="2" t="s">
        <v>24</v>
      </c>
      <c r="P1197" s="2"/>
      <c r="Q1197" s="2" t="s">
        <v>24</v>
      </c>
    </row>
    <row r="1198" customFormat="false" ht="15" hidden="false" customHeight="false" outlineLevel="0" collapsed="false">
      <c r="A1198" s="2" t="s">
        <v>1998</v>
      </c>
      <c r="B1198" s="2" t="s">
        <v>45</v>
      </c>
      <c r="C1198" s="13" t="s">
        <v>3178</v>
      </c>
      <c r="D1198" s="29" t="n">
        <v>2890</v>
      </c>
      <c r="E1198" s="2" t="s">
        <v>825</v>
      </c>
      <c r="F1198" s="30" t="n">
        <v>0.432525951557093</v>
      </c>
      <c r="G1198" s="31" t="n">
        <v>32.5</v>
      </c>
      <c r="H1198" s="37"/>
      <c r="I1198" s="31"/>
      <c r="J1198" s="2"/>
      <c r="K1198" s="38"/>
      <c r="L1198" s="31"/>
      <c r="M1198" s="39" t="s">
        <v>832</v>
      </c>
      <c r="N1198" s="2" t="s">
        <v>24</v>
      </c>
      <c r="O1198" s="2" t="s">
        <v>24</v>
      </c>
      <c r="P1198" s="2"/>
      <c r="Q1198" s="2"/>
    </row>
    <row r="1199" customFormat="false" ht="15" hidden="false" customHeight="false" outlineLevel="0" collapsed="false">
      <c r="A1199" s="2" t="s">
        <v>1998</v>
      </c>
      <c r="B1199" s="2" t="s">
        <v>46</v>
      </c>
      <c r="C1199" s="13" t="s">
        <v>1999</v>
      </c>
      <c r="D1199" s="29" t="n">
        <v>36880</v>
      </c>
      <c r="E1199" s="2" t="s">
        <v>821</v>
      </c>
      <c r="F1199" s="30" t="n">
        <v>2.37852494577007</v>
      </c>
      <c r="G1199" s="31" t="n">
        <v>34.4</v>
      </c>
      <c r="H1199" s="32" t="n">
        <v>0.0979458172075022</v>
      </c>
      <c r="I1199" s="31" t="n">
        <v>56</v>
      </c>
      <c r="J1199" s="2" t="s">
        <v>2884</v>
      </c>
      <c r="K1199" s="33" t="n">
        <v>0.114925807390166</v>
      </c>
      <c r="L1199" s="31" t="n">
        <v>42.8</v>
      </c>
      <c r="M1199" s="34" t="s">
        <v>822</v>
      </c>
      <c r="N1199" s="2" t="s">
        <v>24</v>
      </c>
      <c r="O1199" s="2" t="s">
        <v>24</v>
      </c>
      <c r="P1199" s="2" t="s">
        <v>24</v>
      </c>
      <c r="Q1199" s="2" t="s">
        <v>24</v>
      </c>
    </row>
    <row r="1200" customFormat="false" ht="15" hidden="false" customHeight="false" outlineLevel="0" collapsed="false">
      <c r="A1200" s="2" t="s">
        <v>1998</v>
      </c>
      <c r="B1200" s="2" t="s">
        <v>47</v>
      </c>
      <c r="C1200" s="14" t="s">
        <v>2472</v>
      </c>
      <c r="D1200" s="42" t="n">
        <v>33830</v>
      </c>
      <c r="E1200" s="2" t="s">
        <v>821</v>
      </c>
      <c r="F1200" s="43" t="n">
        <v>1.49801950931126</v>
      </c>
      <c r="G1200" s="31" t="n">
        <v>59.8</v>
      </c>
      <c r="H1200" s="41" t="n">
        <v>0.0965964343598055</v>
      </c>
      <c r="I1200" s="31" t="n">
        <v>51</v>
      </c>
      <c r="J1200" s="2" t="s">
        <v>2886</v>
      </c>
      <c r="K1200" s="44" t="n">
        <v>0.160194174757282</v>
      </c>
      <c r="L1200" s="31" t="n">
        <v>76.2</v>
      </c>
      <c r="M1200" s="34" t="s">
        <v>822</v>
      </c>
      <c r="N1200" s="2" t="s">
        <v>22</v>
      </c>
      <c r="O1200" s="2" t="s">
        <v>22</v>
      </c>
      <c r="P1200" s="2" t="s">
        <v>22</v>
      </c>
      <c r="Q1200" s="2" t="s">
        <v>22</v>
      </c>
    </row>
    <row r="1201" customFormat="false" ht="15" hidden="false" customHeight="false" outlineLevel="0" collapsed="false">
      <c r="A1201" s="2" t="s">
        <v>344</v>
      </c>
      <c r="B1201" s="2" t="s">
        <v>45</v>
      </c>
      <c r="C1201" s="13" t="s">
        <v>995</v>
      </c>
      <c r="D1201" s="29" t="n">
        <v>8720</v>
      </c>
      <c r="E1201" s="2" t="s">
        <v>825</v>
      </c>
      <c r="F1201" s="30" t="n">
        <v>1.03623853211009</v>
      </c>
      <c r="G1201" s="31" t="n">
        <v>79.4</v>
      </c>
      <c r="H1201" s="41" t="n">
        <v>-0.0142905367390571</v>
      </c>
      <c r="I1201" s="31" t="n">
        <v>5.6</v>
      </c>
      <c r="J1201" s="2" t="s">
        <v>2899</v>
      </c>
      <c r="K1201" s="33" t="n">
        <v>0.141025641025641</v>
      </c>
      <c r="L1201" s="31" t="n">
        <v>53.4</v>
      </c>
      <c r="M1201" s="34" t="s">
        <v>822</v>
      </c>
      <c r="N1201" s="2" t="s">
        <v>24</v>
      </c>
      <c r="O1201" s="2" t="s">
        <v>24</v>
      </c>
      <c r="P1201" s="2" t="s">
        <v>22</v>
      </c>
      <c r="Q1201" s="2" t="s">
        <v>24</v>
      </c>
    </row>
    <row r="1202" customFormat="false" ht="15" hidden="false" customHeight="false" outlineLevel="0" collapsed="false">
      <c r="A1202" s="2" t="s">
        <v>344</v>
      </c>
      <c r="B1202" s="2" t="s">
        <v>46</v>
      </c>
      <c r="C1202" s="13" t="s">
        <v>1824</v>
      </c>
      <c r="D1202" s="29" t="n">
        <v>109790</v>
      </c>
      <c r="E1202" s="2" t="s">
        <v>827</v>
      </c>
      <c r="F1202" s="30" t="n">
        <v>3.9236906822115</v>
      </c>
      <c r="G1202" s="31" t="n">
        <v>62.3</v>
      </c>
      <c r="H1202" s="32" t="n">
        <v>0.110335760517799</v>
      </c>
      <c r="I1202" s="31" t="n">
        <v>67.5</v>
      </c>
      <c r="J1202" s="2" t="s">
        <v>2888</v>
      </c>
      <c r="K1202" s="33" t="n">
        <v>0.0572041737586028</v>
      </c>
      <c r="L1202" s="31" t="n">
        <v>14.6</v>
      </c>
      <c r="M1202" s="34" t="s">
        <v>822</v>
      </c>
      <c r="N1202" s="2" t="s">
        <v>24</v>
      </c>
      <c r="O1202" s="2" t="s">
        <v>24</v>
      </c>
      <c r="P1202" s="2" t="s">
        <v>24</v>
      </c>
      <c r="Q1202" s="2" t="s">
        <v>24</v>
      </c>
    </row>
    <row r="1203" customFormat="false" ht="15" hidden="false" customHeight="false" outlineLevel="0" collapsed="false">
      <c r="A1203" s="2" t="s">
        <v>344</v>
      </c>
      <c r="B1203" s="2" t="s">
        <v>47</v>
      </c>
      <c r="C1203" s="14" t="s">
        <v>2624</v>
      </c>
      <c r="D1203" s="42" t="n">
        <v>28908</v>
      </c>
      <c r="E1203" s="2" t="s">
        <v>821</v>
      </c>
      <c r="F1203" s="43" t="n">
        <v>0.966133942161339</v>
      </c>
      <c r="G1203" s="31" t="n">
        <v>37</v>
      </c>
      <c r="H1203" s="41" t="n">
        <v>0.0754064208920799</v>
      </c>
      <c r="I1203" s="31" t="n">
        <v>38.3</v>
      </c>
      <c r="J1203" s="2" t="s">
        <v>2886</v>
      </c>
      <c r="K1203" s="44" t="n">
        <v>0.111575428332637</v>
      </c>
      <c r="L1203" s="31" t="n">
        <v>62.9</v>
      </c>
      <c r="M1203" s="34" t="s">
        <v>822</v>
      </c>
      <c r="N1203" s="2" t="s">
        <v>22</v>
      </c>
      <c r="O1203" s="2" t="s">
        <v>22</v>
      </c>
      <c r="P1203" s="2" t="s">
        <v>22</v>
      </c>
      <c r="Q1203" s="2" t="s">
        <v>22</v>
      </c>
    </row>
    <row r="1204" customFormat="false" ht="15" hidden="false" customHeight="false" outlineLevel="0" collapsed="false">
      <c r="A1204" s="2" t="s">
        <v>1268</v>
      </c>
      <c r="B1204" s="2" t="s">
        <v>45</v>
      </c>
      <c r="C1204" s="13" t="s">
        <v>1269</v>
      </c>
      <c r="D1204" s="29" t="n">
        <v>86250</v>
      </c>
      <c r="E1204" s="2" t="s">
        <v>821</v>
      </c>
      <c r="F1204" s="30" t="n">
        <v>0.526655072463768</v>
      </c>
      <c r="G1204" s="31" t="n">
        <v>45</v>
      </c>
      <c r="H1204" s="32" t="n">
        <v>0.119257721256164</v>
      </c>
      <c r="I1204" s="31" t="n">
        <v>63.9</v>
      </c>
      <c r="J1204" s="2" t="s">
        <v>2883</v>
      </c>
      <c r="K1204" s="40" t="s">
        <v>857</v>
      </c>
      <c r="L1204" s="31"/>
      <c r="M1204" s="34" t="s">
        <v>822</v>
      </c>
      <c r="N1204" s="2" t="s">
        <v>24</v>
      </c>
      <c r="O1204" s="2" t="s">
        <v>24</v>
      </c>
      <c r="P1204" s="2" t="s">
        <v>24</v>
      </c>
      <c r="Q1204" s="2" t="s">
        <v>2885</v>
      </c>
    </row>
    <row r="1205" customFormat="false" ht="15" hidden="false" customHeight="false" outlineLevel="0" collapsed="false">
      <c r="A1205" s="2" t="s">
        <v>1268</v>
      </c>
      <c r="B1205" s="2" t="s">
        <v>46</v>
      </c>
      <c r="C1205" s="13" t="s">
        <v>3179</v>
      </c>
      <c r="D1205" s="29" t="n">
        <v>24980</v>
      </c>
      <c r="E1205" s="2" t="s">
        <v>821</v>
      </c>
      <c r="F1205" s="30" t="n">
        <v>6.73154523618895</v>
      </c>
      <c r="G1205" s="31" t="n">
        <v>84.3</v>
      </c>
      <c r="H1205" s="32" t="n">
        <v>0.130828429153463</v>
      </c>
      <c r="I1205" s="31" t="n">
        <v>73.1</v>
      </c>
      <c r="J1205" s="2" t="s">
        <v>2884</v>
      </c>
      <c r="K1205" s="38"/>
      <c r="L1205" s="31"/>
      <c r="M1205" s="39" t="s">
        <v>832</v>
      </c>
      <c r="N1205" s="2" t="s">
        <v>24</v>
      </c>
      <c r="O1205" s="2" t="s">
        <v>24</v>
      </c>
      <c r="P1205" s="2" t="s">
        <v>24</v>
      </c>
      <c r="Q1205" s="2"/>
    </row>
    <row r="1206" customFormat="false" ht="15" hidden="false" customHeight="false" outlineLevel="0" collapsed="false">
      <c r="A1206" s="2" t="s">
        <v>1268</v>
      </c>
      <c r="B1206" s="2" t="s">
        <v>47</v>
      </c>
      <c r="C1206" s="13" t="s">
        <v>2694</v>
      </c>
      <c r="D1206" s="29" t="n">
        <v>24350</v>
      </c>
      <c r="E1206" s="2" t="s">
        <v>821</v>
      </c>
      <c r="F1206" s="30" t="n">
        <v>0.775564681724846</v>
      </c>
      <c r="G1206" s="31" t="n">
        <v>26.6</v>
      </c>
      <c r="H1206" s="32" t="n">
        <v>0.0783879539415412</v>
      </c>
      <c r="I1206" s="31" t="n">
        <v>39.6</v>
      </c>
      <c r="J1206" s="2" t="s">
        <v>2886</v>
      </c>
      <c r="K1206" s="33" t="n">
        <v>0.109298531810767</v>
      </c>
      <c r="L1206" s="31" t="n">
        <v>62.2</v>
      </c>
      <c r="M1206" s="34" t="s">
        <v>822</v>
      </c>
      <c r="N1206" s="2" t="s">
        <v>24</v>
      </c>
      <c r="O1206" s="2" t="s">
        <v>24</v>
      </c>
      <c r="P1206" s="2" t="s">
        <v>24</v>
      </c>
      <c r="Q1206" s="2" t="s">
        <v>24</v>
      </c>
    </row>
    <row r="1207" customFormat="false" ht="15" hidden="false" customHeight="false" outlineLevel="0" collapsed="false">
      <c r="A1207" s="2" t="s">
        <v>3180</v>
      </c>
      <c r="B1207" s="2" t="s">
        <v>45</v>
      </c>
      <c r="C1207" s="16"/>
      <c r="D1207" s="35"/>
      <c r="E1207" s="2"/>
      <c r="F1207" s="36"/>
      <c r="G1207" s="31"/>
      <c r="H1207" s="37"/>
      <c r="I1207" s="31"/>
      <c r="J1207" s="2"/>
      <c r="K1207" s="38"/>
      <c r="L1207" s="31"/>
      <c r="M1207" s="39" t="s">
        <v>832</v>
      </c>
      <c r="N1207" s="2"/>
      <c r="O1207" s="2"/>
      <c r="P1207" s="2"/>
      <c r="Q1207" s="2"/>
    </row>
    <row r="1208" customFormat="false" ht="15" hidden="false" customHeight="false" outlineLevel="0" collapsed="false">
      <c r="A1208" s="2" t="s">
        <v>3180</v>
      </c>
      <c r="B1208" s="2" t="s">
        <v>46</v>
      </c>
      <c r="C1208" s="13" t="s">
        <v>3181</v>
      </c>
      <c r="D1208" s="29" t="n">
        <v>60310</v>
      </c>
      <c r="E1208" s="2" t="s">
        <v>821</v>
      </c>
      <c r="F1208" s="30" t="n">
        <v>1.09434587962195</v>
      </c>
      <c r="G1208" s="31" t="n">
        <v>7.9</v>
      </c>
      <c r="H1208" s="32" t="n">
        <v>0.162938681064404</v>
      </c>
      <c r="I1208" s="31" t="n">
        <v>83.3</v>
      </c>
      <c r="J1208" s="2" t="s">
        <v>2884</v>
      </c>
      <c r="K1208" s="38"/>
      <c r="L1208" s="31"/>
      <c r="M1208" s="39" t="s">
        <v>832</v>
      </c>
      <c r="N1208" s="2" t="s">
        <v>24</v>
      </c>
      <c r="O1208" s="2" t="s">
        <v>24</v>
      </c>
      <c r="P1208" s="2" t="s">
        <v>24</v>
      </c>
      <c r="Q1208" s="2"/>
    </row>
    <row r="1209" customFormat="false" ht="15" hidden="false" customHeight="false" outlineLevel="0" collapsed="false">
      <c r="A1209" s="2" t="s">
        <v>3182</v>
      </c>
      <c r="B1209" s="2" t="s">
        <v>45</v>
      </c>
      <c r="C1209" s="16"/>
      <c r="D1209" s="35"/>
      <c r="E1209" s="2"/>
      <c r="F1209" s="36"/>
      <c r="G1209" s="31"/>
      <c r="H1209" s="37"/>
      <c r="I1209" s="31"/>
      <c r="J1209" s="2"/>
      <c r="K1209" s="38"/>
      <c r="L1209" s="31"/>
      <c r="M1209" s="39" t="s">
        <v>832</v>
      </c>
      <c r="N1209" s="2"/>
      <c r="O1209" s="2"/>
      <c r="P1209" s="2"/>
      <c r="Q1209" s="2"/>
    </row>
    <row r="1210" customFormat="false" ht="15" hidden="false" customHeight="false" outlineLevel="0" collapsed="false">
      <c r="A1210" s="2" t="s">
        <v>2090</v>
      </c>
      <c r="B1210" s="2" t="s">
        <v>45</v>
      </c>
      <c r="C1210" s="13" t="s">
        <v>3183</v>
      </c>
      <c r="D1210" s="29" t="n">
        <v>4130</v>
      </c>
      <c r="E1210" s="2" t="s">
        <v>825</v>
      </c>
      <c r="F1210" s="30" t="n">
        <v>1.34043583535109</v>
      </c>
      <c r="G1210" s="31" t="n">
        <v>86.6</v>
      </c>
      <c r="H1210" s="37"/>
      <c r="I1210" s="31"/>
      <c r="J1210" s="2"/>
      <c r="K1210" s="33" t="n">
        <v>0.0134770889487871</v>
      </c>
      <c r="L1210" s="31" t="n">
        <v>3.3</v>
      </c>
      <c r="M1210" s="39" t="s">
        <v>832</v>
      </c>
      <c r="N1210" s="2" t="s">
        <v>24</v>
      </c>
      <c r="O1210" s="2" t="s">
        <v>24</v>
      </c>
      <c r="P1210" s="2"/>
      <c r="Q1210" s="2" t="s">
        <v>24</v>
      </c>
    </row>
    <row r="1211" customFormat="false" ht="15" hidden="false" customHeight="false" outlineLevel="0" collapsed="false">
      <c r="A1211" s="2" t="s">
        <v>2090</v>
      </c>
      <c r="B1211" s="2" t="s">
        <v>46</v>
      </c>
      <c r="C1211" s="13" t="s">
        <v>2091</v>
      </c>
      <c r="D1211" s="29" t="n">
        <v>1109910</v>
      </c>
      <c r="E1211" s="2" t="s">
        <v>935</v>
      </c>
      <c r="F1211" s="30" t="n">
        <v>1.6028506815868</v>
      </c>
      <c r="G1211" s="31" t="n">
        <v>18.7</v>
      </c>
      <c r="H1211" s="32" t="n">
        <v>0.129966912700433</v>
      </c>
      <c r="I1211" s="31" t="n">
        <v>75</v>
      </c>
      <c r="J1211" s="2" t="s">
        <v>2906</v>
      </c>
      <c r="K1211" s="33" t="n">
        <v>0.2230391818119</v>
      </c>
      <c r="L1211" s="31" t="n">
        <v>74.8</v>
      </c>
      <c r="M1211" s="34" t="s">
        <v>822</v>
      </c>
      <c r="N1211" s="2" t="s">
        <v>24</v>
      </c>
      <c r="O1211" s="2" t="s">
        <v>24</v>
      </c>
      <c r="P1211" s="2" t="s">
        <v>24</v>
      </c>
      <c r="Q1211" s="2" t="s">
        <v>24</v>
      </c>
    </row>
    <row r="1212" customFormat="false" ht="15" hidden="false" customHeight="false" outlineLevel="0" collapsed="false">
      <c r="A1212" s="2" t="s">
        <v>2090</v>
      </c>
      <c r="B1212" s="2" t="s">
        <v>47</v>
      </c>
      <c r="C1212" s="13" t="s">
        <v>2872</v>
      </c>
      <c r="D1212" s="29" t="n">
        <v>9980</v>
      </c>
      <c r="E1212" s="2" t="s">
        <v>825</v>
      </c>
      <c r="F1212" s="43" t="n">
        <v>0.181164486167982</v>
      </c>
      <c r="G1212" s="31" t="n">
        <v>0.2</v>
      </c>
      <c r="H1212" s="32" t="n">
        <v>0.0516332982086407</v>
      </c>
      <c r="I1212" s="31" t="n">
        <v>28.7</v>
      </c>
      <c r="J1212" s="2" t="s">
        <v>2889</v>
      </c>
      <c r="K1212" s="33" t="n">
        <v>0.165137614678899</v>
      </c>
      <c r="L1212" s="31" t="n">
        <v>77.6</v>
      </c>
      <c r="M1212" s="34" t="s">
        <v>822</v>
      </c>
      <c r="N1212" s="2" t="s">
        <v>24</v>
      </c>
      <c r="O1212" s="2" t="s">
        <v>22</v>
      </c>
      <c r="P1212" s="2" t="s">
        <v>24</v>
      </c>
      <c r="Q1212" s="2" t="s">
        <v>24</v>
      </c>
    </row>
    <row r="1213" customFormat="false" ht="15" hidden="false" customHeight="false" outlineLevel="0" collapsed="false">
      <c r="A1213" s="2" t="s">
        <v>224</v>
      </c>
      <c r="B1213" s="2" t="s">
        <v>45</v>
      </c>
      <c r="C1213" s="13" t="s">
        <v>1104</v>
      </c>
      <c r="D1213" s="29" t="n">
        <v>311390</v>
      </c>
      <c r="E1213" s="2" t="s">
        <v>827</v>
      </c>
      <c r="F1213" s="30" t="n">
        <v>0.756829056809788</v>
      </c>
      <c r="G1213" s="31" t="n">
        <v>66</v>
      </c>
      <c r="H1213" s="32" t="n">
        <v>0.0397689328168826</v>
      </c>
      <c r="I1213" s="31" t="n">
        <v>24.3</v>
      </c>
      <c r="J1213" s="2" t="s">
        <v>2890</v>
      </c>
      <c r="K1213" s="44" t="n">
        <v>0.0732100938967136</v>
      </c>
      <c r="L1213" s="31" t="n">
        <v>24</v>
      </c>
      <c r="M1213" s="34" t="s">
        <v>822</v>
      </c>
      <c r="N1213" s="2" t="s">
        <v>24</v>
      </c>
      <c r="O1213" s="2" t="s">
        <v>24</v>
      </c>
      <c r="P1213" s="2" t="s">
        <v>24</v>
      </c>
      <c r="Q1213" s="2" t="s">
        <v>22</v>
      </c>
    </row>
    <row r="1214" customFormat="false" ht="15" hidden="false" customHeight="false" outlineLevel="0" collapsed="false">
      <c r="A1214" s="2" t="s">
        <v>224</v>
      </c>
      <c r="B1214" s="2" t="s">
        <v>46</v>
      </c>
      <c r="C1214" s="13" t="s">
        <v>1731</v>
      </c>
      <c r="D1214" s="29" t="n">
        <v>194560</v>
      </c>
      <c r="E1214" s="2" t="s">
        <v>827</v>
      </c>
      <c r="F1214" s="30" t="n">
        <v>5.54848375822368</v>
      </c>
      <c r="G1214" s="31" t="n">
        <v>76.6</v>
      </c>
      <c r="H1214" s="32" t="n">
        <v>-0.15742064007622</v>
      </c>
      <c r="I1214" s="31" t="n">
        <v>0.6</v>
      </c>
      <c r="J1214" s="2" t="s">
        <v>2888</v>
      </c>
      <c r="K1214" s="33" t="n">
        <v>0.171029983115031</v>
      </c>
      <c r="L1214" s="31" t="n">
        <v>61.8</v>
      </c>
      <c r="M1214" s="34" t="s">
        <v>822</v>
      </c>
      <c r="N1214" s="2" t="s">
        <v>24</v>
      </c>
      <c r="O1214" s="2" t="s">
        <v>24</v>
      </c>
      <c r="P1214" s="2" t="s">
        <v>24</v>
      </c>
      <c r="Q1214" s="2" t="s">
        <v>24</v>
      </c>
    </row>
    <row r="1215" customFormat="false" ht="15" hidden="false" customHeight="false" outlineLevel="0" collapsed="false">
      <c r="A1215" s="2" t="s">
        <v>224</v>
      </c>
      <c r="B1215" s="2" t="s">
        <v>47</v>
      </c>
      <c r="C1215" s="13" t="s">
        <v>2395</v>
      </c>
      <c r="D1215" s="29" t="n">
        <v>19000</v>
      </c>
      <c r="E1215" s="2" t="s">
        <v>821</v>
      </c>
      <c r="F1215" s="30" t="n">
        <v>1.82557894736842</v>
      </c>
      <c r="G1215" s="31" t="n">
        <v>71.6</v>
      </c>
      <c r="H1215" s="32" t="n">
        <v>0.201771030993042</v>
      </c>
      <c r="I1215" s="31" t="n">
        <v>92.5</v>
      </c>
      <c r="J1215" s="2" t="s">
        <v>2886</v>
      </c>
      <c r="K1215" s="33" t="n">
        <v>0.0823170731707317</v>
      </c>
      <c r="L1215" s="31" t="n">
        <v>50.2</v>
      </c>
      <c r="M1215" s="34" t="s">
        <v>822</v>
      </c>
      <c r="N1215" s="2" t="s">
        <v>24</v>
      </c>
      <c r="O1215" s="2" t="s">
        <v>24</v>
      </c>
      <c r="P1215" s="2" t="s">
        <v>24</v>
      </c>
      <c r="Q1215" s="2" t="s">
        <v>24</v>
      </c>
    </row>
    <row r="1216" customFormat="false" ht="15" hidden="false" customHeight="false" outlineLevel="0" collapsed="false">
      <c r="A1216" s="2" t="s">
        <v>3184</v>
      </c>
      <c r="B1216" s="2" t="s">
        <v>47</v>
      </c>
      <c r="C1216" s="13" t="s">
        <v>3185</v>
      </c>
      <c r="D1216" s="29" t="n">
        <v>8250</v>
      </c>
      <c r="E1216" s="2" t="s">
        <v>825</v>
      </c>
      <c r="F1216" s="30" t="n">
        <v>1.34072727272727</v>
      </c>
      <c r="G1216" s="31" t="n">
        <v>53.6</v>
      </c>
      <c r="H1216" s="32" t="n">
        <v>0.0672703751617076</v>
      </c>
      <c r="I1216" s="31" t="n">
        <v>35</v>
      </c>
      <c r="J1216" s="2" t="s">
        <v>2889</v>
      </c>
      <c r="K1216" s="38"/>
      <c r="L1216" s="31"/>
      <c r="M1216" s="39" t="s">
        <v>832</v>
      </c>
      <c r="N1216" s="2" t="s">
        <v>24</v>
      </c>
      <c r="O1216" s="2" t="s">
        <v>24</v>
      </c>
      <c r="P1216" s="2" t="s">
        <v>24</v>
      </c>
      <c r="Q1216" s="2"/>
    </row>
    <row r="1217" customFormat="false" ht="15" hidden="false" customHeight="false" outlineLevel="0" collapsed="false">
      <c r="A1217" s="2" t="s">
        <v>2682</v>
      </c>
      <c r="B1217" s="2" t="s">
        <v>46</v>
      </c>
      <c r="C1217" s="13" t="s">
        <v>3186</v>
      </c>
      <c r="D1217" s="35"/>
      <c r="E1217" s="2"/>
      <c r="F1217" s="36"/>
      <c r="G1217" s="31"/>
      <c r="H1217" s="37"/>
      <c r="I1217" s="31"/>
      <c r="J1217" s="2"/>
      <c r="K1217" s="33" t="n">
        <v>0.0590888697571209</v>
      </c>
      <c r="L1217" s="31" t="n">
        <v>15.7</v>
      </c>
      <c r="M1217" s="39" t="s">
        <v>832</v>
      </c>
      <c r="N1217" s="2"/>
      <c r="O1217" s="2"/>
      <c r="P1217" s="2"/>
      <c r="Q1217" s="2" t="s">
        <v>24</v>
      </c>
    </row>
    <row r="1218" customFormat="false" ht="15" hidden="false" customHeight="false" outlineLevel="0" collapsed="false">
      <c r="A1218" s="2" t="s">
        <v>2682</v>
      </c>
      <c r="B1218" s="2" t="s">
        <v>47</v>
      </c>
      <c r="C1218" s="14" t="s">
        <v>2683</v>
      </c>
      <c r="D1218" s="42" t="n">
        <v>26909</v>
      </c>
      <c r="E1218" s="2" t="s">
        <v>821</v>
      </c>
      <c r="F1218" s="43" t="n">
        <v>0.792634434575793</v>
      </c>
      <c r="G1218" s="31" t="n">
        <v>28.6</v>
      </c>
      <c r="H1218" s="41" t="n">
        <v>0.197019572953737</v>
      </c>
      <c r="I1218" s="31" t="n">
        <v>90.9</v>
      </c>
      <c r="J1218" s="2" t="s">
        <v>2886</v>
      </c>
      <c r="K1218" s="44" t="n">
        <v>0.0390879478827362</v>
      </c>
      <c r="L1218" s="31" t="n">
        <v>25.4</v>
      </c>
      <c r="M1218" s="34" t="s">
        <v>822</v>
      </c>
      <c r="N1218" s="2" t="s">
        <v>22</v>
      </c>
      <c r="O1218" s="2" t="s">
        <v>22</v>
      </c>
      <c r="P1218" s="2" t="s">
        <v>22</v>
      </c>
      <c r="Q1218" s="2" t="s">
        <v>22</v>
      </c>
    </row>
    <row r="1219" customFormat="false" ht="15" hidden="false" customHeight="false" outlineLevel="0" collapsed="false">
      <c r="A1219" s="2" t="s">
        <v>2078</v>
      </c>
      <c r="B1219" s="2" t="s">
        <v>45</v>
      </c>
      <c r="C1219" s="13" t="s">
        <v>3187</v>
      </c>
      <c r="D1219" s="29" t="n">
        <v>143990</v>
      </c>
      <c r="E1219" s="2" t="s">
        <v>827</v>
      </c>
      <c r="F1219" s="30" t="n">
        <v>0.87522050142371</v>
      </c>
      <c r="G1219" s="31" t="n">
        <v>73.7</v>
      </c>
      <c r="H1219" s="32" t="n">
        <v>0.0121608322789259</v>
      </c>
      <c r="I1219" s="31" t="n">
        <v>16.4</v>
      </c>
      <c r="J1219" s="2" t="s">
        <v>2890</v>
      </c>
      <c r="K1219" s="38"/>
      <c r="L1219" s="31"/>
      <c r="M1219" s="39" t="s">
        <v>832</v>
      </c>
      <c r="N1219" s="2" t="s">
        <v>24</v>
      </c>
      <c r="O1219" s="2" t="s">
        <v>24</v>
      </c>
      <c r="P1219" s="2" t="s">
        <v>24</v>
      </c>
      <c r="Q1219" s="2"/>
    </row>
    <row r="1220" customFormat="false" ht="15" hidden="false" customHeight="false" outlineLevel="0" collapsed="false">
      <c r="A1220" s="2" t="s">
        <v>2078</v>
      </c>
      <c r="B1220" s="2" t="s">
        <v>46</v>
      </c>
      <c r="C1220" s="13" t="s">
        <v>2079</v>
      </c>
      <c r="D1220" s="29" t="n">
        <v>12540</v>
      </c>
      <c r="E1220" s="2" t="s">
        <v>821</v>
      </c>
      <c r="F1220" s="30" t="n">
        <v>1.69904306220096</v>
      </c>
      <c r="G1220" s="31" t="n">
        <v>21</v>
      </c>
      <c r="H1220" s="41" t="n">
        <v>0.102281273502131</v>
      </c>
      <c r="I1220" s="31" t="n">
        <v>59.3</v>
      </c>
      <c r="J1220" s="2" t="s">
        <v>2884</v>
      </c>
      <c r="K1220" s="33" t="n">
        <v>0.0848930481283423</v>
      </c>
      <c r="L1220" s="31" t="n">
        <v>28.9</v>
      </c>
      <c r="M1220" s="34" t="s">
        <v>822</v>
      </c>
      <c r="N1220" s="2" t="s">
        <v>24</v>
      </c>
      <c r="O1220" s="2" t="s">
        <v>24</v>
      </c>
      <c r="P1220" s="2" t="s">
        <v>22</v>
      </c>
      <c r="Q1220" s="2" t="s">
        <v>24</v>
      </c>
    </row>
    <row r="1221" customFormat="false" ht="15" hidden="false" customHeight="false" outlineLevel="0" collapsed="false">
      <c r="A1221" s="2" t="s">
        <v>2078</v>
      </c>
      <c r="B1221" s="2" t="s">
        <v>47</v>
      </c>
      <c r="C1221" s="14" t="s">
        <v>2782</v>
      </c>
      <c r="D1221" s="42" t="n">
        <v>72737</v>
      </c>
      <c r="E1221" s="2" t="s">
        <v>821</v>
      </c>
      <c r="F1221" s="43" t="n">
        <v>0.527516944608659</v>
      </c>
      <c r="G1221" s="31" t="n">
        <v>14.6</v>
      </c>
      <c r="H1221" s="41" t="n">
        <v>0.0827503051594272</v>
      </c>
      <c r="I1221" s="31" t="n">
        <v>41.6</v>
      </c>
      <c r="J1221" s="2" t="s">
        <v>2886</v>
      </c>
      <c r="K1221" s="44" t="n">
        <v>0.513633481293595</v>
      </c>
      <c r="L1221" s="31" t="n">
        <v>99.8</v>
      </c>
      <c r="M1221" s="34" t="s">
        <v>822</v>
      </c>
      <c r="N1221" s="2" t="s">
        <v>22</v>
      </c>
      <c r="O1221" s="2" t="s">
        <v>22</v>
      </c>
      <c r="P1221" s="2" t="s">
        <v>22</v>
      </c>
      <c r="Q1221" s="2" t="s">
        <v>22</v>
      </c>
    </row>
    <row r="1222" customFormat="false" ht="15" hidden="false" customHeight="false" outlineLevel="0" collapsed="false">
      <c r="A1222" s="2" t="s">
        <v>526</v>
      </c>
      <c r="B1222" s="2" t="s">
        <v>46</v>
      </c>
      <c r="C1222" s="13" t="s">
        <v>1919</v>
      </c>
      <c r="D1222" s="29" t="n">
        <v>831600</v>
      </c>
      <c r="E1222" s="2" t="s">
        <v>827</v>
      </c>
      <c r="F1222" s="43" t="n">
        <v>2.95628776697948</v>
      </c>
      <c r="G1222" s="31" t="n">
        <v>45.8</v>
      </c>
      <c r="H1222" s="32" t="n">
        <v>0.103649635036496</v>
      </c>
      <c r="I1222" s="31" t="n">
        <v>64.3</v>
      </c>
      <c r="J1222" s="2" t="s">
        <v>2888</v>
      </c>
      <c r="K1222" s="33" t="n">
        <v>0.23791681046525</v>
      </c>
      <c r="L1222" s="31" t="n">
        <v>78.6</v>
      </c>
      <c r="M1222" s="34" t="s">
        <v>822</v>
      </c>
      <c r="N1222" s="2" t="s">
        <v>24</v>
      </c>
      <c r="O1222" s="2" t="s">
        <v>22</v>
      </c>
      <c r="P1222" s="2" t="s">
        <v>24</v>
      </c>
      <c r="Q1222" s="2" t="s">
        <v>24</v>
      </c>
    </row>
    <row r="1223" customFormat="false" ht="15" hidden="false" customHeight="false" outlineLevel="0" collapsed="false">
      <c r="A1223" s="2" t="s">
        <v>1226</v>
      </c>
      <c r="B1223" s="2" t="s">
        <v>45</v>
      </c>
      <c r="C1223" s="13" t="s">
        <v>1227</v>
      </c>
      <c r="D1223" s="29" t="n">
        <v>200360</v>
      </c>
      <c r="E1223" s="2" t="s">
        <v>827</v>
      </c>
      <c r="F1223" s="30" t="n">
        <v>0.565337392693152</v>
      </c>
      <c r="G1223" s="31" t="n">
        <v>50.5</v>
      </c>
      <c r="H1223" s="32" t="n">
        <v>0.120895104895105</v>
      </c>
      <c r="I1223" s="31" t="n">
        <v>69.3</v>
      </c>
      <c r="J1223" s="2" t="s">
        <v>2890</v>
      </c>
      <c r="K1223" s="33" t="n">
        <v>0.13753459655099</v>
      </c>
      <c r="L1223" s="31" t="n">
        <v>52.2</v>
      </c>
      <c r="M1223" s="34" t="s">
        <v>822</v>
      </c>
      <c r="N1223" s="2" t="s">
        <v>24</v>
      </c>
      <c r="O1223" s="2" t="s">
        <v>24</v>
      </c>
      <c r="P1223" s="2" t="s">
        <v>24</v>
      </c>
      <c r="Q1223" s="2" t="s">
        <v>24</v>
      </c>
    </row>
    <row r="1224" customFormat="false" ht="15" hidden="false" customHeight="false" outlineLevel="0" collapsed="false">
      <c r="A1224" s="2" t="s">
        <v>1226</v>
      </c>
      <c r="B1224" s="2" t="s">
        <v>46</v>
      </c>
      <c r="C1224" s="16"/>
      <c r="D1224" s="35"/>
      <c r="E1224" s="2"/>
      <c r="F1224" s="36"/>
      <c r="G1224" s="31"/>
      <c r="H1224" s="37"/>
      <c r="I1224" s="31"/>
      <c r="J1224" s="2"/>
      <c r="K1224" s="38"/>
      <c r="L1224" s="31"/>
      <c r="M1224" s="39" t="s">
        <v>832</v>
      </c>
      <c r="N1224" s="2"/>
      <c r="O1224" s="2"/>
      <c r="P1224" s="2"/>
      <c r="Q1224" s="2"/>
    </row>
    <row r="1225" customFormat="false" ht="15" hidden="false" customHeight="false" outlineLevel="0" collapsed="false">
      <c r="A1225" s="2" t="s">
        <v>1226</v>
      </c>
      <c r="B1225" s="2" t="s">
        <v>47</v>
      </c>
      <c r="C1225" s="14" t="s">
        <v>2479</v>
      </c>
      <c r="D1225" s="42" t="n">
        <v>134468</v>
      </c>
      <c r="E1225" s="2" t="s">
        <v>827</v>
      </c>
      <c r="F1225" s="43" t="n">
        <v>1.46414016717732</v>
      </c>
      <c r="G1225" s="31" t="n">
        <v>58.4</v>
      </c>
      <c r="H1225" s="41" t="n">
        <v>0.10727019705042</v>
      </c>
      <c r="I1225" s="31" t="n">
        <v>63.4</v>
      </c>
      <c r="J1225" s="2" t="s">
        <v>2897</v>
      </c>
      <c r="K1225" s="44" t="n">
        <v>0.214306915998813</v>
      </c>
      <c r="L1225" s="31" t="n">
        <v>87.8</v>
      </c>
      <c r="M1225" s="34" t="s">
        <v>822</v>
      </c>
      <c r="N1225" s="2" t="s">
        <v>22</v>
      </c>
      <c r="O1225" s="2" t="s">
        <v>22</v>
      </c>
      <c r="P1225" s="2" t="s">
        <v>22</v>
      </c>
      <c r="Q1225" s="2" t="s">
        <v>22</v>
      </c>
    </row>
    <row r="1226" customFormat="false" ht="15" hidden="false" customHeight="false" outlineLevel="0" collapsed="false">
      <c r="A1226" s="2" t="s">
        <v>258</v>
      </c>
      <c r="B1226" s="2" t="s">
        <v>46</v>
      </c>
      <c r="C1226" s="13" t="s">
        <v>1791</v>
      </c>
      <c r="D1226" s="29" t="n">
        <v>66740</v>
      </c>
      <c r="E1226" s="2" t="s">
        <v>821</v>
      </c>
      <c r="F1226" s="30" t="n">
        <v>4.25052442313455</v>
      </c>
      <c r="G1226" s="31" t="n">
        <v>67.2</v>
      </c>
      <c r="H1226" s="32" t="n">
        <v>-0.0201145206283952</v>
      </c>
      <c r="I1226" s="31" t="n">
        <v>8.4</v>
      </c>
      <c r="J1226" s="2" t="s">
        <v>2884</v>
      </c>
      <c r="K1226" s="33" t="n">
        <v>0.0888877981741435</v>
      </c>
      <c r="L1226" s="31" t="n">
        <v>32.2</v>
      </c>
      <c r="M1226" s="34" t="s">
        <v>822</v>
      </c>
      <c r="N1226" s="2" t="s">
        <v>24</v>
      </c>
      <c r="O1226" s="2" t="s">
        <v>24</v>
      </c>
      <c r="P1226" s="2" t="s">
        <v>24</v>
      </c>
      <c r="Q1226" s="2" t="s">
        <v>24</v>
      </c>
    </row>
    <row r="1227" customFormat="false" ht="15" hidden="false" customHeight="false" outlineLevel="0" collapsed="false">
      <c r="A1227" s="2" t="s">
        <v>242</v>
      </c>
      <c r="B1227" s="2" t="s">
        <v>46</v>
      </c>
      <c r="C1227" s="13" t="s">
        <v>1785</v>
      </c>
      <c r="D1227" s="29" t="n">
        <v>498970</v>
      </c>
      <c r="E1227" s="2" t="s">
        <v>827</v>
      </c>
      <c r="F1227" s="30" t="n">
        <v>4.28875082670301</v>
      </c>
      <c r="G1227" s="31" t="n">
        <v>68.2</v>
      </c>
      <c r="H1227" s="32" t="n">
        <v>-0.0377962473725823</v>
      </c>
      <c r="I1227" s="31" t="n">
        <v>6.4</v>
      </c>
      <c r="J1227" s="2" t="s">
        <v>2888</v>
      </c>
      <c r="K1227" s="44" t="n">
        <v>0.164001051228624</v>
      </c>
      <c r="L1227" s="31" t="n">
        <v>59.8</v>
      </c>
      <c r="M1227" s="34" t="s">
        <v>822</v>
      </c>
      <c r="N1227" s="2" t="s">
        <v>24</v>
      </c>
      <c r="O1227" s="2" t="s">
        <v>24</v>
      </c>
      <c r="P1227" s="2" t="s">
        <v>24</v>
      </c>
      <c r="Q1227" s="2" t="s">
        <v>22</v>
      </c>
    </row>
    <row r="1228" customFormat="false" ht="15" hidden="false" customHeight="false" outlineLevel="0" collapsed="false">
      <c r="A1228" s="2" t="s">
        <v>560</v>
      </c>
      <c r="B1228" s="2" t="s">
        <v>47</v>
      </c>
      <c r="C1228" s="13" t="s">
        <v>2586</v>
      </c>
      <c r="D1228" s="29" t="n">
        <v>21170</v>
      </c>
      <c r="E1228" s="2" t="s">
        <v>821</v>
      </c>
      <c r="F1228" s="30" t="n">
        <v>1.1118091639112</v>
      </c>
      <c r="G1228" s="31" t="n">
        <v>43</v>
      </c>
      <c r="H1228" s="32" t="n">
        <v>0.108376963350785</v>
      </c>
      <c r="I1228" s="31" t="n">
        <v>56.8</v>
      </c>
      <c r="J1228" s="2" t="s">
        <v>2886</v>
      </c>
      <c r="K1228" s="44" t="n">
        <v>0.0980662983425414</v>
      </c>
      <c r="L1228" s="31" t="n">
        <v>58.1</v>
      </c>
      <c r="M1228" s="34" t="s">
        <v>822</v>
      </c>
      <c r="N1228" s="2" t="s">
        <v>24</v>
      </c>
      <c r="O1228" s="2" t="s">
        <v>24</v>
      </c>
      <c r="P1228" s="2" t="s">
        <v>24</v>
      </c>
      <c r="Q1228" s="2" t="s">
        <v>22</v>
      </c>
    </row>
    <row r="1229" customFormat="false" ht="15" hidden="false" customHeight="false" outlineLevel="0" collapsed="false">
      <c r="A1229" s="2" t="s">
        <v>1884</v>
      </c>
      <c r="B1229" s="2" t="s">
        <v>45</v>
      </c>
      <c r="C1229" s="16"/>
      <c r="D1229" s="35"/>
      <c r="E1229" s="2"/>
      <c r="F1229" s="36"/>
      <c r="G1229" s="31"/>
      <c r="H1229" s="37"/>
      <c r="I1229" s="31"/>
      <c r="J1229" s="2"/>
      <c r="K1229" s="38"/>
      <c r="L1229" s="31"/>
      <c r="M1229" s="39" t="s">
        <v>832</v>
      </c>
      <c r="N1229" s="2"/>
      <c r="O1229" s="2"/>
      <c r="P1229" s="2"/>
      <c r="Q1229" s="2"/>
    </row>
    <row r="1230" customFormat="false" ht="15" hidden="false" customHeight="false" outlineLevel="0" collapsed="false">
      <c r="A1230" s="2" t="s">
        <v>1884</v>
      </c>
      <c r="B1230" s="2" t="s">
        <v>46</v>
      </c>
      <c r="C1230" s="13" t="s">
        <v>1885</v>
      </c>
      <c r="D1230" s="29" t="n">
        <v>168540</v>
      </c>
      <c r="E1230" s="2" t="s">
        <v>827</v>
      </c>
      <c r="F1230" s="30" t="n">
        <v>3.31201495194019</v>
      </c>
      <c r="G1230" s="31" t="n">
        <v>52.7</v>
      </c>
      <c r="H1230" s="32" t="n">
        <v>0.184898762654668</v>
      </c>
      <c r="I1230" s="31" t="n">
        <v>94.9</v>
      </c>
      <c r="J1230" s="2" t="s">
        <v>2888</v>
      </c>
      <c r="K1230" s="33" t="n">
        <v>0.0528769976006157</v>
      </c>
      <c r="L1230" s="31" t="n">
        <v>13</v>
      </c>
      <c r="M1230" s="34" t="s">
        <v>822</v>
      </c>
      <c r="N1230" s="2" t="s">
        <v>24</v>
      </c>
      <c r="O1230" s="2" t="s">
        <v>24</v>
      </c>
      <c r="P1230" s="2" t="s">
        <v>24</v>
      </c>
      <c r="Q1230" s="2" t="s">
        <v>24</v>
      </c>
    </row>
    <row r="1231" customFormat="false" ht="15" hidden="false" customHeight="false" outlineLevel="0" collapsed="false">
      <c r="A1231" s="2" t="s">
        <v>1884</v>
      </c>
      <c r="B1231" s="2" t="s">
        <v>47</v>
      </c>
      <c r="C1231" s="14" t="s">
        <v>2320</v>
      </c>
      <c r="D1231" s="42" t="n">
        <v>44004</v>
      </c>
      <c r="E1231" s="2" t="s">
        <v>821</v>
      </c>
      <c r="F1231" s="43" t="n">
        <v>2.48122897918371</v>
      </c>
      <c r="G1231" s="31" t="n">
        <v>84.3</v>
      </c>
      <c r="H1231" s="41" t="n">
        <v>0.124645385539397</v>
      </c>
      <c r="I1231" s="31" t="n">
        <v>64.3</v>
      </c>
      <c r="J1231" s="2" t="s">
        <v>2886</v>
      </c>
      <c r="K1231" s="44" t="n">
        <v>0.0604504148557882</v>
      </c>
      <c r="L1231" s="31" t="n">
        <v>38.4</v>
      </c>
      <c r="M1231" s="34" t="s">
        <v>822</v>
      </c>
      <c r="N1231" s="2" t="s">
        <v>22</v>
      </c>
      <c r="O1231" s="2" t="s">
        <v>22</v>
      </c>
      <c r="P1231" s="2" t="s">
        <v>22</v>
      </c>
      <c r="Q1231" s="2" t="s">
        <v>22</v>
      </c>
    </row>
    <row r="1232" customFormat="false" ht="15" hidden="false" customHeight="false" outlineLevel="0" collapsed="false">
      <c r="A1232" s="2" t="s">
        <v>3188</v>
      </c>
      <c r="B1232" s="2" t="s">
        <v>47</v>
      </c>
      <c r="C1232" s="16"/>
      <c r="D1232" s="35"/>
      <c r="E1232" s="2"/>
      <c r="F1232" s="36"/>
      <c r="G1232" s="31"/>
      <c r="H1232" s="37"/>
      <c r="I1232" s="31"/>
      <c r="J1232" s="2"/>
      <c r="K1232" s="38"/>
      <c r="L1232" s="31"/>
      <c r="M1232" s="39" t="s">
        <v>832</v>
      </c>
      <c r="N1232" s="2"/>
      <c r="O1232" s="2"/>
      <c r="P1232" s="2"/>
      <c r="Q1232" s="2"/>
    </row>
    <row r="1233" customFormat="false" ht="15" hidden="false" customHeight="false" outlineLevel="0" collapsed="false">
      <c r="A1233" s="2" t="s">
        <v>1705</v>
      </c>
      <c r="B1233" s="2" t="s">
        <v>45</v>
      </c>
      <c r="C1233" s="15" t="s">
        <v>3189</v>
      </c>
      <c r="D1233" s="46" t="n">
        <v>38976</v>
      </c>
      <c r="E1233" s="2" t="s">
        <v>821</v>
      </c>
      <c r="F1233" s="47" t="n">
        <v>0.933471880131363</v>
      </c>
      <c r="G1233" s="31" t="n">
        <v>76.6</v>
      </c>
      <c r="H1233" s="48" t="n">
        <v>0.119195979899498</v>
      </c>
      <c r="I1233" s="31" t="n">
        <v>63.6</v>
      </c>
      <c r="J1233" s="2" t="s">
        <v>2883</v>
      </c>
      <c r="K1233" s="38"/>
      <c r="L1233" s="31"/>
      <c r="M1233" s="39" t="s">
        <v>832</v>
      </c>
      <c r="N1233" s="2" t="s">
        <v>19</v>
      </c>
      <c r="O1233" s="2" t="s">
        <v>19</v>
      </c>
      <c r="P1233" s="2" t="s">
        <v>19</v>
      </c>
      <c r="Q1233" s="2"/>
    </row>
    <row r="1234" customFormat="false" ht="15" hidden="false" customHeight="false" outlineLevel="0" collapsed="false">
      <c r="A1234" s="2" t="s">
        <v>1705</v>
      </c>
      <c r="B1234" s="2" t="s">
        <v>46</v>
      </c>
      <c r="C1234" s="13" t="s">
        <v>1706</v>
      </c>
      <c r="D1234" s="29" t="n">
        <v>402170</v>
      </c>
      <c r="E1234" s="2" t="s">
        <v>827</v>
      </c>
      <c r="F1234" s="30" t="n">
        <v>6.32027998110252</v>
      </c>
      <c r="G1234" s="31" t="n">
        <v>81.5</v>
      </c>
      <c r="H1234" s="32" t="n">
        <v>0.00532446755324468</v>
      </c>
      <c r="I1234" s="31" t="n">
        <v>14</v>
      </c>
      <c r="J1234" s="2" t="s">
        <v>2888</v>
      </c>
      <c r="K1234" s="33" t="n">
        <v>0.409158674942111</v>
      </c>
      <c r="L1234" s="31" t="n">
        <v>97.4</v>
      </c>
      <c r="M1234" s="34" t="s">
        <v>822</v>
      </c>
      <c r="N1234" s="2" t="s">
        <v>24</v>
      </c>
      <c r="O1234" s="2" t="s">
        <v>24</v>
      </c>
      <c r="P1234" s="2" t="s">
        <v>24</v>
      </c>
      <c r="Q1234" s="2" t="s">
        <v>24</v>
      </c>
    </row>
    <row r="1235" customFormat="false" ht="15" hidden="false" customHeight="false" outlineLevel="0" collapsed="false">
      <c r="A1235" s="2" t="s">
        <v>802</v>
      </c>
      <c r="B1235" s="2" t="s">
        <v>47</v>
      </c>
      <c r="C1235" s="14" t="s">
        <v>2857</v>
      </c>
      <c r="D1235" s="42" t="n">
        <v>73905</v>
      </c>
      <c r="E1235" s="2" t="s">
        <v>821</v>
      </c>
      <c r="F1235" s="43" t="n">
        <v>0.2844327176781</v>
      </c>
      <c r="G1235" s="31" t="n">
        <v>2.8</v>
      </c>
      <c r="H1235" s="41" t="n">
        <v>0.061030235162374</v>
      </c>
      <c r="I1235" s="31" t="n">
        <v>33.1</v>
      </c>
      <c r="J1235" s="2" t="s">
        <v>2886</v>
      </c>
      <c r="K1235" s="45" t="n">
        <v>0.019672131147541</v>
      </c>
      <c r="L1235" s="31" t="n">
        <v>13.3</v>
      </c>
      <c r="M1235" s="34" t="s">
        <v>822</v>
      </c>
      <c r="N1235" s="2" t="s">
        <v>22</v>
      </c>
      <c r="O1235" s="2" t="s">
        <v>22</v>
      </c>
      <c r="P1235" s="2" t="s">
        <v>22</v>
      </c>
      <c r="Q1235" s="2" t="s">
        <v>19</v>
      </c>
    </row>
    <row r="1236" customFormat="false" ht="15" hidden="false" customHeight="false" outlineLevel="0" collapsed="false">
      <c r="A1236" s="2" t="s">
        <v>2489</v>
      </c>
      <c r="B1236" s="2" t="s">
        <v>45</v>
      </c>
      <c r="C1236" s="15" t="s">
        <v>3190</v>
      </c>
      <c r="D1236" s="46" t="n">
        <v>7429</v>
      </c>
      <c r="E1236" s="2" t="s">
        <v>825</v>
      </c>
      <c r="F1236" s="47" t="n">
        <v>0.922062188719882</v>
      </c>
      <c r="G1236" s="31" t="n">
        <v>76.2</v>
      </c>
      <c r="H1236" s="48" t="n">
        <v>0.172136320605869</v>
      </c>
      <c r="I1236" s="31" t="n">
        <v>90.1</v>
      </c>
      <c r="J1236" s="2" t="s">
        <v>2899</v>
      </c>
      <c r="K1236" s="38"/>
      <c r="L1236" s="31"/>
      <c r="M1236" s="39" t="s">
        <v>832</v>
      </c>
      <c r="N1236" s="2" t="s">
        <v>19</v>
      </c>
      <c r="O1236" s="2" t="s">
        <v>19</v>
      </c>
      <c r="P1236" s="2" t="s">
        <v>19</v>
      </c>
      <c r="Q1236" s="2"/>
    </row>
    <row r="1237" customFormat="false" ht="15" hidden="false" customHeight="false" outlineLevel="0" collapsed="false">
      <c r="A1237" s="2" t="s">
        <v>2489</v>
      </c>
      <c r="B1237" s="2" t="s">
        <v>47</v>
      </c>
      <c r="C1237" s="13" t="s">
        <v>2490</v>
      </c>
      <c r="D1237" s="29" t="n">
        <v>2310</v>
      </c>
      <c r="E1237" s="2" t="s">
        <v>825</v>
      </c>
      <c r="F1237" s="30" t="n">
        <v>1.41861471861472</v>
      </c>
      <c r="G1237" s="31" t="n">
        <v>57</v>
      </c>
      <c r="H1237" s="41" t="n">
        <v>0.243258426966292</v>
      </c>
      <c r="I1237" s="31" t="n">
        <v>96.2</v>
      </c>
      <c r="J1237" s="2" t="s">
        <v>2889</v>
      </c>
      <c r="K1237" s="33" t="n">
        <v>0.183908045977012</v>
      </c>
      <c r="L1237" s="31" t="n">
        <v>81</v>
      </c>
      <c r="M1237" s="34" t="s">
        <v>822</v>
      </c>
      <c r="N1237" s="2" t="s">
        <v>24</v>
      </c>
      <c r="O1237" s="2" t="s">
        <v>24</v>
      </c>
      <c r="P1237" s="2" t="s">
        <v>22</v>
      </c>
      <c r="Q1237" s="2" t="s">
        <v>24</v>
      </c>
    </row>
    <row r="1238" customFormat="false" ht="15" hidden="false" customHeight="false" outlineLevel="0" collapsed="false">
      <c r="A1238" s="2" t="s">
        <v>1120</v>
      </c>
      <c r="B1238" s="2" t="s">
        <v>45</v>
      </c>
      <c r="C1238" s="13" t="s">
        <v>1121</v>
      </c>
      <c r="D1238" s="29" t="n">
        <v>85200</v>
      </c>
      <c r="E1238" s="2" t="s">
        <v>821</v>
      </c>
      <c r="F1238" s="30" t="n">
        <v>0.735798122065728</v>
      </c>
      <c r="G1238" s="31" t="n">
        <v>64.1</v>
      </c>
      <c r="H1238" s="32" t="n">
        <v>0.0328524669656928</v>
      </c>
      <c r="I1238" s="31" t="n">
        <v>19.6</v>
      </c>
      <c r="J1238" s="2" t="s">
        <v>2883</v>
      </c>
      <c r="K1238" s="33" t="n">
        <v>0.200192261475607</v>
      </c>
      <c r="L1238" s="31" t="n">
        <v>73.2</v>
      </c>
      <c r="M1238" s="34" t="s">
        <v>822</v>
      </c>
      <c r="N1238" s="2" t="s">
        <v>24</v>
      </c>
      <c r="O1238" s="2" t="s">
        <v>24</v>
      </c>
      <c r="P1238" s="2" t="s">
        <v>24</v>
      </c>
      <c r="Q1238" s="2" t="s">
        <v>24</v>
      </c>
    </row>
    <row r="1239" customFormat="false" ht="15" hidden="false" customHeight="false" outlineLevel="0" collapsed="false">
      <c r="A1239" s="2" t="s">
        <v>1120</v>
      </c>
      <c r="B1239" s="2" t="s">
        <v>46</v>
      </c>
      <c r="C1239" s="15" t="s">
        <v>3191</v>
      </c>
      <c r="D1239" s="29" t="n">
        <v>64060</v>
      </c>
      <c r="E1239" s="2" t="s">
        <v>821</v>
      </c>
      <c r="F1239" s="30" t="n">
        <v>2.25065563534187</v>
      </c>
      <c r="G1239" s="31" t="n">
        <v>31.8</v>
      </c>
      <c r="H1239" s="37"/>
      <c r="I1239" s="31"/>
      <c r="J1239" s="2"/>
      <c r="K1239" s="33" t="n">
        <v>0.192443140132062</v>
      </c>
      <c r="L1239" s="31" t="n">
        <v>67.3</v>
      </c>
      <c r="M1239" s="39" t="s">
        <v>832</v>
      </c>
      <c r="N1239" s="2" t="s">
        <v>24</v>
      </c>
      <c r="O1239" s="2" t="s">
        <v>24</v>
      </c>
      <c r="P1239" s="2"/>
      <c r="Q1239" s="2" t="s">
        <v>24</v>
      </c>
    </row>
    <row r="1240" customFormat="false" ht="15" hidden="false" customHeight="false" outlineLevel="0" collapsed="false">
      <c r="A1240" s="2" t="s">
        <v>510</v>
      </c>
      <c r="B1240" s="2" t="s">
        <v>45</v>
      </c>
      <c r="C1240" s="13" t="s">
        <v>1435</v>
      </c>
      <c r="D1240" s="29" t="n">
        <v>81360</v>
      </c>
      <c r="E1240" s="2" t="s">
        <v>821</v>
      </c>
      <c r="F1240" s="30" t="n">
        <v>0.337598328416913</v>
      </c>
      <c r="G1240" s="31" t="n">
        <v>22.7</v>
      </c>
      <c r="H1240" s="32" t="n">
        <v>-0.0298115907464822</v>
      </c>
      <c r="I1240" s="31" t="n">
        <v>3.1</v>
      </c>
      <c r="J1240" s="2" t="s">
        <v>2883</v>
      </c>
      <c r="K1240" s="33" t="n">
        <v>0.225806451612903</v>
      </c>
      <c r="L1240" s="31" t="n">
        <v>77.4</v>
      </c>
      <c r="M1240" s="34" t="s">
        <v>822</v>
      </c>
      <c r="N1240" s="2" t="s">
        <v>24</v>
      </c>
      <c r="O1240" s="2" t="s">
        <v>24</v>
      </c>
      <c r="P1240" s="2" t="s">
        <v>24</v>
      </c>
      <c r="Q1240" s="2" t="s">
        <v>24</v>
      </c>
    </row>
    <row r="1241" customFormat="false" ht="15" hidden="false" customHeight="false" outlineLevel="0" collapsed="false">
      <c r="A1241" s="2" t="s">
        <v>510</v>
      </c>
      <c r="B1241" s="2" t="s">
        <v>46</v>
      </c>
      <c r="C1241" s="13" t="s">
        <v>1863</v>
      </c>
      <c r="D1241" s="29" t="n">
        <v>72840</v>
      </c>
      <c r="E1241" s="2" t="s">
        <v>821</v>
      </c>
      <c r="F1241" s="30" t="n">
        <v>3.45993959362987</v>
      </c>
      <c r="G1241" s="31" t="n">
        <v>55.4</v>
      </c>
      <c r="H1241" s="32" t="n">
        <v>0.0376068376068376</v>
      </c>
      <c r="I1241" s="31" t="n">
        <v>25.5</v>
      </c>
      <c r="J1241" s="2" t="s">
        <v>2884</v>
      </c>
      <c r="K1241" s="33" t="n">
        <v>0.0391635329725764</v>
      </c>
      <c r="L1241" s="31" t="n">
        <v>8.2</v>
      </c>
      <c r="M1241" s="34" t="s">
        <v>822</v>
      </c>
      <c r="N1241" s="2" t="s">
        <v>24</v>
      </c>
      <c r="O1241" s="2" t="s">
        <v>24</v>
      </c>
      <c r="P1241" s="2" t="s">
        <v>24</v>
      </c>
      <c r="Q1241" s="2" t="s">
        <v>24</v>
      </c>
    </row>
    <row r="1242" customFormat="false" ht="15" hidden="false" customHeight="false" outlineLevel="0" collapsed="false">
      <c r="A1242" s="2" t="s">
        <v>510</v>
      </c>
      <c r="B1242" s="2" t="s">
        <v>47</v>
      </c>
      <c r="C1242" s="13" t="s">
        <v>2435</v>
      </c>
      <c r="D1242" s="29" t="n">
        <v>5630</v>
      </c>
      <c r="E1242" s="2" t="s">
        <v>825</v>
      </c>
      <c r="F1242" s="30" t="n">
        <v>1.64777975133215</v>
      </c>
      <c r="G1242" s="31" t="n">
        <v>65.4</v>
      </c>
      <c r="H1242" s="32" t="n">
        <v>0.234649122807018</v>
      </c>
      <c r="I1242" s="31" t="n">
        <v>93.8</v>
      </c>
      <c r="J1242" s="2" t="s">
        <v>2889</v>
      </c>
      <c r="K1242" s="33" t="n">
        <v>0.0590551181102362</v>
      </c>
      <c r="L1242" s="31" t="n">
        <v>36.5</v>
      </c>
      <c r="M1242" s="34" t="s">
        <v>822</v>
      </c>
      <c r="N1242" s="2" t="s">
        <v>24</v>
      </c>
      <c r="O1242" s="2" t="s">
        <v>24</v>
      </c>
      <c r="P1242" s="2" t="s">
        <v>24</v>
      </c>
      <c r="Q1242" s="2" t="s">
        <v>24</v>
      </c>
    </row>
    <row r="1243" customFormat="false" ht="15" hidden="false" customHeight="false" outlineLevel="0" collapsed="false">
      <c r="A1243" s="2" t="s">
        <v>544</v>
      </c>
      <c r="B1243" s="2" t="s">
        <v>45</v>
      </c>
      <c r="C1243" s="13" t="s">
        <v>1586</v>
      </c>
      <c r="D1243" s="29" t="n">
        <v>74270</v>
      </c>
      <c r="E1243" s="2" t="s">
        <v>821</v>
      </c>
      <c r="F1243" s="30" t="n">
        <v>0.106112831560522</v>
      </c>
      <c r="G1243" s="31" t="n">
        <v>2.3</v>
      </c>
      <c r="H1243" s="32" t="n">
        <v>0.129238254523339</v>
      </c>
      <c r="I1243" s="31" t="n">
        <v>69.4</v>
      </c>
      <c r="J1243" s="2" t="s">
        <v>2883</v>
      </c>
      <c r="K1243" s="44" t="n">
        <v>0.199335548172758</v>
      </c>
      <c r="L1243" s="31" t="n">
        <v>72.7</v>
      </c>
      <c r="M1243" s="34" t="s">
        <v>822</v>
      </c>
      <c r="N1243" s="2" t="s">
        <v>24</v>
      </c>
      <c r="O1243" s="2" t="s">
        <v>24</v>
      </c>
      <c r="P1243" s="2" t="s">
        <v>24</v>
      </c>
      <c r="Q1243" s="2" t="s">
        <v>22</v>
      </c>
    </row>
    <row r="1244" customFormat="false" ht="15" hidden="false" customHeight="false" outlineLevel="0" collapsed="false">
      <c r="A1244" s="2" t="s">
        <v>544</v>
      </c>
      <c r="B1244" s="2" t="s">
        <v>46</v>
      </c>
      <c r="C1244" s="13" t="s">
        <v>1671</v>
      </c>
      <c r="D1244" s="29" t="n">
        <v>952460</v>
      </c>
      <c r="E1244" s="2" t="s">
        <v>827</v>
      </c>
      <c r="F1244" s="30" t="n">
        <v>7.50844234928501</v>
      </c>
      <c r="G1244" s="31" t="n">
        <v>88.4</v>
      </c>
      <c r="H1244" s="32" t="n">
        <v>0.0621598715318048</v>
      </c>
      <c r="I1244" s="31" t="n">
        <v>42.7</v>
      </c>
      <c r="J1244" s="2" t="s">
        <v>2888</v>
      </c>
      <c r="K1244" s="33" t="n">
        <v>0.0428596747089057</v>
      </c>
      <c r="L1244" s="31" t="n">
        <v>9.5</v>
      </c>
      <c r="M1244" s="34" t="s">
        <v>822</v>
      </c>
      <c r="N1244" s="2" t="s">
        <v>24</v>
      </c>
      <c r="O1244" s="2" t="s">
        <v>24</v>
      </c>
      <c r="P1244" s="2" t="s">
        <v>24</v>
      </c>
      <c r="Q1244" s="2" t="s">
        <v>24</v>
      </c>
    </row>
    <row r="1245" customFormat="false" ht="15" hidden="false" customHeight="false" outlineLevel="0" collapsed="false">
      <c r="A1245" s="2" t="s">
        <v>544</v>
      </c>
      <c r="B1245" s="2" t="s">
        <v>47</v>
      </c>
      <c r="C1245" s="14" t="s">
        <v>2582</v>
      </c>
      <c r="D1245" s="42" t="n">
        <v>10548</v>
      </c>
      <c r="E1245" s="2" t="s">
        <v>821</v>
      </c>
      <c r="F1245" s="43" t="n">
        <v>1.12940841865757</v>
      </c>
      <c r="G1245" s="31" t="n">
        <v>43.7</v>
      </c>
      <c r="H1245" s="41" t="n">
        <v>0.107983193277311</v>
      </c>
      <c r="I1245" s="31" t="n">
        <v>56.5</v>
      </c>
      <c r="J1245" s="2" t="s">
        <v>2886</v>
      </c>
      <c r="K1245" s="44" t="n">
        <v>0.176781002638522</v>
      </c>
      <c r="L1245" s="31" t="n">
        <v>79.9</v>
      </c>
      <c r="M1245" s="34" t="s">
        <v>822</v>
      </c>
      <c r="N1245" s="2" t="s">
        <v>22</v>
      </c>
      <c r="O1245" s="2" t="s">
        <v>22</v>
      </c>
      <c r="P1245" s="2" t="s">
        <v>22</v>
      </c>
      <c r="Q1245" s="2" t="s">
        <v>22</v>
      </c>
    </row>
    <row r="1246" customFormat="false" ht="15" hidden="false" customHeight="false" outlineLevel="0" collapsed="false">
      <c r="A1246" s="2" t="s">
        <v>692</v>
      </c>
      <c r="B1246" s="2" t="s">
        <v>45</v>
      </c>
      <c r="C1246" s="14" t="s">
        <v>1577</v>
      </c>
      <c r="D1246" s="42" t="n">
        <v>1085367</v>
      </c>
      <c r="E1246" s="2" t="s">
        <v>935</v>
      </c>
      <c r="F1246" s="43" t="n">
        <v>0.123230206925399</v>
      </c>
      <c r="G1246" s="31" t="n">
        <v>3.4</v>
      </c>
      <c r="H1246" s="41" t="n">
        <v>0.0872762571074807</v>
      </c>
      <c r="I1246" s="31" t="n">
        <v>41.2</v>
      </c>
      <c r="J1246" s="2" t="s">
        <v>2892</v>
      </c>
      <c r="K1246" s="44" t="n">
        <v>0.238639695104075</v>
      </c>
      <c r="L1246" s="31" t="n">
        <v>80.4</v>
      </c>
      <c r="M1246" s="34" t="s">
        <v>822</v>
      </c>
      <c r="N1246" s="2" t="s">
        <v>22</v>
      </c>
      <c r="O1246" s="2" t="s">
        <v>22</v>
      </c>
      <c r="P1246" s="2" t="s">
        <v>22</v>
      </c>
      <c r="Q1246" s="2" t="s">
        <v>22</v>
      </c>
    </row>
    <row r="1247" customFormat="false" ht="15" hidden="false" customHeight="false" outlineLevel="0" collapsed="false">
      <c r="A1247" s="2" t="s">
        <v>692</v>
      </c>
      <c r="B1247" s="2" t="s">
        <v>46</v>
      </c>
      <c r="C1247" s="13" t="s">
        <v>1865</v>
      </c>
      <c r="D1247" s="29" t="n">
        <v>516360</v>
      </c>
      <c r="E1247" s="2" t="s">
        <v>827</v>
      </c>
      <c r="F1247" s="30" t="n">
        <v>3.45004260593385</v>
      </c>
      <c r="G1247" s="31" t="n">
        <v>55</v>
      </c>
      <c r="H1247" s="32" t="n">
        <v>0.0785136913340435</v>
      </c>
      <c r="I1247" s="31" t="n">
        <v>52.2</v>
      </c>
      <c r="J1247" s="2" t="s">
        <v>2888</v>
      </c>
      <c r="K1247" s="33" t="n">
        <v>0.105276377055198</v>
      </c>
      <c r="L1247" s="31" t="n">
        <v>40</v>
      </c>
      <c r="M1247" s="34" t="s">
        <v>822</v>
      </c>
      <c r="N1247" s="2" t="s">
        <v>24</v>
      </c>
      <c r="O1247" s="2" t="s">
        <v>24</v>
      </c>
      <c r="P1247" s="2" t="s">
        <v>24</v>
      </c>
      <c r="Q1247" s="2" t="s">
        <v>24</v>
      </c>
    </row>
    <row r="1248" customFormat="false" ht="15" hidden="false" customHeight="false" outlineLevel="0" collapsed="false">
      <c r="A1248" s="2" t="s">
        <v>682</v>
      </c>
      <c r="B1248" s="2" t="s">
        <v>45</v>
      </c>
      <c r="C1248" s="13" t="s">
        <v>1527</v>
      </c>
      <c r="D1248" s="29" t="n">
        <v>44360</v>
      </c>
      <c r="E1248" s="2" t="s">
        <v>821</v>
      </c>
      <c r="F1248" s="30" t="n">
        <v>0.204914337240757</v>
      </c>
      <c r="G1248" s="31" t="n">
        <v>9.5</v>
      </c>
      <c r="H1248" s="32" t="n">
        <v>0.0622605363984674</v>
      </c>
      <c r="I1248" s="31" t="n">
        <v>34.4</v>
      </c>
      <c r="J1248" s="2" t="s">
        <v>2883</v>
      </c>
      <c r="K1248" s="33" t="n">
        <v>0.143487858719647</v>
      </c>
      <c r="L1248" s="31" t="n">
        <v>55.5</v>
      </c>
      <c r="M1248" s="34" t="s">
        <v>822</v>
      </c>
      <c r="N1248" s="2" t="s">
        <v>24</v>
      </c>
      <c r="O1248" s="2" t="s">
        <v>24</v>
      </c>
      <c r="P1248" s="2" t="s">
        <v>24</v>
      </c>
      <c r="Q1248" s="2" t="s">
        <v>24</v>
      </c>
    </row>
    <row r="1249" customFormat="false" ht="15" hidden="false" customHeight="false" outlineLevel="0" collapsed="false">
      <c r="A1249" s="2" t="s">
        <v>682</v>
      </c>
      <c r="B1249" s="2" t="s">
        <v>46</v>
      </c>
      <c r="C1249" s="13" t="s">
        <v>2011</v>
      </c>
      <c r="D1249" s="29" t="n">
        <v>20600</v>
      </c>
      <c r="E1249" s="2" t="s">
        <v>821</v>
      </c>
      <c r="F1249" s="30" t="n">
        <v>2.26281553398058</v>
      </c>
      <c r="G1249" s="31" t="n">
        <v>32.2</v>
      </c>
      <c r="H1249" s="32" t="n">
        <v>0.0542476970317298</v>
      </c>
      <c r="I1249" s="31" t="n">
        <v>32.7</v>
      </c>
      <c r="J1249" s="2" t="s">
        <v>2884</v>
      </c>
      <c r="K1249" s="33" t="n">
        <v>0.260688981187393</v>
      </c>
      <c r="L1249" s="31" t="n">
        <v>82.8</v>
      </c>
      <c r="M1249" s="34" t="s">
        <v>822</v>
      </c>
      <c r="N1249" s="2" t="s">
        <v>24</v>
      </c>
      <c r="O1249" s="2" t="s">
        <v>24</v>
      </c>
      <c r="P1249" s="2" t="s">
        <v>24</v>
      </c>
      <c r="Q1249" s="2" t="s">
        <v>24</v>
      </c>
    </row>
    <row r="1250" customFormat="false" ht="15" hidden="false" customHeight="false" outlineLevel="0" collapsed="false">
      <c r="A1250" s="2" t="s">
        <v>682</v>
      </c>
      <c r="B1250" s="2" t="s">
        <v>47</v>
      </c>
      <c r="C1250" s="14" t="s">
        <v>2548</v>
      </c>
      <c r="D1250" s="42" t="n">
        <v>27902</v>
      </c>
      <c r="E1250" s="2" t="s">
        <v>821</v>
      </c>
      <c r="F1250" s="43" t="n">
        <v>1.2351802738155</v>
      </c>
      <c r="G1250" s="31" t="n">
        <v>49.2</v>
      </c>
      <c r="H1250" s="41" t="n">
        <v>0.0100637127135824</v>
      </c>
      <c r="I1250" s="31" t="n">
        <v>13</v>
      </c>
      <c r="J1250" s="2" t="s">
        <v>2886</v>
      </c>
      <c r="K1250" s="44" t="n">
        <v>0.0223540145985402</v>
      </c>
      <c r="L1250" s="31" t="n">
        <v>15.2</v>
      </c>
      <c r="M1250" s="34" t="s">
        <v>822</v>
      </c>
      <c r="N1250" s="2" t="s">
        <v>22</v>
      </c>
      <c r="O1250" s="2" t="s">
        <v>22</v>
      </c>
      <c r="P1250" s="2" t="s">
        <v>22</v>
      </c>
      <c r="Q1250" s="2" t="s">
        <v>22</v>
      </c>
    </row>
    <row r="1251" customFormat="false" ht="15" hidden="false" customHeight="false" outlineLevel="0" collapsed="false">
      <c r="A1251" s="2" t="s">
        <v>750</v>
      </c>
      <c r="B1251" s="2" t="s">
        <v>45</v>
      </c>
      <c r="C1251" s="13" t="s">
        <v>1446</v>
      </c>
      <c r="D1251" s="29" t="n">
        <v>306450</v>
      </c>
      <c r="E1251" s="2" t="s">
        <v>827</v>
      </c>
      <c r="F1251" s="30" t="n">
        <v>0.329100995268396</v>
      </c>
      <c r="G1251" s="31" t="n">
        <v>21.2</v>
      </c>
      <c r="H1251" s="32" t="n">
        <v>0.106757195998411</v>
      </c>
      <c r="I1251" s="31" t="n">
        <v>63.6</v>
      </c>
      <c r="J1251" s="2" t="s">
        <v>2890</v>
      </c>
      <c r="K1251" s="33" t="n">
        <v>0.0783592644978784</v>
      </c>
      <c r="L1251" s="31" t="n">
        <v>25.4</v>
      </c>
      <c r="M1251" s="34" t="s">
        <v>822</v>
      </c>
      <c r="N1251" s="2" t="s">
        <v>24</v>
      </c>
      <c r="O1251" s="2" t="s">
        <v>24</v>
      </c>
      <c r="P1251" s="2" t="s">
        <v>24</v>
      </c>
      <c r="Q1251" s="2" t="s">
        <v>24</v>
      </c>
    </row>
    <row r="1252" customFormat="false" ht="15" hidden="false" customHeight="false" outlineLevel="0" collapsed="false">
      <c r="A1252" s="2" t="s">
        <v>604</v>
      </c>
      <c r="B1252" s="2" t="s">
        <v>45</v>
      </c>
      <c r="C1252" s="13" t="s">
        <v>1136</v>
      </c>
      <c r="D1252" s="29" t="n">
        <v>17410</v>
      </c>
      <c r="E1252" s="2" t="s">
        <v>821</v>
      </c>
      <c r="F1252" s="30" t="n">
        <v>0.711545089029294</v>
      </c>
      <c r="G1252" s="31" t="n">
        <v>62.2</v>
      </c>
      <c r="H1252" s="32" t="n">
        <v>0.159893404397069</v>
      </c>
      <c r="I1252" s="31" t="n">
        <v>79</v>
      </c>
      <c r="J1252" s="2" t="s">
        <v>2883</v>
      </c>
      <c r="K1252" s="33" t="n">
        <v>0.064334085778781</v>
      </c>
      <c r="L1252" s="31" t="n">
        <v>21.9</v>
      </c>
      <c r="M1252" s="34" t="s">
        <v>822</v>
      </c>
      <c r="N1252" s="2" t="s">
        <v>24</v>
      </c>
      <c r="O1252" s="2" t="s">
        <v>24</v>
      </c>
      <c r="P1252" s="2" t="s">
        <v>24</v>
      </c>
      <c r="Q1252" s="2" t="s">
        <v>24</v>
      </c>
    </row>
    <row r="1253" customFormat="false" ht="15" hidden="false" customHeight="false" outlineLevel="0" collapsed="false">
      <c r="A1253" s="2" t="s">
        <v>604</v>
      </c>
      <c r="B1253" s="2" t="s">
        <v>47</v>
      </c>
      <c r="C1253" s="13" t="s">
        <v>2777</v>
      </c>
      <c r="D1253" s="29" t="n">
        <v>12540</v>
      </c>
      <c r="E1253" s="2" t="s">
        <v>821</v>
      </c>
      <c r="F1253" s="30" t="n">
        <v>0.531977671451356</v>
      </c>
      <c r="G1253" s="31" t="n">
        <v>15.2</v>
      </c>
      <c r="H1253" s="32" t="n">
        <v>0.194285714285714</v>
      </c>
      <c r="I1253" s="31" t="n">
        <v>90.6</v>
      </c>
      <c r="J1253" s="2" t="s">
        <v>2886</v>
      </c>
      <c r="K1253" s="33" t="n">
        <v>0.237762237762238</v>
      </c>
      <c r="L1253" s="31" t="n">
        <v>91.2</v>
      </c>
      <c r="M1253" s="34" t="s">
        <v>822</v>
      </c>
      <c r="N1253" s="2" t="s">
        <v>24</v>
      </c>
      <c r="O1253" s="2" t="s">
        <v>24</v>
      </c>
      <c r="P1253" s="2" t="s">
        <v>24</v>
      </c>
      <c r="Q1253" s="2" t="s">
        <v>24</v>
      </c>
    </row>
    <row r="1254" customFormat="false" ht="15" hidden="false" customHeight="false" outlineLevel="0" collapsed="false">
      <c r="A1254" s="2" t="s">
        <v>1846</v>
      </c>
      <c r="B1254" s="2" t="s">
        <v>46</v>
      </c>
      <c r="C1254" s="14" t="s">
        <v>1847</v>
      </c>
      <c r="D1254" s="42" t="n">
        <v>30405</v>
      </c>
      <c r="E1254" s="2" t="s">
        <v>821</v>
      </c>
      <c r="F1254" s="43" t="n">
        <v>3.58687715836211</v>
      </c>
      <c r="G1254" s="31" t="n">
        <v>57.8</v>
      </c>
      <c r="H1254" s="41" t="n">
        <v>0.0564261144505055</v>
      </c>
      <c r="I1254" s="31" t="n">
        <v>33.8</v>
      </c>
      <c r="J1254" s="2" t="s">
        <v>2884</v>
      </c>
      <c r="K1254" s="44" t="n">
        <v>0.435900575486715</v>
      </c>
      <c r="L1254" s="31" t="n">
        <v>98.2</v>
      </c>
      <c r="M1254" s="34" t="s">
        <v>822</v>
      </c>
      <c r="N1254" s="2" t="s">
        <v>22</v>
      </c>
      <c r="O1254" s="2" t="s">
        <v>22</v>
      </c>
      <c r="P1254" s="2" t="s">
        <v>22</v>
      </c>
      <c r="Q1254" s="2" t="s">
        <v>22</v>
      </c>
    </row>
    <row r="1255" customFormat="false" ht="15" hidden="false" customHeight="false" outlineLevel="0" collapsed="false">
      <c r="A1255" s="2" t="s">
        <v>1846</v>
      </c>
      <c r="B1255" s="2" t="s">
        <v>47</v>
      </c>
      <c r="C1255" s="14" t="s">
        <v>3192</v>
      </c>
      <c r="D1255" s="42" t="n">
        <v>1209853</v>
      </c>
      <c r="E1255" s="2" t="s">
        <v>935</v>
      </c>
      <c r="F1255" s="43" t="n">
        <v>3.35818814351826</v>
      </c>
      <c r="G1255" s="31" t="n">
        <v>91.9</v>
      </c>
      <c r="H1255" s="41" t="n">
        <v>0.128083842664466</v>
      </c>
      <c r="I1255" s="31" t="n">
        <v>78.6</v>
      </c>
      <c r="J1255" s="2" t="s">
        <v>2922</v>
      </c>
      <c r="K1255" s="38"/>
      <c r="L1255" s="31"/>
      <c r="M1255" s="39" t="s">
        <v>832</v>
      </c>
      <c r="N1255" s="2" t="s">
        <v>22</v>
      </c>
      <c r="O1255" s="2" t="s">
        <v>22</v>
      </c>
      <c r="P1255" s="2" t="s">
        <v>22</v>
      </c>
      <c r="Q1255" s="2"/>
    </row>
    <row r="1256" customFormat="false" ht="15" hidden="false" customHeight="false" outlineLevel="0" collapsed="false">
      <c r="A1256" s="2" t="s">
        <v>452</v>
      </c>
      <c r="B1256" s="2" t="s">
        <v>45</v>
      </c>
      <c r="C1256" s="13" t="s">
        <v>1216</v>
      </c>
      <c r="D1256" s="29" t="n">
        <v>66750</v>
      </c>
      <c r="E1256" s="2" t="s">
        <v>821</v>
      </c>
      <c r="F1256" s="30" t="n">
        <v>0.577722846441948</v>
      </c>
      <c r="G1256" s="31" t="n">
        <v>52</v>
      </c>
      <c r="H1256" s="32" t="n">
        <v>0.0360080707744839</v>
      </c>
      <c r="I1256" s="31" t="n">
        <v>21.3</v>
      </c>
      <c r="J1256" s="2" t="s">
        <v>2883</v>
      </c>
      <c r="K1256" s="33" t="n">
        <v>0.365683229813665</v>
      </c>
      <c r="L1256" s="31" t="n">
        <v>95.6</v>
      </c>
      <c r="M1256" s="34" t="s">
        <v>822</v>
      </c>
      <c r="N1256" s="2" t="s">
        <v>24</v>
      </c>
      <c r="O1256" s="2" t="s">
        <v>24</v>
      </c>
      <c r="P1256" s="2" t="s">
        <v>24</v>
      </c>
      <c r="Q1256" s="2" t="s">
        <v>24</v>
      </c>
    </row>
    <row r="1257" customFormat="false" ht="15" hidden="false" customHeight="false" outlineLevel="0" collapsed="false">
      <c r="A1257" s="2" t="s">
        <v>690</v>
      </c>
      <c r="B1257" s="2" t="s">
        <v>46</v>
      </c>
      <c r="C1257" s="13" t="s">
        <v>2162</v>
      </c>
      <c r="D1257" s="29" t="n">
        <v>37910</v>
      </c>
      <c r="E1257" s="2" t="s">
        <v>821</v>
      </c>
      <c r="F1257" s="30" t="n">
        <v>0.945819045106832</v>
      </c>
      <c r="G1257" s="31" t="n">
        <v>6.5</v>
      </c>
      <c r="H1257" s="32" t="n">
        <v>0.146356214091321</v>
      </c>
      <c r="I1257" s="31" t="n">
        <v>79.3</v>
      </c>
      <c r="J1257" s="2" t="s">
        <v>2884</v>
      </c>
      <c r="K1257" s="44" t="n">
        <v>0.191198786039454</v>
      </c>
      <c r="L1257" s="31" t="n">
        <v>66.9</v>
      </c>
      <c r="M1257" s="34" t="s">
        <v>822</v>
      </c>
      <c r="N1257" s="2" t="s">
        <v>24</v>
      </c>
      <c r="O1257" s="2" t="s">
        <v>24</v>
      </c>
      <c r="P1257" s="2" t="s">
        <v>24</v>
      </c>
      <c r="Q1257" s="2" t="s">
        <v>22</v>
      </c>
    </row>
    <row r="1258" customFormat="false" ht="15" hidden="false" customHeight="false" outlineLevel="0" collapsed="false">
      <c r="A1258" s="2" t="s">
        <v>690</v>
      </c>
      <c r="B1258" s="2" t="s">
        <v>47</v>
      </c>
      <c r="C1258" s="13" t="s">
        <v>2522</v>
      </c>
      <c r="D1258" s="29" t="n">
        <v>216530</v>
      </c>
      <c r="E1258" s="2" t="s">
        <v>827</v>
      </c>
      <c r="F1258" s="30" t="n">
        <v>1.30709370526024</v>
      </c>
      <c r="G1258" s="31" t="n">
        <v>52.4</v>
      </c>
      <c r="H1258" s="32" t="n">
        <v>0.0479117262740164</v>
      </c>
      <c r="I1258" s="31" t="n">
        <v>29.8</v>
      </c>
      <c r="J1258" s="2" t="s">
        <v>2897</v>
      </c>
      <c r="K1258" s="33" t="n">
        <v>0.279722797227972</v>
      </c>
      <c r="L1258" s="31" t="n">
        <v>95.7</v>
      </c>
      <c r="M1258" s="34" t="s">
        <v>822</v>
      </c>
      <c r="N1258" s="2" t="s">
        <v>24</v>
      </c>
      <c r="O1258" s="2" t="s">
        <v>24</v>
      </c>
      <c r="P1258" s="2" t="s">
        <v>24</v>
      </c>
      <c r="Q1258" s="2" t="s">
        <v>24</v>
      </c>
    </row>
    <row r="1259" customFormat="false" ht="15" hidden="false" customHeight="false" outlineLevel="0" collapsed="false">
      <c r="A1259" s="2" t="s">
        <v>1684</v>
      </c>
      <c r="B1259" s="2" t="s">
        <v>45</v>
      </c>
      <c r="C1259" s="14" t="s">
        <v>3193</v>
      </c>
      <c r="D1259" s="42" t="n">
        <v>92940</v>
      </c>
      <c r="E1259" s="2" t="s">
        <v>821</v>
      </c>
      <c r="F1259" s="43" t="n">
        <v>0.124994620185066</v>
      </c>
      <c r="G1259" s="31" t="n">
        <v>3.8</v>
      </c>
      <c r="H1259" s="41" t="n">
        <v>0.0658379109852177</v>
      </c>
      <c r="I1259" s="31" t="n">
        <v>36.8</v>
      </c>
      <c r="J1259" s="2" t="s">
        <v>2883</v>
      </c>
      <c r="K1259" s="38"/>
      <c r="L1259" s="31"/>
      <c r="M1259" s="39" t="s">
        <v>832</v>
      </c>
      <c r="N1259" s="2" t="s">
        <v>22</v>
      </c>
      <c r="O1259" s="2" t="s">
        <v>22</v>
      </c>
      <c r="P1259" s="2" t="s">
        <v>22</v>
      </c>
      <c r="Q1259" s="2"/>
    </row>
    <row r="1260" customFormat="false" ht="15" hidden="false" customHeight="false" outlineLevel="0" collapsed="false">
      <c r="A1260" s="2" t="s">
        <v>1684</v>
      </c>
      <c r="B1260" s="2" t="s">
        <v>46</v>
      </c>
      <c r="C1260" s="13" t="s">
        <v>1685</v>
      </c>
      <c r="D1260" s="29" t="n">
        <v>70660</v>
      </c>
      <c r="E1260" s="2" t="s">
        <v>821</v>
      </c>
      <c r="F1260" s="30" t="n">
        <v>7.13594678743278</v>
      </c>
      <c r="G1260" s="31" t="n">
        <v>86.4</v>
      </c>
      <c r="H1260" s="32" t="n">
        <v>0.0999377334993773</v>
      </c>
      <c r="I1260" s="31" t="n">
        <v>57.5</v>
      </c>
      <c r="J1260" s="2" t="s">
        <v>2884</v>
      </c>
      <c r="K1260" s="33" t="n">
        <v>0.0975742037274431</v>
      </c>
      <c r="L1260" s="31" t="n">
        <v>36</v>
      </c>
      <c r="M1260" s="34" t="s">
        <v>822</v>
      </c>
      <c r="N1260" s="2" t="s">
        <v>24</v>
      </c>
      <c r="O1260" s="2" t="s">
        <v>24</v>
      </c>
      <c r="P1260" s="2" t="s">
        <v>24</v>
      </c>
      <c r="Q1260" s="2" t="s">
        <v>24</v>
      </c>
    </row>
    <row r="1261" customFormat="false" ht="15" hidden="false" customHeight="false" outlineLevel="0" collapsed="false">
      <c r="A1261" s="2" t="s">
        <v>1684</v>
      </c>
      <c r="B1261" s="2" t="s">
        <v>47</v>
      </c>
      <c r="C1261" s="13" t="s">
        <v>2505</v>
      </c>
      <c r="D1261" s="42" t="n">
        <v>20752</v>
      </c>
      <c r="E1261" s="2" t="s">
        <v>821</v>
      </c>
      <c r="F1261" s="43" t="n">
        <v>1.35933885890517</v>
      </c>
      <c r="G1261" s="31" t="n">
        <v>54.9</v>
      </c>
      <c r="H1261" s="41" t="n">
        <v>0.129667936853566</v>
      </c>
      <c r="I1261" s="31" t="n">
        <v>67.9</v>
      </c>
      <c r="J1261" s="2" t="s">
        <v>2886</v>
      </c>
      <c r="K1261" s="33" t="n">
        <v>0.0748299319727891</v>
      </c>
      <c r="L1261" s="31" t="n">
        <v>46.4</v>
      </c>
      <c r="M1261" s="34" t="s">
        <v>822</v>
      </c>
      <c r="N1261" s="2" t="s">
        <v>22</v>
      </c>
      <c r="O1261" s="2" t="s">
        <v>22</v>
      </c>
      <c r="P1261" s="2" t="s">
        <v>22</v>
      </c>
      <c r="Q1261" s="2" t="s">
        <v>24</v>
      </c>
    </row>
    <row r="1262" customFormat="false" ht="15" hidden="false" customHeight="false" outlineLevel="0" collapsed="false">
      <c r="A1262" s="2" t="s">
        <v>948</v>
      </c>
      <c r="B1262" s="2" t="s">
        <v>45</v>
      </c>
      <c r="C1262" s="13" t="s">
        <v>949</v>
      </c>
      <c r="D1262" s="29" t="n">
        <v>18970</v>
      </c>
      <c r="E1262" s="2" t="s">
        <v>821</v>
      </c>
      <c r="F1262" s="30" t="n">
        <v>1.24918292040063</v>
      </c>
      <c r="G1262" s="31" t="n">
        <v>85.1</v>
      </c>
      <c r="H1262" s="32" t="n">
        <v>0.19609079445145</v>
      </c>
      <c r="I1262" s="31" t="n">
        <v>90.4</v>
      </c>
      <c r="J1262" s="2" t="s">
        <v>2883</v>
      </c>
      <c r="K1262" s="33" t="n">
        <v>0.329522528581036</v>
      </c>
      <c r="L1262" s="31" t="n">
        <v>93.5</v>
      </c>
      <c r="M1262" s="34" t="s">
        <v>822</v>
      </c>
      <c r="N1262" s="2" t="s">
        <v>24</v>
      </c>
      <c r="O1262" s="2" t="s">
        <v>24</v>
      </c>
      <c r="P1262" s="2" t="s">
        <v>24</v>
      </c>
      <c r="Q1262" s="2" t="s">
        <v>24</v>
      </c>
    </row>
    <row r="1263" customFormat="false" ht="15" hidden="false" customHeight="false" outlineLevel="0" collapsed="false">
      <c r="A1263" s="2" t="s">
        <v>948</v>
      </c>
      <c r="B1263" s="2" t="s">
        <v>46</v>
      </c>
      <c r="C1263" s="13" t="s">
        <v>3194</v>
      </c>
      <c r="D1263" s="29" t="n">
        <v>4350</v>
      </c>
      <c r="E1263" s="2" t="s">
        <v>825</v>
      </c>
      <c r="F1263" s="30" t="n">
        <v>1.27724137931035</v>
      </c>
      <c r="G1263" s="31" t="n">
        <v>11</v>
      </c>
      <c r="H1263" s="48" t="n">
        <v>0.0789539227895392</v>
      </c>
      <c r="I1263" s="31" t="n">
        <v>26.4</v>
      </c>
      <c r="J1263" s="2" t="s">
        <v>2905</v>
      </c>
      <c r="K1263" s="38"/>
      <c r="L1263" s="31"/>
      <c r="M1263" s="39" t="s">
        <v>832</v>
      </c>
      <c r="N1263" s="2" t="s">
        <v>24</v>
      </c>
      <c r="O1263" s="2" t="s">
        <v>24</v>
      </c>
      <c r="P1263" s="2" t="s">
        <v>19</v>
      </c>
      <c r="Q1263" s="2"/>
    </row>
    <row r="1264" customFormat="false" ht="15" hidden="false" customHeight="false" outlineLevel="0" collapsed="false">
      <c r="A1264" s="2" t="s">
        <v>948</v>
      </c>
      <c r="B1264" s="2" t="s">
        <v>47</v>
      </c>
      <c r="C1264" s="13" t="s">
        <v>2613</v>
      </c>
      <c r="D1264" s="29" t="n">
        <v>45980</v>
      </c>
      <c r="E1264" s="2" t="s">
        <v>821</v>
      </c>
      <c r="F1264" s="43" t="n">
        <v>0.99551768611117</v>
      </c>
      <c r="G1264" s="31" t="n">
        <v>38.6</v>
      </c>
      <c r="H1264" s="41" t="n">
        <v>0.0547477810980777</v>
      </c>
      <c r="I1264" s="31" t="n">
        <v>29.9</v>
      </c>
      <c r="J1264" s="2" t="s">
        <v>2886</v>
      </c>
      <c r="K1264" s="33" t="n">
        <v>0.279657562168773</v>
      </c>
      <c r="L1264" s="31" t="n">
        <v>95.5</v>
      </c>
      <c r="M1264" s="34" t="s">
        <v>822</v>
      </c>
      <c r="N1264" s="2" t="s">
        <v>24</v>
      </c>
      <c r="O1264" s="2" t="s">
        <v>22</v>
      </c>
      <c r="P1264" s="2" t="s">
        <v>22</v>
      </c>
      <c r="Q1264" s="2" t="s">
        <v>24</v>
      </c>
    </row>
    <row r="1265" customFormat="false" ht="15" hidden="false" customHeight="false" outlineLevel="0" collapsed="false">
      <c r="A1265" s="2" t="s">
        <v>406</v>
      </c>
      <c r="B1265" s="2" t="s">
        <v>45</v>
      </c>
      <c r="C1265" s="13" t="s">
        <v>1350</v>
      </c>
      <c r="D1265" s="29" t="n">
        <v>3050</v>
      </c>
      <c r="E1265" s="2" t="s">
        <v>825</v>
      </c>
      <c r="F1265" s="30" t="n">
        <v>0.449180327868853</v>
      </c>
      <c r="G1265" s="31" t="n">
        <v>34.8</v>
      </c>
      <c r="H1265" s="41" t="n">
        <v>0.120682964687621</v>
      </c>
      <c r="I1265" s="31" t="n">
        <v>62</v>
      </c>
      <c r="J1265" s="2" t="s">
        <v>2899</v>
      </c>
      <c r="K1265" s="33" t="n">
        <v>0.0408163265306122</v>
      </c>
      <c r="L1265" s="31" t="n">
        <v>12.4</v>
      </c>
      <c r="M1265" s="34" t="s">
        <v>822</v>
      </c>
      <c r="N1265" s="2" t="s">
        <v>24</v>
      </c>
      <c r="O1265" s="2" t="s">
        <v>24</v>
      </c>
      <c r="P1265" s="2" t="s">
        <v>22</v>
      </c>
      <c r="Q1265" s="2" t="s">
        <v>24</v>
      </c>
    </row>
    <row r="1266" customFormat="false" ht="15" hidden="false" customHeight="false" outlineLevel="0" collapsed="false">
      <c r="A1266" s="2" t="s">
        <v>406</v>
      </c>
      <c r="B1266" s="2" t="s">
        <v>46</v>
      </c>
      <c r="C1266" s="13" t="s">
        <v>1667</v>
      </c>
      <c r="D1266" s="29" t="n">
        <v>29390</v>
      </c>
      <c r="E1266" s="2" t="s">
        <v>821</v>
      </c>
      <c r="F1266" s="30" t="n">
        <v>7.67968696835658</v>
      </c>
      <c r="G1266" s="31" t="n">
        <v>89</v>
      </c>
      <c r="H1266" s="32" t="n">
        <v>0.0667876588021779</v>
      </c>
      <c r="I1266" s="31" t="n">
        <v>39.3</v>
      </c>
      <c r="J1266" s="2" t="s">
        <v>2884</v>
      </c>
      <c r="K1266" s="33" t="n">
        <v>0.159467604218985</v>
      </c>
      <c r="L1266" s="31" t="n">
        <v>58.5</v>
      </c>
      <c r="M1266" s="34" t="s">
        <v>822</v>
      </c>
      <c r="N1266" s="2" t="s">
        <v>24</v>
      </c>
      <c r="O1266" s="2" t="s">
        <v>24</v>
      </c>
      <c r="P1266" s="2" t="s">
        <v>24</v>
      </c>
      <c r="Q1266" s="2" t="s">
        <v>24</v>
      </c>
    </row>
    <row r="1267" customFormat="false" ht="15" hidden="false" customHeight="false" outlineLevel="0" collapsed="false">
      <c r="A1267" s="2" t="s">
        <v>406</v>
      </c>
      <c r="B1267" s="2" t="s">
        <v>47</v>
      </c>
      <c r="C1267" s="14" t="s">
        <v>2602</v>
      </c>
      <c r="D1267" s="42" t="n">
        <v>19839</v>
      </c>
      <c r="E1267" s="2" t="s">
        <v>821</v>
      </c>
      <c r="F1267" s="43" t="n">
        <v>1.05479106809819</v>
      </c>
      <c r="G1267" s="31" t="n">
        <v>40.6</v>
      </c>
      <c r="H1267" s="41" t="n">
        <v>0.037496077816128</v>
      </c>
      <c r="I1267" s="31" t="n">
        <v>22.7</v>
      </c>
      <c r="J1267" s="2" t="s">
        <v>2886</v>
      </c>
      <c r="K1267" s="44" t="n">
        <v>0.0849947534102833</v>
      </c>
      <c r="L1267" s="31" t="n">
        <v>51.6</v>
      </c>
      <c r="M1267" s="34" t="s">
        <v>822</v>
      </c>
      <c r="N1267" s="2" t="s">
        <v>22</v>
      </c>
      <c r="O1267" s="2" t="s">
        <v>22</v>
      </c>
      <c r="P1267" s="2" t="s">
        <v>22</v>
      </c>
      <c r="Q1267" s="2" t="s">
        <v>22</v>
      </c>
    </row>
    <row r="1268" customFormat="false" ht="15" hidden="false" customHeight="false" outlineLevel="0" collapsed="false">
      <c r="A1268" s="2" t="s">
        <v>3195</v>
      </c>
      <c r="B1268" s="2" t="s">
        <v>46</v>
      </c>
      <c r="C1268" s="13" t="s">
        <v>3196</v>
      </c>
      <c r="D1268" s="29" t="n">
        <v>41700</v>
      </c>
      <c r="E1268" s="2" t="s">
        <v>821</v>
      </c>
      <c r="F1268" s="36"/>
      <c r="G1268" s="31"/>
      <c r="H1268" s="32" t="n">
        <v>0.200691045205874</v>
      </c>
      <c r="I1268" s="31" t="n">
        <v>94.2</v>
      </c>
      <c r="J1268" s="2" t="s">
        <v>2884</v>
      </c>
      <c r="K1268" s="33" t="n">
        <v>0.0662482566248257</v>
      </c>
      <c r="L1268" s="31" t="n">
        <v>17.9</v>
      </c>
      <c r="M1268" s="39" t="s">
        <v>832</v>
      </c>
      <c r="N1268" s="2" t="s">
        <v>24</v>
      </c>
      <c r="O1268" s="2"/>
      <c r="P1268" s="2" t="s">
        <v>24</v>
      </c>
      <c r="Q1268" s="2" t="s">
        <v>24</v>
      </c>
    </row>
    <row r="1269" customFormat="false" ht="15" hidden="false" customHeight="false" outlineLevel="0" collapsed="false">
      <c r="A1269" s="2" t="s">
        <v>288</v>
      </c>
      <c r="B1269" s="2" t="s">
        <v>45</v>
      </c>
      <c r="C1269" s="13" t="s">
        <v>897</v>
      </c>
      <c r="D1269" s="29" t="n">
        <v>12720</v>
      </c>
      <c r="E1269" s="2" t="s">
        <v>821</v>
      </c>
      <c r="F1269" s="30" t="n">
        <v>1.63529874213837</v>
      </c>
      <c r="G1269" s="31" t="n">
        <v>91.3</v>
      </c>
      <c r="H1269" s="48" t="n">
        <v>0.108721523291398</v>
      </c>
      <c r="I1269" s="31" t="n">
        <v>57.4</v>
      </c>
      <c r="J1269" s="2" t="s">
        <v>2883</v>
      </c>
      <c r="K1269" s="33" t="n">
        <v>0.204724409448819</v>
      </c>
      <c r="L1269" s="31" t="n">
        <v>74.8</v>
      </c>
      <c r="M1269" s="34" t="s">
        <v>822</v>
      </c>
      <c r="N1269" s="2" t="s">
        <v>24</v>
      </c>
      <c r="O1269" s="2" t="s">
        <v>24</v>
      </c>
      <c r="P1269" s="2" t="s">
        <v>19</v>
      </c>
      <c r="Q1269" s="2" t="s">
        <v>24</v>
      </c>
    </row>
    <row r="1270" customFormat="false" ht="15" hidden="false" customHeight="false" outlineLevel="0" collapsed="false">
      <c r="A1270" s="2" t="s">
        <v>288</v>
      </c>
      <c r="B1270" s="2" t="s">
        <v>46</v>
      </c>
      <c r="C1270" s="13" t="s">
        <v>1808</v>
      </c>
      <c r="D1270" s="29" t="n">
        <v>4770</v>
      </c>
      <c r="E1270" s="2" t="s">
        <v>825</v>
      </c>
      <c r="F1270" s="30" t="n">
        <v>4.04758909853249</v>
      </c>
      <c r="G1270" s="31" t="n">
        <v>65</v>
      </c>
      <c r="H1270" s="32" t="n">
        <v>0.160583941605839</v>
      </c>
      <c r="I1270" s="31" t="n">
        <v>71.7</v>
      </c>
      <c r="J1270" s="2" t="s">
        <v>2905</v>
      </c>
      <c r="K1270" s="33" t="n">
        <v>0.00556715379262352</v>
      </c>
      <c r="L1270" s="31" t="n">
        <v>0.2</v>
      </c>
      <c r="M1270" s="34" t="s">
        <v>822</v>
      </c>
      <c r="N1270" s="2" t="s">
        <v>24</v>
      </c>
      <c r="O1270" s="2" t="s">
        <v>24</v>
      </c>
      <c r="P1270" s="2" t="s">
        <v>24</v>
      </c>
      <c r="Q1270" s="2" t="s">
        <v>24</v>
      </c>
    </row>
    <row r="1271" customFormat="false" ht="15" hidden="false" customHeight="false" outlineLevel="0" collapsed="false">
      <c r="A1271" s="2" t="s">
        <v>288</v>
      </c>
      <c r="B1271" s="2" t="s">
        <v>47</v>
      </c>
      <c r="C1271" s="14" t="s">
        <v>2628</v>
      </c>
      <c r="D1271" s="42" t="n">
        <v>386168</v>
      </c>
      <c r="E1271" s="2" t="s">
        <v>827</v>
      </c>
      <c r="F1271" s="43" t="n">
        <v>0.951484845973773</v>
      </c>
      <c r="G1271" s="31" t="n">
        <v>36.7</v>
      </c>
      <c r="H1271" s="41" t="n">
        <v>0.0964981273939969</v>
      </c>
      <c r="I1271" s="31" t="n">
        <v>56.5</v>
      </c>
      <c r="J1271" s="2" t="s">
        <v>2897</v>
      </c>
      <c r="K1271" s="44" t="n">
        <v>0.0804375181492595</v>
      </c>
      <c r="L1271" s="31" t="n">
        <v>49.3</v>
      </c>
      <c r="M1271" s="34" t="s">
        <v>822</v>
      </c>
      <c r="N1271" s="2" t="s">
        <v>22</v>
      </c>
      <c r="O1271" s="2" t="s">
        <v>22</v>
      </c>
      <c r="P1271" s="2" t="s">
        <v>22</v>
      </c>
      <c r="Q1271" s="2" t="s">
        <v>22</v>
      </c>
    </row>
    <row r="1272" customFormat="false" ht="15" hidden="false" customHeight="false" outlineLevel="0" collapsed="false">
      <c r="A1272" s="2" t="s">
        <v>1367</v>
      </c>
      <c r="B1272" s="2" t="s">
        <v>45</v>
      </c>
      <c r="C1272" s="13" t="s">
        <v>1368</v>
      </c>
      <c r="D1272" s="29" t="n">
        <v>32180</v>
      </c>
      <c r="E1272" s="2" t="s">
        <v>821</v>
      </c>
      <c r="F1272" s="30" t="n">
        <v>0.44136109384711</v>
      </c>
      <c r="G1272" s="31" t="n">
        <v>33.1</v>
      </c>
      <c r="H1272" s="32" t="n">
        <v>0.114265927977839</v>
      </c>
      <c r="I1272" s="31" t="n">
        <v>60.5</v>
      </c>
      <c r="J1272" s="2" t="s">
        <v>2883</v>
      </c>
      <c r="K1272" s="33" t="n">
        <v>0.230916030534351</v>
      </c>
      <c r="L1272" s="31" t="n">
        <v>78.6</v>
      </c>
      <c r="M1272" s="34" t="s">
        <v>822</v>
      </c>
      <c r="N1272" s="2" t="s">
        <v>24</v>
      </c>
      <c r="O1272" s="2" t="s">
        <v>24</v>
      </c>
      <c r="P1272" s="2" t="s">
        <v>24</v>
      </c>
      <c r="Q1272" s="2" t="s">
        <v>24</v>
      </c>
    </row>
    <row r="1273" customFormat="false" ht="15" hidden="false" customHeight="false" outlineLevel="0" collapsed="false">
      <c r="A1273" s="2" t="s">
        <v>1367</v>
      </c>
      <c r="B1273" s="2" t="s">
        <v>46</v>
      </c>
      <c r="C1273" s="13" t="s">
        <v>3197</v>
      </c>
      <c r="D1273" s="35"/>
      <c r="E1273" s="2"/>
      <c r="F1273" s="36"/>
      <c r="G1273" s="31"/>
      <c r="H1273" s="37"/>
      <c r="I1273" s="31"/>
      <c r="J1273" s="2"/>
      <c r="K1273" s="33" t="n">
        <v>0.0987091875474563</v>
      </c>
      <c r="L1273" s="31" t="n">
        <v>36.4</v>
      </c>
      <c r="M1273" s="39" t="s">
        <v>832</v>
      </c>
      <c r="N1273" s="2"/>
      <c r="O1273" s="2"/>
      <c r="P1273" s="2"/>
      <c r="Q1273" s="2" t="s">
        <v>24</v>
      </c>
    </row>
    <row r="1274" customFormat="false" ht="15" hidden="false" customHeight="false" outlineLevel="0" collapsed="false">
      <c r="A1274" s="2" t="s">
        <v>1367</v>
      </c>
      <c r="B1274" s="2" t="s">
        <v>47</v>
      </c>
      <c r="C1274" s="14" t="s">
        <v>2747</v>
      </c>
      <c r="D1274" s="42" t="n">
        <v>416856</v>
      </c>
      <c r="E1274" s="2" t="s">
        <v>827</v>
      </c>
      <c r="F1274" s="43" t="n">
        <v>0.609870075037903</v>
      </c>
      <c r="G1274" s="31" t="n">
        <v>18.9</v>
      </c>
      <c r="H1274" s="41" t="n">
        <v>0.0351989907669079</v>
      </c>
      <c r="I1274" s="31" t="n">
        <v>22.4</v>
      </c>
      <c r="J1274" s="2" t="s">
        <v>2897</v>
      </c>
      <c r="K1274" s="44" t="n">
        <v>0.209461690885073</v>
      </c>
      <c r="L1274" s="31" t="n">
        <v>86.7</v>
      </c>
      <c r="M1274" s="34" t="s">
        <v>822</v>
      </c>
      <c r="N1274" s="2" t="s">
        <v>22</v>
      </c>
      <c r="O1274" s="2" t="s">
        <v>22</v>
      </c>
      <c r="P1274" s="2" t="s">
        <v>22</v>
      </c>
      <c r="Q1274" s="2" t="s">
        <v>22</v>
      </c>
    </row>
    <row r="1275" customFormat="false" ht="15" hidden="false" customHeight="false" outlineLevel="0" collapsed="false">
      <c r="A1275" s="2" t="s">
        <v>410</v>
      </c>
      <c r="B1275" s="2" t="s">
        <v>46</v>
      </c>
      <c r="C1275" s="13" t="s">
        <v>1616</v>
      </c>
      <c r="D1275" s="29" t="n">
        <v>337180</v>
      </c>
      <c r="E1275" s="2" t="s">
        <v>827</v>
      </c>
      <c r="F1275" s="30" t="n">
        <v>13.6849397947684</v>
      </c>
      <c r="G1275" s="31" t="n">
        <v>97.4</v>
      </c>
      <c r="H1275" s="32" t="n">
        <v>0.17431128757009</v>
      </c>
      <c r="I1275" s="31" t="n">
        <v>93.6</v>
      </c>
      <c r="J1275" s="2" t="s">
        <v>2888</v>
      </c>
      <c r="K1275" s="33" t="n">
        <v>0.208459419944919</v>
      </c>
      <c r="L1275" s="31" t="n">
        <v>70.9</v>
      </c>
      <c r="M1275" s="34" t="s">
        <v>822</v>
      </c>
      <c r="N1275" s="2" t="s">
        <v>24</v>
      </c>
      <c r="O1275" s="2" t="s">
        <v>24</v>
      </c>
      <c r="P1275" s="2" t="s">
        <v>24</v>
      </c>
      <c r="Q1275" s="2" t="s">
        <v>24</v>
      </c>
    </row>
    <row r="1276" customFormat="false" ht="15" hidden="false" customHeight="false" outlineLevel="0" collapsed="false">
      <c r="A1276" s="2" t="s">
        <v>410</v>
      </c>
      <c r="B1276" s="2" t="s">
        <v>47</v>
      </c>
      <c r="C1276" s="13" t="s">
        <v>2800</v>
      </c>
      <c r="D1276" s="29" t="n">
        <v>129680</v>
      </c>
      <c r="E1276" s="2" t="s">
        <v>827</v>
      </c>
      <c r="F1276" s="30" t="n">
        <v>0.477837754472548</v>
      </c>
      <c r="G1276" s="31" t="n">
        <v>11.6</v>
      </c>
      <c r="H1276" s="32" t="n">
        <v>0.0683802932937881</v>
      </c>
      <c r="I1276" s="31" t="n">
        <v>41</v>
      </c>
      <c r="J1276" s="2" t="s">
        <v>2897</v>
      </c>
      <c r="K1276" s="33" t="n">
        <v>0.295800144822592</v>
      </c>
      <c r="L1276" s="31" t="n">
        <v>96.1</v>
      </c>
      <c r="M1276" s="34" t="s">
        <v>822</v>
      </c>
      <c r="N1276" s="2" t="s">
        <v>24</v>
      </c>
      <c r="O1276" s="2" t="s">
        <v>24</v>
      </c>
      <c r="P1276" s="2" t="s">
        <v>24</v>
      </c>
      <c r="Q1276" s="2" t="s">
        <v>24</v>
      </c>
    </row>
    <row r="1277" customFormat="false" ht="15" hidden="false" customHeight="false" outlineLevel="0" collapsed="false">
      <c r="A1277" s="2" t="s">
        <v>3198</v>
      </c>
      <c r="B1277" s="2" t="s">
        <v>45</v>
      </c>
      <c r="C1277" s="16"/>
      <c r="D1277" s="35"/>
      <c r="E1277" s="2"/>
      <c r="F1277" s="36"/>
      <c r="G1277" s="31"/>
      <c r="H1277" s="37"/>
      <c r="I1277" s="31"/>
      <c r="J1277" s="2"/>
      <c r="K1277" s="38"/>
      <c r="L1277" s="31"/>
      <c r="M1277" s="39" t="s">
        <v>832</v>
      </c>
      <c r="N1277" s="2"/>
      <c r="O1277" s="2"/>
      <c r="P1277" s="2"/>
      <c r="Q1277" s="2"/>
    </row>
    <row r="1278" customFormat="false" ht="15" hidden="false" customHeight="false" outlineLevel="0" collapsed="false">
      <c r="A1278" s="2" t="s">
        <v>3198</v>
      </c>
      <c r="B1278" s="2" t="s">
        <v>47</v>
      </c>
      <c r="C1278" s="14" t="s">
        <v>3199</v>
      </c>
      <c r="D1278" s="42" t="n">
        <v>2034</v>
      </c>
      <c r="E1278" s="2" t="s">
        <v>825</v>
      </c>
      <c r="F1278" s="43" t="n">
        <v>0.364798426745329</v>
      </c>
      <c r="G1278" s="31" t="n">
        <v>5.6</v>
      </c>
      <c r="H1278" s="41" t="n">
        <v>-0.0145348837209302</v>
      </c>
      <c r="I1278" s="31" t="n">
        <v>10</v>
      </c>
      <c r="J1278" s="2" t="s">
        <v>2889</v>
      </c>
      <c r="K1278" s="38"/>
      <c r="L1278" s="31"/>
      <c r="M1278" s="39" t="s">
        <v>832</v>
      </c>
      <c r="N1278" s="2" t="s">
        <v>22</v>
      </c>
      <c r="O1278" s="2" t="s">
        <v>22</v>
      </c>
      <c r="P1278" s="2" t="s">
        <v>22</v>
      </c>
      <c r="Q1278" s="2"/>
    </row>
    <row r="1279" customFormat="false" ht="15" hidden="false" customHeight="false" outlineLevel="0" collapsed="false">
      <c r="A1279" s="2" t="s">
        <v>276</v>
      </c>
      <c r="B1279" s="2" t="s">
        <v>45</v>
      </c>
      <c r="C1279" s="14" t="s">
        <v>1047</v>
      </c>
      <c r="D1279" s="42" t="n">
        <v>14327</v>
      </c>
      <c r="E1279" s="2" t="s">
        <v>821</v>
      </c>
      <c r="F1279" s="43" t="n">
        <v>0.878550987645704</v>
      </c>
      <c r="G1279" s="31" t="n">
        <v>73.9</v>
      </c>
      <c r="H1279" s="41" t="n">
        <v>0.107015917168907</v>
      </c>
      <c r="I1279" s="31" t="n">
        <v>56</v>
      </c>
      <c r="J1279" s="2" t="s">
        <v>2883</v>
      </c>
      <c r="K1279" s="44" t="n">
        <v>0.0625</v>
      </c>
      <c r="L1279" s="31" t="n">
        <v>20.7</v>
      </c>
      <c r="M1279" s="34" t="s">
        <v>822</v>
      </c>
      <c r="N1279" s="2" t="s">
        <v>22</v>
      </c>
      <c r="O1279" s="2" t="s">
        <v>22</v>
      </c>
      <c r="P1279" s="2" t="s">
        <v>22</v>
      </c>
      <c r="Q1279" s="2" t="s">
        <v>22</v>
      </c>
    </row>
    <row r="1280" customFormat="false" ht="15" hidden="false" customHeight="false" outlineLevel="0" collapsed="false">
      <c r="A1280" s="2" t="s">
        <v>276</v>
      </c>
      <c r="B1280" s="2" t="s">
        <v>46</v>
      </c>
      <c r="C1280" s="13" t="s">
        <v>1771</v>
      </c>
      <c r="D1280" s="29" t="n">
        <v>192590</v>
      </c>
      <c r="E1280" s="2" t="s">
        <v>827</v>
      </c>
      <c r="F1280" s="30" t="n">
        <v>4.76286930785607</v>
      </c>
      <c r="G1280" s="31" t="n">
        <v>71.1</v>
      </c>
      <c r="H1280" s="32" t="n">
        <v>0.0543055783653583</v>
      </c>
      <c r="I1280" s="31" t="n">
        <v>38.9</v>
      </c>
      <c r="J1280" s="2" t="s">
        <v>2888</v>
      </c>
      <c r="K1280" s="33" t="n">
        <v>0.22729952186538</v>
      </c>
      <c r="L1280" s="31" t="n">
        <v>75.9</v>
      </c>
      <c r="M1280" s="34" t="s">
        <v>822</v>
      </c>
      <c r="N1280" s="2" t="s">
        <v>24</v>
      </c>
      <c r="O1280" s="2" t="s">
        <v>24</v>
      </c>
      <c r="P1280" s="2" t="s">
        <v>24</v>
      </c>
      <c r="Q1280" s="2" t="s">
        <v>24</v>
      </c>
    </row>
    <row r="1281" customFormat="false" ht="15" hidden="false" customHeight="false" outlineLevel="0" collapsed="false">
      <c r="A1281" s="2" t="s">
        <v>276</v>
      </c>
      <c r="B1281" s="2" t="s">
        <v>47</v>
      </c>
      <c r="C1281" s="14" t="s">
        <v>2539</v>
      </c>
      <c r="D1281" s="42" t="n">
        <v>7674</v>
      </c>
      <c r="E1281" s="2" t="s">
        <v>825</v>
      </c>
      <c r="F1281" s="43" t="n">
        <v>1.25254104769351</v>
      </c>
      <c r="G1281" s="31" t="n">
        <v>50.4</v>
      </c>
      <c r="H1281" s="41" t="n">
        <v>0.197005147402901</v>
      </c>
      <c r="I1281" s="31" t="n">
        <v>87.5</v>
      </c>
      <c r="J1281" s="2" t="s">
        <v>2889</v>
      </c>
      <c r="K1281" s="44" t="n">
        <v>0.0259515570934256</v>
      </c>
      <c r="L1281" s="31" t="n">
        <v>16.7</v>
      </c>
      <c r="M1281" s="34" t="s">
        <v>822</v>
      </c>
      <c r="N1281" s="2" t="s">
        <v>22</v>
      </c>
      <c r="O1281" s="2" t="s">
        <v>22</v>
      </c>
      <c r="P1281" s="2" t="s">
        <v>22</v>
      </c>
      <c r="Q1281" s="2" t="s">
        <v>22</v>
      </c>
    </row>
    <row r="1282" customFormat="false" ht="15" hidden="false" customHeight="false" outlineLevel="0" collapsed="false">
      <c r="A1282" s="2" t="s">
        <v>2323</v>
      </c>
      <c r="B1282" s="2" t="s">
        <v>45</v>
      </c>
      <c r="C1282" s="13" t="s">
        <v>3200</v>
      </c>
      <c r="D1282" s="29" t="n">
        <v>36580</v>
      </c>
      <c r="E1282" s="2" t="s">
        <v>821</v>
      </c>
      <c r="F1282" s="30" t="n">
        <v>0.51957353745216</v>
      </c>
      <c r="G1282" s="31" t="n">
        <v>44.2</v>
      </c>
      <c r="H1282" s="32" t="n">
        <v>0.0832099496594611</v>
      </c>
      <c r="I1282" s="31" t="n">
        <v>44.7</v>
      </c>
      <c r="J1282" s="2" t="s">
        <v>2883</v>
      </c>
      <c r="K1282" s="38"/>
      <c r="L1282" s="31"/>
      <c r="M1282" s="39" t="s">
        <v>832</v>
      </c>
      <c r="N1282" s="2" t="s">
        <v>24</v>
      </c>
      <c r="O1282" s="2" t="s">
        <v>24</v>
      </c>
      <c r="P1282" s="2" t="s">
        <v>24</v>
      </c>
      <c r="Q1282" s="2"/>
    </row>
    <row r="1283" customFormat="false" ht="15" hidden="false" customHeight="false" outlineLevel="0" collapsed="false">
      <c r="A1283" s="2" t="s">
        <v>2323</v>
      </c>
      <c r="B1283" s="2" t="s">
        <v>46</v>
      </c>
      <c r="C1283" s="16"/>
      <c r="D1283" s="35"/>
      <c r="E1283" s="2"/>
      <c r="F1283" s="36"/>
      <c r="G1283" s="31"/>
      <c r="H1283" s="37"/>
      <c r="I1283" s="31"/>
      <c r="J1283" s="2"/>
      <c r="K1283" s="38"/>
      <c r="L1283" s="31"/>
      <c r="M1283" s="39" t="s">
        <v>832</v>
      </c>
      <c r="N1283" s="2"/>
      <c r="O1283" s="2"/>
      <c r="P1283" s="2"/>
      <c r="Q1283" s="2"/>
    </row>
    <row r="1284" customFormat="false" ht="15" hidden="false" customHeight="false" outlineLevel="0" collapsed="false">
      <c r="A1284" s="2" t="s">
        <v>2323</v>
      </c>
      <c r="B1284" s="2" t="s">
        <v>47</v>
      </c>
      <c r="C1284" s="13" t="s">
        <v>2324</v>
      </c>
      <c r="D1284" s="29" t="n">
        <v>1016380</v>
      </c>
      <c r="E1284" s="2" t="s">
        <v>935</v>
      </c>
      <c r="F1284" s="30" t="n">
        <v>2.45313071882564</v>
      </c>
      <c r="G1284" s="31" t="n">
        <v>84</v>
      </c>
      <c r="H1284" s="32" t="n">
        <v>0.00737407576268163</v>
      </c>
      <c r="I1284" s="31" t="n">
        <v>28.6</v>
      </c>
      <c r="J1284" s="2" t="s">
        <v>2922</v>
      </c>
      <c r="K1284" s="33" t="n">
        <v>0.039451895255946</v>
      </c>
      <c r="L1284" s="31" t="n">
        <v>26.2</v>
      </c>
      <c r="M1284" s="34" t="s">
        <v>822</v>
      </c>
      <c r="N1284" s="2" t="s">
        <v>24</v>
      </c>
      <c r="O1284" s="2" t="s">
        <v>24</v>
      </c>
      <c r="P1284" s="2" t="s">
        <v>24</v>
      </c>
      <c r="Q1284" s="2" t="s">
        <v>24</v>
      </c>
    </row>
    <row r="1285" customFormat="false" ht="15" hidden="false" customHeight="false" outlineLevel="0" collapsed="false">
      <c r="A1285" s="2" t="s">
        <v>1890</v>
      </c>
      <c r="B1285" s="2" t="s">
        <v>45</v>
      </c>
      <c r="C1285" s="16"/>
      <c r="D1285" s="35"/>
      <c r="E1285" s="2"/>
      <c r="F1285" s="36"/>
      <c r="G1285" s="31"/>
      <c r="H1285" s="37"/>
      <c r="I1285" s="31"/>
      <c r="J1285" s="2"/>
      <c r="K1285" s="38"/>
      <c r="L1285" s="31"/>
      <c r="M1285" s="39" t="s">
        <v>832</v>
      </c>
      <c r="N1285" s="2"/>
      <c r="O1285" s="2"/>
      <c r="P1285" s="2"/>
      <c r="Q1285" s="2"/>
    </row>
    <row r="1286" customFormat="false" ht="15" hidden="false" customHeight="false" outlineLevel="0" collapsed="false">
      <c r="A1286" s="2" t="s">
        <v>1890</v>
      </c>
      <c r="B1286" s="2" t="s">
        <v>46</v>
      </c>
      <c r="C1286" s="13" t="s">
        <v>1891</v>
      </c>
      <c r="D1286" s="29" t="n">
        <v>7660</v>
      </c>
      <c r="E1286" s="2" t="s">
        <v>825</v>
      </c>
      <c r="F1286" s="43" t="n">
        <v>3.24362719065321</v>
      </c>
      <c r="G1286" s="31" t="n">
        <v>51.3</v>
      </c>
      <c r="H1286" s="32" t="n">
        <v>0.114992721979622</v>
      </c>
      <c r="I1286" s="31" t="n">
        <v>50.9</v>
      </c>
      <c r="J1286" s="2" t="s">
        <v>2905</v>
      </c>
      <c r="K1286" s="44" t="n">
        <v>0.0818070818070818</v>
      </c>
      <c r="L1286" s="31" t="n">
        <v>27.2</v>
      </c>
      <c r="M1286" s="34" t="s">
        <v>822</v>
      </c>
      <c r="N1286" s="2" t="s">
        <v>24</v>
      </c>
      <c r="O1286" s="2" t="s">
        <v>22</v>
      </c>
      <c r="P1286" s="2" t="s">
        <v>24</v>
      </c>
      <c r="Q1286" s="2" t="s">
        <v>22</v>
      </c>
    </row>
    <row r="1287" customFormat="false" ht="15" hidden="false" customHeight="false" outlineLevel="0" collapsed="false">
      <c r="A1287" s="2" t="s">
        <v>356</v>
      </c>
      <c r="B1287" s="2" t="s">
        <v>45</v>
      </c>
      <c r="C1287" s="14" t="s">
        <v>972</v>
      </c>
      <c r="D1287" s="42" t="n">
        <v>12726</v>
      </c>
      <c r="E1287" s="2" t="s">
        <v>821</v>
      </c>
      <c r="F1287" s="43" t="n">
        <v>1.15385824296715</v>
      </c>
      <c r="G1287" s="31" t="n">
        <v>82.4</v>
      </c>
      <c r="H1287" s="41" t="n">
        <v>0.206027293404094</v>
      </c>
      <c r="I1287" s="31" t="n">
        <v>92.1</v>
      </c>
      <c r="J1287" s="2" t="s">
        <v>2883</v>
      </c>
      <c r="K1287" s="44" t="n">
        <v>0.0291750503018109</v>
      </c>
      <c r="L1287" s="31" t="n">
        <v>7.9</v>
      </c>
      <c r="M1287" s="34" t="s">
        <v>822</v>
      </c>
      <c r="N1287" s="2" t="s">
        <v>22</v>
      </c>
      <c r="O1287" s="2" t="s">
        <v>22</v>
      </c>
      <c r="P1287" s="2" t="s">
        <v>22</v>
      </c>
      <c r="Q1287" s="2" t="s">
        <v>22</v>
      </c>
    </row>
    <row r="1288" customFormat="false" ht="15" hidden="false" customHeight="false" outlineLevel="0" collapsed="false">
      <c r="A1288" s="2" t="s">
        <v>356</v>
      </c>
      <c r="B1288" s="2" t="s">
        <v>46</v>
      </c>
      <c r="C1288" s="13" t="s">
        <v>2000</v>
      </c>
      <c r="D1288" s="29" t="n">
        <v>34730</v>
      </c>
      <c r="E1288" s="2" t="s">
        <v>821</v>
      </c>
      <c r="F1288" s="30" t="n">
        <v>2.36927728188886</v>
      </c>
      <c r="G1288" s="31" t="n">
        <v>34.2</v>
      </c>
      <c r="H1288" s="32" t="n">
        <v>0.189791024323398</v>
      </c>
      <c r="I1288" s="31" t="n">
        <v>91.3</v>
      </c>
      <c r="J1288" s="2" t="s">
        <v>2884</v>
      </c>
      <c r="K1288" s="33" t="n">
        <v>0.276487252124646</v>
      </c>
      <c r="L1288" s="31" t="n">
        <v>85.7</v>
      </c>
      <c r="M1288" s="34" t="s">
        <v>822</v>
      </c>
      <c r="N1288" s="2" t="s">
        <v>24</v>
      </c>
      <c r="O1288" s="2" t="s">
        <v>24</v>
      </c>
      <c r="P1288" s="2" t="s">
        <v>24</v>
      </c>
      <c r="Q1288" s="2" t="s">
        <v>24</v>
      </c>
    </row>
    <row r="1289" customFormat="false" ht="15" hidden="false" customHeight="false" outlineLevel="0" collapsed="false">
      <c r="A1289" s="2" t="s">
        <v>356</v>
      </c>
      <c r="B1289" s="2" t="s">
        <v>47</v>
      </c>
      <c r="C1289" s="14" t="s">
        <v>2469</v>
      </c>
      <c r="D1289" s="42" t="n">
        <v>7854</v>
      </c>
      <c r="E1289" s="2" t="s">
        <v>825</v>
      </c>
      <c r="F1289" s="43" t="n">
        <v>1.50814871403107</v>
      </c>
      <c r="G1289" s="31" t="n">
        <v>60.5</v>
      </c>
      <c r="H1289" s="41" t="n">
        <v>0.102161100196464</v>
      </c>
      <c r="I1289" s="31" t="n">
        <v>46.2</v>
      </c>
      <c r="J1289" s="2" t="s">
        <v>2889</v>
      </c>
      <c r="K1289" s="44" t="n">
        <v>0.156308851224106</v>
      </c>
      <c r="L1289" s="31" t="n">
        <v>75.3</v>
      </c>
      <c r="M1289" s="34" t="s">
        <v>822</v>
      </c>
      <c r="N1289" s="2" t="s">
        <v>22</v>
      </c>
      <c r="O1289" s="2" t="s">
        <v>22</v>
      </c>
      <c r="P1289" s="2" t="s">
        <v>22</v>
      </c>
      <c r="Q1289" s="2" t="s">
        <v>22</v>
      </c>
    </row>
    <row r="1290" customFormat="false" ht="15" hidden="false" customHeight="false" outlineLevel="0" collapsed="false">
      <c r="A1290" s="2" t="s">
        <v>3201</v>
      </c>
      <c r="B1290" s="2" t="s">
        <v>45</v>
      </c>
      <c r="C1290" s="14" t="s">
        <v>3202</v>
      </c>
      <c r="D1290" s="42" t="n">
        <v>8857</v>
      </c>
      <c r="E1290" s="2" t="s">
        <v>825</v>
      </c>
      <c r="F1290" s="43" t="n">
        <v>1.46336231229536</v>
      </c>
      <c r="G1290" s="31" t="n">
        <v>88.7</v>
      </c>
      <c r="H1290" s="41" t="n">
        <v>0.104088755921217</v>
      </c>
      <c r="I1290" s="31" t="n">
        <v>56.3</v>
      </c>
      <c r="J1290" s="2" t="s">
        <v>2899</v>
      </c>
      <c r="K1290" s="38"/>
      <c r="L1290" s="31"/>
      <c r="M1290" s="39" t="s">
        <v>832</v>
      </c>
      <c r="N1290" s="2" t="s">
        <v>22</v>
      </c>
      <c r="O1290" s="2" t="s">
        <v>22</v>
      </c>
      <c r="P1290" s="2" t="s">
        <v>22</v>
      </c>
      <c r="Q1290" s="2"/>
    </row>
    <row r="1291" customFormat="false" ht="15" hidden="false" customHeight="false" outlineLevel="0" collapsed="false">
      <c r="A1291" s="2" t="s">
        <v>3201</v>
      </c>
      <c r="B1291" s="2" t="s">
        <v>46</v>
      </c>
      <c r="C1291" s="13" t="s">
        <v>3203</v>
      </c>
      <c r="D1291" s="29" t="n">
        <v>4920</v>
      </c>
      <c r="E1291" s="2" t="s">
        <v>825</v>
      </c>
      <c r="F1291" s="36"/>
      <c r="G1291" s="31"/>
      <c r="H1291" s="37"/>
      <c r="I1291" s="31"/>
      <c r="J1291" s="2"/>
      <c r="K1291" s="33" t="n">
        <v>0.227799227799228</v>
      </c>
      <c r="L1291" s="31" t="n">
        <v>76.2</v>
      </c>
      <c r="M1291" s="39" t="s">
        <v>832</v>
      </c>
      <c r="N1291" s="2" t="s">
        <v>24</v>
      </c>
      <c r="O1291" s="2"/>
      <c r="P1291" s="2"/>
      <c r="Q1291" s="2" t="s">
        <v>24</v>
      </c>
    </row>
    <row r="1292" customFormat="false" ht="15" hidden="false" customHeight="false" outlineLevel="0" collapsed="false">
      <c r="A1292" s="2" t="s">
        <v>512</v>
      </c>
      <c r="B1292" s="2" t="s">
        <v>45</v>
      </c>
      <c r="C1292" s="14" t="s">
        <v>1250</v>
      </c>
      <c r="D1292" s="42" t="n">
        <v>1998</v>
      </c>
      <c r="E1292" s="2" t="s">
        <v>825</v>
      </c>
      <c r="F1292" s="43" t="n">
        <v>0.542542542542543</v>
      </c>
      <c r="G1292" s="31" t="n">
        <v>47.6</v>
      </c>
      <c r="H1292" s="41" t="n">
        <v>0.125</v>
      </c>
      <c r="I1292" s="31" t="n">
        <v>66.2</v>
      </c>
      <c r="J1292" s="2" t="s">
        <v>2899</v>
      </c>
      <c r="K1292" s="44" t="n">
        <v>0.114754098360656</v>
      </c>
      <c r="L1292" s="31" t="n">
        <v>42</v>
      </c>
      <c r="M1292" s="34" t="s">
        <v>822</v>
      </c>
      <c r="N1292" s="2" t="s">
        <v>22</v>
      </c>
      <c r="O1292" s="2" t="s">
        <v>22</v>
      </c>
      <c r="P1292" s="2" t="s">
        <v>22</v>
      </c>
      <c r="Q1292" s="2" t="s">
        <v>22</v>
      </c>
    </row>
    <row r="1293" customFormat="false" ht="15" hidden="false" customHeight="false" outlineLevel="0" collapsed="false">
      <c r="A1293" s="2" t="s">
        <v>2779</v>
      </c>
      <c r="B1293" s="2" t="s">
        <v>46</v>
      </c>
      <c r="C1293" s="13" t="s">
        <v>3204</v>
      </c>
      <c r="D1293" s="29" t="n">
        <v>73270</v>
      </c>
      <c r="E1293" s="2" t="s">
        <v>821</v>
      </c>
      <c r="F1293" s="30" t="n">
        <v>7.34390610072335</v>
      </c>
      <c r="G1293" s="31" t="n">
        <v>87.6</v>
      </c>
      <c r="H1293" s="32" t="n">
        <v>0.0395856980703746</v>
      </c>
      <c r="I1293" s="31" t="n">
        <v>26.2</v>
      </c>
      <c r="J1293" s="2" t="s">
        <v>2884</v>
      </c>
      <c r="K1293" s="38"/>
      <c r="L1293" s="31"/>
      <c r="M1293" s="39" t="s">
        <v>832</v>
      </c>
      <c r="N1293" s="2" t="s">
        <v>24</v>
      </c>
      <c r="O1293" s="2" t="s">
        <v>24</v>
      </c>
      <c r="P1293" s="2" t="s">
        <v>24</v>
      </c>
      <c r="Q1293" s="2"/>
    </row>
    <row r="1294" customFormat="false" ht="15" hidden="false" customHeight="false" outlineLevel="0" collapsed="false">
      <c r="A1294" s="2" t="s">
        <v>2779</v>
      </c>
      <c r="B1294" s="2" t="s">
        <v>47</v>
      </c>
      <c r="C1294" s="14" t="s">
        <v>2780</v>
      </c>
      <c r="D1294" s="42" t="n">
        <v>83787</v>
      </c>
      <c r="E1294" s="2" t="s">
        <v>821</v>
      </c>
      <c r="F1294" s="43" t="n">
        <v>0.531586045567928</v>
      </c>
      <c r="G1294" s="31" t="n">
        <v>15</v>
      </c>
      <c r="H1294" s="41" t="n">
        <v>0.0896853988113043</v>
      </c>
      <c r="I1294" s="31" t="n">
        <v>47.7</v>
      </c>
      <c r="J1294" s="2" t="s">
        <v>2886</v>
      </c>
      <c r="K1294" s="44" t="n">
        <v>0.0101670297748729</v>
      </c>
      <c r="L1294" s="31" t="n">
        <v>6.5</v>
      </c>
      <c r="M1294" s="34" t="s">
        <v>822</v>
      </c>
      <c r="N1294" s="2" t="s">
        <v>22</v>
      </c>
      <c r="O1294" s="2" t="s">
        <v>22</v>
      </c>
      <c r="P1294" s="2" t="s">
        <v>22</v>
      </c>
      <c r="Q1294" s="2" t="s">
        <v>22</v>
      </c>
    </row>
    <row r="1295" customFormat="false" ht="15" hidden="false" customHeight="false" outlineLevel="0" collapsed="false">
      <c r="A1295" s="2" t="s">
        <v>3205</v>
      </c>
      <c r="B1295" s="2" t="s">
        <v>45</v>
      </c>
      <c r="C1295" s="13" t="s">
        <v>3206</v>
      </c>
      <c r="D1295" s="29" t="n">
        <v>78510</v>
      </c>
      <c r="E1295" s="2" t="s">
        <v>821</v>
      </c>
      <c r="F1295" s="30" t="n">
        <v>0.557597758247357</v>
      </c>
      <c r="G1295" s="31" t="n">
        <v>49</v>
      </c>
      <c r="H1295" s="32" t="n">
        <v>0.156940760389036</v>
      </c>
      <c r="I1295" s="31" t="n">
        <v>78</v>
      </c>
      <c r="J1295" s="2" t="s">
        <v>2883</v>
      </c>
      <c r="K1295" s="38"/>
      <c r="L1295" s="31"/>
      <c r="M1295" s="39" t="s">
        <v>832</v>
      </c>
      <c r="N1295" s="2" t="s">
        <v>24</v>
      </c>
      <c r="O1295" s="2" t="s">
        <v>24</v>
      </c>
      <c r="P1295" s="2" t="s">
        <v>24</v>
      </c>
      <c r="Q1295" s="2"/>
    </row>
    <row r="1296" customFormat="false" ht="15" hidden="false" customHeight="false" outlineLevel="0" collapsed="false">
      <c r="A1296" s="2" t="s">
        <v>3205</v>
      </c>
      <c r="B1296" s="2" t="s">
        <v>46</v>
      </c>
      <c r="C1296" s="13" t="s">
        <v>3207</v>
      </c>
      <c r="D1296" s="29" t="n">
        <v>489650</v>
      </c>
      <c r="E1296" s="2" t="s">
        <v>827</v>
      </c>
      <c r="F1296" s="36"/>
      <c r="G1296" s="31"/>
      <c r="H1296" s="32" t="n">
        <v>0.0930419447730875</v>
      </c>
      <c r="I1296" s="31" t="n">
        <v>57.3</v>
      </c>
      <c r="J1296" s="2" t="s">
        <v>2888</v>
      </c>
      <c r="K1296" s="33" t="n">
        <v>0.316427867485407</v>
      </c>
      <c r="L1296" s="31" t="n">
        <v>91.4</v>
      </c>
      <c r="M1296" s="39" t="s">
        <v>832</v>
      </c>
      <c r="N1296" s="2" t="s">
        <v>24</v>
      </c>
      <c r="O1296" s="2"/>
      <c r="P1296" s="2" t="s">
        <v>24</v>
      </c>
      <c r="Q1296" s="2" t="s">
        <v>24</v>
      </c>
    </row>
    <row r="1297" customFormat="false" ht="15" hidden="false" customHeight="false" outlineLevel="0" collapsed="false">
      <c r="A1297" s="2" t="s">
        <v>3205</v>
      </c>
      <c r="B1297" s="2" t="s">
        <v>47</v>
      </c>
      <c r="C1297" s="16"/>
      <c r="D1297" s="35"/>
      <c r="E1297" s="2"/>
      <c r="F1297" s="36"/>
      <c r="G1297" s="31"/>
      <c r="H1297" s="37"/>
      <c r="I1297" s="31"/>
      <c r="J1297" s="2"/>
      <c r="K1297" s="38"/>
      <c r="L1297" s="31"/>
      <c r="M1297" s="39" t="s">
        <v>832</v>
      </c>
      <c r="N1297" s="2"/>
      <c r="O1297" s="2"/>
      <c r="P1297" s="2"/>
      <c r="Q1297" s="2"/>
    </row>
    <row r="1298" customFormat="false" ht="15" hidden="false" customHeight="false" outlineLevel="0" collapsed="false">
      <c r="A1298" s="2" t="s">
        <v>606</v>
      </c>
      <c r="B1298" s="2" t="s">
        <v>45</v>
      </c>
      <c r="C1298" s="13" t="s">
        <v>1258</v>
      </c>
      <c r="D1298" s="29" t="n">
        <v>414550</v>
      </c>
      <c r="E1298" s="2" t="s">
        <v>827</v>
      </c>
      <c r="F1298" s="30" t="n">
        <v>0.533655771318297</v>
      </c>
      <c r="G1298" s="31" t="n">
        <v>46.1</v>
      </c>
      <c r="H1298" s="32" t="n">
        <v>0.0696408298069976</v>
      </c>
      <c r="I1298" s="31" t="n">
        <v>40</v>
      </c>
      <c r="J1298" s="2" t="s">
        <v>2890</v>
      </c>
      <c r="K1298" s="40" t="s">
        <v>857</v>
      </c>
      <c r="L1298" s="31"/>
      <c r="M1298" s="34" t="s">
        <v>822</v>
      </c>
      <c r="N1298" s="2" t="s">
        <v>24</v>
      </c>
      <c r="O1298" s="2" t="s">
        <v>24</v>
      </c>
      <c r="P1298" s="2" t="s">
        <v>24</v>
      </c>
      <c r="Q1298" s="2" t="s">
        <v>2885</v>
      </c>
    </row>
    <row r="1299" customFormat="false" ht="15" hidden="false" customHeight="false" outlineLevel="0" collapsed="false">
      <c r="A1299" s="2" t="s">
        <v>606</v>
      </c>
      <c r="B1299" s="2" t="s">
        <v>46</v>
      </c>
      <c r="C1299" s="14" t="s">
        <v>1943</v>
      </c>
      <c r="D1299" s="29" t="n">
        <v>155440</v>
      </c>
      <c r="E1299" s="2" t="s">
        <v>827</v>
      </c>
      <c r="F1299" s="30" t="n">
        <v>2.80683865156974</v>
      </c>
      <c r="G1299" s="31" t="n">
        <v>43.6</v>
      </c>
      <c r="H1299" s="32" t="n">
        <v>0.0435016111707841</v>
      </c>
      <c r="I1299" s="31" t="n">
        <v>30.6</v>
      </c>
      <c r="J1299" s="2" t="s">
        <v>2888</v>
      </c>
      <c r="K1299" s="33" t="n">
        <v>0.0857015135066096</v>
      </c>
      <c r="L1299" s="31" t="n">
        <v>29.6</v>
      </c>
      <c r="M1299" s="34" t="s">
        <v>822</v>
      </c>
      <c r="N1299" s="2" t="s">
        <v>24</v>
      </c>
      <c r="O1299" s="2" t="s">
        <v>24</v>
      </c>
      <c r="P1299" s="2" t="s">
        <v>24</v>
      </c>
      <c r="Q1299" s="2" t="s">
        <v>24</v>
      </c>
    </row>
    <row r="1300" customFormat="false" ht="15" hidden="false" customHeight="false" outlineLevel="0" collapsed="false">
      <c r="A1300" s="2" t="s">
        <v>606</v>
      </c>
      <c r="B1300" s="2" t="s">
        <v>47</v>
      </c>
      <c r="C1300" s="13" t="s">
        <v>2701</v>
      </c>
      <c r="D1300" s="29" t="n">
        <v>63750</v>
      </c>
      <c r="E1300" s="2" t="s">
        <v>821</v>
      </c>
      <c r="F1300" s="30" t="n">
        <v>0.758839215686275</v>
      </c>
      <c r="G1300" s="31" t="n">
        <v>25.4</v>
      </c>
      <c r="H1300" s="32" t="n">
        <v>0.101416724257084</v>
      </c>
      <c r="I1300" s="31" t="n">
        <v>53.6</v>
      </c>
      <c r="J1300" s="2" t="s">
        <v>2886</v>
      </c>
      <c r="K1300" s="33" t="n">
        <v>0.0507374631268437</v>
      </c>
      <c r="L1300" s="31" t="n">
        <v>33.3</v>
      </c>
      <c r="M1300" s="34" t="s">
        <v>822</v>
      </c>
      <c r="N1300" s="2" t="s">
        <v>24</v>
      </c>
      <c r="O1300" s="2" t="s">
        <v>24</v>
      </c>
      <c r="P1300" s="2" t="s">
        <v>24</v>
      </c>
      <c r="Q1300" s="2" t="s">
        <v>24</v>
      </c>
    </row>
    <row r="1301" customFormat="false" ht="15" hidden="false" customHeight="false" outlineLevel="0" collapsed="false">
      <c r="A1301" s="2" t="s">
        <v>1352</v>
      </c>
      <c r="B1301" s="2" t="s">
        <v>45</v>
      </c>
      <c r="C1301" s="13" t="s">
        <v>1353</v>
      </c>
      <c r="D1301" s="29" t="n">
        <v>10010</v>
      </c>
      <c r="E1301" s="2" t="s">
        <v>821</v>
      </c>
      <c r="F1301" s="30" t="n">
        <v>0.448851148851149</v>
      </c>
      <c r="G1301" s="31" t="n">
        <v>34.6</v>
      </c>
      <c r="H1301" s="32" t="n">
        <v>0.179034157832744</v>
      </c>
      <c r="I1301" s="31" t="n">
        <v>86.9</v>
      </c>
      <c r="J1301" s="2" t="s">
        <v>2883</v>
      </c>
      <c r="K1301" s="33" t="n">
        <v>0.151898734177215</v>
      </c>
      <c r="L1301" s="31" t="n">
        <v>58.5</v>
      </c>
      <c r="M1301" s="34" t="s">
        <v>822</v>
      </c>
      <c r="N1301" s="2" t="s">
        <v>24</v>
      </c>
      <c r="O1301" s="2" t="s">
        <v>24</v>
      </c>
      <c r="P1301" s="2" t="s">
        <v>24</v>
      </c>
      <c r="Q1301" s="2" t="s">
        <v>24</v>
      </c>
    </row>
    <row r="1302" customFormat="false" ht="15" hidden="false" customHeight="false" outlineLevel="0" collapsed="false">
      <c r="A1302" s="2" t="s">
        <v>1352</v>
      </c>
      <c r="B1302" s="2" t="s">
        <v>46</v>
      </c>
      <c r="C1302" s="16"/>
      <c r="D1302" s="35"/>
      <c r="E1302" s="2"/>
      <c r="F1302" s="36"/>
      <c r="G1302" s="31"/>
      <c r="H1302" s="37"/>
      <c r="I1302" s="31"/>
      <c r="J1302" s="2"/>
      <c r="K1302" s="38"/>
      <c r="L1302" s="31"/>
      <c r="M1302" s="39" t="s">
        <v>832</v>
      </c>
      <c r="N1302" s="2"/>
      <c r="O1302" s="2"/>
      <c r="P1302" s="2"/>
      <c r="Q1302" s="2"/>
    </row>
    <row r="1303" customFormat="false" ht="15" hidden="false" customHeight="false" outlineLevel="0" collapsed="false">
      <c r="A1303" s="2" t="s">
        <v>1352</v>
      </c>
      <c r="B1303" s="2" t="s">
        <v>47</v>
      </c>
      <c r="C1303" s="16"/>
      <c r="D1303" s="35"/>
      <c r="E1303" s="2"/>
      <c r="F1303" s="36"/>
      <c r="G1303" s="31"/>
      <c r="H1303" s="37"/>
      <c r="I1303" s="31"/>
      <c r="J1303" s="2"/>
      <c r="K1303" s="38"/>
      <c r="L1303" s="31"/>
      <c r="M1303" s="39" t="s">
        <v>832</v>
      </c>
      <c r="N1303" s="2"/>
      <c r="O1303" s="2"/>
      <c r="P1303" s="2"/>
      <c r="Q1303" s="2"/>
    </row>
    <row r="1304" customFormat="false" ht="15" hidden="false" customHeight="false" outlineLevel="0" collapsed="false">
      <c r="A1304" s="2" t="s">
        <v>284</v>
      </c>
      <c r="B1304" s="2" t="s">
        <v>45</v>
      </c>
      <c r="C1304" s="13" t="s">
        <v>1390</v>
      </c>
      <c r="D1304" s="29" t="n">
        <v>173520</v>
      </c>
      <c r="E1304" s="2" t="s">
        <v>827</v>
      </c>
      <c r="F1304" s="30" t="n">
        <v>0.39974642692485</v>
      </c>
      <c r="G1304" s="31" t="n">
        <v>29.3</v>
      </c>
      <c r="H1304" s="32" t="n">
        <v>0.0620639001101726</v>
      </c>
      <c r="I1304" s="31" t="n">
        <v>35</v>
      </c>
      <c r="J1304" s="2" t="s">
        <v>2890</v>
      </c>
      <c r="K1304" s="44" t="n">
        <v>0.323447636700649</v>
      </c>
      <c r="L1304" s="31" t="n">
        <v>92.5</v>
      </c>
      <c r="M1304" s="34" t="s">
        <v>822</v>
      </c>
      <c r="N1304" s="2" t="s">
        <v>24</v>
      </c>
      <c r="O1304" s="2" t="s">
        <v>24</v>
      </c>
      <c r="P1304" s="2" t="s">
        <v>24</v>
      </c>
      <c r="Q1304" s="2" t="s">
        <v>22</v>
      </c>
    </row>
    <row r="1305" customFormat="false" ht="15" hidden="false" customHeight="false" outlineLevel="0" collapsed="false">
      <c r="A1305" s="2" t="s">
        <v>284</v>
      </c>
      <c r="B1305" s="2" t="s">
        <v>46</v>
      </c>
      <c r="C1305" s="14" t="s">
        <v>1722</v>
      </c>
      <c r="D1305" s="42" t="n">
        <v>5959</v>
      </c>
      <c r="E1305" s="2" t="s">
        <v>825</v>
      </c>
      <c r="F1305" s="43" t="n">
        <v>5.79778486323209</v>
      </c>
      <c r="G1305" s="31" t="n">
        <v>78.6</v>
      </c>
      <c r="H1305" s="41" t="n">
        <v>0.00539902142736629</v>
      </c>
      <c r="I1305" s="31" t="n">
        <v>3.8</v>
      </c>
      <c r="J1305" s="2" t="s">
        <v>2905</v>
      </c>
      <c r="K1305" s="44" t="n">
        <v>0.114450391107452</v>
      </c>
      <c r="L1305" s="31" t="n">
        <v>42.2</v>
      </c>
      <c r="M1305" s="34" t="s">
        <v>822</v>
      </c>
      <c r="N1305" s="2" t="s">
        <v>22</v>
      </c>
      <c r="O1305" s="2" t="s">
        <v>22</v>
      </c>
      <c r="P1305" s="2" t="s">
        <v>22</v>
      </c>
      <c r="Q1305" s="2" t="s">
        <v>22</v>
      </c>
    </row>
    <row r="1306" customFormat="false" ht="15" hidden="false" customHeight="false" outlineLevel="0" collapsed="false">
      <c r="A1306" s="2" t="s">
        <v>284</v>
      </c>
      <c r="B1306" s="2" t="s">
        <v>47</v>
      </c>
      <c r="C1306" s="13" t="s">
        <v>2311</v>
      </c>
      <c r="D1306" s="29" t="n">
        <v>20660</v>
      </c>
      <c r="E1306" s="2" t="s">
        <v>821</v>
      </c>
      <c r="F1306" s="30" t="n">
        <v>2.58751210067764</v>
      </c>
      <c r="G1306" s="31" t="n">
        <v>85.5</v>
      </c>
      <c r="H1306" s="32" t="n">
        <v>0.0212555610479486</v>
      </c>
      <c r="I1306" s="31" t="n">
        <v>16.9</v>
      </c>
      <c r="J1306" s="2" t="s">
        <v>2886</v>
      </c>
      <c r="K1306" s="33" t="n">
        <v>0.0651607298001738</v>
      </c>
      <c r="L1306" s="31" t="n">
        <v>41.9</v>
      </c>
      <c r="M1306" s="34" t="s">
        <v>822</v>
      </c>
      <c r="N1306" s="2" t="s">
        <v>24</v>
      </c>
      <c r="O1306" s="2" t="s">
        <v>24</v>
      </c>
      <c r="P1306" s="2" t="s">
        <v>24</v>
      </c>
      <c r="Q1306" s="2" t="s">
        <v>24</v>
      </c>
    </row>
    <row r="1307" customFormat="false" ht="15" hidden="false" customHeight="false" outlineLevel="0" collapsed="false">
      <c r="A1307" s="2" t="s">
        <v>1131</v>
      </c>
      <c r="B1307" s="2" t="s">
        <v>45</v>
      </c>
      <c r="C1307" s="13" t="s">
        <v>1132</v>
      </c>
      <c r="D1307" s="29" t="n">
        <v>71130</v>
      </c>
      <c r="E1307" s="2" t="s">
        <v>821</v>
      </c>
      <c r="F1307" s="30" t="n">
        <v>0.722170673414874</v>
      </c>
      <c r="G1307" s="31" t="n">
        <v>63.1</v>
      </c>
      <c r="H1307" s="32" t="n">
        <v>0.0448002350176263</v>
      </c>
      <c r="I1307" s="31" t="n">
        <v>24.1</v>
      </c>
      <c r="J1307" s="2" t="s">
        <v>2883</v>
      </c>
      <c r="K1307" s="33" t="n">
        <v>0.0902654867256637</v>
      </c>
      <c r="L1307" s="31" t="n">
        <v>32.2</v>
      </c>
      <c r="M1307" s="34" t="s">
        <v>822</v>
      </c>
      <c r="N1307" s="2" t="s">
        <v>24</v>
      </c>
      <c r="O1307" s="2" t="s">
        <v>24</v>
      </c>
      <c r="P1307" s="2" t="s">
        <v>24</v>
      </c>
      <c r="Q1307" s="2" t="s">
        <v>24</v>
      </c>
    </row>
    <row r="1308" customFormat="false" ht="15" hidden="false" customHeight="false" outlineLevel="0" collapsed="false">
      <c r="A1308" s="2" t="s">
        <v>1131</v>
      </c>
      <c r="B1308" s="2" t="s">
        <v>46</v>
      </c>
      <c r="C1308" s="16"/>
      <c r="D1308" s="35"/>
      <c r="E1308" s="2"/>
      <c r="F1308" s="36"/>
      <c r="G1308" s="31"/>
      <c r="H1308" s="37"/>
      <c r="I1308" s="31"/>
      <c r="J1308" s="2"/>
      <c r="K1308" s="38"/>
      <c r="L1308" s="31"/>
      <c r="M1308" s="39" t="s">
        <v>832</v>
      </c>
      <c r="N1308" s="2"/>
      <c r="O1308" s="2"/>
      <c r="P1308" s="2"/>
      <c r="Q1308" s="2"/>
    </row>
    <row r="1309" customFormat="false" ht="15" hidden="false" customHeight="false" outlineLevel="0" collapsed="false">
      <c r="A1309" s="2" t="s">
        <v>1131</v>
      </c>
      <c r="B1309" s="2" t="s">
        <v>47</v>
      </c>
      <c r="C1309" s="13" t="s">
        <v>2864</v>
      </c>
      <c r="D1309" s="29" t="n">
        <v>32580</v>
      </c>
      <c r="E1309" s="2" t="s">
        <v>821</v>
      </c>
      <c r="F1309" s="43" t="n">
        <v>0.259108087679516</v>
      </c>
      <c r="G1309" s="31" t="n">
        <v>1.9</v>
      </c>
      <c r="H1309" s="32" t="n">
        <v>0.119972499140598</v>
      </c>
      <c r="I1309" s="31" t="n">
        <v>62.7</v>
      </c>
      <c r="J1309" s="2" t="s">
        <v>2886</v>
      </c>
      <c r="K1309" s="33" t="n">
        <v>0.041407867494824</v>
      </c>
      <c r="L1309" s="31" t="n">
        <v>26.9</v>
      </c>
      <c r="M1309" s="34" t="s">
        <v>822</v>
      </c>
      <c r="N1309" s="2" t="s">
        <v>24</v>
      </c>
      <c r="O1309" s="2" t="s">
        <v>22</v>
      </c>
      <c r="P1309" s="2" t="s">
        <v>24</v>
      </c>
      <c r="Q1309" s="2" t="s">
        <v>24</v>
      </c>
    </row>
    <row r="1310" customFormat="false" ht="15" hidden="false" customHeight="false" outlineLevel="0" collapsed="false">
      <c r="A1310" s="2" t="s">
        <v>3208</v>
      </c>
      <c r="B1310" s="2" t="s">
        <v>46</v>
      </c>
      <c r="C1310" s="16"/>
      <c r="D1310" s="35"/>
      <c r="E1310" s="2"/>
      <c r="F1310" s="36"/>
      <c r="G1310" s="31"/>
      <c r="H1310" s="37"/>
      <c r="I1310" s="31"/>
      <c r="J1310" s="2"/>
      <c r="K1310" s="38"/>
      <c r="L1310" s="31"/>
      <c r="M1310" s="39" t="s">
        <v>832</v>
      </c>
      <c r="N1310" s="2"/>
      <c r="O1310" s="2"/>
      <c r="P1310" s="2"/>
      <c r="Q1310" s="2"/>
    </row>
    <row r="1311" customFormat="false" ht="15" hidden="false" customHeight="false" outlineLevel="0" collapsed="false">
      <c r="A1311" s="2" t="s">
        <v>1233</v>
      </c>
      <c r="B1311" s="2" t="s">
        <v>45</v>
      </c>
      <c r="C1311" s="14" t="s">
        <v>1234</v>
      </c>
      <c r="D1311" s="42" t="n">
        <v>62945</v>
      </c>
      <c r="E1311" s="2" t="s">
        <v>821</v>
      </c>
      <c r="F1311" s="43" t="n">
        <v>0.563793788227818</v>
      </c>
      <c r="G1311" s="31" t="n">
        <v>49.9</v>
      </c>
      <c r="H1311" s="41" t="n">
        <v>0.0312935201114115</v>
      </c>
      <c r="I1311" s="31" t="n">
        <v>18.6</v>
      </c>
      <c r="J1311" s="2" t="s">
        <v>2883</v>
      </c>
      <c r="K1311" s="44" t="n">
        <v>0.160891938250429</v>
      </c>
      <c r="L1311" s="31" t="n">
        <v>62.5</v>
      </c>
      <c r="M1311" s="34" t="s">
        <v>822</v>
      </c>
      <c r="N1311" s="2" t="s">
        <v>22</v>
      </c>
      <c r="O1311" s="2" t="s">
        <v>22</v>
      </c>
      <c r="P1311" s="2" t="s">
        <v>22</v>
      </c>
      <c r="Q1311" s="2" t="s">
        <v>22</v>
      </c>
    </row>
    <row r="1312" customFormat="false" ht="15" hidden="false" customHeight="false" outlineLevel="0" collapsed="false">
      <c r="A1312" s="2" t="s">
        <v>1233</v>
      </c>
      <c r="B1312" s="2" t="s">
        <v>46</v>
      </c>
      <c r="C1312" s="13" t="s">
        <v>3209</v>
      </c>
      <c r="D1312" s="29" t="n">
        <v>194640</v>
      </c>
      <c r="E1312" s="2" t="s">
        <v>827</v>
      </c>
      <c r="F1312" s="30" t="n">
        <v>6.13193588162762</v>
      </c>
      <c r="G1312" s="31" t="n">
        <v>80.9</v>
      </c>
      <c r="H1312" s="37"/>
      <c r="I1312" s="31"/>
      <c r="J1312" s="2"/>
      <c r="K1312" s="33" t="n">
        <v>0.245972357782357</v>
      </c>
      <c r="L1312" s="31" t="n">
        <v>81.2</v>
      </c>
      <c r="M1312" s="39" t="s">
        <v>832</v>
      </c>
      <c r="N1312" s="2" t="s">
        <v>24</v>
      </c>
      <c r="O1312" s="2" t="s">
        <v>24</v>
      </c>
      <c r="P1312" s="2"/>
      <c r="Q1312" s="2" t="s">
        <v>24</v>
      </c>
    </row>
    <row r="1313" customFormat="false" ht="15" hidden="false" customHeight="false" outlineLevel="0" collapsed="false">
      <c r="A1313" s="2" t="s">
        <v>1233</v>
      </c>
      <c r="B1313" s="2" t="s">
        <v>47</v>
      </c>
      <c r="C1313" s="14" t="s">
        <v>2362</v>
      </c>
      <c r="D1313" s="42" t="n">
        <v>101033</v>
      </c>
      <c r="E1313" s="2" t="s">
        <v>827</v>
      </c>
      <c r="F1313" s="43" t="n">
        <v>2.05841655696654</v>
      </c>
      <c r="G1313" s="31" t="n">
        <v>77.2</v>
      </c>
      <c r="H1313" s="41" t="n">
        <v>0.296474996471147</v>
      </c>
      <c r="I1313" s="31" t="n">
        <v>100</v>
      </c>
      <c r="J1313" s="2" t="s">
        <v>2897</v>
      </c>
      <c r="K1313" s="44" t="n">
        <v>0.245797534553605</v>
      </c>
      <c r="L1313" s="31" t="n">
        <v>92.1</v>
      </c>
      <c r="M1313" s="34" t="s">
        <v>822</v>
      </c>
      <c r="N1313" s="2" t="s">
        <v>22</v>
      </c>
      <c r="O1313" s="2" t="s">
        <v>22</v>
      </c>
      <c r="P1313" s="2" t="s">
        <v>22</v>
      </c>
      <c r="Q1313" s="2" t="s">
        <v>22</v>
      </c>
    </row>
    <row r="1314" customFormat="false" ht="15" hidden="false" customHeight="false" outlineLevel="0" collapsed="false">
      <c r="A1314" s="2" t="s">
        <v>3210</v>
      </c>
      <c r="B1314" s="2" t="s">
        <v>45</v>
      </c>
      <c r="C1314" s="16"/>
      <c r="D1314" s="35"/>
      <c r="E1314" s="2"/>
      <c r="F1314" s="36"/>
      <c r="G1314" s="31"/>
      <c r="H1314" s="37"/>
      <c r="I1314" s="31"/>
      <c r="J1314" s="2"/>
      <c r="K1314" s="38"/>
      <c r="L1314" s="31"/>
      <c r="M1314" s="39" t="s">
        <v>832</v>
      </c>
      <c r="N1314" s="2"/>
      <c r="O1314" s="2"/>
      <c r="P1314" s="2"/>
      <c r="Q1314" s="2"/>
    </row>
    <row r="1315" customFormat="false" ht="15" hidden="false" customHeight="false" outlineLevel="0" collapsed="false">
      <c r="A1315" s="2" t="s">
        <v>3210</v>
      </c>
      <c r="B1315" s="2" t="s">
        <v>47</v>
      </c>
      <c r="C1315" s="16"/>
      <c r="D1315" s="35"/>
      <c r="E1315" s="2"/>
      <c r="F1315" s="36"/>
      <c r="G1315" s="31"/>
      <c r="H1315" s="37"/>
      <c r="I1315" s="31"/>
      <c r="J1315" s="2"/>
      <c r="K1315" s="38"/>
      <c r="L1315" s="31"/>
      <c r="M1315" s="39" t="s">
        <v>832</v>
      </c>
      <c r="N1315" s="2"/>
      <c r="O1315" s="2"/>
      <c r="P1315" s="2"/>
      <c r="Q1315" s="2"/>
    </row>
    <row r="1316" customFormat="false" ht="15" hidden="false" customHeight="false" outlineLevel="0" collapsed="false">
      <c r="A1316" s="2" t="s">
        <v>308</v>
      </c>
      <c r="B1316" s="2" t="s">
        <v>45</v>
      </c>
      <c r="C1316" s="13" t="s">
        <v>977</v>
      </c>
      <c r="D1316" s="29" t="n">
        <v>6010</v>
      </c>
      <c r="E1316" s="2" t="s">
        <v>825</v>
      </c>
      <c r="F1316" s="30" t="n">
        <v>1.11098169717138</v>
      </c>
      <c r="G1316" s="31" t="n">
        <v>81.7</v>
      </c>
      <c r="H1316" s="32" t="n">
        <v>0.142585551330799</v>
      </c>
      <c r="I1316" s="31" t="n">
        <v>78.9</v>
      </c>
      <c r="J1316" s="2" t="s">
        <v>2899</v>
      </c>
      <c r="K1316" s="33" t="n">
        <v>0.0633802816901408</v>
      </c>
      <c r="L1316" s="31" t="n">
        <v>21.4</v>
      </c>
      <c r="M1316" s="34" t="s">
        <v>822</v>
      </c>
      <c r="N1316" s="2" t="s">
        <v>24</v>
      </c>
      <c r="O1316" s="2" t="s">
        <v>24</v>
      </c>
      <c r="P1316" s="2" t="s">
        <v>24</v>
      </c>
      <c r="Q1316" s="2" t="s">
        <v>24</v>
      </c>
    </row>
    <row r="1317" customFormat="false" ht="15" hidden="false" customHeight="false" outlineLevel="0" collapsed="false">
      <c r="A1317" s="2" t="s">
        <v>308</v>
      </c>
      <c r="B1317" s="2" t="s">
        <v>46</v>
      </c>
      <c r="C1317" s="13" t="s">
        <v>2020</v>
      </c>
      <c r="D1317" s="29" t="n">
        <v>2940</v>
      </c>
      <c r="E1317" s="2" t="s">
        <v>825</v>
      </c>
      <c r="F1317" s="30" t="n">
        <v>2.16224489795918</v>
      </c>
      <c r="G1317" s="31" t="n">
        <v>30.3</v>
      </c>
      <c r="H1317" s="32" t="n">
        <v>0.195121951219512</v>
      </c>
      <c r="I1317" s="31" t="n">
        <v>88.7</v>
      </c>
      <c r="J1317" s="2" t="s">
        <v>2905</v>
      </c>
      <c r="K1317" s="33" t="n">
        <v>0.251948051948052</v>
      </c>
      <c r="L1317" s="31" t="n">
        <v>81.9</v>
      </c>
      <c r="M1317" s="34" t="s">
        <v>822</v>
      </c>
      <c r="N1317" s="2" t="s">
        <v>24</v>
      </c>
      <c r="O1317" s="2" t="s">
        <v>24</v>
      </c>
      <c r="P1317" s="2" t="s">
        <v>24</v>
      </c>
      <c r="Q1317" s="2" t="s">
        <v>24</v>
      </c>
    </row>
    <row r="1318" customFormat="false" ht="15" hidden="false" customHeight="false" outlineLevel="0" collapsed="false">
      <c r="A1318" s="2" t="s">
        <v>308</v>
      </c>
      <c r="B1318" s="2" t="s">
        <v>47</v>
      </c>
      <c r="C1318" s="13" t="s">
        <v>2363</v>
      </c>
      <c r="D1318" s="29" t="n">
        <v>24770</v>
      </c>
      <c r="E1318" s="2" t="s">
        <v>821</v>
      </c>
      <c r="F1318" s="30" t="n">
        <v>2.05805409769883</v>
      </c>
      <c r="G1318" s="31" t="n">
        <v>77.1</v>
      </c>
      <c r="H1318" s="32" t="n">
        <v>0.183468705207836</v>
      </c>
      <c r="I1318" s="31" t="n">
        <v>88.3</v>
      </c>
      <c r="J1318" s="2" t="s">
        <v>2886</v>
      </c>
      <c r="K1318" s="33" t="n">
        <v>0.0661025912215759</v>
      </c>
      <c r="L1318" s="31" t="n">
        <v>42.5</v>
      </c>
      <c r="M1318" s="34" t="s">
        <v>822</v>
      </c>
      <c r="N1318" s="2" t="s">
        <v>24</v>
      </c>
      <c r="O1318" s="2" t="s">
        <v>24</v>
      </c>
      <c r="P1318" s="2" t="s">
        <v>24</v>
      </c>
      <c r="Q1318" s="2" t="s">
        <v>24</v>
      </c>
    </row>
    <row r="1319" customFormat="false" ht="15" hidden="false" customHeight="false" outlineLevel="0" collapsed="false">
      <c r="A1319" s="2" t="s">
        <v>722</v>
      </c>
      <c r="B1319" s="2" t="s">
        <v>45</v>
      </c>
      <c r="C1319" s="13" t="s">
        <v>1266</v>
      </c>
      <c r="D1319" s="29" t="n">
        <v>22200</v>
      </c>
      <c r="E1319" s="2" t="s">
        <v>821</v>
      </c>
      <c r="F1319" s="30" t="n">
        <v>0.528918918918919</v>
      </c>
      <c r="G1319" s="31" t="n">
        <v>45.2</v>
      </c>
      <c r="H1319" s="32" t="n">
        <v>0.0526315789473684</v>
      </c>
      <c r="I1319" s="31" t="n">
        <v>29.6</v>
      </c>
      <c r="J1319" s="2" t="s">
        <v>2883</v>
      </c>
      <c r="K1319" s="33" t="n">
        <v>0.257383966244726</v>
      </c>
      <c r="L1319" s="31" t="n">
        <v>83.4</v>
      </c>
      <c r="M1319" s="34" t="s">
        <v>822</v>
      </c>
      <c r="N1319" s="2" t="s">
        <v>24</v>
      </c>
      <c r="O1319" s="2" t="s">
        <v>24</v>
      </c>
      <c r="P1319" s="2" t="s">
        <v>24</v>
      </c>
      <c r="Q1319" s="2" t="s">
        <v>24</v>
      </c>
    </row>
    <row r="1320" customFormat="false" ht="15" hidden="false" customHeight="false" outlineLevel="0" collapsed="false">
      <c r="A1320" s="2" t="s">
        <v>722</v>
      </c>
      <c r="B1320" s="2" t="s">
        <v>46</v>
      </c>
      <c r="C1320" s="13" t="s">
        <v>2163</v>
      </c>
      <c r="D1320" s="29" t="n">
        <v>17290</v>
      </c>
      <c r="E1320" s="2" t="s">
        <v>821</v>
      </c>
      <c r="F1320" s="30" t="n">
        <v>0.942336610757663</v>
      </c>
      <c r="G1320" s="31" t="n">
        <v>6.3</v>
      </c>
      <c r="H1320" s="32" t="n">
        <v>0.193236714975845</v>
      </c>
      <c r="I1320" s="31" t="n">
        <v>92.7</v>
      </c>
      <c r="J1320" s="2" t="s">
        <v>2884</v>
      </c>
      <c r="K1320" s="44" t="n">
        <v>0.0702247191011236</v>
      </c>
      <c r="L1320" s="31" t="n">
        <v>21</v>
      </c>
      <c r="M1320" s="34" t="s">
        <v>822</v>
      </c>
      <c r="N1320" s="2" t="s">
        <v>24</v>
      </c>
      <c r="O1320" s="2" t="s">
        <v>24</v>
      </c>
      <c r="P1320" s="2" t="s">
        <v>24</v>
      </c>
      <c r="Q1320" s="2" t="s">
        <v>22</v>
      </c>
    </row>
    <row r="1321" customFormat="false" ht="15" hidden="false" customHeight="false" outlineLevel="0" collapsed="false">
      <c r="A1321" s="2" t="s">
        <v>592</v>
      </c>
      <c r="B1321" s="2" t="s">
        <v>45</v>
      </c>
      <c r="C1321" s="13" t="s">
        <v>1112</v>
      </c>
      <c r="D1321" s="29" t="n">
        <v>910</v>
      </c>
      <c r="E1321" s="2" t="s">
        <v>825</v>
      </c>
      <c r="F1321" s="30" t="n">
        <v>0.738461538461539</v>
      </c>
      <c r="G1321" s="31" t="n">
        <v>64.7</v>
      </c>
      <c r="H1321" s="41" t="n">
        <v>0.249303621169916</v>
      </c>
      <c r="I1321" s="31" t="n">
        <v>97.2</v>
      </c>
      <c r="J1321" s="2" t="s">
        <v>2899</v>
      </c>
      <c r="K1321" s="33" t="n">
        <v>0</v>
      </c>
      <c r="L1321" s="31" t="n">
        <v>1.3</v>
      </c>
      <c r="M1321" s="34" t="s">
        <v>822</v>
      </c>
      <c r="N1321" s="2" t="s">
        <v>24</v>
      </c>
      <c r="O1321" s="2" t="s">
        <v>24</v>
      </c>
      <c r="P1321" s="2" t="s">
        <v>22</v>
      </c>
      <c r="Q1321" s="2" t="s">
        <v>24</v>
      </c>
    </row>
    <row r="1322" customFormat="false" ht="15" hidden="false" customHeight="false" outlineLevel="0" collapsed="false">
      <c r="A1322" s="2" t="s">
        <v>592</v>
      </c>
      <c r="B1322" s="2" t="s">
        <v>46</v>
      </c>
      <c r="C1322" s="13" t="s">
        <v>1888</v>
      </c>
      <c r="D1322" s="29" t="n">
        <v>148240</v>
      </c>
      <c r="E1322" s="2" t="s">
        <v>827</v>
      </c>
      <c r="F1322" s="30" t="n">
        <v>3.28600242849433</v>
      </c>
      <c r="G1322" s="31" t="n">
        <v>51.9</v>
      </c>
      <c r="H1322" s="32" t="n">
        <v>0.103468810480869</v>
      </c>
      <c r="I1322" s="31" t="n">
        <v>63.7</v>
      </c>
      <c r="J1322" s="2" t="s">
        <v>2888</v>
      </c>
      <c r="K1322" s="33" t="n">
        <v>0.116763525084927</v>
      </c>
      <c r="L1322" s="31" t="n">
        <v>44.2</v>
      </c>
      <c r="M1322" s="34" t="s">
        <v>822</v>
      </c>
      <c r="N1322" s="2" t="s">
        <v>24</v>
      </c>
      <c r="O1322" s="2" t="s">
        <v>24</v>
      </c>
      <c r="P1322" s="2" t="s">
        <v>24</v>
      </c>
      <c r="Q1322" s="2" t="s">
        <v>24</v>
      </c>
    </row>
    <row r="1323" customFormat="false" ht="15" hidden="false" customHeight="false" outlineLevel="0" collapsed="false">
      <c r="A1323" s="2" t="s">
        <v>592</v>
      </c>
      <c r="B1323" s="2" t="s">
        <v>47</v>
      </c>
      <c r="C1323" s="14" t="s">
        <v>2868</v>
      </c>
      <c r="D1323" s="42" t="n">
        <v>113703</v>
      </c>
      <c r="E1323" s="2" t="s">
        <v>827</v>
      </c>
      <c r="F1323" s="43" t="n">
        <v>0.212052452441888</v>
      </c>
      <c r="G1323" s="31" t="n">
        <v>1.1</v>
      </c>
      <c r="H1323" s="41" t="n">
        <v>-0.0618564356435644</v>
      </c>
      <c r="I1323" s="31" t="n">
        <v>3.7</v>
      </c>
      <c r="J1323" s="2" t="s">
        <v>2897</v>
      </c>
      <c r="K1323" s="44" t="n">
        <v>0.0219354838709677</v>
      </c>
      <c r="L1323" s="31" t="n">
        <v>15.1</v>
      </c>
      <c r="M1323" s="34" t="s">
        <v>822</v>
      </c>
      <c r="N1323" s="2" t="s">
        <v>22</v>
      </c>
      <c r="O1323" s="2" t="s">
        <v>22</v>
      </c>
      <c r="P1323" s="2" t="s">
        <v>22</v>
      </c>
      <c r="Q1323" s="2" t="s">
        <v>22</v>
      </c>
    </row>
    <row r="1324" customFormat="false" ht="15" hidden="false" customHeight="false" outlineLevel="0" collapsed="false">
      <c r="A1324" s="2" t="s">
        <v>542</v>
      </c>
      <c r="B1324" s="2" t="s">
        <v>45</v>
      </c>
      <c r="C1324" s="13" t="s">
        <v>1281</v>
      </c>
      <c r="D1324" s="29" t="n">
        <v>29210</v>
      </c>
      <c r="E1324" s="2" t="s">
        <v>821</v>
      </c>
      <c r="F1324" s="43" t="n">
        <v>0.518374909926912</v>
      </c>
      <c r="G1324" s="31" t="n">
        <v>43.5</v>
      </c>
      <c r="H1324" s="32" t="n">
        <v>0.16281847133758</v>
      </c>
      <c r="I1324" s="31" t="n">
        <v>79.4</v>
      </c>
      <c r="J1324" s="2" t="s">
        <v>2883</v>
      </c>
      <c r="K1324" s="33" t="n">
        <v>0.175392670157068</v>
      </c>
      <c r="L1324" s="31" t="n">
        <v>66.9</v>
      </c>
      <c r="M1324" s="34" t="s">
        <v>822</v>
      </c>
      <c r="N1324" s="2" t="s">
        <v>24</v>
      </c>
      <c r="O1324" s="2" t="s">
        <v>22</v>
      </c>
      <c r="P1324" s="2" t="s">
        <v>24</v>
      </c>
      <c r="Q1324" s="2" t="s">
        <v>24</v>
      </c>
    </row>
    <row r="1325" customFormat="false" ht="15" hidden="false" customHeight="false" outlineLevel="0" collapsed="false">
      <c r="A1325" s="2" t="s">
        <v>542</v>
      </c>
      <c r="B1325" s="2" t="s">
        <v>46</v>
      </c>
      <c r="C1325" s="13" t="s">
        <v>1711</v>
      </c>
      <c r="D1325" s="29" t="n">
        <v>381600</v>
      </c>
      <c r="E1325" s="2" t="s">
        <v>827</v>
      </c>
      <c r="F1325" s="30" t="n">
        <v>6.04507075471698</v>
      </c>
      <c r="G1325" s="31" t="n">
        <v>80.4</v>
      </c>
      <c r="H1325" s="32" t="n">
        <v>0.159561214257498</v>
      </c>
      <c r="I1325" s="31" t="n">
        <v>89.8</v>
      </c>
      <c r="J1325" s="2" t="s">
        <v>2888</v>
      </c>
      <c r="K1325" s="33" t="n">
        <v>0.0431424161946618</v>
      </c>
      <c r="L1325" s="31" t="n">
        <v>9.7</v>
      </c>
      <c r="M1325" s="34" t="s">
        <v>822</v>
      </c>
      <c r="N1325" s="2" t="s">
        <v>24</v>
      </c>
      <c r="O1325" s="2" t="s">
        <v>24</v>
      </c>
      <c r="P1325" s="2" t="s">
        <v>24</v>
      </c>
      <c r="Q1325" s="2" t="s">
        <v>24</v>
      </c>
    </row>
    <row r="1326" customFormat="false" ht="15" hidden="false" customHeight="false" outlineLevel="0" collapsed="false">
      <c r="A1326" s="2" t="s">
        <v>542</v>
      </c>
      <c r="B1326" s="2" t="s">
        <v>47</v>
      </c>
      <c r="C1326" s="14" t="s">
        <v>2803</v>
      </c>
      <c r="D1326" s="42" t="n">
        <v>27576</v>
      </c>
      <c r="E1326" s="2" t="s">
        <v>821</v>
      </c>
      <c r="F1326" s="43" t="n">
        <v>0.467072816942269</v>
      </c>
      <c r="G1326" s="31" t="n">
        <v>11.1</v>
      </c>
      <c r="H1326" s="41" t="n">
        <v>0.242386015498288</v>
      </c>
      <c r="I1326" s="31" t="n">
        <v>97.7</v>
      </c>
      <c r="J1326" s="2" t="s">
        <v>2886</v>
      </c>
      <c r="K1326" s="44" t="n">
        <v>0.051985559566787</v>
      </c>
      <c r="L1326" s="31" t="n">
        <v>33.9</v>
      </c>
      <c r="M1326" s="34" t="s">
        <v>822</v>
      </c>
      <c r="N1326" s="2" t="s">
        <v>22</v>
      </c>
      <c r="O1326" s="2" t="s">
        <v>22</v>
      </c>
      <c r="P1326" s="2" t="s">
        <v>22</v>
      </c>
      <c r="Q1326" s="2" t="s">
        <v>22</v>
      </c>
    </row>
    <row r="1327" customFormat="false" ht="15" hidden="false" customHeight="false" outlineLevel="0" collapsed="false">
      <c r="A1327" s="2" t="s">
        <v>961</v>
      </c>
      <c r="B1327" s="2" t="s">
        <v>45</v>
      </c>
      <c r="C1327" s="13" t="s">
        <v>962</v>
      </c>
      <c r="D1327" s="29" t="n">
        <v>29750</v>
      </c>
      <c r="E1327" s="2" t="s">
        <v>821</v>
      </c>
      <c r="F1327" s="30" t="n">
        <v>1.21482352941177</v>
      </c>
      <c r="G1327" s="31" t="n">
        <v>84.1</v>
      </c>
      <c r="H1327" s="32" t="n">
        <v>0.172182821118991</v>
      </c>
      <c r="I1327" s="31" t="n">
        <v>83.8</v>
      </c>
      <c r="J1327" s="2" t="s">
        <v>2883</v>
      </c>
      <c r="K1327" s="33" t="n">
        <v>0.0601173020527859</v>
      </c>
      <c r="L1327" s="31" t="n">
        <v>20</v>
      </c>
      <c r="M1327" s="34" t="s">
        <v>822</v>
      </c>
      <c r="N1327" s="2" t="s">
        <v>24</v>
      </c>
      <c r="O1327" s="2" t="s">
        <v>24</v>
      </c>
      <c r="P1327" s="2" t="s">
        <v>24</v>
      </c>
      <c r="Q1327" s="2" t="s">
        <v>24</v>
      </c>
    </row>
    <row r="1328" customFormat="false" ht="15" hidden="false" customHeight="false" outlineLevel="0" collapsed="false">
      <c r="A1328" s="2" t="s">
        <v>961</v>
      </c>
      <c r="B1328" s="2" t="s">
        <v>46</v>
      </c>
      <c r="C1328" s="13" t="s">
        <v>1913</v>
      </c>
      <c r="D1328" s="29" t="n">
        <v>51140</v>
      </c>
      <c r="E1328" s="2" t="s">
        <v>821</v>
      </c>
      <c r="F1328" s="30" t="n">
        <v>3.06040281579977</v>
      </c>
      <c r="G1328" s="31" t="n">
        <v>47.2</v>
      </c>
      <c r="H1328" s="32" t="n">
        <v>0.0866978325541861</v>
      </c>
      <c r="I1328" s="31" t="n">
        <v>52.7</v>
      </c>
      <c r="J1328" s="2" t="s">
        <v>2884</v>
      </c>
      <c r="K1328" s="33" t="n">
        <v>0.126189676408017</v>
      </c>
      <c r="L1328" s="31" t="n">
        <v>47.7</v>
      </c>
      <c r="M1328" s="34" t="s">
        <v>822</v>
      </c>
      <c r="N1328" s="2" t="s">
        <v>24</v>
      </c>
      <c r="O1328" s="2" t="s">
        <v>24</v>
      </c>
      <c r="P1328" s="2" t="s">
        <v>24</v>
      </c>
      <c r="Q1328" s="2" t="s">
        <v>24</v>
      </c>
    </row>
    <row r="1329" customFormat="false" ht="15" hidden="false" customHeight="false" outlineLevel="0" collapsed="false">
      <c r="A1329" s="2" t="s">
        <v>961</v>
      </c>
      <c r="B1329" s="2" t="s">
        <v>47</v>
      </c>
      <c r="C1329" s="16"/>
      <c r="D1329" s="35"/>
      <c r="E1329" s="2"/>
      <c r="F1329" s="36"/>
      <c r="G1329" s="31"/>
      <c r="H1329" s="37"/>
      <c r="I1329" s="31"/>
      <c r="J1329" s="2"/>
      <c r="K1329" s="38"/>
      <c r="L1329" s="31"/>
      <c r="M1329" s="39" t="s">
        <v>832</v>
      </c>
      <c r="N1329" s="2"/>
      <c r="O1329" s="2"/>
      <c r="P1329" s="2"/>
      <c r="Q1329" s="2"/>
    </row>
    <row r="1330" customFormat="false" ht="15" hidden="false" customHeight="false" outlineLevel="0" collapsed="false">
      <c r="A1330" s="2" t="s">
        <v>911</v>
      </c>
      <c r="B1330" s="2" t="s">
        <v>45</v>
      </c>
      <c r="C1330" s="13" t="s">
        <v>912</v>
      </c>
      <c r="D1330" s="29" t="n">
        <v>363560</v>
      </c>
      <c r="E1330" s="2" t="s">
        <v>827</v>
      </c>
      <c r="F1330" s="30" t="n">
        <v>1.52336340631533</v>
      </c>
      <c r="G1330" s="31" t="n">
        <v>90</v>
      </c>
      <c r="H1330" s="32" t="n">
        <v>0.225923927704343</v>
      </c>
      <c r="I1330" s="31" t="n">
        <v>96.4</v>
      </c>
      <c r="J1330" s="2" t="s">
        <v>2890</v>
      </c>
      <c r="K1330" s="33" t="n">
        <v>0.0589518207653162</v>
      </c>
      <c r="L1330" s="31" t="n">
        <v>19.8</v>
      </c>
      <c r="M1330" s="34" t="s">
        <v>822</v>
      </c>
      <c r="N1330" s="2" t="s">
        <v>24</v>
      </c>
      <c r="O1330" s="2" t="s">
        <v>24</v>
      </c>
      <c r="P1330" s="2" t="s">
        <v>24</v>
      </c>
      <c r="Q1330" s="2" t="s">
        <v>24</v>
      </c>
    </row>
    <row r="1331" customFormat="false" ht="15" hidden="false" customHeight="false" outlineLevel="0" collapsed="false">
      <c r="A1331" s="2" t="s">
        <v>911</v>
      </c>
      <c r="B1331" s="2" t="s">
        <v>46</v>
      </c>
      <c r="C1331" s="16"/>
      <c r="D1331" s="35"/>
      <c r="E1331" s="2"/>
      <c r="F1331" s="36"/>
      <c r="G1331" s="31"/>
      <c r="H1331" s="37"/>
      <c r="I1331" s="31"/>
      <c r="J1331" s="2"/>
      <c r="K1331" s="38"/>
      <c r="L1331" s="31"/>
      <c r="M1331" s="39" t="s">
        <v>832</v>
      </c>
      <c r="N1331" s="2"/>
      <c r="O1331" s="2"/>
      <c r="P1331" s="2"/>
      <c r="Q1331" s="2"/>
    </row>
    <row r="1332" customFormat="false" ht="15" hidden="false" customHeight="false" outlineLevel="0" collapsed="false">
      <c r="A1332" s="2" t="s">
        <v>911</v>
      </c>
      <c r="B1332" s="2" t="s">
        <v>47</v>
      </c>
      <c r="C1332" s="13" t="s">
        <v>2240</v>
      </c>
      <c r="D1332" s="29" t="n">
        <v>91550</v>
      </c>
      <c r="E1332" s="2" t="s">
        <v>821</v>
      </c>
      <c r="F1332" s="30" t="n">
        <v>4.30577826324413</v>
      </c>
      <c r="G1332" s="31" t="n">
        <v>95.9</v>
      </c>
      <c r="H1332" s="32" t="n">
        <v>0.0525408139802253</v>
      </c>
      <c r="I1332" s="31" t="n">
        <v>29.5</v>
      </c>
      <c r="J1332" s="2" t="s">
        <v>2886</v>
      </c>
      <c r="K1332" s="33" t="n">
        <v>0.17195153390049</v>
      </c>
      <c r="L1332" s="31" t="n">
        <v>79.2</v>
      </c>
      <c r="M1332" s="34" t="s">
        <v>822</v>
      </c>
      <c r="N1332" s="2" t="s">
        <v>24</v>
      </c>
      <c r="O1332" s="2" t="s">
        <v>24</v>
      </c>
      <c r="P1332" s="2" t="s">
        <v>24</v>
      </c>
      <c r="Q1332" s="2" t="s">
        <v>24</v>
      </c>
    </row>
    <row r="1333" customFormat="false" ht="15" hidden="false" customHeight="false" outlineLevel="0" collapsed="false">
      <c r="A1333" s="2" t="s">
        <v>3211</v>
      </c>
      <c r="B1333" s="2" t="s">
        <v>45</v>
      </c>
      <c r="C1333" s="13" t="s">
        <v>3212</v>
      </c>
      <c r="D1333" s="29" t="n">
        <v>8590</v>
      </c>
      <c r="E1333" s="2" t="s">
        <v>825</v>
      </c>
      <c r="F1333" s="30" t="n">
        <v>0.783585564610012</v>
      </c>
      <c r="G1333" s="31" t="n">
        <v>67.1</v>
      </c>
      <c r="H1333" s="32" t="n">
        <v>0.068407960199005</v>
      </c>
      <c r="I1333" s="31" t="n">
        <v>31</v>
      </c>
      <c r="J1333" s="2" t="s">
        <v>2899</v>
      </c>
      <c r="K1333" s="38"/>
      <c r="L1333" s="31"/>
      <c r="M1333" s="39" t="s">
        <v>832</v>
      </c>
      <c r="N1333" s="2" t="s">
        <v>24</v>
      </c>
      <c r="O1333" s="2" t="s">
        <v>24</v>
      </c>
      <c r="P1333" s="2" t="s">
        <v>24</v>
      </c>
      <c r="Q1333" s="2"/>
    </row>
    <row r="1334" customFormat="false" ht="15" hidden="false" customHeight="false" outlineLevel="0" collapsed="false">
      <c r="A1334" s="2" t="s">
        <v>550</v>
      </c>
      <c r="B1334" s="2" t="s">
        <v>46</v>
      </c>
      <c r="C1334" s="13" t="s">
        <v>1710</v>
      </c>
      <c r="D1334" s="29" t="n">
        <v>43420</v>
      </c>
      <c r="E1334" s="2" t="s">
        <v>821</v>
      </c>
      <c r="F1334" s="30" t="n">
        <v>6.0953247351451</v>
      </c>
      <c r="G1334" s="31" t="n">
        <v>80.6</v>
      </c>
      <c r="H1334" s="32" t="n">
        <v>0.062133072407045</v>
      </c>
      <c r="I1334" s="31" t="n">
        <v>34.9</v>
      </c>
      <c r="J1334" s="2" t="s">
        <v>2884</v>
      </c>
      <c r="K1334" s="33" t="n">
        <v>0.329470955938405</v>
      </c>
      <c r="L1334" s="31" t="n">
        <v>92.9</v>
      </c>
      <c r="M1334" s="34" t="s">
        <v>822</v>
      </c>
      <c r="N1334" s="2" t="s">
        <v>24</v>
      </c>
      <c r="O1334" s="2" t="s">
        <v>24</v>
      </c>
      <c r="P1334" s="2" t="s">
        <v>24</v>
      </c>
      <c r="Q1334" s="2" t="s">
        <v>24</v>
      </c>
    </row>
    <row r="1335" customFormat="false" ht="15" hidden="false" customHeight="false" outlineLevel="0" collapsed="false">
      <c r="A1335" s="2" t="s">
        <v>550</v>
      </c>
      <c r="B1335" s="2" t="s">
        <v>47</v>
      </c>
      <c r="C1335" s="14" t="s">
        <v>2821</v>
      </c>
      <c r="D1335" s="42" t="n">
        <v>18968</v>
      </c>
      <c r="E1335" s="2" t="s">
        <v>821</v>
      </c>
      <c r="F1335" s="43" t="n">
        <v>0.397300716997048</v>
      </c>
      <c r="G1335" s="31" t="n">
        <v>7.6</v>
      </c>
      <c r="H1335" s="41" t="n">
        <v>0.125764140305063</v>
      </c>
      <c r="I1335" s="31" t="n">
        <v>64.9</v>
      </c>
      <c r="J1335" s="2" t="s">
        <v>2886</v>
      </c>
      <c r="K1335" s="44" t="n">
        <v>0.0111731843575419</v>
      </c>
      <c r="L1335" s="31" t="n">
        <v>7.7</v>
      </c>
      <c r="M1335" s="34" t="s">
        <v>822</v>
      </c>
      <c r="N1335" s="2" t="s">
        <v>22</v>
      </c>
      <c r="O1335" s="2" t="s">
        <v>22</v>
      </c>
      <c r="P1335" s="2" t="s">
        <v>22</v>
      </c>
      <c r="Q1335" s="2" t="s">
        <v>22</v>
      </c>
    </row>
    <row r="1336" customFormat="false" ht="15" hidden="false" customHeight="false" outlineLevel="0" collapsed="false">
      <c r="A1336" s="2" t="s">
        <v>348</v>
      </c>
      <c r="B1336" s="2" t="s">
        <v>45</v>
      </c>
      <c r="C1336" s="13" t="s">
        <v>1412</v>
      </c>
      <c r="D1336" s="29" t="n">
        <v>214370</v>
      </c>
      <c r="E1336" s="2" t="s">
        <v>827</v>
      </c>
      <c r="F1336" s="30" t="n">
        <v>0.378695713019546</v>
      </c>
      <c r="G1336" s="31" t="n">
        <v>26.5</v>
      </c>
      <c r="H1336" s="32" t="n">
        <v>0.128797851613922</v>
      </c>
      <c r="I1336" s="31" t="n">
        <v>72.9</v>
      </c>
      <c r="J1336" s="2" t="s">
        <v>2890</v>
      </c>
      <c r="K1336" s="33" t="n">
        <v>0.147841255996511</v>
      </c>
      <c r="L1336" s="31" t="n">
        <v>56.6</v>
      </c>
      <c r="M1336" s="34" t="s">
        <v>822</v>
      </c>
      <c r="N1336" s="2" t="s">
        <v>24</v>
      </c>
      <c r="O1336" s="2" t="s">
        <v>24</v>
      </c>
      <c r="P1336" s="2" t="s">
        <v>24</v>
      </c>
      <c r="Q1336" s="2" t="s">
        <v>24</v>
      </c>
    </row>
    <row r="1337" customFormat="false" ht="15" hidden="false" customHeight="false" outlineLevel="0" collapsed="false">
      <c r="A1337" s="2" t="s">
        <v>348</v>
      </c>
      <c r="B1337" s="2" t="s">
        <v>46</v>
      </c>
      <c r="C1337" s="13" t="s">
        <v>1770</v>
      </c>
      <c r="D1337" s="29" t="n">
        <v>1018140</v>
      </c>
      <c r="E1337" s="2" t="s">
        <v>935</v>
      </c>
      <c r="F1337" s="30" t="n">
        <v>4.78061366806137</v>
      </c>
      <c r="G1337" s="31" t="n">
        <v>71.3</v>
      </c>
      <c r="H1337" s="32" t="n">
        <v>0.103029121164847</v>
      </c>
      <c r="I1337" s="31" t="n">
        <v>41.7</v>
      </c>
      <c r="J1337" s="2" t="s">
        <v>2906</v>
      </c>
      <c r="K1337" s="33" t="n">
        <v>0.137109080385175</v>
      </c>
      <c r="L1337" s="31" t="n">
        <v>51.4</v>
      </c>
      <c r="M1337" s="34" t="s">
        <v>822</v>
      </c>
      <c r="N1337" s="2" t="s">
        <v>24</v>
      </c>
      <c r="O1337" s="2" t="s">
        <v>24</v>
      </c>
      <c r="P1337" s="2" t="s">
        <v>24</v>
      </c>
      <c r="Q1337" s="2" t="s">
        <v>24</v>
      </c>
    </row>
    <row r="1338" customFormat="false" ht="15" hidden="false" customHeight="false" outlineLevel="0" collapsed="false">
      <c r="A1338" s="2" t="s">
        <v>348</v>
      </c>
      <c r="B1338" s="2" t="s">
        <v>47</v>
      </c>
      <c r="C1338" s="13" t="s">
        <v>2348</v>
      </c>
      <c r="D1338" s="29" t="n">
        <v>37140</v>
      </c>
      <c r="E1338" s="2" t="s">
        <v>821</v>
      </c>
      <c r="F1338" s="30" t="n">
        <v>2.22000538502962</v>
      </c>
      <c r="G1338" s="31" t="n">
        <v>79.9</v>
      </c>
      <c r="H1338" s="41" t="n">
        <v>0.148749093546048</v>
      </c>
      <c r="I1338" s="31" t="n">
        <v>77.6</v>
      </c>
      <c r="J1338" s="2" t="s">
        <v>2886</v>
      </c>
      <c r="K1338" s="33" t="n">
        <v>0.00710059171597633</v>
      </c>
      <c r="L1338" s="31" t="n">
        <v>5</v>
      </c>
      <c r="M1338" s="34" t="s">
        <v>822</v>
      </c>
      <c r="N1338" s="2" t="s">
        <v>24</v>
      </c>
      <c r="O1338" s="2" t="s">
        <v>24</v>
      </c>
      <c r="P1338" s="2" t="s">
        <v>22</v>
      </c>
      <c r="Q1338" s="2" t="s">
        <v>24</v>
      </c>
    </row>
    <row r="1339" customFormat="false" ht="15" hidden="false" customHeight="false" outlineLevel="0" collapsed="false">
      <c r="A1339" s="2" t="s">
        <v>1911</v>
      </c>
      <c r="B1339" s="2" t="s">
        <v>45</v>
      </c>
      <c r="C1339" s="13" t="s">
        <v>3213</v>
      </c>
      <c r="D1339" s="29" t="n">
        <v>650</v>
      </c>
      <c r="E1339" s="2" t="s">
        <v>825</v>
      </c>
      <c r="F1339" s="30" t="n">
        <v>0.129230769230769</v>
      </c>
      <c r="G1339" s="31" t="n">
        <v>4</v>
      </c>
      <c r="H1339" s="41" t="n">
        <v>0.0769230769230769</v>
      </c>
      <c r="I1339" s="31" t="n">
        <v>35.2</v>
      </c>
      <c r="J1339" s="2" t="s">
        <v>2899</v>
      </c>
      <c r="K1339" s="38"/>
      <c r="L1339" s="31"/>
      <c r="M1339" s="39" t="s">
        <v>832</v>
      </c>
      <c r="N1339" s="2" t="s">
        <v>24</v>
      </c>
      <c r="O1339" s="2" t="s">
        <v>24</v>
      </c>
      <c r="P1339" s="2" t="s">
        <v>22</v>
      </c>
      <c r="Q1339" s="2"/>
    </row>
    <row r="1340" customFormat="false" ht="15" hidden="false" customHeight="false" outlineLevel="0" collapsed="false">
      <c r="A1340" s="2" t="s">
        <v>1911</v>
      </c>
      <c r="B1340" s="2" t="s">
        <v>46</v>
      </c>
      <c r="C1340" s="13" t="s">
        <v>1912</v>
      </c>
      <c r="D1340" s="29" t="n">
        <v>986040</v>
      </c>
      <c r="E1340" s="2" t="s">
        <v>827</v>
      </c>
      <c r="F1340" s="30" t="n">
        <v>3.06731775587197</v>
      </c>
      <c r="G1340" s="31" t="n">
        <v>47.3</v>
      </c>
      <c r="H1340" s="32" t="n">
        <v>0.0879480983747642</v>
      </c>
      <c r="I1340" s="31" t="n">
        <v>54.8</v>
      </c>
      <c r="J1340" s="2" t="s">
        <v>2888</v>
      </c>
      <c r="K1340" s="33" t="n">
        <v>0.0970939875935993</v>
      </c>
      <c r="L1340" s="31" t="n">
        <v>35.5</v>
      </c>
      <c r="M1340" s="34" t="s">
        <v>822</v>
      </c>
      <c r="N1340" s="2" t="s">
        <v>24</v>
      </c>
      <c r="O1340" s="2" t="s">
        <v>24</v>
      </c>
      <c r="P1340" s="2" t="s">
        <v>24</v>
      </c>
      <c r="Q1340" s="2" t="s">
        <v>24</v>
      </c>
    </row>
    <row r="1341" customFormat="false" ht="15" hidden="false" customHeight="false" outlineLevel="0" collapsed="false">
      <c r="A1341" s="2" t="s">
        <v>528</v>
      </c>
      <c r="B1341" s="2" t="s">
        <v>45</v>
      </c>
      <c r="C1341" s="13" t="s">
        <v>1480</v>
      </c>
      <c r="D1341" s="29" t="n">
        <v>99730</v>
      </c>
      <c r="E1341" s="2" t="s">
        <v>821</v>
      </c>
      <c r="F1341" s="30" t="n">
        <v>0.275383535545974</v>
      </c>
      <c r="G1341" s="31" t="n">
        <v>15.1</v>
      </c>
      <c r="H1341" s="32" t="n">
        <v>0.0527815897814842</v>
      </c>
      <c r="I1341" s="31" t="n">
        <v>29.9</v>
      </c>
      <c r="J1341" s="2" t="s">
        <v>2883</v>
      </c>
      <c r="K1341" s="33" t="n">
        <v>0.0959860383944154</v>
      </c>
      <c r="L1341" s="31" t="n">
        <v>35</v>
      </c>
      <c r="M1341" s="34" t="s">
        <v>822</v>
      </c>
      <c r="N1341" s="2" t="s">
        <v>24</v>
      </c>
      <c r="O1341" s="2" t="s">
        <v>24</v>
      </c>
      <c r="P1341" s="2" t="s">
        <v>24</v>
      </c>
      <c r="Q1341" s="2" t="s">
        <v>24</v>
      </c>
    </row>
    <row r="1342" customFormat="false" ht="15" hidden="false" customHeight="false" outlineLevel="0" collapsed="false">
      <c r="A1342" s="2" t="s">
        <v>528</v>
      </c>
      <c r="B1342" s="2" t="s">
        <v>46</v>
      </c>
      <c r="C1342" s="14" t="s">
        <v>1872</v>
      </c>
      <c r="D1342" s="42" t="n">
        <v>36008</v>
      </c>
      <c r="E1342" s="2" t="s">
        <v>821</v>
      </c>
      <c r="F1342" s="43" t="n">
        <v>3.43368140413242</v>
      </c>
      <c r="G1342" s="31" t="n">
        <v>54.2</v>
      </c>
      <c r="H1342" s="41" t="n">
        <v>0.0355160613119374</v>
      </c>
      <c r="I1342" s="31" t="n">
        <v>23.6</v>
      </c>
      <c r="J1342" s="2" t="s">
        <v>2884</v>
      </c>
      <c r="K1342" s="44" t="n">
        <v>0.105410447761194</v>
      </c>
      <c r="L1342" s="31" t="n">
        <v>40.2</v>
      </c>
      <c r="M1342" s="34" t="s">
        <v>822</v>
      </c>
      <c r="N1342" s="2" t="s">
        <v>22</v>
      </c>
      <c r="O1342" s="2" t="s">
        <v>22</v>
      </c>
      <c r="P1342" s="2" t="s">
        <v>22</v>
      </c>
      <c r="Q1342" s="2" t="s">
        <v>22</v>
      </c>
    </row>
    <row r="1343" customFormat="false" ht="15" hidden="false" customHeight="false" outlineLevel="0" collapsed="false">
      <c r="A1343" s="2" t="s">
        <v>528</v>
      </c>
      <c r="B1343" s="2" t="s">
        <v>47</v>
      </c>
      <c r="C1343" s="14" t="s">
        <v>2418</v>
      </c>
      <c r="D1343" s="42" t="n">
        <v>11335</v>
      </c>
      <c r="E1343" s="2" t="s">
        <v>821</v>
      </c>
      <c r="F1343" s="43" t="n">
        <v>1.6874283193648</v>
      </c>
      <c r="G1343" s="31" t="n">
        <v>68.1</v>
      </c>
      <c r="H1343" s="41" t="n">
        <v>0.105745780899424</v>
      </c>
      <c r="I1343" s="31" t="n">
        <v>55.5</v>
      </c>
      <c r="J1343" s="2" t="s">
        <v>2886</v>
      </c>
      <c r="K1343" s="44" t="n">
        <v>0.0756013745704467</v>
      </c>
      <c r="L1343" s="31" t="n">
        <v>47</v>
      </c>
      <c r="M1343" s="34" t="s">
        <v>822</v>
      </c>
      <c r="N1343" s="2" t="s">
        <v>22</v>
      </c>
      <c r="O1343" s="2" t="s">
        <v>22</v>
      </c>
      <c r="P1343" s="2" t="s">
        <v>22</v>
      </c>
      <c r="Q1343" s="2" t="s">
        <v>22</v>
      </c>
    </row>
    <row r="1344" customFormat="false" ht="15" hidden="false" customHeight="false" outlineLevel="0" collapsed="false">
      <c r="A1344" s="2" t="s">
        <v>1279</v>
      </c>
      <c r="B1344" s="2" t="s">
        <v>45</v>
      </c>
      <c r="C1344" s="13" t="s">
        <v>1280</v>
      </c>
      <c r="D1344" s="29" t="n">
        <v>136210</v>
      </c>
      <c r="E1344" s="2" t="s">
        <v>827</v>
      </c>
      <c r="F1344" s="30" t="n">
        <v>0.518398061816313</v>
      </c>
      <c r="G1344" s="31" t="n">
        <v>43.7</v>
      </c>
      <c r="H1344" s="41" t="n">
        <v>0.00209867452135493</v>
      </c>
      <c r="I1344" s="31" t="n">
        <v>12.1</v>
      </c>
      <c r="J1344" s="2" t="s">
        <v>2890</v>
      </c>
      <c r="K1344" s="33" t="n">
        <v>0.0647925033467202</v>
      </c>
      <c r="L1344" s="31" t="n">
        <v>22.1</v>
      </c>
      <c r="M1344" s="34" t="s">
        <v>822</v>
      </c>
      <c r="N1344" s="2" t="s">
        <v>24</v>
      </c>
      <c r="O1344" s="2" t="s">
        <v>24</v>
      </c>
      <c r="P1344" s="2" t="s">
        <v>22</v>
      </c>
      <c r="Q1344" s="2" t="s">
        <v>24</v>
      </c>
    </row>
    <row r="1345" customFormat="false" ht="15" hidden="false" customHeight="false" outlineLevel="0" collapsed="false">
      <c r="A1345" s="2" t="s">
        <v>1279</v>
      </c>
      <c r="B1345" s="2" t="s">
        <v>46</v>
      </c>
      <c r="C1345" s="13" t="s">
        <v>3214</v>
      </c>
      <c r="D1345" s="29" t="n">
        <v>53490</v>
      </c>
      <c r="E1345" s="2" t="s">
        <v>821</v>
      </c>
      <c r="F1345" s="36"/>
      <c r="G1345" s="31"/>
      <c r="H1345" s="32" t="n">
        <v>0.075608284737583</v>
      </c>
      <c r="I1345" s="31" t="n">
        <v>44.4</v>
      </c>
      <c r="J1345" s="2" t="s">
        <v>2884</v>
      </c>
      <c r="K1345" s="38"/>
      <c r="L1345" s="31"/>
      <c r="M1345" s="39" t="s">
        <v>832</v>
      </c>
      <c r="N1345" s="2" t="s">
        <v>24</v>
      </c>
      <c r="O1345" s="2"/>
      <c r="P1345" s="2" t="s">
        <v>24</v>
      </c>
      <c r="Q1345" s="2"/>
    </row>
    <row r="1346" customFormat="false" ht="15" hidden="false" customHeight="false" outlineLevel="0" collapsed="false">
      <c r="A1346" s="2" t="s">
        <v>1279</v>
      </c>
      <c r="B1346" s="2" t="s">
        <v>47</v>
      </c>
      <c r="C1346" s="14" t="s">
        <v>2658</v>
      </c>
      <c r="D1346" s="42" t="n">
        <v>154099</v>
      </c>
      <c r="E1346" s="2" t="s">
        <v>827</v>
      </c>
      <c r="F1346" s="43" t="n">
        <v>0.870466388490516</v>
      </c>
      <c r="G1346" s="31" t="n">
        <v>32.6</v>
      </c>
      <c r="H1346" s="41" t="n">
        <v>0.0628983308042489</v>
      </c>
      <c r="I1346" s="31" t="n">
        <v>38.5</v>
      </c>
      <c r="J1346" s="2" t="s">
        <v>2897</v>
      </c>
      <c r="K1346" s="44" t="n">
        <v>0.0606380483227774</v>
      </c>
      <c r="L1346" s="31" t="n">
        <v>38.7</v>
      </c>
      <c r="M1346" s="34" t="s">
        <v>822</v>
      </c>
      <c r="N1346" s="2" t="s">
        <v>22</v>
      </c>
      <c r="O1346" s="2" t="s">
        <v>22</v>
      </c>
      <c r="P1346" s="2" t="s">
        <v>22</v>
      </c>
      <c r="Q1346" s="2" t="s">
        <v>22</v>
      </c>
    </row>
    <row r="1347" customFormat="false" ht="15" hidden="false" customHeight="false" outlineLevel="0" collapsed="false">
      <c r="A1347" s="2" t="s">
        <v>1087</v>
      </c>
      <c r="B1347" s="2" t="s">
        <v>45</v>
      </c>
      <c r="C1347" s="13" t="s">
        <v>1088</v>
      </c>
      <c r="D1347" s="29" t="n">
        <v>21530</v>
      </c>
      <c r="E1347" s="2" t="s">
        <v>821</v>
      </c>
      <c r="F1347" s="30" t="n">
        <v>0.811007895959127</v>
      </c>
      <c r="G1347" s="31" t="n">
        <v>68.6</v>
      </c>
      <c r="H1347" s="32" t="n">
        <v>0.0286669851887243</v>
      </c>
      <c r="I1347" s="31" t="n">
        <v>16.8</v>
      </c>
      <c r="J1347" s="2" t="s">
        <v>2883</v>
      </c>
      <c r="K1347" s="33" t="n">
        <v>0.387453874538745</v>
      </c>
      <c r="L1347" s="31" t="n">
        <v>97.4</v>
      </c>
      <c r="M1347" s="34" t="s">
        <v>822</v>
      </c>
      <c r="N1347" s="2" t="s">
        <v>24</v>
      </c>
      <c r="O1347" s="2" t="s">
        <v>24</v>
      </c>
      <c r="P1347" s="2" t="s">
        <v>24</v>
      </c>
      <c r="Q1347" s="2" t="s">
        <v>24</v>
      </c>
    </row>
    <row r="1348" customFormat="false" ht="15" hidden="false" customHeight="false" outlineLevel="0" collapsed="false">
      <c r="A1348" s="2" t="s">
        <v>1087</v>
      </c>
      <c r="B1348" s="2" t="s">
        <v>46</v>
      </c>
      <c r="C1348" s="13" t="s">
        <v>3215</v>
      </c>
      <c r="D1348" s="29" t="n">
        <v>2990</v>
      </c>
      <c r="E1348" s="2" t="s">
        <v>825</v>
      </c>
      <c r="F1348" s="30" t="n">
        <v>3.96354515050167</v>
      </c>
      <c r="G1348" s="31" t="n">
        <v>62.9</v>
      </c>
      <c r="H1348" s="37"/>
      <c r="I1348" s="31"/>
      <c r="J1348" s="2"/>
      <c r="K1348" s="33" t="n">
        <v>0.0688172043010753</v>
      </c>
      <c r="L1348" s="31" t="n">
        <v>19.6</v>
      </c>
      <c r="M1348" s="39" t="s">
        <v>832</v>
      </c>
      <c r="N1348" s="2" t="s">
        <v>24</v>
      </c>
      <c r="O1348" s="2" t="s">
        <v>24</v>
      </c>
      <c r="P1348" s="2"/>
      <c r="Q1348" s="2" t="s">
        <v>24</v>
      </c>
    </row>
    <row r="1349" customFormat="false" ht="15" hidden="false" customHeight="false" outlineLevel="0" collapsed="false">
      <c r="A1349" s="2" t="s">
        <v>1087</v>
      </c>
      <c r="B1349" s="2" t="s">
        <v>47</v>
      </c>
      <c r="C1349" s="14" t="s">
        <v>2234</v>
      </c>
      <c r="D1349" s="46" t="n">
        <v>3382</v>
      </c>
      <c r="E1349" s="2" t="s">
        <v>825</v>
      </c>
      <c r="F1349" s="47" t="n">
        <v>4.51419278533412</v>
      </c>
      <c r="G1349" s="31" t="n">
        <v>96.6</v>
      </c>
      <c r="H1349" s="48" t="n">
        <v>0.189170182841069</v>
      </c>
      <c r="I1349" s="31" t="n">
        <v>83.8</v>
      </c>
      <c r="J1349" s="2" t="s">
        <v>2889</v>
      </c>
      <c r="K1349" s="44" t="n">
        <v>0.0349586016559338</v>
      </c>
      <c r="L1349" s="31" t="n">
        <v>22.8</v>
      </c>
      <c r="M1349" s="34" t="s">
        <v>822</v>
      </c>
      <c r="N1349" s="2" t="s">
        <v>19</v>
      </c>
      <c r="O1349" s="2" t="s">
        <v>19</v>
      </c>
      <c r="P1349" s="2" t="s">
        <v>19</v>
      </c>
      <c r="Q1349" s="2" t="s">
        <v>22</v>
      </c>
    </row>
    <row r="1350" customFormat="false" ht="15" hidden="false" customHeight="false" outlineLevel="0" collapsed="false">
      <c r="A1350" s="2" t="s">
        <v>3216</v>
      </c>
      <c r="B1350" s="2" t="s">
        <v>45</v>
      </c>
      <c r="C1350" s="16"/>
      <c r="D1350" s="35"/>
      <c r="E1350" s="2"/>
      <c r="F1350" s="36"/>
      <c r="G1350" s="31"/>
      <c r="H1350" s="37"/>
      <c r="I1350" s="31"/>
      <c r="J1350" s="2"/>
      <c r="K1350" s="38"/>
      <c r="L1350" s="31"/>
      <c r="M1350" s="39" t="s">
        <v>832</v>
      </c>
      <c r="N1350" s="2"/>
      <c r="O1350" s="2"/>
      <c r="P1350" s="2"/>
      <c r="Q1350" s="2"/>
    </row>
    <row r="1351" customFormat="false" ht="15" hidden="false" customHeight="false" outlineLevel="0" collapsed="false">
      <c r="A1351" s="2" t="s">
        <v>3216</v>
      </c>
      <c r="B1351" s="2" t="s">
        <v>46</v>
      </c>
      <c r="C1351" s="16"/>
      <c r="D1351" s="35"/>
      <c r="E1351" s="2"/>
      <c r="F1351" s="36"/>
      <c r="G1351" s="31"/>
      <c r="H1351" s="37"/>
      <c r="I1351" s="31"/>
      <c r="J1351" s="2"/>
      <c r="K1351" s="38"/>
      <c r="L1351" s="31"/>
      <c r="M1351" s="39" t="s">
        <v>832</v>
      </c>
      <c r="N1351" s="2"/>
      <c r="O1351" s="2"/>
      <c r="P1351" s="2"/>
      <c r="Q1351" s="2"/>
    </row>
    <row r="1352" customFormat="false" ht="15" hidden="false" customHeight="false" outlineLevel="0" collapsed="false">
      <c r="A1352" s="2" t="s">
        <v>3216</v>
      </c>
      <c r="B1352" s="2" t="s">
        <v>47</v>
      </c>
      <c r="C1352" s="16"/>
      <c r="D1352" s="35"/>
      <c r="E1352" s="2"/>
      <c r="F1352" s="36"/>
      <c r="G1352" s="31"/>
      <c r="H1352" s="37"/>
      <c r="I1352" s="31"/>
      <c r="J1352" s="2"/>
      <c r="K1352" s="38"/>
      <c r="L1352" s="31"/>
      <c r="M1352" s="39" t="s">
        <v>832</v>
      </c>
      <c r="N1352" s="2"/>
      <c r="O1352" s="2"/>
      <c r="P1352" s="2"/>
      <c r="Q1352" s="2"/>
    </row>
    <row r="1353" customFormat="false" ht="15" hidden="false" customHeight="false" outlineLevel="0" collapsed="false">
      <c r="A1353" s="2" t="s">
        <v>1553</v>
      </c>
      <c r="B1353" s="2" t="s">
        <v>45</v>
      </c>
      <c r="C1353" s="13" t="s">
        <v>1554</v>
      </c>
      <c r="D1353" s="29" t="n">
        <v>14700</v>
      </c>
      <c r="E1353" s="2" t="s">
        <v>821</v>
      </c>
      <c r="F1353" s="30" t="n">
        <v>0.160136054421769</v>
      </c>
      <c r="G1353" s="31" t="n">
        <v>6.4</v>
      </c>
      <c r="H1353" s="32" t="n">
        <v>0.214876033057851</v>
      </c>
      <c r="I1353" s="31" t="n">
        <v>94.5</v>
      </c>
      <c r="J1353" s="2" t="s">
        <v>2883</v>
      </c>
      <c r="K1353" s="33" t="n">
        <v>0.407821229050279</v>
      </c>
      <c r="L1353" s="31" t="n">
        <v>98.1</v>
      </c>
      <c r="M1353" s="34" t="s">
        <v>822</v>
      </c>
      <c r="N1353" s="2" t="s">
        <v>24</v>
      </c>
      <c r="O1353" s="2" t="s">
        <v>24</v>
      </c>
      <c r="P1353" s="2" t="s">
        <v>24</v>
      </c>
      <c r="Q1353" s="2" t="s">
        <v>24</v>
      </c>
    </row>
    <row r="1354" customFormat="false" ht="15" hidden="false" customHeight="false" outlineLevel="0" collapsed="false">
      <c r="A1354" s="2" t="s">
        <v>1553</v>
      </c>
      <c r="B1354" s="2" t="s">
        <v>46</v>
      </c>
      <c r="C1354" s="13" t="s">
        <v>3217</v>
      </c>
      <c r="D1354" s="29" t="n">
        <v>26730</v>
      </c>
      <c r="E1354" s="2" t="s">
        <v>821</v>
      </c>
      <c r="F1354" s="30" t="n">
        <v>3.44784885895997</v>
      </c>
      <c r="G1354" s="31" t="n">
        <v>54.8</v>
      </c>
      <c r="H1354" s="32" t="n">
        <v>0.134550084889644</v>
      </c>
      <c r="I1354" s="31" t="n">
        <v>75.3</v>
      </c>
      <c r="J1354" s="2" t="s">
        <v>2884</v>
      </c>
      <c r="K1354" s="38"/>
      <c r="L1354" s="31"/>
      <c r="M1354" s="39" t="s">
        <v>832</v>
      </c>
      <c r="N1354" s="2" t="s">
        <v>24</v>
      </c>
      <c r="O1354" s="2" t="s">
        <v>24</v>
      </c>
      <c r="P1354" s="2" t="s">
        <v>24</v>
      </c>
      <c r="Q1354" s="2"/>
    </row>
    <row r="1355" customFormat="false" ht="15" hidden="false" customHeight="false" outlineLevel="0" collapsed="false">
      <c r="A1355" s="2" t="s">
        <v>1553</v>
      </c>
      <c r="B1355" s="2" t="s">
        <v>47</v>
      </c>
      <c r="C1355" s="13" t="s">
        <v>2648</v>
      </c>
      <c r="D1355" s="29" t="n">
        <v>206050</v>
      </c>
      <c r="E1355" s="2" t="s">
        <v>827</v>
      </c>
      <c r="F1355" s="30" t="n">
        <v>0.896714389711235</v>
      </c>
      <c r="G1355" s="31" t="n">
        <v>34</v>
      </c>
      <c r="H1355" s="41" t="n">
        <v>0.0958898812976066</v>
      </c>
      <c r="I1355" s="31" t="n">
        <v>55.9</v>
      </c>
      <c r="J1355" s="2" t="s">
        <v>2897</v>
      </c>
      <c r="K1355" s="33" t="n">
        <v>0.196031337565048</v>
      </c>
      <c r="L1355" s="31" t="n">
        <v>84.2</v>
      </c>
      <c r="M1355" s="34" t="s">
        <v>822</v>
      </c>
      <c r="N1355" s="2" t="s">
        <v>24</v>
      </c>
      <c r="O1355" s="2" t="s">
        <v>24</v>
      </c>
      <c r="P1355" s="2" t="s">
        <v>22</v>
      </c>
      <c r="Q1355" s="2" t="s">
        <v>24</v>
      </c>
    </row>
    <row r="1356" customFormat="false" ht="15" hidden="false" customHeight="false" outlineLevel="0" collapsed="false">
      <c r="A1356" s="2" t="s">
        <v>1561</v>
      </c>
      <c r="B1356" s="2" t="s">
        <v>45</v>
      </c>
      <c r="C1356" s="13" t="s">
        <v>1562</v>
      </c>
      <c r="D1356" s="29" t="n">
        <v>23850</v>
      </c>
      <c r="E1356" s="2" t="s">
        <v>821</v>
      </c>
      <c r="F1356" s="43" t="n">
        <v>0.149406056550109</v>
      </c>
      <c r="G1356" s="31" t="n">
        <v>5.5</v>
      </c>
      <c r="H1356" s="32" t="n">
        <v>0.125</v>
      </c>
      <c r="I1356" s="31" t="n">
        <v>68</v>
      </c>
      <c r="J1356" s="2" t="s">
        <v>2883</v>
      </c>
      <c r="K1356" s="33" t="n">
        <v>0.135416666666667</v>
      </c>
      <c r="L1356" s="31" t="n">
        <v>50.8</v>
      </c>
      <c r="M1356" s="34" t="s">
        <v>822</v>
      </c>
      <c r="N1356" s="2" t="s">
        <v>24</v>
      </c>
      <c r="O1356" s="2" t="s">
        <v>22</v>
      </c>
      <c r="P1356" s="2" t="s">
        <v>24</v>
      </c>
      <c r="Q1356" s="2" t="s">
        <v>24</v>
      </c>
    </row>
    <row r="1357" customFormat="false" ht="15" hidden="false" customHeight="false" outlineLevel="0" collapsed="false">
      <c r="A1357" s="2" t="s">
        <v>1561</v>
      </c>
      <c r="B1357" s="2" t="s">
        <v>46</v>
      </c>
      <c r="C1357" s="13" t="s">
        <v>3218</v>
      </c>
      <c r="D1357" s="29" t="n">
        <v>320</v>
      </c>
      <c r="E1357" s="2" t="s">
        <v>825</v>
      </c>
      <c r="F1357" s="30" t="n">
        <v>6.371875</v>
      </c>
      <c r="G1357" s="31" t="n">
        <v>81.9</v>
      </c>
      <c r="H1357" s="37"/>
      <c r="I1357" s="31"/>
      <c r="J1357" s="2"/>
      <c r="K1357" s="33" t="n">
        <v>0.0826446280991736</v>
      </c>
      <c r="L1357" s="31" t="n">
        <v>27.8</v>
      </c>
      <c r="M1357" s="39" t="s">
        <v>832</v>
      </c>
      <c r="N1357" s="2" t="s">
        <v>24</v>
      </c>
      <c r="O1357" s="2" t="s">
        <v>24</v>
      </c>
      <c r="P1357" s="2"/>
      <c r="Q1357" s="2" t="s">
        <v>24</v>
      </c>
    </row>
    <row r="1358" customFormat="false" ht="15" hidden="false" customHeight="false" outlineLevel="0" collapsed="false">
      <c r="A1358" s="2" t="s">
        <v>1561</v>
      </c>
      <c r="B1358" s="2" t="s">
        <v>47</v>
      </c>
      <c r="C1358" s="13" t="s">
        <v>2394</v>
      </c>
      <c r="D1358" s="29" t="n">
        <v>1023240</v>
      </c>
      <c r="E1358" s="2" t="s">
        <v>935</v>
      </c>
      <c r="F1358" s="30" t="n">
        <v>1.82848989484383</v>
      </c>
      <c r="G1358" s="31" t="n">
        <v>71.8</v>
      </c>
      <c r="H1358" s="32" t="n">
        <v>0.17709855169161</v>
      </c>
      <c r="I1358" s="31" t="n">
        <v>100</v>
      </c>
      <c r="J1358" s="2" t="s">
        <v>2922</v>
      </c>
      <c r="K1358" s="44" t="n">
        <v>0.21386045046464</v>
      </c>
      <c r="L1358" s="31" t="n">
        <v>87.6</v>
      </c>
      <c r="M1358" s="34" t="s">
        <v>822</v>
      </c>
      <c r="N1358" s="2" t="s">
        <v>24</v>
      </c>
      <c r="O1358" s="2" t="s">
        <v>24</v>
      </c>
      <c r="P1358" s="2" t="s">
        <v>24</v>
      </c>
      <c r="Q1358" s="2" t="s">
        <v>22</v>
      </c>
    </row>
    <row r="1359" customFormat="false" ht="15" hidden="false" customHeight="false" outlineLevel="0" collapsed="false">
      <c r="A1359" s="2" t="s">
        <v>1673</v>
      </c>
      <c r="B1359" s="2" t="s">
        <v>45</v>
      </c>
      <c r="C1359" s="13" t="s">
        <v>3219</v>
      </c>
      <c r="D1359" s="29" t="n">
        <v>140570</v>
      </c>
      <c r="E1359" s="2" t="s">
        <v>827</v>
      </c>
      <c r="F1359" s="36"/>
      <c r="G1359" s="31"/>
      <c r="H1359" s="32" t="n">
        <v>0.0973458235753318</v>
      </c>
      <c r="I1359" s="31" t="n">
        <v>57.1</v>
      </c>
      <c r="J1359" s="2" t="s">
        <v>2890</v>
      </c>
      <c r="K1359" s="33" t="n">
        <v>0.0412371134020619</v>
      </c>
      <c r="L1359" s="31" t="n">
        <v>12.6</v>
      </c>
      <c r="M1359" s="39" t="s">
        <v>832</v>
      </c>
      <c r="N1359" s="2" t="s">
        <v>24</v>
      </c>
      <c r="O1359" s="2"/>
      <c r="P1359" s="2" t="s">
        <v>24</v>
      </c>
      <c r="Q1359" s="2" t="s">
        <v>24</v>
      </c>
    </row>
    <row r="1360" customFormat="false" ht="15" hidden="false" customHeight="false" outlineLevel="0" collapsed="false">
      <c r="A1360" s="2" t="s">
        <v>1673</v>
      </c>
      <c r="B1360" s="2" t="s">
        <v>46</v>
      </c>
      <c r="C1360" s="13" t="s">
        <v>1674</v>
      </c>
      <c r="D1360" s="29" t="n">
        <v>75520</v>
      </c>
      <c r="E1360" s="2" t="s">
        <v>821</v>
      </c>
      <c r="F1360" s="30" t="n">
        <v>7.44931144067797</v>
      </c>
      <c r="G1360" s="31" t="n">
        <v>88.2</v>
      </c>
      <c r="H1360" s="32" t="n">
        <v>-0.00749112892627152</v>
      </c>
      <c r="I1360" s="31" t="n">
        <v>12.4</v>
      </c>
      <c r="J1360" s="2" t="s">
        <v>2884</v>
      </c>
      <c r="K1360" s="33" t="n">
        <v>0.365747619833801</v>
      </c>
      <c r="L1360" s="31" t="n">
        <v>95.1</v>
      </c>
      <c r="M1360" s="34" t="s">
        <v>822</v>
      </c>
      <c r="N1360" s="2" t="s">
        <v>24</v>
      </c>
      <c r="O1360" s="2" t="s">
        <v>24</v>
      </c>
      <c r="P1360" s="2" t="s">
        <v>24</v>
      </c>
      <c r="Q1360" s="2" t="s">
        <v>24</v>
      </c>
    </row>
    <row r="1361" customFormat="false" ht="15" hidden="false" customHeight="false" outlineLevel="0" collapsed="false">
      <c r="A1361" s="2" t="s">
        <v>1673</v>
      </c>
      <c r="B1361" s="2" t="s">
        <v>47</v>
      </c>
      <c r="C1361" s="13" t="s">
        <v>2716</v>
      </c>
      <c r="D1361" s="29" t="n">
        <v>7460</v>
      </c>
      <c r="E1361" s="2" t="s">
        <v>825</v>
      </c>
      <c r="F1361" s="30" t="n">
        <v>0.717024128686327</v>
      </c>
      <c r="G1361" s="31" t="n">
        <v>23.1</v>
      </c>
      <c r="H1361" s="32" t="n">
        <v>0.0827285921625544</v>
      </c>
      <c r="I1361" s="31" t="n">
        <v>41.2</v>
      </c>
      <c r="J1361" s="2" t="s">
        <v>2889</v>
      </c>
      <c r="K1361" s="33" t="n">
        <v>0.0175824175824176</v>
      </c>
      <c r="L1361" s="31" t="n">
        <v>11.3</v>
      </c>
      <c r="M1361" s="34" t="s">
        <v>822</v>
      </c>
      <c r="N1361" s="2" t="s">
        <v>24</v>
      </c>
      <c r="O1361" s="2" t="s">
        <v>24</v>
      </c>
      <c r="P1361" s="2" t="s">
        <v>24</v>
      </c>
      <c r="Q1361" s="2" t="s">
        <v>24</v>
      </c>
    </row>
    <row r="1362" customFormat="false" ht="15" hidden="false" customHeight="false" outlineLevel="0" collapsed="false">
      <c r="A1362" s="2" t="s">
        <v>800</v>
      </c>
      <c r="B1362" s="2" t="s">
        <v>46</v>
      </c>
      <c r="C1362" s="13" t="s">
        <v>2183</v>
      </c>
      <c r="D1362" s="29" t="n">
        <v>546080</v>
      </c>
      <c r="E1362" s="2" t="s">
        <v>827</v>
      </c>
      <c r="F1362" s="30" t="n">
        <v>0.707976853208321</v>
      </c>
      <c r="G1362" s="31" t="n">
        <v>3.5</v>
      </c>
      <c r="H1362" s="32" t="n">
        <v>0.00995006473090438</v>
      </c>
      <c r="I1362" s="31" t="n">
        <v>15.3</v>
      </c>
      <c r="J1362" s="2" t="s">
        <v>2888</v>
      </c>
      <c r="K1362" s="33" t="n">
        <v>0.0888857880415824</v>
      </c>
      <c r="L1362" s="31" t="n">
        <v>32</v>
      </c>
      <c r="M1362" s="34" t="s">
        <v>822</v>
      </c>
      <c r="N1362" s="2" t="s">
        <v>24</v>
      </c>
      <c r="O1362" s="2" t="s">
        <v>24</v>
      </c>
      <c r="P1362" s="2" t="s">
        <v>24</v>
      </c>
      <c r="Q1362" s="2" t="s">
        <v>24</v>
      </c>
    </row>
    <row r="1363" customFormat="false" ht="15" hidden="false" customHeight="false" outlineLevel="0" collapsed="false">
      <c r="A1363" s="2" t="s">
        <v>879</v>
      </c>
      <c r="B1363" s="2" t="s">
        <v>45</v>
      </c>
      <c r="C1363" s="14" t="s">
        <v>880</v>
      </c>
      <c r="D1363" s="42" t="n">
        <v>39277</v>
      </c>
      <c r="E1363" s="2" t="s">
        <v>821</v>
      </c>
      <c r="F1363" s="43" t="n">
        <v>1.87005117498791</v>
      </c>
      <c r="G1363" s="31" t="n">
        <v>94.1</v>
      </c>
      <c r="H1363" s="41" t="n">
        <v>0.102728957268797</v>
      </c>
      <c r="I1363" s="31" t="n">
        <v>54.6</v>
      </c>
      <c r="J1363" s="2" t="s">
        <v>2883</v>
      </c>
      <c r="K1363" s="44" t="n">
        <v>0.259025787965616</v>
      </c>
      <c r="L1363" s="31" t="n">
        <v>83.9</v>
      </c>
      <c r="M1363" s="34" t="s">
        <v>822</v>
      </c>
      <c r="N1363" s="2" t="s">
        <v>22</v>
      </c>
      <c r="O1363" s="2" t="s">
        <v>22</v>
      </c>
      <c r="P1363" s="2" t="s">
        <v>22</v>
      </c>
      <c r="Q1363" s="2" t="s">
        <v>22</v>
      </c>
    </row>
    <row r="1364" customFormat="false" ht="15" hidden="false" customHeight="false" outlineLevel="0" collapsed="false">
      <c r="A1364" s="2" t="s">
        <v>879</v>
      </c>
      <c r="B1364" s="2" t="s">
        <v>46</v>
      </c>
      <c r="C1364" s="16"/>
      <c r="D1364" s="29" t="n">
        <v>13990</v>
      </c>
      <c r="E1364" s="2" t="s">
        <v>821</v>
      </c>
      <c r="F1364" s="30" t="n">
        <v>4.26333095067906</v>
      </c>
      <c r="G1364" s="31" t="n">
        <v>67.6</v>
      </c>
      <c r="H1364" s="32" t="n">
        <v>0.055052790346908</v>
      </c>
      <c r="I1364" s="31" t="n">
        <v>33.1</v>
      </c>
      <c r="J1364" s="2" t="s">
        <v>2884</v>
      </c>
      <c r="K1364" s="38"/>
      <c r="L1364" s="31"/>
      <c r="M1364" s="39" t="s">
        <v>832</v>
      </c>
      <c r="N1364" s="2" t="s">
        <v>24</v>
      </c>
      <c r="O1364" s="2" t="s">
        <v>24</v>
      </c>
      <c r="P1364" s="2" t="s">
        <v>24</v>
      </c>
      <c r="Q1364" s="2"/>
    </row>
    <row r="1365" customFormat="false" ht="15" hidden="false" customHeight="false" outlineLevel="0" collapsed="false">
      <c r="A1365" s="2" t="s">
        <v>879</v>
      </c>
      <c r="B1365" s="2" t="s">
        <v>47</v>
      </c>
      <c r="C1365" s="14" t="s">
        <v>2712</v>
      </c>
      <c r="D1365" s="42" t="n">
        <v>995565</v>
      </c>
      <c r="E1365" s="2" t="s">
        <v>827</v>
      </c>
      <c r="F1365" s="43" t="n">
        <v>0.733449850085128</v>
      </c>
      <c r="G1365" s="31" t="n">
        <v>23.8</v>
      </c>
      <c r="H1365" s="41" t="n">
        <v>0.136954371763803</v>
      </c>
      <c r="I1365" s="31" t="n">
        <v>75.8</v>
      </c>
      <c r="J1365" s="2" t="s">
        <v>2897</v>
      </c>
      <c r="K1365" s="44" t="n">
        <v>0.00778858581048908</v>
      </c>
      <c r="L1365" s="31" t="n">
        <v>5.6</v>
      </c>
      <c r="M1365" s="34" t="s">
        <v>822</v>
      </c>
      <c r="N1365" s="2" t="s">
        <v>22</v>
      </c>
      <c r="O1365" s="2" t="s">
        <v>22</v>
      </c>
      <c r="P1365" s="2" t="s">
        <v>22</v>
      </c>
      <c r="Q1365" s="2" t="s">
        <v>22</v>
      </c>
    </row>
    <row r="1366" customFormat="false" ht="15" hidden="false" customHeight="false" outlineLevel="0" collapsed="false">
      <c r="A1366" s="2" t="s">
        <v>748</v>
      </c>
      <c r="B1366" s="2" t="s">
        <v>47</v>
      </c>
      <c r="C1366" s="14" t="s">
        <v>2726</v>
      </c>
      <c r="D1366" s="42" t="n">
        <v>8014</v>
      </c>
      <c r="E1366" s="2" t="s">
        <v>825</v>
      </c>
      <c r="F1366" s="43" t="n">
        <v>0.690291989019216</v>
      </c>
      <c r="G1366" s="31" t="n">
        <v>21.7</v>
      </c>
      <c r="H1366" s="41" t="n">
        <v>0.180960801650457</v>
      </c>
      <c r="I1366" s="31" t="n">
        <v>78.8</v>
      </c>
      <c r="J1366" s="2" t="s">
        <v>2889</v>
      </c>
      <c r="K1366" s="44" t="n">
        <v>0.0740740740740741</v>
      </c>
      <c r="L1366" s="31" t="n">
        <v>46.1</v>
      </c>
      <c r="M1366" s="34" t="s">
        <v>822</v>
      </c>
      <c r="N1366" s="2" t="s">
        <v>22</v>
      </c>
      <c r="O1366" s="2" t="s">
        <v>22</v>
      </c>
      <c r="P1366" s="2" t="s">
        <v>22</v>
      </c>
      <c r="Q1366" s="2" t="s">
        <v>22</v>
      </c>
    </row>
    <row r="1367" customFormat="false" ht="15" hidden="false" customHeight="false" outlineLevel="0" collapsed="false">
      <c r="A1367" s="2" t="s">
        <v>1659</v>
      </c>
      <c r="B1367" s="2" t="s">
        <v>46</v>
      </c>
      <c r="C1367" s="14" t="s">
        <v>1660</v>
      </c>
      <c r="D1367" s="29" t="n">
        <v>11610</v>
      </c>
      <c r="E1367" s="2" t="s">
        <v>821</v>
      </c>
      <c r="F1367" s="30" t="n">
        <v>8.55745047372954</v>
      </c>
      <c r="G1367" s="31" t="n">
        <v>90.8</v>
      </c>
      <c r="H1367" s="32" t="n">
        <v>0.175101214574899</v>
      </c>
      <c r="I1367" s="31" t="n">
        <v>86.5</v>
      </c>
      <c r="J1367" s="2" t="s">
        <v>2884</v>
      </c>
      <c r="K1367" s="33" t="n">
        <v>0.297497155858931</v>
      </c>
      <c r="L1367" s="31" t="n">
        <v>88.1</v>
      </c>
      <c r="M1367" s="34" t="s">
        <v>822</v>
      </c>
      <c r="N1367" s="2" t="s">
        <v>24</v>
      </c>
      <c r="O1367" s="2" t="s">
        <v>24</v>
      </c>
      <c r="P1367" s="2" t="s">
        <v>24</v>
      </c>
      <c r="Q1367" s="2" t="s">
        <v>24</v>
      </c>
    </row>
    <row r="1368" customFormat="false" ht="15" hidden="false" customHeight="false" outlineLevel="0" collapsed="false">
      <c r="A1368" s="2" t="s">
        <v>1659</v>
      </c>
      <c r="B1368" s="2" t="s">
        <v>47</v>
      </c>
      <c r="C1368" s="15" t="s">
        <v>3220</v>
      </c>
      <c r="D1368" s="46" t="n">
        <v>91536</v>
      </c>
      <c r="E1368" s="2" t="s">
        <v>821</v>
      </c>
      <c r="F1368" s="47" t="n">
        <v>0.198872574724699</v>
      </c>
      <c r="G1368" s="31" t="n">
        <v>0.7</v>
      </c>
      <c r="H1368" s="48" t="n">
        <v>0.155115844732724</v>
      </c>
      <c r="I1368" s="31" t="n">
        <v>79.5</v>
      </c>
      <c r="J1368" s="2" t="s">
        <v>2886</v>
      </c>
      <c r="K1368" s="38"/>
      <c r="L1368" s="31"/>
      <c r="M1368" s="39" t="s">
        <v>832</v>
      </c>
      <c r="N1368" s="2" t="s">
        <v>19</v>
      </c>
      <c r="O1368" s="2" t="s">
        <v>19</v>
      </c>
      <c r="P1368" s="2" t="s">
        <v>19</v>
      </c>
      <c r="Q1368" s="2"/>
    </row>
    <row r="1369" customFormat="false" ht="15" hidden="false" customHeight="false" outlineLevel="0" collapsed="false">
      <c r="A1369" s="2" t="s">
        <v>742</v>
      </c>
      <c r="B1369" s="2" t="s">
        <v>45</v>
      </c>
      <c r="C1369" s="13" t="s">
        <v>1585</v>
      </c>
      <c r="D1369" s="29" t="n">
        <v>23430</v>
      </c>
      <c r="E1369" s="2" t="s">
        <v>821</v>
      </c>
      <c r="F1369" s="30" t="n">
        <v>0.10734101579172</v>
      </c>
      <c r="G1369" s="31" t="n">
        <v>2.5</v>
      </c>
      <c r="H1369" s="32" t="n">
        <v>0.169745381927109</v>
      </c>
      <c r="I1369" s="31" t="n">
        <v>82.8</v>
      </c>
      <c r="J1369" s="2" t="s">
        <v>2883</v>
      </c>
      <c r="K1369" s="33" t="n">
        <v>0.107317073170732</v>
      </c>
      <c r="L1369" s="31" t="n">
        <v>38</v>
      </c>
      <c r="M1369" s="34" t="s">
        <v>822</v>
      </c>
      <c r="N1369" s="2" t="s">
        <v>24</v>
      </c>
      <c r="O1369" s="2" t="s">
        <v>24</v>
      </c>
      <c r="P1369" s="2" t="s">
        <v>24</v>
      </c>
      <c r="Q1369" s="2" t="s">
        <v>24</v>
      </c>
    </row>
    <row r="1370" customFormat="false" ht="15" hidden="false" customHeight="false" outlineLevel="0" collapsed="false">
      <c r="A1370" s="2" t="s">
        <v>742</v>
      </c>
      <c r="B1370" s="2" t="s">
        <v>46</v>
      </c>
      <c r="C1370" s="13" t="s">
        <v>2045</v>
      </c>
      <c r="D1370" s="29" t="n">
        <v>79150</v>
      </c>
      <c r="E1370" s="2" t="s">
        <v>821</v>
      </c>
      <c r="F1370" s="30" t="n">
        <v>1.92136449778901</v>
      </c>
      <c r="G1370" s="31" t="n">
        <v>26.1</v>
      </c>
      <c r="H1370" s="32" t="n">
        <v>0.00763844684914068</v>
      </c>
      <c r="I1370" s="31" t="n">
        <v>14.9</v>
      </c>
      <c r="J1370" s="2" t="s">
        <v>2884</v>
      </c>
      <c r="K1370" s="33" t="n">
        <v>0.148381672971837</v>
      </c>
      <c r="L1370" s="31" t="n">
        <v>54.7</v>
      </c>
      <c r="M1370" s="34" t="s">
        <v>822</v>
      </c>
      <c r="N1370" s="2" t="s">
        <v>24</v>
      </c>
      <c r="O1370" s="2" t="s">
        <v>24</v>
      </c>
      <c r="P1370" s="2" t="s">
        <v>24</v>
      </c>
      <c r="Q1370" s="2" t="s">
        <v>24</v>
      </c>
    </row>
    <row r="1371" customFormat="false" ht="15" hidden="false" customHeight="false" outlineLevel="0" collapsed="false">
      <c r="A1371" s="2" t="s">
        <v>742</v>
      </c>
      <c r="B1371" s="2" t="s">
        <v>47</v>
      </c>
      <c r="C1371" s="13" t="s">
        <v>2608</v>
      </c>
      <c r="D1371" s="29" t="n">
        <v>15350</v>
      </c>
      <c r="E1371" s="2" t="s">
        <v>821</v>
      </c>
      <c r="F1371" s="30" t="n">
        <v>1.0185667752443</v>
      </c>
      <c r="G1371" s="31" t="n">
        <v>39.5</v>
      </c>
      <c r="H1371" s="41" t="n">
        <v>0.00169568903671819</v>
      </c>
      <c r="I1371" s="31" t="n">
        <v>10.1</v>
      </c>
      <c r="J1371" s="2" t="s">
        <v>2886</v>
      </c>
      <c r="K1371" s="33" t="n">
        <v>0.370229007633588</v>
      </c>
      <c r="L1371" s="31" t="n">
        <v>98.7</v>
      </c>
      <c r="M1371" s="34" t="s">
        <v>822</v>
      </c>
      <c r="N1371" s="2" t="s">
        <v>24</v>
      </c>
      <c r="O1371" s="2" t="s">
        <v>24</v>
      </c>
      <c r="P1371" s="2" t="s">
        <v>22</v>
      </c>
      <c r="Q1371" s="2" t="s">
        <v>24</v>
      </c>
    </row>
    <row r="1372" customFormat="false" ht="15" hidden="false" customHeight="false" outlineLevel="0" collapsed="false">
      <c r="A1372" s="2" t="s">
        <v>1075</v>
      </c>
      <c r="B1372" s="2" t="s">
        <v>45</v>
      </c>
      <c r="C1372" s="13" t="s">
        <v>1076</v>
      </c>
      <c r="D1372" s="46" t="n">
        <v>872228</v>
      </c>
      <c r="E1372" s="2" t="s">
        <v>827</v>
      </c>
      <c r="F1372" s="47" t="n">
        <v>0.827772096286751</v>
      </c>
      <c r="G1372" s="31" t="n">
        <v>69.8</v>
      </c>
      <c r="H1372" s="48" t="n">
        <v>-0.0392610412040464</v>
      </c>
      <c r="I1372" s="31" t="n">
        <v>5.7</v>
      </c>
      <c r="J1372" s="2" t="s">
        <v>2890</v>
      </c>
      <c r="K1372" s="33" t="n">
        <v>0.0999566482938007</v>
      </c>
      <c r="L1372" s="31" t="n">
        <v>36.1</v>
      </c>
      <c r="M1372" s="34" t="s">
        <v>822</v>
      </c>
      <c r="N1372" s="2" t="s">
        <v>19</v>
      </c>
      <c r="O1372" s="2" t="s">
        <v>19</v>
      </c>
      <c r="P1372" s="2" t="s">
        <v>19</v>
      </c>
      <c r="Q1372" s="2" t="s">
        <v>24</v>
      </c>
    </row>
    <row r="1373" customFormat="false" ht="15" hidden="false" customHeight="false" outlineLevel="0" collapsed="false">
      <c r="A1373" s="2" t="s">
        <v>1075</v>
      </c>
      <c r="B1373" s="2" t="s">
        <v>46</v>
      </c>
      <c r="C1373" s="13" t="s">
        <v>3221</v>
      </c>
      <c r="D1373" s="35"/>
      <c r="E1373" s="2"/>
      <c r="F1373" s="36"/>
      <c r="G1373" s="31"/>
      <c r="H1373" s="37"/>
      <c r="I1373" s="31"/>
      <c r="J1373" s="2"/>
      <c r="K1373" s="33" t="n">
        <v>0.0866273141937215</v>
      </c>
      <c r="L1373" s="31" t="n">
        <v>30.2</v>
      </c>
      <c r="M1373" s="39" t="s">
        <v>832</v>
      </c>
      <c r="N1373" s="2"/>
      <c r="O1373" s="2"/>
      <c r="P1373" s="2"/>
      <c r="Q1373" s="2" t="s">
        <v>24</v>
      </c>
    </row>
    <row r="1374" customFormat="false" ht="15" hidden="false" customHeight="false" outlineLevel="0" collapsed="false">
      <c r="A1374" s="2" t="s">
        <v>1075</v>
      </c>
      <c r="B1374" s="2" t="s">
        <v>47</v>
      </c>
      <c r="C1374" s="13" t="s">
        <v>2473</v>
      </c>
      <c r="D1374" s="29" t="n">
        <v>38170</v>
      </c>
      <c r="E1374" s="2" t="s">
        <v>821</v>
      </c>
      <c r="F1374" s="30" t="n">
        <v>1.49528425465025</v>
      </c>
      <c r="G1374" s="31" t="n">
        <v>59.6</v>
      </c>
      <c r="H1374" s="32" t="n">
        <v>0.101587301587302</v>
      </c>
      <c r="I1374" s="31" t="n">
        <v>53.9</v>
      </c>
      <c r="J1374" s="2" t="s">
        <v>2886</v>
      </c>
      <c r="K1374" s="33" t="n">
        <v>0.0789000718907261</v>
      </c>
      <c r="L1374" s="31" t="n">
        <v>48.7</v>
      </c>
      <c r="M1374" s="34" t="s">
        <v>822</v>
      </c>
      <c r="N1374" s="2" t="s">
        <v>24</v>
      </c>
      <c r="O1374" s="2" t="s">
        <v>24</v>
      </c>
      <c r="P1374" s="2" t="s">
        <v>24</v>
      </c>
      <c r="Q1374" s="2" t="s">
        <v>24</v>
      </c>
    </row>
    <row r="1375" customFormat="false" ht="15" hidden="false" customHeight="false" outlineLevel="0" collapsed="false">
      <c r="A1375" s="2" t="s">
        <v>640</v>
      </c>
      <c r="B1375" s="2" t="s">
        <v>46</v>
      </c>
      <c r="C1375" s="13" t="s">
        <v>1991</v>
      </c>
      <c r="D1375" s="29" t="n">
        <v>119110</v>
      </c>
      <c r="E1375" s="2" t="s">
        <v>827</v>
      </c>
      <c r="F1375" s="30" t="n">
        <v>2.42736965829905</v>
      </c>
      <c r="G1375" s="31" t="n">
        <v>36</v>
      </c>
      <c r="H1375" s="32" t="n">
        <v>0.0108631078672664</v>
      </c>
      <c r="I1375" s="31" t="n">
        <v>16.6</v>
      </c>
      <c r="J1375" s="2" t="s">
        <v>2888</v>
      </c>
      <c r="K1375" s="33" t="n">
        <v>0.235096074889144</v>
      </c>
      <c r="L1375" s="31" t="n">
        <v>77.5</v>
      </c>
      <c r="M1375" s="34" t="s">
        <v>822</v>
      </c>
      <c r="N1375" s="2" t="s">
        <v>24</v>
      </c>
      <c r="O1375" s="2" t="s">
        <v>24</v>
      </c>
      <c r="P1375" s="2" t="s">
        <v>24</v>
      </c>
      <c r="Q1375" s="2" t="s">
        <v>24</v>
      </c>
    </row>
    <row r="1376" customFormat="false" ht="15" hidden="false" customHeight="false" outlineLevel="0" collapsed="false">
      <c r="A1376" s="2" t="s">
        <v>2529</v>
      </c>
      <c r="B1376" s="2" t="s">
        <v>45</v>
      </c>
      <c r="C1376" s="13" t="s">
        <v>3222</v>
      </c>
      <c r="D1376" s="35"/>
      <c r="E1376" s="2"/>
      <c r="F1376" s="36"/>
      <c r="G1376" s="31"/>
      <c r="H1376" s="37"/>
      <c r="I1376" s="31"/>
      <c r="J1376" s="2"/>
      <c r="K1376" s="40" t="s">
        <v>857</v>
      </c>
      <c r="L1376" s="31"/>
      <c r="M1376" s="39" t="s">
        <v>832</v>
      </c>
      <c r="N1376" s="2"/>
      <c r="O1376" s="2"/>
      <c r="P1376" s="2"/>
      <c r="Q1376" s="2" t="s">
        <v>2885</v>
      </c>
    </row>
    <row r="1377" customFormat="false" ht="15" hidden="false" customHeight="false" outlineLevel="0" collapsed="false">
      <c r="A1377" s="2" t="s">
        <v>2529</v>
      </c>
      <c r="B1377" s="2" t="s">
        <v>46</v>
      </c>
      <c r="C1377" s="16"/>
      <c r="D1377" s="35"/>
      <c r="E1377" s="2"/>
      <c r="F1377" s="36"/>
      <c r="G1377" s="31"/>
      <c r="H1377" s="37"/>
      <c r="I1377" s="31"/>
      <c r="J1377" s="2"/>
      <c r="K1377" s="38"/>
      <c r="L1377" s="31"/>
      <c r="M1377" s="39" t="s">
        <v>832</v>
      </c>
      <c r="N1377" s="2"/>
      <c r="O1377" s="2"/>
      <c r="P1377" s="2"/>
      <c r="Q1377" s="2"/>
    </row>
    <row r="1378" customFormat="false" ht="15" hidden="false" customHeight="false" outlineLevel="0" collapsed="false">
      <c r="A1378" s="2" t="s">
        <v>2529</v>
      </c>
      <c r="B1378" s="2" t="s">
        <v>47</v>
      </c>
      <c r="C1378" s="13" t="s">
        <v>2530</v>
      </c>
      <c r="D1378" s="29" t="n">
        <v>39990</v>
      </c>
      <c r="E1378" s="2" t="s">
        <v>821</v>
      </c>
      <c r="F1378" s="30" t="n">
        <v>1.28387096774194</v>
      </c>
      <c r="G1378" s="31" t="n">
        <v>51.7</v>
      </c>
      <c r="H1378" s="32" t="n">
        <v>0.219579139981702</v>
      </c>
      <c r="I1378" s="31" t="n">
        <v>94.2</v>
      </c>
      <c r="J1378" s="2" t="s">
        <v>2886</v>
      </c>
      <c r="K1378" s="33" t="n">
        <v>0.0369265199552406</v>
      </c>
      <c r="L1378" s="31" t="n">
        <v>24</v>
      </c>
      <c r="M1378" s="34" t="s">
        <v>822</v>
      </c>
      <c r="N1378" s="2" t="s">
        <v>24</v>
      </c>
      <c r="O1378" s="2" t="s">
        <v>24</v>
      </c>
      <c r="P1378" s="2" t="s">
        <v>24</v>
      </c>
      <c r="Q1378" s="2" t="s">
        <v>24</v>
      </c>
    </row>
    <row r="1379" customFormat="false" ht="15" hidden="false" customHeight="false" outlineLevel="0" collapsed="false">
      <c r="A1379" s="2" t="s">
        <v>3223</v>
      </c>
      <c r="B1379" s="2" t="s">
        <v>45</v>
      </c>
      <c r="C1379" s="13" t="s">
        <v>3224</v>
      </c>
      <c r="D1379" s="29" t="n">
        <v>20750</v>
      </c>
      <c r="E1379" s="2" t="s">
        <v>821</v>
      </c>
      <c r="F1379" s="30" t="n">
        <v>0.666313253012048</v>
      </c>
      <c r="G1379" s="31" t="n">
        <v>59.4</v>
      </c>
      <c r="H1379" s="32" t="n">
        <v>0.105487480021311</v>
      </c>
      <c r="I1379" s="31" t="n">
        <v>55.3</v>
      </c>
      <c r="J1379" s="2" t="s">
        <v>2883</v>
      </c>
      <c r="K1379" s="38"/>
      <c r="L1379" s="31"/>
      <c r="M1379" s="39" t="s">
        <v>832</v>
      </c>
      <c r="N1379" s="2" t="s">
        <v>24</v>
      </c>
      <c r="O1379" s="2" t="s">
        <v>24</v>
      </c>
      <c r="P1379" s="2" t="s">
        <v>24</v>
      </c>
      <c r="Q1379" s="2"/>
    </row>
    <row r="1380" customFormat="false" ht="15" hidden="false" customHeight="false" outlineLevel="0" collapsed="false">
      <c r="A1380" s="2" t="s">
        <v>1975</v>
      </c>
      <c r="B1380" s="2" t="s">
        <v>45</v>
      </c>
      <c r="C1380" s="13" t="s">
        <v>3225</v>
      </c>
      <c r="D1380" s="29" t="n">
        <v>24060</v>
      </c>
      <c r="E1380" s="2" t="s">
        <v>821</v>
      </c>
      <c r="F1380" s="36"/>
      <c r="G1380" s="31"/>
      <c r="H1380" s="32" t="n">
        <v>0.05249343832021</v>
      </c>
      <c r="I1380" s="31" t="n">
        <v>29.2</v>
      </c>
      <c r="J1380" s="2" t="s">
        <v>2883</v>
      </c>
      <c r="K1380" s="40" t="s">
        <v>857</v>
      </c>
      <c r="L1380" s="31"/>
      <c r="M1380" s="39" t="s">
        <v>832</v>
      </c>
      <c r="N1380" s="2" t="s">
        <v>24</v>
      </c>
      <c r="O1380" s="2"/>
      <c r="P1380" s="2" t="s">
        <v>24</v>
      </c>
      <c r="Q1380" s="2" t="s">
        <v>2885</v>
      </c>
    </row>
    <row r="1381" customFormat="false" ht="15" hidden="false" customHeight="false" outlineLevel="0" collapsed="false">
      <c r="A1381" s="2" t="s">
        <v>1975</v>
      </c>
      <c r="B1381" s="2" t="s">
        <v>46</v>
      </c>
      <c r="C1381" s="13" t="s">
        <v>1976</v>
      </c>
      <c r="D1381" s="29" t="n">
        <v>8030</v>
      </c>
      <c r="E1381" s="2" t="s">
        <v>825</v>
      </c>
      <c r="F1381" s="30" t="n">
        <v>2.49128268991283</v>
      </c>
      <c r="G1381" s="31" t="n">
        <v>38.3</v>
      </c>
      <c r="H1381" s="32" t="n">
        <v>0.152080344332855</v>
      </c>
      <c r="I1381" s="31" t="n">
        <v>67.9</v>
      </c>
      <c r="J1381" s="2" t="s">
        <v>2905</v>
      </c>
      <c r="K1381" s="33" t="n">
        <v>0.0254957507082153</v>
      </c>
      <c r="L1381" s="31" t="n">
        <v>5.5</v>
      </c>
      <c r="M1381" s="34" t="s">
        <v>822</v>
      </c>
      <c r="N1381" s="2" t="s">
        <v>24</v>
      </c>
      <c r="O1381" s="2" t="s">
        <v>24</v>
      </c>
      <c r="P1381" s="2" t="s">
        <v>24</v>
      </c>
      <c r="Q1381" s="2" t="s">
        <v>24</v>
      </c>
    </row>
    <row r="1382" customFormat="false" ht="15" hidden="false" customHeight="false" outlineLevel="0" collapsed="false">
      <c r="A1382" s="2" t="s">
        <v>1975</v>
      </c>
      <c r="B1382" s="2" t="s">
        <v>47</v>
      </c>
      <c r="C1382" s="13" t="s">
        <v>2531</v>
      </c>
      <c r="D1382" s="29" t="n">
        <v>14870</v>
      </c>
      <c r="E1382" s="2" t="s">
        <v>821</v>
      </c>
      <c r="F1382" s="43" t="n">
        <v>1.28292715408177</v>
      </c>
      <c r="G1382" s="31" t="n">
        <v>51.5</v>
      </c>
      <c r="H1382" s="32" t="n">
        <v>0.25273799494524</v>
      </c>
      <c r="I1382" s="31" t="n">
        <v>98.4</v>
      </c>
      <c r="J1382" s="2" t="s">
        <v>2886</v>
      </c>
      <c r="K1382" s="33" t="n">
        <v>0.125739644970414</v>
      </c>
      <c r="L1382" s="31" t="n">
        <v>66.8</v>
      </c>
      <c r="M1382" s="34" t="s">
        <v>822</v>
      </c>
      <c r="N1382" s="2" t="s">
        <v>24</v>
      </c>
      <c r="O1382" s="2" t="s">
        <v>22</v>
      </c>
      <c r="P1382" s="2" t="s">
        <v>24</v>
      </c>
      <c r="Q1382" s="2" t="s">
        <v>24</v>
      </c>
    </row>
    <row r="1383" customFormat="false" ht="15" hidden="false" customHeight="false" outlineLevel="0" collapsed="false">
      <c r="A1383" s="2" t="s">
        <v>392</v>
      </c>
      <c r="B1383" s="2" t="s">
        <v>45</v>
      </c>
      <c r="C1383" s="13" t="s">
        <v>1098</v>
      </c>
      <c r="D1383" s="46" t="n">
        <v>4457</v>
      </c>
      <c r="E1383" s="2" t="s">
        <v>825</v>
      </c>
      <c r="F1383" s="47" t="n">
        <v>0.788198339690375</v>
      </c>
      <c r="G1383" s="31" t="n">
        <v>67.5</v>
      </c>
      <c r="H1383" s="48" t="n">
        <v>0.128068843330802</v>
      </c>
      <c r="I1383" s="31" t="n">
        <v>70.4</v>
      </c>
      <c r="J1383" s="2" t="s">
        <v>2899</v>
      </c>
      <c r="K1383" s="40" t="s">
        <v>857</v>
      </c>
      <c r="L1383" s="31"/>
      <c r="M1383" s="34" t="s">
        <v>822</v>
      </c>
      <c r="N1383" s="2" t="s">
        <v>19</v>
      </c>
      <c r="O1383" s="2" t="s">
        <v>19</v>
      </c>
      <c r="P1383" s="2" t="s">
        <v>19</v>
      </c>
      <c r="Q1383" s="2" t="s">
        <v>2885</v>
      </c>
    </row>
    <row r="1384" customFormat="false" ht="15" hidden="false" customHeight="false" outlineLevel="0" collapsed="false">
      <c r="A1384" s="2" t="s">
        <v>392</v>
      </c>
      <c r="B1384" s="2" t="s">
        <v>46</v>
      </c>
      <c r="C1384" s="14" t="s">
        <v>1628</v>
      </c>
      <c r="D1384" s="42" t="n">
        <v>2200</v>
      </c>
      <c r="E1384" s="2" t="s">
        <v>825</v>
      </c>
      <c r="F1384" s="43" t="n">
        <v>10.8304545454546</v>
      </c>
      <c r="G1384" s="31" t="n">
        <v>95.5</v>
      </c>
      <c r="H1384" s="41" t="n">
        <v>0.200873362445415</v>
      </c>
      <c r="I1384" s="31" t="n">
        <v>92.5</v>
      </c>
      <c r="J1384" s="2" t="s">
        <v>2905</v>
      </c>
      <c r="K1384" s="44" t="n">
        <v>0.243927125506073</v>
      </c>
      <c r="L1384" s="31" t="n">
        <v>81</v>
      </c>
      <c r="M1384" s="34" t="s">
        <v>822</v>
      </c>
      <c r="N1384" s="2" t="s">
        <v>22</v>
      </c>
      <c r="O1384" s="2" t="s">
        <v>22</v>
      </c>
      <c r="P1384" s="2" t="s">
        <v>22</v>
      </c>
      <c r="Q1384" s="2" t="s">
        <v>22</v>
      </c>
    </row>
    <row r="1385" customFormat="false" ht="15" hidden="false" customHeight="false" outlineLevel="0" collapsed="false">
      <c r="A1385" s="2" t="s">
        <v>392</v>
      </c>
      <c r="B1385" s="2" t="s">
        <v>47</v>
      </c>
      <c r="C1385" s="14" t="s">
        <v>2848</v>
      </c>
      <c r="D1385" s="42" t="n">
        <v>28479</v>
      </c>
      <c r="E1385" s="2" t="s">
        <v>821</v>
      </c>
      <c r="F1385" s="43" t="n">
        <v>0.313178131254609</v>
      </c>
      <c r="G1385" s="31" t="n">
        <v>4.1</v>
      </c>
      <c r="H1385" s="41" t="n">
        <v>0.171204145418654</v>
      </c>
      <c r="I1385" s="31" t="n">
        <v>85.7</v>
      </c>
      <c r="J1385" s="2" t="s">
        <v>2886</v>
      </c>
      <c r="K1385" s="44" t="n">
        <v>0.0176730486008837</v>
      </c>
      <c r="L1385" s="31" t="n">
        <v>11.8</v>
      </c>
      <c r="M1385" s="34" t="s">
        <v>822</v>
      </c>
      <c r="N1385" s="2" t="s">
        <v>22</v>
      </c>
      <c r="O1385" s="2" t="s">
        <v>22</v>
      </c>
      <c r="P1385" s="2" t="s">
        <v>22</v>
      </c>
      <c r="Q1385" s="2" t="s">
        <v>22</v>
      </c>
    </row>
    <row r="1386" customFormat="false" ht="15" hidden="false" customHeight="false" outlineLevel="0" collapsed="false">
      <c r="A1386" s="2" t="s">
        <v>1579</v>
      </c>
      <c r="B1386" s="2" t="s">
        <v>45</v>
      </c>
      <c r="C1386" s="13" t="s">
        <v>1580</v>
      </c>
      <c r="D1386" s="29" t="n">
        <v>58970</v>
      </c>
      <c r="E1386" s="2" t="s">
        <v>821</v>
      </c>
      <c r="F1386" s="30" t="n">
        <v>0.122774292012888</v>
      </c>
      <c r="G1386" s="31" t="n">
        <v>3.2</v>
      </c>
      <c r="H1386" s="32" t="n">
        <v>-0.011565538048944</v>
      </c>
      <c r="I1386" s="31" t="n">
        <v>7.9</v>
      </c>
      <c r="J1386" s="2" t="s">
        <v>2883</v>
      </c>
      <c r="K1386" s="33" t="n">
        <v>0.0975232198142415</v>
      </c>
      <c r="L1386" s="31" t="n">
        <v>35.7</v>
      </c>
      <c r="M1386" s="34" t="s">
        <v>822</v>
      </c>
      <c r="N1386" s="2" t="s">
        <v>24</v>
      </c>
      <c r="O1386" s="2" t="s">
        <v>24</v>
      </c>
      <c r="P1386" s="2" t="s">
        <v>24</v>
      </c>
      <c r="Q1386" s="2" t="s">
        <v>24</v>
      </c>
    </row>
    <row r="1387" customFormat="false" ht="15" hidden="false" customHeight="false" outlineLevel="0" collapsed="false">
      <c r="A1387" s="2" t="s">
        <v>1579</v>
      </c>
      <c r="B1387" s="2" t="s">
        <v>46</v>
      </c>
      <c r="C1387" s="14" t="s">
        <v>1686</v>
      </c>
      <c r="D1387" s="42" t="n">
        <v>71595</v>
      </c>
      <c r="E1387" s="2" t="s">
        <v>821</v>
      </c>
      <c r="F1387" s="43" t="n">
        <v>7.05140023744675</v>
      </c>
      <c r="G1387" s="31" t="n">
        <v>86.1</v>
      </c>
      <c r="H1387" s="41" t="n">
        <v>0.0924863429670095</v>
      </c>
      <c r="I1387" s="31" t="n">
        <v>54.2</v>
      </c>
      <c r="J1387" s="2" t="s">
        <v>2884</v>
      </c>
      <c r="K1387" s="44" t="n">
        <v>0.0659902349710101</v>
      </c>
      <c r="L1387" s="31" t="n">
        <v>17.7</v>
      </c>
      <c r="M1387" s="34" t="s">
        <v>822</v>
      </c>
      <c r="N1387" s="2" t="s">
        <v>22</v>
      </c>
      <c r="O1387" s="2" t="s">
        <v>22</v>
      </c>
      <c r="P1387" s="2" t="s">
        <v>22</v>
      </c>
      <c r="Q1387" s="2" t="s">
        <v>22</v>
      </c>
    </row>
    <row r="1388" customFormat="false" ht="15" hidden="false" customHeight="false" outlineLevel="0" collapsed="false">
      <c r="A1388" s="2" t="s">
        <v>1579</v>
      </c>
      <c r="B1388" s="2" t="s">
        <v>47</v>
      </c>
      <c r="C1388" s="14" t="s">
        <v>3226</v>
      </c>
      <c r="D1388" s="42" t="n">
        <v>806898</v>
      </c>
      <c r="E1388" s="2" t="s">
        <v>827</v>
      </c>
      <c r="F1388" s="43" t="n">
        <v>0.580836735250304</v>
      </c>
      <c r="G1388" s="31" t="n">
        <v>17.1</v>
      </c>
      <c r="H1388" s="41" t="n">
        <v>0.0922595439273792</v>
      </c>
      <c r="I1388" s="31" t="n">
        <v>53.4</v>
      </c>
      <c r="J1388" s="2" t="s">
        <v>2897</v>
      </c>
      <c r="K1388" s="38"/>
      <c r="L1388" s="31"/>
      <c r="M1388" s="39" t="s">
        <v>832</v>
      </c>
      <c r="N1388" s="2" t="s">
        <v>22</v>
      </c>
      <c r="O1388" s="2" t="s">
        <v>22</v>
      </c>
      <c r="P1388" s="2" t="s">
        <v>22</v>
      </c>
      <c r="Q1388" s="2"/>
    </row>
    <row r="1389" customFormat="false" ht="15" hidden="false" customHeight="false" outlineLevel="0" collapsed="false">
      <c r="A1389" s="2" t="s">
        <v>2721</v>
      </c>
      <c r="B1389" s="2" t="s">
        <v>45</v>
      </c>
      <c r="C1389" s="13" t="s">
        <v>3227</v>
      </c>
      <c r="D1389" s="29" t="n">
        <v>3660</v>
      </c>
      <c r="E1389" s="2" t="s">
        <v>825</v>
      </c>
      <c r="F1389" s="30" t="n">
        <v>1.71857923497268</v>
      </c>
      <c r="G1389" s="31" t="n">
        <v>92.4</v>
      </c>
      <c r="H1389" s="32" t="n">
        <v>0.150943396226415</v>
      </c>
      <c r="I1389" s="31" t="n">
        <v>83.1</v>
      </c>
      <c r="J1389" s="2" t="s">
        <v>2899</v>
      </c>
      <c r="K1389" s="38"/>
      <c r="L1389" s="31"/>
      <c r="M1389" s="39" t="s">
        <v>832</v>
      </c>
      <c r="N1389" s="2" t="s">
        <v>24</v>
      </c>
      <c r="O1389" s="2" t="s">
        <v>24</v>
      </c>
      <c r="P1389" s="2" t="s">
        <v>24</v>
      </c>
      <c r="Q1389" s="2"/>
    </row>
    <row r="1390" customFormat="false" ht="15" hidden="false" customHeight="false" outlineLevel="0" collapsed="false">
      <c r="A1390" s="2" t="s">
        <v>2721</v>
      </c>
      <c r="B1390" s="2" t="s">
        <v>46</v>
      </c>
      <c r="C1390" s="13" t="s">
        <v>3228</v>
      </c>
      <c r="D1390" s="29" t="n">
        <v>68280</v>
      </c>
      <c r="E1390" s="2" t="s">
        <v>821</v>
      </c>
      <c r="F1390" s="30" t="n">
        <v>3.11120386643234</v>
      </c>
      <c r="G1390" s="31" t="n">
        <v>48.1</v>
      </c>
      <c r="H1390" s="32" t="n">
        <v>0.133278008298755</v>
      </c>
      <c r="I1390" s="31" t="n">
        <v>73.8</v>
      </c>
      <c r="J1390" s="2" t="s">
        <v>2884</v>
      </c>
      <c r="K1390" s="38"/>
      <c r="L1390" s="31"/>
      <c r="M1390" s="39" t="s">
        <v>832</v>
      </c>
      <c r="N1390" s="2" t="s">
        <v>24</v>
      </c>
      <c r="O1390" s="2" t="s">
        <v>24</v>
      </c>
      <c r="P1390" s="2" t="s">
        <v>24</v>
      </c>
      <c r="Q1390" s="2"/>
    </row>
    <row r="1391" customFormat="false" ht="15" hidden="false" customHeight="false" outlineLevel="0" collapsed="false">
      <c r="A1391" s="2" t="s">
        <v>2721</v>
      </c>
      <c r="B1391" s="2" t="s">
        <v>47</v>
      </c>
      <c r="C1391" s="13" t="s">
        <v>2722</v>
      </c>
      <c r="D1391" s="29" t="n">
        <v>9130</v>
      </c>
      <c r="E1391" s="2" t="s">
        <v>825</v>
      </c>
      <c r="F1391" s="30" t="n">
        <v>0.707009857612267</v>
      </c>
      <c r="G1391" s="31" t="n">
        <v>22.4</v>
      </c>
      <c r="H1391" s="32" t="n">
        <v>0.217333333333333</v>
      </c>
      <c r="I1391" s="31" t="n">
        <v>91.2</v>
      </c>
      <c r="J1391" s="2" t="s">
        <v>2889</v>
      </c>
      <c r="K1391" s="33" t="n">
        <v>0</v>
      </c>
      <c r="L1391" s="31" t="n">
        <v>0.9</v>
      </c>
      <c r="M1391" s="34" t="s">
        <v>822</v>
      </c>
      <c r="N1391" s="2" t="s">
        <v>24</v>
      </c>
      <c r="O1391" s="2" t="s">
        <v>24</v>
      </c>
      <c r="P1391" s="2" t="s">
        <v>24</v>
      </c>
      <c r="Q1391" s="2" t="s">
        <v>24</v>
      </c>
    </row>
    <row r="1392" customFormat="false" ht="15" hidden="false" customHeight="false" outlineLevel="0" collapsed="false">
      <c r="A1392" s="2" t="s">
        <v>1138</v>
      </c>
      <c r="B1392" s="2" t="s">
        <v>45</v>
      </c>
      <c r="C1392" s="13" t="s">
        <v>1139</v>
      </c>
      <c r="D1392" s="29" t="n">
        <v>10440</v>
      </c>
      <c r="E1392" s="2" t="s">
        <v>821</v>
      </c>
      <c r="F1392" s="30" t="n">
        <v>0.711302681992337</v>
      </c>
      <c r="G1392" s="31" t="n">
        <v>62</v>
      </c>
      <c r="H1392" s="32" t="n">
        <v>0.138495092693566</v>
      </c>
      <c r="I1392" s="31" t="n">
        <v>73.2</v>
      </c>
      <c r="J1392" s="2" t="s">
        <v>2883</v>
      </c>
      <c r="K1392" s="33" t="n">
        <v>0.109034267912773</v>
      </c>
      <c r="L1392" s="31" t="n">
        <v>39.6</v>
      </c>
      <c r="M1392" s="34" t="s">
        <v>822</v>
      </c>
      <c r="N1392" s="2" t="s">
        <v>24</v>
      </c>
      <c r="O1392" s="2" t="s">
        <v>24</v>
      </c>
      <c r="P1392" s="2" t="s">
        <v>24</v>
      </c>
      <c r="Q1392" s="2" t="s">
        <v>24</v>
      </c>
    </row>
    <row r="1393" customFormat="false" ht="15" hidden="false" customHeight="false" outlineLevel="0" collapsed="false">
      <c r="A1393" s="2" t="s">
        <v>1138</v>
      </c>
      <c r="B1393" s="2" t="s">
        <v>46</v>
      </c>
      <c r="C1393" s="16"/>
      <c r="D1393" s="29" t="n">
        <v>5020</v>
      </c>
      <c r="E1393" s="2" t="s">
        <v>825</v>
      </c>
      <c r="F1393" s="30" t="n">
        <v>3.50059760956175</v>
      </c>
      <c r="G1393" s="31" t="n">
        <v>56.2</v>
      </c>
      <c r="H1393" s="32" t="n">
        <v>0.167441860465116</v>
      </c>
      <c r="I1393" s="31" t="n">
        <v>79.2</v>
      </c>
      <c r="J1393" s="2" t="s">
        <v>2905</v>
      </c>
      <c r="K1393" s="33" t="n">
        <v>0.116022099447514</v>
      </c>
      <c r="L1393" s="31" t="n">
        <v>43.5</v>
      </c>
      <c r="M1393" s="39" t="s">
        <v>832</v>
      </c>
      <c r="N1393" s="2" t="s">
        <v>24</v>
      </c>
      <c r="O1393" s="2" t="s">
        <v>24</v>
      </c>
      <c r="P1393" s="2" t="s">
        <v>24</v>
      </c>
      <c r="Q1393" s="2" t="s">
        <v>24</v>
      </c>
    </row>
    <row r="1394" customFormat="false" ht="15" hidden="false" customHeight="false" outlineLevel="0" collapsed="false">
      <c r="A1394" s="2" t="s">
        <v>1138</v>
      </c>
      <c r="B1394" s="2" t="s">
        <v>47</v>
      </c>
      <c r="C1394" s="15" t="s">
        <v>3229</v>
      </c>
      <c r="D1394" s="46" t="n">
        <v>176433</v>
      </c>
      <c r="E1394" s="2" t="s">
        <v>827</v>
      </c>
      <c r="F1394" s="47" t="n">
        <v>1.08123763695</v>
      </c>
      <c r="G1394" s="31" t="n">
        <v>41.4</v>
      </c>
      <c r="H1394" s="37"/>
      <c r="I1394" s="31"/>
      <c r="J1394" s="2"/>
      <c r="K1394" s="38"/>
      <c r="L1394" s="31"/>
      <c r="M1394" s="39" t="s">
        <v>832</v>
      </c>
      <c r="N1394" s="2" t="s">
        <v>19</v>
      </c>
      <c r="O1394" s="2" t="s">
        <v>19</v>
      </c>
      <c r="P1394" s="2"/>
      <c r="Q1394" s="2"/>
    </row>
    <row r="1395" customFormat="false" ht="15" hidden="false" customHeight="false" outlineLevel="0" collapsed="false">
      <c r="A1395" s="2" t="s">
        <v>1164</v>
      </c>
      <c r="B1395" s="2" t="s">
        <v>45</v>
      </c>
      <c r="C1395" s="13" t="s">
        <v>1165</v>
      </c>
      <c r="D1395" s="29" t="n">
        <v>262020</v>
      </c>
      <c r="E1395" s="2" t="s">
        <v>827</v>
      </c>
      <c r="F1395" s="30" t="n">
        <v>0.658819937409358</v>
      </c>
      <c r="G1395" s="31" t="n">
        <v>58.8</v>
      </c>
      <c r="H1395" s="32" t="n">
        <v>0.165984336062656</v>
      </c>
      <c r="I1395" s="31" t="n">
        <v>82.9</v>
      </c>
      <c r="J1395" s="2" t="s">
        <v>2890</v>
      </c>
      <c r="K1395" s="33" t="n">
        <v>0.118736035748484</v>
      </c>
      <c r="L1395" s="31" t="n">
        <v>44.3</v>
      </c>
      <c r="M1395" s="34" t="s">
        <v>822</v>
      </c>
      <c r="N1395" s="2" t="s">
        <v>24</v>
      </c>
      <c r="O1395" s="2" t="s">
        <v>24</v>
      </c>
      <c r="P1395" s="2" t="s">
        <v>24</v>
      </c>
      <c r="Q1395" s="2" t="s">
        <v>24</v>
      </c>
    </row>
    <row r="1396" customFormat="false" ht="15" hidden="false" customHeight="false" outlineLevel="0" collapsed="false">
      <c r="A1396" s="2" t="s">
        <v>1164</v>
      </c>
      <c r="B1396" s="2" t="s">
        <v>46</v>
      </c>
      <c r="C1396" s="13" t="s">
        <v>3230</v>
      </c>
      <c r="D1396" s="29" t="n">
        <v>4140</v>
      </c>
      <c r="E1396" s="2" t="s">
        <v>825</v>
      </c>
      <c r="F1396" s="36"/>
      <c r="G1396" s="31"/>
      <c r="H1396" s="37"/>
      <c r="I1396" s="31"/>
      <c r="J1396" s="2"/>
      <c r="K1396" s="33" t="n">
        <v>0.183197199533256</v>
      </c>
      <c r="L1396" s="31" t="n">
        <v>64.9</v>
      </c>
      <c r="M1396" s="39" t="s">
        <v>832</v>
      </c>
      <c r="N1396" s="2" t="s">
        <v>24</v>
      </c>
      <c r="O1396" s="2"/>
      <c r="P1396" s="2"/>
      <c r="Q1396" s="2" t="s">
        <v>24</v>
      </c>
    </row>
    <row r="1397" customFormat="false" ht="15" hidden="false" customHeight="false" outlineLevel="0" collapsed="false">
      <c r="A1397" s="2" t="s">
        <v>1164</v>
      </c>
      <c r="B1397" s="2" t="s">
        <v>47</v>
      </c>
      <c r="C1397" s="14" t="s">
        <v>2590</v>
      </c>
      <c r="D1397" s="42" t="n">
        <v>38272</v>
      </c>
      <c r="E1397" s="2" t="s">
        <v>821</v>
      </c>
      <c r="F1397" s="43" t="n">
        <v>1.09746028428094</v>
      </c>
      <c r="G1397" s="31" t="n">
        <v>42.3</v>
      </c>
      <c r="H1397" s="41" t="n">
        <v>0.122675271340569</v>
      </c>
      <c r="I1397" s="31" t="n">
        <v>63.6</v>
      </c>
      <c r="J1397" s="2" t="s">
        <v>2886</v>
      </c>
      <c r="K1397" s="44" t="n">
        <v>0.146993318485523</v>
      </c>
      <c r="L1397" s="31" t="n">
        <v>72.4</v>
      </c>
      <c r="M1397" s="34" t="s">
        <v>822</v>
      </c>
      <c r="N1397" s="2" t="s">
        <v>22</v>
      </c>
      <c r="O1397" s="2" t="s">
        <v>22</v>
      </c>
      <c r="P1397" s="2" t="s">
        <v>22</v>
      </c>
      <c r="Q1397" s="2" t="s">
        <v>22</v>
      </c>
    </row>
    <row r="1398" customFormat="false" ht="15" hidden="false" customHeight="false" outlineLevel="0" collapsed="false">
      <c r="A1398" s="2" t="s">
        <v>202</v>
      </c>
      <c r="B1398" s="2" t="s">
        <v>46</v>
      </c>
      <c r="C1398" s="13" t="s">
        <v>1741</v>
      </c>
      <c r="D1398" s="29" t="n">
        <v>39400</v>
      </c>
      <c r="E1398" s="2" t="s">
        <v>821</v>
      </c>
      <c r="F1398" s="30" t="n">
        <v>5.35502538071066</v>
      </c>
      <c r="G1398" s="31" t="n">
        <v>74.9</v>
      </c>
      <c r="H1398" s="32" t="n">
        <v>0.104569666386319</v>
      </c>
      <c r="I1398" s="31" t="n">
        <v>60.7</v>
      </c>
      <c r="J1398" s="2" t="s">
        <v>2884</v>
      </c>
      <c r="K1398" s="33" t="n">
        <v>0.270870232613059</v>
      </c>
      <c r="L1398" s="31" t="n">
        <v>84.3</v>
      </c>
      <c r="M1398" s="34" t="s">
        <v>822</v>
      </c>
      <c r="N1398" s="2" t="s">
        <v>24</v>
      </c>
      <c r="O1398" s="2" t="s">
        <v>24</v>
      </c>
      <c r="P1398" s="2" t="s">
        <v>24</v>
      </c>
      <c r="Q1398" s="2" t="s">
        <v>24</v>
      </c>
    </row>
    <row r="1399" customFormat="false" ht="15" hidden="false" customHeight="false" outlineLevel="0" collapsed="false">
      <c r="A1399" s="2" t="s">
        <v>2741</v>
      </c>
      <c r="B1399" s="2" t="s">
        <v>45</v>
      </c>
      <c r="C1399" s="13" t="s">
        <v>3231</v>
      </c>
      <c r="D1399" s="35"/>
      <c r="E1399" s="2"/>
      <c r="F1399" s="36"/>
      <c r="G1399" s="31"/>
      <c r="H1399" s="37"/>
      <c r="I1399" s="31"/>
      <c r="J1399" s="2"/>
      <c r="K1399" s="33" t="n">
        <v>0.0153113621510597</v>
      </c>
      <c r="L1399" s="31" t="n">
        <v>3.7</v>
      </c>
      <c r="M1399" s="39" t="s">
        <v>832</v>
      </c>
      <c r="N1399" s="2"/>
      <c r="O1399" s="2"/>
      <c r="P1399" s="2"/>
      <c r="Q1399" s="2" t="s">
        <v>24</v>
      </c>
    </row>
    <row r="1400" customFormat="false" ht="15" hidden="false" customHeight="false" outlineLevel="0" collapsed="false">
      <c r="A1400" s="2" t="s">
        <v>2741</v>
      </c>
      <c r="B1400" s="2" t="s">
        <v>46</v>
      </c>
      <c r="C1400" s="13" t="s">
        <v>3232</v>
      </c>
      <c r="D1400" s="35"/>
      <c r="E1400" s="2"/>
      <c r="F1400" s="36"/>
      <c r="G1400" s="31"/>
      <c r="H1400" s="37"/>
      <c r="I1400" s="31"/>
      <c r="J1400" s="2"/>
      <c r="K1400" s="33" t="n">
        <v>0.0214285714285714</v>
      </c>
      <c r="L1400" s="31" t="n">
        <v>4.4</v>
      </c>
      <c r="M1400" s="39" t="s">
        <v>832</v>
      </c>
      <c r="N1400" s="2"/>
      <c r="O1400" s="2"/>
      <c r="P1400" s="2"/>
      <c r="Q1400" s="2" t="s">
        <v>24</v>
      </c>
    </row>
    <row r="1401" customFormat="false" ht="15" hidden="false" customHeight="false" outlineLevel="0" collapsed="false">
      <c r="A1401" s="2" t="s">
        <v>2741</v>
      </c>
      <c r="B1401" s="2" t="s">
        <v>47</v>
      </c>
      <c r="C1401" s="13" t="s">
        <v>2742</v>
      </c>
      <c r="D1401" s="29" t="n">
        <v>9440</v>
      </c>
      <c r="E1401" s="2" t="s">
        <v>825</v>
      </c>
      <c r="F1401" s="30" t="n">
        <v>0.639406779661017</v>
      </c>
      <c r="G1401" s="31" t="n">
        <v>19.8</v>
      </c>
      <c r="H1401" s="32" t="n">
        <v>0.121140142517815</v>
      </c>
      <c r="I1401" s="31" t="n">
        <v>56.2</v>
      </c>
      <c r="J1401" s="2" t="s">
        <v>2889</v>
      </c>
      <c r="K1401" s="33" t="n">
        <v>0.0590551181102362</v>
      </c>
      <c r="L1401" s="31" t="n">
        <v>36.5</v>
      </c>
      <c r="M1401" s="34" t="s">
        <v>822</v>
      </c>
      <c r="N1401" s="2" t="s">
        <v>24</v>
      </c>
      <c r="O1401" s="2" t="s">
        <v>24</v>
      </c>
      <c r="P1401" s="2" t="s">
        <v>24</v>
      </c>
      <c r="Q1401" s="2" t="s">
        <v>24</v>
      </c>
    </row>
    <row r="1402" customFormat="false" ht="15" hidden="false" customHeight="false" outlineLevel="0" collapsed="false">
      <c r="A1402" s="2" t="s">
        <v>256</v>
      </c>
      <c r="B1402" s="2" t="s">
        <v>47</v>
      </c>
      <c r="C1402" s="14" t="s">
        <v>2423</v>
      </c>
      <c r="D1402" s="42" t="n">
        <v>198002</v>
      </c>
      <c r="E1402" s="2" t="s">
        <v>827</v>
      </c>
      <c r="F1402" s="43" t="n">
        <v>1.67610428177493</v>
      </c>
      <c r="G1402" s="31" t="n">
        <v>67.2</v>
      </c>
      <c r="H1402" s="41" t="n">
        <v>0.0121973662686079</v>
      </c>
      <c r="I1402" s="31" t="n">
        <v>14.9</v>
      </c>
      <c r="J1402" s="2" t="s">
        <v>2897</v>
      </c>
      <c r="K1402" s="44" t="n">
        <v>0.21534034034034</v>
      </c>
      <c r="L1402" s="31" t="n">
        <v>88.2</v>
      </c>
      <c r="M1402" s="34" t="s">
        <v>822</v>
      </c>
      <c r="N1402" s="2" t="s">
        <v>22</v>
      </c>
      <c r="O1402" s="2" t="s">
        <v>22</v>
      </c>
      <c r="P1402" s="2" t="s">
        <v>22</v>
      </c>
      <c r="Q1402" s="2" t="s">
        <v>22</v>
      </c>
    </row>
    <row r="1403" customFormat="false" ht="15" hidden="false" customHeight="false" outlineLevel="0" collapsed="false">
      <c r="A1403" s="2" t="s">
        <v>184</v>
      </c>
      <c r="B1403" s="2" t="s">
        <v>45</v>
      </c>
      <c r="C1403" s="13" t="s">
        <v>956</v>
      </c>
      <c r="D1403" s="29" t="n">
        <v>13090</v>
      </c>
      <c r="E1403" s="2" t="s">
        <v>821</v>
      </c>
      <c r="F1403" s="30" t="n">
        <v>1.231474407945</v>
      </c>
      <c r="G1403" s="31" t="n">
        <v>84.5</v>
      </c>
      <c r="H1403" s="41" t="n">
        <v>0.0231074457325138</v>
      </c>
      <c r="I1403" s="31" t="n">
        <v>14.1</v>
      </c>
      <c r="J1403" s="2" t="s">
        <v>2883</v>
      </c>
      <c r="K1403" s="33" t="n">
        <v>0.0229540918163673</v>
      </c>
      <c r="L1403" s="31" t="n">
        <v>6.8</v>
      </c>
      <c r="M1403" s="34" t="s">
        <v>822</v>
      </c>
      <c r="N1403" s="2" t="s">
        <v>24</v>
      </c>
      <c r="O1403" s="2" t="s">
        <v>24</v>
      </c>
      <c r="P1403" s="2" t="s">
        <v>22</v>
      </c>
      <c r="Q1403" s="2" t="s">
        <v>24</v>
      </c>
    </row>
    <row r="1404" customFormat="false" ht="15" hidden="false" customHeight="false" outlineLevel="0" collapsed="false">
      <c r="A1404" s="2" t="s">
        <v>184</v>
      </c>
      <c r="B1404" s="2" t="s">
        <v>46</v>
      </c>
      <c r="C1404" s="13" t="s">
        <v>1622</v>
      </c>
      <c r="D1404" s="29" t="n">
        <v>106120</v>
      </c>
      <c r="E1404" s="2" t="s">
        <v>827</v>
      </c>
      <c r="F1404" s="30" t="n">
        <v>11.5735770825481</v>
      </c>
      <c r="G1404" s="31" t="n">
        <v>96.7</v>
      </c>
      <c r="H1404" s="32" t="n">
        <v>0.0157940078491433</v>
      </c>
      <c r="I1404" s="31" t="n">
        <v>19.1</v>
      </c>
      <c r="J1404" s="2" t="s">
        <v>2888</v>
      </c>
      <c r="K1404" s="33" t="n">
        <v>0.0478024691358025</v>
      </c>
      <c r="L1404" s="31" t="n">
        <v>11.5</v>
      </c>
      <c r="M1404" s="34" t="s">
        <v>822</v>
      </c>
      <c r="N1404" s="2" t="s">
        <v>24</v>
      </c>
      <c r="O1404" s="2" t="s">
        <v>24</v>
      </c>
      <c r="P1404" s="2" t="s">
        <v>24</v>
      </c>
      <c r="Q1404" s="2" t="s">
        <v>24</v>
      </c>
    </row>
    <row r="1405" customFormat="false" ht="15" hidden="false" customHeight="false" outlineLevel="0" collapsed="false">
      <c r="A1405" s="2" t="s">
        <v>184</v>
      </c>
      <c r="B1405" s="2" t="s">
        <v>47</v>
      </c>
      <c r="C1405" s="14" t="s">
        <v>2538</v>
      </c>
      <c r="D1405" s="42" t="n">
        <v>90099</v>
      </c>
      <c r="E1405" s="2" t="s">
        <v>821</v>
      </c>
      <c r="F1405" s="43" t="n">
        <v>1.25388739053708</v>
      </c>
      <c r="G1405" s="31" t="n">
        <v>50.6</v>
      </c>
      <c r="H1405" s="41" t="n">
        <v>0.0570781612971349</v>
      </c>
      <c r="I1405" s="31" t="n">
        <v>32.8</v>
      </c>
      <c r="J1405" s="2" t="s">
        <v>2886</v>
      </c>
      <c r="K1405" s="44" t="n">
        <v>0.0280528052805281</v>
      </c>
      <c r="L1405" s="31" t="n">
        <v>18.8</v>
      </c>
      <c r="M1405" s="34" t="s">
        <v>822</v>
      </c>
      <c r="N1405" s="2" t="s">
        <v>22</v>
      </c>
      <c r="O1405" s="2" t="s">
        <v>22</v>
      </c>
      <c r="P1405" s="2" t="s">
        <v>22</v>
      </c>
      <c r="Q1405" s="2" t="s">
        <v>22</v>
      </c>
    </row>
    <row r="1406" customFormat="false" ht="15" hidden="false" customHeight="false" outlineLevel="0" collapsed="false">
      <c r="A1406" s="2" t="s">
        <v>774</v>
      </c>
      <c r="B1406" s="2" t="s">
        <v>45</v>
      </c>
      <c r="C1406" s="13" t="s">
        <v>1469</v>
      </c>
      <c r="D1406" s="29" t="n">
        <v>2750</v>
      </c>
      <c r="E1406" s="2" t="s">
        <v>825</v>
      </c>
      <c r="F1406" s="30" t="n">
        <v>0.297090909090909</v>
      </c>
      <c r="G1406" s="31" t="n">
        <v>17.2</v>
      </c>
      <c r="H1406" s="41" t="n">
        <v>0.15850622406639</v>
      </c>
      <c r="I1406" s="31" t="n">
        <v>85.9</v>
      </c>
      <c r="J1406" s="2" t="s">
        <v>2899</v>
      </c>
      <c r="K1406" s="44" t="n">
        <v>0.05</v>
      </c>
      <c r="L1406" s="31" t="n">
        <v>14.9</v>
      </c>
      <c r="M1406" s="34" t="s">
        <v>822</v>
      </c>
      <c r="N1406" s="2" t="s">
        <v>24</v>
      </c>
      <c r="O1406" s="2" t="s">
        <v>24</v>
      </c>
      <c r="P1406" s="2" t="s">
        <v>22</v>
      </c>
      <c r="Q1406" s="2" t="s">
        <v>22</v>
      </c>
    </row>
    <row r="1407" customFormat="false" ht="15" hidden="false" customHeight="false" outlineLevel="0" collapsed="false">
      <c r="A1407" s="2" t="s">
        <v>1692</v>
      </c>
      <c r="B1407" s="2" t="s">
        <v>45</v>
      </c>
      <c r="C1407" s="13" t="s">
        <v>3233</v>
      </c>
      <c r="D1407" s="29" t="n">
        <v>29080</v>
      </c>
      <c r="E1407" s="2" t="s">
        <v>821</v>
      </c>
      <c r="F1407" s="30" t="n">
        <v>0.492365887207703</v>
      </c>
      <c r="G1407" s="31" t="n">
        <v>41.2</v>
      </c>
      <c r="H1407" s="37"/>
      <c r="I1407" s="31"/>
      <c r="J1407" s="2"/>
      <c r="K1407" s="33" t="n">
        <v>0.0655555555555556</v>
      </c>
      <c r="L1407" s="31" t="n">
        <v>22.4</v>
      </c>
      <c r="M1407" s="39" t="s">
        <v>832</v>
      </c>
      <c r="N1407" s="2" t="s">
        <v>24</v>
      </c>
      <c r="O1407" s="2" t="s">
        <v>24</v>
      </c>
      <c r="P1407" s="2"/>
      <c r="Q1407" s="2" t="s">
        <v>24</v>
      </c>
    </row>
    <row r="1408" customFormat="false" ht="15" hidden="false" customHeight="false" outlineLevel="0" collapsed="false">
      <c r="A1408" s="2" t="s">
        <v>1692</v>
      </c>
      <c r="B1408" s="2" t="s">
        <v>46</v>
      </c>
      <c r="C1408" s="13" t="s">
        <v>1693</v>
      </c>
      <c r="D1408" s="29" t="n">
        <v>48150</v>
      </c>
      <c r="E1408" s="2" t="s">
        <v>821</v>
      </c>
      <c r="F1408" s="30" t="n">
        <v>6.87767393561786</v>
      </c>
      <c r="G1408" s="31" t="n">
        <v>85.1</v>
      </c>
      <c r="H1408" s="32" t="n">
        <v>0.0117671779785669</v>
      </c>
      <c r="I1408" s="31" t="n">
        <v>16.4</v>
      </c>
      <c r="J1408" s="2" t="s">
        <v>2884</v>
      </c>
      <c r="K1408" s="33" t="n">
        <v>0.0826951889462294</v>
      </c>
      <c r="L1408" s="31" t="n">
        <v>28</v>
      </c>
      <c r="M1408" s="34" t="s">
        <v>822</v>
      </c>
      <c r="N1408" s="2" t="s">
        <v>24</v>
      </c>
      <c r="O1408" s="2" t="s">
        <v>24</v>
      </c>
      <c r="P1408" s="2" t="s">
        <v>24</v>
      </c>
      <c r="Q1408" s="2" t="s">
        <v>24</v>
      </c>
    </row>
    <row r="1409" customFormat="false" ht="15" hidden="false" customHeight="false" outlineLevel="0" collapsed="false">
      <c r="A1409" s="2" t="s">
        <v>2220</v>
      </c>
      <c r="B1409" s="2" t="s">
        <v>46</v>
      </c>
      <c r="C1409" s="16"/>
      <c r="D1409" s="35"/>
      <c r="E1409" s="2"/>
      <c r="F1409" s="36"/>
      <c r="G1409" s="31"/>
      <c r="H1409" s="37"/>
      <c r="I1409" s="31"/>
      <c r="J1409" s="2"/>
      <c r="K1409" s="38"/>
      <c r="L1409" s="31"/>
      <c r="M1409" s="39" t="s">
        <v>832</v>
      </c>
      <c r="N1409" s="2"/>
      <c r="O1409" s="2"/>
      <c r="P1409" s="2"/>
      <c r="Q1409" s="2"/>
    </row>
    <row r="1410" customFormat="false" ht="15" hidden="false" customHeight="false" outlineLevel="0" collapsed="false">
      <c r="A1410" s="2" t="s">
        <v>2220</v>
      </c>
      <c r="B1410" s="2" t="s">
        <v>47</v>
      </c>
      <c r="C1410" s="14" t="s">
        <v>2221</v>
      </c>
      <c r="D1410" s="42" t="n">
        <v>36469</v>
      </c>
      <c r="E1410" s="2" t="s">
        <v>821</v>
      </c>
      <c r="F1410" s="43" t="n">
        <v>6.22180482053251</v>
      </c>
      <c r="G1410" s="31" t="n">
        <v>98.8</v>
      </c>
      <c r="H1410" s="41" t="n">
        <v>0.0550235774004108</v>
      </c>
      <c r="I1410" s="31" t="n">
        <v>30.8</v>
      </c>
      <c r="J1410" s="2" t="s">
        <v>2886</v>
      </c>
      <c r="K1410" s="44" t="n">
        <v>0.0838104435400428</v>
      </c>
      <c r="L1410" s="31" t="n">
        <v>51.4</v>
      </c>
      <c r="M1410" s="34" t="s">
        <v>822</v>
      </c>
      <c r="N1410" s="2" t="s">
        <v>22</v>
      </c>
      <c r="O1410" s="2" t="s">
        <v>22</v>
      </c>
      <c r="P1410" s="2" t="s">
        <v>22</v>
      </c>
      <c r="Q1410" s="2" t="s">
        <v>22</v>
      </c>
    </row>
    <row r="1411" customFormat="false" ht="15" hidden="false" customHeight="false" outlineLevel="0" collapsed="false">
      <c r="A1411" s="2" t="s">
        <v>1449</v>
      </c>
      <c r="B1411" s="2" t="s">
        <v>45</v>
      </c>
      <c r="C1411" s="13" t="s">
        <v>1450</v>
      </c>
      <c r="D1411" s="29" t="n">
        <v>55030</v>
      </c>
      <c r="E1411" s="2" t="s">
        <v>821</v>
      </c>
      <c r="F1411" s="30" t="n">
        <v>0.328002907504997</v>
      </c>
      <c r="G1411" s="31" t="n">
        <v>20.6</v>
      </c>
      <c r="H1411" s="32" t="n">
        <v>0.0314901593252109</v>
      </c>
      <c r="I1411" s="31" t="n">
        <v>18.9</v>
      </c>
      <c r="J1411" s="2" t="s">
        <v>2883</v>
      </c>
      <c r="K1411" s="33" t="n">
        <v>0.251623376623377</v>
      </c>
      <c r="L1411" s="31" t="n">
        <v>82.3</v>
      </c>
      <c r="M1411" s="34" t="s">
        <v>822</v>
      </c>
      <c r="N1411" s="2" t="s">
        <v>24</v>
      </c>
      <c r="O1411" s="2" t="s">
        <v>24</v>
      </c>
      <c r="P1411" s="2" t="s">
        <v>24</v>
      </c>
      <c r="Q1411" s="2" t="s">
        <v>24</v>
      </c>
    </row>
    <row r="1412" customFormat="false" ht="15" hidden="false" customHeight="false" outlineLevel="0" collapsed="false">
      <c r="A1412" s="2" t="s">
        <v>1449</v>
      </c>
      <c r="B1412" s="2" t="s">
        <v>46</v>
      </c>
      <c r="C1412" s="13" t="s">
        <v>3234</v>
      </c>
      <c r="D1412" s="29" t="n">
        <v>168470</v>
      </c>
      <c r="E1412" s="2" t="s">
        <v>827</v>
      </c>
      <c r="F1412" s="30" t="n">
        <v>3.13941948121327</v>
      </c>
      <c r="G1412" s="31" t="n">
        <v>48.7</v>
      </c>
      <c r="H1412" s="32" t="n">
        <v>-0.0168650793650794</v>
      </c>
      <c r="I1412" s="31" t="n">
        <v>8.9</v>
      </c>
      <c r="J1412" s="2" t="s">
        <v>2888</v>
      </c>
      <c r="K1412" s="38"/>
      <c r="L1412" s="31"/>
      <c r="M1412" s="39" t="s">
        <v>832</v>
      </c>
      <c r="N1412" s="2" t="s">
        <v>24</v>
      </c>
      <c r="O1412" s="2" t="s">
        <v>24</v>
      </c>
      <c r="P1412" s="2" t="s">
        <v>24</v>
      </c>
      <c r="Q1412" s="2"/>
    </row>
    <row r="1413" customFormat="false" ht="15" hidden="false" customHeight="false" outlineLevel="0" collapsed="false">
      <c r="A1413" s="2" t="s">
        <v>1449</v>
      </c>
      <c r="B1413" s="2" t="s">
        <v>47</v>
      </c>
      <c r="C1413" s="14" t="s">
        <v>2804</v>
      </c>
      <c r="D1413" s="42" t="n">
        <v>218124</v>
      </c>
      <c r="E1413" s="2" t="s">
        <v>827</v>
      </c>
      <c r="F1413" s="43" t="n">
        <v>0.46354825695476</v>
      </c>
      <c r="G1413" s="31" t="n">
        <v>10.9</v>
      </c>
      <c r="H1413" s="41" t="n">
        <v>0.167806147306204</v>
      </c>
      <c r="I1413" s="31" t="n">
        <v>87.6</v>
      </c>
      <c r="J1413" s="2" t="s">
        <v>2897</v>
      </c>
      <c r="K1413" s="44" t="n">
        <v>0.0607700312174818</v>
      </c>
      <c r="L1413" s="31" t="n">
        <v>38.9</v>
      </c>
      <c r="M1413" s="34" t="s">
        <v>822</v>
      </c>
      <c r="N1413" s="2" t="s">
        <v>22</v>
      </c>
      <c r="O1413" s="2" t="s">
        <v>22</v>
      </c>
      <c r="P1413" s="2" t="s">
        <v>22</v>
      </c>
      <c r="Q1413" s="2" t="s">
        <v>22</v>
      </c>
    </row>
    <row r="1414" customFormat="false" ht="15" hidden="false" customHeight="false" outlineLevel="0" collapsed="false">
      <c r="A1414" s="2" t="s">
        <v>1123</v>
      </c>
      <c r="B1414" s="2" t="s">
        <v>45</v>
      </c>
      <c r="C1414" s="13" t="s">
        <v>1124</v>
      </c>
      <c r="D1414" s="29" t="n">
        <v>17500</v>
      </c>
      <c r="E1414" s="2" t="s">
        <v>821</v>
      </c>
      <c r="F1414" s="30" t="n">
        <v>0.732742857142857</v>
      </c>
      <c r="G1414" s="31" t="n">
        <v>63.9</v>
      </c>
      <c r="H1414" s="32" t="n">
        <v>0.0504201680672269</v>
      </c>
      <c r="I1414" s="31" t="n">
        <v>28.2</v>
      </c>
      <c r="J1414" s="2" t="s">
        <v>2883</v>
      </c>
      <c r="K1414" s="33" t="n">
        <v>0.458808618504436</v>
      </c>
      <c r="L1414" s="31" t="n">
        <v>99.8</v>
      </c>
      <c r="M1414" s="34" t="s">
        <v>822</v>
      </c>
      <c r="N1414" s="2" t="s">
        <v>24</v>
      </c>
      <c r="O1414" s="2" t="s">
        <v>24</v>
      </c>
      <c r="P1414" s="2" t="s">
        <v>24</v>
      </c>
      <c r="Q1414" s="2" t="s">
        <v>24</v>
      </c>
    </row>
    <row r="1415" customFormat="false" ht="15" hidden="false" customHeight="false" outlineLevel="0" collapsed="false">
      <c r="A1415" s="2" t="s">
        <v>1123</v>
      </c>
      <c r="B1415" s="2" t="s">
        <v>46</v>
      </c>
      <c r="C1415" s="16"/>
      <c r="D1415" s="35"/>
      <c r="E1415" s="2"/>
      <c r="F1415" s="36"/>
      <c r="G1415" s="31"/>
      <c r="H1415" s="37"/>
      <c r="I1415" s="31"/>
      <c r="J1415" s="2"/>
      <c r="K1415" s="38"/>
      <c r="L1415" s="31"/>
      <c r="M1415" s="39" t="s">
        <v>832</v>
      </c>
      <c r="N1415" s="2"/>
      <c r="O1415" s="2"/>
      <c r="P1415" s="2"/>
      <c r="Q1415" s="2"/>
    </row>
    <row r="1416" customFormat="false" ht="15" hidden="false" customHeight="false" outlineLevel="0" collapsed="false">
      <c r="A1416" s="2" t="s">
        <v>1123</v>
      </c>
      <c r="B1416" s="2" t="s">
        <v>47</v>
      </c>
      <c r="C1416" s="14" t="s">
        <v>2733</v>
      </c>
      <c r="D1416" s="42" t="n">
        <v>56690</v>
      </c>
      <c r="E1416" s="2" t="s">
        <v>821</v>
      </c>
      <c r="F1416" s="43" t="n">
        <v>0.66854824484036</v>
      </c>
      <c r="G1416" s="31" t="n">
        <v>20.8</v>
      </c>
      <c r="H1416" s="41" t="n">
        <v>0.130950005984918</v>
      </c>
      <c r="I1416" s="31" t="n">
        <v>68.8</v>
      </c>
      <c r="J1416" s="2" t="s">
        <v>2886</v>
      </c>
      <c r="K1416" s="44" t="n">
        <v>0.162406015037594</v>
      </c>
      <c r="L1416" s="31" t="n">
        <v>77.1</v>
      </c>
      <c r="M1416" s="34" t="s">
        <v>822</v>
      </c>
      <c r="N1416" s="2" t="s">
        <v>22</v>
      </c>
      <c r="O1416" s="2" t="s">
        <v>22</v>
      </c>
      <c r="P1416" s="2" t="s">
        <v>22</v>
      </c>
      <c r="Q1416" s="2" t="s">
        <v>22</v>
      </c>
    </row>
    <row r="1417" customFormat="false" ht="15" hidden="false" customHeight="false" outlineLevel="0" collapsed="false">
      <c r="A1417" s="2" t="s">
        <v>378</v>
      </c>
      <c r="B1417" s="2" t="s">
        <v>46</v>
      </c>
      <c r="C1417" s="13" t="s">
        <v>1792</v>
      </c>
      <c r="D1417" s="29" t="n">
        <v>268570</v>
      </c>
      <c r="E1417" s="2" t="s">
        <v>827</v>
      </c>
      <c r="F1417" s="30" t="n">
        <v>4.22489481327028</v>
      </c>
      <c r="G1417" s="31" t="n">
        <v>67</v>
      </c>
      <c r="H1417" s="32" t="n">
        <v>0.0847806769529041</v>
      </c>
      <c r="I1417" s="31" t="n">
        <v>54.1</v>
      </c>
      <c r="J1417" s="2" t="s">
        <v>2888</v>
      </c>
      <c r="K1417" s="33" t="n">
        <v>0.00579437163790764</v>
      </c>
      <c r="L1417" s="31" t="n">
        <v>0.4</v>
      </c>
      <c r="M1417" s="34" t="s">
        <v>822</v>
      </c>
      <c r="N1417" s="2" t="s">
        <v>24</v>
      </c>
      <c r="O1417" s="2" t="s">
        <v>24</v>
      </c>
      <c r="P1417" s="2" t="s">
        <v>24</v>
      </c>
      <c r="Q1417" s="2" t="s">
        <v>24</v>
      </c>
    </row>
    <row r="1418" customFormat="false" ht="15" hidden="false" customHeight="false" outlineLevel="0" collapsed="false">
      <c r="A1418" s="2" t="s">
        <v>378</v>
      </c>
      <c r="B1418" s="2" t="s">
        <v>47</v>
      </c>
      <c r="C1418" s="14" t="s">
        <v>2570</v>
      </c>
      <c r="D1418" s="42" t="n">
        <v>106247</v>
      </c>
      <c r="E1418" s="2" t="s">
        <v>827</v>
      </c>
      <c r="F1418" s="43" t="n">
        <v>1.16497406985609</v>
      </c>
      <c r="G1418" s="31" t="n">
        <v>46.2</v>
      </c>
      <c r="H1418" s="41" t="n">
        <v>0.202896089486674</v>
      </c>
      <c r="I1418" s="31" t="n">
        <v>95</v>
      </c>
      <c r="J1418" s="2" t="s">
        <v>2897</v>
      </c>
      <c r="K1418" s="44" t="n">
        <v>0.0814635132403477</v>
      </c>
      <c r="L1418" s="31" t="n">
        <v>49.6</v>
      </c>
      <c r="M1418" s="34" t="s">
        <v>822</v>
      </c>
      <c r="N1418" s="2" t="s">
        <v>22</v>
      </c>
      <c r="O1418" s="2" t="s">
        <v>22</v>
      </c>
      <c r="P1418" s="2" t="s">
        <v>22</v>
      </c>
      <c r="Q1418" s="2" t="s">
        <v>22</v>
      </c>
    </row>
    <row r="1419" customFormat="false" ht="15" hidden="false" customHeight="false" outlineLevel="0" collapsed="false">
      <c r="A1419" s="2" t="s">
        <v>206</v>
      </c>
      <c r="B1419" s="2" t="s">
        <v>46</v>
      </c>
      <c r="C1419" s="14" t="s">
        <v>1743</v>
      </c>
      <c r="D1419" s="42" t="n">
        <v>35302</v>
      </c>
      <c r="E1419" s="2" t="s">
        <v>821</v>
      </c>
      <c r="F1419" s="43" t="n">
        <v>5.27202424791797</v>
      </c>
      <c r="G1419" s="31" t="n">
        <v>74.5</v>
      </c>
      <c r="H1419" s="41" t="n">
        <v>0.186063701115442</v>
      </c>
      <c r="I1419" s="31" t="n">
        <v>90.2</v>
      </c>
      <c r="J1419" s="2" t="s">
        <v>2884</v>
      </c>
      <c r="K1419" s="44" t="n">
        <v>0.0763955039055058</v>
      </c>
      <c r="L1419" s="31" t="n">
        <v>23.6</v>
      </c>
      <c r="M1419" s="34" t="s">
        <v>822</v>
      </c>
      <c r="N1419" s="2" t="s">
        <v>22</v>
      </c>
      <c r="O1419" s="2" t="s">
        <v>22</v>
      </c>
      <c r="P1419" s="2" t="s">
        <v>22</v>
      </c>
      <c r="Q1419" s="2" t="s">
        <v>22</v>
      </c>
    </row>
    <row r="1420" customFormat="false" ht="15" hidden="false" customHeight="false" outlineLevel="0" collapsed="false">
      <c r="A1420" s="2" t="s">
        <v>556</v>
      </c>
      <c r="B1420" s="2" t="s">
        <v>45</v>
      </c>
      <c r="C1420" s="13" t="s">
        <v>1085</v>
      </c>
      <c r="D1420" s="46" t="n">
        <v>3604745</v>
      </c>
      <c r="E1420" s="2" t="s">
        <v>935</v>
      </c>
      <c r="F1420" s="47" t="n">
        <v>0.811884890609461</v>
      </c>
      <c r="G1420" s="31" t="n">
        <v>68.8</v>
      </c>
      <c r="H1420" s="48" t="n">
        <v>0.0906650320157793</v>
      </c>
      <c r="I1420" s="31" t="n">
        <v>52.9</v>
      </c>
      <c r="J1420" s="2" t="s">
        <v>2892</v>
      </c>
      <c r="K1420" s="33" t="n">
        <v>0.107157752300805</v>
      </c>
      <c r="L1420" s="31" t="n">
        <v>37.5</v>
      </c>
      <c r="M1420" s="34" t="s">
        <v>822</v>
      </c>
      <c r="N1420" s="2" t="s">
        <v>19</v>
      </c>
      <c r="O1420" s="2" t="s">
        <v>19</v>
      </c>
      <c r="P1420" s="2" t="s">
        <v>19</v>
      </c>
      <c r="Q1420" s="2" t="s">
        <v>24</v>
      </c>
    </row>
    <row r="1421" customFormat="false" ht="15" hidden="false" customHeight="false" outlineLevel="0" collapsed="false">
      <c r="A1421" s="2" t="s">
        <v>556</v>
      </c>
      <c r="B1421" s="2" t="s">
        <v>46</v>
      </c>
      <c r="C1421" s="13" t="s">
        <v>2096</v>
      </c>
      <c r="D1421" s="29" t="n">
        <v>116250</v>
      </c>
      <c r="E1421" s="2" t="s">
        <v>827</v>
      </c>
      <c r="F1421" s="30" t="n">
        <v>1.58041290322581</v>
      </c>
      <c r="G1421" s="31" t="n">
        <v>18.1</v>
      </c>
      <c r="H1421" s="32" t="n">
        <v>0.192674669128963</v>
      </c>
      <c r="I1421" s="31" t="n">
        <v>96.2</v>
      </c>
      <c r="J1421" s="2" t="s">
        <v>2888</v>
      </c>
      <c r="K1421" s="33" t="n">
        <v>0.386118038237739</v>
      </c>
      <c r="L1421" s="31" t="n">
        <v>96.7</v>
      </c>
      <c r="M1421" s="34" t="s">
        <v>822</v>
      </c>
      <c r="N1421" s="2" t="s">
        <v>24</v>
      </c>
      <c r="O1421" s="2" t="s">
        <v>24</v>
      </c>
      <c r="P1421" s="2" t="s">
        <v>24</v>
      </c>
      <c r="Q1421" s="2" t="s">
        <v>24</v>
      </c>
    </row>
    <row r="1422" customFormat="false" ht="15" hidden="false" customHeight="false" outlineLevel="0" collapsed="false">
      <c r="A1422" s="2" t="s">
        <v>1750</v>
      </c>
      <c r="B1422" s="2" t="s">
        <v>45</v>
      </c>
      <c r="C1422" s="13" t="s">
        <v>3235</v>
      </c>
      <c r="D1422" s="35"/>
      <c r="E1422" s="2"/>
      <c r="F1422" s="36"/>
      <c r="G1422" s="31"/>
      <c r="H1422" s="37"/>
      <c r="I1422" s="31"/>
      <c r="J1422" s="2"/>
      <c r="K1422" s="33" t="n">
        <v>0.311271975180972</v>
      </c>
      <c r="L1422" s="31" t="n">
        <v>91.6</v>
      </c>
      <c r="M1422" s="39" t="s">
        <v>832</v>
      </c>
      <c r="N1422" s="2"/>
      <c r="O1422" s="2"/>
      <c r="P1422" s="2"/>
      <c r="Q1422" s="2" t="s">
        <v>24</v>
      </c>
    </row>
    <row r="1423" customFormat="false" ht="15" hidden="false" customHeight="false" outlineLevel="0" collapsed="false">
      <c r="A1423" s="2" t="s">
        <v>1750</v>
      </c>
      <c r="B1423" s="2" t="s">
        <v>46</v>
      </c>
      <c r="C1423" s="13" t="s">
        <v>1751</v>
      </c>
      <c r="D1423" s="29" t="n">
        <v>66550</v>
      </c>
      <c r="E1423" s="2" t="s">
        <v>821</v>
      </c>
      <c r="F1423" s="30" t="n">
        <v>5.189166040571</v>
      </c>
      <c r="G1423" s="31" t="n">
        <v>73.7</v>
      </c>
      <c r="H1423" s="32" t="n">
        <v>0.111946532999165</v>
      </c>
      <c r="I1423" s="31" t="n">
        <v>65.1</v>
      </c>
      <c r="J1423" s="2" t="s">
        <v>2884</v>
      </c>
      <c r="K1423" s="33" t="n">
        <v>0.239080371536041</v>
      </c>
      <c r="L1423" s="31" t="n">
        <v>79</v>
      </c>
      <c r="M1423" s="34" t="s">
        <v>822</v>
      </c>
      <c r="N1423" s="2" t="s">
        <v>24</v>
      </c>
      <c r="O1423" s="2" t="s">
        <v>24</v>
      </c>
      <c r="P1423" s="2" t="s">
        <v>24</v>
      </c>
      <c r="Q1423" s="2" t="s">
        <v>24</v>
      </c>
    </row>
    <row r="1424" customFormat="false" ht="15" hidden="false" customHeight="false" outlineLevel="0" collapsed="false">
      <c r="A1424" s="2" t="s">
        <v>1750</v>
      </c>
      <c r="B1424" s="2" t="s">
        <v>47</v>
      </c>
      <c r="C1424" s="14" t="s">
        <v>2718</v>
      </c>
      <c r="D1424" s="42" t="n">
        <v>13412</v>
      </c>
      <c r="E1424" s="2" t="s">
        <v>821</v>
      </c>
      <c r="F1424" s="43" t="n">
        <v>0.708470026841634</v>
      </c>
      <c r="G1424" s="31" t="n">
        <v>22.8</v>
      </c>
      <c r="H1424" s="41" t="n">
        <v>0.0159836376032119</v>
      </c>
      <c r="I1424" s="31" t="n">
        <v>15.3</v>
      </c>
      <c r="J1424" s="2" t="s">
        <v>2886</v>
      </c>
      <c r="K1424" s="44" t="n">
        <v>0.249077490774908</v>
      </c>
      <c r="L1424" s="31" t="n">
        <v>92.7</v>
      </c>
      <c r="M1424" s="34" t="s">
        <v>822</v>
      </c>
      <c r="N1424" s="2" t="s">
        <v>22</v>
      </c>
      <c r="O1424" s="2" t="s">
        <v>22</v>
      </c>
      <c r="P1424" s="2" t="s">
        <v>22</v>
      </c>
      <c r="Q1424" s="2" t="s">
        <v>22</v>
      </c>
    </row>
    <row r="1425" customFormat="false" ht="15" hidden="false" customHeight="false" outlineLevel="0" collapsed="false">
      <c r="A1425" s="2" t="s">
        <v>210</v>
      </c>
      <c r="B1425" s="2" t="s">
        <v>45</v>
      </c>
      <c r="C1425" s="13" t="s">
        <v>1319</v>
      </c>
      <c r="D1425" s="29" t="n">
        <v>624180</v>
      </c>
      <c r="E1425" s="2" t="s">
        <v>827</v>
      </c>
      <c r="F1425" s="30" t="n">
        <v>0.475446185395239</v>
      </c>
      <c r="G1425" s="31" t="n">
        <v>39.1</v>
      </c>
      <c r="H1425" s="32" t="n">
        <v>-0.0367592592592593</v>
      </c>
      <c r="I1425" s="31" t="n">
        <v>7.1</v>
      </c>
      <c r="J1425" s="2" t="s">
        <v>2890</v>
      </c>
      <c r="K1425" s="33" t="n">
        <v>0.217905405405405</v>
      </c>
      <c r="L1425" s="31" t="n">
        <v>76.2</v>
      </c>
      <c r="M1425" s="34" t="s">
        <v>822</v>
      </c>
      <c r="N1425" s="2" t="s">
        <v>24</v>
      </c>
      <c r="O1425" s="2" t="s">
        <v>24</v>
      </c>
      <c r="P1425" s="2" t="s">
        <v>24</v>
      </c>
      <c r="Q1425" s="2" t="s">
        <v>24</v>
      </c>
    </row>
    <row r="1426" customFormat="false" ht="15" hidden="false" customHeight="false" outlineLevel="0" collapsed="false">
      <c r="A1426" s="2" t="s">
        <v>210</v>
      </c>
      <c r="B1426" s="2" t="s">
        <v>46</v>
      </c>
      <c r="C1426" s="13" t="s">
        <v>1647</v>
      </c>
      <c r="D1426" s="29" t="n">
        <v>22330</v>
      </c>
      <c r="E1426" s="2" t="s">
        <v>821</v>
      </c>
      <c r="F1426" s="30" t="n">
        <v>9.46220331392745</v>
      </c>
      <c r="G1426" s="31" t="n">
        <v>92.7</v>
      </c>
      <c r="H1426" s="32" t="n">
        <v>0.0813559322033898</v>
      </c>
      <c r="I1426" s="31" t="n">
        <v>48</v>
      </c>
      <c r="J1426" s="2" t="s">
        <v>2884</v>
      </c>
      <c r="K1426" s="33" t="n">
        <v>0.0794754846066135</v>
      </c>
      <c r="L1426" s="31" t="n">
        <v>25.2</v>
      </c>
      <c r="M1426" s="34" t="s">
        <v>822</v>
      </c>
      <c r="N1426" s="2" t="s">
        <v>24</v>
      </c>
      <c r="O1426" s="2" t="s">
        <v>24</v>
      </c>
      <c r="P1426" s="2" t="s">
        <v>24</v>
      </c>
      <c r="Q1426" s="2" t="s">
        <v>24</v>
      </c>
    </row>
    <row r="1427" customFormat="false" ht="15" hidden="false" customHeight="false" outlineLevel="0" collapsed="false">
      <c r="A1427" s="2" t="s">
        <v>210</v>
      </c>
      <c r="B1427" s="2" t="s">
        <v>47</v>
      </c>
      <c r="C1427" s="13" t="s">
        <v>2277</v>
      </c>
      <c r="D1427" s="29" t="n">
        <v>49970</v>
      </c>
      <c r="E1427" s="2" t="s">
        <v>821</v>
      </c>
      <c r="F1427" s="30" t="n">
        <v>3.28166900140084</v>
      </c>
      <c r="G1427" s="31" t="n">
        <v>90.8</v>
      </c>
      <c r="H1427" s="41" t="n">
        <v>-0.0115675028484252</v>
      </c>
      <c r="I1427" s="31" t="n">
        <v>7.1</v>
      </c>
      <c r="J1427" s="2" t="s">
        <v>2886</v>
      </c>
      <c r="K1427" s="33" t="n">
        <v>0.114135535948939</v>
      </c>
      <c r="L1427" s="31" t="n">
        <v>63.4</v>
      </c>
      <c r="M1427" s="34" t="s">
        <v>822</v>
      </c>
      <c r="N1427" s="2" t="s">
        <v>24</v>
      </c>
      <c r="O1427" s="2" t="s">
        <v>24</v>
      </c>
      <c r="P1427" s="2" t="s">
        <v>22</v>
      </c>
      <c r="Q1427" s="2" t="s">
        <v>24</v>
      </c>
    </row>
    <row r="1428" customFormat="false" ht="15" hidden="false" customHeight="false" outlineLevel="0" collapsed="false">
      <c r="A1428" s="2" t="s">
        <v>636</v>
      </c>
      <c r="B1428" s="2" t="s">
        <v>45</v>
      </c>
      <c r="C1428" s="13" t="s">
        <v>1548</v>
      </c>
      <c r="D1428" s="29" t="n">
        <v>9240</v>
      </c>
      <c r="E1428" s="2" t="s">
        <v>825</v>
      </c>
      <c r="F1428" s="30" t="n">
        <v>0.173051948051948</v>
      </c>
      <c r="G1428" s="31" t="n">
        <v>7</v>
      </c>
      <c r="H1428" s="32" t="n">
        <v>0.130966952264382</v>
      </c>
      <c r="I1428" s="31" t="n">
        <v>71.8</v>
      </c>
      <c r="J1428" s="2" t="s">
        <v>2899</v>
      </c>
      <c r="K1428" s="33" t="n">
        <v>0</v>
      </c>
      <c r="L1428" s="31" t="n">
        <v>1.3</v>
      </c>
      <c r="M1428" s="34" t="s">
        <v>822</v>
      </c>
      <c r="N1428" s="2" t="s">
        <v>24</v>
      </c>
      <c r="O1428" s="2" t="s">
        <v>24</v>
      </c>
      <c r="P1428" s="2" t="s">
        <v>24</v>
      </c>
      <c r="Q1428" s="2" t="s">
        <v>24</v>
      </c>
    </row>
    <row r="1429" customFormat="false" ht="15" hidden="false" customHeight="false" outlineLevel="0" collapsed="false">
      <c r="A1429" s="2" t="s">
        <v>636</v>
      </c>
      <c r="B1429" s="2" t="s">
        <v>46</v>
      </c>
      <c r="C1429" s="13" t="s">
        <v>2052</v>
      </c>
      <c r="D1429" s="29" t="n">
        <v>178430</v>
      </c>
      <c r="E1429" s="2" t="s">
        <v>827</v>
      </c>
      <c r="F1429" s="30" t="n">
        <v>1.84111976685535</v>
      </c>
      <c r="G1429" s="31" t="n">
        <v>24.8</v>
      </c>
      <c r="H1429" s="32" t="n">
        <v>0.0719735656353259</v>
      </c>
      <c r="I1429" s="31" t="n">
        <v>47.1</v>
      </c>
      <c r="J1429" s="2" t="s">
        <v>2888</v>
      </c>
      <c r="K1429" s="33" t="n">
        <v>0.260439451183138</v>
      </c>
      <c r="L1429" s="31" t="n">
        <v>82.6</v>
      </c>
      <c r="M1429" s="34" t="s">
        <v>822</v>
      </c>
      <c r="N1429" s="2" t="s">
        <v>24</v>
      </c>
      <c r="O1429" s="2" t="s">
        <v>24</v>
      </c>
      <c r="P1429" s="2" t="s">
        <v>24</v>
      </c>
      <c r="Q1429" s="2" t="s">
        <v>24</v>
      </c>
    </row>
    <row r="1430" customFormat="false" ht="15" hidden="false" customHeight="false" outlineLevel="0" collapsed="false">
      <c r="A1430" s="2" t="s">
        <v>636</v>
      </c>
      <c r="B1430" s="2" t="s">
        <v>47</v>
      </c>
      <c r="C1430" s="14" t="s">
        <v>2365</v>
      </c>
      <c r="D1430" s="42" t="n">
        <v>65222</v>
      </c>
      <c r="E1430" s="2" t="s">
        <v>821</v>
      </c>
      <c r="F1430" s="43" t="n">
        <v>2.02609548925209</v>
      </c>
      <c r="G1430" s="31" t="n">
        <v>76.7</v>
      </c>
      <c r="H1430" s="41" t="n">
        <v>0.127062848848261</v>
      </c>
      <c r="I1430" s="31" t="n">
        <v>66.2</v>
      </c>
      <c r="J1430" s="2" t="s">
        <v>2886</v>
      </c>
      <c r="K1430" s="44" t="n">
        <v>0.153604523323386</v>
      </c>
      <c r="L1430" s="31" t="n">
        <v>74</v>
      </c>
      <c r="M1430" s="34" t="s">
        <v>822</v>
      </c>
      <c r="N1430" s="2" t="s">
        <v>22</v>
      </c>
      <c r="O1430" s="2" t="s">
        <v>22</v>
      </c>
      <c r="P1430" s="2" t="s">
        <v>22</v>
      </c>
      <c r="Q1430" s="2" t="s">
        <v>22</v>
      </c>
    </row>
    <row r="1431" customFormat="false" ht="15" hidden="false" customHeight="false" outlineLevel="0" collapsed="false">
      <c r="A1431" s="2" t="s">
        <v>454</v>
      </c>
      <c r="B1431" s="2" t="s">
        <v>45</v>
      </c>
      <c r="C1431" s="13" t="s">
        <v>892</v>
      </c>
      <c r="D1431" s="29" t="n">
        <v>41140</v>
      </c>
      <c r="E1431" s="2" t="s">
        <v>821</v>
      </c>
      <c r="F1431" s="43" t="n">
        <v>1.70974926179871</v>
      </c>
      <c r="G1431" s="31" t="n">
        <v>92.2</v>
      </c>
      <c r="H1431" s="32" t="n">
        <v>-0.0262721893491124</v>
      </c>
      <c r="I1431" s="31" t="n">
        <v>4.5</v>
      </c>
      <c r="J1431" s="2" t="s">
        <v>2883</v>
      </c>
      <c r="K1431" s="44" t="n">
        <v>0.134280476626948</v>
      </c>
      <c r="L1431" s="31" t="n">
        <v>50.3</v>
      </c>
      <c r="M1431" s="34" t="s">
        <v>822</v>
      </c>
      <c r="N1431" s="2" t="s">
        <v>24</v>
      </c>
      <c r="O1431" s="2" t="s">
        <v>22</v>
      </c>
      <c r="P1431" s="2" t="s">
        <v>24</v>
      </c>
      <c r="Q1431" s="2" t="s">
        <v>22</v>
      </c>
    </row>
    <row r="1432" customFormat="false" ht="15" hidden="false" customHeight="false" outlineLevel="0" collapsed="false">
      <c r="A1432" s="2" t="s">
        <v>454</v>
      </c>
      <c r="B1432" s="2" t="s">
        <v>47</v>
      </c>
      <c r="C1432" s="14" t="s">
        <v>2801</v>
      </c>
      <c r="D1432" s="42" t="n">
        <v>29179</v>
      </c>
      <c r="E1432" s="2" t="s">
        <v>821</v>
      </c>
      <c r="F1432" s="43" t="n">
        <v>0.476198636005346</v>
      </c>
      <c r="G1432" s="31" t="n">
        <v>11.5</v>
      </c>
      <c r="H1432" s="41" t="n">
        <v>0.0559475988853907</v>
      </c>
      <c r="I1432" s="31" t="n">
        <v>31.8</v>
      </c>
      <c r="J1432" s="2" t="s">
        <v>2886</v>
      </c>
      <c r="K1432" s="44" t="n">
        <v>0.0388978930307942</v>
      </c>
      <c r="L1432" s="31" t="n">
        <v>25.3</v>
      </c>
      <c r="M1432" s="34" t="s">
        <v>822</v>
      </c>
      <c r="N1432" s="2" t="s">
        <v>22</v>
      </c>
      <c r="O1432" s="2" t="s">
        <v>22</v>
      </c>
      <c r="P1432" s="2" t="s">
        <v>22</v>
      </c>
      <c r="Q1432" s="2" t="s">
        <v>22</v>
      </c>
    </row>
    <row r="1433" customFormat="false" ht="15" hidden="false" customHeight="false" outlineLevel="0" collapsed="false">
      <c r="A1433" s="2" t="s">
        <v>746</v>
      </c>
      <c r="B1433" s="2" t="s">
        <v>47</v>
      </c>
      <c r="C1433" s="14" t="s">
        <v>2724</v>
      </c>
      <c r="D1433" s="42" t="n">
        <v>56771</v>
      </c>
      <c r="E1433" s="2" t="s">
        <v>821</v>
      </c>
      <c r="F1433" s="43" t="n">
        <v>0.697539236582058</v>
      </c>
      <c r="G1433" s="31" t="n">
        <v>22</v>
      </c>
      <c r="H1433" s="41" t="n">
        <v>0.119191720059142</v>
      </c>
      <c r="I1433" s="31" t="n">
        <v>62</v>
      </c>
      <c r="J1433" s="2" t="s">
        <v>2886</v>
      </c>
      <c r="K1433" s="44" t="n">
        <v>0.053030303030303</v>
      </c>
      <c r="L1433" s="31" t="n">
        <v>34.2</v>
      </c>
      <c r="M1433" s="34" t="s">
        <v>822</v>
      </c>
      <c r="N1433" s="2" t="s">
        <v>22</v>
      </c>
      <c r="O1433" s="2" t="s">
        <v>22</v>
      </c>
      <c r="P1433" s="2" t="s">
        <v>22</v>
      </c>
      <c r="Q1433" s="2" t="s">
        <v>22</v>
      </c>
    </row>
    <row r="1434" customFormat="false" ht="15" hidden="false" customHeight="false" outlineLevel="0" collapsed="false">
      <c r="A1434" s="2" t="s">
        <v>696</v>
      </c>
      <c r="B1434" s="2" t="s">
        <v>46</v>
      </c>
      <c r="C1434" s="13" t="s">
        <v>2031</v>
      </c>
      <c r="D1434" s="29" t="n">
        <v>387410</v>
      </c>
      <c r="E1434" s="2" t="s">
        <v>827</v>
      </c>
      <c r="F1434" s="30" t="n">
        <v>2.06855527735474</v>
      </c>
      <c r="G1434" s="31" t="n">
        <v>28.9</v>
      </c>
      <c r="H1434" s="48" t="n">
        <v>-0.0689066973323271</v>
      </c>
      <c r="I1434" s="31" t="n">
        <v>3.8</v>
      </c>
      <c r="J1434" s="2" t="s">
        <v>2888</v>
      </c>
      <c r="K1434" s="33" t="n">
        <v>0.193959030100334</v>
      </c>
      <c r="L1434" s="31" t="n">
        <v>68.2</v>
      </c>
      <c r="M1434" s="34" t="s">
        <v>822</v>
      </c>
      <c r="N1434" s="2" t="s">
        <v>24</v>
      </c>
      <c r="O1434" s="2" t="s">
        <v>24</v>
      </c>
      <c r="P1434" s="2" t="s">
        <v>19</v>
      </c>
      <c r="Q1434" s="2" t="s">
        <v>24</v>
      </c>
    </row>
    <row r="1435" customFormat="false" ht="15" hidden="false" customHeight="false" outlineLevel="0" collapsed="false">
      <c r="A1435" s="2" t="s">
        <v>2621</v>
      </c>
      <c r="B1435" s="2" t="s">
        <v>46</v>
      </c>
      <c r="C1435" s="13" t="s">
        <v>3236</v>
      </c>
      <c r="D1435" s="29" t="n">
        <v>170760</v>
      </c>
      <c r="E1435" s="2" t="s">
        <v>827</v>
      </c>
      <c r="F1435" s="30" t="n">
        <v>1.95869055985008</v>
      </c>
      <c r="G1435" s="31" t="n">
        <v>27.1</v>
      </c>
      <c r="H1435" s="32" t="n">
        <v>0.10789593200545</v>
      </c>
      <c r="I1435" s="31" t="n">
        <v>66.2</v>
      </c>
      <c r="J1435" s="2" t="s">
        <v>2888</v>
      </c>
      <c r="K1435" s="38"/>
      <c r="L1435" s="31"/>
      <c r="M1435" s="39" t="s">
        <v>832</v>
      </c>
      <c r="N1435" s="2" t="s">
        <v>24</v>
      </c>
      <c r="O1435" s="2" t="s">
        <v>24</v>
      </c>
      <c r="P1435" s="2" t="s">
        <v>24</v>
      </c>
      <c r="Q1435" s="2"/>
    </row>
    <row r="1436" customFormat="false" ht="15" hidden="false" customHeight="false" outlineLevel="0" collapsed="false">
      <c r="A1436" s="2" t="s">
        <v>2621</v>
      </c>
      <c r="B1436" s="2" t="s">
        <v>47</v>
      </c>
      <c r="C1436" s="14" t="s">
        <v>2622</v>
      </c>
      <c r="D1436" s="42" t="n">
        <v>113361</v>
      </c>
      <c r="E1436" s="2" t="s">
        <v>827</v>
      </c>
      <c r="F1436" s="43" t="n">
        <v>0.968604722964688</v>
      </c>
      <c r="G1436" s="31" t="n">
        <v>37.4</v>
      </c>
      <c r="H1436" s="41" t="n">
        <v>0.0526115418543108</v>
      </c>
      <c r="I1436" s="31" t="n">
        <v>33.5</v>
      </c>
      <c r="J1436" s="2" t="s">
        <v>2897</v>
      </c>
      <c r="K1436" s="44" t="n">
        <v>0.101728591297437</v>
      </c>
      <c r="L1436" s="31" t="n">
        <v>60</v>
      </c>
      <c r="M1436" s="34" t="s">
        <v>822</v>
      </c>
      <c r="N1436" s="2" t="s">
        <v>22</v>
      </c>
      <c r="O1436" s="2" t="s">
        <v>22</v>
      </c>
      <c r="P1436" s="2" t="s">
        <v>22</v>
      </c>
      <c r="Q1436" s="2" t="s">
        <v>22</v>
      </c>
    </row>
    <row r="1437" customFormat="false" ht="15" hidden="false" customHeight="false" outlineLevel="0" collapsed="false">
      <c r="A1437" s="2" t="s">
        <v>782</v>
      </c>
      <c r="B1437" s="2" t="s">
        <v>47</v>
      </c>
      <c r="C1437" s="14" t="s">
        <v>2776</v>
      </c>
      <c r="D1437" s="42" t="n">
        <v>81607</v>
      </c>
      <c r="E1437" s="2" t="s">
        <v>821</v>
      </c>
      <c r="F1437" s="43" t="n">
        <v>0.535762863479849</v>
      </c>
      <c r="G1437" s="31" t="n">
        <v>15.3</v>
      </c>
      <c r="H1437" s="41" t="n">
        <v>0.0472371223981726</v>
      </c>
      <c r="I1437" s="31" t="n">
        <v>26.9</v>
      </c>
      <c r="J1437" s="2" t="s">
        <v>2886</v>
      </c>
      <c r="K1437" s="44" t="n">
        <v>0.0818681318681319</v>
      </c>
      <c r="L1437" s="31" t="n">
        <v>50</v>
      </c>
      <c r="M1437" s="34" t="s">
        <v>822</v>
      </c>
      <c r="N1437" s="2" t="s">
        <v>22</v>
      </c>
      <c r="O1437" s="2" t="s">
        <v>22</v>
      </c>
      <c r="P1437" s="2" t="s">
        <v>22</v>
      </c>
      <c r="Q1437" s="2" t="s">
        <v>22</v>
      </c>
    </row>
    <row r="1438" customFormat="false" ht="15" hidden="false" customHeight="false" outlineLevel="0" collapsed="false">
      <c r="A1438" s="2" t="s">
        <v>126</v>
      </c>
      <c r="B1438" s="2" t="s">
        <v>45</v>
      </c>
      <c r="C1438" s="13" t="s">
        <v>928</v>
      </c>
      <c r="D1438" s="29" t="n">
        <v>14960</v>
      </c>
      <c r="E1438" s="2" t="s">
        <v>821</v>
      </c>
      <c r="F1438" s="30" t="n">
        <v>1.39605614973262</v>
      </c>
      <c r="G1438" s="31" t="n">
        <v>87.9</v>
      </c>
      <c r="H1438" s="32" t="n">
        <v>0.0295939435650379</v>
      </c>
      <c r="I1438" s="31" t="n">
        <v>17.9</v>
      </c>
      <c r="J1438" s="2" t="s">
        <v>2883</v>
      </c>
      <c r="K1438" s="40" t="s">
        <v>857</v>
      </c>
      <c r="L1438" s="31"/>
      <c r="M1438" s="34" t="s">
        <v>822</v>
      </c>
      <c r="N1438" s="2" t="s">
        <v>24</v>
      </c>
      <c r="O1438" s="2" t="s">
        <v>24</v>
      </c>
      <c r="P1438" s="2" t="s">
        <v>24</v>
      </c>
      <c r="Q1438" s="2" t="s">
        <v>2885</v>
      </c>
    </row>
    <row r="1439" customFormat="false" ht="15" hidden="false" customHeight="false" outlineLevel="0" collapsed="false">
      <c r="A1439" s="2" t="s">
        <v>1252</v>
      </c>
      <c r="B1439" s="2" t="s">
        <v>45</v>
      </c>
      <c r="C1439" s="13" t="s">
        <v>1253</v>
      </c>
      <c r="D1439" s="29" t="n">
        <v>339130</v>
      </c>
      <c r="E1439" s="2" t="s">
        <v>827</v>
      </c>
      <c r="F1439" s="30" t="n">
        <v>0.541904284492673</v>
      </c>
      <c r="G1439" s="31" t="n">
        <v>47.4</v>
      </c>
      <c r="H1439" s="32" t="n">
        <v>0.0477323282254078</v>
      </c>
      <c r="I1439" s="31" t="n">
        <v>28.6</v>
      </c>
      <c r="J1439" s="2" t="s">
        <v>2890</v>
      </c>
      <c r="K1439" s="33" t="n">
        <v>0.151137320977254</v>
      </c>
      <c r="L1439" s="31" t="n">
        <v>58.3</v>
      </c>
      <c r="M1439" s="34" t="s">
        <v>822</v>
      </c>
      <c r="N1439" s="2" t="s">
        <v>24</v>
      </c>
      <c r="O1439" s="2" t="s">
        <v>24</v>
      </c>
      <c r="P1439" s="2" t="s">
        <v>24</v>
      </c>
      <c r="Q1439" s="2" t="s">
        <v>24</v>
      </c>
    </row>
    <row r="1440" customFormat="false" ht="15" hidden="false" customHeight="false" outlineLevel="0" collapsed="false">
      <c r="A1440" s="2" t="s">
        <v>1252</v>
      </c>
      <c r="B1440" s="2" t="s">
        <v>46</v>
      </c>
      <c r="C1440" s="16"/>
      <c r="D1440" s="35"/>
      <c r="E1440" s="2"/>
      <c r="F1440" s="36"/>
      <c r="G1440" s="31"/>
      <c r="H1440" s="37"/>
      <c r="I1440" s="31"/>
      <c r="J1440" s="2"/>
      <c r="K1440" s="38"/>
      <c r="L1440" s="31"/>
      <c r="M1440" s="39" t="s">
        <v>832</v>
      </c>
      <c r="N1440" s="2"/>
      <c r="O1440" s="2"/>
      <c r="P1440" s="2"/>
      <c r="Q1440" s="2"/>
    </row>
    <row r="1441" customFormat="false" ht="15" hidden="false" customHeight="false" outlineLevel="0" collapsed="false">
      <c r="A1441" s="2" t="s">
        <v>1252</v>
      </c>
      <c r="B1441" s="2" t="s">
        <v>47</v>
      </c>
      <c r="C1441" s="14" t="s">
        <v>2751</v>
      </c>
      <c r="D1441" s="42" t="n">
        <v>9713</v>
      </c>
      <c r="E1441" s="2" t="s">
        <v>825</v>
      </c>
      <c r="F1441" s="43" t="n">
        <v>0.592504890353135</v>
      </c>
      <c r="G1441" s="31" t="n">
        <v>18.2</v>
      </c>
      <c r="H1441" s="41" t="n">
        <v>0.0243619489559165</v>
      </c>
      <c r="I1441" s="31" t="n">
        <v>18.8</v>
      </c>
      <c r="J1441" s="2" t="s">
        <v>2889</v>
      </c>
      <c r="K1441" s="44" t="n">
        <v>0.154034229828851</v>
      </c>
      <c r="L1441" s="31" t="n">
        <v>74.2</v>
      </c>
      <c r="M1441" s="34" t="s">
        <v>822</v>
      </c>
      <c r="N1441" s="2" t="s">
        <v>22</v>
      </c>
      <c r="O1441" s="2" t="s">
        <v>22</v>
      </c>
      <c r="P1441" s="2" t="s">
        <v>22</v>
      </c>
      <c r="Q1441" s="2" t="s">
        <v>22</v>
      </c>
    </row>
    <row r="1442" customFormat="false" ht="15" hidden="false" customHeight="false" outlineLevel="0" collapsed="false">
      <c r="A1442" s="2" t="s">
        <v>1735</v>
      </c>
      <c r="B1442" s="2" t="s">
        <v>45</v>
      </c>
      <c r="C1442" s="16"/>
      <c r="D1442" s="35"/>
      <c r="E1442" s="2"/>
      <c r="F1442" s="36"/>
      <c r="G1442" s="31"/>
      <c r="H1442" s="37"/>
      <c r="I1442" s="31"/>
      <c r="J1442" s="2"/>
      <c r="K1442" s="38"/>
      <c r="L1442" s="31"/>
      <c r="M1442" s="39" t="s">
        <v>832</v>
      </c>
      <c r="N1442" s="2"/>
      <c r="O1442" s="2"/>
      <c r="P1442" s="2"/>
      <c r="Q1442" s="2"/>
    </row>
    <row r="1443" customFormat="false" ht="15" hidden="false" customHeight="false" outlineLevel="0" collapsed="false">
      <c r="A1443" s="2" t="s">
        <v>1735</v>
      </c>
      <c r="B1443" s="2" t="s">
        <v>46</v>
      </c>
      <c r="C1443" s="13" t="s">
        <v>1736</v>
      </c>
      <c r="D1443" s="29" t="n">
        <v>43870</v>
      </c>
      <c r="E1443" s="2" t="s">
        <v>821</v>
      </c>
      <c r="F1443" s="30" t="n">
        <v>5.39717346706177</v>
      </c>
      <c r="G1443" s="31" t="n">
        <v>75.4</v>
      </c>
      <c r="H1443" s="32" t="n">
        <v>0.128633907898122</v>
      </c>
      <c r="I1443" s="31" t="n">
        <v>72</v>
      </c>
      <c r="J1443" s="2" t="s">
        <v>2884</v>
      </c>
      <c r="K1443" s="33" t="n">
        <v>0.0820343164741505</v>
      </c>
      <c r="L1443" s="31" t="n">
        <v>27.4</v>
      </c>
      <c r="M1443" s="34" t="s">
        <v>822</v>
      </c>
      <c r="N1443" s="2" t="s">
        <v>24</v>
      </c>
      <c r="O1443" s="2" t="s">
        <v>24</v>
      </c>
      <c r="P1443" s="2" t="s">
        <v>24</v>
      </c>
      <c r="Q1443" s="2" t="s">
        <v>24</v>
      </c>
    </row>
    <row r="1444" customFormat="false" ht="15" hidden="false" customHeight="false" outlineLevel="0" collapsed="false">
      <c r="A1444" s="2" t="s">
        <v>1735</v>
      </c>
      <c r="B1444" s="2" t="s">
        <v>47</v>
      </c>
      <c r="C1444" s="14" t="s">
        <v>2266</v>
      </c>
      <c r="D1444" s="42" t="n">
        <v>15198</v>
      </c>
      <c r="E1444" s="2" t="s">
        <v>821</v>
      </c>
      <c r="F1444" s="43" t="n">
        <v>3.56448216870641</v>
      </c>
      <c r="G1444" s="31" t="n">
        <v>92.9</v>
      </c>
      <c r="H1444" s="41" t="n">
        <v>0.177683068578071</v>
      </c>
      <c r="I1444" s="31" t="n">
        <v>86.7</v>
      </c>
      <c r="J1444" s="2" t="s">
        <v>2886</v>
      </c>
      <c r="K1444" s="44" t="n">
        <v>0.0900718778077269</v>
      </c>
      <c r="L1444" s="31" t="n">
        <v>54.1</v>
      </c>
      <c r="M1444" s="34" t="s">
        <v>822</v>
      </c>
      <c r="N1444" s="2" t="s">
        <v>22</v>
      </c>
      <c r="O1444" s="2" t="s">
        <v>22</v>
      </c>
      <c r="P1444" s="2" t="s">
        <v>22</v>
      </c>
      <c r="Q1444" s="2" t="s">
        <v>22</v>
      </c>
    </row>
    <row r="1445" customFormat="false" ht="15" hidden="false" customHeight="false" outlineLevel="0" collapsed="false">
      <c r="A1445" s="2" t="s">
        <v>680</v>
      </c>
      <c r="B1445" s="2" t="s">
        <v>45</v>
      </c>
      <c r="C1445" s="13" t="s">
        <v>1385</v>
      </c>
      <c r="D1445" s="29" t="n">
        <v>1336470</v>
      </c>
      <c r="E1445" s="2" t="s">
        <v>935</v>
      </c>
      <c r="F1445" s="30" t="n">
        <v>0.418280993961705</v>
      </c>
      <c r="G1445" s="31" t="n">
        <v>30.8</v>
      </c>
      <c r="H1445" s="32" t="n">
        <v>0.0953953839092519</v>
      </c>
      <c r="I1445" s="31" t="n">
        <v>58.8</v>
      </c>
      <c r="J1445" s="2" t="s">
        <v>2892</v>
      </c>
      <c r="K1445" s="44" t="n">
        <v>0.0909758376718729</v>
      </c>
      <c r="L1445" s="31" t="n">
        <v>32.9</v>
      </c>
      <c r="M1445" s="34" t="s">
        <v>822</v>
      </c>
      <c r="N1445" s="2" t="s">
        <v>24</v>
      </c>
      <c r="O1445" s="2" t="s">
        <v>24</v>
      </c>
      <c r="P1445" s="2" t="s">
        <v>24</v>
      </c>
      <c r="Q1445" s="2" t="s">
        <v>22</v>
      </c>
    </row>
    <row r="1446" customFormat="false" ht="15" hidden="false" customHeight="false" outlineLevel="0" collapsed="false">
      <c r="A1446" s="2" t="s">
        <v>3237</v>
      </c>
      <c r="B1446" s="2" t="s">
        <v>46</v>
      </c>
      <c r="C1446" s="16"/>
      <c r="D1446" s="35"/>
      <c r="E1446" s="2"/>
      <c r="F1446" s="36"/>
      <c r="G1446" s="31"/>
      <c r="H1446" s="37"/>
      <c r="I1446" s="31"/>
      <c r="J1446" s="2"/>
      <c r="K1446" s="38"/>
      <c r="L1446" s="31"/>
      <c r="M1446" s="39" t="s">
        <v>832</v>
      </c>
      <c r="N1446" s="2"/>
      <c r="O1446" s="2"/>
      <c r="P1446" s="2"/>
      <c r="Q1446" s="2"/>
    </row>
    <row r="1447" customFormat="false" ht="15" hidden="false" customHeight="false" outlineLevel="0" collapsed="false">
      <c r="A1447" s="2" t="s">
        <v>3237</v>
      </c>
      <c r="B1447" s="2" t="s">
        <v>47</v>
      </c>
      <c r="C1447" s="14" t="s">
        <v>3238</v>
      </c>
      <c r="D1447" s="35"/>
      <c r="E1447" s="2"/>
      <c r="F1447" s="36"/>
      <c r="G1447" s="31"/>
      <c r="H1447" s="37"/>
      <c r="I1447" s="31"/>
      <c r="J1447" s="2"/>
      <c r="K1447" s="44" t="n">
        <v>0.0327804107424961</v>
      </c>
      <c r="L1447" s="31" t="n">
        <v>21.9</v>
      </c>
      <c r="M1447" s="39" t="s">
        <v>832</v>
      </c>
      <c r="N1447" s="2"/>
      <c r="O1447" s="2"/>
      <c r="P1447" s="2"/>
      <c r="Q1447" s="2" t="s">
        <v>22</v>
      </c>
    </row>
    <row r="1448" customFormat="false" ht="15" hidden="false" customHeight="false" outlineLevel="0" collapsed="false">
      <c r="A1448" s="2" t="s">
        <v>198</v>
      </c>
      <c r="B1448" s="2" t="s">
        <v>45</v>
      </c>
      <c r="C1448" s="13" t="s">
        <v>1174</v>
      </c>
      <c r="D1448" s="29" t="n">
        <v>15810</v>
      </c>
      <c r="E1448" s="2" t="s">
        <v>821</v>
      </c>
      <c r="F1448" s="30" t="n">
        <v>0.638393421884883</v>
      </c>
      <c r="G1448" s="31" t="n">
        <v>57.8</v>
      </c>
      <c r="H1448" s="32" t="n">
        <v>0.148982558139535</v>
      </c>
      <c r="I1448" s="31" t="n">
        <v>75.9</v>
      </c>
      <c r="J1448" s="2" t="s">
        <v>2883</v>
      </c>
      <c r="K1448" s="33" t="n">
        <v>0.0182341650671785</v>
      </c>
      <c r="L1448" s="31" t="n">
        <v>5.1</v>
      </c>
      <c r="M1448" s="34" t="s">
        <v>822</v>
      </c>
      <c r="N1448" s="2" t="s">
        <v>24</v>
      </c>
      <c r="O1448" s="2" t="s">
        <v>24</v>
      </c>
      <c r="P1448" s="2" t="s">
        <v>24</v>
      </c>
      <c r="Q1448" s="2" t="s">
        <v>24</v>
      </c>
    </row>
    <row r="1449" customFormat="false" ht="15" hidden="false" customHeight="false" outlineLevel="0" collapsed="false">
      <c r="A1449" s="2" t="s">
        <v>198</v>
      </c>
      <c r="B1449" s="2" t="s">
        <v>46</v>
      </c>
      <c r="C1449" s="13" t="s">
        <v>1640</v>
      </c>
      <c r="D1449" s="29" t="n">
        <v>70360</v>
      </c>
      <c r="E1449" s="2" t="s">
        <v>821</v>
      </c>
      <c r="F1449" s="30" t="n">
        <v>9.84950255827175</v>
      </c>
      <c r="G1449" s="31" t="n">
        <v>93.9</v>
      </c>
      <c r="H1449" s="32" t="n">
        <v>0.178756910705311</v>
      </c>
      <c r="I1449" s="31" t="n">
        <v>88.4</v>
      </c>
      <c r="J1449" s="2" t="s">
        <v>2884</v>
      </c>
      <c r="K1449" s="33" t="n">
        <v>0.0967848092934479</v>
      </c>
      <c r="L1449" s="31" t="n">
        <v>35.1</v>
      </c>
      <c r="M1449" s="34" t="s">
        <v>822</v>
      </c>
      <c r="N1449" s="2" t="s">
        <v>24</v>
      </c>
      <c r="O1449" s="2" t="s">
        <v>24</v>
      </c>
      <c r="P1449" s="2" t="s">
        <v>24</v>
      </c>
      <c r="Q1449" s="2" t="s">
        <v>24</v>
      </c>
    </row>
    <row r="1450" customFormat="false" ht="15" hidden="false" customHeight="false" outlineLevel="0" collapsed="false">
      <c r="A1450" s="2" t="s">
        <v>2398</v>
      </c>
      <c r="B1450" s="2" t="s">
        <v>46</v>
      </c>
      <c r="C1450" s="13" t="s">
        <v>3239</v>
      </c>
      <c r="D1450" s="35"/>
      <c r="E1450" s="2"/>
      <c r="F1450" s="36"/>
      <c r="G1450" s="31"/>
      <c r="H1450" s="37"/>
      <c r="I1450" s="31"/>
      <c r="J1450" s="2"/>
      <c r="K1450" s="33" t="n">
        <v>0.230293905460933</v>
      </c>
      <c r="L1450" s="31" t="n">
        <v>76.8</v>
      </c>
      <c r="M1450" s="39" t="s">
        <v>832</v>
      </c>
      <c r="N1450" s="2"/>
      <c r="O1450" s="2"/>
      <c r="P1450" s="2"/>
      <c r="Q1450" s="2" t="s">
        <v>24</v>
      </c>
    </row>
    <row r="1451" customFormat="false" ht="15" hidden="false" customHeight="false" outlineLevel="0" collapsed="false">
      <c r="A1451" s="2" t="s">
        <v>2398</v>
      </c>
      <c r="B1451" s="2" t="s">
        <v>47</v>
      </c>
      <c r="C1451" s="14" t="s">
        <v>2399</v>
      </c>
      <c r="D1451" s="42" t="n">
        <v>78212</v>
      </c>
      <c r="E1451" s="2" t="s">
        <v>821</v>
      </c>
      <c r="F1451" s="43" t="n">
        <v>1.80951772106582</v>
      </c>
      <c r="G1451" s="31" t="n">
        <v>71.3</v>
      </c>
      <c r="H1451" s="41" t="n">
        <v>0.00302657227864984</v>
      </c>
      <c r="I1451" s="31" t="n">
        <v>10.7</v>
      </c>
      <c r="J1451" s="2" t="s">
        <v>2886</v>
      </c>
      <c r="K1451" s="44" t="n">
        <v>0.0438152011922504</v>
      </c>
      <c r="L1451" s="31" t="n">
        <v>28.7</v>
      </c>
      <c r="M1451" s="34" t="s">
        <v>822</v>
      </c>
      <c r="N1451" s="2" t="s">
        <v>22</v>
      </c>
      <c r="O1451" s="2" t="s">
        <v>22</v>
      </c>
      <c r="P1451" s="2" t="s">
        <v>22</v>
      </c>
      <c r="Q1451" s="2" t="s">
        <v>22</v>
      </c>
    </row>
    <row r="1452" customFormat="false" ht="15" hidden="false" customHeight="false" outlineLevel="0" collapsed="false">
      <c r="A1452" s="2" t="s">
        <v>148</v>
      </c>
      <c r="B1452" s="2" t="s">
        <v>45</v>
      </c>
      <c r="C1452" s="13" t="s">
        <v>854</v>
      </c>
      <c r="D1452" s="29" t="n">
        <v>51170</v>
      </c>
      <c r="E1452" s="2" t="s">
        <v>821</v>
      </c>
      <c r="F1452" s="30" t="n">
        <v>2.27701778385773</v>
      </c>
      <c r="G1452" s="31" t="n">
        <v>96.6</v>
      </c>
      <c r="H1452" s="32" t="n">
        <v>0.0535309862054766</v>
      </c>
      <c r="I1452" s="31" t="n">
        <v>30.6</v>
      </c>
      <c r="J1452" s="2" t="s">
        <v>2883</v>
      </c>
      <c r="K1452" s="33" t="n">
        <v>0.10781476121563</v>
      </c>
      <c r="L1452" s="31" t="n">
        <v>38.9</v>
      </c>
      <c r="M1452" s="34" t="s">
        <v>822</v>
      </c>
      <c r="N1452" s="2" t="s">
        <v>24</v>
      </c>
      <c r="O1452" s="2" t="s">
        <v>24</v>
      </c>
      <c r="P1452" s="2" t="s">
        <v>24</v>
      </c>
      <c r="Q1452" s="2" t="s">
        <v>24</v>
      </c>
    </row>
    <row r="1453" customFormat="false" ht="15" hidden="false" customHeight="false" outlineLevel="0" collapsed="false">
      <c r="A1453" s="2" t="s">
        <v>148</v>
      </c>
      <c r="B1453" s="2" t="s">
        <v>46</v>
      </c>
      <c r="C1453" s="13" t="s">
        <v>1776</v>
      </c>
      <c r="D1453" s="29" t="n">
        <v>63110</v>
      </c>
      <c r="E1453" s="2" t="s">
        <v>821</v>
      </c>
      <c r="F1453" s="30" t="n">
        <v>4.5809221993345</v>
      </c>
      <c r="G1453" s="31" t="n">
        <v>69.7</v>
      </c>
      <c r="H1453" s="32" t="n">
        <v>-0.107985865724382</v>
      </c>
      <c r="I1453" s="31" t="n">
        <v>1.8</v>
      </c>
      <c r="J1453" s="2" t="s">
        <v>2884</v>
      </c>
      <c r="K1453" s="33" t="n">
        <v>0.128034216519469</v>
      </c>
      <c r="L1453" s="31" t="n">
        <v>48.6</v>
      </c>
      <c r="M1453" s="34" t="s">
        <v>822</v>
      </c>
      <c r="N1453" s="2" t="s">
        <v>24</v>
      </c>
      <c r="O1453" s="2" t="s">
        <v>24</v>
      </c>
      <c r="P1453" s="2" t="s">
        <v>24</v>
      </c>
      <c r="Q1453" s="2" t="s">
        <v>24</v>
      </c>
    </row>
    <row r="1454" customFormat="false" ht="15" hidden="false" customHeight="false" outlineLevel="0" collapsed="false">
      <c r="A1454" s="2" t="s">
        <v>71</v>
      </c>
      <c r="B1454" s="2" t="s">
        <v>45</v>
      </c>
      <c r="C1454" s="13" t="s">
        <v>828</v>
      </c>
      <c r="D1454" s="29" t="n">
        <v>655880</v>
      </c>
      <c r="E1454" s="2" t="s">
        <v>827</v>
      </c>
      <c r="F1454" s="30" t="n">
        <v>3.39056229798134</v>
      </c>
      <c r="G1454" s="31" t="n">
        <v>99.2</v>
      </c>
      <c r="H1454" s="32" t="n">
        <v>-0.0423292011622644</v>
      </c>
      <c r="I1454" s="31" t="n">
        <v>5</v>
      </c>
      <c r="J1454" s="2" t="s">
        <v>2890</v>
      </c>
      <c r="K1454" s="33" t="n">
        <v>0.398706874256453</v>
      </c>
      <c r="L1454" s="31" t="n">
        <v>97.7</v>
      </c>
      <c r="M1454" s="34" t="s">
        <v>822</v>
      </c>
      <c r="N1454" s="2" t="s">
        <v>24</v>
      </c>
      <c r="O1454" s="2" t="s">
        <v>24</v>
      </c>
      <c r="P1454" s="2" t="s">
        <v>24</v>
      </c>
      <c r="Q1454" s="2" t="s">
        <v>24</v>
      </c>
    </row>
    <row r="1455" customFormat="false" ht="15" hidden="false" customHeight="false" outlineLevel="0" collapsed="false">
      <c r="A1455" s="2" t="s">
        <v>1761</v>
      </c>
      <c r="B1455" s="2" t="s">
        <v>45</v>
      </c>
      <c r="C1455" s="13" t="s">
        <v>3240</v>
      </c>
      <c r="D1455" s="29" t="n">
        <v>82830</v>
      </c>
      <c r="E1455" s="2" t="s">
        <v>821</v>
      </c>
      <c r="F1455" s="30" t="n">
        <v>0.959434987323434</v>
      </c>
      <c r="G1455" s="31" t="n">
        <v>77.7</v>
      </c>
      <c r="H1455" s="32" t="n">
        <v>0.11811555075594</v>
      </c>
      <c r="I1455" s="31" t="n">
        <v>62.5</v>
      </c>
      <c r="J1455" s="2" t="s">
        <v>2883</v>
      </c>
      <c r="K1455" s="38"/>
      <c r="L1455" s="31"/>
      <c r="M1455" s="39" t="s">
        <v>832</v>
      </c>
      <c r="N1455" s="2" t="s">
        <v>24</v>
      </c>
      <c r="O1455" s="2" t="s">
        <v>24</v>
      </c>
      <c r="P1455" s="2" t="s">
        <v>24</v>
      </c>
      <c r="Q1455" s="2"/>
    </row>
    <row r="1456" customFormat="false" ht="15" hidden="false" customHeight="false" outlineLevel="0" collapsed="false">
      <c r="A1456" s="2" t="s">
        <v>1761</v>
      </c>
      <c r="B1456" s="2" t="s">
        <v>46</v>
      </c>
      <c r="C1456" s="13" t="s">
        <v>1762</v>
      </c>
      <c r="D1456" s="29" t="n">
        <v>418030</v>
      </c>
      <c r="E1456" s="2" t="s">
        <v>827</v>
      </c>
      <c r="F1456" s="30" t="n">
        <v>4.94944621199436</v>
      </c>
      <c r="G1456" s="31" t="n">
        <v>72.1</v>
      </c>
      <c r="H1456" s="32" t="n">
        <v>0.109215379308515</v>
      </c>
      <c r="I1456" s="31" t="n">
        <v>66.9</v>
      </c>
      <c r="J1456" s="2" t="s">
        <v>2888</v>
      </c>
      <c r="K1456" s="33" t="n">
        <v>0.135563849640096</v>
      </c>
      <c r="L1456" s="31" t="n">
        <v>51</v>
      </c>
      <c r="M1456" s="34" t="s">
        <v>822</v>
      </c>
      <c r="N1456" s="2" t="s">
        <v>24</v>
      </c>
      <c r="O1456" s="2" t="s">
        <v>24</v>
      </c>
      <c r="P1456" s="2" t="s">
        <v>24</v>
      </c>
      <c r="Q1456" s="2" t="s">
        <v>24</v>
      </c>
    </row>
    <row r="1457" customFormat="false" ht="15" hidden="false" customHeight="false" outlineLevel="0" collapsed="false">
      <c r="A1457" s="2" t="s">
        <v>1761</v>
      </c>
      <c r="B1457" s="2" t="s">
        <v>47</v>
      </c>
      <c r="C1457" s="13" t="s">
        <v>2610</v>
      </c>
      <c r="D1457" s="29" t="n">
        <v>16350</v>
      </c>
      <c r="E1457" s="2" t="s">
        <v>821</v>
      </c>
      <c r="F1457" s="30" t="n">
        <v>1.01443425076453</v>
      </c>
      <c r="G1457" s="31" t="n">
        <v>39.2</v>
      </c>
      <c r="H1457" s="32" t="n">
        <v>0.0548387096774194</v>
      </c>
      <c r="I1457" s="31" t="n">
        <v>30.5</v>
      </c>
      <c r="J1457" s="2" t="s">
        <v>2886</v>
      </c>
      <c r="K1457" s="44" t="n">
        <v>0.204441541476159</v>
      </c>
      <c r="L1457" s="31" t="n">
        <v>86.2</v>
      </c>
      <c r="M1457" s="34" t="s">
        <v>822</v>
      </c>
      <c r="N1457" s="2" t="s">
        <v>24</v>
      </c>
      <c r="O1457" s="2" t="s">
        <v>24</v>
      </c>
      <c r="P1457" s="2" t="s">
        <v>24</v>
      </c>
      <c r="Q1457" s="2" t="s">
        <v>22</v>
      </c>
    </row>
    <row r="1458" customFormat="false" ht="15" hidden="false" customHeight="false" outlineLevel="0" collapsed="false">
      <c r="A1458" s="2" t="s">
        <v>1229</v>
      </c>
      <c r="B1458" s="2" t="s">
        <v>45</v>
      </c>
      <c r="C1458" s="13" t="s">
        <v>1230</v>
      </c>
      <c r="D1458" s="29" t="n">
        <v>127280</v>
      </c>
      <c r="E1458" s="2" t="s">
        <v>827</v>
      </c>
      <c r="F1458" s="30" t="n">
        <v>0.564739157762414</v>
      </c>
      <c r="G1458" s="31" t="n">
        <v>50.3</v>
      </c>
      <c r="H1458" s="32" t="n">
        <v>0.102946273830156</v>
      </c>
      <c r="I1458" s="31" t="n">
        <v>60</v>
      </c>
      <c r="J1458" s="2" t="s">
        <v>2890</v>
      </c>
      <c r="K1458" s="33" t="n">
        <v>0.175215845606907</v>
      </c>
      <c r="L1458" s="31" t="n">
        <v>66.4</v>
      </c>
      <c r="M1458" s="34" t="s">
        <v>822</v>
      </c>
      <c r="N1458" s="2" t="s">
        <v>24</v>
      </c>
      <c r="O1458" s="2" t="s">
        <v>24</v>
      </c>
      <c r="P1458" s="2" t="s">
        <v>24</v>
      </c>
      <c r="Q1458" s="2" t="s">
        <v>24</v>
      </c>
    </row>
    <row r="1459" customFormat="false" ht="15" hidden="false" customHeight="false" outlineLevel="0" collapsed="false">
      <c r="A1459" s="2" t="s">
        <v>1229</v>
      </c>
      <c r="B1459" s="2" t="s">
        <v>46</v>
      </c>
      <c r="C1459" s="13" t="s">
        <v>3241</v>
      </c>
      <c r="D1459" s="29" t="n">
        <v>44570</v>
      </c>
      <c r="E1459" s="2" t="s">
        <v>821</v>
      </c>
      <c r="F1459" s="30" t="n">
        <v>3.56145389275297</v>
      </c>
      <c r="G1459" s="31" t="n">
        <v>57.4</v>
      </c>
      <c r="H1459" s="32" t="n">
        <v>0.0372352804282057</v>
      </c>
      <c r="I1459" s="31" t="n">
        <v>25.1</v>
      </c>
      <c r="J1459" s="2" t="s">
        <v>2884</v>
      </c>
      <c r="K1459" s="38"/>
      <c r="L1459" s="31"/>
      <c r="M1459" s="39" t="s">
        <v>832</v>
      </c>
      <c r="N1459" s="2" t="s">
        <v>24</v>
      </c>
      <c r="O1459" s="2" t="s">
        <v>24</v>
      </c>
      <c r="P1459" s="2" t="s">
        <v>24</v>
      </c>
      <c r="Q1459" s="2"/>
    </row>
    <row r="1460" customFormat="false" ht="15" hidden="false" customHeight="false" outlineLevel="0" collapsed="false">
      <c r="A1460" s="2" t="s">
        <v>1229</v>
      </c>
      <c r="B1460" s="2" t="s">
        <v>47</v>
      </c>
      <c r="C1460" s="14" t="s">
        <v>2569</v>
      </c>
      <c r="D1460" s="42" t="n">
        <v>671365</v>
      </c>
      <c r="E1460" s="2" t="s">
        <v>827</v>
      </c>
      <c r="F1460" s="43" t="n">
        <v>1.16632681179388</v>
      </c>
      <c r="G1460" s="31" t="n">
        <v>46.4</v>
      </c>
      <c r="H1460" s="41" t="n">
        <v>0.105156679023645</v>
      </c>
      <c r="I1460" s="31" t="n">
        <v>61.5</v>
      </c>
      <c r="J1460" s="2" t="s">
        <v>2897</v>
      </c>
      <c r="K1460" s="44" t="n">
        <v>0.136985920582635</v>
      </c>
      <c r="L1460" s="31" t="n">
        <v>70.3</v>
      </c>
      <c r="M1460" s="34" t="s">
        <v>822</v>
      </c>
      <c r="N1460" s="2" t="s">
        <v>22</v>
      </c>
      <c r="O1460" s="2" t="s">
        <v>22</v>
      </c>
      <c r="P1460" s="2" t="s">
        <v>22</v>
      </c>
      <c r="Q1460" s="2" t="s">
        <v>22</v>
      </c>
    </row>
    <row r="1461" customFormat="false" ht="15" hidden="false" customHeight="false" outlineLevel="0" collapsed="false">
      <c r="A1461" s="2" t="s">
        <v>2757</v>
      </c>
      <c r="B1461" s="2" t="s">
        <v>45</v>
      </c>
      <c r="C1461" s="16"/>
      <c r="D1461" s="35"/>
      <c r="E1461" s="2"/>
      <c r="F1461" s="36"/>
      <c r="G1461" s="31"/>
      <c r="H1461" s="37"/>
      <c r="I1461" s="31"/>
      <c r="J1461" s="2"/>
      <c r="K1461" s="38"/>
      <c r="L1461" s="31"/>
      <c r="M1461" s="39" t="s">
        <v>832</v>
      </c>
      <c r="N1461" s="2"/>
      <c r="O1461" s="2"/>
      <c r="P1461" s="2"/>
      <c r="Q1461" s="2"/>
    </row>
    <row r="1462" customFormat="false" ht="15" hidden="false" customHeight="false" outlineLevel="0" collapsed="false">
      <c r="A1462" s="2" t="s">
        <v>2757</v>
      </c>
      <c r="B1462" s="2" t="s">
        <v>46</v>
      </c>
      <c r="C1462" s="13" t="s">
        <v>3242</v>
      </c>
      <c r="D1462" s="29" t="n">
        <v>2440</v>
      </c>
      <c r="E1462" s="2" t="s">
        <v>825</v>
      </c>
      <c r="F1462" s="30" t="n">
        <v>0.436885245901639</v>
      </c>
      <c r="G1462" s="31" t="n">
        <v>1</v>
      </c>
      <c r="H1462" s="37"/>
      <c r="I1462" s="31"/>
      <c r="J1462" s="2"/>
      <c r="K1462" s="33" t="n">
        <v>0.305555555555556</v>
      </c>
      <c r="L1462" s="31" t="n">
        <v>89.4</v>
      </c>
      <c r="M1462" s="39" t="s">
        <v>832</v>
      </c>
      <c r="N1462" s="2" t="s">
        <v>24</v>
      </c>
      <c r="O1462" s="2" t="s">
        <v>24</v>
      </c>
      <c r="P1462" s="2"/>
      <c r="Q1462" s="2" t="s">
        <v>24</v>
      </c>
    </row>
    <row r="1463" customFormat="false" ht="15" hidden="false" customHeight="false" outlineLevel="0" collapsed="false">
      <c r="A1463" s="2" t="s">
        <v>2757</v>
      </c>
      <c r="B1463" s="2" t="s">
        <v>47</v>
      </c>
      <c r="C1463" s="14" t="s">
        <v>2758</v>
      </c>
      <c r="D1463" s="42" t="n">
        <v>147996</v>
      </c>
      <c r="E1463" s="2" t="s">
        <v>827</v>
      </c>
      <c r="F1463" s="43" t="n">
        <v>0.587434795535014</v>
      </c>
      <c r="G1463" s="31" t="n">
        <v>17.6</v>
      </c>
      <c r="H1463" s="41" t="n">
        <v>0.099377497808614</v>
      </c>
      <c r="I1463" s="31" t="n">
        <v>57.8</v>
      </c>
      <c r="J1463" s="2" t="s">
        <v>2897</v>
      </c>
      <c r="K1463" s="44" t="n">
        <v>0.149855312112443</v>
      </c>
      <c r="L1463" s="31" t="n">
        <v>73.3</v>
      </c>
      <c r="M1463" s="34" t="s">
        <v>822</v>
      </c>
      <c r="N1463" s="2" t="s">
        <v>22</v>
      </c>
      <c r="O1463" s="2" t="s">
        <v>22</v>
      </c>
      <c r="P1463" s="2" t="s">
        <v>22</v>
      </c>
      <c r="Q1463" s="2" t="s">
        <v>22</v>
      </c>
    </row>
    <row r="1464" customFormat="false" ht="15" hidden="false" customHeight="false" outlineLevel="0" collapsed="false">
      <c r="A1464" s="2" t="s">
        <v>730</v>
      </c>
      <c r="B1464" s="2" t="s">
        <v>46</v>
      </c>
      <c r="C1464" s="13" t="s">
        <v>2054</v>
      </c>
      <c r="D1464" s="29" t="n">
        <v>116900</v>
      </c>
      <c r="E1464" s="2" t="s">
        <v>827</v>
      </c>
      <c r="F1464" s="30" t="n">
        <v>1.83119760479042</v>
      </c>
      <c r="G1464" s="31" t="n">
        <v>24.4</v>
      </c>
      <c r="H1464" s="32" t="n">
        <v>0.166433845539812</v>
      </c>
      <c r="I1464" s="31" t="n">
        <v>91.7</v>
      </c>
      <c r="J1464" s="2" t="s">
        <v>2888</v>
      </c>
      <c r="K1464" s="33" t="n">
        <v>0.0806845965770171</v>
      </c>
      <c r="L1464" s="31" t="n">
        <v>26.3</v>
      </c>
      <c r="M1464" s="34" t="s">
        <v>822</v>
      </c>
      <c r="N1464" s="2" t="s">
        <v>24</v>
      </c>
      <c r="O1464" s="2" t="s">
        <v>24</v>
      </c>
      <c r="P1464" s="2" t="s">
        <v>24</v>
      </c>
      <c r="Q1464" s="2" t="s">
        <v>24</v>
      </c>
    </row>
    <row r="1465" customFormat="false" ht="15" hidden="false" customHeight="false" outlineLevel="0" collapsed="false">
      <c r="A1465" s="2" t="s">
        <v>2762</v>
      </c>
      <c r="B1465" s="2" t="s">
        <v>45</v>
      </c>
      <c r="C1465" s="13" t="s">
        <v>3243</v>
      </c>
      <c r="D1465" s="29" t="n">
        <v>2350</v>
      </c>
      <c r="E1465" s="2" t="s">
        <v>825</v>
      </c>
      <c r="F1465" s="36"/>
      <c r="G1465" s="31"/>
      <c r="H1465" s="37"/>
      <c r="I1465" s="31"/>
      <c r="J1465" s="2"/>
      <c r="K1465" s="33" t="n">
        <v>0.0566801619433198</v>
      </c>
      <c r="L1465" s="31" t="n">
        <v>18.2</v>
      </c>
      <c r="M1465" s="39" t="s">
        <v>832</v>
      </c>
      <c r="N1465" s="2" t="s">
        <v>24</v>
      </c>
      <c r="O1465" s="2"/>
      <c r="P1465" s="2"/>
      <c r="Q1465" s="2" t="s">
        <v>24</v>
      </c>
    </row>
    <row r="1466" customFormat="false" ht="15" hidden="false" customHeight="false" outlineLevel="0" collapsed="false">
      <c r="A1466" s="2" t="s">
        <v>2762</v>
      </c>
      <c r="B1466" s="2" t="s">
        <v>47</v>
      </c>
      <c r="C1466" s="13" t="s">
        <v>2763</v>
      </c>
      <c r="D1466" s="29" t="n">
        <v>57230</v>
      </c>
      <c r="E1466" s="2" t="s">
        <v>821</v>
      </c>
      <c r="F1466" s="30" t="n">
        <v>0.577389481041412</v>
      </c>
      <c r="G1466" s="31" t="n">
        <v>16.9</v>
      </c>
      <c r="H1466" s="32" t="n">
        <v>0.0625696249535834</v>
      </c>
      <c r="I1466" s="31" t="n">
        <v>33.8</v>
      </c>
      <c r="J1466" s="2" t="s">
        <v>2886</v>
      </c>
      <c r="K1466" s="33" t="n">
        <v>0.0871913580246914</v>
      </c>
      <c r="L1466" s="31" t="n">
        <v>53</v>
      </c>
      <c r="M1466" s="34" t="s">
        <v>822</v>
      </c>
      <c r="N1466" s="2" t="s">
        <v>24</v>
      </c>
      <c r="O1466" s="2" t="s">
        <v>24</v>
      </c>
      <c r="P1466" s="2" t="s">
        <v>24</v>
      </c>
      <c r="Q1466" s="2" t="s">
        <v>24</v>
      </c>
    </row>
    <row r="1467" customFormat="false" ht="15" hidden="false" customHeight="false" outlineLevel="0" collapsed="false">
      <c r="A1467" s="2" t="s">
        <v>270</v>
      </c>
      <c r="B1467" s="2" t="s">
        <v>45</v>
      </c>
      <c r="C1467" s="13" t="s">
        <v>1042</v>
      </c>
      <c r="D1467" s="29" t="n">
        <v>74040</v>
      </c>
      <c r="E1467" s="2" t="s">
        <v>821</v>
      </c>
      <c r="F1467" s="30" t="n">
        <v>0.894111291193949</v>
      </c>
      <c r="G1467" s="31" t="n">
        <v>74.5</v>
      </c>
      <c r="H1467" s="32" t="n">
        <v>0.17337559429477</v>
      </c>
      <c r="I1467" s="31" t="n">
        <v>84.9</v>
      </c>
      <c r="J1467" s="2" t="s">
        <v>2883</v>
      </c>
      <c r="K1467" s="40" t="s">
        <v>857</v>
      </c>
      <c r="L1467" s="31"/>
      <c r="M1467" s="34" t="s">
        <v>822</v>
      </c>
      <c r="N1467" s="2" t="s">
        <v>24</v>
      </c>
      <c r="O1467" s="2" t="s">
        <v>24</v>
      </c>
      <c r="P1467" s="2" t="s">
        <v>24</v>
      </c>
      <c r="Q1467" s="2" t="s">
        <v>2885</v>
      </c>
    </row>
    <row r="1468" customFormat="false" ht="15" hidden="false" customHeight="false" outlineLevel="0" collapsed="false">
      <c r="A1468" s="2" t="s">
        <v>270</v>
      </c>
      <c r="B1468" s="2" t="s">
        <v>46</v>
      </c>
      <c r="C1468" s="14" t="s">
        <v>1665</v>
      </c>
      <c r="D1468" s="42" t="n">
        <v>233135</v>
      </c>
      <c r="E1468" s="2" t="s">
        <v>827</v>
      </c>
      <c r="F1468" s="43" t="n">
        <v>7.95687477212774</v>
      </c>
      <c r="G1468" s="31" t="n">
        <v>89.6</v>
      </c>
      <c r="H1468" s="41" t="n">
        <v>0.141889442904303</v>
      </c>
      <c r="I1468" s="31" t="n">
        <v>82.2</v>
      </c>
      <c r="J1468" s="2" t="s">
        <v>2888</v>
      </c>
      <c r="K1468" s="44" t="n">
        <v>0.0902296535052377</v>
      </c>
      <c r="L1468" s="31" t="n">
        <v>32.9</v>
      </c>
      <c r="M1468" s="34" t="s">
        <v>822</v>
      </c>
      <c r="N1468" s="2" t="s">
        <v>22</v>
      </c>
      <c r="O1468" s="2" t="s">
        <v>22</v>
      </c>
      <c r="P1468" s="2" t="s">
        <v>22</v>
      </c>
      <c r="Q1468" s="2" t="s">
        <v>22</v>
      </c>
    </row>
    <row r="1469" customFormat="false" ht="15" hidden="false" customHeight="false" outlineLevel="0" collapsed="false">
      <c r="A1469" s="2" t="s">
        <v>270</v>
      </c>
      <c r="B1469" s="2" t="s">
        <v>47</v>
      </c>
      <c r="C1469" s="13" t="s">
        <v>2652</v>
      </c>
      <c r="D1469" s="29" t="n">
        <v>880980</v>
      </c>
      <c r="E1469" s="2" t="s">
        <v>827</v>
      </c>
      <c r="F1469" s="30" t="n">
        <v>0.876874616903902</v>
      </c>
      <c r="G1469" s="31" t="n">
        <v>33.3</v>
      </c>
      <c r="H1469" s="32" t="n">
        <v>-0.0673907520325203</v>
      </c>
      <c r="I1469" s="31" t="n">
        <v>2.5</v>
      </c>
      <c r="J1469" s="2" t="s">
        <v>2897</v>
      </c>
      <c r="K1469" s="44" t="n">
        <v>0.172250643662019</v>
      </c>
      <c r="L1469" s="31" t="n">
        <v>79.4</v>
      </c>
      <c r="M1469" s="34" t="s">
        <v>822</v>
      </c>
      <c r="N1469" s="2" t="s">
        <v>24</v>
      </c>
      <c r="O1469" s="2" t="s">
        <v>24</v>
      </c>
      <c r="P1469" s="2" t="s">
        <v>24</v>
      </c>
      <c r="Q1469" s="2" t="s">
        <v>22</v>
      </c>
    </row>
    <row r="1470" customFormat="false" ht="15" hidden="false" customHeight="false" outlineLevel="0" collapsed="false">
      <c r="A1470" s="2" t="s">
        <v>1410</v>
      </c>
      <c r="B1470" s="2" t="s">
        <v>45</v>
      </c>
      <c r="C1470" s="14" t="s">
        <v>1411</v>
      </c>
      <c r="D1470" s="42" t="n">
        <v>5541</v>
      </c>
      <c r="E1470" s="2" t="s">
        <v>825</v>
      </c>
      <c r="F1470" s="43" t="n">
        <v>0.381700054141852</v>
      </c>
      <c r="G1470" s="31" t="n">
        <v>26.7</v>
      </c>
      <c r="H1470" s="41" t="n">
        <v>0.0905333595748868</v>
      </c>
      <c r="I1470" s="31" t="n">
        <v>42.3</v>
      </c>
      <c r="J1470" s="2" t="s">
        <v>2899</v>
      </c>
      <c r="K1470" s="44" t="n">
        <v>0.192307692307692</v>
      </c>
      <c r="L1470" s="31" t="n">
        <v>70.4</v>
      </c>
      <c r="M1470" s="34" t="s">
        <v>822</v>
      </c>
      <c r="N1470" s="2" t="s">
        <v>22</v>
      </c>
      <c r="O1470" s="2" t="s">
        <v>22</v>
      </c>
      <c r="P1470" s="2" t="s">
        <v>22</v>
      </c>
      <c r="Q1470" s="2" t="s">
        <v>22</v>
      </c>
    </row>
    <row r="1471" customFormat="false" ht="15" hidden="false" customHeight="false" outlineLevel="0" collapsed="false">
      <c r="A1471" s="2" t="s">
        <v>1410</v>
      </c>
      <c r="B1471" s="2" t="s">
        <v>46</v>
      </c>
      <c r="C1471" s="13" t="s">
        <v>3244</v>
      </c>
      <c r="D1471" s="29" t="n">
        <v>39990</v>
      </c>
      <c r="E1471" s="2" t="s">
        <v>821</v>
      </c>
      <c r="F1471" s="30" t="n">
        <v>2.72773193298325</v>
      </c>
      <c r="G1471" s="31" t="n">
        <v>42.6</v>
      </c>
      <c r="H1471" s="32" t="n">
        <v>0.147489239598278</v>
      </c>
      <c r="I1471" s="31" t="n">
        <v>80</v>
      </c>
      <c r="J1471" s="2" t="s">
        <v>2884</v>
      </c>
      <c r="K1471" s="38"/>
      <c r="L1471" s="31"/>
      <c r="M1471" s="39" t="s">
        <v>832</v>
      </c>
      <c r="N1471" s="2" t="s">
        <v>24</v>
      </c>
      <c r="O1471" s="2" t="s">
        <v>24</v>
      </c>
      <c r="P1471" s="2" t="s">
        <v>24</v>
      </c>
      <c r="Q1471" s="2"/>
    </row>
    <row r="1472" customFormat="false" ht="15" hidden="false" customHeight="false" outlineLevel="0" collapsed="false">
      <c r="A1472" s="2" t="s">
        <v>1410</v>
      </c>
      <c r="B1472" s="2" t="s">
        <v>47</v>
      </c>
      <c r="C1472" s="13" t="s">
        <v>2352</v>
      </c>
      <c r="D1472" s="29" t="n">
        <v>16850</v>
      </c>
      <c r="E1472" s="2" t="s">
        <v>821</v>
      </c>
      <c r="F1472" s="30" t="n">
        <v>2.14783382789318</v>
      </c>
      <c r="G1472" s="31" t="n">
        <v>78.8</v>
      </c>
      <c r="H1472" s="32" t="n">
        <v>-0.0382420091324201</v>
      </c>
      <c r="I1472" s="31" t="n">
        <v>3.6</v>
      </c>
      <c r="J1472" s="2" t="s">
        <v>2886</v>
      </c>
      <c r="K1472" s="44" t="n">
        <v>0.156146179401993</v>
      </c>
      <c r="L1472" s="31" t="n">
        <v>75.1</v>
      </c>
      <c r="M1472" s="34" t="s">
        <v>822</v>
      </c>
      <c r="N1472" s="2" t="s">
        <v>24</v>
      </c>
      <c r="O1472" s="2" t="s">
        <v>24</v>
      </c>
      <c r="P1472" s="2" t="s">
        <v>24</v>
      </c>
      <c r="Q1472" s="2" t="s">
        <v>22</v>
      </c>
    </row>
    <row r="1473" customFormat="false" ht="15" hidden="false" customHeight="false" outlineLevel="0" collapsed="false">
      <c r="A1473" s="2" t="s">
        <v>1399</v>
      </c>
      <c r="B1473" s="2" t="s">
        <v>45</v>
      </c>
      <c r="C1473" s="13" t="s">
        <v>1400</v>
      </c>
      <c r="D1473" s="29" t="n">
        <v>344680</v>
      </c>
      <c r="E1473" s="2" t="s">
        <v>827</v>
      </c>
      <c r="F1473" s="30" t="n">
        <v>0.387547870488569</v>
      </c>
      <c r="G1473" s="31" t="n">
        <v>28</v>
      </c>
      <c r="H1473" s="32" t="n">
        <v>0.18933094096132</v>
      </c>
      <c r="I1473" s="31" t="n">
        <v>92.9</v>
      </c>
      <c r="J1473" s="2" t="s">
        <v>2890</v>
      </c>
      <c r="K1473" s="33" t="n">
        <v>0.200502652890254</v>
      </c>
      <c r="L1473" s="31" t="n">
        <v>73.4</v>
      </c>
      <c r="M1473" s="34" t="s">
        <v>822</v>
      </c>
      <c r="N1473" s="2" t="s">
        <v>24</v>
      </c>
      <c r="O1473" s="2" t="s">
        <v>24</v>
      </c>
      <c r="P1473" s="2" t="s">
        <v>24</v>
      </c>
      <c r="Q1473" s="2" t="s">
        <v>24</v>
      </c>
    </row>
    <row r="1474" customFormat="false" ht="15" hidden="false" customHeight="false" outlineLevel="0" collapsed="false">
      <c r="A1474" s="2" t="s">
        <v>1399</v>
      </c>
      <c r="B1474" s="2" t="s">
        <v>46</v>
      </c>
      <c r="C1474" s="13" t="s">
        <v>3245</v>
      </c>
      <c r="D1474" s="29" t="n">
        <v>30250</v>
      </c>
      <c r="E1474" s="2" t="s">
        <v>821</v>
      </c>
      <c r="F1474" s="30" t="n">
        <v>1.84267768595041</v>
      </c>
      <c r="G1474" s="31" t="n">
        <v>25</v>
      </c>
      <c r="H1474" s="37"/>
      <c r="I1474" s="31"/>
      <c r="J1474" s="2"/>
      <c r="K1474" s="33" t="n">
        <v>0.289739500265816</v>
      </c>
      <c r="L1474" s="31" t="n">
        <v>87.2</v>
      </c>
      <c r="M1474" s="39" t="s">
        <v>832</v>
      </c>
      <c r="N1474" s="2" t="s">
        <v>24</v>
      </c>
      <c r="O1474" s="2" t="s">
        <v>24</v>
      </c>
      <c r="P1474" s="2"/>
      <c r="Q1474" s="2" t="s">
        <v>24</v>
      </c>
    </row>
    <row r="1475" customFormat="false" ht="15" hidden="false" customHeight="false" outlineLevel="0" collapsed="false">
      <c r="A1475" s="2" t="s">
        <v>656</v>
      </c>
      <c r="B1475" s="2" t="s">
        <v>45</v>
      </c>
      <c r="C1475" s="14" t="s">
        <v>1387</v>
      </c>
      <c r="D1475" s="42" t="n">
        <v>140009</v>
      </c>
      <c r="E1475" s="2" t="s">
        <v>827</v>
      </c>
      <c r="F1475" s="43" t="n">
        <v>0.406473869536958</v>
      </c>
      <c r="G1475" s="31" t="n">
        <v>30.1</v>
      </c>
      <c r="H1475" s="41" t="n">
        <v>0.0852233090982374</v>
      </c>
      <c r="I1475" s="31" t="n">
        <v>51.4</v>
      </c>
      <c r="J1475" s="2" t="s">
        <v>2890</v>
      </c>
      <c r="K1475" s="44" t="n">
        <v>0.330665543386689</v>
      </c>
      <c r="L1475" s="31" t="n">
        <v>93.7</v>
      </c>
      <c r="M1475" s="34" t="s">
        <v>822</v>
      </c>
      <c r="N1475" s="2" t="s">
        <v>22</v>
      </c>
      <c r="O1475" s="2" t="s">
        <v>22</v>
      </c>
      <c r="P1475" s="2" t="s">
        <v>22</v>
      </c>
      <c r="Q1475" s="2" t="s">
        <v>22</v>
      </c>
    </row>
    <row r="1476" customFormat="false" ht="15" hidden="false" customHeight="false" outlineLevel="0" collapsed="false">
      <c r="A1476" s="2" t="s">
        <v>656</v>
      </c>
      <c r="B1476" s="2" t="s">
        <v>46</v>
      </c>
      <c r="C1476" s="13" t="s">
        <v>2026</v>
      </c>
      <c r="D1476" s="29" t="n">
        <v>3680</v>
      </c>
      <c r="E1476" s="2" t="s">
        <v>825</v>
      </c>
      <c r="F1476" s="30" t="n">
        <v>2.10135869565217</v>
      </c>
      <c r="G1476" s="31" t="n">
        <v>29.5</v>
      </c>
      <c r="H1476" s="32" t="n">
        <v>0.132307692307692</v>
      </c>
      <c r="I1476" s="31" t="n">
        <v>60.4</v>
      </c>
      <c r="J1476" s="2" t="s">
        <v>2905</v>
      </c>
      <c r="K1476" s="33" t="n">
        <v>0.0640113798008535</v>
      </c>
      <c r="L1476" s="31" t="n">
        <v>17.4</v>
      </c>
      <c r="M1476" s="34" t="s">
        <v>822</v>
      </c>
      <c r="N1476" s="2" t="s">
        <v>24</v>
      </c>
      <c r="O1476" s="2" t="s">
        <v>24</v>
      </c>
      <c r="P1476" s="2" t="s">
        <v>24</v>
      </c>
      <c r="Q1476" s="2" t="s">
        <v>24</v>
      </c>
    </row>
    <row r="1477" customFormat="false" ht="15" hidden="false" customHeight="false" outlineLevel="0" collapsed="false">
      <c r="A1477" s="2" t="s">
        <v>656</v>
      </c>
      <c r="B1477" s="2" t="s">
        <v>47</v>
      </c>
      <c r="C1477" s="14" t="s">
        <v>2584</v>
      </c>
      <c r="D1477" s="42" t="n">
        <v>230133</v>
      </c>
      <c r="E1477" s="2" t="s">
        <v>827</v>
      </c>
      <c r="F1477" s="43" t="n">
        <v>1.12795644257886</v>
      </c>
      <c r="G1477" s="31" t="n">
        <v>43.4</v>
      </c>
      <c r="H1477" s="41" t="n">
        <v>0.029908256880734</v>
      </c>
      <c r="I1477" s="31" t="n">
        <v>21.7</v>
      </c>
      <c r="J1477" s="2" t="s">
        <v>2897</v>
      </c>
      <c r="K1477" s="44" t="n">
        <v>0.101282916948008</v>
      </c>
      <c r="L1477" s="31" t="n">
        <v>59.9</v>
      </c>
      <c r="M1477" s="34" t="s">
        <v>822</v>
      </c>
      <c r="N1477" s="2" t="s">
        <v>22</v>
      </c>
      <c r="O1477" s="2" t="s">
        <v>22</v>
      </c>
      <c r="P1477" s="2" t="s">
        <v>22</v>
      </c>
      <c r="Q1477" s="2" t="s">
        <v>22</v>
      </c>
    </row>
    <row r="1478" customFormat="false" ht="15" hidden="false" customHeight="false" outlineLevel="0" collapsed="false">
      <c r="A1478" s="2" t="s">
        <v>2050</v>
      </c>
      <c r="B1478" s="2" t="s">
        <v>45</v>
      </c>
      <c r="C1478" s="13" t="s">
        <v>3246</v>
      </c>
      <c r="D1478" s="29" t="n">
        <v>113540</v>
      </c>
      <c r="E1478" s="2" t="s">
        <v>827</v>
      </c>
      <c r="F1478" s="30" t="n">
        <v>0.350951206623217</v>
      </c>
      <c r="G1478" s="31" t="n">
        <v>24.2</v>
      </c>
      <c r="H1478" s="48" t="n">
        <v>0.0549742912401528</v>
      </c>
      <c r="I1478" s="31" t="n">
        <v>31.4</v>
      </c>
      <c r="J1478" s="2" t="s">
        <v>2890</v>
      </c>
      <c r="K1478" s="38"/>
      <c r="L1478" s="31"/>
      <c r="M1478" s="39" t="s">
        <v>832</v>
      </c>
      <c r="N1478" s="2" t="s">
        <v>24</v>
      </c>
      <c r="O1478" s="2" t="s">
        <v>24</v>
      </c>
      <c r="P1478" s="2" t="s">
        <v>19</v>
      </c>
      <c r="Q1478" s="2"/>
    </row>
    <row r="1479" customFormat="false" ht="15" hidden="false" customHeight="false" outlineLevel="0" collapsed="false">
      <c r="A1479" s="2" t="s">
        <v>2050</v>
      </c>
      <c r="B1479" s="2" t="s">
        <v>46</v>
      </c>
      <c r="C1479" s="13" t="s">
        <v>2051</v>
      </c>
      <c r="D1479" s="29" t="n">
        <v>59920</v>
      </c>
      <c r="E1479" s="2" t="s">
        <v>821</v>
      </c>
      <c r="F1479" s="30" t="n">
        <v>1.84934913217624</v>
      </c>
      <c r="G1479" s="31" t="n">
        <v>25.1</v>
      </c>
      <c r="H1479" s="32" t="n">
        <v>-0.0829507193143557</v>
      </c>
      <c r="I1479" s="31" t="n">
        <v>2.5</v>
      </c>
      <c r="J1479" s="2" t="s">
        <v>2884</v>
      </c>
      <c r="K1479" s="33" t="n">
        <v>0.23732132367339</v>
      </c>
      <c r="L1479" s="31" t="n">
        <v>78.4</v>
      </c>
      <c r="M1479" s="34" t="s">
        <v>822</v>
      </c>
      <c r="N1479" s="2" t="s">
        <v>24</v>
      </c>
      <c r="O1479" s="2" t="s">
        <v>24</v>
      </c>
      <c r="P1479" s="2" t="s">
        <v>24</v>
      </c>
      <c r="Q1479" s="2" t="s">
        <v>24</v>
      </c>
    </row>
    <row r="1480" customFormat="false" ht="15" hidden="false" customHeight="false" outlineLevel="0" collapsed="false">
      <c r="A1480" s="2" t="s">
        <v>2050</v>
      </c>
      <c r="B1480" s="2" t="s">
        <v>47</v>
      </c>
      <c r="C1480" s="13" t="s">
        <v>2870</v>
      </c>
      <c r="D1480" s="29" t="n">
        <v>156480</v>
      </c>
      <c r="E1480" s="2" t="s">
        <v>827</v>
      </c>
      <c r="F1480" s="30" t="n">
        <v>0.195903629856851</v>
      </c>
      <c r="G1480" s="31" t="n">
        <v>0.5</v>
      </c>
      <c r="H1480" s="32" t="n">
        <v>0.0155763239875389</v>
      </c>
      <c r="I1480" s="31" t="n">
        <v>18.6</v>
      </c>
      <c r="J1480" s="2" t="s">
        <v>2897</v>
      </c>
      <c r="K1480" s="33" t="n">
        <v>0.560606060606061</v>
      </c>
      <c r="L1480" s="31" t="n">
        <v>100</v>
      </c>
      <c r="M1480" s="34" t="s">
        <v>822</v>
      </c>
      <c r="N1480" s="2" t="s">
        <v>24</v>
      </c>
      <c r="O1480" s="2" t="s">
        <v>24</v>
      </c>
      <c r="P1480" s="2" t="s">
        <v>24</v>
      </c>
      <c r="Q1480" s="2" t="s">
        <v>24</v>
      </c>
    </row>
    <row r="1481" customFormat="false" ht="15" hidden="false" customHeight="false" outlineLevel="0" collapsed="false">
      <c r="A1481" s="2" t="s">
        <v>3247</v>
      </c>
      <c r="B1481" s="2" t="s">
        <v>46</v>
      </c>
      <c r="C1481" s="13" t="s">
        <v>3248</v>
      </c>
      <c r="D1481" s="35"/>
      <c r="E1481" s="2"/>
      <c r="F1481" s="36"/>
      <c r="G1481" s="31"/>
      <c r="H1481" s="37"/>
      <c r="I1481" s="31"/>
      <c r="J1481" s="2"/>
      <c r="K1481" s="33" t="n">
        <v>0.478492421138878</v>
      </c>
      <c r="L1481" s="31" t="n">
        <v>99.1</v>
      </c>
      <c r="M1481" s="39" t="s">
        <v>832</v>
      </c>
      <c r="N1481" s="2"/>
      <c r="O1481" s="2"/>
      <c r="P1481" s="2"/>
      <c r="Q1481" s="2" t="s">
        <v>24</v>
      </c>
    </row>
    <row r="1482" customFormat="false" ht="15" hidden="false" customHeight="false" outlineLevel="0" collapsed="false">
      <c r="A1482" s="2" t="s">
        <v>3249</v>
      </c>
      <c r="B1482" s="2" t="s">
        <v>45</v>
      </c>
      <c r="C1482" s="14" t="s">
        <v>3250</v>
      </c>
      <c r="D1482" s="42" t="n">
        <v>73175</v>
      </c>
      <c r="E1482" s="2" t="s">
        <v>821</v>
      </c>
      <c r="F1482" s="43" t="n">
        <v>0.852381277758797</v>
      </c>
      <c r="G1482" s="31" t="n">
        <v>71.6</v>
      </c>
      <c r="H1482" s="41" t="n">
        <v>0.163021710798182</v>
      </c>
      <c r="I1482" s="31" t="n">
        <v>79.7</v>
      </c>
      <c r="J1482" s="2" t="s">
        <v>2883</v>
      </c>
      <c r="K1482" s="38"/>
      <c r="L1482" s="31"/>
      <c r="M1482" s="39" t="s">
        <v>832</v>
      </c>
      <c r="N1482" s="2" t="s">
        <v>22</v>
      </c>
      <c r="O1482" s="2" t="s">
        <v>22</v>
      </c>
      <c r="P1482" s="2" t="s">
        <v>22</v>
      </c>
      <c r="Q1482" s="2"/>
    </row>
    <row r="1483" customFormat="false" ht="15" hidden="false" customHeight="false" outlineLevel="0" collapsed="false">
      <c r="A1483" s="2" t="s">
        <v>3249</v>
      </c>
      <c r="B1483" s="2" t="s">
        <v>47</v>
      </c>
      <c r="C1483" s="16"/>
      <c r="D1483" s="35"/>
      <c r="E1483" s="2"/>
      <c r="F1483" s="36"/>
      <c r="G1483" s="31"/>
      <c r="H1483" s="37"/>
      <c r="I1483" s="31"/>
      <c r="J1483" s="2"/>
      <c r="K1483" s="38"/>
      <c r="L1483" s="31"/>
      <c r="M1483" s="39" t="s">
        <v>832</v>
      </c>
      <c r="N1483" s="2"/>
      <c r="O1483" s="2"/>
      <c r="P1483" s="2"/>
      <c r="Q1483" s="2"/>
    </row>
    <row r="1484" customFormat="false" ht="15" hidden="false" customHeight="false" outlineLevel="0" collapsed="false">
      <c r="A1484" s="2" t="s">
        <v>3251</v>
      </c>
      <c r="B1484" s="2" t="s">
        <v>46</v>
      </c>
      <c r="C1484" s="15" t="s">
        <v>3252</v>
      </c>
      <c r="D1484" s="46" t="n">
        <v>37478</v>
      </c>
      <c r="E1484" s="2" t="s">
        <v>821</v>
      </c>
      <c r="F1484" s="47" t="n">
        <v>3.85180639308394</v>
      </c>
      <c r="G1484" s="31" t="n">
        <v>61.3</v>
      </c>
      <c r="H1484" s="48" t="n">
        <v>-0.0132954216359951</v>
      </c>
      <c r="I1484" s="31" t="n">
        <v>10.5</v>
      </c>
      <c r="J1484" s="2" t="s">
        <v>2884</v>
      </c>
      <c r="K1484" s="38"/>
      <c r="L1484" s="31"/>
      <c r="M1484" s="39" t="s">
        <v>832</v>
      </c>
      <c r="N1484" s="2" t="s">
        <v>19</v>
      </c>
      <c r="O1484" s="2" t="s">
        <v>19</v>
      </c>
      <c r="P1484" s="2" t="s">
        <v>19</v>
      </c>
      <c r="Q1484" s="2"/>
    </row>
    <row r="1485" customFormat="false" ht="15" hidden="false" customHeight="false" outlineLevel="0" collapsed="false">
      <c r="A1485" s="2" t="s">
        <v>600</v>
      </c>
      <c r="B1485" s="2" t="s">
        <v>45</v>
      </c>
      <c r="C1485" s="13" t="s">
        <v>1362</v>
      </c>
      <c r="D1485" s="29" t="n">
        <v>1330960</v>
      </c>
      <c r="E1485" s="2" t="s">
        <v>935</v>
      </c>
      <c r="F1485" s="30" t="n">
        <v>0.443365690929855</v>
      </c>
      <c r="G1485" s="31" t="n">
        <v>33.6</v>
      </c>
      <c r="H1485" s="32" t="n">
        <v>0.169159953970081</v>
      </c>
      <c r="I1485" s="31" t="n">
        <v>94.1</v>
      </c>
      <c r="J1485" s="2" t="s">
        <v>2892</v>
      </c>
      <c r="K1485" s="33" t="n">
        <v>0.253379165695642</v>
      </c>
      <c r="L1485" s="31" t="n">
        <v>82.5</v>
      </c>
      <c r="M1485" s="34" t="s">
        <v>822</v>
      </c>
      <c r="N1485" s="2" t="s">
        <v>24</v>
      </c>
      <c r="O1485" s="2" t="s">
        <v>24</v>
      </c>
      <c r="P1485" s="2" t="s">
        <v>24</v>
      </c>
      <c r="Q1485" s="2" t="s">
        <v>24</v>
      </c>
    </row>
    <row r="1486" customFormat="false" ht="15" hidden="false" customHeight="false" outlineLevel="0" collapsed="false">
      <c r="A1486" s="2" t="s">
        <v>600</v>
      </c>
      <c r="B1486" s="2" t="s">
        <v>46</v>
      </c>
      <c r="C1486" s="13" t="s">
        <v>2009</v>
      </c>
      <c r="D1486" s="29" t="n">
        <v>24010</v>
      </c>
      <c r="E1486" s="2" t="s">
        <v>821</v>
      </c>
      <c r="F1486" s="30" t="n">
        <v>2.29479383590171</v>
      </c>
      <c r="G1486" s="31" t="n">
        <v>32.8</v>
      </c>
      <c r="H1486" s="32" t="n">
        <v>0.134152102031176</v>
      </c>
      <c r="I1486" s="31" t="n">
        <v>74.9</v>
      </c>
      <c r="J1486" s="2" t="s">
        <v>2884</v>
      </c>
      <c r="K1486" s="33" t="n">
        <v>0.0755813953488372</v>
      </c>
      <c r="L1486" s="31" t="n">
        <v>22.5</v>
      </c>
      <c r="M1486" s="34" t="s">
        <v>822</v>
      </c>
      <c r="N1486" s="2" t="s">
        <v>24</v>
      </c>
      <c r="O1486" s="2" t="s">
        <v>24</v>
      </c>
      <c r="P1486" s="2" t="s">
        <v>24</v>
      </c>
      <c r="Q1486" s="2" t="s">
        <v>24</v>
      </c>
    </row>
    <row r="1487" customFormat="false" ht="15" hidden="false" customHeight="false" outlineLevel="0" collapsed="false">
      <c r="A1487" s="2" t="s">
        <v>600</v>
      </c>
      <c r="B1487" s="2" t="s">
        <v>47</v>
      </c>
      <c r="C1487" s="14" t="s">
        <v>2540</v>
      </c>
      <c r="D1487" s="42" t="n">
        <v>38513</v>
      </c>
      <c r="E1487" s="2" t="s">
        <v>821</v>
      </c>
      <c r="F1487" s="43" t="n">
        <v>1.25007140446083</v>
      </c>
      <c r="G1487" s="31" t="n">
        <v>50.1</v>
      </c>
      <c r="H1487" s="41" t="n">
        <v>0.0325477894849728</v>
      </c>
      <c r="I1487" s="31" t="n">
        <v>21.1</v>
      </c>
      <c r="J1487" s="2" t="s">
        <v>2886</v>
      </c>
      <c r="K1487" s="44" t="n">
        <v>0.0225334957369062</v>
      </c>
      <c r="L1487" s="31" t="n">
        <v>15.4</v>
      </c>
      <c r="M1487" s="34" t="s">
        <v>822</v>
      </c>
      <c r="N1487" s="2" t="s">
        <v>22</v>
      </c>
      <c r="O1487" s="2" t="s">
        <v>22</v>
      </c>
      <c r="P1487" s="2" t="s">
        <v>22</v>
      </c>
      <c r="Q1487" s="2" t="s">
        <v>22</v>
      </c>
    </row>
    <row r="1488" customFormat="false" ht="15" hidden="false" customHeight="false" outlineLevel="0" collapsed="false">
      <c r="A1488" s="2" t="s">
        <v>3253</v>
      </c>
      <c r="B1488" s="2" t="s">
        <v>45</v>
      </c>
      <c r="C1488" s="15" t="s">
        <v>3254</v>
      </c>
      <c r="D1488" s="35"/>
      <c r="E1488" s="2"/>
      <c r="F1488" s="36"/>
      <c r="G1488" s="31"/>
      <c r="H1488" s="37"/>
      <c r="I1488" s="31"/>
      <c r="J1488" s="2"/>
      <c r="K1488" s="38"/>
      <c r="L1488" s="31"/>
      <c r="M1488" s="39" t="s">
        <v>832</v>
      </c>
      <c r="N1488" s="2"/>
      <c r="O1488" s="2"/>
      <c r="P1488" s="2"/>
      <c r="Q1488" s="2"/>
    </row>
    <row r="1489" customFormat="false" ht="15" hidden="false" customHeight="false" outlineLevel="0" collapsed="false">
      <c r="A1489" s="2" t="s">
        <v>3253</v>
      </c>
      <c r="B1489" s="2" t="s">
        <v>46</v>
      </c>
      <c r="C1489" s="13" t="s">
        <v>3255</v>
      </c>
      <c r="D1489" s="35"/>
      <c r="E1489" s="2"/>
      <c r="F1489" s="36"/>
      <c r="G1489" s="31"/>
      <c r="H1489" s="37"/>
      <c r="I1489" s="31"/>
      <c r="J1489" s="2"/>
      <c r="K1489" s="38"/>
      <c r="L1489" s="31"/>
      <c r="M1489" s="39" t="s">
        <v>832</v>
      </c>
      <c r="N1489" s="2"/>
      <c r="O1489" s="2"/>
      <c r="P1489" s="2"/>
      <c r="Q1489" s="2"/>
    </row>
    <row r="1490" customFormat="false" ht="15" hidden="false" customHeight="false" outlineLevel="0" collapsed="false">
      <c r="A1490" s="2" t="s">
        <v>3253</v>
      </c>
      <c r="B1490" s="2" t="s">
        <v>47</v>
      </c>
      <c r="C1490" s="14" t="s">
        <v>3256</v>
      </c>
      <c r="D1490" s="35"/>
      <c r="E1490" s="2"/>
      <c r="F1490" s="36"/>
      <c r="G1490" s="31"/>
      <c r="H1490" s="37"/>
      <c r="I1490" s="31"/>
      <c r="J1490" s="2"/>
      <c r="K1490" s="44" t="n">
        <v>0.0245700245700246</v>
      </c>
      <c r="L1490" s="31" t="n">
        <v>15.9</v>
      </c>
      <c r="M1490" s="39" t="s">
        <v>832</v>
      </c>
      <c r="N1490" s="2"/>
      <c r="O1490" s="2"/>
      <c r="P1490" s="2"/>
      <c r="Q1490" s="2" t="s">
        <v>22</v>
      </c>
    </row>
    <row r="1491" customFormat="false" ht="15" hidden="false" customHeight="false" outlineLevel="0" collapsed="false">
      <c r="A1491" s="2" t="s">
        <v>166</v>
      </c>
      <c r="B1491" s="2" t="s">
        <v>47</v>
      </c>
      <c r="C1491" s="14" t="s">
        <v>2347</v>
      </c>
      <c r="D1491" s="42" t="n">
        <v>33001</v>
      </c>
      <c r="E1491" s="2" t="s">
        <v>821</v>
      </c>
      <c r="F1491" s="43" t="n">
        <v>2.22135692857792</v>
      </c>
      <c r="G1491" s="31" t="n">
        <v>80.1</v>
      </c>
      <c r="H1491" s="41" t="n">
        <v>0.143248111965634</v>
      </c>
      <c r="I1491" s="31" t="n">
        <v>74</v>
      </c>
      <c r="J1491" s="2" t="s">
        <v>2886</v>
      </c>
      <c r="K1491" s="44" t="n">
        <v>0.197587070339176</v>
      </c>
      <c r="L1491" s="31" t="n">
        <v>84.8</v>
      </c>
      <c r="M1491" s="34" t="s">
        <v>822</v>
      </c>
      <c r="N1491" s="2" t="s">
        <v>22</v>
      </c>
      <c r="O1491" s="2" t="s">
        <v>22</v>
      </c>
      <c r="P1491" s="2" t="s">
        <v>22</v>
      </c>
      <c r="Q1491" s="2" t="s">
        <v>22</v>
      </c>
    </row>
    <row r="1492" customFormat="false" ht="15" hidden="false" customHeight="false" outlineLevel="0" collapsed="false">
      <c r="A1492" s="2" t="s">
        <v>492</v>
      </c>
      <c r="B1492" s="2" t="s">
        <v>45</v>
      </c>
      <c r="C1492" s="13" t="s">
        <v>1537</v>
      </c>
      <c r="D1492" s="29" t="n">
        <v>24490</v>
      </c>
      <c r="E1492" s="2" t="s">
        <v>821</v>
      </c>
      <c r="F1492" s="30" t="n">
        <v>0.19138423846468</v>
      </c>
      <c r="G1492" s="31" t="n">
        <v>8.1</v>
      </c>
      <c r="H1492" s="32" t="n">
        <v>0.100674157303371</v>
      </c>
      <c r="I1492" s="31" t="n">
        <v>52.9</v>
      </c>
      <c r="J1492" s="2" t="s">
        <v>2883</v>
      </c>
      <c r="K1492" s="33" t="n">
        <v>0.12987012987013</v>
      </c>
      <c r="L1492" s="31" t="n">
        <v>47.8</v>
      </c>
      <c r="M1492" s="34" t="s">
        <v>822</v>
      </c>
      <c r="N1492" s="2" t="s">
        <v>24</v>
      </c>
      <c r="O1492" s="2" t="s">
        <v>24</v>
      </c>
      <c r="P1492" s="2" t="s">
        <v>24</v>
      </c>
      <c r="Q1492" s="2" t="s">
        <v>24</v>
      </c>
    </row>
    <row r="1493" customFormat="false" ht="15" hidden="false" customHeight="false" outlineLevel="0" collapsed="false">
      <c r="A1493" s="2" t="s">
        <v>492</v>
      </c>
      <c r="B1493" s="2" t="s">
        <v>47</v>
      </c>
      <c r="C1493" s="14" t="s">
        <v>2281</v>
      </c>
      <c r="D1493" s="42" t="n">
        <v>11749</v>
      </c>
      <c r="E1493" s="2" t="s">
        <v>821</v>
      </c>
      <c r="F1493" s="43" t="n">
        <v>3.22461486083922</v>
      </c>
      <c r="G1493" s="31" t="n">
        <v>90.5</v>
      </c>
      <c r="H1493" s="41" t="n">
        <v>0.0639319025627094</v>
      </c>
      <c r="I1493" s="31" t="n">
        <v>34.7</v>
      </c>
      <c r="J1493" s="2" t="s">
        <v>2886</v>
      </c>
      <c r="K1493" s="44" t="n">
        <v>0.138255033557047</v>
      </c>
      <c r="L1493" s="31" t="n">
        <v>70.4</v>
      </c>
      <c r="M1493" s="34" t="s">
        <v>822</v>
      </c>
      <c r="N1493" s="2" t="s">
        <v>22</v>
      </c>
      <c r="O1493" s="2" t="s">
        <v>22</v>
      </c>
      <c r="P1493" s="2" t="s">
        <v>22</v>
      </c>
      <c r="Q1493" s="2" t="s">
        <v>22</v>
      </c>
    </row>
    <row r="1494" customFormat="false" ht="15" hidden="false" customHeight="false" outlineLevel="0" collapsed="false">
      <c r="A1494" s="2" t="s">
        <v>470</v>
      </c>
      <c r="B1494" s="2" t="s">
        <v>45</v>
      </c>
      <c r="C1494" s="13" t="s">
        <v>894</v>
      </c>
      <c r="D1494" s="29" t="n">
        <v>18230</v>
      </c>
      <c r="E1494" s="2" t="s">
        <v>821</v>
      </c>
      <c r="F1494" s="30" t="n">
        <v>1.68151398793198</v>
      </c>
      <c r="G1494" s="31" t="n">
        <v>91.9</v>
      </c>
      <c r="H1494" s="32" t="n">
        <v>0.164112388250319</v>
      </c>
      <c r="I1494" s="31" t="n">
        <v>80.1</v>
      </c>
      <c r="J1494" s="2" t="s">
        <v>2883</v>
      </c>
      <c r="K1494" s="33" t="n">
        <v>0.368968779564806</v>
      </c>
      <c r="L1494" s="31" t="n">
        <v>95.8</v>
      </c>
      <c r="M1494" s="34" t="s">
        <v>822</v>
      </c>
      <c r="N1494" s="2" t="s">
        <v>24</v>
      </c>
      <c r="O1494" s="2" t="s">
        <v>24</v>
      </c>
      <c r="P1494" s="2" t="s">
        <v>24</v>
      </c>
      <c r="Q1494" s="2" t="s">
        <v>24</v>
      </c>
    </row>
    <row r="1495" customFormat="false" ht="15" hidden="false" customHeight="false" outlineLevel="0" collapsed="false">
      <c r="A1495" s="2" t="s">
        <v>470</v>
      </c>
      <c r="B1495" s="2" t="s">
        <v>46</v>
      </c>
      <c r="C1495" s="13" t="s">
        <v>2131</v>
      </c>
      <c r="D1495" s="29" t="n">
        <v>50490</v>
      </c>
      <c r="E1495" s="2" t="s">
        <v>821</v>
      </c>
      <c r="F1495" s="30" t="n">
        <v>1.34531590413943</v>
      </c>
      <c r="G1495" s="31" t="n">
        <v>12.2</v>
      </c>
      <c r="H1495" s="32" t="n">
        <v>0.0788461538461538</v>
      </c>
      <c r="I1495" s="31" t="n">
        <v>46.9</v>
      </c>
      <c r="J1495" s="2" t="s">
        <v>2884</v>
      </c>
      <c r="K1495" s="33" t="n">
        <v>0.0582010582010582</v>
      </c>
      <c r="L1495" s="31" t="n">
        <v>15.2</v>
      </c>
      <c r="M1495" s="34" t="s">
        <v>822</v>
      </c>
      <c r="N1495" s="2" t="s">
        <v>24</v>
      </c>
      <c r="O1495" s="2" t="s">
        <v>24</v>
      </c>
      <c r="P1495" s="2" t="s">
        <v>24</v>
      </c>
      <c r="Q1495" s="2" t="s">
        <v>24</v>
      </c>
    </row>
    <row r="1496" customFormat="false" ht="15" hidden="false" customHeight="false" outlineLevel="0" collapsed="false">
      <c r="A1496" s="2" t="s">
        <v>470</v>
      </c>
      <c r="B1496" s="2" t="s">
        <v>47</v>
      </c>
      <c r="C1496" s="14" t="s">
        <v>2553</v>
      </c>
      <c r="D1496" s="29" t="n">
        <v>16070</v>
      </c>
      <c r="E1496" s="2" t="s">
        <v>821</v>
      </c>
      <c r="F1496" s="30" t="n">
        <v>1.22489110143124</v>
      </c>
      <c r="G1496" s="31" t="n">
        <v>48.7</v>
      </c>
      <c r="H1496" s="32" t="n">
        <v>0.141335227272727</v>
      </c>
      <c r="I1496" s="31" t="n">
        <v>72.1</v>
      </c>
      <c r="J1496" s="2" t="s">
        <v>2886</v>
      </c>
      <c r="K1496" s="33" t="n">
        <v>0.0293609671848014</v>
      </c>
      <c r="L1496" s="31" t="n">
        <v>19.4</v>
      </c>
      <c r="M1496" s="34" t="s">
        <v>822</v>
      </c>
      <c r="N1496" s="2" t="s">
        <v>24</v>
      </c>
      <c r="O1496" s="2" t="s">
        <v>24</v>
      </c>
      <c r="P1496" s="2" t="s">
        <v>24</v>
      </c>
      <c r="Q1496" s="2" t="s">
        <v>24</v>
      </c>
    </row>
    <row r="1497" customFormat="false" ht="15" hidden="false" customHeight="false" outlineLevel="0" collapsed="false">
      <c r="A1497" s="2" t="s">
        <v>2149</v>
      </c>
      <c r="B1497" s="2" t="s">
        <v>45</v>
      </c>
      <c r="C1497" s="13" t="s">
        <v>3257</v>
      </c>
      <c r="D1497" s="29" t="n">
        <v>5620</v>
      </c>
      <c r="E1497" s="2" t="s">
        <v>825</v>
      </c>
      <c r="F1497" s="30" t="n">
        <v>0.946085409252669</v>
      </c>
      <c r="G1497" s="31" t="n">
        <v>76.9</v>
      </c>
      <c r="H1497" s="37"/>
      <c r="I1497" s="31"/>
      <c r="J1497" s="2"/>
      <c r="K1497" s="33" t="n">
        <v>0.180487804878049</v>
      </c>
      <c r="L1497" s="31" t="n">
        <v>68.1</v>
      </c>
      <c r="M1497" s="39" t="s">
        <v>832</v>
      </c>
      <c r="N1497" s="2" t="s">
        <v>24</v>
      </c>
      <c r="O1497" s="2" t="s">
        <v>24</v>
      </c>
      <c r="P1497" s="2"/>
      <c r="Q1497" s="2" t="s">
        <v>24</v>
      </c>
    </row>
    <row r="1498" customFormat="false" ht="15" hidden="false" customHeight="false" outlineLevel="0" collapsed="false">
      <c r="A1498" s="2" t="s">
        <v>2149</v>
      </c>
      <c r="B1498" s="2" t="s">
        <v>46</v>
      </c>
      <c r="C1498" s="13" t="s">
        <v>2150</v>
      </c>
      <c r="D1498" s="29" t="n">
        <v>7460</v>
      </c>
      <c r="E1498" s="2" t="s">
        <v>825</v>
      </c>
      <c r="F1498" s="30" t="n">
        <v>1.16018766756032</v>
      </c>
      <c r="G1498" s="31" t="n">
        <v>9</v>
      </c>
      <c r="H1498" s="32" t="n">
        <v>0.0780346820809249</v>
      </c>
      <c r="I1498" s="31" t="n">
        <v>22.6</v>
      </c>
      <c r="J1498" s="2" t="s">
        <v>2905</v>
      </c>
      <c r="K1498" s="33" t="n">
        <v>0.0976744186046512</v>
      </c>
      <c r="L1498" s="31" t="n">
        <v>36.2</v>
      </c>
      <c r="M1498" s="34" t="s">
        <v>822</v>
      </c>
      <c r="N1498" s="2" t="s">
        <v>24</v>
      </c>
      <c r="O1498" s="2" t="s">
        <v>24</v>
      </c>
      <c r="P1498" s="2" t="s">
        <v>24</v>
      </c>
      <c r="Q1498" s="2" t="s">
        <v>24</v>
      </c>
    </row>
    <row r="1499" customFormat="false" ht="15" hidden="false" customHeight="false" outlineLevel="0" collapsed="false">
      <c r="A1499" s="2" t="s">
        <v>2149</v>
      </c>
      <c r="B1499" s="2" t="s">
        <v>47</v>
      </c>
      <c r="C1499" s="14" t="s">
        <v>2811</v>
      </c>
      <c r="D1499" s="42" t="n">
        <v>10074</v>
      </c>
      <c r="E1499" s="2" t="s">
        <v>821</v>
      </c>
      <c r="F1499" s="43" t="n">
        <v>0.428925947984912</v>
      </c>
      <c r="G1499" s="31" t="n">
        <v>9.5</v>
      </c>
      <c r="H1499" s="41" t="n">
        <v>0.114750470288813</v>
      </c>
      <c r="I1499" s="31" t="n">
        <v>60.4</v>
      </c>
      <c r="J1499" s="2" t="s">
        <v>2886</v>
      </c>
      <c r="K1499" s="44" t="n">
        <v>0.397058823529412</v>
      </c>
      <c r="L1499" s="31" t="n">
        <v>98.9</v>
      </c>
      <c r="M1499" s="34" t="s">
        <v>822</v>
      </c>
      <c r="N1499" s="2" t="s">
        <v>22</v>
      </c>
      <c r="O1499" s="2" t="s">
        <v>22</v>
      </c>
      <c r="P1499" s="2" t="s">
        <v>22</v>
      </c>
      <c r="Q1499" s="2" t="s">
        <v>22</v>
      </c>
    </row>
    <row r="1500" customFormat="false" ht="15" hidden="false" customHeight="false" outlineLevel="0" collapsed="false">
      <c r="A1500" s="2" t="s">
        <v>576</v>
      </c>
      <c r="B1500" s="2" t="s">
        <v>46</v>
      </c>
      <c r="C1500" s="13" t="s">
        <v>1992</v>
      </c>
      <c r="D1500" s="29" t="n">
        <v>14480</v>
      </c>
      <c r="E1500" s="2" t="s">
        <v>821</v>
      </c>
      <c r="F1500" s="30" t="n">
        <v>2.41691988950276</v>
      </c>
      <c r="G1500" s="31" t="n">
        <v>35.8</v>
      </c>
      <c r="H1500" s="32" t="n">
        <v>0.0781831720029784</v>
      </c>
      <c r="I1500" s="31" t="n">
        <v>45.5</v>
      </c>
      <c r="J1500" s="2" t="s">
        <v>2884</v>
      </c>
      <c r="K1500" s="33" t="n">
        <v>0.253797158255757</v>
      </c>
      <c r="L1500" s="31" t="n">
        <v>82.3</v>
      </c>
      <c r="M1500" s="34" t="s">
        <v>822</v>
      </c>
      <c r="N1500" s="2" t="s">
        <v>24</v>
      </c>
      <c r="O1500" s="2" t="s">
        <v>24</v>
      </c>
      <c r="P1500" s="2" t="s">
        <v>24</v>
      </c>
      <c r="Q1500" s="2" t="s">
        <v>24</v>
      </c>
    </row>
    <row r="1501" customFormat="false" ht="15" hidden="false" customHeight="false" outlineLevel="0" collapsed="false">
      <c r="A1501" s="2" t="s">
        <v>576</v>
      </c>
      <c r="B1501" s="2" t="s">
        <v>47</v>
      </c>
      <c r="C1501" s="13" t="s">
        <v>2559</v>
      </c>
      <c r="D1501" s="29" t="n">
        <v>103920</v>
      </c>
      <c r="E1501" s="2" t="s">
        <v>827</v>
      </c>
      <c r="F1501" s="30" t="n">
        <v>1.19990377213241</v>
      </c>
      <c r="G1501" s="31" t="n">
        <v>47.6</v>
      </c>
      <c r="H1501" s="32" t="n">
        <v>0.0887375589313777</v>
      </c>
      <c r="I1501" s="31" t="n">
        <v>52.2</v>
      </c>
      <c r="J1501" s="2" t="s">
        <v>2897</v>
      </c>
      <c r="K1501" s="45" t="n">
        <v>0.0413389602915788</v>
      </c>
      <c r="L1501" s="31" t="n">
        <v>26.7</v>
      </c>
      <c r="M1501" s="34" t="s">
        <v>822</v>
      </c>
      <c r="N1501" s="2" t="s">
        <v>24</v>
      </c>
      <c r="O1501" s="2" t="s">
        <v>24</v>
      </c>
      <c r="P1501" s="2" t="s">
        <v>24</v>
      </c>
      <c r="Q1501" s="2" t="s">
        <v>19</v>
      </c>
    </row>
    <row r="1502" customFormat="false" ht="15" hidden="false" customHeight="false" outlineLevel="0" collapsed="false">
      <c r="A1502" s="2" t="s">
        <v>638</v>
      </c>
      <c r="B1502" s="2" t="s">
        <v>45</v>
      </c>
      <c r="C1502" s="14" t="s">
        <v>1142</v>
      </c>
      <c r="D1502" s="42" t="n">
        <v>17498</v>
      </c>
      <c r="E1502" s="2" t="s">
        <v>821</v>
      </c>
      <c r="F1502" s="43" t="n">
        <v>0.70185164018745</v>
      </c>
      <c r="G1502" s="31" t="n">
        <v>61.4</v>
      </c>
      <c r="H1502" s="41" t="n">
        <v>0.108310108943501</v>
      </c>
      <c r="I1502" s="31" t="n">
        <v>56.7</v>
      </c>
      <c r="J1502" s="2" t="s">
        <v>2883</v>
      </c>
      <c r="K1502" s="44" t="n">
        <v>0.0925058548009368</v>
      </c>
      <c r="L1502" s="31" t="n">
        <v>33.1</v>
      </c>
      <c r="M1502" s="34" t="s">
        <v>822</v>
      </c>
      <c r="N1502" s="2" t="s">
        <v>22</v>
      </c>
      <c r="O1502" s="2" t="s">
        <v>22</v>
      </c>
      <c r="P1502" s="2" t="s">
        <v>22</v>
      </c>
      <c r="Q1502" s="2" t="s">
        <v>22</v>
      </c>
    </row>
    <row r="1503" customFormat="false" ht="15" hidden="false" customHeight="false" outlineLevel="0" collapsed="false">
      <c r="A1503" s="2" t="s">
        <v>638</v>
      </c>
      <c r="B1503" s="2" t="s">
        <v>46</v>
      </c>
      <c r="C1503" s="13" t="s">
        <v>1924</v>
      </c>
      <c r="D1503" s="29" t="n">
        <v>17080</v>
      </c>
      <c r="E1503" s="2" t="s">
        <v>821</v>
      </c>
      <c r="F1503" s="30" t="n">
        <v>2.93384074941452</v>
      </c>
      <c r="G1503" s="31" t="n">
        <v>45.2</v>
      </c>
      <c r="H1503" s="32" t="n">
        <v>0.199438202247191</v>
      </c>
      <c r="I1503" s="31" t="n">
        <v>93.8</v>
      </c>
      <c r="J1503" s="2" t="s">
        <v>2884</v>
      </c>
      <c r="K1503" s="33" t="n">
        <v>0.011994669035984</v>
      </c>
      <c r="L1503" s="31" t="n">
        <v>1.3</v>
      </c>
      <c r="M1503" s="34" t="s">
        <v>822</v>
      </c>
      <c r="N1503" s="2" t="s">
        <v>24</v>
      </c>
      <c r="O1503" s="2" t="s">
        <v>24</v>
      </c>
      <c r="P1503" s="2" t="s">
        <v>24</v>
      </c>
      <c r="Q1503" s="2" t="s">
        <v>24</v>
      </c>
    </row>
    <row r="1504" customFormat="false" ht="15" hidden="false" customHeight="false" outlineLevel="0" collapsed="false">
      <c r="A1504" s="2" t="s">
        <v>638</v>
      </c>
      <c r="B1504" s="2" t="s">
        <v>47</v>
      </c>
      <c r="C1504" s="13" t="s">
        <v>2866</v>
      </c>
      <c r="D1504" s="29" t="n">
        <v>190350</v>
      </c>
      <c r="E1504" s="2" t="s">
        <v>827</v>
      </c>
      <c r="F1504" s="30" t="n">
        <v>0.242889414236932</v>
      </c>
      <c r="G1504" s="31" t="n">
        <v>1.6</v>
      </c>
      <c r="H1504" s="32" t="n">
        <v>0.0132545512615778</v>
      </c>
      <c r="I1504" s="31" t="n">
        <v>15.5</v>
      </c>
      <c r="J1504" s="2" t="s">
        <v>2897</v>
      </c>
      <c r="K1504" s="33" t="n">
        <v>0.318485523385301</v>
      </c>
      <c r="L1504" s="31" t="n">
        <v>97.3</v>
      </c>
      <c r="M1504" s="34" t="s">
        <v>822</v>
      </c>
      <c r="N1504" s="2" t="s">
        <v>24</v>
      </c>
      <c r="O1504" s="2" t="s">
        <v>24</v>
      </c>
      <c r="P1504" s="2" t="s">
        <v>24</v>
      </c>
      <c r="Q1504" s="2" t="s">
        <v>24</v>
      </c>
    </row>
    <row r="1505" customFormat="false" ht="15" hidden="false" customHeight="false" outlineLevel="0" collapsed="false">
      <c r="A1505" s="2" t="s">
        <v>3258</v>
      </c>
      <c r="B1505" s="2" t="s">
        <v>46</v>
      </c>
      <c r="C1505" s="16"/>
      <c r="D1505" s="29" t="n">
        <v>16630</v>
      </c>
      <c r="E1505" s="2" t="s">
        <v>821</v>
      </c>
      <c r="F1505" s="30" t="n">
        <v>1.47943475646422</v>
      </c>
      <c r="G1505" s="31" t="n">
        <v>16.1</v>
      </c>
      <c r="H1505" s="32" t="n">
        <v>0.0309981401115933</v>
      </c>
      <c r="I1505" s="31" t="n">
        <v>21.8</v>
      </c>
      <c r="J1505" s="2" t="s">
        <v>2884</v>
      </c>
      <c r="K1505" s="38"/>
      <c r="L1505" s="31"/>
      <c r="M1505" s="39" t="s">
        <v>832</v>
      </c>
      <c r="N1505" s="2" t="s">
        <v>24</v>
      </c>
      <c r="O1505" s="2" t="s">
        <v>24</v>
      </c>
      <c r="P1505" s="2" t="s">
        <v>24</v>
      </c>
      <c r="Q1505" s="2"/>
    </row>
    <row r="1506" customFormat="false" ht="15" hidden="false" customHeight="false" outlineLevel="0" collapsed="false">
      <c r="A1506" s="2" t="s">
        <v>3259</v>
      </c>
      <c r="B1506" s="2" t="s">
        <v>45</v>
      </c>
      <c r="C1506" s="13" t="s">
        <v>3260</v>
      </c>
      <c r="D1506" s="29" t="n">
        <v>98760</v>
      </c>
      <c r="E1506" s="2" t="s">
        <v>821</v>
      </c>
      <c r="F1506" s="30" t="n">
        <v>0.525415147833131</v>
      </c>
      <c r="G1506" s="31" t="n">
        <v>44.8</v>
      </c>
      <c r="H1506" s="32" t="n">
        <v>0.133738950751923</v>
      </c>
      <c r="I1506" s="31" t="n">
        <v>71.5</v>
      </c>
      <c r="J1506" s="2" t="s">
        <v>2883</v>
      </c>
      <c r="K1506" s="38"/>
      <c r="L1506" s="31"/>
      <c r="M1506" s="39" t="s">
        <v>832</v>
      </c>
      <c r="N1506" s="2" t="s">
        <v>24</v>
      </c>
      <c r="O1506" s="2" t="s">
        <v>24</v>
      </c>
      <c r="P1506" s="2" t="s">
        <v>24</v>
      </c>
      <c r="Q1506" s="2"/>
    </row>
    <row r="1507" customFormat="false" ht="15" hidden="false" customHeight="false" outlineLevel="0" collapsed="false">
      <c r="A1507" s="2" t="s">
        <v>3259</v>
      </c>
      <c r="B1507" s="2" t="s">
        <v>47</v>
      </c>
      <c r="C1507" s="13" t="s">
        <v>3261</v>
      </c>
      <c r="D1507" s="35"/>
      <c r="E1507" s="2"/>
      <c r="F1507" s="36"/>
      <c r="G1507" s="31"/>
      <c r="H1507" s="37"/>
      <c r="I1507" s="31"/>
      <c r="J1507" s="2"/>
      <c r="K1507" s="33" t="n">
        <v>0.018361581920904</v>
      </c>
      <c r="L1507" s="31" t="n">
        <v>12</v>
      </c>
      <c r="M1507" s="39" t="s">
        <v>832</v>
      </c>
      <c r="N1507" s="2"/>
      <c r="O1507" s="2"/>
      <c r="P1507" s="2"/>
      <c r="Q1507" s="2" t="s">
        <v>24</v>
      </c>
    </row>
    <row r="1508" customFormat="false" ht="15" hidden="false" customHeight="false" outlineLevel="0" collapsed="false">
      <c r="A1508" s="2" t="s">
        <v>316</v>
      </c>
      <c r="B1508" s="2" t="s">
        <v>45</v>
      </c>
      <c r="C1508" s="14" t="s">
        <v>1111</v>
      </c>
      <c r="D1508" s="42" t="n">
        <v>24264</v>
      </c>
      <c r="E1508" s="2" t="s">
        <v>821</v>
      </c>
      <c r="F1508" s="43" t="n">
        <v>0.740191229805473</v>
      </c>
      <c r="G1508" s="31" t="n">
        <v>64.8</v>
      </c>
      <c r="H1508" s="41" t="n">
        <v>0.212290781913565</v>
      </c>
      <c r="I1508" s="31" t="n">
        <v>93.5</v>
      </c>
      <c r="J1508" s="2" t="s">
        <v>2883</v>
      </c>
      <c r="K1508" s="44" t="n">
        <v>0.0846560846560847</v>
      </c>
      <c r="L1508" s="31" t="n">
        <v>28.7</v>
      </c>
      <c r="M1508" s="34" t="s">
        <v>822</v>
      </c>
      <c r="N1508" s="2" t="s">
        <v>22</v>
      </c>
      <c r="O1508" s="2" t="s">
        <v>22</v>
      </c>
      <c r="P1508" s="2" t="s">
        <v>22</v>
      </c>
      <c r="Q1508" s="2" t="s">
        <v>22</v>
      </c>
    </row>
    <row r="1509" customFormat="false" ht="15" hidden="false" customHeight="false" outlineLevel="0" collapsed="false">
      <c r="A1509" s="2" t="s">
        <v>316</v>
      </c>
      <c r="B1509" s="2" t="s">
        <v>46</v>
      </c>
      <c r="C1509" s="13" t="s">
        <v>1662</v>
      </c>
      <c r="D1509" s="29" t="n">
        <v>125700</v>
      </c>
      <c r="E1509" s="2" t="s">
        <v>827</v>
      </c>
      <c r="F1509" s="30" t="n">
        <v>8.30011137629276</v>
      </c>
      <c r="G1509" s="31" t="n">
        <v>90.4</v>
      </c>
      <c r="H1509" s="32" t="n">
        <v>0.0145278450363196</v>
      </c>
      <c r="I1509" s="31" t="n">
        <v>18.5</v>
      </c>
      <c r="J1509" s="2" t="s">
        <v>2888</v>
      </c>
      <c r="K1509" s="33" t="n">
        <v>0.252646251687938</v>
      </c>
      <c r="L1509" s="31" t="n">
        <v>82.1</v>
      </c>
      <c r="M1509" s="34" t="s">
        <v>822</v>
      </c>
      <c r="N1509" s="2" t="s">
        <v>24</v>
      </c>
      <c r="O1509" s="2" t="s">
        <v>24</v>
      </c>
      <c r="P1509" s="2" t="s">
        <v>24</v>
      </c>
      <c r="Q1509" s="2" t="s">
        <v>24</v>
      </c>
    </row>
    <row r="1510" customFormat="false" ht="15" hidden="false" customHeight="false" outlineLevel="0" collapsed="false">
      <c r="A1510" s="2" t="s">
        <v>316</v>
      </c>
      <c r="B1510" s="2" t="s">
        <v>47</v>
      </c>
      <c r="C1510" s="13" t="s">
        <v>2676</v>
      </c>
      <c r="D1510" s="29" t="n">
        <v>45940</v>
      </c>
      <c r="E1510" s="2" t="s">
        <v>821</v>
      </c>
      <c r="F1510" s="30" t="n">
        <v>0.80737919024815</v>
      </c>
      <c r="G1510" s="31" t="n">
        <v>29.1</v>
      </c>
      <c r="H1510" s="32" t="n">
        <v>0.111541253326881</v>
      </c>
      <c r="I1510" s="31" t="n">
        <v>58.8</v>
      </c>
      <c r="J1510" s="2" t="s">
        <v>2886</v>
      </c>
      <c r="K1510" s="33" t="n">
        <v>0.272650653181627</v>
      </c>
      <c r="L1510" s="31" t="n">
        <v>94.4</v>
      </c>
      <c r="M1510" s="34" t="s">
        <v>822</v>
      </c>
      <c r="N1510" s="2" t="s">
        <v>24</v>
      </c>
      <c r="O1510" s="2" t="s">
        <v>24</v>
      </c>
      <c r="P1510" s="2" t="s">
        <v>24</v>
      </c>
      <c r="Q1510" s="2" t="s">
        <v>24</v>
      </c>
    </row>
    <row r="1511" customFormat="false" ht="15" hidden="false" customHeight="false" outlineLevel="0" collapsed="false">
      <c r="A1511" s="2" t="s">
        <v>1543</v>
      </c>
      <c r="B1511" s="2" t="s">
        <v>45</v>
      </c>
      <c r="C1511" s="13" t="s">
        <v>1544</v>
      </c>
      <c r="D1511" s="29" t="n">
        <v>78770</v>
      </c>
      <c r="E1511" s="2" t="s">
        <v>821</v>
      </c>
      <c r="F1511" s="30" t="n">
        <v>0.174431890313571</v>
      </c>
      <c r="G1511" s="31" t="n">
        <v>7.4</v>
      </c>
      <c r="H1511" s="32" t="n">
        <v>0.0969224342013647</v>
      </c>
      <c r="I1511" s="31" t="n">
        <v>49.8</v>
      </c>
      <c r="J1511" s="2" t="s">
        <v>2883</v>
      </c>
      <c r="K1511" s="40" t="s">
        <v>857</v>
      </c>
      <c r="L1511" s="31"/>
      <c r="M1511" s="34" t="s">
        <v>822</v>
      </c>
      <c r="N1511" s="2" t="s">
        <v>24</v>
      </c>
      <c r="O1511" s="2" t="s">
        <v>24</v>
      </c>
      <c r="P1511" s="2" t="s">
        <v>24</v>
      </c>
      <c r="Q1511" s="2" t="s">
        <v>2885</v>
      </c>
    </row>
    <row r="1512" customFormat="false" ht="15" hidden="false" customHeight="false" outlineLevel="0" collapsed="false">
      <c r="A1512" s="2" t="s">
        <v>1543</v>
      </c>
      <c r="B1512" s="2" t="s">
        <v>46</v>
      </c>
      <c r="C1512" s="16"/>
      <c r="D1512" s="29" t="n">
        <v>169140</v>
      </c>
      <c r="E1512" s="2" t="s">
        <v>827</v>
      </c>
      <c r="F1512" s="30" t="n">
        <v>7.22079933782665</v>
      </c>
      <c r="G1512" s="31" t="n">
        <v>87.4</v>
      </c>
      <c r="H1512" s="32" t="n">
        <v>0.121766812574612</v>
      </c>
      <c r="I1512" s="31" t="n">
        <v>72</v>
      </c>
      <c r="J1512" s="2" t="s">
        <v>2888</v>
      </c>
      <c r="K1512" s="33" t="n">
        <v>0.0763728137860082</v>
      </c>
      <c r="L1512" s="31" t="n">
        <v>23.4</v>
      </c>
      <c r="M1512" s="39" t="s">
        <v>832</v>
      </c>
      <c r="N1512" s="2" t="s">
        <v>24</v>
      </c>
      <c r="O1512" s="2" t="s">
        <v>24</v>
      </c>
      <c r="P1512" s="2" t="s">
        <v>24</v>
      </c>
      <c r="Q1512" s="2" t="s">
        <v>24</v>
      </c>
    </row>
    <row r="1513" customFormat="false" ht="15" hidden="false" customHeight="false" outlineLevel="0" collapsed="false">
      <c r="A1513" s="2" t="s">
        <v>1543</v>
      </c>
      <c r="B1513" s="2" t="s">
        <v>47</v>
      </c>
      <c r="C1513" s="14" t="s">
        <v>2232</v>
      </c>
      <c r="D1513" s="42" t="n">
        <v>152454</v>
      </c>
      <c r="E1513" s="2" t="s">
        <v>827</v>
      </c>
      <c r="F1513" s="43" t="n">
        <v>4.6213152819867</v>
      </c>
      <c r="G1513" s="31" t="n">
        <v>97</v>
      </c>
      <c r="H1513" s="41" t="n">
        <v>-0.129311920317997</v>
      </c>
      <c r="I1513" s="31" t="n">
        <v>1.2</v>
      </c>
      <c r="J1513" s="2" t="s">
        <v>2897</v>
      </c>
      <c r="K1513" s="44" t="n">
        <v>0.0392086901363781</v>
      </c>
      <c r="L1513" s="31" t="n">
        <v>25.6</v>
      </c>
      <c r="M1513" s="34" t="s">
        <v>822</v>
      </c>
      <c r="N1513" s="2" t="s">
        <v>22</v>
      </c>
      <c r="O1513" s="2" t="s">
        <v>22</v>
      </c>
      <c r="P1513" s="2" t="s">
        <v>22</v>
      </c>
      <c r="Q1513" s="2" t="s">
        <v>22</v>
      </c>
    </row>
    <row r="1514" customFormat="false" ht="15" hidden="false" customHeight="false" outlineLevel="0" collapsed="false">
      <c r="A1514" s="2" t="s">
        <v>1950</v>
      </c>
      <c r="B1514" s="2" t="s">
        <v>45</v>
      </c>
      <c r="C1514" s="14" t="s">
        <v>3262</v>
      </c>
      <c r="D1514" s="42" t="n">
        <v>10563</v>
      </c>
      <c r="E1514" s="2" t="s">
        <v>821</v>
      </c>
      <c r="F1514" s="43" t="n">
        <v>1.06825712392313</v>
      </c>
      <c r="G1514" s="31" t="n">
        <v>80.3</v>
      </c>
      <c r="H1514" s="37"/>
      <c r="I1514" s="31"/>
      <c r="J1514" s="2"/>
      <c r="K1514" s="44" t="n">
        <v>0.0965391621129326</v>
      </c>
      <c r="L1514" s="31" t="n">
        <v>35.2</v>
      </c>
      <c r="M1514" s="39" t="s">
        <v>832</v>
      </c>
      <c r="N1514" s="2" t="s">
        <v>22</v>
      </c>
      <c r="O1514" s="2" t="s">
        <v>22</v>
      </c>
      <c r="P1514" s="2"/>
      <c r="Q1514" s="2" t="s">
        <v>22</v>
      </c>
    </row>
    <row r="1515" customFormat="false" ht="15" hidden="false" customHeight="false" outlineLevel="0" collapsed="false">
      <c r="A1515" s="2" t="s">
        <v>1950</v>
      </c>
      <c r="B1515" s="2" t="s">
        <v>46</v>
      </c>
      <c r="C1515" s="13" t="s">
        <v>1951</v>
      </c>
      <c r="D1515" s="29" t="n">
        <v>28430</v>
      </c>
      <c r="E1515" s="2" t="s">
        <v>821</v>
      </c>
      <c r="F1515" s="30" t="n">
        <v>2.70875835385157</v>
      </c>
      <c r="G1515" s="31" t="n">
        <v>42.2</v>
      </c>
      <c r="H1515" s="32" t="n">
        <v>0.0417735434224991</v>
      </c>
      <c r="I1515" s="31" t="n">
        <v>26.9</v>
      </c>
      <c r="J1515" s="2" t="s">
        <v>2884</v>
      </c>
      <c r="K1515" s="33" t="n">
        <v>0.0412048877522023</v>
      </c>
      <c r="L1515" s="31" t="n">
        <v>8.8</v>
      </c>
      <c r="M1515" s="34" t="s">
        <v>822</v>
      </c>
      <c r="N1515" s="2" t="s">
        <v>24</v>
      </c>
      <c r="O1515" s="2" t="s">
        <v>24</v>
      </c>
      <c r="P1515" s="2" t="s">
        <v>24</v>
      </c>
      <c r="Q1515" s="2" t="s">
        <v>24</v>
      </c>
    </row>
    <row r="1516" customFormat="false" ht="15" hidden="false" customHeight="false" outlineLevel="0" collapsed="false">
      <c r="A1516" s="2" t="s">
        <v>1950</v>
      </c>
      <c r="B1516" s="2" t="s">
        <v>47</v>
      </c>
      <c r="C1516" s="14" t="s">
        <v>2786</v>
      </c>
      <c r="D1516" s="42" t="n">
        <v>44651</v>
      </c>
      <c r="E1516" s="2" t="s">
        <v>821</v>
      </c>
      <c r="F1516" s="43" t="n">
        <v>0.515486775212201</v>
      </c>
      <c r="G1516" s="31" t="n">
        <v>13.8</v>
      </c>
      <c r="H1516" s="41" t="n">
        <v>0.113352449819225</v>
      </c>
      <c r="I1516" s="31" t="n">
        <v>59.4</v>
      </c>
      <c r="J1516" s="2" t="s">
        <v>2886</v>
      </c>
      <c r="K1516" s="44" t="n">
        <v>0.224207235372934</v>
      </c>
      <c r="L1516" s="31" t="n">
        <v>89.8</v>
      </c>
      <c r="M1516" s="34" t="s">
        <v>822</v>
      </c>
      <c r="N1516" s="2" t="s">
        <v>22</v>
      </c>
      <c r="O1516" s="2" t="s">
        <v>22</v>
      </c>
      <c r="P1516" s="2" t="s">
        <v>22</v>
      </c>
      <c r="Q1516" s="2" t="s">
        <v>22</v>
      </c>
    </row>
    <row r="1517" customFormat="false" ht="15" hidden="false" customHeight="false" outlineLevel="0" collapsed="false">
      <c r="A1517" s="2" t="s">
        <v>546</v>
      </c>
      <c r="B1517" s="2" t="s">
        <v>45</v>
      </c>
      <c r="C1517" s="13" t="s">
        <v>1520</v>
      </c>
      <c r="D1517" s="29" t="n">
        <v>1100</v>
      </c>
      <c r="E1517" s="2" t="s">
        <v>825</v>
      </c>
      <c r="F1517" s="30" t="n">
        <v>0.236363636363636</v>
      </c>
      <c r="G1517" s="31" t="n">
        <v>11.3</v>
      </c>
      <c r="H1517" s="41" t="n">
        <v>0.0635673624288425</v>
      </c>
      <c r="I1517" s="31" t="n">
        <v>29.6</v>
      </c>
      <c r="J1517" s="2" t="s">
        <v>2899</v>
      </c>
      <c r="K1517" s="33" t="n">
        <v>0</v>
      </c>
      <c r="L1517" s="31" t="n">
        <v>1.3</v>
      </c>
      <c r="M1517" s="34" t="s">
        <v>822</v>
      </c>
      <c r="N1517" s="2" t="s">
        <v>24</v>
      </c>
      <c r="O1517" s="2" t="s">
        <v>24</v>
      </c>
      <c r="P1517" s="2" t="s">
        <v>22</v>
      </c>
      <c r="Q1517" s="2" t="s">
        <v>24</v>
      </c>
    </row>
    <row r="1518" customFormat="false" ht="15" hidden="false" customHeight="false" outlineLevel="0" collapsed="false">
      <c r="A1518" s="2" t="s">
        <v>546</v>
      </c>
      <c r="B1518" s="2" t="s">
        <v>47</v>
      </c>
      <c r="C1518" s="14" t="s">
        <v>2355</v>
      </c>
      <c r="D1518" s="42" t="n">
        <v>192880</v>
      </c>
      <c r="E1518" s="2" t="s">
        <v>827</v>
      </c>
      <c r="F1518" s="43" t="n">
        <v>2.10061696391539</v>
      </c>
      <c r="G1518" s="31" t="n">
        <v>78.1</v>
      </c>
      <c r="H1518" s="41" t="n">
        <v>0.0542655997201452</v>
      </c>
      <c r="I1518" s="31" t="n">
        <v>35.4</v>
      </c>
      <c r="J1518" s="2" t="s">
        <v>2897</v>
      </c>
      <c r="K1518" s="44" t="n">
        <v>0.0554470183272863</v>
      </c>
      <c r="L1518" s="31" t="n">
        <v>34.9</v>
      </c>
      <c r="M1518" s="34" t="s">
        <v>822</v>
      </c>
      <c r="N1518" s="2" t="s">
        <v>22</v>
      </c>
      <c r="O1518" s="2" t="s">
        <v>22</v>
      </c>
      <c r="P1518" s="2" t="s">
        <v>22</v>
      </c>
      <c r="Q1518" s="2" t="s">
        <v>22</v>
      </c>
    </row>
    <row r="1519" customFormat="false" ht="15" hidden="false" customHeight="false" outlineLevel="0" collapsed="false">
      <c r="A1519" s="2" t="s">
        <v>2212</v>
      </c>
      <c r="B1519" s="2" t="s">
        <v>45</v>
      </c>
      <c r="C1519" s="13" t="s">
        <v>3263</v>
      </c>
      <c r="D1519" s="29" t="n">
        <v>350990</v>
      </c>
      <c r="E1519" s="2" t="s">
        <v>827</v>
      </c>
      <c r="F1519" s="30" t="n">
        <v>0.231778683153366</v>
      </c>
      <c r="G1519" s="31" t="n">
        <v>11</v>
      </c>
      <c r="H1519" s="32" t="n">
        <v>0.183537901267872</v>
      </c>
      <c r="I1519" s="31" t="n">
        <v>90</v>
      </c>
      <c r="J1519" s="2" t="s">
        <v>2890</v>
      </c>
      <c r="K1519" s="38"/>
      <c r="L1519" s="31"/>
      <c r="M1519" s="39" t="s">
        <v>832</v>
      </c>
      <c r="N1519" s="2" t="s">
        <v>24</v>
      </c>
      <c r="O1519" s="2" t="s">
        <v>24</v>
      </c>
      <c r="P1519" s="2" t="s">
        <v>24</v>
      </c>
      <c r="Q1519" s="2"/>
    </row>
    <row r="1520" customFormat="false" ht="15" hidden="false" customHeight="false" outlineLevel="0" collapsed="false">
      <c r="A1520" s="2" t="s">
        <v>2212</v>
      </c>
      <c r="B1520" s="2" t="s">
        <v>46</v>
      </c>
      <c r="C1520" s="16"/>
      <c r="D1520" s="35"/>
      <c r="E1520" s="2"/>
      <c r="F1520" s="36"/>
      <c r="G1520" s="31"/>
      <c r="H1520" s="37"/>
      <c r="I1520" s="31"/>
      <c r="J1520" s="2"/>
      <c r="K1520" s="38"/>
      <c r="L1520" s="31"/>
      <c r="M1520" s="39" t="s">
        <v>832</v>
      </c>
      <c r="N1520" s="2"/>
      <c r="O1520" s="2"/>
      <c r="P1520" s="2"/>
      <c r="Q1520" s="2"/>
    </row>
    <row r="1521" customFormat="false" ht="15" hidden="false" customHeight="false" outlineLevel="0" collapsed="false">
      <c r="A1521" s="2" t="s">
        <v>2212</v>
      </c>
      <c r="B1521" s="2" t="s">
        <v>47</v>
      </c>
      <c r="C1521" s="14" t="s">
        <v>2213</v>
      </c>
      <c r="D1521" s="42" t="n">
        <v>22258</v>
      </c>
      <c r="E1521" s="2" t="s">
        <v>821</v>
      </c>
      <c r="F1521" s="43" t="n">
        <v>9.11937280977626</v>
      </c>
      <c r="G1521" s="31" t="n">
        <v>99.8</v>
      </c>
      <c r="H1521" s="41" t="n">
        <v>0.0833252214542977</v>
      </c>
      <c r="I1521" s="31" t="n">
        <v>41.9</v>
      </c>
      <c r="J1521" s="2" t="s">
        <v>2886</v>
      </c>
      <c r="K1521" s="44" t="n">
        <v>0.248128827398503</v>
      </c>
      <c r="L1521" s="31" t="n">
        <v>92.3</v>
      </c>
      <c r="M1521" s="34" t="s">
        <v>822</v>
      </c>
      <c r="N1521" s="2" t="s">
        <v>22</v>
      </c>
      <c r="O1521" s="2" t="s">
        <v>22</v>
      </c>
      <c r="P1521" s="2" t="s">
        <v>22</v>
      </c>
      <c r="Q1521" s="2" t="s">
        <v>22</v>
      </c>
    </row>
    <row r="1522" customFormat="false" ht="15" hidden="false" customHeight="false" outlineLevel="0" collapsed="false">
      <c r="A1522" s="2" t="s">
        <v>484</v>
      </c>
      <c r="B1522" s="2" t="s">
        <v>46</v>
      </c>
      <c r="C1522" s="14" t="s">
        <v>2058</v>
      </c>
      <c r="D1522" s="42" t="n">
        <v>9139</v>
      </c>
      <c r="E1522" s="2" t="s">
        <v>825</v>
      </c>
      <c r="F1522" s="43" t="n">
        <v>1.79330342488237</v>
      </c>
      <c r="G1522" s="31" t="n">
        <v>23.6</v>
      </c>
      <c r="H1522" s="41" t="n">
        <v>0.0508221225710015</v>
      </c>
      <c r="I1522" s="31" t="n">
        <v>15.1</v>
      </c>
      <c r="J1522" s="2" t="s">
        <v>2905</v>
      </c>
      <c r="K1522" s="44" t="n">
        <v>0.164206642066421</v>
      </c>
      <c r="L1522" s="31" t="n">
        <v>60</v>
      </c>
      <c r="M1522" s="34" t="s">
        <v>822</v>
      </c>
      <c r="N1522" s="2" t="s">
        <v>22</v>
      </c>
      <c r="O1522" s="2" t="s">
        <v>22</v>
      </c>
      <c r="P1522" s="2" t="s">
        <v>22</v>
      </c>
      <c r="Q1522" s="2" t="s">
        <v>22</v>
      </c>
    </row>
    <row r="1523" customFormat="false" ht="15" hidden="false" customHeight="false" outlineLevel="0" collapsed="false">
      <c r="A1523" s="2" t="s">
        <v>484</v>
      </c>
      <c r="B1523" s="2" t="s">
        <v>47</v>
      </c>
      <c r="C1523" s="13" t="s">
        <v>2368</v>
      </c>
      <c r="D1523" s="29" t="n">
        <v>74070</v>
      </c>
      <c r="E1523" s="2" t="s">
        <v>821</v>
      </c>
      <c r="F1523" s="30" t="n">
        <v>1.95728365060078</v>
      </c>
      <c r="G1523" s="31" t="n">
        <v>76.2</v>
      </c>
      <c r="H1523" s="32" t="n">
        <v>0.219660793676931</v>
      </c>
      <c r="I1523" s="31" t="n">
        <v>94.5</v>
      </c>
      <c r="J1523" s="2" t="s">
        <v>2886</v>
      </c>
      <c r="K1523" s="33" t="n">
        <v>0.0138392857142857</v>
      </c>
      <c r="L1523" s="31" t="n">
        <v>9.7</v>
      </c>
      <c r="M1523" s="34" t="s">
        <v>822</v>
      </c>
      <c r="N1523" s="2" t="s">
        <v>24</v>
      </c>
      <c r="O1523" s="2" t="s">
        <v>24</v>
      </c>
      <c r="P1523" s="2" t="s">
        <v>24</v>
      </c>
      <c r="Q1523" s="2" t="s">
        <v>24</v>
      </c>
    </row>
    <row r="1524" customFormat="false" ht="15" hidden="false" customHeight="false" outlineLevel="0" collapsed="false">
      <c r="A1524" s="2" t="s">
        <v>2261</v>
      </c>
      <c r="B1524" s="2" t="s">
        <v>45</v>
      </c>
      <c r="C1524" s="16"/>
      <c r="D1524" s="35"/>
      <c r="E1524" s="2"/>
      <c r="F1524" s="36"/>
      <c r="G1524" s="31"/>
      <c r="H1524" s="37"/>
      <c r="I1524" s="31"/>
      <c r="J1524" s="2"/>
      <c r="K1524" s="38"/>
      <c r="L1524" s="31"/>
      <c r="M1524" s="39" t="s">
        <v>832</v>
      </c>
      <c r="N1524" s="2"/>
      <c r="O1524" s="2"/>
      <c r="P1524" s="2"/>
      <c r="Q1524" s="2"/>
    </row>
    <row r="1525" customFormat="false" ht="15" hidden="false" customHeight="false" outlineLevel="0" collapsed="false">
      <c r="A1525" s="2" t="s">
        <v>2261</v>
      </c>
      <c r="B1525" s="2" t="s">
        <v>46</v>
      </c>
      <c r="C1525" s="16"/>
      <c r="D1525" s="35"/>
      <c r="E1525" s="2"/>
      <c r="F1525" s="36"/>
      <c r="G1525" s="31"/>
      <c r="H1525" s="37"/>
      <c r="I1525" s="31"/>
      <c r="J1525" s="2"/>
      <c r="K1525" s="38"/>
      <c r="L1525" s="31"/>
      <c r="M1525" s="39" t="s">
        <v>832</v>
      </c>
      <c r="N1525" s="2"/>
      <c r="O1525" s="2"/>
      <c r="P1525" s="2"/>
      <c r="Q1525" s="2"/>
    </row>
    <row r="1526" customFormat="false" ht="15" hidden="false" customHeight="false" outlineLevel="0" collapsed="false">
      <c r="A1526" s="2" t="s">
        <v>2261</v>
      </c>
      <c r="B1526" s="2" t="s">
        <v>47</v>
      </c>
      <c r="C1526" s="13" t="s">
        <v>2262</v>
      </c>
      <c r="D1526" s="29" t="n">
        <v>2980</v>
      </c>
      <c r="E1526" s="2" t="s">
        <v>825</v>
      </c>
      <c r="F1526" s="30" t="n">
        <v>3.79060402684564</v>
      </c>
      <c r="G1526" s="31" t="n">
        <v>93.7</v>
      </c>
      <c r="H1526" s="41" t="n">
        <v>0.166930379746835</v>
      </c>
      <c r="I1526" s="31" t="n">
        <v>77.5</v>
      </c>
      <c r="J1526" s="2" t="s">
        <v>2889</v>
      </c>
      <c r="K1526" s="33" t="n">
        <v>0.0573913043478261</v>
      </c>
      <c r="L1526" s="31" t="n">
        <v>35.7</v>
      </c>
      <c r="M1526" s="34" t="s">
        <v>822</v>
      </c>
      <c r="N1526" s="2" t="s">
        <v>24</v>
      </c>
      <c r="O1526" s="2" t="s">
        <v>24</v>
      </c>
      <c r="P1526" s="2" t="s">
        <v>22</v>
      </c>
      <c r="Q1526" s="2" t="s">
        <v>24</v>
      </c>
    </row>
    <row r="1527" customFormat="false" ht="15" hidden="false" customHeight="false" outlineLevel="0" collapsed="false">
      <c r="A1527" s="2" t="s">
        <v>164</v>
      </c>
      <c r="B1527" s="2" t="s">
        <v>45</v>
      </c>
      <c r="C1527" s="14" t="s">
        <v>930</v>
      </c>
      <c r="D1527" s="42" t="n">
        <v>31160</v>
      </c>
      <c r="E1527" s="2" t="s">
        <v>821</v>
      </c>
      <c r="F1527" s="43" t="n">
        <v>1.38305519897304</v>
      </c>
      <c r="G1527" s="31" t="n">
        <v>87.1</v>
      </c>
      <c r="H1527" s="41" t="n">
        <v>0.0133003804754317</v>
      </c>
      <c r="I1527" s="31" t="n">
        <v>11.7</v>
      </c>
      <c r="J1527" s="2" t="s">
        <v>2883</v>
      </c>
      <c r="K1527" s="44" t="n">
        <v>0.132004310344828</v>
      </c>
      <c r="L1527" s="31" t="n">
        <v>48.7</v>
      </c>
      <c r="M1527" s="34" t="s">
        <v>822</v>
      </c>
      <c r="N1527" s="2" t="s">
        <v>22</v>
      </c>
      <c r="O1527" s="2" t="s">
        <v>22</v>
      </c>
      <c r="P1527" s="2" t="s">
        <v>22</v>
      </c>
      <c r="Q1527" s="2" t="s">
        <v>22</v>
      </c>
    </row>
    <row r="1528" customFormat="false" ht="15" hidden="false" customHeight="false" outlineLevel="0" collapsed="false">
      <c r="A1528" s="2" t="s">
        <v>164</v>
      </c>
      <c r="B1528" s="2" t="s">
        <v>46</v>
      </c>
      <c r="C1528" s="13" t="s">
        <v>1617</v>
      </c>
      <c r="D1528" s="29" t="n">
        <v>6970</v>
      </c>
      <c r="E1528" s="2" t="s">
        <v>825</v>
      </c>
      <c r="F1528" s="30" t="n">
        <v>12.4791965566715</v>
      </c>
      <c r="G1528" s="31" t="n">
        <v>97.2</v>
      </c>
      <c r="H1528" s="32" t="n">
        <v>0.0789473684210526</v>
      </c>
      <c r="I1528" s="31" t="n">
        <v>24.5</v>
      </c>
      <c r="J1528" s="2" t="s">
        <v>2905</v>
      </c>
      <c r="K1528" s="33" t="n">
        <v>0.0687077251690993</v>
      </c>
      <c r="L1528" s="31" t="n">
        <v>19.4</v>
      </c>
      <c r="M1528" s="34" t="s">
        <v>822</v>
      </c>
      <c r="N1528" s="2" t="s">
        <v>24</v>
      </c>
      <c r="O1528" s="2" t="s">
        <v>24</v>
      </c>
      <c r="P1528" s="2" t="s">
        <v>24</v>
      </c>
      <c r="Q1528" s="2" t="s">
        <v>24</v>
      </c>
    </row>
    <row r="1529" customFormat="false" ht="15" hidden="false" customHeight="false" outlineLevel="0" collapsed="false">
      <c r="A1529" s="2" t="s">
        <v>164</v>
      </c>
      <c r="B1529" s="2" t="s">
        <v>47</v>
      </c>
      <c r="C1529" s="14" t="s">
        <v>2496</v>
      </c>
      <c r="D1529" s="42" t="n">
        <v>222676</v>
      </c>
      <c r="E1529" s="2" t="s">
        <v>827</v>
      </c>
      <c r="F1529" s="43" t="n">
        <v>1.39983653379799</v>
      </c>
      <c r="G1529" s="31" t="n">
        <v>56.1</v>
      </c>
      <c r="H1529" s="41" t="n">
        <v>0.0782349323791031</v>
      </c>
      <c r="I1529" s="31" t="n">
        <v>47.8</v>
      </c>
      <c r="J1529" s="2" t="s">
        <v>2897</v>
      </c>
      <c r="K1529" s="44" t="n">
        <v>0.201324769169008</v>
      </c>
      <c r="L1529" s="31" t="n">
        <v>85.5</v>
      </c>
      <c r="M1529" s="34" t="s">
        <v>822</v>
      </c>
      <c r="N1529" s="2" t="s">
        <v>22</v>
      </c>
      <c r="O1529" s="2" t="s">
        <v>22</v>
      </c>
      <c r="P1529" s="2" t="s">
        <v>22</v>
      </c>
      <c r="Q1529" s="2" t="s">
        <v>22</v>
      </c>
    </row>
    <row r="1530" customFormat="false" ht="15" hidden="false" customHeight="false" outlineLevel="0" collapsed="false">
      <c r="A1530" s="2" t="s">
        <v>1339</v>
      </c>
      <c r="B1530" s="2" t="s">
        <v>45</v>
      </c>
      <c r="C1530" s="14" t="s">
        <v>1340</v>
      </c>
      <c r="D1530" s="42" t="n">
        <v>3207</v>
      </c>
      <c r="E1530" s="2" t="s">
        <v>825</v>
      </c>
      <c r="F1530" s="43" t="n">
        <v>0.458372310570627</v>
      </c>
      <c r="G1530" s="31" t="n">
        <v>36.3</v>
      </c>
      <c r="H1530" s="41" t="n">
        <v>0.0975359342915811</v>
      </c>
      <c r="I1530" s="31" t="n">
        <v>47.9</v>
      </c>
      <c r="J1530" s="2" t="s">
        <v>2899</v>
      </c>
      <c r="K1530" s="44" t="n">
        <v>0.0888888888888889</v>
      </c>
      <c r="L1530" s="31" t="n">
        <v>31.2</v>
      </c>
      <c r="M1530" s="34" t="s">
        <v>822</v>
      </c>
      <c r="N1530" s="2" t="s">
        <v>22</v>
      </c>
      <c r="O1530" s="2" t="s">
        <v>22</v>
      </c>
      <c r="P1530" s="2" t="s">
        <v>22</v>
      </c>
      <c r="Q1530" s="2" t="s">
        <v>22</v>
      </c>
    </row>
    <row r="1531" customFormat="false" ht="15" hidden="false" customHeight="false" outlineLevel="0" collapsed="false">
      <c r="A1531" s="2" t="s">
        <v>1339</v>
      </c>
      <c r="B1531" s="2" t="s">
        <v>46</v>
      </c>
      <c r="C1531" s="13" t="s">
        <v>3264</v>
      </c>
      <c r="D1531" s="29" t="n">
        <v>46690</v>
      </c>
      <c r="E1531" s="2" t="s">
        <v>821</v>
      </c>
      <c r="F1531" s="30" t="n">
        <v>5.55013921610623</v>
      </c>
      <c r="G1531" s="31" t="n">
        <v>76.8</v>
      </c>
      <c r="H1531" s="32" t="n">
        <v>0.09369875849145</v>
      </c>
      <c r="I1531" s="31" t="n">
        <v>54.5</v>
      </c>
      <c r="J1531" s="2" t="s">
        <v>2884</v>
      </c>
      <c r="K1531" s="38"/>
      <c r="L1531" s="31"/>
      <c r="M1531" s="39" t="s">
        <v>832</v>
      </c>
      <c r="N1531" s="2" t="s">
        <v>24</v>
      </c>
      <c r="O1531" s="2" t="s">
        <v>24</v>
      </c>
      <c r="P1531" s="2" t="s">
        <v>24</v>
      </c>
      <c r="Q1531" s="2"/>
    </row>
    <row r="1532" customFormat="false" ht="15" hidden="false" customHeight="false" outlineLevel="0" collapsed="false">
      <c r="A1532" s="2" t="s">
        <v>1339</v>
      </c>
      <c r="B1532" s="2" t="s">
        <v>47</v>
      </c>
      <c r="C1532" s="14" t="s">
        <v>3265</v>
      </c>
      <c r="D1532" s="42" t="n">
        <v>173865</v>
      </c>
      <c r="E1532" s="2" t="s">
        <v>827</v>
      </c>
      <c r="F1532" s="43" t="n">
        <v>0.77902395536767</v>
      </c>
      <c r="G1532" s="31" t="n">
        <v>27.3</v>
      </c>
      <c r="H1532" s="41" t="n">
        <v>0.171478624128289</v>
      </c>
      <c r="I1532" s="31" t="n">
        <v>88.2</v>
      </c>
      <c r="J1532" s="2" t="s">
        <v>2897</v>
      </c>
      <c r="K1532" s="38"/>
      <c r="L1532" s="31"/>
      <c r="M1532" s="39" t="s">
        <v>832</v>
      </c>
      <c r="N1532" s="2" t="s">
        <v>22</v>
      </c>
      <c r="O1532" s="2" t="s">
        <v>22</v>
      </c>
      <c r="P1532" s="2" t="s">
        <v>22</v>
      </c>
      <c r="Q1532" s="2"/>
    </row>
    <row r="1533" customFormat="false" ht="15" hidden="false" customHeight="false" outlineLevel="0" collapsed="false">
      <c r="A1533" s="2" t="s">
        <v>204</v>
      </c>
      <c r="B1533" s="2" t="s">
        <v>45</v>
      </c>
      <c r="C1533" s="13" t="s">
        <v>1064</v>
      </c>
      <c r="D1533" s="29" t="n">
        <v>29520</v>
      </c>
      <c r="E1533" s="2" t="s">
        <v>821</v>
      </c>
      <c r="F1533" s="30" t="n">
        <v>0.842242547425474</v>
      </c>
      <c r="G1533" s="31" t="n">
        <v>71.1</v>
      </c>
      <c r="H1533" s="32" t="n">
        <v>0.083302752293578</v>
      </c>
      <c r="I1533" s="31" t="n">
        <v>45</v>
      </c>
      <c r="J1533" s="2" t="s">
        <v>2883</v>
      </c>
      <c r="K1533" s="33" t="n">
        <v>0.172131147540984</v>
      </c>
      <c r="L1533" s="31" t="n">
        <v>65.5</v>
      </c>
      <c r="M1533" s="34" t="s">
        <v>822</v>
      </c>
      <c r="N1533" s="2" t="s">
        <v>24</v>
      </c>
      <c r="O1533" s="2" t="s">
        <v>24</v>
      </c>
      <c r="P1533" s="2" t="s">
        <v>24</v>
      </c>
      <c r="Q1533" s="2" t="s">
        <v>24</v>
      </c>
    </row>
    <row r="1534" customFormat="false" ht="15" hidden="false" customHeight="false" outlineLevel="0" collapsed="false">
      <c r="A1534" s="2" t="s">
        <v>204</v>
      </c>
      <c r="B1534" s="2" t="s">
        <v>46</v>
      </c>
      <c r="C1534" s="13" t="s">
        <v>1724</v>
      </c>
      <c r="D1534" s="29" t="n">
        <v>193090</v>
      </c>
      <c r="E1534" s="2" t="s">
        <v>827</v>
      </c>
      <c r="F1534" s="30" t="n">
        <v>5.68875135946968</v>
      </c>
      <c r="G1534" s="31" t="n">
        <v>78</v>
      </c>
      <c r="H1534" s="32" t="n">
        <v>-0.0105052782617608</v>
      </c>
      <c r="I1534" s="31" t="n">
        <v>9.6</v>
      </c>
      <c r="J1534" s="2" t="s">
        <v>2888</v>
      </c>
      <c r="K1534" s="33" t="n">
        <v>0.0684883401920439</v>
      </c>
      <c r="L1534" s="31" t="n">
        <v>19.2</v>
      </c>
      <c r="M1534" s="34" t="s">
        <v>822</v>
      </c>
      <c r="N1534" s="2" t="s">
        <v>24</v>
      </c>
      <c r="O1534" s="2" t="s">
        <v>24</v>
      </c>
      <c r="P1534" s="2" t="s">
        <v>24</v>
      </c>
      <c r="Q1534" s="2" t="s">
        <v>24</v>
      </c>
    </row>
    <row r="1535" customFormat="false" ht="15" hidden="false" customHeight="false" outlineLevel="0" collapsed="false">
      <c r="A1535" s="2" t="s">
        <v>204</v>
      </c>
      <c r="B1535" s="2" t="s">
        <v>47</v>
      </c>
      <c r="C1535" s="13" t="s">
        <v>2374</v>
      </c>
      <c r="D1535" s="29" t="n">
        <v>74700</v>
      </c>
      <c r="E1535" s="2" t="s">
        <v>821</v>
      </c>
      <c r="F1535" s="30" t="n">
        <v>1.93780455153949</v>
      </c>
      <c r="G1535" s="31" t="n">
        <v>75</v>
      </c>
      <c r="H1535" s="41" t="n">
        <v>0.0731793061746797</v>
      </c>
      <c r="I1535" s="31" t="n">
        <v>37.7</v>
      </c>
      <c r="J1535" s="2" t="s">
        <v>2886</v>
      </c>
      <c r="K1535" s="33" t="n">
        <v>0.20378882852765</v>
      </c>
      <c r="L1535" s="31" t="n">
        <v>85.8</v>
      </c>
      <c r="M1535" s="34" t="s">
        <v>822</v>
      </c>
      <c r="N1535" s="2" t="s">
        <v>24</v>
      </c>
      <c r="O1535" s="2" t="s">
        <v>24</v>
      </c>
      <c r="P1535" s="2" t="s">
        <v>22</v>
      </c>
      <c r="Q1535" s="2" t="s">
        <v>24</v>
      </c>
    </row>
    <row r="1536" customFormat="false" ht="15" hidden="false" customHeight="false" outlineLevel="0" collapsed="false">
      <c r="A1536" s="2" t="s">
        <v>300</v>
      </c>
      <c r="B1536" s="2" t="s">
        <v>45</v>
      </c>
      <c r="C1536" s="13" t="s">
        <v>1389</v>
      </c>
      <c r="D1536" s="29" t="n">
        <v>15950</v>
      </c>
      <c r="E1536" s="2" t="s">
        <v>821</v>
      </c>
      <c r="F1536" s="30" t="n">
        <v>0.402068965517241</v>
      </c>
      <c r="G1536" s="31" t="n">
        <v>29.5</v>
      </c>
      <c r="H1536" s="32" t="n">
        <v>0.0992419021364576</v>
      </c>
      <c r="I1536" s="31" t="n">
        <v>52.2</v>
      </c>
      <c r="J1536" s="2" t="s">
        <v>2883</v>
      </c>
      <c r="K1536" s="33" t="n">
        <v>0.280542986425339</v>
      </c>
      <c r="L1536" s="31" t="n">
        <v>87.6</v>
      </c>
      <c r="M1536" s="34" t="s">
        <v>822</v>
      </c>
      <c r="N1536" s="2" t="s">
        <v>24</v>
      </c>
      <c r="O1536" s="2" t="s">
        <v>24</v>
      </c>
      <c r="P1536" s="2" t="s">
        <v>24</v>
      </c>
      <c r="Q1536" s="2" t="s">
        <v>24</v>
      </c>
    </row>
    <row r="1537" customFormat="false" ht="15" hidden="false" customHeight="false" outlineLevel="0" collapsed="false">
      <c r="A1537" s="2" t="s">
        <v>300</v>
      </c>
      <c r="B1537" s="2" t="s">
        <v>46</v>
      </c>
      <c r="C1537" s="14" t="s">
        <v>1612</v>
      </c>
      <c r="D1537" s="42" t="n">
        <v>57158</v>
      </c>
      <c r="E1537" s="2" t="s">
        <v>821</v>
      </c>
      <c r="F1537" s="43" t="n">
        <v>15.7136183911264</v>
      </c>
      <c r="G1537" s="31" t="n">
        <v>98.2</v>
      </c>
      <c r="H1537" s="41" t="n">
        <v>0.176235749269457</v>
      </c>
      <c r="I1537" s="31" t="n">
        <v>87.3</v>
      </c>
      <c r="J1537" s="2" t="s">
        <v>2884</v>
      </c>
      <c r="K1537" s="44" t="n">
        <v>0.266221744453403</v>
      </c>
      <c r="L1537" s="31" t="n">
        <v>83.7</v>
      </c>
      <c r="M1537" s="34" t="s">
        <v>822</v>
      </c>
      <c r="N1537" s="2" t="s">
        <v>22</v>
      </c>
      <c r="O1537" s="2" t="s">
        <v>22</v>
      </c>
      <c r="P1537" s="2" t="s">
        <v>22</v>
      </c>
      <c r="Q1537" s="2" t="s">
        <v>22</v>
      </c>
    </row>
    <row r="1538" customFormat="false" ht="15" hidden="false" customHeight="false" outlineLevel="0" collapsed="false">
      <c r="A1538" s="2" t="s">
        <v>3266</v>
      </c>
      <c r="B1538" s="2" t="s">
        <v>45</v>
      </c>
      <c r="C1538" s="13" t="s">
        <v>3267</v>
      </c>
      <c r="D1538" s="29" t="n">
        <v>27550</v>
      </c>
      <c r="E1538" s="2" t="s">
        <v>821</v>
      </c>
      <c r="F1538" s="30" t="n">
        <v>0.546932849364791</v>
      </c>
      <c r="G1538" s="31" t="n">
        <v>48.4</v>
      </c>
      <c r="H1538" s="32" t="n">
        <v>0.0728193146417445</v>
      </c>
      <c r="I1538" s="31" t="n">
        <v>39.9</v>
      </c>
      <c r="J1538" s="2" t="s">
        <v>2883</v>
      </c>
      <c r="K1538" s="38"/>
      <c r="L1538" s="31"/>
      <c r="M1538" s="39" t="s">
        <v>832</v>
      </c>
      <c r="N1538" s="2" t="s">
        <v>24</v>
      </c>
      <c r="O1538" s="2" t="s">
        <v>24</v>
      </c>
      <c r="P1538" s="2" t="s">
        <v>24</v>
      </c>
      <c r="Q1538" s="2"/>
    </row>
    <row r="1539" customFormat="false" ht="15" hidden="false" customHeight="false" outlineLevel="0" collapsed="false">
      <c r="A1539" s="2" t="s">
        <v>3268</v>
      </c>
      <c r="B1539" s="2" t="s">
        <v>45</v>
      </c>
      <c r="C1539" s="13" t="s">
        <v>3269</v>
      </c>
      <c r="D1539" s="35"/>
      <c r="E1539" s="2"/>
      <c r="F1539" s="36"/>
      <c r="G1539" s="31"/>
      <c r="H1539" s="37"/>
      <c r="I1539" s="31"/>
      <c r="J1539" s="2"/>
      <c r="K1539" s="33" t="n">
        <v>0.376712328767123</v>
      </c>
      <c r="L1539" s="31" t="n">
        <v>96.7</v>
      </c>
      <c r="M1539" s="39" t="s">
        <v>832</v>
      </c>
      <c r="N1539" s="2"/>
      <c r="O1539" s="2"/>
      <c r="P1539" s="2"/>
      <c r="Q1539" s="2" t="s">
        <v>24</v>
      </c>
    </row>
    <row r="1540" customFormat="false" ht="15" hidden="false" customHeight="false" outlineLevel="0" collapsed="false">
      <c r="A1540" s="2" t="s">
        <v>2175</v>
      </c>
      <c r="B1540" s="2" t="s">
        <v>46</v>
      </c>
      <c r="C1540" s="13" t="s">
        <v>2176</v>
      </c>
      <c r="D1540" s="29" t="n">
        <v>126120</v>
      </c>
      <c r="E1540" s="2" t="s">
        <v>827</v>
      </c>
      <c r="F1540" s="30" t="n">
        <v>0.842570567713289</v>
      </c>
      <c r="G1540" s="31" t="n">
        <v>4.7</v>
      </c>
      <c r="H1540" s="32" t="n">
        <v>0.0920426010910036</v>
      </c>
      <c r="I1540" s="31" t="n">
        <v>56.7</v>
      </c>
      <c r="J1540" s="2" t="s">
        <v>2888</v>
      </c>
      <c r="K1540" s="33" t="n">
        <v>0.213458110516934</v>
      </c>
      <c r="L1540" s="31" t="n">
        <v>72.8</v>
      </c>
      <c r="M1540" s="34" t="s">
        <v>822</v>
      </c>
      <c r="N1540" s="2" t="s">
        <v>24</v>
      </c>
      <c r="O1540" s="2" t="s">
        <v>24</v>
      </c>
      <c r="P1540" s="2" t="s">
        <v>24</v>
      </c>
      <c r="Q1540" s="2" t="s">
        <v>24</v>
      </c>
    </row>
    <row r="1541" customFormat="false" ht="15" hidden="false" customHeight="false" outlineLevel="0" collapsed="false">
      <c r="A1541" s="2" t="s">
        <v>2175</v>
      </c>
      <c r="B1541" s="2" t="s">
        <v>47</v>
      </c>
      <c r="C1541" s="14" t="s">
        <v>3270</v>
      </c>
      <c r="D1541" s="42" t="n">
        <v>23165</v>
      </c>
      <c r="E1541" s="2" t="s">
        <v>821</v>
      </c>
      <c r="F1541" s="36"/>
      <c r="G1541" s="31"/>
      <c r="H1541" s="41" t="n">
        <v>0.139953742433935</v>
      </c>
      <c r="I1541" s="31" t="n">
        <v>71.1</v>
      </c>
      <c r="J1541" s="2" t="s">
        <v>2886</v>
      </c>
      <c r="K1541" s="44" t="n">
        <v>0.186776859504132</v>
      </c>
      <c r="L1541" s="31" t="n">
        <v>81.7</v>
      </c>
      <c r="M1541" s="39" t="s">
        <v>832</v>
      </c>
      <c r="N1541" s="2" t="s">
        <v>22</v>
      </c>
      <c r="O1541" s="2"/>
      <c r="P1541" s="2" t="s">
        <v>22</v>
      </c>
      <c r="Q1541" s="2" t="s">
        <v>22</v>
      </c>
    </row>
    <row r="1542" customFormat="false" ht="15" hidden="false" customHeight="false" outlineLevel="0" collapsed="false">
      <c r="A1542" s="2" t="s">
        <v>1921</v>
      </c>
      <c r="B1542" s="2" t="s">
        <v>45</v>
      </c>
      <c r="C1542" s="13" t="s">
        <v>3271</v>
      </c>
      <c r="D1542" s="29" t="n">
        <v>4190</v>
      </c>
      <c r="E1542" s="2" t="s">
        <v>825</v>
      </c>
      <c r="F1542" s="30" t="n">
        <v>0.177326968973747</v>
      </c>
      <c r="G1542" s="31" t="n">
        <v>7.6</v>
      </c>
      <c r="H1542" s="37"/>
      <c r="I1542" s="31"/>
      <c r="J1542" s="2"/>
      <c r="K1542" s="33" t="n">
        <v>0</v>
      </c>
      <c r="L1542" s="31" t="n">
        <v>1.3</v>
      </c>
      <c r="M1542" s="39" t="s">
        <v>832</v>
      </c>
      <c r="N1542" s="2" t="s">
        <v>24</v>
      </c>
      <c r="O1542" s="2" t="s">
        <v>24</v>
      </c>
      <c r="P1542" s="2"/>
      <c r="Q1542" s="2" t="s">
        <v>24</v>
      </c>
    </row>
    <row r="1543" customFormat="false" ht="15" hidden="false" customHeight="false" outlineLevel="0" collapsed="false">
      <c r="A1543" s="2" t="s">
        <v>1921</v>
      </c>
      <c r="B1543" s="2" t="s">
        <v>46</v>
      </c>
      <c r="C1543" s="13" t="s">
        <v>1922</v>
      </c>
      <c r="D1543" s="29" t="n">
        <v>65960</v>
      </c>
      <c r="E1543" s="2" t="s">
        <v>821</v>
      </c>
      <c r="F1543" s="30" t="n">
        <v>2.95409338993329</v>
      </c>
      <c r="G1543" s="31" t="n">
        <v>45.6</v>
      </c>
      <c r="H1543" s="32" t="n">
        <v>0.0595983935742972</v>
      </c>
      <c r="I1543" s="31" t="n">
        <v>34.5</v>
      </c>
      <c r="J1543" s="2" t="s">
        <v>2884</v>
      </c>
      <c r="K1543" s="33" t="n">
        <v>0.156094839609484</v>
      </c>
      <c r="L1543" s="31" t="n">
        <v>57.8</v>
      </c>
      <c r="M1543" s="34" t="s">
        <v>822</v>
      </c>
      <c r="N1543" s="2" t="s">
        <v>24</v>
      </c>
      <c r="O1543" s="2" t="s">
        <v>24</v>
      </c>
      <c r="P1543" s="2" t="s">
        <v>24</v>
      </c>
      <c r="Q1543" s="2" t="s">
        <v>24</v>
      </c>
    </row>
    <row r="1544" customFormat="false" ht="15" hidden="false" customHeight="false" outlineLevel="0" collapsed="false">
      <c r="A1544" s="2" t="s">
        <v>1921</v>
      </c>
      <c r="B1544" s="2" t="s">
        <v>47</v>
      </c>
      <c r="C1544" s="13" t="s">
        <v>2749</v>
      </c>
      <c r="D1544" s="29" t="n">
        <v>12140</v>
      </c>
      <c r="E1544" s="2" t="s">
        <v>821</v>
      </c>
      <c r="F1544" s="30" t="n">
        <v>0.602800658978583</v>
      </c>
      <c r="G1544" s="31" t="n">
        <v>18.5</v>
      </c>
      <c r="H1544" s="32" t="n">
        <v>-0.0455974842767296</v>
      </c>
      <c r="I1544" s="31" t="n">
        <v>2.9</v>
      </c>
      <c r="J1544" s="2" t="s">
        <v>2886</v>
      </c>
      <c r="K1544" s="44" t="n">
        <v>0.226027397260274</v>
      </c>
      <c r="L1544" s="31" t="n">
        <v>90</v>
      </c>
      <c r="M1544" s="34" t="s">
        <v>822</v>
      </c>
      <c r="N1544" s="2" t="s">
        <v>24</v>
      </c>
      <c r="O1544" s="2" t="s">
        <v>24</v>
      </c>
      <c r="P1544" s="2" t="s">
        <v>24</v>
      </c>
      <c r="Q1544" s="2" t="s">
        <v>22</v>
      </c>
    </row>
    <row r="1545" customFormat="false" ht="15" hidden="false" customHeight="false" outlineLevel="0" collapsed="false">
      <c r="A1545" s="2" t="s">
        <v>1632</v>
      </c>
      <c r="B1545" s="2" t="s">
        <v>45</v>
      </c>
      <c r="C1545" s="16"/>
      <c r="D1545" s="35"/>
      <c r="E1545" s="2"/>
      <c r="F1545" s="36"/>
      <c r="G1545" s="31"/>
      <c r="H1545" s="37"/>
      <c r="I1545" s="31"/>
      <c r="J1545" s="2"/>
      <c r="K1545" s="38"/>
      <c r="L1545" s="31"/>
      <c r="M1545" s="39" t="s">
        <v>832</v>
      </c>
      <c r="N1545" s="2"/>
      <c r="O1545" s="2"/>
      <c r="P1545" s="2"/>
      <c r="Q1545" s="2"/>
    </row>
    <row r="1546" customFormat="false" ht="15" hidden="false" customHeight="false" outlineLevel="0" collapsed="false">
      <c r="A1546" s="2" t="s">
        <v>1632</v>
      </c>
      <c r="B1546" s="2" t="s">
        <v>46</v>
      </c>
      <c r="C1546" s="13" t="s">
        <v>1633</v>
      </c>
      <c r="D1546" s="29" t="n">
        <v>68320</v>
      </c>
      <c r="E1546" s="2" t="s">
        <v>821</v>
      </c>
      <c r="F1546" s="30" t="n">
        <v>10.5230971896956</v>
      </c>
      <c r="G1546" s="31" t="n">
        <v>94.9</v>
      </c>
      <c r="H1546" s="32" t="n">
        <v>0.220435869953555</v>
      </c>
      <c r="I1546" s="31" t="n">
        <v>96.7</v>
      </c>
      <c r="J1546" s="2" t="s">
        <v>2884</v>
      </c>
      <c r="K1546" s="33" t="n">
        <v>0.329818221047522</v>
      </c>
      <c r="L1546" s="31" t="n">
        <v>93.2</v>
      </c>
      <c r="M1546" s="34" t="s">
        <v>822</v>
      </c>
      <c r="N1546" s="2" t="s">
        <v>24</v>
      </c>
      <c r="O1546" s="2" t="s">
        <v>24</v>
      </c>
      <c r="P1546" s="2" t="s">
        <v>24</v>
      </c>
      <c r="Q1546" s="2" t="s">
        <v>24</v>
      </c>
    </row>
    <row r="1547" customFormat="false" ht="15" hidden="false" customHeight="false" outlineLevel="0" collapsed="false">
      <c r="A1547" s="2" t="s">
        <v>1632</v>
      </c>
      <c r="B1547" s="2" t="s">
        <v>47</v>
      </c>
      <c r="C1547" s="14" t="s">
        <v>2667</v>
      </c>
      <c r="D1547" s="42" t="n">
        <v>42608</v>
      </c>
      <c r="E1547" s="2" t="s">
        <v>821</v>
      </c>
      <c r="F1547" s="43" t="n">
        <v>0.832519714607585</v>
      </c>
      <c r="G1547" s="31" t="n">
        <v>30.7</v>
      </c>
      <c r="H1547" s="41" t="n">
        <v>0.0206242364720818</v>
      </c>
      <c r="I1547" s="31" t="n">
        <v>16.2</v>
      </c>
      <c r="J1547" s="2" t="s">
        <v>2886</v>
      </c>
      <c r="K1547" s="44" t="n">
        <v>0.239791833466773</v>
      </c>
      <c r="L1547" s="31" t="n">
        <v>91.6</v>
      </c>
      <c r="M1547" s="34" t="s">
        <v>822</v>
      </c>
      <c r="N1547" s="2" t="s">
        <v>22</v>
      </c>
      <c r="O1547" s="2" t="s">
        <v>22</v>
      </c>
      <c r="P1547" s="2" t="s">
        <v>22</v>
      </c>
      <c r="Q1547" s="2" t="s">
        <v>22</v>
      </c>
    </row>
    <row r="1548" customFormat="false" ht="15" hidden="false" customHeight="false" outlineLevel="0" collapsed="false">
      <c r="A1548" s="2" t="s">
        <v>2069</v>
      </c>
      <c r="B1548" s="2" t="s">
        <v>45</v>
      </c>
      <c r="C1548" s="13" t="s">
        <v>3272</v>
      </c>
      <c r="D1548" s="29" t="n">
        <v>43060</v>
      </c>
      <c r="E1548" s="2" t="s">
        <v>821</v>
      </c>
      <c r="F1548" s="30" t="n">
        <v>0.78697166744078</v>
      </c>
      <c r="G1548" s="31" t="n">
        <v>67.3</v>
      </c>
      <c r="H1548" s="32" t="n">
        <v>0.175218340611354</v>
      </c>
      <c r="I1548" s="31" t="n">
        <v>85.6</v>
      </c>
      <c r="J1548" s="2" t="s">
        <v>2883</v>
      </c>
      <c r="K1548" s="38"/>
      <c r="L1548" s="31"/>
      <c r="M1548" s="39" t="s">
        <v>832</v>
      </c>
      <c r="N1548" s="2" t="s">
        <v>24</v>
      </c>
      <c r="O1548" s="2" t="s">
        <v>24</v>
      </c>
      <c r="P1548" s="2" t="s">
        <v>24</v>
      </c>
      <c r="Q1548" s="2"/>
    </row>
    <row r="1549" customFormat="false" ht="15" hidden="false" customHeight="false" outlineLevel="0" collapsed="false">
      <c r="A1549" s="2" t="s">
        <v>2069</v>
      </c>
      <c r="B1549" s="2" t="s">
        <v>46</v>
      </c>
      <c r="C1549" s="13" t="s">
        <v>2070</v>
      </c>
      <c r="D1549" s="29" t="n">
        <v>56740</v>
      </c>
      <c r="E1549" s="2" t="s">
        <v>821</v>
      </c>
      <c r="F1549" s="30" t="n">
        <v>1.72870990482905</v>
      </c>
      <c r="G1549" s="31" t="n">
        <v>22.2</v>
      </c>
      <c r="H1549" s="32" t="n">
        <v>0.144413069786204</v>
      </c>
      <c r="I1549" s="31" t="n">
        <v>78.2</v>
      </c>
      <c r="J1549" s="2" t="s">
        <v>2884</v>
      </c>
      <c r="K1549" s="33" t="n">
        <v>0.0155038759689923</v>
      </c>
      <c r="L1549" s="31" t="n">
        <v>2</v>
      </c>
      <c r="M1549" s="34" t="s">
        <v>822</v>
      </c>
      <c r="N1549" s="2" t="s">
        <v>24</v>
      </c>
      <c r="O1549" s="2" t="s">
        <v>24</v>
      </c>
      <c r="P1549" s="2" t="s">
        <v>24</v>
      </c>
      <c r="Q1549" s="2" t="s">
        <v>24</v>
      </c>
    </row>
    <row r="1550" customFormat="false" ht="15" hidden="false" customHeight="false" outlineLevel="0" collapsed="false">
      <c r="A1550" s="2" t="s">
        <v>2069</v>
      </c>
      <c r="B1550" s="2" t="s">
        <v>47</v>
      </c>
      <c r="C1550" s="14" t="s">
        <v>2623</v>
      </c>
      <c r="D1550" s="42" t="n">
        <v>307636</v>
      </c>
      <c r="E1550" s="2" t="s">
        <v>827</v>
      </c>
      <c r="F1550" s="43" t="n">
        <v>0.967100729433486</v>
      </c>
      <c r="G1550" s="31" t="n">
        <v>37.2</v>
      </c>
      <c r="H1550" s="41" t="n">
        <v>0.057637234375376</v>
      </c>
      <c r="I1550" s="31" t="n">
        <v>36.6</v>
      </c>
      <c r="J1550" s="2" t="s">
        <v>2897</v>
      </c>
      <c r="K1550" s="44" t="n">
        <v>0.0512710347296813</v>
      </c>
      <c r="L1550" s="31" t="n">
        <v>33.5</v>
      </c>
      <c r="M1550" s="34" t="s">
        <v>822</v>
      </c>
      <c r="N1550" s="2" t="s">
        <v>22</v>
      </c>
      <c r="O1550" s="2" t="s">
        <v>22</v>
      </c>
      <c r="P1550" s="2" t="s">
        <v>22</v>
      </c>
      <c r="Q1550" s="2" t="s">
        <v>22</v>
      </c>
    </row>
    <row r="1551" customFormat="false" ht="15" hidden="false" customHeight="false" outlineLevel="0" collapsed="false">
      <c r="A1551" s="2" t="s">
        <v>3273</v>
      </c>
      <c r="B1551" s="2" t="s">
        <v>45</v>
      </c>
      <c r="C1551" s="16"/>
      <c r="D1551" s="35"/>
      <c r="E1551" s="2"/>
      <c r="F1551" s="36"/>
      <c r="G1551" s="31"/>
      <c r="H1551" s="37"/>
      <c r="I1551" s="31"/>
      <c r="J1551" s="2"/>
      <c r="K1551" s="38"/>
      <c r="L1551" s="31"/>
      <c r="M1551" s="39" t="s">
        <v>832</v>
      </c>
      <c r="N1551" s="2"/>
      <c r="O1551" s="2"/>
      <c r="P1551" s="2"/>
      <c r="Q1551" s="2"/>
    </row>
    <row r="1552" customFormat="false" ht="15" hidden="false" customHeight="false" outlineLevel="0" collapsed="false">
      <c r="A1552" s="2" t="s">
        <v>3273</v>
      </c>
      <c r="B1552" s="2" t="s">
        <v>47</v>
      </c>
      <c r="C1552" s="13" t="s">
        <v>3274</v>
      </c>
      <c r="D1552" s="29" t="n">
        <v>21700</v>
      </c>
      <c r="E1552" s="2" t="s">
        <v>821</v>
      </c>
      <c r="F1552" s="30" t="n">
        <v>1.47198156682028</v>
      </c>
      <c r="G1552" s="31" t="n">
        <v>58.7</v>
      </c>
      <c r="H1552" s="32" t="n">
        <v>0.147540983606557</v>
      </c>
      <c r="I1552" s="31" t="n">
        <v>76.3</v>
      </c>
      <c r="J1552" s="2" t="s">
        <v>2886</v>
      </c>
      <c r="K1552" s="38"/>
      <c r="L1552" s="31"/>
      <c r="M1552" s="39" t="s">
        <v>832</v>
      </c>
      <c r="N1552" s="2" t="s">
        <v>24</v>
      </c>
      <c r="O1552" s="2" t="s">
        <v>24</v>
      </c>
      <c r="P1552" s="2" t="s">
        <v>24</v>
      </c>
      <c r="Q1552" s="2"/>
    </row>
    <row r="1553" customFormat="false" ht="15" hidden="false" customHeight="false" outlineLevel="0" collapsed="false">
      <c r="A1553" s="2" t="s">
        <v>3275</v>
      </c>
      <c r="B1553" s="2" t="s">
        <v>46</v>
      </c>
      <c r="C1553" s="16"/>
      <c r="D1553" s="29" t="n">
        <v>48650</v>
      </c>
      <c r="E1553" s="2" t="s">
        <v>821</v>
      </c>
      <c r="F1553" s="30" t="n">
        <v>1.64688591983556</v>
      </c>
      <c r="G1553" s="31" t="n">
        <v>19.6</v>
      </c>
      <c r="H1553" s="32" t="n">
        <v>-0.0181634712411705</v>
      </c>
      <c r="I1553" s="31" t="n">
        <v>9.1</v>
      </c>
      <c r="J1553" s="2" t="s">
        <v>2884</v>
      </c>
      <c r="K1553" s="33" t="n">
        <v>0.0571526351813826</v>
      </c>
      <c r="L1553" s="31" t="n">
        <v>14.3</v>
      </c>
      <c r="M1553" s="39" t="s">
        <v>832</v>
      </c>
      <c r="N1553" s="2" t="s">
        <v>24</v>
      </c>
      <c r="O1553" s="2" t="s">
        <v>24</v>
      </c>
      <c r="P1553" s="2" t="s">
        <v>24</v>
      </c>
      <c r="Q1553" s="2" t="s">
        <v>24</v>
      </c>
    </row>
    <row r="1554" customFormat="false" ht="15" hidden="false" customHeight="false" outlineLevel="0" collapsed="false">
      <c r="A1554" s="2" t="s">
        <v>3275</v>
      </c>
      <c r="B1554" s="2" t="s">
        <v>47</v>
      </c>
      <c r="C1554" s="16"/>
      <c r="D1554" s="35"/>
      <c r="E1554" s="2"/>
      <c r="F1554" s="36"/>
      <c r="G1554" s="31"/>
      <c r="H1554" s="37"/>
      <c r="I1554" s="31"/>
      <c r="J1554" s="2"/>
      <c r="K1554" s="38"/>
      <c r="L1554" s="31"/>
      <c r="M1554" s="39" t="s">
        <v>832</v>
      </c>
      <c r="N1554" s="2"/>
      <c r="O1554" s="2"/>
      <c r="P1554" s="2"/>
      <c r="Q1554" s="2"/>
    </row>
    <row r="1555" customFormat="false" ht="15" hidden="false" customHeight="false" outlineLevel="0" collapsed="false">
      <c r="A1555" s="2" t="s">
        <v>1814</v>
      </c>
      <c r="B1555" s="2" t="s">
        <v>45</v>
      </c>
      <c r="C1555" s="13" t="s">
        <v>3276</v>
      </c>
      <c r="D1555" s="29" t="n">
        <v>24200</v>
      </c>
      <c r="E1555" s="2" t="s">
        <v>821</v>
      </c>
      <c r="F1555" s="30" t="n">
        <v>0.910785123966942</v>
      </c>
      <c r="G1555" s="31" t="n">
        <v>75.4</v>
      </c>
      <c r="H1555" s="37"/>
      <c r="I1555" s="31"/>
      <c r="J1555" s="2"/>
      <c r="K1555" s="33" t="n">
        <v>0.335046248715314</v>
      </c>
      <c r="L1555" s="31" t="n">
        <v>94.4</v>
      </c>
      <c r="M1555" s="39" t="s">
        <v>832</v>
      </c>
      <c r="N1555" s="2" t="s">
        <v>24</v>
      </c>
      <c r="O1555" s="2" t="s">
        <v>24</v>
      </c>
      <c r="P1555" s="2"/>
      <c r="Q1555" s="2" t="s">
        <v>24</v>
      </c>
    </row>
    <row r="1556" customFormat="false" ht="15" hidden="false" customHeight="false" outlineLevel="0" collapsed="false">
      <c r="A1556" s="2" t="s">
        <v>1814</v>
      </c>
      <c r="B1556" s="2" t="s">
        <v>46</v>
      </c>
      <c r="C1556" s="13" t="s">
        <v>1815</v>
      </c>
      <c r="D1556" s="29" t="n">
        <v>40920</v>
      </c>
      <c r="E1556" s="2" t="s">
        <v>821</v>
      </c>
      <c r="F1556" s="30" t="n">
        <v>4.00405669599218</v>
      </c>
      <c r="G1556" s="31" t="n">
        <v>64.2</v>
      </c>
      <c r="H1556" s="32" t="n">
        <v>0.147504206393718</v>
      </c>
      <c r="I1556" s="31" t="n">
        <v>80.4</v>
      </c>
      <c r="J1556" s="2" t="s">
        <v>2884</v>
      </c>
      <c r="K1556" s="33" t="n">
        <v>0.117997501681561</v>
      </c>
      <c r="L1556" s="31" t="n">
        <v>44.4</v>
      </c>
      <c r="M1556" s="34" t="s">
        <v>822</v>
      </c>
      <c r="N1556" s="2" t="s">
        <v>24</v>
      </c>
      <c r="O1556" s="2" t="s">
        <v>24</v>
      </c>
      <c r="P1556" s="2" t="s">
        <v>24</v>
      </c>
      <c r="Q1556" s="2" t="s">
        <v>24</v>
      </c>
    </row>
    <row r="1557" customFormat="false" ht="15" hidden="false" customHeight="false" outlineLevel="0" collapsed="false">
      <c r="A1557" s="2" t="s">
        <v>1814</v>
      </c>
      <c r="B1557" s="2" t="s">
        <v>47</v>
      </c>
      <c r="C1557" s="16"/>
      <c r="D1557" s="35"/>
      <c r="E1557" s="2"/>
      <c r="F1557" s="36"/>
      <c r="G1557" s="31"/>
      <c r="H1557" s="37"/>
      <c r="I1557" s="31"/>
      <c r="J1557" s="2"/>
      <c r="K1557" s="38"/>
      <c r="L1557" s="31"/>
      <c r="M1557" s="39" t="s">
        <v>832</v>
      </c>
      <c r="N1557" s="2"/>
      <c r="O1557" s="2"/>
      <c r="P1557" s="2"/>
      <c r="Q1557" s="2"/>
    </row>
    <row r="1558" customFormat="false" ht="15" hidden="false" customHeight="false" outlineLevel="0" collapsed="false">
      <c r="A1558" s="2" t="s">
        <v>1239</v>
      </c>
      <c r="B1558" s="2" t="s">
        <v>45</v>
      </c>
      <c r="C1558" s="13" t="s">
        <v>1240</v>
      </c>
      <c r="D1558" s="29" t="n">
        <v>53700</v>
      </c>
      <c r="E1558" s="2" t="s">
        <v>821</v>
      </c>
      <c r="F1558" s="30" t="n">
        <v>0.559143389199255</v>
      </c>
      <c r="G1558" s="31" t="n">
        <v>49.1</v>
      </c>
      <c r="H1558" s="32" t="n">
        <v>0.0604265402843602</v>
      </c>
      <c r="I1558" s="31" t="n">
        <v>33</v>
      </c>
      <c r="J1558" s="2" t="s">
        <v>2883</v>
      </c>
      <c r="K1558" s="40" t="s">
        <v>857</v>
      </c>
      <c r="L1558" s="31"/>
      <c r="M1558" s="34" t="s">
        <v>822</v>
      </c>
      <c r="N1558" s="2" t="s">
        <v>24</v>
      </c>
      <c r="O1558" s="2" t="s">
        <v>24</v>
      </c>
      <c r="P1558" s="2" t="s">
        <v>24</v>
      </c>
      <c r="Q1558" s="2" t="s">
        <v>2885</v>
      </c>
    </row>
    <row r="1559" customFormat="false" ht="15" hidden="false" customHeight="false" outlineLevel="0" collapsed="false">
      <c r="A1559" s="2" t="s">
        <v>1239</v>
      </c>
      <c r="B1559" s="2" t="s">
        <v>46</v>
      </c>
      <c r="C1559" s="13" t="s">
        <v>3277</v>
      </c>
      <c r="D1559" s="46" t="n">
        <v>17565</v>
      </c>
      <c r="E1559" s="2" t="s">
        <v>821</v>
      </c>
      <c r="F1559" s="47" t="n">
        <v>3.77307144890407</v>
      </c>
      <c r="G1559" s="31" t="n">
        <v>60.1</v>
      </c>
      <c r="H1559" s="48" t="n">
        <v>0.0851300426267993</v>
      </c>
      <c r="I1559" s="31" t="n">
        <v>50.9</v>
      </c>
      <c r="J1559" s="2" t="s">
        <v>2884</v>
      </c>
      <c r="K1559" s="38"/>
      <c r="L1559" s="31"/>
      <c r="M1559" s="39" t="s">
        <v>832</v>
      </c>
      <c r="N1559" s="2" t="s">
        <v>19</v>
      </c>
      <c r="O1559" s="2" t="s">
        <v>19</v>
      </c>
      <c r="P1559" s="2" t="s">
        <v>19</v>
      </c>
      <c r="Q1559" s="2"/>
    </row>
    <row r="1560" customFormat="false" ht="15" hidden="false" customHeight="false" outlineLevel="0" collapsed="false">
      <c r="A1560" s="2" t="s">
        <v>1239</v>
      </c>
      <c r="B1560" s="2" t="s">
        <v>47</v>
      </c>
      <c r="C1560" s="13" t="s">
        <v>2671</v>
      </c>
      <c r="D1560" s="29" t="n">
        <v>30750</v>
      </c>
      <c r="E1560" s="2" t="s">
        <v>821</v>
      </c>
      <c r="F1560" s="30" t="n">
        <v>0.82139837398374</v>
      </c>
      <c r="G1560" s="31" t="n">
        <v>30</v>
      </c>
      <c r="H1560" s="32" t="n">
        <v>0.0563380281690141</v>
      </c>
      <c r="I1560" s="31" t="n">
        <v>32.5</v>
      </c>
      <c r="J1560" s="2" t="s">
        <v>2886</v>
      </c>
      <c r="K1560" s="33" t="n">
        <v>0.0927152317880795</v>
      </c>
      <c r="L1560" s="31" t="n">
        <v>55.2</v>
      </c>
      <c r="M1560" s="34" t="s">
        <v>822</v>
      </c>
      <c r="N1560" s="2" t="s">
        <v>24</v>
      </c>
      <c r="O1560" s="2" t="s">
        <v>24</v>
      </c>
      <c r="P1560" s="2" t="s">
        <v>24</v>
      </c>
      <c r="Q1560" s="2" t="s">
        <v>24</v>
      </c>
    </row>
    <row r="1561" customFormat="false" ht="15" hidden="false" customHeight="false" outlineLevel="0" collapsed="false">
      <c r="A1561" s="2" t="s">
        <v>554</v>
      </c>
      <c r="B1561" s="2" t="s">
        <v>45</v>
      </c>
      <c r="C1561" s="13" t="s">
        <v>1588</v>
      </c>
      <c r="D1561" s="29" t="n">
        <v>56720</v>
      </c>
      <c r="E1561" s="2" t="s">
        <v>821</v>
      </c>
      <c r="F1561" s="30" t="n">
        <v>0.0945698166431594</v>
      </c>
      <c r="G1561" s="31" t="n">
        <v>1.5</v>
      </c>
      <c r="H1561" s="32" t="n">
        <v>0.171174891596118</v>
      </c>
      <c r="I1561" s="31" t="n">
        <v>83.5</v>
      </c>
      <c r="J1561" s="2" t="s">
        <v>2883</v>
      </c>
      <c r="K1561" s="33" t="n">
        <v>0.408839779005525</v>
      </c>
      <c r="L1561" s="31" t="n">
        <v>98.4</v>
      </c>
      <c r="M1561" s="34" t="s">
        <v>822</v>
      </c>
      <c r="N1561" s="2" t="s">
        <v>24</v>
      </c>
      <c r="O1561" s="2" t="s">
        <v>24</v>
      </c>
      <c r="P1561" s="2" t="s">
        <v>24</v>
      </c>
      <c r="Q1561" s="2" t="s">
        <v>24</v>
      </c>
    </row>
    <row r="1562" customFormat="false" ht="15" hidden="false" customHeight="false" outlineLevel="0" collapsed="false">
      <c r="A1562" s="2" t="s">
        <v>554</v>
      </c>
      <c r="B1562" s="2" t="s">
        <v>46</v>
      </c>
      <c r="C1562" s="13" t="s">
        <v>1777</v>
      </c>
      <c r="D1562" s="29" t="n">
        <v>45330</v>
      </c>
      <c r="E1562" s="2" t="s">
        <v>821</v>
      </c>
      <c r="F1562" s="30" t="n">
        <v>4.56298257224796</v>
      </c>
      <c r="G1562" s="31" t="n">
        <v>69.5</v>
      </c>
      <c r="H1562" s="32" t="n">
        <v>0.0172800718132855</v>
      </c>
      <c r="I1562" s="31" t="n">
        <v>17.5</v>
      </c>
      <c r="J1562" s="2" t="s">
        <v>2884</v>
      </c>
      <c r="K1562" s="33" t="n">
        <v>0.103744071046523</v>
      </c>
      <c r="L1562" s="31" t="n">
        <v>38.9</v>
      </c>
      <c r="M1562" s="34" t="s">
        <v>822</v>
      </c>
      <c r="N1562" s="2" t="s">
        <v>24</v>
      </c>
      <c r="O1562" s="2" t="s">
        <v>24</v>
      </c>
      <c r="P1562" s="2" t="s">
        <v>24</v>
      </c>
      <c r="Q1562" s="2" t="s">
        <v>24</v>
      </c>
    </row>
    <row r="1563" customFormat="false" ht="15" hidden="false" customHeight="false" outlineLevel="0" collapsed="false">
      <c r="A1563" s="2" t="s">
        <v>554</v>
      </c>
      <c r="B1563" s="2" t="s">
        <v>47</v>
      </c>
      <c r="C1563" s="14" t="s">
        <v>2474</v>
      </c>
      <c r="D1563" s="42" t="n">
        <v>337181</v>
      </c>
      <c r="E1563" s="2" t="s">
        <v>827</v>
      </c>
      <c r="F1563" s="43" t="n">
        <v>1.49441694520154</v>
      </c>
      <c r="G1563" s="31" t="n">
        <v>59.4</v>
      </c>
      <c r="H1563" s="41" t="n">
        <v>0.157782508670123</v>
      </c>
      <c r="I1563" s="31" t="n">
        <v>85.7</v>
      </c>
      <c r="J1563" s="2" t="s">
        <v>2897</v>
      </c>
      <c r="K1563" s="44" t="n">
        <v>0.273635446867516</v>
      </c>
      <c r="L1563" s="31" t="n">
        <v>94.8</v>
      </c>
      <c r="M1563" s="34" t="s">
        <v>822</v>
      </c>
      <c r="N1563" s="2" t="s">
        <v>22</v>
      </c>
      <c r="O1563" s="2" t="s">
        <v>22</v>
      </c>
      <c r="P1563" s="2" t="s">
        <v>22</v>
      </c>
      <c r="Q1563" s="2" t="s">
        <v>22</v>
      </c>
    </row>
    <row r="1564" customFormat="false" ht="15" hidden="false" customHeight="false" outlineLevel="0" collapsed="false">
      <c r="A1564" s="2" t="s">
        <v>414</v>
      </c>
      <c r="B1564" s="2" t="s">
        <v>45</v>
      </c>
      <c r="C1564" s="13" t="s">
        <v>1342</v>
      </c>
      <c r="D1564" s="29" t="n">
        <v>44020</v>
      </c>
      <c r="E1564" s="2" t="s">
        <v>821</v>
      </c>
      <c r="F1564" s="30" t="n">
        <v>0.451635620172649</v>
      </c>
      <c r="G1564" s="31" t="n">
        <v>35.5</v>
      </c>
      <c r="H1564" s="32" t="n">
        <v>0.0156898938624827</v>
      </c>
      <c r="I1564" s="31" t="n">
        <v>12</v>
      </c>
      <c r="J1564" s="2" t="s">
        <v>2883</v>
      </c>
      <c r="K1564" s="40" t="s">
        <v>857</v>
      </c>
      <c r="L1564" s="31"/>
      <c r="M1564" s="34" t="s">
        <v>822</v>
      </c>
      <c r="N1564" s="2" t="s">
        <v>24</v>
      </c>
      <c r="O1564" s="2" t="s">
        <v>24</v>
      </c>
      <c r="P1564" s="2" t="s">
        <v>24</v>
      </c>
      <c r="Q1564" s="2" t="s">
        <v>2885</v>
      </c>
    </row>
    <row r="1565" customFormat="false" ht="15" hidden="false" customHeight="false" outlineLevel="0" collapsed="false">
      <c r="A1565" s="2" t="s">
        <v>414</v>
      </c>
      <c r="B1565" s="2" t="s">
        <v>46</v>
      </c>
      <c r="C1565" s="15" t="s">
        <v>1840</v>
      </c>
      <c r="D1565" s="29" t="n">
        <v>539450</v>
      </c>
      <c r="E1565" s="2" t="s">
        <v>827</v>
      </c>
      <c r="F1565" s="30" t="n">
        <v>3.61848178700528</v>
      </c>
      <c r="G1565" s="31" t="n">
        <v>58.5</v>
      </c>
      <c r="H1565" s="32" t="n">
        <v>0.0767035248093888</v>
      </c>
      <c r="I1565" s="31" t="n">
        <v>49.7</v>
      </c>
      <c r="J1565" s="2" t="s">
        <v>2888</v>
      </c>
      <c r="K1565" s="33" t="n">
        <v>0.104692925293246</v>
      </c>
      <c r="L1565" s="31" t="n">
        <v>39.3</v>
      </c>
      <c r="M1565" s="34" t="s">
        <v>822</v>
      </c>
      <c r="N1565" s="2" t="s">
        <v>24</v>
      </c>
      <c r="O1565" s="2" t="s">
        <v>24</v>
      </c>
      <c r="P1565" s="2" t="s">
        <v>24</v>
      </c>
      <c r="Q1565" s="2" t="s">
        <v>24</v>
      </c>
    </row>
    <row r="1566" customFormat="false" ht="15" hidden="false" customHeight="false" outlineLevel="0" collapsed="false">
      <c r="A1566" s="2" t="s">
        <v>414</v>
      </c>
      <c r="B1566" s="2" t="s">
        <v>47</v>
      </c>
      <c r="C1566" s="14" t="s">
        <v>2416</v>
      </c>
      <c r="D1566" s="42" t="n">
        <v>53822</v>
      </c>
      <c r="E1566" s="2" t="s">
        <v>821</v>
      </c>
      <c r="F1566" s="43" t="n">
        <v>1.6895135818067</v>
      </c>
      <c r="G1566" s="31" t="n">
        <v>68.4</v>
      </c>
      <c r="H1566" s="41" t="n">
        <v>0.163241046921265</v>
      </c>
      <c r="I1566" s="31" t="n">
        <v>83.4</v>
      </c>
      <c r="J1566" s="2" t="s">
        <v>2886</v>
      </c>
      <c r="K1566" s="44" t="n">
        <v>0.0965916398713826</v>
      </c>
      <c r="L1566" s="31" t="n">
        <v>57.2</v>
      </c>
      <c r="M1566" s="34" t="s">
        <v>822</v>
      </c>
      <c r="N1566" s="2" t="s">
        <v>22</v>
      </c>
      <c r="O1566" s="2" t="s">
        <v>22</v>
      </c>
      <c r="P1566" s="2" t="s">
        <v>22</v>
      </c>
      <c r="Q1566" s="2" t="s">
        <v>22</v>
      </c>
    </row>
    <row r="1567" customFormat="false" ht="15" hidden="false" customHeight="false" outlineLevel="0" collapsed="false">
      <c r="A1567" s="2" t="s">
        <v>490</v>
      </c>
      <c r="B1567" s="2" t="s">
        <v>45</v>
      </c>
      <c r="C1567" s="13" t="s">
        <v>1237</v>
      </c>
      <c r="D1567" s="29" t="n">
        <v>234840</v>
      </c>
      <c r="E1567" s="2" t="s">
        <v>827</v>
      </c>
      <c r="F1567" s="30" t="n">
        <v>0.560824391074774</v>
      </c>
      <c r="G1567" s="31" t="n">
        <v>49.3</v>
      </c>
      <c r="H1567" s="32" t="n">
        <v>0.184564943253468</v>
      </c>
      <c r="I1567" s="31" t="n">
        <v>91.4</v>
      </c>
      <c r="J1567" s="2" t="s">
        <v>2890</v>
      </c>
      <c r="K1567" s="33" t="n">
        <v>0.107478614381299</v>
      </c>
      <c r="L1567" s="31" t="n">
        <v>38.5</v>
      </c>
      <c r="M1567" s="34" t="s">
        <v>822</v>
      </c>
      <c r="N1567" s="2" t="s">
        <v>24</v>
      </c>
      <c r="O1567" s="2" t="s">
        <v>24</v>
      </c>
      <c r="P1567" s="2" t="s">
        <v>24</v>
      </c>
      <c r="Q1567" s="2" t="s">
        <v>24</v>
      </c>
    </row>
    <row r="1568" customFormat="false" ht="15" hidden="false" customHeight="false" outlineLevel="0" collapsed="false">
      <c r="A1568" s="2" t="s">
        <v>1295</v>
      </c>
      <c r="B1568" s="2" t="s">
        <v>45</v>
      </c>
      <c r="C1568" s="14" t="s">
        <v>1296</v>
      </c>
      <c r="D1568" s="29" t="n">
        <v>94730</v>
      </c>
      <c r="E1568" s="2" t="s">
        <v>821</v>
      </c>
      <c r="F1568" s="30" t="n">
        <v>0.505594848516837</v>
      </c>
      <c r="G1568" s="31" t="n">
        <v>41.8</v>
      </c>
      <c r="H1568" s="41" t="n">
        <v>0.0342112642636813</v>
      </c>
      <c r="I1568" s="31" t="n">
        <v>20.3</v>
      </c>
      <c r="J1568" s="2" t="s">
        <v>2883</v>
      </c>
      <c r="K1568" s="44" t="n">
        <v>0.107572919454108</v>
      </c>
      <c r="L1568" s="31" t="n">
        <v>38.7</v>
      </c>
      <c r="M1568" s="34" t="s">
        <v>822</v>
      </c>
      <c r="N1568" s="2" t="s">
        <v>24</v>
      </c>
      <c r="O1568" s="2" t="s">
        <v>24</v>
      </c>
      <c r="P1568" s="2" t="s">
        <v>22</v>
      </c>
      <c r="Q1568" s="2" t="s">
        <v>22</v>
      </c>
    </row>
    <row r="1569" customFormat="false" ht="15" hidden="false" customHeight="false" outlineLevel="0" collapsed="false">
      <c r="A1569" s="2" t="s">
        <v>1295</v>
      </c>
      <c r="B1569" s="2" t="s">
        <v>46</v>
      </c>
      <c r="C1569" s="16"/>
      <c r="D1569" s="35"/>
      <c r="E1569" s="2"/>
      <c r="F1569" s="36"/>
      <c r="G1569" s="31"/>
      <c r="H1569" s="37"/>
      <c r="I1569" s="31"/>
      <c r="J1569" s="2"/>
      <c r="K1569" s="38"/>
      <c r="L1569" s="31"/>
      <c r="M1569" s="39" t="s">
        <v>832</v>
      </c>
      <c r="N1569" s="2"/>
      <c r="O1569" s="2"/>
      <c r="P1569" s="2"/>
      <c r="Q1569" s="2"/>
    </row>
    <row r="1570" customFormat="false" ht="15" hidden="false" customHeight="false" outlineLevel="0" collapsed="false">
      <c r="A1570" s="2" t="s">
        <v>1295</v>
      </c>
      <c r="B1570" s="2" t="s">
        <v>47</v>
      </c>
      <c r="C1570" s="14" t="s">
        <v>2404</v>
      </c>
      <c r="D1570" s="42" t="n">
        <v>771</v>
      </c>
      <c r="E1570" s="2" t="s">
        <v>825</v>
      </c>
      <c r="F1570" s="43" t="n">
        <v>1.77302204928664</v>
      </c>
      <c r="G1570" s="31" t="n">
        <v>70.7</v>
      </c>
      <c r="H1570" s="41" t="n">
        <v>0.047554347826087</v>
      </c>
      <c r="I1570" s="31" t="n">
        <v>27.5</v>
      </c>
      <c r="J1570" s="2" t="s">
        <v>2889</v>
      </c>
      <c r="K1570" s="44" t="n">
        <v>0.0307692307692308</v>
      </c>
      <c r="L1570" s="31" t="n">
        <v>19.9</v>
      </c>
      <c r="M1570" s="34" t="s">
        <v>822</v>
      </c>
      <c r="N1570" s="2" t="s">
        <v>22</v>
      </c>
      <c r="O1570" s="2" t="s">
        <v>22</v>
      </c>
      <c r="P1570" s="2" t="s">
        <v>22</v>
      </c>
      <c r="Q1570" s="2" t="s">
        <v>22</v>
      </c>
    </row>
    <row r="1571" customFormat="false" ht="15" hidden="false" customHeight="false" outlineLevel="0" collapsed="false">
      <c r="A1571" s="2" t="s">
        <v>2640</v>
      </c>
      <c r="B1571" s="2" t="s">
        <v>45</v>
      </c>
      <c r="C1571" s="13" t="s">
        <v>3278</v>
      </c>
      <c r="D1571" s="29" t="n">
        <v>26300</v>
      </c>
      <c r="E1571" s="2" t="s">
        <v>821</v>
      </c>
      <c r="F1571" s="30" t="n">
        <v>2.52539923954373</v>
      </c>
      <c r="G1571" s="31" t="n">
        <v>97.9</v>
      </c>
      <c r="H1571" s="32" t="n">
        <v>0.220417633410673</v>
      </c>
      <c r="I1571" s="31" t="n">
        <v>95.2</v>
      </c>
      <c r="J1571" s="2" t="s">
        <v>2883</v>
      </c>
      <c r="K1571" s="38"/>
      <c r="L1571" s="31"/>
      <c r="M1571" s="39" t="s">
        <v>832</v>
      </c>
      <c r="N1571" s="2" t="s">
        <v>24</v>
      </c>
      <c r="O1571" s="2" t="s">
        <v>24</v>
      </c>
      <c r="P1571" s="2" t="s">
        <v>24</v>
      </c>
      <c r="Q1571" s="2"/>
    </row>
    <row r="1572" customFormat="false" ht="15" hidden="false" customHeight="false" outlineLevel="0" collapsed="false">
      <c r="A1572" s="2" t="s">
        <v>2640</v>
      </c>
      <c r="B1572" s="2" t="s">
        <v>46</v>
      </c>
      <c r="C1572" s="13" t="s">
        <v>3279</v>
      </c>
      <c r="D1572" s="35"/>
      <c r="E1572" s="2"/>
      <c r="F1572" s="36"/>
      <c r="G1572" s="31"/>
      <c r="H1572" s="37"/>
      <c r="I1572" s="31"/>
      <c r="J1572" s="2"/>
      <c r="K1572" s="33" t="n">
        <v>0.110561056105611</v>
      </c>
      <c r="L1572" s="31" t="n">
        <v>41.5</v>
      </c>
      <c r="M1572" s="39" t="s">
        <v>832</v>
      </c>
      <c r="N1572" s="2"/>
      <c r="O1572" s="2"/>
      <c r="P1572" s="2"/>
      <c r="Q1572" s="2" t="s">
        <v>24</v>
      </c>
    </row>
    <row r="1573" customFormat="false" ht="15" hidden="false" customHeight="false" outlineLevel="0" collapsed="false">
      <c r="A1573" s="2" t="s">
        <v>2640</v>
      </c>
      <c r="B1573" s="2" t="s">
        <v>47</v>
      </c>
      <c r="C1573" s="14" t="s">
        <v>2641</v>
      </c>
      <c r="D1573" s="42" t="n">
        <v>11445</v>
      </c>
      <c r="E1573" s="2" t="s">
        <v>821</v>
      </c>
      <c r="F1573" s="43" t="n">
        <v>0.934119702927042</v>
      </c>
      <c r="G1573" s="31" t="n">
        <v>35.3</v>
      </c>
      <c r="H1573" s="41" t="n">
        <v>-0.0111456713322965</v>
      </c>
      <c r="I1573" s="31" t="n">
        <v>7.5</v>
      </c>
      <c r="J1573" s="2" t="s">
        <v>2886</v>
      </c>
      <c r="K1573" s="44" t="n">
        <v>0.0365111561866126</v>
      </c>
      <c r="L1573" s="31" t="n">
        <v>23.8</v>
      </c>
      <c r="M1573" s="34" t="s">
        <v>822</v>
      </c>
      <c r="N1573" s="2" t="s">
        <v>22</v>
      </c>
      <c r="O1573" s="2" t="s">
        <v>22</v>
      </c>
      <c r="P1573" s="2" t="s">
        <v>22</v>
      </c>
      <c r="Q1573" s="2" t="s">
        <v>22</v>
      </c>
    </row>
    <row r="1574" customFormat="false" ht="15" hidden="false" customHeight="false" outlineLevel="0" collapsed="false">
      <c r="A1574" s="2" t="s">
        <v>3280</v>
      </c>
      <c r="B1574" s="2" t="s">
        <v>45</v>
      </c>
      <c r="C1574" s="16"/>
      <c r="D1574" s="35"/>
      <c r="E1574" s="2"/>
      <c r="F1574" s="36"/>
      <c r="G1574" s="31"/>
      <c r="H1574" s="37"/>
      <c r="I1574" s="31"/>
      <c r="J1574" s="2"/>
      <c r="K1574" s="38"/>
      <c r="L1574" s="31"/>
      <c r="M1574" s="39" t="s">
        <v>832</v>
      </c>
      <c r="N1574" s="2"/>
      <c r="O1574" s="2"/>
      <c r="P1574" s="2"/>
      <c r="Q1574" s="2"/>
    </row>
    <row r="1575" customFormat="false" ht="15" hidden="false" customHeight="false" outlineLevel="0" collapsed="false">
      <c r="A1575" s="2" t="s">
        <v>208</v>
      </c>
      <c r="B1575" s="2" t="s">
        <v>47</v>
      </c>
      <c r="C1575" s="14" t="s">
        <v>2379</v>
      </c>
      <c r="D1575" s="42" t="n">
        <v>641662</v>
      </c>
      <c r="E1575" s="2" t="s">
        <v>827</v>
      </c>
      <c r="F1575" s="43" t="n">
        <v>1.9294877988723</v>
      </c>
      <c r="G1575" s="31" t="n">
        <v>74.4</v>
      </c>
      <c r="H1575" s="41" t="n">
        <v>0.0505116984196369</v>
      </c>
      <c r="I1575" s="31" t="n">
        <v>31.1</v>
      </c>
      <c r="J1575" s="2" t="s">
        <v>2897</v>
      </c>
      <c r="K1575" s="44" t="n">
        <v>0.154687629980867</v>
      </c>
      <c r="L1575" s="31" t="n">
        <v>74.6</v>
      </c>
      <c r="M1575" s="34" t="s">
        <v>822</v>
      </c>
      <c r="N1575" s="2" t="s">
        <v>22</v>
      </c>
      <c r="O1575" s="2" t="s">
        <v>22</v>
      </c>
      <c r="P1575" s="2" t="s">
        <v>22</v>
      </c>
      <c r="Q1575" s="2" t="s">
        <v>22</v>
      </c>
    </row>
    <row r="1576" customFormat="false" ht="15" hidden="false" customHeight="false" outlineLevel="0" collapsed="false">
      <c r="A1576" s="2" t="s">
        <v>3281</v>
      </c>
      <c r="B1576" s="2" t="s">
        <v>46</v>
      </c>
      <c r="C1576" s="13" t="s">
        <v>3282</v>
      </c>
      <c r="D1576" s="29" t="n">
        <v>4500</v>
      </c>
      <c r="E1576" s="2" t="s">
        <v>825</v>
      </c>
      <c r="F1576" s="30" t="n">
        <v>2.56155555555556</v>
      </c>
      <c r="G1576" s="31" t="n">
        <v>39.7</v>
      </c>
      <c r="H1576" s="37"/>
      <c r="I1576" s="31"/>
      <c r="J1576" s="2"/>
      <c r="K1576" s="33" t="n">
        <v>0.0632911392405063</v>
      </c>
      <c r="L1576" s="31" t="n">
        <v>17</v>
      </c>
      <c r="M1576" s="39" t="s">
        <v>832</v>
      </c>
      <c r="N1576" s="2" t="s">
        <v>24</v>
      </c>
      <c r="O1576" s="2" t="s">
        <v>24</v>
      </c>
      <c r="P1576" s="2"/>
      <c r="Q1576" s="2" t="s">
        <v>24</v>
      </c>
    </row>
    <row r="1577" customFormat="false" ht="15" hidden="false" customHeight="false" outlineLevel="0" collapsed="false">
      <c r="A1577" s="2" t="s">
        <v>3281</v>
      </c>
      <c r="B1577" s="2" t="s">
        <v>47</v>
      </c>
      <c r="C1577" s="16"/>
      <c r="D1577" s="35"/>
      <c r="E1577" s="2"/>
      <c r="F1577" s="36"/>
      <c r="G1577" s="31"/>
      <c r="H1577" s="37"/>
      <c r="I1577" s="31"/>
      <c r="J1577" s="2"/>
      <c r="K1577" s="38"/>
      <c r="L1577" s="31"/>
      <c r="M1577" s="39" t="s">
        <v>832</v>
      </c>
      <c r="N1577" s="2"/>
      <c r="O1577" s="2"/>
      <c r="P1577" s="2"/>
      <c r="Q1577" s="2"/>
    </row>
    <row r="1578" customFormat="false" ht="15" hidden="false" customHeight="false" outlineLevel="0" collapsed="false">
      <c r="A1578" s="2" t="s">
        <v>1331</v>
      </c>
      <c r="B1578" s="2" t="s">
        <v>45</v>
      </c>
      <c r="C1578" s="13" t="s">
        <v>1332</v>
      </c>
      <c r="D1578" s="29" t="n">
        <v>34990</v>
      </c>
      <c r="E1578" s="2" t="s">
        <v>821</v>
      </c>
      <c r="F1578" s="30" t="n">
        <v>0.463675335810232</v>
      </c>
      <c r="G1578" s="31" t="n">
        <v>37.4</v>
      </c>
      <c r="H1578" s="41" t="n">
        <v>0.197636400790137</v>
      </c>
      <c r="I1578" s="31" t="n">
        <v>90.7</v>
      </c>
      <c r="J1578" s="2" t="s">
        <v>2883</v>
      </c>
      <c r="K1578" s="33" t="n">
        <v>0.0304878048780488</v>
      </c>
      <c r="L1578" s="31" t="n">
        <v>8.4</v>
      </c>
      <c r="M1578" s="34" t="s">
        <v>822</v>
      </c>
      <c r="N1578" s="2" t="s">
        <v>24</v>
      </c>
      <c r="O1578" s="2" t="s">
        <v>24</v>
      </c>
      <c r="P1578" s="2" t="s">
        <v>22</v>
      </c>
      <c r="Q1578" s="2" t="s">
        <v>24</v>
      </c>
    </row>
    <row r="1579" customFormat="false" ht="15" hidden="false" customHeight="false" outlineLevel="0" collapsed="false">
      <c r="A1579" s="2" t="s">
        <v>1331</v>
      </c>
      <c r="B1579" s="2" t="s">
        <v>46</v>
      </c>
      <c r="C1579" s="13" t="s">
        <v>3283</v>
      </c>
      <c r="D1579" s="29" t="n">
        <v>104540</v>
      </c>
      <c r="E1579" s="2" t="s">
        <v>827</v>
      </c>
      <c r="F1579" s="30" t="n">
        <v>6.44327530132007</v>
      </c>
      <c r="G1579" s="31" t="n">
        <v>82.7</v>
      </c>
      <c r="H1579" s="32" t="n">
        <v>-0.137743319036622</v>
      </c>
      <c r="I1579" s="31" t="n">
        <v>1.3</v>
      </c>
      <c r="J1579" s="2" t="s">
        <v>2888</v>
      </c>
      <c r="K1579" s="38"/>
      <c r="L1579" s="31"/>
      <c r="M1579" s="39" t="s">
        <v>832</v>
      </c>
      <c r="N1579" s="2" t="s">
        <v>24</v>
      </c>
      <c r="O1579" s="2" t="s">
        <v>24</v>
      </c>
      <c r="P1579" s="2" t="s">
        <v>24</v>
      </c>
      <c r="Q1579" s="2"/>
    </row>
    <row r="1580" customFormat="false" ht="15" hidden="false" customHeight="false" outlineLevel="0" collapsed="false">
      <c r="A1580" s="2" t="s">
        <v>1331</v>
      </c>
      <c r="B1580" s="2" t="s">
        <v>47</v>
      </c>
      <c r="C1580" s="14" t="s">
        <v>3284</v>
      </c>
      <c r="D1580" s="42" t="n">
        <v>41579</v>
      </c>
      <c r="E1580" s="2" t="s">
        <v>821</v>
      </c>
      <c r="F1580" s="43" t="n">
        <v>1.4253830058443</v>
      </c>
      <c r="G1580" s="31" t="n">
        <v>57.3</v>
      </c>
      <c r="H1580" s="41" t="n">
        <v>0.111411082301997</v>
      </c>
      <c r="I1580" s="31" t="n">
        <v>58.4</v>
      </c>
      <c r="J1580" s="2" t="s">
        <v>2886</v>
      </c>
      <c r="K1580" s="38"/>
      <c r="L1580" s="31"/>
      <c r="M1580" s="39" t="s">
        <v>832</v>
      </c>
      <c r="N1580" s="2" t="s">
        <v>22</v>
      </c>
      <c r="O1580" s="2" t="s">
        <v>22</v>
      </c>
      <c r="P1580" s="2" t="s">
        <v>22</v>
      </c>
      <c r="Q1580" s="2"/>
    </row>
    <row r="1581" customFormat="false" ht="15" hidden="false" customHeight="false" outlineLevel="0" collapsed="false">
      <c r="A1581" s="2" t="s">
        <v>2710</v>
      </c>
      <c r="B1581" s="2" t="s">
        <v>45</v>
      </c>
      <c r="C1581" s="13" t="s">
        <v>3285</v>
      </c>
      <c r="D1581" s="29" t="n">
        <v>77050</v>
      </c>
      <c r="E1581" s="2" t="s">
        <v>821</v>
      </c>
      <c r="F1581" s="30" t="n">
        <v>0.873588578844906</v>
      </c>
      <c r="G1581" s="31" t="n">
        <v>73.5</v>
      </c>
      <c r="H1581" s="32" t="n">
        <v>0.0864354201917654</v>
      </c>
      <c r="I1581" s="31" t="n">
        <v>46</v>
      </c>
      <c r="J1581" s="2" t="s">
        <v>2883</v>
      </c>
      <c r="K1581" s="38"/>
      <c r="L1581" s="31"/>
      <c r="M1581" s="39" t="s">
        <v>832</v>
      </c>
      <c r="N1581" s="2" t="s">
        <v>24</v>
      </c>
      <c r="O1581" s="2" t="s">
        <v>24</v>
      </c>
      <c r="P1581" s="2" t="s">
        <v>24</v>
      </c>
      <c r="Q1581" s="2"/>
    </row>
    <row r="1582" customFormat="false" ht="15" hidden="false" customHeight="false" outlineLevel="0" collapsed="false">
      <c r="A1582" s="2" t="s">
        <v>2710</v>
      </c>
      <c r="B1582" s="2" t="s">
        <v>46</v>
      </c>
      <c r="C1582" s="15" t="s">
        <v>3286</v>
      </c>
      <c r="D1582" s="46" t="n">
        <v>325830</v>
      </c>
      <c r="E1582" s="2" t="s">
        <v>827</v>
      </c>
      <c r="F1582" s="47" t="n">
        <v>3.13908172973637</v>
      </c>
      <c r="G1582" s="31" t="n">
        <v>48.5</v>
      </c>
      <c r="H1582" s="48" t="n">
        <v>0.169681544210825</v>
      </c>
      <c r="I1582" s="31" t="n">
        <v>93</v>
      </c>
      <c r="J1582" s="2" t="s">
        <v>2888</v>
      </c>
      <c r="K1582" s="38"/>
      <c r="L1582" s="31"/>
      <c r="M1582" s="39" t="s">
        <v>832</v>
      </c>
      <c r="N1582" s="2" t="s">
        <v>19</v>
      </c>
      <c r="O1582" s="2" t="s">
        <v>19</v>
      </c>
      <c r="P1582" s="2" t="s">
        <v>19</v>
      </c>
      <c r="Q1582" s="2"/>
    </row>
    <row r="1583" customFormat="false" ht="15" hidden="false" customHeight="false" outlineLevel="0" collapsed="false">
      <c r="A1583" s="2" t="s">
        <v>2710</v>
      </c>
      <c r="B1583" s="2" t="s">
        <v>47</v>
      </c>
      <c r="C1583" s="14" t="s">
        <v>2711</v>
      </c>
      <c r="D1583" s="42" t="n">
        <v>172603</v>
      </c>
      <c r="E1583" s="2" t="s">
        <v>827</v>
      </c>
      <c r="F1583" s="43" t="n">
        <v>0.734384686245314</v>
      </c>
      <c r="G1583" s="31" t="n">
        <v>24</v>
      </c>
      <c r="H1583" s="41" t="n">
        <v>0.0839105506747634</v>
      </c>
      <c r="I1583" s="31" t="n">
        <v>49.7</v>
      </c>
      <c r="J1583" s="2" t="s">
        <v>2897</v>
      </c>
      <c r="K1583" s="44" t="n">
        <v>0.271281911510857</v>
      </c>
      <c r="L1583" s="31" t="n">
        <v>94.3</v>
      </c>
      <c r="M1583" s="34" t="s">
        <v>822</v>
      </c>
      <c r="N1583" s="2" t="s">
        <v>22</v>
      </c>
      <c r="O1583" s="2" t="s">
        <v>22</v>
      </c>
      <c r="P1583" s="2" t="s">
        <v>22</v>
      </c>
      <c r="Q1583" s="2" t="s">
        <v>22</v>
      </c>
    </row>
    <row r="1584" customFormat="false" ht="15" hidden="false" customHeight="false" outlineLevel="0" collapsed="false">
      <c r="A1584" s="2" t="s">
        <v>518</v>
      </c>
      <c r="B1584" s="2" t="s">
        <v>45</v>
      </c>
      <c r="C1584" s="13" t="s">
        <v>1201</v>
      </c>
      <c r="D1584" s="29" t="n">
        <v>15810</v>
      </c>
      <c r="E1584" s="2" t="s">
        <v>821</v>
      </c>
      <c r="F1584" s="30" t="n">
        <v>0.602277039848197</v>
      </c>
      <c r="G1584" s="31" t="n">
        <v>54.3</v>
      </c>
      <c r="H1584" s="32" t="n">
        <v>0.147314949201742</v>
      </c>
      <c r="I1584" s="31" t="n">
        <v>75.3</v>
      </c>
      <c r="J1584" s="2" t="s">
        <v>2883</v>
      </c>
      <c r="K1584" s="33" t="n">
        <v>0.220512820512821</v>
      </c>
      <c r="L1584" s="31" t="n">
        <v>76.9</v>
      </c>
      <c r="M1584" s="34" t="s">
        <v>822</v>
      </c>
      <c r="N1584" s="2" t="s">
        <v>24</v>
      </c>
      <c r="O1584" s="2" t="s">
        <v>24</v>
      </c>
      <c r="P1584" s="2" t="s">
        <v>24</v>
      </c>
      <c r="Q1584" s="2" t="s">
        <v>24</v>
      </c>
    </row>
    <row r="1585" customFormat="false" ht="15" hidden="false" customHeight="false" outlineLevel="0" collapsed="false">
      <c r="A1585" s="2" t="s">
        <v>518</v>
      </c>
      <c r="B1585" s="2" t="s">
        <v>46</v>
      </c>
      <c r="C1585" s="13" t="s">
        <v>1859</v>
      </c>
      <c r="D1585" s="29" t="n">
        <v>45610</v>
      </c>
      <c r="E1585" s="2" t="s">
        <v>821</v>
      </c>
      <c r="F1585" s="30" t="n">
        <v>3.47664985748739</v>
      </c>
      <c r="G1585" s="31" t="n">
        <v>56</v>
      </c>
      <c r="H1585" s="32" t="n">
        <v>0.0501957172461432</v>
      </c>
      <c r="I1585" s="31" t="n">
        <v>30.5</v>
      </c>
      <c r="J1585" s="2" t="s">
        <v>2884</v>
      </c>
      <c r="K1585" s="33" t="n">
        <v>0.153436403793686</v>
      </c>
      <c r="L1585" s="31" t="n">
        <v>57.2</v>
      </c>
      <c r="M1585" s="34" t="s">
        <v>822</v>
      </c>
      <c r="N1585" s="2" t="s">
        <v>24</v>
      </c>
      <c r="O1585" s="2" t="s">
        <v>24</v>
      </c>
      <c r="P1585" s="2" t="s">
        <v>24</v>
      </c>
      <c r="Q1585" s="2" t="s">
        <v>24</v>
      </c>
    </row>
    <row r="1586" customFormat="false" ht="15" hidden="false" customHeight="false" outlineLevel="0" collapsed="false">
      <c r="A1586" s="2" t="s">
        <v>518</v>
      </c>
      <c r="B1586" s="2" t="s">
        <v>47</v>
      </c>
      <c r="C1586" s="13" t="s">
        <v>2669</v>
      </c>
      <c r="D1586" s="29" t="n">
        <v>24930</v>
      </c>
      <c r="E1586" s="2" t="s">
        <v>821</v>
      </c>
      <c r="F1586" s="30" t="n">
        <v>0.825391095066185</v>
      </c>
      <c r="G1586" s="31" t="n">
        <v>30.3</v>
      </c>
      <c r="H1586" s="32" t="n">
        <v>0.220861900097943</v>
      </c>
      <c r="I1586" s="31" t="n">
        <v>94.8</v>
      </c>
      <c r="J1586" s="2" t="s">
        <v>2886</v>
      </c>
      <c r="K1586" s="33" t="n">
        <v>0.0466321243523316</v>
      </c>
      <c r="L1586" s="31" t="n">
        <v>30.5</v>
      </c>
      <c r="M1586" s="34" t="s">
        <v>822</v>
      </c>
      <c r="N1586" s="2" t="s">
        <v>24</v>
      </c>
      <c r="O1586" s="2" t="s">
        <v>24</v>
      </c>
      <c r="P1586" s="2" t="s">
        <v>24</v>
      </c>
      <c r="Q1586" s="2" t="s">
        <v>24</v>
      </c>
    </row>
    <row r="1587" customFormat="false" ht="15" hidden="false" customHeight="false" outlineLevel="0" collapsed="false">
      <c r="A1587" s="2" t="s">
        <v>176</v>
      </c>
      <c r="B1587" s="2" t="s">
        <v>46</v>
      </c>
      <c r="C1587" s="13" t="s">
        <v>1772</v>
      </c>
      <c r="D1587" s="29" t="n">
        <v>91120</v>
      </c>
      <c r="E1587" s="2" t="s">
        <v>821</v>
      </c>
      <c r="F1587" s="30" t="n">
        <v>4.71871158911326</v>
      </c>
      <c r="G1587" s="31" t="n">
        <v>70.7</v>
      </c>
      <c r="H1587" s="32" t="n">
        <v>0.229689608636977</v>
      </c>
      <c r="I1587" s="31" t="n">
        <v>97.1</v>
      </c>
      <c r="J1587" s="2" t="s">
        <v>2884</v>
      </c>
      <c r="K1587" s="33" t="n">
        <v>0.0760025873221216</v>
      </c>
      <c r="L1587" s="31" t="n">
        <v>23.2</v>
      </c>
      <c r="M1587" s="34" t="s">
        <v>822</v>
      </c>
      <c r="N1587" s="2" t="s">
        <v>24</v>
      </c>
      <c r="O1587" s="2" t="s">
        <v>24</v>
      </c>
      <c r="P1587" s="2" t="s">
        <v>24</v>
      </c>
      <c r="Q1587" s="2" t="s">
        <v>24</v>
      </c>
    </row>
    <row r="1588" customFormat="false" ht="15" hidden="false" customHeight="false" outlineLevel="0" collapsed="false">
      <c r="A1588" s="2" t="s">
        <v>176</v>
      </c>
      <c r="B1588" s="2" t="s">
        <v>47</v>
      </c>
      <c r="C1588" s="13" t="s">
        <v>2308</v>
      </c>
      <c r="D1588" s="29" t="n">
        <v>48650</v>
      </c>
      <c r="E1588" s="2" t="s">
        <v>821</v>
      </c>
      <c r="F1588" s="30" t="n">
        <v>2.64702980472765</v>
      </c>
      <c r="G1588" s="31" t="n">
        <v>86.2</v>
      </c>
      <c r="H1588" s="32" t="n">
        <v>-0.0316480891719745</v>
      </c>
      <c r="I1588" s="31" t="n">
        <v>4.5</v>
      </c>
      <c r="J1588" s="2" t="s">
        <v>2886</v>
      </c>
      <c r="K1588" s="33" t="n">
        <v>0.275030496387351</v>
      </c>
      <c r="L1588" s="31" t="n">
        <v>95</v>
      </c>
      <c r="M1588" s="34" t="s">
        <v>822</v>
      </c>
      <c r="N1588" s="2" t="s">
        <v>24</v>
      </c>
      <c r="O1588" s="2" t="s">
        <v>24</v>
      </c>
      <c r="P1588" s="2" t="s">
        <v>24</v>
      </c>
      <c r="Q1588" s="2" t="s">
        <v>24</v>
      </c>
    </row>
    <row r="1589" customFormat="false" ht="15" hidden="false" customHeight="false" outlineLevel="0" collapsed="false">
      <c r="A1589" s="2" t="s">
        <v>1155</v>
      </c>
      <c r="B1589" s="2" t="s">
        <v>45</v>
      </c>
      <c r="C1589" s="13" t="s">
        <v>1156</v>
      </c>
      <c r="D1589" s="42" t="n">
        <v>49575</v>
      </c>
      <c r="E1589" s="2" t="s">
        <v>821</v>
      </c>
      <c r="F1589" s="43" t="n">
        <v>0.67505799293999</v>
      </c>
      <c r="G1589" s="31" t="n">
        <v>59.7</v>
      </c>
      <c r="H1589" s="41" t="n">
        <v>0.202663690837195</v>
      </c>
      <c r="I1589" s="31" t="n">
        <v>91.8</v>
      </c>
      <c r="J1589" s="2" t="s">
        <v>2883</v>
      </c>
      <c r="K1589" s="33" t="n">
        <v>0.133145275035261</v>
      </c>
      <c r="L1589" s="31" t="n">
        <v>49.7</v>
      </c>
      <c r="M1589" s="34" t="s">
        <v>822</v>
      </c>
      <c r="N1589" s="2" t="s">
        <v>22</v>
      </c>
      <c r="O1589" s="2" t="s">
        <v>22</v>
      </c>
      <c r="P1589" s="2" t="s">
        <v>22</v>
      </c>
      <c r="Q1589" s="2" t="s">
        <v>24</v>
      </c>
    </row>
    <row r="1590" customFormat="false" ht="15" hidden="false" customHeight="false" outlineLevel="0" collapsed="false">
      <c r="A1590" s="2" t="s">
        <v>1155</v>
      </c>
      <c r="B1590" s="2" t="s">
        <v>46</v>
      </c>
      <c r="C1590" s="16"/>
      <c r="D1590" s="35"/>
      <c r="E1590" s="2"/>
      <c r="F1590" s="36"/>
      <c r="G1590" s="31"/>
      <c r="H1590" s="37"/>
      <c r="I1590" s="31"/>
      <c r="J1590" s="2"/>
      <c r="K1590" s="38"/>
      <c r="L1590" s="31"/>
      <c r="M1590" s="39" t="s">
        <v>832</v>
      </c>
      <c r="N1590" s="2"/>
      <c r="O1590" s="2"/>
      <c r="P1590" s="2"/>
      <c r="Q1590" s="2"/>
    </row>
    <row r="1591" customFormat="false" ht="15" hidden="false" customHeight="false" outlineLevel="0" collapsed="false">
      <c r="A1591" s="2" t="s">
        <v>1155</v>
      </c>
      <c r="B1591" s="2" t="s">
        <v>47</v>
      </c>
      <c r="C1591" s="14" t="s">
        <v>2415</v>
      </c>
      <c r="D1591" s="42" t="n">
        <v>42701</v>
      </c>
      <c r="E1591" s="2" t="s">
        <v>821</v>
      </c>
      <c r="F1591" s="43" t="n">
        <v>1.70618955059601</v>
      </c>
      <c r="G1591" s="31" t="n">
        <v>68.6</v>
      </c>
      <c r="H1591" s="41" t="n">
        <v>-0.0206641897160681</v>
      </c>
      <c r="I1591" s="31" t="n">
        <v>5.5</v>
      </c>
      <c r="J1591" s="2" t="s">
        <v>2886</v>
      </c>
      <c r="K1591" s="44" t="n">
        <v>0.0123517786561265</v>
      </c>
      <c r="L1591" s="31" t="n">
        <v>8.4</v>
      </c>
      <c r="M1591" s="34" t="s">
        <v>822</v>
      </c>
      <c r="N1591" s="2" t="s">
        <v>22</v>
      </c>
      <c r="O1591" s="2" t="s">
        <v>22</v>
      </c>
      <c r="P1591" s="2" t="s">
        <v>22</v>
      </c>
      <c r="Q1591" s="2" t="s">
        <v>22</v>
      </c>
    </row>
    <row r="1592" customFormat="false" ht="15" hidden="false" customHeight="false" outlineLevel="0" collapsed="false">
      <c r="A1592" s="2" t="s">
        <v>516</v>
      </c>
      <c r="B1592" s="2" t="s">
        <v>45</v>
      </c>
      <c r="C1592" s="14" t="s">
        <v>914</v>
      </c>
      <c r="D1592" s="42" t="n">
        <v>16509</v>
      </c>
      <c r="E1592" s="2" t="s">
        <v>821</v>
      </c>
      <c r="F1592" s="47" t="n">
        <v>1.51457206099361</v>
      </c>
      <c r="G1592" s="31" t="n">
        <v>89.6</v>
      </c>
      <c r="H1592" s="41" t="n">
        <v>-0.194329217705334</v>
      </c>
      <c r="I1592" s="31" t="n">
        <v>0.3</v>
      </c>
      <c r="J1592" s="2" t="s">
        <v>2883</v>
      </c>
      <c r="K1592" s="40" t="s">
        <v>857</v>
      </c>
      <c r="L1592" s="31"/>
      <c r="M1592" s="34" t="s">
        <v>822</v>
      </c>
      <c r="N1592" s="2" t="s">
        <v>22</v>
      </c>
      <c r="O1592" s="2" t="s">
        <v>19</v>
      </c>
      <c r="P1592" s="2" t="s">
        <v>22</v>
      </c>
      <c r="Q1592" s="2" t="s">
        <v>3035</v>
      </c>
    </row>
    <row r="1593" customFormat="false" ht="15" hidden="false" customHeight="false" outlineLevel="0" collapsed="false">
      <c r="A1593" s="2" t="s">
        <v>516</v>
      </c>
      <c r="B1593" s="2" t="s">
        <v>46</v>
      </c>
      <c r="C1593" s="13" t="s">
        <v>1961</v>
      </c>
      <c r="D1593" s="29" t="n">
        <v>595450</v>
      </c>
      <c r="E1593" s="2" t="s">
        <v>827</v>
      </c>
      <c r="F1593" s="30" t="n">
        <v>2.61402972541775</v>
      </c>
      <c r="G1593" s="31" t="n">
        <v>40.5</v>
      </c>
      <c r="H1593" s="32" t="n">
        <v>-0.00529551301326384</v>
      </c>
      <c r="I1593" s="31" t="n">
        <v>11.5</v>
      </c>
      <c r="J1593" s="2" t="s">
        <v>2888</v>
      </c>
      <c r="K1593" s="33" t="n">
        <v>0.0966574839302112</v>
      </c>
      <c r="L1593" s="31" t="n">
        <v>34.9</v>
      </c>
      <c r="M1593" s="34" t="s">
        <v>822</v>
      </c>
      <c r="N1593" s="2" t="s">
        <v>24</v>
      </c>
      <c r="O1593" s="2" t="s">
        <v>24</v>
      </c>
      <c r="P1593" s="2" t="s">
        <v>24</v>
      </c>
      <c r="Q1593" s="2" t="s">
        <v>24</v>
      </c>
    </row>
    <row r="1594" customFormat="false" ht="15" hidden="false" customHeight="false" outlineLevel="0" collapsed="false">
      <c r="A1594" s="2" t="s">
        <v>516</v>
      </c>
      <c r="B1594" s="2" t="s">
        <v>47</v>
      </c>
      <c r="C1594" s="13" t="s">
        <v>2805</v>
      </c>
      <c r="D1594" s="29" t="n">
        <v>83350</v>
      </c>
      <c r="E1594" s="2" t="s">
        <v>821</v>
      </c>
      <c r="F1594" s="30" t="n">
        <v>0.458932213557289</v>
      </c>
      <c r="G1594" s="31" t="n">
        <v>10.8</v>
      </c>
      <c r="H1594" s="32" t="n">
        <v>0.0516023214736311</v>
      </c>
      <c r="I1594" s="31" t="n">
        <v>28.6</v>
      </c>
      <c r="J1594" s="2" t="s">
        <v>2886</v>
      </c>
      <c r="K1594" s="45" t="n">
        <v>0.207381370826011</v>
      </c>
      <c r="L1594" s="31" t="n">
        <v>86.6</v>
      </c>
      <c r="M1594" s="34" t="s">
        <v>822</v>
      </c>
      <c r="N1594" s="2" t="s">
        <v>24</v>
      </c>
      <c r="O1594" s="2" t="s">
        <v>24</v>
      </c>
      <c r="P1594" s="2" t="s">
        <v>24</v>
      </c>
      <c r="Q1594" s="2" t="s">
        <v>19</v>
      </c>
    </row>
    <row r="1595" customFormat="false" ht="15" hidden="false" customHeight="false" outlineLevel="0" collapsed="false">
      <c r="A1595" s="2" t="s">
        <v>578</v>
      </c>
      <c r="B1595" s="2" t="s">
        <v>45</v>
      </c>
      <c r="C1595" s="14" t="s">
        <v>1479</v>
      </c>
      <c r="D1595" s="42" t="n">
        <v>172805</v>
      </c>
      <c r="E1595" s="2" t="s">
        <v>827</v>
      </c>
      <c r="F1595" s="43" t="n">
        <v>0.280553224733081</v>
      </c>
      <c r="G1595" s="31" t="n">
        <v>15.3</v>
      </c>
      <c r="H1595" s="41" t="n">
        <v>0.256800197823937</v>
      </c>
      <c r="I1595" s="31" t="n">
        <v>98.6</v>
      </c>
      <c r="J1595" s="2" t="s">
        <v>2890</v>
      </c>
      <c r="K1595" s="44" t="n">
        <v>0.259698025551684</v>
      </c>
      <c r="L1595" s="31" t="n">
        <v>84.1</v>
      </c>
      <c r="M1595" s="34" t="s">
        <v>822</v>
      </c>
      <c r="N1595" s="2" t="s">
        <v>22</v>
      </c>
      <c r="O1595" s="2" t="s">
        <v>22</v>
      </c>
      <c r="P1595" s="2" t="s">
        <v>22</v>
      </c>
      <c r="Q1595" s="2" t="s">
        <v>22</v>
      </c>
    </row>
    <row r="1596" customFormat="false" ht="15" hidden="false" customHeight="false" outlineLevel="0" collapsed="false">
      <c r="A1596" s="2" t="s">
        <v>578</v>
      </c>
      <c r="B1596" s="2" t="s">
        <v>46</v>
      </c>
      <c r="C1596" s="13" t="s">
        <v>2041</v>
      </c>
      <c r="D1596" s="29" t="n">
        <v>49830</v>
      </c>
      <c r="E1596" s="2" t="s">
        <v>821</v>
      </c>
      <c r="F1596" s="30" t="n">
        <v>1.98308248043347</v>
      </c>
      <c r="G1596" s="31" t="n">
        <v>27.3</v>
      </c>
      <c r="H1596" s="32" t="n">
        <v>0.0830254292545099</v>
      </c>
      <c r="I1596" s="31" t="n">
        <v>49.1</v>
      </c>
      <c r="J1596" s="2" t="s">
        <v>2884</v>
      </c>
      <c r="K1596" s="33" t="n">
        <v>0.210537870472009</v>
      </c>
      <c r="L1596" s="31" t="n">
        <v>71.1</v>
      </c>
      <c r="M1596" s="34" t="s">
        <v>822</v>
      </c>
      <c r="N1596" s="2" t="s">
        <v>24</v>
      </c>
      <c r="O1596" s="2" t="s">
        <v>24</v>
      </c>
      <c r="P1596" s="2" t="s">
        <v>24</v>
      </c>
      <c r="Q1596" s="2" t="s">
        <v>24</v>
      </c>
    </row>
    <row r="1597" customFormat="false" ht="15" hidden="false" customHeight="false" outlineLevel="0" collapsed="false">
      <c r="A1597" s="2" t="s">
        <v>578</v>
      </c>
      <c r="B1597" s="2" t="s">
        <v>47</v>
      </c>
      <c r="C1597" s="13" t="s">
        <v>2337</v>
      </c>
      <c r="D1597" s="29" t="n">
        <v>270550</v>
      </c>
      <c r="E1597" s="2" t="s">
        <v>827</v>
      </c>
      <c r="F1597" s="30" t="n">
        <v>2.36134910367769</v>
      </c>
      <c r="G1597" s="31" t="n">
        <v>82</v>
      </c>
      <c r="H1597" s="32" t="n">
        <v>0.143636133068436</v>
      </c>
      <c r="I1597" s="31" t="n">
        <v>79.5</v>
      </c>
      <c r="J1597" s="2" t="s">
        <v>2897</v>
      </c>
      <c r="K1597" s="33" t="n">
        <v>0.0530104712041885</v>
      </c>
      <c r="L1597" s="31" t="n">
        <v>34.1</v>
      </c>
      <c r="M1597" s="34" t="s">
        <v>822</v>
      </c>
      <c r="N1597" s="2" t="s">
        <v>24</v>
      </c>
      <c r="O1597" s="2" t="s">
        <v>24</v>
      </c>
      <c r="P1597" s="2" t="s">
        <v>24</v>
      </c>
      <c r="Q1597" s="2" t="s">
        <v>24</v>
      </c>
    </row>
    <row r="1598" customFormat="false" ht="15" hidden="false" customHeight="false" outlineLevel="0" collapsed="false">
      <c r="A1598" s="2" t="s">
        <v>780</v>
      </c>
      <c r="B1598" s="2" t="s">
        <v>47</v>
      </c>
      <c r="C1598" s="13" t="s">
        <v>2775</v>
      </c>
      <c r="D1598" s="29" t="n">
        <v>582380</v>
      </c>
      <c r="E1598" s="2" t="s">
        <v>827</v>
      </c>
      <c r="F1598" s="30" t="n">
        <v>0.53898485524915</v>
      </c>
      <c r="G1598" s="31" t="n">
        <v>15.5</v>
      </c>
      <c r="H1598" s="32" t="n">
        <v>0.220666526933557</v>
      </c>
      <c r="I1598" s="31" t="n">
        <v>96.9</v>
      </c>
      <c r="J1598" s="2" t="s">
        <v>2897</v>
      </c>
      <c r="K1598" s="44" t="n">
        <v>0.0719491525423729</v>
      </c>
      <c r="L1598" s="31" t="n">
        <v>45.2</v>
      </c>
      <c r="M1598" s="34" t="s">
        <v>822</v>
      </c>
      <c r="N1598" s="2" t="s">
        <v>24</v>
      </c>
      <c r="O1598" s="2" t="s">
        <v>24</v>
      </c>
      <c r="P1598" s="2" t="s">
        <v>24</v>
      </c>
      <c r="Q1598" s="2" t="s">
        <v>22</v>
      </c>
    </row>
    <row r="1599" customFormat="false" ht="15" hidden="false" customHeight="false" outlineLevel="0" collapsed="false">
      <c r="A1599" s="2" t="s">
        <v>1394</v>
      </c>
      <c r="B1599" s="2" t="s">
        <v>45</v>
      </c>
      <c r="C1599" s="13" t="s">
        <v>1395</v>
      </c>
      <c r="D1599" s="29" t="n">
        <v>39320</v>
      </c>
      <c r="E1599" s="2" t="s">
        <v>821</v>
      </c>
      <c r="F1599" s="30" t="n">
        <v>0.393896236012208</v>
      </c>
      <c r="G1599" s="31" t="n">
        <v>28.7</v>
      </c>
      <c r="H1599" s="32" t="n">
        <v>0.018916817828453</v>
      </c>
      <c r="I1599" s="31" t="n">
        <v>12.7</v>
      </c>
      <c r="J1599" s="2" t="s">
        <v>2883</v>
      </c>
      <c r="K1599" s="33" t="n">
        <v>0.152494729444835</v>
      </c>
      <c r="L1599" s="31" t="n">
        <v>59</v>
      </c>
      <c r="M1599" s="34" t="s">
        <v>822</v>
      </c>
      <c r="N1599" s="2" t="s">
        <v>24</v>
      </c>
      <c r="O1599" s="2" t="s">
        <v>24</v>
      </c>
      <c r="P1599" s="2" t="s">
        <v>24</v>
      </c>
      <c r="Q1599" s="2" t="s">
        <v>24</v>
      </c>
    </row>
    <row r="1600" customFormat="false" ht="15" hidden="false" customHeight="false" outlineLevel="0" collapsed="false">
      <c r="A1600" s="2" t="s">
        <v>1394</v>
      </c>
      <c r="B1600" s="2" t="s">
        <v>46</v>
      </c>
      <c r="C1600" s="15" t="s">
        <v>3287</v>
      </c>
      <c r="D1600" s="46" t="n">
        <v>78717</v>
      </c>
      <c r="E1600" s="2" t="s">
        <v>821</v>
      </c>
      <c r="F1600" s="47" t="n">
        <v>7.82175387781547</v>
      </c>
      <c r="G1600" s="31" t="n">
        <v>89.4</v>
      </c>
      <c r="H1600" s="48" t="n">
        <v>0.0413954595967614</v>
      </c>
      <c r="I1600" s="31" t="n">
        <v>26.5</v>
      </c>
      <c r="J1600" s="2" t="s">
        <v>2884</v>
      </c>
      <c r="K1600" s="38"/>
      <c r="L1600" s="31"/>
      <c r="M1600" s="39" t="s">
        <v>832</v>
      </c>
      <c r="N1600" s="2" t="s">
        <v>19</v>
      </c>
      <c r="O1600" s="2" t="s">
        <v>19</v>
      </c>
      <c r="P1600" s="2" t="s">
        <v>19</v>
      </c>
      <c r="Q1600" s="2"/>
    </row>
    <row r="1601" customFormat="false" ht="15" hidden="false" customHeight="false" outlineLevel="0" collapsed="false">
      <c r="A1601" s="2" t="s">
        <v>1394</v>
      </c>
      <c r="B1601" s="2" t="s">
        <v>47</v>
      </c>
      <c r="C1601" s="14" t="s">
        <v>2849</v>
      </c>
      <c r="D1601" s="42" t="n">
        <v>90993</v>
      </c>
      <c r="E1601" s="2" t="s">
        <v>821</v>
      </c>
      <c r="F1601" s="43" t="n">
        <v>0.304506940094293</v>
      </c>
      <c r="G1601" s="31" t="n">
        <v>3.9</v>
      </c>
      <c r="H1601" s="41" t="n">
        <v>0.230316797144364</v>
      </c>
      <c r="I1601" s="31" t="n">
        <v>95.8</v>
      </c>
      <c r="J1601" s="2" t="s">
        <v>2886</v>
      </c>
      <c r="K1601" s="44" t="n">
        <v>0.0343035343035343</v>
      </c>
      <c r="L1601" s="31" t="n">
        <v>22.6</v>
      </c>
      <c r="M1601" s="34" t="s">
        <v>822</v>
      </c>
      <c r="N1601" s="2" t="s">
        <v>22</v>
      </c>
      <c r="O1601" s="2" t="s">
        <v>22</v>
      </c>
      <c r="P1601" s="2" t="s">
        <v>22</v>
      </c>
      <c r="Q1601" s="2" t="s">
        <v>22</v>
      </c>
    </row>
    <row r="1602" customFormat="false" ht="15" hidden="false" customHeight="false" outlineLevel="0" collapsed="false">
      <c r="A1602" s="2" t="s">
        <v>212</v>
      </c>
      <c r="B1602" s="2" t="s">
        <v>45</v>
      </c>
      <c r="C1602" s="13" t="s">
        <v>1193</v>
      </c>
      <c r="D1602" s="29" t="n">
        <v>18840</v>
      </c>
      <c r="E1602" s="2" t="s">
        <v>821</v>
      </c>
      <c r="F1602" s="30" t="n">
        <v>0.61380042462845</v>
      </c>
      <c r="G1602" s="31" t="n">
        <v>55.4</v>
      </c>
      <c r="H1602" s="32" t="n">
        <v>0.0716723549488055</v>
      </c>
      <c r="I1602" s="31" t="n">
        <v>38.5</v>
      </c>
      <c r="J1602" s="2" t="s">
        <v>2883</v>
      </c>
      <c r="K1602" s="33" t="n">
        <v>0.121951219512195</v>
      </c>
      <c r="L1602" s="31" t="n">
        <v>45.7</v>
      </c>
      <c r="M1602" s="34" t="s">
        <v>822</v>
      </c>
      <c r="N1602" s="2" t="s">
        <v>24</v>
      </c>
      <c r="O1602" s="2" t="s">
        <v>24</v>
      </c>
      <c r="P1602" s="2" t="s">
        <v>24</v>
      </c>
      <c r="Q1602" s="2" t="s">
        <v>24</v>
      </c>
    </row>
    <row r="1603" customFormat="false" ht="15" hidden="false" customHeight="false" outlineLevel="0" collapsed="false">
      <c r="A1603" s="2" t="s">
        <v>212</v>
      </c>
      <c r="B1603" s="2" t="s">
        <v>46</v>
      </c>
      <c r="C1603" s="13" t="s">
        <v>1745</v>
      </c>
      <c r="D1603" s="29" t="n">
        <v>9240</v>
      </c>
      <c r="E1603" s="2" t="s">
        <v>825</v>
      </c>
      <c r="F1603" s="30" t="n">
        <v>5.20746753246753</v>
      </c>
      <c r="G1603" s="31" t="n">
        <v>74.1</v>
      </c>
      <c r="H1603" s="32" t="n">
        <v>0.098692033293698</v>
      </c>
      <c r="I1603" s="31" t="n">
        <v>43.4</v>
      </c>
      <c r="J1603" s="2" t="s">
        <v>2905</v>
      </c>
      <c r="K1603" s="33" t="n">
        <v>0.150474469046543</v>
      </c>
      <c r="L1603" s="31" t="n">
        <v>55.2</v>
      </c>
      <c r="M1603" s="34" t="s">
        <v>822</v>
      </c>
      <c r="N1603" s="2" t="s">
        <v>24</v>
      </c>
      <c r="O1603" s="2" t="s">
        <v>24</v>
      </c>
      <c r="P1603" s="2" t="s">
        <v>24</v>
      </c>
      <c r="Q1603" s="2" t="s">
        <v>24</v>
      </c>
    </row>
    <row r="1604" customFormat="false" ht="15" hidden="false" customHeight="false" outlineLevel="0" collapsed="false">
      <c r="A1604" s="2" t="s">
        <v>212</v>
      </c>
      <c r="B1604" s="2" t="s">
        <v>47</v>
      </c>
      <c r="C1604" s="13" t="s">
        <v>2270</v>
      </c>
      <c r="D1604" s="29" t="n">
        <v>106910</v>
      </c>
      <c r="E1604" s="2" t="s">
        <v>827</v>
      </c>
      <c r="F1604" s="30" t="n">
        <v>3.42453465531756</v>
      </c>
      <c r="G1604" s="31" t="n">
        <v>92.2</v>
      </c>
      <c r="H1604" s="32" t="n">
        <v>-0.0202529325513197</v>
      </c>
      <c r="I1604" s="31" t="n">
        <v>9.3</v>
      </c>
      <c r="J1604" s="2" t="s">
        <v>2897</v>
      </c>
      <c r="K1604" s="33" t="n">
        <v>0.165474427252387</v>
      </c>
      <c r="L1604" s="31" t="n">
        <v>77.8</v>
      </c>
      <c r="M1604" s="34" t="s">
        <v>822</v>
      </c>
      <c r="N1604" s="2" t="s">
        <v>24</v>
      </c>
      <c r="O1604" s="2" t="s">
        <v>24</v>
      </c>
      <c r="P1604" s="2" t="s">
        <v>24</v>
      </c>
      <c r="Q1604" s="2" t="s">
        <v>24</v>
      </c>
    </row>
    <row r="1605" customFormat="false" ht="15" hidden="false" customHeight="false" outlineLevel="0" collapsed="false">
      <c r="A1605" s="2" t="s">
        <v>336</v>
      </c>
      <c r="B1605" s="2" t="s">
        <v>45</v>
      </c>
      <c r="C1605" s="13" t="s">
        <v>1581</v>
      </c>
      <c r="D1605" s="29" t="n">
        <v>98700</v>
      </c>
      <c r="E1605" s="2" t="s">
        <v>821</v>
      </c>
      <c r="F1605" s="30" t="n">
        <v>0.120202634245187</v>
      </c>
      <c r="G1605" s="31" t="n">
        <v>3</v>
      </c>
      <c r="H1605" s="32" t="n">
        <v>0.167770941788926</v>
      </c>
      <c r="I1605" s="31" t="n">
        <v>81.4</v>
      </c>
      <c r="J1605" s="2" t="s">
        <v>2883</v>
      </c>
      <c r="K1605" s="33" t="n">
        <v>0.373949579831933</v>
      </c>
      <c r="L1605" s="31" t="n">
        <v>96.3</v>
      </c>
      <c r="M1605" s="34" t="s">
        <v>822</v>
      </c>
      <c r="N1605" s="2" t="s">
        <v>24</v>
      </c>
      <c r="O1605" s="2" t="s">
        <v>24</v>
      </c>
      <c r="P1605" s="2" t="s">
        <v>24</v>
      </c>
      <c r="Q1605" s="2" t="s">
        <v>24</v>
      </c>
    </row>
    <row r="1606" customFormat="false" ht="15" hidden="false" customHeight="false" outlineLevel="0" collapsed="false">
      <c r="A1606" s="2" t="s">
        <v>336</v>
      </c>
      <c r="B1606" s="2" t="s">
        <v>46</v>
      </c>
      <c r="C1606" s="13" t="s">
        <v>1623</v>
      </c>
      <c r="D1606" s="29" t="n">
        <v>330670</v>
      </c>
      <c r="E1606" s="2" t="s">
        <v>827</v>
      </c>
      <c r="F1606" s="30" t="n">
        <v>11.4517736716364</v>
      </c>
      <c r="G1606" s="31" t="n">
        <v>96.5</v>
      </c>
      <c r="H1606" s="32" t="n">
        <v>0.0110686439382357</v>
      </c>
      <c r="I1606" s="31" t="n">
        <v>17.2</v>
      </c>
      <c r="J1606" s="2" t="s">
        <v>2888</v>
      </c>
      <c r="K1606" s="33" t="n">
        <v>0.134858535119354</v>
      </c>
      <c r="L1606" s="31" t="n">
        <v>50.8</v>
      </c>
      <c r="M1606" s="34" t="s">
        <v>822</v>
      </c>
      <c r="N1606" s="2" t="s">
        <v>24</v>
      </c>
      <c r="O1606" s="2" t="s">
        <v>24</v>
      </c>
      <c r="P1606" s="2" t="s">
        <v>24</v>
      </c>
      <c r="Q1606" s="2" t="s">
        <v>24</v>
      </c>
    </row>
    <row r="1607" customFormat="false" ht="15" hidden="false" customHeight="false" outlineLevel="0" collapsed="false">
      <c r="A1607" s="2" t="s">
        <v>336</v>
      </c>
      <c r="B1607" s="2" t="s">
        <v>47</v>
      </c>
      <c r="C1607" s="14" t="s">
        <v>2343</v>
      </c>
      <c r="D1607" s="42" t="n">
        <v>40693</v>
      </c>
      <c r="E1607" s="2" t="s">
        <v>821</v>
      </c>
      <c r="F1607" s="43" t="n">
        <v>2.2761162853562</v>
      </c>
      <c r="G1607" s="31" t="n">
        <v>80.8</v>
      </c>
      <c r="H1607" s="41" t="n">
        <v>0.070558522532951</v>
      </c>
      <c r="I1607" s="31" t="n">
        <v>36</v>
      </c>
      <c r="J1607" s="2" t="s">
        <v>2886</v>
      </c>
      <c r="K1607" s="44" t="n">
        <v>0.117995191418532</v>
      </c>
      <c r="L1607" s="31" t="n">
        <v>65.1</v>
      </c>
      <c r="M1607" s="34" t="s">
        <v>822</v>
      </c>
      <c r="N1607" s="2" t="s">
        <v>22</v>
      </c>
      <c r="O1607" s="2" t="s">
        <v>22</v>
      </c>
      <c r="P1607" s="2" t="s">
        <v>22</v>
      </c>
      <c r="Q1607" s="2" t="s">
        <v>22</v>
      </c>
    </row>
    <row r="1608" customFormat="false" ht="15" hidden="false" customHeight="false" outlineLevel="0" collapsed="false">
      <c r="A1608" s="2" t="s">
        <v>254</v>
      </c>
      <c r="B1608" s="2" t="s">
        <v>45</v>
      </c>
      <c r="C1608" s="13" t="s">
        <v>1357</v>
      </c>
      <c r="D1608" s="29" t="n">
        <v>50400</v>
      </c>
      <c r="E1608" s="2" t="s">
        <v>821</v>
      </c>
      <c r="F1608" s="30" t="n">
        <v>0.446289682539683</v>
      </c>
      <c r="G1608" s="31" t="n">
        <v>34.2</v>
      </c>
      <c r="H1608" s="32" t="n">
        <v>0.07600341588386</v>
      </c>
      <c r="I1608" s="31" t="n">
        <v>40.9</v>
      </c>
      <c r="J1608" s="2" t="s">
        <v>2883</v>
      </c>
      <c r="K1608" s="33" t="n">
        <v>0.24954954954955</v>
      </c>
      <c r="L1608" s="31" t="n">
        <v>82.1</v>
      </c>
      <c r="M1608" s="34" t="s">
        <v>822</v>
      </c>
      <c r="N1608" s="2" t="s">
        <v>24</v>
      </c>
      <c r="O1608" s="2" t="s">
        <v>24</v>
      </c>
      <c r="P1608" s="2" t="s">
        <v>24</v>
      </c>
      <c r="Q1608" s="2" t="s">
        <v>24</v>
      </c>
    </row>
    <row r="1609" customFormat="false" ht="15" hidden="false" customHeight="false" outlineLevel="0" collapsed="false">
      <c r="A1609" s="2" t="s">
        <v>254</v>
      </c>
      <c r="B1609" s="2" t="s">
        <v>46</v>
      </c>
      <c r="C1609" s="13" t="s">
        <v>1709</v>
      </c>
      <c r="D1609" s="29" t="n">
        <v>13960</v>
      </c>
      <c r="E1609" s="2" t="s">
        <v>821</v>
      </c>
      <c r="F1609" s="30" t="n">
        <v>6.09613180515759</v>
      </c>
      <c r="G1609" s="31" t="n">
        <v>80.7</v>
      </c>
      <c r="H1609" s="41" t="n">
        <v>0.0115381892829334</v>
      </c>
      <c r="I1609" s="31" t="n">
        <v>16</v>
      </c>
      <c r="J1609" s="2" t="s">
        <v>2884</v>
      </c>
      <c r="K1609" s="33" t="n">
        <v>0.187226762972819</v>
      </c>
      <c r="L1609" s="31" t="n">
        <v>66</v>
      </c>
      <c r="M1609" s="34" t="s">
        <v>822</v>
      </c>
      <c r="N1609" s="2" t="s">
        <v>24</v>
      </c>
      <c r="O1609" s="2" t="s">
        <v>24</v>
      </c>
      <c r="P1609" s="2" t="s">
        <v>22</v>
      </c>
      <c r="Q1609" s="2" t="s">
        <v>24</v>
      </c>
    </row>
    <row r="1610" customFormat="false" ht="15" hidden="false" customHeight="false" outlineLevel="0" collapsed="false">
      <c r="A1610" s="2" t="s">
        <v>254</v>
      </c>
      <c r="B1610" s="2" t="s">
        <v>47</v>
      </c>
      <c r="C1610" s="14" t="s">
        <v>2298</v>
      </c>
      <c r="D1610" s="29" t="n">
        <v>187470</v>
      </c>
      <c r="E1610" s="2" t="s">
        <v>827</v>
      </c>
      <c r="F1610" s="30" t="n">
        <v>2.79541793353603</v>
      </c>
      <c r="G1610" s="31" t="n">
        <v>87.8</v>
      </c>
      <c r="H1610" s="32" t="n">
        <v>0.141508859526274</v>
      </c>
      <c r="I1610" s="31" t="n">
        <v>77.6</v>
      </c>
      <c r="J1610" s="2" t="s">
        <v>2897</v>
      </c>
      <c r="K1610" s="33" t="n">
        <v>0.188344268622154</v>
      </c>
      <c r="L1610" s="31" t="n">
        <v>82.1</v>
      </c>
      <c r="M1610" s="34" t="s">
        <v>822</v>
      </c>
      <c r="N1610" s="2" t="s">
        <v>24</v>
      </c>
      <c r="O1610" s="2" t="s">
        <v>24</v>
      </c>
      <c r="P1610" s="2" t="s">
        <v>24</v>
      </c>
      <c r="Q1610" s="2" t="s">
        <v>24</v>
      </c>
    </row>
    <row r="1611" customFormat="false" ht="15" hidden="false" customHeight="false" outlineLevel="0" collapsed="false">
      <c r="A1611" s="2" t="s">
        <v>372</v>
      </c>
      <c r="B1611" s="2" t="s">
        <v>45</v>
      </c>
      <c r="C1611" s="13" t="s">
        <v>1048</v>
      </c>
      <c r="D1611" s="29" t="n">
        <v>93860</v>
      </c>
      <c r="E1611" s="2" t="s">
        <v>821</v>
      </c>
      <c r="F1611" s="30" t="n">
        <v>0.861559769870019</v>
      </c>
      <c r="G1611" s="31" t="n">
        <v>73.2</v>
      </c>
      <c r="H1611" s="32" t="n">
        <v>-0.122721749696233</v>
      </c>
      <c r="I1611" s="31" t="n">
        <v>1</v>
      </c>
      <c r="J1611" s="2" t="s">
        <v>2883</v>
      </c>
      <c r="K1611" s="33" t="n">
        <v>0.0842634805848137</v>
      </c>
      <c r="L1611" s="31" t="n">
        <v>28.4</v>
      </c>
      <c r="M1611" s="34" t="s">
        <v>822</v>
      </c>
      <c r="N1611" s="2" t="s">
        <v>24</v>
      </c>
      <c r="O1611" s="2" t="s">
        <v>24</v>
      </c>
      <c r="P1611" s="2" t="s">
        <v>24</v>
      </c>
      <c r="Q1611" s="2" t="s">
        <v>24</v>
      </c>
    </row>
    <row r="1612" customFormat="false" ht="15" hidden="false" customHeight="false" outlineLevel="0" collapsed="false">
      <c r="A1612" s="2" t="s">
        <v>372</v>
      </c>
      <c r="B1612" s="2" t="s">
        <v>46</v>
      </c>
      <c r="C1612" s="13" t="s">
        <v>2178</v>
      </c>
      <c r="D1612" s="29" t="n">
        <v>49050</v>
      </c>
      <c r="E1612" s="2" t="s">
        <v>821</v>
      </c>
      <c r="F1612" s="30" t="n">
        <v>0.812334352701325</v>
      </c>
      <c r="G1612" s="31" t="n">
        <v>4.3</v>
      </c>
      <c r="H1612" s="41" t="n">
        <v>0.00129517443074995</v>
      </c>
      <c r="I1612" s="31" t="n">
        <v>12.7</v>
      </c>
      <c r="J1612" s="2" t="s">
        <v>2884</v>
      </c>
      <c r="K1612" s="33" t="n">
        <v>0.130283911671924</v>
      </c>
      <c r="L1612" s="31" t="n">
        <v>49.2</v>
      </c>
      <c r="M1612" s="34" t="s">
        <v>822</v>
      </c>
      <c r="N1612" s="2" t="s">
        <v>24</v>
      </c>
      <c r="O1612" s="2" t="s">
        <v>24</v>
      </c>
      <c r="P1612" s="2" t="s">
        <v>22</v>
      </c>
      <c r="Q1612" s="2" t="s">
        <v>24</v>
      </c>
    </row>
    <row r="1613" customFormat="false" ht="15" hidden="false" customHeight="false" outlineLevel="0" collapsed="false">
      <c r="A1613" s="2" t="s">
        <v>372</v>
      </c>
      <c r="B1613" s="2" t="s">
        <v>47</v>
      </c>
      <c r="C1613" s="13" t="s">
        <v>2263</v>
      </c>
      <c r="D1613" s="29" t="n">
        <v>4824440</v>
      </c>
      <c r="E1613" s="2" t="s">
        <v>935</v>
      </c>
      <c r="F1613" s="30" t="n">
        <v>3.62213396788021</v>
      </c>
      <c r="G1613" s="31" t="n">
        <v>93.5</v>
      </c>
      <c r="H1613" s="32" t="n">
        <v>0.103912537096911</v>
      </c>
      <c r="I1613" s="31" t="n">
        <v>50</v>
      </c>
      <c r="J1613" s="2" t="s">
        <v>2922</v>
      </c>
      <c r="K1613" s="33" t="n">
        <v>0.0506406456012355</v>
      </c>
      <c r="L1613" s="31" t="n">
        <v>33.2</v>
      </c>
      <c r="M1613" s="34" t="s">
        <v>822</v>
      </c>
      <c r="N1613" s="2" t="s">
        <v>24</v>
      </c>
      <c r="O1613" s="2" t="s">
        <v>24</v>
      </c>
      <c r="P1613" s="2" t="s">
        <v>24</v>
      </c>
      <c r="Q1613" s="2" t="s">
        <v>24</v>
      </c>
    </row>
    <row r="1614" customFormat="false" ht="15" hidden="false" customHeight="false" outlineLevel="0" collapsed="false">
      <c r="A1614" s="2" t="s">
        <v>1938</v>
      </c>
      <c r="B1614" s="2" t="s">
        <v>46</v>
      </c>
      <c r="C1614" s="13" t="s">
        <v>1939</v>
      </c>
      <c r="D1614" s="29" t="n">
        <v>172540</v>
      </c>
      <c r="E1614" s="2" t="s">
        <v>827</v>
      </c>
      <c r="F1614" s="30" t="n">
        <v>2.83211429233801</v>
      </c>
      <c r="G1614" s="31" t="n">
        <v>44</v>
      </c>
      <c r="H1614" s="32" t="n">
        <v>0.0264739127848177</v>
      </c>
      <c r="I1614" s="31" t="n">
        <v>23.6</v>
      </c>
      <c r="J1614" s="2" t="s">
        <v>2888</v>
      </c>
      <c r="K1614" s="33" t="n">
        <v>0.374193134012011</v>
      </c>
      <c r="L1614" s="31" t="n">
        <v>95.8</v>
      </c>
      <c r="M1614" s="34" t="s">
        <v>822</v>
      </c>
      <c r="N1614" s="2" t="s">
        <v>24</v>
      </c>
      <c r="O1614" s="2" t="s">
        <v>24</v>
      </c>
      <c r="P1614" s="2" t="s">
        <v>24</v>
      </c>
      <c r="Q1614" s="2" t="s">
        <v>24</v>
      </c>
    </row>
    <row r="1615" customFormat="false" ht="15" hidden="false" customHeight="false" outlineLevel="0" collapsed="false">
      <c r="A1615" s="2" t="s">
        <v>101</v>
      </c>
      <c r="B1615" s="2" t="s">
        <v>46</v>
      </c>
      <c r="C1615" s="13" t="s">
        <v>1639</v>
      </c>
      <c r="D1615" s="29" t="n">
        <v>43020</v>
      </c>
      <c r="E1615" s="2" t="s">
        <v>821</v>
      </c>
      <c r="F1615" s="30" t="n">
        <v>9.96664342166434</v>
      </c>
      <c r="G1615" s="31" t="n">
        <v>94.1</v>
      </c>
      <c r="H1615" s="32" t="n">
        <v>0.0744255744255744</v>
      </c>
      <c r="I1615" s="31" t="n">
        <v>43.6</v>
      </c>
      <c r="J1615" s="2" t="s">
        <v>2884</v>
      </c>
      <c r="K1615" s="33" t="n">
        <v>0.21765364518537</v>
      </c>
      <c r="L1615" s="31" t="n">
        <v>73.7</v>
      </c>
      <c r="M1615" s="34" t="s">
        <v>822</v>
      </c>
      <c r="N1615" s="2" t="s">
        <v>24</v>
      </c>
      <c r="O1615" s="2" t="s">
        <v>24</v>
      </c>
      <c r="P1615" s="2" t="s">
        <v>24</v>
      </c>
      <c r="Q1615" s="2" t="s">
        <v>24</v>
      </c>
    </row>
    <row r="1616" customFormat="false" ht="15" hidden="false" customHeight="false" outlineLevel="0" collapsed="false">
      <c r="A1616" s="2" t="s">
        <v>620</v>
      </c>
      <c r="B1616" s="2" t="s">
        <v>45</v>
      </c>
      <c r="C1616" s="13" t="s">
        <v>1522</v>
      </c>
      <c r="D1616" s="29" t="n">
        <v>13310</v>
      </c>
      <c r="E1616" s="2" t="s">
        <v>821</v>
      </c>
      <c r="F1616" s="30" t="n">
        <v>0.226070623591285</v>
      </c>
      <c r="G1616" s="31" t="n">
        <v>10.6</v>
      </c>
      <c r="H1616" s="32" t="n">
        <v>0.0597133757961783</v>
      </c>
      <c r="I1616" s="31" t="n">
        <v>31.6</v>
      </c>
      <c r="J1616" s="2" t="s">
        <v>2883</v>
      </c>
      <c r="K1616" s="33" t="n">
        <v>0.120300751879699</v>
      </c>
      <c r="L1616" s="31" t="n">
        <v>45</v>
      </c>
      <c r="M1616" s="34" t="s">
        <v>822</v>
      </c>
      <c r="N1616" s="2" t="s">
        <v>24</v>
      </c>
      <c r="O1616" s="2" t="s">
        <v>24</v>
      </c>
      <c r="P1616" s="2" t="s">
        <v>24</v>
      </c>
      <c r="Q1616" s="2" t="s">
        <v>24</v>
      </c>
    </row>
    <row r="1617" customFormat="false" ht="15" hidden="false" customHeight="false" outlineLevel="0" collapsed="false">
      <c r="A1617" s="2" t="s">
        <v>620</v>
      </c>
      <c r="B1617" s="2" t="s">
        <v>46</v>
      </c>
      <c r="C1617" s="13" t="s">
        <v>2142</v>
      </c>
      <c r="D1617" s="42" t="n">
        <v>77739</v>
      </c>
      <c r="E1617" s="2" t="s">
        <v>821</v>
      </c>
      <c r="F1617" s="43" t="n">
        <v>1.23815588057474</v>
      </c>
      <c r="G1617" s="31" t="n">
        <v>10.6</v>
      </c>
      <c r="H1617" s="41" t="n">
        <v>0.212644485001638</v>
      </c>
      <c r="I1617" s="31" t="n">
        <v>96</v>
      </c>
      <c r="J1617" s="2" t="s">
        <v>2884</v>
      </c>
      <c r="K1617" s="33" t="n">
        <v>0.0676664228237015</v>
      </c>
      <c r="L1617" s="31" t="n">
        <v>18.5</v>
      </c>
      <c r="M1617" s="34" t="s">
        <v>822</v>
      </c>
      <c r="N1617" s="2" t="s">
        <v>22</v>
      </c>
      <c r="O1617" s="2" t="s">
        <v>22</v>
      </c>
      <c r="P1617" s="2" t="s">
        <v>22</v>
      </c>
      <c r="Q1617" s="2" t="s">
        <v>24</v>
      </c>
    </row>
    <row r="1618" customFormat="false" ht="15" hidden="false" customHeight="false" outlineLevel="0" collapsed="false">
      <c r="A1618" s="2" t="s">
        <v>620</v>
      </c>
      <c r="B1618" s="2" t="s">
        <v>47</v>
      </c>
      <c r="C1618" s="13" t="s">
        <v>2271</v>
      </c>
      <c r="D1618" s="29" t="n">
        <v>27170</v>
      </c>
      <c r="E1618" s="2" t="s">
        <v>821</v>
      </c>
      <c r="F1618" s="30" t="n">
        <v>3.37975708502024</v>
      </c>
      <c r="G1618" s="31" t="n">
        <v>92.1</v>
      </c>
      <c r="H1618" s="32" t="n">
        <v>-0.0669642857142857</v>
      </c>
      <c r="I1618" s="31" t="n">
        <v>1.3</v>
      </c>
      <c r="J1618" s="2" t="s">
        <v>2886</v>
      </c>
      <c r="K1618" s="33" t="n">
        <v>0.18227724385079</v>
      </c>
      <c r="L1618" s="31" t="n">
        <v>80.8</v>
      </c>
      <c r="M1618" s="34" t="s">
        <v>822</v>
      </c>
      <c r="N1618" s="2" t="s">
        <v>24</v>
      </c>
      <c r="O1618" s="2" t="s">
        <v>24</v>
      </c>
      <c r="P1618" s="2" t="s">
        <v>24</v>
      </c>
      <c r="Q1618" s="2" t="s">
        <v>24</v>
      </c>
    </row>
    <row r="1619" customFormat="false" ht="15" hidden="false" customHeight="false" outlineLevel="0" collapsed="false">
      <c r="A1619" s="2" t="s">
        <v>514</v>
      </c>
      <c r="B1619" s="2" t="s">
        <v>45</v>
      </c>
      <c r="C1619" s="13" t="s">
        <v>893</v>
      </c>
      <c r="D1619" s="29" t="n">
        <v>64560</v>
      </c>
      <c r="E1619" s="2" t="s">
        <v>821</v>
      </c>
      <c r="F1619" s="30" t="n">
        <v>1.70638166047088</v>
      </c>
      <c r="G1619" s="31" t="n">
        <v>92.1</v>
      </c>
      <c r="H1619" s="32" t="n">
        <v>-0.0183974456439106</v>
      </c>
      <c r="I1619" s="31" t="n">
        <v>6.5</v>
      </c>
      <c r="J1619" s="2" t="s">
        <v>2883</v>
      </c>
      <c r="K1619" s="33" t="n">
        <v>0.163711340206186</v>
      </c>
      <c r="L1619" s="31" t="n">
        <v>64.1</v>
      </c>
      <c r="M1619" s="34" t="s">
        <v>822</v>
      </c>
      <c r="N1619" s="2" t="s">
        <v>24</v>
      </c>
      <c r="O1619" s="2" t="s">
        <v>24</v>
      </c>
      <c r="P1619" s="2" t="s">
        <v>24</v>
      </c>
      <c r="Q1619" s="2" t="s">
        <v>24</v>
      </c>
    </row>
    <row r="1620" customFormat="false" ht="15" hidden="false" customHeight="false" outlineLevel="0" collapsed="false">
      <c r="A1620" s="2" t="s">
        <v>514</v>
      </c>
      <c r="B1620" s="2" t="s">
        <v>46</v>
      </c>
      <c r="C1620" s="13" t="s">
        <v>2044</v>
      </c>
      <c r="D1620" s="29" t="n">
        <v>21500</v>
      </c>
      <c r="E1620" s="2" t="s">
        <v>821</v>
      </c>
      <c r="F1620" s="30" t="n">
        <v>1.93032558139535</v>
      </c>
      <c r="G1620" s="31" t="n">
        <v>26.3</v>
      </c>
      <c r="H1620" s="32" t="n">
        <v>-0.0397498883430103</v>
      </c>
      <c r="I1620" s="31" t="n">
        <v>5.5</v>
      </c>
      <c r="J1620" s="2" t="s">
        <v>2884</v>
      </c>
      <c r="K1620" s="33" t="n">
        <v>0.153434800493624</v>
      </c>
      <c r="L1620" s="31" t="n">
        <v>57</v>
      </c>
      <c r="M1620" s="34" t="s">
        <v>822</v>
      </c>
      <c r="N1620" s="2" t="s">
        <v>24</v>
      </c>
      <c r="O1620" s="2" t="s">
        <v>24</v>
      </c>
      <c r="P1620" s="2" t="s">
        <v>24</v>
      </c>
      <c r="Q1620" s="2" t="s">
        <v>24</v>
      </c>
    </row>
    <row r="1621" customFormat="false" ht="15" hidden="false" customHeight="false" outlineLevel="0" collapsed="false">
      <c r="A1621" s="2" t="s">
        <v>514</v>
      </c>
      <c r="B1621" s="2" t="s">
        <v>47</v>
      </c>
      <c r="C1621" s="14" t="s">
        <v>2713</v>
      </c>
      <c r="D1621" s="42" t="n">
        <v>90701</v>
      </c>
      <c r="E1621" s="2" t="s">
        <v>821</v>
      </c>
      <c r="F1621" s="43" t="n">
        <v>0.728404317482718</v>
      </c>
      <c r="G1621" s="31" t="n">
        <v>23.6</v>
      </c>
      <c r="H1621" s="41" t="n">
        <v>0.0467271384388127</v>
      </c>
      <c r="I1621" s="31" t="n">
        <v>26.6</v>
      </c>
      <c r="J1621" s="2" t="s">
        <v>2886</v>
      </c>
      <c r="K1621" s="44" t="n">
        <v>0.120394604388967</v>
      </c>
      <c r="L1621" s="31" t="n">
        <v>65.4</v>
      </c>
      <c r="M1621" s="34" t="s">
        <v>822</v>
      </c>
      <c r="N1621" s="2" t="s">
        <v>22</v>
      </c>
      <c r="O1621" s="2" t="s">
        <v>22</v>
      </c>
      <c r="P1621" s="2" t="s">
        <v>22</v>
      </c>
      <c r="Q1621" s="2" t="s">
        <v>22</v>
      </c>
    </row>
    <row r="1622" customFormat="false" ht="15" hidden="false" customHeight="false" outlineLevel="0" collapsed="false">
      <c r="A1622" s="2" t="s">
        <v>712</v>
      </c>
      <c r="B1622" s="2" t="s">
        <v>46</v>
      </c>
      <c r="C1622" s="13" t="s">
        <v>2042</v>
      </c>
      <c r="D1622" s="29" t="n">
        <v>279470</v>
      </c>
      <c r="E1622" s="2" t="s">
        <v>827</v>
      </c>
      <c r="F1622" s="30" t="n">
        <v>1.95540845171217</v>
      </c>
      <c r="G1622" s="31" t="n">
        <v>26.9</v>
      </c>
      <c r="H1622" s="32" t="n">
        <v>0.0948444723027501</v>
      </c>
      <c r="I1622" s="31" t="n">
        <v>59.2</v>
      </c>
      <c r="J1622" s="2" t="s">
        <v>2888</v>
      </c>
      <c r="K1622" s="33" t="n">
        <v>0.152658193248599</v>
      </c>
      <c r="L1622" s="31" t="n">
        <v>56.3</v>
      </c>
      <c r="M1622" s="34" t="s">
        <v>822</v>
      </c>
      <c r="N1622" s="2" t="s">
        <v>24</v>
      </c>
      <c r="O1622" s="2" t="s">
        <v>24</v>
      </c>
      <c r="P1622" s="2" t="s">
        <v>24</v>
      </c>
      <c r="Q1622" s="2" t="s">
        <v>24</v>
      </c>
    </row>
    <row r="1623" customFormat="false" ht="15" hidden="false" customHeight="false" outlineLevel="0" collapsed="false">
      <c r="A1623" s="2" t="s">
        <v>2194</v>
      </c>
      <c r="B1623" s="2" t="s">
        <v>45</v>
      </c>
      <c r="C1623" s="16"/>
      <c r="D1623" s="35"/>
      <c r="E1623" s="2"/>
      <c r="F1623" s="36"/>
      <c r="G1623" s="31"/>
      <c r="H1623" s="37"/>
      <c r="I1623" s="31"/>
      <c r="J1623" s="2"/>
      <c r="K1623" s="38"/>
      <c r="L1623" s="31"/>
      <c r="M1623" s="39" t="s">
        <v>832</v>
      </c>
      <c r="N1623" s="2"/>
      <c r="O1623" s="2"/>
      <c r="P1623" s="2"/>
      <c r="Q1623" s="2"/>
    </row>
    <row r="1624" customFormat="false" ht="15" hidden="false" customHeight="false" outlineLevel="0" collapsed="false">
      <c r="A1624" s="2" t="s">
        <v>2194</v>
      </c>
      <c r="B1624" s="2" t="s">
        <v>46</v>
      </c>
      <c r="C1624" s="13" t="s">
        <v>2195</v>
      </c>
      <c r="D1624" s="29" t="n">
        <v>366330</v>
      </c>
      <c r="E1624" s="2" t="s">
        <v>827</v>
      </c>
      <c r="F1624" s="30" t="n">
        <v>0.558799443125051</v>
      </c>
      <c r="G1624" s="31" t="n">
        <v>2</v>
      </c>
      <c r="H1624" s="32" t="n">
        <v>0.053126347563605</v>
      </c>
      <c r="I1624" s="31" t="n">
        <v>37.6</v>
      </c>
      <c r="J1624" s="2" t="s">
        <v>2888</v>
      </c>
      <c r="K1624" s="33" t="n">
        <v>0.047170935080405</v>
      </c>
      <c r="L1624" s="31" t="n">
        <v>11.3</v>
      </c>
      <c r="M1624" s="34" t="s">
        <v>822</v>
      </c>
      <c r="N1624" s="2" t="s">
        <v>24</v>
      </c>
      <c r="O1624" s="2" t="s">
        <v>24</v>
      </c>
      <c r="P1624" s="2" t="s">
        <v>24</v>
      </c>
      <c r="Q1624" s="2" t="s">
        <v>24</v>
      </c>
    </row>
    <row r="1625" customFormat="false" ht="15" hidden="false" customHeight="false" outlineLevel="0" collapsed="false">
      <c r="A1625" s="2" t="s">
        <v>2194</v>
      </c>
      <c r="B1625" s="2" t="s">
        <v>47</v>
      </c>
      <c r="C1625" s="13" t="s">
        <v>2799</v>
      </c>
      <c r="D1625" s="29" t="n">
        <v>31340</v>
      </c>
      <c r="E1625" s="2" t="s">
        <v>821</v>
      </c>
      <c r="F1625" s="30" t="n">
        <v>0.478174856413529</v>
      </c>
      <c r="G1625" s="31" t="n">
        <v>11.8</v>
      </c>
      <c r="H1625" s="41" t="n">
        <v>0.120353799559471</v>
      </c>
      <c r="I1625" s="31" t="n">
        <v>63.3</v>
      </c>
      <c r="J1625" s="2" t="s">
        <v>2886</v>
      </c>
      <c r="K1625" s="33" t="n">
        <v>0.0864553314121038</v>
      </c>
      <c r="L1625" s="31" t="n">
        <v>52.7</v>
      </c>
      <c r="M1625" s="34" t="s">
        <v>822</v>
      </c>
      <c r="N1625" s="2" t="s">
        <v>24</v>
      </c>
      <c r="O1625" s="2" t="s">
        <v>24</v>
      </c>
      <c r="P1625" s="2" t="s">
        <v>22</v>
      </c>
      <c r="Q1625" s="2" t="s">
        <v>24</v>
      </c>
    </row>
    <row r="1626" customFormat="false" ht="15" hidden="false" customHeight="false" outlineLevel="0" collapsed="false">
      <c r="A1626" s="2" t="s">
        <v>310</v>
      </c>
      <c r="B1626" s="2" t="s">
        <v>45</v>
      </c>
      <c r="C1626" s="13" t="s">
        <v>1426</v>
      </c>
      <c r="D1626" s="29" t="n">
        <v>25720</v>
      </c>
      <c r="E1626" s="2" t="s">
        <v>821</v>
      </c>
      <c r="F1626" s="30" t="n">
        <v>0.345139968895801</v>
      </c>
      <c r="G1626" s="31" t="n">
        <v>23.8</v>
      </c>
      <c r="H1626" s="32" t="n">
        <v>0.134539038376709</v>
      </c>
      <c r="I1626" s="31" t="n">
        <v>71.8</v>
      </c>
      <c r="J1626" s="2" t="s">
        <v>2883</v>
      </c>
      <c r="K1626" s="33" t="n">
        <v>0.106896551724138</v>
      </c>
      <c r="L1626" s="31" t="n">
        <v>37.1</v>
      </c>
      <c r="M1626" s="34" t="s">
        <v>822</v>
      </c>
      <c r="N1626" s="2" t="s">
        <v>24</v>
      </c>
      <c r="O1626" s="2" t="s">
        <v>24</v>
      </c>
      <c r="P1626" s="2" t="s">
        <v>24</v>
      </c>
      <c r="Q1626" s="2" t="s">
        <v>24</v>
      </c>
    </row>
    <row r="1627" customFormat="false" ht="15" hidden="false" customHeight="false" outlineLevel="0" collapsed="false">
      <c r="A1627" s="2" t="s">
        <v>310</v>
      </c>
      <c r="B1627" s="2" t="s">
        <v>46</v>
      </c>
      <c r="C1627" s="13" t="s">
        <v>1775</v>
      </c>
      <c r="D1627" s="29" t="n">
        <v>20290</v>
      </c>
      <c r="E1627" s="2" t="s">
        <v>821</v>
      </c>
      <c r="F1627" s="30" t="n">
        <v>4.65470675209463</v>
      </c>
      <c r="G1627" s="31" t="n">
        <v>70.1</v>
      </c>
      <c r="H1627" s="32" t="n">
        <v>0.049663735126746</v>
      </c>
      <c r="I1627" s="31" t="n">
        <v>30.2</v>
      </c>
      <c r="J1627" s="2" t="s">
        <v>2884</v>
      </c>
      <c r="K1627" s="44" t="n">
        <v>0.0510158683078748</v>
      </c>
      <c r="L1627" s="31" t="n">
        <v>12.8</v>
      </c>
      <c r="M1627" s="34" t="s">
        <v>822</v>
      </c>
      <c r="N1627" s="2" t="s">
        <v>24</v>
      </c>
      <c r="O1627" s="2" t="s">
        <v>24</v>
      </c>
      <c r="P1627" s="2" t="s">
        <v>24</v>
      </c>
      <c r="Q1627" s="2" t="s">
        <v>22</v>
      </c>
    </row>
    <row r="1628" customFormat="false" ht="15" hidden="false" customHeight="false" outlineLevel="0" collapsed="false">
      <c r="A1628" s="2" t="s">
        <v>310</v>
      </c>
      <c r="B1628" s="2" t="s">
        <v>47</v>
      </c>
      <c r="C1628" s="13" t="s">
        <v>2253</v>
      </c>
      <c r="D1628" s="29" t="n">
        <v>5730</v>
      </c>
      <c r="E1628" s="2" t="s">
        <v>825</v>
      </c>
      <c r="F1628" s="30" t="n">
        <v>3.98586387434555</v>
      </c>
      <c r="G1628" s="31" t="n">
        <v>94.2</v>
      </c>
      <c r="H1628" s="41" t="n">
        <v>0.064090655768159</v>
      </c>
      <c r="I1628" s="31" t="n">
        <v>33.8</v>
      </c>
      <c r="J1628" s="2" t="s">
        <v>2889</v>
      </c>
      <c r="K1628" s="33" t="n">
        <v>0.0078003120124805</v>
      </c>
      <c r="L1628" s="31" t="n">
        <v>5.7</v>
      </c>
      <c r="M1628" s="34" t="s">
        <v>822</v>
      </c>
      <c r="N1628" s="2" t="s">
        <v>24</v>
      </c>
      <c r="O1628" s="2" t="s">
        <v>24</v>
      </c>
      <c r="P1628" s="2" t="s">
        <v>22</v>
      </c>
      <c r="Q1628" s="2" t="s">
        <v>24</v>
      </c>
    </row>
    <row r="1629" customFormat="false" ht="15" hidden="false" customHeight="false" outlineLevel="0" collapsed="false">
      <c r="A1629" s="2" t="s">
        <v>446</v>
      </c>
      <c r="B1629" s="2" t="s">
        <v>45</v>
      </c>
      <c r="C1629" s="13" t="s">
        <v>1341</v>
      </c>
      <c r="D1629" s="29" t="n">
        <v>46580</v>
      </c>
      <c r="E1629" s="2" t="s">
        <v>821</v>
      </c>
      <c r="F1629" s="30" t="n">
        <v>0.454680120223272</v>
      </c>
      <c r="G1629" s="31" t="n">
        <v>36.1</v>
      </c>
      <c r="H1629" s="32" t="n">
        <v>0.097808154607589</v>
      </c>
      <c r="I1629" s="31" t="n">
        <v>51.2</v>
      </c>
      <c r="J1629" s="2" t="s">
        <v>2883</v>
      </c>
      <c r="K1629" s="33" t="n">
        <v>0.115011202389843</v>
      </c>
      <c r="L1629" s="31" t="n">
        <v>42.2</v>
      </c>
      <c r="M1629" s="34" t="s">
        <v>822</v>
      </c>
      <c r="N1629" s="2" t="s">
        <v>24</v>
      </c>
      <c r="O1629" s="2" t="s">
        <v>24</v>
      </c>
      <c r="P1629" s="2" t="s">
        <v>24</v>
      </c>
      <c r="Q1629" s="2" t="s">
        <v>24</v>
      </c>
    </row>
    <row r="1630" customFormat="false" ht="15" hidden="false" customHeight="false" outlineLevel="0" collapsed="false">
      <c r="A1630" s="2" t="s">
        <v>446</v>
      </c>
      <c r="B1630" s="2" t="s">
        <v>46</v>
      </c>
      <c r="C1630" s="13" t="s">
        <v>1784</v>
      </c>
      <c r="D1630" s="29" t="n">
        <v>15170</v>
      </c>
      <c r="E1630" s="2" t="s">
        <v>821</v>
      </c>
      <c r="F1630" s="30" t="n">
        <v>4.33019116677653</v>
      </c>
      <c r="G1630" s="31" t="n">
        <v>68.6</v>
      </c>
      <c r="H1630" s="32" t="n">
        <v>0.114621601763409</v>
      </c>
      <c r="I1630" s="31" t="n">
        <v>65.8</v>
      </c>
      <c r="J1630" s="2" t="s">
        <v>2884</v>
      </c>
      <c r="K1630" s="33" t="n">
        <v>0.114915572232645</v>
      </c>
      <c r="L1630" s="31" t="n">
        <v>42.6</v>
      </c>
      <c r="M1630" s="34" t="s">
        <v>822</v>
      </c>
      <c r="N1630" s="2" t="s">
        <v>24</v>
      </c>
      <c r="O1630" s="2" t="s">
        <v>24</v>
      </c>
      <c r="P1630" s="2" t="s">
        <v>24</v>
      </c>
      <c r="Q1630" s="2" t="s">
        <v>24</v>
      </c>
    </row>
    <row r="1631" customFormat="false" ht="15" hidden="false" customHeight="false" outlineLevel="0" collapsed="false">
      <c r="A1631" s="2" t="s">
        <v>1325</v>
      </c>
      <c r="B1631" s="2" t="s">
        <v>45</v>
      </c>
      <c r="C1631" s="14" t="s">
        <v>1326</v>
      </c>
      <c r="D1631" s="42" t="n">
        <v>21947</v>
      </c>
      <c r="E1631" s="2" t="s">
        <v>821</v>
      </c>
      <c r="F1631" s="43" t="n">
        <v>0.470314849409942</v>
      </c>
      <c r="G1631" s="31" t="n">
        <v>38.4</v>
      </c>
      <c r="H1631" s="41" t="n">
        <v>0.0292159069592947</v>
      </c>
      <c r="I1631" s="31" t="n">
        <v>17.2</v>
      </c>
      <c r="J1631" s="2" t="s">
        <v>2883</v>
      </c>
      <c r="K1631" s="44" t="n">
        <v>0.235294117647059</v>
      </c>
      <c r="L1631" s="31" t="n">
        <v>80.2</v>
      </c>
      <c r="M1631" s="34" t="s">
        <v>822</v>
      </c>
      <c r="N1631" s="2" t="s">
        <v>22</v>
      </c>
      <c r="O1631" s="2" t="s">
        <v>22</v>
      </c>
      <c r="P1631" s="2" t="s">
        <v>22</v>
      </c>
      <c r="Q1631" s="2" t="s">
        <v>22</v>
      </c>
    </row>
    <row r="1632" customFormat="false" ht="15" hidden="false" customHeight="false" outlineLevel="0" collapsed="false">
      <c r="A1632" s="2" t="s">
        <v>1325</v>
      </c>
      <c r="B1632" s="2" t="s">
        <v>46</v>
      </c>
      <c r="C1632" s="13" t="s">
        <v>1864</v>
      </c>
      <c r="D1632" s="29" t="n">
        <v>2870</v>
      </c>
      <c r="E1632" s="2" t="s">
        <v>825</v>
      </c>
      <c r="F1632" s="30" t="n">
        <v>3.45121951219512</v>
      </c>
      <c r="G1632" s="31" t="n">
        <v>55.2</v>
      </c>
      <c r="H1632" s="41" t="n">
        <v>0.119148936170213</v>
      </c>
      <c r="I1632" s="31" t="n">
        <v>54.7</v>
      </c>
      <c r="J1632" s="2" t="s">
        <v>2905</v>
      </c>
      <c r="K1632" s="33" t="n">
        <v>0.0566037735849057</v>
      </c>
      <c r="L1632" s="31" t="n">
        <v>13.9</v>
      </c>
      <c r="M1632" s="34" t="s">
        <v>822</v>
      </c>
      <c r="N1632" s="2" t="s">
        <v>24</v>
      </c>
      <c r="O1632" s="2" t="s">
        <v>24</v>
      </c>
      <c r="P1632" s="2" t="s">
        <v>22</v>
      </c>
      <c r="Q1632" s="2" t="s">
        <v>24</v>
      </c>
    </row>
    <row r="1633" customFormat="false" ht="15" hidden="false" customHeight="false" outlineLevel="0" collapsed="false">
      <c r="A1633" s="2" t="s">
        <v>1325</v>
      </c>
      <c r="B1633" s="2" t="s">
        <v>47</v>
      </c>
      <c r="C1633" s="14" t="s">
        <v>3288</v>
      </c>
      <c r="D1633" s="42" t="n">
        <v>8179</v>
      </c>
      <c r="E1633" s="2" t="s">
        <v>825</v>
      </c>
      <c r="F1633" s="43" t="n">
        <v>0.941802176305172</v>
      </c>
      <c r="G1633" s="31" t="n">
        <v>36</v>
      </c>
      <c r="H1633" s="41" t="n">
        <v>0.0148901848864623</v>
      </c>
      <c r="I1633" s="31" t="n">
        <v>12.5</v>
      </c>
      <c r="J1633" s="2" t="s">
        <v>2889</v>
      </c>
      <c r="K1633" s="38"/>
      <c r="L1633" s="31"/>
      <c r="M1633" s="39" t="s">
        <v>832</v>
      </c>
      <c r="N1633" s="2" t="s">
        <v>22</v>
      </c>
      <c r="O1633" s="2" t="s">
        <v>22</v>
      </c>
      <c r="P1633" s="2" t="s">
        <v>22</v>
      </c>
      <c r="Q1633" s="2"/>
    </row>
    <row r="1634" customFormat="false" ht="15" hidden="false" customHeight="false" outlineLevel="0" collapsed="false">
      <c r="A1634" s="2" t="s">
        <v>1546</v>
      </c>
      <c r="B1634" s="2" t="s">
        <v>45</v>
      </c>
      <c r="C1634" s="14" t="s">
        <v>1547</v>
      </c>
      <c r="D1634" s="42" t="n">
        <v>24914</v>
      </c>
      <c r="E1634" s="2" t="s">
        <v>821</v>
      </c>
      <c r="F1634" s="43" t="n">
        <v>0.173276069679698</v>
      </c>
      <c r="G1634" s="31" t="n">
        <v>7.2</v>
      </c>
      <c r="H1634" s="41" t="n">
        <v>0.0468507080129417</v>
      </c>
      <c r="I1634" s="31" t="n">
        <v>26.1</v>
      </c>
      <c r="J1634" s="2" t="s">
        <v>2883</v>
      </c>
      <c r="K1634" s="44" t="n">
        <v>0.143712574850299</v>
      </c>
      <c r="L1634" s="31" t="n">
        <v>55.7</v>
      </c>
      <c r="M1634" s="34" t="s">
        <v>822</v>
      </c>
      <c r="N1634" s="2" t="s">
        <v>22</v>
      </c>
      <c r="O1634" s="2" t="s">
        <v>22</v>
      </c>
      <c r="P1634" s="2" t="s">
        <v>22</v>
      </c>
      <c r="Q1634" s="2" t="s">
        <v>22</v>
      </c>
    </row>
    <row r="1635" customFormat="false" ht="15" hidden="false" customHeight="false" outlineLevel="0" collapsed="false">
      <c r="A1635" s="2" t="s">
        <v>1546</v>
      </c>
      <c r="B1635" s="2" t="s">
        <v>46</v>
      </c>
      <c r="C1635" s="13" t="s">
        <v>3289</v>
      </c>
      <c r="D1635" s="29" t="n">
        <v>23010</v>
      </c>
      <c r="E1635" s="2" t="s">
        <v>821</v>
      </c>
      <c r="F1635" s="36"/>
      <c r="G1635" s="31"/>
      <c r="H1635" s="32" t="n">
        <v>-0.0229299363057325</v>
      </c>
      <c r="I1635" s="31" t="n">
        <v>7.6</v>
      </c>
      <c r="J1635" s="2" t="s">
        <v>2884</v>
      </c>
      <c r="K1635" s="33" t="n">
        <v>0.177464788732394</v>
      </c>
      <c r="L1635" s="31" t="n">
        <v>63.6</v>
      </c>
      <c r="M1635" s="39" t="s">
        <v>832</v>
      </c>
      <c r="N1635" s="2" t="s">
        <v>24</v>
      </c>
      <c r="O1635" s="2"/>
      <c r="P1635" s="2" t="s">
        <v>24</v>
      </c>
      <c r="Q1635" s="2" t="s">
        <v>24</v>
      </c>
    </row>
    <row r="1636" customFormat="false" ht="15" hidden="false" customHeight="false" outlineLevel="0" collapsed="false">
      <c r="A1636" s="2" t="s">
        <v>1546</v>
      </c>
      <c r="B1636" s="2" t="s">
        <v>47</v>
      </c>
      <c r="C1636" s="14" t="s">
        <v>2732</v>
      </c>
      <c r="D1636" s="42" t="n">
        <v>392717</v>
      </c>
      <c r="E1636" s="2" t="s">
        <v>827</v>
      </c>
      <c r="F1636" s="43" t="n">
        <v>0.670197623224867</v>
      </c>
      <c r="G1636" s="31" t="n">
        <v>21</v>
      </c>
      <c r="H1636" s="41" t="n">
        <v>0.123348446059011</v>
      </c>
      <c r="I1636" s="31" t="n">
        <v>71.4</v>
      </c>
      <c r="J1636" s="2" t="s">
        <v>2897</v>
      </c>
      <c r="K1636" s="44" t="n">
        <v>0.222792607802875</v>
      </c>
      <c r="L1636" s="31" t="n">
        <v>89.4</v>
      </c>
      <c r="M1636" s="34" t="s">
        <v>822</v>
      </c>
      <c r="N1636" s="2" t="s">
        <v>22</v>
      </c>
      <c r="O1636" s="2" t="s">
        <v>22</v>
      </c>
      <c r="P1636" s="2" t="s">
        <v>22</v>
      </c>
      <c r="Q1636" s="2" t="s">
        <v>22</v>
      </c>
    </row>
    <row r="1637" customFormat="false" ht="15" hidden="false" customHeight="false" outlineLevel="0" collapsed="false">
      <c r="A1637" s="2" t="s">
        <v>140</v>
      </c>
      <c r="B1637" s="2" t="s">
        <v>47</v>
      </c>
      <c r="C1637" s="14" t="s">
        <v>2319</v>
      </c>
      <c r="D1637" s="42" t="n">
        <v>54392</v>
      </c>
      <c r="E1637" s="2" t="s">
        <v>821</v>
      </c>
      <c r="F1637" s="43" t="n">
        <v>2.4816700985439</v>
      </c>
      <c r="G1637" s="31" t="n">
        <v>84.5</v>
      </c>
      <c r="H1637" s="41" t="n">
        <v>0.0905445504852033</v>
      </c>
      <c r="I1637" s="31" t="n">
        <v>48.1</v>
      </c>
      <c r="J1637" s="2" t="s">
        <v>2886</v>
      </c>
      <c r="K1637" s="44" t="n">
        <v>0.11129207383279</v>
      </c>
      <c r="L1637" s="31" t="n">
        <v>62.7</v>
      </c>
      <c r="M1637" s="34" t="s">
        <v>822</v>
      </c>
      <c r="N1637" s="2" t="s">
        <v>22</v>
      </c>
      <c r="O1637" s="2" t="s">
        <v>22</v>
      </c>
      <c r="P1637" s="2" t="s">
        <v>22</v>
      </c>
      <c r="Q1637" s="2" t="s">
        <v>22</v>
      </c>
    </row>
    <row r="1638" customFormat="false" ht="15" hidden="false" customHeight="false" outlineLevel="0" collapsed="false">
      <c r="A1638" s="2" t="s">
        <v>386</v>
      </c>
      <c r="B1638" s="2" t="s">
        <v>45</v>
      </c>
      <c r="C1638" s="14" t="s">
        <v>1565</v>
      </c>
      <c r="D1638" s="42" t="n">
        <v>5229</v>
      </c>
      <c r="E1638" s="2" t="s">
        <v>825</v>
      </c>
      <c r="F1638" s="43" t="n">
        <v>0.144578313253012</v>
      </c>
      <c r="G1638" s="31" t="n">
        <v>4.9</v>
      </c>
      <c r="H1638" s="41" t="n">
        <v>0.215198698582384</v>
      </c>
      <c r="I1638" s="31" t="n">
        <v>94.4</v>
      </c>
      <c r="J1638" s="2" t="s">
        <v>2899</v>
      </c>
      <c r="K1638" s="44" t="n">
        <v>0.0289855072463768</v>
      </c>
      <c r="L1638" s="31" t="n">
        <v>7.7</v>
      </c>
      <c r="M1638" s="34" t="s">
        <v>822</v>
      </c>
      <c r="N1638" s="2" t="s">
        <v>22</v>
      </c>
      <c r="O1638" s="2" t="s">
        <v>22</v>
      </c>
      <c r="P1638" s="2" t="s">
        <v>22</v>
      </c>
      <c r="Q1638" s="2" t="s">
        <v>22</v>
      </c>
    </row>
    <row r="1639" customFormat="false" ht="15" hidden="false" customHeight="false" outlineLevel="0" collapsed="false">
      <c r="A1639" s="2" t="s">
        <v>386</v>
      </c>
      <c r="B1639" s="2" t="s">
        <v>46</v>
      </c>
      <c r="C1639" s="14" t="s">
        <v>1645</v>
      </c>
      <c r="D1639" s="42" t="n">
        <v>12962</v>
      </c>
      <c r="E1639" s="2" t="s">
        <v>821</v>
      </c>
      <c r="F1639" s="43" t="n">
        <v>9.65846320012344</v>
      </c>
      <c r="G1639" s="31" t="n">
        <v>93.3</v>
      </c>
      <c r="H1639" s="41" t="n">
        <v>-0.033552042946615</v>
      </c>
      <c r="I1639" s="31" t="n">
        <v>6.2</v>
      </c>
      <c r="J1639" s="2" t="s">
        <v>2884</v>
      </c>
      <c r="K1639" s="44" t="n">
        <v>0.284130568671731</v>
      </c>
      <c r="L1639" s="31" t="n">
        <v>86.5</v>
      </c>
      <c r="M1639" s="34" t="s">
        <v>822</v>
      </c>
      <c r="N1639" s="2" t="s">
        <v>22</v>
      </c>
      <c r="O1639" s="2" t="s">
        <v>22</v>
      </c>
      <c r="P1639" s="2" t="s">
        <v>22</v>
      </c>
      <c r="Q1639" s="2" t="s">
        <v>22</v>
      </c>
    </row>
    <row r="1640" customFormat="false" ht="15" hidden="false" customHeight="false" outlineLevel="0" collapsed="false">
      <c r="A1640" s="2" t="s">
        <v>386</v>
      </c>
      <c r="B1640" s="2" t="s">
        <v>47</v>
      </c>
      <c r="C1640" s="14" t="s">
        <v>2405</v>
      </c>
      <c r="D1640" s="42" t="n">
        <v>109958</v>
      </c>
      <c r="E1640" s="2" t="s">
        <v>827</v>
      </c>
      <c r="F1640" s="43" t="n">
        <v>1.75356045035377</v>
      </c>
      <c r="G1640" s="31" t="n">
        <v>70.5</v>
      </c>
      <c r="H1640" s="41" t="n">
        <v>0.0907016882575833</v>
      </c>
      <c r="I1640" s="31" t="n">
        <v>52.8</v>
      </c>
      <c r="J1640" s="2" t="s">
        <v>2897</v>
      </c>
      <c r="K1640" s="44" t="n">
        <v>0.0750840010338589</v>
      </c>
      <c r="L1640" s="31" t="n">
        <v>46.8</v>
      </c>
      <c r="M1640" s="34" t="s">
        <v>822</v>
      </c>
      <c r="N1640" s="2" t="s">
        <v>22</v>
      </c>
      <c r="O1640" s="2" t="s">
        <v>22</v>
      </c>
      <c r="P1640" s="2" t="s">
        <v>22</v>
      </c>
      <c r="Q1640" s="2" t="s">
        <v>22</v>
      </c>
    </row>
    <row r="1641" customFormat="false" ht="15" hidden="false" customHeight="false" outlineLevel="0" collapsed="false">
      <c r="A1641" s="2" t="s">
        <v>830</v>
      </c>
      <c r="B1641" s="2" t="s">
        <v>45</v>
      </c>
      <c r="C1641" s="13" t="s">
        <v>831</v>
      </c>
      <c r="D1641" s="29" t="n">
        <v>37440</v>
      </c>
      <c r="E1641" s="2" t="s">
        <v>821</v>
      </c>
      <c r="F1641" s="30" t="n">
        <v>2.85064102564103</v>
      </c>
      <c r="G1641" s="31" t="n">
        <v>99.1</v>
      </c>
      <c r="H1641" s="32" t="n">
        <v>0.209302325581395</v>
      </c>
      <c r="I1641" s="31" t="n">
        <v>92.8</v>
      </c>
      <c r="J1641" s="2" t="s">
        <v>2883</v>
      </c>
      <c r="K1641" s="33" t="n">
        <v>0.234466019417476</v>
      </c>
      <c r="L1641" s="31" t="n">
        <v>80</v>
      </c>
      <c r="M1641" s="34" t="s">
        <v>822</v>
      </c>
      <c r="N1641" s="2" t="s">
        <v>24</v>
      </c>
      <c r="O1641" s="2" t="s">
        <v>24</v>
      </c>
      <c r="P1641" s="2" t="s">
        <v>24</v>
      </c>
      <c r="Q1641" s="2" t="s">
        <v>24</v>
      </c>
    </row>
    <row r="1642" customFormat="false" ht="15" hidden="false" customHeight="false" outlineLevel="0" collapsed="false">
      <c r="A1642" s="2" t="s">
        <v>830</v>
      </c>
      <c r="B1642" s="2" t="s">
        <v>46</v>
      </c>
      <c r="C1642" s="13" t="s">
        <v>2129</v>
      </c>
      <c r="D1642" s="29" t="n">
        <v>122970</v>
      </c>
      <c r="E1642" s="2" t="s">
        <v>827</v>
      </c>
      <c r="F1642" s="30" t="n">
        <v>1.3640725380174</v>
      </c>
      <c r="G1642" s="31" t="n">
        <v>12.8</v>
      </c>
      <c r="H1642" s="32" t="n">
        <v>0.0598121175558045</v>
      </c>
      <c r="I1642" s="31" t="n">
        <v>41.4</v>
      </c>
      <c r="J1642" s="2" t="s">
        <v>2888</v>
      </c>
      <c r="K1642" s="33" t="n">
        <v>0.275972574154121</v>
      </c>
      <c r="L1642" s="31" t="n">
        <v>85.4</v>
      </c>
      <c r="M1642" s="34" t="s">
        <v>822</v>
      </c>
      <c r="N1642" s="2" t="s">
        <v>24</v>
      </c>
      <c r="O1642" s="2" t="s">
        <v>24</v>
      </c>
      <c r="P1642" s="2" t="s">
        <v>24</v>
      </c>
      <c r="Q1642" s="2" t="s">
        <v>24</v>
      </c>
    </row>
    <row r="1643" customFormat="false" ht="15" hidden="false" customHeight="false" outlineLevel="0" collapsed="false">
      <c r="A1643" s="2" t="s">
        <v>830</v>
      </c>
      <c r="B1643" s="2" t="s">
        <v>47</v>
      </c>
      <c r="C1643" s="15" t="s">
        <v>3290</v>
      </c>
      <c r="D1643" s="46" t="n">
        <v>3406</v>
      </c>
      <c r="E1643" s="2" t="s">
        <v>825</v>
      </c>
      <c r="F1643" s="36"/>
      <c r="G1643" s="31"/>
      <c r="H1643" s="48" t="n">
        <v>0.0937700706486834</v>
      </c>
      <c r="I1643" s="31" t="n">
        <v>43.8</v>
      </c>
      <c r="J1643" s="2" t="s">
        <v>2889</v>
      </c>
      <c r="K1643" s="45" t="n">
        <v>0.190839694656489</v>
      </c>
      <c r="L1643" s="31" t="n">
        <v>82.4</v>
      </c>
      <c r="M1643" s="39" t="s">
        <v>832</v>
      </c>
      <c r="N1643" s="2" t="s">
        <v>19</v>
      </c>
      <c r="O1643" s="2"/>
      <c r="P1643" s="2" t="s">
        <v>19</v>
      </c>
      <c r="Q1643" s="2" t="s">
        <v>19</v>
      </c>
    </row>
    <row r="1644" customFormat="false" ht="15" hidden="false" customHeight="false" outlineLevel="0" collapsed="false">
      <c r="A1644" s="2" t="s">
        <v>616</v>
      </c>
      <c r="B1644" s="2" t="s">
        <v>45</v>
      </c>
      <c r="C1644" s="13" t="s">
        <v>1334</v>
      </c>
      <c r="D1644" s="29" t="n">
        <v>23900</v>
      </c>
      <c r="E1644" s="2" t="s">
        <v>821</v>
      </c>
      <c r="F1644" s="30" t="n">
        <v>0.461882845188285</v>
      </c>
      <c r="G1644" s="31" t="n">
        <v>36.9</v>
      </c>
      <c r="H1644" s="41" t="n">
        <v>0.0258722899728997</v>
      </c>
      <c r="I1644" s="31" t="n">
        <v>15.5</v>
      </c>
      <c r="J1644" s="2" t="s">
        <v>2883</v>
      </c>
      <c r="K1644" s="44" t="n">
        <v>0.178321678321678</v>
      </c>
      <c r="L1644" s="31" t="n">
        <v>67.6</v>
      </c>
      <c r="M1644" s="34" t="s">
        <v>822</v>
      </c>
      <c r="N1644" s="2" t="s">
        <v>24</v>
      </c>
      <c r="O1644" s="2" t="s">
        <v>24</v>
      </c>
      <c r="P1644" s="2" t="s">
        <v>22</v>
      </c>
      <c r="Q1644" s="2" t="s">
        <v>22</v>
      </c>
    </row>
    <row r="1645" customFormat="false" ht="15" hidden="false" customHeight="false" outlineLevel="0" collapsed="false">
      <c r="A1645" s="2" t="s">
        <v>616</v>
      </c>
      <c r="B1645" s="2" t="s">
        <v>46</v>
      </c>
      <c r="C1645" s="13" t="s">
        <v>1969</v>
      </c>
      <c r="D1645" s="29" t="n">
        <v>319390</v>
      </c>
      <c r="E1645" s="2" t="s">
        <v>827</v>
      </c>
      <c r="F1645" s="30" t="n">
        <v>2.53661980650615</v>
      </c>
      <c r="G1645" s="31" t="n">
        <v>38.9</v>
      </c>
      <c r="H1645" s="32" t="n">
        <v>0.0966556791649499</v>
      </c>
      <c r="I1645" s="31" t="n">
        <v>59.9</v>
      </c>
      <c r="J1645" s="2" t="s">
        <v>2888</v>
      </c>
      <c r="K1645" s="33" t="n">
        <v>0.0498260437375746</v>
      </c>
      <c r="L1645" s="31" t="n">
        <v>12.4</v>
      </c>
      <c r="M1645" s="34" t="s">
        <v>822</v>
      </c>
      <c r="N1645" s="2" t="s">
        <v>24</v>
      </c>
      <c r="O1645" s="2" t="s">
        <v>24</v>
      </c>
      <c r="P1645" s="2" t="s">
        <v>24</v>
      </c>
      <c r="Q1645" s="2" t="s">
        <v>24</v>
      </c>
    </row>
    <row r="1646" customFormat="false" ht="15" hidden="false" customHeight="false" outlineLevel="0" collapsed="false">
      <c r="A1646" s="2" t="s">
        <v>616</v>
      </c>
      <c r="B1646" s="2" t="s">
        <v>47</v>
      </c>
      <c r="C1646" s="13" t="s">
        <v>2616</v>
      </c>
      <c r="D1646" s="29" t="n">
        <v>239710</v>
      </c>
      <c r="E1646" s="2" t="s">
        <v>827</v>
      </c>
      <c r="F1646" s="30" t="n">
        <v>0.988882399566142</v>
      </c>
      <c r="G1646" s="31" t="n">
        <v>38.1</v>
      </c>
      <c r="H1646" s="32" t="n">
        <v>0.177473229197367</v>
      </c>
      <c r="I1646" s="31" t="n">
        <v>91.3</v>
      </c>
      <c r="J1646" s="2" t="s">
        <v>2897</v>
      </c>
      <c r="K1646" s="33" t="n">
        <v>0.00901132852729145</v>
      </c>
      <c r="L1646" s="31" t="n">
        <v>6.1</v>
      </c>
      <c r="M1646" s="34" t="s">
        <v>822</v>
      </c>
      <c r="N1646" s="2" t="s">
        <v>24</v>
      </c>
      <c r="O1646" s="2" t="s">
        <v>24</v>
      </c>
      <c r="P1646" s="2" t="s">
        <v>24</v>
      </c>
      <c r="Q1646" s="2" t="s">
        <v>24</v>
      </c>
    </row>
    <row r="1647" customFormat="false" ht="15" hidden="false" customHeight="false" outlineLevel="0" collapsed="false">
      <c r="A1647" s="2" t="s">
        <v>1506</v>
      </c>
      <c r="B1647" s="2" t="s">
        <v>45</v>
      </c>
      <c r="C1647" s="13" t="s">
        <v>1507</v>
      </c>
      <c r="D1647" s="29" t="n">
        <v>99620</v>
      </c>
      <c r="E1647" s="2" t="s">
        <v>821</v>
      </c>
      <c r="F1647" s="30" t="n">
        <v>0.250682593856655</v>
      </c>
      <c r="G1647" s="31" t="n">
        <v>12.9</v>
      </c>
      <c r="H1647" s="32" t="n">
        <v>-0.0233333333333333</v>
      </c>
      <c r="I1647" s="31" t="n">
        <v>5.5</v>
      </c>
      <c r="J1647" s="2" t="s">
        <v>2883</v>
      </c>
      <c r="K1647" s="40" t="s">
        <v>857</v>
      </c>
      <c r="L1647" s="31"/>
      <c r="M1647" s="34" t="s">
        <v>822</v>
      </c>
      <c r="N1647" s="2" t="s">
        <v>24</v>
      </c>
      <c r="O1647" s="2" t="s">
        <v>24</v>
      </c>
      <c r="P1647" s="2" t="s">
        <v>24</v>
      </c>
      <c r="Q1647" s="2" t="s">
        <v>2885</v>
      </c>
    </row>
    <row r="1648" customFormat="false" ht="15" hidden="false" customHeight="false" outlineLevel="0" collapsed="false">
      <c r="A1648" s="2" t="s">
        <v>1506</v>
      </c>
      <c r="B1648" s="2" t="s">
        <v>46</v>
      </c>
      <c r="C1648" s="13" t="s">
        <v>3291</v>
      </c>
      <c r="D1648" s="35"/>
      <c r="E1648" s="2"/>
      <c r="F1648" s="36"/>
      <c r="G1648" s="31"/>
      <c r="H1648" s="37"/>
      <c r="I1648" s="31"/>
      <c r="J1648" s="2"/>
      <c r="K1648" s="33" t="n">
        <v>0.08022699454768</v>
      </c>
      <c r="L1648" s="31" t="n">
        <v>25.4</v>
      </c>
      <c r="M1648" s="39" t="s">
        <v>832</v>
      </c>
      <c r="N1648" s="2"/>
      <c r="O1648" s="2"/>
      <c r="P1648" s="2"/>
      <c r="Q1648" s="2" t="s">
        <v>24</v>
      </c>
    </row>
    <row r="1649" customFormat="false" ht="15" hidden="false" customHeight="false" outlineLevel="0" collapsed="false">
      <c r="A1649" s="2" t="s">
        <v>1506</v>
      </c>
      <c r="B1649" s="2" t="s">
        <v>47</v>
      </c>
      <c r="C1649" s="14" t="s">
        <v>2470</v>
      </c>
      <c r="D1649" s="42" t="n">
        <v>239667</v>
      </c>
      <c r="E1649" s="2" t="s">
        <v>827</v>
      </c>
      <c r="F1649" s="43" t="n">
        <v>1.50780040639721</v>
      </c>
      <c r="G1649" s="31" t="n">
        <v>60.3</v>
      </c>
      <c r="H1649" s="41" t="n">
        <v>0.10891744205953</v>
      </c>
      <c r="I1649" s="31" t="n">
        <v>64</v>
      </c>
      <c r="J1649" s="2" t="s">
        <v>2897</v>
      </c>
      <c r="K1649" s="44" t="n">
        <v>0.0676911022113878</v>
      </c>
      <c r="L1649" s="31" t="n">
        <v>43.9</v>
      </c>
      <c r="M1649" s="34" t="s">
        <v>822</v>
      </c>
      <c r="N1649" s="2" t="s">
        <v>22</v>
      </c>
      <c r="O1649" s="2" t="s">
        <v>22</v>
      </c>
      <c r="P1649" s="2" t="s">
        <v>22</v>
      </c>
      <c r="Q1649" s="2" t="s">
        <v>22</v>
      </c>
    </row>
    <row r="1650" customFormat="false" ht="15" hidden="false" customHeight="false" outlineLevel="0" collapsed="false">
      <c r="A1650" s="2" t="s">
        <v>2771</v>
      </c>
      <c r="B1650" s="2" t="s">
        <v>46</v>
      </c>
      <c r="C1650" s="13" t="s">
        <v>3292</v>
      </c>
      <c r="D1650" s="29" t="n">
        <v>20640</v>
      </c>
      <c r="E1650" s="2" t="s">
        <v>821</v>
      </c>
      <c r="F1650" s="30" t="n">
        <v>6.87989341085271</v>
      </c>
      <c r="G1650" s="31" t="n">
        <v>85.3</v>
      </c>
      <c r="H1650" s="32" t="n">
        <v>0.107296137339056</v>
      </c>
      <c r="I1650" s="31" t="n">
        <v>63.3</v>
      </c>
      <c r="J1650" s="2" t="s">
        <v>2884</v>
      </c>
      <c r="K1650" s="38"/>
      <c r="L1650" s="31"/>
      <c r="M1650" s="39" t="s">
        <v>832</v>
      </c>
      <c r="N1650" s="2" t="s">
        <v>24</v>
      </c>
      <c r="O1650" s="2" t="s">
        <v>24</v>
      </c>
      <c r="P1650" s="2" t="s">
        <v>24</v>
      </c>
      <c r="Q1650" s="2"/>
    </row>
    <row r="1651" customFormat="false" ht="15" hidden="false" customHeight="false" outlineLevel="0" collapsed="false">
      <c r="A1651" s="2" t="s">
        <v>2771</v>
      </c>
      <c r="B1651" s="2" t="s">
        <v>47</v>
      </c>
      <c r="C1651" s="14" t="s">
        <v>2772</v>
      </c>
      <c r="D1651" s="42" t="n">
        <v>1354015</v>
      </c>
      <c r="E1651" s="2" t="s">
        <v>935</v>
      </c>
      <c r="F1651" s="43" t="n">
        <v>0.556186600591574</v>
      </c>
      <c r="G1651" s="31" t="n">
        <v>16</v>
      </c>
      <c r="H1651" s="41" t="n">
        <v>-0.00173919582651982</v>
      </c>
      <c r="I1651" s="31" t="n">
        <v>14.3</v>
      </c>
      <c r="J1651" s="2" t="s">
        <v>2922</v>
      </c>
      <c r="K1651" s="44" t="n">
        <v>0.180676026111061</v>
      </c>
      <c r="L1651" s="31" t="n">
        <v>80.6</v>
      </c>
      <c r="M1651" s="34" t="s">
        <v>822</v>
      </c>
      <c r="N1651" s="2" t="s">
        <v>22</v>
      </c>
      <c r="O1651" s="2" t="s">
        <v>22</v>
      </c>
      <c r="P1651" s="2" t="s">
        <v>22</v>
      </c>
      <c r="Q1651" s="2" t="s">
        <v>22</v>
      </c>
    </row>
    <row r="1652" customFormat="false" ht="15" hidden="false" customHeight="false" outlineLevel="0" collapsed="false">
      <c r="A1652" s="2" t="s">
        <v>986</v>
      </c>
      <c r="B1652" s="2" t="s">
        <v>45</v>
      </c>
      <c r="C1652" s="14" t="s">
        <v>987</v>
      </c>
      <c r="D1652" s="42" t="n">
        <v>1226483</v>
      </c>
      <c r="E1652" s="2" t="s">
        <v>935</v>
      </c>
      <c r="F1652" s="43" t="n">
        <v>1.07399368764182</v>
      </c>
      <c r="G1652" s="31" t="n">
        <v>80.5</v>
      </c>
      <c r="H1652" s="41" t="n">
        <v>0.1348474712398</v>
      </c>
      <c r="I1652" s="31" t="n">
        <v>82.4</v>
      </c>
      <c r="J1652" s="2" t="s">
        <v>2892</v>
      </c>
      <c r="K1652" s="44" t="n">
        <v>0.0906204524407991</v>
      </c>
      <c r="L1652" s="31" t="n">
        <v>32.4</v>
      </c>
      <c r="M1652" s="34" t="s">
        <v>822</v>
      </c>
      <c r="N1652" s="2" t="s">
        <v>22</v>
      </c>
      <c r="O1652" s="2" t="s">
        <v>22</v>
      </c>
      <c r="P1652" s="2" t="s">
        <v>22</v>
      </c>
      <c r="Q1652" s="2" t="s">
        <v>22</v>
      </c>
    </row>
    <row r="1653" customFormat="false" ht="15" hidden="false" customHeight="false" outlineLevel="0" collapsed="false">
      <c r="A1653" s="2" t="s">
        <v>986</v>
      </c>
      <c r="B1653" s="2" t="s">
        <v>46</v>
      </c>
      <c r="C1653" s="13" t="s">
        <v>3293</v>
      </c>
      <c r="D1653" s="29" t="n">
        <v>28520</v>
      </c>
      <c r="E1653" s="2" t="s">
        <v>821</v>
      </c>
      <c r="F1653" s="30" t="n">
        <v>3.14943899018233</v>
      </c>
      <c r="G1653" s="31" t="n">
        <v>48.9</v>
      </c>
      <c r="H1653" s="37"/>
      <c r="I1653" s="31"/>
      <c r="J1653" s="2"/>
      <c r="K1653" s="33" t="n">
        <v>0.0842444882595447</v>
      </c>
      <c r="L1653" s="31" t="n">
        <v>28.7</v>
      </c>
      <c r="M1653" s="39" t="s">
        <v>832</v>
      </c>
      <c r="N1653" s="2" t="s">
        <v>24</v>
      </c>
      <c r="O1653" s="2" t="s">
        <v>24</v>
      </c>
      <c r="P1653" s="2"/>
      <c r="Q1653" s="2" t="s">
        <v>24</v>
      </c>
    </row>
    <row r="1654" customFormat="false" ht="15" hidden="false" customHeight="false" outlineLevel="0" collapsed="false">
      <c r="A1654" s="2" t="s">
        <v>986</v>
      </c>
      <c r="B1654" s="2" t="s">
        <v>47</v>
      </c>
      <c r="C1654" s="14" t="s">
        <v>3294</v>
      </c>
      <c r="D1654" s="35"/>
      <c r="E1654" s="2"/>
      <c r="F1654" s="36"/>
      <c r="G1654" s="31"/>
      <c r="H1654" s="37"/>
      <c r="I1654" s="31"/>
      <c r="J1654" s="2"/>
      <c r="K1654" s="44" t="n">
        <v>0.15989847715736</v>
      </c>
      <c r="L1654" s="31" t="n">
        <v>76</v>
      </c>
      <c r="M1654" s="39" t="s">
        <v>832</v>
      </c>
      <c r="N1654" s="2"/>
      <c r="O1654" s="2"/>
      <c r="P1654" s="2"/>
      <c r="Q1654" s="2" t="s">
        <v>22</v>
      </c>
    </row>
    <row r="1655" customFormat="false" ht="15" hidden="false" customHeight="false" outlineLevel="0" collapsed="false">
      <c r="A1655" s="2" t="s">
        <v>786</v>
      </c>
      <c r="B1655" s="2" t="s">
        <v>46</v>
      </c>
      <c r="C1655" s="13" t="s">
        <v>2121</v>
      </c>
      <c r="D1655" s="29" t="n">
        <v>262310</v>
      </c>
      <c r="E1655" s="2" t="s">
        <v>827</v>
      </c>
      <c r="F1655" s="30" t="n">
        <v>1.43785978422477</v>
      </c>
      <c r="G1655" s="31" t="n">
        <v>14.1</v>
      </c>
      <c r="H1655" s="32" t="n">
        <v>0.174750324689865</v>
      </c>
      <c r="I1655" s="31" t="n">
        <v>94.3</v>
      </c>
      <c r="J1655" s="2" t="s">
        <v>2888</v>
      </c>
      <c r="K1655" s="33" t="n">
        <v>0.0746226785614094</v>
      </c>
      <c r="L1655" s="31" t="n">
        <v>22.1</v>
      </c>
      <c r="M1655" s="34" t="s">
        <v>822</v>
      </c>
      <c r="N1655" s="2" t="s">
        <v>24</v>
      </c>
      <c r="O1655" s="2" t="s">
        <v>24</v>
      </c>
      <c r="P1655" s="2" t="s">
        <v>24</v>
      </c>
      <c r="Q1655" s="2" t="s">
        <v>24</v>
      </c>
    </row>
    <row r="1656" customFormat="false" ht="15" hidden="false" customHeight="false" outlineLevel="0" collapsed="false">
      <c r="A1656" s="2" t="s">
        <v>945</v>
      </c>
      <c r="B1656" s="2" t="s">
        <v>45</v>
      </c>
      <c r="C1656" s="13" t="s">
        <v>946</v>
      </c>
      <c r="D1656" s="29" t="n">
        <v>22710</v>
      </c>
      <c r="E1656" s="2" t="s">
        <v>821</v>
      </c>
      <c r="F1656" s="30" t="n">
        <v>1.26952884191986</v>
      </c>
      <c r="G1656" s="31" t="n">
        <v>85.3</v>
      </c>
      <c r="H1656" s="32" t="n">
        <v>0.0727444496929617</v>
      </c>
      <c r="I1656" s="31" t="n">
        <v>39.2</v>
      </c>
      <c r="J1656" s="2" t="s">
        <v>2883</v>
      </c>
      <c r="K1656" s="33" t="n">
        <v>0.127118644067797</v>
      </c>
      <c r="L1656" s="31" t="n">
        <v>46.4</v>
      </c>
      <c r="M1656" s="34" t="s">
        <v>822</v>
      </c>
      <c r="N1656" s="2" t="s">
        <v>24</v>
      </c>
      <c r="O1656" s="2" t="s">
        <v>24</v>
      </c>
      <c r="P1656" s="2" t="s">
        <v>24</v>
      </c>
      <c r="Q1656" s="2" t="s">
        <v>24</v>
      </c>
    </row>
    <row r="1657" customFormat="false" ht="15" hidden="false" customHeight="false" outlineLevel="0" collapsed="false">
      <c r="A1657" s="2" t="s">
        <v>945</v>
      </c>
      <c r="B1657" s="2" t="s">
        <v>46</v>
      </c>
      <c r="C1657" s="13" t="s">
        <v>1877</v>
      </c>
      <c r="D1657" s="29" t="n">
        <v>7920</v>
      </c>
      <c r="E1657" s="2" t="s">
        <v>825</v>
      </c>
      <c r="F1657" s="30" t="n">
        <v>3.38737373737374</v>
      </c>
      <c r="G1657" s="31" t="n">
        <v>53.4</v>
      </c>
      <c r="H1657" s="32" t="n">
        <v>0.0969529085872576</v>
      </c>
      <c r="I1657" s="31" t="n">
        <v>35.8</v>
      </c>
      <c r="J1657" s="2" t="s">
        <v>2905</v>
      </c>
      <c r="K1657" s="33" t="n">
        <v>0.121470781352594</v>
      </c>
      <c r="L1657" s="31" t="n">
        <v>45.9</v>
      </c>
      <c r="M1657" s="34" t="s">
        <v>822</v>
      </c>
      <c r="N1657" s="2" t="s">
        <v>24</v>
      </c>
      <c r="O1657" s="2" t="s">
        <v>24</v>
      </c>
      <c r="P1657" s="2" t="s">
        <v>24</v>
      </c>
      <c r="Q1657" s="2" t="s">
        <v>24</v>
      </c>
    </row>
    <row r="1658" customFormat="false" ht="15" hidden="false" customHeight="false" outlineLevel="0" collapsed="false">
      <c r="A1658" s="2" t="s">
        <v>945</v>
      </c>
      <c r="B1658" s="2" t="s">
        <v>47</v>
      </c>
      <c r="C1658" s="13" t="s">
        <v>3295</v>
      </c>
      <c r="D1658" s="29" t="n">
        <v>9230</v>
      </c>
      <c r="E1658" s="2" t="s">
        <v>825</v>
      </c>
      <c r="F1658" s="30" t="n">
        <v>2.3602383531961</v>
      </c>
      <c r="G1658" s="31" t="n">
        <v>81.8</v>
      </c>
      <c r="H1658" s="37"/>
      <c r="I1658" s="31"/>
      <c r="J1658" s="2"/>
      <c r="K1658" s="33" t="n">
        <v>0.04337899543379</v>
      </c>
      <c r="L1658" s="31" t="n">
        <v>28.3</v>
      </c>
      <c r="M1658" s="39" t="s">
        <v>832</v>
      </c>
      <c r="N1658" s="2" t="s">
        <v>24</v>
      </c>
      <c r="O1658" s="2" t="s">
        <v>24</v>
      </c>
      <c r="P1658" s="2"/>
      <c r="Q1658" s="2" t="s">
        <v>24</v>
      </c>
    </row>
    <row r="1659" customFormat="false" ht="15" hidden="false" customHeight="false" outlineLevel="0" collapsed="false">
      <c r="A1659" s="2" t="s">
        <v>480</v>
      </c>
      <c r="B1659" s="2" t="s">
        <v>45</v>
      </c>
      <c r="C1659" s="13" t="s">
        <v>1285</v>
      </c>
      <c r="D1659" s="29" t="n">
        <v>18930</v>
      </c>
      <c r="E1659" s="2" t="s">
        <v>821</v>
      </c>
      <c r="F1659" s="30" t="n">
        <v>0.514949815108294</v>
      </c>
      <c r="G1659" s="31" t="n">
        <v>42.9</v>
      </c>
      <c r="H1659" s="32" t="n">
        <v>-0.0247295208655332</v>
      </c>
      <c r="I1659" s="31" t="n">
        <v>4.8</v>
      </c>
      <c r="J1659" s="2" t="s">
        <v>2883</v>
      </c>
      <c r="K1659" s="33" t="n">
        <v>0.0232142857142857</v>
      </c>
      <c r="L1659" s="31" t="n">
        <v>7</v>
      </c>
      <c r="M1659" s="34" t="s">
        <v>822</v>
      </c>
      <c r="N1659" s="2" t="s">
        <v>24</v>
      </c>
      <c r="O1659" s="2" t="s">
        <v>24</v>
      </c>
      <c r="P1659" s="2" t="s">
        <v>24</v>
      </c>
      <c r="Q1659" s="2" t="s">
        <v>24</v>
      </c>
    </row>
    <row r="1660" customFormat="false" ht="15" hidden="false" customHeight="false" outlineLevel="0" collapsed="false">
      <c r="A1660" s="2" t="s">
        <v>480</v>
      </c>
      <c r="B1660" s="2" t="s">
        <v>46</v>
      </c>
      <c r="C1660" s="13" t="s">
        <v>2040</v>
      </c>
      <c r="D1660" s="29" t="n">
        <v>201270</v>
      </c>
      <c r="E1660" s="2" t="s">
        <v>827</v>
      </c>
      <c r="F1660" s="30" t="n">
        <v>1.98558155711234</v>
      </c>
      <c r="G1660" s="31" t="n">
        <v>27.5</v>
      </c>
      <c r="H1660" s="32" t="n">
        <v>-0.104949526393027</v>
      </c>
      <c r="I1660" s="31" t="n">
        <v>1.9</v>
      </c>
      <c r="J1660" s="2" t="s">
        <v>2888</v>
      </c>
      <c r="K1660" s="33" t="n">
        <v>0.226569126378287</v>
      </c>
      <c r="L1660" s="31" t="n">
        <v>75.7</v>
      </c>
      <c r="M1660" s="34" t="s">
        <v>822</v>
      </c>
      <c r="N1660" s="2" t="s">
        <v>24</v>
      </c>
      <c r="O1660" s="2" t="s">
        <v>24</v>
      </c>
      <c r="P1660" s="2" t="s">
        <v>24</v>
      </c>
      <c r="Q1660" s="2" t="s">
        <v>24</v>
      </c>
    </row>
    <row r="1661" customFormat="false" ht="15" hidden="false" customHeight="false" outlineLevel="0" collapsed="false">
      <c r="A1661" s="2" t="s">
        <v>480</v>
      </c>
      <c r="B1661" s="2" t="s">
        <v>47</v>
      </c>
      <c r="C1661" s="14" t="s">
        <v>2351</v>
      </c>
      <c r="D1661" s="42" t="n">
        <v>60435</v>
      </c>
      <c r="E1661" s="2" t="s">
        <v>821</v>
      </c>
      <c r="F1661" s="43" t="n">
        <v>2.17478282452221</v>
      </c>
      <c r="G1661" s="31" t="n">
        <v>79.2</v>
      </c>
      <c r="H1661" s="41" t="n">
        <v>0.00678016925434797</v>
      </c>
      <c r="I1661" s="31" t="n">
        <v>11.7</v>
      </c>
      <c r="J1661" s="2" t="s">
        <v>2886</v>
      </c>
      <c r="K1661" s="44" t="n">
        <v>0.195186110745758</v>
      </c>
      <c r="L1661" s="31" t="n">
        <v>83.7</v>
      </c>
      <c r="M1661" s="34" t="s">
        <v>822</v>
      </c>
      <c r="N1661" s="2" t="s">
        <v>22</v>
      </c>
      <c r="O1661" s="2" t="s">
        <v>22</v>
      </c>
      <c r="P1661" s="2" t="s">
        <v>22</v>
      </c>
      <c r="Q1661" s="2" t="s">
        <v>22</v>
      </c>
    </row>
    <row r="1662" customFormat="false" ht="15" hidden="false" customHeight="false" outlineLevel="0" collapsed="false">
      <c r="A1662" s="2" t="s">
        <v>418</v>
      </c>
      <c r="B1662" s="2" t="s">
        <v>47</v>
      </c>
      <c r="C1662" s="13" t="s">
        <v>2513</v>
      </c>
      <c r="D1662" s="29" t="n">
        <v>587840</v>
      </c>
      <c r="E1662" s="2" t="s">
        <v>827</v>
      </c>
      <c r="F1662" s="30" t="n">
        <v>1.34153000816549</v>
      </c>
      <c r="G1662" s="31" t="n">
        <v>53.8</v>
      </c>
      <c r="H1662" s="32" t="n">
        <v>-0.00898561963686633</v>
      </c>
      <c r="I1662" s="31" t="n">
        <v>10.6</v>
      </c>
      <c r="J1662" s="2" t="s">
        <v>2897</v>
      </c>
      <c r="K1662" s="33" t="n">
        <v>0.0663210516571005</v>
      </c>
      <c r="L1662" s="31" t="n">
        <v>42.8</v>
      </c>
      <c r="M1662" s="34" t="s">
        <v>822</v>
      </c>
      <c r="N1662" s="2" t="s">
        <v>24</v>
      </c>
      <c r="O1662" s="2" t="s">
        <v>24</v>
      </c>
      <c r="P1662" s="2" t="s">
        <v>24</v>
      </c>
      <c r="Q1662" s="2" t="s">
        <v>24</v>
      </c>
    </row>
    <row r="1663" customFormat="false" ht="15" hidden="false" customHeight="false" outlineLevel="0" collapsed="false">
      <c r="A1663" s="2" t="s">
        <v>1144</v>
      </c>
      <c r="B1663" s="2" t="s">
        <v>45</v>
      </c>
      <c r="C1663" s="13" t="s">
        <v>1145</v>
      </c>
      <c r="D1663" s="29" t="n">
        <v>15820</v>
      </c>
      <c r="E1663" s="2" t="s">
        <v>821</v>
      </c>
      <c r="F1663" s="30" t="n">
        <v>0.700884955752212</v>
      </c>
      <c r="G1663" s="31" t="n">
        <v>61.2</v>
      </c>
      <c r="H1663" s="32" t="n">
        <v>0.264588329336531</v>
      </c>
      <c r="I1663" s="31" t="n">
        <v>99</v>
      </c>
      <c r="J1663" s="2" t="s">
        <v>2883</v>
      </c>
      <c r="K1663" s="33" t="n">
        <v>0.273946360153257</v>
      </c>
      <c r="L1663" s="31" t="n">
        <v>86.2</v>
      </c>
      <c r="M1663" s="34" t="s">
        <v>822</v>
      </c>
      <c r="N1663" s="2" t="s">
        <v>24</v>
      </c>
      <c r="O1663" s="2" t="s">
        <v>24</v>
      </c>
      <c r="P1663" s="2" t="s">
        <v>24</v>
      </c>
      <c r="Q1663" s="2" t="s">
        <v>24</v>
      </c>
    </row>
    <row r="1664" customFormat="false" ht="15" hidden="false" customHeight="false" outlineLevel="0" collapsed="false">
      <c r="A1664" s="2" t="s">
        <v>1144</v>
      </c>
      <c r="B1664" s="2" t="s">
        <v>46</v>
      </c>
      <c r="C1664" s="13" t="s">
        <v>1886</v>
      </c>
      <c r="D1664" s="29" t="n">
        <v>71380</v>
      </c>
      <c r="E1664" s="2" t="s">
        <v>821</v>
      </c>
      <c r="F1664" s="30" t="n">
        <v>3.29411599887924</v>
      </c>
      <c r="G1664" s="31" t="n">
        <v>52.3</v>
      </c>
      <c r="H1664" s="32" t="n">
        <v>0.083485124468731</v>
      </c>
      <c r="I1664" s="31" t="n">
        <v>49.8</v>
      </c>
      <c r="J1664" s="2" t="s">
        <v>2884</v>
      </c>
      <c r="K1664" s="33" t="n">
        <v>0.0934549006838163</v>
      </c>
      <c r="L1664" s="31" t="n">
        <v>34.4</v>
      </c>
      <c r="M1664" s="34" t="s">
        <v>822</v>
      </c>
      <c r="N1664" s="2" t="s">
        <v>24</v>
      </c>
      <c r="O1664" s="2" t="s">
        <v>24</v>
      </c>
      <c r="P1664" s="2" t="s">
        <v>24</v>
      </c>
      <c r="Q1664" s="2" t="s">
        <v>24</v>
      </c>
    </row>
    <row r="1665" customFormat="false" ht="15" hidden="false" customHeight="false" outlineLevel="0" collapsed="false">
      <c r="A1665" s="2" t="s">
        <v>1144</v>
      </c>
      <c r="B1665" s="2" t="s">
        <v>47</v>
      </c>
      <c r="C1665" s="16"/>
      <c r="D1665" s="35"/>
      <c r="E1665" s="2"/>
      <c r="F1665" s="36"/>
      <c r="G1665" s="31"/>
      <c r="H1665" s="37"/>
      <c r="I1665" s="31"/>
      <c r="J1665" s="2"/>
      <c r="K1665" s="38"/>
      <c r="L1665" s="31"/>
      <c r="M1665" s="39" t="s">
        <v>832</v>
      </c>
      <c r="N1665" s="2"/>
      <c r="O1665" s="2"/>
      <c r="P1665" s="2"/>
      <c r="Q1665" s="2"/>
    </row>
    <row r="1666" customFormat="false" ht="15" hidden="false" customHeight="false" outlineLevel="0" collapsed="false">
      <c r="A1666" s="2" t="s">
        <v>2768</v>
      </c>
      <c r="B1666" s="2" t="s">
        <v>45</v>
      </c>
      <c r="C1666" s="14" t="s">
        <v>3296</v>
      </c>
      <c r="D1666" s="42" t="n">
        <v>192297</v>
      </c>
      <c r="E1666" s="2" t="s">
        <v>827</v>
      </c>
      <c r="F1666" s="43" t="n">
        <v>0.8315626348825</v>
      </c>
      <c r="G1666" s="31" t="n">
        <v>70.3</v>
      </c>
      <c r="H1666" s="41" t="n">
        <v>0.0274031885792443</v>
      </c>
      <c r="I1666" s="31" t="n">
        <v>19.3</v>
      </c>
      <c r="J1666" s="2" t="s">
        <v>2890</v>
      </c>
      <c r="K1666" s="38"/>
      <c r="L1666" s="31"/>
      <c r="M1666" s="39" t="s">
        <v>832</v>
      </c>
      <c r="N1666" s="2" t="s">
        <v>22</v>
      </c>
      <c r="O1666" s="2" t="s">
        <v>22</v>
      </c>
      <c r="P1666" s="2" t="s">
        <v>22</v>
      </c>
      <c r="Q1666" s="2"/>
    </row>
    <row r="1667" customFormat="false" ht="15" hidden="false" customHeight="false" outlineLevel="0" collapsed="false">
      <c r="A1667" s="2" t="s">
        <v>2768</v>
      </c>
      <c r="B1667" s="2" t="s">
        <v>46</v>
      </c>
      <c r="C1667" s="13" t="s">
        <v>3297</v>
      </c>
      <c r="D1667" s="29" t="n">
        <v>4900</v>
      </c>
      <c r="E1667" s="2" t="s">
        <v>825</v>
      </c>
      <c r="F1667" s="30" t="n">
        <v>5.1465306122449</v>
      </c>
      <c r="G1667" s="31" t="n">
        <v>73.1</v>
      </c>
      <c r="H1667" s="37"/>
      <c r="I1667" s="31"/>
      <c r="J1667" s="2"/>
      <c r="K1667" s="33" t="n">
        <v>0.136363636363636</v>
      </c>
      <c r="L1667" s="31" t="n">
        <v>51.2</v>
      </c>
      <c r="M1667" s="39" t="s">
        <v>832</v>
      </c>
      <c r="N1667" s="2" t="s">
        <v>24</v>
      </c>
      <c r="O1667" s="2" t="s">
        <v>24</v>
      </c>
      <c r="P1667" s="2"/>
      <c r="Q1667" s="2" t="s">
        <v>24</v>
      </c>
    </row>
    <row r="1668" customFormat="false" ht="15" hidden="false" customHeight="false" outlineLevel="0" collapsed="false">
      <c r="A1668" s="2" t="s">
        <v>2768</v>
      </c>
      <c r="B1668" s="2" t="s">
        <v>47</v>
      </c>
      <c r="C1668" s="13" t="s">
        <v>2769</v>
      </c>
      <c r="D1668" s="29" t="n">
        <v>135110</v>
      </c>
      <c r="E1668" s="2" t="s">
        <v>827</v>
      </c>
      <c r="F1668" s="30" t="n">
        <v>0.566819628450892</v>
      </c>
      <c r="G1668" s="31" t="n">
        <v>16.2</v>
      </c>
      <c r="H1668" s="32" t="n">
        <v>0.101589889930697</v>
      </c>
      <c r="I1668" s="31" t="n">
        <v>59.6</v>
      </c>
      <c r="J1668" s="2" t="s">
        <v>2897</v>
      </c>
      <c r="K1668" s="33" t="n">
        <v>0.0464431354780245</v>
      </c>
      <c r="L1668" s="31" t="n">
        <v>29.9</v>
      </c>
      <c r="M1668" s="34" t="s">
        <v>822</v>
      </c>
      <c r="N1668" s="2" t="s">
        <v>24</v>
      </c>
      <c r="O1668" s="2" t="s">
        <v>24</v>
      </c>
      <c r="P1668" s="2" t="s">
        <v>24</v>
      </c>
      <c r="Q1668" s="2" t="s">
        <v>24</v>
      </c>
    </row>
    <row r="1669" customFormat="false" ht="15" hidden="false" customHeight="false" outlineLevel="0" collapsed="false">
      <c r="A1669" s="2" t="s">
        <v>804</v>
      </c>
      <c r="B1669" s="2" t="s">
        <v>47</v>
      </c>
      <c r="C1669" s="13" t="s">
        <v>2859</v>
      </c>
      <c r="D1669" s="29" t="n">
        <v>35200</v>
      </c>
      <c r="E1669" s="2" t="s">
        <v>821</v>
      </c>
      <c r="F1669" s="30" t="n">
        <v>0.272755681818182</v>
      </c>
      <c r="G1669" s="31" t="n">
        <v>2.5</v>
      </c>
      <c r="H1669" s="32" t="n">
        <v>0.0884353741496599</v>
      </c>
      <c r="I1669" s="31" t="n">
        <v>46.8</v>
      </c>
      <c r="J1669" s="2" t="s">
        <v>2886</v>
      </c>
      <c r="K1669" s="44" t="n">
        <v>0.0642201834862385</v>
      </c>
      <c r="L1669" s="31" t="n">
        <v>40.7</v>
      </c>
      <c r="M1669" s="34" t="s">
        <v>822</v>
      </c>
      <c r="N1669" s="2" t="s">
        <v>24</v>
      </c>
      <c r="O1669" s="2" t="s">
        <v>24</v>
      </c>
      <c r="P1669" s="2" t="s">
        <v>24</v>
      </c>
      <c r="Q1669" s="2" t="s">
        <v>22</v>
      </c>
    </row>
    <row r="1670" customFormat="false" ht="15" hidden="false" customHeight="false" outlineLevel="0" collapsed="false">
      <c r="A1670" s="2" t="s">
        <v>676</v>
      </c>
      <c r="B1670" s="2" t="s">
        <v>45</v>
      </c>
      <c r="C1670" s="13" t="s">
        <v>1563</v>
      </c>
      <c r="D1670" s="29" t="n">
        <v>317500</v>
      </c>
      <c r="E1670" s="2" t="s">
        <v>827</v>
      </c>
      <c r="F1670" s="30" t="n">
        <v>0.146995275590551</v>
      </c>
      <c r="G1670" s="31" t="n">
        <v>5.3</v>
      </c>
      <c r="H1670" s="32" t="n">
        <v>0.137055473982022</v>
      </c>
      <c r="I1670" s="31" t="n">
        <v>77.1</v>
      </c>
      <c r="J1670" s="2" t="s">
        <v>2890</v>
      </c>
      <c r="K1670" s="33" t="n">
        <v>0.257026476578411</v>
      </c>
      <c r="L1670" s="31" t="n">
        <v>83</v>
      </c>
      <c r="M1670" s="34" t="s">
        <v>822</v>
      </c>
      <c r="N1670" s="2" t="s">
        <v>24</v>
      </c>
      <c r="O1670" s="2" t="s">
        <v>24</v>
      </c>
      <c r="P1670" s="2" t="s">
        <v>24</v>
      </c>
      <c r="Q1670" s="2" t="s">
        <v>24</v>
      </c>
    </row>
    <row r="1671" customFormat="false" ht="15" hidden="false" customHeight="false" outlineLevel="0" collapsed="false">
      <c r="A1671" s="2" t="s">
        <v>676</v>
      </c>
      <c r="B1671" s="2" t="s">
        <v>47</v>
      </c>
      <c r="C1671" s="13" t="s">
        <v>2484</v>
      </c>
      <c r="D1671" s="29" t="n">
        <v>194060</v>
      </c>
      <c r="E1671" s="2" t="s">
        <v>827</v>
      </c>
      <c r="F1671" s="30" t="n">
        <v>1.42879521797382</v>
      </c>
      <c r="G1671" s="31" t="n">
        <v>57.5</v>
      </c>
      <c r="H1671" s="32" t="n">
        <v>0.0438945669714901</v>
      </c>
      <c r="I1671" s="31" t="n">
        <v>28</v>
      </c>
      <c r="J1671" s="2" t="s">
        <v>2897</v>
      </c>
      <c r="K1671" s="33" t="n">
        <v>0.0513447432762836</v>
      </c>
      <c r="L1671" s="31" t="n">
        <v>33.7</v>
      </c>
      <c r="M1671" s="34" t="s">
        <v>822</v>
      </c>
      <c r="N1671" s="2" t="s">
        <v>24</v>
      </c>
      <c r="O1671" s="2" t="s">
        <v>24</v>
      </c>
      <c r="P1671" s="2" t="s">
        <v>24</v>
      </c>
      <c r="Q1671" s="2" t="s">
        <v>24</v>
      </c>
    </row>
    <row r="1672" customFormat="false" ht="15" hidden="false" customHeight="false" outlineLevel="0" collapsed="false">
      <c r="A1672" s="2" t="s">
        <v>352</v>
      </c>
      <c r="B1672" s="2" t="s">
        <v>45</v>
      </c>
      <c r="C1672" s="13" t="s">
        <v>924</v>
      </c>
      <c r="D1672" s="29" t="n">
        <v>59870</v>
      </c>
      <c r="E1672" s="2" t="s">
        <v>821</v>
      </c>
      <c r="F1672" s="30" t="n">
        <v>1.42206447302489</v>
      </c>
      <c r="G1672" s="31" t="n">
        <v>88.3</v>
      </c>
      <c r="H1672" s="32" t="n">
        <v>0.133472169632715</v>
      </c>
      <c r="I1672" s="31" t="n">
        <v>71.1</v>
      </c>
      <c r="J1672" s="2" t="s">
        <v>2883</v>
      </c>
      <c r="K1672" s="33" t="n">
        <v>0.282458282458283</v>
      </c>
      <c r="L1672" s="31" t="n">
        <v>87.9</v>
      </c>
      <c r="M1672" s="34" t="s">
        <v>822</v>
      </c>
      <c r="N1672" s="2" t="s">
        <v>24</v>
      </c>
      <c r="O1672" s="2" t="s">
        <v>24</v>
      </c>
      <c r="P1672" s="2" t="s">
        <v>24</v>
      </c>
      <c r="Q1672" s="2" t="s">
        <v>24</v>
      </c>
    </row>
    <row r="1673" customFormat="false" ht="15" hidden="false" customHeight="false" outlineLevel="0" collapsed="false">
      <c r="A1673" s="2" t="s">
        <v>352</v>
      </c>
      <c r="B1673" s="2" t="s">
        <v>46</v>
      </c>
      <c r="C1673" s="13" t="s">
        <v>2022</v>
      </c>
      <c r="D1673" s="29" t="n">
        <v>74060</v>
      </c>
      <c r="E1673" s="2" t="s">
        <v>821</v>
      </c>
      <c r="F1673" s="30" t="n">
        <v>2.14671887658655</v>
      </c>
      <c r="G1673" s="31" t="n">
        <v>29.9</v>
      </c>
      <c r="H1673" s="32" t="n">
        <v>0.183823529411765</v>
      </c>
      <c r="I1673" s="31" t="n">
        <v>89.1</v>
      </c>
      <c r="J1673" s="2" t="s">
        <v>2884</v>
      </c>
      <c r="K1673" s="33" t="n">
        <v>0.118297042573936</v>
      </c>
      <c r="L1673" s="31" t="n">
        <v>44.6</v>
      </c>
      <c r="M1673" s="34" t="s">
        <v>822</v>
      </c>
      <c r="N1673" s="2" t="s">
        <v>24</v>
      </c>
      <c r="O1673" s="2" t="s">
        <v>24</v>
      </c>
      <c r="P1673" s="2" t="s">
        <v>24</v>
      </c>
      <c r="Q1673" s="2" t="s">
        <v>24</v>
      </c>
    </row>
    <row r="1674" customFormat="false" ht="15" hidden="false" customHeight="false" outlineLevel="0" collapsed="false">
      <c r="A1674" s="2" t="s">
        <v>246</v>
      </c>
      <c r="B1674" s="2" t="s">
        <v>46</v>
      </c>
      <c r="C1674" s="13" t="s">
        <v>1826</v>
      </c>
      <c r="D1674" s="29" t="n">
        <v>4750</v>
      </c>
      <c r="E1674" s="2" t="s">
        <v>825</v>
      </c>
      <c r="F1674" s="30" t="n">
        <v>3.89852631578947</v>
      </c>
      <c r="G1674" s="31" t="n">
        <v>61.9</v>
      </c>
      <c r="H1674" s="32" t="n">
        <v>0.158536585365854</v>
      </c>
      <c r="I1674" s="31" t="n">
        <v>69.8</v>
      </c>
      <c r="J1674" s="2" t="s">
        <v>2905</v>
      </c>
      <c r="K1674" s="33" t="n">
        <v>0.220518867924528</v>
      </c>
      <c r="L1674" s="31" t="n">
        <v>74.2</v>
      </c>
      <c r="M1674" s="34" t="s">
        <v>822</v>
      </c>
      <c r="N1674" s="2" t="s">
        <v>24</v>
      </c>
      <c r="O1674" s="2" t="s">
        <v>24</v>
      </c>
      <c r="P1674" s="2" t="s">
        <v>24</v>
      </c>
      <c r="Q1674" s="2" t="s">
        <v>24</v>
      </c>
    </row>
    <row r="1675" customFormat="false" ht="15" hidden="false" customHeight="false" outlineLevel="0" collapsed="false">
      <c r="A1675" s="2" t="s">
        <v>246</v>
      </c>
      <c r="B1675" s="2" t="s">
        <v>47</v>
      </c>
      <c r="C1675" s="14" t="s">
        <v>2381</v>
      </c>
      <c r="D1675" s="42" t="n">
        <v>29392</v>
      </c>
      <c r="E1675" s="2" t="s">
        <v>821</v>
      </c>
      <c r="F1675" s="43" t="n">
        <v>1.92103293413174</v>
      </c>
      <c r="G1675" s="31" t="n">
        <v>74.1</v>
      </c>
      <c r="H1675" s="41" t="n">
        <v>0.237714237587906</v>
      </c>
      <c r="I1675" s="31" t="n">
        <v>97.1</v>
      </c>
      <c r="J1675" s="2" t="s">
        <v>2886</v>
      </c>
      <c r="K1675" s="44" t="n">
        <v>0.0207052733743125</v>
      </c>
      <c r="L1675" s="31" t="n">
        <v>14.2</v>
      </c>
      <c r="M1675" s="34" t="s">
        <v>822</v>
      </c>
      <c r="N1675" s="2" t="s">
        <v>22</v>
      </c>
      <c r="O1675" s="2" t="s">
        <v>22</v>
      </c>
      <c r="P1675" s="2" t="s">
        <v>22</v>
      </c>
      <c r="Q1675" s="2" t="s">
        <v>22</v>
      </c>
    </row>
    <row r="1676" customFormat="false" ht="15" hidden="false" customHeight="false" outlineLevel="0" collapsed="false">
      <c r="A1676" s="2" t="s">
        <v>584</v>
      </c>
      <c r="B1676" s="2" t="s">
        <v>45</v>
      </c>
      <c r="C1676" s="13" t="s">
        <v>1467</v>
      </c>
      <c r="D1676" s="29" t="n">
        <v>74780</v>
      </c>
      <c r="E1676" s="2" t="s">
        <v>821</v>
      </c>
      <c r="F1676" s="30" t="n">
        <v>0.298181331906927</v>
      </c>
      <c r="G1676" s="31" t="n">
        <v>17.8</v>
      </c>
      <c r="H1676" s="32" t="n">
        <v>0.0818865740740741</v>
      </c>
      <c r="I1676" s="31" t="n">
        <v>44.3</v>
      </c>
      <c r="J1676" s="2" t="s">
        <v>2883</v>
      </c>
      <c r="K1676" s="33" t="n">
        <v>0.0527045769764216</v>
      </c>
      <c r="L1676" s="31" t="n">
        <v>16.3</v>
      </c>
      <c r="M1676" s="34" t="s">
        <v>822</v>
      </c>
      <c r="N1676" s="2" t="s">
        <v>24</v>
      </c>
      <c r="O1676" s="2" t="s">
        <v>24</v>
      </c>
      <c r="P1676" s="2" t="s">
        <v>24</v>
      </c>
      <c r="Q1676" s="2" t="s">
        <v>24</v>
      </c>
    </row>
    <row r="1677" customFormat="false" ht="15" hidden="false" customHeight="false" outlineLevel="0" collapsed="false">
      <c r="A1677" s="2" t="s">
        <v>584</v>
      </c>
      <c r="B1677" s="2" t="s">
        <v>46</v>
      </c>
      <c r="C1677" s="13" t="s">
        <v>1695</v>
      </c>
      <c r="D1677" s="29" t="n">
        <v>2330</v>
      </c>
      <c r="E1677" s="2" t="s">
        <v>825</v>
      </c>
      <c r="F1677" s="30" t="n">
        <v>6.62789699570816</v>
      </c>
      <c r="G1677" s="31" t="n">
        <v>84.1</v>
      </c>
      <c r="H1677" s="41" t="n">
        <v>0.116908212560387</v>
      </c>
      <c r="I1677" s="31" t="n">
        <v>52.8</v>
      </c>
      <c r="J1677" s="2" t="s">
        <v>2905</v>
      </c>
      <c r="K1677" s="44" t="n">
        <v>0.261447562776957</v>
      </c>
      <c r="L1677" s="31" t="n">
        <v>83</v>
      </c>
      <c r="M1677" s="34" t="s">
        <v>822</v>
      </c>
      <c r="N1677" s="2" t="s">
        <v>24</v>
      </c>
      <c r="O1677" s="2" t="s">
        <v>24</v>
      </c>
      <c r="P1677" s="2" t="s">
        <v>22</v>
      </c>
      <c r="Q1677" s="2" t="s">
        <v>22</v>
      </c>
    </row>
    <row r="1678" customFormat="false" ht="15" hidden="false" customHeight="false" outlineLevel="0" collapsed="false">
      <c r="A1678" s="2" t="s">
        <v>584</v>
      </c>
      <c r="B1678" s="2" t="s">
        <v>47</v>
      </c>
      <c r="C1678" s="14" t="s">
        <v>2739</v>
      </c>
      <c r="D1678" s="42" t="n">
        <v>11429</v>
      </c>
      <c r="E1678" s="2" t="s">
        <v>821</v>
      </c>
      <c r="F1678" s="43" t="n">
        <v>0.640125995275177</v>
      </c>
      <c r="G1678" s="31" t="n">
        <v>19.9</v>
      </c>
      <c r="H1678" s="41" t="n">
        <v>0.116440363387711</v>
      </c>
      <c r="I1678" s="31" t="n">
        <v>60.7</v>
      </c>
      <c r="J1678" s="2" t="s">
        <v>2886</v>
      </c>
      <c r="K1678" s="44" t="n">
        <v>0.0270880361173815</v>
      </c>
      <c r="L1678" s="31" t="n">
        <v>17.9</v>
      </c>
      <c r="M1678" s="34" t="s">
        <v>822</v>
      </c>
      <c r="N1678" s="2" t="s">
        <v>22</v>
      </c>
      <c r="O1678" s="2" t="s">
        <v>22</v>
      </c>
      <c r="P1678" s="2" t="s">
        <v>22</v>
      </c>
      <c r="Q1678" s="2" t="s">
        <v>22</v>
      </c>
    </row>
    <row r="1679" customFormat="false" ht="15" hidden="false" customHeight="false" outlineLevel="0" collapsed="false">
      <c r="A1679" s="2" t="s">
        <v>144</v>
      </c>
      <c r="B1679" s="2" t="s">
        <v>45</v>
      </c>
      <c r="C1679" s="13" t="s">
        <v>1084</v>
      </c>
      <c r="D1679" s="29" t="n">
        <v>260780</v>
      </c>
      <c r="E1679" s="2" t="s">
        <v>827</v>
      </c>
      <c r="F1679" s="30" t="n">
        <v>0.814257228315055</v>
      </c>
      <c r="G1679" s="31" t="n">
        <v>69</v>
      </c>
      <c r="H1679" s="32" t="n">
        <v>0.0657566717070579</v>
      </c>
      <c r="I1679" s="31" t="n">
        <v>37.1</v>
      </c>
      <c r="J1679" s="2" t="s">
        <v>2890</v>
      </c>
      <c r="K1679" s="44" t="n">
        <v>0.143117040630685</v>
      </c>
      <c r="L1679" s="31" t="n">
        <v>55.2</v>
      </c>
      <c r="M1679" s="34" t="s">
        <v>822</v>
      </c>
      <c r="N1679" s="2" t="s">
        <v>24</v>
      </c>
      <c r="O1679" s="2" t="s">
        <v>24</v>
      </c>
      <c r="P1679" s="2" t="s">
        <v>24</v>
      </c>
      <c r="Q1679" s="2" t="s">
        <v>22</v>
      </c>
    </row>
    <row r="1680" customFormat="false" ht="15" hidden="false" customHeight="false" outlineLevel="0" collapsed="false">
      <c r="A1680" s="2" t="s">
        <v>144</v>
      </c>
      <c r="B1680" s="2" t="s">
        <v>46</v>
      </c>
      <c r="C1680" s="13" t="s">
        <v>1627</v>
      </c>
      <c r="D1680" s="29" t="n">
        <v>22160</v>
      </c>
      <c r="E1680" s="2" t="s">
        <v>821</v>
      </c>
      <c r="F1680" s="30" t="n">
        <v>10.9742328519856</v>
      </c>
      <c r="G1680" s="31" t="n">
        <v>96.1</v>
      </c>
      <c r="H1680" s="32" t="n">
        <v>0.0700144857556736</v>
      </c>
      <c r="I1680" s="31" t="n">
        <v>41.1</v>
      </c>
      <c r="J1680" s="2" t="s">
        <v>2884</v>
      </c>
      <c r="K1680" s="33" t="n">
        <v>0.219035458206463</v>
      </c>
      <c r="L1680" s="31" t="n">
        <v>74</v>
      </c>
      <c r="M1680" s="34" t="s">
        <v>822</v>
      </c>
      <c r="N1680" s="2" t="s">
        <v>24</v>
      </c>
      <c r="O1680" s="2" t="s">
        <v>24</v>
      </c>
      <c r="P1680" s="2" t="s">
        <v>24</v>
      </c>
      <c r="Q1680" s="2" t="s">
        <v>24</v>
      </c>
    </row>
    <row r="1681" customFormat="false" ht="15" hidden="false" customHeight="false" outlineLevel="0" collapsed="false">
      <c r="A1681" s="2" t="s">
        <v>144</v>
      </c>
      <c r="B1681" s="2" t="s">
        <v>47</v>
      </c>
      <c r="C1681" s="13" t="s">
        <v>2305</v>
      </c>
      <c r="D1681" s="29" t="n">
        <v>41510</v>
      </c>
      <c r="E1681" s="2" t="s">
        <v>821</v>
      </c>
      <c r="F1681" s="30" t="n">
        <v>2.68655745603469</v>
      </c>
      <c r="G1681" s="31" t="n">
        <v>86.8</v>
      </c>
      <c r="H1681" s="32" t="n">
        <v>0.189057576625609</v>
      </c>
      <c r="I1681" s="31" t="n">
        <v>89.9</v>
      </c>
      <c r="J1681" s="2" t="s">
        <v>2886</v>
      </c>
      <c r="K1681" s="33" t="n">
        <v>0.115086314736052</v>
      </c>
      <c r="L1681" s="31" t="n">
        <v>64.2</v>
      </c>
      <c r="M1681" s="34" t="s">
        <v>822</v>
      </c>
      <c r="N1681" s="2" t="s">
        <v>24</v>
      </c>
      <c r="O1681" s="2" t="s">
        <v>24</v>
      </c>
      <c r="P1681" s="2" t="s">
        <v>24</v>
      </c>
      <c r="Q1681" s="2" t="s">
        <v>24</v>
      </c>
    </row>
    <row r="1682" customFormat="false" ht="15" hidden="false" customHeight="false" outlineLevel="0" collapsed="false">
      <c r="A1682" s="2" t="s">
        <v>2018</v>
      </c>
      <c r="B1682" s="2" t="s">
        <v>45</v>
      </c>
      <c r="C1682" s="16"/>
      <c r="D1682" s="35"/>
      <c r="E1682" s="2"/>
      <c r="F1682" s="36"/>
      <c r="G1682" s="31"/>
      <c r="H1682" s="37"/>
      <c r="I1682" s="31"/>
      <c r="J1682" s="2"/>
      <c r="K1682" s="38"/>
      <c r="L1682" s="31"/>
      <c r="M1682" s="39" t="s">
        <v>832</v>
      </c>
      <c r="N1682" s="2"/>
      <c r="O1682" s="2"/>
      <c r="P1682" s="2"/>
      <c r="Q1682" s="2"/>
    </row>
    <row r="1683" customFormat="false" ht="15" hidden="false" customHeight="false" outlineLevel="0" collapsed="false">
      <c r="A1683" s="2" t="s">
        <v>2018</v>
      </c>
      <c r="B1683" s="2" t="s">
        <v>46</v>
      </c>
      <c r="C1683" s="13" t="s">
        <v>2019</v>
      </c>
      <c r="D1683" s="29" t="n">
        <v>122400</v>
      </c>
      <c r="E1683" s="2" t="s">
        <v>827</v>
      </c>
      <c r="F1683" s="30" t="n">
        <v>2.18964052287582</v>
      </c>
      <c r="G1683" s="31" t="n">
        <v>30.6</v>
      </c>
      <c r="H1683" s="32" t="n">
        <v>-0.00657414170927684</v>
      </c>
      <c r="I1683" s="31" t="n">
        <v>10.8</v>
      </c>
      <c r="J1683" s="2" t="s">
        <v>2888</v>
      </c>
      <c r="K1683" s="44" t="n">
        <v>0.243721955443596</v>
      </c>
      <c r="L1683" s="31" t="n">
        <v>80.8</v>
      </c>
      <c r="M1683" s="34" t="s">
        <v>822</v>
      </c>
      <c r="N1683" s="2" t="s">
        <v>24</v>
      </c>
      <c r="O1683" s="2" t="s">
        <v>24</v>
      </c>
      <c r="P1683" s="2" t="s">
        <v>24</v>
      </c>
      <c r="Q1683" s="2" t="s">
        <v>22</v>
      </c>
    </row>
    <row r="1684" customFormat="false" ht="15" hidden="false" customHeight="false" outlineLevel="0" collapsed="false">
      <c r="A1684" s="2" t="s">
        <v>790</v>
      </c>
      <c r="B1684" s="2" t="s">
        <v>45</v>
      </c>
      <c r="C1684" s="13" t="s">
        <v>1430</v>
      </c>
      <c r="D1684" s="29" t="n">
        <v>40770</v>
      </c>
      <c r="E1684" s="2" t="s">
        <v>821</v>
      </c>
      <c r="F1684" s="30" t="n">
        <v>0.343291636006868</v>
      </c>
      <c r="G1684" s="31" t="n">
        <v>23.4</v>
      </c>
      <c r="H1684" s="32" t="n">
        <v>0.130929264909847</v>
      </c>
      <c r="I1684" s="31" t="n">
        <v>69.8</v>
      </c>
      <c r="J1684" s="2" t="s">
        <v>2883</v>
      </c>
      <c r="K1684" s="33" t="n">
        <v>0.103746397694525</v>
      </c>
      <c r="L1684" s="31" t="n">
        <v>36.8</v>
      </c>
      <c r="M1684" s="34" t="s">
        <v>822</v>
      </c>
      <c r="N1684" s="2" t="s">
        <v>24</v>
      </c>
      <c r="O1684" s="2" t="s">
        <v>24</v>
      </c>
      <c r="P1684" s="2" t="s">
        <v>24</v>
      </c>
      <c r="Q1684" s="2" t="s">
        <v>24</v>
      </c>
    </row>
    <row r="1685" customFormat="false" ht="15" hidden="false" customHeight="false" outlineLevel="0" collapsed="false">
      <c r="A1685" s="2" t="s">
        <v>790</v>
      </c>
      <c r="B1685" s="2" t="s">
        <v>46</v>
      </c>
      <c r="C1685" s="13" t="s">
        <v>2196</v>
      </c>
      <c r="D1685" s="29" t="n">
        <v>264420</v>
      </c>
      <c r="E1685" s="2" t="s">
        <v>827</v>
      </c>
      <c r="F1685" s="30" t="n">
        <v>0.514469404734891</v>
      </c>
      <c r="G1685" s="31" t="n">
        <v>1.8</v>
      </c>
      <c r="H1685" s="32" t="n">
        <v>0.0338194471595574</v>
      </c>
      <c r="I1685" s="31" t="n">
        <v>26.1</v>
      </c>
      <c r="J1685" s="2" t="s">
        <v>2888</v>
      </c>
      <c r="K1685" s="33" t="n">
        <v>0.120542635658915</v>
      </c>
      <c r="L1685" s="31" t="n">
        <v>45.3</v>
      </c>
      <c r="M1685" s="34" t="s">
        <v>822</v>
      </c>
      <c r="N1685" s="2" t="s">
        <v>24</v>
      </c>
      <c r="O1685" s="2" t="s">
        <v>24</v>
      </c>
      <c r="P1685" s="2" t="s">
        <v>24</v>
      </c>
      <c r="Q1685" s="2" t="s">
        <v>24</v>
      </c>
    </row>
    <row r="1686" customFormat="false" ht="15" hidden="false" customHeight="false" outlineLevel="0" collapsed="false">
      <c r="A1686" s="2" t="s">
        <v>286</v>
      </c>
      <c r="B1686" s="2" t="s">
        <v>45</v>
      </c>
      <c r="C1686" s="13" t="s">
        <v>1209</v>
      </c>
      <c r="D1686" s="29" t="n">
        <v>34210</v>
      </c>
      <c r="E1686" s="2" t="s">
        <v>821</v>
      </c>
      <c r="F1686" s="30" t="n">
        <v>0.593306050862321</v>
      </c>
      <c r="G1686" s="31" t="n">
        <v>53.1</v>
      </c>
      <c r="H1686" s="32" t="n">
        <v>0.0395016712245518</v>
      </c>
      <c r="I1686" s="31" t="n">
        <v>22.3</v>
      </c>
      <c r="J1686" s="2" t="s">
        <v>2883</v>
      </c>
      <c r="K1686" s="40" t="s">
        <v>857</v>
      </c>
      <c r="L1686" s="31"/>
      <c r="M1686" s="34" t="s">
        <v>822</v>
      </c>
      <c r="N1686" s="2" t="s">
        <v>24</v>
      </c>
      <c r="O1686" s="2" t="s">
        <v>24</v>
      </c>
      <c r="P1686" s="2" t="s">
        <v>24</v>
      </c>
      <c r="Q1686" s="2" t="s">
        <v>2885</v>
      </c>
    </row>
    <row r="1687" customFormat="false" ht="15" hidden="false" customHeight="false" outlineLevel="0" collapsed="false">
      <c r="A1687" s="2" t="s">
        <v>286</v>
      </c>
      <c r="B1687" s="2" t="s">
        <v>46</v>
      </c>
      <c r="C1687" s="13" t="s">
        <v>1914</v>
      </c>
      <c r="D1687" s="29" t="n">
        <v>27750</v>
      </c>
      <c r="E1687" s="2" t="s">
        <v>821</v>
      </c>
      <c r="F1687" s="30" t="n">
        <v>3.05246846846847</v>
      </c>
      <c r="G1687" s="31" t="n">
        <v>47</v>
      </c>
      <c r="H1687" s="32" t="n">
        <v>0.125760649087221</v>
      </c>
      <c r="I1687" s="31" t="n">
        <v>71.3</v>
      </c>
      <c r="J1687" s="2" t="s">
        <v>2884</v>
      </c>
      <c r="K1687" s="33" t="n">
        <v>0.016254100805249</v>
      </c>
      <c r="L1687" s="31" t="n">
        <v>2.4</v>
      </c>
      <c r="M1687" s="34" t="s">
        <v>822</v>
      </c>
      <c r="N1687" s="2" t="s">
        <v>24</v>
      </c>
      <c r="O1687" s="2" t="s">
        <v>24</v>
      </c>
      <c r="P1687" s="2" t="s">
        <v>24</v>
      </c>
      <c r="Q1687" s="2" t="s">
        <v>24</v>
      </c>
    </row>
    <row r="1688" customFormat="false" ht="15" hidden="false" customHeight="false" outlineLevel="0" collapsed="false">
      <c r="A1688" s="2" t="s">
        <v>286</v>
      </c>
      <c r="B1688" s="2" t="s">
        <v>47</v>
      </c>
      <c r="C1688" s="13" t="s">
        <v>2265</v>
      </c>
      <c r="D1688" s="29" t="n">
        <v>6950</v>
      </c>
      <c r="E1688" s="2" t="s">
        <v>825</v>
      </c>
      <c r="F1688" s="30" t="n">
        <v>3.58978417266187</v>
      </c>
      <c r="G1688" s="31" t="n">
        <v>93.1</v>
      </c>
      <c r="H1688" s="32" t="n">
        <v>0.162207357859532</v>
      </c>
      <c r="I1688" s="31" t="n">
        <v>75</v>
      </c>
      <c r="J1688" s="2" t="s">
        <v>2889</v>
      </c>
      <c r="K1688" s="33" t="n">
        <v>0.142798522773902</v>
      </c>
      <c r="L1688" s="31" t="n">
        <v>72</v>
      </c>
      <c r="M1688" s="34" t="s">
        <v>822</v>
      </c>
      <c r="N1688" s="2" t="s">
        <v>24</v>
      </c>
      <c r="O1688" s="2" t="s">
        <v>24</v>
      </c>
      <c r="P1688" s="2" t="s">
        <v>24</v>
      </c>
      <c r="Q1688" s="2" t="s">
        <v>24</v>
      </c>
    </row>
    <row r="1689" customFormat="false" ht="15" hidden="false" customHeight="false" outlineLevel="0" collapsed="false">
      <c r="A1689" s="2" t="s">
        <v>3298</v>
      </c>
      <c r="B1689" s="2" t="s">
        <v>46</v>
      </c>
      <c r="C1689" s="13" t="s">
        <v>3299</v>
      </c>
      <c r="D1689" s="35"/>
      <c r="E1689" s="2"/>
      <c r="F1689" s="36"/>
      <c r="G1689" s="31"/>
      <c r="H1689" s="37"/>
      <c r="I1689" s="31"/>
      <c r="J1689" s="2"/>
      <c r="K1689" s="33" t="n">
        <v>0.0851423143229075</v>
      </c>
      <c r="L1689" s="31" t="n">
        <v>29.1</v>
      </c>
      <c r="M1689" s="39" t="s">
        <v>832</v>
      </c>
      <c r="N1689" s="2"/>
      <c r="O1689" s="2"/>
      <c r="P1689" s="2"/>
      <c r="Q1689" s="2" t="s">
        <v>24</v>
      </c>
    </row>
    <row r="1690" customFormat="false" ht="15" hidden="false" customHeight="false" outlineLevel="0" collapsed="false">
      <c r="A1690" s="2" t="s">
        <v>1838</v>
      </c>
      <c r="B1690" s="2" t="s">
        <v>45</v>
      </c>
      <c r="C1690" s="16"/>
      <c r="D1690" s="35"/>
      <c r="E1690" s="2"/>
      <c r="F1690" s="36"/>
      <c r="G1690" s="31"/>
      <c r="H1690" s="37"/>
      <c r="I1690" s="31"/>
      <c r="J1690" s="2"/>
      <c r="K1690" s="38"/>
      <c r="L1690" s="31"/>
      <c r="M1690" s="39" t="s">
        <v>832</v>
      </c>
      <c r="N1690" s="2"/>
      <c r="O1690" s="2"/>
      <c r="P1690" s="2"/>
      <c r="Q1690" s="2"/>
    </row>
    <row r="1691" customFormat="false" ht="15" hidden="false" customHeight="false" outlineLevel="0" collapsed="false">
      <c r="A1691" s="2" t="s">
        <v>1838</v>
      </c>
      <c r="B1691" s="2" t="s">
        <v>46</v>
      </c>
      <c r="C1691" s="13" t="s">
        <v>1839</v>
      </c>
      <c r="D1691" s="29" t="n">
        <v>29040</v>
      </c>
      <c r="E1691" s="2" t="s">
        <v>821</v>
      </c>
      <c r="F1691" s="30" t="n">
        <v>3.62382920110193</v>
      </c>
      <c r="G1691" s="31" t="n">
        <v>58.7</v>
      </c>
      <c r="H1691" s="32" t="n">
        <v>0.0367725812209925</v>
      </c>
      <c r="I1691" s="31" t="n">
        <v>24.7</v>
      </c>
      <c r="J1691" s="2" t="s">
        <v>2884</v>
      </c>
      <c r="K1691" s="33" t="n">
        <v>0.2050190454851</v>
      </c>
      <c r="L1691" s="31" t="n">
        <v>70.4</v>
      </c>
      <c r="M1691" s="34" t="s">
        <v>822</v>
      </c>
      <c r="N1691" s="2" t="s">
        <v>24</v>
      </c>
      <c r="O1691" s="2" t="s">
        <v>24</v>
      </c>
      <c r="P1691" s="2" t="s">
        <v>24</v>
      </c>
      <c r="Q1691" s="2" t="s">
        <v>24</v>
      </c>
    </row>
    <row r="1692" customFormat="false" ht="15" hidden="false" customHeight="false" outlineLevel="0" collapsed="false">
      <c r="A1692" s="2" t="s">
        <v>1838</v>
      </c>
      <c r="B1692" s="2" t="s">
        <v>47</v>
      </c>
      <c r="C1692" s="14" t="s">
        <v>2430</v>
      </c>
      <c r="D1692" s="42" t="n">
        <v>96460</v>
      </c>
      <c r="E1692" s="2" t="s">
        <v>821</v>
      </c>
      <c r="F1692" s="43" t="n">
        <v>1.65297532656023</v>
      </c>
      <c r="G1692" s="31" t="n">
        <v>66</v>
      </c>
      <c r="H1692" s="41" t="n">
        <v>0.140189125295508</v>
      </c>
      <c r="I1692" s="31" t="n">
        <v>71.4</v>
      </c>
      <c r="J1692" s="2" t="s">
        <v>2886</v>
      </c>
      <c r="K1692" s="44" t="n">
        <v>0.00743331875819851</v>
      </c>
      <c r="L1692" s="31" t="n">
        <v>5.2</v>
      </c>
      <c r="M1692" s="34" t="s">
        <v>822</v>
      </c>
      <c r="N1692" s="2" t="s">
        <v>22</v>
      </c>
      <c r="O1692" s="2" t="s">
        <v>22</v>
      </c>
      <c r="P1692" s="2" t="s">
        <v>22</v>
      </c>
      <c r="Q1692" s="2" t="s">
        <v>22</v>
      </c>
    </row>
    <row r="1693" customFormat="false" ht="15" hidden="false" customHeight="false" outlineLevel="0" collapsed="false">
      <c r="A1693" s="2" t="s">
        <v>151</v>
      </c>
      <c r="B1693" s="2" t="s">
        <v>45</v>
      </c>
      <c r="C1693" s="13" t="s">
        <v>1023</v>
      </c>
      <c r="D1693" s="29" t="n">
        <v>108470</v>
      </c>
      <c r="E1693" s="2" t="s">
        <v>827</v>
      </c>
      <c r="F1693" s="30" t="n">
        <v>0.916520696966903</v>
      </c>
      <c r="G1693" s="31" t="n">
        <v>76</v>
      </c>
      <c r="H1693" s="32" t="n">
        <v>-0.0336748329621381</v>
      </c>
      <c r="I1693" s="31" t="n">
        <v>7.9</v>
      </c>
      <c r="J1693" s="2" t="s">
        <v>2890</v>
      </c>
      <c r="K1693" s="33" t="n">
        <v>0.273100616016427</v>
      </c>
      <c r="L1693" s="31" t="n">
        <v>86</v>
      </c>
      <c r="M1693" s="34" t="s">
        <v>822</v>
      </c>
      <c r="N1693" s="2" t="s">
        <v>24</v>
      </c>
      <c r="O1693" s="2" t="s">
        <v>24</v>
      </c>
      <c r="P1693" s="2" t="s">
        <v>24</v>
      </c>
      <c r="Q1693" s="2" t="s">
        <v>24</v>
      </c>
    </row>
    <row r="1694" customFormat="false" ht="15" hidden="false" customHeight="false" outlineLevel="0" collapsed="false">
      <c r="A1694" s="2" t="s">
        <v>151</v>
      </c>
      <c r="B1694" s="2" t="s">
        <v>46</v>
      </c>
      <c r="C1694" s="13" t="s">
        <v>1650</v>
      </c>
      <c r="D1694" s="29" t="n">
        <v>73390</v>
      </c>
      <c r="E1694" s="2" t="s">
        <v>821</v>
      </c>
      <c r="F1694" s="30" t="n">
        <v>9.16575827769451</v>
      </c>
      <c r="G1694" s="31" t="n">
        <v>91.9</v>
      </c>
      <c r="H1694" s="32" t="n">
        <v>0.176876202694035</v>
      </c>
      <c r="I1694" s="31" t="n">
        <v>87.6</v>
      </c>
      <c r="J1694" s="2" t="s">
        <v>2884</v>
      </c>
      <c r="K1694" s="33" t="n">
        <v>0.41808341292582</v>
      </c>
      <c r="L1694" s="31" t="n">
        <v>97.8</v>
      </c>
      <c r="M1694" s="34" t="s">
        <v>822</v>
      </c>
      <c r="N1694" s="2" t="s">
        <v>24</v>
      </c>
      <c r="O1694" s="2" t="s">
        <v>24</v>
      </c>
      <c r="P1694" s="2" t="s">
        <v>24</v>
      </c>
      <c r="Q1694" s="2" t="s">
        <v>24</v>
      </c>
    </row>
    <row r="1695" customFormat="false" ht="15" hidden="false" customHeight="false" outlineLevel="0" collapsed="false">
      <c r="A1695" s="2" t="s">
        <v>151</v>
      </c>
      <c r="B1695" s="2" t="s">
        <v>47</v>
      </c>
      <c r="C1695" s="13" t="s">
        <v>2341</v>
      </c>
      <c r="D1695" s="29" t="n">
        <v>6250</v>
      </c>
      <c r="E1695" s="2" t="s">
        <v>825</v>
      </c>
      <c r="F1695" s="30" t="n">
        <v>2.32112</v>
      </c>
      <c r="G1695" s="31" t="n">
        <v>81.1</v>
      </c>
      <c r="H1695" s="41" t="n">
        <v>0.0637204522096608</v>
      </c>
      <c r="I1695" s="31" t="n">
        <v>32.5</v>
      </c>
      <c r="J1695" s="2" t="s">
        <v>2889</v>
      </c>
      <c r="K1695" s="44" t="n">
        <v>0.0163576881134133</v>
      </c>
      <c r="L1695" s="31" t="n">
        <v>10.8</v>
      </c>
      <c r="M1695" s="34" t="s">
        <v>822</v>
      </c>
      <c r="N1695" s="2" t="s">
        <v>24</v>
      </c>
      <c r="O1695" s="2" t="s">
        <v>24</v>
      </c>
      <c r="P1695" s="2" t="s">
        <v>22</v>
      </c>
      <c r="Q1695" s="2" t="s">
        <v>22</v>
      </c>
    </row>
    <row r="1696" customFormat="false" ht="15" hidden="false" customHeight="false" outlineLevel="0" collapsed="false">
      <c r="A1696" s="2" t="s">
        <v>174</v>
      </c>
      <c r="B1696" s="2" t="s">
        <v>47</v>
      </c>
      <c r="C1696" s="13" t="s">
        <v>2350</v>
      </c>
      <c r="D1696" s="42" t="n">
        <v>51228</v>
      </c>
      <c r="E1696" s="2" t="s">
        <v>821</v>
      </c>
      <c r="F1696" s="43" t="n">
        <v>2.17494339033341</v>
      </c>
      <c r="G1696" s="31" t="n">
        <v>79.4</v>
      </c>
      <c r="H1696" s="41" t="n">
        <v>0.043106432367494</v>
      </c>
      <c r="I1696" s="31" t="n">
        <v>25</v>
      </c>
      <c r="J1696" s="2" t="s">
        <v>2886</v>
      </c>
      <c r="K1696" s="33" t="n">
        <v>0.118809046664758</v>
      </c>
      <c r="L1696" s="31" t="n">
        <v>65.2</v>
      </c>
      <c r="M1696" s="34" t="s">
        <v>822</v>
      </c>
      <c r="N1696" s="2" t="s">
        <v>22</v>
      </c>
      <c r="O1696" s="2" t="s">
        <v>22</v>
      </c>
      <c r="P1696" s="2" t="s">
        <v>22</v>
      </c>
      <c r="Q1696" s="2" t="s">
        <v>24</v>
      </c>
    </row>
    <row r="1697" customFormat="false" ht="15" hidden="false" customHeight="false" outlineLevel="0" collapsed="false">
      <c r="A1697" s="2" t="s">
        <v>2236</v>
      </c>
      <c r="B1697" s="2" t="s">
        <v>46</v>
      </c>
      <c r="C1697" s="16"/>
      <c r="D1697" s="35"/>
      <c r="E1697" s="2"/>
      <c r="F1697" s="36"/>
      <c r="G1697" s="31"/>
      <c r="H1697" s="37"/>
      <c r="I1697" s="31"/>
      <c r="J1697" s="2"/>
      <c r="K1697" s="38"/>
      <c r="L1697" s="31"/>
      <c r="M1697" s="39" t="s">
        <v>832</v>
      </c>
      <c r="N1697" s="2"/>
      <c r="O1697" s="2"/>
      <c r="P1697" s="2"/>
      <c r="Q1697" s="2"/>
    </row>
    <row r="1698" customFormat="false" ht="15" hidden="false" customHeight="false" outlineLevel="0" collapsed="false">
      <c r="A1698" s="2" t="s">
        <v>2236</v>
      </c>
      <c r="B1698" s="2" t="s">
        <v>47</v>
      </c>
      <c r="C1698" s="14" t="s">
        <v>2237</v>
      </c>
      <c r="D1698" s="42" t="n">
        <v>375181</v>
      </c>
      <c r="E1698" s="2" t="s">
        <v>827</v>
      </c>
      <c r="F1698" s="43" t="n">
        <v>4.47529325845392</v>
      </c>
      <c r="G1698" s="31" t="n">
        <v>96.5</v>
      </c>
      <c r="H1698" s="41" t="n">
        <v>0.0218961600688562</v>
      </c>
      <c r="I1698" s="31" t="n">
        <v>19.9</v>
      </c>
      <c r="J1698" s="2" t="s">
        <v>2897</v>
      </c>
      <c r="K1698" s="44" t="n">
        <v>0.138411701187788</v>
      </c>
      <c r="L1698" s="31" t="n">
        <v>70.6</v>
      </c>
      <c r="M1698" s="34" t="s">
        <v>822</v>
      </c>
      <c r="N1698" s="2" t="s">
        <v>22</v>
      </c>
      <c r="O1698" s="2" t="s">
        <v>22</v>
      </c>
      <c r="P1698" s="2" t="s">
        <v>22</v>
      </c>
      <c r="Q1698" s="2" t="s">
        <v>22</v>
      </c>
    </row>
    <row r="1699" customFormat="false" ht="15" hidden="false" customHeight="false" outlineLevel="0" collapsed="false">
      <c r="A1699" s="2" t="s">
        <v>758</v>
      </c>
      <c r="B1699" s="2" t="s">
        <v>47</v>
      </c>
      <c r="C1699" s="13" t="s">
        <v>2744</v>
      </c>
      <c r="D1699" s="29" t="n">
        <v>234530</v>
      </c>
      <c r="E1699" s="2" t="s">
        <v>827</v>
      </c>
      <c r="F1699" s="30" t="n">
        <v>0.633944484714109</v>
      </c>
      <c r="G1699" s="31" t="n">
        <v>19.4</v>
      </c>
      <c r="H1699" s="32" t="n">
        <v>0.174941135213667</v>
      </c>
      <c r="I1699" s="31" t="n">
        <v>90.1</v>
      </c>
      <c r="J1699" s="2" t="s">
        <v>2897</v>
      </c>
      <c r="K1699" s="33" t="n">
        <v>0.0730059327620303</v>
      </c>
      <c r="L1699" s="31" t="n">
        <v>45.7</v>
      </c>
      <c r="M1699" s="34" t="s">
        <v>822</v>
      </c>
      <c r="N1699" s="2" t="s">
        <v>24</v>
      </c>
      <c r="O1699" s="2" t="s">
        <v>24</v>
      </c>
      <c r="P1699" s="2" t="s">
        <v>24</v>
      </c>
      <c r="Q1699" s="2" t="s">
        <v>24</v>
      </c>
    </row>
    <row r="1700" customFormat="false" ht="15" hidden="false" customHeight="false" outlineLevel="0" collapsed="false">
      <c r="A1700" s="2" t="s">
        <v>85</v>
      </c>
      <c r="B1700" s="2" t="s">
        <v>45</v>
      </c>
      <c r="C1700" s="13" t="s">
        <v>856</v>
      </c>
      <c r="D1700" s="29" t="n">
        <v>2350</v>
      </c>
      <c r="E1700" s="2" t="s">
        <v>825</v>
      </c>
      <c r="F1700" s="30" t="n">
        <v>2.14553191489362</v>
      </c>
      <c r="G1700" s="31" t="n">
        <v>96.2</v>
      </c>
      <c r="H1700" s="41" t="n">
        <v>0.0595344673231871</v>
      </c>
      <c r="I1700" s="31" t="n">
        <v>26.8</v>
      </c>
      <c r="J1700" s="2" t="s">
        <v>2899</v>
      </c>
      <c r="K1700" s="40" t="s">
        <v>857</v>
      </c>
      <c r="L1700" s="31"/>
      <c r="M1700" s="34" t="s">
        <v>822</v>
      </c>
      <c r="N1700" s="2" t="s">
        <v>24</v>
      </c>
      <c r="O1700" s="2" t="s">
        <v>24</v>
      </c>
      <c r="P1700" s="2" t="s">
        <v>22</v>
      </c>
      <c r="Q1700" s="2" t="s">
        <v>2885</v>
      </c>
    </row>
    <row r="1701" customFormat="false" ht="15" hidden="false" customHeight="false" outlineLevel="0" collapsed="false">
      <c r="A1701" s="2" t="s">
        <v>1530</v>
      </c>
      <c r="B1701" s="2" t="s">
        <v>45</v>
      </c>
      <c r="C1701" s="13" t="s">
        <v>1531</v>
      </c>
      <c r="D1701" s="29" t="n">
        <v>62980</v>
      </c>
      <c r="E1701" s="2" t="s">
        <v>821</v>
      </c>
      <c r="F1701" s="30" t="n">
        <v>0.203667831057479</v>
      </c>
      <c r="G1701" s="31" t="n">
        <v>8.9</v>
      </c>
      <c r="H1701" s="32" t="n">
        <v>0.199619047619048</v>
      </c>
      <c r="I1701" s="31" t="n">
        <v>91.1</v>
      </c>
      <c r="J1701" s="2" t="s">
        <v>2883</v>
      </c>
      <c r="K1701" s="44" t="n">
        <v>0.323699421965318</v>
      </c>
      <c r="L1701" s="31" t="n">
        <v>92.8</v>
      </c>
      <c r="M1701" s="34" t="s">
        <v>822</v>
      </c>
      <c r="N1701" s="2" t="s">
        <v>24</v>
      </c>
      <c r="O1701" s="2" t="s">
        <v>24</v>
      </c>
      <c r="P1701" s="2" t="s">
        <v>24</v>
      </c>
      <c r="Q1701" s="2" t="s">
        <v>22</v>
      </c>
    </row>
    <row r="1702" customFormat="false" ht="15" hidden="false" customHeight="false" outlineLevel="0" collapsed="false">
      <c r="A1702" s="2" t="s">
        <v>1530</v>
      </c>
      <c r="B1702" s="2" t="s">
        <v>46</v>
      </c>
      <c r="C1702" s="16"/>
      <c r="D1702" s="35"/>
      <c r="E1702" s="2"/>
      <c r="F1702" s="36"/>
      <c r="G1702" s="31"/>
      <c r="H1702" s="37"/>
      <c r="I1702" s="31"/>
      <c r="J1702" s="2"/>
      <c r="K1702" s="38"/>
      <c r="L1702" s="31"/>
      <c r="M1702" s="39" t="s">
        <v>832</v>
      </c>
      <c r="N1702" s="2"/>
      <c r="O1702" s="2"/>
      <c r="P1702" s="2"/>
      <c r="Q1702" s="2"/>
    </row>
    <row r="1703" customFormat="false" ht="15" hidden="false" customHeight="false" outlineLevel="0" collapsed="false">
      <c r="A1703" s="2" t="s">
        <v>1530</v>
      </c>
      <c r="B1703" s="2" t="s">
        <v>47</v>
      </c>
      <c r="C1703" s="13" t="s">
        <v>2422</v>
      </c>
      <c r="D1703" s="29" t="n">
        <v>164740</v>
      </c>
      <c r="E1703" s="2" t="s">
        <v>827</v>
      </c>
      <c r="F1703" s="30" t="n">
        <v>1.67643559548379</v>
      </c>
      <c r="G1703" s="31" t="n">
        <v>67.4</v>
      </c>
      <c r="H1703" s="32" t="n">
        <v>0.0702267264340934</v>
      </c>
      <c r="I1703" s="31" t="n">
        <v>42.2</v>
      </c>
      <c r="J1703" s="2" t="s">
        <v>2897</v>
      </c>
      <c r="K1703" s="33" t="n">
        <v>0.147065733214303</v>
      </c>
      <c r="L1703" s="31" t="n">
        <v>72.6</v>
      </c>
      <c r="M1703" s="34" t="s">
        <v>822</v>
      </c>
      <c r="N1703" s="2" t="s">
        <v>24</v>
      </c>
      <c r="O1703" s="2" t="s">
        <v>24</v>
      </c>
      <c r="P1703" s="2" t="s">
        <v>24</v>
      </c>
      <c r="Q1703" s="2" t="s">
        <v>24</v>
      </c>
    </row>
    <row r="1704" customFormat="false" ht="15" hidden="false" customHeight="false" outlineLevel="0" collapsed="false">
      <c r="A1704" s="2" t="s">
        <v>1852</v>
      </c>
      <c r="B1704" s="2" t="s">
        <v>46</v>
      </c>
      <c r="C1704" s="13" t="s">
        <v>1853</v>
      </c>
      <c r="D1704" s="29" t="n">
        <v>32330</v>
      </c>
      <c r="E1704" s="2" t="s">
        <v>821</v>
      </c>
      <c r="F1704" s="30" t="n">
        <v>3.54624188060625</v>
      </c>
      <c r="G1704" s="31" t="n">
        <v>57.2</v>
      </c>
      <c r="H1704" s="32" t="n">
        <v>0.130814970269325</v>
      </c>
      <c r="I1704" s="31" t="n">
        <v>72.7</v>
      </c>
      <c r="J1704" s="2" t="s">
        <v>2884</v>
      </c>
      <c r="K1704" s="33" t="n">
        <v>0.305781097759013</v>
      </c>
      <c r="L1704" s="31" t="n">
        <v>89.6</v>
      </c>
      <c r="M1704" s="34" t="s">
        <v>822</v>
      </c>
      <c r="N1704" s="2" t="s">
        <v>24</v>
      </c>
      <c r="O1704" s="2" t="s">
        <v>24</v>
      </c>
      <c r="P1704" s="2" t="s">
        <v>24</v>
      </c>
      <c r="Q1704" s="2" t="s">
        <v>24</v>
      </c>
    </row>
    <row r="1705" customFormat="false" ht="15" hidden="false" customHeight="false" outlineLevel="0" collapsed="false">
      <c r="A1705" s="2" t="s">
        <v>1852</v>
      </c>
      <c r="B1705" s="2" t="s">
        <v>47</v>
      </c>
      <c r="C1705" s="14" t="s">
        <v>3300</v>
      </c>
      <c r="D1705" s="42" t="n">
        <v>38383</v>
      </c>
      <c r="E1705" s="2" t="s">
        <v>821</v>
      </c>
      <c r="F1705" s="36"/>
      <c r="G1705" s="31"/>
      <c r="H1705" s="41" t="n">
        <v>0.137982151857452</v>
      </c>
      <c r="I1705" s="31" t="n">
        <v>69.5</v>
      </c>
      <c r="J1705" s="2" t="s">
        <v>2886</v>
      </c>
      <c r="K1705" s="44" t="n">
        <v>0.0664739884393064</v>
      </c>
      <c r="L1705" s="31" t="n">
        <v>43</v>
      </c>
      <c r="M1705" s="39" t="s">
        <v>832</v>
      </c>
      <c r="N1705" s="2" t="s">
        <v>22</v>
      </c>
      <c r="O1705" s="2"/>
      <c r="P1705" s="2" t="s">
        <v>22</v>
      </c>
      <c r="Q1705" s="2" t="s">
        <v>22</v>
      </c>
    </row>
    <row r="1706" customFormat="false" ht="15" hidden="false" customHeight="false" outlineLevel="0" collapsed="false">
      <c r="A1706" s="2" t="s">
        <v>268</v>
      </c>
      <c r="B1706" s="2" t="s">
        <v>45</v>
      </c>
      <c r="C1706" s="13" t="s">
        <v>1150</v>
      </c>
      <c r="D1706" s="29" t="n">
        <v>7026670</v>
      </c>
      <c r="E1706" s="2" t="s">
        <v>935</v>
      </c>
      <c r="F1706" s="30" t="n">
        <v>0.675413531587509</v>
      </c>
      <c r="G1706" s="31" t="n">
        <v>60.1</v>
      </c>
      <c r="H1706" s="32" t="n">
        <v>0.0803746048536882</v>
      </c>
      <c r="I1706" s="31" t="n">
        <v>29.4</v>
      </c>
      <c r="J1706" s="2" t="s">
        <v>2892</v>
      </c>
      <c r="K1706" s="33" t="n">
        <v>0.052894969601915</v>
      </c>
      <c r="L1706" s="31" t="n">
        <v>16.6</v>
      </c>
      <c r="M1706" s="34" t="s">
        <v>822</v>
      </c>
      <c r="N1706" s="2" t="s">
        <v>24</v>
      </c>
      <c r="O1706" s="2" t="s">
        <v>24</v>
      </c>
      <c r="P1706" s="2" t="s">
        <v>24</v>
      </c>
      <c r="Q1706" s="2" t="s">
        <v>24</v>
      </c>
    </row>
    <row r="1707" customFormat="false" ht="15" hidden="false" customHeight="false" outlineLevel="0" collapsed="false">
      <c r="A1707" s="2" t="s">
        <v>268</v>
      </c>
      <c r="B1707" s="2" t="s">
        <v>47</v>
      </c>
      <c r="C1707" s="14" t="s">
        <v>2393</v>
      </c>
      <c r="D1707" s="42" t="n">
        <v>12063</v>
      </c>
      <c r="E1707" s="2" t="s">
        <v>821</v>
      </c>
      <c r="F1707" s="43" t="n">
        <v>1.84373704716903</v>
      </c>
      <c r="G1707" s="31" t="n">
        <v>72</v>
      </c>
      <c r="H1707" s="41" t="n">
        <v>0.187536916715889</v>
      </c>
      <c r="I1707" s="31" t="n">
        <v>89</v>
      </c>
      <c r="J1707" s="2" t="s">
        <v>2886</v>
      </c>
      <c r="K1707" s="44" t="n">
        <v>0.012970168612192</v>
      </c>
      <c r="L1707" s="31" t="n">
        <v>9</v>
      </c>
      <c r="M1707" s="34" t="s">
        <v>822</v>
      </c>
      <c r="N1707" s="2" t="s">
        <v>22</v>
      </c>
      <c r="O1707" s="2" t="s">
        <v>22</v>
      </c>
      <c r="P1707" s="2" t="s">
        <v>22</v>
      </c>
      <c r="Q1707" s="2" t="s">
        <v>22</v>
      </c>
    </row>
    <row r="1708" customFormat="false" ht="15" hidden="false" customHeight="false" outlineLevel="0" collapsed="false">
      <c r="A1708" s="2" t="s">
        <v>3301</v>
      </c>
      <c r="B1708" s="2" t="s">
        <v>46</v>
      </c>
      <c r="C1708" s="13" t="s">
        <v>3302</v>
      </c>
      <c r="D1708" s="35"/>
      <c r="E1708" s="2"/>
      <c r="F1708" s="36"/>
      <c r="G1708" s="31"/>
      <c r="H1708" s="37"/>
      <c r="I1708" s="31"/>
      <c r="J1708" s="2"/>
      <c r="K1708" s="33" t="n">
        <v>0.165920620710236</v>
      </c>
      <c r="L1708" s="31" t="n">
        <v>60.5</v>
      </c>
      <c r="M1708" s="39" t="s">
        <v>832</v>
      </c>
      <c r="N1708" s="2"/>
      <c r="O1708" s="2"/>
      <c r="P1708" s="2"/>
      <c r="Q1708" s="2" t="s">
        <v>24</v>
      </c>
    </row>
    <row r="1709" customFormat="false" ht="15" hidden="false" customHeight="false" outlineLevel="0" collapsed="false">
      <c r="A1709" s="2" t="s">
        <v>3301</v>
      </c>
      <c r="B1709" s="2" t="s">
        <v>47</v>
      </c>
      <c r="C1709" s="16"/>
      <c r="D1709" s="35"/>
      <c r="E1709" s="2"/>
      <c r="F1709" s="36"/>
      <c r="G1709" s="31"/>
      <c r="H1709" s="37"/>
      <c r="I1709" s="31"/>
      <c r="J1709" s="2"/>
      <c r="K1709" s="38"/>
      <c r="L1709" s="31"/>
      <c r="M1709" s="39" t="s">
        <v>832</v>
      </c>
      <c r="N1709" s="2"/>
      <c r="O1709" s="2"/>
      <c r="P1709" s="2"/>
      <c r="Q1709" s="2"/>
    </row>
    <row r="1710" customFormat="false" ht="15" hidden="false" customHeight="false" outlineLevel="0" collapsed="false">
      <c r="A1710" s="2" t="s">
        <v>540</v>
      </c>
      <c r="B1710" s="2" t="s">
        <v>45</v>
      </c>
      <c r="C1710" s="13" t="s">
        <v>820</v>
      </c>
      <c r="D1710" s="29" t="n">
        <v>59960</v>
      </c>
      <c r="E1710" s="2" t="s">
        <v>821</v>
      </c>
      <c r="F1710" s="30" t="n">
        <v>7.78153769179453</v>
      </c>
      <c r="G1710" s="31" t="n">
        <v>100</v>
      </c>
      <c r="H1710" s="32" t="n">
        <v>0.11491260691707</v>
      </c>
      <c r="I1710" s="31" t="n">
        <v>60.8</v>
      </c>
      <c r="J1710" s="2" t="s">
        <v>2883</v>
      </c>
      <c r="K1710" s="33" t="n">
        <v>0.017974351206705</v>
      </c>
      <c r="L1710" s="31" t="n">
        <v>4.9</v>
      </c>
      <c r="M1710" s="34" t="s">
        <v>822</v>
      </c>
      <c r="N1710" s="2" t="s">
        <v>24</v>
      </c>
      <c r="O1710" s="2" t="s">
        <v>24</v>
      </c>
      <c r="P1710" s="2" t="s">
        <v>24</v>
      </c>
      <c r="Q1710" s="2" t="s">
        <v>24</v>
      </c>
    </row>
    <row r="1711" customFormat="false" ht="15" hidden="false" customHeight="false" outlineLevel="0" collapsed="false">
      <c r="A1711" s="2" t="s">
        <v>540</v>
      </c>
      <c r="B1711" s="2" t="s">
        <v>46</v>
      </c>
      <c r="C1711" s="13" t="s">
        <v>2132</v>
      </c>
      <c r="D1711" s="29" t="n">
        <v>8880</v>
      </c>
      <c r="E1711" s="2" t="s">
        <v>825</v>
      </c>
      <c r="F1711" s="30" t="n">
        <v>1.34132882882883</v>
      </c>
      <c r="G1711" s="31" t="n">
        <v>12</v>
      </c>
      <c r="H1711" s="32" t="n">
        <v>0.16688567674113</v>
      </c>
      <c r="I1711" s="31" t="n">
        <v>77.4</v>
      </c>
      <c r="J1711" s="2" t="s">
        <v>2905</v>
      </c>
      <c r="K1711" s="33" t="n">
        <v>0.176328502415459</v>
      </c>
      <c r="L1711" s="31" t="n">
        <v>63.1</v>
      </c>
      <c r="M1711" s="34" t="s">
        <v>822</v>
      </c>
      <c r="N1711" s="2" t="s">
        <v>24</v>
      </c>
      <c r="O1711" s="2" t="s">
        <v>24</v>
      </c>
      <c r="P1711" s="2" t="s">
        <v>24</v>
      </c>
      <c r="Q1711" s="2" t="s">
        <v>24</v>
      </c>
    </row>
    <row r="1712" customFormat="false" ht="15" hidden="false" customHeight="false" outlineLevel="0" collapsed="false">
      <c r="A1712" s="2" t="s">
        <v>540</v>
      </c>
      <c r="B1712" s="2" t="s">
        <v>47</v>
      </c>
      <c r="C1712" s="13" t="s">
        <v>2715</v>
      </c>
      <c r="D1712" s="29" t="n">
        <v>182920</v>
      </c>
      <c r="E1712" s="2" t="s">
        <v>827</v>
      </c>
      <c r="F1712" s="30" t="n">
        <v>0.722884321014651</v>
      </c>
      <c r="G1712" s="31" t="n">
        <v>23.3</v>
      </c>
      <c r="H1712" s="32" t="n">
        <v>0.105190018729986</v>
      </c>
      <c r="I1712" s="31" t="n">
        <v>62.1</v>
      </c>
      <c r="J1712" s="2" t="s">
        <v>2897</v>
      </c>
      <c r="K1712" s="33" t="n">
        <v>0.1615515771526</v>
      </c>
      <c r="L1712" s="31" t="n">
        <v>76.7</v>
      </c>
      <c r="M1712" s="34" t="s">
        <v>822</v>
      </c>
      <c r="N1712" s="2" t="s">
        <v>24</v>
      </c>
      <c r="O1712" s="2" t="s">
        <v>24</v>
      </c>
      <c r="P1712" s="2" t="s">
        <v>24</v>
      </c>
      <c r="Q1712" s="2" t="s">
        <v>24</v>
      </c>
    </row>
    <row r="1713" customFormat="false" ht="15" hidden="false" customHeight="false" outlineLevel="0" collapsed="false">
      <c r="A1713" s="2" t="s">
        <v>3303</v>
      </c>
      <c r="B1713" s="2" t="s">
        <v>46</v>
      </c>
      <c r="C1713" s="16"/>
      <c r="D1713" s="35"/>
      <c r="E1713" s="2"/>
      <c r="F1713" s="36"/>
      <c r="G1713" s="31"/>
      <c r="H1713" s="37"/>
      <c r="I1713" s="31"/>
      <c r="J1713" s="2"/>
      <c r="K1713" s="38"/>
      <c r="L1713" s="31"/>
      <c r="M1713" s="39" t="s">
        <v>832</v>
      </c>
      <c r="N1713" s="2"/>
      <c r="O1713" s="2"/>
      <c r="P1713" s="2"/>
      <c r="Q1713" s="2"/>
    </row>
    <row r="1714" customFormat="false" ht="15" hidden="false" customHeight="false" outlineLevel="0" collapsed="false">
      <c r="A1714" s="2" t="s">
        <v>1849</v>
      </c>
      <c r="B1714" s="2" t="s">
        <v>45</v>
      </c>
      <c r="C1714" s="13" t="s">
        <v>3304</v>
      </c>
      <c r="D1714" s="29" t="n">
        <v>230730</v>
      </c>
      <c r="E1714" s="2" t="s">
        <v>827</v>
      </c>
      <c r="F1714" s="47" t="n">
        <v>0.329326772813731</v>
      </c>
      <c r="G1714" s="31" t="n">
        <v>21.6</v>
      </c>
      <c r="H1714" s="32" t="n">
        <v>-0.0741914774095177</v>
      </c>
      <c r="I1714" s="31" t="n">
        <v>2.1</v>
      </c>
      <c r="J1714" s="2" t="s">
        <v>2890</v>
      </c>
      <c r="K1714" s="38"/>
      <c r="L1714" s="31"/>
      <c r="M1714" s="39" t="s">
        <v>832</v>
      </c>
      <c r="N1714" s="2" t="s">
        <v>24</v>
      </c>
      <c r="O1714" s="2" t="s">
        <v>19</v>
      </c>
      <c r="P1714" s="2" t="s">
        <v>24</v>
      </c>
      <c r="Q1714" s="2"/>
    </row>
    <row r="1715" customFormat="false" ht="15" hidden="false" customHeight="false" outlineLevel="0" collapsed="false">
      <c r="A1715" s="2" t="s">
        <v>1849</v>
      </c>
      <c r="B1715" s="2" t="s">
        <v>46</v>
      </c>
      <c r="C1715" s="13" t="s">
        <v>1850</v>
      </c>
      <c r="D1715" s="29" t="n">
        <v>20030</v>
      </c>
      <c r="E1715" s="2" t="s">
        <v>821</v>
      </c>
      <c r="F1715" s="30" t="n">
        <v>3.56979530703944</v>
      </c>
      <c r="G1715" s="31" t="n">
        <v>57.6</v>
      </c>
      <c r="H1715" s="32" t="n">
        <v>0.184506209343584</v>
      </c>
      <c r="I1715" s="31" t="n">
        <v>89.8</v>
      </c>
      <c r="J1715" s="2" t="s">
        <v>2884</v>
      </c>
      <c r="K1715" s="33" t="n">
        <v>0.0930546190155091</v>
      </c>
      <c r="L1715" s="31" t="n">
        <v>34.2</v>
      </c>
      <c r="M1715" s="34" t="s">
        <v>822</v>
      </c>
      <c r="N1715" s="2" t="s">
        <v>24</v>
      </c>
      <c r="O1715" s="2" t="s">
        <v>24</v>
      </c>
      <c r="P1715" s="2" t="s">
        <v>24</v>
      </c>
      <c r="Q1715" s="2" t="s">
        <v>24</v>
      </c>
    </row>
    <row r="1716" customFormat="false" ht="15" hidden="false" customHeight="false" outlineLevel="0" collapsed="false">
      <c r="A1716" s="2" t="s">
        <v>1849</v>
      </c>
      <c r="B1716" s="2" t="s">
        <v>47</v>
      </c>
      <c r="C1716" s="14" t="s">
        <v>2563</v>
      </c>
      <c r="D1716" s="42" t="n">
        <v>1059491</v>
      </c>
      <c r="E1716" s="2" t="s">
        <v>935</v>
      </c>
      <c r="F1716" s="43" t="n">
        <v>1.19648208432162</v>
      </c>
      <c r="G1716" s="31" t="n">
        <v>47.3</v>
      </c>
      <c r="H1716" s="41" t="n">
        <v>0.032104117248803</v>
      </c>
      <c r="I1716" s="31" t="n">
        <v>35.7</v>
      </c>
      <c r="J1716" s="2" t="s">
        <v>2922</v>
      </c>
      <c r="K1716" s="44" t="n">
        <v>0.134587227078937</v>
      </c>
      <c r="L1716" s="31" t="n">
        <v>69.5</v>
      </c>
      <c r="M1716" s="34" t="s">
        <v>822</v>
      </c>
      <c r="N1716" s="2" t="s">
        <v>22</v>
      </c>
      <c r="O1716" s="2" t="s">
        <v>22</v>
      </c>
      <c r="P1716" s="2" t="s">
        <v>22</v>
      </c>
      <c r="Q1716" s="2" t="s">
        <v>22</v>
      </c>
    </row>
    <row r="1717" customFormat="false" ht="15" hidden="false" customHeight="false" outlineLevel="0" collapsed="false">
      <c r="A1717" s="2" t="s">
        <v>458</v>
      </c>
      <c r="B1717" s="2" t="s">
        <v>45</v>
      </c>
      <c r="C1717" s="13" t="s">
        <v>1245</v>
      </c>
      <c r="D1717" s="29" t="n">
        <v>8810</v>
      </c>
      <c r="E1717" s="2" t="s">
        <v>825</v>
      </c>
      <c r="F1717" s="30" t="n">
        <v>0.546651532349603</v>
      </c>
      <c r="G1717" s="31" t="n">
        <v>48.2</v>
      </c>
      <c r="H1717" s="32" t="n">
        <v>0.0783353733170135</v>
      </c>
      <c r="I1717" s="31" t="n">
        <v>36.6</v>
      </c>
      <c r="J1717" s="2" t="s">
        <v>2899</v>
      </c>
      <c r="K1717" s="33" t="n">
        <v>0.153153153153153</v>
      </c>
      <c r="L1717" s="31" t="n">
        <v>59.2</v>
      </c>
      <c r="M1717" s="34" t="s">
        <v>822</v>
      </c>
      <c r="N1717" s="2" t="s">
        <v>24</v>
      </c>
      <c r="O1717" s="2" t="s">
        <v>24</v>
      </c>
      <c r="P1717" s="2" t="s">
        <v>24</v>
      </c>
      <c r="Q1717" s="2" t="s">
        <v>24</v>
      </c>
    </row>
    <row r="1718" customFormat="false" ht="15" hidden="false" customHeight="false" outlineLevel="0" collapsed="false">
      <c r="A1718" s="2" t="s">
        <v>458</v>
      </c>
      <c r="B1718" s="2" t="s">
        <v>46</v>
      </c>
      <c r="C1718" s="13" t="s">
        <v>1646</v>
      </c>
      <c r="D1718" s="29" t="n">
        <v>472070</v>
      </c>
      <c r="E1718" s="2" t="s">
        <v>827</v>
      </c>
      <c r="F1718" s="30" t="n">
        <v>9.61415679877984</v>
      </c>
      <c r="G1718" s="31" t="n">
        <v>93.1</v>
      </c>
      <c r="H1718" s="41" t="n">
        <v>0.0888674778776361</v>
      </c>
      <c r="I1718" s="31" t="n">
        <v>56.1</v>
      </c>
      <c r="J1718" s="2" t="s">
        <v>2888</v>
      </c>
      <c r="K1718" s="33" t="n">
        <v>0.169403894684437</v>
      </c>
      <c r="L1718" s="31" t="n">
        <v>61.4</v>
      </c>
      <c r="M1718" s="34" t="s">
        <v>822</v>
      </c>
      <c r="N1718" s="2" t="s">
        <v>24</v>
      </c>
      <c r="O1718" s="2" t="s">
        <v>24</v>
      </c>
      <c r="P1718" s="2" t="s">
        <v>22</v>
      </c>
      <c r="Q1718" s="2" t="s">
        <v>24</v>
      </c>
    </row>
    <row r="1719" customFormat="false" ht="15" hidden="false" customHeight="false" outlineLevel="0" collapsed="false">
      <c r="A1719" s="2" t="s">
        <v>458</v>
      </c>
      <c r="B1719" s="2" t="s">
        <v>47</v>
      </c>
      <c r="C1719" s="14" t="s">
        <v>2792</v>
      </c>
      <c r="D1719" s="42" t="n">
        <v>237354</v>
      </c>
      <c r="E1719" s="2" t="s">
        <v>827</v>
      </c>
      <c r="F1719" s="43" t="n">
        <v>0.49668427749269</v>
      </c>
      <c r="G1719" s="31" t="n">
        <v>13.1</v>
      </c>
      <c r="H1719" s="41" t="n">
        <v>0.182000627468166</v>
      </c>
      <c r="I1719" s="31" t="n">
        <v>93.8</v>
      </c>
      <c r="J1719" s="2" t="s">
        <v>2897</v>
      </c>
      <c r="K1719" s="44" t="n">
        <v>0.192753966374615</v>
      </c>
      <c r="L1719" s="31" t="n">
        <v>83</v>
      </c>
      <c r="M1719" s="34" t="s">
        <v>822</v>
      </c>
      <c r="N1719" s="2" t="s">
        <v>22</v>
      </c>
      <c r="O1719" s="2" t="s">
        <v>22</v>
      </c>
      <c r="P1719" s="2" t="s">
        <v>22</v>
      </c>
      <c r="Q1719" s="2" t="s">
        <v>22</v>
      </c>
    </row>
    <row r="1720" customFormat="false" ht="15" hidden="false" customHeight="false" outlineLevel="0" collapsed="false">
      <c r="A1720" s="2" t="s">
        <v>312</v>
      </c>
      <c r="B1720" s="2" t="s">
        <v>45</v>
      </c>
      <c r="C1720" s="13" t="s">
        <v>970</v>
      </c>
      <c r="D1720" s="29" t="n">
        <v>50050</v>
      </c>
      <c r="E1720" s="2" t="s">
        <v>821</v>
      </c>
      <c r="F1720" s="30" t="n">
        <v>1.17144855144855</v>
      </c>
      <c r="G1720" s="31" t="n">
        <v>82.8</v>
      </c>
      <c r="H1720" s="32" t="n">
        <v>-0.012625764450582</v>
      </c>
      <c r="I1720" s="31" t="n">
        <v>7.6</v>
      </c>
      <c r="J1720" s="2" t="s">
        <v>2883</v>
      </c>
      <c r="K1720" s="33" t="n">
        <v>0.297460701330109</v>
      </c>
      <c r="L1720" s="31" t="n">
        <v>90.2</v>
      </c>
      <c r="M1720" s="34" t="s">
        <v>822</v>
      </c>
      <c r="N1720" s="2" t="s">
        <v>24</v>
      </c>
      <c r="O1720" s="2" t="s">
        <v>24</v>
      </c>
      <c r="P1720" s="2" t="s">
        <v>24</v>
      </c>
      <c r="Q1720" s="2" t="s">
        <v>24</v>
      </c>
    </row>
    <row r="1721" customFormat="false" ht="15" hidden="false" customHeight="false" outlineLevel="0" collapsed="false">
      <c r="A1721" s="2" t="s">
        <v>312</v>
      </c>
      <c r="B1721" s="2" t="s">
        <v>46</v>
      </c>
      <c r="C1721" s="13" t="s">
        <v>1729</v>
      </c>
      <c r="D1721" s="29" t="n">
        <v>118500</v>
      </c>
      <c r="E1721" s="2" t="s">
        <v>827</v>
      </c>
      <c r="F1721" s="30" t="n">
        <v>5.59275105485232</v>
      </c>
      <c r="G1721" s="31" t="n">
        <v>77.4</v>
      </c>
      <c r="H1721" s="32" t="n">
        <v>0.0828840354564562</v>
      </c>
      <c r="I1721" s="31" t="n">
        <v>53.5</v>
      </c>
      <c r="J1721" s="2" t="s">
        <v>2888</v>
      </c>
      <c r="K1721" s="33" t="n">
        <v>0.0858208955223881</v>
      </c>
      <c r="L1721" s="31" t="n">
        <v>29.8</v>
      </c>
      <c r="M1721" s="34" t="s">
        <v>822</v>
      </c>
      <c r="N1721" s="2" t="s">
        <v>24</v>
      </c>
      <c r="O1721" s="2" t="s">
        <v>24</v>
      </c>
      <c r="P1721" s="2" t="s">
        <v>24</v>
      </c>
      <c r="Q1721" s="2" t="s">
        <v>24</v>
      </c>
    </row>
    <row r="1722" customFormat="false" ht="15" hidden="false" customHeight="false" outlineLevel="0" collapsed="false">
      <c r="A1722" s="2" t="s">
        <v>312</v>
      </c>
      <c r="B1722" s="2" t="s">
        <v>47</v>
      </c>
      <c r="C1722" s="14" t="s">
        <v>2686</v>
      </c>
      <c r="D1722" s="42" t="n">
        <v>54567</v>
      </c>
      <c r="E1722" s="2" t="s">
        <v>821</v>
      </c>
      <c r="F1722" s="43" t="n">
        <v>0.78536478091154</v>
      </c>
      <c r="G1722" s="31" t="n">
        <v>27.9</v>
      </c>
      <c r="H1722" s="41" t="n">
        <v>-0.0473970880904996</v>
      </c>
      <c r="I1722" s="31" t="n">
        <v>2.6</v>
      </c>
      <c r="J1722" s="2" t="s">
        <v>2886</v>
      </c>
      <c r="K1722" s="44" t="n">
        <v>0.0115194733955019</v>
      </c>
      <c r="L1722" s="31" t="n">
        <v>7.9</v>
      </c>
      <c r="M1722" s="34" t="s">
        <v>822</v>
      </c>
      <c r="N1722" s="2" t="s">
        <v>22</v>
      </c>
      <c r="O1722" s="2" t="s">
        <v>22</v>
      </c>
      <c r="P1722" s="2" t="s">
        <v>22</v>
      </c>
      <c r="Q1722" s="2" t="s">
        <v>22</v>
      </c>
    </row>
    <row r="1723" customFormat="false" ht="15" hidden="false" customHeight="false" outlineLevel="0" collapsed="false">
      <c r="A1723" s="2" t="s">
        <v>2679</v>
      </c>
      <c r="B1723" s="2" t="s">
        <v>46</v>
      </c>
      <c r="C1723" s="13" t="s">
        <v>3305</v>
      </c>
      <c r="D1723" s="29" t="n">
        <v>106460</v>
      </c>
      <c r="E1723" s="2" t="s">
        <v>827</v>
      </c>
      <c r="F1723" s="30" t="n">
        <v>4.32849896674807</v>
      </c>
      <c r="G1723" s="31" t="n">
        <v>68.4</v>
      </c>
      <c r="H1723" s="32" t="n">
        <v>0.122995780590717</v>
      </c>
      <c r="I1723" s="31" t="n">
        <v>72.6</v>
      </c>
      <c r="J1723" s="2" t="s">
        <v>2888</v>
      </c>
      <c r="K1723" s="38"/>
      <c r="L1723" s="31"/>
      <c r="M1723" s="39" t="s">
        <v>832</v>
      </c>
      <c r="N1723" s="2" t="s">
        <v>24</v>
      </c>
      <c r="O1723" s="2" t="s">
        <v>24</v>
      </c>
      <c r="P1723" s="2" t="s">
        <v>24</v>
      </c>
      <c r="Q1723" s="2"/>
    </row>
    <row r="1724" customFormat="false" ht="15" hidden="false" customHeight="false" outlineLevel="0" collapsed="false">
      <c r="A1724" s="2" t="s">
        <v>2679</v>
      </c>
      <c r="B1724" s="2" t="s">
        <v>47</v>
      </c>
      <c r="C1724" s="14" t="s">
        <v>2680</v>
      </c>
      <c r="D1724" s="42" t="n">
        <v>45000</v>
      </c>
      <c r="E1724" s="2" t="s">
        <v>821</v>
      </c>
      <c r="F1724" s="43" t="n">
        <v>0.802644444444445</v>
      </c>
      <c r="G1724" s="31" t="n">
        <v>28.7</v>
      </c>
      <c r="H1724" s="41" t="n">
        <v>0.161890007745933</v>
      </c>
      <c r="I1724" s="31" t="n">
        <v>82.5</v>
      </c>
      <c r="J1724" s="2" t="s">
        <v>2886</v>
      </c>
      <c r="K1724" s="44" t="n">
        <v>0.0202821869488536</v>
      </c>
      <c r="L1724" s="31" t="n">
        <v>13.8</v>
      </c>
      <c r="M1724" s="34" t="s">
        <v>822</v>
      </c>
      <c r="N1724" s="2" t="s">
        <v>22</v>
      </c>
      <c r="O1724" s="2" t="s">
        <v>22</v>
      </c>
      <c r="P1724" s="2" t="s">
        <v>22</v>
      </c>
      <c r="Q1724" s="2" t="s">
        <v>22</v>
      </c>
    </row>
    <row r="1725" customFormat="false" ht="15" hidden="false" customHeight="false" outlineLevel="0" collapsed="false">
      <c r="A1725" s="2" t="s">
        <v>294</v>
      </c>
      <c r="B1725" s="2" t="s">
        <v>45</v>
      </c>
      <c r="C1725" s="13" t="s">
        <v>967</v>
      </c>
      <c r="D1725" s="29" t="n">
        <v>138490</v>
      </c>
      <c r="E1725" s="2" t="s">
        <v>827</v>
      </c>
      <c r="F1725" s="30" t="n">
        <v>1.18178929886634</v>
      </c>
      <c r="G1725" s="31" t="n">
        <v>83.4</v>
      </c>
      <c r="H1725" s="32" t="n">
        <v>0.117125110913931</v>
      </c>
      <c r="I1725" s="31" t="n">
        <v>67.9</v>
      </c>
      <c r="J1725" s="2" t="s">
        <v>2890</v>
      </c>
      <c r="K1725" s="33" t="n">
        <v>0.380393068961507</v>
      </c>
      <c r="L1725" s="31" t="n">
        <v>97.2</v>
      </c>
      <c r="M1725" s="34" t="s">
        <v>822</v>
      </c>
      <c r="N1725" s="2" t="s">
        <v>24</v>
      </c>
      <c r="O1725" s="2" t="s">
        <v>24</v>
      </c>
      <c r="P1725" s="2" t="s">
        <v>24</v>
      </c>
      <c r="Q1725" s="2" t="s">
        <v>24</v>
      </c>
    </row>
    <row r="1726" customFormat="false" ht="15" hidden="false" customHeight="false" outlineLevel="0" collapsed="false">
      <c r="A1726" s="2" t="s">
        <v>294</v>
      </c>
      <c r="B1726" s="2" t="s">
        <v>46</v>
      </c>
      <c r="C1726" s="14" t="s">
        <v>1697</v>
      </c>
      <c r="D1726" s="42" t="n">
        <v>7685</v>
      </c>
      <c r="E1726" s="2" t="s">
        <v>825</v>
      </c>
      <c r="F1726" s="43" t="n">
        <v>6.55901106050748</v>
      </c>
      <c r="G1726" s="31" t="n">
        <v>83.7</v>
      </c>
      <c r="H1726" s="41" t="n">
        <v>0.0986418870621873</v>
      </c>
      <c r="I1726" s="31" t="n">
        <v>41.5</v>
      </c>
      <c r="J1726" s="2" t="s">
        <v>2905</v>
      </c>
      <c r="K1726" s="44" t="n">
        <v>0.317127071823204</v>
      </c>
      <c r="L1726" s="31" t="n">
        <v>91.6</v>
      </c>
      <c r="M1726" s="34" t="s">
        <v>822</v>
      </c>
      <c r="N1726" s="2" t="s">
        <v>22</v>
      </c>
      <c r="O1726" s="2" t="s">
        <v>22</v>
      </c>
      <c r="P1726" s="2" t="s">
        <v>22</v>
      </c>
      <c r="Q1726" s="2" t="s">
        <v>22</v>
      </c>
    </row>
    <row r="1727" customFormat="false" ht="15" hidden="false" customHeight="false" outlineLevel="0" collapsed="false">
      <c r="A1727" s="2" t="s">
        <v>294</v>
      </c>
      <c r="B1727" s="2" t="s">
        <v>47</v>
      </c>
      <c r="C1727" s="14" t="s">
        <v>2703</v>
      </c>
      <c r="D1727" s="42" t="n">
        <v>58214</v>
      </c>
      <c r="E1727" s="2" t="s">
        <v>821</v>
      </c>
      <c r="F1727" s="43" t="n">
        <v>0.750644174940736</v>
      </c>
      <c r="G1727" s="31" t="n">
        <v>25</v>
      </c>
      <c r="H1727" s="41" t="n">
        <v>0.103269212546195</v>
      </c>
      <c r="I1727" s="31" t="n">
        <v>54.9</v>
      </c>
      <c r="J1727" s="2" t="s">
        <v>2886</v>
      </c>
      <c r="K1727" s="44" t="n">
        <v>0.0412903225806452</v>
      </c>
      <c r="L1727" s="31" t="n">
        <v>26.5</v>
      </c>
      <c r="M1727" s="34" t="s">
        <v>822</v>
      </c>
      <c r="N1727" s="2" t="s">
        <v>22</v>
      </c>
      <c r="O1727" s="2" t="s">
        <v>22</v>
      </c>
      <c r="P1727" s="2" t="s">
        <v>22</v>
      </c>
      <c r="Q1727" s="2" t="s">
        <v>22</v>
      </c>
    </row>
    <row r="1728" customFormat="false" ht="15" hidden="false" customHeight="false" outlineLevel="0" collapsed="false">
      <c r="A1728" s="2" t="s">
        <v>168</v>
      </c>
      <c r="B1728" s="2" t="s">
        <v>45</v>
      </c>
      <c r="C1728" s="13" t="s">
        <v>1055</v>
      </c>
      <c r="D1728" s="29" t="n">
        <v>15640</v>
      </c>
      <c r="E1728" s="2" t="s">
        <v>821</v>
      </c>
      <c r="F1728" s="30" t="n">
        <v>0.859015345268542</v>
      </c>
      <c r="G1728" s="31" t="n">
        <v>72.6</v>
      </c>
      <c r="H1728" s="32" t="n">
        <v>0.102184637068358</v>
      </c>
      <c r="I1728" s="31" t="n">
        <v>53.6</v>
      </c>
      <c r="J1728" s="2" t="s">
        <v>2883</v>
      </c>
      <c r="K1728" s="33" t="n">
        <v>0.0812720848056537</v>
      </c>
      <c r="L1728" s="31" t="n">
        <v>26.3</v>
      </c>
      <c r="M1728" s="34" t="s">
        <v>822</v>
      </c>
      <c r="N1728" s="2" t="s">
        <v>24</v>
      </c>
      <c r="O1728" s="2" t="s">
        <v>24</v>
      </c>
      <c r="P1728" s="2" t="s">
        <v>24</v>
      </c>
      <c r="Q1728" s="2" t="s">
        <v>24</v>
      </c>
    </row>
    <row r="1729" customFormat="false" ht="15" hidden="false" customHeight="false" outlineLevel="0" collapsed="false">
      <c r="A1729" s="2" t="s">
        <v>168</v>
      </c>
      <c r="B1729" s="2" t="s">
        <v>46</v>
      </c>
      <c r="C1729" s="14" t="s">
        <v>1649</v>
      </c>
      <c r="D1729" s="42" t="n">
        <v>70279</v>
      </c>
      <c r="E1729" s="2" t="s">
        <v>821</v>
      </c>
      <c r="F1729" s="43" t="n">
        <v>9.27064983850083</v>
      </c>
      <c r="G1729" s="31" t="n">
        <v>92.1</v>
      </c>
      <c r="H1729" s="41" t="n">
        <v>0.0723069880988709</v>
      </c>
      <c r="I1729" s="31" t="n">
        <v>42.5</v>
      </c>
      <c r="J1729" s="2" t="s">
        <v>2884</v>
      </c>
      <c r="K1729" s="44" t="n">
        <v>0.103629528593766</v>
      </c>
      <c r="L1729" s="31" t="n">
        <v>38.4</v>
      </c>
      <c r="M1729" s="34" t="s">
        <v>822</v>
      </c>
      <c r="N1729" s="2" t="s">
        <v>22</v>
      </c>
      <c r="O1729" s="2" t="s">
        <v>22</v>
      </c>
      <c r="P1729" s="2" t="s">
        <v>22</v>
      </c>
      <c r="Q1729" s="2" t="s">
        <v>22</v>
      </c>
    </row>
    <row r="1730" customFormat="false" ht="15" hidden="false" customHeight="false" outlineLevel="0" collapsed="false">
      <c r="A1730" s="2" t="s">
        <v>168</v>
      </c>
      <c r="B1730" s="2" t="s">
        <v>47</v>
      </c>
      <c r="C1730" s="14" t="s">
        <v>2370</v>
      </c>
      <c r="D1730" s="42" t="n">
        <v>397976</v>
      </c>
      <c r="E1730" s="2" t="s">
        <v>827</v>
      </c>
      <c r="F1730" s="43" t="n">
        <v>1.94753955012363</v>
      </c>
      <c r="G1730" s="31" t="n">
        <v>75.7</v>
      </c>
      <c r="H1730" s="41" t="n">
        <v>0.157280401524911</v>
      </c>
      <c r="I1730" s="31" t="n">
        <v>85.1</v>
      </c>
      <c r="J1730" s="2" t="s">
        <v>2897</v>
      </c>
      <c r="K1730" s="44" t="n">
        <v>0.0245750347179496</v>
      </c>
      <c r="L1730" s="31" t="n">
        <v>16.1</v>
      </c>
      <c r="M1730" s="34" t="s">
        <v>822</v>
      </c>
      <c r="N1730" s="2" t="s">
        <v>22</v>
      </c>
      <c r="O1730" s="2" t="s">
        <v>22</v>
      </c>
      <c r="P1730" s="2" t="s">
        <v>22</v>
      </c>
      <c r="Q1730" s="2" t="s">
        <v>22</v>
      </c>
    </row>
    <row r="1731" customFormat="false" ht="15" hidden="false" customHeight="false" outlineLevel="0" collapsed="false">
      <c r="A1731" s="2" t="s">
        <v>3306</v>
      </c>
      <c r="B1731" s="2" t="s">
        <v>45</v>
      </c>
      <c r="C1731" s="13" t="s">
        <v>3307</v>
      </c>
      <c r="D1731" s="35"/>
      <c r="E1731" s="2"/>
      <c r="F1731" s="36"/>
      <c r="G1731" s="31"/>
      <c r="H1731" s="37"/>
      <c r="I1731" s="31"/>
      <c r="J1731" s="2"/>
      <c r="K1731" s="33" t="n">
        <v>0.231784800726133</v>
      </c>
      <c r="L1731" s="31" t="n">
        <v>79</v>
      </c>
      <c r="M1731" s="39" t="s">
        <v>832</v>
      </c>
      <c r="N1731" s="2"/>
      <c r="O1731" s="2"/>
      <c r="P1731" s="2"/>
      <c r="Q1731" s="2" t="s">
        <v>24</v>
      </c>
    </row>
    <row r="1732" customFormat="false" ht="15" hidden="false" customHeight="false" outlineLevel="0" collapsed="false">
      <c r="A1732" s="2" t="s">
        <v>3306</v>
      </c>
      <c r="B1732" s="2" t="s">
        <v>46</v>
      </c>
      <c r="C1732" s="16"/>
      <c r="D1732" s="35"/>
      <c r="E1732" s="2"/>
      <c r="F1732" s="36"/>
      <c r="G1732" s="31"/>
      <c r="H1732" s="37"/>
      <c r="I1732" s="31"/>
      <c r="J1732" s="2"/>
      <c r="K1732" s="38"/>
      <c r="L1732" s="31"/>
      <c r="M1732" s="39" t="s">
        <v>832</v>
      </c>
      <c r="N1732" s="2"/>
      <c r="O1732" s="2"/>
      <c r="P1732" s="2"/>
      <c r="Q1732" s="2"/>
    </row>
    <row r="1733" customFormat="false" ht="15" hidden="false" customHeight="false" outlineLevel="0" collapsed="false">
      <c r="A1733" s="2" t="s">
        <v>122</v>
      </c>
      <c r="B1733" s="2" t="s">
        <v>45</v>
      </c>
      <c r="C1733" s="13" t="s">
        <v>913</v>
      </c>
      <c r="D1733" s="29" t="n">
        <v>33210</v>
      </c>
      <c r="E1733" s="2" t="s">
        <v>821</v>
      </c>
      <c r="F1733" s="30" t="n">
        <v>1.51604938271605</v>
      </c>
      <c r="G1733" s="31" t="n">
        <v>89.8</v>
      </c>
      <c r="H1733" s="32" t="n">
        <v>0.16813225466057</v>
      </c>
      <c r="I1733" s="31" t="n">
        <v>81.8</v>
      </c>
      <c r="J1733" s="2" t="s">
        <v>2883</v>
      </c>
      <c r="K1733" s="33" t="n">
        <v>0.153196622436671</v>
      </c>
      <c r="L1733" s="31" t="n">
        <v>59.4</v>
      </c>
      <c r="M1733" s="34" t="s">
        <v>822</v>
      </c>
      <c r="N1733" s="2" t="s">
        <v>24</v>
      </c>
      <c r="O1733" s="2" t="s">
        <v>24</v>
      </c>
      <c r="P1733" s="2" t="s">
        <v>24</v>
      </c>
      <c r="Q1733" s="2" t="s">
        <v>24</v>
      </c>
    </row>
    <row r="1734" customFormat="false" ht="15" hidden="false" customHeight="false" outlineLevel="0" collapsed="false">
      <c r="A1734" s="2" t="s">
        <v>1571</v>
      </c>
      <c r="B1734" s="2" t="s">
        <v>45</v>
      </c>
      <c r="C1734" s="13" t="s">
        <v>1572</v>
      </c>
      <c r="D1734" s="29" t="n">
        <v>13630</v>
      </c>
      <c r="E1734" s="2" t="s">
        <v>821</v>
      </c>
      <c r="F1734" s="30" t="n">
        <v>0.13969185619956</v>
      </c>
      <c r="G1734" s="31" t="n">
        <v>4.3</v>
      </c>
      <c r="H1734" s="32" t="n">
        <v>0.122734761120264</v>
      </c>
      <c r="I1734" s="31" t="n">
        <v>66.7</v>
      </c>
      <c r="J1734" s="2" t="s">
        <v>2883</v>
      </c>
      <c r="K1734" s="33" t="n">
        <v>0.1125</v>
      </c>
      <c r="L1734" s="31" t="n">
        <v>40.6</v>
      </c>
      <c r="M1734" s="34" t="s">
        <v>822</v>
      </c>
      <c r="N1734" s="2" t="s">
        <v>24</v>
      </c>
      <c r="O1734" s="2" t="s">
        <v>24</v>
      </c>
      <c r="P1734" s="2" t="s">
        <v>24</v>
      </c>
      <c r="Q1734" s="2" t="s">
        <v>24</v>
      </c>
    </row>
    <row r="1735" customFormat="false" ht="15" hidden="false" customHeight="false" outlineLevel="0" collapsed="false">
      <c r="A1735" s="2" t="s">
        <v>1571</v>
      </c>
      <c r="B1735" s="2" t="s">
        <v>46</v>
      </c>
      <c r="C1735" s="13" t="s">
        <v>3308</v>
      </c>
      <c r="D1735" s="29" t="n">
        <v>278840</v>
      </c>
      <c r="E1735" s="2" t="s">
        <v>827</v>
      </c>
      <c r="F1735" s="30" t="n">
        <v>7.16000932434371</v>
      </c>
      <c r="G1735" s="31" t="n">
        <v>86.6</v>
      </c>
      <c r="H1735" s="32" t="n">
        <v>0.100959450388913</v>
      </c>
      <c r="I1735" s="31" t="n">
        <v>62.4</v>
      </c>
      <c r="J1735" s="2" t="s">
        <v>2888</v>
      </c>
      <c r="K1735" s="38"/>
      <c r="L1735" s="31"/>
      <c r="M1735" s="39" t="s">
        <v>832</v>
      </c>
      <c r="N1735" s="2" t="s">
        <v>24</v>
      </c>
      <c r="O1735" s="2" t="s">
        <v>24</v>
      </c>
      <c r="P1735" s="2" t="s">
        <v>24</v>
      </c>
      <c r="Q1735" s="2"/>
    </row>
    <row r="1736" customFormat="false" ht="15" hidden="false" customHeight="false" outlineLevel="0" collapsed="false">
      <c r="A1736" s="2" t="s">
        <v>1571</v>
      </c>
      <c r="B1736" s="2" t="s">
        <v>47</v>
      </c>
      <c r="C1736" s="14" t="s">
        <v>2463</v>
      </c>
      <c r="D1736" s="42" t="n">
        <v>3895</v>
      </c>
      <c r="E1736" s="2" t="s">
        <v>825</v>
      </c>
      <c r="F1736" s="43" t="n">
        <v>1.54094993581515</v>
      </c>
      <c r="G1736" s="31" t="n">
        <v>61.6</v>
      </c>
      <c r="H1736" s="41" t="n">
        <v>0.1875</v>
      </c>
      <c r="I1736" s="31" t="n">
        <v>81.2</v>
      </c>
      <c r="J1736" s="2" t="s">
        <v>2889</v>
      </c>
      <c r="K1736" s="44" t="n">
        <v>0.26027397260274</v>
      </c>
      <c r="L1736" s="31" t="n">
        <v>93.5</v>
      </c>
      <c r="M1736" s="34" t="s">
        <v>822</v>
      </c>
      <c r="N1736" s="2" t="s">
        <v>22</v>
      </c>
      <c r="O1736" s="2" t="s">
        <v>22</v>
      </c>
      <c r="P1736" s="2" t="s">
        <v>22</v>
      </c>
      <c r="Q1736" s="2" t="s">
        <v>22</v>
      </c>
    </row>
    <row r="1737" customFormat="false" ht="15" hidden="false" customHeight="false" outlineLevel="0" collapsed="false">
      <c r="A1737" s="2" t="s">
        <v>3309</v>
      </c>
      <c r="B1737" s="2" t="s">
        <v>46</v>
      </c>
      <c r="C1737" s="15" t="s">
        <v>3310</v>
      </c>
      <c r="D1737" s="46" t="n">
        <v>49681</v>
      </c>
      <c r="E1737" s="2" t="s">
        <v>821</v>
      </c>
      <c r="F1737" s="36"/>
      <c r="G1737" s="31"/>
      <c r="H1737" s="48" t="n">
        <v>0.204125160571027</v>
      </c>
      <c r="I1737" s="31" t="n">
        <v>95.3</v>
      </c>
      <c r="J1737" s="2" t="s">
        <v>2884</v>
      </c>
      <c r="K1737" s="38"/>
      <c r="L1737" s="31"/>
      <c r="M1737" s="39" t="s">
        <v>832</v>
      </c>
      <c r="N1737" s="2" t="s">
        <v>19</v>
      </c>
      <c r="O1737" s="2"/>
      <c r="P1737" s="2" t="s">
        <v>19</v>
      </c>
      <c r="Q1737" s="2"/>
    </row>
    <row r="1738" customFormat="false" ht="15" hidden="false" customHeight="false" outlineLevel="0" collapsed="false">
      <c r="A1738" s="2" t="s">
        <v>1108</v>
      </c>
      <c r="B1738" s="2" t="s">
        <v>45</v>
      </c>
      <c r="C1738" s="13" t="s">
        <v>1109</v>
      </c>
      <c r="D1738" s="29" t="n">
        <v>23860</v>
      </c>
      <c r="E1738" s="2" t="s">
        <v>821</v>
      </c>
      <c r="F1738" s="30" t="n">
        <v>0.748491198658843</v>
      </c>
      <c r="G1738" s="31" t="n">
        <v>65.4</v>
      </c>
      <c r="H1738" s="32" t="n">
        <v>0.06233303650935</v>
      </c>
      <c r="I1738" s="31" t="n">
        <v>34.7</v>
      </c>
      <c r="J1738" s="2" t="s">
        <v>2883</v>
      </c>
      <c r="K1738" s="33" t="n">
        <v>0.0933572710951526</v>
      </c>
      <c r="L1738" s="31" t="n">
        <v>33.6</v>
      </c>
      <c r="M1738" s="34" t="s">
        <v>822</v>
      </c>
      <c r="N1738" s="2" t="s">
        <v>24</v>
      </c>
      <c r="O1738" s="2" t="s">
        <v>24</v>
      </c>
      <c r="P1738" s="2" t="s">
        <v>24</v>
      </c>
      <c r="Q1738" s="2" t="s">
        <v>24</v>
      </c>
    </row>
    <row r="1739" customFormat="false" ht="15" hidden="false" customHeight="false" outlineLevel="0" collapsed="false">
      <c r="A1739" s="2" t="s">
        <v>1108</v>
      </c>
      <c r="B1739" s="2" t="s">
        <v>46</v>
      </c>
      <c r="C1739" s="16"/>
      <c r="D1739" s="35"/>
      <c r="E1739" s="2"/>
      <c r="F1739" s="36"/>
      <c r="G1739" s="31"/>
      <c r="H1739" s="37"/>
      <c r="I1739" s="31"/>
      <c r="J1739" s="2"/>
      <c r="K1739" s="38"/>
      <c r="L1739" s="31"/>
      <c r="M1739" s="39" t="s">
        <v>832</v>
      </c>
      <c r="N1739" s="2"/>
      <c r="O1739" s="2"/>
      <c r="P1739" s="2"/>
      <c r="Q1739" s="2"/>
    </row>
    <row r="1740" customFormat="false" ht="15" hidden="false" customHeight="false" outlineLevel="0" collapsed="false">
      <c r="A1740" s="2" t="s">
        <v>1108</v>
      </c>
      <c r="B1740" s="2" t="s">
        <v>47</v>
      </c>
      <c r="C1740" s="13" t="s">
        <v>2651</v>
      </c>
      <c r="D1740" s="29" t="n">
        <v>19180</v>
      </c>
      <c r="E1740" s="2" t="s">
        <v>821</v>
      </c>
      <c r="F1740" s="30" t="n">
        <v>0.880344108446298</v>
      </c>
      <c r="G1740" s="31" t="n">
        <v>33.5</v>
      </c>
      <c r="H1740" s="32" t="n">
        <v>0.0691192865105909</v>
      </c>
      <c r="I1740" s="31" t="n">
        <v>35.4</v>
      </c>
      <c r="J1740" s="2" t="s">
        <v>2886</v>
      </c>
      <c r="K1740" s="33" t="n">
        <v>0.0885750962772786</v>
      </c>
      <c r="L1740" s="31" t="n">
        <v>53.6</v>
      </c>
      <c r="M1740" s="34" t="s">
        <v>822</v>
      </c>
      <c r="N1740" s="2" t="s">
        <v>24</v>
      </c>
      <c r="O1740" s="2" t="s">
        <v>24</v>
      </c>
      <c r="P1740" s="2" t="s">
        <v>24</v>
      </c>
      <c r="Q1740" s="2" t="s">
        <v>24</v>
      </c>
    </row>
    <row r="1741" customFormat="false" ht="15" hidden="false" customHeight="false" outlineLevel="0" collapsed="false">
      <c r="A1741" s="2" t="s">
        <v>602</v>
      </c>
      <c r="B1741" s="2" t="s">
        <v>45</v>
      </c>
      <c r="C1741" s="13" t="s">
        <v>902</v>
      </c>
      <c r="D1741" s="29" t="n">
        <v>74520</v>
      </c>
      <c r="E1741" s="2" t="s">
        <v>821</v>
      </c>
      <c r="F1741" s="30" t="n">
        <v>1.57946859903382</v>
      </c>
      <c r="G1741" s="31" t="n">
        <v>90.7</v>
      </c>
      <c r="H1741" s="32" t="n">
        <v>0.238079415185247</v>
      </c>
      <c r="I1741" s="31" t="n">
        <v>97.3</v>
      </c>
      <c r="J1741" s="2" t="s">
        <v>2883</v>
      </c>
      <c r="K1741" s="33" t="n">
        <v>0.296181818181818</v>
      </c>
      <c r="L1741" s="31" t="n">
        <v>89.7</v>
      </c>
      <c r="M1741" s="34" t="s">
        <v>822</v>
      </c>
      <c r="N1741" s="2" t="s">
        <v>24</v>
      </c>
      <c r="O1741" s="2" t="s">
        <v>24</v>
      </c>
      <c r="P1741" s="2" t="s">
        <v>24</v>
      </c>
      <c r="Q1741" s="2" t="s">
        <v>24</v>
      </c>
    </row>
    <row r="1742" customFormat="false" ht="15" hidden="false" customHeight="false" outlineLevel="0" collapsed="false">
      <c r="A1742" s="2" t="s">
        <v>602</v>
      </c>
      <c r="B1742" s="2" t="s">
        <v>46</v>
      </c>
      <c r="C1742" s="14" t="s">
        <v>2114</v>
      </c>
      <c r="D1742" s="42" t="n">
        <v>35052</v>
      </c>
      <c r="E1742" s="2" t="s">
        <v>821</v>
      </c>
      <c r="F1742" s="43" t="n">
        <v>1.45851877211001</v>
      </c>
      <c r="G1742" s="31" t="n">
        <v>15.1</v>
      </c>
      <c r="H1742" s="41" t="n">
        <v>0.00718349520142521</v>
      </c>
      <c r="I1742" s="31" t="n">
        <v>14.2</v>
      </c>
      <c r="J1742" s="2" t="s">
        <v>2884</v>
      </c>
      <c r="K1742" s="44" t="n">
        <v>0.0197706603400554</v>
      </c>
      <c r="L1742" s="31" t="n">
        <v>3.3</v>
      </c>
      <c r="M1742" s="34" t="s">
        <v>822</v>
      </c>
      <c r="N1742" s="2" t="s">
        <v>22</v>
      </c>
      <c r="O1742" s="2" t="s">
        <v>22</v>
      </c>
      <c r="P1742" s="2" t="s">
        <v>22</v>
      </c>
      <c r="Q1742" s="2" t="s">
        <v>22</v>
      </c>
    </row>
    <row r="1743" customFormat="false" ht="15" hidden="false" customHeight="false" outlineLevel="0" collapsed="false">
      <c r="A1743" s="2" t="s">
        <v>602</v>
      </c>
      <c r="B1743" s="2" t="s">
        <v>47</v>
      </c>
      <c r="C1743" s="14" t="s">
        <v>2808</v>
      </c>
      <c r="D1743" s="42" t="n">
        <v>178155</v>
      </c>
      <c r="E1743" s="2" t="s">
        <v>827</v>
      </c>
      <c r="F1743" s="43" t="n">
        <v>0.454396452527294</v>
      </c>
      <c r="G1743" s="31" t="n">
        <v>10.2</v>
      </c>
      <c r="H1743" s="41" t="n">
        <v>0.161845074280348</v>
      </c>
      <c r="I1743" s="31" t="n">
        <v>86.3</v>
      </c>
      <c r="J1743" s="2" t="s">
        <v>2897</v>
      </c>
      <c r="K1743" s="44" t="n">
        <v>0.256524981357196</v>
      </c>
      <c r="L1743" s="31" t="n">
        <v>93</v>
      </c>
      <c r="M1743" s="34" t="s">
        <v>822</v>
      </c>
      <c r="N1743" s="2" t="s">
        <v>22</v>
      </c>
      <c r="O1743" s="2" t="s">
        <v>22</v>
      </c>
      <c r="P1743" s="2" t="s">
        <v>22</v>
      </c>
      <c r="Q1743" s="2" t="s">
        <v>22</v>
      </c>
    </row>
    <row r="1744" customFormat="false" ht="15" hidden="false" customHeight="false" outlineLevel="0" collapsed="false">
      <c r="A1744" s="2" t="s">
        <v>2295</v>
      </c>
      <c r="B1744" s="2" t="s">
        <v>46</v>
      </c>
      <c r="C1744" s="16"/>
      <c r="D1744" s="35"/>
      <c r="E1744" s="2"/>
      <c r="F1744" s="36"/>
      <c r="G1744" s="31"/>
      <c r="H1744" s="37"/>
      <c r="I1744" s="31"/>
      <c r="J1744" s="2"/>
      <c r="K1744" s="38"/>
      <c r="L1744" s="31"/>
      <c r="M1744" s="39" t="s">
        <v>832</v>
      </c>
      <c r="N1744" s="2"/>
      <c r="O1744" s="2"/>
      <c r="P1744" s="2"/>
      <c r="Q1744" s="2"/>
    </row>
    <row r="1745" customFormat="false" ht="15" hidden="false" customHeight="false" outlineLevel="0" collapsed="false">
      <c r="A1745" s="2" t="s">
        <v>2295</v>
      </c>
      <c r="B1745" s="2" t="s">
        <v>47</v>
      </c>
      <c r="C1745" s="14" t="s">
        <v>2296</v>
      </c>
      <c r="D1745" s="42" t="n">
        <v>228201</v>
      </c>
      <c r="E1745" s="2" t="s">
        <v>827</v>
      </c>
      <c r="F1745" s="43" t="n">
        <v>2.82130227299617</v>
      </c>
      <c r="G1745" s="31" t="n">
        <v>88.4</v>
      </c>
      <c r="H1745" s="41" t="n">
        <v>0.0565056760310376</v>
      </c>
      <c r="I1745" s="31" t="n">
        <v>36</v>
      </c>
      <c r="J1745" s="2" t="s">
        <v>2897</v>
      </c>
      <c r="K1745" s="44" t="n">
        <v>0.141972405142678</v>
      </c>
      <c r="L1745" s="31" t="n">
        <v>71.5</v>
      </c>
      <c r="M1745" s="34" t="s">
        <v>822</v>
      </c>
      <c r="N1745" s="2" t="s">
        <v>22</v>
      </c>
      <c r="O1745" s="2" t="s">
        <v>22</v>
      </c>
      <c r="P1745" s="2" t="s">
        <v>22</v>
      </c>
      <c r="Q1745" s="2" t="s">
        <v>22</v>
      </c>
    </row>
    <row r="1746" customFormat="false" ht="15" hidden="false" customHeight="false" outlineLevel="0" collapsed="false">
      <c r="A1746" s="2" t="s">
        <v>170</v>
      </c>
      <c r="B1746" s="2" t="s">
        <v>45</v>
      </c>
      <c r="C1746" s="13" t="s">
        <v>969</v>
      </c>
      <c r="D1746" s="29" t="n">
        <v>19820</v>
      </c>
      <c r="E1746" s="2" t="s">
        <v>821</v>
      </c>
      <c r="F1746" s="30" t="n">
        <v>1.17315842583249</v>
      </c>
      <c r="G1746" s="31" t="n">
        <v>83</v>
      </c>
      <c r="H1746" s="32" t="n">
        <v>-0.075990675990676</v>
      </c>
      <c r="I1746" s="31" t="n">
        <v>2.1</v>
      </c>
      <c r="J1746" s="2" t="s">
        <v>2883</v>
      </c>
      <c r="K1746" s="33" t="n">
        <v>0.270440251572327</v>
      </c>
      <c r="L1746" s="31" t="n">
        <v>85.5</v>
      </c>
      <c r="M1746" s="34" t="s">
        <v>822</v>
      </c>
      <c r="N1746" s="2" t="s">
        <v>24</v>
      </c>
      <c r="O1746" s="2" t="s">
        <v>24</v>
      </c>
      <c r="P1746" s="2" t="s">
        <v>24</v>
      </c>
      <c r="Q1746" s="2" t="s">
        <v>24</v>
      </c>
    </row>
    <row r="1747" customFormat="false" ht="15" hidden="false" customHeight="false" outlineLevel="0" collapsed="false">
      <c r="A1747" s="2" t="s">
        <v>170</v>
      </c>
      <c r="B1747" s="2" t="s">
        <v>46</v>
      </c>
      <c r="C1747" s="13" t="s">
        <v>1827</v>
      </c>
      <c r="D1747" s="29" t="n">
        <v>95980</v>
      </c>
      <c r="E1747" s="2" t="s">
        <v>821</v>
      </c>
      <c r="F1747" s="30" t="n">
        <v>3.8097937070223</v>
      </c>
      <c r="G1747" s="31" t="n">
        <v>60.7</v>
      </c>
      <c r="H1747" s="32" t="n">
        <v>0.154021882890465</v>
      </c>
      <c r="I1747" s="31" t="n">
        <v>81.8</v>
      </c>
      <c r="J1747" s="2" t="s">
        <v>2884</v>
      </c>
      <c r="K1747" s="33" t="n">
        <v>0.12406234210424</v>
      </c>
      <c r="L1747" s="31" t="n">
        <v>46.6</v>
      </c>
      <c r="M1747" s="34" t="s">
        <v>822</v>
      </c>
      <c r="N1747" s="2" t="s">
        <v>24</v>
      </c>
      <c r="O1747" s="2" t="s">
        <v>24</v>
      </c>
      <c r="P1747" s="2" t="s">
        <v>24</v>
      </c>
      <c r="Q1747" s="2" t="s">
        <v>24</v>
      </c>
    </row>
    <row r="1748" customFormat="false" ht="15" hidden="false" customHeight="false" outlineLevel="0" collapsed="false">
      <c r="A1748" s="2" t="s">
        <v>170</v>
      </c>
      <c r="B1748" s="2" t="s">
        <v>47</v>
      </c>
      <c r="C1748" s="14" t="s">
        <v>2244</v>
      </c>
      <c r="D1748" s="42" t="n">
        <v>45026</v>
      </c>
      <c r="E1748" s="2" t="s">
        <v>821</v>
      </c>
      <c r="F1748" s="43" t="n">
        <v>4.06240838626571</v>
      </c>
      <c r="G1748" s="31" t="n">
        <v>95.2</v>
      </c>
      <c r="H1748" s="41" t="n">
        <v>0.0823297516886613</v>
      </c>
      <c r="I1748" s="31" t="n">
        <v>41.2</v>
      </c>
      <c r="J1748" s="2" t="s">
        <v>2886</v>
      </c>
      <c r="K1748" s="44" t="n">
        <v>0.0634730538922156</v>
      </c>
      <c r="L1748" s="31" t="n">
        <v>40.5</v>
      </c>
      <c r="M1748" s="34" t="s">
        <v>822</v>
      </c>
      <c r="N1748" s="2" t="s">
        <v>22</v>
      </c>
      <c r="O1748" s="2" t="s">
        <v>22</v>
      </c>
      <c r="P1748" s="2" t="s">
        <v>22</v>
      </c>
      <c r="Q1748" s="2" t="s">
        <v>22</v>
      </c>
    </row>
    <row r="1749" customFormat="false" ht="15" hidden="false" customHeight="false" outlineLevel="0" collapsed="false">
      <c r="A1749" s="2" t="s">
        <v>672</v>
      </c>
      <c r="B1749" s="2" t="s">
        <v>45</v>
      </c>
      <c r="C1749" s="13" t="s">
        <v>896</v>
      </c>
      <c r="D1749" s="29" t="n">
        <v>8910</v>
      </c>
      <c r="E1749" s="2" t="s">
        <v>825</v>
      </c>
      <c r="F1749" s="30" t="n">
        <v>1.65690235690236</v>
      </c>
      <c r="G1749" s="31" t="n">
        <v>91.5</v>
      </c>
      <c r="H1749" s="32" t="n">
        <v>0.253164556962025</v>
      </c>
      <c r="I1749" s="31" t="n">
        <v>98.6</v>
      </c>
      <c r="J1749" s="2" t="s">
        <v>2899</v>
      </c>
      <c r="K1749" s="33" t="n">
        <v>0.101748807631161</v>
      </c>
      <c r="L1749" s="31" t="n">
        <v>36.4</v>
      </c>
      <c r="M1749" s="34" t="s">
        <v>822</v>
      </c>
      <c r="N1749" s="2" t="s">
        <v>24</v>
      </c>
      <c r="O1749" s="2" t="s">
        <v>24</v>
      </c>
      <c r="P1749" s="2" t="s">
        <v>24</v>
      </c>
      <c r="Q1749" s="2" t="s">
        <v>24</v>
      </c>
    </row>
    <row r="1750" customFormat="false" ht="15" hidden="false" customHeight="false" outlineLevel="0" collapsed="false">
      <c r="A1750" s="2" t="s">
        <v>672</v>
      </c>
      <c r="B1750" s="2" t="s">
        <v>46</v>
      </c>
      <c r="C1750" s="13" t="s">
        <v>2203</v>
      </c>
      <c r="D1750" s="29" t="n">
        <v>137380</v>
      </c>
      <c r="E1750" s="2" t="s">
        <v>827</v>
      </c>
      <c r="F1750" s="30" t="n">
        <v>0.431482020672587</v>
      </c>
      <c r="G1750" s="31" t="n">
        <v>0.8</v>
      </c>
      <c r="H1750" s="32" t="n">
        <v>0.127174269773548</v>
      </c>
      <c r="I1750" s="31" t="n">
        <v>73.9</v>
      </c>
      <c r="J1750" s="2" t="s">
        <v>2888</v>
      </c>
      <c r="K1750" s="33" t="n">
        <v>0.130488815244408</v>
      </c>
      <c r="L1750" s="31" t="n">
        <v>49.4</v>
      </c>
      <c r="M1750" s="34" t="s">
        <v>822</v>
      </c>
      <c r="N1750" s="2" t="s">
        <v>24</v>
      </c>
      <c r="O1750" s="2" t="s">
        <v>24</v>
      </c>
      <c r="P1750" s="2" t="s">
        <v>24</v>
      </c>
      <c r="Q1750" s="2" t="s">
        <v>24</v>
      </c>
    </row>
    <row r="1751" customFormat="false" ht="15" hidden="false" customHeight="false" outlineLevel="0" collapsed="false">
      <c r="A1751" s="2" t="s">
        <v>672</v>
      </c>
      <c r="B1751" s="2" t="s">
        <v>47</v>
      </c>
      <c r="C1751" s="13" t="s">
        <v>2847</v>
      </c>
      <c r="D1751" s="29" t="n">
        <v>278730</v>
      </c>
      <c r="E1751" s="2" t="s">
        <v>827</v>
      </c>
      <c r="F1751" s="30" t="n">
        <v>0.316176945431062</v>
      </c>
      <c r="G1751" s="31" t="n">
        <v>4.2</v>
      </c>
      <c r="H1751" s="32" t="n">
        <v>0.0147813740124513</v>
      </c>
      <c r="I1751" s="31" t="n">
        <v>18</v>
      </c>
      <c r="J1751" s="2" t="s">
        <v>2897</v>
      </c>
      <c r="K1751" s="33" t="n">
        <v>0.103158663501917</v>
      </c>
      <c r="L1751" s="31" t="n">
        <v>60.2</v>
      </c>
      <c r="M1751" s="34" t="s">
        <v>822</v>
      </c>
      <c r="N1751" s="2" t="s">
        <v>24</v>
      </c>
      <c r="O1751" s="2" t="s">
        <v>24</v>
      </c>
      <c r="P1751" s="2" t="s">
        <v>24</v>
      </c>
      <c r="Q1751" s="2" t="s">
        <v>24</v>
      </c>
    </row>
    <row r="1752" customFormat="false" ht="15" hidden="false" customHeight="false" outlineLevel="0" collapsed="false">
      <c r="A1752" s="2" t="s">
        <v>1653</v>
      </c>
      <c r="B1752" s="2" t="s">
        <v>45</v>
      </c>
      <c r="C1752" s="16"/>
      <c r="D1752" s="35"/>
      <c r="E1752" s="2"/>
      <c r="F1752" s="36"/>
      <c r="G1752" s="31"/>
      <c r="H1752" s="37"/>
      <c r="I1752" s="31"/>
      <c r="J1752" s="2"/>
      <c r="K1752" s="38"/>
      <c r="L1752" s="31"/>
      <c r="M1752" s="39" t="s">
        <v>832</v>
      </c>
      <c r="N1752" s="2"/>
      <c r="O1752" s="2"/>
      <c r="P1752" s="2"/>
      <c r="Q1752" s="2"/>
    </row>
    <row r="1753" customFormat="false" ht="15" hidden="false" customHeight="false" outlineLevel="0" collapsed="false">
      <c r="A1753" s="2" t="s">
        <v>1653</v>
      </c>
      <c r="B1753" s="2" t="s">
        <v>46</v>
      </c>
      <c r="C1753" s="13" t="s">
        <v>1654</v>
      </c>
      <c r="D1753" s="29" t="n">
        <v>1992390</v>
      </c>
      <c r="E1753" s="2" t="s">
        <v>935</v>
      </c>
      <c r="F1753" s="30" t="n">
        <v>8.99984842325047</v>
      </c>
      <c r="G1753" s="31" t="n">
        <v>91.6</v>
      </c>
      <c r="H1753" s="32" t="n">
        <v>0.0757057937446347</v>
      </c>
      <c r="I1753" s="31" t="n">
        <v>25</v>
      </c>
      <c r="J1753" s="2" t="s">
        <v>2906</v>
      </c>
      <c r="K1753" s="33" t="n">
        <v>0.240948724112355</v>
      </c>
      <c r="L1753" s="31" t="n">
        <v>79.5</v>
      </c>
      <c r="M1753" s="34" t="s">
        <v>822</v>
      </c>
      <c r="N1753" s="2" t="s">
        <v>24</v>
      </c>
      <c r="O1753" s="2" t="s">
        <v>24</v>
      </c>
      <c r="P1753" s="2" t="s">
        <v>24</v>
      </c>
      <c r="Q1753" s="2" t="s">
        <v>24</v>
      </c>
    </row>
    <row r="1754" customFormat="false" ht="15" hidden="false" customHeight="false" outlineLevel="0" collapsed="false">
      <c r="A1754" s="2" t="s">
        <v>1653</v>
      </c>
      <c r="B1754" s="2" t="s">
        <v>47</v>
      </c>
      <c r="C1754" s="14" t="s">
        <v>2242</v>
      </c>
      <c r="D1754" s="42" t="n">
        <v>538758</v>
      </c>
      <c r="E1754" s="2" t="s">
        <v>827</v>
      </c>
      <c r="F1754" s="43" t="n">
        <v>4.2382442580899</v>
      </c>
      <c r="G1754" s="31" t="n">
        <v>95.6</v>
      </c>
      <c r="H1754" s="41" t="n">
        <v>0.0416841486545798</v>
      </c>
      <c r="I1754" s="31" t="n">
        <v>26.7</v>
      </c>
      <c r="J1754" s="2" t="s">
        <v>2897</v>
      </c>
      <c r="K1754" s="44" t="n">
        <v>0.0724845454232662</v>
      </c>
      <c r="L1754" s="31" t="n">
        <v>45.3</v>
      </c>
      <c r="M1754" s="34" t="s">
        <v>822</v>
      </c>
      <c r="N1754" s="2" t="s">
        <v>22</v>
      </c>
      <c r="O1754" s="2" t="s">
        <v>22</v>
      </c>
      <c r="P1754" s="2" t="s">
        <v>22</v>
      </c>
      <c r="Q1754" s="2" t="s">
        <v>22</v>
      </c>
    </row>
    <row r="1755" customFormat="false" ht="15" hidden="false" customHeight="false" outlineLevel="0" collapsed="false">
      <c r="A1755" s="2" t="s">
        <v>1797</v>
      </c>
      <c r="B1755" s="2" t="s">
        <v>45</v>
      </c>
      <c r="C1755" s="13" t="s">
        <v>3311</v>
      </c>
      <c r="D1755" s="29" t="n">
        <v>263030</v>
      </c>
      <c r="E1755" s="2" t="s">
        <v>827</v>
      </c>
      <c r="F1755" s="30" t="n">
        <v>0.360133825038969</v>
      </c>
      <c r="G1755" s="31" t="n">
        <v>24.8</v>
      </c>
      <c r="H1755" s="37"/>
      <c r="I1755" s="31"/>
      <c r="J1755" s="2"/>
      <c r="K1755" s="33" t="n">
        <v>0.164719626168224</v>
      </c>
      <c r="L1755" s="31" t="n">
        <v>64.3</v>
      </c>
      <c r="M1755" s="39" t="s">
        <v>832</v>
      </c>
      <c r="N1755" s="2" t="s">
        <v>24</v>
      </c>
      <c r="O1755" s="2" t="s">
        <v>24</v>
      </c>
      <c r="P1755" s="2"/>
      <c r="Q1755" s="2" t="s">
        <v>24</v>
      </c>
    </row>
    <row r="1756" customFormat="false" ht="15" hidden="false" customHeight="false" outlineLevel="0" collapsed="false">
      <c r="A1756" s="2" t="s">
        <v>1797</v>
      </c>
      <c r="B1756" s="2" t="s">
        <v>46</v>
      </c>
      <c r="C1756" s="13" t="s">
        <v>1798</v>
      </c>
      <c r="D1756" s="29" t="n">
        <v>248910</v>
      </c>
      <c r="E1756" s="2" t="s">
        <v>827</v>
      </c>
      <c r="F1756" s="30" t="n">
        <v>4.20176770720341</v>
      </c>
      <c r="G1756" s="31" t="n">
        <v>66.6</v>
      </c>
      <c r="H1756" s="32" t="n">
        <v>0.209298936015158</v>
      </c>
      <c r="I1756" s="31" t="n">
        <v>98.1</v>
      </c>
      <c r="J1756" s="2" t="s">
        <v>2888</v>
      </c>
      <c r="K1756" s="33" t="n">
        <v>0.0664071102028592</v>
      </c>
      <c r="L1756" s="31" t="n">
        <v>18.3</v>
      </c>
      <c r="M1756" s="34" t="s">
        <v>822</v>
      </c>
      <c r="N1756" s="2" t="s">
        <v>24</v>
      </c>
      <c r="O1756" s="2" t="s">
        <v>24</v>
      </c>
      <c r="P1756" s="2" t="s">
        <v>24</v>
      </c>
      <c r="Q1756" s="2" t="s">
        <v>24</v>
      </c>
    </row>
    <row r="1757" customFormat="false" ht="15" hidden="false" customHeight="false" outlineLevel="0" collapsed="false">
      <c r="A1757" s="2" t="s">
        <v>1797</v>
      </c>
      <c r="B1757" s="2" t="s">
        <v>47</v>
      </c>
      <c r="C1757" s="13" t="s">
        <v>2386</v>
      </c>
      <c r="D1757" s="29" t="n">
        <v>2320</v>
      </c>
      <c r="E1757" s="2" t="s">
        <v>825</v>
      </c>
      <c r="F1757" s="30" t="n">
        <v>1.87155172413793</v>
      </c>
      <c r="G1757" s="31" t="n">
        <v>73</v>
      </c>
      <c r="H1757" s="41" t="n">
        <v>0.162311557788945</v>
      </c>
      <c r="I1757" s="31" t="n">
        <v>76.2</v>
      </c>
      <c r="J1757" s="2" t="s">
        <v>2889</v>
      </c>
      <c r="K1757" s="33" t="n">
        <v>0.24113475177305</v>
      </c>
      <c r="L1757" s="31" t="n">
        <v>91.9</v>
      </c>
      <c r="M1757" s="34" t="s">
        <v>822</v>
      </c>
      <c r="N1757" s="2" t="s">
        <v>24</v>
      </c>
      <c r="O1757" s="2" t="s">
        <v>24</v>
      </c>
      <c r="P1757" s="2" t="s">
        <v>22</v>
      </c>
      <c r="Q1757" s="2" t="s">
        <v>24</v>
      </c>
    </row>
    <row r="1758" customFormat="false" ht="15" hidden="false" customHeight="false" outlineLevel="0" collapsed="false">
      <c r="A1758" s="2" t="s">
        <v>2157</v>
      </c>
      <c r="B1758" s="2" t="s">
        <v>45</v>
      </c>
      <c r="C1758" s="13" t="s">
        <v>3312</v>
      </c>
      <c r="D1758" s="29" t="n">
        <v>22370</v>
      </c>
      <c r="E1758" s="2" t="s">
        <v>821</v>
      </c>
      <c r="F1758" s="30" t="n">
        <v>0.338980777827448</v>
      </c>
      <c r="G1758" s="31" t="n">
        <v>22.9</v>
      </c>
      <c r="H1758" s="32" t="n">
        <v>0.0622032288698955</v>
      </c>
      <c r="I1758" s="31" t="n">
        <v>34</v>
      </c>
      <c r="J1758" s="2" t="s">
        <v>2883</v>
      </c>
      <c r="K1758" s="38"/>
      <c r="L1758" s="31"/>
      <c r="M1758" s="39" t="s">
        <v>832</v>
      </c>
      <c r="N1758" s="2" t="s">
        <v>24</v>
      </c>
      <c r="O1758" s="2" t="s">
        <v>24</v>
      </c>
      <c r="P1758" s="2" t="s">
        <v>24</v>
      </c>
      <c r="Q1758" s="2"/>
    </row>
    <row r="1759" customFormat="false" ht="15" hidden="false" customHeight="false" outlineLevel="0" collapsed="false">
      <c r="A1759" s="2" t="s">
        <v>2157</v>
      </c>
      <c r="B1759" s="2" t="s">
        <v>46</v>
      </c>
      <c r="C1759" s="13" t="s">
        <v>2158</v>
      </c>
      <c r="D1759" s="29" t="n">
        <v>59220</v>
      </c>
      <c r="E1759" s="2" t="s">
        <v>821</v>
      </c>
      <c r="F1759" s="30" t="n">
        <v>1.01242823370483</v>
      </c>
      <c r="G1759" s="31" t="n">
        <v>7.3</v>
      </c>
      <c r="H1759" s="32" t="n">
        <v>0.0786885245901639</v>
      </c>
      <c r="I1759" s="31" t="n">
        <v>46.2</v>
      </c>
      <c r="J1759" s="2" t="s">
        <v>2884</v>
      </c>
      <c r="K1759" s="33" t="n">
        <v>0.513450292397661</v>
      </c>
      <c r="L1759" s="31" t="n">
        <v>99.8</v>
      </c>
      <c r="M1759" s="34" t="s">
        <v>822</v>
      </c>
      <c r="N1759" s="2" t="s">
        <v>24</v>
      </c>
      <c r="O1759" s="2" t="s">
        <v>24</v>
      </c>
      <c r="P1759" s="2" t="s">
        <v>24</v>
      </c>
      <c r="Q1759" s="2" t="s">
        <v>24</v>
      </c>
    </row>
    <row r="1760" customFormat="false" ht="15" hidden="false" customHeight="false" outlineLevel="0" collapsed="false">
      <c r="A1760" s="2" t="s">
        <v>2157</v>
      </c>
      <c r="B1760" s="2" t="s">
        <v>47</v>
      </c>
      <c r="C1760" s="14" t="s">
        <v>2293</v>
      </c>
      <c r="D1760" s="42" t="n">
        <v>10380</v>
      </c>
      <c r="E1760" s="2" t="s">
        <v>821</v>
      </c>
      <c r="F1760" s="43" t="n">
        <v>2.85375722543353</v>
      </c>
      <c r="G1760" s="31" t="n">
        <v>88.5</v>
      </c>
      <c r="H1760" s="41" t="n">
        <v>0.221607626221019</v>
      </c>
      <c r="I1760" s="31" t="n">
        <v>95.1</v>
      </c>
      <c r="J1760" s="2" t="s">
        <v>2886</v>
      </c>
      <c r="K1760" s="44" t="n">
        <v>0.15781990521327</v>
      </c>
      <c r="L1760" s="31" t="n">
        <v>75.6</v>
      </c>
      <c r="M1760" s="34" t="s">
        <v>822</v>
      </c>
      <c r="N1760" s="2" t="s">
        <v>22</v>
      </c>
      <c r="O1760" s="2" t="s">
        <v>22</v>
      </c>
      <c r="P1760" s="2" t="s">
        <v>22</v>
      </c>
      <c r="Q1760" s="2" t="s">
        <v>22</v>
      </c>
    </row>
    <row r="1761" customFormat="false" ht="15" hidden="false" customHeight="false" outlineLevel="0" collapsed="false">
      <c r="A1761" s="2" t="s">
        <v>324</v>
      </c>
      <c r="B1761" s="2" t="s">
        <v>45</v>
      </c>
      <c r="C1761" s="14" t="s">
        <v>1148</v>
      </c>
      <c r="D1761" s="42" t="n">
        <v>3737</v>
      </c>
      <c r="E1761" s="2" t="s">
        <v>825</v>
      </c>
      <c r="F1761" s="43" t="n">
        <v>0.696815627508697</v>
      </c>
      <c r="G1761" s="31" t="n">
        <v>60.7</v>
      </c>
      <c r="H1761" s="41" t="n">
        <v>0.146319018404908</v>
      </c>
      <c r="I1761" s="31" t="n">
        <v>81.7</v>
      </c>
      <c r="J1761" s="2" t="s">
        <v>2899</v>
      </c>
      <c r="K1761" s="44" t="n">
        <v>0.287234042553192</v>
      </c>
      <c r="L1761" s="31" t="n">
        <v>88.8</v>
      </c>
      <c r="M1761" s="34" t="s">
        <v>822</v>
      </c>
      <c r="N1761" s="2" t="s">
        <v>22</v>
      </c>
      <c r="O1761" s="2" t="s">
        <v>22</v>
      </c>
      <c r="P1761" s="2" t="s">
        <v>22</v>
      </c>
      <c r="Q1761" s="2" t="s">
        <v>22</v>
      </c>
    </row>
    <row r="1762" customFormat="false" ht="15" hidden="false" customHeight="false" outlineLevel="0" collapsed="false">
      <c r="A1762" s="2" t="s">
        <v>738</v>
      </c>
      <c r="B1762" s="2" t="s">
        <v>45</v>
      </c>
      <c r="C1762" s="13" t="s">
        <v>1286</v>
      </c>
      <c r="D1762" s="29" t="n">
        <v>143820</v>
      </c>
      <c r="E1762" s="2" t="s">
        <v>827</v>
      </c>
      <c r="F1762" s="30" t="n">
        <v>0.510082047003199</v>
      </c>
      <c r="G1762" s="31" t="n">
        <v>42.5</v>
      </c>
      <c r="H1762" s="32" t="n">
        <v>0.115748642358417</v>
      </c>
      <c r="I1762" s="31" t="n">
        <v>67.1</v>
      </c>
      <c r="J1762" s="2" t="s">
        <v>2890</v>
      </c>
      <c r="K1762" s="33" t="n">
        <v>0.13640873015873</v>
      </c>
      <c r="L1762" s="31" t="n">
        <v>51</v>
      </c>
      <c r="M1762" s="34" t="s">
        <v>822</v>
      </c>
      <c r="N1762" s="2" t="s">
        <v>24</v>
      </c>
      <c r="O1762" s="2" t="s">
        <v>24</v>
      </c>
      <c r="P1762" s="2" t="s">
        <v>24</v>
      </c>
      <c r="Q1762" s="2" t="s">
        <v>24</v>
      </c>
    </row>
    <row r="1763" customFormat="false" ht="15" hidden="false" customHeight="false" outlineLevel="0" collapsed="false">
      <c r="A1763" s="2" t="s">
        <v>738</v>
      </c>
      <c r="B1763" s="2" t="s">
        <v>46</v>
      </c>
      <c r="C1763" s="13" t="s">
        <v>2155</v>
      </c>
      <c r="D1763" s="29" t="n">
        <v>124840</v>
      </c>
      <c r="E1763" s="2" t="s">
        <v>827</v>
      </c>
      <c r="F1763" s="30" t="n">
        <v>1.03462031400192</v>
      </c>
      <c r="G1763" s="31" t="n">
        <v>7.5</v>
      </c>
      <c r="H1763" s="32" t="n">
        <v>-0.0173947264856356</v>
      </c>
      <c r="I1763" s="31" t="n">
        <v>8.3</v>
      </c>
      <c r="J1763" s="2" t="s">
        <v>2888</v>
      </c>
      <c r="K1763" s="33" t="n">
        <v>0.235588972431078</v>
      </c>
      <c r="L1763" s="31" t="n">
        <v>77.9</v>
      </c>
      <c r="M1763" s="34" t="s">
        <v>822</v>
      </c>
      <c r="N1763" s="2" t="s">
        <v>24</v>
      </c>
      <c r="O1763" s="2" t="s">
        <v>24</v>
      </c>
      <c r="P1763" s="2" t="s">
        <v>24</v>
      </c>
      <c r="Q1763" s="2" t="s">
        <v>24</v>
      </c>
    </row>
    <row r="1764" customFormat="false" ht="15" hidden="false" customHeight="false" outlineLevel="0" collapsed="false">
      <c r="A1764" s="2" t="s">
        <v>738</v>
      </c>
      <c r="B1764" s="2" t="s">
        <v>47</v>
      </c>
      <c r="C1764" s="14" t="s">
        <v>2737</v>
      </c>
      <c r="D1764" s="42" t="n">
        <v>109895</v>
      </c>
      <c r="E1764" s="2" t="s">
        <v>827</v>
      </c>
      <c r="F1764" s="43" t="n">
        <v>0.660494108012193</v>
      </c>
      <c r="G1764" s="31" t="n">
        <v>20.3</v>
      </c>
      <c r="H1764" s="41" t="n">
        <v>0.0778457796347516</v>
      </c>
      <c r="I1764" s="31" t="n">
        <v>46.6</v>
      </c>
      <c r="J1764" s="2" t="s">
        <v>2897</v>
      </c>
      <c r="K1764" s="44" t="n">
        <v>0.0975132718636491</v>
      </c>
      <c r="L1764" s="31" t="n">
        <v>57.5</v>
      </c>
      <c r="M1764" s="34" t="s">
        <v>822</v>
      </c>
      <c r="N1764" s="2" t="s">
        <v>22</v>
      </c>
      <c r="O1764" s="2" t="s">
        <v>22</v>
      </c>
      <c r="P1764" s="2" t="s">
        <v>22</v>
      </c>
      <c r="Q1764" s="2" t="s">
        <v>22</v>
      </c>
    </row>
    <row r="1765" customFormat="false" ht="15" hidden="false" customHeight="false" outlineLevel="0" collapsed="false">
      <c r="A1765" s="2" t="s">
        <v>3313</v>
      </c>
      <c r="B1765" s="2" t="s">
        <v>47</v>
      </c>
      <c r="C1765" s="14" t="s">
        <v>3314</v>
      </c>
      <c r="D1765" s="42" t="n">
        <v>1499353</v>
      </c>
      <c r="E1765" s="2" t="s">
        <v>935</v>
      </c>
      <c r="F1765" s="43" t="n">
        <v>1.73098796614273</v>
      </c>
      <c r="G1765" s="31" t="n">
        <v>70</v>
      </c>
      <c r="H1765" s="41" t="n">
        <v>0.15988126973616</v>
      </c>
      <c r="I1765" s="31" t="n">
        <v>92.9</v>
      </c>
      <c r="J1765" s="2" t="s">
        <v>2922</v>
      </c>
      <c r="K1765" s="38"/>
      <c r="L1765" s="31"/>
      <c r="M1765" s="39" t="s">
        <v>832</v>
      </c>
      <c r="N1765" s="2" t="s">
        <v>22</v>
      </c>
      <c r="O1765" s="2" t="s">
        <v>22</v>
      </c>
      <c r="P1765" s="2" t="s">
        <v>22</v>
      </c>
      <c r="Q1765" s="2"/>
    </row>
    <row r="1766" customFormat="false" ht="15" hidden="false" customHeight="false" outlineLevel="0" collapsed="false">
      <c r="A1766" s="2" t="s">
        <v>2536</v>
      </c>
      <c r="B1766" s="2" t="s">
        <v>45</v>
      </c>
      <c r="C1766" s="13" t="s">
        <v>3315</v>
      </c>
      <c r="D1766" s="29" t="n">
        <v>3130</v>
      </c>
      <c r="E1766" s="2" t="s">
        <v>825</v>
      </c>
      <c r="F1766" s="30" t="n">
        <v>0.766773162939297</v>
      </c>
      <c r="G1766" s="31" t="n">
        <v>66.4</v>
      </c>
      <c r="H1766" s="48" t="n">
        <v>0.141718013773106</v>
      </c>
      <c r="I1766" s="31" t="n">
        <v>77.5</v>
      </c>
      <c r="J1766" s="2" t="s">
        <v>2899</v>
      </c>
      <c r="K1766" s="38"/>
      <c r="L1766" s="31"/>
      <c r="M1766" s="39" t="s">
        <v>832</v>
      </c>
      <c r="N1766" s="2" t="s">
        <v>24</v>
      </c>
      <c r="O1766" s="2" t="s">
        <v>24</v>
      </c>
      <c r="P1766" s="2" t="s">
        <v>19</v>
      </c>
      <c r="Q1766" s="2"/>
    </row>
    <row r="1767" customFormat="false" ht="15" hidden="false" customHeight="false" outlineLevel="0" collapsed="false">
      <c r="A1767" s="2" t="s">
        <v>2536</v>
      </c>
      <c r="B1767" s="2" t="s">
        <v>46</v>
      </c>
      <c r="C1767" s="16"/>
      <c r="D1767" s="35"/>
      <c r="E1767" s="2"/>
      <c r="F1767" s="36"/>
      <c r="G1767" s="31"/>
      <c r="H1767" s="37"/>
      <c r="I1767" s="31"/>
      <c r="J1767" s="2"/>
      <c r="K1767" s="38"/>
      <c r="L1767" s="31"/>
      <c r="M1767" s="39" t="s">
        <v>832</v>
      </c>
      <c r="N1767" s="2"/>
      <c r="O1767" s="2"/>
      <c r="P1767" s="2"/>
      <c r="Q1767" s="2"/>
    </row>
    <row r="1768" customFormat="false" ht="15" hidden="false" customHeight="false" outlineLevel="0" collapsed="false">
      <c r="A1768" s="2" t="s">
        <v>2536</v>
      </c>
      <c r="B1768" s="2" t="s">
        <v>47</v>
      </c>
      <c r="C1768" s="14" t="s">
        <v>2537</v>
      </c>
      <c r="D1768" s="42" t="n">
        <v>53583</v>
      </c>
      <c r="E1768" s="2" t="s">
        <v>821</v>
      </c>
      <c r="F1768" s="43" t="n">
        <v>1.26077300636396</v>
      </c>
      <c r="G1768" s="31" t="n">
        <v>50.8</v>
      </c>
      <c r="H1768" s="41" t="n">
        <v>0.0252372570029083</v>
      </c>
      <c r="I1768" s="31" t="n">
        <v>19.5</v>
      </c>
      <c r="J1768" s="2" t="s">
        <v>2886</v>
      </c>
      <c r="K1768" s="44" t="n">
        <v>0.0631921824104235</v>
      </c>
      <c r="L1768" s="31" t="n">
        <v>40.1</v>
      </c>
      <c r="M1768" s="34" t="s">
        <v>822</v>
      </c>
      <c r="N1768" s="2" t="s">
        <v>22</v>
      </c>
      <c r="O1768" s="2" t="s">
        <v>22</v>
      </c>
      <c r="P1768" s="2" t="s">
        <v>22</v>
      </c>
      <c r="Q1768" s="2" t="s">
        <v>22</v>
      </c>
    </row>
    <row r="1769" customFormat="false" ht="15" hidden="false" customHeight="false" outlineLevel="0" collapsed="false">
      <c r="A1769" s="2" t="s">
        <v>161</v>
      </c>
      <c r="B1769" s="2" t="s">
        <v>45</v>
      </c>
      <c r="C1769" s="13" t="s">
        <v>984</v>
      </c>
      <c r="D1769" s="29" t="n">
        <v>37770</v>
      </c>
      <c r="E1769" s="2" t="s">
        <v>821</v>
      </c>
      <c r="F1769" s="30" t="n">
        <v>1.08035477892507</v>
      </c>
      <c r="G1769" s="31" t="n">
        <v>80.7</v>
      </c>
      <c r="H1769" s="32" t="n">
        <v>0.122436849925706</v>
      </c>
      <c r="I1769" s="31" t="n">
        <v>66.3</v>
      </c>
      <c r="J1769" s="2" t="s">
        <v>2883</v>
      </c>
      <c r="K1769" s="33" t="n">
        <v>0.115798922800718</v>
      </c>
      <c r="L1769" s="31" t="n">
        <v>42.7</v>
      </c>
      <c r="M1769" s="34" t="s">
        <v>822</v>
      </c>
      <c r="N1769" s="2" t="s">
        <v>24</v>
      </c>
      <c r="O1769" s="2" t="s">
        <v>24</v>
      </c>
      <c r="P1769" s="2" t="s">
        <v>24</v>
      </c>
      <c r="Q1769" s="2" t="s">
        <v>24</v>
      </c>
    </row>
    <row r="1770" customFormat="false" ht="15" hidden="false" customHeight="false" outlineLevel="0" collapsed="false">
      <c r="A1770" s="2" t="s">
        <v>1066</v>
      </c>
      <c r="B1770" s="2" t="s">
        <v>45</v>
      </c>
      <c r="C1770" s="13" t="s">
        <v>1067</v>
      </c>
      <c r="D1770" s="29" t="n">
        <v>272660</v>
      </c>
      <c r="E1770" s="2" t="s">
        <v>827</v>
      </c>
      <c r="F1770" s="30" t="n">
        <v>0.841282182938458</v>
      </c>
      <c r="G1770" s="31" t="n">
        <v>70.9</v>
      </c>
      <c r="H1770" s="32" t="n">
        <v>0.111219790520439</v>
      </c>
      <c r="I1770" s="31" t="n">
        <v>65.7</v>
      </c>
      <c r="J1770" s="2" t="s">
        <v>2890</v>
      </c>
      <c r="K1770" s="33" t="n">
        <v>0.192430410386181</v>
      </c>
      <c r="L1770" s="31" t="n">
        <v>70.9</v>
      </c>
      <c r="M1770" s="34" t="s">
        <v>822</v>
      </c>
      <c r="N1770" s="2" t="s">
        <v>24</v>
      </c>
      <c r="O1770" s="2" t="s">
        <v>24</v>
      </c>
      <c r="P1770" s="2" t="s">
        <v>24</v>
      </c>
      <c r="Q1770" s="2" t="s">
        <v>24</v>
      </c>
    </row>
    <row r="1771" customFormat="false" ht="15" hidden="false" customHeight="false" outlineLevel="0" collapsed="false">
      <c r="A1771" s="2" t="s">
        <v>1066</v>
      </c>
      <c r="B1771" s="2" t="s">
        <v>46</v>
      </c>
      <c r="C1771" s="13" t="s">
        <v>3316</v>
      </c>
      <c r="D1771" s="29" t="n">
        <v>41480</v>
      </c>
      <c r="E1771" s="2" t="s">
        <v>821</v>
      </c>
      <c r="F1771" s="30" t="n">
        <v>0.69228543876567</v>
      </c>
      <c r="G1771" s="31" t="n">
        <v>3.1</v>
      </c>
      <c r="H1771" s="32" t="n">
        <v>-0.0126160437990955</v>
      </c>
      <c r="I1771" s="31" t="n">
        <v>11.3</v>
      </c>
      <c r="J1771" s="2" t="s">
        <v>2884</v>
      </c>
      <c r="K1771" s="38"/>
      <c r="L1771" s="31"/>
      <c r="M1771" s="39" t="s">
        <v>832</v>
      </c>
      <c r="N1771" s="2" t="s">
        <v>24</v>
      </c>
      <c r="O1771" s="2" t="s">
        <v>24</v>
      </c>
      <c r="P1771" s="2" t="s">
        <v>24</v>
      </c>
      <c r="Q1771" s="2"/>
    </row>
    <row r="1772" customFormat="false" ht="15" hidden="false" customHeight="false" outlineLevel="0" collapsed="false">
      <c r="A1772" s="2" t="s">
        <v>1003</v>
      </c>
      <c r="B1772" s="2" t="s">
        <v>45</v>
      </c>
      <c r="C1772" s="13" t="s">
        <v>1004</v>
      </c>
      <c r="D1772" s="29" t="n">
        <v>430120</v>
      </c>
      <c r="E1772" s="2" t="s">
        <v>827</v>
      </c>
      <c r="F1772" s="30" t="n">
        <v>0.972421649772157</v>
      </c>
      <c r="G1772" s="31" t="n">
        <v>78.3</v>
      </c>
      <c r="H1772" s="32" t="n">
        <v>0.0283801554094441</v>
      </c>
      <c r="I1772" s="31" t="n">
        <v>20</v>
      </c>
      <c r="J1772" s="2" t="s">
        <v>2890</v>
      </c>
      <c r="K1772" s="33" t="n">
        <v>0.159066232356135</v>
      </c>
      <c r="L1772" s="31" t="n">
        <v>61.3</v>
      </c>
      <c r="M1772" s="34" t="s">
        <v>822</v>
      </c>
      <c r="N1772" s="2" t="s">
        <v>24</v>
      </c>
      <c r="O1772" s="2" t="s">
        <v>24</v>
      </c>
      <c r="P1772" s="2" t="s">
        <v>24</v>
      </c>
      <c r="Q1772" s="2" t="s">
        <v>24</v>
      </c>
    </row>
    <row r="1773" customFormat="false" ht="15" hidden="false" customHeight="false" outlineLevel="0" collapsed="false">
      <c r="A1773" s="2" t="s">
        <v>1003</v>
      </c>
      <c r="B1773" s="2" t="s">
        <v>46</v>
      </c>
      <c r="C1773" s="13" t="s">
        <v>2164</v>
      </c>
      <c r="D1773" s="29" t="n">
        <v>13740</v>
      </c>
      <c r="E1773" s="2" t="s">
        <v>821</v>
      </c>
      <c r="F1773" s="30" t="n">
        <v>0.939592430858806</v>
      </c>
      <c r="G1773" s="31" t="n">
        <v>6.1</v>
      </c>
      <c r="H1773" s="32" t="n">
        <v>0.0717628705148206</v>
      </c>
      <c r="I1773" s="31" t="n">
        <v>42.2</v>
      </c>
      <c r="J1773" s="2" t="s">
        <v>2884</v>
      </c>
      <c r="K1773" s="33" t="n">
        <v>0.0662983425414365</v>
      </c>
      <c r="L1773" s="31" t="n">
        <v>18.1</v>
      </c>
      <c r="M1773" s="34" t="s">
        <v>822</v>
      </c>
      <c r="N1773" s="2" t="s">
        <v>24</v>
      </c>
      <c r="O1773" s="2" t="s">
        <v>24</v>
      </c>
      <c r="P1773" s="2" t="s">
        <v>24</v>
      </c>
      <c r="Q1773" s="2" t="s">
        <v>24</v>
      </c>
    </row>
    <row r="1774" customFormat="false" ht="15" hidden="false" customHeight="false" outlineLevel="0" collapsed="false">
      <c r="A1774" s="2" t="s">
        <v>1003</v>
      </c>
      <c r="B1774" s="2" t="s">
        <v>47</v>
      </c>
      <c r="C1774" s="15" t="s">
        <v>3317</v>
      </c>
      <c r="D1774" s="46" t="n">
        <v>2672</v>
      </c>
      <c r="E1774" s="2" t="s">
        <v>825</v>
      </c>
      <c r="F1774" s="47" t="n">
        <v>1.95059880239521</v>
      </c>
      <c r="G1774" s="31" t="n">
        <v>75.8</v>
      </c>
      <c r="H1774" s="48" t="n">
        <v>0.138959931798807</v>
      </c>
      <c r="I1774" s="31" t="n">
        <v>62.5</v>
      </c>
      <c r="J1774" s="2" t="s">
        <v>2889</v>
      </c>
      <c r="K1774" s="38"/>
      <c r="L1774" s="31"/>
      <c r="M1774" s="39" t="s">
        <v>832</v>
      </c>
      <c r="N1774" s="2" t="s">
        <v>19</v>
      </c>
      <c r="O1774" s="2" t="s">
        <v>19</v>
      </c>
      <c r="P1774" s="2" t="s">
        <v>19</v>
      </c>
      <c r="Q1774" s="2"/>
    </row>
    <row r="1775" customFormat="false" ht="15" hidden="false" customHeight="false" outlineLevel="0" collapsed="false">
      <c r="A1775" s="2" t="s">
        <v>3318</v>
      </c>
      <c r="B1775" s="2" t="s">
        <v>45</v>
      </c>
      <c r="C1775" s="13" t="s">
        <v>3319</v>
      </c>
      <c r="D1775" s="29" t="n">
        <v>5900</v>
      </c>
      <c r="E1775" s="2" t="s">
        <v>825</v>
      </c>
      <c r="F1775" s="30" t="n">
        <v>1.72305084745763</v>
      </c>
      <c r="G1775" s="31" t="n">
        <v>92.6</v>
      </c>
      <c r="H1775" s="48" t="n">
        <v>-0.0294022092267706</v>
      </c>
      <c r="I1775" s="31" t="n">
        <v>2.8</v>
      </c>
      <c r="J1775" s="2" t="s">
        <v>2899</v>
      </c>
      <c r="K1775" s="38"/>
      <c r="L1775" s="31"/>
      <c r="M1775" s="39" t="s">
        <v>832</v>
      </c>
      <c r="N1775" s="2" t="s">
        <v>24</v>
      </c>
      <c r="O1775" s="2" t="s">
        <v>24</v>
      </c>
      <c r="P1775" s="2" t="s">
        <v>19</v>
      </c>
      <c r="Q1775" s="2"/>
    </row>
    <row r="1776" customFormat="false" ht="15" hidden="false" customHeight="false" outlineLevel="0" collapsed="false">
      <c r="A1776" s="2" t="s">
        <v>3320</v>
      </c>
      <c r="B1776" s="2" t="s">
        <v>46</v>
      </c>
      <c r="C1776" s="13" t="s">
        <v>3321</v>
      </c>
      <c r="D1776" s="29" t="n">
        <v>23940</v>
      </c>
      <c r="E1776" s="2" t="s">
        <v>821</v>
      </c>
      <c r="F1776" s="30" t="n">
        <v>8.01127819548872</v>
      </c>
      <c r="G1776" s="31" t="n">
        <v>90.2</v>
      </c>
      <c r="H1776" s="32" t="n">
        <v>0.248826291079812</v>
      </c>
      <c r="I1776" s="31" t="n">
        <v>98.2</v>
      </c>
      <c r="J1776" s="2" t="s">
        <v>2884</v>
      </c>
      <c r="K1776" s="38"/>
      <c r="L1776" s="31"/>
      <c r="M1776" s="39" t="s">
        <v>832</v>
      </c>
      <c r="N1776" s="2" t="s">
        <v>24</v>
      </c>
      <c r="O1776" s="2" t="s">
        <v>24</v>
      </c>
      <c r="P1776" s="2" t="s">
        <v>24</v>
      </c>
      <c r="Q1776" s="2"/>
    </row>
    <row r="1777" customFormat="false" ht="15" hidden="false" customHeight="false" outlineLevel="0" collapsed="false">
      <c r="A1777" s="2" t="s">
        <v>668</v>
      </c>
      <c r="B1777" s="2" t="s">
        <v>45</v>
      </c>
      <c r="C1777" s="13" t="s">
        <v>1592</v>
      </c>
      <c r="D1777" s="29" t="n">
        <v>88040</v>
      </c>
      <c r="E1777" s="2" t="s">
        <v>821</v>
      </c>
      <c r="F1777" s="30" t="n">
        <v>0.0738073602907769</v>
      </c>
      <c r="G1777" s="31" t="n">
        <v>0.8</v>
      </c>
      <c r="H1777" s="41" t="n">
        <v>0.0536282714634626</v>
      </c>
      <c r="I1777" s="31" t="n">
        <v>30.9</v>
      </c>
      <c r="J1777" s="2" t="s">
        <v>2883</v>
      </c>
      <c r="K1777" s="33" t="n">
        <v>0.149746192893401</v>
      </c>
      <c r="L1777" s="31" t="n">
        <v>57.8</v>
      </c>
      <c r="M1777" s="34" t="s">
        <v>822</v>
      </c>
      <c r="N1777" s="2" t="s">
        <v>24</v>
      </c>
      <c r="O1777" s="2" t="s">
        <v>24</v>
      </c>
      <c r="P1777" s="2" t="s">
        <v>22</v>
      </c>
      <c r="Q1777" s="2" t="s">
        <v>24</v>
      </c>
    </row>
    <row r="1778" customFormat="false" ht="15" hidden="false" customHeight="false" outlineLevel="0" collapsed="false">
      <c r="A1778" s="2" t="s">
        <v>668</v>
      </c>
      <c r="B1778" s="2" t="s">
        <v>47</v>
      </c>
      <c r="C1778" s="13" t="s">
        <v>2440</v>
      </c>
      <c r="D1778" s="29" t="n">
        <v>34210</v>
      </c>
      <c r="E1778" s="2" t="s">
        <v>821</v>
      </c>
      <c r="F1778" s="30" t="n">
        <v>1.63151125401929</v>
      </c>
      <c r="G1778" s="31" t="n">
        <v>64.7</v>
      </c>
      <c r="H1778" s="32" t="n">
        <v>0.117243631613325</v>
      </c>
      <c r="I1778" s="31" t="n">
        <v>61</v>
      </c>
      <c r="J1778" s="2" t="s">
        <v>2886</v>
      </c>
      <c r="K1778" s="33" t="n">
        <v>0.166666666666667</v>
      </c>
      <c r="L1778" s="31" t="n">
        <v>78</v>
      </c>
      <c r="M1778" s="34" t="s">
        <v>822</v>
      </c>
      <c r="N1778" s="2" t="s">
        <v>24</v>
      </c>
      <c r="O1778" s="2" t="s">
        <v>24</v>
      </c>
      <c r="P1778" s="2" t="s">
        <v>24</v>
      </c>
      <c r="Q1778" s="2" t="s">
        <v>24</v>
      </c>
    </row>
    <row r="1779" customFormat="false" ht="15" hidden="false" customHeight="false" outlineLevel="0" collapsed="false">
      <c r="A1779" s="2" t="s">
        <v>2034</v>
      </c>
      <c r="B1779" s="2" t="s">
        <v>45</v>
      </c>
      <c r="C1779" s="16"/>
      <c r="D1779" s="35"/>
      <c r="E1779" s="2"/>
      <c r="F1779" s="36"/>
      <c r="G1779" s="31"/>
      <c r="H1779" s="37"/>
      <c r="I1779" s="31"/>
      <c r="J1779" s="2"/>
      <c r="K1779" s="38"/>
      <c r="L1779" s="31"/>
      <c r="M1779" s="39" t="s">
        <v>832</v>
      </c>
      <c r="N1779" s="2"/>
      <c r="O1779" s="2"/>
      <c r="P1779" s="2"/>
      <c r="Q1779" s="2"/>
    </row>
    <row r="1780" customFormat="false" ht="15" hidden="false" customHeight="false" outlineLevel="0" collapsed="false">
      <c r="A1780" s="2" t="s">
        <v>2034</v>
      </c>
      <c r="B1780" s="2" t="s">
        <v>46</v>
      </c>
      <c r="C1780" s="13" t="s">
        <v>2035</v>
      </c>
      <c r="D1780" s="29" t="n">
        <v>21010</v>
      </c>
      <c r="E1780" s="2" t="s">
        <v>821</v>
      </c>
      <c r="F1780" s="30" t="n">
        <v>2.02836744407425</v>
      </c>
      <c r="G1780" s="31" t="n">
        <v>28.3</v>
      </c>
      <c r="H1780" s="32" t="n">
        <v>0.0531328320802005</v>
      </c>
      <c r="I1780" s="31" t="n">
        <v>31.6</v>
      </c>
      <c r="J1780" s="2" t="s">
        <v>2884</v>
      </c>
      <c r="K1780" s="33" t="n">
        <v>0.103711503027112</v>
      </c>
      <c r="L1780" s="31" t="n">
        <v>38.6</v>
      </c>
      <c r="M1780" s="34" t="s">
        <v>822</v>
      </c>
      <c r="N1780" s="2" t="s">
        <v>24</v>
      </c>
      <c r="O1780" s="2" t="s">
        <v>24</v>
      </c>
      <c r="P1780" s="2" t="s">
        <v>24</v>
      </c>
      <c r="Q1780" s="2" t="s">
        <v>24</v>
      </c>
    </row>
    <row r="1781" customFormat="false" ht="15" hidden="false" customHeight="false" outlineLevel="0" collapsed="false">
      <c r="A1781" s="2" t="s">
        <v>2034</v>
      </c>
      <c r="B1781" s="2" t="s">
        <v>47</v>
      </c>
      <c r="C1781" s="13" t="s">
        <v>2249</v>
      </c>
      <c r="D1781" s="29" t="n">
        <v>39670</v>
      </c>
      <c r="E1781" s="2" t="s">
        <v>821</v>
      </c>
      <c r="F1781" s="30" t="n">
        <v>4.02798084194606</v>
      </c>
      <c r="G1781" s="31" t="n">
        <v>94.7</v>
      </c>
      <c r="H1781" s="32" t="n">
        <v>0.0862541073384447</v>
      </c>
      <c r="I1781" s="31" t="n">
        <v>44.8</v>
      </c>
      <c r="J1781" s="2" t="s">
        <v>2886</v>
      </c>
      <c r="K1781" s="33" t="n">
        <v>0.120543293718166</v>
      </c>
      <c r="L1781" s="31" t="n">
        <v>65.9</v>
      </c>
      <c r="M1781" s="34" t="s">
        <v>822</v>
      </c>
      <c r="N1781" s="2" t="s">
        <v>24</v>
      </c>
      <c r="O1781" s="2" t="s">
        <v>24</v>
      </c>
      <c r="P1781" s="2" t="s">
        <v>24</v>
      </c>
      <c r="Q1781" s="2" t="s">
        <v>24</v>
      </c>
    </row>
    <row r="1782" customFormat="false" ht="15" hidden="false" customHeight="false" outlineLevel="0" collapsed="false">
      <c r="A1782" s="2" t="s">
        <v>530</v>
      </c>
      <c r="B1782" s="2" t="s">
        <v>45</v>
      </c>
      <c r="C1782" s="13" t="s">
        <v>1262</v>
      </c>
      <c r="D1782" s="29" t="n">
        <v>207820</v>
      </c>
      <c r="E1782" s="2" t="s">
        <v>827</v>
      </c>
      <c r="F1782" s="30" t="n">
        <v>0.529515927244731</v>
      </c>
      <c r="G1782" s="31" t="n">
        <v>45.6</v>
      </c>
      <c r="H1782" s="32" t="n">
        <v>0.0301378011301675</v>
      </c>
      <c r="I1782" s="31" t="n">
        <v>22.1</v>
      </c>
      <c r="J1782" s="2" t="s">
        <v>2890</v>
      </c>
      <c r="K1782" s="33" t="n">
        <v>0.244176013805004</v>
      </c>
      <c r="L1782" s="31" t="n">
        <v>81.1</v>
      </c>
      <c r="M1782" s="34" t="s">
        <v>822</v>
      </c>
      <c r="N1782" s="2" t="s">
        <v>24</v>
      </c>
      <c r="O1782" s="2" t="s">
        <v>24</v>
      </c>
      <c r="P1782" s="2" t="s">
        <v>24</v>
      </c>
      <c r="Q1782" s="2" t="s">
        <v>24</v>
      </c>
    </row>
    <row r="1783" customFormat="false" ht="15" hidden="false" customHeight="false" outlineLevel="0" collapsed="false">
      <c r="A1783" s="2" t="s">
        <v>530</v>
      </c>
      <c r="B1783" s="2" t="s">
        <v>46</v>
      </c>
      <c r="C1783" s="13" t="s">
        <v>2047</v>
      </c>
      <c r="D1783" s="29" t="n">
        <v>23120</v>
      </c>
      <c r="E1783" s="2" t="s">
        <v>821</v>
      </c>
      <c r="F1783" s="30" t="n">
        <v>1.87257785467128</v>
      </c>
      <c r="G1783" s="31" t="n">
        <v>25.7</v>
      </c>
      <c r="H1783" s="32" t="n">
        <v>0.136117936117936</v>
      </c>
      <c r="I1783" s="31" t="n">
        <v>75.6</v>
      </c>
      <c r="J1783" s="2" t="s">
        <v>2884</v>
      </c>
      <c r="K1783" s="33" t="n">
        <v>0.0890233362143475</v>
      </c>
      <c r="L1783" s="31" t="n">
        <v>32.5</v>
      </c>
      <c r="M1783" s="34" t="s">
        <v>822</v>
      </c>
      <c r="N1783" s="2" t="s">
        <v>24</v>
      </c>
      <c r="O1783" s="2" t="s">
        <v>24</v>
      </c>
      <c r="P1783" s="2" t="s">
        <v>24</v>
      </c>
      <c r="Q1783" s="2" t="s">
        <v>24</v>
      </c>
    </row>
    <row r="1784" customFormat="false" ht="15" hidden="false" customHeight="false" outlineLevel="0" collapsed="false">
      <c r="A1784" s="2" t="s">
        <v>530</v>
      </c>
      <c r="B1784" s="2" t="s">
        <v>47</v>
      </c>
      <c r="C1784" s="13" t="s">
        <v>2429</v>
      </c>
      <c r="D1784" s="29" t="n">
        <v>15900</v>
      </c>
      <c r="E1784" s="2" t="s">
        <v>821</v>
      </c>
      <c r="F1784" s="30" t="n">
        <v>1.65616352201258</v>
      </c>
      <c r="G1784" s="31" t="n">
        <v>66.1</v>
      </c>
      <c r="H1784" s="32" t="n">
        <v>0.230650154798762</v>
      </c>
      <c r="I1784" s="31" t="n">
        <v>96.1</v>
      </c>
      <c r="J1784" s="2" t="s">
        <v>2886</v>
      </c>
      <c r="K1784" s="33" t="n">
        <v>0.0021505376344086</v>
      </c>
      <c r="L1784" s="31" t="n">
        <v>2.9</v>
      </c>
      <c r="M1784" s="34" t="s">
        <v>822</v>
      </c>
      <c r="N1784" s="2" t="s">
        <v>24</v>
      </c>
      <c r="O1784" s="2" t="s">
        <v>24</v>
      </c>
      <c r="P1784" s="2" t="s">
        <v>24</v>
      </c>
      <c r="Q1784" s="2" t="s">
        <v>24</v>
      </c>
    </row>
    <row r="1785" customFormat="false" ht="15" hidden="false" customHeight="false" outlineLevel="0" collapsed="false">
      <c r="A1785" s="2" t="s">
        <v>632</v>
      </c>
      <c r="B1785" s="2" t="s">
        <v>45</v>
      </c>
      <c r="C1785" s="13" t="s">
        <v>1413</v>
      </c>
      <c r="D1785" s="42" t="n">
        <v>12340</v>
      </c>
      <c r="E1785" s="2" t="s">
        <v>821</v>
      </c>
      <c r="F1785" s="43" t="n">
        <v>0.377228525121556</v>
      </c>
      <c r="G1785" s="31" t="n">
        <v>26.3</v>
      </c>
      <c r="H1785" s="41" t="n">
        <v>0.252919078078993</v>
      </c>
      <c r="I1785" s="31" t="n">
        <v>98.3</v>
      </c>
      <c r="J1785" s="2" t="s">
        <v>2883</v>
      </c>
      <c r="K1785" s="33" t="n">
        <v>0.12972972972973</v>
      </c>
      <c r="L1785" s="31" t="n">
        <v>47.6</v>
      </c>
      <c r="M1785" s="34" t="s">
        <v>822</v>
      </c>
      <c r="N1785" s="2" t="s">
        <v>22</v>
      </c>
      <c r="O1785" s="2" t="s">
        <v>22</v>
      </c>
      <c r="P1785" s="2" t="s">
        <v>22</v>
      </c>
      <c r="Q1785" s="2" t="s">
        <v>24</v>
      </c>
    </row>
    <row r="1786" customFormat="false" ht="15" hidden="false" customHeight="false" outlineLevel="0" collapsed="false">
      <c r="A1786" s="2" t="s">
        <v>632</v>
      </c>
      <c r="B1786" s="2" t="s">
        <v>47</v>
      </c>
      <c r="C1786" s="14" t="s">
        <v>2556</v>
      </c>
      <c r="D1786" s="42" t="n">
        <v>17268</v>
      </c>
      <c r="E1786" s="2" t="s">
        <v>821</v>
      </c>
      <c r="F1786" s="43" t="n">
        <v>1.21392170488765</v>
      </c>
      <c r="G1786" s="31" t="n">
        <v>48.1</v>
      </c>
      <c r="H1786" s="41" t="n">
        <v>0.13980198019802</v>
      </c>
      <c r="I1786" s="31" t="n">
        <v>70.5</v>
      </c>
      <c r="J1786" s="2" t="s">
        <v>2886</v>
      </c>
      <c r="K1786" s="44" t="n">
        <v>0.0262210796915167</v>
      </c>
      <c r="L1786" s="31" t="n">
        <v>16.8</v>
      </c>
      <c r="M1786" s="34" t="s">
        <v>822</v>
      </c>
      <c r="N1786" s="2" t="s">
        <v>22</v>
      </c>
      <c r="O1786" s="2" t="s">
        <v>22</v>
      </c>
      <c r="P1786" s="2" t="s">
        <v>22</v>
      </c>
      <c r="Q1786" s="2" t="s">
        <v>22</v>
      </c>
    </row>
    <row r="1787" customFormat="false" ht="15" hidden="false" customHeight="false" outlineLevel="0" collapsed="false">
      <c r="A1787" s="2" t="s">
        <v>642</v>
      </c>
      <c r="B1787" s="2" t="s">
        <v>45</v>
      </c>
      <c r="C1787" s="14" t="s">
        <v>1386</v>
      </c>
      <c r="D1787" s="42" t="n">
        <v>8257</v>
      </c>
      <c r="E1787" s="2" t="s">
        <v>825</v>
      </c>
      <c r="F1787" s="43" t="n">
        <v>0.413467361027007</v>
      </c>
      <c r="G1787" s="31" t="n">
        <v>30.6</v>
      </c>
      <c r="H1787" s="41" t="n">
        <v>-0.0202895111532985</v>
      </c>
      <c r="I1787" s="31" t="n">
        <v>4.2</v>
      </c>
      <c r="J1787" s="2" t="s">
        <v>2899</v>
      </c>
      <c r="K1787" s="44" t="n">
        <v>0.257352941176471</v>
      </c>
      <c r="L1787" s="31" t="n">
        <v>83.2</v>
      </c>
      <c r="M1787" s="34" t="s">
        <v>822</v>
      </c>
      <c r="N1787" s="2" t="s">
        <v>22</v>
      </c>
      <c r="O1787" s="2" t="s">
        <v>22</v>
      </c>
      <c r="P1787" s="2" t="s">
        <v>22</v>
      </c>
      <c r="Q1787" s="2" t="s">
        <v>22</v>
      </c>
    </row>
    <row r="1788" customFormat="false" ht="15" hidden="false" customHeight="false" outlineLevel="0" collapsed="false">
      <c r="A1788" s="2" t="s">
        <v>642</v>
      </c>
      <c r="B1788" s="2" t="s">
        <v>47</v>
      </c>
      <c r="C1788" s="13" t="s">
        <v>2601</v>
      </c>
      <c r="D1788" s="29" t="n">
        <v>47640</v>
      </c>
      <c r="E1788" s="2" t="s">
        <v>821</v>
      </c>
      <c r="F1788" s="30" t="n">
        <v>1.05514273719563</v>
      </c>
      <c r="G1788" s="31" t="n">
        <v>40.7</v>
      </c>
      <c r="H1788" s="32" t="n">
        <v>0.0223175965665236</v>
      </c>
      <c r="I1788" s="31" t="n">
        <v>18.5</v>
      </c>
      <c r="J1788" s="2" t="s">
        <v>2886</v>
      </c>
      <c r="K1788" s="33" t="n">
        <v>0.161151697464547</v>
      </c>
      <c r="L1788" s="31" t="n">
        <v>76.3</v>
      </c>
      <c r="M1788" s="34" t="s">
        <v>822</v>
      </c>
      <c r="N1788" s="2" t="s">
        <v>24</v>
      </c>
      <c r="O1788" s="2" t="s">
        <v>24</v>
      </c>
      <c r="P1788" s="2" t="s">
        <v>24</v>
      </c>
      <c r="Q1788" s="2" t="s">
        <v>24</v>
      </c>
    </row>
    <row r="1789" customFormat="false" ht="15" hidden="false" customHeight="false" outlineLevel="0" collapsed="false">
      <c r="A1789" s="2" t="s">
        <v>1594</v>
      </c>
      <c r="B1789" s="2" t="s">
        <v>45</v>
      </c>
      <c r="C1789" s="13" t="s">
        <v>1595</v>
      </c>
      <c r="D1789" s="29" t="n">
        <v>21250</v>
      </c>
      <c r="E1789" s="2" t="s">
        <v>821</v>
      </c>
      <c r="F1789" s="30" t="n">
        <v>0.063764705882353</v>
      </c>
      <c r="G1789" s="31" t="n">
        <v>0.4</v>
      </c>
      <c r="H1789" s="32" t="n">
        <v>0.241238317757009</v>
      </c>
      <c r="I1789" s="31" t="n">
        <v>97.6</v>
      </c>
      <c r="J1789" s="2" t="s">
        <v>2883</v>
      </c>
      <c r="K1789" s="33" t="n">
        <v>0.425531914893617</v>
      </c>
      <c r="L1789" s="31" t="n">
        <v>99.1</v>
      </c>
      <c r="M1789" s="34" t="s">
        <v>822</v>
      </c>
      <c r="N1789" s="2" t="s">
        <v>24</v>
      </c>
      <c r="O1789" s="2" t="s">
        <v>24</v>
      </c>
      <c r="P1789" s="2" t="s">
        <v>24</v>
      </c>
      <c r="Q1789" s="2" t="s">
        <v>24</v>
      </c>
    </row>
    <row r="1790" customFormat="false" ht="15" hidden="false" customHeight="false" outlineLevel="0" collapsed="false">
      <c r="A1790" s="2" t="s">
        <v>1594</v>
      </c>
      <c r="B1790" s="2" t="s">
        <v>46</v>
      </c>
      <c r="C1790" s="16"/>
      <c r="D1790" s="35"/>
      <c r="E1790" s="2"/>
      <c r="F1790" s="36"/>
      <c r="G1790" s="31"/>
      <c r="H1790" s="37"/>
      <c r="I1790" s="31"/>
      <c r="J1790" s="2"/>
      <c r="K1790" s="38"/>
      <c r="L1790" s="31"/>
      <c r="M1790" s="39" t="s">
        <v>832</v>
      </c>
      <c r="N1790" s="2"/>
      <c r="O1790" s="2"/>
      <c r="P1790" s="2"/>
      <c r="Q1790" s="2"/>
    </row>
    <row r="1791" customFormat="false" ht="15" hidden="false" customHeight="false" outlineLevel="0" collapsed="false">
      <c r="A1791" s="2" t="s">
        <v>1594</v>
      </c>
      <c r="B1791" s="2" t="s">
        <v>47</v>
      </c>
      <c r="C1791" s="13" t="s">
        <v>2515</v>
      </c>
      <c r="D1791" s="29" t="n">
        <v>12780</v>
      </c>
      <c r="E1791" s="2" t="s">
        <v>821</v>
      </c>
      <c r="F1791" s="30" t="n">
        <v>1.32816901408451</v>
      </c>
      <c r="G1791" s="31" t="n">
        <v>53.3</v>
      </c>
      <c r="H1791" s="32" t="n">
        <v>0.109375</v>
      </c>
      <c r="I1791" s="31" t="n">
        <v>57.8</v>
      </c>
      <c r="J1791" s="2" t="s">
        <v>2886</v>
      </c>
      <c r="K1791" s="33" t="n">
        <v>0.0356359649122807</v>
      </c>
      <c r="L1791" s="31" t="n">
        <v>23.1</v>
      </c>
      <c r="M1791" s="34" t="s">
        <v>822</v>
      </c>
      <c r="N1791" s="2" t="s">
        <v>24</v>
      </c>
      <c r="O1791" s="2" t="s">
        <v>24</v>
      </c>
      <c r="P1791" s="2" t="s">
        <v>24</v>
      </c>
      <c r="Q1791" s="2" t="s">
        <v>24</v>
      </c>
    </row>
    <row r="1792" customFormat="false" ht="15" hidden="false" customHeight="false" outlineLevel="0" collapsed="false">
      <c r="A1792" s="2" t="s">
        <v>2433</v>
      </c>
      <c r="B1792" s="2" t="s">
        <v>45</v>
      </c>
      <c r="C1792" s="13" t="s">
        <v>3322</v>
      </c>
      <c r="D1792" s="29" t="n">
        <v>91310</v>
      </c>
      <c r="E1792" s="2" t="s">
        <v>821</v>
      </c>
      <c r="F1792" s="30" t="n">
        <v>0.105848209396561</v>
      </c>
      <c r="G1792" s="31" t="n">
        <v>2.1</v>
      </c>
      <c r="H1792" s="32" t="n">
        <v>0.141232345956755</v>
      </c>
      <c r="I1792" s="31" t="n">
        <v>74.2</v>
      </c>
      <c r="J1792" s="2" t="s">
        <v>2883</v>
      </c>
      <c r="K1792" s="38"/>
      <c r="L1792" s="31"/>
      <c r="M1792" s="39" t="s">
        <v>832</v>
      </c>
      <c r="N1792" s="2" t="s">
        <v>24</v>
      </c>
      <c r="O1792" s="2" t="s">
        <v>24</v>
      </c>
      <c r="P1792" s="2" t="s">
        <v>24</v>
      </c>
      <c r="Q1792" s="2"/>
    </row>
    <row r="1793" customFormat="false" ht="15" hidden="false" customHeight="false" outlineLevel="0" collapsed="false">
      <c r="A1793" s="2" t="s">
        <v>2433</v>
      </c>
      <c r="B1793" s="2" t="s">
        <v>46</v>
      </c>
      <c r="C1793" s="14" t="s">
        <v>3323</v>
      </c>
      <c r="D1793" s="42" t="n">
        <v>186944</v>
      </c>
      <c r="E1793" s="2" t="s">
        <v>827</v>
      </c>
      <c r="F1793" s="43" t="n">
        <v>3.20765041937693</v>
      </c>
      <c r="G1793" s="31" t="n">
        <v>50.5</v>
      </c>
      <c r="H1793" s="41" t="n">
        <v>0.088770078391632</v>
      </c>
      <c r="I1793" s="31" t="n">
        <v>55.4</v>
      </c>
      <c r="J1793" s="2" t="s">
        <v>2888</v>
      </c>
      <c r="K1793" s="38"/>
      <c r="L1793" s="31"/>
      <c r="M1793" s="39" t="s">
        <v>832</v>
      </c>
      <c r="N1793" s="2" t="s">
        <v>22</v>
      </c>
      <c r="O1793" s="2" t="s">
        <v>22</v>
      </c>
      <c r="P1793" s="2" t="s">
        <v>22</v>
      </c>
      <c r="Q1793" s="2"/>
    </row>
    <row r="1794" customFormat="false" ht="15" hidden="false" customHeight="false" outlineLevel="0" collapsed="false">
      <c r="A1794" s="2" t="s">
        <v>2433</v>
      </c>
      <c r="B1794" s="2" t="s">
        <v>47</v>
      </c>
      <c r="C1794" s="13" t="s">
        <v>2434</v>
      </c>
      <c r="D1794" s="29" t="n">
        <v>27380</v>
      </c>
      <c r="E1794" s="2" t="s">
        <v>821</v>
      </c>
      <c r="F1794" s="30" t="n">
        <v>1.64864864864865</v>
      </c>
      <c r="G1794" s="31" t="n">
        <v>65.6</v>
      </c>
      <c r="H1794" s="32" t="n">
        <v>0.0737254901960784</v>
      </c>
      <c r="I1794" s="31" t="n">
        <v>38</v>
      </c>
      <c r="J1794" s="2" t="s">
        <v>2886</v>
      </c>
      <c r="K1794" s="33" t="n">
        <v>0.0571533923303835</v>
      </c>
      <c r="L1794" s="31" t="n">
        <v>35.5</v>
      </c>
      <c r="M1794" s="34" t="s">
        <v>822</v>
      </c>
      <c r="N1794" s="2" t="s">
        <v>24</v>
      </c>
      <c r="O1794" s="2" t="s">
        <v>24</v>
      </c>
      <c r="P1794" s="2" t="s">
        <v>24</v>
      </c>
      <c r="Q1794" s="2" t="s">
        <v>24</v>
      </c>
    </row>
    <row r="1795" customFormat="false" ht="15" hidden="false" customHeight="false" outlineLevel="0" collapsed="false">
      <c r="A1795" s="2" t="s">
        <v>1575</v>
      </c>
      <c r="B1795" s="2" t="s">
        <v>45</v>
      </c>
      <c r="C1795" s="14" t="s">
        <v>1576</v>
      </c>
      <c r="D1795" s="42" t="n">
        <v>45097</v>
      </c>
      <c r="E1795" s="2" t="s">
        <v>821</v>
      </c>
      <c r="F1795" s="43" t="n">
        <v>0.124376344324456</v>
      </c>
      <c r="G1795" s="31" t="n">
        <v>3.6</v>
      </c>
      <c r="H1795" s="41" t="n">
        <v>-0.0581834889209114</v>
      </c>
      <c r="I1795" s="31" t="n">
        <v>2.4</v>
      </c>
      <c r="J1795" s="2" t="s">
        <v>2883</v>
      </c>
      <c r="K1795" s="44" t="n">
        <v>0.310975609756098</v>
      </c>
      <c r="L1795" s="31" t="n">
        <v>91.4</v>
      </c>
      <c r="M1795" s="34" t="s">
        <v>822</v>
      </c>
      <c r="N1795" s="2" t="s">
        <v>22</v>
      </c>
      <c r="O1795" s="2" t="s">
        <v>22</v>
      </c>
      <c r="P1795" s="2" t="s">
        <v>22</v>
      </c>
      <c r="Q1795" s="2" t="s">
        <v>22</v>
      </c>
    </row>
    <row r="1796" customFormat="false" ht="15" hidden="false" customHeight="false" outlineLevel="0" collapsed="false">
      <c r="A1796" s="2" t="s">
        <v>1575</v>
      </c>
      <c r="B1796" s="2" t="s">
        <v>46</v>
      </c>
      <c r="C1796" s="13" t="s">
        <v>2072</v>
      </c>
      <c r="D1796" s="29" t="n">
        <v>69540</v>
      </c>
      <c r="E1796" s="2" t="s">
        <v>821</v>
      </c>
      <c r="F1796" s="30" t="n">
        <v>1.72412999712396</v>
      </c>
      <c r="G1796" s="31" t="n">
        <v>21.8</v>
      </c>
      <c r="H1796" s="32" t="n">
        <v>0.109798914778168</v>
      </c>
      <c r="I1796" s="31" t="n">
        <v>64.7</v>
      </c>
      <c r="J1796" s="2" t="s">
        <v>2884</v>
      </c>
      <c r="K1796" s="33" t="n">
        <v>0.12646484375</v>
      </c>
      <c r="L1796" s="31" t="n">
        <v>47.9</v>
      </c>
      <c r="M1796" s="34" t="s">
        <v>822</v>
      </c>
      <c r="N1796" s="2" t="s">
        <v>24</v>
      </c>
      <c r="O1796" s="2" t="s">
        <v>24</v>
      </c>
      <c r="P1796" s="2" t="s">
        <v>24</v>
      </c>
      <c r="Q1796" s="2" t="s">
        <v>24</v>
      </c>
    </row>
    <row r="1797" customFormat="false" ht="15" hidden="false" customHeight="false" outlineLevel="0" collapsed="false">
      <c r="A1797" s="2" t="s">
        <v>1575</v>
      </c>
      <c r="B1797" s="2" t="s">
        <v>47</v>
      </c>
      <c r="C1797" s="16"/>
      <c r="D1797" s="35"/>
      <c r="E1797" s="2"/>
      <c r="F1797" s="36"/>
      <c r="G1797" s="31"/>
      <c r="H1797" s="37"/>
      <c r="I1797" s="31"/>
      <c r="J1797" s="2"/>
      <c r="K1797" s="38"/>
      <c r="L1797" s="31"/>
      <c r="M1797" s="39" t="s">
        <v>832</v>
      </c>
      <c r="N1797" s="2"/>
      <c r="O1797" s="2"/>
      <c r="P1797" s="2"/>
      <c r="Q1797" s="2"/>
    </row>
    <row r="1798" customFormat="false" ht="15" hidden="false" customHeight="false" outlineLevel="0" collapsed="false">
      <c r="A1798" s="2" t="s">
        <v>1291</v>
      </c>
      <c r="B1798" s="2" t="s">
        <v>45</v>
      </c>
      <c r="C1798" s="13" t="s">
        <v>1292</v>
      </c>
      <c r="D1798" s="29" t="n">
        <v>253160</v>
      </c>
      <c r="E1798" s="2" t="s">
        <v>827</v>
      </c>
      <c r="F1798" s="30" t="n">
        <v>0.506000158002844</v>
      </c>
      <c r="G1798" s="31" t="n">
        <v>42.2</v>
      </c>
      <c r="H1798" s="32" t="n">
        <v>0.253888063397722</v>
      </c>
      <c r="I1798" s="31" t="n">
        <v>97.9</v>
      </c>
      <c r="J1798" s="2" t="s">
        <v>2890</v>
      </c>
      <c r="K1798" s="33" t="n">
        <v>0.0765049599130317</v>
      </c>
      <c r="L1798" s="31" t="n">
        <v>24.5</v>
      </c>
      <c r="M1798" s="34" t="s">
        <v>822</v>
      </c>
      <c r="N1798" s="2" t="s">
        <v>24</v>
      </c>
      <c r="O1798" s="2" t="s">
        <v>24</v>
      </c>
      <c r="P1798" s="2" t="s">
        <v>24</v>
      </c>
      <c r="Q1798" s="2" t="s">
        <v>24</v>
      </c>
    </row>
    <row r="1799" customFormat="false" ht="15" hidden="false" customHeight="false" outlineLevel="0" collapsed="false">
      <c r="A1799" s="2" t="s">
        <v>1291</v>
      </c>
      <c r="B1799" s="2" t="s">
        <v>46</v>
      </c>
      <c r="C1799" s="16"/>
      <c r="D1799" s="35"/>
      <c r="E1799" s="2"/>
      <c r="F1799" s="36"/>
      <c r="G1799" s="31"/>
      <c r="H1799" s="37"/>
      <c r="I1799" s="31"/>
      <c r="J1799" s="2"/>
      <c r="K1799" s="38"/>
      <c r="L1799" s="31"/>
      <c r="M1799" s="39" t="s">
        <v>832</v>
      </c>
      <c r="N1799" s="2"/>
      <c r="O1799" s="2"/>
      <c r="P1799" s="2"/>
      <c r="Q1799" s="2"/>
    </row>
    <row r="1800" customFormat="false" ht="15" hidden="false" customHeight="false" outlineLevel="0" collapsed="false">
      <c r="A1800" s="2" t="s">
        <v>296</v>
      </c>
      <c r="B1800" s="2" t="s">
        <v>45</v>
      </c>
      <c r="C1800" s="14" t="s">
        <v>1140</v>
      </c>
      <c r="D1800" s="42" t="n">
        <v>276412</v>
      </c>
      <c r="E1800" s="2" t="s">
        <v>827</v>
      </c>
      <c r="F1800" s="43" t="n">
        <v>0.703967266254721</v>
      </c>
      <c r="G1800" s="31" t="n">
        <v>61.8</v>
      </c>
      <c r="H1800" s="41" t="n">
        <v>0.206075494255682</v>
      </c>
      <c r="I1800" s="31" t="n">
        <v>95</v>
      </c>
      <c r="J1800" s="2" t="s">
        <v>2890</v>
      </c>
      <c r="K1800" s="44" t="n">
        <v>0.139047102431968</v>
      </c>
      <c r="L1800" s="31" t="n">
        <v>52.9</v>
      </c>
      <c r="M1800" s="34" t="s">
        <v>822</v>
      </c>
      <c r="N1800" s="2" t="s">
        <v>22</v>
      </c>
      <c r="O1800" s="2" t="s">
        <v>22</v>
      </c>
      <c r="P1800" s="2" t="s">
        <v>22</v>
      </c>
      <c r="Q1800" s="2" t="s">
        <v>22</v>
      </c>
    </row>
    <row r="1801" customFormat="false" ht="15" hidden="false" customHeight="false" outlineLevel="0" collapsed="false">
      <c r="A1801" s="2" t="s">
        <v>296</v>
      </c>
      <c r="B1801" s="2" t="s">
        <v>46</v>
      </c>
      <c r="C1801" s="13" t="s">
        <v>1675</v>
      </c>
      <c r="D1801" s="29" t="n">
        <v>25070</v>
      </c>
      <c r="E1801" s="2" t="s">
        <v>821</v>
      </c>
      <c r="F1801" s="30" t="n">
        <v>7.3856003191065</v>
      </c>
      <c r="G1801" s="31" t="n">
        <v>88</v>
      </c>
      <c r="H1801" s="32" t="n">
        <v>0.101493848857645</v>
      </c>
      <c r="I1801" s="31" t="n">
        <v>58.5</v>
      </c>
      <c r="J1801" s="2" t="s">
        <v>2884</v>
      </c>
      <c r="K1801" s="33" t="n">
        <v>0.124579720403468</v>
      </c>
      <c r="L1801" s="31" t="n">
        <v>47</v>
      </c>
      <c r="M1801" s="34" t="s">
        <v>822</v>
      </c>
      <c r="N1801" s="2" t="s">
        <v>24</v>
      </c>
      <c r="O1801" s="2" t="s">
        <v>24</v>
      </c>
      <c r="P1801" s="2" t="s">
        <v>24</v>
      </c>
      <c r="Q1801" s="2" t="s">
        <v>24</v>
      </c>
    </row>
    <row r="1802" customFormat="false" ht="15" hidden="false" customHeight="false" outlineLevel="0" collapsed="false">
      <c r="A1802" s="2" t="s">
        <v>296</v>
      </c>
      <c r="B1802" s="2" t="s">
        <v>47</v>
      </c>
      <c r="C1802" s="14" t="s">
        <v>2591</v>
      </c>
      <c r="D1802" s="42" t="n">
        <v>40956</v>
      </c>
      <c r="E1802" s="2" t="s">
        <v>821</v>
      </c>
      <c r="F1802" s="43" t="n">
        <v>1.09695771071394</v>
      </c>
      <c r="G1802" s="31" t="n">
        <v>42.2</v>
      </c>
      <c r="H1802" s="41" t="n">
        <v>0.0548329770520514</v>
      </c>
      <c r="I1802" s="31" t="n">
        <v>30.2</v>
      </c>
      <c r="J1802" s="2" t="s">
        <v>2886</v>
      </c>
      <c r="K1802" s="44" t="n">
        <v>0.0926829268292683</v>
      </c>
      <c r="L1802" s="31" t="n">
        <v>55</v>
      </c>
      <c r="M1802" s="34" t="s">
        <v>822</v>
      </c>
      <c r="N1802" s="2" t="s">
        <v>22</v>
      </c>
      <c r="O1802" s="2" t="s">
        <v>22</v>
      </c>
      <c r="P1802" s="2" t="s">
        <v>22</v>
      </c>
      <c r="Q1802" s="2" t="s">
        <v>22</v>
      </c>
    </row>
    <row r="1803" customFormat="false" ht="15" hidden="false" customHeight="false" outlineLevel="0" collapsed="false">
      <c r="A1803" s="2" t="s">
        <v>342</v>
      </c>
      <c r="B1803" s="2" t="s">
        <v>45</v>
      </c>
      <c r="C1803" s="15" t="s">
        <v>1046</v>
      </c>
      <c r="D1803" s="46" t="n">
        <v>311674</v>
      </c>
      <c r="E1803" s="2" t="s">
        <v>827</v>
      </c>
      <c r="F1803" s="47" t="n">
        <v>0.885223021490403</v>
      </c>
      <c r="G1803" s="31" t="n">
        <v>74.1</v>
      </c>
      <c r="H1803" s="48" t="n">
        <v>-0.0196186983149372</v>
      </c>
      <c r="I1803" s="31" t="n">
        <v>9.3</v>
      </c>
      <c r="J1803" s="2" t="s">
        <v>2890</v>
      </c>
      <c r="K1803" s="40" t="s">
        <v>857</v>
      </c>
      <c r="L1803" s="31"/>
      <c r="M1803" s="34" t="s">
        <v>822</v>
      </c>
      <c r="N1803" s="2" t="s">
        <v>19</v>
      </c>
      <c r="O1803" s="2" t="s">
        <v>19</v>
      </c>
      <c r="P1803" s="2" t="s">
        <v>19</v>
      </c>
      <c r="Q1803" s="2" t="s">
        <v>2898</v>
      </c>
    </row>
    <row r="1804" customFormat="false" ht="15" hidden="false" customHeight="false" outlineLevel="0" collapsed="false">
      <c r="A1804" s="2" t="s">
        <v>342</v>
      </c>
      <c r="B1804" s="2" t="s">
        <v>46</v>
      </c>
      <c r="C1804" s="13" t="s">
        <v>1607</v>
      </c>
      <c r="D1804" s="29" t="n">
        <v>14650</v>
      </c>
      <c r="E1804" s="2" t="s">
        <v>821</v>
      </c>
      <c r="F1804" s="30" t="n">
        <v>16.9550853242321</v>
      </c>
      <c r="G1804" s="31" t="n">
        <v>98.8</v>
      </c>
      <c r="H1804" s="32" t="n">
        <v>0.145426114151681</v>
      </c>
      <c r="I1804" s="31" t="n">
        <v>78.9</v>
      </c>
      <c r="J1804" s="2" t="s">
        <v>2884</v>
      </c>
      <c r="K1804" s="33" t="n">
        <v>0.324214987478328</v>
      </c>
      <c r="L1804" s="31" t="n">
        <v>92.1</v>
      </c>
      <c r="M1804" s="34" t="s">
        <v>822</v>
      </c>
      <c r="N1804" s="2" t="s">
        <v>24</v>
      </c>
      <c r="O1804" s="2" t="s">
        <v>24</v>
      </c>
      <c r="P1804" s="2" t="s">
        <v>24</v>
      </c>
      <c r="Q1804" s="2" t="s">
        <v>24</v>
      </c>
    </row>
    <row r="1805" customFormat="false" ht="15" hidden="false" customHeight="false" outlineLevel="0" collapsed="false">
      <c r="A1805" s="2" t="s">
        <v>342</v>
      </c>
      <c r="B1805" s="2" t="s">
        <v>47</v>
      </c>
      <c r="C1805" s="13" t="s">
        <v>2826</v>
      </c>
      <c r="D1805" s="29" t="n">
        <v>39490</v>
      </c>
      <c r="E1805" s="2" t="s">
        <v>821</v>
      </c>
      <c r="F1805" s="30" t="n">
        <v>0.378678146366169</v>
      </c>
      <c r="G1805" s="31" t="n">
        <v>6.9</v>
      </c>
      <c r="H1805" s="32" t="n">
        <v>0.188383990370148</v>
      </c>
      <c r="I1805" s="31" t="n">
        <v>89.6</v>
      </c>
      <c r="J1805" s="2" t="s">
        <v>2886</v>
      </c>
      <c r="K1805" s="33" t="n">
        <v>0.0942956926658906</v>
      </c>
      <c r="L1805" s="31" t="n">
        <v>56.1</v>
      </c>
      <c r="M1805" s="34" t="s">
        <v>822</v>
      </c>
      <c r="N1805" s="2" t="s">
        <v>24</v>
      </c>
      <c r="O1805" s="2" t="s">
        <v>24</v>
      </c>
      <c r="P1805" s="2" t="s">
        <v>24</v>
      </c>
      <c r="Q1805" s="2" t="s">
        <v>24</v>
      </c>
    </row>
    <row r="1806" customFormat="false" ht="15" hidden="false" customHeight="false" outlineLevel="0" collapsed="false">
      <c r="A1806" s="2" t="s">
        <v>3324</v>
      </c>
      <c r="B1806" s="2" t="s">
        <v>45</v>
      </c>
      <c r="C1806" s="16"/>
      <c r="D1806" s="29" t="n">
        <v>489320</v>
      </c>
      <c r="E1806" s="2" t="s">
        <v>827</v>
      </c>
      <c r="F1806" s="30" t="n">
        <v>0.38199950952342</v>
      </c>
      <c r="G1806" s="31" t="n">
        <v>26.8</v>
      </c>
      <c r="H1806" s="32" t="n">
        <v>-0.00445565705682489</v>
      </c>
      <c r="I1806" s="31" t="n">
        <v>11.4</v>
      </c>
      <c r="J1806" s="2" t="s">
        <v>2890</v>
      </c>
      <c r="K1806" s="33" t="n">
        <v>0</v>
      </c>
      <c r="L1806" s="31" t="n">
        <v>1.3</v>
      </c>
      <c r="M1806" s="39" t="s">
        <v>832</v>
      </c>
      <c r="N1806" s="2" t="s">
        <v>24</v>
      </c>
      <c r="O1806" s="2" t="s">
        <v>24</v>
      </c>
      <c r="P1806" s="2" t="s">
        <v>24</v>
      </c>
      <c r="Q1806" s="2" t="s">
        <v>24</v>
      </c>
    </row>
    <row r="1807" customFormat="false" ht="15" hidden="false" customHeight="false" outlineLevel="0" collapsed="false">
      <c r="A1807" s="2" t="s">
        <v>3324</v>
      </c>
      <c r="B1807" s="2" t="s">
        <v>46</v>
      </c>
      <c r="C1807" s="13" t="s">
        <v>3325</v>
      </c>
      <c r="D1807" s="29" t="n">
        <v>209820</v>
      </c>
      <c r="E1807" s="2" t="s">
        <v>827</v>
      </c>
      <c r="F1807" s="30" t="n">
        <v>0.661671909255552</v>
      </c>
      <c r="G1807" s="31" t="n">
        <v>2.6</v>
      </c>
      <c r="H1807" s="37"/>
      <c r="I1807" s="31"/>
      <c r="J1807" s="2"/>
      <c r="K1807" s="33" t="n">
        <v>0.102895810528411</v>
      </c>
      <c r="L1807" s="31" t="n">
        <v>38.2</v>
      </c>
      <c r="M1807" s="39" t="s">
        <v>832</v>
      </c>
      <c r="N1807" s="2" t="s">
        <v>24</v>
      </c>
      <c r="O1807" s="2" t="s">
        <v>24</v>
      </c>
      <c r="P1807" s="2"/>
      <c r="Q1807" s="2" t="s">
        <v>24</v>
      </c>
    </row>
    <row r="1808" customFormat="false" ht="15" hidden="false" customHeight="false" outlineLevel="0" collapsed="false">
      <c r="A1808" s="2" t="s">
        <v>650</v>
      </c>
      <c r="B1808" s="2" t="s">
        <v>46</v>
      </c>
      <c r="C1808" s="13" t="s">
        <v>2036</v>
      </c>
      <c r="D1808" s="29" t="n">
        <v>26800</v>
      </c>
      <c r="E1808" s="2" t="s">
        <v>821</v>
      </c>
      <c r="F1808" s="30" t="n">
        <v>2.02738805970149</v>
      </c>
      <c r="G1808" s="31" t="n">
        <v>28.1</v>
      </c>
      <c r="H1808" s="32" t="n">
        <v>0.0997127615921215</v>
      </c>
      <c r="I1808" s="31" t="n">
        <v>56.7</v>
      </c>
      <c r="J1808" s="2" t="s">
        <v>2884</v>
      </c>
      <c r="K1808" s="33" t="n">
        <v>0.306712962962963</v>
      </c>
      <c r="L1808" s="31" t="n">
        <v>90.3</v>
      </c>
      <c r="M1808" s="34" t="s">
        <v>822</v>
      </c>
      <c r="N1808" s="2" t="s">
        <v>24</v>
      </c>
      <c r="O1808" s="2" t="s">
        <v>24</v>
      </c>
      <c r="P1808" s="2" t="s">
        <v>24</v>
      </c>
      <c r="Q1808" s="2" t="s">
        <v>24</v>
      </c>
    </row>
    <row r="1809" customFormat="false" ht="15" hidden="false" customHeight="false" outlineLevel="0" collapsed="false">
      <c r="A1809" s="2" t="s">
        <v>650</v>
      </c>
      <c r="B1809" s="2" t="s">
        <v>47</v>
      </c>
      <c r="C1809" s="14" t="s">
        <v>2600</v>
      </c>
      <c r="D1809" s="42" t="n">
        <v>570982</v>
      </c>
      <c r="E1809" s="2" t="s">
        <v>827</v>
      </c>
      <c r="F1809" s="43" t="n">
        <v>1.06056232946047</v>
      </c>
      <c r="G1809" s="31" t="n">
        <v>40.9</v>
      </c>
      <c r="H1809" s="41" t="n">
        <v>0.254740034281194</v>
      </c>
      <c r="I1809" s="31" t="n">
        <v>98.8</v>
      </c>
      <c r="J1809" s="2" t="s">
        <v>2897</v>
      </c>
      <c r="K1809" s="44" t="n">
        <v>0.0645499162078047</v>
      </c>
      <c r="L1809" s="31" t="n">
        <v>41.2</v>
      </c>
      <c r="M1809" s="34" t="s">
        <v>822</v>
      </c>
      <c r="N1809" s="2" t="s">
        <v>22</v>
      </c>
      <c r="O1809" s="2" t="s">
        <v>22</v>
      </c>
      <c r="P1809" s="2" t="s">
        <v>22</v>
      </c>
      <c r="Q1809" s="2" t="s">
        <v>22</v>
      </c>
    </row>
    <row r="1810" customFormat="false" ht="15" hidden="false" customHeight="false" outlineLevel="0" collapsed="false">
      <c r="A1810" s="2" t="s">
        <v>1028</v>
      </c>
      <c r="B1810" s="2" t="s">
        <v>45</v>
      </c>
      <c r="C1810" s="13" t="s">
        <v>1029</v>
      </c>
      <c r="D1810" s="29" t="n">
        <v>38230</v>
      </c>
      <c r="E1810" s="2" t="s">
        <v>821</v>
      </c>
      <c r="F1810" s="30" t="n">
        <v>0.913732670677478</v>
      </c>
      <c r="G1810" s="31" t="n">
        <v>75.6</v>
      </c>
      <c r="H1810" s="32" t="n">
        <v>0.0805539853024308</v>
      </c>
      <c r="I1810" s="31" t="n">
        <v>43.3</v>
      </c>
      <c r="J1810" s="2" t="s">
        <v>2883</v>
      </c>
      <c r="K1810" s="33" t="n">
        <v>0.0860215053763441</v>
      </c>
      <c r="L1810" s="31" t="n">
        <v>29.6</v>
      </c>
      <c r="M1810" s="34" t="s">
        <v>822</v>
      </c>
      <c r="N1810" s="2" t="s">
        <v>24</v>
      </c>
      <c r="O1810" s="2" t="s">
        <v>24</v>
      </c>
      <c r="P1810" s="2" t="s">
        <v>24</v>
      </c>
      <c r="Q1810" s="2" t="s">
        <v>24</v>
      </c>
    </row>
    <row r="1811" customFormat="false" ht="15" hidden="false" customHeight="false" outlineLevel="0" collapsed="false">
      <c r="A1811" s="2" t="s">
        <v>1028</v>
      </c>
      <c r="B1811" s="2" t="s">
        <v>46</v>
      </c>
      <c r="C1811" s="16"/>
      <c r="D1811" s="35"/>
      <c r="E1811" s="2"/>
      <c r="F1811" s="36"/>
      <c r="G1811" s="31"/>
      <c r="H1811" s="37"/>
      <c r="I1811" s="31"/>
      <c r="J1811" s="2"/>
      <c r="K1811" s="38"/>
      <c r="L1811" s="31"/>
      <c r="M1811" s="39" t="s">
        <v>832</v>
      </c>
      <c r="N1811" s="2"/>
      <c r="O1811" s="2"/>
      <c r="P1811" s="2"/>
      <c r="Q1811" s="2"/>
    </row>
    <row r="1812" customFormat="false" ht="15" hidden="false" customHeight="false" outlineLevel="0" collapsed="false">
      <c r="A1812" s="2" t="s">
        <v>1028</v>
      </c>
      <c r="B1812" s="2" t="s">
        <v>47</v>
      </c>
      <c r="C1812" s="14" t="s">
        <v>2480</v>
      </c>
      <c r="D1812" s="42" t="n">
        <v>10655</v>
      </c>
      <c r="E1812" s="2" t="s">
        <v>821</v>
      </c>
      <c r="F1812" s="43" t="n">
        <v>1.44598779915533</v>
      </c>
      <c r="G1812" s="31" t="n">
        <v>58.2</v>
      </c>
      <c r="H1812" s="41" t="n">
        <v>0.2156303479749</v>
      </c>
      <c r="I1812" s="31" t="n">
        <v>93.8</v>
      </c>
      <c r="J1812" s="2" t="s">
        <v>2886</v>
      </c>
      <c r="K1812" s="44" t="n">
        <v>0.0764144011756062</v>
      </c>
      <c r="L1812" s="31" t="n">
        <v>47.3</v>
      </c>
      <c r="M1812" s="34" t="s">
        <v>822</v>
      </c>
      <c r="N1812" s="2" t="s">
        <v>22</v>
      </c>
      <c r="O1812" s="2" t="s">
        <v>22</v>
      </c>
      <c r="P1812" s="2" t="s">
        <v>22</v>
      </c>
      <c r="Q1812" s="2" t="s">
        <v>22</v>
      </c>
    </row>
    <row r="1813" customFormat="false" ht="15" hidden="false" customHeight="false" outlineLevel="0" collapsed="false">
      <c r="A1813" s="2" t="s">
        <v>612</v>
      </c>
      <c r="B1813" s="2" t="s">
        <v>45</v>
      </c>
      <c r="C1813" s="13" t="s">
        <v>983</v>
      </c>
      <c r="D1813" s="29" t="n">
        <v>122520</v>
      </c>
      <c r="E1813" s="2" t="s">
        <v>827</v>
      </c>
      <c r="F1813" s="30" t="n">
        <v>1.10147730982697</v>
      </c>
      <c r="G1813" s="31" t="n">
        <v>80.9</v>
      </c>
      <c r="H1813" s="41" t="n">
        <v>0.067624712673931</v>
      </c>
      <c r="I1813" s="31" t="n">
        <v>38.6</v>
      </c>
      <c r="J1813" s="2" t="s">
        <v>2890</v>
      </c>
      <c r="K1813" s="44" t="n">
        <v>0.282729985727261</v>
      </c>
      <c r="L1813" s="31" t="n">
        <v>88.1</v>
      </c>
      <c r="M1813" s="34" t="s">
        <v>822</v>
      </c>
      <c r="N1813" s="2" t="s">
        <v>24</v>
      </c>
      <c r="O1813" s="2" t="s">
        <v>24</v>
      </c>
      <c r="P1813" s="2" t="s">
        <v>22</v>
      </c>
      <c r="Q1813" s="2" t="s">
        <v>22</v>
      </c>
    </row>
    <row r="1814" customFormat="false" ht="15" hidden="false" customHeight="false" outlineLevel="0" collapsed="false">
      <c r="A1814" s="2" t="s">
        <v>612</v>
      </c>
      <c r="B1814" s="2" t="s">
        <v>46</v>
      </c>
      <c r="C1814" s="13" t="s">
        <v>2204</v>
      </c>
      <c r="D1814" s="29" t="n">
        <v>99650</v>
      </c>
      <c r="E1814" s="2" t="s">
        <v>821</v>
      </c>
      <c r="F1814" s="30" t="n">
        <v>0.408309081786252</v>
      </c>
      <c r="G1814" s="31" t="n">
        <v>0.6</v>
      </c>
      <c r="H1814" s="32" t="n">
        <v>0.141858599747909</v>
      </c>
      <c r="I1814" s="31" t="n">
        <v>77.1</v>
      </c>
      <c r="J1814" s="2" t="s">
        <v>2884</v>
      </c>
      <c r="K1814" s="33" t="n">
        <v>0.322964318389753</v>
      </c>
      <c r="L1814" s="31" t="n">
        <v>91.8</v>
      </c>
      <c r="M1814" s="34" t="s">
        <v>822</v>
      </c>
      <c r="N1814" s="2" t="s">
        <v>24</v>
      </c>
      <c r="O1814" s="2" t="s">
        <v>24</v>
      </c>
      <c r="P1814" s="2" t="s">
        <v>24</v>
      </c>
      <c r="Q1814" s="2" t="s">
        <v>24</v>
      </c>
    </row>
    <row r="1815" customFormat="false" ht="15" hidden="false" customHeight="false" outlineLevel="0" collapsed="false">
      <c r="A1815" s="2" t="s">
        <v>612</v>
      </c>
      <c r="B1815" s="2" t="s">
        <v>47</v>
      </c>
      <c r="C1815" s="14" t="s">
        <v>2653</v>
      </c>
      <c r="D1815" s="42" t="n">
        <v>29093</v>
      </c>
      <c r="E1815" s="2" t="s">
        <v>821</v>
      </c>
      <c r="F1815" s="43" t="n">
        <v>0.876774481834118</v>
      </c>
      <c r="G1815" s="31" t="n">
        <v>33.2</v>
      </c>
      <c r="H1815" s="41" t="n">
        <v>0.180722402597403</v>
      </c>
      <c r="I1815" s="31" t="n">
        <v>87.7</v>
      </c>
      <c r="J1815" s="2" t="s">
        <v>2886</v>
      </c>
      <c r="K1815" s="44" t="n">
        <v>0.0556776556776557</v>
      </c>
      <c r="L1815" s="31" t="n">
        <v>35.1</v>
      </c>
      <c r="M1815" s="34" t="s">
        <v>822</v>
      </c>
      <c r="N1815" s="2" t="s">
        <v>22</v>
      </c>
      <c r="O1815" s="2" t="s">
        <v>22</v>
      </c>
      <c r="P1815" s="2" t="s">
        <v>22</v>
      </c>
      <c r="Q1815" s="2" t="s">
        <v>22</v>
      </c>
    </row>
    <row r="1816" customFormat="false" ht="15" hidden="false" customHeight="false" outlineLevel="0" collapsed="false">
      <c r="A1816" s="2" t="s">
        <v>1438</v>
      </c>
      <c r="B1816" s="2" t="s">
        <v>45</v>
      </c>
      <c r="C1816" s="13" t="s">
        <v>1439</v>
      </c>
      <c r="D1816" s="29" t="n">
        <v>102830</v>
      </c>
      <c r="E1816" s="2" t="s">
        <v>827</v>
      </c>
      <c r="F1816" s="30" t="n">
        <v>0.334007585335019</v>
      </c>
      <c r="G1816" s="31" t="n">
        <v>22.1</v>
      </c>
      <c r="H1816" s="32" t="n">
        <v>0.0418439716312057</v>
      </c>
      <c r="I1816" s="31" t="n">
        <v>25</v>
      </c>
      <c r="J1816" s="2" t="s">
        <v>2890</v>
      </c>
      <c r="K1816" s="33" t="n">
        <v>0.0287162162162162</v>
      </c>
      <c r="L1816" s="31" t="n">
        <v>7.5</v>
      </c>
      <c r="M1816" s="34" t="s">
        <v>822</v>
      </c>
      <c r="N1816" s="2" t="s">
        <v>24</v>
      </c>
      <c r="O1816" s="2" t="s">
        <v>24</v>
      </c>
      <c r="P1816" s="2" t="s">
        <v>24</v>
      </c>
      <c r="Q1816" s="2" t="s">
        <v>24</v>
      </c>
    </row>
    <row r="1817" customFormat="false" ht="15" hidden="false" customHeight="false" outlineLevel="0" collapsed="false">
      <c r="A1817" s="2" t="s">
        <v>1438</v>
      </c>
      <c r="B1817" s="2" t="s">
        <v>46</v>
      </c>
      <c r="C1817" s="13" t="s">
        <v>3326</v>
      </c>
      <c r="D1817" s="29" t="n">
        <v>20900</v>
      </c>
      <c r="E1817" s="2" t="s">
        <v>821</v>
      </c>
      <c r="F1817" s="36"/>
      <c r="G1817" s="31"/>
      <c r="H1817" s="32" t="n">
        <v>0.289327575570635</v>
      </c>
      <c r="I1817" s="31" t="n">
        <v>98.9</v>
      </c>
      <c r="J1817" s="2" t="s">
        <v>2884</v>
      </c>
      <c r="K1817" s="33" t="n">
        <v>0.150555104251286</v>
      </c>
      <c r="L1817" s="31" t="n">
        <v>55.4</v>
      </c>
      <c r="M1817" s="39" t="s">
        <v>832</v>
      </c>
      <c r="N1817" s="2" t="s">
        <v>24</v>
      </c>
      <c r="O1817" s="2"/>
      <c r="P1817" s="2" t="s">
        <v>24</v>
      </c>
      <c r="Q1817" s="2" t="s">
        <v>24</v>
      </c>
    </row>
    <row r="1818" customFormat="false" ht="15" hidden="false" customHeight="false" outlineLevel="0" collapsed="false">
      <c r="A1818" s="2" t="s">
        <v>1438</v>
      </c>
      <c r="B1818" s="2" t="s">
        <v>47</v>
      </c>
      <c r="C1818" s="14" t="s">
        <v>2589</v>
      </c>
      <c r="D1818" s="42" t="n">
        <v>59650</v>
      </c>
      <c r="E1818" s="2" t="s">
        <v>821</v>
      </c>
      <c r="F1818" s="43" t="n">
        <v>1.09815590947192</v>
      </c>
      <c r="G1818" s="31" t="n">
        <v>42.5</v>
      </c>
      <c r="H1818" s="41" t="n">
        <v>0.15016775288265</v>
      </c>
      <c r="I1818" s="31" t="n">
        <v>77.9</v>
      </c>
      <c r="J1818" s="2" t="s">
        <v>2886</v>
      </c>
      <c r="K1818" s="44" t="n">
        <v>0.131329113924051</v>
      </c>
      <c r="L1818" s="31" t="n">
        <v>68.6</v>
      </c>
      <c r="M1818" s="34" t="s">
        <v>822</v>
      </c>
      <c r="N1818" s="2" t="s">
        <v>22</v>
      </c>
      <c r="O1818" s="2" t="s">
        <v>22</v>
      </c>
      <c r="P1818" s="2" t="s">
        <v>22</v>
      </c>
      <c r="Q1818" s="2" t="s">
        <v>22</v>
      </c>
    </row>
    <row r="1819" customFormat="false" ht="15" hidden="false" customHeight="false" outlineLevel="0" collapsed="false">
      <c r="A1819" s="2" t="s">
        <v>752</v>
      </c>
      <c r="B1819" s="2" t="s">
        <v>46</v>
      </c>
      <c r="C1819" s="13" t="s">
        <v>2134</v>
      </c>
      <c r="D1819" s="29" t="n">
        <v>27500</v>
      </c>
      <c r="E1819" s="2" t="s">
        <v>821</v>
      </c>
      <c r="F1819" s="30" t="n">
        <v>1.33225454545455</v>
      </c>
      <c r="G1819" s="31" t="n">
        <v>11.6</v>
      </c>
      <c r="H1819" s="32" t="n">
        <v>0.156920488010097</v>
      </c>
      <c r="I1819" s="31" t="n">
        <v>82.5</v>
      </c>
      <c r="J1819" s="2" t="s">
        <v>2884</v>
      </c>
      <c r="K1819" s="33" t="n">
        <v>0.240137221269297</v>
      </c>
      <c r="L1819" s="31" t="n">
        <v>79.2</v>
      </c>
      <c r="M1819" s="34" t="s">
        <v>822</v>
      </c>
      <c r="N1819" s="2" t="s">
        <v>24</v>
      </c>
      <c r="O1819" s="2" t="s">
        <v>24</v>
      </c>
      <c r="P1819" s="2" t="s">
        <v>24</v>
      </c>
      <c r="Q1819" s="2" t="s">
        <v>24</v>
      </c>
    </row>
    <row r="1820" customFormat="false" ht="15" hidden="false" customHeight="false" outlineLevel="0" collapsed="false">
      <c r="A1820" s="2" t="s">
        <v>752</v>
      </c>
      <c r="B1820" s="2" t="s">
        <v>47</v>
      </c>
      <c r="C1820" s="13" t="s">
        <v>2668</v>
      </c>
      <c r="D1820" s="29" t="n">
        <v>28400</v>
      </c>
      <c r="E1820" s="2" t="s">
        <v>821</v>
      </c>
      <c r="F1820" s="30" t="n">
        <v>0.826302816901409</v>
      </c>
      <c r="G1820" s="31" t="n">
        <v>30.5</v>
      </c>
      <c r="H1820" s="32" t="n">
        <v>0.151662611516626</v>
      </c>
      <c r="I1820" s="31" t="n">
        <v>78.6</v>
      </c>
      <c r="J1820" s="2" t="s">
        <v>2886</v>
      </c>
      <c r="K1820" s="33" t="n">
        <v>0.0371287128712871</v>
      </c>
      <c r="L1820" s="31" t="n">
        <v>24.4</v>
      </c>
      <c r="M1820" s="34" t="s">
        <v>822</v>
      </c>
      <c r="N1820" s="2" t="s">
        <v>24</v>
      </c>
      <c r="O1820" s="2" t="s">
        <v>24</v>
      </c>
      <c r="P1820" s="2" t="s">
        <v>24</v>
      </c>
      <c r="Q1820" s="2" t="s">
        <v>24</v>
      </c>
    </row>
    <row r="1821" customFormat="false" ht="15" hidden="false" customHeight="false" outlineLevel="0" collapsed="false">
      <c r="A1821" s="2" t="s">
        <v>862</v>
      </c>
      <c r="B1821" s="2" t="s">
        <v>45</v>
      </c>
      <c r="C1821" s="14" t="s">
        <v>863</v>
      </c>
      <c r="D1821" s="42" t="n">
        <v>19679</v>
      </c>
      <c r="E1821" s="2" t="s">
        <v>821</v>
      </c>
      <c r="F1821" s="43" t="n">
        <v>2.11169266731033</v>
      </c>
      <c r="G1821" s="31" t="n">
        <v>95.8</v>
      </c>
      <c r="H1821" s="41" t="n">
        <v>0.00167973124300112</v>
      </c>
      <c r="I1821" s="31" t="n">
        <v>9.6</v>
      </c>
      <c r="J1821" s="2" t="s">
        <v>2883</v>
      </c>
      <c r="K1821" s="44" t="n">
        <v>0.0625454545454545</v>
      </c>
      <c r="L1821" s="31" t="n">
        <v>21</v>
      </c>
      <c r="M1821" s="34" t="s">
        <v>822</v>
      </c>
      <c r="N1821" s="2" t="s">
        <v>22</v>
      </c>
      <c r="O1821" s="2" t="s">
        <v>22</v>
      </c>
      <c r="P1821" s="2" t="s">
        <v>22</v>
      </c>
      <c r="Q1821" s="2" t="s">
        <v>22</v>
      </c>
    </row>
    <row r="1822" customFormat="false" ht="15" hidden="false" customHeight="false" outlineLevel="0" collapsed="false">
      <c r="A1822" s="2" t="s">
        <v>862</v>
      </c>
      <c r="B1822" s="2" t="s">
        <v>46</v>
      </c>
      <c r="C1822" s="16"/>
      <c r="D1822" s="35"/>
      <c r="E1822" s="2"/>
      <c r="F1822" s="36"/>
      <c r="G1822" s="31"/>
      <c r="H1822" s="37"/>
      <c r="I1822" s="31"/>
      <c r="J1822" s="2"/>
      <c r="K1822" s="38"/>
      <c r="L1822" s="31"/>
      <c r="M1822" s="39" t="s">
        <v>832</v>
      </c>
      <c r="N1822" s="2"/>
      <c r="O1822" s="2"/>
      <c r="P1822" s="2"/>
      <c r="Q1822" s="2"/>
    </row>
    <row r="1823" customFormat="false" ht="15" hidden="false" customHeight="false" outlineLevel="0" collapsed="false">
      <c r="A1823" s="2" t="s">
        <v>2060</v>
      </c>
      <c r="B1823" s="2" t="s">
        <v>45</v>
      </c>
      <c r="C1823" s="13" t="s">
        <v>3327</v>
      </c>
      <c r="D1823" s="29" t="n">
        <v>20340</v>
      </c>
      <c r="E1823" s="2" t="s">
        <v>821</v>
      </c>
      <c r="F1823" s="36"/>
      <c r="G1823" s="31"/>
      <c r="H1823" s="32" t="n">
        <v>0.123136388735505</v>
      </c>
      <c r="I1823" s="31" t="n">
        <v>67</v>
      </c>
      <c r="J1823" s="2" t="s">
        <v>2883</v>
      </c>
      <c r="K1823" s="33" t="n">
        <v>0.185614849187935</v>
      </c>
      <c r="L1823" s="31" t="n">
        <v>68.8</v>
      </c>
      <c r="M1823" s="39" t="s">
        <v>832</v>
      </c>
      <c r="N1823" s="2" t="s">
        <v>24</v>
      </c>
      <c r="O1823" s="2"/>
      <c r="P1823" s="2" t="s">
        <v>24</v>
      </c>
      <c r="Q1823" s="2" t="s">
        <v>24</v>
      </c>
    </row>
    <row r="1824" customFormat="false" ht="15" hidden="false" customHeight="false" outlineLevel="0" collapsed="false">
      <c r="A1824" s="2" t="s">
        <v>2060</v>
      </c>
      <c r="B1824" s="2" t="s">
        <v>46</v>
      </c>
      <c r="C1824" s="14" t="s">
        <v>2061</v>
      </c>
      <c r="D1824" s="42" t="n">
        <v>116717</v>
      </c>
      <c r="E1824" s="2" t="s">
        <v>827</v>
      </c>
      <c r="F1824" s="43" t="n">
        <v>1.78375900682848</v>
      </c>
      <c r="G1824" s="31" t="n">
        <v>23.4</v>
      </c>
      <c r="H1824" s="41" t="n">
        <v>0.134287019310197</v>
      </c>
      <c r="I1824" s="31" t="n">
        <v>77.7</v>
      </c>
      <c r="J1824" s="2" t="s">
        <v>2888</v>
      </c>
      <c r="K1824" s="44" t="n">
        <v>0.00637290604515659</v>
      </c>
      <c r="L1824" s="31" t="n">
        <v>0.7</v>
      </c>
      <c r="M1824" s="34" t="s">
        <v>822</v>
      </c>
      <c r="N1824" s="2" t="s">
        <v>22</v>
      </c>
      <c r="O1824" s="2" t="s">
        <v>22</v>
      </c>
      <c r="P1824" s="2" t="s">
        <v>22</v>
      </c>
      <c r="Q1824" s="2" t="s">
        <v>22</v>
      </c>
    </row>
    <row r="1825" customFormat="false" ht="15" hidden="false" customHeight="false" outlineLevel="0" collapsed="false">
      <c r="A1825" s="2" t="s">
        <v>2060</v>
      </c>
      <c r="B1825" s="2" t="s">
        <v>47</v>
      </c>
      <c r="C1825" s="14" t="s">
        <v>2228</v>
      </c>
      <c r="D1825" s="42" t="n">
        <v>1704557</v>
      </c>
      <c r="E1825" s="2" t="s">
        <v>935</v>
      </c>
      <c r="F1825" s="43" t="n">
        <v>4.79072920412752</v>
      </c>
      <c r="G1825" s="31" t="n">
        <v>97.7</v>
      </c>
      <c r="H1825" s="41" t="n">
        <v>0.0775309594098274</v>
      </c>
      <c r="I1825" s="31" t="n">
        <v>42.9</v>
      </c>
      <c r="J1825" s="2" t="s">
        <v>2922</v>
      </c>
      <c r="K1825" s="44" t="n">
        <v>0.140629490942212</v>
      </c>
      <c r="L1825" s="31" t="n">
        <v>71.1</v>
      </c>
      <c r="M1825" s="34" t="s">
        <v>822</v>
      </c>
      <c r="N1825" s="2" t="s">
        <v>22</v>
      </c>
      <c r="O1825" s="2" t="s">
        <v>22</v>
      </c>
      <c r="P1825" s="2" t="s">
        <v>22</v>
      </c>
      <c r="Q1825" s="2" t="s">
        <v>22</v>
      </c>
    </row>
    <row r="1826" customFormat="false" ht="15" hidden="false" customHeight="false" outlineLevel="0" collapsed="false">
      <c r="A1826" s="2" t="s">
        <v>460</v>
      </c>
      <c r="B1826" s="2" t="s">
        <v>45</v>
      </c>
      <c r="C1826" s="13" t="s">
        <v>909</v>
      </c>
      <c r="D1826" s="29" t="n">
        <v>90300</v>
      </c>
      <c r="E1826" s="2" t="s">
        <v>821</v>
      </c>
      <c r="F1826" s="30" t="n">
        <v>1.54641196013289</v>
      </c>
      <c r="G1826" s="31" t="n">
        <v>90.2</v>
      </c>
      <c r="H1826" s="32" t="n">
        <v>0.0933527061387577</v>
      </c>
      <c r="I1826" s="31" t="n">
        <v>48.5</v>
      </c>
      <c r="J1826" s="2" t="s">
        <v>2883</v>
      </c>
      <c r="K1826" s="33" t="n">
        <v>0.136920222634508</v>
      </c>
      <c r="L1826" s="31" t="n">
        <v>51.7</v>
      </c>
      <c r="M1826" s="34" t="s">
        <v>822</v>
      </c>
      <c r="N1826" s="2" t="s">
        <v>24</v>
      </c>
      <c r="O1826" s="2" t="s">
        <v>24</v>
      </c>
      <c r="P1826" s="2" t="s">
        <v>24</v>
      </c>
      <c r="Q1826" s="2" t="s">
        <v>24</v>
      </c>
    </row>
    <row r="1827" customFormat="false" ht="15" hidden="false" customHeight="false" outlineLevel="0" collapsed="false">
      <c r="A1827" s="2" t="s">
        <v>460</v>
      </c>
      <c r="B1827" s="2" t="s">
        <v>46</v>
      </c>
      <c r="C1827" s="13" t="s">
        <v>2154</v>
      </c>
      <c r="D1827" s="29" t="n">
        <v>257950</v>
      </c>
      <c r="E1827" s="2" t="s">
        <v>827</v>
      </c>
      <c r="F1827" s="30" t="n">
        <v>1.07636751308393</v>
      </c>
      <c r="G1827" s="31" t="n">
        <v>7.7</v>
      </c>
      <c r="H1827" s="32" t="n">
        <v>-0.0847644053363611</v>
      </c>
      <c r="I1827" s="31" t="n">
        <v>2.5</v>
      </c>
      <c r="J1827" s="2" t="s">
        <v>2888</v>
      </c>
      <c r="K1827" s="33" t="n">
        <v>0.05301701121367</v>
      </c>
      <c r="L1827" s="31" t="n">
        <v>13.2</v>
      </c>
      <c r="M1827" s="34" t="s">
        <v>822</v>
      </c>
      <c r="N1827" s="2" t="s">
        <v>24</v>
      </c>
      <c r="O1827" s="2" t="s">
        <v>24</v>
      </c>
      <c r="P1827" s="2" t="s">
        <v>24</v>
      </c>
      <c r="Q1827" s="2" t="s">
        <v>24</v>
      </c>
    </row>
    <row r="1828" customFormat="false" ht="15" hidden="false" customHeight="false" outlineLevel="0" collapsed="false">
      <c r="A1828" s="2" t="s">
        <v>460</v>
      </c>
      <c r="B1828" s="2" t="s">
        <v>47</v>
      </c>
      <c r="C1828" s="13" t="s">
        <v>2492</v>
      </c>
      <c r="D1828" s="29" t="n">
        <v>38470</v>
      </c>
      <c r="E1828" s="2" t="s">
        <v>821</v>
      </c>
      <c r="F1828" s="30" t="n">
        <v>1.40501689628282</v>
      </c>
      <c r="G1828" s="31" t="n">
        <v>56.4</v>
      </c>
      <c r="H1828" s="32" t="n">
        <v>0.240567558851983</v>
      </c>
      <c r="I1828" s="31" t="n">
        <v>97.4</v>
      </c>
      <c r="J1828" s="2" t="s">
        <v>2886</v>
      </c>
      <c r="K1828" s="33" t="n">
        <v>0.09526938239159</v>
      </c>
      <c r="L1828" s="31" t="n">
        <v>56.5</v>
      </c>
      <c r="M1828" s="34" t="s">
        <v>822</v>
      </c>
      <c r="N1828" s="2" t="s">
        <v>24</v>
      </c>
      <c r="O1828" s="2" t="s">
        <v>24</v>
      </c>
      <c r="P1828" s="2" t="s">
        <v>24</v>
      </c>
      <c r="Q1828" s="2" t="s">
        <v>24</v>
      </c>
    </row>
    <row r="1829" customFormat="false" ht="15" hidden="false" customHeight="false" outlineLevel="0" collapsed="false">
      <c r="A1829" s="2" t="s">
        <v>424</v>
      </c>
      <c r="B1829" s="2" t="s">
        <v>45</v>
      </c>
      <c r="C1829" s="14" t="s">
        <v>1510</v>
      </c>
      <c r="D1829" s="42" t="n">
        <v>226611</v>
      </c>
      <c r="E1829" s="2" t="s">
        <v>827</v>
      </c>
      <c r="F1829" s="43" t="n">
        <v>0.246828265176889</v>
      </c>
      <c r="G1829" s="31" t="n">
        <v>12.3</v>
      </c>
      <c r="H1829" s="41" t="n">
        <v>-0.126558127702875</v>
      </c>
      <c r="I1829" s="31" t="n">
        <v>0.7</v>
      </c>
      <c r="J1829" s="2" t="s">
        <v>2890</v>
      </c>
      <c r="K1829" s="44" t="n">
        <v>0.0812710911136108</v>
      </c>
      <c r="L1829" s="31" t="n">
        <v>26.1</v>
      </c>
      <c r="M1829" s="34" t="s">
        <v>822</v>
      </c>
      <c r="N1829" s="2" t="s">
        <v>22</v>
      </c>
      <c r="O1829" s="2" t="s">
        <v>22</v>
      </c>
      <c r="P1829" s="2" t="s">
        <v>22</v>
      </c>
      <c r="Q1829" s="2" t="s">
        <v>22</v>
      </c>
    </row>
    <row r="1830" customFormat="false" ht="15" hidden="false" customHeight="false" outlineLevel="0" collapsed="false">
      <c r="A1830" s="2" t="s">
        <v>424</v>
      </c>
      <c r="B1830" s="2" t="s">
        <v>46</v>
      </c>
      <c r="C1830" s="13" t="s">
        <v>1723</v>
      </c>
      <c r="D1830" s="29" t="n">
        <v>49090</v>
      </c>
      <c r="E1830" s="2" t="s">
        <v>821</v>
      </c>
      <c r="F1830" s="30" t="n">
        <v>5.7696272153188</v>
      </c>
      <c r="G1830" s="31" t="n">
        <v>78.4</v>
      </c>
      <c r="H1830" s="41" t="n">
        <v>0.00723736519133147</v>
      </c>
      <c r="I1830" s="31" t="n">
        <v>14.5</v>
      </c>
      <c r="J1830" s="2" t="s">
        <v>2884</v>
      </c>
      <c r="K1830" s="33" t="n">
        <v>0.0836843583263128</v>
      </c>
      <c r="L1830" s="31" t="n">
        <v>28.5</v>
      </c>
      <c r="M1830" s="34" t="s">
        <v>822</v>
      </c>
      <c r="N1830" s="2" t="s">
        <v>24</v>
      </c>
      <c r="O1830" s="2" t="s">
        <v>24</v>
      </c>
      <c r="P1830" s="2" t="s">
        <v>22</v>
      </c>
      <c r="Q1830" s="2" t="s">
        <v>24</v>
      </c>
    </row>
    <row r="1831" customFormat="false" ht="15" hidden="false" customHeight="false" outlineLevel="0" collapsed="false">
      <c r="A1831" s="2" t="s">
        <v>424</v>
      </c>
      <c r="B1831" s="2" t="s">
        <v>47</v>
      </c>
      <c r="C1831" s="14" t="s">
        <v>2407</v>
      </c>
      <c r="D1831" s="42" t="n">
        <v>18386</v>
      </c>
      <c r="E1831" s="2" t="s">
        <v>821</v>
      </c>
      <c r="F1831" s="43" t="n">
        <v>1.74252148373763</v>
      </c>
      <c r="G1831" s="31" t="n">
        <v>70.2</v>
      </c>
      <c r="H1831" s="41" t="n">
        <v>0.0863861971165209</v>
      </c>
      <c r="I1831" s="31" t="n">
        <v>45.1</v>
      </c>
      <c r="J1831" s="2" t="s">
        <v>2886</v>
      </c>
      <c r="K1831" s="44" t="n">
        <v>0.129454766981419</v>
      </c>
      <c r="L1831" s="31" t="n">
        <v>68.1</v>
      </c>
      <c r="M1831" s="34" t="s">
        <v>822</v>
      </c>
      <c r="N1831" s="2" t="s">
        <v>22</v>
      </c>
      <c r="O1831" s="2" t="s">
        <v>22</v>
      </c>
      <c r="P1831" s="2" t="s">
        <v>22</v>
      </c>
      <c r="Q1831" s="2" t="s">
        <v>22</v>
      </c>
    </row>
    <row r="1832" customFormat="false" ht="15" hidden="false" customHeight="false" outlineLevel="0" collapsed="false">
      <c r="A1832" s="2" t="s">
        <v>370</v>
      </c>
      <c r="B1832" s="2" t="s">
        <v>45</v>
      </c>
      <c r="C1832" s="13" t="s">
        <v>1133</v>
      </c>
      <c r="D1832" s="29" t="n">
        <v>10450</v>
      </c>
      <c r="E1832" s="2" t="s">
        <v>821</v>
      </c>
      <c r="F1832" s="30" t="n">
        <v>0.72133971291866</v>
      </c>
      <c r="G1832" s="31" t="n">
        <v>62.9</v>
      </c>
      <c r="H1832" s="32" t="n">
        <v>0.118843683083512</v>
      </c>
      <c r="I1832" s="31" t="n">
        <v>63.2</v>
      </c>
      <c r="J1832" s="2" t="s">
        <v>2883</v>
      </c>
      <c r="K1832" s="33" t="n">
        <v>0.0581717451523546</v>
      </c>
      <c r="L1832" s="31" t="n">
        <v>19.3</v>
      </c>
      <c r="M1832" s="34" t="s">
        <v>822</v>
      </c>
      <c r="N1832" s="2" t="s">
        <v>24</v>
      </c>
      <c r="O1832" s="2" t="s">
        <v>24</v>
      </c>
      <c r="P1832" s="2" t="s">
        <v>24</v>
      </c>
      <c r="Q1832" s="2" t="s">
        <v>24</v>
      </c>
    </row>
    <row r="1833" customFormat="false" ht="15" hidden="false" customHeight="false" outlineLevel="0" collapsed="false">
      <c r="A1833" s="2" t="s">
        <v>370</v>
      </c>
      <c r="B1833" s="2" t="s">
        <v>46</v>
      </c>
      <c r="C1833" s="13" t="s">
        <v>2048</v>
      </c>
      <c r="D1833" s="29" t="n">
        <v>57220</v>
      </c>
      <c r="E1833" s="2" t="s">
        <v>821</v>
      </c>
      <c r="F1833" s="30" t="n">
        <v>1.86062565536526</v>
      </c>
      <c r="G1833" s="31" t="n">
        <v>25.5</v>
      </c>
      <c r="H1833" s="32" t="n">
        <v>0.202606137032367</v>
      </c>
      <c r="I1833" s="31" t="n">
        <v>94.5</v>
      </c>
      <c r="J1833" s="2" t="s">
        <v>2884</v>
      </c>
      <c r="K1833" s="33" t="n">
        <v>0.087242962667199</v>
      </c>
      <c r="L1833" s="31" t="n">
        <v>30.7</v>
      </c>
      <c r="M1833" s="34" t="s">
        <v>822</v>
      </c>
      <c r="N1833" s="2" t="s">
        <v>24</v>
      </c>
      <c r="O1833" s="2" t="s">
        <v>24</v>
      </c>
      <c r="P1833" s="2" t="s">
        <v>24</v>
      </c>
      <c r="Q1833" s="2" t="s">
        <v>24</v>
      </c>
    </row>
    <row r="1834" customFormat="false" ht="15" hidden="false" customHeight="false" outlineLevel="0" collapsed="false">
      <c r="A1834" s="2" t="s">
        <v>370</v>
      </c>
      <c r="B1834" s="2" t="s">
        <v>47</v>
      </c>
      <c r="C1834" s="14" t="s">
        <v>2328</v>
      </c>
      <c r="D1834" s="42" t="n">
        <v>35637</v>
      </c>
      <c r="E1834" s="2" t="s">
        <v>821</v>
      </c>
      <c r="F1834" s="43" t="n">
        <v>2.4278979712097</v>
      </c>
      <c r="G1834" s="31" t="n">
        <v>83.2</v>
      </c>
      <c r="H1834" s="41" t="n">
        <v>0.0984495885090775</v>
      </c>
      <c r="I1834" s="31" t="n">
        <v>52.3</v>
      </c>
      <c r="J1834" s="2" t="s">
        <v>2886</v>
      </c>
      <c r="K1834" s="44" t="n">
        <v>0.0256045519203414</v>
      </c>
      <c r="L1834" s="31" t="n">
        <v>16.5</v>
      </c>
      <c r="M1834" s="34" t="s">
        <v>822</v>
      </c>
      <c r="N1834" s="2" t="s">
        <v>22</v>
      </c>
      <c r="O1834" s="2" t="s">
        <v>22</v>
      </c>
      <c r="P1834" s="2" t="s">
        <v>22</v>
      </c>
      <c r="Q1834" s="2" t="s">
        <v>22</v>
      </c>
    </row>
    <row r="1835" customFormat="false" ht="15" hidden="false" customHeight="false" outlineLevel="0" collapsed="false">
      <c r="A1835" s="2" t="s">
        <v>536</v>
      </c>
      <c r="B1835" s="2" t="s">
        <v>45</v>
      </c>
      <c r="C1835" s="13" t="s">
        <v>1407</v>
      </c>
      <c r="D1835" s="42" t="n">
        <v>24539</v>
      </c>
      <c r="E1835" s="2" t="s">
        <v>821</v>
      </c>
      <c r="F1835" s="43" t="n">
        <v>0.382615428501569</v>
      </c>
      <c r="G1835" s="31" t="n">
        <v>27.2</v>
      </c>
      <c r="H1835" s="41" t="n">
        <v>0.0357941834451902</v>
      </c>
      <c r="I1835" s="31" t="n">
        <v>21</v>
      </c>
      <c r="J1835" s="2" t="s">
        <v>2883</v>
      </c>
      <c r="K1835" s="33" t="n">
        <v>0.0472972972972973</v>
      </c>
      <c r="L1835" s="31" t="n">
        <v>14.7</v>
      </c>
      <c r="M1835" s="34" t="s">
        <v>822</v>
      </c>
      <c r="N1835" s="2" t="s">
        <v>22</v>
      </c>
      <c r="O1835" s="2" t="s">
        <v>22</v>
      </c>
      <c r="P1835" s="2" t="s">
        <v>22</v>
      </c>
      <c r="Q1835" s="2" t="s">
        <v>24</v>
      </c>
    </row>
    <row r="1836" customFormat="false" ht="15" hidden="false" customHeight="false" outlineLevel="0" collapsed="false">
      <c r="A1836" s="2" t="s">
        <v>536</v>
      </c>
      <c r="B1836" s="2" t="s">
        <v>46</v>
      </c>
      <c r="C1836" s="13" t="s">
        <v>1915</v>
      </c>
      <c r="D1836" s="29" t="n">
        <v>113880</v>
      </c>
      <c r="E1836" s="2" t="s">
        <v>827</v>
      </c>
      <c r="F1836" s="30" t="n">
        <v>3.04059536354057</v>
      </c>
      <c r="G1836" s="31" t="n">
        <v>46.8</v>
      </c>
      <c r="H1836" s="32" t="n">
        <v>0.0482326951399116</v>
      </c>
      <c r="I1836" s="31" t="n">
        <v>34.4</v>
      </c>
      <c r="J1836" s="2" t="s">
        <v>2888</v>
      </c>
      <c r="K1836" s="33" t="n">
        <v>0.0755825838103025</v>
      </c>
      <c r="L1836" s="31" t="n">
        <v>22.7</v>
      </c>
      <c r="M1836" s="34" t="s">
        <v>822</v>
      </c>
      <c r="N1836" s="2" t="s">
        <v>24</v>
      </c>
      <c r="O1836" s="2" t="s">
        <v>24</v>
      </c>
      <c r="P1836" s="2" t="s">
        <v>24</v>
      </c>
      <c r="Q1836" s="2" t="s">
        <v>24</v>
      </c>
    </row>
    <row r="1837" customFormat="false" ht="15" hidden="false" customHeight="false" outlineLevel="0" collapsed="false">
      <c r="A1837" s="2" t="s">
        <v>536</v>
      </c>
      <c r="B1837" s="2" t="s">
        <v>47</v>
      </c>
      <c r="C1837" s="13" t="s">
        <v>2462</v>
      </c>
      <c r="D1837" s="29" t="n">
        <v>79650</v>
      </c>
      <c r="E1837" s="2" t="s">
        <v>821</v>
      </c>
      <c r="F1837" s="30" t="n">
        <v>1.54676710608914</v>
      </c>
      <c r="G1837" s="31" t="n">
        <v>61.7</v>
      </c>
      <c r="H1837" s="32" t="n">
        <v>0.098014888337469</v>
      </c>
      <c r="I1837" s="31" t="n">
        <v>51.3</v>
      </c>
      <c r="J1837" s="2" t="s">
        <v>2886</v>
      </c>
      <c r="K1837" s="33" t="n">
        <v>0.1632</v>
      </c>
      <c r="L1837" s="31" t="n">
        <v>77.2</v>
      </c>
      <c r="M1837" s="34" t="s">
        <v>822</v>
      </c>
      <c r="N1837" s="2" t="s">
        <v>24</v>
      </c>
      <c r="O1837" s="2" t="s">
        <v>24</v>
      </c>
      <c r="P1837" s="2" t="s">
        <v>24</v>
      </c>
      <c r="Q1837" s="2" t="s">
        <v>24</v>
      </c>
    </row>
    <row r="1838" customFormat="false" ht="15" hidden="false" customHeight="false" outlineLevel="0" collapsed="false">
      <c r="A1838" s="2" t="s">
        <v>1317</v>
      </c>
      <c r="B1838" s="2" t="s">
        <v>45</v>
      </c>
      <c r="C1838" s="13" t="s">
        <v>1318</v>
      </c>
      <c r="D1838" s="29" t="n">
        <v>54880</v>
      </c>
      <c r="E1838" s="2" t="s">
        <v>821</v>
      </c>
      <c r="F1838" s="30" t="n">
        <v>0.475491982507289</v>
      </c>
      <c r="G1838" s="31" t="n">
        <v>39.3</v>
      </c>
      <c r="H1838" s="32" t="n">
        <v>0.147636971978252</v>
      </c>
      <c r="I1838" s="31" t="n">
        <v>75.6</v>
      </c>
      <c r="J1838" s="2" t="s">
        <v>2883</v>
      </c>
      <c r="K1838" s="33" t="n">
        <v>0.113783533765032</v>
      </c>
      <c r="L1838" s="31" t="n">
        <v>41.3</v>
      </c>
      <c r="M1838" s="34" t="s">
        <v>822</v>
      </c>
      <c r="N1838" s="2" t="s">
        <v>24</v>
      </c>
      <c r="O1838" s="2" t="s">
        <v>24</v>
      </c>
      <c r="P1838" s="2" t="s">
        <v>24</v>
      </c>
      <c r="Q1838" s="2" t="s">
        <v>24</v>
      </c>
    </row>
    <row r="1839" customFormat="false" ht="15" hidden="false" customHeight="false" outlineLevel="0" collapsed="false">
      <c r="A1839" s="2" t="s">
        <v>1317</v>
      </c>
      <c r="B1839" s="2" t="s">
        <v>46</v>
      </c>
      <c r="C1839" s="13" t="s">
        <v>3328</v>
      </c>
      <c r="D1839" s="29" t="n">
        <v>45890</v>
      </c>
      <c r="E1839" s="2" t="s">
        <v>821</v>
      </c>
      <c r="F1839" s="30" t="n">
        <v>6.46951405534975</v>
      </c>
      <c r="G1839" s="31" t="n">
        <v>83.1</v>
      </c>
      <c r="H1839" s="32" t="n">
        <v>0.0622685185185185</v>
      </c>
      <c r="I1839" s="31" t="n">
        <v>35.6</v>
      </c>
      <c r="J1839" s="2" t="s">
        <v>2884</v>
      </c>
      <c r="K1839" s="38"/>
      <c r="L1839" s="31"/>
      <c r="M1839" s="39" t="s">
        <v>832</v>
      </c>
      <c r="N1839" s="2" t="s">
        <v>24</v>
      </c>
      <c r="O1839" s="2" t="s">
        <v>24</v>
      </c>
      <c r="P1839" s="2" t="s">
        <v>24</v>
      </c>
      <c r="Q1839" s="2"/>
    </row>
    <row r="1840" customFormat="false" ht="15" hidden="false" customHeight="false" outlineLevel="0" collapsed="false">
      <c r="A1840" s="2" t="s">
        <v>1317</v>
      </c>
      <c r="B1840" s="2" t="s">
        <v>47</v>
      </c>
      <c r="C1840" s="14" t="s">
        <v>2357</v>
      </c>
      <c r="D1840" s="29" t="n">
        <v>6750</v>
      </c>
      <c r="E1840" s="2" t="s">
        <v>825</v>
      </c>
      <c r="F1840" s="30" t="n">
        <v>2.06725925925926</v>
      </c>
      <c r="G1840" s="31" t="n">
        <v>77.8</v>
      </c>
      <c r="H1840" s="32" t="n">
        <v>0.130653266331658</v>
      </c>
      <c r="I1840" s="31" t="n">
        <v>57.5</v>
      </c>
      <c r="J1840" s="2" t="s">
        <v>2889</v>
      </c>
      <c r="K1840" s="33" t="n">
        <v>0.148669796557121</v>
      </c>
      <c r="L1840" s="31" t="n">
        <v>73.1</v>
      </c>
      <c r="M1840" s="34" t="s">
        <v>822</v>
      </c>
      <c r="N1840" s="2" t="s">
        <v>24</v>
      </c>
      <c r="O1840" s="2" t="s">
        <v>24</v>
      </c>
      <c r="P1840" s="2" t="s">
        <v>24</v>
      </c>
      <c r="Q1840" s="2" t="s">
        <v>24</v>
      </c>
    </row>
    <row r="1841" customFormat="false" ht="15" hidden="false" customHeight="false" outlineLevel="0" collapsed="false">
      <c r="A1841" s="2" t="s">
        <v>1985</v>
      </c>
      <c r="B1841" s="2" t="s">
        <v>45</v>
      </c>
      <c r="C1841" s="13" t="s">
        <v>3329</v>
      </c>
      <c r="D1841" s="29" t="n">
        <v>9480</v>
      </c>
      <c r="E1841" s="2" t="s">
        <v>825</v>
      </c>
      <c r="F1841" s="30" t="n">
        <v>0.471097046413502</v>
      </c>
      <c r="G1841" s="31" t="n">
        <v>38.6</v>
      </c>
      <c r="H1841" s="37"/>
      <c r="I1841" s="31"/>
      <c r="J1841" s="2"/>
      <c r="K1841" s="38"/>
      <c r="L1841" s="31"/>
      <c r="M1841" s="39" t="s">
        <v>832</v>
      </c>
      <c r="N1841" s="2" t="s">
        <v>24</v>
      </c>
      <c r="O1841" s="2" t="s">
        <v>24</v>
      </c>
      <c r="P1841" s="2"/>
      <c r="Q1841" s="2"/>
    </row>
    <row r="1842" customFormat="false" ht="15" hidden="false" customHeight="false" outlineLevel="0" collapsed="false">
      <c r="A1842" s="2" t="s">
        <v>1985</v>
      </c>
      <c r="B1842" s="2" t="s">
        <v>46</v>
      </c>
      <c r="C1842" s="13" t="s">
        <v>1986</v>
      </c>
      <c r="D1842" s="29" t="n">
        <v>98330</v>
      </c>
      <c r="E1842" s="2" t="s">
        <v>821</v>
      </c>
      <c r="F1842" s="30" t="n">
        <v>2.45038136885996</v>
      </c>
      <c r="G1842" s="31" t="n">
        <v>36.9</v>
      </c>
      <c r="H1842" s="32" t="n">
        <v>0.106696679797411</v>
      </c>
      <c r="I1842" s="31" t="n">
        <v>62.5</v>
      </c>
      <c r="J1842" s="2" t="s">
        <v>2884</v>
      </c>
      <c r="K1842" s="33" t="n">
        <v>0.0928729930818431</v>
      </c>
      <c r="L1842" s="31" t="n">
        <v>34</v>
      </c>
      <c r="M1842" s="34" t="s">
        <v>822</v>
      </c>
      <c r="N1842" s="2" t="s">
        <v>24</v>
      </c>
      <c r="O1842" s="2" t="s">
        <v>24</v>
      </c>
      <c r="P1842" s="2" t="s">
        <v>24</v>
      </c>
      <c r="Q1842" s="2" t="s">
        <v>24</v>
      </c>
    </row>
    <row r="1843" customFormat="false" ht="15" hidden="false" customHeight="false" outlineLevel="0" collapsed="false">
      <c r="A1843" s="2" t="s">
        <v>1985</v>
      </c>
      <c r="B1843" s="2" t="s">
        <v>47</v>
      </c>
      <c r="C1843" s="16"/>
      <c r="D1843" s="42" t="n">
        <v>53627</v>
      </c>
      <c r="E1843" s="2" t="s">
        <v>821</v>
      </c>
      <c r="F1843" s="43" t="n">
        <v>0.844910213138904</v>
      </c>
      <c r="G1843" s="31" t="n">
        <v>31.2</v>
      </c>
      <c r="H1843" s="41" t="n">
        <v>0.00485309548793284</v>
      </c>
      <c r="I1843" s="31" t="n">
        <v>11</v>
      </c>
      <c r="J1843" s="2" t="s">
        <v>2886</v>
      </c>
      <c r="K1843" s="44" t="n">
        <v>0.142171344165436</v>
      </c>
      <c r="L1843" s="31" t="n">
        <v>71.7</v>
      </c>
      <c r="M1843" s="39" t="s">
        <v>832</v>
      </c>
      <c r="N1843" s="2" t="s">
        <v>22</v>
      </c>
      <c r="O1843" s="2" t="s">
        <v>22</v>
      </c>
      <c r="P1843" s="2" t="s">
        <v>22</v>
      </c>
      <c r="Q1843" s="2" t="s">
        <v>22</v>
      </c>
    </row>
    <row r="1844" customFormat="false" ht="15" hidden="false" customHeight="false" outlineLevel="0" collapsed="false">
      <c r="A1844" s="2" t="s">
        <v>2302</v>
      </c>
      <c r="B1844" s="2" t="s">
        <v>45</v>
      </c>
      <c r="C1844" s="16"/>
      <c r="D1844" s="35"/>
      <c r="E1844" s="2"/>
      <c r="F1844" s="36"/>
      <c r="G1844" s="31"/>
      <c r="H1844" s="37"/>
      <c r="I1844" s="31"/>
      <c r="J1844" s="2"/>
      <c r="K1844" s="38"/>
      <c r="L1844" s="31"/>
      <c r="M1844" s="39" t="s">
        <v>832</v>
      </c>
      <c r="N1844" s="2"/>
      <c r="O1844" s="2"/>
      <c r="P1844" s="2"/>
      <c r="Q1844" s="2"/>
    </row>
    <row r="1845" customFormat="false" ht="15" hidden="false" customHeight="false" outlineLevel="0" collapsed="false">
      <c r="A1845" s="2" t="s">
        <v>2302</v>
      </c>
      <c r="B1845" s="2" t="s">
        <v>46</v>
      </c>
      <c r="C1845" s="15" t="s">
        <v>3330</v>
      </c>
      <c r="D1845" s="46" t="n">
        <v>7093</v>
      </c>
      <c r="E1845" s="2" t="s">
        <v>825</v>
      </c>
      <c r="F1845" s="47" t="n">
        <v>2.17087269138587</v>
      </c>
      <c r="G1845" s="31" t="n">
        <v>30.5</v>
      </c>
      <c r="H1845" s="37"/>
      <c r="I1845" s="31"/>
      <c r="J1845" s="2"/>
      <c r="K1845" s="38"/>
      <c r="L1845" s="31"/>
      <c r="M1845" s="39" t="s">
        <v>832</v>
      </c>
      <c r="N1845" s="2" t="s">
        <v>19</v>
      </c>
      <c r="O1845" s="2" t="s">
        <v>19</v>
      </c>
      <c r="P1845" s="2"/>
      <c r="Q1845" s="2"/>
    </row>
    <row r="1846" customFormat="false" ht="15" hidden="false" customHeight="false" outlineLevel="0" collapsed="false">
      <c r="A1846" s="2" t="s">
        <v>2302</v>
      </c>
      <c r="B1846" s="2" t="s">
        <v>47</v>
      </c>
      <c r="C1846" s="14" t="s">
        <v>2303</v>
      </c>
      <c r="D1846" s="42" t="n">
        <v>3526</v>
      </c>
      <c r="E1846" s="2" t="s">
        <v>825</v>
      </c>
      <c r="F1846" s="43" t="n">
        <v>2.71639251276234</v>
      </c>
      <c r="G1846" s="31" t="n">
        <v>87.3</v>
      </c>
      <c r="H1846" s="41" t="n">
        <v>-0.20460184976314</v>
      </c>
      <c r="I1846" s="31" t="n">
        <v>1.2</v>
      </c>
      <c r="J1846" s="2" t="s">
        <v>2889</v>
      </c>
      <c r="K1846" s="44" t="n">
        <v>0.0992555831265509</v>
      </c>
      <c r="L1846" s="31" t="n">
        <v>58.8</v>
      </c>
      <c r="M1846" s="34" t="s">
        <v>822</v>
      </c>
      <c r="N1846" s="2" t="s">
        <v>22</v>
      </c>
      <c r="O1846" s="2" t="s">
        <v>22</v>
      </c>
      <c r="P1846" s="2" t="s">
        <v>22</v>
      </c>
      <c r="Q1846" s="2" t="s">
        <v>22</v>
      </c>
    </row>
    <row r="1847" customFormat="false" ht="15" hidden="false" customHeight="false" outlineLevel="0" collapsed="false">
      <c r="A1847" s="2" t="s">
        <v>2225</v>
      </c>
      <c r="B1847" s="2" t="s">
        <v>45</v>
      </c>
      <c r="C1847" s="16"/>
      <c r="D1847" s="35"/>
      <c r="E1847" s="2"/>
      <c r="F1847" s="36"/>
      <c r="G1847" s="31"/>
      <c r="H1847" s="37"/>
      <c r="I1847" s="31"/>
      <c r="J1847" s="2"/>
      <c r="K1847" s="38"/>
      <c r="L1847" s="31"/>
      <c r="M1847" s="39" t="s">
        <v>832</v>
      </c>
      <c r="N1847" s="2"/>
      <c r="O1847" s="2"/>
      <c r="P1847" s="2"/>
      <c r="Q1847" s="2"/>
    </row>
    <row r="1848" customFormat="false" ht="15" hidden="false" customHeight="false" outlineLevel="0" collapsed="false">
      <c r="A1848" s="2" t="s">
        <v>2225</v>
      </c>
      <c r="B1848" s="2" t="s">
        <v>46</v>
      </c>
      <c r="C1848" s="16"/>
      <c r="D1848" s="35"/>
      <c r="E1848" s="2"/>
      <c r="F1848" s="36"/>
      <c r="G1848" s="31"/>
      <c r="H1848" s="37"/>
      <c r="I1848" s="31"/>
      <c r="J1848" s="2"/>
      <c r="K1848" s="38"/>
      <c r="L1848" s="31"/>
      <c r="M1848" s="39" t="s">
        <v>832</v>
      </c>
      <c r="N1848" s="2"/>
      <c r="O1848" s="2"/>
      <c r="P1848" s="2"/>
      <c r="Q1848" s="2"/>
    </row>
    <row r="1849" customFormat="false" ht="15" hidden="false" customHeight="false" outlineLevel="0" collapsed="false">
      <c r="A1849" s="2" t="s">
        <v>2225</v>
      </c>
      <c r="B1849" s="2" t="s">
        <v>47</v>
      </c>
      <c r="C1849" s="14" t="s">
        <v>2226</v>
      </c>
      <c r="D1849" s="42" t="n">
        <v>19152</v>
      </c>
      <c r="E1849" s="2" t="s">
        <v>821</v>
      </c>
      <c r="F1849" s="43" t="n">
        <v>5.69131161236424</v>
      </c>
      <c r="G1849" s="31" t="n">
        <v>98.2</v>
      </c>
      <c r="H1849" s="41" t="n">
        <v>0.0762573756673223</v>
      </c>
      <c r="I1849" s="31" t="n">
        <v>38.6</v>
      </c>
      <c r="J1849" s="2" t="s">
        <v>2886</v>
      </c>
      <c r="K1849" s="44" t="n">
        <v>0.0612327656123277</v>
      </c>
      <c r="L1849" s="31" t="n">
        <v>39.2</v>
      </c>
      <c r="M1849" s="34" t="s">
        <v>822</v>
      </c>
      <c r="N1849" s="2" t="s">
        <v>22</v>
      </c>
      <c r="O1849" s="2" t="s">
        <v>22</v>
      </c>
      <c r="P1849" s="2" t="s">
        <v>22</v>
      </c>
      <c r="Q1849" s="2" t="s">
        <v>22</v>
      </c>
    </row>
    <row r="1850" customFormat="false" ht="15" hidden="false" customHeight="false" outlineLevel="0" collapsed="false">
      <c r="A1850" s="2" t="s">
        <v>1715</v>
      </c>
      <c r="B1850" s="2" t="s">
        <v>45</v>
      </c>
      <c r="C1850" s="16"/>
      <c r="D1850" s="35"/>
      <c r="E1850" s="2"/>
      <c r="F1850" s="36"/>
      <c r="G1850" s="31"/>
      <c r="H1850" s="37"/>
      <c r="I1850" s="31"/>
      <c r="J1850" s="2"/>
      <c r="K1850" s="38"/>
      <c r="L1850" s="31"/>
      <c r="M1850" s="39" t="s">
        <v>832</v>
      </c>
      <c r="N1850" s="2"/>
      <c r="O1850" s="2"/>
      <c r="P1850" s="2"/>
      <c r="Q1850" s="2"/>
    </row>
    <row r="1851" customFormat="false" ht="15" hidden="false" customHeight="false" outlineLevel="0" collapsed="false">
      <c r="A1851" s="2" t="s">
        <v>1715</v>
      </c>
      <c r="B1851" s="2" t="s">
        <v>46</v>
      </c>
      <c r="C1851" s="13" t="s">
        <v>1716</v>
      </c>
      <c r="D1851" s="29" t="n">
        <v>19260</v>
      </c>
      <c r="E1851" s="2" t="s">
        <v>821</v>
      </c>
      <c r="F1851" s="30" t="n">
        <v>5.89745586708204</v>
      </c>
      <c r="G1851" s="31" t="n">
        <v>79.4</v>
      </c>
      <c r="H1851" s="32" t="n">
        <v>0.07</v>
      </c>
      <c r="I1851" s="31" t="n">
        <v>40.7</v>
      </c>
      <c r="J1851" s="2" t="s">
        <v>2884</v>
      </c>
      <c r="K1851" s="33" t="n">
        <v>0.17684816290394</v>
      </c>
      <c r="L1851" s="31" t="n">
        <v>63.4</v>
      </c>
      <c r="M1851" s="34" t="s">
        <v>822</v>
      </c>
      <c r="N1851" s="2" t="s">
        <v>24</v>
      </c>
      <c r="O1851" s="2" t="s">
        <v>24</v>
      </c>
      <c r="P1851" s="2" t="s">
        <v>24</v>
      </c>
      <c r="Q1851" s="2" t="s">
        <v>24</v>
      </c>
    </row>
    <row r="1852" customFormat="false" ht="15" hidden="false" customHeight="false" outlineLevel="0" collapsed="false">
      <c r="A1852" s="2" t="s">
        <v>1715</v>
      </c>
      <c r="B1852" s="2" t="s">
        <v>47</v>
      </c>
      <c r="C1852" s="14" t="s">
        <v>2454</v>
      </c>
      <c r="D1852" s="42" t="n">
        <v>102186</v>
      </c>
      <c r="E1852" s="2" t="s">
        <v>827</v>
      </c>
      <c r="F1852" s="43" t="n">
        <v>1.59742039026873</v>
      </c>
      <c r="G1852" s="31" t="n">
        <v>63</v>
      </c>
      <c r="H1852" s="41" t="n">
        <v>-0.102986358608824</v>
      </c>
      <c r="I1852" s="31" t="n">
        <v>1.9</v>
      </c>
      <c r="J1852" s="2" t="s">
        <v>2897</v>
      </c>
      <c r="K1852" s="44" t="n">
        <v>0.0672635174932265</v>
      </c>
      <c r="L1852" s="31" t="n">
        <v>43.4</v>
      </c>
      <c r="M1852" s="34" t="s">
        <v>822</v>
      </c>
      <c r="N1852" s="2" t="s">
        <v>22</v>
      </c>
      <c r="O1852" s="2" t="s">
        <v>22</v>
      </c>
      <c r="P1852" s="2" t="s">
        <v>22</v>
      </c>
      <c r="Q1852" s="2" t="s">
        <v>22</v>
      </c>
    </row>
    <row r="1853" customFormat="false" ht="15" hidden="false" customHeight="false" outlineLevel="0" collapsed="false">
      <c r="A1853" s="2" t="s">
        <v>1557</v>
      </c>
      <c r="B1853" s="2" t="s">
        <v>45</v>
      </c>
      <c r="C1853" s="13" t="s">
        <v>1558</v>
      </c>
      <c r="D1853" s="42" t="n">
        <v>123330</v>
      </c>
      <c r="E1853" s="2" t="s">
        <v>827</v>
      </c>
      <c r="F1853" s="43" t="n">
        <v>0.156223141165978</v>
      </c>
      <c r="G1853" s="31" t="n">
        <v>5.9</v>
      </c>
      <c r="H1853" s="41" t="n">
        <v>0.0157472532902865</v>
      </c>
      <c r="I1853" s="31" t="n">
        <v>17.9</v>
      </c>
      <c r="J1853" s="2" t="s">
        <v>2890</v>
      </c>
      <c r="K1853" s="44" t="n">
        <v>0.0237341772151899</v>
      </c>
      <c r="L1853" s="31" t="n">
        <v>7.2</v>
      </c>
      <c r="M1853" s="34" t="s">
        <v>822</v>
      </c>
      <c r="N1853" s="2" t="s">
        <v>22</v>
      </c>
      <c r="O1853" s="2" t="s">
        <v>22</v>
      </c>
      <c r="P1853" s="2" t="s">
        <v>22</v>
      </c>
      <c r="Q1853" s="2" t="s">
        <v>22</v>
      </c>
    </row>
    <row r="1854" customFormat="false" ht="15" hidden="false" customHeight="false" outlineLevel="0" collapsed="false">
      <c r="A1854" s="2" t="s">
        <v>1557</v>
      </c>
      <c r="B1854" s="2" t="s">
        <v>46</v>
      </c>
      <c r="C1854" s="13" t="s">
        <v>3331</v>
      </c>
      <c r="D1854" s="29" t="n">
        <v>55960</v>
      </c>
      <c r="E1854" s="2" t="s">
        <v>821</v>
      </c>
      <c r="F1854" s="30" t="n">
        <v>4.16456397426733</v>
      </c>
      <c r="G1854" s="31" t="n">
        <v>66</v>
      </c>
      <c r="H1854" s="32" t="n">
        <v>0.0219138056975895</v>
      </c>
      <c r="I1854" s="31" t="n">
        <v>19.3</v>
      </c>
      <c r="J1854" s="2" t="s">
        <v>2884</v>
      </c>
      <c r="K1854" s="38"/>
      <c r="L1854" s="31"/>
      <c r="M1854" s="39" t="s">
        <v>832</v>
      </c>
      <c r="N1854" s="2" t="s">
        <v>24</v>
      </c>
      <c r="O1854" s="2" t="s">
        <v>24</v>
      </c>
      <c r="P1854" s="2" t="s">
        <v>24</v>
      </c>
      <c r="Q1854" s="2"/>
    </row>
    <row r="1855" customFormat="false" ht="15" hidden="false" customHeight="false" outlineLevel="0" collapsed="false">
      <c r="A1855" s="2" t="s">
        <v>1557</v>
      </c>
      <c r="B1855" s="2" t="s">
        <v>47</v>
      </c>
      <c r="C1855" s="16"/>
      <c r="D1855" s="35"/>
      <c r="E1855" s="2"/>
      <c r="F1855" s="36"/>
      <c r="G1855" s="31"/>
      <c r="H1855" s="37"/>
      <c r="I1855" s="31"/>
      <c r="J1855" s="2"/>
      <c r="K1855" s="38"/>
      <c r="L1855" s="31"/>
      <c r="M1855" s="39" t="s">
        <v>832</v>
      </c>
      <c r="N1855" s="2"/>
      <c r="O1855" s="2"/>
      <c r="P1855" s="2"/>
      <c r="Q1855" s="2"/>
    </row>
    <row r="1856" customFormat="false" ht="15" hidden="false" customHeight="false" outlineLevel="0" collapsed="false">
      <c r="A1856" s="2" t="s">
        <v>432</v>
      </c>
      <c r="B1856" s="2" t="s">
        <v>45</v>
      </c>
      <c r="C1856" s="13" t="s">
        <v>1587</v>
      </c>
      <c r="D1856" s="29" t="n">
        <v>130290</v>
      </c>
      <c r="E1856" s="2" t="s">
        <v>827</v>
      </c>
      <c r="F1856" s="43" t="n">
        <v>0.100502053856686</v>
      </c>
      <c r="G1856" s="31" t="n">
        <v>1.9</v>
      </c>
      <c r="H1856" s="32" t="n">
        <v>0.167682380354902</v>
      </c>
      <c r="I1856" s="31" t="n">
        <v>83.6</v>
      </c>
      <c r="J1856" s="2" t="s">
        <v>2890</v>
      </c>
      <c r="K1856" s="44" t="n">
        <v>0.204819277108434</v>
      </c>
      <c r="L1856" s="31" t="n">
        <v>75.1</v>
      </c>
      <c r="M1856" s="34" t="s">
        <v>822</v>
      </c>
      <c r="N1856" s="2" t="s">
        <v>24</v>
      </c>
      <c r="O1856" s="2" t="s">
        <v>22</v>
      </c>
      <c r="P1856" s="2" t="s">
        <v>24</v>
      </c>
      <c r="Q1856" s="2" t="s">
        <v>22</v>
      </c>
    </row>
    <row r="1857" customFormat="false" ht="15" hidden="false" customHeight="false" outlineLevel="0" collapsed="false">
      <c r="A1857" s="2" t="s">
        <v>432</v>
      </c>
      <c r="B1857" s="2" t="s">
        <v>46</v>
      </c>
      <c r="C1857" s="13" t="s">
        <v>1641</v>
      </c>
      <c r="D1857" s="29" t="n">
        <v>49870</v>
      </c>
      <c r="E1857" s="2" t="s">
        <v>821</v>
      </c>
      <c r="F1857" s="30" t="n">
        <v>9.79963906156006</v>
      </c>
      <c r="G1857" s="31" t="n">
        <v>93.7</v>
      </c>
      <c r="H1857" s="32" t="n">
        <v>0.0621938232161874</v>
      </c>
      <c r="I1857" s="31" t="n">
        <v>35.3</v>
      </c>
      <c r="J1857" s="2" t="s">
        <v>2884</v>
      </c>
      <c r="K1857" s="33" t="n">
        <v>0.0120040910803682</v>
      </c>
      <c r="L1857" s="31" t="n">
        <v>1.5</v>
      </c>
      <c r="M1857" s="34" t="s">
        <v>822</v>
      </c>
      <c r="N1857" s="2" t="s">
        <v>24</v>
      </c>
      <c r="O1857" s="2" t="s">
        <v>24</v>
      </c>
      <c r="P1857" s="2" t="s">
        <v>24</v>
      </c>
      <c r="Q1857" s="2" t="s">
        <v>24</v>
      </c>
    </row>
    <row r="1858" customFormat="false" ht="15" hidden="false" customHeight="false" outlineLevel="0" collapsed="false">
      <c r="A1858" s="2" t="s">
        <v>432</v>
      </c>
      <c r="B1858" s="2" t="s">
        <v>47</v>
      </c>
      <c r="C1858" s="14" t="s">
        <v>2439</v>
      </c>
      <c r="D1858" s="42" t="n">
        <v>24682</v>
      </c>
      <c r="E1858" s="2" t="s">
        <v>821</v>
      </c>
      <c r="F1858" s="43" t="n">
        <v>1.63272830402723</v>
      </c>
      <c r="G1858" s="31" t="n">
        <v>64.9</v>
      </c>
      <c r="H1858" s="41" t="n">
        <v>-0.0264662959018657</v>
      </c>
      <c r="I1858" s="31" t="n">
        <v>5.2</v>
      </c>
      <c r="J1858" s="2" t="s">
        <v>2886</v>
      </c>
      <c r="K1858" s="44" t="n">
        <v>0.0855555555555556</v>
      </c>
      <c r="L1858" s="31" t="n">
        <v>51.8</v>
      </c>
      <c r="M1858" s="34" t="s">
        <v>822</v>
      </c>
      <c r="N1858" s="2" t="s">
        <v>22</v>
      </c>
      <c r="O1858" s="2" t="s">
        <v>22</v>
      </c>
      <c r="P1858" s="2" t="s">
        <v>22</v>
      </c>
      <c r="Q1858" s="2" t="s">
        <v>22</v>
      </c>
    </row>
    <row r="1859" customFormat="false" ht="15" hidden="false" customHeight="false" outlineLevel="0" collapsed="false">
      <c r="A1859" s="2" t="s">
        <v>3332</v>
      </c>
      <c r="B1859" s="2" t="s">
        <v>45</v>
      </c>
      <c r="C1859" s="16"/>
      <c r="D1859" s="35"/>
      <c r="E1859" s="2"/>
      <c r="F1859" s="36"/>
      <c r="G1859" s="31"/>
      <c r="H1859" s="37"/>
      <c r="I1859" s="31"/>
      <c r="J1859" s="2"/>
      <c r="K1859" s="38"/>
      <c r="L1859" s="31"/>
      <c r="M1859" s="39" t="s">
        <v>832</v>
      </c>
      <c r="N1859" s="2"/>
      <c r="O1859" s="2"/>
      <c r="P1859" s="2"/>
      <c r="Q1859" s="2"/>
    </row>
    <row r="1860" customFormat="false" ht="15" hidden="false" customHeight="false" outlineLevel="0" collapsed="false">
      <c r="A1860" s="2" t="s">
        <v>3332</v>
      </c>
      <c r="B1860" s="2" t="s">
        <v>46</v>
      </c>
      <c r="C1860" s="14" t="s">
        <v>3333</v>
      </c>
      <c r="D1860" s="42" t="n">
        <v>162058</v>
      </c>
      <c r="E1860" s="2" t="s">
        <v>827</v>
      </c>
      <c r="F1860" s="43" t="n">
        <v>2.47241728270126</v>
      </c>
      <c r="G1860" s="31" t="n">
        <v>37.5</v>
      </c>
      <c r="H1860" s="41" t="n">
        <v>0.03052308944537</v>
      </c>
      <c r="I1860" s="31" t="n">
        <v>24.8</v>
      </c>
      <c r="J1860" s="2" t="s">
        <v>2888</v>
      </c>
      <c r="K1860" s="38"/>
      <c r="L1860" s="31"/>
      <c r="M1860" s="39" t="s">
        <v>832</v>
      </c>
      <c r="N1860" s="2" t="s">
        <v>22</v>
      </c>
      <c r="O1860" s="2" t="s">
        <v>22</v>
      </c>
      <c r="P1860" s="2" t="s">
        <v>22</v>
      </c>
      <c r="Q1860" s="2"/>
    </row>
    <row r="1861" customFormat="false" ht="15" hidden="false" customHeight="false" outlineLevel="0" collapsed="false">
      <c r="A1861" s="2" t="s">
        <v>3332</v>
      </c>
      <c r="B1861" s="2" t="s">
        <v>47</v>
      </c>
      <c r="C1861" s="14" t="s">
        <v>3334</v>
      </c>
      <c r="D1861" s="42" t="n">
        <v>77898</v>
      </c>
      <c r="E1861" s="2" t="s">
        <v>821</v>
      </c>
      <c r="F1861" s="43" t="n">
        <v>1.09027189401525</v>
      </c>
      <c r="G1861" s="31" t="n">
        <v>41.6</v>
      </c>
      <c r="H1861" s="41" t="n">
        <v>0.18837528604119</v>
      </c>
      <c r="I1861" s="31" t="n">
        <v>89.3</v>
      </c>
      <c r="J1861" s="2" t="s">
        <v>2886</v>
      </c>
      <c r="K1861" s="38"/>
      <c r="L1861" s="31"/>
      <c r="M1861" s="39" t="s">
        <v>832</v>
      </c>
      <c r="N1861" s="2" t="s">
        <v>22</v>
      </c>
      <c r="O1861" s="2" t="s">
        <v>22</v>
      </c>
      <c r="P1861" s="2" t="s">
        <v>22</v>
      </c>
      <c r="Q1861" s="2"/>
    </row>
    <row r="1862" customFormat="false" ht="15" hidden="false" customHeight="false" outlineLevel="0" collapsed="false">
      <c r="A1862" s="2" t="s">
        <v>2401</v>
      </c>
      <c r="B1862" s="2" t="s">
        <v>45</v>
      </c>
      <c r="C1862" s="15" t="s">
        <v>3335</v>
      </c>
      <c r="D1862" s="46" t="n">
        <v>28707</v>
      </c>
      <c r="E1862" s="2" t="s">
        <v>821</v>
      </c>
      <c r="F1862" s="47" t="n">
        <v>0.674399972132233</v>
      </c>
      <c r="G1862" s="31" t="n">
        <v>59.5</v>
      </c>
      <c r="H1862" s="48" t="n">
        <v>-0.107063983327631</v>
      </c>
      <c r="I1862" s="31" t="n">
        <v>1.4</v>
      </c>
      <c r="J1862" s="2" t="s">
        <v>2883</v>
      </c>
      <c r="K1862" s="38"/>
      <c r="L1862" s="31"/>
      <c r="M1862" s="39" t="s">
        <v>832</v>
      </c>
      <c r="N1862" s="2" t="s">
        <v>19</v>
      </c>
      <c r="O1862" s="2" t="s">
        <v>19</v>
      </c>
      <c r="P1862" s="2" t="s">
        <v>19</v>
      </c>
      <c r="Q1862" s="2"/>
    </row>
    <row r="1863" customFormat="false" ht="15" hidden="false" customHeight="false" outlineLevel="0" collapsed="false">
      <c r="A1863" s="2" t="s">
        <v>2401</v>
      </c>
      <c r="B1863" s="2" t="s">
        <v>46</v>
      </c>
      <c r="C1863" s="16"/>
      <c r="D1863" s="46" t="n">
        <v>10338</v>
      </c>
      <c r="E1863" s="2" t="s">
        <v>821</v>
      </c>
      <c r="F1863" s="47" t="n">
        <v>3.51035016444187</v>
      </c>
      <c r="G1863" s="31" t="n">
        <v>56.4</v>
      </c>
      <c r="H1863" s="48" t="n">
        <v>0.121866521975041</v>
      </c>
      <c r="I1863" s="31" t="n">
        <v>70.2</v>
      </c>
      <c r="J1863" s="2" t="s">
        <v>2884</v>
      </c>
      <c r="K1863" s="38"/>
      <c r="L1863" s="31"/>
      <c r="M1863" s="39" t="s">
        <v>832</v>
      </c>
      <c r="N1863" s="2" t="s">
        <v>19</v>
      </c>
      <c r="O1863" s="2" t="s">
        <v>19</v>
      </c>
      <c r="P1863" s="2" t="s">
        <v>19</v>
      </c>
      <c r="Q1863" s="2"/>
    </row>
    <row r="1864" customFormat="false" ht="15" hidden="false" customHeight="false" outlineLevel="0" collapsed="false">
      <c r="A1864" s="2" t="s">
        <v>2401</v>
      </c>
      <c r="B1864" s="2" t="s">
        <v>47</v>
      </c>
      <c r="C1864" s="14" t="s">
        <v>2402</v>
      </c>
      <c r="D1864" s="42" t="n">
        <v>300194</v>
      </c>
      <c r="E1864" s="2" t="s">
        <v>827</v>
      </c>
      <c r="F1864" s="43" t="n">
        <v>1.78843347968314</v>
      </c>
      <c r="G1864" s="31" t="n">
        <v>71.1</v>
      </c>
      <c r="H1864" s="41" t="n">
        <v>0.076126155191821</v>
      </c>
      <c r="I1864" s="31" t="n">
        <v>46</v>
      </c>
      <c r="J1864" s="2" t="s">
        <v>2897</v>
      </c>
      <c r="K1864" s="44" t="n">
        <v>0.0645034414945919</v>
      </c>
      <c r="L1864" s="31" t="n">
        <v>41</v>
      </c>
      <c r="M1864" s="34" t="s">
        <v>822</v>
      </c>
      <c r="N1864" s="2" t="s">
        <v>22</v>
      </c>
      <c r="O1864" s="2" t="s">
        <v>22</v>
      </c>
      <c r="P1864" s="2" t="s">
        <v>22</v>
      </c>
      <c r="Q1864" s="2" t="s">
        <v>22</v>
      </c>
    </row>
    <row r="1865" customFormat="false" ht="15" hidden="false" customHeight="false" outlineLevel="0" collapsed="false">
      <c r="A1865" s="2" t="s">
        <v>1972</v>
      </c>
      <c r="B1865" s="2" t="s">
        <v>45</v>
      </c>
      <c r="C1865" s="15" t="s">
        <v>3336</v>
      </c>
      <c r="D1865" s="46" t="n">
        <v>12670</v>
      </c>
      <c r="E1865" s="2" t="s">
        <v>821</v>
      </c>
      <c r="F1865" s="47" t="n">
        <v>0.412707182320442</v>
      </c>
      <c r="G1865" s="31" t="n">
        <v>30.4</v>
      </c>
      <c r="H1865" s="48" t="n">
        <v>0.186440677966102</v>
      </c>
      <c r="I1865" s="31" t="n">
        <v>88.7</v>
      </c>
      <c r="J1865" s="2" t="s">
        <v>2883</v>
      </c>
      <c r="K1865" s="38"/>
      <c r="L1865" s="31"/>
      <c r="M1865" s="39" t="s">
        <v>832</v>
      </c>
      <c r="N1865" s="2" t="s">
        <v>19</v>
      </c>
      <c r="O1865" s="2" t="s">
        <v>19</v>
      </c>
      <c r="P1865" s="2" t="s">
        <v>19</v>
      </c>
      <c r="Q1865" s="2"/>
    </row>
    <row r="1866" customFormat="false" ht="15" hidden="false" customHeight="false" outlineLevel="0" collapsed="false">
      <c r="A1866" s="2" t="s">
        <v>1972</v>
      </c>
      <c r="B1866" s="2" t="s">
        <v>46</v>
      </c>
      <c r="C1866" s="13" t="s">
        <v>1973</v>
      </c>
      <c r="D1866" s="29" t="n">
        <v>66250</v>
      </c>
      <c r="E1866" s="2" t="s">
        <v>821</v>
      </c>
      <c r="F1866" s="30" t="n">
        <v>2.50931320754717</v>
      </c>
      <c r="G1866" s="31" t="n">
        <v>38.5</v>
      </c>
      <c r="H1866" s="32" t="n">
        <v>0.00714502888415932</v>
      </c>
      <c r="I1866" s="31" t="n">
        <v>13.8</v>
      </c>
      <c r="J1866" s="2" t="s">
        <v>2884</v>
      </c>
      <c r="K1866" s="33" t="n">
        <v>0.21607027724049</v>
      </c>
      <c r="L1866" s="31" t="n">
        <v>73.3</v>
      </c>
      <c r="M1866" s="34" t="s">
        <v>822</v>
      </c>
      <c r="N1866" s="2" t="s">
        <v>24</v>
      </c>
      <c r="O1866" s="2" t="s">
        <v>24</v>
      </c>
      <c r="P1866" s="2" t="s">
        <v>24</v>
      </c>
      <c r="Q1866" s="2" t="s">
        <v>24</v>
      </c>
    </row>
    <row r="1867" customFormat="false" ht="15" hidden="false" customHeight="false" outlineLevel="0" collapsed="false">
      <c r="A1867" s="2" t="s">
        <v>1972</v>
      </c>
      <c r="B1867" s="2" t="s">
        <v>47</v>
      </c>
      <c r="C1867" s="14" t="s">
        <v>2664</v>
      </c>
      <c r="D1867" s="42" t="n">
        <v>1401</v>
      </c>
      <c r="E1867" s="2" t="s">
        <v>825</v>
      </c>
      <c r="F1867" s="43" t="n">
        <v>0.847251962883655</v>
      </c>
      <c r="G1867" s="31" t="n">
        <v>31.4</v>
      </c>
      <c r="H1867" s="41" t="n">
        <v>0.0152173913043478</v>
      </c>
      <c r="I1867" s="31" t="n">
        <v>13.8</v>
      </c>
      <c r="J1867" s="2" t="s">
        <v>2889</v>
      </c>
      <c r="K1867" s="44" t="n">
        <v>0</v>
      </c>
      <c r="L1867" s="31" t="n">
        <v>0.9</v>
      </c>
      <c r="M1867" s="34" t="s">
        <v>822</v>
      </c>
      <c r="N1867" s="2" t="s">
        <v>22</v>
      </c>
      <c r="O1867" s="2" t="s">
        <v>22</v>
      </c>
      <c r="P1867" s="2" t="s">
        <v>22</v>
      </c>
      <c r="Q1867" s="2" t="s">
        <v>22</v>
      </c>
    </row>
    <row r="1868" customFormat="false" ht="15" hidden="false" customHeight="false" outlineLevel="0" collapsed="false">
      <c r="A1868" s="2" t="s">
        <v>3337</v>
      </c>
      <c r="B1868" s="2" t="s">
        <v>45</v>
      </c>
      <c r="C1868" s="13" t="s">
        <v>3338</v>
      </c>
      <c r="D1868" s="29" t="n">
        <v>2790</v>
      </c>
      <c r="E1868" s="2" t="s">
        <v>825</v>
      </c>
      <c r="F1868" s="30" t="n">
        <v>0.848387096774194</v>
      </c>
      <c r="G1868" s="31" t="n">
        <v>71.3</v>
      </c>
      <c r="H1868" s="37"/>
      <c r="I1868" s="31"/>
      <c r="J1868" s="2"/>
      <c r="K1868" s="40" t="s">
        <v>857</v>
      </c>
      <c r="L1868" s="31"/>
      <c r="M1868" s="39" t="s">
        <v>832</v>
      </c>
      <c r="N1868" s="2" t="s">
        <v>24</v>
      </c>
      <c r="O1868" s="2" t="s">
        <v>24</v>
      </c>
      <c r="P1868" s="2"/>
      <c r="Q1868" s="2" t="s">
        <v>2885</v>
      </c>
    </row>
    <row r="1869" customFormat="false" ht="15" hidden="false" customHeight="false" outlineLevel="0" collapsed="false">
      <c r="A1869" s="2" t="s">
        <v>3339</v>
      </c>
      <c r="B1869" s="2" t="s">
        <v>46</v>
      </c>
      <c r="C1869" s="16"/>
      <c r="D1869" s="35"/>
      <c r="E1869" s="2"/>
      <c r="F1869" s="36"/>
      <c r="G1869" s="31"/>
      <c r="H1869" s="37"/>
      <c r="I1869" s="31"/>
      <c r="J1869" s="2"/>
      <c r="K1869" s="38"/>
      <c r="L1869" s="31"/>
      <c r="M1869" s="39" t="s">
        <v>832</v>
      </c>
      <c r="N1869" s="2"/>
      <c r="O1869" s="2"/>
      <c r="P1869" s="2"/>
      <c r="Q1869" s="2"/>
    </row>
    <row r="1870" customFormat="false" ht="15" hidden="false" customHeight="false" outlineLevel="0" collapsed="false">
      <c r="A1870" s="2" t="s">
        <v>678</v>
      </c>
      <c r="B1870" s="2" t="s">
        <v>45</v>
      </c>
      <c r="C1870" s="13" t="s">
        <v>1192</v>
      </c>
      <c r="D1870" s="29" t="n">
        <v>73960</v>
      </c>
      <c r="E1870" s="2" t="s">
        <v>821</v>
      </c>
      <c r="F1870" s="30" t="n">
        <v>0.614250946457545</v>
      </c>
      <c r="G1870" s="31" t="n">
        <v>55.6</v>
      </c>
      <c r="H1870" s="32" t="n">
        <v>0.0468506723283793</v>
      </c>
      <c r="I1870" s="31" t="n">
        <v>25.8</v>
      </c>
      <c r="J1870" s="2" t="s">
        <v>2883</v>
      </c>
      <c r="K1870" s="33" t="n">
        <v>0.201976528721433</v>
      </c>
      <c r="L1870" s="31" t="n">
        <v>74.1</v>
      </c>
      <c r="M1870" s="34" t="s">
        <v>822</v>
      </c>
      <c r="N1870" s="2" t="s">
        <v>24</v>
      </c>
      <c r="O1870" s="2" t="s">
        <v>24</v>
      </c>
      <c r="P1870" s="2" t="s">
        <v>24</v>
      </c>
      <c r="Q1870" s="2" t="s">
        <v>24</v>
      </c>
    </row>
    <row r="1871" customFormat="false" ht="15" hidden="false" customHeight="false" outlineLevel="0" collapsed="false">
      <c r="A1871" s="2" t="s">
        <v>678</v>
      </c>
      <c r="B1871" s="2" t="s">
        <v>46</v>
      </c>
      <c r="C1871" s="13" t="s">
        <v>2082</v>
      </c>
      <c r="D1871" s="29" t="n">
        <v>142920</v>
      </c>
      <c r="E1871" s="2" t="s">
        <v>827</v>
      </c>
      <c r="F1871" s="30" t="n">
        <v>1.67230618527848</v>
      </c>
      <c r="G1871" s="31" t="n">
        <v>20.4</v>
      </c>
      <c r="H1871" s="32" t="n">
        <v>0.056163168785102</v>
      </c>
      <c r="I1871" s="31" t="n">
        <v>40.1</v>
      </c>
      <c r="J1871" s="2" t="s">
        <v>2888</v>
      </c>
      <c r="K1871" s="33" t="n">
        <v>0.183260610868703</v>
      </c>
      <c r="L1871" s="31" t="n">
        <v>65.1</v>
      </c>
      <c r="M1871" s="34" t="s">
        <v>822</v>
      </c>
      <c r="N1871" s="2" t="s">
        <v>24</v>
      </c>
      <c r="O1871" s="2" t="s">
        <v>24</v>
      </c>
      <c r="P1871" s="2" t="s">
        <v>24</v>
      </c>
      <c r="Q1871" s="2" t="s">
        <v>24</v>
      </c>
    </row>
    <row r="1872" customFormat="false" ht="15" hidden="false" customHeight="false" outlineLevel="0" collapsed="false">
      <c r="A1872" s="2" t="s">
        <v>678</v>
      </c>
      <c r="B1872" s="2" t="s">
        <v>47</v>
      </c>
      <c r="C1872" s="14" t="s">
        <v>2755</v>
      </c>
      <c r="D1872" s="42" t="n">
        <v>130076</v>
      </c>
      <c r="E1872" s="2" t="s">
        <v>827</v>
      </c>
      <c r="F1872" s="43" t="n">
        <v>0.588325286755435</v>
      </c>
      <c r="G1872" s="31" t="n">
        <v>17.8</v>
      </c>
      <c r="H1872" s="41" t="n">
        <v>0.128994740222542</v>
      </c>
      <c r="I1872" s="31" t="n">
        <v>72.7</v>
      </c>
      <c r="J1872" s="2" t="s">
        <v>2897</v>
      </c>
      <c r="K1872" s="44" t="n">
        <v>0.0826888756692445</v>
      </c>
      <c r="L1872" s="31" t="n">
        <v>50.7</v>
      </c>
      <c r="M1872" s="34" t="s">
        <v>822</v>
      </c>
      <c r="N1872" s="2" t="s">
        <v>22</v>
      </c>
      <c r="O1872" s="2" t="s">
        <v>22</v>
      </c>
      <c r="P1872" s="2" t="s">
        <v>22</v>
      </c>
      <c r="Q1872" s="2" t="s">
        <v>22</v>
      </c>
    </row>
    <row r="1873" customFormat="false" ht="15" hidden="false" customHeight="false" outlineLevel="0" collapsed="false">
      <c r="A1873" s="2" t="s">
        <v>506</v>
      </c>
      <c r="B1873" s="2" t="s">
        <v>45</v>
      </c>
      <c r="C1873" s="13" t="s">
        <v>1255</v>
      </c>
      <c r="D1873" s="29" t="n">
        <v>9560</v>
      </c>
      <c r="E1873" s="2" t="s">
        <v>825</v>
      </c>
      <c r="F1873" s="30" t="n">
        <v>0.537238493723849</v>
      </c>
      <c r="G1873" s="31" t="n">
        <v>46.7</v>
      </c>
      <c r="H1873" s="32" t="n">
        <v>-0.0599803343166175</v>
      </c>
      <c r="I1873" s="31" t="n">
        <v>1.4</v>
      </c>
      <c r="J1873" s="2" t="s">
        <v>2899</v>
      </c>
      <c r="K1873" s="40" t="s">
        <v>857</v>
      </c>
      <c r="L1873" s="31"/>
      <c r="M1873" s="34" t="s">
        <v>822</v>
      </c>
      <c r="N1873" s="2" t="s">
        <v>24</v>
      </c>
      <c r="O1873" s="2" t="s">
        <v>24</v>
      </c>
      <c r="P1873" s="2" t="s">
        <v>24</v>
      </c>
      <c r="Q1873" s="2" t="s">
        <v>2885</v>
      </c>
    </row>
    <row r="1874" customFormat="false" ht="15" hidden="false" customHeight="false" outlineLevel="0" collapsed="false">
      <c r="A1874" s="2" t="s">
        <v>506</v>
      </c>
      <c r="B1874" s="2" t="s">
        <v>46</v>
      </c>
      <c r="C1874" s="13" t="s">
        <v>1786</v>
      </c>
      <c r="D1874" s="29" t="n">
        <v>25910</v>
      </c>
      <c r="E1874" s="2" t="s">
        <v>821</v>
      </c>
      <c r="F1874" s="30" t="n">
        <v>4.27684291779236</v>
      </c>
      <c r="G1874" s="31" t="n">
        <v>68</v>
      </c>
      <c r="H1874" s="32" t="n">
        <v>0.170280036133695</v>
      </c>
      <c r="I1874" s="31" t="n">
        <v>85.5</v>
      </c>
      <c r="J1874" s="2" t="s">
        <v>2884</v>
      </c>
      <c r="K1874" s="33" t="n">
        <v>0.0469643508942694</v>
      </c>
      <c r="L1874" s="31" t="n">
        <v>11</v>
      </c>
      <c r="M1874" s="34" t="s">
        <v>822</v>
      </c>
      <c r="N1874" s="2" t="s">
        <v>24</v>
      </c>
      <c r="O1874" s="2" t="s">
        <v>24</v>
      </c>
      <c r="P1874" s="2" t="s">
        <v>24</v>
      </c>
      <c r="Q1874" s="2" t="s">
        <v>24</v>
      </c>
    </row>
    <row r="1875" customFormat="false" ht="15" hidden="false" customHeight="false" outlineLevel="0" collapsed="false">
      <c r="A1875" s="2" t="s">
        <v>506</v>
      </c>
      <c r="B1875" s="2" t="s">
        <v>47</v>
      </c>
      <c r="C1875" s="14" t="s">
        <v>2674</v>
      </c>
      <c r="D1875" s="42" t="n">
        <v>77035</v>
      </c>
      <c r="E1875" s="2" t="s">
        <v>821</v>
      </c>
      <c r="F1875" s="43" t="n">
        <v>0.809541117673785</v>
      </c>
      <c r="G1875" s="31" t="n">
        <v>29.5</v>
      </c>
      <c r="H1875" s="41" t="n">
        <v>0.0342489662209334</v>
      </c>
      <c r="I1875" s="31" t="n">
        <v>21.8</v>
      </c>
      <c r="J1875" s="2" t="s">
        <v>2886</v>
      </c>
      <c r="K1875" s="44" t="n">
        <v>0.0491329479768786</v>
      </c>
      <c r="L1875" s="31" t="n">
        <v>31.7</v>
      </c>
      <c r="M1875" s="34" t="s">
        <v>822</v>
      </c>
      <c r="N1875" s="2" t="s">
        <v>22</v>
      </c>
      <c r="O1875" s="2" t="s">
        <v>22</v>
      </c>
      <c r="P1875" s="2" t="s">
        <v>22</v>
      </c>
      <c r="Q1875" s="2" t="s">
        <v>22</v>
      </c>
    </row>
    <row r="1876" customFormat="false" ht="15" hidden="false" customHeight="false" outlineLevel="0" collapsed="false">
      <c r="A1876" s="2" t="s">
        <v>2838</v>
      </c>
      <c r="B1876" s="2" t="s">
        <v>45</v>
      </c>
      <c r="C1876" s="13" t="s">
        <v>3340</v>
      </c>
      <c r="D1876" s="29" t="n">
        <v>150170</v>
      </c>
      <c r="E1876" s="2" t="s">
        <v>827</v>
      </c>
      <c r="F1876" s="30" t="n">
        <v>1.04545515082906</v>
      </c>
      <c r="G1876" s="31" t="n">
        <v>80</v>
      </c>
      <c r="H1876" s="32" t="n">
        <v>0.173203125</v>
      </c>
      <c r="I1876" s="31" t="n">
        <v>86.4</v>
      </c>
      <c r="J1876" s="2" t="s">
        <v>2890</v>
      </c>
      <c r="K1876" s="38"/>
      <c r="L1876" s="31"/>
      <c r="M1876" s="39" t="s">
        <v>832</v>
      </c>
      <c r="N1876" s="2" t="s">
        <v>24</v>
      </c>
      <c r="O1876" s="2" t="s">
        <v>24</v>
      </c>
      <c r="P1876" s="2" t="s">
        <v>24</v>
      </c>
      <c r="Q1876" s="2"/>
    </row>
    <row r="1877" customFormat="false" ht="15" hidden="false" customHeight="false" outlineLevel="0" collapsed="false">
      <c r="A1877" s="2" t="s">
        <v>2838</v>
      </c>
      <c r="B1877" s="2" t="s">
        <v>47</v>
      </c>
      <c r="C1877" s="13" t="s">
        <v>2839</v>
      </c>
      <c r="D1877" s="29" t="n">
        <v>413050</v>
      </c>
      <c r="E1877" s="2" t="s">
        <v>827</v>
      </c>
      <c r="F1877" s="30" t="n">
        <v>0.348408183028689</v>
      </c>
      <c r="G1877" s="31" t="n">
        <v>5.5</v>
      </c>
      <c r="H1877" s="32" t="n">
        <v>0.14701063563911</v>
      </c>
      <c r="I1877" s="31" t="n">
        <v>82.6</v>
      </c>
      <c r="J1877" s="2" t="s">
        <v>2897</v>
      </c>
      <c r="K1877" s="33" t="n">
        <v>0.196358267716535</v>
      </c>
      <c r="L1877" s="31" t="n">
        <v>84.4</v>
      </c>
      <c r="M1877" s="34" t="s">
        <v>822</v>
      </c>
      <c r="N1877" s="2" t="s">
        <v>24</v>
      </c>
      <c r="O1877" s="2" t="s">
        <v>24</v>
      </c>
      <c r="P1877" s="2" t="s">
        <v>24</v>
      </c>
      <c r="Q1877" s="2" t="s">
        <v>24</v>
      </c>
    </row>
    <row r="1878" customFormat="false" ht="15" hidden="false" customHeight="false" outlineLevel="0" collapsed="false">
      <c r="A1878" s="2" t="s">
        <v>1360</v>
      </c>
      <c r="B1878" s="2" t="s">
        <v>45</v>
      </c>
      <c r="C1878" s="13" t="s">
        <v>1361</v>
      </c>
      <c r="D1878" s="29" t="n">
        <v>126000</v>
      </c>
      <c r="E1878" s="2" t="s">
        <v>827</v>
      </c>
      <c r="F1878" s="30" t="n">
        <v>0.444619047619048</v>
      </c>
      <c r="G1878" s="31" t="n">
        <v>33.8</v>
      </c>
      <c r="H1878" s="32" t="n">
        <v>0.124598357729382</v>
      </c>
      <c r="I1878" s="31" t="n">
        <v>70.7</v>
      </c>
      <c r="J1878" s="2" t="s">
        <v>2890</v>
      </c>
      <c r="K1878" s="33" t="n">
        <v>0.135323599912835</v>
      </c>
      <c r="L1878" s="31" t="n">
        <v>50.6</v>
      </c>
      <c r="M1878" s="34" t="s">
        <v>822</v>
      </c>
      <c r="N1878" s="2" t="s">
        <v>24</v>
      </c>
      <c r="O1878" s="2" t="s">
        <v>24</v>
      </c>
      <c r="P1878" s="2" t="s">
        <v>24</v>
      </c>
      <c r="Q1878" s="2" t="s">
        <v>24</v>
      </c>
    </row>
    <row r="1879" customFormat="false" ht="15" hidden="false" customHeight="false" outlineLevel="0" collapsed="false">
      <c r="A1879" s="2" t="s">
        <v>1360</v>
      </c>
      <c r="B1879" s="2" t="s">
        <v>46</v>
      </c>
      <c r="C1879" s="16"/>
      <c r="D1879" s="35"/>
      <c r="E1879" s="2"/>
      <c r="F1879" s="36"/>
      <c r="G1879" s="31"/>
      <c r="H1879" s="37"/>
      <c r="I1879" s="31"/>
      <c r="J1879" s="2"/>
      <c r="K1879" s="38"/>
      <c r="L1879" s="31"/>
      <c r="M1879" s="39" t="s">
        <v>832</v>
      </c>
      <c r="N1879" s="2"/>
      <c r="O1879" s="2"/>
      <c r="P1879" s="2"/>
      <c r="Q1879" s="2"/>
    </row>
    <row r="1880" customFormat="false" ht="15" hidden="false" customHeight="false" outlineLevel="0" collapsed="false">
      <c r="A1880" s="2" t="s">
        <v>1360</v>
      </c>
      <c r="B1880" s="2" t="s">
        <v>47</v>
      </c>
      <c r="C1880" s="13" t="s">
        <v>2649</v>
      </c>
      <c r="D1880" s="29" t="n">
        <v>220380</v>
      </c>
      <c r="E1880" s="2" t="s">
        <v>827</v>
      </c>
      <c r="F1880" s="30" t="n">
        <v>0.890611670750522</v>
      </c>
      <c r="G1880" s="31" t="n">
        <v>33.9</v>
      </c>
      <c r="H1880" s="32" t="n">
        <v>0.00231955246281894</v>
      </c>
      <c r="I1880" s="31" t="n">
        <v>13</v>
      </c>
      <c r="J1880" s="2" t="s">
        <v>2897</v>
      </c>
      <c r="K1880" s="44" t="n">
        <v>0.0441127968337731</v>
      </c>
      <c r="L1880" s="31" t="n">
        <v>28.9</v>
      </c>
      <c r="M1880" s="34" t="s">
        <v>822</v>
      </c>
      <c r="N1880" s="2" t="s">
        <v>24</v>
      </c>
      <c r="O1880" s="2" t="s">
        <v>24</v>
      </c>
      <c r="P1880" s="2" t="s">
        <v>24</v>
      </c>
      <c r="Q1880" s="2" t="s">
        <v>22</v>
      </c>
    </row>
    <row r="1881" customFormat="false" ht="15" hidden="false" customHeight="false" outlineLevel="0" collapsed="false">
      <c r="A1881" s="2" t="s">
        <v>586</v>
      </c>
      <c r="B1881" s="2" t="s">
        <v>45</v>
      </c>
      <c r="C1881" s="13" t="s">
        <v>1484</v>
      </c>
      <c r="D1881" s="29" t="n">
        <v>7980</v>
      </c>
      <c r="E1881" s="2" t="s">
        <v>825</v>
      </c>
      <c r="F1881" s="30" t="n">
        <v>0.272681704260652</v>
      </c>
      <c r="G1881" s="31" t="n">
        <v>14.6</v>
      </c>
      <c r="H1881" s="32" t="n">
        <v>0.0754716981132075</v>
      </c>
      <c r="I1881" s="31" t="n">
        <v>33.8</v>
      </c>
      <c r="J1881" s="2" t="s">
        <v>2899</v>
      </c>
      <c r="K1881" s="33" t="n">
        <v>0.127450980392157</v>
      </c>
      <c r="L1881" s="31" t="n">
        <v>46.6</v>
      </c>
      <c r="M1881" s="34" t="s">
        <v>822</v>
      </c>
      <c r="N1881" s="2" t="s">
        <v>24</v>
      </c>
      <c r="O1881" s="2" t="s">
        <v>24</v>
      </c>
      <c r="P1881" s="2" t="s">
        <v>24</v>
      </c>
      <c r="Q1881" s="2" t="s">
        <v>24</v>
      </c>
    </row>
    <row r="1882" customFormat="false" ht="15" hidden="false" customHeight="false" outlineLevel="0" collapsed="false">
      <c r="A1882" s="2" t="s">
        <v>586</v>
      </c>
      <c r="B1882" s="2" t="s">
        <v>46</v>
      </c>
      <c r="C1882" s="13" t="s">
        <v>1918</v>
      </c>
      <c r="D1882" s="29" t="n">
        <v>279740</v>
      </c>
      <c r="E1882" s="2" t="s">
        <v>827</v>
      </c>
      <c r="F1882" s="30" t="n">
        <v>2.97267462643884</v>
      </c>
      <c r="G1882" s="31" t="n">
        <v>46</v>
      </c>
      <c r="H1882" s="32" t="n">
        <v>0.143102321019941</v>
      </c>
      <c r="I1882" s="31" t="n">
        <v>82.8</v>
      </c>
      <c r="J1882" s="2" t="s">
        <v>2888</v>
      </c>
      <c r="K1882" s="33" t="n">
        <v>0.243366186504928</v>
      </c>
      <c r="L1882" s="31" t="n">
        <v>80.6</v>
      </c>
      <c r="M1882" s="34" t="s">
        <v>822</v>
      </c>
      <c r="N1882" s="2" t="s">
        <v>24</v>
      </c>
      <c r="O1882" s="2" t="s">
        <v>24</v>
      </c>
      <c r="P1882" s="2" t="s">
        <v>24</v>
      </c>
      <c r="Q1882" s="2" t="s">
        <v>24</v>
      </c>
    </row>
    <row r="1883" customFormat="false" ht="15" hidden="false" customHeight="false" outlineLevel="0" collapsed="false">
      <c r="A1883" s="2" t="s">
        <v>586</v>
      </c>
      <c r="B1883" s="2" t="s">
        <v>47</v>
      </c>
      <c r="C1883" s="14" t="s">
        <v>2466</v>
      </c>
      <c r="D1883" s="42" t="n">
        <v>15382</v>
      </c>
      <c r="E1883" s="2" t="s">
        <v>821</v>
      </c>
      <c r="F1883" s="43" t="n">
        <v>1.52281887920947</v>
      </c>
      <c r="G1883" s="31" t="n">
        <v>61</v>
      </c>
      <c r="H1883" s="48" t="n">
        <v>0.232416419805332</v>
      </c>
      <c r="I1883" s="31" t="n">
        <v>96.4</v>
      </c>
      <c r="J1883" s="2" t="s">
        <v>2886</v>
      </c>
      <c r="K1883" s="44" t="n">
        <v>0.0719424460431655</v>
      </c>
      <c r="L1883" s="31" t="n">
        <v>45</v>
      </c>
      <c r="M1883" s="34" t="s">
        <v>822</v>
      </c>
      <c r="N1883" s="2" t="s">
        <v>22</v>
      </c>
      <c r="O1883" s="2" t="s">
        <v>22</v>
      </c>
      <c r="P1883" s="2" t="s">
        <v>19</v>
      </c>
      <c r="Q1883" s="2" t="s">
        <v>22</v>
      </c>
    </row>
    <row r="1884" customFormat="false" ht="15" hidden="false" customHeight="false" outlineLevel="0" collapsed="false">
      <c r="A1884" s="2" t="s">
        <v>400</v>
      </c>
      <c r="B1884" s="2" t="s">
        <v>45</v>
      </c>
      <c r="C1884" s="13" t="s">
        <v>1573</v>
      </c>
      <c r="D1884" s="29" t="n">
        <v>175580</v>
      </c>
      <c r="E1884" s="2" t="s">
        <v>827</v>
      </c>
      <c r="F1884" s="30" t="n">
        <v>0.131176671602688</v>
      </c>
      <c r="G1884" s="31" t="n">
        <v>4.2</v>
      </c>
      <c r="H1884" s="32" t="n">
        <v>0.19158466236851</v>
      </c>
      <c r="I1884" s="31" t="n">
        <v>93.6</v>
      </c>
      <c r="J1884" s="2" t="s">
        <v>2890</v>
      </c>
      <c r="K1884" s="44" t="n">
        <v>0.195448460508702</v>
      </c>
      <c r="L1884" s="31" t="n">
        <v>71.8</v>
      </c>
      <c r="M1884" s="34" t="s">
        <v>822</v>
      </c>
      <c r="N1884" s="2" t="s">
        <v>24</v>
      </c>
      <c r="O1884" s="2" t="s">
        <v>24</v>
      </c>
      <c r="P1884" s="2" t="s">
        <v>24</v>
      </c>
      <c r="Q1884" s="2" t="s">
        <v>22</v>
      </c>
    </row>
    <row r="1885" customFormat="false" ht="15" hidden="false" customHeight="false" outlineLevel="0" collapsed="false">
      <c r="A1885" s="2" t="s">
        <v>400</v>
      </c>
      <c r="B1885" s="2" t="s">
        <v>46</v>
      </c>
      <c r="C1885" s="14" t="s">
        <v>1774</v>
      </c>
      <c r="D1885" s="29" t="n">
        <v>26410</v>
      </c>
      <c r="E1885" s="2" t="s">
        <v>821</v>
      </c>
      <c r="F1885" s="30" t="n">
        <v>4.66660355925786</v>
      </c>
      <c r="G1885" s="31" t="n">
        <v>70.3</v>
      </c>
      <c r="H1885" s="32" t="n">
        <v>0.118120237087214</v>
      </c>
      <c r="I1885" s="31" t="n">
        <v>67.6</v>
      </c>
      <c r="J1885" s="2" t="s">
        <v>2884</v>
      </c>
      <c r="K1885" s="33" t="n">
        <v>0.33164956590371</v>
      </c>
      <c r="L1885" s="31" t="n">
        <v>93.4</v>
      </c>
      <c r="M1885" s="34" t="s">
        <v>822</v>
      </c>
      <c r="N1885" s="2" t="s">
        <v>24</v>
      </c>
      <c r="O1885" s="2" t="s">
        <v>24</v>
      </c>
      <c r="P1885" s="2" t="s">
        <v>24</v>
      </c>
      <c r="Q1885" s="2" t="s">
        <v>24</v>
      </c>
    </row>
    <row r="1886" customFormat="false" ht="15" hidden="false" customHeight="false" outlineLevel="0" collapsed="false">
      <c r="A1886" s="2" t="s">
        <v>400</v>
      </c>
      <c r="B1886" s="2" t="s">
        <v>47</v>
      </c>
      <c r="C1886" s="13" t="s">
        <v>2276</v>
      </c>
      <c r="D1886" s="29" t="n">
        <v>462620</v>
      </c>
      <c r="E1886" s="2" t="s">
        <v>827</v>
      </c>
      <c r="F1886" s="30" t="n">
        <v>3.29352600406381</v>
      </c>
      <c r="G1886" s="31" t="n">
        <v>91</v>
      </c>
      <c r="H1886" s="32" t="n">
        <v>0.0135173622521634</v>
      </c>
      <c r="I1886" s="31" t="n">
        <v>16.1</v>
      </c>
      <c r="J1886" s="2" t="s">
        <v>2897</v>
      </c>
      <c r="K1886" s="33" t="n">
        <v>0.000900844279638824</v>
      </c>
      <c r="L1886" s="31" t="n">
        <v>2.2</v>
      </c>
      <c r="M1886" s="34" t="s">
        <v>822</v>
      </c>
      <c r="N1886" s="2" t="s">
        <v>24</v>
      </c>
      <c r="O1886" s="2" t="s">
        <v>24</v>
      </c>
      <c r="P1886" s="2" t="s">
        <v>24</v>
      </c>
      <c r="Q1886" s="2" t="s">
        <v>24</v>
      </c>
    </row>
    <row r="1887" customFormat="false" ht="15" hidden="false" customHeight="false" outlineLevel="0" collapsed="false">
      <c r="A1887" s="2" t="s">
        <v>674</v>
      </c>
      <c r="B1887" s="2" t="s">
        <v>47</v>
      </c>
      <c r="C1887" s="13" t="s">
        <v>2661</v>
      </c>
      <c r="D1887" s="29" t="n">
        <v>2420</v>
      </c>
      <c r="E1887" s="2" t="s">
        <v>825</v>
      </c>
      <c r="F1887" s="30" t="n">
        <v>0.863636363636364</v>
      </c>
      <c r="G1887" s="31" t="n">
        <v>32.1</v>
      </c>
      <c r="H1887" s="32" t="n">
        <v>0.308108108108108</v>
      </c>
      <c r="I1887" s="31" t="n">
        <v>100</v>
      </c>
      <c r="J1887" s="2" t="s">
        <v>2889</v>
      </c>
      <c r="K1887" s="33" t="n">
        <v>0.0888888888888889</v>
      </c>
      <c r="L1887" s="31" t="n">
        <v>53.8</v>
      </c>
      <c r="M1887" s="34" t="s">
        <v>822</v>
      </c>
      <c r="N1887" s="2" t="s">
        <v>24</v>
      </c>
      <c r="O1887" s="2" t="s">
        <v>24</v>
      </c>
      <c r="P1887" s="2" t="s">
        <v>24</v>
      </c>
      <c r="Q1887" s="2" t="s">
        <v>24</v>
      </c>
    </row>
    <row r="1888" customFormat="false" ht="15" hidden="false" customHeight="false" outlineLevel="0" collapsed="false">
      <c r="A1888" s="2" t="s">
        <v>232</v>
      </c>
      <c r="B1888" s="2" t="s">
        <v>45</v>
      </c>
      <c r="C1888" s="13" t="s">
        <v>826</v>
      </c>
      <c r="D1888" s="29" t="n">
        <v>311650</v>
      </c>
      <c r="E1888" s="2" t="s">
        <v>827</v>
      </c>
      <c r="F1888" s="43" t="n">
        <v>3.6281718994925</v>
      </c>
      <c r="G1888" s="31" t="n">
        <v>99.4</v>
      </c>
      <c r="H1888" s="32" t="n">
        <v>0.314757003037462</v>
      </c>
      <c r="I1888" s="31" t="n">
        <v>100</v>
      </c>
      <c r="J1888" s="2" t="s">
        <v>2890</v>
      </c>
      <c r="K1888" s="44" t="n">
        <v>0.288765068077357</v>
      </c>
      <c r="L1888" s="31" t="n">
        <v>89.3</v>
      </c>
      <c r="M1888" s="34" t="s">
        <v>822</v>
      </c>
      <c r="N1888" s="2" t="s">
        <v>24</v>
      </c>
      <c r="O1888" s="2" t="s">
        <v>22</v>
      </c>
      <c r="P1888" s="2" t="s">
        <v>24</v>
      </c>
      <c r="Q1888" s="2" t="s">
        <v>22</v>
      </c>
    </row>
    <row r="1889" customFormat="false" ht="15" hidden="false" customHeight="false" outlineLevel="0" collapsed="false">
      <c r="A1889" s="2" t="s">
        <v>232</v>
      </c>
      <c r="B1889" s="2" t="s">
        <v>46</v>
      </c>
      <c r="C1889" s="13" t="s">
        <v>2016</v>
      </c>
      <c r="D1889" s="29" t="n">
        <v>80670</v>
      </c>
      <c r="E1889" s="2" t="s">
        <v>821</v>
      </c>
      <c r="F1889" s="30" t="n">
        <v>2.22196603446139</v>
      </c>
      <c r="G1889" s="31" t="n">
        <v>31</v>
      </c>
      <c r="H1889" s="32" t="n">
        <v>-0.0418101912341133</v>
      </c>
      <c r="I1889" s="31" t="n">
        <v>5.1</v>
      </c>
      <c r="J1889" s="2" t="s">
        <v>2884</v>
      </c>
      <c r="K1889" s="44" t="n">
        <v>0.0462855484619849</v>
      </c>
      <c r="L1889" s="31" t="n">
        <v>10.8</v>
      </c>
      <c r="M1889" s="34" t="s">
        <v>822</v>
      </c>
      <c r="N1889" s="2" t="s">
        <v>24</v>
      </c>
      <c r="O1889" s="2" t="s">
        <v>24</v>
      </c>
      <c r="P1889" s="2" t="s">
        <v>24</v>
      </c>
      <c r="Q1889" s="2" t="s">
        <v>22</v>
      </c>
    </row>
    <row r="1890" customFormat="false" ht="15" hidden="false" customHeight="false" outlineLevel="0" collapsed="false">
      <c r="A1890" s="2" t="s">
        <v>232</v>
      </c>
      <c r="B1890" s="2" t="s">
        <v>47</v>
      </c>
      <c r="C1890" s="14" t="s">
        <v>2345</v>
      </c>
      <c r="D1890" s="42" t="n">
        <v>68474</v>
      </c>
      <c r="E1890" s="2" t="s">
        <v>821</v>
      </c>
      <c r="F1890" s="43" t="n">
        <v>2.26407103426118</v>
      </c>
      <c r="G1890" s="31" t="n">
        <v>80.4</v>
      </c>
      <c r="H1890" s="41" t="n">
        <v>-0.00596646584887857</v>
      </c>
      <c r="I1890" s="31" t="n">
        <v>8.1</v>
      </c>
      <c r="J1890" s="2" t="s">
        <v>2886</v>
      </c>
      <c r="K1890" s="44" t="n">
        <v>0.0392201314894582</v>
      </c>
      <c r="L1890" s="31" t="n">
        <v>25.8</v>
      </c>
      <c r="M1890" s="34" t="s">
        <v>822</v>
      </c>
      <c r="N1890" s="2" t="s">
        <v>22</v>
      </c>
      <c r="O1890" s="2" t="s">
        <v>22</v>
      </c>
      <c r="P1890" s="2" t="s">
        <v>22</v>
      </c>
      <c r="Q1890" s="2" t="s">
        <v>22</v>
      </c>
    </row>
    <row r="1891" customFormat="false" ht="15" hidden="false" customHeight="false" outlineLevel="0" collapsed="false">
      <c r="A1891" s="2" t="s">
        <v>1195</v>
      </c>
      <c r="B1891" s="2" t="s">
        <v>45</v>
      </c>
      <c r="C1891" s="13" t="s">
        <v>1196</v>
      </c>
      <c r="D1891" s="29" t="n">
        <v>88780</v>
      </c>
      <c r="E1891" s="2" t="s">
        <v>821</v>
      </c>
      <c r="F1891" s="43" t="n">
        <v>0.613470055269723</v>
      </c>
      <c r="G1891" s="31" t="n">
        <v>55.2</v>
      </c>
      <c r="H1891" s="32" t="n">
        <v>0.0984904726552834</v>
      </c>
      <c r="I1891" s="31" t="n">
        <v>51.9</v>
      </c>
      <c r="J1891" s="2" t="s">
        <v>2883</v>
      </c>
      <c r="K1891" s="33" t="n">
        <v>0.0783034257748776</v>
      </c>
      <c r="L1891" s="31" t="n">
        <v>25.2</v>
      </c>
      <c r="M1891" s="34" t="s">
        <v>822</v>
      </c>
      <c r="N1891" s="2" t="s">
        <v>24</v>
      </c>
      <c r="O1891" s="2" t="s">
        <v>22</v>
      </c>
      <c r="P1891" s="2" t="s">
        <v>24</v>
      </c>
      <c r="Q1891" s="2" t="s">
        <v>24</v>
      </c>
    </row>
    <row r="1892" customFormat="false" ht="15" hidden="false" customHeight="false" outlineLevel="0" collapsed="false">
      <c r="A1892" s="2" t="s">
        <v>1195</v>
      </c>
      <c r="B1892" s="2" t="s">
        <v>46</v>
      </c>
      <c r="C1892" s="13" t="s">
        <v>2151</v>
      </c>
      <c r="D1892" s="29" t="n">
        <v>93520</v>
      </c>
      <c r="E1892" s="2" t="s">
        <v>821</v>
      </c>
      <c r="F1892" s="30" t="n">
        <v>1.13457014542344</v>
      </c>
      <c r="G1892" s="31" t="n">
        <v>8.4</v>
      </c>
      <c r="H1892" s="32" t="n">
        <v>0.0871890258079516</v>
      </c>
      <c r="I1892" s="31" t="n">
        <v>53.5</v>
      </c>
      <c r="J1892" s="2" t="s">
        <v>2884</v>
      </c>
      <c r="K1892" s="33" t="n">
        <v>0.121626757886735</v>
      </c>
      <c r="L1892" s="31" t="n">
        <v>46.1</v>
      </c>
      <c r="M1892" s="34" t="s">
        <v>822</v>
      </c>
      <c r="N1892" s="2" t="s">
        <v>24</v>
      </c>
      <c r="O1892" s="2" t="s">
        <v>24</v>
      </c>
      <c r="P1892" s="2" t="s">
        <v>24</v>
      </c>
      <c r="Q1892" s="2" t="s">
        <v>24</v>
      </c>
    </row>
    <row r="1893" customFormat="false" ht="15" hidden="false" customHeight="false" outlineLevel="0" collapsed="false">
      <c r="A1893" s="2" t="s">
        <v>1195</v>
      </c>
      <c r="B1893" s="2" t="s">
        <v>47</v>
      </c>
      <c r="C1893" s="14" t="s">
        <v>3341</v>
      </c>
      <c r="D1893" s="35"/>
      <c r="E1893" s="2"/>
      <c r="F1893" s="36"/>
      <c r="G1893" s="31"/>
      <c r="H1893" s="37"/>
      <c r="I1893" s="31"/>
      <c r="J1893" s="2"/>
      <c r="K1893" s="44" t="n">
        <v>0.0106417284746856</v>
      </c>
      <c r="L1893" s="31" t="n">
        <v>7.2</v>
      </c>
      <c r="M1893" s="39" t="s">
        <v>832</v>
      </c>
      <c r="N1893" s="2"/>
      <c r="O1893" s="2"/>
      <c r="P1893" s="2"/>
      <c r="Q1893" s="2" t="s">
        <v>22</v>
      </c>
    </row>
  </sheetData>
  <autoFilter ref="A4:Q189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15"/>
    <col collapsed="false" customWidth="true" hidden="false" outlineLevel="0" max="4" min="4" style="0" width="24"/>
    <col collapsed="false" customWidth="true" hidden="false" outlineLevel="0" max="5" min="5" style="0" width="15"/>
    <col collapsed="false" customWidth="true" hidden="false" outlineLevel="0" max="6" min="6" style="0" width="24"/>
    <col collapsed="false" customWidth="true" hidden="false" outlineLevel="0" max="8" min="7" style="0" width="11"/>
    <col collapsed="false" customWidth="true" hidden="false" outlineLevel="0" max="12" min="9" style="0" width="12"/>
  </cols>
  <sheetData>
    <row r="1" customFormat="false" ht="17.35" hidden="false" customHeight="false" outlineLevel="0" collapsed="false">
      <c r="A1" s="1" t="s">
        <v>3342</v>
      </c>
      <c r="B1" s="2"/>
      <c r="C1" s="2"/>
      <c r="D1" s="2"/>
      <c r="E1" s="2"/>
      <c r="F1" s="2"/>
      <c r="G1" s="2"/>
      <c r="H1" s="2"/>
      <c r="I1" s="2"/>
      <c r="J1" s="2"/>
      <c r="K1" s="2"/>
      <c r="L1" s="2"/>
    </row>
    <row r="2" customFormat="false" ht="15" hidden="false" customHeight="false" outlineLevel="0" collapsed="false">
      <c r="A2" s="3" t="s">
        <v>3343</v>
      </c>
      <c r="B2" s="2"/>
      <c r="C2" s="2"/>
      <c r="D2" s="2"/>
      <c r="E2" s="2"/>
      <c r="F2" s="2"/>
      <c r="G2" s="2"/>
      <c r="H2" s="2"/>
      <c r="I2" s="2"/>
      <c r="J2" s="2"/>
      <c r="K2" s="2"/>
      <c r="L2" s="2"/>
    </row>
    <row r="3" customFormat="false" ht="15" hidden="false" customHeight="false" outlineLevel="0" collapsed="false">
      <c r="A3" s="2"/>
      <c r="B3" s="2"/>
      <c r="C3" s="2"/>
      <c r="D3" s="2"/>
      <c r="E3" s="2"/>
      <c r="F3" s="2"/>
      <c r="G3" s="2"/>
      <c r="H3" s="2"/>
      <c r="I3" s="2"/>
      <c r="J3" s="2"/>
      <c r="K3" s="2"/>
      <c r="L3" s="2"/>
    </row>
    <row r="4" customFormat="false" ht="31.5" hidden="false" customHeight="true" outlineLevel="0" collapsed="false">
      <c r="A4" s="8" t="s">
        <v>56</v>
      </c>
      <c r="B4" s="8" t="s">
        <v>3344</v>
      </c>
      <c r="C4" s="8" t="s">
        <v>3345</v>
      </c>
      <c r="D4" s="8" t="s">
        <v>3346</v>
      </c>
      <c r="E4" s="8" t="s">
        <v>3347</v>
      </c>
      <c r="F4" s="8" t="s">
        <v>3</v>
      </c>
      <c r="G4" s="8" t="s">
        <v>3348</v>
      </c>
      <c r="H4" s="8" t="s">
        <v>3349</v>
      </c>
      <c r="I4" s="8" t="s">
        <v>3350</v>
      </c>
      <c r="J4" s="8" t="s">
        <v>3351</v>
      </c>
      <c r="K4" s="8" t="s">
        <v>3352</v>
      </c>
      <c r="L4" s="8" t="s">
        <v>3353</v>
      </c>
    </row>
    <row r="5" customFormat="false" ht="15" hidden="false" customHeight="false" outlineLevel="0" collapsed="false">
      <c r="A5" s="2" t="s">
        <v>1534</v>
      </c>
      <c r="B5" s="13" t="s">
        <v>1533</v>
      </c>
      <c r="C5" s="13" t="s">
        <v>123</v>
      </c>
      <c r="D5" s="13" t="s">
        <v>3354</v>
      </c>
      <c r="E5" s="13" t="s">
        <v>127</v>
      </c>
      <c r="F5" s="2" t="s">
        <v>99</v>
      </c>
      <c r="G5" s="2" t="s">
        <v>3355</v>
      </c>
      <c r="H5" s="39" t="s">
        <v>832</v>
      </c>
      <c r="I5" s="2" t="s">
        <v>24</v>
      </c>
      <c r="J5" s="2" t="s">
        <v>24</v>
      </c>
      <c r="K5" s="2" t="s">
        <v>24</v>
      </c>
      <c r="L5" s="2" t="s">
        <v>24</v>
      </c>
    </row>
    <row r="6" customFormat="false" ht="15" hidden="false" customHeight="false" outlineLevel="0" collapsed="false">
      <c r="A6" s="2" t="s">
        <v>1214</v>
      </c>
      <c r="B6" s="13" t="s">
        <v>1213</v>
      </c>
      <c r="C6" s="13" t="s">
        <v>95</v>
      </c>
      <c r="D6" s="13" t="s">
        <v>3356</v>
      </c>
      <c r="E6" s="13" t="s">
        <v>78</v>
      </c>
      <c r="F6" s="2" t="s">
        <v>99</v>
      </c>
      <c r="G6" s="2" t="s">
        <v>3355</v>
      </c>
      <c r="H6" s="39" t="s">
        <v>832</v>
      </c>
      <c r="I6" s="2" t="s">
        <v>24</v>
      </c>
      <c r="J6" s="2" t="s">
        <v>24</v>
      </c>
      <c r="K6" s="2" t="s">
        <v>24</v>
      </c>
      <c r="L6" s="2" t="s">
        <v>24</v>
      </c>
    </row>
    <row r="7" customFormat="false" ht="15" hidden="false" customHeight="false" outlineLevel="0" collapsed="false">
      <c r="A7" s="2" t="s">
        <v>1832</v>
      </c>
      <c r="B7" s="13" t="s">
        <v>1831</v>
      </c>
      <c r="C7" s="13" t="s">
        <v>115</v>
      </c>
      <c r="D7" s="13" t="s">
        <v>3357</v>
      </c>
      <c r="E7" s="13" t="s">
        <v>102</v>
      </c>
      <c r="F7" s="2" t="s">
        <v>99</v>
      </c>
      <c r="G7" s="2" t="s">
        <v>3355</v>
      </c>
      <c r="H7" s="39" t="s">
        <v>832</v>
      </c>
      <c r="I7" s="2" t="s">
        <v>24</v>
      </c>
      <c r="J7" s="2" t="s">
        <v>24</v>
      </c>
      <c r="K7" s="2" t="s">
        <v>24</v>
      </c>
      <c r="L7" s="2" t="s">
        <v>24</v>
      </c>
    </row>
    <row r="8" customFormat="false" ht="15" hidden="false" customHeight="false" outlineLevel="0" collapsed="false">
      <c r="A8" s="2" t="s">
        <v>720</v>
      </c>
      <c r="B8" s="13" t="s">
        <v>719</v>
      </c>
      <c r="C8" s="13" t="s">
        <v>98</v>
      </c>
      <c r="D8" s="13" t="s">
        <v>3358</v>
      </c>
      <c r="E8" s="13" t="s">
        <v>83</v>
      </c>
      <c r="F8" s="2" t="s">
        <v>99</v>
      </c>
      <c r="G8" s="2" t="s">
        <v>3359</v>
      </c>
      <c r="H8" s="34" t="s">
        <v>822</v>
      </c>
      <c r="I8" s="2" t="s">
        <v>24</v>
      </c>
      <c r="J8" s="2" t="s">
        <v>24</v>
      </c>
      <c r="K8" s="2" t="s">
        <v>24</v>
      </c>
      <c r="L8" s="2" t="s">
        <v>24</v>
      </c>
    </row>
    <row r="9" customFormat="false" ht="15" hidden="false" customHeight="false" outlineLevel="0" collapsed="false">
      <c r="A9" s="2" t="s">
        <v>2632</v>
      </c>
      <c r="B9" s="14" t="s">
        <v>2631</v>
      </c>
      <c r="C9" s="14" t="s">
        <v>123</v>
      </c>
      <c r="D9" s="14" t="s">
        <v>3360</v>
      </c>
      <c r="E9" s="14" t="s">
        <v>105</v>
      </c>
      <c r="F9" s="2" t="s">
        <v>92</v>
      </c>
      <c r="G9" s="2" t="s">
        <v>3361</v>
      </c>
      <c r="H9" s="39" t="s">
        <v>832</v>
      </c>
      <c r="I9" s="2" t="s">
        <v>22</v>
      </c>
      <c r="J9" s="2" t="s">
        <v>22</v>
      </c>
      <c r="K9" s="2" t="s">
        <v>22</v>
      </c>
      <c r="L9" s="2" t="s">
        <v>22</v>
      </c>
    </row>
    <row r="10" customFormat="false" ht="15" hidden="false" customHeight="false" outlineLevel="0" collapsed="false">
      <c r="A10" s="2" t="s">
        <v>1117</v>
      </c>
      <c r="B10" s="13" t="s">
        <v>1116</v>
      </c>
      <c r="C10" s="13" t="s">
        <v>95</v>
      </c>
      <c r="D10" s="13" t="s">
        <v>3362</v>
      </c>
      <c r="E10" s="13" t="s">
        <v>78</v>
      </c>
      <c r="F10" s="2" t="s">
        <v>99</v>
      </c>
      <c r="G10" s="2" t="s">
        <v>3355</v>
      </c>
      <c r="H10" s="39" t="s">
        <v>832</v>
      </c>
      <c r="I10" s="2" t="s">
        <v>24</v>
      </c>
      <c r="J10" s="2" t="s">
        <v>24</v>
      </c>
      <c r="K10" s="2" t="s">
        <v>24</v>
      </c>
      <c r="L10" s="2" t="s">
        <v>24</v>
      </c>
    </row>
    <row r="11" customFormat="false" ht="15" hidden="false" customHeight="false" outlineLevel="0" collapsed="false">
      <c r="A11" s="2" t="s">
        <v>474</v>
      </c>
      <c r="B11" s="13" t="s">
        <v>473</v>
      </c>
      <c r="C11" s="13" t="s">
        <v>82</v>
      </c>
      <c r="D11" s="14" t="s">
        <v>3363</v>
      </c>
      <c r="E11" s="14" t="s">
        <v>102</v>
      </c>
      <c r="F11" s="2" t="s">
        <v>46</v>
      </c>
      <c r="G11" s="2" t="s">
        <v>3364</v>
      </c>
      <c r="H11" s="34" t="s">
        <v>822</v>
      </c>
      <c r="I11" s="2" t="s">
        <v>24</v>
      </c>
      <c r="J11" s="2" t="s">
        <v>24</v>
      </c>
      <c r="K11" s="2" t="s">
        <v>22</v>
      </c>
      <c r="L11" s="2" t="s">
        <v>22</v>
      </c>
    </row>
    <row r="12" customFormat="false" ht="15" hidden="false" customHeight="false" outlineLevel="0" collapsed="false">
      <c r="A12" s="2" t="s">
        <v>698</v>
      </c>
      <c r="B12" s="13" t="s">
        <v>697</v>
      </c>
      <c r="C12" s="13" t="s">
        <v>95</v>
      </c>
      <c r="D12" s="13" t="s">
        <v>3365</v>
      </c>
      <c r="E12" s="13" t="s">
        <v>83</v>
      </c>
      <c r="F12" s="2" t="s">
        <v>99</v>
      </c>
      <c r="G12" s="2" t="s">
        <v>3359</v>
      </c>
      <c r="H12" s="34" t="s">
        <v>822</v>
      </c>
      <c r="I12" s="2" t="s">
        <v>24</v>
      </c>
      <c r="J12" s="2" t="s">
        <v>24</v>
      </c>
      <c r="K12" s="2" t="s">
        <v>24</v>
      </c>
      <c r="L12" s="2" t="s">
        <v>24</v>
      </c>
    </row>
    <row r="13" customFormat="false" ht="15" hidden="false" customHeight="false" outlineLevel="0" collapsed="false">
      <c r="A13" s="2" t="s">
        <v>1223</v>
      </c>
      <c r="B13" s="13" t="s">
        <v>1222</v>
      </c>
      <c r="C13" s="13" t="s">
        <v>115</v>
      </c>
      <c r="D13" s="13" t="s">
        <v>3366</v>
      </c>
      <c r="E13" s="13" t="s">
        <v>120</v>
      </c>
      <c r="F13" s="2" t="s">
        <v>149</v>
      </c>
      <c r="G13" s="2" t="s">
        <v>3361</v>
      </c>
      <c r="H13" s="39" t="s">
        <v>832</v>
      </c>
      <c r="I13" s="2" t="s">
        <v>24</v>
      </c>
      <c r="J13" s="2" t="s">
        <v>24</v>
      </c>
      <c r="K13" s="2" t="s">
        <v>24</v>
      </c>
      <c r="L13" s="2" t="s">
        <v>24</v>
      </c>
    </row>
    <row r="14" customFormat="false" ht="15" hidden="false" customHeight="false" outlineLevel="0" collapsed="false">
      <c r="A14" s="2" t="s">
        <v>108</v>
      </c>
      <c r="B14" s="14" t="s">
        <v>107</v>
      </c>
      <c r="C14" s="14" t="s">
        <v>77</v>
      </c>
      <c r="D14" s="14" t="s">
        <v>3367</v>
      </c>
      <c r="E14" s="14" t="s">
        <v>78</v>
      </c>
      <c r="F14" s="2" t="s">
        <v>47</v>
      </c>
      <c r="G14" s="2" t="s">
        <v>3364</v>
      </c>
      <c r="H14" s="34" t="s">
        <v>822</v>
      </c>
      <c r="I14" s="2" t="s">
        <v>22</v>
      </c>
      <c r="J14" s="2" t="s">
        <v>22</v>
      </c>
      <c r="K14" s="2" t="s">
        <v>22</v>
      </c>
      <c r="L14" s="2" t="s">
        <v>22</v>
      </c>
    </row>
    <row r="15" customFormat="false" ht="15" hidden="false" customHeight="false" outlineLevel="0" collapsed="false">
      <c r="A15" s="2" t="s">
        <v>1635</v>
      </c>
      <c r="B15" s="13" t="s">
        <v>1634</v>
      </c>
      <c r="C15" s="13" t="s">
        <v>162</v>
      </c>
      <c r="D15" s="13" t="s">
        <v>3368</v>
      </c>
      <c r="E15" s="13" t="s">
        <v>87</v>
      </c>
      <c r="F15" s="2" t="s">
        <v>99</v>
      </c>
      <c r="G15" s="2" t="s">
        <v>3369</v>
      </c>
      <c r="H15" s="39" t="s">
        <v>832</v>
      </c>
      <c r="I15" s="2" t="s">
        <v>24</v>
      </c>
      <c r="J15" s="2" t="s">
        <v>24</v>
      </c>
      <c r="K15" s="2" t="s">
        <v>24</v>
      </c>
      <c r="L15" s="2" t="s">
        <v>24</v>
      </c>
    </row>
    <row r="16" customFormat="false" ht="15" hidden="false" customHeight="false" outlineLevel="0" collapsed="false">
      <c r="A16" s="2" t="s">
        <v>190</v>
      </c>
      <c r="B16" s="14" t="s">
        <v>189</v>
      </c>
      <c r="C16" s="14" t="s">
        <v>162</v>
      </c>
      <c r="D16" s="14" t="s">
        <v>3370</v>
      </c>
      <c r="E16" s="14" t="s">
        <v>78</v>
      </c>
      <c r="F16" s="2" t="s">
        <v>47</v>
      </c>
      <c r="G16" s="2" t="s">
        <v>3364</v>
      </c>
      <c r="H16" s="34" t="s">
        <v>822</v>
      </c>
      <c r="I16" s="2" t="s">
        <v>22</v>
      </c>
      <c r="J16" s="2" t="s">
        <v>22</v>
      </c>
      <c r="K16" s="2" t="s">
        <v>22</v>
      </c>
      <c r="L16" s="2" t="s">
        <v>22</v>
      </c>
    </row>
    <row r="17" customFormat="false" ht="15" hidden="false" customHeight="false" outlineLevel="0" collapsed="false">
      <c r="A17" s="2" t="s">
        <v>1185</v>
      </c>
      <c r="B17" s="13" t="s">
        <v>1184</v>
      </c>
      <c r="C17" s="13" t="s">
        <v>77</v>
      </c>
      <c r="D17" s="13" t="s">
        <v>3371</v>
      </c>
      <c r="E17" s="13" t="s">
        <v>78</v>
      </c>
      <c r="F17" s="2" t="s">
        <v>99</v>
      </c>
      <c r="G17" s="2" t="s">
        <v>3355</v>
      </c>
      <c r="H17" s="39" t="s">
        <v>832</v>
      </c>
      <c r="I17" s="2" t="s">
        <v>24</v>
      </c>
      <c r="J17" s="2" t="s">
        <v>24</v>
      </c>
      <c r="K17" s="2" t="s">
        <v>24</v>
      </c>
      <c r="L17" s="2" t="s">
        <v>24</v>
      </c>
    </row>
    <row r="18" customFormat="false" ht="15" hidden="false" customHeight="false" outlineLevel="0" collapsed="false">
      <c r="A18" s="2" t="s">
        <v>2074</v>
      </c>
      <c r="B18" s="13" t="s">
        <v>2073</v>
      </c>
      <c r="C18" s="13" t="s">
        <v>95</v>
      </c>
      <c r="D18" s="13" t="s">
        <v>3372</v>
      </c>
      <c r="E18" s="13" t="s">
        <v>87</v>
      </c>
      <c r="F18" s="2" t="s">
        <v>99</v>
      </c>
      <c r="G18" s="2" t="s">
        <v>3369</v>
      </c>
      <c r="H18" s="39" t="s">
        <v>832</v>
      </c>
      <c r="I18" s="2" t="s">
        <v>24</v>
      </c>
      <c r="J18" s="2" t="s">
        <v>24</v>
      </c>
      <c r="K18" s="2" t="s">
        <v>24</v>
      </c>
      <c r="L18" s="2" t="s">
        <v>24</v>
      </c>
    </row>
    <row r="19" customFormat="false" ht="15" hidden="false" customHeight="false" outlineLevel="0" collapsed="false">
      <c r="A19" s="2" t="s">
        <v>2063</v>
      </c>
      <c r="B19" s="13" t="s">
        <v>2062</v>
      </c>
      <c r="C19" s="13" t="s">
        <v>82</v>
      </c>
      <c r="D19" s="13" t="s">
        <v>3373</v>
      </c>
      <c r="E19" s="13" t="s">
        <v>87</v>
      </c>
      <c r="F19" s="2" t="s">
        <v>99</v>
      </c>
      <c r="G19" s="2" t="s">
        <v>3369</v>
      </c>
      <c r="H19" s="39" t="s">
        <v>832</v>
      </c>
      <c r="I19" s="2" t="s">
        <v>24</v>
      </c>
      <c r="J19" s="2" t="s">
        <v>24</v>
      </c>
      <c r="K19" s="2" t="s">
        <v>24</v>
      </c>
      <c r="L19" s="2" t="s">
        <v>24</v>
      </c>
    </row>
    <row r="20" customFormat="false" ht="15" hidden="false" customHeight="false" outlineLevel="0" collapsed="false">
      <c r="A20" s="2" t="s">
        <v>364</v>
      </c>
      <c r="B20" s="13" t="s">
        <v>363</v>
      </c>
      <c r="C20" s="13" t="s">
        <v>95</v>
      </c>
      <c r="D20" s="13" t="s">
        <v>3374</v>
      </c>
      <c r="E20" s="13" t="s">
        <v>87</v>
      </c>
      <c r="F20" s="2" t="s">
        <v>99</v>
      </c>
      <c r="G20" s="2" t="s">
        <v>3359</v>
      </c>
      <c r="H20" s="34" t="s">
        <v>822</v>
      </c>
      <c r="I20" s="2" t="s">
        <v>24</v>
      </c>
      <c r="J20" s="2" t="s">
        <v>24</v>
      </c>
      <c r="K20" s="2" t="s">
        <v>24</v>
      </c>
      <c r="L20" s="2" t="s">
        <v>24</v>
      </c>
    </row>
    <row r="21" customFormat="false" ht="15" hidden="false" customHeight="false" outlineLevel="0" collapsed="false">
      <c r="A21" s="2" t="s">
        <v>500</v>
      </c>
      <c r="B21" s="13" t="s">
        <v>499</v>
      </c>
      <c r="C21" s="13" t="s">
        <v>98</v>
      </c>
      <c r="D21" s="13" t="s">
        <v>3375</v>
      </c>
      <c r="E21" s="13" t="s">
        <v>78</v>
      </c>
      <c r="F21" s="2" t="s">
        <v>92</v>
      </c>
      <c r="G21" s="2" t="s">
        <v>3376</v>
      </c>
      <c r="H21" s="34" t="s">
        <v>822</v>
      </c>
      <c r="I21" s="2" t="s">
        <v>24</v>
      </c>
      <c r="J21" s="2" t="s">
        <v>24</v>
      </c>
      <c r="K21" s="2" t="s">
        <v>24</v>
      </c>
      <c r="L21" s="2" t="s">
        <v>24</v>
      </c>
    </row>
    <row r="22" customFormat="false" ht="15" hidden="false" customHeight="false" outlineLevel="0" collapsed="false">
      <c r="A22" s="2" t="s">
        <v>940</v>
      </c>
      <c r="B22" s="13" t="s">
        <v>939</v>
      </c>
      <c r="C22" s="13" t="s">
        <v>72</v>
      </c>
      <c r="D22" s="13" t="s">
        <v>3377</v>
      </c>
      <c r="E22" s="13" t="s">
        <v>105</v>
      </c>
      <c r="F22" s="2" t="s">
        <v>99</v>
      </c>
      <c r="G22" s="2" t="s">
        <v>3355</v>
      </c>
      <c r="H22" s="39" t="s">
        <v>832</v>
      </c>
      <c r="I22" s="2" t="s">
        <v>24</v>
      </c>
      <c r="J22" s="2" t="s">
        <v>24</v>
      </c>
      <c r="K22" s="2" t="s">
        <v>24</v>
      </c>
      <c r="L22" s="2" t="s">
        <v>24</v>
      </c>
    </row>
    <row r="23" customFormat="false" ht="15" hidden="false" customHeight="false" outlineLevel="0" collapsed="false">
      <c r="A23" s="2" t="s">
        <v>220</v>
      </c>
      <c r="B23" s="13" t="s">
        <v>219</v>
      </c>
      <c r="C23" s="13" t="s">
        <v>98</v>
      </c>
      <c r="D23" s="13" t="s">
        <v>3378</v>
      </c>
      <c r="E23" s="13" t="s">
        <v>73</v>
      </c>
      <c r="F23" s="2" t="s">
        <v>99</v>
      </c>
      <c r="G23" s="2" t="s">
        <v>3359</v>
      </c>
      <c r="H23" s="34" t="s">
        <v>822</v>
      </c>
      <c r="I23" s="2" t="s">
        <v>24</v>
      </c>
      <c r="J23" s="2" t="s">
        <v>24</v>
      </c>
      <c r="K23" s="2" t="s">
        <v>24</v>
      </c>
      <c r="L23" s="2" t="s">
        <v>24</v>
      </c>
    </row>
    <row r="24" customFormat="false" ht="15" hidden="false" customHeight="false" outlineLevel="0" collapsed="false">
      <c r="A24" s="2" t="s">
        <v>1090</v>
      </c>
      <c r="B24" s="15" t="s">
        <v>1089</v>
      </c>
      <c r="C24" s="15" t="s">
        <v>115</v>
      </c>
      <c r="D24" s="15" t="s">
        <v>3379</v>
      </c>
      <c r="E24" s="16"/>
      <c r="F24" s="2" t="s">
        <v>149</v>
      </c>
      <c r="G24" s="2" t="s">
        <v>3361</v>
      </c>
      <c r="H24" s="39" t="s">
        <v>832</v>
      </c>
      <c r="I24" s="2" t="s">
        <v>19</v>
      </c>
      <c r="J24" s="2" t="s">
        <v>19</v>
      </c>
      <c r="K24" s="2" t="s">
        <v>19</v>
      </c>
      <c r="L24" s="2"/>
    </row>
    <row r="25" customFormat="false" ht="15" hidden="false" customHeight="false" outlineLevel="0" collapsed="false">
      <c r="A25" s="2" t="s">
        <v>1273</v>
      </c>
      <c r="B25" s="13" t="s">
        <v>1272</v>
      </c>
      <c r="C25" s="13" t="s">
        <v>162</v>
      </c>
      <c r="D25" s="13" t="s">
        <v>3380</v>
      </c>
      <c r="E25" s="13" t="s">
        <v>83</v>
      </c>
      <c r="F25" s="2" t="s">
        <v>99</v>
      </c>
      <c r="G25" s="2" t="s">
        <v>3355</v>
      </c>
      <c r="H25" s="39" t="s">
        <v>832</v>
      </c>
      <c r="I25" s="2" t="s">
        <v>24</v>
      </c>
      <c r="J25" s="2" t="s">
        <v>24</v>
      </c>
      <c r="K25" s="2" t="s">
        <v>24</v>
      </c>
      <c r="L25" s="2" t="s">
        <v>24</v>
      </c>
    </row>
    <row r="26" customFormat="false" ht="15" hidden="false" customHeight="false" outlineLevel="0" collapsed="false">
      <c r="A26" s="2" t="s">
        <v>90</v>
      </c>
      <c r="B26" s="13" t="s">
        <v>89</v>
      </c>
      <c r="C26" s="13" t="s">
        <v>91</v>
      </c>
      <c r="D26" s="13" t="s">
        <v>3381</v>
      </c>
      <c r="E26" s="13" t="s">
        <v>78</v>
      </c>
      <c r="F26" s="2" t="s">
        <v>92</v>
      </c>
      <c r="G26" s="2" t="s">
        <v>3376</v>
      </c>
      <c r="H26" s="34" t="s">
        <v>822</v>
      </c>
      <c r="I26" s="2" t="s">
        <v>24</v>
      </c>
      <c r="J26" s="2" t="s">
        <v>24</v>
      </c>
      <c r="K26" s="2" t="s">
        <v>24</v>
      </c>
      <c r="L26" s="2" t="s">
        <v>24</v>
      </c>
    </row>
    <row r="27" customFormat="false" ht="15" hidden="false" customHeight="false" outlineLevel="0" collapsed="false">
      <c r="A27" s="2" t="s">
        <v>314</v>
      </c>
      <c r="B27" s="13" t="s">
        <v>313</v>
      </c>
      <c r="C27" s="13" t="s">
        <v>162</v>
      </c>
      <c r="D27" s="14" t="s">
        <v>3382</v>
      </c>
      <c r="E27" s="13" t="s">
        <v>127</v>
      </c>
      <c r="F27" s="2" t="s">
        <v>106</v>
      </c>
      <c r="G27" s="2" t="s">
        <v>3376</v>
      </c>
      <c r="H27" s="34" t="s">
        <v>822</v>
      </c>
      <c r="I27" s="2" t="s">
        <v>24</v>
      </c>
      <c r="J27" s="2" t="s">
        <v>24</v>
      </c>
      <c r="K27" s="2" t="s">
        <v>22</v>
      </c>
      <c r="L27" s="2" t="s">
        <v>24</v>
      </c>
    </row>
    <row r="28" customFormat="false" ht="15" hidden="false" customHeight="false" outlineLevel="0" collapsed="false">
      <c r="A28" s="2" t="s">
        <v>2900</v>
      </c>
      <c r="B28" s="13" t="s">
        <v>3383</v>
      </c>
      <c r="C28" s="13" t="s">
        <v>82</v>
      </c>
      <c r="D28" s="13" t="s">
        <v>3384</v>
      </c>
      <c r="E28" s="13" t="s">
        <v>124</v>
      </c>
      <c r="F28" s="2" t="s">
        <v>92</v>
      </c>
      <c r="G28" s="2" t="s">
        <v>3385</v>
      </c>
      <c r="H28" s="39" t="s">
        <v>832</v>
      </c>
      <c r="I28" s="2" t="s">
        <v>24</v>
      </c>
      <c r="J28" s="2" t="s">
        <v>24</v>
      </c>
      <c r="K28" s="2" t="s">
        <v>24</v>
      </c>
      <c r="L28" s="2" t="s">
        <v>24</v>
      </c>
    </row>
    <row r="29" customFormat="false" ht="15" hidden="false" customHeight="false" outlineLevel="0" collapsed="false">
      <c r="A29" s="2" t="s">
        <v>710</v>
      </c>
      <c r="B29" s="13" t="s">
        <v>709</v>
      </c>
      <c r="C29" s="13" t="s">
        <v>123</v>
      </c>
      <c r="D29" s="13" t="s">
        <v>3386</v>
      </c>
      <c r="E29" s="13" t="s">
        <v>105</v>
      </c>
      <c r="F29" s="2" t="s">
        <v>99</v>
      </c>
      <c r="G29" s="2" t="s">
        <v>3359</v>
      </c>
      <c r="H29" s="34" t="s">
        <v>822</v>
      </c>
      <c r="I29" s="2" t="s">
        <v>24</v>
      </c>
      <c r="J29" s="2" t="s">
        <v>24</v>
      </c>
      <c r="K29" s="2" t="s">
        <v>24</v>
      </c>
      <c r="L29" s="2" t="s">
        <v>24</v>
      </c>
    </row>
    <row r="30" customFormat="false" ht="15" hidden="false" customHeight="false" outlineLevel="0" collapsed="false">
      <c r="A30" s="2" t="s">
        <v>2903</v>
      </c>
      <c r="B30" s="14" t="s">
        <v>3387</v>
      </c>
      <c r="C30" s="14" t="s">
        <v>98</v>
      </c>
      <c r="D30" s="14" t="s">
        <v>3388</v>
      </c>
      <c r="E30" s="14" t="s">
        <v>124</v>
      </c>
      <c r="F30" s="2" t="s">
        <v>92</v>
      </c>
      <c r="G30" s="2" t="s">
        <v>3385</v>
      </c>
      <c r="H30" s="39" t="s">
        <v>832</v>
      </c>
      <c r="I30" s="2" t="s">
        <v>22</v>
      </c>
      <c r="J30" s="2" t="s">
        <v>22</v>
      </c>
      <c r="K30" s="2" t="s">
        <v>22</v>
      </c>
      <c r="L30" s="2" t="s">
        <v>22</v>
      </c>
    </row>
    <row r="31" customFormat="false" ht="15" hidden="false" customHeight="false" outlineLevel="0" collapsed="false">
      <c r="A31" s="2" t="s">
        <v>614</v>
      </c>
      <c r="B31" s="13" t="s">
        <v>613</v>
      </c>
      <c r="C31" s="13" t="s">
        <v>162</v>
      </c>
      <c r="D31" s="14" t="s">
        <v>3389</v>
      </c>
      <c r="E31" s="13" t="s">
        <v>120</v>
      </c>
      <c r="F31" s="2" t="s">
        <v>46</v>
      </c>
      <c r="G31" s="2" t="s">
        <v>3364</v>
      </c>
      <c r="H31" s="34" t="s">
        <v>822</v>
      </c>
      <c r="I31" s="2" t="s">
        <v>24</v>
      </c>
      <c r="J31" s="2" t="s">
        <v>24</v>
      </c>
      <c r="K31" s="2" t="s">
        <v>22</v>
      </c>
      <c r="L31" s="2" t="s">
        <v>24</v>
      </c>
    </row>
    <row r="32" customFormat="false" ht="15" hidden="false" customHeight="false" outlineLevel="0" collapsed="false">
      <c r="A32" s="2" t="s">
        <v>728</v>
      </c>
      <c r="B32" s="13" t="s">
        <v>727</v>
      </c>
      <c r="C32" s="13" t="s">
        <v>86</v>
      </c>
      <c r="D32" s="13" t="s">
        <v>3390</v>
      </c>
      <c r="E32" s="13" t="s">
        <v>154</v>
      </c>
      <c r="F32" s="2" t="s">
        <v>92</v>
      </c>
      <c r="G32" s="2" t="s">
        <v>3376</v>
      </c>
      <c r="H32" s="34" t="s">
        <v>822</v>
      </c>
      <c r="I32" s="2" t="s">
        <v>24</v>
      </c>
      <c r="J32" s="2" t="s">
        <v>24</v>
      </c>
      <c r="K32" s="2" t="s">
        <v>24</v>
      </c>
      <c r="L32" s="2" t="s">
        <v>24</v>
      </c>
    </row>
    <row r="33" customFormat="false" ht="15" hidden="false" customHeight="false" outlineLevel="0" collapsed="false">
      <c r="A33" s="2" t="s">
        <v>566</v>
      </c>
      <c r="B33" s="13" t="s">
        <v>565</v>
      </c>
      <c r="C33" s="13" t="s">
        <v>98</v>
      </c>
      <c r="D33" s="13" t="s">
        <v>3391</v>
      </c>
      <c r="E33" s="13" t="s">
        <v>73</v>
      </c>
      <c r="F33" s="2" t="s">
        <v>99</v>
      </c>
      <c r="G33" s="2" t="s">
        <v>3359</v>
      </c>
      <c r="H33" s="34" t="s">
        <v>822</v>
      </c>
      <c r="I33" s="2" t="s">
        <v>24</v>
      </c>
      <c r="J33" s="2" t="s">
        <v>24</v>
      </c>
      <c r="K33" s="2" t="s">
        <v>24</v>
      </c>
      <c r="L33" s="2" t="s">
        <v>24</v>
      </c>
    </row>
    <row r="34" customFormat="false" ht="15" hidden="false" customHeight="false" outlineLevel="0" collapsed="false">
      <c r="A34" s="2" t="s">
        <v>1079</v>
      </c>
      <c r="B34" s="13" t="s">
        <v>1078</v>
      </c>
      <c r="C34" s="13" t="s">
        <v>86</v>
      </c>
      <c r="D34" s="13" t="s">
        <v>3392</v>
      </c>
      <c r="E34" s="13" t="s">
        <v>105</v>
      </c>
      <c r="F34" s="2" t="s">
        <v>99</v>
      </c>
      <c r="G34" s="2" t="s">
        <v>3355</v>
      </c>
      <c r="H34" s="39" t="s">
        <v>832</v>
      </c>
      <c r="I34" s="2" t="s">
        <v>24</v>
      </c>
      <c r="J34" s="2" t="s">
        <v>24</v>
      </c>
      <c r="K34" s="2" t="s">
        <v>24</v>
      </c>
      <c r="L34" s="2" t="s">
        <v>24</v>
      </c>
    </row>
    <row r="35" customFormat="false" ht="15" hidden="false" customHeight="false" outlineLevel="0" collapsed="false">
      <c r="A35" s="2" t="s">
        <v>2907</v>
      </c>
      <c r="B35" s="13" t="s">
        <v>3393</v>
      </c>
      <c r="C35" s="13" t="s">
        <v>162</v>
      </c>
      <c r="D35" s="13" t="s">
        <v>3394</v>
      </c>
      <c r="E35" s="13" t="s">
        <v>127</v>
      </c>
      <c r="F35" s="2" t="s">
        <v>46</v>
      </c>
      <c r="G35" s="2" t="s">
        <v>3395</v>
      </c>
      <c r="H35" s="39" t="s">
        <v>832</v>
      </c>
      <c r="I35" s="2" t="s">
        <v>24</v>
      </c>
      <c r="J35" s="2" t="s">
        <v>24</v>
      </c>
      <c r="K35" s="2" t="s">
        <v>24</v>
      </c>
      <c r="L35" s="2" t="s">
        <v>24</v>
      </c>
    </row>
    <row r="36" customFormat="false" ht="15" hidden="false" customHeight="false" outlineLevel="0" collapsed="false">
      <c r="A36" s="2" t="s">
        <v>564</v>
      </c>
      <c r="B36" s="13" t="s">
        <v>563</v>
      </c>
      <c r="C36" s="13" t="s">
        <v>86</v>
      </c>
      <c r="D36" s="13" t="s">
        <v>3396</v>
      </c>
      <c r="E36" s="13" t="s">
        <v>105</v>
      </c>
      <c r="F36" s="2" t="s">
        <v>99</v>
      </c>
      <c r="G36" s="2" t="s">
        <v>3359</v>
      </c>
      <c r="H36" s="34" t="s">
        <v>822</v>
      </c>
      <c r="I36" s="2" t="s">
        <v>24</v>
      </c>
      <c r="J36" s="2" t="s">
        <v>24</v>
      </c>
      <c r="K36" s="2" t="s">
        <v>24</v>
      </c>
      <c r="L36" s="2" t="s">
        <v>24</v>
      </c>
    </row>
    <row r="37" customFormat="false" ht="15" hidden="false" customHeight="false" outlineLevel="0" collapsed="false">
      <c r="A37" s="2" t="s">
        <v>2029</v>
      </c>
      <c r="B37" s="13" t="s">
        <v>2028</v>
      </c>
      <c r="C37" s="13" t="s">
        <v>123</v>
      </c>
      <c r="D37" s="13" t="s">
        <v>3397</v>
      </c>
      <c r="E37" s="13" t="s">
        <v>127</v>
      </c>
      <c r="F37" s="2" t="s">
        <v>99</v>
      </c>
      <c r="G37" s="2" t="s">
        <v>3355</v>
      </c>
      <c r="H37" s="39" t="s">
        <v>832</v>
      </c>
      <c r="I37" s="2" t="s">
        <v>24</v>
      </c>
      <c r="J37" s="2" t="s">
        <v>24</v>
      </c>
      <c r="K37" s="2" t="s">
        <v>24</v>
      </c>
      <c r="L37" s="2" t="s">
        <v>24</v>
      </c>
    </row>
    <row r="38" customFormat="false" ht="15" hidden="false" customHeight="false" outlineLevel="0" collapsed="false">
      <c r="A38" s="2" t="s">
        <v>776</v>
      </c>
      <c r="B38" s="13" t="s">
        <v>775</v>
      </c>
      <c r="C38" s="13" t="s">
        <v>82</v>
      </c>
      <c r="D38" s="14" t="s">
        <v>3398</v>
      </c>
      <c r="E38" s="13" t="s">
        <v>78</v>
      </c>
      <c r="F38" s="2" t="s">
        <v>99</v>
      </c>
      <c r="G38" s="2" t="s">
        <v>3359</v>
      </c>
      <c r="H38" s="34" t="s">
        <v>822</v>
      </c>
      <c r="I38" s="2" t="s">
        <v>24</v>
      </c>
      <c r="J38" s="2" t="s">
        <v>24</v>
      </c>
      <c r="K38" s="2" t="s">
        <v>22</v>
      </c>
      <c r="L38" s="2" t="s">
        <v>24</v>
      </c>
    </row>
    <row r="39" customFormat="false" ht="15" hidden="false" customHeight="false" outlineLevel="0" collapsed="false">
      <c r="A39" s="2" t="s">
        <v>954</v>
      </c>
      <c r="B39" s="13" t="s">
        <v>953</v>
      </c>
      <c r="C39" s="13" t="s">
        <v>115</v>
      </c>
      <c r="D39" s="13" t="s">
        <v>3399</v>
      </c>
      <c r="E39" s="13" t="s">
        <v>105</v>
      </c>
      <c r="F39" s="2" t="s">
        <v>99</v>
      </c>
      <c r="G39" s="2" t="s">
        <v>3369</v>
      </c>
      <c r="H39" s="39" t="s">
        <v>832</v>
      </c>
      <c r="I39" s="2" t="s">
        <v>24</v>
      </c>
      <c r="J39" s="2" t="s">
        <v>24</v>
      </c>
      <c r="K39" s="2" t="s">
        <v>24</v>
      </c>
      <c r="L39" s="2" t="s">
        <v>24</v>
      </c>
    </row>
    <row r="40" customFormat="false" ht="15" hidden="false" customHeight="false" outlineLevel="0" collapsed="false">
      <c r="A40" s="2" t="s">
        <v>574</v>
      </c>
      <c r="B40" s="13" t="s">
        <v>573</v>
      </c>
      <c r="C40" s="13" t="s">
        <v>91</v>
      </c>
      <c r="D40" s="13" t="s">
        <v>3400</v>
      </c>
      <c r="E40" s="13" t="s">
        <v>102</v>
      </c>
      <c r="F40" s="2" t="s">
        <v>99</v>
      </c>
      <c r="G40" s="2" t="s">
        <v>3359</v>
      </c>
      <c r="H40" s="34" t="s">
        <v>822</v>
      </c>
      <c r="I40" s="2" t="s">
        <v>24</v>
      </c>
      <c r="J40" s="2" t="s">
        <v>24</v>
      </c>
      <c r="K40" s="2" t="s">
        <v>24</v>
      </c>
      <c r="L40" s="2" t="s">
        <v>24</v>
      </c>
    </row>
    <row r="41" customFormat="false" ht="15" hidden="false" customHeight="false" outlineLevel="0" collapsed="false">
      <c r="A41" s="2" t="s">
        <v>1264</v>
      </c>
      <c r="B41" s="13" t="s">
        <v>1263</v>
      </c>
      <c r="C41" s="13" t="s">
        <v>86</v>
      </c>
      <c r="D41" s="13" t="s">
        <v>3401</v>
      </c>
      <c r="E41" s="13" t="s">
        <v>78</v>
      </c>
      <c r="F41" s="2" t="s">
        <v>99</v>
      </c>
      <c r="G41" s="2" t="s">
        <v>3369</v>
      </c>
      <c r="H41" s="39" t="s">
        <v>832</v>
      </c>
      <c r="I41" s="2" t="s">
        <v>24</v>
      </c>
      <c r="J41" s="2" t="s">
        <v>24</v>
      </c>
      <c r="K41" s="2" t="s">
        <v>24</v>
      </c>
      <c r="L41" s="2" t="s">
        <v>24</v>
      </c>
    </row>
    <row r="42" customFormat="false" ht="15" hidden="false" customHeight="false" outlineLevel="0" collapsed="false">
      <c r="A42" s="2" t="s">
        <v>248</v>
      </c>
      <c r="B42" s="14" t="s">
        <v>247</v>
      </c>
      <c r="C42" s="13" t="s">
        <v>123</v>
      </c>
      <c r="D42" s="13" t="s">
        <v>3402</v>
      </c>
      <c r="E42" s="14" t="s">
        <v>102</v>
      </c>
      <c r="F42" s="2" t="s">
        <v>106</v>
      </c>
      <c r="G42" s="2" t="s">
        <v>3376</v>
      </c>
      <c r="H42" s="34" t="s">
        <v>822</v>
      </c>
      <c r="I42" s="2" t="s">
        <v>22</v>
      </c>
      <c r="J42" s="2" t="s">
        <v>24</v>
      </c>
      <c r="K42" s="2" t="s">
        <v>24</v>
      </c>
      <c r="L42" s="2" t="s">
        <v>22</v>
      </c>
    </row>
    <row r="43" customFormat="false" ht="15" hidden="false" customHeight="false" outlineLevel="0" collapsed="false">
      <c r="A43" s="2" t="s">
        <v>200</v>
      </c>
      <c r="B43" s="13" t="s">
        <v>199</v>
      </c>
      <c r="C43" s="13" t="s">
        <v>162</v>
      </c>
      <c r="D43" s="14" t="s">
        <v>3403</v>
      </c>
      <c r="E43" s="13" t="s">
        <v>127</v>
      </c>
      <c r="F43" s="2" t="s">
        <v>47</v>
      </c>
      <c r="G43" s="2" t="s">
        <v>3364</v>
      </c>
      <c r="H43" s="34" t="s">
        <v>822</v>
      </c>
      <c r="I43" s="2" t="s">
        <v>24</v>
      </c>
      <c r="J43" s="2" t="s">
        <v>24</v>
      </c>
      <c r="K43" s="2" t="s">
        <v>22</v>
      </c>
      <c r="L43" s="2" t="s">
        <v>24</v>
      </c>
    </row>
    <row r="44" customFormat="false" ht="15" hidden="false" customHeight="false" outlineLevel="0" collapsed="false">
      <c r="A44" s="2" t="s">
        <v>726</v>
      </c>
      <c r="B44" s="13" t="s">
        <v>725</v>
      </c>
      <c r="C44" s="13" t="s">
        <v>115</v>
      </c>
      <c r="D44" s="13" t="s">
        <v>3404</v>
      </c>
      <c r="E44" s="13" t="s">
        <v>105</v>
      </c>
      <c r="F44" s="2" t="s">
        <v>99</v>
      </c>
      <c r="G44" s="2" t="s">
        <v>3359</v>
      </c>
      <c r="H44" s="34" t="s">
        <v>822</v>
      </c>
      <c r="I44" s="2" t="s">
        <v>24</v>
      </c>
      <c r="J44" s="2" t="s">
        <v>24</v>
      </c>
      <c r="K44" s="2" t="s">
        <v>24</v>
      </c>
      <c r="L44" s="2" t="s">
        <v>24</v>
      </c>
    </row>
    <row r="45" customFormat="false" ht="15" hidden="false" customHeight="false" outlineLevel="0" collapsed="false">
      <c r="A45" s="2" t="s">
        <v>153</v>
      </c>
      <c r="B45" s="13" t="s">
        <v>152</v>
      </c>
      <c r="C45" s="13" t="s">
        <v>115</v>
      </c>
      <c r="D45" s="13" t="s">
        <v>3405</v>
      </c>
      <c r="E45" s="13" t="s">
        <v>154</v>
      </c>
      <c r="F45" s="2" t="s">
        <v>47</v>
      </c>
      <c r="G45" s="2" t="s">
        <v>3364</v>
      </c>
      <c r="H45" s="34" t="s">
        <v>822</v>
      </c>
      <c r="I45" s="2" t="s">
        <v>24</v>
      </c>
      <c r="J45" s="2" t="s">
        <v>24</v>
      </c>
      <c r="K45" s="2" t="s">
        <v>24</v>
      </c>
      <c r="L45" s="2" t="s">
        <v>24</v>
      </c>
    </row>
    <row r="46" customFormat="false" ht="15" hidden="false" customHeight="false" outlineLevel="0" collapsed="false">
      <c r="A46" s="2" t="s">
        <v>2038</v>
      </c>
      <c r="B46" s="13" t="s">
        <v>2037</v>
      </c>
      <c r="C46" s="13" t="s">
        <v>98</v>
      </c>
      <c r="D46" s="13" t="s">
        <v>3406</v>
      </c>
      <c r="E46" s="13" t="s">
        <v>87</v>
      </c>
      <c r="F46" s="2" t="s">
        <v>149</v>
      </c>
      <c r="G46" s="2" t="s">
        <v>3361</v>
      </c>
      <c r="H46" s="39" t="s">
        <v>832</v>
      </c>
      <c r="I46" s="2" t="s">
        <v>24</v>
      </c>
      <c r="J46" s="2" t="s">
        <v>24</v>
      </c>
      <c r="K46" s="2" t="s">
        <v>24</v>
      </c>
      <c r="L46" s="2" t="s">
        <v>24</v>
      </c>
    </row>
    <row r="47" customFormat="false" ht="15" hidden="false" customHeight="false" outlineLevel="0" collapsed="false">
      <c r="A47" s="2" t="s">
        <v>2914</v>
      </c>
      <c r="B47" s="13" t="s">
        <v>3407</v>
      </c>
      <c r="C47" s="13" t="s">
        <v>72</v>
      </c>
      <c r="D47" s="16"/>
      <c r="E47" s="16"/>
      <c r="F47" s="2" t="s">
        <v>45</v>
      </c>
      <c r="G47" s="2" t="s">
        <v>3395</v>
      </c>
      <c r="H47" s="39" t="s">
        <v>832</v>
      </c>
      <c r="I47" s="2" t="s">
        <v>24</v>
      </c>
      <c r="J47" s="2" t="s">
        <v>24</v>
      </c>
      <c r="K47" s="2"/>
      <c r="L47" s="2"/>
    </row>
    <row r="48" customFormat="false" ht="15" hidden="false" customHeight="false" outlineLevel="0" collapsed="false">
      <c r="A48" s="2" t="s">
        <v>2916</v>
      </c>
      <c r="B48" s="14" t="s">
        <v>3408</v>
      </c>
      <c r="C48" s="14" t="s">
        <v>123</v>
      </c>
      <c r="D48" s="14" t="s">
        <v>3409</v>
      </c>
      <c r="E48" s="14" t="s">
        <v>105</v>
      </c>
      <c r="F48" s="2" t="s">
        <v>99</v>
      </c>
      <c r="G48" s="2" t="s">
        <v>3410</v>
      </c>
      <c r="H48" s="39" t="s">
        <v>832</v>
      </c>
      <c r="I48" s="2" t="s">
        <v>22</v>
      </c>
      <c r="J48" s="2" t="s">
        <v>22</v>
      </c>
      <c r="K48" s="2" t="s">
        <v>22</v>
      </c>
      <c r="L48" s="2" t="s">
        <v>22</v>
      </c>
    </row>
    <row r="49" customFormat="false" ht="15" hidden="false" customHeight="false" outlineLevel="0" collapsed="false">
      <c r="A49" s="2" t="s">
        <v>1789</v>
      </c>
      <c r="B49" s="13" t="s">
        <v>1788</v>
      </c>
      <c r="C49" s="13" t="s">
        <v>72</v>
      </c>
      <c r="D49" s="14" t="s">
        <v>3411</v>
      </c>
      <c r="E49" s="13" t="s">
        <v>120</v>
      </c>
      <c r="F49" s="2" t="s">
        <v>99</v>
      </c>
      <c r="G49" s="2" t="s">
        <v>3369</v>
      </c>
      <c r="H49" s="39" t="s">
        <v>832</v>
      </c>
      <c r="I49" s="2" t="s">
        <v>24</v>
      </c>
      <c r="J49" s="2" t="s">
        <v>24</v>
      </c>
      <c r="K49" s="2" t="s">
        <v>22</v>
      </c>
      <c r="L49" s="2" t="s">
        <v>24</v>
      </c>
    </row>
    <row r="50" customFormat="false" ht="15" hidden="false" customHeight="false" outlineLevel="0" collapsed="false">
      <c r="A50" s="2" t="s">
        <v>867</v>
      </c>
      <c r="B50" s="13" t="s">
        <v>866</v>
      </c>
      <c r="C50" s="13" t="s">
        <v>86</v>
      </c>
      <c r="D50" s="13" t="s">
        <v>3412</v>
      </c>
      <c r="E50" s="13" t="s">
        <v>73</v>
      </c>
      <c r="F50" s="2" t="s">
        <v>99</v>
      </c>
      <c r="G50" s="2" t="s">
        <v>3355</v>
      </c>
      <c r="H50" s="39" t="s">
        <v>832</v>
      </c>
      <c r="I50" s="2" t="s">
        <v>24</v>
      </c>
      <c r="J50" s="2" t="s">
        <v>24</v>
      </c>
      <c r="K50" s="2" t="s">
        <v>24</v>
      </c>
      <c r="L50" s="2" t="s">
        <v>24</v>
      </c>
    </row>
    <row r="51" customFormat="false" ht="15" hidden="false" customHeight="false" outlineLevel="0" collapsed="false">
      <c r="A51" s="2" t="s">
        <v>76</v>
      </c>
      <c r="B51" s="13" t="s">
        <v>75</v>
      </c>
      <c r="C51" s="13" t="s">
        <v>77</v>
      </c>
      <c r="D51" s="14" t="s">
        <v>3413</v>
      </c>
      <c r="E51" s="13" t="s">
        <v>78</v>
      </c>
      <c r="F51" s="2" t="s">
        <v>47</v>
      </c>
      <c r="G51" s="2" t="s">
        <v>3364</v>
      </c>
      <c r="H51" s="34" t="s">
        <v>822</v>
      </c>
      <c r="I51" s="2" t="s">
        <v>24</v>
      </c>
      <c r="J51" s="2" t="s">
        <v>24</v>
      </c>
      <c r="K51" s="2" t="s">
        <v>22</v>
      </c>
      <c r="L51" s="2" t="s">
        <v>24</v>
      </c>
    </row>
    <row r="52" customFormat="false" ht="15" hidden="false" customHeight="false" outlineLevel="0" collapsed="false">
      <c r="A52" s="2" t="s">
        <v>326</v>
      </c>
      <c r="B52" s="13" t="s">
        <v>325</v>
      </c>
      <c r="C52" s="13" t="s">
        <v>95</v>
      </c>
      <c r="D52" s="13" t="s">
        <v>3414</v>
      </c>
      <c r="E52" s="13" t="s">
        <v>73</v>
      </c>
      <c r="F52" s="2" t="s">
        <v>99</v>
      </c>
      <c r="G52" s="2" t="s">
        <v>3359</v>
      </c>
      <c r="H52" s="34" t="s">
        <v>822</v>
      </c>
      <c r="I52" s="2" t="s">
        <v>24</v>
      </c>
      <c r="J52" s="2" t="s">
        <v>24</v>
      </c>
      <c r="K52" s="2" t="s">
        <v>24</v>
      </c>
      <c r="L52" s="2" t="s">
        <v>24</v>
      </c>
    </row>
    <row r="53" customFormat="false" ht="15" hidden="false" customHeight="false" outlineLevel="0" collapsed="false">
      <c r="A53" s="2" t="s">
        <v>558</v>
      </c>
      <c r="B53" s="13" t="s">
        <v>557</v>
      </c>
      <c r="C53" s="13" t="s">
        <v>115</v>
      </c>
      <c r="D53" s="13" t="s">
        <v>3415</v>
      </c>
      <c r="E53" s="13" t="s">
        <v>83</v>
      </c>
      <c r="F53" s="2" t="s">
        <v>47</v>
      </c>
      <c r="G53" s="2" t="s">
        <v>3364</v>
      </c>
      <c r="H53" s="34" t="s">
        <v>822</v>
      </c>
      <c r="I53" s="2" t="s">
        <v>24</v>
      </c>
      <c r="J53" s="2" t="s">
        <v>24</v>
      </c>
      <c r="K53" s="2" t="s">
        <v>24</v>
      </c>
      <c r="L53" s="2" t="s">
        <v>24</v>
      </c>
    </row>
    <row r="54" customFormat="false" ht="15" hidden="false" customHeight="false" outlineLevel="0" collapsed="false">
      <c r="A54" s="2" t="s">
        <v>2920</v>
      </c>
      <c r="B54" s="13" t="s">
        <v>3416</v>
      </c>
      <c r="C54" s="13" t="s">
        <v>162</v>
      </c>
      <c r="D54" s="13" t="s">
        <v>3417</v>
      </c>
      <c r="E54" s="13" t="s">
        <v>102</v>
      </c>
      <c r="F54" s="2" t="s">
        <v>45</v>
      </c>
      <c r="G54" s="2" t="s">
        <v>3395</v>
      </c>
      <c r="H54" s="39" t="s">
        <v>832</v>
      </c>
      <c r="I54" s="2" t="s">
        <v>24</v>
      </c>
      <c r="J54" s="2" t="s">
        <v>24</v>
      </c>
      <c r="K54" s="2" t="s">
        <v>24</v>
      </c>
      <c r="L54" s="2" t="s">
        <v>24</v>
      </c>
    </row>
    <row r="55" customFormat="false" ht="15" hidden="false" customHeight="false" outlineLevel="0" collapsed="false">
      <c r="A55" s="2" t="s">
        <v>438</v>
      </c>
      <c r="B55" s="13" t="s">
        <v>437</v>
      </c>
      <c r="C55" s="13" t="s">
        <v>123</v>
      </c>
      <c r="D55" s="13" t="s">
        <v>3418</v>
      </c>
      <c r="E55" s="13" t="s">
        <v>120</v>
      </c>
      <c r="F55" s="2" t="s">
        <v>99</v>
      </c>
      <c r="G55" s="2" t="s">
        <v>3359</v>
      </c>
      <c r="H55" s="34" t="s">
        <v>822</v>
      </c>
      <c r="I55" s="2" t="s">
        <v>24</v>
      </c>
      <c r="J55" s="2" t="s">
        <v>24</v>
      </c>
      <c r="K55" s="2" t="s">
        <v>24</v>
      </c>
      <c r="L55" s="2" t="s">
        <v>24</v>
      </c>
    </row>
    <row r="56" customFormat="false" ht="15" hidden="false" customHeight="false" outlineLevel="0" collapsed="false">
      <c r="A56" s="2" t="s">
        <v>1893</v>
      </c>
      <c r="B56" s="13" t="s">
        <v>1892</v>
      </c>
      <c r="C56" s="13" t="s">
        <v>123</v>
      </c>
      <c r="D56" s="13" t="s">
        <v>3419</v>
      </c>
      <c r="E56" s="13" t="s">
        <v>124</v>
      </c>
      <c r="F56" s="2" t="s">
        <v>106</v>
      </c>
      <c r="G56" s="2" t="s">
        <v>3361</v>
      </c>
      <c r="H56" s="39" t="s">
        <v>832</v>
      </c>
      <c r="I56" s="2" t="s">
        <v>24</v>
      </c>
      <c r="J56" s="2" t="s">
        <v>24</v>
      </c>
      <c r="K56" s="2" t="s">
        <v>24</v>
      </c>
      <c r="L56" s="2" t="s">
        <v>24</v>
      </c>
    </row>
    <row r="57" customFormat="false" ht="15" hidden="false" customHeight="false" outlineLevel="0" collapsed="false">
      <c r="A57" s="2" t="s">
        <v>622</v>
      </c>
      <c r="B57" s="13" t="s">
        <v>621</v>
      </c>
      <c r="C57" s="14" t="s">
        <v>86</v>
      </c>
      <c r="D57" s="13" t="s">
        <v>3420</v>
      </c>
      <c r="E57" s="13" t="s">
        <v>83</v>
      </c>
      <c r="F57" s="2" t="s">
        <v>47</v>
      </c>
      <c r="G57" s="2" t="s">
        <v>3364</v>
      </c>
      <c r="H57" s="34" t="s">
        <v>822</v>
      </c>
      <c r="I57" s="2" t="s">
        <v>24</v>
      </c>
      <c r="J57" s="2" t="s">
        <v>22</v>
      </c>
      <c r="K57" s="2" t="s">
        <v>24</v>
      </c>
      <c r="L57" s="2" t="s">
        <v>24</v>
      </c>
    </row>
    <row r="58" customFormat="false" ht="15" hidden="false" customHeight="false" outlineLevel="0" collapsed="false">
      <c r="A58" s="2" t="s">
        <v>196</v>
      </c>
      <c r="B58" s="13" t="s">
        <v>195</v>
      </c>
      <c r="C58" s="13" t="s">
        <v>86</v>
      </c>
      <c r="D58" s="13" t="s">
        <v>3421</v>
      </c>
      <c r="E58" s="13" t="s">
        <v>87</v>
      </c>
      <c r="F58" s="2" t="s">
        <v>92</v>
      </c>
      <c r="G58" s="2" t="s">
        <v>3376</v>
      </c>
      <c r="H58" s="34" t="s">
        <v>822</v>
      </c>
      <c r="I58" s="2" t="s">
        <v>24</v>
      </c>
      <c r="J58" s="2" t="s">
        <v>24</v>
      </c>
      <c r="K58" s="2" t="s">
        <v>24</v>
      </c>
      <c r="L58" s="2" t="s">
        <v>24</v>
      </c>
    </row>
    <row r="59" customFormat="false" ht="15" hidden="false" customHeight="false" outlineLevel="0" collapsed="false">
      <c r="A59" s="2" t="s">
        <v>708</v>
      </c>
      <c r="B59" s="13" t="s">
        <v>707</v>
      </c>
      <c r="C59" s="13" t="s">
        <v>115</v>
      </c>
      <c r="D59" s="14" t="s">
        <v>3422</v>
      </c>
      <c r="E59" s="13" t="s">
        <v>87</v>
      </c>
      <c r="F59" s="2" t="s">
        <v>99</v>
      </c>
      <c r="G59" s="2" t="s">
        <v>3359</v>
      </c>
      <c r="H59" s="34" t="s">
        <v>822</v>
      </c>
      <c r="I59" s="2" t="s">
        <v>24</v>
      </c>
      <c r="J59" s="2" t="s">
        <v>24</v>
      </c>
      <c r="K59" s="2" t="s">
        <v>22</v>
      </c>
      <c r="L59" s="2" t="s">
        <v>24</v>
      </c>
    </row>
    <row r="60" customFormat="false" ht="15" hidden="false" customHeight="false" outlineLevel="0" collapsed="false">
      <c r="A60" s="2" t="s">
        <v>278</v>
      </c>
      <c r="B60" s="13" t="s">
        <v>277</v>
      </c>
      <c r="C60" s="13" t="s">
        <v>91</v>
      </c>
      <c r="D60" s="13" t="s">
        <v>3423</v>
      </c>
      <c r="E60" s="13" t="s">
        <v>83</v>
      </c>
      <c r="F60" s="2" t="s">
        <v>99</v>
      </c>
      <c r="G60" s="2" t="s">
        <v>3359</v>
      </c>
      <c r="H60" s="34" t="s">
        <v>822</v>
      </c>
      <c r="I60" s="2" t="s">
        <v>24</v>
      </c>
      <c r="J60" s="2" t="s">
        <v>24</v>
      </c>
      <c r="K60" s="2" t="s">
        <v>24</v>
      </c>
      <c r="L60" s="2" t="s">
        <v>24</v>
      </c>
    </row>
    <row r="61" customFormat="false" ht="15" hidden="false" customHeight="false" outlineLevel="0" collapsed="false">
      <c r="A61" s="2" t="s">
        <v>366</v>
      </c>
      <c r="B61" s="13" t="s">
        <v>365</v>
      </c>
      <c r="C61" s="13" t="s">
        <v>86</v>
      </c>
      <c r="D61" s="13" t="s">
        <v>3424</v>
      </c>
      <c r="E61" s="13" t="s">
        <v>78</v>
      </c>
      <c r="F61" s="2" t="s">
        <v>99</v>
      </c>
      <c r="G61" s="2" t="s">
        <v>3359</v>
      </c>
      <c r="H61" s="34" t="s">
        <v>822</v>
      </c>
      <c r="I61" s="2" t="s">
        <v>24</v>
      </c>
      <c r="J61" s="2" t="s">
        <v>24</v>
      </c>
      <c r="K61" s="2" t="s">
        <v>24</v>
      </c>
      <c r="L61" s="2" t="s">
        <v>24</v>
      </c>
    </row>
    <row r="62" customFormat="false" ht="15" hidden="false" customHeight="false" outlineLevel="0" collapsed="false">
      <c r="A62" s="2" t="s">
        <v>1053</v>
      </c>
      <c r="B62" s="13" t="s">
        <v>1052</v>
      </c>
      <c r="C62" s="13" t="s">
        <v>95</v>
      </c>
      <c r="D62" s="16"/>
      <c r="E62" s="13" t="s">
        <v>73</v>
      </c>
      <c r="F62" s="2" t="s">
        <v>99</v>
      </c>
      <c r="G62" s="2" t="s">
        <v>3369</v>
      </c>
      <c r="H62" s="39" t="s">
        <v>832</v>
      </c>
      <c r="I62" s="2" t="s">
        <v>24</v>
      </c>
      <c r="J62" s="2" t="s">
        <v>24</v>
      </c>
      <c r="K62" s="2"/>
      <c r="L62" s="2" t="s">
        <v>24</v>
      </c>
    </row>
    <row r="63" customFormat="false" ht="15" hidden="false" customHeight="false" outlineLevel="0" collapsed="false">
      <c r="A63" s="2" t="s">
        <v>306</v>
      </c>
      <c r="B63" s="13" t="s">
        <v>305</v>
      </c>
      <c r="C63" s="13" t="s">
        <v>91</v>
      </c>
      <c r="D63" s="13" t="s">
        <v>3425</v>
      </c>
      <c r="E63" s="13" t="s">
        <v>154</v>
      </c>
      <c r="F63" s="2" t="s">
        <v>99</v>
      </c>
      <c r="G63" s="2" t="s">
        <v>3359</v>
      </c>
      <c r="H63" s="34" t="s">
        <v>822</v>
      </c>
      <c r="I63" s="2" t="s">
        <v>24</v>
      </c>
      <c r="J63" s="2" t="s">
        <v>24</v>
      </c>
      <c r="K63" s="2" t="s">
        <v>24</v>
      </c>
      <c r="L63" s="2" t="s">
        <v>24</v>
      </c>
    </row>
    <row r="64" customFormat="false" ht="15" hidden="false" customHeight="false" outlineLevel="0" collapsed="false">
      <c r="A64" s="2" t="s">
        <v>358</v>
      </c>
      <c r="B64" s="13" t="s">
        <v>357</v>
      </c>
      <c r="C64" s="13" t="s">
        <v>77</v>
      </c>
      <c r="D64" s="13" t="s">
        <v>3426</v>
      </c>
      <c r="E64" s="13" t="s">
        <v>78</v>
      </c>
      <c r="F64" s="2" t="s">
        <v>46</v>
      </c>
      <c r="G64" s="2" t="s">
        <v>3364</v>
      </c>
      <c r="H64" s="34" t="s">
        <v>822</v>
      </c>
      <c r="I64" s="2" t="s">
        <v>24</v>
      </c>
      <c r="J64" s="2" t="s">
        <v>24</v>
      </c>
      <c r="K64" s="2" t="s">
        <v>24</v>
      </c>
      <c r="L64" s="2" t="s">
        <v>24</v>
      </c>
    </row>
    <row r="65" customFormat="false" ht="15" hidden="false" customHeight="false" outlineLevel="0" collapsed="false">
      <c r="A65" s="2" t="s">
        <v>1444</v>
      </c>
      <c r="B65" s="14" t="s">
        <v>1443</v>
      </c>
      <c r="C65" s="14" t="s">
        <v>123</v>
      </c>
      <c r="D65" s="14" t="s">
        <v>3427</v>
      </c>
      <c r="E65" s="14" t="s">
        <v>127</v>
      </c>
      <c r="F65" s="2" t="s">
        <v>99</v>
      </c>
      <c r="G65" s="2" t="s">
        <v>3369</v>
      </c>
      <c r="H65" s="39" t="s">
        <v>832</v>
      </c>
      <c r="I65" s="2" t="s">
        <v>22</v>
      </c>
      <c r="J65" s="2" t="s">
        <v>22</v>
      </c>
      <c r="K65" s="2" t="s">
        <v>22</v>
      </c>
      <c r="L65" s="2" t="s">
        <v>22</v>
      </c>
    </row>
    <row r="66" customFormat="false" ht="15" hidden="false" customHeight="false" outlineLevel="0" collapsed="false">
      <c r="A66" s="2" t="s">
        <v>624</v>
      </c>
      <c r="B66" s="13" t="s">
        <v>623</v>
      </c>
      <c r="C66" s="13" t="s">
        <v>86</v>
      </c>
      <c r="D66" s="13" t="s">
        <v>3428</v>
      </c>
      <c r="E66" s="13" t="s">
        <v>78</v>
      </c>
      <c r="F66" s="2" t="s">
        <v>99</v>
      </c>
      <c r="G66" s="2" t="s">
        <v>3359</v>
      </c>
      <c r="H66" s="34" t="s">
        <v>822</v>
      </c>
      <c r="I66" s="2" t="s">
        <v>24</v>
      </c>
      <c r="J66" s="2" t="s">
        <v>24</v>
      </c>
      <c r="K66" s="2" t="s">
        <v>24</v>
      </c>
      <c r="L66" s="2" t="s">
        <v>24</v>
      </c>
    </row>
    <row r="67" customFormat="false" ht="15" hidden="false" customHeight="false" outlineLevel="0" collapsed="false">
      <c r="A67" s="2" t="s">
        <v>762</v>
      </c>
      <c r="B67" s="13" t="s">
        <v>761</v>
      </c>
      <c r="C67" s="13" t="s">
        <v>72</v>
      </c>
      <c r="D67" s="14" t="s">
        <v>3429</v>
      </c>
      <c r="E67" s="13" t="s">
        <v>105</v>
      </c>
      <c r="F67" s="2" t="s">
        <v>46</v>
      </c>
      <c r="G67" s="2" t="s">
        <v>3364</v>
      </c>
      <c r="H67" s="34" t="s">
        <v>822</v>
      </c>
      <c r="I67" s="2" t="s">
        <v>24</v>
      </c>
      <c r="J67" s="2" t="s">
        <v>24</v>
      </c>
      <c r="K67" s="2" t="s">
        <v>22</v>
      </c>
      <c r="L67" s="2" t="s">
        <v>24</v>
      </c>
    </row>
    <row r="68" customFormat="false" ht="15" hidden="false" customHeight="false" outlineLevel="0" collapsed="false">
      <c r="A68" s="2" t="s">
        <v>334</v>
      </c>
      <c r="B68" s="13" t="s">
        <v>333</v>
      </c>
      <c r="C68" s="13" t="s">
        <v>95</v>
      </c>
      <c r="D68" s="13" t="s">
        <v>3430</v>
      </c>
      <c r="E68" s="13" t="s">
        <v>124</v>
      </c>
      <c r="F68" s="2" t="s">
        <v>45</v>
      </c>
      <c r="G68" s="2" t="s">
        <v>3364</v>
      </c>
      <c r="H68" s="34" t="s">
        <v>822</v>
      </c>
      <c r="I68" s="2" t="s">
        <v>24</v>
      </c>
      <c r="J68" s="2" t="s">
        <v>24</v>
      </c>
      <c r="K68" s="2" t="s">
        <v>24</v>
      </c>
      <c r="L68" s="2" t="s">
        <v>24</v>
      </c>
    </row>
    <row r="69" customFormat="false" ht="15" hidden="false" customHeight="false" outlineLevel="0" collapsed="false">
      <c r="A69" s="2" t="s">
        <v>2007</v>
      </c>
      <c r="B69" s="13" t="s">
        <v>2006</v>
      </c>
      <c r="C69" s="13" t="s">
        <v>82</v>
      </c>
      <c r="D69" s="13" t="s">
        <v>3431</v>
      </c>
      <c r="E69" s="13" t="s">
        <v>127</v>
      </c>
      <c r="F69" s="2" t="s">
        <v>99</v>
      </c>
      <c r="G69" s="2" t="s">
        <v>3355</v>
      </c>
      <c r="H69" s="39" t="s">
        <v>832</v>
      </c>
      <c r="I69" s="2" t="s">
        <v>24</v>
      </c>
      <c r="J69" s="2" t="s">
        <v>24</v>
      </c>
      <c r="K69" s="2" t="s">
        <v>24</v>
      </c>
      <c r="L69" s="2" t="s">
        <v>24</v>
      </c>
    </row>
    <row r="70" customFormat="false" ht="15" hidden="false" customHeight="false" outlineLevel="0" collapsed="false">
      <c r="A70" s="2" t="s">
        <v>1605</v>
      </c>
      <c r="B70" s="13" t="s">
        <v>1604</v>
      </c>
      <c r="C70" s="13" t="s">
        <v>72</v>
      </c>
      <c r="D70" s="13" t="s">
        <v>3432</v>
      </c>
      <c r="E70" s="13" t="s">
        <v>154</v>
      </c>
      <c r="F70" s="2" t="s">
        <v>99</v>
      </c>
      <c r="G70" s="2" t="s">
        <v>3355</v>
      </c>
      <c r="H70" s="39" t="s">
        <v>832</v>
      </c>
      <c r="I70" s="2" t="s">
        <v>24</v>
      </c>
      <c r="J70" s="2" t="s">
        <v>24</v>
      </c>
      <c r="K70" s="2" t="s">
        <v>24</v>
      </c>
      <c r="L70" s="2" t="s">
        <v>24</v>
      </c>
    </row>
    <row r="71" customFormat="false" ht="15" hidden="false" customHeight="false" outlineLevel="0" collapsed="false">
      <c r="A71" s="2" t="s">
        <v>374</v>
      </c>
      <c r="B71" s="13" t="s">
        <v>373</v>
      </c>
      <c r="C71" s="13" t="s">
        <v>86</v>
      </c>
      <c r="D71" s="13" t="s">
        <v>3433</v>
      </c>
      <c r="E71" s="13" t="s">
        <v>102</v>
      </c>
      <c r="F71" s="2" t="s">
        <v>92</v>
      </c>
      <c r="G71" s="2" t="s">
        <v>3376</v>
      </c>
      <c r="H71" s="34" t="s">
        <v>822</v>
      </c>
      <c r="I71" s="2" t="s">
        <v>24</v>
      </c>
      <c r="J71" s="2" t="s">
        <v>24</v>
      </c>
      <c r="K71" s="2" t="s">
        <v>24</v>
      </c>
      <c r="L71" s="2" t="s">
        <v>24</v>
      </c>
    </row>
    <row r="72" customFormat="false" ht="15" hidden="false" customHeight="false" outlineLevel="0" collapsed="false">
      <c r="A72" s="2" t="s">
        <v>2926</v>
      </c>
      <c r="B72" s="14" t="s">
        <v>3434</v>
      </c>
      <c r="C72" s="14" t="s">
        <v>77</v>
      </c>
      <c r="D72" s="14" t="s">
        <v>3435</v>
      </c>
      <c r="E72" s="14" t="s">
        <v>102</v>
      </c>
      <c r="F72" s="2" t="s">
        <v>46</v>
      </c>
      <c r="G72" s="2" t="s">
        <v>3395</v>
      </c>
      <c r="H72" s="39" t="s">
        <v>832</v>
      </c>
      <c r="I72" s="2" t="s">
        <v>22</v>
      </c>
      <c r="J72" s="2" t="s">
        <v>22</v>
      </c>
      <c r="K72" s="2" t="s">
        <v>22</v>
      </c>
      <c r="L72" s="2" t="s">
        <v>22</v>
      </c>
    </row>
    <row r="73" customFormat="false" ht="15" hidden="false" customHeight="false" outlineLevel="0" collapsed="false">
      <c r="A73" s="2" t="s">
        <v>1472</v>
      </c>
      <c r="B73" s="13" t="s">
        <v>1471</v>
      </c>
      <c r="C73" s="13" t="s">
        <v>98</v>
      </c>
      <c r="D73" s="13" t="s">
        <v>3436</v>
      </c>
      <c r="E73" s="13" t="s">
        <v>105</v>
      </c>
      <c r="F73" s="2" t="s">
        <v>99</v>
      </c>
      <c r="G73" s="2" t="s">
        <v>3355</v>
      </c>
      <c r="H73" s="39" t="s">
        <v>832</v>
      </c>
      <c r="I73" s="2" t="s">
        <v>24</v>
      </c>
      <c r="J73" s="2" t="s">
        <v>24</v>
      </c>
      <c r="K73" s="2" t="s">
        <v>24</v>
      </c>
      <c r="L73" s="2" t="s">
        <v>24</v>
      </c>
    </row>
    <row r="74" customFormat="false" ht="15" hidden="false" customHeight="false" outlineLevel="0" collapsed="false">
      <c r="A74" s="2" t="s">
        <v>1037</v>
      </c>
      <c r="B74" s="13" t="s">
        <v>1036</v>
      </c>
      <c r="C74" s="13" t="s">
        <v>72</v>
      </c>
      <c r="D74" s="13" t="s">
        <v>3437</v>
      </c>
      <c r="E74" s="13" t="s">
        <v>102</v>
      </c>
      <c r="F74" s="2" t="s">
        <v>99</v>
      </c>
      <c r="G74" s="2" t="s">
        <v>3355</v>
      </c>
      <c r="H74" s="39" t="s">
        <v>832</v>
      </c>
      <c r="I74" s="2" t="s">
        <v>24</v>
      </c>
      <c r="J74" s="2" t="s">
        <v>24</v>
      </c>
      <c r="K74" s="2" t="s">
        <v>24</v>
      </c>
      <c r="L74" s="2" t="s">
        <v>24</v>
      </c>
    </row>
    <row r="75" customFormat="false" ht="15" hidden="false" customHeight="false" outlineLevel="0" collapsed="false">
      <c r="A75" s="2" t="s">
        <v>932</v>
      </c>
      <c r="B75" s="13" t="s">
        <v>931</v>
      </c>
      <c r="C75" s="13" t="s">
        <v>77</v>
      </c>
      <c r="D75" s="13" t="s">
        <v>3438</v>
      </c>
      <c r="E75" s="13" t="s">
        <v>120</v>
      </c>
      <c r="F75" s="2" t="s">
        <v>99</v>
      </c>
      <c r="G75" s="2" t="s">
        <v>3355</v>
      </c>
      <c r="H75" s="39" t="s">
        <v>832</v>
      </c>
      <c r="I75" s="2" t="s">
        <v>24</v>
      </c>
      <c r="J75" s="2" t="s">
        <v>24</v>
      </c>
      <c r="K75" s="2" t="s">
        <v>24</v>
      </c>
      <c r="L75" s="2" t="s">
        <v>24</v>
      </c>
    </row>
    <row r="76" customFormat="false" ht="15" hidden="false" customHeight="false" outlineLevel="0" collapsed="false">
      <c r="A76" s="2" t="s">
        <v>376</v>
      </c>
      <c r="B76" s="13" t="s">
        <v>375</v>
      </c>
      <c r="C76" s="13" t="s">
        <v>123</v>
      </c>
      <c r="D76" s="13" t="s">
        <v>3439</v>
      </c>
      <c r="E76" s="13" t="s">
        <v>154</v>
      </c>
      <c r="F76" s="2" t="s">
        <v>47</v>
      </c>
      <c r="G76" s="2" t="s">
        <v>3364</v>
      </c>
      <c r="H76" s="34" t="s">
        <v>822</v>
      </c>
      <c r="I76" s="2" t="s">
        <v>24</v>
      </c>
      <c r="J76" s="2" t="s">
        <v>24</v>
      </c>
      <c r="K76" s="2" t="s">
        <v>24</v>
      </c>
      <c r="L76" s="2" t="s">
        <v>24</v>
      </c>
    </row>
    <row r="77" customFormat="false" ht="15" hidden="false" customHeight="false" outlineLevel="0" collapsed="false">
      <c r="A77" s="2" t="s">
        <v>1380</v>
      </c>
      <c r="B77" s="13" t="s">
        <v>1379</v>
      </c>
      <c r="C77" s="13" t="s">
        <v>77</v>
      </c>
      <c r="D77" s="13" t="s">
        <v>3440</v>
      </c>
      <c r="E77" s="13" t="s">
        <v>120</v>
      </c>
      <c r="F77" s="2" t="s">
        <v>99</v>
      </c>
      <c r="G77" s="2" t="s">
        <v>3355</v>
      </c>
      <c r="H77" s="39" t="s">
        <v>832</v>
      </c>
      <c r="I77" s="2" t="s">
        <v>24</v>
      </c>
      <c r="J77" s="2" t="s">
        <v>24</v>
      </c>
      <c r="K77" s="2" t="s">
        <v>24</v>
      </c>
      <c r="L77" s="2" t="s">
        <v>24</v>
      </c>
    </row>
    <row r="78" customFormat="false" ht="15" hidden="false" customHeight="false" outlineLevel="0" collapsed="false">
      <c r="A78" s="2" t="s">
        <v>2094</v>
      </c>
      <c r="B78" s="13" t="s">
        <v>2093</v>
      </c>
      <c r="C78" s="13" t="s">
        <v>72</v>
      </c>
      <c r="D78" s="13" t="s">
        <v>3441</v>
      </c>
      <c r="E78" s="13" t="s">
        <v>73</v>
      </c>
      <c r="F78" s="2" t="s">
        <v>99</v>
      </c>
      <c r="G78" s="2" t="s">
        <v>3355</v>
      </c>
      <c r="H78" s="39" t="s">
        <v>832</v>
      </c>
      <c r="I78" s="2" t="s">
        <v>24</v>
      </c>
      <c r="J78" s="2" t="s">
        <v>24</v>
      </c>
      <c r="K78" s="2" t="s">
        <v>24</v>
      </c>
      <c r="L78" s="2" t="s">
        <v>24</v>
      </c>
    </row>
    <row r="79" customFormat="false" ht="15" hidden="false" customHeight="false" outlineLevel="0" collapsed="false">
      <c r="A79" s="2" t="s">
        <v>700</v>
      </c>
      <c r="B79" s="13" t="s">
        <v>699</v>
      </c>
      <c r="C79" s="13" t="s">
        <v>115</v>
      </c>
      <c r="D79" s="13" t="s">
        <v>3442</v>
      </c>
      <c r="E79" s="13" t="s">
        <v>73</v>
      </c>
      <c r="F79" s="2" t="s">
        <v>45</v>
      </c>
      <c r="G79" s="2" t="s">
        <v>3364</v>
      </c>
      <c r="H79" s="34" t="s">
        <v>822</v>
      </c>
      <c r="I79" s="2" t="s">
        <v>24</v>
      </c>
      <c r="J79" s="2" t="s">
        <v>24</v>
      </c>
      <c r="K79" s="2" t="s">
        <v>24</v>
      </c>
      <c r="L79" s="2" t="s">
        <v>24</v>
      </c>
    </row>
    <row r="80" customFormat="false" ht="15" hidden="false" customHeight="false" outlineLevel="0" collapsed="false">
      <c r="A80" s="2" t="s">
        <v>2689</v>
      </c>
      <c r="B80" s="13" t="s">
        <v>2688</v>
      </c>
      <c r="C80" s="13" t="s">
        <v>72</v>
      </c>
      <c r="D80" s="14" t="s">
        <v>3443</v>
      </c>
      <c r="E80" s="13" t="s">
        <v>124</v>
      </c>
      <c r="F80" s="2" t="s">
        <v>106</v>
      </c>
      <c r="G80" s="2" t="s">
        <v>3361</v>
      </c>
      <c r="H80" s="39" t="s">
        <v>832</v>
      </c>
      <c r="I80" s="2" t="s">
        <v>24</v>
      </c>
      <c r="J80" s="2" t="s">
        <v>24</v>
      </c>
      <c r="K80" s="2" t="s">
        <v>22</v>
      </c>
      <c r="L80" s="2" t="s">
        <v>24</v>
      </c>
    </row>
    <row r="81" customFormat="false" ht="15" hidden="false" customHeight="false" outlineLevel="0" collapsed="false">
      <c r="A81" s="2" t="s">
        <v>2932</v>
      </c>
      <c r="B81" s="14" t="s">
        <v>3444</v>
      </c>
      <c r="C81" s="13" t="s">
        <v>72</v>
      </c>
      <c r="D81" s="13" t="s">
        <v>3445</v>
      </c>
      <c r="E81" s="13" t="s">
        <v>102</v>
      </c>
      <c r="F81" s="2" t="s">
        <v>45</v>
      </c>
      <c r="G81" s="2" t="s">
        <v>3395</v>
      </c>
      <c r="H81" s="39" t="s">
        <v>832</v>
      </c>
      <c r="I81" s="2" t="s">
        <v>22</v>
      </c>
      <c r="J81" s="2" t="s">
        <v>24</v>
      </c>
      <c r="K81" s="2" t="s">
        <v>24</v>
      </c>
      <c r="L81" s="2" t="s">
        <v>24</v>
      </c>
    </row>
    <row r="82" customFormat="false" ht="15" hidden="false" customHeight="false" outlineLevel="0" collapsed="false">
      <c r="A82" s="2" t="s">
        <v>1677</v>
      </c>
      <c r="B82" s="13" t="s">
        <v>1676</v>
      </c>
      <c r="C82" s="13" t="s">
        <v>82</v>
      </c>
      <c r="D82" s="13" t="s">
        <v>3446</v>
      </c>
      <c r="E82" s="13" t="s">
        <v>83</v>
      </c>
      <c r="F82" s="2" t="s">
        <v>99</v>
      </c>
      <c r="G82" s="2" t="s">
        <v>3355</v>
      </c>
      <c r="H82" s="39" t="s">
        <v>832</v>
      </c>
      <c r="I82" s="2" t="s">
        <v>24</v>
      </c>
      <c r="J82" s="2" t="s">
        <v>24</v>
      </c>
      <c r="K82" s="2" t="s">
        <v>24</v>
      </c>
      <c r="L82" s="2" t="s">
        <v>24</v>
      </c>
    </row>
    <row r="83" customFormat="false" ht="15" hidden="false" customHeight="false" outlineLevel="0" collapsed="false">
      <c r="A83" s="2" t="s">
        <v>302</v>
      </c>
      <c r="B83" s="13" t="s">
        <v>301</v>
      </c>
      <c r="C83" s="13" t="s">
        <v>162</v>
      </c>
      <c r="D83" s="16"/>
      <c r="E83" s="13" t="s">
        <v>87</v>
      </c>
      <c r="F83" s="2" t="s">
        <v>149</v>
      </c>
      <c r="G83" s="2" t="s">
        <v>3376</v>
      </c>
      <c r="H83" s="34" t="s">
        <v>822</v>
      </c>
      <c r="I83" s="2" t="s">
        <v>24</v>
      </c>
      <c r="J83" s="2" t="s">
        <v>24</v>
      </c>
      <c r="K83" s="2"/>
      <c r="L83" s="2" t="s">
        <v>24</v>
      </c>
    </row>
    <row r="84" customFormat="false" ht="15" hidden="false" customHeight="false" outlineLevel="0" collapsed="false">
      <c r="A84" s="2" t="s">
        <v>338</v>
      </c>
      <c r="B84" s="13" t="s">
        <v>337</v>
      </c>
      <c r="C84" s="13" t="s">
        <v>72</v>
      </c>
      <c r="D84" s="13" t="s">
        <v>3447</v>
      </c>
      <c r="E84" s="13" t="s">
        <v>154</v>
      </c>
      <c r="F84" s="2" t="s">
        <v>47</v>
      </c>
      <c r="G84" s="2" t="s">
        <v>3364</v>
      </c>
      <c r="H84" s="34" t="s">
        <v>822</v>
      </c>
      <c r="I84" s="2" t="s">
        <v>24</v>
      </c>
      <c r="J84" s="2" t="s">
        <v>24</v>
      </c>
      <c r="K84" s="2" t="s">
        <v>24</v>
      </c>
      <c r="L84" s="2" t="s">
        <v>24</v>
      </c>
    </row>
    <row r="85" customFormat="false" ht="15" hidden="false" customHeight="false" outlineLevel="0" collapsed="false">
      <c r="A85" s="2" t="s">
        <v>2494</v>
      </c>
      <c r="B85" s="13" t="s">
        <v>2493</v>
      </c>
      <c r="C85" s="13" t="s">
        <v>91</v>
      </c>
      <c r="D85" s="14" t="s">
        <v>3448</v>
      </c>
      <c r="E85" s="13" t="s">
        <v>87</v>
      </c>
      <c r="F85" s="2" t="s">
        <v>92</v>
      </c>
      <c r="G85" s="2" t="s">
        <v>3361</v>
      </c>
      <c r="H85" s="39" t="s">
        <v>832</v>
      </c>
      <c r="I85" s="2" t="s">
        <v>24</v>
      </c>
      <c r="J85" s="2" t="s">
        <v>24</v>
      </c>
      <c r="K85" s="2" t="s">
        <v>22</v>
      </c>
      <c r="L85" s="2" t="s">
        <v>24</v>
      </c>
    </row>
    <row r="86" customFormat="false" ht="15" hidden="false" customHeight="false" outlineLevel="0" collapsed="false">
      <c r="A86" s="2" t="s">
        <v>662</v>
      </c>
      <c r="B86" s="13" t="s">
        <v>661</v>
      </c>
      <c r="C86" s="13" t="s">
        <v>91</v>
      </c>
      <c r="D86" s="13" t="s">
        <v>3449</v>
      </c>
      <c r="E86" s="13" t="s">
        <v>124</v>
      </c>
      <c r="F86" s="2" t="s">
        <v>149</v>
      </c>
      <c r="G86" s="2" t="s">
        <v>3376</v>
      </c>
      <c r="H86" s="34" t="s">
        <v>822</v>
      </c>
      <c r="I86" s="2" t="s">
        <v>24</v>
      </c>
      <c r="J86" s="2" t="s">
        <v>24</v>
      </c>
      <c r="K86" s="2" t="s">
        <v>24</v>
      </c>
      <c r="L86" s="2" t="s">
        <v>24</v>
      </c>
    </row>
    <row r="87" customFormat="false" ht="15" hidden="false" customHeight="false" outlineLevel="0" collapsed="false">
      <c r="A87" s="2" t="s">
        <v>380</v>
      </c>
      <c r="B87" s="13" t="s">
        <v>379</v>
      </c>
      <c r="C87" s="13" t="s">
        <v>95</v>
      </c>
      <c r="D87" s="13" t="s">
        <v>3450</v>
      </c>
      <c r="E87" s="13" t="s">
        <v>124</v>
      </c>
      <c r="F87" s="2" t="s">
        <v>45</v>
      </c>
      <c r="G87" s="2" t="s">
        <v>3364</v>
      </c>
      <c r="H87" s="34" t="s">
        <v>822</v>
      </c>
      <c r="I87" s="2" t="s">
        <v>24</v>
      </c>
      <c r="J87" s="2" t="s">
        <v>24</v>
      </c>
      <c r="K87" s="2" t="s">
        <v>24</v>
      </c>
      <c r="L87" s="2" t="s">
        <v>24</v>
      </c>
    </row>
    <row r="88" customFormat="false" ht="15" hidden="false" customHeight="false" outlineLevel="0" collapsed="false">
      <c r="A88" s="2" t="s">
        <v>1308</v>
      </c>
      <c r="B88" s="13" t="s">
        <v>1307</v>
      </c>
      <c r="C88" s="13" t="s">
        <v>72</v>
      </c>
      <c r="D88" s="13" t="s">
        <v>3451</v>
      </c>
      <c r="E88" s="13" t="s">
        <v>102</v>
      </c>
      <c r="F88" s="2" t="s">
        <v>99</v>
      </c>
      <c r="G88" s="2" t="s">
        <v>3355</v>
      </c>
      <c r="H88" s="39" t="s">
        <v>832</v>
      </c>
      <c r="I88" s="2" t="s">
        <v>24</v>
      </c>
      <c r="J88" s="2" t="s">
        <v>24</v>
      </c>
      <c r="K88" s="2" t="s">
        <v>24</v>
      </c>
      <c r="L88" s="2" t="s">
        <v>24</v>
      </c>
    </row>
    <row r="89" customFormat="false" ht="15" hidden="false" customHeight="false" outlineLevel="0" collapsed="false">
      <c r="A89" s="2" t="s">
        <v>1428</v>
      </c>
      <c r="B89" s="13" t="s">
        <v>1427</v>
      </c>
      <c r="C89" s="13" t="s">
        <v>77</v>
      </c>
      <c r="D89" s="13" t="s">
        <v>3452</v>
      </c>
      <c r="E89" s="13" t="s">
        <v>83</v>
      </c>
      <c r="F89" s="2" t="s">
        <v>99</v>
      </c>
      <c r="G89" s="2" t="s">
        <v>3355</v>
      </c>
      <c r="H89" s="39" t="s">
        <v>832</v>
      </c>
      <c r="I89" s="2" t="s">
        <v>24</v>
      </c>
      <c r="J89" s="2" t="s">
        <v>24</v>
      </c>
      <c r="K89" s="2" t="s">
        <v>24</v>
      </c>
      <c r="L89" s="2" t="s">
        <v>24</v>
      </c>
    </row>
    <row r="90" customFormat="false" ht="15" hidden="false" customHeight="false" outlineLevel="0" collapsed="false">
      <c r="A90" s="2" t="s">
        <v>1810</v>
      </c>
      <c r="B90" s="13" t="s">
        <v>1809</v>
      </c>
      <c r="C90" s="13" t="s">
        <v>98</v>
      </c>
      <c r="D90" s="13" t="s">
        <v>3453</v>
      </c>
      <c r="E90" s="13" t="s">
        <v>83</v>
      </c>
      <c r="F90" s="2" t="s">
        <v>99</v>
      </c>
      <c r="G90" s="2" t="s">
        <v>3355</v>
      </c>
      <c r="H90" s="39" t="s">
        <v>832</v>
      </c>
      <c r="I90" s="2" t="s">
        <v>24</v>
      </c>
      <c r="J90" s="2" t="s">
        <v>24</v>
      </c>
      <c r="K90" s="2" t="s">
        <v>24</v>
      </c>
      <c r="L90" s="2" t="s">
        <v>24</v>
      </c>
    </row>
    <row r="91" customFormat="false" ht="15" hidden="false" customHeight="false" outlineLevel="0" collapsed="false">
      <c r="A91" s="2" t="s">
        <v>1462</v>
      </c>
      <c r="B91" s="13" t="s">
        <v>1461</v>
      </c>
      <c r="C91" s="13" t="s">
        <v>162</v>
      </c>
      <c r="D91" s="13" t="s">
        <v>3454</v>
      </c>
      <c r="E91" s="13" t="s">
        <v>120</v>
      </c>
      <c r="F91" s="2" t="s">
        <v>99</v>
      </c>
      <c r="G91" s="2" t="s">
        <v>3355</v>
      </c>
      <c r="H91" s="39" t="s">
        <v>832</v>
      </c>
      <c r="I91" s="2" t="s">
        <v>24</v>
      </c>
      <c r="J91" s="2" t="s">
        <v>24</v>
      </c>
      <c r="K91" s="2" t="s">
        <v>24</v>
      </c>
      <c r="L91" s="2" t="s">
        <v>24</v>
      </c>
    </row>
    <row r="92" customFormat="false" ht="15" hidden="false" customHeight="false" outlineLevel="0" collapsed="false">
      <c r="A92" s="2" t="s">
        <v>1954</v>
      </c>
      <c r="B92" s="13" t="s">
        <v>1953</v>
      </c>
      <c r="C92" s="13" t="s">
        <v>72</v>
      </c>
      <c r="D92" s="13" t="s">
        <v>3455</v>
      </c>
      <c r="E92" s="13" t="s">
        <v>120</v>
      </c>
      <c r="F92" s="2" t="s">
        <v>99</v>
      </c>
      <c r="G92" s="2" t="s">
        <v>3355</v>
      </c>
      <c r="H92" s="39" t="s">
        <v>832</v>
      </c>
      <c r="I92" s="2" t="s">
        <v>24</v>
      </c>
      <c r="J92" s="2" t="s">
        <v>24</v>
      </c>
      <c r="K92" s="2" t="s">
        <v>24</v>
      </c>
      <c r="L92" s="2" t="s">
        <v>24</v>
      </c>
    </row>
    <row r="93" customFormat="false" ht="15" hidden="false" customHeight="false" outlineLevel="0" collapsed="false">
      <c r="A93" s="2" t="s">
        <v>2084</v>
      </c>
      <c r="B93" s="13" t="s">
        <v>2083</v>
      </c>
      <c r="C93" s="13" t="s">
        <v>162</v>
      </c>
      <c r="D93" s="13" t="s">
        <v>3456</v>
      </c>
      <c r="E93" s="13" t="s">
        <v>87</v>
      </c>
      <c r="F93" s="2" t="s">
        <v>99</v>
      </c>
      <c r="G93" s="2" t="s">
        <v>3369</v>
      </c>
      <c r="H93" s="39" t="s">
        <v>832</v>
      </c>
      <c r="I93" s="2" t="s">
        <v>24</v>
      </c>
      <c r="J93" s="2" t="s">
        <v>24</v>
      </c>
      <c r="K93" s="2" t="s">
        <v>24</v>
      </c>
      <c r="L93" s="2" t="s">
        <v>24</v>
      </c>
    </row>
    <row r="94" customFormat="false" ht="15" hidden="false" customHeight="false" outlineLevel="0" collapsed="false">
      <c r="A94" s="2" t="s">
        <v>1981</v>
      </c>
      <c r="B94" s="13" t="s">
        <v>1980</v>
      </c>
      <c r="C94" s="13" t="s">
        <v>95</v>
      </c>
      <c r="D94" s="13" t="s">
        <v>3457</v>
      </c>
      <c r="E94" s="13" t="s">
        <v>120</v>
      </c>
      <c r="F94" s="2" t="s">
        <v>149</v>
      </c>
      <c r="G94" s="2" t="s">
        <v>3361</v>
      </c>
      <c r="H94" s="39" t="s">
        <v>832</v>
      </c>
      <c r="I94" s="2" t="s">
        <v>24</v>
      </c>
      <c r="J94" s="2" t="s">
        <v>24</v>
      </c>
      <c r="K94" s="2" t="s">
        <v>24</v>
      </c>
      <c r="L94" s="2" t="s">
        <v>24</v>
      </c>
    </row>
    <row r="95" customFormat="false" ht="15" hidden="false" customHeight="false" outlineLevel="0" collapsed="false">
      <c r="A95" s="2" t="s">
        <v>2943</v>
      </c>
      <c r="B95" s="13" t="s">
        <v>3458</v>
      </c>
      <c r="C95" s="13" t="s">
        <v>86</v>
      </c>
      <c r="D95" s="13" t="s">
        <v>3459</v>
      </c>
      <c r="E95" s="13" t="s">
        <v>87</v>
      </c>
      <c r="F95" s="2" t="s">
        <v>46</v>
      </c>
      <c r="G95" s="2" t="s">
        <v>3395</v>
      </c>
      <c r="H95" s="39" t="s">
        <v>832</v>
      </c>
      <c r="I95" s="2" t="s">
        <v>24</v>
      </c>
      <c r="J95" s="2" t="s">
        <v>24</v>
      </c>
      <c r="K95" s="2" t="s">
        <v>24</v>
      </c>
      <c r="L95" s="2" t="s">
        <v>24</v>
      </c>
    </row>
    <row r="96" customFormat="false" ht="15" hidden="false" customHeight="false" outlineLevel="0" collapsed="false">
      <c r="A96" s="2" t="s">
        <v>2656</v>
      </c>
      <c r="B96" s="14" t="s">
        <v>2655</v>
      </c>
      <c r="C96" s="14" t="s">
        <v>77</v>
      </c>
      <c r="D96" s="14" t="s">
        <v>3460</v>
      </c>
      <c r="E96" s="14" t="s">
        <v>83</v>
      </c>
      <c r="F96" s="2" t="s">
        <v>92</v>
      </c>
      <c r="G96" s="2" t="s">
        <v>3361</v>
      </c>
      <c r="H96" s="39" t="s">
        <v>832</v>
      </c>
      <c r="I96" s="2" t="s">
        <v>22</v>
      </c>
      <c r="J96" s="2" t="s">
        <v>22</v>
      </c>
      <c r="K96" s="2" t="s">
        <v>22</v>
      </c>
      <c r="L96" s="2" t="s">
        <v>22</v>
      </c>
    </row>
    <row r="97" customFormat="false" ht="15" hidden="false" customHeight="false" outlineLevel="0" collapsed="false">
      <c r="A97" s="2" t="s">
        <v>2947</v>
      </c>
      <c r="B97" s="13" t="s">
        <v>3461</v>
      </c>
      <c r="C97" s="13" t="s">
        <v>86</v>
      </c>
      <c r="D97" s="16"/>
      <c r="E97" s="13" t="s">
        <v>83</v>
      </c>
      <c r="F97" s="2" t="s">
        <v>46</v>
      </c>
      <c r="G97" s="2" t="s">
        <v>3395</v>
      </c>
      <c r="H97" s="39" t="s">
        <v>832</v>
      </c>
      <c r="I97" s="2" t="s">
        <v>24</v>
      </c>
      <c r="J97" s="2" t="s">
        <v>24</v>
      </c>
      <c r="K97" s="2"/>
      <c r="L97" s="2" t="s">
        <v>24</v>
      </c>
    </row>
    <row r="98" customFormat="false" ht="15" hidden="false" customHeight="false" outlineLevel="0" collapsed="false">
      <c r="A98" s="2" t="s">
        <v>1727</v>
      </c>
      <c r="B98" s="13" t="s">
        <v>1726</v>
      </c>
      <c r="C98" s="13" t="s">
        <v>82</v>
      </c>
      <c r="D98" s="13" t="s">
        <v>3462</v>
      </c>
      <c r="E98" s="13" t="s">
        <v>124</v>
      </c>
      <c r="F98" s="2" t="s">
        <v>99</v>
      </c>
      <c r="G98" s="2" t="s">
        <v>3355</v>
      </c>
      <c r="H98" s="39" t="s">
        <v>832</v>
      </c>
      <c r="I98" s="2" t="s">
        <v>24</v>
      </c>
      <c r="J98" s="2" t="s">
        <v>24</v>
      </c>
      <c r="K98" s="2" t="s">
        <v>24</v>
      </c>
      <c r="L98" s="2" t="s">
        <v>24</v>
      </c>
    </row>
    <row r="99" customFormat="false" ht="15" hidden="false" customHeight="false" outlineLevel="0" collapsed="false">
      <c r="A99" s="2" t="s">
        <v>1489</v>
      </c>
      <c r="B99" s="13" t="s">
        <v>1488</v>
      </c>
      <c r="C99" s="13" t="s">
        <v>115</v>
      </c>
      <c r="D99" s="13" t="s">
        <v>3463</v>
      </c>
      <c r="E99" s="13" t="s">
        <v>127</v>
      </c>
      <c r="F99" s="2" t="s">
        <v>99</v>
      </c>
      <c r="G99" s="2" t="s">
        <v>3355</v>
      </c>
      <c r="H99" s="39" t="s">
        <v>832</v>
      </c>
      <c r="I99" s="2" t="s">
        <v>24</v>
      </c>
      <c r="J99" s="2" t="s">
        <v>24</v>
      </c>
      <c r="K99" s="2" t="s">
        <v>24</v>
      </c>
      <c r="L99" s="2" t="s">
        <v>24</v>
      </c>
    </row>
    <row r="100" customFormat="false" ht="15" hidden="false" customHeight="false" outlineLevel="0" collapsed="false">
      <c r="A100" s="2" t="s">
        <v>2186</v>
      </c>
      <c r="B100" s="13" t="s">
        <v>2185</v>
      </c>
      <c r="C100" s="13" t="s">
        <v>82</v>
      </c>
      <c r="D100" s="13" t="s">
        <v>3464</v>
      </c>
      <c r="E100" s="13" t="s">
        <v>124</v>
      </c>
      <c r="F100" s="2" t="s">
        <v>149</v>
      </c>
      <c r="G100" s="2" t="s">
        <v>3361</v>
      </c>
      <c r="H100" s="39" t="s">
        <v>832</v>
      </c>
      <c r="I100" s="2" t="s">
        <v>24</v>
      </c>
      <c r="J100" s="2" t="s">
        <v>24</v>
      </c>
      <c r="K100" s="2" t="s">
        <v>24</v>
      </c>
      <c r="L100" s="2" t="s">
        <v>24</v>
      </c>
    </row>
    <row r="101" customFormat="false" ht="15" hidden="false" customHeight="false" outlineLevel="0" collapsed="false">
      <c r="A101" s="2" t="s">
        <v>1747</v>
      </c>
      <c r="B101" s="13" t="s">
        <v>1746</v>
      </c>
      <c r="C101" s="13" t="s">
        <v>86</v>
      </c>
      <c r="D101" s="13" t="s">
        <v>3465</v>
      </c>
      <c r="E101" s="13" t="s">
        <v>87</v>
      </c>
      <c r="F101" s="2" t="s">
        <v>99</v>
      </c>
      <c r="G101" s="2" t="s">
        <v>3355</v>
      </c>
      <c r="H101" s="39" t="s">
        <v>832</v>
      </c>
      <c r="I101" s="2" t="s">
        <v>24</v>
      </c>
      <c r="J101" s="2" t="s">
        <v>24</v>
      </c>
      <c r="K101" s="2" t="s">
        <v>24</v>
      </c>
      <c r="L101" s="2" t="s">
        <v>24</v>
      </c>
    </row>
    <row r="102" customFormat="false" ht="15" hidden="false" customHeight="false" outlineLevel="0" collapsed="false">
      <c r="A102" s="2" t="s">
        <v>2953</v>
      </c>
      <c r="B102" s="13" t="s">
        <v>3466</v>
      </c>
      <c r="C102" s="13" t="s">
        <v>72</v>
      </c>
      <c r="D102" s="13" t="s">
        <v>3467</v>
      </c>
      <c r="E102" s="13" t="s">
        <v>78</v>
      </c>
      <c r="F102" s="2" t="s">
        <v>45</v>
      </c>
      <c r="G102" s="2" t="s">
        <v>3395</v>
      </c>
      <c r="H102" s="39" t="s">
        <v>832</v>
      </c>
      <c r="I102" s="2" t="s">
        <v>24</v>
      </c>
      <c r="J102" s="2" t="s">
        <v>24</v>
      </c>
      <c r="K102" s="2" t="s">
        <v>24</v>
      </c>
      <c r="L102" s="2" t="s">
        <v>24</v>
      </c>
    </row>
    <row r="103" customFormat="false" ht="15" hidden="false" customHeight="false" outlineLevel="0" collapsed="false">
      <c r="A103" s="2" t="s">
        <v>847</v>
      </c>
      <c r="B103" s="13" t="s">
        <v>846</v>
      </c>
      <c r="C103" s="13" t="s">
        <v>115</v>
      </c>
      <c r="D103" s="13" t="s">
        <v>3468</v>
      </c>
      <c r="E103" s="13" t="s">
        <v>78</v>
      </c>
      <c r="F103" s="2" t="s">
        <v>99</v>
      </c>
      <c r="G103" s="2" t="s">
        <v>3355</v>
      </c>
      <c r="H103" s="39" t="s">
        <v>832</v>
      </c>
      <c r="I103" s="2" t="s">
        <v>24</v>
      </c>
      <c r="J103" s="2" t="s">
        <v>24</v>
      </c>
      <c r="K103" s="2" t="s">
        <v>24</v>
      </c>
      <c r="L103" s="2" t="s">
        <v>24</v>
      </c>
    </row>
    <row r="104" customFormat="false" ht="15" hidden="false" customHeight="false" outlineLevel="0" collapsed="false">
      <c r="A104" s="2" t="s">
        <v>2956</v>
      </c>
      <c r="B104" s="13" t="s">
        <v>3469</v>
      </c>
      <c r="C104" s="13" t="s">
        <v>123</v>
      </c>
      <c r="D104" s="13" t="s">
        <v>3470</v>
      </c>
      <c r="E104" s="13" t="s">
        <v>124</v>
      </c>
      <c r="F104" s="2" t="s">
        <v>45</v>
      </c>
      <c r="G104" s="2" t="s">
        <v>3395</v>
      </c>
      <c r="H104" s="39" t="s">
        <v>832</v>
      </c>
      <c r="I104" s="2" t="s">
        <v>24</v>
      </c>
      <c r="J104" s="2" t="s">
        <v>24</v>
      </c>
      <c r="K104" s="2" t="s">
        <v>24</v>
      </c>
      <c r="L104" s="2" t="s">
        <v>24</v>
      </c>
    </row>
    <row r="105" customFormat="false" ht="15" hidden="false" customHeight="false" outlineLevel="0" collapsed="false">
      <c r="A105" s="2" t="s">
        <v>658</v>
      </c>
      <c r="B105" s="13" t="s">
        <v>657</v>
      </c>
      <c r="C105" s="13" t="s">
        <v>162</v>
      </c>
      <c r="D105" s="13" t="s">
        <v>3471</v>
      </c>
      <c r="E105" s="13" t="s">
        <v>87</v>
      </c>
      <c r="F105" s="2" t="s">
        <v>99</v>
      </c>
      <c r="G105" s="2" t="s">
        <v>3359</v>
      </c>
      <c r="H105" s="34" t="s">
        <v>822</v>
      </c>
      <c r="I105" s="2" t="s">
        <v>24</v>
      </c>
      <c r="J105" s="2" t="s">
        <v>24</v>
      </c>
      <c r="K105" s="2" t="s">
        <v>24</v>
      </c>
      <c r="L105" s="2" t="s">
        <v>24</v>
      </c>
    </row>
    <row r="106" customFormat="false" ht="15" hidden="false" customHeight="false" outlineLevel="0" collapsed="false">
      <c r="A106" s="2" t="s">
        <v>322</v>
      </c>
      <c r="B106" s="13" t="s">
        <v>321</v>
      </c>
      <c r="C106" s="13" t="s">
        <v>95</v>
      </c>
      <c r="D106" s="13" t="s">
        <v>3472</v>
      </c>
      <c r="E106" s="13" t="s">
        <v>127</v>
      </c>
      <c r="F106" s="2" t="s">
        <v>99</v>
      </c>
      <c r="G106" s="2" t="s">
        <v>3359</v>
      </c>
      <c r="H106" s="34" t="s">
        <v>822</v>
      </c>
      <c r="I106" s="2" t="s">
        <v>24</v>
      </c>
      <c r="J106" s="2" t="s">
        <v>24</v>
      </c>
      <c r="K106" s="2" t="s">
        <v>24</v>
      </c>
      <c r="L106" s="2" t="s">
        <v>24</v>
      </c>
    </row>
    <row r="107" customFormat="false" ht="15" hidden="false" customHeight="false" outlineLevel="0" collapsed="false">
      <c r="A107" s="2" t="s">
        <v>1114</v>
      </c>
      <c r="B107" s="13" t="s">
        <v>1113</v>
      </c>
      <c r="C107" s="13" t="s">
        <v>115</v>
      </c>
      <c r="D107" s="13" t="s">
        <v>3473</v>
      </c>
      <c r="E107" s="14" t="s">
        <v>73</v>
      </c>
      <c r="F107" s="2" t="s">
        <v>99</v>
      </c>
      <c r="G107" s="2" t="s">
        <v>3355</v>
      </c>
      <c r="H107" s="39" t="s">
        <v>832</v>
      </c>
      <c r="I107" s="2" t="s">
        <v>24</v>
      </c>
      <c r="J107" s="2" t="s">
        <v>24</v>
      </c>
      <c r="K107" s="2" t="s">
        <v>24</v>
      </c>
      <c r="L107" s="2" t="s">
        <v>22</v>
      </c>
    </row>
    <row r="108" customFormat="false" ht="15" hidden="false" customHeight="false" outlineLevel="0" collapsed="false">
      <c r="A108" s="2" t="s">
        <v>104</v>
      </c>
      <c r="B108" s="13" t="s">
        <v>103</v>
      </c>
      <c r="C108" s="13" t="s">
        <v>95</v>
      </c>
      <c r="D108" s="16"/>
      <c r="E108" s="13" t="s">
        <v>105</v>
      </c>
      <c r="F108" s="2" t="s">
        <v>106</v>
      </c>
      <c r="G108" s="2" t="s">
        <v>3376</v>
      </c>
      <c r="H108" s="34" t="s">
        <v>822</v>
      </c>
      <c r="I108" s="2" t="s">
        <v>24</v>
      </c>
      <c r="J108" s="2" t="s">
        <v>24</v>
      </c>
      <c r="K108" s="2"/>
      <c r="L108" s="2" t="s">
        <v>24</v>
      </c>
    </row>
    <row r="109" customFormat="false" ht="15" hidden="false" customHeight="false" outlineLevel="0" collapsed="false">
      <c r="A109" s="2" t="s">
        <v>1755</v>
      </c>
      <c r="B109" s="13" t="s">
        <v>1754</v>
      </c>
      <c r="C109" s="13" t="s">
        <v>162</v>
      </c>
      <c r="D109" s="13" t="s">
        <v>3474</v>
      </c>
      <c r="E109" s="13" t="s">
        <v>105</v>
      </c>
      <c r="F109" s="2" t="s">
        <v>99</v>
      </c>
      <c r="G109" s="2" t="s">
        <v>3355</v>
      </c>
      <c r="H109" s="39" t="s">
        <v>832</v>
      </c>
      <c r="I109" s="2" t="s">
        <v>24</v>
      </c>
      <c r="J109" s="2" t="s">
        <v>24</v>
      </c>
      <c r="K109" s="2" t="s">
        <v>24</v>
      </c>
      <c r="L109" s="2" t="s">
        <v>24</v>
      </c>
    </row>
    <row r="110" customFormat="false" ht="15" hidden="false" customHeight="false" outlineLevel="0" collapsed="false">
      <c r="A110" s="2" t="s">
        <v>754</v>
      </c>
      <c r="B110" s="13" t="s">
        <v>753</v>
      </c>
      <c r="C110" s="13" t="s">
        <v>72</v>
      </c>
      <c r="D110" s="13" t="s">
        <v>3475</v>
      </c>
      <c r="E110" s="13" t="s">
        <v>127</v>
      </c>
      <c r="F110" s="2" t="s">
        <v>99</v>
      </c>
      <c r="G110" s="2" t="s">
        <v>3359</v>
      </c>
      <c r="H110" s="34" t="s">
        <v>822</v>
      </c>
      <c r="I110" s="2" t="s">
        <v>24</v>
      </c>
      <c r="J110" s="2" t="s">
        <v>24</v>
      </c>
      <c r="K110" s="2" t="s">
        <v>24</v>
      </c>
      <c r="L110" s="2" t="s">
        <v>24</v>
      </c>
    </row>
    <row r="111" customFormat="false" ht="15" hidden="false" customHeight="false" outlineLevel="0" collapsed="false">
      <c r="A111" s="2" t="s">
        <v>2957</v>
      </c>
      <c r="B111" s="13" t="s">
        <v>3476</v>
      </c>
      <c r="C111" s="13" t="s">
        <v>98</v>
      </c>
      <c r="D111" s="13" t="s">
        <v>3477</v>
      </c>
      <c r="E111" s="13" t="s">
        <v>127</v>
      </c>
      <c r="F111" s="2" t="s">
        <v>46</v>
      </c>
      <c r="G111" s="2" t="s">
        <v>3395</v>
      </c>
      <c r="H111" s="39" t="s">
        <v>832</v>
      </c>
      <c r="I111" s="2" t="s">
        <v>24</v>
      </c>
      <c r="J111" s="2" t="s">
        <v>24</v>
      </c>
      <c r="K111" s="2" t="s">
        <v>24</v>
      </c>
      <c r="L111" s="2" t="s">
        <v>24</v>
      </c>
    </row>
    <row r="112" customFormat="false" ht="15" hidden="false" customHeight="false" outlineLevel="0" collapsed="false">
      <c r="A112" s="2" t="s">
        <v>362</v>
      </c>
      <c r="B112" s="13" t="s">
        <v>361</v>
      </c>
      <c r="C112" s="13" t="s">
        <v>95</v>
      </c>
      <c r="D112" s="13" t="s">
        <v>3478</v>
      </c>
      <c r="E112" s="13" t="s">
        <v>73</v>
      </c>
      <c r="F112" s="2" t="s">
        <v>92</v>
      </c>
      <c r="G112" s="2" t="s">
        <v>3376</v>
      </c>
      <c r="H112" s="34" t="s">
        <v>822</v>
      </c>
      <c r="I112" s="2" t="s">
        <v>24</v>
      </c>
      <c r="J112" s="2" t="s">
        <v>24</v>
      </c>
      <c r="K112" s="2" t="s">
        <v>24</v>
      </c>
      <c r="L112" s="2" t="s">
        <v>24</v>
      </c>
    </row>
    <row r="113" customFormat="false" ht="15" hidden="false" customHeight="false" outlineLevel="0" collapsed="false">
      <c r="A113" s="2" t="s">
        <v>2959</v>
      </c>
      <c r="B113" s="13" t="s">
        <v>3479</v>
      </c>
      <c r="C113" s="13" t="s">
        <v>115</v>
      </c>
      <c r="D113" s="13" t="s">
        <v>3480</v>
      </c>
      <c r="E113" s="13" t="s">
        <v>105</v>
      </c>
      <c r="F113" s="2" t="s">
        <v>46</v>
      </c>
      <c r="G113" s="2" t="s">
        <v>3395</v>
      </c>
      <c r="H113" s="39" t="s">
        <v>832</v>
      </c>
      <c r="I113" s="2" t="s">
        <v>24</v>
      </c>
      <c r="J113" s="2" t="s">
        <v>24</v>
      </c>
      <c r="K113" s="2" t="s">
        <v>24</v>
      </c>
      <c r="L113" s="2" t="s">
        <v>24</v>
      </c>
    </row>
    <row r="114" customFormat="false" ht="15" hidden="false" customHeight="false" outlineLevel="0" collapsed="false">
      <c r="A114" s="2" t="s">
        <v>1243</v>
      </c>
      <c r="B114" s="13" t="s">
        <v>1242</v>
      </c>
      <c r="C114" s="13" t="s">
        <v>162</v>
      </c>
      <c r="D114" s="14" t="s">
        <v>3481</v>
      </c>
      <c r="E114" s="13" t="s">
        <v>124</v>
      </c>
      <c r="F114" s="2" t="s">
        <v>99</v>
      </c>
      <c r="G114" s="2" t="s">
        <v>3369</v>
      </c>
      <c r="H114" s="39" t="s">
        <v>832</v>
      </c>
      <c r="I114" s="2" t="s">
        <v>24</v>
      </c>
      <c r="J114" s="2" t="s">
        <v>24</v>
      </c>
      <c r="K114" s="2" t="s">
        <v>22</v>
      </c>
      <c r="L114" s="2" t="s">
        <v>24</v>
      </c>
    </row>
    <row r="115" customFormat="false" ht="15" hidden="false" customHeight="false" outlineLevel="0" collapsed="false">
      <c r="A115" s="2" t="s">
        <v>188</v>
      </c>
      <c r="B115" s="13" t="s">
        <v>187</v>
      </c>
      <c r="C115" s="13" t="s">
        <v>77</v>
      </c>
      <c r="D115" s="13" t="s">
        <v>3482</v>
      </c>
      <c r="E115" s="13" t="s">
        <v>102</v>
      </c>
      <c r="F115" s="2" t="s">
        <v>47</v>
      </c>
      <c r="G115" s="2" t="s">
        <v>3364</v>
      </c>
      <c r="H115" s="34" t="s">
        <v>822</v>
      </c>
      <c r="I115" s="2" t="s">
        <v>24</v>
      </c>
      <c r="J115" s="2" t="s">
        <v>24</v>
      </c>
      <c r="K115" s="2" t="s">
        <v>24</v>
      </c>
      <c r="L115" s="2" t="s">
        <v>24</v>
      </c>
    </row>
    <row r="116" customFormat="false" ht="15" hidden="false" customHeight="false" outlineLevel="0" collapsed="false">
      <c r="A116" s="2" t="s">
        <v>222</v>
      </c>
      <c r="B116" s="13" t="s">
        <v>221</v>
      </c>
      <c r="C116" s="13" t="s">
        <v>72</v>
      </c>
      <c r="D116" s="13" t="s">
        <v>3483</v>
      </c>
      <c r="E116" s="13" t="s">
        <v>127</v>
      </c>
      <c r="F116" s="2" t="s">
        <v>99</v>
      </c>
      <c r="G116" s="2" t="s">
        <v>3359</v>
      </c>
      <c r="H116" s="34" t="s">
        <v>822</v>
      </c>
      <c r="I116" s="2" t="s">
        <v>24</v>
      </c>
      <c r="J116" s="2" t="s">
        <v>24</v>
      </c>
      <c r="K116" s="2" t="s">
        <v>24</v>
      </c>
      <c r="L116" s="2" t="s">
        <v>24</v>
      </c>
    </row>
    <row r="117" customFormat="false" ht="15" hidden="false" customHeight="false" outlineLevel="0" collapsed="false">
      <c r="A117" s="2" t="s">
        <v>2116</v>
      </c>
      <c r="B117" s="13" t="s">
        <v>2115</v>
      </c>
      <c r="C117" s="13" t="s">
        <v>162</v>
      </c>
      <c r="D117" s="14" t="s">
        <v>3484</v>
      </c>
      <c r="E117" s="14" t="s">
        <v>127</v>
      </c>
      <c r="F117" s="2" t="s">
        <v>99</v>
      </c>
      <c r="G117" s="2" t="s">
        <v>3355</v>
      </c>
      <c r="H117" s="39" t="s">
        <v>832</v>
      </c>
      <c r="I117" s="2" t="s">
        <v>24</v>
      </c>
      <c r="J117" s="2" t="s">
        <v>24</v>
      </c>
      <c r="K117" s="2" t="s">
        <v>22</v>
      </c>
      <c r="L117" s="2" t="s">
        <v>22</v>
      </c>
    </row>
    <row r="118" customFormat="false" ht="15" hidden="false" customHeight="false" outlineLevel="0" collapsed="false">
      <c r="A118" s="2" t="s">
        <v>810</v>
      </c>
      <c r="B118" s="13" t="s">
        <v>809</v>
      </c>
      <c r="C118" s="13" t="s">
        <v>123</v>
      </c>
      <c r="D118" s="13" t="s">
        <v>3485</v>
      </c>
      <c r="E118" s="13" t="s">
        <v>102</v>
      </c>
      <c r="F118" s="2" t="s">
        <v>47</v>
      </c>
      <c r="G118" s="2" t="s">
        <v>3364</v>
      </c>
      <c r="H118" s="34" t="s">
        <v>822</v>
      </c>
      <c r="I118" s="2" t="s">
        <v>24</v>
      </c>
      <c r="J118" s="2" t="s">
        <v>24</v>
      </c>
      <c r="K118" s="2" t="s">
        <v>24</v>
      </c>
      <c r="L118" s="2" t="s">
        <v>24</v>
      </c>
    </row>
    <row r="119" customFormat="false" ht="15" hidden="false" customHeight="false" outlineLevel="0" collapsed="false">
      <c r="A119" s="2" t="s">
        <v>756</v>
      </c>
      <c r="B119" s="13" t="s">
        <v>755</v>
      </c>
      <c r="C119" s="13" t="s">
        <v>86</v>
      </c>
      <c r="D119" s="13" t="s">
        <v>3486</v>
      </c>
      <c r="E119" s="13" t="s">
        <v>102</v>
      </c>
      <c r="F119" s="2" t="s">
        <v>92</v>
      </c>
      <c r="G119" s="2" t="s">
        <v>3376</v>
      </c>
      <c r="H119" s="34" t="s">
        <v>822</v>
      </c>
      <c r="I119" s="2" t="s">
        <v>24</v>
      </c>
      <c r="J119" s="2" t="s">
        <v>24</v>
      </c>
      <c r="K119" s="2" t="s">
        <v>24</v>
      </c>
      <c r="L119" s="2" t="s">
        <v>24</v>
      </c>
    </row>
    <row r="120" customFormat="false" ht="15" hidden="false" customHeight="false" outlineLevel="0" collapsed="false">
      <c r="A120" s="2" t="s">
        <v>2961</v>
      </c>
      <c r="B120" s="13" t="s">
        <v>3487</v>
      </c>
      <c r="C120" s="13" t="s">
        <v>115</v>
      </c>
      <c r="D120" s="15" t="s">
        <v>3488</v>
      </c>
      <c r="E120" s="13" t="s">
        <v>127</v>
      </c>
      <c r="F120" s="2" t="s">
        <v>99</v>
      </c>
      <c r="G120" s="2" t="s">
        <v>3410</v>
      </c>
      <c r="H120" s="39" t="s">
        <v>832</v>
      </c>
      <c r="I120" s="2" t="s">
        <v>24</v>
      </c>
      <c r="J120" s="2" t="s">
        <v>24</v>
      </c>
      <c r="K120" s="2" t="s">
        <v>19</v>
      </c>
      <c r="L120" s="2" t="s">
        <v>24</v>
      </c>
    </row>
    <row r="121" customFormat="false" ht="15" hidden="false" customHeight="false" outlineLevel="0" collapsed="false">
      <c r="A121" s="2" t="s">
        <v>456</v>
      </c>
      <c r="B121" s="13" t="s">
        <v>455</v>
      </c>
      <c r="C121" s="13" t="s">
        <v>86</v>
      </c>
      <c r="D121" s="13" t="s">
        <v>3489</v>
      </c>
      <c r="E121" s="13" t="s">
        <v>102</v>
      </c>
      <c r="F121" s="2" t="s">
        <v>99</v>
      </c>
      <c r="G121" s="2" t="s">
        <v>3359</v>
      </c>
      <c r="H121" s="34" t="s">
        <v>822</v>
      </c>
      <c r="I121" s="2" t="s">
        <v>24</v>
      </c>
      <c r="J121" s="2" t="s">
        <v>24</v>
      </c>
      <c r="K121" s="2" t="s">
        <v>24</v>
      </c>
      <c r="L121" s="2" t="s">
        <v>24</v>
      </c>
    </row>
    <row r="122" customFormat="false" ht="15" hidden="false" customHeight="false" outlineLevel="0" collapsed="false">
      <c r="A122" s="2" t="s">
        <v>1374</v>
      </c>
      <c r="B122" s="13" t="s">
        <v>1373</v>
      </c>
      <c r="C122" s="13" t="s">
        <v>72</v>
      </c>
      <c r="D122" s="13" t="s">
        <v>3490</v>
      </c>
      <c r="E122" s="13" t="s">
        <v>120</v>
      </c>
      <c r="F122" s="2" t="s">
        <v>99</v>
      </c>
      <c r="G122" s="2" t="s">
        <v>3355</v>
      </c>
      <c r="H122" s="39" t="s">
        <v>832</v>
      </c>
      <c r="I122" s="2" t="s">
        <v>24</v>
      </c>
      <c r="J122" s="2" t="s">
        <v>24</v>
      </c>
      <c r="K122" s="2" t="s">
        <v>24</v>
      </c>
      <c r="L122" s="2" t="s">
        <v>24</v>
      </c>
    </row>
    <row r="123" customFormat="false" ht="15" hidden="false" customHeight="false" outlineLevel="0" collapsed="false">
      <c r="A123" s="2" t="s">
        <v>834</v>
      </c>
      <c r="B123" s="13" t="s">
        <v>833</v>
      </c>
      <c r="C123" s="13" t="s">
        <v>86</v>
      </c>
      <c r="D123" s="13" t="s">
        <v>3491</v>
      </c>
      <c r="E123" s="13" t="s">
        <v>87</v>
      </c>
      <c r="F123" s="2" t="s">
        <v>99</v>
      </c>
      <c r="G123" s="2" t="s">
        <v>3355</v>
      </c>
      <c r="H123" s="39" t="s">
        <v>832</v>
      </c>
      <c r="I123" s="2" t="s">
        <v>24</v>
      </c>
      <c r="J123" s="2" t="s">
        <v>24</v>
      </c>
      <c r="K123" s="2" t="s">
        <v>24</v>
      </c>
      <c r="L123" s="2" t="s">
        <v>24</v>
      </c>
    </row>
    <row r="124" customFormat="false" ht="15" hidden="false" customHeight="false" outlineLevel="0" collapsed="false">
      <c r="A124" s="2" t="s">
        <v>2966</v>
      </c>
      <c r="B124" s="16"/>
      <c r="C124" s="13" t="s">
        <v>72</v>
      </c>
      <c r="D124" s="13" t="s">
        <v>3492</v>
      </c>
      <c r="E124" s="13" t="s">
        <v>127</v>
      </c>
      <c r="F124" s="2" t="s">
        <v>45</v>
      </c>
      <c r="G124" s="2" t="s">
        <v>3395</v>
      </c>
      <c r="H124" s="39" t="s">
        <v>832</v>
      </c>
      <c r="I124" s="2"/>
      <c r="J124" s="2" t="s">
        <v>24</v>
      </c>
      <c r="K124" s="2" t="s">
        <v>24</v>
      </c>
      <c r="L124" s="2" t="s">
        <v>24</v>
      </c>
    </row>
    <row r="125" customFormat="false" ht="15" hidden="false" customHeight="false" outlineLevel="0" collapsed="false">
      <c r="A125" s="2" t="s">
        <v>129</v>
      </c>
      <c r="B125" s="13" t="s">
        <v>128</v>
      </c>
      <c r="C125" s="13" t="s">
        <v>82</v>
      </c>
      <c r="D125" s="14" t="s">
        <v>3493</v>
      </c>
      <c r="E125" s="13" t="s">
        <v>127</v>
      </c>
      <c r="F125" s="2" t="s">
        <v>47</v>
      </c>
      <c r="G125" s="2" t="s">
        <v>3364</v>
      </c>
      <c r="H125" s="34" t="s">
        <v>822</v>
      </c>
      <c r="I125" s="2" t="s">
        <v>24</v>
      </c>
      <c r="J125" s="2" t="s">
        <v>24</v>
      </c>
      <c r="K125" s="2" t="s">
        <v>22</v>
      </c>
      <c r="L125" s="2" t="s">
        <v>24</v>
      </c>
    </row>
    <row r="126" customFormat="false" ht="15" hidden="false" customHeight="false" outlineLevel="0" collapsed="false">
      <c r="A126" s="2" t="s">
        <v>798</v>
      </c>
      <c r="B126" s="13" t="s">
        <v>797</v>
      </c>
      <c r="C126" s="13" t="s">
        <v>98</v>
      </c>
      <c r="D126" s="13" t="s">
        <v>3494</v>
      </c>
      <c r="E126" s="13" t="s">
        <v>73</v>
      </c>
      <c r="F126" s="2" t="s">
        <v>45</v>
      </c>
      <c r="G126" s="2" t="s">
        <v>3364</v>
      </c>
      <c r="H126" s="34" t="s">
        <v>822</v>
      </c>
      <c r="I126" s="2" t="s">
        <v>24</v>
      </c>
      <c r="J126" s="2" t="s">
        <v>24</v>
      </c>
      <c r="K126" s="2" t="s">
        <v>24</v>
      </c>
      <c r="L126" s="2" t="s">
        <v>24</v>
      </c>
    </row>
    <row r="127" customFormat="false" ht="15" hidden="false" customHeight="false" outlineLevel="0" collapsed="false">
      <c r="A127" s="2" t="s">
        <v>2446</v>
      </c>
      <c r="B127" s="13" t="s">
        <v>2445</v>
      </c>
      <c r="C127" s="13" t="s">
        <v>91</v>
      </c>
      <c r="D127" s="13" t="s">
        <v>3495</v>
      </c>
      <c r="E127" s="13" t="s">
        <v>83</v>
      </c>
      <c r="F127" s="2" t="s">
        <v>99</v>
      </c>
      <c r="G127" s="2" t="s">
        <v>3369</v>
      </c>
      <c r="H127" s="39" t="s">
        <v>832</v>
      </c>
      <c r="I127" s="2" t="s">
        <v>24</v>
      </c>
      <c r="J127" s="2" t="s">
        <v>24</v>
      </c>
      <c r="K127" s="2" t="s">
        <v>24</v>
      </c>
      <c r="L127" s="2" t="s">
        <v>24</v>
      </c>
    </row>
    <row r="128" customFormat="false" ht="15" hidden="false" customHeight="false" outlineLevel="0" collapsed="false">
      <c r="A128" s="2" t="s">
        <v>394</v>
      </c>
      <c r="B128" s="13" t="s">
        <v>393</v>
      </c>
      <c r="C128" s="13" t="s">
        <v>115</v>
      </c>
      <c r="D128" s="13" t="s">
        <v>3496</v>
      </c>
      <c r="E128" s="13" t="s">
        <v>120</v>
      </c>
      <c r="F128" s="2" t="s">
        <v>99</v>
      </c>
      <c r="G128" s="2" t="s">
        <v>3359</v>
      </c>
      <c r="H128" s="34" t="s">
        <v>822</v>
      </c>
      <c r="I128" s="2" t="s">
        <v>24</v>
      </c>
      <c r="J128" s="2" t="s">
        <v>24</v>
      </c>
      <c r="K128" s="2" t="s">
        <v>24</v>
      </c>
      <c r="L128" s="2" t="s">
        <v>24</v>
      </c>
    </row>
    <row r="129" customFormat="false" ht="15" hidden="false" customHeight="false" outlineLevel="0" collapsed="false">
      <c r="A129" s="2" t="s">
        <v>1496</v>
      </c>
      <c r="B129" s="13" t="s">
        <v>1495</v>
      </c>
      <c r="C129" s="13" t="s">
        <v>123</v>
      </c>
      <c r="D129" s="13" t="s">
        <v>3497</v>
      </c>
      <c r="E129" s="13" t="s">
        <v>73</v>
      </c>
      <c r="F129" s="2" t="s">
        <v>99</v>
      </c>
      <c r="G129" s="2" t="s">
        <v>3369</v>
      </c>
      <c r="H129" s="39" t="s">
        <v>832</v>
      </c>
      <c r="I129" s="2" t="s">
        <v>24</v>
      </c>
      <c r="J129" s="2" t="s">
        <v>24</v>
      </c>
      <c r="K129" s="2" t="s">
        <v>24</v>
      </c>
      <c r="L129" s="2" t="s">
        <v>24</v>
      </c>
    </row>
    <row r="130" customFormat="false" ht="15" hidden="false" customHeight="false" outlineLevel="0" collapsed="false">
      <c r="A130" s="2" t="s">
        <v>2790</v>
      </c>
      <c r="B130" s="13" t="s">
        <v>2789</v>
      </c>
      <c r="C130" s="13" t="s">
        <v>72</v>
      </c>
      <c r="D130" s="13" t="s">
        <v>3498</v>
      </c>
      <c r="E130" s="13" t="s">
        <v>78</v>
      </c>
      <c r="F130" s="2" t="s">
        <v>106</v>
      </c>
      <c r="G130" s="2" t="s">
        <v>3361</v>
      </c>
      <c r="H130" s="39" t="s">
        <v>832</v>
      </c>
      <c r="I130" s="2" t="s">
        <v>24</v>
      </c>
      <c r="J130" s="2" t="s">
        <v>24</v>
      </c>
      <c r="K130" s="2" t="s">
        <v>24</v>
      </c>
      <c r="L130" s="2" t="s">
        <v>24</v>
      </c>
    </row>
    <row r="131" customFormat="false" ht="15" hidden="false" customHeight="false" outlineLevel="0" collapsed="false">
      <c r="A131" s="2" t="s">
        <v>885</v>
      </c>
      <c r="B131" s="13" t="s">
        <v>884</v>
      </c>
      <c r="C131" s="13" t="s">
        <v>82</v>
      </c>
      <c r="D131" s="14" t="s">
        <v>3499</v>
      </c>
      <c r="E131" s="13" t="s">
        <v>124</v>
      </c>
      <c r="F131" s="2" t="s">
        <v>99</v>
      </c>
      <c r="G131" s="2" t="s">
        <v>3355</v>
      </c>
      <c r="H131" s="39" t="s">
        <v>832</v>
      </c>
      <c r="I131" s="2" t="s">
        <v>24</v>
      </c>
      <c r="J131" s="2" t="s">
        <v>24</v>
      </c>
      <c r="K131" s="2" t="s">
        <v>22</v>
      </c>
      <c r="L131" s="2" t="s">
        <v>24</v>
      </c>
    </row>
    <row r="132" customFormat="false" ht="15" hidden="false" customHeight="false" outlineLevel="0" collapsed="false">
      <c r="A132" s="2" t="s">
        <v>2024</v>
      </c>
      <c r="B132" s="13" t="s">
        <v>2023</v>
      </c>
      <c r="C132" s="13" t="s">
        <v>98</v>
      </c>
      <c r="D132" s="13" t="s">
        <v>3500</v>
      </c>
      <c r="E132" s="14" t="s">
        <v>154</v>
      </c>
      <c r="F132" s="2" t="s">
        <v>99</v>
      </c>
      <c r="G132" s="2" t="s">
        <v>3355</v>
      </c>
      <c r="H132" s="39" t="s">
        <v>832</v>
      </c>
      <c r="I132" s="2" t="s">
        <v>24</v>
      </c>
      <c r="J132" s="2" t="s">
        <v>24</v>
      </c>
      <c r="K132" s="2" t="s">
        <v>24</v>
      </c>
      <c r="L132" s="2" t="s">
        <v>22</v>
      </c>
    </row>
    <row r="133" customFormat="false" ht="15" hidden="false" customHeight="false" outlineLevel="0" collapsed="false">
      <c r="A133" s="2" t="s">
        <v>422</v>
      </c>
      <c r="B133" s="13" t="s">
        <v>421</v>
      </c>
      <c r="C133" s="13" t="s">
        <v>98</v>
      </c>
      <c r="D133" s="13" t="s">
        <v>3501</v>
      </c>
      <c r="E133" s="13" t="s">
        <v>83</v>
      </c>
      <c r="F133" s="2" t="s">
        <v>99</v>
      </c>
      <c r="G133" s="2" t="s">
        <v>3359</v>
      </c>
      <c r="H133" s="34" t="s">
        <v>822</v>
      </c>
      <c r="I133" s="2" t="s">
        <v>24</v>
      </c>
      <c r="J133" s="2" t="s">
        <v>24</v>
      </c>
      <c r="K133" s="2" t="s">
        <v>24</v>
      </c>
      <c r="L133" s="2" t="s">
        <v>24</v>
      </c>
    </row>
    <row r="134" customFormat="false" ht="15" hidden="false" customHeight="false" outlineLevel="0" collapsed="false">
      <c r="A134" s="2" t="s">
        <v>216</v>
      </c>
      <c r="B134" s="13" t="s">
        <v>215</v>
      </c>
      <c r="C134" s="13" t="s">
        <v>123</v>
      </c>
      <c r="D134" s="14" t="s">
        <v>3502</v>
      </c>
      <c r="E134" s="13" t="s">
        <v>87</v>
      </c>
      <c r="F134" s="2" t="s">
        <v>47</v>
      </c>
      <c r="G134" s="2" t="s">
        <v>3364</v>
      </c>
      <c r="H134" s="34" t="s">
        <v>822</v>
      </c>
      <c r="I134" s="2" t="s">
        <v>24</v>
      </c>
      <c r="J134" s="2" t="s">
        <v>24</v>
      </c>
      <c r="K134" s="2" t="s">
        <v>22</v>
      </c>
      <c r="L134" s="2" t="s">
        <v>24</v>
      </c>
    </row>
    <row r="135" customFormat="false" ht="15" hidden="false" customHeight="false" outlineLevel="0" collapsed="false">
      <c r="A135" s="2" t="s">
        <v>1486</v>
      </c>
      <c r="B135" s="13" t="s">
        <v>1485</v>
      </c>
      <c r="C135" s="13" t="s">
        <v>82</v>
      </c>
      <c r="D135" s="13" t="s">
        <v>3503</v>
      </c>
      <c r="E135" s="13" t="s">
        <v>154</v>
      </c>
      <c r="F135" s="2" t="s">
        <v>99</v>
      </c>
      <c r="G135" s="2" t="s">
        <v>3355</v>
      </c>
      <c r="H135" s="39" t="s">
        <v>832</v>
      </c>
      <c r="I135" s="2" t="s">
        <v>24</v>
      </c>
      <c r="J135" s="2" t="s">
        <v>24</v>
      </c>
      <c r="K135" s="2" t="s">
        <v>24</v>
      </c>
      <c r="L135" s="2" t="s">
        <v>24</v>
      </c>
    </row>
    <row r="136" customFormat="false" ht="15" hidden="false" customHeight="false" outlineLevel="0" collapsed="false">
      <c r="A136" s="2" t="s">
        <v>136</v>
      </c>
      <c r="B136" s="14" t="s">
        <v>135</v>
      </c>
      <c r="C136" s="14" t="s">
        <v>82</v>
      </c>
      <c r="D136" s="14" t="s">
        <v>3504</v>
      </c>
      <c r="E136" s="14" t="s">
        <v>102</v>
      </c>
      <c r="F136" s="2" t="s">
        <v>47</v>
      </c>
      <c r="G136" s="2" t="s">
        <v>3364</v>
      </c>
      <c r="H136" s="34" t="s">
        <v>822</v>
      </c>
      <c r="I136" s="2" t="s">
        <v>22</v>
      </c>
      <c r="J136" s="2" t="s">
        <v>22</v>
      </c>
      <c r="K136" s="2" t="s">
        <v>22</v>
      </c>
      <c r="L136" s="2" t="s">
        <v>22</v>
      </c>
    </row>
    <row r="137" customFormat="false" ht="15" hidden="false" customHeight="false" outlineLevel="0" collapsed="false">
      <c r="A137" s="2" t="s">
        <v>2126</v>
      </c>
      <c r="B137" s="13" t="s">
        <v>2125</v>
      </c>
      <c r="C137" s="13" t="s">
        <v>86</v>
      </c>
      <c r="D137" s="13" t="s">
        <v>3505</v>
      </c>
      <c r="E137" s="13" t="s">
        <v>154</v>
      </c>
      <c r="F137" s="2" t="s">
        <v>99</v>
      </c>
      <c r="G137" s="2" t="s">
        <v>3369</v>
      </c>
      <c r="H137" s="39" t="s">
        <v>832</v>
      </c>
      <c r="I137" s="2" t="s">
        <v>24</v>
      </c>
      <c r="J137" s="2" t="s">
        <v>24</v>
      </c>
      <c r="K137" s="2" t="s">
        <v>24</v>
      </c>
      <c r="L137" s="2" t="s">
        <v>24</v>
      </c>
    </row>
    <row r="138" customFormat="false" ht="15" hidden="false" customHeight="false" outlineLevel="0" collapsed="false">
      <c r="A138" s="2" t="s">
        <v>2140</v>
      </c>
      <c r="B138" s="13" t="s">
        <v>2139</v>
      </c>
      <c r="C138" s="13" t="s">
        <v>123</v>
      </c>
      <c r="D138" s="13" t="s">
        <v>3506</v>
      </c>
      <c r="E138" s="13" t="s">
        <v>105</v>
      </c>
      <c r="F138" s="2" t="s">
        <v>106</v>
      </c>
      <c r="G138" s="2" t="s">
        <v>3361</v>
      </c>
      <c r="H138" s="39" t="s">
        <v>832</v>
      </c>
      <c r="I138" s="2" t="s">
        <v>24</v>
      </c>
      <c r="J138" s="2" t="s">
        <v>24</v>
      </c>
      <c r="K138" s="2" t="s">
        <v>24</v>
      </c>
      <c r="L138" s="2" t="s">
        <v>24</v>
      </c>
    </row>
    <row r="139" customFormat="false" ht="15" hidden="false" customHeight="false" outlineLevel="0" collapsed="false">
      <c r="A139" s="2" t="s">
        <v>94</v>
      </c>
      <c r="B139" s="13" t="s">
        <v>93</v>
      </c>
      <c r="C139" s="13" t="s">
        <v>95</v>
      </c>
      <c r="D139" s="13" t="s">
        <v>3507</v>
      </c>
      <c r="E139" s="16"/>
      <c r="F139" s="2" t="s">
        <v>45</v>
      </c>
      <c r="G139" s="2" t="s">
        <v>3364</v>
      </c>
      <c r="H139" s="34" t="s">
        <v>822</v>
      </c>
      <c r="I139" s="2" t="s">
        <v>24</v>
      </c>
      <c r="J139" s="2" t="s">
        <v>24</v>
      </c>
      <c r="K139" s="2" t="s">
        <v>24</v>
      </c>
      <c r="L139" s="2"/>
    </row>
    <row r="140" customFormat="false" ht="15" hidden="false" customHeight="false" outlineLevel="0" collapsed="false">
      <c r="A140" s="2" t="s">
        <v>688</v>
      </c>
      <c r="B140" s="13" t="s">
        <v>687</v>
      </c>
      <c r="C140" s="13" t="s">
        <v>91</v>
      </c>
      <c r="D140" s="14" t="s">
        <v>3508</v>
      </c>
      <c r="E140" s="13" t="s">
        <v>120</v>
      </c>
      <c r="F140" s="2" t="s">
        <v>149</v>
      </c>
      <c r="G140" s="2" t="s">
        <v>3376</v>
      </c>
      <c r="H140" s="34" t="s">
        <v>822</v>
      </c>
      <c r="I140" s="2" t="s">
        <v>24</v>
      </c>
      <c r="J140" s="2" t="s">
        <v>24</v>
      </c>
      <c r="K140" s="2" t="s">
        <v>22</v>
      </c>
      <c r="L140" s="2" t="s">
        <v>24</v>
      </c>
    </row>
    <row r="141" customFormat="false" ht="15" hidden="false" customHeight="false" outlineLevel="0" collapsed="false">
      <c r="A141" s="2" t="s">
        <v>1158</v>
      </c>
      <c r="B141" s="13" t="s">
        <v>1157</v>
      </c>
      <c r="C141" s="13" t="s">
        <v>86</v>
      </c>
      <c r="D141" s="13" t="s">
        <v>3509</v>
      </c>
      <c r="E141" s="13" t="s">
        <v>127</v>
      </c>
      <c r="F141" s="2" t="s">
        <v>99</v>
      </c>
      <c r="G141" s="2" t="s">
        <v>3355</v>
      </c>
      <c r="H141" s="39" t="s">
        <v>832</v>
      </c>
      <c r="I141" s="2" t="s">
        <v>24</v>
      </c>
      <c r="J141" s="2" t="s">
        <v>24</v>
      </c>
      <c r="K141" s="2" t="s">
        <v>24</v>
      </c>
      <c r="L141" s="2" t="s">
        <v>24</v>
      </c>
    </row>
    <row r="142" customFormat="false" ht="15" hidden="false" customHeight="false" outlineLevel="0" collapsed="false">
      <c r="A142" s="2" t="s">
        <v>2976</v>
      </c>
      <c r="B142" s="16"/>
      <c r="C142" s="16"/>
      <c r="D142" s="16"/>
      <c r="E142" s="16"/>
      <c r="F142" s="2" t="s">
        <v>46</v>
      </c>
      <c r="G142" s="2" t="s">
        <v>3395</v>
      </c>
      <c r="H142" s="39" t="s">
        <v>832</v>
      </c>
      <c r="I142" s="2"/>
      <c r="J142" s="2"/>
      <c r="K142" s="2"/>
      <c r="L142" s="2"/>
    </row>
    <row r="143" customFormat="false" ht="15" hidden="false" customHeight="false" outlineLevel="0" collapsed="false">
      <c r="A143" s="2" t="s">
        <v>252</v>
      </c>
      <c r="B143" s="13" t="s">
        <v>251</v>
      </c>
      <c r="C143" s="13" t="s">
        <v>123</v>
      </c>
      <c r="D143" s="13" t="s">
        <v>3510</v>
      </c>
      <c r="E143" s="13" t="s">
        <v>127</v>
      </c>
      <c r="F143" s="2" t="s">
        <v>45</v>
      </c>
      <c r="G143" s="2" t="s">
        <v>3364</v>
      </c>
      <c r="H143" s="34" t="s">
        <v>822</v>
      </c>
      <c r="I143" s="2" t="s">
        <v>24</v>
      </c>
      <c r="J143" s="2" t="s">
        <v>24</v>
      </c>
      <c r="K143" s="2" t="s">
        <v>24</v>
      </c>
      <c r="L143" s="2" t="s">
        <v>24</v>
      </c>
    </row>
    <row r="144" customFormat="false" ht="15" hidden="false" customHeight="false" outlineLevel="0" collapsed="false">
      <c r="A144" s="2" t="s">
        <v>520</v>
      </c>
      <c r="B144" s="13" t="s">
        <v>519</v>
      </c>
      <c r="C144" s="13" t="s">
        <v>123</v>
      </c>
      <c r="D144" s="14" t="s">
        <v>3511</v>
      </c>
      <c r="E144" s="14" t="s">
        <v>78</v>
      </c>
      <c r="F144" s="2" t="s">
        <v>99</v>
      </c>
      <c r="G144" s="2" t="s">
        <v>3359</v>
      </c>
      <c r="H144" s="34" t="s">
        <v>822</v>
      </c>
      <c r="I144" s="2" t="s">
        <v>24</v>
      </c>
      <c r="J144" s="2" t="s">
        <v>24</v>
      </c>
      <c r="K144" s="2" t="s">
        <v>22</v>
      </c>
      <c r="L144" s="2" t="s">
        <v>22</v>
      </c>
    </row>
    <row r="145" customFormat="false" ht="15" hidden="false" customHeight="false" outlineLevel="0" collapsed="false">
      <c r="A145" s="2" t="s">
        <v>582</v>
      </c>
      <c r="B145" s="13" t="s">
        <v>581</v>
      </c>
      <c r="C145" s="13" t="s">
        <v>82</v>
      </c>
      <c r="D145" s="13" t="s">
        <v>3512</v>
      </c>
      <c r="E145" s="13" t="s">
        <v>105</v>
      </c>
      <c r="F145" s="2" t="s">
        <v>99</v>
      </c>
      <c r="G145" s="2" t="s">
        <v>3359</v>
      </c>
      <c r="H145" s="34" t="s">
        <v>822</v>
      </c>
      <c r="I145" s="2" t="s">
        <v>24</v>
      </c>
      <c r="J145" s="2" t="s">
        <v>24</v>
      </c>
      <c r="K145" s="2" t="s">
        <v>24</v>
      </c>
      <c r="L145" s="2" t="s">
        <v>24</v>
      </c>
    </row>
    <row r="146" customFormat="false" ht="15" hidden="false" customHeight="false" outlineLevel="0" collapsed="false">
      <c r="A146" s="2" t="s">
        <v>1057</v>
      </c>
      <c r="B146" s="13" t="s">
        <v>1056</v>
      </c>
      <c r="C146" s="13" t="s">
        <v>82</v>
      </c>
      <c r="D146" s="13" t="s">
        <v>3513</v>
      </c>
      <c r="E146" s="13" t="s">
        <v>124</v>
      </c>
      <c r="F146" s="2" t="s">
        <v>149</v>
      </c>
      <c r="G146" s="2" t="s">
        <v>3361</v>
      </c>
      <c r="H146" s="39" t="s">
        <v>832</v>
      </c>
      <c r="I146" s="2" t="s">
        <v>24</v>
      </c>
      <c r="J146" s="2" t="s">
        <v>24</v>
      </c>
      <c r="K146" s="2" t="s">
        <v>24</v>
      </c>
      <c r="L146" s="2" t="s">
        <v>24</v>
      </c>
    </row>
    <row r="147" customFormat="false" ht="15" hidden="false" customHeight="false" outlineLevel="0" collapsed="false">
      <c r="A147" s="2" t="s">
        <v>1926</v>
      </c>
      <c r="B147" s="13" t="s">
        <v>1925</v>
      </c>
      <c r="C147" s="13" t="s">
        <v>86</v>
      </c>
      <c r="D147" s="13" t="s">
        <v>3514</v>
      </c>
      <c r="E147" s="13" t="s">
        <v>127</v>
      </c>
      <c r="F147" s="2" t="s">
        <v>99</v>
      </c>
      <c r="G147" s="2" t="s">
        <v>3369</v>
      </c>
      <c r="H147" s="39" t="s">
        <v>832</v>
      </c>
      <c r="I147" s="2" t="s">
        <v>24</v>
      </c>
      <c r="J147" s="2" t="s">
        <v>24</v>
      </c>
      <c r="K147" s="2" t="s">
        <v>24</v>
      </c>
      <c r="L147" s="2" t="s">
        <v>24</v>
      </c>
    </row>
    <row r="148" customFormat="false" ht="15" hidden="false" customHeight="false" outlineLevel="0" collapsed="false">
      <c r="A148" s="2" t="s">
        <v>368</v>
      </c>
      <c r="B148" s="13" t="s">
        <v>367</v>
      </c>
      <c r="C148" s="13" t="s">
        <v>82</v>
      </c>
      <c r="D148" s="13" t="s">
        <v>3515</v>
      </c>
      <c r="E148" s="13" t="s">
        <v>127</v>
      </c>
      <c r="F148" s="2" t="s">
        <v>99</v>
      </c>
      <c r="G148" s="2" t="s">
        <v>3359</v>
      </c>
      <c r="H148" s="34" t="s">
        <v>822</v>
      </c>
      <c r="I148" s="2" t="s">
        <v>24</v>
      </c>
      <c r="J148" s="2" t="s">
        <v>24</v>
      </c>
      <c r="K148" s="2" t="s">
        <v>24</v>
      </c>
      <c r="L148" s="2" t="s">
        <v>24</v>
      </c>
    </row>
    <row r="149" customFormat="false" ht="15" hidden="false" customHeight="false" outlineLevel="0" collapsed="false">
      <c r="A149" s="2" t="s">
        <v>508</v>
      </c>
      <c r="B149" s="13" t="s">
        <v>507</v>
      </c>
      <c r="C149" s="13" t="s">
        <v>162</v>
      </c>
      <c r="D149" s="14" t="s">
        <v>3516</v>
      </c>
      <c r="E149" s="13" t="s">
        <v>127</v>
      </c>
      <c r="F149" s="2" t="s">
        <v>92</v>
      </c>
      <c r="G149" s="2" t="s">
        <v>3376</v>
      </c>
      <c r="H149" s="34" t="s">
        <v>822</v>
      </c>
      <c r="I149" s="2" t="s">
        <v>24</v>
      </c>
      <c r="J149" s="2" t="s">
        <v>24</v>
      </c>
      <c r="K149" s="2" t="s">
        <v>22</v>
      </c>
      <c r="L149" s="2" t="s">
        <v>24</v>
      </c>
    </row>
    <row r="150" customFormat="false" ht="15" hidden="false" customHeight="false" outlineLevel="0" collapsed="false">
      <c r="A150" s="2" t="s">
        <v>532</v>
      </c>
      <c r="B150" s="14" t="s">
        <v>531</v>
      </c>
      <c r="C150" s="14" t="s">
        <v>95</v>
      </c>
      <c r="D150" s="14" t="s">
        <v>3517</v>
      </c>
      <c r="E150" s="14" t="s">
        <v>120</v>
      </c>
      <c r="F150" s="2" t="s">
        <v>47</v>
      </c>
      <c r="G150" s="2" t="s">
        <v>3364</v>
      </c>
      <c r="H150" s="34" t="s">
        <v>822</v>
      </c>
      <c r="I150" s="2" t="s">
        <v>22</v>
      </c>
      <c r="J150" s="2" t="s">
        <v>22</v>
      </c>
      <c r="K150" s="2" t="s">
        <v>22</v>
      </c>
      <c r="L150" s="2" t="s">
        <v>22</v>
      </c>
    </row>
    <row r="151" customFormat="false" ht="15" hidden="false" customHeight="false" outlineLevel="0" collapsed="false">
      <c r="A151" s="2" t="s">
        <v>644</v>
      </c>
      <c r="B151" s="13" t="s">
        <v>643</v>
      </c>
      <c r="C151" s="13" t="s">
        <v>86</v>
      </c>
      <c r="D151" s="13" t="s">
        <v>3518</v>
      </c>
      <c r="E151" s="13" t="s">
        <v>102</v>
      </c>
      <c r="F151" s="2" t="s">
        <v>99</v>
      </c>
      <c r="G151" s="2" t="s">
        <v>3359</v>
      </c>
      <c r="H151" s="34" t="s">
        <v>822</v>
      </c>
      <c r="I151" s="2" t="s">
        <v>24</v>
      </c>
      <c r="J151" s="2" t="s">
        <v>24</v>
      </c>
      <c r="K151" s="2" t="s">
        <v>24</v>
      </c>
      <c r="L151" s="2" t="s">
        <v>24</v>
      </c>
    </row>
    <row r="152" customFormat="false" ht="15" hidden="false" customHeight="false" outlineLevel="0" collapsed="false">
      <c r="A152" s="2" t="s">
        <v>980</v>
      </c>
      <c r="B152" s="13" t="s">
        <v>979</v>
      </c>
      <c r="C152" s="13" t="s">
        <v>123</v>
      </c>
      <c r="D152" s="13" t="s">
        <v>3519</v>
      </c>
      <c r="E152" s="13" t="s">
        <v>124</v>
      </c>
      <c r="F152" s="2" t="s">
        <v>99</v>
      </c>
      <c r="G152" s="2" t="s">
        <v>3355</v>
      </c>
      <c r="H152" s="39" t="s">
        <v>832</v>
      </c>
      <c r="I152" s="2" t="s">
        <v>24</v>
      </c>
      <c r="J152" s="2" t="s">
        <v>24</v>
      </c>
      <c r="K152" s="2" t="s">
        <v>24</v>
      </c>
      <c r="L152" s="2" t="s">
        <v>24</v>
      </c>
    </row>
    <row r="153" customFormat="false" ht="15" hidden="false" customHeight="false" outlineLevel="0" collapsed="false">
      <c r="A153" s="2" t="s">
        <v>2360</v>
      </c>
      <c r="B153" s="13" t="s">
        <v>2359</v>
      </c>
      <c r="C153" s="13" t="s">
        <v>115</v>
      </c>
      <c r="D153" s="13" t="s">
        <v>3520</v>
      </c>
      <c r="E153" s="13" t="s">
        <v>87</v>
      </c>
      <c r="F153" s="2" t="s">
        <v>99</v>
      </c>
      <c r="G153" s="2" t="s">
        <v>3369</v>
      </c>
      <c r="H153" s="39" t="s">
        <v>832</v>
      </c>
      <c r="I153" s="2" t="s">
        <v>24</v>
      </c>
      <c r="J153" s="2" t="s">
        <v>24</v>
      </c>
      <c r="K153" s="2" t="s">
        <v>24</v>
      </c>
      <c r="L153" s="2" t="s">
        <v>24</v>
      </c>
    </row>
    <row r="154" customFormat="false" ht="15" hidden="false" customHeight="false" outlineLevel="0" collapsed="false">
      <c r="A154" s="2" t="s">
        <v>494</v>
      </c>
      <c r="B154" s="13" t="s">
        <v>493</v>
      </c>
      <c r="C154" s="13" t="s">
        <v>77</v>
      </c>
      <c r="D154" s="13" t="s">
        <v>3521</v>
      </c>
      <c r="E154" s="16"/>
      <c r="F154" s="2" t="s">
        <v>45</v>
      </c>
      <c r="G154" s="2" t="s">
        <v>3364</v>
      </c>
      <c r="H154" s="34" t="s">
        <v>822</v>
      </c>
      <c r="I154" s="2" t="s">
        <v>24</v>
      </c>
      <c r="J154" s="2" t="s">
        <v>24</v>
      </c>
      <c r="K154" s="2" t="s">
        <v>24</v>
      </c>
      <c r="L154" s="2"/>
    </row>
    <row r="155" customFormat="false" ht="15" hidden="false" customHeight="false" outlineLevel="0" collapsed="false">
      <c r="A155" s="2" t="s">
        <v>630</v>
      </c>
      <c r="B155" s="14" t="s">
        <v>629</v>
      </c>
      <c r="C155" s="13" t="s">
        <v>77</v>
      </c>
      <c r="D155" s="13" t="s">
        <v>3522</v>
      </c>
      <c r="E155" s="13" t="s">
        <v>127</v>
      </c>
      <c r="F155" s="2" t="s">
        <v>92</v>
      </c>
      <c r="G155" s="2" t="s">
        <v>3376</v>
      </c>
      <c r="H155" s="34" t="s">
        <v>822</v>
      </c>
      <c r="I155" s="2" t="s">
        <v>22</v>
      </c>
      <c r="J155" s="2" t="s">
        <v>24</v>
      </c>
      <c r="K155" s="2" t="s">
        <v>24</v>
      </c>
      <c r="L155" s="2" t="s">
        <v>24</v>
      </c>
    </row>
    <row r="156" customFormat="false" ht="15" hidden="false" customHeight="false" outlineLevel="0" collapsed="false">
      <c r="A156" s="2" t="s">
        <v>907</v>
      </c>
      <c r="B156" s="13" t="s">
        <v>906</v>
      </c>
      <c r="C156" s="13" t="s">
        <v>123</v>
      </c>
      <c r="D156" s="13" t="s">
        <v>3523</v>
      </c>
      <c r="E156" s="13" t="s">
        <v>73</v>
      </c>
      <c r="F156" s="2" t="s">
        <v>99</v>
      </c>
      <c r="G156" s="2" t="s">
        <v>3355</v>
      </c>
      <c r="H156" s="39" t="s">
        <v>832</v>
      </c>
      <c r="I156" s="2" t="s">
        <v>24</v>
      </c>
      <c r="J156" s="2" t="s">
        <v>24</v>
      </c>
      <c r="K156" s="2" t="s">
        <v>24</v>
      </c>
      <c r="L156" s="2" t="s">
        <v>24</v>
      </c>
    </row>
    <row r="157" customFormat="false" ht="15" hidden="false" customHeight="false" outlineLevel="0" collapsed="false">
      <c r="A157" s="2" t="s">
        <v>760</v>
      </c>
      <c r="B157" s="13" t="s">
        <v>759</v>
      </c>
      <c r="C157" s="13" t="s">
        <v>77</v>
      </c>
      <c r="D157" s="13" t="s">
        <v>3524</v>
      </c>
      <c r="E157" s="13" t="s">
        <v>83</v>
      </c>
      <c r="F157" s="2" t="s">
        <v>99</v>
      </c>
      <c r="G157" s="2" t="s">
        <v>3359</v>
      </c>
      <c r="H157" s="34" t="s">
        <v>822</v>
      </c>
      <c r="I157" s="2" t="s">
        <v>24</v>
      </c>
      <c r="J157" s="2" t="s">
        <v>24</v>
      </c>
      <c r="K157" s="2" t="s">
        <v>24</v>
      </c>
      <c r="L157" s="2" t="s">
        <v>24</v>
      </c>
    </row>
    <row r="158" customFormat="false" ht="15" hidden="false" customHeight="false" outlineLevel="0" collapsed="false">
      <c r="A158" s="2" t="s">
        <v>1518</v>
      </c>
      <c r="B158" s="13" t="s">
        <v>1517</v>
      </c>
      <c r="C158" s="13" t="s">
        <v>77</v>
      </c>
      <c r="D158" s="13" t="s">
        <v>3525</v>
      </c>
      <c r="E158" s="13" t="s">
        <v>78</v>
      </c>
      <c r="F158" s="2" t="s">
        <v>99</v>
      </c>
      <c r="G158" s="2" t="s">
        <v>3369</v>
      </c>
      <c r="H158" s="39" t="s">
        <v>832</v>
      </c>
      <c r="I158" s="2" t="s">
        <v>24</v>
      </c>
      <c r="J158" s="2" t="s">
        <v>24</v>
      </c>
      <c r="K158" s="2" t="s">
        <v>24</v>
      </c>
      <c r="L158" s="2" t="s">
        <v>24</v>
      </c>
    </row>
    <row r="159" customFormat="false" ht="15" hidden="false" customHeight="false" outlineLevel="0" collapsed="false">
      <c r="A159" s="2" t="s">
        <v>572</v>
      </c>
      <c r="B159" s="13" t="s">
        <v>571</v>
      </c>
      <c r="C159" s="13" t="s">
        <v>115</v>
      </c>
      <c r="D159" s="13" t="s">
        <v>3526</v>
      </c>
      <c r="E159" s="14" t="s">
        <v>87</v>
      </c>
      <c r="F159" s="2" t="s">
        <v>99</v>
      </c>
      <c r="G159" s="2" t="s">
        <v>3359</v>
      </c>
      <c r="H159" s="34" t="s">
        <v>822</v>
      </c>
      <c r="I159" s="2" t="s">
        <v>24</v>
      </c>
      <c r="J159" s="2" t="s">
        <v>24</v>
      </c>
      <c r="K159" s="2" t="s">
        <v>24</v>
      </c>
      <c r="L159" s="2" t="s">
        <v>22</v>
      </c>
    </row>
    <row r="160" customFormat="false" ht="15" hidden="false" customHeight="false" outlineLevel="0" collapsed="false">
      <c r="A160" s="2" t="s">
        <v>1006</v>
      </c>
      <c r="B160" s="13" t="s">
        <v>1005</v>
      </c>
      <c r="C160" s="13" t="s">
        <v>72</v>
      </c>
      <c r="D160" s="13" t="s">
        <v>3527</v>
      </c>
      <c r="E160" s="13" t="s">
        <v>73</v>
      </c>
      <c r="F160" s="2" t="s">
        <v>99</v>
      </c>
      <c r="G160" s="2" t="s">
        <v>3355</v>
      </c>
      <c r="H160" s="39" t="s">
        <v>832</v>
      </c>
      <c r="I160" s="2" t="s">
        <v>24</v>
      </c>
      <c r="J160" s="2" t="s">
        <v>24</v>
      </c>
      <c r="K160" s="2" t="s">
        <v>24</v>
      </c>
      <c r="L160" s="2" t="s">
        <v>24</v>
      </c>
    </row>
    <row r="161" customFormat="false" ht="15" hidden="false" customHeight="false" outlineLevel="0" collapsed="false">
      <c r="A161" s="2" t="s">
        <v>704</v>
      </c>
      <c r="B161" s="13" t="s">
        <v>703</v>
      </c>
      <c r="C161" s="13" t="s">
        <v>72</v>
      </c>
      <c r="D161" s="13" t="s">
        <v>3528</v>
      </c>
      <c r="E161" s="13" t="s">
        <v>154</v>
      </c>
      <c r="F161" s="2" t="s">
        <v>47</v>
      </c>
      <c r="G161" s="2" t="s">
        <v>3364</v>
      </c>
      <c r="H161" s="34" t="s">
        <v>822</v>
      </c>
      <c r="I161" s="2" t="s">
        <v>24</v>
      </c>
      <c r="J161" s="2" t="s">
        <v>24</v>
      </c>
      <c r="K161" s="2" t="s">
        <v>24</v>
      </c>
      <c r="L161" s="2" t="s">
        <v>24</v>
      </c>
    </row>
    <row r="162" customFormat="false" ht="15" hidden="false" customHeight="false" outlineLevel="0" collapsed="false">
      <c r="A162" s="2" t="s">
        <v>922</v>
      </c>
      <c r="B162" s="13" t="s">
        <v>921</v>
      </c>
      <c r="C162" s="13" t="s">
        <v>72</v>
      </c>
      <c r="D162" s="13" t="s">
        <v>3529</v>
      </c>
      <c r="E162" s="13" t="s">
        <v>87</v>
      </c>
      <c r="F162" s="2" t="s">
        <v>99</v>
      </c>
      <c r="G162" s="2" t="s">
        <v>3355</v>
      </c>
      <c r="H162" s="39" t="s">
        <v>832</v>
      </c>
      <c r="I162" s="2" t="s">
        <v>24</v>
      </c>
      <c r="J162" s="2" t="s">
        <v>24</v>
      </c>
      <c r="K162" s="2" t="s">
        <v>24</v>
      </c>
      <c r="L162" s="2" t="s">
        <v>24</v>
      </c>
    </row>
    <row r="163" customFormat="false" ht="15" hidden="false" customHeight="false" outlineLevel="0" collapsed="false">
      <c r="A163" s="2" t="s">
        <v>1031</v>
      </c>
      <c r="B163" s="13" t="s">
        <v>1030</v>
      </c>
      <c r="C163" s="13" t="s">
        <v>95</v>
      </c>
      <c r="D163" s="13" t="s">
        <v>3530</v>
      </c>
      <c r="E163" s="13" t="s">
        <v>83</v>
      </c>
      <c r="F163" s="2" t="s">
        <v>99</v>
      </c>
      <c r="G163" s="2" t="s">
        <v>3355</v>
      </c>
      <c r="H163" s="39" t="s">
        <v>832</v>
      </c>
      <c r="I163" s="2" t="s">
        <v>24</v>
      </c>
      <c r="J163" s="2" t="s">
        <v>24</v>
      </c>
      <c r="K163" s="2" t="s">
        <v>24</v>
      </c>
      <c r="L163" s="2" t="s">
        <v>24</v>
      </c>
    </row>
    <row r="164" customFormat="false" ht="15" hidden="false" customHeight="false" outlineLevel="0" collapsed="false">
      <c r="A164" s="2" t="s">
        <v>1247</v>
      </c>
      <c r="B164" s="13" t="s">
        <v>1246</v>
      </c>
      <c r="C164" s="13" t="s">
        <v>72</v>
      </c>
      <c r="D164" s="14" t="s">
        <v>3531</v>
      </c>
      <c r="E164" s="13" t="s">
        <v>120</v>
      </c>
      <c r="F164" s="2" t="s">
        <v>99</v>
      </c>
      <c r="G164" s="2" t="s">
        <v>3355</v>
      </c>
      <c r="H164" s="39" t="s">
        <v>832</v>
      </c>
      <c r="I164" s="2" t="s">
        <v>24</v>
      </c>
      <c r="J164" s="2" t="s">
        <v>24</v>
      </c>
      <c r="K164" s="2" t="s">
        <v>22</v>
      </c>
      <c r="L164" s="2" t="s">
        <v>24</v>
      </c>
    </row>
    <row r="165" customFormat="false" ht="15" hidden="false" customHeight="false" outlineLevel="0" collapsed="false">
      <c r="A165" s="2" t="s">
        <v>178</v>
      </c>
      <c r="B165" s="14" t="s">
        <v>177</v>
      </c>
      <c r="C165" s="14" t="s">
        <v>162</v>
      </c>
      <c r="D165" s="14" t="s">
        <v>3532</v>
      </c>
      <c r="E165" s="14" t="s">
        <v>127</v>
      </c>
      <c r="F165" s="2" t="s">
        <v>47</v>
      </c>
      <c r="G165" s="2" t="s">
        <v>3364</v>
      </c>
      <c r="H165" s="34" t="s">
        <v>822</v>
      </c>
      <c r="I165" s="2" t="s">
        <v>22</v>
      </c>
      <c r="J165" s="2" t="s">
        <v>22</v>
      </c>
      <c r="K165" s="2" t="s">
        <v>22</v>
      </c>
      <c r="L165" s="2" t="s">
        <v>22</v>
      </c>
    </row>
    <row r="166" customFormat="false" ht="15" hidden="false" customHeight="false" outlineLevel="0" collapsed="false">
      <c r="A166" s="2" t="s">
        <v>1905</v>
      </c>
      <c r="B166" s="13" t="s">
        <v>1904</v>
      </c>
      <c r="C166" s="13" t="s">
        <v>86</v>
      </c>
      <c r="D166" s="13" t="s">
        <v>3533</v>
      </c>
      <c r="E166" s="13" t="s">
        <v>73</v>
      </c>
      <c r="F166" s="2" t="s">
        <v>99</v>
      </c>
      <c r="G166" s="2" t="s">
        <v>3355</v>
      </c>
      <c r="H166" s="39" t="s">
        <v>832</v>
      </c>
      <c r="I166" s="2" t="s">
        <v>24</v>
      </c>
      <c r="J166" s="2" t="s">
        <v>24</v>
      </c>
      <c r="K166" s="2" t="s">
        <v>24</v>
      </c>
      <c r="L166" s="2" t="s">
        <v>24</v>
      </c>
    </row>
    <row r="167" customFormat="false" ht="15" hidden="false" customHeight="false" outlineLevel="0" collapsed="false">
      <c r="A167" s="2" t="s">
        <v>524</v>
      </c>
      <c r="B167" s="13" t="s">
        <v>523</v>
      </c>
      <c r="C167" s="14" t="s">
        <v>162</v>
      </c>
      <c r="D167" s="14" t="s">
        <v>3534</v>
      </c>
      <c r="E167" s="13" t="s">
        <v>154</v>
      </c>
      <c r="F167" s="2" t="s">
        <v>99</v>
      </c>
      <c r="G167" s="2" t="s">
        <v>3359</v>
      </c>
      <c r="H167" s="34" t="s">
        <v>822</v>
      </c>
      <c r="I167" s="2" t="s">
        <v>24</v>
      </c>
      <c r="J167" s="2" t="s">
        <v>22</v>
      </c>
      <c r="K167" s="2" t="s">
        <v>22</v>
      </c>
      <c r="L167" s="2" t="s">
        <v>24</v>
      </c>
    </row>
    <row r="168" customFormat="false" ht="15" hidden="false" customHeight="false" outlineLevel="0" collapsed="false">
      <c r="A168" s="2" t="s">
        <v>628</v>
      </c>
      <c r="B168" s="13" t="s">
        <v>627</v>
      </c>
      <c r="C168" s="13" t="s">
        <v>162</v>
      </c>
      <c r="D168" s="13" t="s">
        <v>3535</v>
      </c>
      <c r="E168" s="14" t="s">
        <v>83</v>
      </c>
      <c r="F168" s="2" t="s">
        <v>92</v>
      </c>
      <c r="G168" s="2" t="s">
        <v>3376</v>
      </c>
      <c r="H168" s="34" t="s">
        <v>822</v>
      </c>
      <c r="I168" s="2" t="s">
        <v>24</v>
      </c>
      <c r="J168" s="2" t="s">
        <v>24</v>
      </c>
      <c r="K168" s="2" t="s">
        <v>24</v>
      </c>
      <c r="L168" s="2" t="s">
        <v>22</v>
      </c>
    </row>
    <row r="169" customFormat="false" ht="15" hidden="false" customHeight="false" outlineLevel="0" collapsed="false">
      <c r="A169" s="2" t="s">
        <v>1082</v>
      </c>
      <c r="B169" s="13" t="s">
        <v>1081</v>
      </c>
      <c r="C169" s="13" t="s">
        <v>86</v>
      </c>
      <c r="D169" s="13" t="s">
        <v>3536</v>
      </c>
      <c r="E169" s="13" t="s">
        <v>73</v>
      </c>
      <c r="F169" s="2" t="s">
        <v>99</v>
      </c>
      <c r="G169" s="2" t="s">
        <v>3369</v>
      </c>
      <c r="H169" s="39" t="s">
        <v>832</v>
      </c>
      <c r="I169" s="2" t="s">
        <v>24</v>
      </c>
      <c r="J169" s="2" t="s">
        <v>24</v>
      </c>
      <c r="K169" s="2" t="s">
        <v>24</v>
      </c>
      <c r="L169" s="2" t="s">
        <v>24</v>
      </c>
    </row>
    <row r="170" customFormat="false" ht="15" hidden="false" customHeight="false" outlineLevel="0" collapsed="false">
      <c r="A170" s="2" t="s">
        <v>1420</v>
      </c>
      <c r="B170" s="13" t="s">
        <v>1419</v>
      </c>
      <c r="C170" s="13" t="s">
        <v>98</v>
      </c>
      <c r="D170" s="13" t="s">
        <v>3537</v>
      </c>
      <c r="E170" s="13" t="s">
        <v>124</v>
      </c>
      <c r="F170" s="2" t="s">
        <v>99</v>
      </c>
      <c r="G170" s="2" t="s">
        <v>3355</v>
      </c>
      <c r="H170" s="39" t="s">
        <v>832</v>
      </c>
      <c r="I170" s="2" t="s">
        <v>24</v>
      </c>
      <c r="J170" s="2" t="s">
        <v>24</v>
      </c>
      <c r="K170" s="2" t="s">
        <v>24</v>
      </c>
      <c r="L170" s="2" t="s">
        <v>24</v>
      </c>
    </row>
    <row r="171" customFormat="false" ht="15" hidden="false" customHeight="false" outlineLevel="0" collapsed="false">
      <c r="A171" s="2" t="s">
        <v>1288</v>
      </c>
      <c r="B171" s="13" t="s">
        <v>1287</v>
      </c>
      <c r="C171" s="13" t="s">
        <v>98</v>
      </c>
      <c r="D171" s="14" t="s">
        <v>3538</v>
      </c>
      <c r="E171" s="13" t="s">
        <v>127</v>
      </c>
      <c r="F171" s="2" t="s">
        <v>99</v>
      </c>
      <c r="G171" s="2" t="s">
        <v>3355</v>
      </c>
      <c r="H171" s="39" t="s">
        <v>832</v>
      </c>
      <c r="I171" s="2" t="s">
        <v>24</v>
      </c>
      <c r="J171" s="2" t="s">
        <v>24</v>
      </c>
      <c r="K171" s="2" t="s">
        <v>22</v>
      </c>
      <c r="L171" s="2" t="s">
        <v>24</v>
      </c>
    </row>
    <row r="172" customFormat="false" ht="15" hidden="false" customHeight="false" outlineLevel="0" collapsed="false">
      <c r="A172" s="2" t="s">
        <v>926</v>
      </c>
      <c r="B172" s="13" t="s">
        <v>925</v>
      </c>
      <c r="C172" s="13" t="s">
        <v>72</v>
      </c>
      <c r="D172" s="13" t="s">
        <v>3539</v>
      </c>
      <c r="E172" s="13" t="s">
        <v>124</v>
      </c>
      <c r="F172" s="2" t="s">
        <v>99</v>
      </c>
      <c r="G172" s="2" t="s">
        <v>3355</v>
      </c>
      <c r="H172" s="39" t="s">
        <v>832</v>
      </c>
      <c r="I172" s="2" t="s">
        <v>24</v>
      </c>
      <c r="J172" s="2" t="s">
        <v>24</v>
      </c>
      <c r="K172" s="2" t="s">
        <v>24</v>
      </c>
      <c r="L172" s="2" t="s">
        <v>24</v>
      </c>
    </row>
    <row r="173" customFormat="false" ht="15" hidden="false" customHeight="false" outlineLevel="0" collapsed="false">
      <c r="A173" s="2" t="s">
        <v>384</v>
      </c>
      <c r="B173" s="13" t="s">
        <v>383</v>
      </c>
      <c r="C173" s="13" t="s">
        <v>95</v>
      </c>
      <c r="D173" s="13" t="s">
        <v>3540</v>
      </c>
      <c r="E173" s="13" t="s">
        <v>83</v>
      </c>
      <c r="F173" s="2" t="s">
        <v>99</v>
      </c>
      <c r="G173" s="2" t="s">
        <v>3359</v>
      </c>
      <c r="H173" s="34" t="s">
        <v>822</v>
      </c>
      <c r="I173" s="2" t="s">
        <v>24</v>
      </c>
      <c r="J173" s="2" t="s">
        <v>24</v>
      </c>
      <c r="K173" s="2" t="s">
        <v>24</v>
      </c>
      <c r="L173" s="2" t="s">
        <v>24</v>
      </c>
    </row>
    <row r="174" customFormat="false" ht="15" hidden="false" customHeight="false" outlineLevel="0" collapsed="false">
      <c r="A174" s="2" t="s">
        <v>1371</v>
      </c>
      <c r="B174" s="13" t="s">
        <v>1370</v>
      </c>
      <c r="C174" s="13" t="s">
        <v>98</v>
      </c>
      <c r="D174" s="13" t="s">
        <v>3541</v>
      </c>
      <c r="E174" s="13" t="s">
        <v>105</v>
      </c>
      <c r="F174" s="2" t="s">
        <v>99</v>
      </c>
      <c r="G174" s="2" t="s">
        <v>3355</v>
      </c>
      <c r="H174" s="39" t="s">
        <v>832</v>
      </c>
      <c r="I174" s="2" t="s">
        <v>24</v>
      </c>
      <c r="J174" s="2" t="s">
        <v>24</v>
      </c>
      <c r="K174" s="2" t="s">
        <v>24</v>
      </c>
      <c r="L174" s="2" t="s">
        <v>24</v>
      </c>
    </row>
    <row r="175" customFormat="false" ht="15" hidden="false" customHeight="false" outlineLevel="0" collapsed="false">
      <c r="A175" s="2" t="s">
        <v>1935</v>
      </c>
      <c r="B175" s="13" t="s">
        <v>1934</v>
      </c>
      <c r="C175" s="13" t="s">
        <v>72</v>
      </c>
      <c r="D175" s="13" t="s">
        <v>3542</v>
      </c>
      <c r="E175" s="13" t="s">
        <v>124</v>
      </c>
      <c r="F175" s="2" t="s">
        <v>149</v>
      </c>
      <c r="G175" s="2" t="s">
        <v>3361</v>
      </c>
      <c r="H175" s="39" t="s">
        <v>832</v>
      </c>
      <c r="I175" s="2" t="s">
        <v>24</v>
      </c>
      <c r="J175" s="2" t="s">
        <v>24</v>
      </c>
      <c r="K175" s="2" t="s">
        <v>24</v>
      </c>
      <c r="L175" s="2" t="s">
        <v>24</v>
      </c>
    </row>
    <row r="176" customFormat="false" ht="15" hidden="false" customHeight="false" outlineLevel="0" collapsed="false">
      <c r="A176" s="2" t="s">
        <v>2992</v>
      </c>
      <c r="B176" s="13" t="s">
        <v>3543</v>
      </c>
      <c r="C176" s="13" t="s">
        <v>77</v>
      </c>
      <c r="D176" s="13" t="s">
        <v>3544</v>
      </c>
      <c r="E176" s="13" t="s">
        <v>120</v>
      </c>
      <c r="F176" s="2" t="s">
        <v>92</v>
      </c>
      <c r="G176" s="2" t="s">
        <v>3385</v>
      </c>
      <c r="H176" s="39" t="s">
        <v>832</v>
      </c>
      <c r="I176" s="2" t="s">
        <v>24</v>
      </c>
      <c r="J176" s="2" t="s">
        <v>24</v>
      </c>
      <c r="K176" s="2" t="s">
        <v>24</v>
      </c>
      <c r="L176" s="2" t="s">
        <v>24</v>
      </c>
    </row>
    <row r="177" customFormat="false" ht="15" hidden="false" customHeight="false" outlineLevel="0" collapsed="false">
      <c r="A177" s="2" t="s">
        <v>138</v>
      </c>
      <c r="B177" s="13" t="s">
        <v>137</v>
      </c>
      <c r="C177" s="13" t="s">
        <v>82</v>
      </c>
      <c r="D177" s="13" t="s">
        <v>3545</v>
      </c>
      <c r="E177" s="13" t="s">
        <v>87</v>
      </c>
      <c r="F177" s="2" t="s">
        <v>106</v>
      </c>
      <c r="G177" s="2" t="s">
        <v>3376</v>
      </c>
      <c r="H177" s="34" t="s">
        <v>822</v>
      </c>
      <c r="I177" s="2" t="s">
        <v>24</v>
      </c>
      <c r="J177" s="2" t="s">
        <v>24</v>
      </c>
      <c r="K177" s="2" t="s">
        <v>24</v>
      </c>
      <c r="L177" s="2" t="s">
        <v>24</v>
      </c>
    </row>
    <row r="178" customFormat="false" ht="15" hidden="false" customHeight="false" outlineLevel="0" collapsed="false">
      <c r="A178" s="2" t="s">
        <v>580</v>
      </c>
      <c r="B178" s="13" t="s">
        <v>579</v>
      </c>
      <c r="C178" s="13" t="s">
        <v>162</v>
      </c>
      <c r="D178" s="13" t="s">
        <v>3546</v>
      </c>
      <c r="E178" s="13" t="s">
        <v>120</v>
      </c>
      <c r="F178" s="2" t="s">
        <v>46</v>
      </c>
      <c r="G178" s="2" t="s">
        <v>3364</v>
      </c>
      <c r="H178" s="34" t="s">
        <v>822</v>
      </c>
      <c r="I178" s="2" t="s">
        <v>24</v>
      </c>
      <c r="J178" s="2" t="s">
        <v>24</v>
      </c>
      <c r="K178" s="2" t="s">
        <v>24</v>
      </c>
      <c r="L178" s="2" t="s">
        <v>24</v>
      </c>
    </row>
    <row r="179" customFormat="false" ht="15" hidden="false" customHeight="false" outlineLevel="0" collapsed="false">
      <c r="A179" s="2" t="s">
        <v>2543</v>
      </c>
      <c r="B179" s="13" t="s">
        <v>2542</v>
      </c>
      <c r="C179" s="13" t="s">
        <v>91</v>
      </c>
      <c r="D179" s="13" t="s">
        <v>3547</v>
      </c>
      <c r="E179" s="13" t="s">
        <v>124</v>
      </c>
      <c r="F179" s="2" t="s">
        <v>99</v>
      </c>
      <c r="G179" s="2" t="s">
        <v>3369</v>
      </c>
      <c r="H179" s="39" t="s">
        <v>832</v>
      </c>
      <c r="I179" s="2" t="s">
        <v>24</v>
      </c>
      <c r="J179" s="2" t="s">
        <v>24</v>
      </c>
      <c r="K179" s="2" t="s">
        <v>24</v>
      </c>
      <c r="L179" s="2" t="s">
        <v>24</v>
      </c>
    </row>
    <row r="180" customFormat="false" ht="15" hidden="false" customHeight="false" outlineLevel="0" collapsed="false">
      <c r="A180" s="2" t="s">
        <v>2201</v>
      </c>
      <c r="B180" s="13" t="s">
        <v>2200</v>
      </c>
      <c r="C180" s="13" t="s">
        <v>77</v>
      </c>
      <c r="D180" s="13" t="s">
        <v>3548</v>
      </c>
      <c r="E180" s="13" t="s">
        <v>105</v>
      </c>
      <c r="F180" s="2" t="s">
        <v>99</v>
      </c>
      <c r="G180" s="2" t="s">
        <v>3355</v>
      </c>
      <c r="H180" s="39" t="s">
        <v>832</v>
      </c>
      <c r="I180" s="2" t="s">
        <v>24</v>
      </c>
      <c r="J180" s="2" t="s">
        <v>24</v>
      </c>
      <c r="K180" s="2" t="s">
        <v>24</v>
      </c>
      <c r="L180" s="2" t="s">
        <v>24</v>
      </c>
    </row>
    <row r="181" customFormat="false" ht="15" hidden="false" customHeight="false" outlineLevel="0" collapsed="false">
      <c r="A181" s="2" t="s">
        <v>2246</v>
      </c>
      <c r="B181" s="15" t="s">
        <v>2245</v>
      </c>
      <c r="C181" s="16"/>
      <c r="D181" s="15" t="s">
        <v>3549</v>
      </c>
      <c r="E181" s="15" t="s">
        <v>78</v>
      </c>
      <c r="F181" s="2" t="s">
        <v>47</v>
      </c>
      <c r="G181" s="2" t="s">
        <v>3364</v>
      </c>
      <c r="H181" s="39" t="s">
        <v>832</v>
      </c>
      <c r="I181" s="2" t="s">
        <v>19</v>
      </c>
      <c r="J181" s="2"/>
      <c r="K181" s="2" t="s">
        <v>19</v>
      </c>
      <c r="L181" s="2" t="s">
        <v>19</v>
      </c>
    </row>
    <row r="182" customFormat="false" ht="15" hidden="false" customHeight="false" outlineLevel="0" collapsed="false">
      <c r="A182" s="2" t="s">
        <v>404</v>
      </c>
      <c r="B182" s="13" t="s">
        <v>403</v>
      </c>
      <c r="C182" s="13" t="s">
        <v>86</v>
      </c>
      <c r="D182" s="13" t="s">
        <v>3550</v>
      </c>
      <c r="E182" s="13" t="s">
        <v>83</v>
      </c>
      <c r="F182" s="2" t="s">
        <v>106</v>
      </c>
      <c r="G182" s="2" t="s">
        <v>3376</v>
      </c>
      <c r="H182" s="34" t="s">
        <v>822</v>
      </c>
      <c r="I182" s="2" t="s">
        <v>24</v>
      </c>
      <c r="J182" s="2" t="s">
        <v>24</v>
      </c>
      <c r="K182" s="2" t="s">
        <v>24</v>
      </c>
      <c r="L182" s="2" t="s">
        <v>24</v>
      </c>
    </row>
    <row r="183" customFormat="false" ht="15" hidden="false" customHeight="false" outlineLevel="0" collapsed="false">
      <c r="A183" s="2" t="s">
        <v>1908</v>
      </c>
      <c r="B183" s="13" t="s">
        <v>1907</v>
      </c>
      <c r="C183" s="13" t="s">
        <v>162</v>
      </c>
      <c r="D183" s="13" t="s">
        <v>3551</v>
      </c>
      <c r="E183" s="14" t="s">
        <v>154</v>
      </c>
      <c r="F183" s="2" t="s">
        <v>99</v>
      </c>
      <c r="G183" s="2" t="s">
        <v>3355</v>
      </c>
      <c r="H183" s="39" t="s">
        <v>832</v>
      </c>
      <c r="I183" s="2" t="s">
        <v>24</v>
      </c>
      <c r="J183" s="2" t="s">
        <v>24</v>
      </c>
      <c r="K183" s="2" t="s">
        <v>24</v>
      </c>
      <c r="L183" s="2" t="s">
        <v>22</v>
      </c>
    </row>
    <row r="184" customFormat="false" ht="15" hidden="false" customHeight="false" outlineLevel="0" collapsed="false">
      <c r="A184" s="2" t="s">
        <v>2525</v>
      </c>
      <c r="B184" s="13" t="s">
        <v>2524</v>
      </c>
      <c r="C184" s="13" t="s">
        <v>98</v>
      </c>
      <c r="D184" s="13" t="s">
        <v>3552</v>
      </c>
      <c r="E184" s="13" t="s">
        <v>120</v>
      </c>
      <c r="F184" s="2" t="s">
        <v>99</v>
      </c>
      <c r="G184" s="2" t="s">
        <v>3369</v>
      </c>
      <c r="H184" s="39" t="s">
        <v>832</v>
      </c>
      <c r="I184" s="2" t="s">
        <v>24</v>
      </c>
      <c r="J184" s="2" t="s">
        <v>24</v>
      </c>
      <c r="K184" s="2" t="s">
        <v>24</v>
      </c>
      <c r="L184" s="2" t="s">
        <v>24</v>
      </c>
    </row>
    <row r="185" customFormat="false" ht="15" hidden="false" customHeight="false" outlineLevel="0" collapsed="false">
      <c r="A185" s="2" t="s">
        <v>2519</v>
      </c>
      <c r="B185" s="14" t="s">
        <v>2518</v>
      </c>
      <c r="C185" s="14" t="s">
        <v>77</v>
      </c>
      <c r="D185" s="14" t="s">
        <v>3553</v>
      </c>
      <c r="E185" s="14" t="s">
        <v>102</v>
      </c>
      <c r="F185" s="2" t="s">
        <v>92</v>
      </c>
      <c r="G185" s="2" t="s">
        <v>3361</v>
      </c>
      <c r="H185" s="39" t="s">
        <v>832</v>
      </c>
      <c r="I185" s="2" t="s">
        <v>22</v>
      </c>
      <c r="J185" s="2" t="s">
        <v>22</v>
      </c>
      <c r="K185" s="2" t="s">
        <v>22</v>
      </c>
      <c r="L185" s="2" t="s">
        <v>22</v>
      </c>
    </row>
    <row r="186" customFormat="false" ht="15" hidden="false" customHeight="false" outlineLevel="0" collapsed="false">
      <c r="A186" s="2" t="s">
        <v>1493</v>
      </c>
      <c r="B186" s="13" t="s">
        <v>1492</v>
      </c>
      <c r="C186" s="13" t="s">
        <v>98</v>
      </c>
      <c r="D186" s="14" t="s">
        <v>3554</v>
      </c>
      <c r="E186" s="13" t="s">
        <v>105</v>
      </c>
      <c r="F186" s="2" t="s">
        <v>149</v>
      </c>
      <c r="G186" s="2" t="s">
        <v>3361</v>
      </c>
      <c r="H186" s="39" t="s">
        <v>832</v>
      </c>
      <c r="I186" s="2" t="s">
        <v>24</v>
      </c>
      <c r="J186" s="2" t="s">
        <v>24</v>
      </c>
      <c r="K186" s="2" t="s">
        <v>22</v>
      </c>
      <c r="L186" s="2" t="s">
        <v>24</v>
      </c>
    </row>
    <row r="187" customFormat="false" ht="15" hidden="false" customHeight="false" outlineLevel="0" collapsed="false">
      <c r="A187" s="2" t="s">
        <v>450</v>
      </c>
      <c r="B187" s="13" t="s">
        <v>449</v>
      </c>
      <c r="C187" s="13" t="s">
        <v>98</v>
      </c>
      <c r="D187" s="13" t="s">
        <v>3555</v>
      </c>
      <c r="E187" s="13" t="s">
        <v>87</v>
      </c>
      <c r="F187" s="2" t="s">
        <v>99</v>
      </c>
      <c r="G187" s="2" t="s">
        <v>3359</v>
      </c>
      <c r="H187" s="34" t="s">
        <v>822</v>
      </c>
      <c r="I187" s="2" t="s">
        <v>24</v>
      </c>
      <c r="J187" s="2" t="s">
        <v>24</v>
      </c>
      <c r="K187" s="2" t="s">
        <v>24</v>
      </c>
      <c r="L187" s="2" t="s">
        <v>24</v>
      </c>
    </row>
    <row r="188" customFormat="false" ht="15" hidden="false" customHeight="false" outlineLevel="0" collapsed="false">
      <c r="A188" s="2" t="s">
        <v>238</v>
      </c>
      <c r="B188" s="13" t="s">
        <v>237</v>
      </c>
      <c r="C188" s="13" t="s">
        <v>72</v>
      </c>
      <c r="D188" s="14" t="s">
        <v>3556</v>
      </c>
      <c r="E188" s="13" t="s">
        <v>78</v>
      </c>
      <c r="F188" s="2" t="s">
        <v>99</v>
      </c>
      <c r="G188" s="2" t="s">
        <v>3359</v>
      </c>
      <c r="H188" s="34" t="s">
        <v>822</v>
      </c>
      <c r="I188" s="2" t="s">
        <v>24</v>
      </c>
      <c r="J188" s="2" t="s">
        <v>24</v>
      </c>
      <c r="K188" s="2" t="s">
        <v>22</v>
      </c>
      <c r="L188" s="2" t="s">
        <v>24</v>
      </c>
    </row>
    <row r="189" customFormat="false" ht="15" hidden="false" customHeight="false" outlineLevel="0" collapsed="false">
      <c r="A189" s="2" t="s">
        <v>1515</v>
      </c>
      <c r="B189" s="13" t="s">
        <v>1514</v>
      </c>
      <c r="C189" s="13" t="s">
        <v>98</v>
      </c>
      <c r="D189" s="13" t="s">
        <v>3557</v>
      </c>
      <c r="E189" s="13" t="s">
        <v>124</v>
      </c>
      <c r="F189" s="2" t="s">
        <v>99</v>
      </c>
      <c r="G189" s="2" t="s">
        <v>3355</v>
      </c>
      <c r="H189" s="39" t="s">
        <v>832</v>
      </c>
      <c r="I189" s="2" t="s">
        <v>24</v>
      </c>
      <c r="J189" s="2" t="s">
        <v>24</v>
      </c>
      <c r="K189" s="2" t="s">
        <v>24</v>
      </c>
      <c r="L189" s="2" t="s">
        <v>24</v>
      </c>
    </row>
    <row r="190" customFormat="false" ht="15" hidden="false" customHeight="false" outlineLevel="0" collapsed="false">
      <c r="A190" s="2" t="s">
        <v>264</v>
      </c>
      <c r="B190" s="13" t="s">
        <v>263</v>
      </c>
      <c r="C190" s="13" t="s">
        <v>72</v>
      </c>
      <c r="D190" s="13" t="s">
        <v>3558</v>
      </c>
      <c r="E190" s="13" t="s">
        <v>83</v>
      </c>
      <c r="F190" s="2" t="s">
        <v>45</v>
      </c>
      <c r="G190" s="2" t="s">
        <v>3364</v>
      </c>
      <c r="H190" s="34" t="s">
        <v>822</v>
      </c>
      <c r="I190" s="2" t="s">
        <v>24</v>
      </c>
      <c r="J190" s="2" t="s">
        <v>24</v>
      </c>
      <c r="K190" s="2" t="s">
        <v>24</v>
      </c>
      <c r="L190" s="2" t="s">
        <v>24</v>
      </c>
    </row>
    <row r="191" customFormat="false" ht="15" hidden="false" customHeight="false" outlineLevel="0" collapsed="false">
      <c r="A191" s="2" t="s">
        <v>354</v>
      </c>
      <c r="B191" s="13" t="s">
        <v>353</v>
      </c>
      <c r="C191" s="13" t="s">
        <v>72</v>
      </c>
      <c r="D191" s="13" t="s">
        <v>3559</v>
      </c>
      <c r="E191" s="13" t="s">
        <v>120</v>
      </c>
      <c r="F191" s="2" t="s">
        <v>46</v>
      </c>
      <c r="G191" s="2" t="s">
        <v>3364</v>
      </c>
      <c r="H191" s="34" t="s">
        <v>822</v>
      </c>
      <c r="I191" s="2" t="s">
        <v>24</v>
      </c>
      <c r="J191" s="2" t="s">
        <v>24</v>
      </c>
      <c r="K191" s="2" t="s">
        <v>24</v>
      </c>
      <c r="L191" s="2" t="s">
        <v>24</v>
      </c>
    </row>
    <row r="192" customFormat="false" ht="15" hidden="false" customHeight="false" outlineLevel="0" collapsed="false">
      <c r="A192" s="2" t="s">
        <v>732</v>
      </c>
      <c r="B192" s="13" t="s">
        <v>731</v>
      </c>
      <c r="C192" s="13" t="s">
        <v>86</v>
      </c>
      <c r="D192" s="13" t="s">
        <v>3560</v>
      </c>
      <c r="E192" s="14" t="s">
        <v>83</v>
      </c>
      <c r="F192" s="2" t="s">
        <v>106</v>
      </c>
      <c r="G192" s="2" t="s">
        <v>3376</v>
      </c>
      <c r="H192" s="34" t="s">
        <v>822</v>
      </c>
      <c r="I192" s="2" t="s">
        <v>24</v>
      </c>
      <c r="J192" s="2" t="s">
        <v>24</v>
      </c>
      <c r="K192" s="2" t="s">
        <v>24</v>
      </c>
      <c r="L192" s="2" t="s">
        <v>22</v>
      </c>
    </row>
    <row r="193" customFormat="false" ht="15" hidden="false" customHeight="false" outlineLevel="0" collapsed="false">
      <c r="A193" s="2" t="s">
        <v>2171</v>
      </c>
      <c r="B193" s="13" t="s">
        <v>2170</v>
      </c>
      <c r="C193" s="13" t="s">
        <v>162</v>
      </c>
      <c r="D193" s="13" t="s">
        <v>3561</v>
      </c>
      <c r="E193" s="13" t="s">
        <v>87</v>
      </c>
      <c r="F193" s="2" t="s">
        <v>99</v>
      </c>
      <c r="G193" s="2" t="s">
        <v>3369</v>
      </c>
      <c r="H193" s="39" t="s">
        <v>832</v>
      </c>
      <c r="I193" s="2" t="s">
        <v>24</v>
      </c>
      <c r="J193" s="2" t="s">
        <v>24</v>
      </c>
      <c r="K193" s="2" t="s">
        <v>24</v>
      </c>
      <c r="L193" s="2" t="s">
        <v>24</v>
      </c>
    </row>
    <row r="194" customFormat="false" ht="15" hidden="false" customHeight="false" outlineLevel="0" collapsed="false">
      <c r="A194" s="2" t="s">
        <v>2999</v>
      </c>
      <c r="B194" s="13" t="s">
        <v>3562</v>
      </c>
      <c r="C194" s="13" t="s">
        <v>98</v>
      </c>
      <c r="D194" s="13" t="s">
        <v>3563</v>
      </c>
      <c r="E194" s="13" t="s">
        <v>154</v>
      </c>
      <c r="F194" s="2" t="s">
        <v>45</v>
      </c>
      <c r="G194" s="2" t="s">
        <v>3395</v>
      </c>
      <c r="H194" s="39" t="s">
        <v>832</v>
      </c>
      <c r="I194" s="2" t="s">
        <v>24</v>
      </c>
      <c r="J194" s="2" t="s">
        <v>24</v>
      </c>
      <c r="K194" s="2" t="s">
        <v>24</v>
      </c>
      <c r="L194" s="2" t="s">
        <v>24</v>
      </c>
    </row>
    <row r="195" customFormat="false" ht="15" hidden="false" customHeight="false" outlineLevel="0" collapsed="false">
      <c r="A195" s="2" t="s">
        <v>734</v>
      </c>
      <c r="B195" s="13" t="s">
        <v>733</v>
      </c>
      <c r="C195" s="13" t="s">
        <v>95</v>
      </c>
      <c r="D195" s="14" t="s">
        <v>3564</v>
      </c>
      <c r="E195" s="13" t="s">
        <v>83</v>
      </c>
      <c r="F195" s="2" t="s">
        <v>46</v>
      </c>
      <c r="G195" s="2" t="s">
        <v>3364</v>
      </c>
      <c r="H195" s="34" t="s">
        <v>822</v>
      </c>
      <c r="I195" s="2" t="s">
        <v>24</v>
      </c>
      <c r="J195" s="2" t="s">
        <v>24</v>
      </c>
      <c r="K195" s="2" t="s">
        <v>22</v>
      </c>
      <c r="L195" s="2" t="s">
        <v>24</v>
      </c>
    </row>
    <row r="196" customFormat="false" ht="15" hidden="false" customHeight="false" outlineLevel="0" collapsed="false">
      <c r="A196" s="2" t="s">
        <v>1932</v>
      </c>
      <c r="B196" s="13" t="s">
        <v>1931</v>
      </c>
      <c r="C196" s="13" t="s">
        <v>98</v>
      </c>
      <c r="D196" s="15" t="s">
        <v>3565</v>
      </c>
      <c r="E196" s="13" t="s">
        <v>102</v>
      </c>
      <c r="F196" s="2" t="s">
        <v>149</v>
      </c>
      <c r="G196" s="2" t="s">
        <v>3361</v>
      </c>
      <c r="H196" s="39" t="s">
        <v>832</v>
      </c>
      <c r="I196" s="2" t="s">
        <v>24</v>
      </c>
      <c r="J196" s="2" t="s">
        <v>24</v>
      </c>
      <c r="K196" s="2" t="s">
        <v>19</v>
      </c>
      <c r="L196" s="2" t="s">
        <v>24</v>
      </c>
    </row>
    <row r="197" customFormat="false" ht="15" hidden="false" customHeight="false" outlineLevel="0" collapsed="false">
      <c r="A197" s="2" t="s">
        <v>180</v>
      </c>
      <c r="B197" s="13" t="s">
        <v>179</v>
      </c>
      <c r="C197" s="13" t="s">
        <v>98</v>
      </c>
      <c r="D197" s="13" t="s">
        <v>3566</v>
      </c>
      <c r="E197" s="13" t="s">
        <v>154</v>
      </c>
      <c r="F197" s="2" t="s">
        <v>92</v>
      </c>
      <c r="G197" s="2" t="s">
        <v>3376</v>
      </c>
      <c r="H197" s="34" t="s">
        <v>822</v>
      </c>
      <c r="I197" s="2" t="s">
        <v>24</v>
      </c>
      <c r="J197" s="2" t="s">
        <v>24</v>
      </c>
      <c r="K197" s="2" t="s">
        <v>24</v>
      </c>
      <c r="L197" s="2" t="s">
        <v>24</v>
      </c>
    </row>
    <row r="198" customFormat="false" ht="15" hidden="false" customHeight="false" outlineLevel="0" collapsed="false">
      <c r="A198" s="2" t="s">
        <v>706</v>
      </c>
      <c r="B198" s="13" t="s">
        <v>705</v>
      </c>
      <c r="C198" s="13" t="s">
        <v>86</v>
      </c>
      <c r="D198" s="14" t="s">
        <v>3567</v>
      </c>
      <c r="E198" s="13" t="s">
        <v>124</v>
      </c>
      <c r="F198" s="2" t="s">
        <v>47</v>
      </c>
      <c r="G198" s="2" t="s">
        <v>3364</v>
      </c>
      <c r="H198" s="34" t="s">
        <v>822</v>
      </c>
      <c r="I198" s="2" t="s">
        <v>24</v>
      </c>
      <c r="J198" s="2" t="s">
        <v>24</v>
      </c>
      <c r="K198" s="2" t="s">
        <v>22</v>
      </c>
      <c r="L198" s="2" t="s">
        <v>24</v>
      </c>
    </row>
    <row r="199" customFormat="false" ht="15" hidden="false" customHeight="false" outlineLevel="0" collapsed="false">
      <c r="A199" s="2" t="s">
        <v>772</v>
      </c>
      <c r="B199" s="14" t="s">
        <v>771</v>
      </c>
      <c r="C199" s="14" t="s">
        <v>98</v>
      </c>
      <c r="D199" s="16"/>
      <c r="E199" s="14" t="s">
        <v>73</v>
      </c>
      <c r="F199" s="2" t="s">
        <v>47</v>
      </c>
      <c r="G199" s="2" t="s">
        <v>3364</v>
      </c>
      <c r="H199" s="34" t="s">
        <v>822</v>
      </c>
      <c r="I199" s="2" t="s">
        <v>22</v>
      </c>
      <c r="J199" s="2" t="s">
        <v>22</v>
      </c>
      <c r="K199" s="2"/>
      <c r="L199" s="2" t="s">
        <v>22</v>
      </c>
    </row>
    <row r="200" customFormat="false" ht="15" hidden="false" customHeight="false" outlineLevel="0" collapsed="false">
      <c r="A200" s="2" t="s">
        <v>958</v>
      </c>
      <c r="B200" s="13" t="s">
        <v>957</v>
      </c>
      <c r="C200" s="13" t="s">
        <v>95</v>
      </c>
      <c r="D200" s="13" t="s">
        <v>3568</v>
      </c>
      <c r="E200" s="13" t="s">
        <v>87</v>
      </c>
      <c r="F200" s="2" t="s">
        <v>99</v>
      </c>
      <c r="G200" s="2" t="s">
        <v>3355</v>
      </c>
      <c r="H200" s="39" t="s">
        <v>832</v>
      </c>
      <c r="I200" s="2" t="s">
        <v>24</v>
      </c>
      <c r="J200" s="2" t="s">
        <v>24</v>
      </c>
      <c r="K200" s="2" t="s">
        <v>24</v>
      </c>
      <c r="L200" s="2" t="s">
        <v>24</v>
      </c>
    </row>
    <row r="201" customFormat="false" ht="15" hidden="false" customHeight="false" outlineLevel="0" collapsed="false">
      <c r="A201" s="2" t="s">
        <v>686</v>
      </c>
      <c r="B201" s="13" t="s">
        <v>685</v>
      </c>
      <c r="C201" s="13" t="s">
        <v>82</v>
      </c>
      <c r="D201" s="13" t="s">
        <v>3569</v>
      </c>
      <c r="E201" s="13" t="s">
        <v>154</v>
      </c>
      <c r="F201" s="2" t="s">
        <v>99</v>
      </c>
      <c r="G201" s="2" t="s">
        <v>3359</v>
      </c>
      <c r="H201" s="34" t="s">
        <v>822</v>
      </c>
      <c r="I201" s="2" t="s">
        <v>24</v>
      </c>
      <c r="J201" s="2" t="s">
        <v>24</v>
      </c>
      <c r="K201" s="2" t="s">
        <v>24</v>
      </c>
      <c r="L201" s="2" t="s">
        <v>24</v>
      </c>
    </row>
    <row r="202" customFormat="false" ht="15" hidden="false" customHeight="false" outlineLevel="0" collapsed="false">
      <c r="A202" s="2" t="s">
        <v>764</v>
      </c>
      <c r="B202" s="13" t="s">
        <v>763</v>
      </c>
      <c r="C202" s="13" t="s">
        <v>82</v>
      </c>
      <c r="D202" s="13" t="s">
        <v>3570</v>
      </c>
      <c r="E202" s="13" t="s">
        <v>78</v>
      </c>
      <c r="F202" s="2" t="s">
        <v>99</v>
      </c>
      <c r="G202" s="2" t="s">
        <v>3359</v>
      </c>
      <c r="H202" s="34" t="s">
        <v>822</v>
      </c>
      <c r="I202" s="2" t="s">
        <v>24</v>
      </c>
      <c r="J202" s="2" t="s">
        <v>24</v>
      </c>
      <c r="K202" s="2" t="s">
        <v>24</v>
      </c>
      <c r="L202" s="2" t="s">
        <v>24</v>
      </c>
    </row>
    <row r="203" customFormat="false" ht="15" hidden="false" customHeight="false" outlineLevel="0" collapsed="false">
      <c r="A203" s="2" t="s">
        <v>1093</v>
      </c>
      <c r="B203" s="13" t="s">
        <v>1092</v>
      </c>
      <c r="C203" s="13" t="s">
        <v>91</v>
      </c>
      <c r="D203" s="13" t="s">
        <v>3571</v>
      </c>
      <c r="E203" s="14" t="s">
        <v>73</v>
      </c>
      <c r="F203" s="2" t="s">
        <v>99</v>
      </c>
      <c r="G203" s="2" t="s">
        <v>3355</v>
      </c>
      <c r="H203" s="39" t="s">
        <v>832</v>
      </c>
      <c r="I203" s="2" t="s">
        <v>24</v>
      </c>
      <c r="J203" s="2" t="s">
        <v>24</v>
      </c>
      <c r="K203" s="2" t="s">
        <v>24</v>
      </c>
      <c r="L203" s="2" t="s">
        <v>22</v>
      </c>
    </row>
    <row r="204" customFormat="false" ht="15" hidden="false" customHeight="false" outlineLevel="0" collapsed="false">
      <c r="A204" s="2" t="s">
        <v>598</v>
      </c>
      <c r="B204" s="13" t="s">
        <v>597</v>
      </c>
      <c r="C204" s="13" t="s">
        <v>115</v>
      </c>
      <c r="D204" s="13" t="s">
        <v>3572</v>
      </c>
      <c r="E204" s="13" t="s">
        <v>154</v>
      </c>
      <c r="F204" s="2" t="s">
        <v>99</v>
      </c>
      <c r="G204" s="2" t="s">
        <v>3359</v>
      </c>
      <c r="H204" s="34" t="s">
        <v>822</v>
      </c>
      <c r="I204" s="2" t="s">
        <v>24</v>
      </c>
      <c r="J204" s="2" t="s">
        <v>24</v>
      </c>
      <c r="K204" s="2" t="s">
        <v>24</v>
      </c>
      <c r="L204" s="2" t="s">
        <v>24</v>
      </c>
    </row>
    <row r="205" customFormat="false" ht="15" hidden="false" customHeight="false" outlineLevel="0" collapsed="false">
      <c r="A205" s="2" t="s">
        <v>97</v>
      </c>
      <c r="B205" s="13" t="s">
        <v>96</v>
      </c>
      <c r="C205" s="13" t="s">
        <v>98</v>
      </c>
      <c r="D205" s="13" t="s">
        <v>3573</v>
      </c>
      <c r="E205" s="13" t="s">
        <v>78</v>
      </c>
      <c r="F205" s="2" t="s">
        <v>99</v>
      </c>
      <c r="G205" s="2" t="s">
        <v>3359</v>
      </c>
      <c r="H205" s="34" t="s">
        <v>822</v>
      </c>
      <c r="I205" s="2" t="s">
        <v>24</v>
      </c>
      <c r="J205" s="2" t="s">
        <v>24</v>
      </c>
      <c r="K205" s="2" t="s">
        <v>24</v>
      </c>
      <c r="L205" s="2" t="s">
        <v>24</v>
      </c>
    </row>
    <row r="206" customFormat="false" ht="15" hidden="false" customHeight="false" outlineLevel="0" collapsed="false">
      <c r="A206" s="2" t="s">
        <v>502</v>
      </c>
      <c r="B206" s="13" t="s">
        <v>501</v>
      </c>
      <c r="C206" s="13" t="s">
        <v>86</v>
      </c>
      <c r="D206" s="13" t="s">
        <v>3574</v>
      </c>
      <c r="E206" s="13" t="s">
        <v>124</v>
      </c>
      <c r="F206" s="2" t="s">
        <v>149</v>
      </c>
      <c r="G206" s="2" t="s">
        <v>3376</v>
      </c>
      <c r="H206" s="34" t="s">
        <v>822</v>
      </c>
      <c r="I206" s="2" t="s">
        <v>24</v>
      </c>
      <c r="J206" s="2" t="s">
        <v>24</v>
      </c>
      <c r="K206" s="2" t="s">
        <v>24</v>
      </c>
      <c r="L206" s="2" t="s">
        <v>24</v>
      </c>
    </row>
    <row r="207" customFormat="false" ht="15" hidden="false" customHeight="false" outlineLevel="0" collapsed="false">
      <c r="A207" s="2" t="s">
        <v>3004</v>
      </c>
      <c r="B207" s="13" t="s">
        <v>3575</v>
      </c>
      <c r="C207" s="13" t="s">
        <v>98</v>
      </c>
      <c r="D207" s="14" t="s">
        <v>3576</v>
      </c>
      <c r="E207" s="13" t="s">
        <v>127</v>
      </c>
      <c r="F207" s="2" t="s">
        <v>46</v>
      </c>
      <c r="G207" s="2" t="s">
        <v>3395</v>
      </c>
      <c r="H207" s="39" t="s">
        <v>832</v>
      </c>
      <c r="I207" s="2" t="s">
        <v>24</v>
      </c>
      <c r="J207" s="2" t="s">
        <v>24</v>
      </c>
      <c r="K207" s="2" t="s">
        <v>22</v>
      </c>
      <c r="L207" s="2" t="s">
        <v>24</v>
      </c>
    </row>
    <row r="208" customFormat="false" ht="15" hidden="false" customHeight="false" outlineLevel="0" collapsed="false">
      <c r="A208" s="2" t="s">
        <v>2207</v>
      </c>
      <c r="B208" s="13" t="s">
        <v>2206</v>
      </c>
      <c r="C208" s="13" t="s">
        <v>95</v>
      </c>
      <c r="D208" s="14" t="s">
        <v>3577</v>
      </c>
      <c r="E208" s="13" t="s">
        <v>87</v>
      </c>
      <c r="F208" s="2" t="s">
        <v>99</v>
      </c>
      <c r="G208" s="2" t="s">
        <v>3355</v>
      </c>
      <c r="H208" s="39" t="s">
        <v>832</v>
      </c>
      <c r="I208" s="2" t="s">
        <v>24</v>
      </c>
      <c r="J208" s="2" t="s">
        <v>24</v>
      </c>
      <c r="K208" s="2" t="s">
        <v>22</v>
      </c>
      <c r="L208" s="2" t="s">
        <v>24</v>
      </c>
    </row>
    <row r="209" customFormat="false" ht="15" hidden="false" customHeight="false" outlineLevel="0" collapsed="false">
      <c r="A209" s="2" t="s">
        <v>114</v>
      </c>
      <c r="B209" s="13" t="s">
        <v>113</v>
      </c>
      <c r="C209" s="13" t="s">
        <v>115</v>
      </c>
      <c r="D209" s="14" t="s">
        <v>3578</v>
      </c>
      <c r="E209" s="13" t="s">
        <v>83</v>
      </c>
      <c r="F209" s="2" t="s">
        <v>106</v>
      </c>
      <c r="G209" s="2" t="s">
        <v>3376</v>
      </c>
      <c r="H209" s="34" t="s">
        <v>822</v>
      </c>
      <c r="I209" s="2" t="s">
        <v>24</v>
      </c>
      <c r="J209" s="2" t="s">
        <v>24</v>
      </c>
      <c r="K209" s="2" t="s">
        <v>22</v>
      </c>
      <c r="L209" s="2" t="s">
        <v>24</v>
      </c>
    </row>
    <row r="210" customFormat="false" ht="15" hidden="false" customHeight="false" outlineLevel="0" collapsed="false">
      <c r="A210" s="2" t="s">
        <v>3005</v>
      </c>
      <c r="B210" s="13" t="s">
        <v>3579</v>
      </c>
      <c r="C210" s="13" t="s">
        <v>162</v>
      </c>
      <c r="D210" s="13" t="s">
        <v>3580</v>
      </c>
      <c r="E210" s="13" t="s">
        <v>154</v>
      </c>
      <c r="F210" s="2" t="s">
        <v>46</v>
      </c>
      <c r="G210" s="2" t="s">
        <v>3395</v>
      </c>
      <c r="H210" s="39" t="s">
        <v>832</v>
      </c>
      <c r="I210" s="2" t="s">
        <v>24</v>
      </c>
      <c r="J210" s="2" t="s">
        <v>24</v>
      </c>
      <c r="K210" s="2" t="s">
        <v>24</v>
      </c>
      <c r="L210" s="2" t="s">
        <v>24</v>
      </c>
    </row>
    <row r="211" customFormat="false" ht="15" hidden="false" customHeight="false" outlineLevel="0" collapsed="false">
      <c r="A211" s="2" t="s">
        <v>882</v>
      </c>
      <c r="B211" s="13" t="s">
        <v>881</v>
      </c>
      <c r="C211" s="13" t="s">
        <v>162</v>
      </c>
      <c r="D211" s="13" t="s">
        <v>3581</v>
      </c>
      <c r="E211" s="13" t="s">
        <v>73</v>
      </c>
      <c r="F211" s="2" t="s">
        <v>99</v>
      </c>
      <c r="G211" s="2" t="s">
        <v>3355</v>
      </c>
      <c r="H211" s="39" t="s">
        <v>832</v>
      </c>
      <c r="I211" s="2" t="s">
        <v>24</v>
      </c>
      <c r="J211" s="2" t="s">
        <v>24</v>
      </c>
      <c r="K211" s="2" t="s">
        <v>24</v>
      </c>
      <c r="L211" s="2" t="s">
        <v>24</v>
      </c>
    </row>
    <row r="212" customFormat="false" ht="15" hidden="false" customHeight="false" outlineLevel="0" collapsed="false">
      <c r="A212" s="2" t="s">
        <v>859</v>
      </c>
      <c r="B212" s="13" t="s">
        <v>858</v>
      </c>
      <c r="C212" s="13" t="s">
        <v>82</v>
      </c>
      <c r="D212" s="13" t="s">
        <v>3582</v>
      </c>
      <c r="E212" s="13" t="s">
        <v>83</v>
      </c>
      <c r="F212" s="2" t="s">
        <v>99</v>
      </c>
      <c r="G212" s="2" t="s">
        <v>3355</v>
      </c>
      <c r="H212" s="39" t="s">
        <v>832</v>
      </c>
      <c r="I212" s="2" t="s">
        <v>24</v>
      </c>
      <c r="J212" s="2" t="s">
        <v>24</v>
      </c>
      <c r="K212" s="2" t="s">
        <v>24</v>
      </c>
      <c r="L212" s="2" t="s">
        <v>24</v>
      </c>
    </row>
    <row r="213" customFormat="false" ht="15" hidden="false" customHeight="false" outlineLevel="0" collapsed="false">
      <c r="A213" s="2" t="s">
        <v>3009</v>
      </c>
      <c r="B213" s="13" t="s">
        <v>3583</v>
      </c>
      <c r="C213" s="13" t="s">
        <v>91</v>
      </c>
      <c r="D213" s="13" t="s">
        <v>3584</v>
      </c>
      <c r="E213" s="15" t="s">
        <v>73</v>
      </c>
      <c r="F213" s="2" t="s">
        <v>99</v>
      </c>
      <c r="G213" s="2" t="s">
        <v>3410</v>
      </c>
      <c r="H213" s="39" t="s">
        <v>832</v>
      </c>
      <c r="I213" s="2" t="s">
        <v>24</v>
      </c>
      <c r="J213" s="2" t="s">
        <v>24</v>
      </c>
      <c r="K213" s="2" t="s">
        <v>24</v>
      </c>
      <c r="L213" s="2" t="s">
        <v>19</v>
      </c>
    </row>
    <row r="214" customFormat="false" ht="15" hidden="false" customHeight="false" outlineLevel="0" collapsed="false">
      <c r="A214" s="2" t="s">
        <v>744</v>
      </c>
      <c r="B214" s="13" t="s">
        <v>743</v>
      </c>
      <c r="C214" s="13" t="s">
        <v>98</v>
      </c>
      <c r="D214" s="13" t="s">
        <v>3585</v>
      </c>
      <c r="E214" s="13" t="s">
        <v>73</v>
      </c>
      <c r="F214" s="2" t="s">
        <v>45</v>
      </c>
      <c r="G214" s="2" t="s">
        <v>3364</v>
      </c>
      <c r="H214" s="34" t="s">
        <v>822</v>
      </c>
      <c r="I214" s="2" t="s">
        <v>24</v>
      </c>
      <c r="J214" s="2" t="s">
        <v>24</v>
      </c>
      <c r="K214" s="2" t="s">
        <v>24</v>
      </c>
      <c r="L214" s="2" t="s">
        <v>24</v>
      </c>
    </row>
    <row r="215" customFormat="false" ht="15" hidden="false" customHeight="false" outlineLevel="0" collapsed="false">
      <c r="A215" s="2" t="s">
        <v>837</v>
      </c>
      <c r="B215" s="13" t="s">
        <v>836</v>
      </c>
      <c r="C215" s="13" t="s">
        <v>86</v>
      </c>
      <c r="D215" s="13" t="s">
        <v>3586</v>
      </c>
      <c r="E215" s="13" t="s">
        <v>154</v>
      </c>
      <c r="F215" s="2" t="s">
        <v>99</v>
      </c>
      <c r="G215" s="2" t="s">
        <v>3355</v>
      </c>
      <c r="H215" s="39" t="s">
        <v>832</v>
      </c>
      <c r="I215" s="2" t="s">
        <v>24</v>
      </c>
      <c r="J215" s="2" t="s">
        <v>24</v>
      </c>
      <c r="K215" s="2" t="s">
        <v>24</v>
      </c>
      <c r="L215" s="2" t="s">
        <v>24</v>
      </c>
    </row>
    <row r="216" customFormat="false" ht="15" hidden="false" customHeight="false" outlineLevel="0" collapsed="false">
      <c r="A216" s="2" t="s">
        <v>872</v>
      </c>
      <c r="B216" s="13" t="s">
        <v>871</v>
      </c>
      <c r="C216" s="13" t="s">
        <v>98</v>
      </c>
      <c r="D216" s="13" t="s">
        <v>3587</v>
      </c>
      <c r="E216" s="14" t="s">
        <v>102</v>
      </c>
      <c r="F216" s="2" t="s">
        <v>99</v>
      </c>
      <c r="G216" s="2" t="s">
        <v>3369</v>
      </c>
      <c r="H216" s="39" t="s">
        <v>832</v>
      </c>
      <c r="I216" s="2" t="s">
        <v>24</v>
      </c>
      <c r="J216" s="2" t="s">
        <v>24</v>
      </c>
      <c r="K216" s="2" t="s">
        <v>24</v>
      </c>
      <c r="L216" s="2" t="s">
        <v>22</v>
      </c>
    </row>
    <row r="217" customFormat="false" ht="15" hidden="false" customHeight="false" outlineLevel="0" collapsed="false">
      <c r="A217" s="2" t="s">
        <v>999</v>
      </c>
      <c r="B217" s="13" t="s">
        <v>998</v>
      </c>
      <c r="C217" s="13" t="s">
        <v>91</v>
      </c>
      <c r="D217" s="13" t="s">
        <v>3588</v>
      </c>
      <c r="E217" s="13" t="s">
        <v>120</v>
      </c>
      <c r="F217" s="2" t="s">
        <v>99</v>
      </c>
      <c r="G217" s="2" t="s">
        <v>3369</v>
      </c>
      <c r="H217" s="39" t="s">
        <v>832</v>
      </c>
      <c r="I217" s="2" t="s">
        <v>24</v>
      </c>
      <c r="J217" s="2" t="s">
        <v>24</v>
      </c>
      <c r="K217" s="2" t="s">
        <v>24</v>
      </c>
      <c r="L217" s="2" t="s">
        <v>24</v>
      </c>
    </row>
    <row r="218" customFormat="false" ht="15" hidden="false" customHeight="false" outlineLevel="0" collapsed="false">
      <c r="A218" s="2" t="s">
        <v>230</v>
      </c>
      <c r="B218" s="13" t="s">
        <v>229</v>
      </c>
      <c r="C218" s="13" t="s">
        <v>82</v>
      </c>
      <c r="D218" s="13" t="s">
        <v>3589</v>
      </c>
      <c r="E218" s="13" t="s">
        <v>102</v>
      </c>
      <c r="F218" s="2" t="s">
        <v>149</v>
      </c>
      <c r="G218" s="2" t="s">
        <v>3376</v>
      </c>
      <c r="H218" s="34" t="s">
        <v>822</v>
      </c>
      <c r="I218" s="2" t="s">
        <v>24</v>
      </c>
      <c r="J218" s="2" t="s">
        <v>24</v>
      </c>
      <c r="K218" s="2" t="s">
        <v>24</v>
      </c>
      <c r="L218" s="2" t="s">
        <v>24</v>
      </c>
    </row>
    <row r="219" customFormat="false" ht="15" hidden="false" customHeight="false" outlineLevel="0" collapsed="false">
      <c r="A219" s="2" t="s">
        <v>670</v>
      </c>
      <c r="B219" s="13" t="s">
        <v>669</v>
      </c>
      <c r="C219" s="13" t="s">
        <v>86</v>
      </c>
      <c r="D219" s="13" t="s">
        <v>3590</v>
      </c>
      <c r="E219" s="13" t="s">
        <v>73</v>
      </c>
      <c r="F219" s="2" t="s">
        <v>99</v>
      </c>
      <c r="G219" s="2" t="s">
        <v>3359</v>
      </c>
      <c r="H219" s="34" t="s">
        <v>822</v>
      </c>
      <c r="I219" s="2" t="s">
        <v>24</v>
      </c>
      <c r="J219" s="2" t="s">
        <v>24</v>
      </c>
      <c r="K219" s="2" t="s">
        <v>24</v>
      </c>
      <c r="L219" s="2" t="s">
        <v>24</v>
      </c>
    </row>
    <row r="220" customFormat="false" ht="15" hidden="false" customHeight="false" outlineLevel="0" collapsed="false">
      <c r="A220" s="2" t="s">
        <v>1441</v>
      </c>
      <c r="B220" s="13" t="s">
        <v>1440</v>
      </c>
      <c r="C220" s="13" t="s">
        <v>72</v>
      </c>
      <c r="D220" s="13" t="s">
        <v>3591</v>
      </c>
      <c r="E220" s="13" t="s">
        <v>124</v>
      </c>
      <c r="F220" s="2" t="s">
        <v>99</v>
      </c>
      <c r="G220" s="2" t="s">
        <v>3355</v>
      </c>
      <c r="H220" s="39" t="s">
        <v>832</v>
      </c>
      <c r="I220" s="2" t="s">
        <v>24</v>
      </c>
      <c r="J220" s="2" t="s">
        <v>24</v>
      </c>
      <c r="K220" s="2" t="s">
        <v>24</v>
      </c>
      <c r="L220" s="2" t="s">
        <v>24</v>
      </c>
    </row>
    <row r="221" customFormat="false" ht="15" hidden="false" customHeight="false" outlineLevel="0" collapsed="false">
      <c r="A221" s="2" t="s">
        <v>390</v>
      </c>
      <c r="B221" s="13" t="s">
        <v>389</v>
      </c>
      <c r="C221" s="13" t="s">
        <v>115</v>
      </c>
      <c r="D221" s="13" t="s">
        <v>3592</v>
      </c>
      <c r="E221" s="13" t="s">
        <v>120</v>
      </c>
      <c r="F221" s="2" t="s">
        <v>99</v>
      </c>
      <c r="G221" s="2" t="s">
        <v>3359</v>
      </c>
      <c r="H221" s="34" t="s">
        <v>822</v>
      </c>
      <c r="I221" s="2" t="s">
        <v>24</v>
      </c>
      <c r="J221" s="2" t="s">
        <v>24</v>
      </c>
      <c r="K221" s="2" t="s">
        <v>24</v>
      </c>
      <c r="L221" s="2" t="s">
        <v>24</v>
      </c>
    </row>
    <row r="222" customFormat="false" ht="15" hidden="false" customHeight="false" outlineLevel="0" collapsed="false">
      <c r="A222" s="2" t="s">
        <v>1738</v>
      </c>
      <c r="B222" s="13" t="s">
        <v>1737</v>
      </c>
      <c r="C222" s="13" t="s">
        <v>123</v>
      </c>
      <c r="D222" s="13" t="s">
        <v>3593</v>
      </c>
      <c r="E222" s="13" t="s">
        <v>78</v>
      </c>
      <c r="F222" s="2" t="s">
        <v>149</v>
      </c>
      <c r="G222" s="2" t="s">
        <v>3361</v>
      </c>
      <c r="H222" s="39" t="s">
        <v>832</v>
      </c>
      <c r="I222" s="2" t="s">
        <v>24</v>
      </c>
      <c r="J222" s="2" t="s">
        <v>24</v>
      </c>
      <c r="K222" s="2" t="s">
        <v>24</v>
      </c>
      <c r="L222" s="2" t="s">
        <v>24</v>
      </c>
    </row>
    <row r="223" customFormat="false" ht="15" hidden="false" customHeight="false" outlineLevel="0" collapsed="false">
      <c r="A223" s="2" t="s">
        <v>266</v>
      </c>
      <c r="B223" s="13" t="s">
        <v>265</v>
      </c>
      <c r="C223" s="13" t="s">
        <v>115</v>
      </c>
      <c r="D223" s="13" t="s">
        <v>3594</v>
      </c>
      <c r="E223" s="13" t="s">
        <v>105</v>
      </c>
      <c r="F223" s="2" t="s">
        <v>99</v>
      </c>
      <c r="G223" s="2" t="s">
        <v>3359</v>
      </c>
      <c r="H223" s="34" t="s">
        <v>822</v>
      </c>
      <c r="I223" s="2" t="s">
        <v>24</v>
      </c>
      <c r="J223" s="2" t="s">
        <v>24</v>
      </c>
      <c r="K223" s="2" t="s">
        <v>24</v>
      </c>
      <c r="L223" s="2" t="s">
        <v>24</v>
      </c>
    </row>
    <row r="224" customFormat="false" ht="15" hidden="false" customHeight="false" outlineLevel="0" collapsed="false">
      <c r="A224" s="2" t="s">
        <v>478</v>
      </c>
      <c r="B224" s="13" t="s">
        <v>477</v>
      </c>
      <c r="C224" s="13" t="s">
        <v>115</v>
      </c>
      <c r="D224" s="13" t="s">
        <v>3595</v>
      </c>
      <c r="E224" s="13" t="s">
        <v>120</v>
      </c>
      <c r="F224" s="2" t="s">
        <v>99</v>
      </c>
      <c r="G224" s="2" t="s">
        <v>3359</v>
      </c>
      <c r="H224" s="34" t="s">
        <v>822</v>
      </c>
      <c r="I224" s="2" t="s">
        <v>24</v>
      </c>
      <c r="J224" s="2" t="s">
        <v>24</v>
      </c>
      <c r="K224" s="2" t="s">
        <v>24</v>
      </c>
      <c r="L224" s="2" t="s">
        <v>24</v>
      </c>
    </row>
    <row r="225" customFormat="false" ht="15" hidden="false" customHeight="false" outlineLevel="0" collapsed="false">
      <c r="A225" s="2" t="s">
        <v>1172</v>
      </c>
      <c r="B225" s="13" t="s">
        <v>1171</v>
      </c>
      <c r="C225" s="13" t="s">
        <v>72</v>
      </c>
      <c r="D225" s="14" t="s">
        <v>3596</v>
      </c>
      <c r="E225" s="13" t="s">
        <v>78</v>
      </c>
      <c r="F225" s="2" t="s">
        <v>99</v>
      </c>
      <c r="G225" s="2" t="s">
        <v>3355</v>
      </c>
      <c r="H225" s="39" t="s">
        <v>832</v>
      </c>
      <c r="I225" s="2" t="s">
        <v>24</v>
      </c>
      <c r="J225" s="2" t="s">
        <v>24</v>
      </c>
      <c r="K225" s="2" t="s">
        <v>22</v>
      </c>
      <c r="L225" s="2" t="s">
        <v>24</v>
      </c>
    </row>
    <row r="226" customFormat="false" ht="15" hidden="false" customHeight="false" outlineLevel="0" collapsed="false">
      <c r="A226" s="2" t="s">
        <v>482</v>
      </c>
      <c r="B226" s="13" t="s">
        <v>481</v>
      </c>
      <c r="C226" s="13" t="s">
        <v>123</v>
      </c>
      <c r="D226" s="14" t="s">
        <v>3597</v>
      </c>
      <c r="E226" s="13" t="s">
        <v>154</v>
      </c>
      <c r="F226" s="2" t="s">
        <v>99</v>
      </c>
      <c r="G226" s="2" t="s">
        <v>3359</v>
      </c>
      <c r="H226" s="34" t="s">
        <v>822</v>
      </c>
      <c r="I226" s="2" t="s">
        <v>24</v>
      </c>
      <c r="J226" s="2" t="s">
        <v>24</v>
      </c>
      <c r="K226" s="2" t="s">
        <v>22</v>
      </c>
      <c r="L226" s="2" t="s">
        <v>24</v>
      </c>
    </row>
    <row r="227" customFormat="false" ht="15" hidden="false" customHeight="false" outlineLevel="0" collapsed="false">
      <c r="A227" s="2" t="s">
        <v>1283</v>
      </c>
      <c r="B227" s="13" t="s">
        <v>1282</v>
      </c>
      <c r="C227" s="13" t="s">
        <v>72</v>
      </c>
      <c r="D227" s="13" t="s">
        <v>3598</v>
      </c>
      <c r="E227" s="13" t="s">
        <v>73</v>
      </c>
      <c r="F227" s="2" t="s">
        <v>99</v>
      </c>
      <c r="G227" s="2" t="s">
        <v>3355</v>
      </c>
      <c r="H227" s="39" t="s">
        <v>832</v>
      </c>
      <c r="I227" s="2" t="s">
        <v>24</v>
      </c>
      <c r="J227" s="2" t="s">
        <v>24</v>
      </c>
      <c r="K227" s="2" t="s">
        <v>24</v>
      </c>
      <c r="L227" s="2" t="s">
        <v>24</v>
      </c>
    </row>
    <row r="228" customFormat="false" ht="15" hidden="false" customHeight="false" outlineLevel="0" collapsed="false">
      <c r="A228" s="2" t="s">
        <v>2550</v>
      </c>
      <c r="B228" s="14" t="s">
        <v>2549</v>
      </c>
      <c r="C228" s="13" t="s">
        <v>86</v>
      </c>
      <c r="D228" s="13" t="s">
        <v>3599</v>
      </c>
      <c r="E228" s="13" t="s">
        <v>105</v>
      </c>
      <c r="F228" s="2" t="s">
        <v>99</v>
      </c>
      <c r="G228" s="2" t="s">
        <v>3369</v>
      </c>
      <c r="H228" s="39" t="s">
        <v>832</v>
      </c>
      <c r="I228" s="2" t="s">
        <v>22</v>
      </c>
      <c r="J228" s="2" t="s">
        <v>24</v>
      </c>
      <c r="K228" s="2" t="s">
        <v>24</v>
      </c>
      <c r="L228" s="2" t="s">
        <v>24</v>
      </c>
    </row>
    <row r="229" customFormat="false" ht="15" hidden="false" customHeight="false" outlineLevel="0" collapsed="false">
      <c r="A229" s="2" t="s">
        <v>1758</v>
      </c>
      <c r="B229" s="13" t="s">
        <v>1757</v>
      </c>
      <c r="C229" s="13" t="s">
        <v>82</v>
      </c>
      <c r="D229" s="13" t="s">
        <v>3600</v>
      </c>
      <c r="E229" s="13" t="s">
        <v>87</v>
      </c>
      <c r="F229" s="2" t="s">
        <v>149</v>
      </c>
      <c r="G229" s="2" t="s">
        <v>3361</v>
      </c>
      <c r="H229" s="39" t="s">
        <v>832</v>
      </c>
      <c r="I229" s="2" t="s">
        <v>24</v>
      </c>
      <c r="J229" s="2" t="s">
        <v>24</v>
      </c>
      <c r="K229" s="2" t="s">
        <v>24</v>
      </c>
      <c r="L229" s="2" t="s">
        <v>24</v>
      </c>
    </row>
    <row r="230" customFormat="false" ht="15" hidden="false" customHeight="false" outlineLevel="0" collapsed="false">
      <c r="A230" s="2" t="s">
        <v>182</v>
      </c>
      <c r="B230" s="13" t="s">
        <v>181</v>
      </c>
      <c r="C230" s="13" t="s">
        <v>115</v>
      </c>
      <c r="D230" s="13" t="s">
        <v>3601</v>
      </c>
      <c r="E230" s="13" t="s">
        <v>127</v>
      </c>
      <c r="F230" s="2" t="s">
        <v>99</v>
      </c>
      <c r="G230" s="2" t="s">
        <v>3359</v>
      </c>
      <c r="H230" s="34" t="s">
        <v>822</v>
      </c>
      <c r="I230" s="2" t="s">
        <v>24</v>
      </c>
      <c r="J230" s="2" t="s">
        <v>24</v>
      </c>
      <c r="K230" s="2" t="s">
        <v>24</v>
      </c>
      <c r="L230" s="2" t="s">
        <v>24</v>
      </c>
    </row>
    <row r="231" customFormat="false" ht="15" hidden="false" customHeight="false" outlineLevel="0" collapsed="false">
      <c r="A231" s="2" t="s">
        <v>951</v>
      </c>
      <c r="B231" s="13" t="s">
        <v>950</v>
      </c>
      <c r="C231" s="13" t="s">
        <v>86</v>
      </c>
      <c r="D231" s="13" t="s">
        <v>3602</v>
      </c>
      <c r="E231" s="13" t="s">
        <v>120</v>
      </c>
      <c r="F231" s="2" t="s">
        <v>99</v>
      </c>
      <c r="G231" s="2" t="s">
        <v>3355</v>
      </c>
      <c r="H231" s="39" t="s">
        <v>832</v>
      </c>
      <c r="I231" s="2" t="s">
        <v>24</v>
      </c>
      <c r="J231" s="2" t="s">
        <v>24</v>
      </c>
      <c r="K231" s="2" t="s">
        <v>24</v>
      </c>
      <c r="L231" s="2" t="s">
        <v>24</v>
      </c>
    </row>
    <row r="232" customFormat="false" ht="15" hidden="false" customHeight="false" outlineLevel="0" collapsed="false">
      <c r="A232" s="2" t="s">
        <v>250</v>
      </c>
      <c r="B232" s="13" t="s">
        <v>249</v>
      </c>
      <c r="C232" s="13" t="s">
        <v>72</v>
      </c>
      <c r="D232" s="14" t="s">
        <v>3603</v>
      </c>
      <c r="E232" s="13" t="s">
        <v>78</v>
      </c>
      <c r="F232" s="2" t="s">
        <v>149</v>
      </c>
      <c r="G232" s="2" t="s">
        <v>3376</v>
      </c>
      <c r="H232" s="34" t="s">
        <v>822</v>
      </c>
      <c r="I232" s="2" t="s">
        <v>24</v>
      </c>
      <c r="J232" s="2" t="s">
        <v>24</v>
      </c>
      <c r="K232" s="2" t="s">
        <v>22</v>
      </c>
      <c r="L232" s="2" t="s">
        <v>24</v>
      </c>
    </row>
    <row r="233" customFormat="false" ht="15" hidden="false" customHeight="false" outlineLevel="0" collapsed="false">
      <c r="A233" s="2" t="s">
        <v>3022</v>
      </c>
      <c r="B233" s="13" t="s">
        <v>3604</v>
      </c>
      <c r="C233" s="13" t="s">
        <v>82</v>
      </c>
      <c r="D233" s="13" t="s">
        <v>3605</v>
      </c>
      <c r="E233" s="13" t="s">
        <v>120</v>
      </c>
      <c r="F233" s="2" t="s">
        <v>46</v>
      </c>
      <c r="G233" s="2" t="s">
        <v>3395</v>
      </c>
      <c r="H233" s="39" t="s">
        <v>832</v>
      </c>
      <c r="I233" s="2" t="s">
        <v>24</v>
      </c>
      <c r="J233" s="2" t="s">
        <v>24</v>
      </c>
      <c r="K233" s="2" t="s">
        <v>24</v>
      </c>
      <c r="L233" s="2" t="s">
        <v>24</v>
      </c>
    </row>
    <row r="234" customFormat="false" ht="15" hidden="false" customHeight="false" outlineLevel="0" collapsed="false">
      <c r="A234" s="2" t="s">
        <v>1168</v>
      </c>
      <c r="B234" s="13" t="s">
        <v>1167</v>
      </c>
      <c r="C234" s="13" t="s">
        <v>77</v>
      </c>
      <c r="D234" s="13" t="s">
        <v>3606</v>
      </c>
      <c r="E234" s="13" t="s">
        <v>73</v>
      </c>
      <c r="F234" s="2" t="s">
        <v>99</v>
      </c>
      <c r="G234" s="2" t="s">
        <v>3369</v>
      </c>
      <c r="H234" s="39" t="s">
        <v>832</v>
      </c>
      <c r="I234" s="2" t="s">
        <v>24</v>
      </c>
      <c r="J234" s="2" t="s">
        <v>24</v>
      </c>
      <c r="K234" s="2" t="s">
        <v>24</v>
      </c>
      <c r="L234" s="2" t="s">
        <v>24</v>
      </c>
    </row>
    <row r="235" customFormat="false" ht="15" hidden="false" customHeight="false" outlineLevel="0" collapsed="false">
      <c r="A235" s="2" t="s">
        <v>320</v>
      </c>
      <c r="B235" s="14" t="s">
        <v>319</v>
      </c>
      <c r="C235" s="14" t="s">
        <v>98</v>
      </c>
      <c r="D235" s="15" t="s">
        <v>3607</v>
      </c>
      <c r="E235" s="16"/>
      <c r="F235" s="2" t="s">
        <v>45</v>
      </c>
      <c r="G235" s="2" t="s">
        <v>3364</v>
      </c>
      <c r="H235" s="34" t="s">
        <v>822</v>
      </c>
      <c r="I235" s="2" t="s">
        <v>22</v>
      </c>
      <c r="J235" s="2" t="s">
        <v>22</v>
      </c>
      <c r="K235" s="2" t="s">
        <v>19</v>
      </c>
      <c r="L235" s="2"/>
    </row>
    <row r="236" customFormat="false" ht="15" hidden="false" customHeight="false" outlineLevel="0" collapsed="false">
      <c r="A236" s="2" t="s">
        <v>1822</v>
      </c>
      <c r="B236" s="13" t="s">
        <v>1821</v>
      </c>
      <c r="C236" s="13" t="s">
        <v>82</v>
      </c>
      <c r="D236" s="14" t="s">
        <v>3608</v>
      </c>
      <c r="E236" s="13" t="s">
        <v>127</v>
      </c>
      <c r="F236" s="2" t="s">
        <v>99</v>
      </c>
      <c r="G236" s="2" t="s">
        <v>3355</v>
      </c>
      <c r="H236" s="39" t="s">
        <v>832</v>
      </c>
      <c r="I236" s="2" t="s">
        <v>24</v>
      </c>
      <c r="J236" s="2" t="s">
        <v>24</v>
      </c>
      <c r="K236" s="2" t="s">
        <v>22</v>
      </c>
      <c r="L236" s="2" t="s">
        <v>24</v>
      </c>
    </row>
    <row r="237" customFormat="false" ht="15" hidden="false" customHeight="false" outlineLevel="0" collapsed="false">
      <c r="A237" s="2" t="s">
        <v>534</v>
      </c>
      <c r="B237" s="13" t="s">
        <v>533</v>
      </c>
      <c r="C237" s="13" t="s">
        <v>123</v>
      </c>
      <c r="D237" s="13" t="s">
        <v>3609</v>
      </c>
      <c r="E237" s="13" t="s">
        <v>154</v>
      </c>
      <c r="F237" s="2" t="s">
        <v>99</v>
      </c>
      <c r="G237" s="2" t="s">
        <v>3359</v>
      </c>
      <c r="H237" s="34" t="s">
        <v>822</v>
      </c>
      <c r="I237" s="2" t="s">
        <v>24</v>
      </c>
      <c r="J237" s="2" t="s">
        <v>24</v>
      </c>
      <c r="K237" s="2" t="s">
        <v>24</v>
      </c>
      <c r="L237" s="2" t="s">
        <v>24</v>
      </c>
    </row>
    <row r="238" customFormat="false" ht="15" hidden="false" customHeight="false" outlineLevel="0" collapsed="false">
      <c r="A238" s="2" t="s">
        <v>1870</v>
      </c>
      <c r="B238" s="13" t="s">
        <v>1869</v>
      </c>
      <c r="C238" s="13" t="s">
        <v>95</v>
      </c>
      <c r="D238" s="13" t="s">
        <v>3610</v>
      </c>
      <c r="E238" s="13" t="s">
        <v>105</v>
      </c>
      <c r="F238" s="2" t="s">
        <v>99</v>
      </c>
      <c r="G238" s="2" t="s">
        <v>3369</v>
      </c>
      <c r="H238" s="39" t="s">
        <v>832</v>
      </c>
      <c r="I238" s="2" t="s">
        <v>24</v>
      </c>
      <c r="J238" s="2" t="s">
        <v>24</v>
      </c>
      <c r="K238" s="2" t="s">
        <v>24</v>
      </c>
      <c r="L238" s="2" t="s">
        <v>24</v>
      </c>
    </row>
    <row r="239" customFormat="false" ht="15" hidden="false" customHeight="false" outlineLevel="0" collapsed="false">
      <c r="A239" s="2" t="s">
        <v>1550</v>
      </c>
      <c r="B239" s="13" t="s">
        <v>1549</v>
      </c>
      <c r="C239" s="13" t="s">
        <v>98</v>
      </c>
      <c r="D239" s="14" t="s">
        <v>3611</v>
      </c>
      <c r="E239" s="13" t="s">
        <v>124</v>
      </c>
      <c r="F239" s="2" t="s">
        <v>149</v>
      </c>
      <c r="G239" s="2" t="s">
        <v>3361</v>
      </c>
      <c r="H239" s="39" t="s">
        <v>832</v>
      </c>
      <c r="I239" s="2" t="s">
        <v>24</v>
      </c>
      <c r="J239" s="2" t="s">
        <v>24</v>
      </c>
      <c r="K239" s="2" t="s">
        <v>22</v>
      </c>
      <c r="L239" s="2" t="s">
        <v>24</v>
      </c>
    </row>
    <row r="240" customFormat="false" ht="15" hidden="false" customHeight="false" outlineLevel="0" collapsed="false">
      <c r="A240" s="2" t="s">
        <v>2626</v>
      </c>
      <c r="B240" s="13" t="s">
        <v>2625</v>
      </c>
      <c r="C240" s="13" t="s">
        <v>95</v>
      </c>
      <c r="D240" s="13" t="s">
        <v>3612</v>
      </c>
      <c r="E240" s="13" t="s">
        <v>127</v>
      </c>
      <c r="F240" s="2" t="s">
        <v>99</v>
      </c>
      <c r="G240" s="2" t="s">
        <v>3369</v>
      </c>
      <c r="H240" s="39" t="s">
        <v>832</v>
      </c>
      <c r="I240" s="2" t="s">
        <v>24</v>
      </c>
      <c r="J240" s="2" t="s">
        <v>24</v>
      </c>
      <c r="K240" s="2" t="s">
        <v>24</v>
      </c>
      <c r="L240" s="2" t="s">
        <v>24</v>
      </c>
    </row>
    <row r="241" customFormat="false" ht="15" hidden="false" customHeight="false" outlineLevel="0" collapsed="false">
      <c r="A241" s="2" t="s">
        <v>119</v>
      </c>
      <c r="B241" s="13" t="s">
        <v>118</v>
      </c>
      <c r="C241" s="13" t="s">
        <v>77</v>
      </c>
      <c r="D241" s="14" t="s">
        <v>3613</v>
      </c>
      <c r="E241" s="13" t="s">
        <v>120</v>
      </c>
      <c r="F241" s="2" t="s">
        <v>47</v>
      </c>
      <c r="G241" s="2" t="s">
        <v>3364</v>
      </c>
      <c r="H241" s="34" t="s">
        <v>822</v>
      </c>
      <c r="I241" s="2" t="s">
        <v>24</v>
      </c>
      <c r="J241" s="2" t="s">
        <v>24</v>
      </c>
      <c r="K241" s="2" t="s">
        <v>22</v>
      </c>
      <c r="L241" s="2" t="s">
        <v>24</v>
      </c>
    </row>
    <row r="242" customFormat="false" ht="15" hidden="false" customHeight="false" outlineLevel="0" collapsed="false">
      <c r="A242" s="2" t="s">
        <v>1881</v>
      </c>
      <c r="B242" s="13" t="s">
        <v>1880</v>
      </c>
      <c r="C242" s="13" t="s">
        <v>123</v>
      </c>
      <c r="D242" s="13" t="s">
        <v>3614</v>
      </c>
      <c r="E242" s="13" t="s">
        <v>154</v>
      </c>
      <c r="F242" s="2" t="s">
        <v>99</v>
      </c>
      <c r="G242" s="2" t="s">
        <v>3355</v>
      </c>
      <c r="H242" s="39" t="s">
        <v>832</v>
      </c>
      <c r="I242" s="2" t="s">
        <v>24</v>
      </c>
      <c r="J242" s="2" t="s">
        <v>24</v>
      </c>
      <c r="K242" s="2" t="s">
        <v>24</v>
      </c>
      <c r="L242" s="2" t="s">
        <v>24</v>
      </c>
    </row>
    <row r="243" customFormat="false" ht="15" hidden="false" customHeight="false" outlineLevel="0" collapsed="false">
      <c r="A243" s="2" t="s">
        <v>664</v>
      </c>
      <c r="B243" s="14" t="s">
        <v>663</v>
      </c>
      <c r="C243" s="14" t="s">
        <v>98</v>
      </c>
      <c r="D243" s="14" t="s">
        <v>3615</v>
      </c>
      <c r="E243" s="14" t="s">
        <v>124</v>
      </c>
      <c r="F243" s="2" t="s">
        <v>47</v>
      </c>
      <c r="G243" s="2" t="s">
        <v>3364</v>
      </c>
      <c r="H243" s="34" t="s">
        <v>822</v>
      </c>
      <c r="I243" s="2" t="s">
        <v>22</v>
      </c>
      <c r="J243" s="2" t="s">
        <v>22</v>
      </c>
      <c r="K243" s="2" t="s">
        <v>22</v>
      </c>
      <c r="L243" s="2" t="s">
        <v>22</v>
      </c>
    </row>
    <row r="244" customFormat="false" ht="15" hidden="false" customHeight="false" outlineLevel="0" collapsed="false">
      <c r="A244" s="2" t="s">
        <v>408</v>
      </c>
      <c r="B244" s="13" t="s">
        <v>407</v>
      </c>
      <c r="C244" s="13" t="s">
        <v>91</v>
      </c>
      <c r="D244" s="13" t="s">
        <v>3616</v>
      </c>
      <c r="E244" s="13" t="s">
        <v>120</v>
      </c>
      <c r="F244" s="2" t="s">
        <v>45</v>
      </c>
      <c r="G244" s="2" t="s">
        <v>3364</v>
      </c>
      <c r="H244" s="34" t="s">
        <v>822</v>
      </c>
      <c r="I244" s="2" t="s">
        <v>24</v>
      </c>
      <c r="J244" s="2" t="s">
        <v>24</v>
      </c>
      <c r="K244" s="2" t="s">
        <v>24</v>
      </c>
      <c r="L244" s="2" t="s">
        <v>24</v>
      </c>
    </row>
    <row r="245" customFormat="false" ht="15" hidden="false" customHeight="false" outlineLevel="0" collapsed="false">
      <c r="A245" s="2" t="s">
        <v>2753</v>
      </c>
      <c r="B245" s="13" t="s">
        <v>2752</v>
      </c>
      <c r="C245" s="13" t="s">
        <v>98</v>
      </c>
      <c r="D245" s="14" t="s">
        <v>3617</v>
      </c>
      <c r="E245" s="13" t="s">
        <v>87</v>
      </c>
      <c r="F245" s="2" t="s">
        <v>106</v>
      </c>
      <c r="G245" s="2" t="s">
        <v>3361</v>
      </c>
      <c r="H245" s="39" t="s">
        <v>832</v>
      </c>
      <c r="I245" s="2" t="s">
        <v>24</v>
      </c>
      <c r="J245" s="2" t="s">
        <v>24</v>
      </c>
      <c r="K245" s="2" t="s">
        <v>22</v>
      </c>
      <c r="L245" s="2" t="s">
        <v>24</v>
      </c>
    </row>
    <row r="246" customFormat="false" ht="15" hidden="false" customHeight="false" outlineLevel="0" collapsed="false">
      <c r="A246" s="2" t="s">
        <v>1502</v>
      </c>
      <c r="B246" s="13" t="s">
        <v>1501</v>
      </c>
      <c r="C246" s="13" t="s">
        <v>115</v>
      </c>
      <c r="D246" s="14" t="s">
        <v>3618</v>
      </c>
      <c r="E246" s="13" t="s">
        <v>78</v>
      </c>
      <c r="F246" s="2" t="s">
        <v>99</v>
      </c>
      <c r="G246" s="2" t="s">
        <v>3369</v>
      </c>
      <c r="H246" s="39" t="s">
        <v>832</v>
      </c>
      <c r="I246" s="2" t="s">
        <v>24</v>
      </c>
      <c r="J246" s="2" t="s">
        <v>24</v>
      </c>
      <c r="K246" s="2" t="s">
        <v>22</v>
      </c>
      <c r="L246" s="2" t="s">
        <v>24</v>
      </c>
    </row>
    <row r="247" customFormat="false" ht="15" hidden="false" customHeight="false" outlineLevel="0" collapsed="false">
      <c r="A247" s="2" t="s">
        <v>240</v>
      </c>
      <c r="B247" s="13" t="s">
        <v>239</v>
      </c>
      <c r="C247" s="13" t="s">
        <v>82</v>
      </c>
      <c r="D247" s="13" t="s">
        <v>3619</v>
      </c>
      <c r="E247" s="13" t="s">
        <v>120</v>
      </c>
      <c r="F247" s="2" t="s">
        <v>149</v>
      </c>
      <c r="G247" s="2" t="s">
        <v>3376</v>
      </c>
      <c r="H247" s="34" t="s">
        <v>822</v>
      </c>
      <c r="I247" s="2" t="s">
        <v>24</v>
      </c>
      <c r="J247" s="2" t="s">
        <v>24</v>
      </c>
      <c r="K247" s="2" t="s">
        <v>24</v>
      </c>
      <c r="L247" s="2" t="s">
        <v>24</v>
      </c>
    </row>
    <row r="248" customFormat="false" ht="15" hidden="false" customHeight="false" outlineLevel="0" collapsed="false">
      <c r="A248" s="2" t="s">
        <v>1345</v>
      </c>
      <c r="B248" s="13" t="s">
        <v>1344</v>
      </c>
      <c r="C248" s="13" t="s">
        <v>115</v>
      </c>
      <c r="D248" s="13" t="s">
        <v>3620</v>
      </c>
      <c r="E248" s="13" t="s">
        <v>87</v>
      </c>
      <c r="F248" s="2" t="s">
        <v>99</v>
      </c>
      <c r="G248" s="2" t="s">
        <v>3355</v>
      </c>
      <c r="H248" s="39" t="s">
        <v>832</v>
      </c>
      <c r="I248" s="2" t="s">
        <v>24</v>
      </c>
      <c r="J248" s="2" t="s">
        <v>24</v>
      </c>
      <c r="K248" s="2" t="s">
        <v>24</v>
      </c>
      <c r="L248" s="2" t="s">
        <v>24</v>
      </c>
    </row>
    <row r="249" customFormat="false" ht="15" hidden="false" customHeight="false" outlineLevel="0" collapsed="false">
      <c r="A249" s="2" t="s">
        <v>272</v>
      </c>
      <c r="B249" s="13" t="s">
        <v>271</v>
      </c>
      <c r="C249" s="13" t="s">
        <v>91</v>
      </c>
      <c r="D249" s="13" t="s">
        <v>3621</v>
      </c>
      <c r="E249" s="13" t="s">
        <v>83</v>
      </c>
      <c r="F249" s="2" t="s">
        <v>45</v>
      </c>
      <c r="G249" s="2" t="s">
        <v>3364</v>
      </c>
      <c r="H249" s="34" t="s">
        <v>822</v>
      </c>
      <c r="I249" s="2" t="s">
        <v>24</v>
      </c>
      <c r="J249" s="2" t="s">
        <v>24</v>
      </c>
      <c r="K249" s="2" t="s">
        <v>24</v>
      </c>
      <c r="L249" s="2" t="s">
        <v>24</v>
      </c>
    </row>
    <row r="250" customFormat="false" ht="15" hidden="false" customHeight="false" outlineLevel="0" collapsed="false">
      <c r="A250" s="2" t="s">
        <v>194</v>
      </c>
      <c r="B250" s="13" t="s">
        <v>193</v>
      </c>
      <c r="C250" s="13" t="s">
        <v>72</v>
      </c>
      <c r="D250" s="13" t="s">
        <v>3622</v>
      </c>
      <c r="E250" s="13" t="s">
        <v>78</v>
      </c>
      <c r="F250" s="2" t="s">
        <v>99</v>
      </c>
      <c r="G250" s="2" t="s">
        <v>3359</v>
      </c>
      <c r="H250" s="34" t="s">
        <v>822</v>
      </c>
      <c r="I250" s="2" t="s">
        <v>24</v>
      </c>
      <c r="J250" s="2" t="s">
        <v>24</v>
      </c>
      <c r="K250" s="2" t="s">
        <v>24</v>
      </c>
      <c r="L250" s="2" t="s">
        <v>24</v>
      </c>
    </row>
    <row r="251" customFormat="false" ht="15" hidden="false" customHeight="false" outlineLevel="0" collapsed="false">
      <c r="A251" s="2" t="s">
        <v>1867</v>
      </c>
      <c r="B251" s="13" t="s">
        <v>1866</v>
      </c>
      <c r="C251" s="13" t="s">
        <v>91</v>
      </c>
      <c r="D251" s="13" t="s">
        <v>3623</v>
      </c>
      <c r="E251" s="13" t="s">
        <v>105</v>
      </c>
      <c r="F251" s="2" t="s">
        <v>99</v>
      </c>
      <c r="G251" s="2" t="s">
        <v>3355</v>
      </c>
      <c r="H251" s="39" t="s">
        <v>832</v>
      </c>
      <c r="I251" s="2" t="s">
        <v>24</v>
      </c>
      <c r="J251" s="2" t="s">
        <v>24</v>
      </c>
      <c r="K251" s="2" t="s">
        <v>24</v>
      </c>
      <c r="L251" s="2" t="s">
        <v>24</v>
      </c>
    </row>
    <row r="252" customFormat="false" ht="15" hidden="false" customHeight="false" outlineLevel="0" collapsed="false">
      <c r="A252" s="2" t="s">
        <v>218</v>
      </c>
      <c r="B252" s="13" t="s">
        <v>217</v>
      </c>
      <c r="C252" s="13" t="s">
        <v>72</v>
      </c>
      <c r="D252" s="13" t="s">
        <v>3624</v>
      </c>
      <c r="E252" s="13" t="s">
        <v>127</v>
      </c>
      <c r="F252" s="2" t="s">
        <v>106</v>
      </c>
      <c r="G252" s="2" t="s">
        <v>3376</v>
      </c>
      <c r="H252" s="34" t="s">
        <v>822</v>
      </c>
      <c r="I252" s="2" t="s">
        <v>24</v>
      </c>
      <c r="J252" s="2" t="s">
        <v>24</v>
      </c>
      <c r="K252" s="2" t="s">
        <v>24</v>
      </c>
      <c r="L252" s="2" t="s">
        <v>24</v>
      </c>
    </row>
    <row r="253" customFormat="false" ht="15" hidden="false" customHeight="false" outlineLevel="0" collapsed="false">
      <c r="A253" s="2" t="s">
        <v>3032</v>
      </c>
      <c r="B253" s="13" t="s">
        <v>3625</v>
      </c>
      <c r="C253" s="14" t="s">
        <v>91</v>
      </c>
      <c r="D253" s="13" t="s">
        <v>3626</v>
      </c>
      <c r="E253" s="13" t="s">
        <v>127</v>
      </c>
      <c r="F253" s="2" t="s">
        <v>47</v>
      </c>
      <c r="G253" s="2" t="s">
        <v>3395</v>
      </c>
      <c r="H253" s="39" t="s">
        <v>832</v>
      </c>
      <c r="I253" s="2" t="s">
        <v>24</v>
      </c>
      <c r="J253" s="2" t="s">
        <v>22</v>
      </c>
      <c r="K253" s="2" t="s">
        <v>24</v>
      </c>
      <c r="L253" s="2" t="s">
        <v>24</v>
      </c>
    </row>
    <row r="254" customFormat="false" ht="15" hidden="false" customHeight="false" outlineLevel="0" collapsed="false">
      <c r="A254" s="2" t="s">
        <v>1805</v>
      </c>
      <c r="B254" s="13" t="s">
        <v>1804</v>
      </c>
      <c r="C254" s="13" t="s">
        <v>77</v>
      </c>
      <c r="D254" s="13" t="s">
        <v>3627</v>
      </c>
      <c r="E254" s="13" t="s">
        <v>154</v>
      </c>
      <c r="F254" s="2" t="s">
        <v>99</v>
      </c>
      <c r="G254" s="2" t="s">
        <v>3355</v>
      </c>
      <c r="H254" s="39" t="s">
        <v>832</v>
      </c>
      <c r="I254" s="2" t="s">
        <v>24</v>
      </c>
      <c r="J254" s="2" t="s">
        <v>24</v>
      </c>
      <c r="K254" s="2" t="s">
        <v>24</v>
      </c>
      <c r="L254" s="2" t="s">
        <v>24</v>
      </c>
    </row>
    <row r="255" customFormat="false" ht="15" hidden="false" customHeight="false" outlineLevel="0" collapsed="false">
      <c r="A255" s="2" t="s">
        <v>1040</v>
      </c>
      <c r="B255" s="14" t="s">
        <v>1039</v>
      </c>
      <c r="C255" s="14" t="s">
        <v>72</v>
      </c>
      <c r="D255" s="14" t="s">
        <v>3628</v>
      </c>
      <c r="E255" s="14" t="s">
        <v>102</v>
      </c>
      <c r="F255" s="2" t="s">
        <v>99</v>
      </c>
      <c r="G255" s="2" t="s">
        <v>3369</v>
      </c>
      <c r="H255" s="39" t="s">
        <v>832</v>
      </c>
      <c r="I255" s="2" t="s">
        <v>22</v>
      </c>
      <c r="J255" s="2" t="s">
        <v>22</v>
      </c>
      <c r="K255" s="2" t="s">
        <v>22</v>
      </c>
      <c r="L255" s="2" t="s">
        <v>22</v>
      </c>
    </row>
    <row r="256" customFormat="false" ht="15" hidden="false" customHeight="false" outlineLevel="0" collapsed="false">
      <c r="A256" s="2" t="s">
        <v>2258</v>
      </c>
      <c r="B256" s="13" t="s">
        <v>2257</v>
      </c>
      <c r="C256" s="13" t="s">
        <v>98</v>
      </c>
      <c r="D256" s="14" t="s">
        <v>3629</v>
      </c>
      <c r="E256" s="13" t="s">
        <v>105</v>
      </c>
      <c r="F256" s="2" t="s">
        <v>92</v>
      </c>
      <c r="G256" s="2" t="s">
        <v>3361</v>
      </c>
      <c r="H256" s="39" t="s">
        <v>832</v>
      </c>
      <c r="I256" s="2" t="s">
        <v>24</v>
      </c>
      <c r="J256" s="2" t="s">
        <v>24</v>
      </c>
      <c r="K256" s="2" t="s">
        <v>22</v>
      </c>
      <c r="L256" s="2" t="s">
        <v>24</v>
      </c>
    </row>
    <row r="257" customFormat="false" ht="15" hidden="false" customHeight="false" outlineLevel="0" collapsed="false">
      <c r="A257" s="2" t="s">
        <v>3037</v>
      </c>
      <c r="B257" s="16"/>
      <c r="C257" s="16"/>
      <c r="D257" s="16"/>
      <c r="E257" s="16"/>
      <c r="F257" s="2" t="s">
        <v>45</v>
      </c>
      <c r="G257" s="2" t="s">
        <v>3395</v>
      </c>
      <c r="H257" s="39" t="s">
        <v>832</v>
      </c>
      <c r="I257" s="2"/>
      <c r="J257" s="2"/>
      <c r="K257" s="2"/>
      <c r="L257" s="2"/>
    </row>
    <row r="258" customFormat="false" ht="15" hidden="false" customHeight="false" outlineLevel="0" collapsed="false">
      <c r="A258" s="2" t="s">
        <v>1298</v>
      </c>
      <c r="B258" s="13" t="s">
        <v>1297</v>
      </c>
      <c r="C258" s="13" t="s">
        <v>162</v>
      </c>
      <c r="D258" s="13" t="s">
        <v>3630</v>
      </c>
      <c r="E258" s="13" t="s">
        <v>124</v>
      </c>
      <c r="F258" s="2" t="s">
        <v>99</v>
      </c>
      <c r="G258" s="2" t="s">
        <v>3355</v>
      </c>
      <c r="H258" s="39" t="s">
        <v>832</v>
      </c>
      <c r="I258" s="2" t="s">
        <v>24</v>
      </c>
      <c r="J258" s="2" t="s">
        <v>24</v>
      </c>
      <c r="K258" s="2" t="s">
        <v>24</v>
      </c>
      <c r="L258" s="2" t="s">
        <v>24</v>
      </c>
    </row>
    <row r="259" customFormat="false" ht="15" hidden="false" customHeight="false" outlineLevel="0" collapsed="false">
      <c r="A259" s="2" t="s">
        <v>965</v>
      </c>
      <c r="B259" s="13" t="s">
        <v>964</v>
      </c>
      <c r="C259" s="13" t="s">
        <v>123</v>
      </c>
      <c r="D259" s="13" t="s">
        <v>3631</v>
      </c>
      <c r="E259" s="13" t="s">
        <v>105</v>
      </c>
      <c r="F259" s="2" t="s">
        <v>92</v>
      </c>
      <c r="G259" s="2" t="s">
        <v>3361</v>
      </c>
      <c r="H259" s="39" t="s">
        <v>832</v>
      </c>
      <c r="I259" s="2" t="s">
        <v>24</v>
      </c>
      <c r="J259" s="2" t="s">
        <v>24</v>
      </c>
      <c r="K259" s="2" t="s">
        <v>24</v>
      </c>
      <c r="L259" s="2" t="s">
        <v>24</v>
      </c>
    </row>
    <row r="260" customFormat="false" ht="15" hidden="false" customHeight="false" outlineLevel="0" collapsed="false">
      <c r="A260" s="2" t="s">
        <v>2332</v>
      </c>
      <c r="B260" s="13" t="s">
        <v>2331</v>
      </c>
      <c r="C260" s="13" t="s">
        <v>115</v>
      </c>
      <c r="D260" s="13" t="s">
        <v>3632</v>
      </c>
      <c r="E260" s="14" t="s">
        <v>105</v>
      </c>
      <c r="F260" s="2" t="s">
        <v>99</v>
      </c>
      <c r="G260" s="2" t="s">
        <v>3369</v>
      </c>
      <c r="H260" s="39" t="s">
        <v>832</v>
      </c>
      <c r="I260" s="2" t="s">
        <v>24</v>
      </c>
      <c r="J260" s="2" t="s">
        <v>24</v>
      </c>
      <c r="K260" s="2" t="s">
        <v>24</v>
      </c>
      <c r="L260" s="2" t="s">
        <v>22</v>
      </c>
    </row>
    <row r="261" customFormat="false" ht="15" hidden="false" customHeight="false" outlineLevel="0" collapsed="false">
      <c r="A261" s="2" t="s">
        <v>3040</v>
      </c>
      <c r="B261" s="13" t="s">
        <v>3633</v>
      </c>
      <c r="C261" s="13" t="s">
        <v>95</v>
      </c>
      <c r="D261" s="14" t="s">
        <v>3634</v>
      </c>
      <c r="E261" s="13" t="s">
        <v>73</v>
      </c>
      <c r="F261" s="2" t="s">
        <v>46</v>
      </c>
      <c r="G261" s="2" t="s">
        <v>3395</v>
      </c>
      <c r="H261" s="39" t="s">
        <v>832</v>
      </c>
      <c r="I261" s="2" t="s">
        <v>24</v>
      </c>
      <c r="J261" s="2" t="s">
        <v>24</v>
      </c>
      <c r="K261" s="2" t="s">
        <v>22</v>
      </c>
      <c r="L261" s="2" t="s">
        <v>24</v>
      </c>
    </row>
    <row r="262" customFormat="false" ht="15" hidden="false" customHeight="false" outlineLevel="0" collapsed="false">
      <c r="A262" s="2" t="s">
        <v>796</v>
      </c>
      <c r="B262" s="13" t="s">
        <v>795</v>
      </c>
      <c r="C262" s="13" t="s">
        <v>72</v>
      </c>
      <c r="D262" s="13" t="s">
        <v>3635</v>
      </c>
      <c r="E262" s="13" t="s">
        <v>102</v>
      </c>
      <c r="F262" s="2" t="s">
        <v>92</v>
      </c>
      <c r="G262" s="2" t="s">
        <v>3376</v>
      </c>
      <c r="H262" s="34" t="s">
        <v>822</v>
      </c>
      <c r="I262" s="2" t="s">
        <v>24</v>
      </c>
      <c r="J262" s="2" t="s">
        <v>24</v>
      </c>
      <c r="K262" s="2" t="s">
        <v>24</v>
      </c>
      <c r="L262" s="2" t="s">
        <v>24</v>
      </c>
    </row>
    <row r="263" customFormat="false" ht="15" hidden="false" customHeight="false" outlineLevel="0" collapsed="false">
      <c r="A263" s="2" t="s">
        <v>298</v>
      </c>
      <c r="B263" s="13" t="s">
        <v>297</v>
      </c>
      <c r="C263" s="13" t="s">
        <v>115</v>
      </c>
      <c r="D263" s="13" t="s">
        <v>3636</v>
      </c>
      <c r="E263" s="13" t="s">
        <v>127</v>
      </c>
      <c r="F263" s="2" t="s">
        <v>149</v>
      </c>
      <c r="G263" s="2" t="s">
        <v>3376</v>
      </c>
      <c r="H263" s="34" t="s">
        <v>822</v>
      </c>
      <c r="I263" s="2" t="s">
        <v>24</v>
      </c>
      <c r="J263" s="2" t="s">
        <v>24</v>
      </c>
      <c r="K263" s="2" t="s">
        <v>24</v>
      </c>
      <c r="L263" s="2" t="s">
        <v>24</v>
      </c>
    </row>
    <row r="264" customFormat="false" ht="15" hidden="false" customHeight="false" outlineLevel="0" collapsed="false">
      <c r="A264" s="2" t="s">
        <v>1009</v>
      </c>
      <c r="B264" s="13" t="s">
        <v>1008</v>
      </c>
      <c r="C264" s="13" t="s">
        <v>91</v>
      </c>
      <c r="D264" s="13" t="s">
        <v>3637</v>
      </c>
      <c r="E264" s="13" t="s">
        <v>102</v>
      </c>
      <c r="F264" s="2" t="s">
        <v>99</v>
      </c>
      <c r="G264" s="2" t="s">
        <v>3355</v>
      </c>
      <c r="H264" s="39" t="s">
        <v>832</v>
      </c>
      <c r="I264" s="2" t="s">
        <v>24</v>
      </c>
      <c r="J264" s="2" t="s">
        <v>24</v>
      </c>
      <c r="K264" s="2" t="s">
        <v>24</v>
      </c>
      <c r="L264" s="2" t="s">
        <v>24</v>
      </c>
    </row>
    <row r="265" customFormat="false" ht="15" hidden="false" customHeight="false" outlineLevel="0" collapsed="false">
      <c r="A265" s="2" t="s">
        <v>626</v>
      </c>
      <c r="B265" s="13" t="s">
        <v>625</v>
      </c>
      <c r="C265" s="13" t="s">
        <v>162</v>
      </c>
      <c r="D265" s="13" t="s">
        <v>3638</v>
      </c>
      <c r="E265" s="13" t="s">
        <v>102</v>
      </c>
      <c r="F265" s="2" t="s">
        <v>99</v>
      </c>
      <c r="G265" s="2" t="s">
        <v>3359</v>
      </c>
      <c r="H265" s="34" t="s">
        <v>822</v>
      </c>
      <c r="I265" s="2" t="s">
        <v>24</v>
      </c>
      <c r="J265" s="2" t="s">
        <v>24</v>
      </c>
      <c r="K265" s="2" t="s">
        <v>24</v>
      </c>
      <c r="L265" s="2" t="s">
        <v>24</v>
      </c>
    </row>
    <row r="266" customFormat="false" ht="15" hidden="false" customHeight="false" outlineLevel="0" collapsed="false">
      <c r="A266" s="2" t="s">
        <v>1801</v>
      </c>
      <c r="B266" s="13" t="s">
        <v>1800</v>
      </c>
      <c r="C266" s="13" t="s">
        <v>82</v>
      </c>
      <c r="D266" s="13" t="s">
        <v>3639</v>
      </c>
      <c r="E266" s="13" t="s">
        <v>78</v>
      </c>
      <c r="F266" s="2" t="s">
        <v>99</v>
      </c>
      <c r="G266" s="2" t="s">
        <v>3355</v>
      </c>
      <c r="H266" s="39" t="s">
        <v>832</v>
      </c>
      <c r="I266" s="2" t="s">
        <v>24</v>
      </c>
      <c r="J266" s="2" t="s">
        <v>24</v>
      </c>
      <c r="K266" s="2" t="s">
        <v>24</v>
      </c>
      <c r="L266" s="2" t="s">
        <v>24</v>
      </c>
    </row>
    <row r="267" customFormat="false" ht="15" hidden="false" customHeight="false" outlineLevel="0" collapsed="false">
      <c r="A267" s="2" t="s">
        <v>716</v>
      </c>
      <c r="B267" s="13" t="s">
        <v>715</v>
      </c>
      <c r="C267" s="13" t="s">
        <v>91</v>
      </c>
      <c r="D267" s="13" t="s">
        <v>3640</v>
      </c>
      <c r="E267" s="13" t="s">
        <v>105</v>
      </c>
      <c r="F267" s="2" t="s">
        <v>99</v>
      </c>
      <c r="G267" s="2" t="s">
        <v>3359</v>
      </c>
      <c r="H267" s="34" t="s">
        <v>822</v>
      </c>
      <c r="I267" s="2" t="s">
        <v>24</v>
      </c>
      <c r="J267" s="2" t="s">
        <v>24</v>
      </c>
      <c r="K267" s="2" t="s">
        <v>24</v>
      </c>
      <c r="L267" s="2" t="s">
        <v>24</v>
      </c>
    </row>
    <row r="268" customFormat="false" ht="15" hidden="false" customHeight="false" outlineLevel="0" collapsed="false">
      <c r="A268" s="2" t="s">
        <v>416</v>
      </c>
      <c r="B268" s="13" t="s">
        <v>415</v>
      </c>
      <c r="C268" s="13" t="s">
        <v>86</v>
      </c>
      <c r="D268" s="13" t="s">
        <v>3641</v>
      </c>
      <c r="E268" s="13" t="s">
        <v>83</v>
      </c>
      <c r="F268" s="2" t="s">
        <v>99</v>
      </c>
      <c r="G268" s="2" t="s">
        <v>3359</v>
      </c>
      <c r="H268" s="34" t="s">
        <v>822</v>
      </c>
      <c r="I268" s="2" t="s">
        <v>24</v>
      </c>
      <c r="J268" s="2" t="s">
        <v>24</v>
      </c>
      <c r="K268" s="2" t="s">
        <v>24</v>
      </c>
      <c r="L268" s="2" t="s">
        <v>24</v>
      </c>
    </row>
    <row r="269" customFormat="false" ht="15" hidden="false" customHeight="false" outlineLevel="0" collapsed="false">
      <c r="A269" s="2" t="s">
        <v>304</v>
      </c>
      <c r="B269" s="13" t="s">
        <v>303</v>
      </c>
      <c r="C269" s="14" t="s">
        <v>162</v>
      </c>
      <c r="D269" s="13" t="s">
        <v>3642</v>
      </c>
      <c r="E269" s="13" t="s">
        <v>105</v>
      </c>
      <c r="F269" s="2" t="s">
        <v>45</v>
      </c>
      <c r="G269" s="2" t="s">
        <v>3364</v>
      </c>
      <c r="H269" s="34" t="s">
        <v>822</v>
      </c>
      <c r="I269" s="2" t="s">
        <v>24</v>
      </c>
      <c r="J269" s="2" t="s">
        <v>22</v>
      </c>
      <c r="K269" s="2" t="s">
        <v>24</v>
      </c>
      <c r="L269" s="2" t="s">
        <v>24</v>
      </c>
    </row>
    <row r="270" customFormat="false" ht="15" hidden="false" customHeight="false" outlineLevel="0" collapsed="false">
      <c r="A270" s="2" t="s">
        <v>1782</v>
      </c>
      <c r="B270" s="13" t="s">
        <v>1781</v>
      </c>
      <c r="C270" s="13" t="s">
        <v>95</v>
      </c>
      <c r="D270" s="13" t="s">
        <v>3643</v>
      </c>
      <c r="E270" s="13" t="s">
        <v>83</v>
      </c>
      <c r="F270" s="2" t="s">
        <v>99</v>
      </c>
      <c r="G270" s="2" t="s">
        <v>3355</v>
      </c>
      <c r="H270" s="39" t="s">
        <v>832</v>
      </c>
      <c r="I270" s="2" t="s">
        <v>24</v>
      </c>
      <c r="J270" s="2" t="s">
        <v>24</v>
      </c>
      <c r="K270" s="2" t="s">
        <v>24</v>
      </c>
      <c r="L270" s="2" t="s">
        <v>24</v>
      </c>
    </row>
    <row r="271" customFormat="false" ht="15" hidden="false" customHeight="false" outlineLevel="0" collapsed="false">
      <c r="A271" s="2" t="s">
        <v>770</v>
      </c>
      <c r="B271" s="13" t="s">
        <v>769</v>
      </c>
      <c r="C271" s="13" t="s">
        <v>82</v>
      </c>
      <c r="D271" s="13" t="s">
        <v>3644</v>
      </c>
      <c r="E271" s="13" t="s">
        <v>154</v>
      </c>
      <c r="F271" s="2" t="s">
        <v>45</v>
      </c>
      <c r="G271" s="2" t="s">
        <v>3364</v>
      </c>
      <c r="H271" s="34" t="s">
        <v>822</v>
      </c>
      <c r="I271" s="2" t="s">
        <v>24</v>
      </c>
      <c r="J271" s="2" t="s">
        <v>24</v>
      </c>
      <c r="K271" s="2" t="s">
        <v>24</v>
      </c>
      <c r="L271" s="2" t="s">
        <v>24</v>
      </c>
    </row>
    <row r="272" customFormat="false" ht="15" hidden="false" customHeight="false" outlineLevel="0" collapsed="false">
      <c r="A272" s="2" t="s">
        <v>1929</v>
      </c>
      <c r="B272" s="13" t="s">
        <v>1928</v>
      </c>
      <c r="C272" s="13" t="s">
        <v>115</v>
      </c>
      <c r="D272" s="13" t="s">
        <v>3645</v>
      </c>
      <c r="E272" s="13" t="s">
        <v>124</v>
      </c>
      <c r="F272" s="2" t="s">
        <v>149</v>
      </c>
      <c r="G272" s="2" t="s">
        <v>3361</v>
      </c>
      <c r="H272" s="39" t="s">
        <v>832</v>
      </c>
      <c r="I272" s="2" t="s">
        <v>24</v>
      </c>
      <c r="J272" s="2" t="s">
        <v>24</v>
      </c>
      <c r="K272" s="2" t="s">
        <v>24</v>
      </c>
      <c r="L272" s="2" t="s">
        <v>24</v>
      </c>
    </row>
    <row r="273" customFormat="false" ht="15" hidden="false" customHeight="false" outlineLevel="0" collapsed="false">
      <c r="A273" s="2" t="s">
        <v>3046</v>
      </c>
      <c r="B273" s="13" t="s">
        <v>3646</v>
      </c>
      <c r="C273" s="13" t="s">
        <v>72</v>
      </c>
      <c r="D273" s="13" t="s">
        <v>3647</v>
      </c>
      <c r="E273" s="13" t="s">
        <v>124</v>
      </c>
      <c r="F273" s="2" t="s">
        <v>99</v>
      </c>
      <c r="G273" s="2" t="s">
        <v>3410</v>
      </c>
      <c r="H273" s="39" t="s">
        <v>832</v>
      </c>
      <c r="I273" s="2" t="s">
        <v>24</v>
      </c>
      <c r="J273" s="2" t="s">
        <v>24</v>
      </c>
      <c r="K273" s="2" t="s">
        <v>24</v>
      </c>
      <c r="L273" s="2" t="s">
        <v>24</v>
      </c>
    </row>
    <row r="274" customFormat="false" ht="15" hidden="false" customHeight="false" outlineLevel="0" collapsed="false">
      <c r="A274" s="2" t="s">
        <v>142</v>
      </c>
      <c r="B274" s="14" t="s">
        <v>141</v>
      </c>
      <c r="C274" s="14" t="s">
        <v>72</v>
      </c>
      <c r="D274" s="14" t="s">
        <v>3648</v>
      </c>
      <c r="E274" s="14" t="s">
        <v>105</v>
      </c>
      <c r="F274" s="2" t="s">
        <v>47</v>
      </c>
      <c r="G274" s="2" t="s">
        <v>3364</v>
      </c>
      <c r="H274" s="34" t="s">
        <v>822</v>
      </c>
      <c r="I274" s="2" t="s">
        <v>22</v>
      </c>
      <c r="J274" s="2" t="s">
        <v>22</v>
      </c>
      <c r="K274" s="2" t="s">
        <v>22</v>
      </c>
      <c r="L274" s="2" t="s">
        <v>22</v>
      </c>
    </row>
    <row r="275" customFormat="false" ht="15" hidden="false" customHeight="false" outlineLevel="0" collapsed="false">
      <c r="A275" s="2" t="s">
        <v>131</v>
      </c>
      <c r="B275" s="13" t="s">
        <v>130</v>
      </c>
      <c r="C275" s="13" t="s">
        <v>82</v>
      </c>
      <c r="D275" s="13" t="s">
        <v>3649</v>
      </c>
      <c r="E275" s="13" t="s">
        <v>120</v>
      </c>
      <c r="F275" s="2" t="s">
        <v>45</v>
      </c>
      <c r="G275" s="2" t="s">
        <v>3364</v>
      </c>
      <c r="H275" s="34" t="s">
        <v>822</v>
      </c>
      <c r="I275" s="2" t="s">
        <v>24</v>
      </c>
      <c r="J275" s="2" t="s">
        <v>24</v>
      </c>
      <c r="K275" s="2" t="s">
        <v>24</v>
      </c>
      <c r="L275" s="2" t="s">
        <v>24</v>
      </c>
    </row>
    <row r="276" customFormat="false" ht="15" hidden="false" customHeight="false" outlineLevel="0" collapsed="false">
      <c r="A276" s="2" t="s">
        <v>2255</v>
      </c>
      <c r="B276" s="13" t="s">
        <v>2254</v>
      </c>
      <c r="C276" s="13" t="s">
        <v>91</v>
      </c>
      <c r="D276" s="13" t="s">
        <v>3650</v>
      </c>
      <c r="E276" s="13" t="s">
        <v>127</v>
      </c>
      <c r="F276" s="2" t="s">
        <v>106</v>
      </c>
      <c r="G276" s="2" t="s">
        <v>3361</v>
      </c>
      <c r="H276" s="39" t="s">
        <v>832</v>
      </c>
      <c r="I276" s="2" t="s">
        <v>24</v>
      </c>
      <c r="J276" s="2" t="s">
        <v>24</v>
      </c>
      <c r="K276" s="2" t="s">
        <v>24</v>
      </c>
      <c r="L276" s="2" t="s">
        <v>24</v>
      </c>
    </row>
    <row r="277" customFormat="false" ht="15" hidden="false" customHeight="false" outlineLevel="0" collapsed="false">
      <c r="A277" s="2" t="s">
        <v>2013</v>
      </c>
      <c r="B277" s="13" t="s">
        <v>2012</v>
      </c>
      <c r="C277" s="13" t="s">
        <v>82</v>
      </c>
      <c r="D277" s="13" t="s">
        <v>3651</v>
      </c>
      <c r="E277" s="13" t="s">
        <v>102</v>
      </c>
      <c r="F277" s="2" t="s">
        <v>99</v>
      </c>
      <c r="G277" s="2" t="s">
        <v>3355</v>
      </c>
      <c r="H277" s="39" t="s">
        <v>832</v>
      </c>
      <c r="I277" s="2" t="s">
        <v>24</v>
      </c>
      <c r="J277" s="2" t="s">
        <v>24</v>
      </c>
      <c r="K277" s="2" t="s">
        <v>24</v>
      </c>
      <c r="L277" s="2" t="s">
        <v>24</v>
      </c>
    </row>
    <row r="278" customFormat="false" ht="15" hidden="false" customHeight="false" outlineLevel="0" collapsed="false">
      <c r="A278" s="2" t="s">
        <v>3052</v>
      </c>
      <c r="B278" s="14" t="s">
        <v>3652</v>
      </c>
      <c r="C278" s="14" t="s">
        <v>86</v>
      </c>
      <c r="D278" s="14" t="s">
        <v>3653</v>
      </c>
      <c r="E278" s="14" t="s">
        <v>73</v>
      </c>
      <c r="F278" s="2" t="s">
        <v>45</v>
      </c>
      <c r="G278" s="2" t="s">
        <v>3395</v>
      </c>
      <c r="H278" s="39" t="s">
        <v>832</v>
      </c>
      <c r="I278" s="2" t="s">
        <v>22</v>
      </c>
      <c r="J278" s="2" t="s">
        <v>22</v>
      </c>
      <c r="K278" s="2" t="s">
        <v>22</v>
      </c>
      <c r="L278" s="2" t="s">
        <v>22</v>
      </c>
    </row>
    <row r="279" customFormat="false" ht="15" hidden="false" customHeight="false" outlineLevel="0" collapsed="false">
      <c r="A279" s="2" t="s">
        <v>1061</v>
      </c>
      <c r="B279" s="13" t="s">
        <v>1060</v>
      </c>
      <c r="C279" s="13" t="s">
        <v>98</v>
      </c>
      <c r="D279" s="13" t="s">
        <v>3654</v>
      </c>
      <c r="E279" s="13" t="s">
        <v>102</v>
      </c>
      <c r="F279" s="2" t="s">
        <v>99</v>
      </c>
      <c r="G279" s="2" t="s">
        <v>3355</v>
      </c>
      <c r="H279" s="39" t="s">
        <v>832</v>
      </c>
      <c r="I279" s="2" t="s">
        <v>24</v>
      </c>
      <c r="J279" s="2" t="s">
        <v>24</v>
      </c>
      <c r="K279" s="2" t="s">
        <v>24</v>
      </c>
      <c r="L279" s="2" t="s">
        <v>24</v>
      </c>
    </row>
    <row r="280" customFormat="false" ht="15" hidden="false" customHeight="false" outlineLevel="0" collapsed="false">
      <c r="A280" s="2" t="s">
        <v>843</v>
      </c>
      <c r="B280" s="13" t="s">
        <v>842</v>
      </c>
      <c r="C280" s="13" t="s">
        <v>72</v>
      </c>
      <c r="D280" s="13" t="s">
        <v>3655</v>
      </c>
      <c r="E280" s="13" t="s">
        <v>154</v>
      </c>
      <c r="F280" s="2" t="s">
        <v>99</v>
      </c>
      <c r="G280" s="2" t="s">
        <v>3355</v>
      </c>
      <c r="H280" s="39" t="s">
        <v>832</v>
      </c>
      <c r="I280" s="2" t="s">
        <v>24</v>
      </c>
      <c r="J280" s="2" t="s">
        <v>24</v>
      </c>
      <c r="K280" s="2" t="s">
        <v>24</v>
      </c>
      <c r="L280" s="2" t="s">
        <v>24</v>
      </c>
    </row>
    <row r="281" customFormat="false" ht="15" hidden="false" customHeight="false" outlineLevel="0" collapsed="false">
      <c r="A281" s="2" t="s">
        <v>1767</v>
      </c>
      <c r="B281" s="13" t="s">
        <v>1766</v>
      </c>
      <c r="C281" s="13" t="s">
        <v>123</v>
      </c>
      <c r="D281" s="13" t="s">
        <v>3656</v>
      </c>
      <c r="E281" s="13" t="s">
        <v>78</v>
      </c>
      <c r="F281" s="2" t="s">
        <v>99</v>
      </c>
      <c r="G281" s="2" t="s">
        <v>3355</v>
      </c>
      <c r="H281" s="39" t="s">
        <v>832</v>
      </c>
      <c r="I281" s="2" t="s">
        <v>24</v>
      </c>
      <c r="J281" s="2" t="s">
        <v>24</v>
      </c>
      <c r="K281" s="2" t="s">
        <v>24</v>
      </c>
      <c r="L281" s="2" t="s">
        <v>24</v>
      </c>
    </row>
    <row r="282" customFormat="false" ht="15" hidden="false" customHeight="false" outlineLevel="0" collapsed="false">
      <c r="A282" s="2" t="s">
        <v>1720</v>
      </c>
      <c r="B282" s="13" t="s">
        <v>1719</v>
      </c>
      <c r="C282" s="13" t="s">
        <v>95</v>
      </c>
      <c r="D282" s="13" t="s">
        <v>3657</v>
      </c>
      <c r="E282" s="13" t="s">
        <v>127</v>
      </c>
      <c r="F282" s="2" t="s">
        <v>99</v>
      </c>
      <c r="G282" s="2" t="s">
        <v>3355</v>
      </c>
      <c r="H282" s="39" t="s">
        <v>832</v>
      </c>
      <c r="I282" s="2" t="s">
        <v>24</v>
      </c>
      <c r="J282" s="2" t="s">
        <v>24</v>
      </c>
      <c r="K282" s="2" t="s">
        <v>24</v>
      </c>
      <c r="L282" s="2" t="s">
        <v>24</v>
      </c>
    </row>
    <row r="283" customFormat="false" ht="15" hidden="false" customHeight="false" outlineLevel="0" collapsed="false">
      <c r="A283" s="2" t="s">
        <v>1432</v>
      </c>
      <c r="B283" s="13" t="s">
        <v>1431</v>
      </c>
      <c r="C283" s="13" t="s">
        <v>95</v>
      </c>
      <c r="D283" s="14" t="s">
        <v>3658</v>
      </c>
      <c r="E283" s="13" t="s">
        <v>73</v>
      </c>
      <c r="F283" s="2" t="s">
        <v>99</v>
      </c>
      <c r="G283" s="2" t="s">
        <v>3369</v>
      </c>
      <c r="H283" s="39" t="s">
        <v>832</v>
      </c>
      <c r="I283" s="2" t="s">
        <v>24</v>
      </c>
      <c r="J283" s="2" t="s">
        <v>24</v>
      </c>
      <c r="K283" s="2" t="s">
        <v>22</v>
      </c>
      <c r="L283" s="2" t="s">
        <v>24</v>
      </c>
    </row>
    <row r="284" customFormat="false" ht="15" hidden="false" customHeight="false" outlineLevel="0" collapsed="false">
      <c r="A284" s="2" t="s">
        <v>117</v>
      </c>
      <c r="B284" s="13" t="s">
        <v>116</v>
      </c>
      <c r="C284" s="13" t="s">
        <v>98</v>
      </c>
      <c r="D284" s="13" t="s">
        <v>3659</v>
      </c>
      <c r="E284" s="16"/>
      <c r="F284" s="2" t="s">
        <v>45</v>
      </c>
      <c r="G284" s="2" t="s">
        <v>3364</v>
      </c>
      <c r="H284" s="34" t="s">
        <v>822</v>
      </c>
      <c r="I284" s="2" t="s">
        <v>24</v>
      </c>
      <c r="J284" s="2" t="s">
        <v>24</v>
      </c>
      <c r="K284" s="2" t="s">
        <v>24</v>
      </c>
      <c r="L284" s="2"/>
    </row>
    <row r="285" customFormat="false" ht="15" hidden="false" customHeight="false" outlineLevel="0" collapsed="false">
      <c r="A285" s="2" t="s">
        <v>1941</v>
      </c>
      <c r="B285" s="13" t="s">
        <v>1940</v>
      </c>
      <c r="C285" s="13" t="s">
        <v>86</v>
      </c>
      <c r="D285" s="13" t="s">
        <v>3660</v>
      </c>
      <c r="E285" s="13" t="s">
        <v>83</v>
      </c>
      <c r="F285" s="2" t="s">
        <v>99</v>
      </c>
      <c r="G285" s="2" t="s">
        <v>3355</v>
      </c>
      <c r="H285" s="39" t="s">
        <v>832</v>
      </c>
      <c r="I285" s="2" t="s">
        <v>24</v>
      </c>
      <c r="J285" s="2" t="s">
        <v>24</v>
      </c>
      <c r="K285" s="2" t="s">
        <v>24</v>
      </c>
      <c r="L285" s="2" t="s">
        <v>24</v>
      </c>
    </row>
    <row r="286" customFormat="false" ht="15" hidden="false" customHeight="false" outlineLevel="0" collapsed="false">
      <c r="A286" s="2" t="s">
        <v>2862</v>
      </c>
      <c r="B286" s="13" t="s">
        <v>2861</v>
      </c>
      <c r="C286" s="13" t="s">
        <v>82</v>
      </c>
      <c r="D286" s="13" t="s">
        <v>3661</v>
      </c>
      <c r="E286" s="13" t="s">
        <v>73</v>
      </c>
      <c r="F286" s="2" t="s">
        <v>106</v>
      </c>
      <c r="G286" s="2" t="s">
        <v>3361</v>
      </c>
      <c r="H286" s="39" t="s">
        <v>832</v>
      </c>
      <c r="I286" s="2" t="s">
        <v>24</v>
      </c>
      <c r="J286" s="2" t="s">
        <v>24</v>
      </c>
      <c r="K286" s="2" t="s">
        <v>24</v>
      </c>
      <c r="L286" s="2" t="s">
        <v>24</v>
      </c>
    </row>
    <row r="287" customFormat="false" ht="15" hidden="false" customHeight="false" outlineLevel="0" collapsed="false">
      <c r="A287" s="2" t="s">
        <v>1842</v>
      </c>
      <c r="B287" s="13" t="s">
        <v>1841</v>
      </c>
      <c r="C287" s="13" t="s">
        <v>115</v>
      </c>
      <c r="D287" s="13" t="s">
        <v>3662</v>
      </c>
      <c r="E287" s="13" t="s">
        <v>154</v>
      </c>
      <c r="F287" s="2" t="s">
        <v>99</v>
      </c>
      <c r="G287" s="2" t="s">
        <v>3355</v>
      </c>
      <c r="H287" s="39" t="s">
        <v>832</v>
      </c>
      <c r="I287" s="2" t="s">
        <v>24</v>
      </c>
      <c r="J287" s="2" t="s">
        <v>24</v>
      </c>
      <c r="K287" s="2" t="s">
        <v>24</v>
      </c>
      <c r="L287" s="2" t="s">
        <v>24</v>
      </c>
    </row>
    <row r="288" customFormat="false" ht="15" hidden="false" customHeight="false" outlineLevel="0" collapsed="false">
      <c r="A288" s="2" t="s">
        <v>1946</v>
      </c>
      <c r="B288" s="13" t="s">
        <v>1945</v>
      </c>
      <c r="C288" s="13" t="s">
        <v>77</v>
      </c>
      <c r="D288" s="13" t="s">
        <v>3663</v>
      </c>
      <c r="E288" s="13" t="s">
        <v>78</v>
      </c>
      <c r="F288" s="2" t="s">
        <v>99</v>
      </c>
      <c r="G288" s="2" t="s">
        <v>3355</v>
      </c>
      <c r="H288" s="39" t="s">
        <v>832</v>
      </c>
      <c r="I288" s="2" t="s">
        <v>24</v>
      </c>
      <c r="J288" s="2" t="s">
        <v>24</v>
      </c>
      <c r="K288" s="2" t="s">
        <v>24</v>
      </c>
      <c r="L288" s="2" t="s">
        <v>24</v>
      </c>
    </row>
    <row r="289" customFormat="false" ht="15" hidden="false" customHeight="false" outlineLevel="0" collapsed="false">
      <c r="A289" s="2" t="s">
        <v>2486</v>
      </c>
      <c r="B289" s="13" t="s">
        <v>2485</v>
      </c>
      <c r="C289" s="13" t="s">
        <v>77</v>
      </c>
      <c r="D289" s="13" t="s">
        <v>3664</v>
      </c>
      <c r="E289" s="13" t="s">
        <v>87</v>
      </c>
      <c r="F289" s="2" t="s">
        <v>99</v>
      </c>
      <c r="G289" s="2" t="s">
        <v>3369</v>
      </c>
      <c r="H289" s="39" t="s">
        <v>832</v>
      </c>
      <c r="I289" s="2" t="s">
        <v>24</v>
      </c>
      <c r="J289" s="2" t="s">
        <v>24</v>
      </c>
      <c r="K289" s="2" t="s">
        <v>24</v>
      </c>
      <c r="L289" s="2" t="s">
        <v>24</v>
      </c>
    </row>
    <row r="290" customFormat="false" ht="15" hidden="false" customHeight="false" outlineLevel="0" collapsed="false">
      <c r="A290" s="2" t="s">
        <v>1161</v>
      </c>
      <c r="B290" s="13" t="s">
        <v>1160</v>
      </c>
      <c r="C290" s="13" t="s">
        <v>98</v>
      </c>
      <c r="D290" s="13" t="s">
        <v>3665</v>
      </c>
      <c r="E290" s="13" t="s">
        <v>83</v>
      </c>
      <c r="F290" s="2" t="s">
        <v>99</v>
      </c>
      <c r="G290" s="2" t="s">
        <v>3355</v>
      </c>
      <c r="H290" s="39" t="s">
        <v>832</v>
      </c>
      <c r="I290" s="2" t="s">
        <v>24</v>
      </c>
      <c r="J290" s="2" t="s">
        <v>24</v>
      </c>
      <c r="K290" s="2" t="s">
        <v>24</v>
      </c>
      <c r="L290" s="2" t="s">
        <v>24</v>
      </c>
    </row>
    <row r="291" customFormat="false" ht="15" hidden="false" customHeight="false" outlineLevel="0" collapsed="false">
      <c r="A291" s="2" t="s">
        <v>2566</v>
      </c>
      <c r="B291" s="13" t="s">
        <v>2565</v>
      </c>
      <c r="C291" s="13" t="s">
        <v>91</v>
      </c>
      <c r="D291" s="13" t="s">
        <v>3666</v>
      </c>
      <c r="E291" s="13" t="s">
        <v>105</v>
      </c>
      <c r="F291" s="2" t="s">
        <v>99</v>
      </c>
      <c r="G291" s="2" t="s">
        <v>3369</v>
      </c>
      <c r="H291" s="39" t="s">
        <v>832</v>
      </c>
      <c r="I291" s="2" t="s">
        <v>24</v>
      </c>
      <c r="J291" s="2" t="s">
        <v>24</v>
      </c>
      <c r="K291" s="2" t="s">
        <v>24</v>
      </c>
      <c r="L291" s="2" t="s">
        <v>24</v>
      </c>
    </row>
    <row r="292" customFormat="false" ht="15" hidden="false" customHeight="false" outlineLevel="0" collapsed="false">
      <c r="A292" s="2" t="s">
        <v>448</v>
      </c>
      <c r="B292" s="13" t="s">
        <v>447</v>
      </c>
      <c r="C292" s="13" t="s">
        <v>82</v>
      </c>
      <c r="D292" s="13" t="s">
        <v>3667</v>
      </c>
      <c r="E292" s="13" t="s">
        <v>127</v>
      </c>
      <c r="F292" s="2" t="s">
        <v>99</v>
      </c>
      <c r="G292" s="2" t="s">
        <v>3359</v>
      </c>
      <c r="H292" s="34" t="s">
        <v>822</v>
      </c>
      <c r="I292" s="2" t="s">
        <v>24</v>
      </c>
      <c r="J292" s="2" t="s">
        <v>24</v>
      </c>
      <c r="K292" s="2" t="s">
        <v>24</v>
      </c>
      <c r="L292" s="2" t="s">
        <v>24</v>
      </c>
    </row>
    <row r="293" customFormat="false" ht="15" hidden="false" customHeight="false" outlineLevel="0" collapsed="false">
      <c r="A293" s="2" t="s">
        <v>618</v>
      </c>
      <c r="B293" s="13" t="s">
        <v>617</v>
      </c>
      <c r="C293" s="13" t="s">
        <v>72</v>
      </c>
      <c r="D293" s="13" t="s">
        <v>3668</v>
      </c>
      <c r="E293" s="13" t="s">
        <v>78</v>
      </c>
      <c r="F293" s="2" t="s">
        <v>47</v>
      </c>
      <c r="G293" s="2" t="s">
        <v>3364</v>
      </c>
      <c r="H293" s="34" t="s">
        <v>822</v>
      </c>
      <c r="I293" s="2" t="s">
        <v>24</v>
      </c>
      <c r="J293" s="2" t="s">
        <v>24</v>
      </c>
      <c r="K293" s="2" t="s">
        <v>24</v>
      </c>
      <c r="L293" s="2" t="s">
        <v>24</v>
      </c>
    </row>
    <row r="294" customFormat="false" ht="15" hidden="false" customHeight="false" outlineLevel="0" collapsed="false">
      <c r="A294" s="2" t="s">
        <v>3061</v>
      </c>
      <c r="B294" s="13" t="s">
        <v>3669</v>
      </c>
      <c r="C294" s="13" t="s">
        <v>123</v>
      </c>
      <c r="D294" s="13" t="s">
        <v>3670</v>
      </c>
      <c r="E294" s="13" t="s">
        <v>78</v>
      </c>
      <c r="F294" s="2" t="s">
        <v>149</v>
      </c>
      <c r="G294" s="2" t="s">
        <v>3385</v>
      </c>
      <c r="H294" s="39" t="s">
        <v>832</v>
      </c>
      <c r="I294" s="2" t="s">
        <v>24</v>
      </c>
      <c r="J294" s="2" t="s">
        <v>24</v>
      </c>
      <c r="K294" s="2" t="s">
        <v>24</v>
      </c>
      <c r="L294" s="2" t="s">
        <v>24</v>
      </c>
    </row>
    <row r="295" customFormat="false" ht="15" hidden="false" customHeight="false" outlineLevel="0" collapsed="false">
      <c r="A295" s="2" t="s">
        <v>260</v>
      </c>
      <c r="B295" s="13" t="s">
        <v>259</v>
      </c>
      <c r="C295" s="13" t="s">
        <v>95</v>
      </c>
      <c r="D295" s="13" t="s">
        <v>3671</v>
      </c>
      <c r="E295" s="13" t="s">
        <v>83</v>
      </c>
      <c r="F295" s="2" t="s">
        <v>47</v>
      </c>
      <c r="G295" s="2" t="s">
        <v>3364</v>
      </c>
      <c r="H295" s="34" t="s">
        <v>822</v>
      </c>
      <c r="I295" s="2" t="s">
        <v>24</v>
      </c>
      <c r="J295" s="2" t="s">
        <v>24</v>
      </c>
      <c r="K295" s="2" t="s">
        <v>24</v>
      </c>
      <c r="L295" s="2" t="s">
        <v>24</v>
      </c>
    </row>
    <row r="296" customFormat="false" ht="15" hidden="false" customHeight="false" outlineLevel="0" collapsed="false">
      <c r="A296" s="2" t="s">
        <v>918</v>
      </c>
      <c r="B296" s="13" t="s">
        <v>917</v>
      </c>
      <c r="C296" s="13" t="s">
        <v>72</v>
      </c>
      <c r="D296" s="13" t="s">
        <v>3672</v>
      </c>
      <c r="E296" s="13" t="s">
        <v>73</v>
      </c>
      <c r="F296" s="2" t="s">
        <v>99</v>
      </c>
      <c r="G296" s="2" t="s">
        <v>3355</v>
      </c>
      <c r="H296" s="39" t="s">
        <v>832</v>
      </c>
      <c r="I296" s="2" t="s">
        <v>24</v>
      </c>
      <c r="J296" s="2" t="s">
        <v>24</v>
      </c>
      <c r="K296" s="2" t="s">
        <v>24</v>
      </c>
      <c r="L296" s="2" t="s">
        <v>24</v>
      </c>
    </row>
    <row r="297" customFormat="false" ht="15" hidden="false" customHeight="false" outlineLevel="0" collapsed="false">
      <c r="A297" s="2" t="s">
        <v>778</v>
      </c>
      <c r="B297" s="14" t="s">
        <v>777</v>
      </c>
      <c r="C297" s="14" t="s">
        <v>95</v>
      </c>
      <c r="D297" s="14" t="s">
        <v>3673</v>
      </c>
      <c r="E297" s="14" t="s">
        <v>105</v>
      </c>
      <c r="F297" s="2" t="s">
        <v>47</v>
      </c>
      <c r="G297" s="2" t="s">
        <v>3364</v>
      </c>
      <c r="H297" s="34" t="s">
        <v>822</v>
      </c>
      <c r="I297" s="2" t="s">
        <v>22</v>
      </c>
      <c r="J297" s="2" t="s">
        <v>22</v>
      </c>
      <c r="K297" s="2" t="s">
        <v>22</v>
      </c>
      <c r="L297" s="2" t="s">
        <v>22</v>
      </c>
    </row>
    <row r="298" customFormat="false" ht="15" hidden="false" customHeight="false" outlineLevel="0" collapsed="false">
      <c r="A298" s="2" t="s">
        <v>274</v>
      </c>
      <c r="B298" s="13" t="s">
        <v>273</v>
      </c>
      <c r="C298" s="13" t="s">
        <v>91</v>
      </c>
      <c r="D298" s="13" t="s">
        <v>3674</v>
      </c>
      <c r="E298" s="13" t="s">
        <v>102</v>
      </c>
      <c r="F298" s="2" t="s">
        <v>99</v>
      </c>
      <c r="G298" s="2" t="s">
        <v>3359</v>
      </c>
      <c r="H298" s="34" t="s">
        <v>822</v>
      </c>
      <c r="I298" s="2" t="s">
        <v>24</v>
      </c>
      <c r="J298" s="2" t="s">
        <v>24</v>
      </c>
      <c r="K298" s="2" t="s">
        <v>24</v>
      </c>
      <c r="L298" s="2" t="s">
        <v>24</v>
      </c>
    </row>
    <row r="299" customFormat="false" ht="15" hidden="false" customHeight="false" outlineLevel="0" collapsed="false">
      <c r="A299" s="2" t="s">
        <v>522</v>
      </c>
      <c r="B299" s="14" t="s">
        <v>521</v>
      </c>
      <c r="C299" s="13" t="s">
        <v>77</v>
      </c>
      <c r="D299" s="13" t="s">
        <v>3675</v>
      </c>
      <c r="E299" s="13" t="s">
        <v>87</v>
      </c>
      <c r="F299" s="2" t="s">
        <v>99</v>
      </c>
      <c r="G299" s="2" t="s">
        <v>3359</v>
      </c>
      <c r="H299" s="34" t="s">
        <v>822</v>
      </c>
      <c r="I299" s="2" t="s">
        <v>22</v>
      </c>
      <c r="J299" s="2" t="s">
        <v>24</v>
      </c>
      <c r="K299" s="2" t="s">
        <v>24</v>
      </c>
      <c r="L299" s="2" t="s">
        <v>24</v>
      </c>
    </row>
    <row r="300" customFormat="false" ht="15" hidden="false" customHeight="false" outlineLevel="0" collapsed="false">
      <c r="A300" s="2" t="s">
        <v>2313</v>
      </c>
      <c r="B300" s="14" t="s">
        <v>2312</v>
      </c>
      <c r="C300" s="14" t="s">
        <v>95</v>
      </c>
      <c r="D300" s="14" t="s">
        <v>3676</v>
      </c>
      <c r="E300" s="14" t="s">
        <v>83</v>
      </c>
      <c r="F300" s="2" t="s">
        <v>99</v>
      </c>
      <c r="G300" s="2" t="s">
        <v>3369</v>
      </c>
      <c r="H300" s="39" t="s">
        <v>832</v>
      </c>
      <c r="I300" s="2" t="s">
        <v>22</v>
      </c>
      <c r="J300" s="2" t="s">
        <v>22</v>
      </c>
      <c r="K300" s="2" t="s">
        <v>22</v>
      </c>
      <c r="L300" s="2" t="s">
        <v>22</v>
      </c>
    </row>
    <row r="301" customFormat="false" ht="15" hidden="false" customHeight="false" outlineLevel="0" collapsed="false">
      <c r="A301" s="2" t="s">
        <v>1182</v>
      </c>
      <c r="B301" s="13" t="s">
        <v>1181</v>
      </c>
      <c r="C301" s="13" t="s">
        <v>115</v>
      </c>
      <c r="D301" s="13" t="s">
        <v>3677</v>
      </c>
      <c r="E301" s="13" t="s">
        <v>105</v>
      </c>
      <c r="F301" s="2" t="s">
        <v>99</v>
      </c>
      <c r="G301" s="2" t="s">
        <v>3355</v>
      </c>
      <c r="H301" s="39" t="s">
        <v>832</v>
      </c>
      <c r="I301" s="2" t="s">
        <v>24</v>
      </c>
      <c r="J301" s="2" t="s">
        <v>24</v>
      </c>
      <c r="K301" s="2" t="s">
        <v>24</v>
      </c>
      <c r="L301" s="2" t="s">
        <v>24</v>
      </c>
    </row>
    <row r="302" customFormat="false" ht="15" hidden="false" customHeight="false" outlineLevel="0" collapsed="false">
      <c r="A302" s="2" t="s">
        <v>1458</v>
      </c>
      <c r="B302" s="13" t="s">
        <v>1457</v>
      </c>
      <c r="C302" s="13" t="s">
        <v>77</v>
      </c>
      <c r="D302" s="14" t="s">
        <v>3678</v>
      </c>
      <c r="E302" s="13" t="s">
        <v>120</v>
      </c>
      <c r="F302" s="2" t="s">
        <v>99</v>
      </c>
      <c r="G302" s="2" t="s">
        <v>3355</v>
      </c>
      <c r="H302" s="39" t="s">
        <v>832</v>
      </c>
      <c r="I302" s="2" t="s">
        <v>24</v>
      </c>
      <c r="J302" s="2" t="s">
        <v>24</v>
      </c>
      <c r="K302" s="2" t="s">
        <v>22</v>
      </c>
      <c r="L302" s="2" t="s">
        <v>24</v>
      </c>
    </row>
    <row r="303" customFormat="false" ht="15" hidden="false" customHeight="false" outlineLevel="0" collapsed="false">
      <c r="A303" s="2" t="s">
        <v>3067</v>
      </c>
      <c r="B303" s="13" t="s">
        <v>3679</v>
      </c>
      <c r="C303" s="13" t="s">
        <v>98</v>
      </c>
      <c r="D303" s="13" t="s">
        <v>3680</v>
      </c>
      <c r="E303" s="13" t="s">
        <v>83</v>
      </c>
      <c r="F303" s="2" t="s">
        <v>45</v>
      </c>
      <c r="G303" s="2" t="s">
        <v>3395</v>
      </c>
      <c r="H303" s="39" t="s">
        <v>832</v>
      </c>
      <c r="I303" s="2" t="s">
        <v>24</v>
      </c>
      <c r="J303" s="2" t="s">
        <v>24</v>
      </c>
      <c r="K303" s="2" t="s">
        <v>24</v>
      </c>
      <c r="L303" s="2" t="s">
        <v>24</v>
      </c>
    </row>
    <row r="304" customFormat="false" ht="15" hidden="false" customHeight="false" outlineLevel="0" collapsed="false">
      <c r="A304" s="2" t="s">
        <v>594</v>
      </c>
      <c r="B304" s="13" t="s">
        <v>593</v>
      </c>
      <c r="C304" s="13" t="s">
        <v>91</v>
      </c>
      <c r="D304" s="13" t="s">
        <v>3681</v>
      </c>
      <c r="E304" s="13" t="s">
        <v>78</v>
      </c>
      <c r="F304" s="2" t="s">
        <v>99</v>
      </c>
      <c r="G304" s="2" t="s">
        <v>3359</v>
      </c>
      <c r="H304" s="34" t="s">
        <v>822</v>
      </c>
      <c r="I304" s="2" t="s">
        <v>24</v>
      </c>
      <c r="J304" s="2" t="s">
        <v>24</v>
      </c>
      <c r="K304" s="2" t="s">
        <v>24</v>
      </c>
      <c r="L304" s="2" t="s">
        <v>24</v>
      </c>
    </row>
    <row r="305" customFormat="false" ht="15" hidden="false" customHeight="false" outlineLevel="0" collapsed="false">
      <c r="A305" s="2" t="s">
        <v>420</v>
      </c>
      <c r="B305" s="13" t="s">
        <v>419</v>
      </c>
      <c r="C305" s="13" t="s">
        <v>162</v>
      </c>
      <c r="D305" s="13" t="s">
        <v>3682</v>
      </c>
      <c r="E305" s="13" t="s">
        <v>124</v>
      </c>
      <c r="F305" s="2" t="s">
        <v>99</v>
      </c>
      <c r="G305" s="2" t="s">
        <v>3359</v>
      </c>
      <c r="H305" s="34" t="s">
        <v>822</v>
      </c>
      <c r="I305" s="2" t="s">
        <v>24</v>
      </c>
      <c r="J305" s="2" t="s">
        <v>24</v>
      </c>
      <c r="K305" s="2" t="s">
        <v>24</v>
      </c>
      <c r="L305" s="2" t="s">
        <v>24</v>
      </c>
    </row>
    <row r="306" customFormat="false" ht="15" hidden="false" customHeight="false" outlineLevel="0" collapsed="false">
      <c r="A306" s="2" t="s">
        <v>608</v>
      </c>
      <c r="B306" s="13" t="s">
        <v>607</v>
      </c>
      <c r="C306" s="13" t="s">
        <v>95</v>
      </c>
      <c r="D306" s="13" t="s">
        <v>3683</v>
      </c>
      <c r="E306" s="13" t="s">
        <v>73</v>
      </c>
      <c r="F306" s="2" t="s">
        <v>149</v>
      </c>
      <c r="G306" s="2" t="s">
        <v>3376</v>
      </c>
      <c r="H306" s="34" t="s">
        <v>822</v>
      </c>
      <c r="I306" s="2" t="s">
        <v>24</v>
      </c>
      <c r="J306" s="2" t="s">
        <v>24</v>
      </c>
      <c r="K306" s="2" t="s">
        <v>24</v>
      </c>
      <c r="L306" s="2" t="s">
        <v>24</v>
      </c>
    </row>
    <row r="307" customFormat="false" ht="15" hidden="false" customHeight="false" outlineLevel="0" collapsed="false">
      <c r="A307" s="2" t="s">
        <v>346</v>
      </c>
      <c r="B307" s="13" t="s">
        <v>345</v>
      </c>
      <c r="C307" s="13" t="s">
        <v>72</v>
      </c>
      <c r="D307" s="13" t="s">
        <v>3684</v>
      </c>
      <c r="E307" s="13" t="s">
        <v>105</v>
      </c>
      <c r="F307" s="2" t="s">
        <v>99</v>
      </c>
      <c r="G307" s="2" t="s">
        <v>3359</v>
      </c>
      <c r="H307" s="34" t="s">
        <v>822</v>
      </c>
      <c r="I307" s="2" t="s">
        <v>24</v>
      </c>
      <c r="J307" s="2" t="s">
        <v>24</v>
      </c>
      <c r="K307" s="2" t="s">
        <v>24</v>
      </c>
      <c r="L307" s="2" t="s">
        <v>24</v>
      </c>
    </row>
    <row r="308" customFormat="false" ht="15" hidden="false" customHeight="false" outlineLevel="0" collapsed="false">
      <c r="A308" s="2" t="s">
        <v>3069</v>
      </c>
      <c r="B308" s="14" t="s">
        <v>3685</v>
      </c>
      <c r="C308" s="14" t="s">
        <v>86</v>
      </c>
      <c r="D308" s="14" t="s">
        <v>3686</v>
      </c>
      <c r="E308" s="14" t="s">
        <v>105</v>
      </c>
      <c r="F308" s="2" t="s">
        <v>106</v>
      </c>
      <c r="G308" s="2" t="s">
        <v>3385</v>
      </c>
      <c r="H308" s="39" t="s">
        <v>832</v>
      </c>
      <c r="I308" s="2" t="s">
        <v>22</v>
      </c>
      <c r="J308" s="2" t="s">
        <v>22</v>
      </c>
      <c r="K308" s="2" t="s">
        <v>22</v>
      </c>
      <c r="L308" s="2" t="s">
        <v>22</v>
      </c>
    </row>
    <row r="309" customFormat="false" ht="15" hidden="false" customHeight="false" outlineLevel="0" collapsed="false">
      <c r="A309" s="2" t="s">
        <v>736</v>
      </c>
      <c r="B309" s="13" t="s">
        <v>735</v>
      </c>
      <c r="C309" s="13" t="s">
        <v>95</v>
      </c>
      <c r="D309" s="14" t="s">
        <v>3687</v>
      </c>
      <c r="E309" s="13" t="s">
        <v>105</v>
      </c>
      <c r="F309" s="2" t="s">
        <v>149</v>
      </c>
      <c r="G309" s="2" t="s">
        <v>3376</v>
      </c>
      <c r="H309" s="34" t="s">
        <v>822</v>
      </c>
      <c r="I309" s="2" t="s">
        <v>24</v>
      </c>
      <c r="J309" s="2" t="s">
        <v>24</v>
      </c>
      <c r="K309" s="2" t="s">
        <v>22</v>
      </c>
      <c r="L309" s="2" t="s">
        <v>24</v>
      </c>
    </row>
    <row r="310" customFormat="false" ht="15" hidden="false" customHeight="false" outlineLevel="0" collapsed="false">
      <c r="A310" s="2" t="s">
        <v>2167</v>
      </c>
      <c r="B310" s="13" t="s">
        <v>2166</v>
      </c>
      <c r="C310" s="13" t="s">
        <v>91</v>
      </c>
      <c r="D310" s="13" t="s">
        <v>3688</v>
      </c>
      <c r="E310" s="14" t="s">
        <v>102</v>
      </c>
      <c r="F310" s="2" t="s">
        <v>99</v>
      </c>
      <c r="G310" s="2" t="s">
        <v>3355</v>
      </c>
      <c r="H310" s="39" t="s">
        <v>832</v>
      </c>
      <c r="I310" s="2" t="s">
        <v>24</v>
      </c>
      <c r="J310" s="2" t="s">
        <v>24</v>
      </c>
      <c r="K310" s="2" t="s">
        <v>24</v>
      </c>
      <c r="L310" s="2" t="s">
        <v>22</v>
      </c>
    </row>
    <row r="311" customFormat="false" ht="15" hidden="false" customHeight="false" outlineLevel="0" collapsed="false">
      <c r="A311" s="2" t="s">
        <v>1643</v>
      </c>
      <c r="B311" s="13" t="s">
        <v>1642</v>
      </c>
      <c r="C311" s="13" t="s">
        <v>123</v>
      </c>
      <c r="D311" s="16"/>
      <c r="E311" s="13" t="s">
        <v>78</v>
      </c>
      <c r="F311" s="2" t="s">
        <v>149</v>
      </c>
      <c r="G311" s="2" t="s">
        <v>3361</v>
      </c>
      <c r="H311" s="39" t="s">
        <v>832</v>
      </c>
      <c r="I311" s="2" t="s">
        <v>24</v>
      </c>
      <c r="J311" s="2" t="s">
        <v>24</v>
      </c>
      <c r="K311" s="2"/>
      <c r="L311" s="2" t="s">
        <v>24</v>
      </c>
    </row>
    <row r="312" customFormat="false" ht="15" hidden="false" customHeight="false" outlineLevel="0" collapsed="false">
      <c r="A312" s="2" t="s">
        <v>3072</v>
      </c>
      <c r="B312" s="16"/>
      <c r="C312" s="16"/>
      <c r="D312" s="16"/>
      <c r="E312" s="16"/>
      <c r="F312" s="2" t="s">
        <v>99</v>
      </c>
      <c r="G312" s="2" t="s">
        <v>3410</v>
      </c>
      <c r="H312" s="39" t="s">
        <v>832</v>
      </c>
      <c r="I312" s="2"/>
      <c r="J312" s="2"/>
      <c r="K312" s="2"/>
      <c r="L312" s="2"/>
    </row>
    <row r="313" customFormat="false" ht="15" hidden="false" customHeight="false" outlineLevel="0" collapsed="false">
      <c r="A313" s="2" t="s">
        <v>794</v>
      </c>
      <c r="B313" s="13" t="s">
        <v>793</v>
      </c>
      <c r="C313" s="13" t="s">
        <v>123</v>
      </c>
      <c r="D313" s="13" t="s">
        <v>3689</v>
      </c>
      <c r="E313" s="13" t="s">
        <v>124</v>
      </c>
      <c r="F313" s="2" t="s">
        <v>45</v>
      </c>
      <c r="G313" s="2" t="s">
        <v>3364</v>
      </c>
      <c r="H313" s="34" t="s">
        <v>822</v>
      </c>
      <c r="I313" s="2" t="s">
        <v>24</v>
      </c>
      <c r="J313" s="2" t="s">
        <v>24</v>
      </c>
      <c r="K313" s="2" t="s">
        <v>24</v>
      </c>
      <c r="L313" s="2" t="s">
        <v>24</v>
      </c>
    </row>
    <row r="314" customFormat="false" ht="15" hidden="false" customHeight="false" outlineLevel="0" collapsed="false">
      <c r="A314" s="2" t="s">
        <v>428</v>
      </c>
      <c r="B314" s="13" t="s">
        <v>427</v>
      </c>
      <c r="C314" s="13" t="s">
        <v>95</v>
      </c>
      <c r="D314" s="14" t="s">
        <v>3690</v>
      </c>
      <c r="E314" s="13" t="s">
        <v>83</v>
      </c>
      <c r="F314" s="2" t="s">
        <v>99</v>
      </c>
      <c r="G314" s="2" t="s">
        <v>3359</v>
      </c>
      <c r="H314" s="34" t="s">
        <v>822</v>
      </c>
      <c r="I314" s="2" t="s">
        <v>24</v>
      </c>
      <c r="J314" s="2" t="s">
        <v>24</v>
      </c>
      <c r="K314" s="2" t="s">
        <v>22</v>
      </c>
      <c r="L314" s="2" t="s">
        <v>24</v>
      </c>
    </row>
    <row r="315" customFormat="false" ht="15" hidden="false" customHeight="false" outlineLevel="0" collapsed="false">
      <c r="A315" s="2" t="s">
        <v>1857</v>
      </c>
      <c r="B315" s="13" t="s">
        <v>1856</v>
      </c>
      <c r="C315" s="13" t="s">
        <v>72</v>
      </c>
      <c r="D315" s="13" t="s">
        <v>3691</v>
      </c>
      <c r="E315" s="13" t="s">
        <v>120</v>
      </c>
      <c r="F315" s="2" t="s">
        <v>99</v>
      </c>
      <c r="G315" s="2" t="s">
        <v>3355</v>
      </c>
      <c r="H315" s="39" t="s">
        <v>832</v>
      </c>
      <c r="I315" s="2" t="s">
        <v>24</v>
      </c>
      <c r="J315" s="2" t="s">
        <v>24</v>
      </c>
      <c r="K315" s="2" t="s">
        <v>24</v>
      </c>
      <c r="L315" s="2" t="s">
        <v>24</v>
      </c>
    </row>
    <row r="316" customFormat="false" ht="15" hidden="false" customHeight="false" outlineLevel="0" collapsed="false">
      <c r="A316" s="2" t="s">
        <v>426</v>
      </c>
      <c r="B316" s="13" t="s">
        <v>425</v>
      </c>
      <c r="C316" s="13" t="s">
        <v>95</v>
      </c>
      <c r="D316" s="14" t="s">
        <v>3692</v>
      </c>
      <c r="E316" s="13" t="s">
        <v>120</v>
      </c>
      <c r="F316" s="2" t="s">
        <v>99</v>
      </c>
      <c r="G316" s="2" t="s">
        <v>3359</v>
      </c>
      <c r="H316" s="34" t="s">
        <v>822</v>
      </c>
      <c r="I316" s="2" t="s">
        <v>24</v>
      </c>
      <c r="J316" s="2" t="s">
        <v>24</v>
      </c>
      <c r="K316" s="2" t="s">
        <v>22</v>
      </c>
      <c r="L316" s="2" t="s">
        <v>24</v>
      </c>
    </row>
    <row r="317" customFormat="false" ht="15" hidden="false" customHeight="false" outlineLevel="0" collapsed="false">
      <c r="A317" s="2" t="s">
        <v>330</v>
      </c>
      <c r="B317" s="14" t="s">
        <v>329</v>
      </c>
      <c r="C317" s="14" t="s">
        <v>123</v>
      </c>
      <c r="D317" s="14" t="s">
        <v>3693</v>
      </c>
      <c r="E317" s="14" t="s">
        <v>102</v>
      </c>
      <c r="F317" s="2" t="s">
        <v>99</v>
      </c>
      <c r="G317" s="2" t="s">
        <v>3359</v>
      </c>
      <c r="H317" s="34" t="s">
        <v>822</v>
      </c>
      <c r="I317" s="2" t="s">
        <v>22</v>
      </c>
      <c r="J317" s="2" t="s">
        <v>22</v>
      </c>
      <c r="K317" s="2" t="s">
        <v>22</v>
      </c>
      <c r="L317" s="2" t="s">
        <v>22</v>
      </c>
    </row>
    <row r="318" customFormat="false" ht="15" hidden="false" customHeight="false" outlineLevel="0" collapsed="false">
      <c r="A318" s="2" t="s">
        <v>442</v>
      </c>
      <c r="B318" s="13" t="s">
        <v>441</v>
      </c>
      <c r="C318" s="13" t="s">
        <v>77</v>
      </c>
      <c r="D318" s="14" t="s">
        <v>3694</v>
      </c>
      <c r="E318" s="13" t="s">
        <v>73</v>
      </c>
      <c r="F318" s="2" t="s">
        <v>99</v>
      </c>
      <c r="G318" s="2" t="s">
        <v>3359</v>
      </c>
      <c r="H318" s="34" t="s">
        <v>822</v>
      </c>
      <c r="I318" s="2" t="s">
        <v>24</v>
      </c>
      <c r="J318" s="2" t="s">
        <v>24</v>
      </c>
      <c r="K318" s="2" t="s">
        <v>22</v>
      </c>
      <c r="L318" s="2" t="s">
        <v>24</v>
      </c>
    </row>
    <row r="319" customFormat="false" ht="15" hidden="false" customHeight="false" outlineLevel="0" collapsed="false">
      <c r="A319" s="2" t="s">
        <v>2594</v>
      </c>
      <c r="B319" s="13" t="s">
        <v>2593</v>
      </c>
      <c r="C319" s="13" t="s">
        <v>86</v>
      </c>
      <c r="D319" s="13" t="s">
        <v>3695</v>
      </c>
      <c r="E319" s="13" t="s">
        <v>83</v>
      </c>
      <c r="F319" s="2" t="s">
        <v>106</v>
      </c>
      <c r="G319" s="2" t="s">
        <v>3361</v>
      </c>
      <c r="H319" s="39" t="s">
        <v>832</v>
      </c>
      <c r="I319" s="2" t="s">
        <v>24</v>
      </c>
      <c r="J319" s="2" t="s">
        <v>24</v>
      </c>
      <c r="K319" s="2" t="s">
        <v>24</v>
      </c>
      <c r="L319" s="2" t="s">
        <v>24</v>
      </c>
    </row>
    <row r="320" customFormat="false" ht="15" hidden="false" customHeight="false" outlineLevel="0" collapsed="false">
      <c r="A320" s="2" t="s">
        <v>1899</v>
      </c>
      <c r="B320" s="13" t="s">
        <v>1898</v>
      </c>
      <c r="C320" s="13" t="s">
        <v>98</v>
      </c>
      <c r="D320" s="13" t="s">
        <v>3696</v>
      </c>
      <c r="E320" s="13" t="s">
        <v>78</v>
      </c>
      <c r="F320" s="2" t="s">
        <v>99</v>
      </c>
      <c r="G320" s="2" t="s">
        <v>3355</v>
      </c>
      <c r="H320" s="39" t="s">
        <v>832</v>
      </c>
      <c r="I320" s="2" t="s">
        <v>24</v>
      </c>
      <c r="J320" s="2" t="s">
        <v>24</v>
      </c>
      <c r="K320" s="2" t="s">
        <v>24</v>
      </c>
      <c r="L320" s="2" t="s">
        <v>24</v>
      </c>
    </row>
    <row r="321" customFormat="false" ht="15" hidden="false" customHeight="false" outlineLevel="0" collapsed="false">
      <c r="A321" s="2" t="s">
        <v>398</v>
      </c>
      <c r="B321" s="13" t="s">
        <v>397</v>
      </c>
      <c r="C321" s="13" t="s">
        <v>82</v>
      </c>
      <c r="D321" s="13" t="s">
        <v>3697</v>
      </c>
      <c r="E321" s="14" t="s">
        <v>83</v>
      </c>
      <c r="F321" s="2" t="s">
        <v>149</v>
      </c>
      <c r="G321" s="2" t="s">
        <v>3376</v>
      </c>
      <c r="H321" s="34" t="s">
        <v>822</v>
      </c>
      <c r="I321" s="2" t="s">
        <v>24</v>
      </c>
      <c r="J321" s="2" t="s">
        <v>24</v>
      </c>
      <c r="K321" s="2" t="s">
        <v>24</v>
      </c>
      <c r="L321" s="2" t="s">
        <v>22</v>
      </c>
    </row>
    <row r="322" customFormat="false" ht="15" hidden="false" customHeight="false" outlineLevel="0" collapsed="false">
      <c r="A322" s="2" t="s">
        <v>350</v>
      </c>
      <c r="B322" s="13" t="s">
        <v>349</v>
      </c>
      <c r="C322" s="13" t="s">
        <v>77</v>
      </c>
      <c r="D322" s="14" t="s">
        <v>3698</v>
      </c>
      <c r="E322" s="13" t="s">
        <v>120</v>
      </c>
      <c r="F322" s="2" t="s">
        <v>99</v>
      </c>
      <c r="G322" s="2" t="s">
        <v>3359</v>
      </c>
      <c r="H322" s="34" t="s">
        <v>822</v>
      </c>
      <c r="I322" s="2" t="s">
        <v>24</v>
      </c>
      <c r="J322" s="2" t="s">
        <v>24</v>
      </c>
      <c r="K322" s="2" t="s">
        <v>22</v>
      </c>
      <c r="L322" s="2" t="s">
        <v>24</v>
      </c>
    </row>
    <row r="323" customFormat="false" ht="15" hidden="false" customHeight="false" outlineLevel="0" collapsed="false">
      <c r="A323" s="2" t="s">
        <v>648</v>
      </c>
      <c r="B323" s="13" t="s">
        <v>647</v>
      </c>
      <c r="C323" s="13" t="s">
        <v>95</v>
      </c>
      <c r="D323" s="13" t="s">
        <v>3699</v>
      </c>
      <c r="E323" s="13" t="s">
        <v>124</v>
      </c>
      <c r="F323" s="2" t="s">
        <v>47</v>
      </c>
      <c r="G323" s="2" t="s">
        <v>3364</v>
      </c>
      <c r="H323" s="34" t="s">
        <v>822</v>
      </c>
      <c r="I323" s="2" t="s">
        <v>24</v>
      </c>
      <c r="J323" s="2" t="s">
        <v>24</v>
      </c>
      <c r="K323" s="2" t="s">
        <v>24</v>
      </c>
      <c r="L323" s="2" t="s">
        <v>24</v>
      </c>
    </row>
    <row r="324" customFormat="false" ht="15" hidden="false" customHeight="false" outlineLevel="0" collapsed="false">
      <c r="A324" s="2" t="s">
        <v>468</v>
      </c>
      <c r="B324" s="13" t="s">
        <v>467</v>
      </c>
      <c r="C324" s="13" t="s">
        <v>77</v>
      </c>
      <c r="D324" s="13" t="s">
        <v>3700</v>
      </c>
      <c r="E324" s="13" t="s">
        <v>105</v>
      </c>
      <c r="F324" s="2" t="s">
        <v>99</v>
      </c>
      <c r="G324" s="2" t="s">
        <v>3359</v>
      </c>
      <c r="H324" s="34" t="s">
        <v>822</v>
      </c>
      <c r="I324" s="2" t="s">
        <v>24</v>
      </c>
      <c r="J324" s="2" t="s">
        <v>24</v>
      </c>
      <c r="K324" s="2" t="s">
        <v>24</v>
      </c>
      <c r="L324" s="2" t="s">
        <v>24</v>
      </c>
    </row>
    <row r="325" customFormat="false" ht="15" hidden="false" customHeight="false" outlineLevel="0" collapsed="false">
      <c r="A325" s="2" t="s">
        <v>318</v>
      </c>
      <c r="B325" s="13" t="s">
        <v>317</v>
      </c>
      <c r="C325" s="13" t="s">
        <v>95</v>
      </c>
      <c r="D325" s="13" t="s">
        <v>3701</v>
      </c>
      <c r="E325" s="13" t="s">
        <v>102</v>
      </c>
      <c r="F325" s="2" t="s">
        <v>99</v>
      </c>
      <c r="G325" s="2" t="s">
        <v>3359</v>
      </c>
      <c r="H325" s="34" t="s">
        <v>822</v>
      </c>
      <c r="I325" s="2" t="s">
        <v>24</v>
      </c>
      <c r="J325" s="2" t="s">
        <v>24</v>
      </c>
      <c r="K325" s="2" t="s">
        <v>24</v>
      </c>
      <c r="L325" s="2" t="s">
        <v>24</v>
      </c>
    </row>
    <row r="326" customFormat="false" ht="15" hidden="false" customHeight="false" outlineLevel="0" collapsed="false">
      <c r="A326" s="2" t="s">
        <v>2735</v>
      </c>
      <c r="B326" s="13" t="s">
        <v>2734</v>
      </c>
      <c r="C326" s="13" t="s">
        <v>91</v>
      </c>
      <c r="D326" s="13" t="s">
        <v>3702</v>
      </c>
      <c r="E326" s="13" t="s">
        <v>102</v>
      </c>
      <c r="F326" s="2" t="s">
        <v>106</v>
      </c>
      <c r="G326" s="2" t="s">
        <v>3361</v>
      </c>
      <c r="H326" s="39" t="s">
        <v>832</v>
      </c>
      <c r="I326" s="2" t="s">
        <v>24</v>
      </c>
      <c r="J326" s="2" t="s">
        <v>24</v>
      </c>
      <c r="K326" s="2" t="s">
        <v>24</v>
      </c>
      <c r="L326" s="2" t="s">
        <v>24</v>
      </c>
    </row>
    <row r="327" customFormat="false" ht="15" hidden="false" customHeight="false" outlineLevel="0" collapsed="false">
      <c r="A327" s="2" t="s">
        <v>806</v>
      </c>
      <c r="B327" s="13" t="s">
        <v>805</v>
      </c>
      <c r="C327" s="13" t="s">
        <v>82</v>
      </c>
      <c r="D327" s="13" t="s">
        <v>3703</v>
      </c>
      <c r="E327" s="13" t="s">
        <v>102</v>
      </c>
      <c r="F327" s="2" t="s">
        <v>46</v>
      </c>
      <c r="G327" s="2" t="s">
        <v>3364</v>
      </c>
      <c r="H327" s="34" t="s">
        <v>822</v>
      </c>
      <c r="I327" s="2" t="s">
        <v>24</v>
      </c>
      <c r="J327" s="2" t="s">
        <v>24</v>
      </c>
      <c r="K327" s="2" t="s">
        <v>24</v>
      </c>
      <c r="L327" s="2" t="s">
        <v>24</v>
      </c>
    </row>
    <row r="328" customFormat="false" ht="15" hidden="false" customHeight="false" outlineLevel="0" collapsed="false">
      <c r="A328" s="2" t="s">
        <v>1861</v>
      </c>
      <c r="B328" s="13" t="s">
        <v>1860</v>
      </c>
      <c r="C328" s="13" t="s">
        <v>115</v>
      </c>
      <c r="D328" s="14" t="s">
        <v>3704</v>
      </c>
      <c r="E328" s="13" t="s">
        <v>105</v>
      </c>
      <c r="F328" s="2" t="s">
        <v>99</v>
      </c>
      <c r="G328" s="2" t="s">
        <v>3369</v>
      </c>
      <c r="H328" s="39" t="s">
        <v>832</v>
      </c>
      <c r="I328" s="2" t="s">
        <v>24</v>
      </c>
      <c r="J328" s="2" t="s">
        <v>24</v>
      </c>
      <c r="K328" s="2" t="s">
        <v>22</v>
      </c>
      <c r="L328" s="2" t="s">
        <v>24</v>
      </c>
    </row>
    <row r="329" customFormat="false" ht="15" hidden="false" customHeight="false" outlineLevel="0" collapsed="false">
      <c r="A329" s="2" t="s">
        <v>850</v>
      </c>
      <c r="B329" s="13" t="s">
        <v>849</v>
      </c>
      <c r="C329" s="13" t="s">
        <v>98</v>
      </c>
      <c r="D329" s="13" t="s">
        <v>3705</v>
      </c>
      <c r="E329" s="13" t="s">
        <v>102</v>
      </c>
      <c r="F329" s="2" t="s">
        <v>99</v>
      </c>
      <c r="G329" s="2" t="s">
        <v>3355</v>
      </c>
      <c r="H329" s="39" t="s">
        <v>832</v>
      </c>
      <c r="I329" s="2" t="s">
        <v>24</v>
      </c>
      <c r="J329" s="2" t="s">
        <v>24</v>
      </c>
      <c r="K329" s="2" t="s">
        <v>24</v>
      </c>
      <c r="L329" s="2" t="s">
        <v>24</v>
      </c>
    </row>
    <row r="330" customFormat="false" ht="15" hidden="false" customHeight="false" outlineLevel="0" collapsed="false">
      <c r="A330" s="2" t="s">
        <v>2813</v>
      </c>
      <c r="B330" s="13" t="s">
        <v>2812</v>
      </c>
      <c r="C330" s="13" t="s">
        <v>72</v>
      </c>
      <c r="D330" s="13" t="s">
        <v>3706</v>
      </c>
      <c r="E330" s="13" t="s">
        <v>124</v>
      </c>
      <c r="F330" s="2" t="s">
        <v>92</v>
      </c>
      <c r="G330" s="2" t="s">
        <v>3361</v>
      </c>
      <c r="H330" s="39" t="s">
        <v>832</v>
      </c>
      <c r="I330" s="2" t="s">
        <v>24</v>
      </c>
      <c r="J330" s="2" t="s">
        <v>24</v>
      </c>
      <c r="K330" s="2" t="s">
        <v>24</v>
      </c>
      <c r="L330" s="2" t="s">
        <v>24</v>
      </c>
    </row>
    <row r="331" customFormat="false" ht="15" hidden="false" customHeight="false" outlineLevel="0" collapsed="false">
      <c r="A331" s="2" t="s">
        <v>504</v>
      </c>
      <c r="B331" s="13" t="s">
        <v>503</v>
      </c>
      <c r="C331" s="13" t="s">
        <v>77</v>
      </c>
      <c r="D331" s="13" t="s">
        <v>3707</v>
      </c>
      <c r="E331" s="13" t="s">
        <v>127</v>
      </c>
      <c r="F331" s="2" t="s">
        <v>92</v>
      </c>
      <c r="G331" s="2" t="s">
        <v>3376</v>
      </c>
      <c r="H331" s="34" t="s">
        <v>822</v>
      </c>
      <c r="I331" s="2" t="s">
        <v>24</v>
      </c>
      <c r="J331" s="2" t="s">
        <v>24</v>
      </c>
      <c r="K331" s="2" t="s">
        <v>24</v>
      </c>
      <c r="L331" s="2" t="s">
        <v>24</v>
      </c>
    </row>
    <row r="332" customFormat="false" ht="15" hidden="false" customHeight="false" outlineLevel="0" collapsed="false">
      <c r="A332" s="2" t="s">
        <v>234</v>
      </c>
      <c r="B332" s="13" t="s">
        <v>233</v>
      </c>
      <c r="C332" s="13" t="s">
        <v>86</v>
      </c>
      <c r="D332" s="13" t="s">
        <v>3708</v>
      </c>
      <c r="E332" s="13" t="s">
        <v>127</v>
      </c>
      <c r="F332" s="2" t="s">
        <v>99</v>
      </c>
      <c r="G332" s="2" t="s">
        <v>3359</v>
      </c>
      <c r="H332" s="34" t="s">
        <v>822</v>
      </c>
      <c r="I332" s="2" t="s">
        <v>24</v>
      </c>
      <c r="J332" s="2" t="s">
        <v>24</v>
      </c>
      <c r="K332" s="2" t="s">
        <v>24</v>
      </c>
      <c r="L332" s="2" t="s">
        <v>24</v>
      </c>
    </row>
    <row r="333" customFormat="false" ht="15" hidden="false" customHeight="false" outlineLevel="0" collapsed="false">
      <c r="A333" s="2" t="s">
        <v>157</v>
      </c>
      <c r="B333" s="13" t="s">
        <v>156</v>
      </c>
      <c r="C333" s="13" t="s">
        <v>72</v>
      </c>
      <c r="D333" s="14" t="s">
        <v>3709</v>
      </c>
      <c r="E333" s="13" t="s">
        <v>127</v>
      </c>
      <c r="F333" s="2" t="s">
        <v>46</v>
      </c>
      <c r="G333" s="2" t="s">
        <v>3364</v>
      </c>
      <c r="H333" s="34" t="s">
        <v>822</v>
      </c>
      <c r="I333" s="2" t="s">
        <v>24</v>
      </c>
      <c r="J333" s="2" t="s">
        <v>24</v>
      </c>
      <c r="K333" s="2" t="s">
        <v>22</v>
      </c>
      <c r="L333" s="2" t="s">
        <v>24</v>
      </c>
    </row>
    <row r="334" customFormat="false" ht="15" hidden="false" customHeight="false" outlineLevel="0" collapsed="false">
      <c r="A334" s="2" t="s">
        <v>2119</v>
      </c>
      <c r="B334" s="13" t="s">
        <v>2118</v>
      </c>
      <c r="C334" s="13" t="s">
        <v>162</v>
      </c>
      <c r="D334" s="13" t="s">
        <v>3710</v>
      </c>
      <c r="E334" s="13" t="s">
        <v>102</v>
      </c>
      <c r="F334" s="2" t="s">
        <v>99</v>
      </c>
      <c r="G334" s="2" t="s">
        <v>3355</v>
      </c>
      <c r="H334" s="39" t="s">
        <v>832</v>
      </c>
      <c r="I334" s="2" t="s">
        <v>24</v>
      </c>
      <c r="J334" s="2" t="s">
        <v>24</v>
      </c>
      <c r="K334" s="2" t="s">
        <v>24</v>
      </c>
      <c r="L334" s="2" t="s">
        <v>24</v>
      </c>
    </row>
    <row r="335" customFormat="false" ht="15" hidden="false" customHeight="false" outlineLevel="0" collapsed="false">
      <c r="A335" s="2" t="s">
        <v>1348</v>
      </c>
      <c r="B335" s="13" t="s">
        <v>1347</v>
      </c>
      <c r="C335" s="13" t="s">
        <v>98</v>
      </c>
      <c r="D335" s="13" t="s">
        <v>3711</v>
      </c>
      <c r="E335" s="13" t="s">
        <v>124</v>
      </c>
      <c r="F335" s="2" t="s">
        <v>99</v>
      </c>
      <c r="G335" s="2" t="s">
        <v>3355</v>
      </c>
      <c r="H335" s="39" t="s">
        <v>832</v>
      </c>
      <c r="I335" s="2" t="s">
        <v>24</v>
      </c>
      <c r="J335" s="2" t="s">
        <v>24</v>
      </c>
      <c r="K335" s="2" t="s">
        <v>24</v>
      </c>
      <c r="L335" s="2" t="s">
        <v>24</v>
      </c>
    </row>
    <row r="336" customFormat="false" ht="15" hidden="false" customHeight="false" outlineLevel="0" collapsed="false">
      <c r="A336" s="2" t="s">
        <v>214</v>
      </c>
      <c r="B336" s="13" t="s">
        <v>213</v>
      </c>
      <c r="C336" s="13" t="s">
        <v>77</v>
      </c>
      <c r="D336" s="13" t="s">
        <v>3712</v>
      </c>
      <c r="E336" s="13" t="s">
        <v>105</v>
      </c>
      <c r="F336" s="2" t="s">
        <v>99</v>
      </c>
      <c r="G336" s="2" t="s">
        <v>3359</v>
      </c>
      <c r="H336" s="34" t="s">
        <v>822</v>
      </c>
      <c r="I336" s="2" t="s">
        <v>24</v>
      </c>
      <c r="J336" s="2" t="s">
        <v>24</v>
      </c>
      <c r="K336" s="2" t="s">
        <v>24</v>
      </c>
      <c r="L336" s="2" t="s">
        <v>24</v>
      </c>
    </row>
    <row r="337" customFormat="false" ht="15" hidden="false" customHeight="false" outlineLevel="0" collapsed="false">
      <c r="A337" s="2" t="s">
        <v>2459</v>
      </c>
      <c r="B337" s="13" t="s">
        <v>2458</v>
      </c>
      <c r="C337" s="13" t="s">
        <v>98</v>
      </c>
      <c r="D337" s="13" t="s">
        <v>3713</v>
      </c>
      <c r="E337" s="13" t="s">
        <v>120</v>
      </c>
      <c r="F337" s="2" t="s">
        <v>106</v>
      </c>
      <c r="G337" s="2" t="s">
        <v>3361</v>
      </c>
      <c r="H337" s="39" t="s">
        <v>832</v>
      </c>
      <c r="I337" s="2" t="s">
        <v>24</v>
      </c>
      <c r="J337" s="2" t="s">
        <v>24</v>
      </c>
      <c r="K337" s="2" t="s">
        <v>24</v>
      </c>
      <c r="L337" s="2" t="s">
        <v>24</v>
      </c>
    </row>
    <row r="338" customFormat="false" ht="15" hidden="false" customHeight="false" outlineLevel="0" collapsed="false">
      <c r="A338" s="2" t="s">
        <v>899</v>
      </c>
      <c r="B338" s="13" t="s">
        <v>898</v>
      </c>
      <c r="C338" s="13" t="s">
        <v>98</v>
      </c>
      <c r="D338" s="14" t="s">
        <v>3714</v>
      </c>
      <c r="E338" s="13" t="s">
        <v>124</v>
      </c>
      <c r="F338" s="2" t="s">
        <v>149</v>
      </c>
      <c r="G338" s="2" t="s">
        <v>3361</v>
      </c>
      <c r="H338" s="39" t="s">
        <v>832</v>
      </c>
      <c r="I338" s="2" t="s">
        <v>24</v>
      </c>
      <c r="J338" s="2" t="s">
        <v>24</v>
      </c>
      <c r="K338" s="2" t="s">
        <v>22</v>
      </c>
      <c r="L338" s="2" t="s">
        <v>24</v>
      </c>
    </row>
    <row r="339" customFormat="false" ht="15" hidden="false" customHeight="false" outlineLevel="0" collapsed="false">
      <c r="A339" s="2" t="s">
        <v>1669</v>
      </c>
      <c r="B339" s="13" t="s">
        <v>1668</v>
      </c>
      <c r="C339" s="13" t="s">
        <v>162</v>
      </c>
      <c r="D339" s="13" t="s">
        <v>3715</v>
      </c>
      <c r="E339" s="13" t="s">
        <v>83</v>
      </c>
      <c r="F339" s="2" t="s">
        <v>99</v>
      </c>
      <c r="G339" s="2" t="s">
        <v>3355</v>
      </c>
      <c r="H339" s="39" t="s">
        <v>832</v>
      </c>
      <c r="I339" s="2" t="s">
        <v>24</v>
      </c>
      <c r="J339" s="2" t="s">
        <v>24</v>
      </c>
      <c r="K339" s="2" t="s">
        <v>24</v>
      </c>
      <c r="L339" s="2" t="s">
        <v>24</v>
      </c>
    </row>
    <row r="340" customFormat="false" ht="15" hidden="false" customHeight="false" outlineLevel="0" collapsed="false">
      <c r="A340" s="2" t="s">
        <v>3080</v>
      </c>
      <c r="B340" s="13" t="s">
        <v>3716</v>
      </c>
      <c r="C340" s="13" t="s">
        <v>95</v>
      </c>
      <c r="D340" s="13" t="s">
        <v>3717</v>
      </c>
      <c r="E340" s="13" t="s">
        <v>102</v>
      </c>
      <c r="F340" s="2" t="s">
        <v>45</v>
      </c>
      <c r="G340" s="2" t="s">
        <v>3395</v>
      </c>
      <c r="H340" s="39" t="s">
        <v>832</v>
      </c>
      <c r="I340" s="2" t="s">
        <v>24</v>
      </c>
      <c r="J340" s="2" t="s">
        <v>24</v>
      </c>
      <c r="K340" s="2" t="s">
        <v>24</v>
      </c>
      <c r="L340" s="2" t="s">
        <v>24</v>
      </c>
    </row>
    <row r="341" customFormat="false" ht="15" hidden="false" customHeight="false" outlineLevel="0" collapsed="false">
      <c r="A341" s="2" t="s">
        <v>444</v>
      </c>
      <c r="B341" s="13" t="s">
        <v>443</v>
      </c>
      <c r="C341" s="13" t="s">
        <v>162</v>
      </c>
      <c r="D341" s="14" t="s">
        <v>3718</v>
      </c>
      <c r="E341" s="13" t="s">
        <v>105</v>
      </c>
      <c r="F341" s="2" t="s">
        <v>45</v>
      </c>
      <c r="G341" s="2" t="s">
        <v>3364</v>
      </c>
      <c r="H341" s="34" t="s">
        <v>822</v>
      </c>
      <c r="I341" s="2" t="s">
        <v>24</v>
      </c>
      <c r="J341" s="2" t="s">
        <v>24</v>
      </c>
      <c r="K341" s="2" t="s">
        <v>22</v>
      </c>
      <c r="L341" s="2" t="s">
        <v>24</v>
      </c>
    </row>
    <row r="342" customFormat="false" ht="15" hidden="false" customHeight="false" outlineLevel="0" collapsed="false">
      <c r="A342" s="2" t="s">
        <v>792</v>
      </c>
      <c r="B342" s="13" t="s">
        <v>791</v>
      </c>
      <c r="C342" s="13" t="s">
        <v>95</v>
      </c>
      <c r="D342" s="13" t="s">
        <v>3719</v>
      </c>
      <c r="E342" s="13" t="s">
        <v>102</v>
      </c>
      <c r="F342" s="2" t="s">
        <v>46</v>
      </c>
      <c r="G342" s="2" t="s">
        <v>3364</v>
      </c>
      <c r="H342" s="34" t="s">
        <v>822</v>
      </c>
      <c r="I342" s="2" t="s">
        <v>24</v>
      </c>
      <c r="J342" s="2" t="s">
        <v>24</v>
      </c>
      <c r="K342" s="2" t="s">
        <v>24</v>
      </c>
      <c r="L342" s="2" t="s">
        <v>24</v>
      </c>
    </row>
    <row r="343" customFormat="false" ht="15" hidden="false" customHeight="false" outlineLevel="0" collapsed="false">
      <c r="A343" s="2" t="s">
        <v>2377</v>
      </c>
      <c r="B343" s="14" t="s">
        <v>2376</v>
      </c>
      <c r="C343" s="14" t="s">
        <v>95</v>
      </c>
      <c r="D343" s="14" t="s">
        <v>3720</v>
      </c>
      <c r="E343" s="14" t="s">
        <v>83</v>
      </c>
      <c r="F343" s="2" t="s">
        <v>99</v>
      </c>
      <c r="G343" s="2" t="s">
        <v>3369</v>
      </c>
      <c r="H343" s="39" t="s">
        <v>832</v>
      </c>
      <c r="I343" s="2" t="s">
        <v>22</v>
      </c>
      <c r="J343" s="2" t="s">
        <v>22</v>
      </c>
      <c r="K343" s="2" t="s">
        <v>22</v>
      </c>
      <c r="L343" s="2" t="s">
        <v>22</v>
      </c>
    </row>
    <row r="344" customFormat="false" ht="15" hidden="false" customHeight="false" outlineLevel="0" collapsed="false">
      <c r="A344" s="2" t="s">
        <v>1989</v>
      </c>
      <c r="B344" s="13" t="s">
        <v>1988</v>
      </c>
      <c r="C344" s="13" t="s">
        <v>123</v>
      </c>
      <c r="D344" s="13" t="s">
        <v>3721</v>
      </c>
      <c r="E344" s="13" t="s">
        <v>154</v>
      </c>
      <c r="F344" s="2" t="s">
        <v>99</v>
      </c>
      <c r="G344" s="2" t="s">
        <v>3369</v>
      </c>
      <c r="H344" s="39" t="s">
        <v>832</v>
      </c>
      <c r="I344" s="2" t="s">
        <v>24</v>
      </c>
      <c r="J344" s="2" t="s">
        <v>24</v>
      </c>
      <c r="K344" s="2" t="s">
        <v>24</v>
      </c>
      <c r="L344" s="2" t="s">
        <v>24</v>
      </c>
    </row>
    <row r="345" customFormat="false" ht="15" hidden="false" customHeight="false" outlineLevel="0" collapsed="false">
      <c r="A345" s="2" t="s">
        <v>3084</v>
      </c>
      <c r="B345" s="13" t="s">
        <v>3722</v>
      </c>
      <c r="C345" s="13" t="s">
        <v>115</v>
      </c>
      <c r="D345" s="13" t="s">
        <v>3723</v>
      </c>
      <c r="E345" s="13" t="s">
        <v>73</v>
      </c>
      <c r="F345" s="2" t="s">
        <v>46</v>
      </c>
      <c r="G345" s="2" t="s">
        <v>3395</v>
      </c>
      <c r="H345" s="39" t="s">
        <v>832</v>
      </c>
      <c r="I345" s="2" t="s">
        <v>24</v>
      </c>
      <c r="J345" s="2" t="s">
        <v>24</v>
      </c>
      <c r="K345" s="2" t="s">
        <v>24</v>
      </c>
      <c r="L345" s="2" t="s">
        <v>24</v>
      </c>
    </row>
    <row r="346" customFormat="false" ht="15" hidden="false" customHeight="false" outlineLevel="0" collapsed="false">
      <c r="A346" s="2" t="s">
        <v>186</v>
      </c>
      <c r="B346" s="13" t="s">
        <v>185</v>
      </c>
      <c r="C346" s="13" t="s">
        <v>86</v>
      </c>
      <c r="D346" s="13" t="s">
        <v>3724</v>
      </c>
      <c r="E346" s="13" t="s">
        <v>154</v>
      </c>
      <c r="F346" s="2" t="s">
        <v>149</v>
      </c>
      <c r="G346" s="2" t="s">
        <v>3376</v>
      </c>
      <c r="H346" s="34" t="s">
        <v>822</v>
      </c>
      <c r="I346" s="2" t="s">
        <v>24</v>
      </c>
      <c r="J346" s="2" t="s">
        <v>24</v>
      </c>
      <c r="K346" s="2" t="s">
        <v>24</v>
      </c>
      <c r="L346" s="2" t="s">
        <v>24</v>
      </c>
    </row>
    <row r="347" customFormat="false" ht="15" hidden="false" customHeight="false" outlineLevel="0" collapsed="false">
      <c r="A347" s="2" t="s">
        <v>1190</v>
      </c>
      <c r="B347" s="13" t="s">
        <v>1189</v>
      </c>
      <c r="C347" s="13" t="s">
        <v>98</v>
      </c>
      <c r="D347" s="13" t="s">
        <v>3725</v>
      </c>
      <c r="E347" s="13" t="s">
        <v>78</v>
      </c>
      <c r="F347" s="2" t="s">
        <v>99</v>
      </c>
      <c r="G347" s="2" t="s">
        <v>3355</v>
      </c>
      <c r="H347" s="39" t="s">
        <v>832</v>
      </c>
      <c r="I347" s="2" t="s">
        <v>24</v>
      </c>
      <c r="J347" s="2" t="s">
        <v>24</v>
      </c>
      <c r="K347" s="2" t="s">
        <v>24</v>
      </c>
      <c r="L347" s="2" t="s">
        <v>24</v>
      </c>
    </row>
    <row r="348" customFormat="false" ht="15" hidden="false" customHeight="false" outlineLevel="0" collapsed="false">
      <c r="A348" s="2" t="s">
        <v>654</v>
      </c>
      <c r="B348" s="13" t="s">
        <v>653</v>
      </c>
      <c r="C348" s="13" t="s">
        <v>86</v>
      </c>
      <c r="D348" s="13" t="s">
        <v>3726</v>
      </c>
      <c r="E348" s="13" t="s">
        <v>87</v>
      </c>
      <c r="F348" s="2" t="s">
        <v>99</v>
      </c>
      <c r="G348" s="2" t="s">
        <v>3359</v>
      </c>
      <c r="H348" s="34" t="s">
        <v>822</v>
      </c>
      <c r="I348" s="2" t="s">
        <v>24</v>
      </c>
      <c r="J348" s="2" t="s">
        <v>24</v>
      </c>
      <c r="K348" s="2" t="s">
        <v>24</v>
      </c>
      <c r="L348" s="2" t="s">
        <v>24</v>
      </c>
    </row>
    <row r="349" customFormat="false" ht="15" hidden="false" customHeight="false" outlineLevel="0" collapsed="false">
      <c r="A349" s="2" t="s">
        <v>1303</v>
      </c>
      <c r="B349" s="13" t="s">
        <v>1302</v>
      </c>
      <c r="C349" s="13" t="s">
        <v>86</v>
      </c>
      <c r="D349" s="13" t="s">
        <v>3727</v>
      </c>
      <c r="E349" s="13" t="s">
        <v>102</v>
      </c>
      <c r="F349" s="2" t="s">
        <v>99</v>
      </c>
      <c r="G349" s="2" t="s">
        <v>3369</v>
      </c>
      <c r="H349" s="39" t="s">
        <v>832</v>
      </c>
      <c r="I349" s="2" t="s">
        <v>24</v>
      </c>
      <c r="J349" s="2" t="s">
        <v>24</v>
      </c>
      <c r="K349" s="2" t="s">
        <v>24</v>
      </c>
      <c r="L349" s="2" t="s">
        <v>24</v>
      </c>
    </row>
    <row r="350" customFormat="false" ht="15" hidden="false" customHeight="false" outlineLevel="0" collapsed="false">
      <c r="A350" s="2" t="s">
        <v>2843</v>
      </c>
      <c r="B350" s="13" t="s">
        <v>2842</v>
      </c>
      <c r="C350" s="13" t="s">
        <v>98</v>
      </c>
      <c r="D350" s="13" t="s">
        <v>3728</v>
      </c>
      <c r="E350" s="13" t="s">
        <v>127</v>
      </c>
      <c r="F350" s="2" t="s">
        <v>99</v>
      </c>
      <c r="G350" s="2" t="s">
        <v>3369</v>
      </c>
      <c r="H350" s="39" t="s">
        <v>832</v>
      </c>
      <c r="I350" s="2" t="s">
        <v>24</v>
      </c>
      <c r="J350" s="2" t="s">
        <v>24</v>
      </c>
      <c r="K350" s="2" t="s">
        <v>24</v>
      </c>
      <c r="L350" s="2" t="s">
        <v>24</v>
      </c>
    </row>
    <row r="351" customFormat="false" ht="15" hidden="false" customHeight="false" outlineLevel="0" collapsed="false">
      <c r="A351" s="2" t="s">
        <v>1583</v>
      </c>
      <c r="B351" s="13" t="s">
        <v>1582</v>
      </c>
      <c r="C351" s="13" t="s">
        <v>98</v>
      </c>
      <c r="D351" s="13" t="s">
        <v>3729</v>
      </c>
      <c r="E351" s="13" t="s">
        <v>73</v>
      </c>
      <c r="F351" s="2" t="s">
        <v>99</v>
      </c>
      <c r="G351" s="2" t="s">
        <v>3355</v>
      </c>
      <c r="H351" s="39" t="s">
        <v>832</v>
      </c>
      <c r="I351" s="2" t="s">
        <v>24</v>
      </c>
      <c r="J351" s="2" t="s">
        <v>24</v>
      </c>
      <c r="K351" s="2" t="s">
        <v>24</v>
      </c>
      <c r="L351" s="2" t="s">
        <v>24</v>
      </c>
    </row>
    <row r="352" customFormat="false" ht="15" hidden="false" customHeight="false" outlineLevel="0" collapsed="false">
      <c r="A352" s="2" t="s">
        <v>159</v>
      </c>
      <c r="B352" s="13" t="s">
        <v>158</v>
      </c>
      <c r="C352" s="13" t="s">
        <v>86</v>
      </c>
      <c r="D352" s="13" t="s">
        <v>3730</v>
      </c>
      <c r="E352" s="13" t="s">
        <v>105</v>
      </c>
      <c r="F352" s="2" t="s">
        <v>99</v>
      </c>
      <c r="G352" s="2" t="s">
        <v>3359</v>
      </c>
      <c r="H352" s="34" t="s">
        <v>822</v>
      </c>
      <c r="I352" s="2" t="s">
        <v>24</v>
      </c>
      <c r="J352" s="2" t="s">
        <v>24</v>
      </c>
      <c r="K352" s="2" t="s">
        <v>24</v>
      </c>
      <c r="L352" s="2" t="s">
        <v>24</v>
      </c>
    </row>
    <row r="353" customFormat="false" ht="15" hidden="false" customHeight="false" outlineLevel="0" collapsed="false">
      <c r="A353" s="2" t="s">
        <v>1819</v>
      </c>
      <c r="B353" s="13" t="s">
        <v>1818</v>
      </c>
      <c r="C353" s="13" t="s">
        <v>91</v>
      </c>
      <c r="D353" s="13" t="s">
        <v>3731</v>
      </c>
      <c r="E353" s="13" t="s">
        <v>127</v>
      </c>
      <c r="F353" s="2" t="s">
        <v>99</v>
      </c>
      <c r="G353" s="2" t="s">
        <v>3355</v>
      </c>
      <c r="H353" s="39" t="s">
        <v>832</v>
      </c>
      <c r="I353" s="2" t="s">
        <v>24</v>
      </c>
      <c r="J353" s="2" t="s">
        <v>24</v>
      </c>
      <c r="K353" s="2" t="s">
        <v>24</v>
      </c>
      <c r="L353" s="2" t="s">
        <v>24</v>
      </c>
    </row>
    <row r="354" customFormat="false" ht="15" hidden="false" customHeight="false" outlineLevel="0" collapsed="false">
      <c r="A354" s="2" t="s">
        <v>1025</v>
      </c>
      <c r="B354" s="14" t="s">
        <v>1024</v>
      </c>
      <c r="C354" s="13" t="s">
        <v>115</v>
      </c>
      <c r="D354" s="13" t="s">
        <v>3732</v>
      </c>
      <c r="E354" s="13" t="s">
        <v>73</v>
      </c>
      <c r="F354" s="2" t="s">
        <v>99</v>
      </c>
      <c r="G354" s="2" t="s">
        <v>3355</v>
      </c>
      <c r="H354" s="39" t="s">
        <v>832</v>
      </c>
      <c r="I354" s="2" t="s">
        <v>22</v>
      </c>
      <c r="J354" s="2" t="s">
        <v>24</v>
      </c>
      <c r="K354" s="2" t="s">
        <v>24</v>
      </c>
      <c r="L354" s="2" t="s">
        <v>24</v>
      </c>
    </row>
    <row r="355" customFormat="false" ht="15" hidden="false" customHeight="false" outlineLevel="0" collapsed="false">
      <c r="A355" s="2" t="s">
        <v>236</v>
      </c>
      <c r="B355" s="14" t="s">
        <v>235</v>
      </c>
      <c r="C355" s="14" t="s">
        <v>91</v>
      </c>
      <c r="D355" s="14" t="s">
        <v>3733</v>
      </c>
      <c r="E355" s="14" t="s">
        <v>154</v>
      </c>
      <c r="F355" s="2" t="s">
        <v>47</v>
      </c>
      <c r="G355" s="2" t="s">
        <v>3364</v>
      </c>
      <c r="H355" s="34" t="s">
        <v>822</v>
      </c>
      <c r="I355" s="2" t="s">
        <v>22</v>
      </c>
      <c r="J355" s="2" t="s">
        <v>22</v>
      </c>
      <c r="K355" s="2" t="s">
        <v>22</v>
      </c>
      <c r="L355" s="2" t="s">
        <v>22</v>
      </c>
    </row>
    <row r="356" customFormat="false" ht="15" hidden="false" customHeight="false" outlineLevel="0" collapsed="false">
      <c r="A356" s="2" t="s">
        <v>340</v>
      </c>
      <c r="B356" s="13" t="s">
        <v>339</v>
      </c>
      <c r="C356" s="13" t="s">
        <v>82</v>
      </c>
      <c r="D356" s="13" t="s">
        <v>3734</v>
      </c>
      <c r="E356" s="13" t="s">
        <v>78</v>
      </c>
      <c r="F356" s="2" t="s">
        <v>46</v>
      </c>
      <c r="G356" s="2" t="s">
        <v>3364</v>
      </c>
      <c r="H356" s="34" t="s">
        <v>822</v>
      </c>
      <c r="I356" s="2" t="s">
        <v>24</v>
      </c>
      <c r="J356" s="2" t="s">
        <v>24</v>
      </c>
      <c r="K356" s="2" t="s">
        <v>24</v>
      </c>
      <c r="L356" s="2" t="s">
        <v>24</v>
      </c>
    </row>
    <row r="357" customFormat="false" ht="15" hidden="false" customHeight="false" outlineLevel="0" collapsed="false">
      <c r="A357" s="2" t="s">
        <v>2279</v>
      </c>
      <c r="B357" s="13" t="s">
        <v>2278</v>
      </c>
      <c r="C357" s="13" t="s">
        <v>82</v>
      </c>
      <c r="D357" s="13" t="s">
        <v>3735</v>
      </c>
      <c r="E357" s="16"/>
      <c r="F357" s="2" t="s">
        <v>99</v>
      </c>
      <c r="G357" s="2" t="s">
        <v>3369</v>
      </c>
      <c r="H357" s="39" t="s">
        <v>832</v>
      </c>
      <c r="I357" s="2" t="s">
        <v>24</v>
      </c>
      <c r="J357" s="2" t="s">
        <v>24</v>
      </c>
      <c r="K357" s="2" t="s">
        <v>24</v>
      </c>
      <c r="L357" s="2"/>
    </row>
    <row r="358" customFormat="false" ht="15" hidden="false" customHeight="false" outlineLevel="0" collapsed="false">
      <c r="A358" s="2" t="s">
        <v>146</v>
      </c>
      <c r="B358" s="13" t="s">
        <v>145</v>
      </c>
      <c r="C358" s="13" t="s">
        <v>86</v>
      </c>
      <c r="D358" s="13" t="s">
        <v>3736</v>
      </c>
      <c r="E358" s="14" t="s">
        <v>78</v>
      </c>
      <c r="F358" s="2" t="s">
        <v>99</v>
      </c>
      <c r="G358" s="2" t="s">
        <v>3359</v>
      </c>
      <c r="H358" s="34" t="s">
        <v>822</v>
      </c>
      <c r="I358" s="2" t="s">
        <v>24</v>
      </c>
      <c r="J358" s="2" t="s">
        <v>24</v>
      </c>
      <c r="K358" s="2" t="s">
        <v>24</v>
      </c>
      <c r="L358" s="2" t="s">
        <v>22</v>
      </c>
    </row>
    <row r="359" customFormat="false" ht="15" hidden="false" customHeight="false" outlineLevel="0" collapsed="false">
      <c r="A359" s="2" t="s">
        <v>3091</v>
      </c>
      <c r="B359" s="16"/>
      <c r="C359" s="16"/>
      <c r="D359" s="16"/>
      <c r="E359" s="16"/>
      <c r="F359" s="2" t="s">
        <v>45</v>
      </c>
      <c r="G359" s="2" t="s">
        <v>3395</v>
      </c>
      <c r="H359" s="39" t="s">
        <v>832</v>
      </c>
      <c r="I359" s="2"/>
      <c r="J359" s="2"/>
      <c r="K359" s="2"/>
      <c r="L359" s="2"/>
    </row>
    <row r="360" customFormat="false" ht="15" hidden="false" customHeight="false" outlineLevel="0" collapsed="false">
      <c r="A360" s="2" t="s">
        <v>652</v>
      </c>
      <c r="B360" s="14" t="s">
        <v>651</v>
      </c>
      <c r="C360" s="14" t="s">
        <v>115</v>
      </c>
      <c r="D360" s="14" t="s">
        <v>3737</v>
      </c>
      <c r="E360" s="14" t="s">
        <v>102</v>
      </c>
      <c r="F360" s="2" t="s">
        <v>47</v>
      </c>
      <c r="G360" s="2" t="s">
        <v>3364</v>
      </c>
      <c r="H360" s="34" t="s">
        <v>822</v>
      </c>
      <c r="I360" s="2" t="s">
        <v>22</v>
      </c>
      <c r="J360" s="2" t="s">
        <v>22</v>
      </c>
      <c r="K360" s="2" t="s">
        <v>22</v>
      </c>
      <c r="L360" s="2" t="s">
        <v>22</v>
      </c>
    </row>
    <row r="361" customFormat="false" ht="15" hidden="false" customHeight="false" outlineLevel="0" collapsed="false">
      <c r="A361" s="2" t="s">
        <v>3092</v>
      </c>
      <c r="B361" s="13" t="s">
        <v>3738</v>
      </c>
      <c r="C361" s="13" t="s">
        <v>86</v>
      </c>
      <c r="D361" s="13" t="s">
        <v>3739</v>
      </c>
      <c r="E361" s="13" t="s">
        <v>154</v>
      </c>
      <c r="F361" s="2" t="s">
        <v>46</v>
      </c>
      <c r="G361" s="2" t="s">
        <v>3395</v>
      </c>
      <c r="H361" s="39" t="s">
        <v>832</v>
      </c>
      <c r="I361" s="2" t="s">
        <v>24</v>
      </c>
      <c r="J361" s="2" t="s">
        <v>24</v>
      </c>
      <c r="K361" s="2" t="s">
        <v>24</v>
      </c>
      <c r="L361" s="2" t="s">
        <v>24</v>
      </c>
    </row>
    <row r="362" customFormat="false" ht="15" hidden="false" customHeight="false" outlineLevel="0" collapsed="false">
      <c r="A362" s="2" t="s">
        <v>768</v>
      </c>
      <c r="B362" s="13" t="s">
        <v>767</v>
      </c>
      <c r="C362" s="13" t="s">
        <v>162</v>
      </c>
      <c r="D362" s="13" t="s">
        <v>3740</v>
      </c>
      <c r="E362" s="13" t="s">
        <v>120</v>
      </c>
      <c r="F362" s="2" t="s">
        <v>46</v>
      </c>
      <c r="G362" s="2" t="s">
        <v>3364</v>
      </c>
      <c r="H362" s="34" t="s">
        <v>822</v>
      </c>
      <c r="I362" s="2" t="s">
        <v>24</v>
      </c>
      <c r="J362" s="2" t="s">
        <v>24</v>
      </c>
      <c r="K362" s="2" t="s">
        <v>24</v>
      </c>
      <c r="L362" s="2" t="s">
        <v>24</v>
      </c>
    </row>
    <row r="363" customFormat="false" ht="15" hidden="false" customHeight="false" outlineLevel="0" collapsed="false">
      <c r="A363" s="2" t="s">
        <v>1312</v>
      </c>
      <c r="B363" s="13" t="s">
        <v>1311</v>
      </c>
      <c r="C363" s="13" t="s">
        <v>115</v>
      </c>
      <c r="D363" s="16"/>
      <c r="E363" s="13" t="s">
        <v>154</v>
      </c>
      <c r="F363" s="2" t="s">
        <v>149</v>
      </c>
      <c r="G363" s="2" t="s">
        <v>3361</v>
      </c>
      <c r="H363" s="39" t="s">
        <v>832</v>
      </c>
      <c r="I363" s="2" t="s">
        <v>24</v>
      </c>
      <c r="J363" s="2" t="s">
        <v>24</v>
      </c>
      <c r="K363" s="2"/>
      <c r="L363" s="2" t="s">
        <v>24</v>
      </c>
    </row>
    <row r="364" customFormat="false" ht="15" hidden="false" customHeight="false" outlineLevel="0" collapsed="false">
      <c r="A364" s="2" t="s">
        <v>724</v>
      </c>
      <c r="B364" s="13" t="s">
        <v>723</v>
      </c>
      <c r="C364" s="13" t="s">
        <v>162</v>
      </c>
      <c r="D364" s="16"/>
      <c r="E364" s="13" t="s">
        <v>102</v>
      </c>
      <c r="F364" s="2" t="s">
        <v>45</v>
      </c>
      <c r="G364" s="2" t="s">
        <v>3364</v>
      </c>
      <c r="H364" s="34" t="s">
        <v>822</v>
      </c>
      <c r="I364" s="2" t="s">
        <v>24</v>
      </c>
      <c r="J364" s="2" t="s">
        <v>24</v>
      </c>
      <c r="K364" s="2"/>
      <c r="L364" s="2" t="s">
        <v>24</v>
      </c>
    </row>
    <row r="365" customFormat="false" ht="15" hidden="false" customHeight="false" outlineLevel="0" collapsed="false">
      <c r="A365" s="2" t="s">
        <v>3095</v>
      </c>
      <c r="B365" s="13" t="s">
        <v>3741</v>
      </c>
      <c r="C365" s="13" t="s">
        <v>72</v>
      </c>
      <c r="D365" s="13" t="s">
        <v>3742</v>
      </c>
      <c r="E365" s="13" t="s">
        <v>87</v>
      </c>
      <c r="F365" s="2" t="s">
        <v>46</v>
      </c>
      <c r="G365" s="2" t="s">
        <v>3395</v>
      </c>
      <c r="H365" s="39" t="s">
        <v>832</v>
      </c>
      <c r="I365" s="2" t="s">
        <v>24</v>
      </c>
      <c r="J365" s="2" t="s">
        <v>24</v>
      </c>
      <c r="K365" s="2" t="s">
        <v>24</v>
      </c>
      <c r="L365" s="2" t="s">
        <v>24</v>
      </c>
    </row>
    <row r="366" customFormat="false" ht="15" hidden="false" customHeight="false" outlineLevel="0" collapsed="false">
      <c r="A366" s="2" t="s">
        <v>784</v>
      </c>
      <c r="B366" s="13" t="s">
        <v>783</v>
      </c>
      <c r="C366" s="13" t="s">
        <v>123</v>
      </c>
      <c r="D366" s="14" t="s">
        <v>3743</v>
      </c>
      <c r="E366" s="13" t="s">
        <v>87</v>
      </c>
      <c r="F366" s="2" t="s">
        <v>106</v>
      </c>
      <c r="G366" s="2" t="s">
        <v>3376</v>
      </c>
      <c r="H366" s="34" t="s">
        <v>822</v>
      </c>
      <c r="I366" s="2" t="s">
        <v>24</v>
      </c>
      <c r="J366" s="2" t="s">
        <v>24</v>
      </c>
      <c r="K366" s="2" t="s">
        <v>22</v>
      </c>
      <c r="L366" s="2" t="s">
        <v>24</v>
      </c>
    </row>
    <row r="367" customFormat="false" ht="15" hidden="false" customHeight="false" outlineLevel="0" collapsed="false">
      <c r="A367" s="2" t="s">
        <v>290</v>
      </c>
      <c r="B367" s="13" t="s">
        <v>289</v>
      </c>
      <c r="C367" s="13" t="s">
        <v>91</v>
      </c>
      <c r="D367" s="13" t="s">
        <v>3744</v>
      </c>
      <c r="E367" s="13" t="s">
        <v>87</v>
      </c>
      <c r="F367" s="2" t="s">
        <v>99</v>
      </c>
      <c r="G367" s="2" t="s">
        <v>3359</v>
      </c>
      <c r="H367" s="34" t="s">
        <v>822</v>
      </c>
      <c r="I367" s="2" t="s">
        <v>24</v>
      </c>
      <c r="J367" s="2" t="s">
        <v>24</v>
      </c>
      <c r="K367" s="2" t="s">
        <v>24</v>
      </c>
      <c r="L367" s="2" t="s">
        <v>24</v>
      </c>
    </row>
    <row r="368" customFormat="false" ht="15" hidden="false" customHeight="false" outlineLevel="0" collapsed="false">
      <c r="A368" s="2" t="s">
        <v>660</v>
      </c>
      <c r="B368" s="13" t="s">
        <v>659</v>
      </c>
      <c r="C368" s="13" t="s">
        <v>82</v>
      </c>
      <c r="D368" s="16"/>
      <c r="E368" s="13" t="s">
        <v>83</v>
      </c>
      <c r="F368" s="2" t="s">
        <v>46</v>
      </c>
      <c r="G368" s="2" t="s">
        <v>3364</v>
      </c>
      <c r="H368" s="34" t="s">
        <v>822</v>
      </c>
      <c r="I368" s="2" t="s">
        <v>24</v>
      </c>
      <c r="J368" s="2" t="s">
        <v>24</v>
      </c>
      <c r="K368" s="2"/>
      <c r="L368" s="2" t="s">
        <v>24</v>
      </c>
    </row>
    <row r="369" customFormat="false" ht="15" hidden="false" customHeight="false" outlineLevel="0" collapsed="false">
      <c r="A369" s="2" t="s">
        <v>3098</v>
      </c>
      <c r="B369" s="14" t="s">
        <v>3745</v>
      </c>
      <c r="C369" s="14" t="s">
        <v>91</v>
      </c>
      <c r="D369" s="14" t="s">
        <v>3746</v>
      </c>
      <c r="E369" s="14" t="s">
        <v>120</v>
      </c>
      <c r="F369" s="2" t="s">
        <v>92</v>
      </c>
      <c r="G369" s="2" t="s">
        <v>3385</v>
      </c>
      <c r="H369" s="39" t="s">
        <v>832</v>
      </c>
      <c r="I369" s="2" t="s">
        <v>22</v>
      </c>
      <c r="J369" s="2" t="s">
        <v>22</v>
      </c>
      <c r="K369" s="2" t="s">
        <v>22</v>
      </c>
      <c r="L369" s="2" t="s">
        <v>22</v>
      </c>
    </row>
    <row r="370" customFormat="false" ht="15" hidden="false" customHeight="false" outlineLevel="0" collapsed="false">
      <c r="A370" s="2" t="s">
        <v>3100</v>
      </c>
      <c r="B370" s="16"/>
      <c r="C370" s="16"/>
      <c r="D370" s="16"/>
      <c r="E370" s="16"/>
      <c r="F370" s="2" t="s">
        <v>46</v>
      </c>
      <c r="G370" s="2" t="s">
        <v>3395</v>
      </c>
      <c r="H370" s="39" t="s">
        <v>832</v>
      </c>
      <c r="I370" s="2"/>
      <c r="J370" s="2"/>
      <c r="K370" s="2"/>
      <c r="L370" s="2"/>
    </row>
    <row r="371" customFormat="false" ht="15" hidden="false" customHeight="false" outlineLevel="0" collapsed="false">
      <c r="A371" s="2" t="s">
        <v>3101</v>
      </c>
      <c r="B371" s="13" t="s">
        <v>3747</v>
      </c>
      <c r="C371" s="13" t="s">
        <v>82</v>
      </c>
      <c r="D371" s="13" t="s">
        <v>3748</v>
      </c>
      <c r="E371" s="13" t="s">
        <v>120</v>
      </c>
      <c r="F371" s="2" t="s">
        <v>46</v>
      </c>
      <c r="G371" s="2" t="s">
        <v>3395</v>
      </c>
      <c r="H371" s="39" t="s">
        <v>832</v>
      </c>
      <c r="I371" s="2" t="s">
        <v>24</v>
      </c>
      <c r="J371" s="2" t="s">
        <v>24</v>
      </c>
      <c r="K371" s="2" t="s">
        <v>24</v>
      </c>
      <c r="L371" s="2" t="s">
        <v>24</v>
      </c>
    </row>
    <row r="372" customFormat="false" ht="15" hidden="false" customHeight="false" outlineLevel="0" collapsed="false">
      <c r="A372" s="2" t="s">
        <v>172</v>
      </c>
      <c r="B372" s="13" t="s">
        <v>171</v>
      </c>
      <c r="C372" s="13" t="s">
        <v>91</v>
      </c>
      <c r="D372" s="13" t="s">
        <v>3749</v>
      </c>
      <c r="E372" s="13" t="s">
        <v>102</v>
      </c>
      <c r="F372" s="2" t="s">
        <v>92</v>
      </c>
      <c r="G372" s="2" t="s">
        <v>3376</v>
      </c>
      <c r="H372" s="34" t="s">
        <v>822</v>
      </c>
      <c r="I372" s="2" t="s">
        <v>24</v>
      </c>
      <c r="J372" s="2" t="s">
        <v>24</v>
      </c>
      <c r="K372" s="2" t="s">
        <v>24</v>
      </c>
      <c r="L372" s="2" t="s">
        <v>24</v>
      </c>
    </row>
    <row r="373" customFormat="false" ht="15" hidden="false" customHeight="false" outlineLevel="0" collapsed="false">
      <c r="A373" s="2" t="s">
        <v>476</v>
      </c>
      <c r="B373" s="13" t="s">
        <v>475</v>
      </c>
      <c r="C373" s="13" t="s">
        <v>115</v>
      </c>
      <c r="D373" s="14" t="s">
        <v>3750</v>
      </c>
      <c r="E373" s="13" t="s">
        <v>105</v>
      </c>
      <c r="F373" s="2" t="s">
        <v>99</v>
      </c>
      <c r="G373" s="2" t="s">
        <v>3359</v>
      </c>
      <c r="H373" s="34" t="s">
        <v>822</v>
      </c>
      <c r="I373" s="2" t="s">
        <v>24</v>
      </c>
      <c r="J373" s="2" t="s">
        <v>24</v>
      </c>
      <c r="K373" s="2" t="s">
        <v>22</v>
      </c>
      <c r="L373" s="2" t="s">
        <v>24</v>
      </c>
    </row>
    <row r="374" customFormat="false" ht="15" hidden="false" customHeight="false" outlineLevel="0" collapsed="false">
      <c r="A374" s="2" t="s">
        <v>262</v>
      </c>
      <c r="B374" s="13" t="s">
        <v>261</v>
      </c>
      <c r="C374" s="13" t="s">
        <v>115</v>
      </c>
      <c r="D374" s="13" t="s">
        <v>3751</v>
      </c>
      <c r="E374" s="13" t="s">
        <v>105</v>
      </c>
      <c r="F374" s="2" t="s">
        <v>47</v>
      </c>
      <c r="G374" s="2" t="s">
        <v>3364</v>
      </c>
      <c r="H374" s="34" t="s">
        <v>822</v>
      </c>
      <c r="I374" s="2" t="s">
        <v>24</v>
      </c>
      <c r="J374" s="2" t="s">
        <v>24</v>
      </c>
      <c r="K374" s="2" t="s">
        <v>24</v>
      </c>
      <c r="L374" s="2" t="s">
        <v>24</v>
      </c>
    </row>
    <row r="375" customFormat="false" ht="15" hidden="false" customHeight="false" outlineLevel="0" collapsed="false">
      <c r="A375" s="2" t="s">
        <v>2136</v>
      </c>
      <c r="B375" s="14" t="s">
        <v>2135</v>
      </c>
      <c r="C375" s="14" t="s">
        <v>98</v>
      </c>
      <c r="D375" s="14" t="s">
        <v>3752</v>
      </c>
      <c r="E375" s="14" t="s">
        <v>78</v>
      </c>
      <c r="F375" s="2" t="s">
        <v>149</v>
      </c>
      <c r="G375" s="2" t="s">
        <v>3361</v>
      </c>
      <c r="H375" s="39" t="s">
        <v>832</v>
      </c>
      <c r="I375" s="2" t="s">
        <v>22</v>
      </c>
      <c r="J375" s="2" t="s">
        <v>22</v>
      </c>
      <c r="K375" s="2" t="s">
        <v>22</v>
      </c>
      <c r="L375" s="2" t="s">
        <v>22</v>
      </c>
    </row>
    <row r="376" customFormat="false" ht="15" hidden="false" customHeight="false" outlineLevel="0" collapsed="false">
      <c r="A376" s="2" t="s">
        <v>1625</v>
      </c>
      <c r="B376" s="13" t="s">
        <v>1624</v>
      </c>
      <c r="C376" s="13" t="s">
        <v>86</v>
      </c>
      <c r="D376" s="14" t="s">
        <v>3753</v>
      </c>
      <c r="E376" s="13" t="s">
        <v>105</v>
      </c>
      <c r="F376" s="2" t="s">
        <v>99</v>
      </c>
      <c r="G376" s="2" t="s">
        <v>3355</v>
      </c>
      <c r="H376" s="39" t="s">
        <v>832</v>
      </c>
      <c r="I376" s="2" t="s">
        <v>24</v>
      </c>
      <c r="J376" s="2" t="s">
        <v>24</v>
      </c>
      <c r="K376" s="2" t="s">
        <v>22</v>
      </c>
      <c r="L376" s="2" t="s">
        <v>24</v>
      </c>
    </row>
    <row r="377" customFormat="false" ht="15" hidden="false" customHeight="false" outlineLevel="0" collapsed="false">
      <c r="A377" s="2" t="s">
        <v>590</v>
      </c>
      <c r="B377" s="13" t="s">
        <v>589</v>
      </c>
      <c r="C377" s="13" t="s">
        <v>82</v>
      </c>
      <c r="D377" s="13" t="s">
        <v>3754</v>
      </c>
      <c r="E377" s="13" t="s">
        <v>73</v>
      </c>
      <c r="F377" s="2" t="s">
        <v>99</v>
      </c>
      <c r="G377" s="2" t="s">
        <v>3359</v>
      </c>
      <c r="H377" s="34" t="s">
        <v>822</v>
      </c>
      <c r="I377" s="2" t="s">
        <v>24</v>
      </c>
      <c r="J377" s="2" t="s">
        <v>24</v>
      </c>
      <c r="K377" s="2" t="s">
        <v>24</v>
      </c>
      <c r="L377" s="2" t="s">
        <v>24</v>
      </c>
    </row>
    <row r="378" customFormat="false" ht="15" hidden="false" customHeight="false" outlineLevel="0" collapsed="false">
      <c r="A378" s="2" t="s">
        <v>1207</v>
      </c>
      <c r="B378" s="14" t="s">
        <v>1206</v>
      </c>
      <c r="C378" s="13" t="s">
        <v>82</v>
      </c>
      <c r="D378" s="13" t="s">
        <v>3755</v>
      </c>
      <c r="E378" s="13" t="s">
        <v>102</v>
      </c>
      <c r="F378" s="2" t="s">
        <v>99</v>
      </c>
      <c r="G378" s="2" t="s">
        <v>3355</v>
      </c>
      <c r="H378" s="39" t="s">
        <v>832</v>
      </c>
      <c r="I378" s="2" t="s">
        <v>22</v>
      </c>
      <c r="J378" s="2" t="s">
        <v>24</v>
      </c>
      <c r="K378" s="2" t="s">
        <v>24</v>
      </c>
      <c r="L378" s="2" t="s">
        <v>24</v>
      </c>
    </row>
    <row r="379" customFormat="false" ht="15" hidden="false" customHeight="false" outlineLevel="0" collapsed="false">
      <c r="A379" s="2" t="s">
        <v>332</v>
      </c>
      <c r="B379" s="13" t="s">
        <v>331</v>
      </c>
      <c r="C379" s="13" t="s">
        <v>91</v>
      </c>
      <c r="D379" s="13" t="s">
        <v>3756</v>
      </c>
      <c r="E379" s="13" t="s">
        <v>78</v>
      </c>
      <c r="F379" s="2" t="s">
        <v>46</v>
      </c>
      <c r="G379" s="2" t="s">
        <v>3364</v>
      </c>
      <c r="H379" s="34" t="s">
        <v>822</v>
      </c>
      <c r="I379" s="2" t="s">
        <v>24</v>
      </c>
      <c r="J379" s="2" t="s">
        <v>24</v>
      </c>
      <c r="K379" s="2" t="s">
        <v>24</v>
      </c>
      <c r="L379" s="2" t="s">
        <v>24</v>
      </c>
    </row>
    <row r="380" customFormat="false" ht="15" hidden="false" customHeight="false" outlineLevel="0" collapsed="false">
      <c r="A380" s="2" t="s">
        <v>1688</v>
      </c>
      <c r="B380" s="13" t="s">
        <v>1687</v>
      </c>
      <c r="C380" s="13" t="s">
        <v>123</v>
      </c>
      <c r="D380" s="13" t="s">
        <v>3757</v>
      </c>
      <c r="E380" s="13" t="s">
        <v>73</v>
      </c>
      <c r="F380" s="2" t="s">
        <v>99</v>
      </c>
      <c r="G380" s="2" t="s">
        <v>3355</v>
      </c>
      <c r="H380" s="39" t="s">
        <v>832</v>
      </c>
      <c r="I380" s="2" t="s">
        <v>24</v>
      </c>
      <c r="J380" s="2" t="s">
        <v>24</v>
      </c>
      <c r="K380" s="2" t="s">
        <v>24</v>
      </c>
      <c r="L380" s="2" t="s">
        <v>24</v>
      </c>
    </row>
    <row r="381" customFormat="false" ht="15" hidden="false" customHeight="false" outlineLevel="0" collapsed="false">
      <c r="A381" s="2" t="s">
        <v>1260</v>
      </c>
      <c r="B381" s="13" t="s">
        <v>1259</v>
      </c>
      <c r="C381" s="13" t="s">
        <v>98</v>
      </c>
      <c r="D381" s="13" t="s">
        <v>3758</v>
      </c>
      <c r="E381" s="13" t="s">
        <v>83</v>
      </c>
      <c r="F381" s="2" t="s">
        <v>99</v>
      </c>
      <c r="G381" s="2" t="s">
        <v>3355</v>
      </c>
      <c r="H381" s="39" t="s">
        <v>832</v>
      </c>
      <c r="I381" s="2" t="s">
        <v>24</v>
      </c>
      <c r="J381" s="2" t="s">
        <v>24</v>
      </c>
      <c r="K381" s="2" t="s">
        <v>24</v>
      </c>
      <c r="L381" s="2" t="s">
        <v>24</v>
      </c>
    </row>
    <row r="382" customFormat="false" ht="15" hidden="false" customHeight="false" outlineLevel="0" collapsed="false">
      <c r="A382" s="2" t="s">
        <v>718</v>
      </c>
      <c r="B382" s="13" t="s">
        <v>717</v>
      </c>
      <c r="C382" s="13" t="s">
        <v>91</v>
      </c>
      <c r="D382" s="13" t="s">
        <v>3759</v>
      </c>
      <c r="E382" s="13" t="s">
        <v>124</v>
      </c>
      <c r="F382" s="2" t="s">
        <v>99</v>
      </c>
      <c r="G382" s="2" t="s">
        <v>3359</v>
      </c>
      <c r="H382" s="34" t="s">
        <v>822</v>
      </c>
      <c r="I382" s="2" t="s">
        <v>24</v>
      </c>
      <c r="J382" s="2" t="s">
        <v>24</v>
      </c>
      <c r="K382" s="2" t="s">
        <v>24</v>
      </c>
      <c r="L382" s="2" t="s">
        <v>24</v>
      </c>
    </row>
    <row r="383" customFormat="false" ht="15" hidden="false" customHeight="false" outlineLevel="0" collapsed="false">
      <c r="A383" s="2" t="s">
        <v>1071</v>
      </c>
      <c r="B383" s="13" t="s">
        <v>1070</v>
      </c>
      <c r="C383" s="13" t="s">
        <v>115</v>
      </c>
      <c r="D383" s="13" t="s">
        <v>3760</v>
      </c>
      <c r="E383" s="13" t="s">
        <v>105</v>
      </c>
      <c r="F383" s="2" t="s">
        <v>99</v>
      </c>
      <c r="G383" s="2" t="s">
        <v>3355</v>
      </c>
      <c r="H383" s="39" t="s">
        <v>832</v>
      </c>
      <c r="I383" s="2" t="s">
        <v>24</v>
      </c>
      <c r="J383" s="2" t="s">
        <v>24</v>
      </c>
      <c r="K383" s="2" t="s">
        <v>24</v>
      </c>
      <c r="L383" s="2" t="s">
        <v>24</v>
      </c>
    </row>
    <row r="384" customFormat="false" ht="15" hidden="false" customHeight="false" outlineLevel="0" collapsed="false">
      <c r="A384" s="2" t="s">
        <v>1499</v>
      </c>
      <c r="B384" s="13" t="s">
        <v>1498</v>
      </c>
      <c r="C384" s="13" t="s">
        <v>123</v>
      </c>
      <c r="D384" s="14" t="s">
        <v>3761</v>
      </c>
      <c r="E384" s="13" t="s">
        <v>120</v>
      </c>
      <c r="F384" s="2" t="s">
        <v>99</v>
      </c>
      <c r="G384" s="2" t="s">
        <v>3355</v>
      </c>
      <c r="H384" s="39" t="s">
        <v>832</v>
      </c>
      <c r="I384" s="2" t="s">
        <v>24</v>
      </c>
      <c r="J384" s="2" t="s">
        <v>24</v>
      </c>
      <c r="K384" s="2" t="s">
        <v>22</v>
      </c>
      <c r="L384" s="2" t="s">
        <v>24</v>
      </c>
    </row>
    <row r="385" customFormat="false" ht="15" hidden="false" customHeight="false" outlineLevel="0" collapsed="false">
      <c r="A385" s="2" t="s">
        <v>1034</v>
      </c>
      <c r="B385" s="13" t="s">
        <v>1033</v>
      </c>
      <c r="C385" s="13" t="s">
        <v>82</v>
      </c>
      <c r="D385" s="13" t="s">
        <v>3762</v>
      </c>
      <c r="E385" s="13" t="s">
        <v>87</v>
      </c>
      <c r="F385" s="2" t="s">
        <v>99</v>
      </c>
      <c r="G385" s="2" t="s">
        <v>3355</v>
      </c>
      <c r="H385" s="39" t="s">
        <v>832</v>
      </c>
      <c r="I385" s="2" t="s">
        <v>24</v>
      </c>
      <c r="J385" s="2" t="s">
        <v>24</v>
      </c>
      <c r="K385" s="2" t="s">
        <v>24</v>
      </c>
      <c r="L385" s="2" t="s">
        <v>24</v>
      </c>
    </row>
    <row r="386" customFormat="false" ht="15" hidden="false" customHeight="false" outlineLevel="0" collapsed="false">
      <c r="A386" s="2" t="s">
        <v>2288</v>
      </c>
      <c r="B386" s="13" t="s">
        <v>2287</v>
      </c>
      <c r="C386" s="13" t="s">
        <v>86</v>
      </c>
      <c r="D386" s="13" t="s">
        <v>3763</v>
      </c>
      <c r="E386" s="13" t="s">
        <v>83</v>
      </c>
      <c r="F386" s="2" t="s">
        <v>99</v>
      </c>
      <c r="G386" s="2" t="s">
        <v>3369</v>
      </c>
      <c r="H386" s="39" t="s">
        <v>832</v>
      </c>
      <c r="I386" s="2" t="s">
        <v>24</v>
      </c>
      <c r="J386" s="2" t="s">
        <v>24</v>
      </c>
      <c r="K386" s="2" t="s">
        <v>24</v>
      </c>
      <c r="L386" s="2" t="s">
        <v>24</v>
      </c>
    </row>
    <row r="387" customFormat="false" ht="15" hidden="false" customHeight="false" outlineLevel="0" collapsed="false">
      <c r="A387" s="2" t="s">
        <v>498</v>
      </c>
      <c r="B387" s="13" t="s">
        <v>497</v>
      </c>
      <c r="C387" s="13" t="s">
        <v>86</v>
      </c>
      <c r="D387" s="13" t="s">
        <v>3764</v>
      </c>
      <c r="E387" s="13" t="s">
        <v>127</v>
      </c>
      <c r="F387" s="2" t="s">
        <v>99</v>
      </c>
      <c r="G387" s="2" t="s">
        <v>3359</v>
      </c>
      <c r="H387" s="34" t="s">
        <v>822</v>
      </c>
      <c r="I387" s="2" t="s">
        <v>24</v>
      </c>
      <c r="J387" s="2" t="s">
        <v>24</v>
      </c>
      <c r="K387" s="2" t="s">
        <v>24</v>
      </c>
      <c r="L387" s="2" t="s">
        <v>24</v>
      </c>
    </row>
    <row r="388" customFormat="false" ht="15" hidden="false" customHeight="false" outlineLevel="0" collapsed="false">
      <c r="A388" s="2" t="s">
        <v>3110</v>
      </c>
      <c r="B388" s="13" t="s">
        <v>3765</v>
      </c>
      <c r="C388" s="13" t="s">
        <v>77</v>
      </c>
      <c r="D388" s="13" t="s">
        <v>3766</v>
      </c>
      <c r="E388" s="13" t="s">
        <v>78</v>
      </c>
      <c r="F388" s="2" t="s">
        <v>45</v>
      </c>
      <c r="G388" s="2" t="s">
        <v>3395</v>
      </c>
      <c r="H388" s="39" t="s">
        <v>832</v>
      </c>
      <c r="I388" s="2" t="s">
        <v>24</v>
      </c>
      <c r="J388" s="2" t="s">
        <v>24</v>
      </c>
      <c r="K388" s="2" t="s">
        <v>24</v>
      </c>
      <c r="L388" s="2" t="s">
        <v>24</v>
      </c>
    </row>
    <row r="389" customFormat="false" ht="15" hidden="false" customHeight="false" outlineLevel="0" collapsed="false">
      <c r="A389" s="2" t="s">
        <v>1021</v>
      </c>
      <c r="B389" s="13" t="s">
        <v>1020</v>
      </c>
      <c r="C389" s="13" t="s">
        <v>95</v>
      </c>
      <c r="D389" s="13" t="s">
        <v>3767</v>
      </c>
      <c r="E389" s="13" t="s">
        <v>105</v>
      </c>
      <c r="F389" s="2" t="s">
        <v>99</v>
      </c>
      <c r="G389" s="2" t="s">
        <v>3355</v>
      </c>
      <c r="H389" s="39" t="s">
        <v>832</v>
      </c>
      <c r="I389" s="2" t="s">
        <v>24</v>
      </c>
      <c r="J389" s="2" t="s">
        <v>24</v>
      </c>
      <c r="K389" s="2" t="s">
        <v>24</v>
      </c>
      <c r="L389" s="2" t="s">
        <v>24</v>
      </c>
    </row>
    <row r="390" customFormat="false" ht="15" hidden="false" customHeight="false" outlineLevel="0" collapsed="false">
      <c r="A390" s="2" t="s">
        <v>875</v>
      </c>
      <c r="B390" s="13" t="s">
        <v>874</v>
      </c>
      <c r="C390" s="13" t="s">
        <v>95</v>
      </c>
      <c r="D390" s="14" t="s">
        <v>3768</v>
      </c>
      <c r="E390" s="13" t="s">
        <v>105</v>
      </c>
      <c r="F390" s="2" t="s">
        <v>99</v>
      </c>
      <c r="G390" s="2" t="s">
        <v>3355</v>
      </c>
      <c r="H390" s="39" t="s">
        <v>832</v>
      </c>
      <c r="I390" s="2" t="s">
        <v>24</v>
      </c>
      <c r="J390" s="2" t="s">
        <v>24</v>
      </c>
      <c r="K390" s="2" t="s">
        <v>22</v>
      </c>
      <c r="L390" s="2" t="s">
        <v>24</v>
      </c>
    </row>
    <row r="391" customFormat="false" ht="15" hidden="false" customHeight="false" outlineLevel="0" collapsed="false">
      <c r="A391" s="2" t="s">
        <v>2824</v>
      </c>
      <c r="B391" s="13" t="s">
        <v>2823</v>
      </c>
      <c r="C391" s="13" t="s">
        <v>86</v>
      </c>
      <c r="D391" s="13" t="s">
        <v>3769</v>
      </c>
      <c r="E391" s="13" t="s">
        <v>120</v>
      </c>
      <c r="F391" s="2" t="s">
        <v>99</v>
      </c>
      <c r="G391" s="2" t="s">
        <v>3369</v>
      </c>
      <c r="H391" s="39" t="s">
        <v>832</v>
      </c>
      <c r="I391" s="2" t="s">
        <v>24</v>
      </c>
      <c r="J391" s="2" t="s">
        <v>24</v>
      </c>
      <c r="K391" s="2" t="s">
        <v>24</v>
      </c>
      <c r="L391" s="2" t="s">
        <v>24</v>
      </c>
    </row>
    <row r="392" customFormat="false" ht="15" hidden="false" customHeight="false" outlineLevel="0" collapsed="false">
      <c r="A392" s="2" t="s">
        <v>788</v>
      </c>
      <c r="B392" s="13" t="s">
        <v>787</v>
      </c>
      <c r="C392" s="13" t="s">
        <v>77</v>
      </c>
      <c r="D392" s="13" t="s">
        <v>3770</v>
      </c>
      <c r="E392" s="13" t="s">
        <v>73</v>
      </c>
      <c r="F392" s="2" t="s">
        <v>99</v>
      </c>
      <c r="G392" s="2" t="s">
        <v>3359</v>
      </c>
      <c r="H392" s="34" t="s">
        <v>822</v>
      </c>
      <c r="I392" s="2" t="s">
        <v>24</v>
      </c>
      <c r="J392" s="2" t="s">
        <v>24</v>
      </c>
      <c r="K392" s="2" t="s">
        <v>24</v>
      </c>
      <c r="L392" s="2" t="s">
        <v>24</v>
      </c>
    </row>
    <row r="393" customFormat="false" ht="15" hidden="false" customHeight="false" outlineLevel="0" collapsed="false">
      <c r="A393" s="2" t="s">
        <v>610</v>
      </c>
      <c r="B393" s="13" t="s">
        <v>609</v>
      </c>
      <c r="C393" s="13" t="s">
        <v>91</v>
      </c>
      <c r="D393" s="13" t="s">
        <v>3771</v>
      </c>
      <c r="E393" s="13" t="s">
        <v>73</v>
      </c>
      <c r="F393" s="2" t="s">
        <v>149</v>
      </c>
      <c r="G393" s="2" t="s">
        <v>3376</v>
      </c>
      <c r="H393" s="34" t="s">
        <v>822</v>
      </c>
      <c r="I393" s="2" t="s">
        <v>24</v>
      </c>
      <c r="J393" s="2" t="s">
        <v>24</v>
      </c>
      <c r="K393" s="2" t="s">
        <v>24</v>
      </c>
      <c r="L393" s="2" t="s">
        <v>24</v>
      </c>
    </row>
    <row r="394" customFormat="false" ht="15" hidden="false" customHeight="false" outlineLevel="0" collapsed="false">
      <c r="A394" s="2" t="s">
        <v>112</v>
      </c>
      <c r="B394" s="13" t="s">
        <v>111</v>
      </c>
      <c r="C394" s="13" t="s">
        <v>72</v>
      </c>
      <c r="D394" s="13" t="s">
        <v>3772</v>
      </c>
      <c r="E394" s="13" t="s">
        <v>78</v>
      </c>
      <c r="F394" s="2" t="s">
        <v>46</v>
      </c>
      <c r="G394" s="2" t="s">
        <v>3364</v>
      </c>
      <c r="H394" s="34" t="s">
        <v>822</v>
      </c>
      <c r="I394" s="2" t="s">
        <v>24</v>
      </c>
      <c r="J394" s="2" t="s">
        <v>24</v>
      </c>
      <c r="K394" s="2" t="s">
        <v>24</v>
      </c>
      <c r="L394" s="2" t="s">
        <v>24</v>
      </c>
    </row>
    <row r="395" customFormat="false" ht="15" hidden="false" customHeight="false" outlineLevel="0" collapsed="false">
      <c r="A395" s="2" t="s">
        <v>2181</v>
      </c>
      <c r="B395" s="13" t="s">
        <v>2180</v>
      </c>
      <c r="C395" s="13" t="s">
        <v>123</v>
      </c>
      <c r="D395" s="13" t="s">
        <v>3773</v>
      </c>
      <c r="E395" s="13" t="s">
        <v>127</v>
      </c>
      <c r="F395" s="2" t="s">
        <v>99</v>
      </c>
      <c r="G395" s="2" t="s">
        <v>3355</v>
      </c>
      <c r="H395" s="39" t="s">
        <v>832</v>
      </c>
      <c r="I395" s="2" t="s">
        <v>24</v>
      </c>
      <c r="J395" s="2" t="s">
        <v>24</v>
      </c>
      <c r="K395" s="2" t="s">
        <v>24</v>
      </c>
      <c r="L395" s="2" t="s">
        <v>24</v>
      </c>
    </row>
    <row r="396" customFormat="false" ht="15" hidden="false" customHeight="false" outlineLevel="0" collapsed="false">
      <c r="A396" s="2" t="s">
        <v>1176</v>
      </c>
      <c r="B396" s="13" t="s">
        <v>1175</v>
      </c>
      <c r="C396" s="13" t="s">
        <v>77</v>
      </c>
      <c r="D396" s="13" t="s">
        <v>3774</v>
      </c>
      <c r="E396" s="13" t="s">
        <v>78</v>
      </c>
      <c r="F396" s="2" t="s">
        <v>99</v>
      </c>
      <c r="G396" s="2" t="s">
        <v>3355</v>
      </c>
      <c r="H396" s="39" t="s">
        <v>832</v>
      </c>
      <c r="I396" s="2" t="s">
        <v>24</v>
      </c>
      <c r="J396" s="2" t="s">
        <v>24</v>
      </c>
      <c r="K396" s="2" t="s">
        <v>24</v>
      </c>
      <c r="L396" s="2" t="s">
        <v>24</v>
      </c>
    </row>
    <row r="397" customFormat="false" ht="15" hidden="false" customHeight="false" outlineLevel="0" collapsed="false">
      <c r="A397" s="2" t="s">
        <v>634</v>
      </c>
      <c r="B397" s="13" t="s">
        <v>633</v>
      </c>
      <c r="C397" s="13" t="s">
        <v>123</v>
      </c>
      <c r="D397" s="13" t="s">
        <v>3775</v>
      </c>
      <c r="E397" s="13" t="s">
        <v>78</v>
      </c>
      <c r="F397" s="2" t="s">
        <v>99</v>
      </c>
      <c r="G397" s="2" t="s">
        <v>3359</v>
      </c>
      <c r="H397" s="34" t="s">
        <v>822</v>
      </c>
      <c r="I397" s="2" t="s">
        <v>24</v>
      </c>
      <c r="J397" s="2" t="s">
        <v>24</v>
      </c>
      <c r="K397" s="2" t="s">
        <v>24</v>
      </c>
      <c r="L397" s="2" t="s">
        <v>24</v>
      </c>
    </row>
    <row r="398" customFormat="false" ht="15" hidden="false" customHeight="false" outlineLevel="0" collapsed="false">
      <c r="A398" s="2" t="s">
        <v>808</v>
      </c>
      <c r="B398" s="14" t="s">
        <v>807</v>
      </c>
      <c r="C398" s="14" t="s">
        <v>115</v>
      </c>
      <c r="D398" s="14" t="s">
        <v>3776</v>
      </c>
      <c r="E398" s="14" t="s">
        <v>124</v>
      </c>
      <c r="F398" s="2" t="s">
        <v>47</v>
      </c>
      <c r="G398" s="2" t="s">
        <v>3364</v>
      </c>
      <c r="H398" s="34" t="s">
        <v>822</v>
      </c>
      <c r="I398" s="2" t="s">
        <v>22</v>
      </c>
      <c r="J398" s="2" t="s">
        <v>22</v>
      </c>
      <c r="K398" s="2" t="s">
        <v>22</v>
      </c>
      <c r="L398" s="2" t="s">
        <v>22</v>
      </c>
    </row>
    <row r="399" customFormat="false" ht="15" hidden="false" customHeight="false" outlineLevel="0" collapsed="false">
      <c r="A399" s="2" t="s">
        <v>2102</v>
      </c>
      <c r="B399" s="13" t="s">
        <v>2101</v>
      </c>
      <c r="C399" s="13" t="s">
        <v>123</v>
      </c>
      <c r="D399" s="13" t="s">
        <v>3777</v>
      </c>
      <c r="E399" s="13" t="s">
        <v>87</v>
      </c>
      <c r="F399" s="2" t="s">
        <v>99</v>
      </c>
      <c r="G399" s="2" t="s">
        <v>3355</v>
      </c>
      <c r="H399" s="39" t="s">
        <v>832</v>
      </c>
      <c r="I399" s="2" t="s">
        <v>24</v>
      </c>
      <c r="J399" s="2" t="s">
        <v>24</v>
      </c>
      <c r="K399" s="2" t="s">
        <v>24</v>
      </c>
      <c r="L399" s="2" t="s">
        <v>24</v>
      </c>
    </row>
    <row r="400" customFormat="false" ht="15" hidden="false" customHeight="false" outlineLevel="0" collapsed="false">
      <c r="A400" s="2" t="s">
        <v>328</v>
      </c>
      <c r="B400" s="13" t="s">
        <v>327</v>
      </c>
      <c r="C400" s="13" t="s">
        <v>77</v>
      </c>
      <c r="D400" s="13" t="s">
        <v>3778</v>
      </c>
      <c r="E400" s="13" t="s">
        <v>154</v>
      </c>
      <c r="F400" s="2" t="s">
        <v>99</v>
      </c>
      <c r="G400" s="2" t="s">
        <v>3359</v>
      </c>
      <c r="H400" s="34" t="s">
        <v>822</v>
      </c>
      <c r="I400" s="2" t="s">
        <v>24</v>
      </c>
      <c r="J400" s="2" t="s">
        <v>24</v>
      </c>
      <c r="K400" s="2" t="s">
        <v>24</v>
      </c>
      <c r="L400" s="2" t="s">
        <v>24</v>
      </c>
    </row>
    <row r="401" customFormat="false" ht="15" hidden="false" customHeight="false" outlineLevel="0" collapsed="false">
      <c r="A401" s="2" t="s">
        <v>81</v>
      </c>
      <c r="B401" s="14" t="s">
        <v>80</v>
      </c>
      <c r="C401" s="14" t="s">
        <v>82</v>
      </c>
      <c r="D401" s="14" t="s">
        <v>3779</v>
      </c>
      <c r="E401" s="14" t="s">
        <v>83</v>
      </c>
      <c r="F401" s="2" t="s">
        <v>47</v>
      </c>
      <c r="G401" s="2" t="s">
        <v>3364</v>
      </c>
      <c r="H401" s="34" t="s">
        <v>822</v>
      </c>
      <c r="I401" s="2" t="s">
        <v>22</v>
      </c>
      <c r="J401" s="2" t="s">
        <v>22</v>
      </c>
      <c r="K401" s="2" t="s">
        <v>22</v>
      </c>
      <c r="L401" s="2" t="s">
        <v>22</v>
      </c>
    </row>
    <row r="402" customFormat="false" ht="15" hidden="false" customHeight="false" outlineLevel="0" collapsed="false">
      <c r="A402" s="2" t="s">
        <v>440</v>
      </c>
      <c r="B402" s="13" t="s">
        <v>439</v>
      </c>
      <c r="C402" s="13" t="s">
        <v>123</v>
      </c>
      <c r="D402" s="13" t="s">
        <v>3780</v>
      </c>
      <c r="E402" s="13" t="s">
        <v>105</v>
      </c>
      <c r="F402" s="2" t="s">
        <v>99</v>
      </c>
      <c r="G402" s="2" t="s">
        <v>3359</v>
      </c>
      <c r="H402" s="34" t="s">
        <v>822</v>
      </c>
      <c r="I402" s="2" t="s">
        <v>24</v>
      </c>
      <c r="J402" s="2" t="s">
        <v>24</v>
      </c>
      <c r="K402" s="2" t="s">
        <v>24</v>
      </c>
      <c r="L402" s="2" t="s">
        <v>24</v>
      </c>
    </row>
    <row r="403" customFormat="false" ht="15" hidden="false" customHeight="false" outlineLevel="0" collapsed="false">
      <c r="A403" s="2" t="s">
        <v>2160</v>
      </c>
      <c r="B403" s="13" t="s">
        <v>2159</v>
      </c>
      <c r="C403" s="13" t="s">
        <v>77</v>
      </c>
      <c r="D403" s="13" t="s">
        <v>3781</v>
      </c>
      <c r="E403" s="13" t="s">
        <v>154</v>
      </c>
      <c r="F403" s="2" t="s">
        <v>99</v>
      </c>
      <c r="G403" s="2" t="s">
        <v>3355</v>
      </c>
      <c r="H403" s="39" t="s">
        <v>832</v>
      </c>
      <c r="I403" s="2" t="s">
        <v>24</v>
      </c>
      <c r="J403" s="2" t="s">
        <v>24</v>
      </c>
      <c r="K403" s="2" t="s">
        <v>24</v>
      </c>
      <c r="L403" s="2" t="s">
        <v>24</v>
      </c>
    </row>
    <row r="404" customFormat="false" ht="15" hidden="false" customHeight="false" outlineLevel="0" collapsed="false">
      <c r="A404" s="2" t="s">
        <v>904</v>
      </c>
      <c r="B404" s="13" t="s">
        <v>903</v>
      </c>
      <c r="C404" s="13" t="s">
        <v>95</v>
      </c>
      <c r="D404" s="13" t="s">
        <v>3782</v>
      </c>
      <c r="E404" s="13" t="s">
        <v>105</v>
      </c>
      <c r="F404" s="2" t="s">
        <v>99</v>
      </c>
      <c r="G404" s="2" t="s">
        <v>3355</v>
      </c>
      <c r="H404" s="39" t="s">
        <v>832</v>
      </c>
      <c r="I404" s="2" t="s">
        <v>24</v>
      </c>
      <c r="J404" s="2" t="s">
        <v>24</v>
      </c>
      <c r="K404" s="2" t="s">
        <v>24</v>
      </c>
      <c r="L404" s="2" t="s">
        <v>24</v>
      </c>
    </row>
    <row r="405" customFormat="false" ht="15" hidden="false" customHeight="false" outlineLevel="0" collapsed="false">
      <c r="A405" s="2" t="s">
        <v>2508</v>
      </c>
      <c r="B405" s="13" t="s">
        <v>2507</v>
      </c>
      <c r="C405" s="13" t="s">
        <v>91</v>
      </c>
      <c r="D405" s="13" t="s">
        <v>3783</v>
      </c>
      <c r="E405" s="13" t="s">
        <v>124</v>
      </c>
      <c r="F405" s="2" t="s">
        <v>99</v>
      </c>
      <c r="G405" s="2" t="s">
        <v>3369</v>
      </c>
      <c r="H405" s="39" t="s">
        <v>832</v>
      </c>
      <c r="I405" s="2" t="s">
        <v>24</v>
      </c>
      <c r="J405" s="2" t="s">
        <v>24</v>
      </c>
      <c r="K405" s="2" t="s">
        <v>24</v>
      </c>
      <c r="L405" s="2" t="s">
        <v>24</v>
      </c>
    </row>
    <row r="406" customFormat="false" ht="15" hidden="false" customHeight="false" outlineLevel="0" collapsed="false">
      <c r="A406" s="2" t="s">
        <v>1383</v>
      </c>
      <c r="B406" s="13" t="s">
        <v>1382</v>
      </c>
      <c r="C406" s="13" t="s">
        <v>115</v>
      </c>
      <c r="D406" s="13" t="s">
        <v>3784</v>
      </c>
      <c r="E406" s="14" t="s">
        <v>154</v>
      </c>
      <c r="F406" s="2" t="s">
        <v>99</v>
      </c>
      <c r="G406" s="2" t="s">
        <v>3355</v>
      </c>
      <c r="H406" s="39" t="s">
        <v>832</v>
      </c>
      <c r="I406" s="2" t="s">
        <v>24</v>
      </c>
      <c r="J406" s="2" t="s">
        <v>24</v>
      </c>
      <c r="K406" s="2" t="s">
        <v>24</v>
      </c>
      <c r="L406" s="2" t="s">
        <v>22</v>
      </c>
    </row>
    <row r="407" customFormat="false" ht="15" hidden="false" customHeight="false" outlineLevel="0" collapsed="false">
      <c r="A407" s="2" t="s">
        <v>2546</v>
      </c>
      <c r="B407" s="13" t="s">
        <v>2545</v>
      </c>
      <c r="C407" s="13" t="s">
        <v>95</v>
      </c>
      <c r="D407" s="13" t="s">
        <v>3785</v>
      </c>
      <c r="E407" s="13" t="s">
        <v>73</v>
      </c>
      <c r="F407" s="2" t="s">
        <v>99</v>
      </c>
      <c r="G407" s="2" t="s">
        <v>3369</v>
      </c>
      <c r="H407" s="39" t="s">
        <v>832</v>
      </c>
      <c r="I407" s="2" t="s">
        <v>24</v>
      </c>
      <c r="J407" s="2" t="s">
        <v>24</v>
      </c>
      <c r="K407" s="2" t="s">
        <v>24</v>
      </c>
      <c r="L407" s="2" t="s">
        <v>24</v>
      </c>
    </row>
    <row r="408" customFormat="false" ht="15" hidden="false" customHeight="false" outlineLevel="0" collapsed="false">
      <c r="A408" s="2" t="s">
        <v>2833</v>
      </c>
      <c r="B408" s="13" t="s">
        <v>2832</v>
      </c>
      <c r="C408" s="15" t="s">
        <v>91</v>
      </c>
      <c r="D408" s="13" t="s">
        <v>3786</v>
      </c>
      <c r="E408" s="13" t="s">
        <v>105</v>
      </c>
      <c r="F408" s="2" t="s">
        <v>99</v>
      </c>
      <c r="G408" s="2" t="s">
        <v>3369</v>
      </c>
      <c r="H408" s="39" t="s">
        <v>832</v>
      </c>
      <c r="I408" s="2" t="s">
        <v>24</v>
      </c>
      <c r="J408" s="2" t="s">
        <v>19</v>
      </c>
      <c r="K408" s="2" t="s">
        <v>24</v>
      </c>
      <c r="L408" s="2" t="s">
        <v>24</v>
      </c>
    </row>
    <row r="409" customFormat="false" ht="15" hidden="false" customHeight="false" outlineLevel="0" collapsed="false">
      <c r="A409" s="2" t="s">
        <v>684</v>
      </c>
      <c r="B409" s="13" t="s">
        <v>683</v>
      </c>
      <c r="C409" s="13" t="s">
        <v>72</v>
      </c>
      <c r="D409" s="14" t="s">
        <v>3787</v>
      </c>
      <c r="E409" s="13" t="s">
        <v>78</v>
      </c>
      <c r="F409" s="2" t="s">
        <v>99</v>
      </c>
      <c r="G409" s="2" t="s">
        <v>3359</v>
      </c>
      <c r="H409" s="34" t="s">
        <v>822</v>
      </c>
      <c r="I409" s="2" t="s">
        <v>24</v>
      </c>
      <c r="J409" s="2" t="s">
        <v>24</v>
      </c>
      <c r="K409" s="2" t="s">
        <v>22</v>
      </c>
      <c r="L409" s="2" t="s">
        <v>24</v>
      </c>
    </row>
    <row r="410" customFormat="false" ht="15" hidden="false" customHeight="false" outlineLevel="0" collapsed="false">
      <c r="A410" s="2" t="s">
        <v>1764</v>
      </c>
      <c r="B410" s="13" t="s">
        <v>1763</v>
      </c>
      <c r="C410" s="13" t="s">
        <v>82</v>
      </c>
      <c r="D410" s="13" t="s">
        <v>3788</v>
      </c>
      <c r="E410" s="13" t="s">
        <v>83</v>
      </c>
      <c r="F410" s="2" t="s">
        <v>99</v>
      </c>
      <c r="G410" s="2" t="s">
        <v>3355</v>
      </c>
      <c r="H410" s="39" t="s">
        <v>832</v>
      </c>
      <c r="I410" s="2" t="s">
        <v>24</v>
      </c>
      <c r="J410" s="2" t="s">
        <v>24</v>
      </c>
      <c r="K410" s="2" t="s">
        <v>24</v>
      </c>
      <c r="L410" s="2" t="s">
        <v>24</v>
      </c>
    </row>
    <row r="411" customFormat="false" ht="15" hidden="false" customHeight="false" outlineLevel="0" collapsed="false">
      <c r="A411" s="2" t="s">
        <v>412</v>
      </c>
      <c r="B411" s="13" t="s">
        <v>411</v>
      </c>
      <c r="C411" s="13" t="s">
        <v>91</v>
      </c>
      <c r="D411" s="13" t="s">
        <v>3789</v>
      </c>
      <c r="E411" s="13" t="s">
        <v>120</v>
      </c>
      <c r="F411" s="2" t="s">
        <v>106</v>
      </c>
      <c r="G411" s="2" t="s">
        <v>3376</v>
      </c>
      <c r="H411" s="34" t="s">
        <v>822</v>
      </c>
      <c r="I411" s="2" t="s">
        <v>24</v>
      </c>
      <c r="J411" s="2" t="s">
        <v>24</v>
      </c>
      <c r="K411" s="2" t="s">
        <v>24</v>
      </c>
      <c r="L411" s="2" t="s">
        <v>24</v>
      </c>
    </row>
    <row r="412" customFormat="false" ht="15" hidden="false" customHeight="false" outlineLevel="0" collapsed="false">
      <c r="A412" s="2" t="s">
        <v>436</v>
      </c>
      <c r="B412" s="13" t="s">
        <v>435</v>
      </c>
      <c r="C412" s="13" t="s">
        <v>77</v>
      </c>
      <c r="D412" s="14" t="s">
        <v>3790</v>
      </c>
      <c r="E412" s="13" t="s">
        <v>105</v>
      </c>
      <c r="F412" s="2" t="s">
        <v>46</v>
      </c>
      <c r="G412" s="2" t="s">
        <v>3364</v>
      </c>
      <c r="H412" s="34" t="s">
        <v>822</v>
      </c>
      <c r="I412" s="2" t="s">
        <v>24</v>
      </c>
      <c r="J412" s="2" t="s">
        <v>24</v>
      </c>
      <c r="K412" s="2" t="s">
        <v>22</v>
      </c>
      <c r="L412" s="2" t="s">
        <v>24</v>
      </c>
    </row>
    <row r="413" customFormat="false" ht="15" hidden="false" customHeight="false" outlineLevel="0" collapsed="false">
      <c r="A413" s="2" t="s">
        <v>1966</v>
      </c>
      <c r="B413" s="13" t="s">
        <v>1965</v>
      </c>
      <c r="C413" s="13" t="s">
        <v>98</v>
      </c>
      <c r="D413" s="13" t="s">
        <v>3791</v>
      </c>
      <c r="E413" s="13" t="s">
        <v>87</v>
      </c>
      <c r="F413" s="2" t="s">
        <v>99</v>
      </c>
      <c r="G413" s="2" t="s">
        <v>3355</v>
      </c>
      <c r="H413" s="39" t="s">
        <v>832</v>
      </c>
      <c r="I413" s="2" t="s">
        <v>24</v>
      </c>
      <c r="J413" s="2" t="s">
        <v>24</v>
      </c>
      <c r="K413" s="2" t="s">
        <v>24</v>
      </c>
      <c r="L413" s="2" t="s">
        <v>24</v>
      </c>
    </row>
    <row r="414" customFormat="false" ht="15" hidden="false" customHeight="false" outlineLevel="0" collapsed="false">
      <c r="A414" s="2" t="s">
        <v>292</v>
      </c>
      <c r="B414" s="13" t="s">
        <v>291</v>
      </c>
      <c r="C414" s="13" t="s">
        <v>123</v>
      </c>
      <c r="D414" s="13" t="s">
        <v>3792</v>
      </c>
      <c r="E414" s="13" t="s">
        <v>124</v>
      </c>
      <c r="F414" s="2" t="s">
        <v>92</v>
      </c>
      <c r="G414" s="2" t="s">
        <v>3376</v>
      </c>
      <c r="H414" s="34" t="s">
        <v>822</v>
      </c>
      <c r="I414" s="2" t="s">
        <v>24</v>
      </c>
      <c r="J414" s="2" t="s">
        <v>24</v>
      </c>
      <c r="K414" s="2" t="s">
        <v>24</v>
      </c>
      <c r="L414" s="2" t="s">
        <v>24</v>
      </c>
    </row>
    <row r="415" customFormat="false" ht="15" hidden="false" customHeight="false" outlineLevel="0" collapsed="false">
      <c r="A415" s="2" t="s">
        <v>396</v>
      </c>
      <c r="B415" s="13" t="s">
        <v>395</v>
      </c>
      <c r="C415" s="13" t="s">
        <v>82</v>
      </c>
      <c r="D415" s="13" t="s">
        <v>3793</v>
      </c>
      <c r="E415" s="13" t="s">
        <v>102</v>
      </c>
      <c r="F415" s="2" t="s">
        <v>92</v>
      </c>
      <c r="G415" s="2" t="s">
        <v>3376</v>
      </c>
      <c r="H415" s="34" t="s">
        <v>822</v>
      </c>
      <c r="I415" s="2" t="s">
        <v>24</v>
      </c>
      <c r="J415" s="2" t="s">
        <v>24</v>
      </c>
      <c r="K415" s="2" t="s">
        <v>24</v>
      </c>
      <c r="L415" s="2" t="s">
        <v>24</v>
      </c>
    </row>
    <row r="416" customFormat="false" ht="15" hidden="false" customHeight="false" outlineLevel="0" collapsed="false">
      <c r="A416" s="2" t="s">
        <v>2111</v>
      </c>
      <c r="B416" s="13" t="s">
        <v>2110</v>
      </c>
      <c r="C416" s="13" t="s">
        <v>77</v>
      </c>
      <c r="D416" s="13" t="s">
        <v>3794</v>
      </c>
      <c r="E416" s="14" t="s">
        <v>73</v>
      </c>
      <c r="F416" s="2" t="s">
        <v>99</v>
      </c>
      <c r="G416" s="2" t="s">
        <v>3355</v>
      </c>
      <c r="H416" s="39" t="s">
        <v>832</v>
      </c>
      <c r="I416" s="2" t="s">
        <v>24</v>
      </c>
      <c r="J416" s="2" t="s">
        <v>24</v>
      </c>
      <c r="K416" s="2" t="s">
        <v>24</v>
      </c>
      <c r="L416" s="2" t="s">
        <v>22</v>
      </c>
    </row>
    <row r="417" customFormat="false" ht="15" hidden="false" customHeight="false" outlineLevel="0" collapsed="false">
      <c r="A417" s="2" t="s">
        <v>486</v>
      </c>
      <c r="B417" s="13" t="s">
        <v>485</v>
      </c>
      <c r="C417" s="13" t="s">
        <v>98</v>
      </c>
      <c r="D417" s="13" t="s">
        <v>3795</v>
      </c>
      <c r="E417" s="13" t="s">
        <v>120</v>
      </c>
      <c r="F417" s="2" t="s">
        <v>92</v>
      </c>
      <c r="G417" s="2" t="s">
        <v>3376</v>
      </c>
      <c r="H417" s="34" t="s">
        <v>822</v>
      </c>
      <c r="I417" s="2" t="s">
        <v>24</v>
      </c>
      <c r="J417" s="2" t="s">
        <v>24</v>
      </c>
      <c r="K417" s="2" t="s">
        <v>24</v>
      </c>
      <c r="L417" s="2" t="s">
        <v>24</v>
      </c>
    </row>
    <row r="418" customFormat="false" ht="15" hidden="false" customHeight="false" outlineLevel="0" collapsed="false">
      <c r="A418" s="2" t="s">
        <v>714</v>
      </c>
      <c r="B418" s="13" t="s">
        <v>713</v>
      </c>
      <c r="C418" s="13" t="s">
        <v>77</v>
      </c>
      <c r="D418" s="13" t="s">
        <v>3796</v>
      </c>
      <c r="E418" s="13" t="s">
        <v>120</v>
      </c>
      <c r="F418" s="2" t="s">
        <v>99</v>
      </c>
      <c r="G418" s="2" t="s">
        <v>3359</v>
      </c>
      <c r="H418" s="34" t="s">
        <v>822</v>
      </c>
      <c r="I418" s="2" t="s">
        <v>24</v>
      </c>
      <c r="J418" s="2" t="s">
        <v>24</v>
      </c>
      <c r="K418" s="2" t="s">
        <v>24</v>
      </c>
      <c r="L418" s="2" t="s">
        <v>24</v>
      </c>
    </row>
    <row r="419" customFormat="false" ht="15" hidden="false" customHeight="false" outlineLevel="0" collapsed="false">
      <c r="A419" s="2" t="s">
        <v>1423</v>
      </c>
      <c r="B419" s="13" t="s">
        <v>1422</v>
      </c>
      <c r="C419" s="13" t="s">
        <v>86</v>
      </c>
      <c r="D419" s="13" t="s">
        <v>3797</v>
      </c>
      <c r="E419" s="14" t="s">
        <v>73</v>
      </c>
      <c r="F419" s="2" t="s">
        <v>99</v>
      </c>
      <c r="G419" s="2" t="s">
        <v>3355</v>
      </c>
      <c r="H419" s="39" t="s">
        <v>832</v>
      </c>
      <c r="I419" s="2" t="s">
        <v>24</v>
      </c>
      <c r="J419" s="2" t="s">
        <v>24</v>
      </c>
      <c r="K419" s="2" t="s">
        <v>24</v>
      </c>
      <c r="L419" s="2" t="s">
        <v>22</v>
      </c>
    </row>
    <row r="420" customFormat="false" ht="15" hidden="false" customHeight="false" outlineLevel="0" collapsed="false">
      <c r="A420" s="2" t="s">
        <v>1128</v>
      </c>
      <c r="B420" s="14" t="s">
        <v>1127</v>
      </c>
      <c r="C420" s="13" t="s">
        <v>162</v>
      </c>
      <c r="D420" s="14" t="s">
        <v>3798</v>
      </c>
      <c r="E420" s="13" t="s">
        <v>127</v>
      </c>
      <c r="F420" s="2" t="s">
        <v>99</v>
      </c>
      <c r="G420" s="2" t="s">
        <v>3355</v>
      </c>
      <c r="H420" s="39" t="s">
        <v>832</v>
      </c>
      <c r="I420" s="2" t="s">
        <v>22</v>
      </c>
      <c r="J420" s="2" t="s">
        <v>24</v>
      </c>
      <c r="K420" s="2" t="s">
        <v>22</v>
      </c>
      <c r="L420" s="2" t="s">
        <v>24</v>
      </c>
    </row>
    <row r="421" customFormat="false" ht="15" hidden="false" customHeight="false" outlineLevel="0" collapsed="false">
      <c r="A421" s="2" t="s">
        <v>2853</v>
      </c>
      <c r="B421" s="13" t="s">
        <v>2852</v>
      </c>
      <c r="C421" s="13" t="s">
        <v>72</v>
      </c>
      <c r="D421" s="14" t="s">
        <v>3799</v>
      </c>
      <c r="E421" s="13" t="s">
        <v>83</v>
      </c>
      <c r="F421" s="2" t="s">
        <v>106</v>
      </c>
      <c r="G421" s="2" t="s">
        <v>3361</v>
      </c>
      <c r="H421" s="39" t="s">
        <v>832</v>
      </c>
      <c r="I421" s="2" t="s">
        <v>24</v>
      </c>
      <c r="J421" s="2" t="s">
        <v>24</v>
      </c>
      <c r="K421" s="2" t="s">
        <v>22</v>
      </c>
      <c r="L421" s="2" t="s">
        <v>24</v>
      </c>
    </row>
    <row r="422" customFormat="false" ht="15" hidden="false" customHeight="false" outlineLevel="0" collapsed="false">
      <c r="A422" s="2" t="s">
        <v>1018</v>
      </c>
      <c r="B422" s="13" t="s">
        <v>1017</v>
      </c>
      <c r="C422" s="13" t="s">
        <v>86</v>
      </c>
      <c r="D422" s="13" t="s">
        <v>3800</v>
      </c>
      <c r="E422" s="14" t="s">
        <v>87</v>
      </c>
      <c r="F422" s="2" t="s">
        <v>149</v>
      </c>
      <c r="G422" s="2" t="s">
        <v>3361</v>
      </c>
      <c r="H422" s="39" t="s">
        <v>832</v>
      </c>
      <c r="I422" s="2" t="s">
        <v>24</v>
      </c>
      <c r="J422" s="2" t="s">
        <v>24</v>
      </c>
      <c r="K422" s="2" t="s">
        <v>24</v>
      </c>
      <c r="L422" s="2" t="s">
        <v>22</v>
      </c>
    </row>
    <row r="423" customFormat="false" ht="15" hidden="false" customHeight="false" outlineLevel="0" collapsed="false">
      <c r="A423" s="2" t="s">
        <v>360</v>
      </c>
      <c r="B423" s="13" t="s">
        <v>359</v>
      </c>
      <c r="C423" s="13" t="s">
        <v>95</v>
      </c>
      <c r="D423" s="14" t="s">
        <v>3801</v>
      </c>
      <c r="E423" s="13" t="s">
        <v>83</v>
      </c>
      <c r="F423" s="2" t="s">
        <v>99</v>
      </c>
      <c r="G423" s="2" t="s">
        <v>3359</v>
      </c>
      <c r="H423" s="34" t="s">
        <v>822</v>
      </c>
      <c r="I423" s="2" t="s">
        <v>24</v>
      </c>
      <c r="J423" s="2" t="s">
        <v>24</v>
      </c>
      <c r="K423" s="2" t="s">
        <v>22</v>
      </c>
      <c r="L423" s="2" t="s">
        <v>24</v>
      </c>
    </row>
    <row r="424" customFormat="false" ht="15" hidden="false" customHeight="false" outlineLevel="0" collapsed="false">
      <c r="A424" s="2" t="s">
        <v>2251</v>
      </c>
      <c r="B424" s="13" t="s">
        <v>2250</v>
      </c>
      <c r="C424" s="13" t="s">
        <v>98</v>
      </c>
      <c r="D424" s="14" t="s">
        <v>3802</v>
      </c>
      <c r="E424" s="13" t="s">
        <v>105</v>
      </c>
      <c r="F424" s="2" t="s">
        <v>99</v>
      </c>
      <c r="G424" s="2" t="s">
        <v>3369</v>
      </c>
      <c r="H424" s="39" t="s">
        <v>832</v>
      </c>
      <c r="I424" s="2" t="s">
        <v>24</v>
      </c>
      <c r="J424" s="2" t="s">
        <v>24</v>
      </c>
      <c r="K424" s="2" t="s">
        <v>22</v>
      </c>
      <c r="L424" s="2" t="s">
        <v>24</v>
      </c>
    </row>
    <row r="425" customFormat="false" ht="15" hidden="false" customHeight="false" outlineLevel="0" collapsed="false">
      <c r="A425" s="2" t="s">
        <v>2503</v>
      </c>
      <c r="B425" s="14" t="s">
        <v>2502</v>
      </c>
      <c r="C425" s="14" t="s">
        <v>72</v>
      </c>
      <c r="D425" s="14" t="s">
        <v>3803</v>
      </c>
      <c r="E425" s="14" t="s">
        <v>73</v>
      </c>
      <c r="F425" s="2" t="s">
        <v>99</v>
      </c>
      <c r="G425" s="2" t="s">
        <v>3369</v>
      </c>
      <c r="H425" s="39" t="s">
        <v>832</v>
      </c>
      <c r="I425" s="2" t="s">
        <v>22</v>
      </c>
      <c r="J425" s="2" t="s">
        <v>22</v>
      </c>
      <c r="K425" s="2" t="s">
        <v>22</v>
      </c>
      <c r="L425" s="2" t="s">
        <v>22</v>
      </c>
    </row>
    <row r="426" customFormat="false" ht="15" hidden="false" customHeight="false" outlineLevel="0" collapsed="false">
      <c r="A426" s="2" t="s">
        <v>538</v>
      </c>
      <c r="B426" s="13" t="s">
        <v>537</v>
      </c>
      <c r="C426" s="13" t="s">
        <v>72</v>
      </c>
      <c r="D426" s="13" t="s">
        <v>3804</v>
      </c>
      <c r="E426" s="13" t="s">
        <v>87</v>
      </c>
      <c r="F426" s="2" t="s">
        <v>99</v>
      </c>
      <c r="G426" s="2" t="s">
        <v>3359</v>
      </c>
      <c r="H426" s="34" t="s">
        <v>822</v>
      </c>
      <c r="I426" s="2" t="s">
        <v>24</v>
      </c>
      <c r="J426" s="2" t="s">
        <v>24</v>
      </c>
      <c r="K426" s="2" t="s">
        <v>24</v>
      </c>
      <c r="L426" s="2" t="s">
        <v>24</v>
      </c>
    </row>
    <row r="427" customFormat="false" ht="15" hidden="false" customHeight="false" outlineLevel="0" collapsed="false">
      <c r="A427" s="2" t="s">
        <v>1101</v>
      </c>
      <c r="B427" s="13" t="s">
        <v>1100</v>
      </c>
      <c r="C427" s="13" t="s">
        <v>86</v>
      </c>
      <c r="D427" s="13" t="s">
        <v>3805</v>
      </c>
      <c r="E427" s="13" t="s">
        <v>105</v>
      </c>
      <c r="F427" s="2" t="s">
        <v>99</v>
      </c>
      <c r="G427" s="2" t="s">
        <v>3355</v>
      </c>
      <c r="H427" s="39" t="s">
        <v>832</v>
      </c>
      <c r="I427" s="2" t="s">
        <v>24</v>
      </c>
      <c r="J427" s="2" t="s">
        <v>24</v>
      </c>
      <c r="K427" s="2" t="s">
        <v>24</v>
      </c>
      <c r="L427" s="2" t="s">
        <v>24</v>
      </c>
    </row>
    <row r="428" customFormat="false" ht="15" hidden="false" customHeight="false" outlineLevel="0" collapsed="false">
      <c r="A428" s="2" t="s">
        <v>646</v>
      </c>
      <c r="B428" s="13" t="s">
        <v>645</v>
      </c>
      <c r="C428" s="13" t="s">
        <v>123</v>
      </c>
      <c r="D428" s="13" t="s">
        <v>3806</v>
      </c>
      <c r="E428" s="13" t="s">
        <v>87</v>
      </c>
      <c r="F428" s="2" t="s">
        <v>99</v>
      </c>
      <c r="G428" s="2" t="s">
        <v>3359</v>
      </c>
      <c r="H428" s="34" t="s">
        <v>822</v>
      </c>
      <c r="I428" s="2" t="s">
        <v>24</v>
      </c>
      <c r="J428" s="2" t="s">
        <v>24</v>
      </c>
      <c r="K428" s="2" t="s">
        <v>24</v>
      </c>
      <c r="L428" s="2" t="s">
        <v>24</v>
      </c>
    </row>
    <row r="429" customFormat="false" ht="15" hidden="false" customHeight="false" outlineLevel="0" collapsed="false">
      <c r="A429" s="2" t="s">
        <v>548</v>
      </c>
      <c r="B429" s="13" t="s">
        <v>547</v>
      </c>
      <c r="C429" s="13" t="s">
        <v>91</v>
      </c>
      <c r="D429" s="13" t="s">
        <v>3807</v>
      </c>
      <c r="E429" s="13" t="s">
        <v>102</v>
      </c>
      <c r="F429" s="2" t="s">
        <v>99</v>
      </c>
      <c r="G429" s="2" t="s">
        <v>3359</v>
      </c>
      <c r="H429" s="34" t="s">
        <v>822</v>
      </c>
      <c r="I429" s="2" t="s">
        <v>24</v>
      </c>
      <c r="J429" s="2" t="s">
        <v>24</v>
      </c>
      <c r="K429" s="2" t="s">
        <v>24</v>
      </c>
      <c r="L429" s="2" t="s">
        <v>24</v>
      </c>
    </row>
    <row r="430" customFormat="false" ht="15" hidden="false" customHeight="false" outlineLevel="0" collapsed="false">
      <c r="A430" s="2" t="s">
        <v>1402</v>
      </c>
      <c r="B430" s="13" t="s">
        <v>1401</v>
      </c>
      <c r="C430" s="13" t="s">
        <v>91</v>
      </c>
      <c r="D430" s="14" t="s">
        <v>3808</v>
      </c>
      <c r="E430" s="13" t="s">
        <v>120</v>
      </c>
      <c r="F430" s="2" t="s">
        <v>92</v>
      </c>
      <c r="G430" s="2" t="s">
        <v>3361</v>
      </c>
      <c r="H430" s="39" t="s">
        <v>832</v>
      </c>
      <c r="I430" s="2" t="s">
        <v>24</v>
      </c>
      <c r="J430" s="2" t="s">
        <v>24</v>
      </c>
      <c r="K430" s="2" t="s">
        <v>22</v>
      </c>
      <c r="L430" s="2" t="s">
        <v>24</v>
      </c>
    </row>
    <row r="431" customFormat="false" ht="15" hidden="false" customHeight="false" outlineLevel="0" collapsed="false">
      <c r="A431" s="2" t="s">
        <v>2730</v>
      </c>
      <c r="B431" s="14" t="s">
        <v>2729</v>
      </c>
      <c r="C431" s="14" t="s">
        <v>91</v>
      </c>
      <c r="D431" s="14" t="s">
        <v>3809</v>
      </c>
      <c r="E431" s="14" t="s">
        <v>83</v>
      </c>
      <c r="F431" s="2" t="s">
        <v>92</v>
      </c>
      <c r="G431" s="2" t="s">
        <v>3361</v>
      </c>
      <c r="H431" s="39" t="s">
        <v>832</v>
      </c>
      <c r="I431" s="2" t="s">
        <v>22</v>
      </c>
      <c r="J431" s="2" t="s">
        <v>22</v>
      </c>
      <c r="K431" s="2" t="s">
        <v>22</v>
      </c>
      <c r="L431" s="2" t="s">
        <v>22</v>
      </c>
    </row>
    <row r="432" customFormat="false" ht="15" hidden="false" customHeight="false" outlineLevel="0" collapsed="false">
      <c r="A432" s="2" t="s">
        <v>888</v>
      </c>
      <c r="B432" s="13" t="s">
        <v>887</v>
      </c>
      <c r="C432" s="13" t="s">
        <v>91</v>
      </c>
      <c r="D432" s="13" t="s">
        <v>3810</v>
      </c>
      <c r="E432" s="13" t="s">
        <v>127</v>
      </c>
      <c r="F432" s="2" t="s">
        <v>99</v>
      </c>
      <c r="G432" s="2" t="s">
        <v>3355</v>
      </c>
      <c r="H432" s="39" t="s">
        <v>832</v>
      </c>
      <c r="I432" s="2" t="s">
        <v>24</v>
      </c>
      <c r="J432" s="2" t="s">
        <v>24</v>
      </c>
      <c r="K432" s="2" t="s">
        <v>24</v>
      </c>
      <c r="L432" s="2" t="s">
        <v>24</v>
      </c>
    </row>
    <row r="433" customFormat="false" ht="15" hidden="false" customHeight="false" outlineLevel="0" collapsed="false">
      <c r="A433" s="2" t="s">
        <v>282</v>
      </c>
      <c r="B433" s="13" t="s">
        <v>281</v>
      </c>
      <c r="C433" s="13" t="s">
        <v>98</v>
      </c>
      <c r="D433" s="14" t="s">
        <v>3811</v>
      </c>
      <c r="E433" s="14" t="s">
        <v>78</v>
      </c>
      <c r="F433" s="2" t="s">
        <v>99</v>
      </c>
      <c r="G433" s="2" t="s">
        <v>3359</v>
      </c>
      <c r="H433" s="34" t="s">
        <v>822</v>
      </c>
      <c r="I433" s="2" t="s">
        <v>24</v>
      </c>
      <c r="J433" s="2" t="s">
        <v>24</v>
      </c>
      <c r="K433" s="2" t="s">
        <v>22</v>
      </c>
      <c r="L433" s="2" t="s">
        <v>22</v>
      </c>
    </row>
    <row r="434" customFormat="false" ht="15" hidden="false" customHeight="false" outlineLevel="0" collapsed="false">
      <c r="A434" s="2" t="s">
        <v>1599</v>
      </c>
      <c r="B434" s="13" t="s">
        <v>1598</v>
      </c>
      <c r="C434" s="13" t="s">
        <v>72</v>
      </c>
      <c r="D434" s="13" t="s">
        <v>3812</v>
      </c>
      <c r="E434" s="13" t="s">
        <v>120</v>
      </c>
      <c r="F434" s="2" t="s">
        <v>99</v>
      </c>
      <c r="G434" s="2" t="s">
        <v>3355</v>
      </c>
      <c r="H434" s="39" t="s">
        <v>832</v>
      </c>
      <c r="I434" s="2" t="s">
        <v>24</v>
      </c>
      <c r="J434" s="2" t="s">
        <v>24</v>
      </c>
      <c r="K434" s="2" t="s">
        <v>24</v>
      </c>
      <c r="L434" s="2" t="s">
        <v>24</v>
      </c>
    </row>
    <row r="435" customFormat="false" ht="15" hidden="false" customHeight="false" outlineLevel="0" collapsed="false">
      <c r="A435" s="2" t="s">
        <v>3134</v>
      </c>
      <c r="B435" s="16"/>
      <c r="C435" s="16"/>
      <c r="D435" s="16"/>
      <c r="E435" s="16"/>
      <c r="F435" s="2" t="s">
        <v>47</v>
      </c>
      <c r="G435" s="2" t="s">
        <v>3395</v>
      </c>
      <c r="H435" s="39" t="s">
        <v>832</v>
      </c>
      <c r="I435" s="2"/>
      <c r="J435" s="2"/>
      <c r="K435" s="2"/>
      <c r="L435" s="2"/>
    </row>
    <row r="436" customFormat="false" ht="15" hidden="false" customHeight="false" outlineLevel="0" collapsed="false">
      <c r="A436" s="2" t="s">
        <v>1699</v>
      </c>
      <c r="B436" s="13" t="s">
        <v>1698</v>
      </c>
      <c r="C436" s="13" t="s">
        <v>115</v>
      </c>
      <c r="D436" s="13" t="s">
        <v>3813</v>
      </c>
      <c r="E436" s="13" t="s">
        <v>73</v>
      </c>
      <c r="F436" s="2" t="s">
        <v>99</v>
      </c>
      <c r="G436" s="2" t="s">
        <v>3355</v>
      </c>
      <c r="H436" s="39" t="s">
        <v>832</v>
      </c>
      <c r="I436" s="2" t="s">
        <v>24</v>
      </c>
      <c r="J436" s="2" t="s">
        <v>24</v>
      </c>
      <c r="K436" s="2" t="s">
        <v>24</v>
      </c>
      <c r="L436" s="2" t="s">
        <v>24</v>
      </c>
    </row>
    <row r="437" customFormat="false" ht="15" hidden="false" customHeight="false" outlineLevel="0" collapsed="false">
      <c r="A437" s="2" t="s">
        <v>3135</v>
      </c>
      <c r="B437" s="13" t="s">
        <v>3814</v>
      </c>
      <c r="C437" s="13" t="s">
        <v>82</v>
      </c>
      <c r="D437" s="16"/>
      <c r="E437" s="16"/>
      <c r="F437" s="2" t="s">
        <v>46</v>
      </c>
      <c r="G437" s="2" t="s">
        <v>3395</v>
      </c>
      <c r="H437" s="39" t="s">
        <v>832</v>
      </c>
      <c r="I437" s="2" t="s">
        <v>24</v>
      </c>
      <c r="J437" s="2" t="s">
        <v>24</v>
      </c>
      <c r="K437" s="2"/>
      <c r="L437" s="2"/>
    </row>
    <row r="438" customFormat="false" ht="15" hidden="false" customHeight="false" outlineLevel="0" collapsed="false">
      <c r="A438" s="2" t="s">
        <v>280</v>
      </c>
      <c r="B438" s="13" t="s">
        <v>279</v>
      </c>
      <c r="C438" s="13" t="s">
        <v>86</v>
      </c>
      <c r="D438" s="13" t="s">
        <v>3815</v>
      </c>
      <c r="E438" s="13" t="s">
        <v>73</v>
      </c>
      <c r="F438" s="2" t="s">
        <v>99</v>
      </c>
      <c r="G438" s="2" t="s">
        <v>3359</v>
      </c>
      <c r="H438" s="34" t="s">
        <v>822</v>
      </c>
      <c r="I438" s="2" t="s">
        <v>24</v>
      </c>
      <c r="J438" s="2" t="s">
        <v>24</v>
      </c>
      <c r="K438" s="2" t="s">
        <v>24</v>
      </c>
      <c r="L438" s="2" t="s">
        <v>24</v>
      </c>
    </row>
    <row r="439" customFormat="false" ht="15" hidden="false" customHeight="false" outlineLevel="0" collapsed="false">
      <c r="A439" s="2" t="s">
        <v>2636</v>
      </c>
      <c r="B439" s="13" t="s">
        <v>2635</v>
      </c>
      <c r="C439" s="13" t="s">
        <v>72</v>
      </c>
      <c r="D439" s="14" t="s">
        <v>3816</v>
      </c>
      <c r="E439" s="13" t="s">
        <v>83</v>
      </c>
      <c r="F439" s="2" t="s">
        <v>99</v>
      </c>
      <c r="G439" s="2" t="s">
        <v>3369</v>
      </c>
      <c r="H439" s="39" t="s">
        <v>832</v>
      </c>
      <c r="I439" s="2" t="s">
        <v>24</v>
      </c>
      <c r="J439" s="2" t="s">
        <v>24</v>
      </c>
      <c r="K439" s="2" t="s">
        <v>22</v>
      </c>
      <c r="L439" s="2" t="s">
        <v>24</v>
      </c>
    </row>
    <row r="440" customFormat="false" ht="15" hidden="false" customHeight="false" outlineLevel="0" collapsed="false">
      <c r="A440" s="2" t="s">
        <v>766</v>
      </c>
      <c r="B440" s="13" t="s">
        <v>765</v>
      </c>
      <c r="C440" s="13" t="s">
        <v>115</v>
      </c>
      <c r="D440" s="14" t="s">
        <v>3817</v>
      </c>
      <c r="E440" s="13" t="s">
        <v>127</v>
      </c>
      <c r="F440" s="2" t="s">
        <v>45</v>
      </c>
      <c r="G440" s="2" t="s">
        <v>3364</v>
      </c>
      <c r="H440" s="34" t="s">
        <v>822</v>
      </c>
      <c r="I440" s="2" t="s">
        <v>24</v>
      </c>
      <c r="J440" s="2" t="s">
        <v>24</v>
      </c>
      <c r="K440" s="2" t="s">
        <v>22</v>
      </c>
      <c r="L440" s="2" t="s">
        <v>24</v>
      </c>
    </row>
    <row r="441" customFormat="false" ht="15" hidden="false" customHeight="false" outlineLevel="0" collapsed="false">
      <c r="A441" s="2" t="s">
        <v>1794</v>
      </c>
      <c r="B441" s="13" t="s">
        <v>1793</v>
      </c>
      <c r="C441" s="13" t="s">
        <v>72</v>
      </c>
      <c r="D441" s="13" t="s">
        <v>3818</v>
      </c>
      <c r="E441" s="13" t="s">
        <v>127</v>
      </c>
      <c r="F441" s="2" t="s">
        <v>99</v>
      </c>
      <c r="G441" s="2" t="s">
        <v>3355</v>
      </c>
      <c r="H441" s="39" t="s">
        <v>832</v>
      </c>
      <c r="I441" s="2" t="s">
        <v>24</v>
      </c>
      <c r="J441" s="2" t="s">
        <v>24</v>
      </c>
      <c r="K441" s="2" t="s">
        <v>24</v>
      </c>
      <c r="L441" s="2" t="s">
        <v>24</v>
      </c>
    </row>
    <row r="442" customFormat="false" ht="15" hidden="false" customHeight="false" outlineLevel="0" collapsed="false">
      <c r="A442" s="2" t="s">
        <v>3139</v>
      </c>
      <c r="B442" s="15" t="s">
        <v>3819</v>
      </c>
      <c r="C442" s="16"/>
      <c r="D442" s="15" t="s">
        <v>3820</v>
      </c>
      <c r="E442" s="16"/>
      <c r="F442" s="2" t="s">
        <v>106</v>
      </c>
      <c r="G442" s="2" t="s">
        <v>3385</v>
      </c>
      <c r="H442" s="39" t="s">
        <v>832</v>
      </c>
      <c r="I442" s="2" t="s">
        <v>19</v>
      </c>
      <c r="J442" s="2"/>
      <c r="K442" s="2" t="s">
        <v>19</v>
      </c>
      <c r="L442" s="2"/>
    </row>
    <row r="443" customFormat="false" ht="15" hidden="false" customHeight="false" outlineLevel="0" collapsed="false">
      <c r="A443" s="2" t="s">
        <v>133</v>
      </c>
      <c r="B443" s="13" t="s">
        <v>132</v>
      </c>
      <c r="C443" s="13" t="s">
        <v>115</v>
      </c>
      <c r="D443" s="13" t="s">
        <v>3821</v>
      </c>
      <c r="E443" s="13" t="s">
        <v>105</v>
      </c>
      <c r="F443" s="2" t="s">
        <v>99</v>
      </c>
      <c r="G443" s="2" t="s">
        <v>3359</v>
      </c>
      <c r="H443" s="34" t="s">
        <v>822</v>
      </c>
      <c r="I443" s="2" t="s">
        <v>24</v>
      </c>
      <c r="J443" s="2" t="s">
        <v>24</v>
      </c>
      <c r="K443" s="2" t="s">
        <v>24</v>
      </c>
      <c r="L443" s="2" t="s">
        <v>24</v>
      </c>
    </row>
    <row r="444" customFormat="false" ht="15" hidden="false" customHeight="false" outlineLevel="0" collapsed="false">
      <c r="A444" s="2" t="s">
        <v>192</v>
      </c>
      <c r="B444" s="13" t="s">
        <v>191</v>
      </c>
      <c r="C444" s="13" t="s">
        <v>82</v>
      </c>
      <c r="D444" s="13" t="s">
        <v>3822</v>
      </c>
      <c r="E444" s="13" t="s">
        <v>102</v>
      </c>
      <c r="F444" s="2" t="s">
        <v>99</v>
      </c>
      <c r="G444" s="2" t="s">
        <v>3359</v>
      </c>
      <c r="H444" s="34" t="s">
        <v>822</v>
      </c>
      <c r="I444" s="2" t="s">
        <v>24</v>
      </c>
      <c r="J444" s="2" t="s">
        <v>24</v>
      </c>
      <c r="K444" s="2" t="s">
        <v>24</v>
      </c>
      <c r="L444" s="2" t="s">
        <v>24</v>
      </c>
    </row>
    <row r="445" customFormat="false" ht="15" hidden="false" customHeight="false" outlineLevel="0" collapsed="false">
      <c r="A445" s="2" t="s">
        <v>975</v>
      </c>
      <c r="B445" s="13" t="s">
        <v>974</v>
      </c>
      <c r="C445" s="14" t="s">
        <v>82</v>
      </c>
      <c r="D445" s="13" t="s">
        <v>3823</v>
      </c>
      <c r="E445" s="13" t="s">
        <v>124</v>
      </c>
      <c r="F445" s="2" t="s">
        <v>99</v>
      </c>
      <c r="G445" s="2" t="s">
        <v>3355</v>
      </c>
      <c r="H445" s="39" t="s">
        <v>832</v>
      </c>
      <c r="I445" s="2" t="s">
        <v>24</v>
      </c>
      <c r="J445" s="2" t="s">
        <v>22</v>
      </c>
      <c r="K445" s="2" t="s">
        <v>24</v>
      </c>
      <c r="L445" s="2" t="s">
        <v>24</v>
      </c>
    </row>
    <row r="446" customFormat="false" ht="15" hidden="false" customHeight="false" outlineLevel="0" collapsed="false">
      <c r="A446" s="2" t="s">
        <v>3141</v>
      </c>
      <c r="B446" s="14" t="s">
        <v>3824</v>
      </c>
      <c r="C446" s="14" t="s">
        <v>95</v>
      </c>
      <c r="D446" s="14" t="s">
        <v>3825</v>
      </c>
      <c r="E446" s="14" t="s">
        <v>73</v>
      </c>
      <c r="F446" s="2" t="s">
        <v>47</v>
      </c>
      <c r="G446" s="2" t="s">
        <v>3395</v>
      </c>
      <c r="H446" s="39" t="s">
        <v>832</v>
      </c>
      <c r="I446" s="2" t="s">
        <v>22</v>
      </c>
      <c r="J446" s="2" t="s">
        <v>22</v>
      </c>
      <c r="K446" s="2" t="s">
        <v>22</v>
      </c>
      <c r="L446" s="2" t="s">
        <v>22</v>
      </c>
    </row>
    <row r="447" customFormat="false" ht="15" hidden="false" customHeight="false" outlineLevel="0" collapsed="false">
      <c r="A447" s="2" t="s">
        <v>1044</v>
      </c>
      <c r="B447" s="13" t="s">
        <v>1043</v>
      </c>
      <c r="C447" s="13" t="s">
        <v>77</v>
      </c>
      <c r="D447" s="13" t="s">
        <v>3826</v>
      </c>
      <c r="E447" s="13" t="s">
        <v>73</v>
      </c>
      <c r="F447" s="2" t="s">
        <v>99</v>
      </c>
      <c r="G447" s="2" t="s">
        <v>3369</v>
      </c>
      <c r="H447" s="39" t="s">
        <v>832</v>
      </c>
      <c r="I447" s="2" t="s">
        <v>24</v>
      </c>
      <c r="J447" s="2" t="s">
        <v>24</v>
      </c>
      <c r="K447" s="2" t="s">
        <v>24</v>
      </c>
      <c r="L447" s="2" t="s">
        <v>24</v>
      </c>
    </row>
    <row r="448" customFormat="false" ht="15" hidden="false" customHeight="false" outlineLevel="0" collapsed="false">
      <c r="A448" s="2" t="s">
        <v>3144</v>
      </c>
      <c r="B448" s="13" t="s">
        <v>3827</v>
      </c>
      <c r="C448" s="13" t="s">
        <v>95</v>
      </c>
      <c r="D448" s="13" t="s">
        <v>3828</v>
      </c>
      <c r="E448" s="13" t="s">
        <v>87</v>
      </c>
      <c r="F448" s="2" t="s">
        <v>46</v>
      </c>
      <c r="G448" s="2" t="s">
        <v>3395</v>
      </c>
      <c r="H448" s="39" t="s">
        <v>832</v>
      </c>
      <c r="I448" s="2" t="s">
        <v>24</v>
      </c>
      <c r="J448" s="2" t="s">
        <v>24</v>
      </c>
      <c r="K448" s="2" t="s">
        <v>24</v>
      </c>
      <c r="L448" s="2" t="s">
        <v>24</v>
      </c>
    </row>
    <row r="449" customFormat="false" ht="15" hidden="false" customHeight="false" outlineLevel="0" collapsed="false">
      <c r="A449" s="2" t="s">
        <v>434</v>
      </c>
      <c r="B449" s="13" t="s">
        <v>433</v>
      </c>
      <c r="C449" s="13" t="s">
        <v>86</v>
      </c>
      <c r="D449" s="13" t="s">
        <v>3829</v>
      </c>
      <c r="E449" s="13" t="s">
        <v>154</v>
      </c>
      <c r="F449" s="2" t="s">
        <v>47</v>
      </c>
      <c r="G449" s="2" t="s">
        <v>3364</v>
      </c>
      <c r="H449" s="34" t="s">
        <v>822</v>
      </c>
      <c r="I449" s="2" t="s">
        <v>24</v>
      </c>
      <c r="J449" s="2" t="s">
        <v>24</v>
      </c>
      <c r="K449" s="2" t="s">
        <v>24</v>
      </c>
      <c r="L449" s="2" t="s">
        <v>24</v>
      </c>
    </row>
    <row r="450" customFormat="false" ht="15" hidden="false" customHeight="false" outlineLevel="0" collapsed="false">
      <c r="A450" s="2" t="s">
        <v>382</v>
      </c>
      <c r="B450" s="13" t="s">
        <v>381</v>
      </c>
      <c r="C450" s="13" t="s">
        <v>162</v>
      </c>
      <c r="D450" s="13" t="s">
        <v>3830</v>
      </c>
      <c r="E450" s="13" t="s">
        <v>124</v>
      </c>
      <c r="F450" s="2" t="s">
        <v>99</v>
      </c>
      <c r="G450" s="2" t="s">
        <v>3359</v>
      </c>
      <c r="H450" s="34" t="s">
        <v>822</v>
      </c>
      <c r="I450" s="2" t="s">
        <v>24</v>
      </c>
      <c r="J450" s="2" t="s">
        <v>24</v>
      </c>
      <c r="K450" s="2" t="s">
        <v>24</v>
      </c>
      <c r="L450" s="2" t="s">
        <v>24</v>
      </c>
    </row>
    <row r="451" customFormat="false" ht="15" hidden="false" customHeight="false" outlineLevel="0" collapsed="false">
      <c r="A451" s="2" t="s">
        <v>568</v>
      </c>
      <c r="B451" s="13" t="s">
        <v>567</v>
      </c>
      <c r="C451" s="13" t="s">
        <v>123</v>
      </c>
      <c r="D451" s="13" t="s">
        <v>3831</v>
      </c>
      <c r="E451" s="13" t="s">
        <v>78</v>
      </c>
      <c r="F451" s="2" t="s">
        <v>99</v>
      </c>
      <c r="G451" s="2" t="s">
        <v>3359</v>
      </c>
      <c r="H451" s="34" t="s">
        <v>822</v>
      </c>
      <c r="I451" s="2" t="s">
        <v>24</v>
      </c>
      <c r="J451" s="2" t="s">
        <v>24</v>
      </c>
      <c r="K451" s="2" t="s">
        <v>24</v>
      </c>
      <c r="L451" s="2" t="s">
        <v>24</v>
      </c>
    </row>
    <row r="452" customFormat="false" ht="15" hidden="false" customHeight="false" outlineLevel="0" collapsed="false">
      <c r="A452" s="2" t="s">
        <v>2561</v>
      </c>
      <c r="B452" s="13" t="s">
        <v>2560</v>
      </c>
      <c r="C452" s="13" t="s">
        <v>72</v>
      </c>
      <c r="D452" s="13" t="s">
        <v>3832</v>
      </c>
      <c r="E452" s="13" t="s">
        <v>124</v>
      </c>
      <c r="F452" s="2" t="s">
        <v>106</v>
      </c>
      <c r="G452" s="2" t="s">
        <v>3361</v>
      </c>
      <c r="H452" s="39" t="s">
        <v>832</v>
      </c>
      <c r="I452" s="2" t="s">
        <v>24</v>
      </c>
      <c r="J452" s="2" t="s">
        <v>24</v>
      </c>
      <c r="K452" s="2" t="s">
        <v>24</v>
      </c>
      <c r="L452" s="2" t="s">
        <v>24</v>
      </c>
    </row>
    <row r="453" customFormat="false" ht="15" hidden="false" customHeight="false" outlineLevel="0" collapsed="false">
      <c r="A453" s="2" t="s">
        <v>1619</v>
      </c>
      <c r="B453" s="13" t="s">
        <v>1618</v>
      </c>
      <c r="C453" s="13" t="s">
        <v>98</v>
      </c>
      <c r="D453" s="13" t="s">
        <v>3833</v>
      </c>
      <c r="E453" s="13" t="s">
        <v>87</v>
      </c>
      <c r="F453" s="2" t="s">
        <v>99</v>
      </c>
      <c r="G453" s="2" t="s">
        <v>3355</v>
      </c>
      <c r="H453" s="39" t="s">
        <v>832</v>
      </c>
      <c r="I453" s="2" t="s">
        <v>24</v>
      </c>
      <c r="J453" s="2" t="s">
        <v>24</v>
      </c>
      <c r="K453" s="2" t="s">
        <v>24</v>
      </c>
      <c r="L453" s="2" t="s">
        <v>24</v>
      </c>
    </row>
    <row r="454" customFormat="false" ht="15" hidden="false" customHeight="false" outlineLevel="0" collapsed="false">
      <c r="A454" s="2" t="s">
        <v>3148</v>
      </c>
      <c r="B454" s="13" t="s">
        <v>3834</v>
      </c>
      <c r="C454" s="13" t="s">
        <v>98</v>
      </c>
      <c r="D454" s="13" t="s">
        <v>3835</v>
      </c>
      <c r="E454" s="13" t="s">
        <v>120</v>
      </c>
      <c r="F454" s="2" t="s">
        <v>47</v>
      </c>
      <c r="G454" s="2" t="s">
        <v>3395</v>
      </c>
      <c r="H454" s="39" t="s">
        <v>832</v>
      </c>
      <c r="I454" s="2" t="s">
        <v>24</v>
      </c>
      <c r="J454" s="2" t="s">
        <v>24</v>
      </c>
      <c r="K454" s="2" t="s">
        <v>24</v>
      </c>
      <c r="L454" s="2" t="s">
        <v>24</v>
      </c>
    </row>
    <row r="455" customFormat="false" ht="15" hidden="false" customHeight="false" outlineLevel="0" collapsed="false">
      <c r="A455" s="2" t="s">
        <v>588</v>
      </c>
      <c r="B455" s="13" t="s">
        <v>587</v>
      </c>
      <c r="C455" s="13" t="s">
        <v>82</v>
      </c>
      <c r="D455" s="14" t="s">
        <v>3836</v>
      </c>
      <c r="E455" s="13" t="s">
        <v>127</v>
      </c>
      <c r="F455" s="2" t="s">
        <v>99</v>
      </c>
      <c r="G455" s="2" t="s">
        <v>3359</v>
      </c>
      <c r="H455" s="34" t="s">
        <v>822</v>
      </c>
      <c r="I455" s="2" t="s">
        <v>24</v>
      </c>
      <c r="J455" s="2" t="s">
        <v>24</v>
      </c>
      <c r="K455" s="2" t="s">
        <v>22</v>
      </c>
      <c r="L455" s="2" t="s">
        <v>24</v>
      </c>
    </row>
    <row r="456" customFormat="false" ht="15" hidden="false" customHeight="false" outlineLevel="0" collapsed="false">
      <c r="A456" s="2" t="s">
        <v>1405</v>
      </c>
      <c r="B456" s="13" t="s">
        <v>1404</v>
      </c>
      <c r="C456" s="13" t="s">
        <v>77</v>
      </c>
      <c r="D456" s="13" t="s">
        <v>3837</v>
      </c>
      <c r="E456" s="13" t="s">
        <v>78</v>
      </c>
      <c r="F456" s="2" t="s">
        <v>99</v>
      </c>
      <c r="G456" s="2" t="s">
        <v>3355</v>
      </c>
      <c r="H456" s="39" t="s">
        <v>832</v>
      </c>
      <c r="I456" s="2" t="s">
        <v>24</v>
      </c>
      <c r="J456" s="2" t="s">
        <v>24</v>
      </c>
      <c r="K456" s="2" t="s">
        <v>24</v>
      </c>
      <c r="L456" s="2" t="s">
        <v>24</v>
      </c>
    </row>
    <row r="457" customFormat="false" ht="15" hidden="false" customHeight="false" outlineLevel="0" collapsed="false">
      <c r="A457" s="2" t="s">
        <v>2597</v>
      </c>
      <c r="B457" s="13" t="s">
        <v>2596</v>
      </c>
      <c r="C457" s="13" t="s">
        <v>86</v>
      </c>
      <c r="D457" s="13" t="s">
        <v>3838</v>
      </c>
      <c r="E457" s="13" t="s">
        <v>124</v>
      </c>
      <c r="F457" s="2" t="s">
        <v>92</v>
      </c>
      <c r="G457" s="2" t="s">
        <v>3361</v>
      </c>
      <c r="H457" s="39" t="s">
        <v>832</v>
      </c>
      <c r="I457" s="2" t="s">
        <v>24</v>
      </c>
      <c r="J457" s="2" t="s">
        <v>24</v>
      </c>
      <c r="K457" s="2" t="s">
        <v>24</v>
      </c>
      <c r="L457" s="2" t="s">
        <v>24</v>
      </c>
    </row>
    <row r="458" customFormat="false" ht="15" hidden="false" customHeight="false" outlineLevel="0" collapsed="false">
      <c r="A458" s="2" t="s">
        <v>1322</v>
      </c>
      <c r="B458" s="13" t="s">
        <v>1321</v>
      </c>
      <c r="C458" s="13" t="s">
        <v>95</v>
      </c>
      <c r="D458" s="13" t="s">
        <v>3839</v>
      </c>
      <c r="E458" s="13" t="s">
        <v>105</v>
      </c>
      <c r="F458" s="2" t="s">
        <v>99</v>
      </c>
      <c r="G458" s="2" t="s">
        <v>3355</v>
      </c>
      <c r="H458" s="39" t="s">
        <v>832</v>
      </c>
      <c r="I458" s="2" t="s">
        <v>24</v>
      </c>
      <c r="J458" s="2" t="s">
        <v>24</v>
      </c>
      <c r="K458" s="2" t="s">
        <v>24</v>
      </c>
      <c r="L458" s="2" t="s">
        <v>24</v>
      </c>
    </row>
    <row r="459" customFormat="false" ht="15" hidden="false" customHeight="false" outlineLevel="0" collapsed="false">
      <c r="A459" s="2" t="s">
        <v>1539</v>
      </c>
      <c r="B459" s="13" t="s">
        <v>1538</v>
      </c>
      <c r="C459" s="13" t="s">
        <v>72</v>
      </c>
      <c r="D459" s="13" t="s">
        <v>3840</v>
      </c>
      <c r="E459" s="13" t="s">
        <v>124</v>
      </c>
      <c r="F459" s="2" t="s">
        <v>99</v>
      </c>
      <c r="G459" s="2" t="s">
        <v>3355</v>
      </c>
      <c r="H459" s="39" t="s">
        <v>832</v>
      </c>
      <c r="I459" s="2" t="s">
        <v>24</v>
      </c>
      <c r="J459" s="2" t="s">
        <v>24</v>
      </c>
      <c r="K459" s="2" t="s">
        <v>24</v>
      </c>
      <c r="L459" s="2" t="s">
        <v>24</v>
      </c>
    </row>
    <row r="460" customFormat="false" ht="15" hidden="false" customHeight="false" outlineLevel="0" collapsed="false">
      <c r="A460" s="2" t="s">
        <v>740</v>
      </c>
      <c r="B460" s="13" t="s">
        <v>739</v>
      </c>
      <c r="C460" s="13" t="s">
        <v>77</v>
      </c>
      <c r="D460" s="13" t="s">
        <v>3841</v>
      </c>
      <c r="E460" s="13" t="s">
        <v>105</v>
      </c>
      <c r="F460" s="2" t="s">
        <v>46</v>
      </c>
      <c r="G460" s="2" t="s">
        <v>3364</v>
      </c>
      <c r="H460" s="34" t="s">
        <v>822</v>
      </c>
      <c r="I460" s="2" t="s">
        <v>24</v>
      </c>
      <c r="J460" s="2" t="s">
        <v>24</v>
      </c>
      <c r="K460" s="2" t="s">
        <v>24</v>
      </c>
      <c r="L460" s="2" t="s">
        <v>24</v>
      </c>
    </row>
    <row r="461" customFormat="false" ht="15" hidden="false" customHeight="false" outlineLevel="0" collapsed="false">
      <c r="A461" s="2" t="s">
        <v>1475</v>
      </c>
      <c r="B461" s="13" t="s">
        <v>1474</v>
      </c>
      <c r="C461" s="13" t="s">
        <v>86</v>
      </c>
      <c r="D461" s="13" t="s">
        <v>3842</v>
      </c>
      <c r="E461" s="13" t="s">
        <v>73</v>
      </c>
      <c r="F461" s="2" t="s">
        <v>99</v>
      </c>
      <c r="G461" s="2" t="s">
        <v>3355</v>
      </c>
      <c r="H461" s="39" t="s">
        <v>832</v>
      </c>
      <c r="I461" s="2" t="s">
        <v>24</v>
      </c>
      <c r="J461" s="2" t="s">
        <v>24</v>
      </c>
      <c r="K461" s="2" t="s">
        <v>24</v>
      </c>
      <c r="L461" s="2" t="s">
        <v>24</v>
      </c>
    </row>
    <row r="462" customFormat="false" ht="15" hidden="false" customHeight="false" outlineLevel="0" collapsed="false">
      <c r="A462" s="2" t="s">
        <v>1015</v>
      </c>
      <c r="B462" s="13" t="s">
        <v>1014</v>
      </c>
      <c r="C462" s="13" t="s">
        <v>86</v>
      </c>
      <c r="D462" s="13" t="s">
        <v>3843</v>
      </c>
      <c r="E462" s="13" t="s">
        <v>120</v>
      </c>
      <c r="F462" s="2" t="s">
        <v>99</v>
      </c>
      <c r="G462" s="2" t="s">
        <v>3355</v>
      </c>
      <c r="H462" s="39" t="s">
        <v>832</v>
      </c>
      <c r="I462" s="2" t="s">
        <v>24</v>
      </c>
      <c r="J462" s="2" t="s">
        <v>24</v>
      </c>
      <c r="K462" s="2" t="s">
        <v>24</v>
      </c>
      <c r="L462" s="2" t="s">
        <v>24</v>
      </c>
    </row>
    <row r="463" customFormat="false" ht="15" hidden="false" customHeight="false" outlineLevel="0" collapsed="false">
      <c r="A463" s="2" t="s">
        <v>430</v>
      </c>
      <c r="B463" s="14" t="s">
        <v>429</v>
      </c>
      <c r="C463" s="13" t="s">
        <v>95</v>
      </c>
      <c r="D463" s="13" t="s">
        <v>3844</v>
      </c>
      <c r="E463" s="14" t="s">
        <v>154</v>
      </c>
      <c r="F463" s="2" t="s">
        <v>46</v>
      </c>
      <c r="G463" s="2" t="s">
        <v>3364</v>
      </c>
      <c r="H463" s="34" t="s">
        <v>822</v>
      </c>
      <c r="I463" s="2" t="s">
        <v>22</v>
      </c>
      <c r="J463" s="2" t="s">
        <v>24</v>
      </c>
      <c r="K463" s="2" t="s">
        <v>24</v>
      </c>
      <c r="L463" s="2" t="s">
        <v>22</v>
      </c>
    </row>
    <row r="464" customFormat="false" ht="15" hidden="false" customHeight="false" outlineLevel="0" collapsed="false">
      <c r="A464" s="2" t="s">
        <v>1050</v>
      </c>
      <c r="B464" s="13" t="s">
        <v>1049</v>
      </c>
      <c r="C464" s="13" t="s">
        <v>115</v>
      </c>
      <c r="D464" s="13" t="s">
        <v>3845</v>
      </c>
      <c r="E464" s="13" t="s">
        <v>83</v>
      </c>
      <c r="F464" s="2" t="s">
        <v>99</v>
      </c>
      <c r="G464" s="2" t="s">
        <v>3355</v>
      </c>
      <c r="H464" s="39" t="s">
        <v>832</v>
      </c>
      <c r="I464" s="2" t="s">
        <v>24</v>
      </c>
      <c r="J464" s="2" t="s">
        <v>24</v>
      </c>
      <c r="K464" s="2" t="s">
        <v>24</v>
      </c>
      <c r="L464" s="2" t="s">
        <v>24</v>
      </c>
    </row>
    <row r="465" customFormat="false" ht="15" hidden="false" customHeight="false" outlineLevel="0" collapsed="false">
      <c r="A465" s="2" t="s">
        <v>992</v>
      </c>
      <c r="B465" s="13" t="s">
        <v>991</v>
      </c>
      <c r="C465" s="13" t="s">
        <v>77</v>
      </c>
      <c r="D465" s="13" t="s">
        <v>3846</v>
      </c>
      <c r="E465" s="13" t="s">
        <v>73</v>
      </c>
      <c r="F465" s="2" t="s">
        <v>99</v>
      </c>
      <c r="G465" s="2" t="s">
        <v>3355</v>
      </c>
      <c r="H465" s="39" t="s">
        <v>832</v>
      </c>
      <c r="I465" s="2" t="s">
        <v>24</v>
      </c>
      <c r="J465" s="2" t="s">
        <v>24</v>
      </c>
      <c r="K465" s="2" t="s">
        <v>24</v>
      </c>
      <c r="L465" s="2" t="s">
        <v>24</v>
      </c>
    </row>
    <row r="466" customFormat="false" ht="15" hidden="false" customHeight="false" outlineLevel="0" collapsed="false">
      <c r="A466" s="2" t="s">
        <v>1152</v>
      </c>
      <c r="B466" s="13" t="s">
        <v>1151</v>
      </c>
      <c r="C466" s="13" t="s">
        <v>98</v>
      </c>
      <c r="D466" s="13" t="s">
        <v>3847</v>
      </c>
      <c r="E466" s="13" t="s">
        <v>105</v>
      </c>
      <c r="F466" s="2" t="s">
        <v>99</v>
      </c>
      <c r="G466" s="2" t="s">
        <v>3355</v>
      </c>
      <c r="H466" s="39" t="s">
        <v>832</v>
      </c>
      <c r="I466" s="2" t="s">
        <v>24</v>
      </c>
      <c r="J466" s="2" t="s">
        <v>24</v>
      </c>
      <c r="K466" s="2" t="s">
        <v>24</v>
      </c>
      <c r="L466" s="2" t="s">
        <v>24</v>
      </c>
    </row>
    <row r="467" customFormat="false" ht="15" hidden="false" customHeight="false" outlineLevel="0" collapsed="false">
      <c r="A467" s="2" t="s">
        <v>1355</v>
      </c>
      <c r="B467" s="13" t="s">
        <v>1354</v>
      </c>
      <c r="C467" s="13" t="s">
        <v>82</v>
      </c>
      <c r="D467" s="14" t="s">
        <v>3848</v>
      </c>
      <c r="E467" s="13" t="s">
        <v>83</v>
      </c>
      <c r="F467" s="2" t="s">
        <v>99</v>
      </c>
      <c r="G467" s="2" t="s">
        <v>3355</v>
      </c>
      <c r="H467" s="39" t="s">
        <v>832</v>
      </c>
      <c r="I467" s="2" t="s">
        <v>24</v>
      </c>
      <c r="J467" s="2" t="s">
        <v>24</v>
      </c>
      <c r="K467" s="2" t="s">
        <v>22</v>
      </c>
      <c r="L467" s="2" t="s">
        <v>24</v>
      </c>
    </row>
    <row r="468" customFormat="false" ht="15" hidden="false" customHeight="false" outlineLevel="0" collapsed="false">
      <c r="A468" s="2" t="s">
        <v>466</v>
      </c>
      <c r="B468" s="13" t="s">
        <v>465</v>
      </c>
      <c r="C468" s="13" t="s">
        <v>115</v>
      </c>
      <c r="D468" s="14" t="s">
        <v>3849</v>
      </c>
      <c r="E468" s="13" t="s">
        <v>120</v>
      </c>
      <c r="F468" s="2" t="s">
        <v>47</v>
      </c>
      <c r="G468" s="2" t="s">
        <v>3364</v>
      </c>
      <c r="H468" s="34" t="s">
        <v>822</v>
      </c>
      <c r="I468" s="2" t="s">
        <v>24</v>
      </c>
      <c r="J468" s="2" t="s">
        <v>24</v>
      </c>
      <c r="K468" s="2" t="s">
        <v>22</v>
      </c>
      <c r="L468" s="2" t="s">
        <v>24</v>
      </c>
    </row>
    <row r="469" customFormat="false" ht="15" hidden="false" customHeight="false" outlineLevel="0" collapsed="false">
      <c r="A469" s="2" t="s">
        <v>2449</v>
      </c>
      <c r="B469" s="13" t="s">
        <v>2448</v>
      </c>
      <c r="C469" s="13" t="s">
        <v>72</v>
      </c>
      <c r="D469" s="16"/>
      <c r="E469" s="13" t="s">
        <v>127</v>
      </c>
      <c r="F469" s="2" t="s">
        <v>99</v>
      </c>
      <c r="G469" s="2" t="s">
        <v>3369</v>
      </c>
      <c r="H469" s="39" t="s">
        <v>832</v>
      </c>
      <c r="I469" s="2" t="s">
        <v>24</v>
      </c>
      <c r="J469" s="2" t="s">
        <v>24</v>
      </c>
      <c r="K469" s="2"/>
      <c r="L469" s="2" t="s">
        <v>24</v>
      </c>
    </row>
    <row r="470" customFormat="false" ht="15" hidden="false" customHeight="false" outlineLevel="0" collapsed="false">
      <c r="A470" s="2" t="s">
        <v>1590</v>
      </c>
      <c r="B470" s="13" t="s">
        <v>1589</v>
      </c>
      <c r="C470" s="13" t="s">
        <v>115</v>
      </c>
      <c r="D470" s="13" t="s">
        <v>3850</v>
      </c>
      <c r="E470" s="13" t="s">
        <v>83</v>
      </c>
      <c r="F470" s="2" t="s">
        <v>99</v>
      </c>
      <c r="G470" s="2" t="s">
        <v>3355</v>
      </c>
      <c r="H470" s="39" t="s">
        <v>832</v>
      </c>
      <c r="I470" s="2" t="s">
        <v>24</v>
      </c>
      <c r="J470" s="2" t="s">
        <v>24</v>
      </c>
      <c r="K470" s="2" t="s">
        <v>24</v>
      </c>
      <c r="L470" s="2" t="s">
        <v>24</v>
      </c>
    </row>
    <row r="471" customFormat="false" ht="15" hidden="false" customHeight="false" outlineLevel="0" collapsed="false">
      <c r="A471" s="2" t="s">
        <v>694</v>
      </c>
      <c r="B471" s="13" t="s">
        <v>693</v>
      </c>
      <c r="C471" s="13" t="s">
        <v>95</v>
      </c>
      <c r="D471" s="13" t="s">
        <v>3851</v>
      </c>
      <c r="E471" s="13" t="s">
        <v>154</v>
      </c>
      <c r="F471" s="2" t="s">
        <v>149</v>
      </c>
      <c r="G471" s="2" t="s">
        <v>3376</v>
      </c>
      <c r="H471" s="34" t="s">
        <v>822</v>
      </c>
      <c r="I471" s="2" t="s">
        <v>24</v>
      </c>
      <c r="J471" s="2" t="s">
        <v>24</v>
      </c>
      <c r="K471" s="2" t="s">
        <v>24</v>
      </c>
      <c r="L471" s="2" t="s">
        <v>24</v>
      </c>
    </row>
    <row r="472" customFormat="false" ht="15" hidden="false" customHeight="false" outlineLevel="0" collapsed="false">
      <c r="A472" s="2" t="s">
        <v>464</v>
      </c>
      <c r="B472" s="13" t="s">
        <v>463</v>
      </c>
      <c r="C472" s="13" t="s">
        <v>72</v>
      </c>
      <c r="D472" s="13" t="s">
        <v>3852</v>
      </c>
      <c r="E472" s="13" t="s">
        <v>87</v>
      </c>
      <c r="F472" s="2" t="s">
        <v>99</v>
      </c>
      <c r="G472" s="2" t="s">
        <v>3359</v>
      </c>
      <c r="H472" s="34" t="s">
        <v>822</v>
      </c>
      <c r="I472" s="2" t="s">
        <v>24</v>
      </c>
      <c r="J472" s="2" t="s">
        <v>24</v>
      </c>
      <c r="K472" s="2" t="s">
        <v>24</v>
      </c>
      <c r="L472" s="2" t="s">
        <v>24</v>
      </c>
    </row>
    <row r="473" customFormat="false" ht="15" hidden="false" customHeight="false" outlineLevel="0" collapsed="false">
      <c r="A473" s="2" t="s">
        <v>388</v>
      </c>
      <c r="B473" s="13" t="s">
        <v>387</v>
      </c>
      <c r="C473" s="13" t="s">
        <v>82</v>
      </c>
      <c r="D473" s="13" t="s">
        <v>3853</v>
      </c>
      <c r="E473" s="13" t="s">
        <v>83</v>
      </c>
      <c r="F473" s="2" t="s">
        <v>99</v>
      </c>
      <c r="G473" s="2" t="s">
        <v>3359</v>
      </c>
      <c r="H473" s="34" t="s">
        <v>822</v>
      </c>
      <c r="I473" s="2" t="s">
        <v>24</v>
      </c>
      <c r="J473" s="2" t="s">
        <v>24</v>
      </c>
      <c r="K473" s="2" t="s">
        <v>24</v>
      </c>
      <c r="L473" s="2" t="s">
        <v>24</v>
      </c>
    </row>
    <row r="474" customFormat="false" ht="15" hidden="false" customHeight="false" outlineLevel="0" collapsed="false">
      <c r="A474" s="2" t="s">
        <v>496</v>
      </c>
      <c r="B474" s="13" t="s">
        <v>495</v>
      </c>
      <c r="C474" s="13" t="s">
        <v>77</v>
      </c>
      <c r="D474" s="13" t="s">
        <v>3854</v>
      </c>
      <c r="E474" s="13" t="s">
        <v>124</v>
      </c>
      <c r="F474" s="2" t="s">
        <v>99</v>
      </c>
      <c r="G474" s="2" t="s">
        <v>3359</v>
      </c>
      <c r="H474" s="34" t="s">
        <v>822</v>
      </c>
      <c r="I474" s="2" t="s">
        <v>24</v>
      </c>
      <c r="J474" s="2" t="s">
        <v>24</v>
      </c>
      <c r="K474" s="2" t="s">
        <v>24</v>
      </c>
      <c r="L474" s="2" t="s">
        <v>24</v>
      </c>
    </row>
    <row r="475" customFormat="false" ht="15" hidden="false" customHeight="false" outlineLevel="0" collapsed="false">
      <c r="A475" s="2" t="s">
        <v>462</v>
      </c>
      <c r="B475" s="13" t="s">
        <v>461</v>
      </c>
      <c r="C475" s="13" t="s">
        <v>115</v>
      </c>
      <c r="D475" s="13" t="s">
        <v>3855</v>
      </c>
      <c r="E475" s="13" t="s">
        <v>83</v>
      </c>
      <c r="F475" s="2" t="s">
        <v>92</v>
      </c>
      <c r="G475" s="2" t="s">
        <v>3376</v>
      </c>
      <c r="H475" s="34" t="s">
        <v>822</v>
      </c>
      <c r="I475" s="2" t="s">
        <v>24</v>
      </c>
      <c r="J475" s="2" t="s">
        <v>24</v>
      </c>
      <c r="K475" s="2" t="s">
        <v>24</v>
      </c>
      <c r="L475" s="2" t="s">
        <v>24</v>
      </c>
    </row>
    <row r="476" customFormat="false" ht="15" hidden="false" customHeight="false" outlineLevel="0" collapsed="false">
      <c r="A476" s="2" t="s">
        <v>472</v>
      </c>
      <c r="B476" s="13" t="s">
        <v>471</v>
      </c>
      <c r="C476" s="13" t="s">
        <v>115</v>
      </c>
      <c r="D476" s="13" t="s">
        <v>3856</v>
      </c>
      <c r="E476" s="13" t="s">
        <v>87</v>
      </c>
      <c r="F476" s="2" t="s">
        <v>99</v>
      </c>
      <c r="G476" s="2" t="s">
        <v>3359</v>
      </c>
      <c r="H476" s="34" t="s">
        <v>822</v>
      </c>
      <c r="I476" s="2" t="s">
        <v>24</v>
      </c>
      <c r="J476" s="2" t="s">
        <v>24</v>
      </c>
      <c r="K476" s="2" t="s">
        <v>24</v>
      </c>
      <c r="L476" s="2" t="s">
        <v>24</v>
      </c>
    </row>
    <row r="477" customFormat="false" ht="15" hidden="false" customHeight="false" outlineLevel="0" collapsed="false">
      <c r="A477" s="2" t="s">
        <v>1012</v>
      </c>
      <c r="B477" s="13" t="s">
        <v>1011</v>
      </c>
      <c r="C477" s="13" t="s">
        <v>115</v>
      </c>
      <c r="D477" s="13" t="s">
        <v>3857</v>
      </c>
      <c r="E477" s="13" t="s">
        <v>83</v>
      </c>
      <c r="F477" s="2" t="s">
        <v>99</v>
      </c>
      <c r="G477" s="2" t="s">
        <v>3369</v>
      </c>
      <c r="H477" s="39" t="s">
        <v>832</v>
      </c>
      <c r="I477" s="2" t="s">
        <v>24</v>
      </c>
      <c r="J477" s="2" t="s">
        <v>24</v>
      </c>
      <c r="K477" s="2" t="s">
        <v>24</v>
      </c>
      <c r="L477" s="2" t="s">
        <v>24</v>
      </c>
    </row>
    <row r="478" customFormat="false" ht="15" hidden="false" customHeight="false" outlineLevel="0" collapsed="false">
      <c r="A478" s="2" t="s">
        <v>244</v>
      </c>
      <c r="B478" s="13" t="s">
        <v>243</v>
      </c>
      <c r="C478" s="13" t="s">
        <v>91</v>
      </c>
      <c r="D478" s="13" t="s">
        <v>3858</v>
      </c>
      <c r="E478" s="13" t="s">
        <v>102</v>
      </c>
      <c r="F478" s="2" t="s">
        <v>99</v>
      </c>
      <c r="G478" s="2" t="s">
        <v>3359</v>
      </c>
      <c r="H478" s="34" t="s">
        <v>822</v>
      </c>
      <c r="I478" s="2" t="s">
        <v>24</v>
      </c>
      <c r="J478" s="2" t="s">
        <v>24</v>
      </c>
      <c r="K478" s="2" t="s">
        <v>24</v>
      </c>
      <c r="L478" s="2" t="s">
        <v>24</v>
      </c>
    </row>
    <row r="479" customFormat="false" ht="15" hidden="false" customHeight="false" outlineLevel="0" collapsed="false">
      <c r="A479" s="2" t="s">
        <v>228</v>
      </c>
      <c r="B479" s="14" t="s">
        <v>227</v>
      </c>
      <c r="C479" s="13" t="s">
        <v>98</v>
      </c>
      <c r="D479" s="14" t="s">
        <v>3859</v>
      </c>
      <c r="E479" s="13" t="s">
        <v>87</v>
      </c>
      <c r="F479" s="2" t="s">
        <v>149</v>
      </c>
      <c r="G479" s="2" t="s">
        <v>3376</v>
      </c>
      <c r="H479" s="34" t="s">
        <v>822</v>
      </c>
      <c r="I479" s="2" t="s">
        <v>22</v>
      </c>
      <c r="J479" s="2" t="s">
        <v>24</v>
      </c>
      <c r="K479" s="2" t="s">
        <v>22</v>
      </c>
      <c r="L479" s="2" t="s">
        <v>24</v>
      </c>
    </row>
    <row r="480" customFormat="false" ht="15" hidden="false" customHeight="false" outlineLevel="0" collapsed="false">
      <c r="A480" s="2" t="s">
        <v>989</v>
      </c>
      <c r="B480" s="13" t="s">
        <v>988</v>
      </c>
      <c r="C480" s="13" t="s">
        <v>91</v>
      </c>
      <c r="D480" s="13" t="s">
        <v>3860</v>
      </c>
      <c r="E480" s="13" t="s">
        <v>105</v>
      </c>
      <c r="F480" s="2" t="s">
        <v>99</v>
      </c>
      <c r="G480" s="2" t="s">
        <v>3355</v>
      </c>
      <c r="H480" s="39" t="s">
        <v>832</v>
      </c>
      <c r="I480" s="2" t="s">
        <v>24</v>
      </c>
      <c r="J480" s="2" t="s">
        <v>24</v>
      </c>
      <c r="K480" s="2" t="s">
        <v>24</v>
      </c>
      <c r="L480" s="2" t="s">
        <v>24</v>
      </c>
    </row>
    <row r="481" customFormat="false" ht="15" hidden="false" customHeight="false" outlineLevel="0" collapsed="false">
      <c r="A481" s="2" t="s">
        <v>1512</v>
      </c>
      <c r="B481" s="13" t="s">
        <v>1511</v>
      </c>
      <c r="C481" s="13" t="s">
        <v>82</v>
      </c>
      <c r="D481" s="13" t="s">
        <v>3861</v>
      </c>
      <c r="E481" s="13" t="s">
        <v>78</v>
      </c>
      <c r="F481" s="2" t="s">
        <v>99</v>
      </c>
      <c r="G481" s="2" t="s">
        <v>3355</v>
      </c>
      <c r="H481" s="39" t="s">
        <v>832</v>
      </c>
      <c r="I481" s="2" t="s">
        <v>24</v>
      </c>
      <c r="J481" s="2" t="s">
        <v>24</v>
      </c>
      <c r="K481" s="2" t="s">
        <v>24</v>
      </c>
      <c r="L481" s="2" t="s">
        <v>24</v>
      </c>
    </row>
    <row r="482" customFormat="false" ht="15" hidden="false" customHeight="false" outlineLevel="0" collapsed="false">
      <c r="A482" s="2" t="s">
        <v>702</v>
      </c>
      <c r="B482" s="13" t="s">
        <v>701</v>
      </c>
      <c r="C482" s="13" t="s">
        <v>98</v>
      </c>
      <c r="D482" s="13" t="s">
        <v>3862</v>
      </c>
      <c r="E482" s="13" t="s">
        <v>154</v>
      </c>
      <c r="F482" s="2" t="s">
        <v>47</v>
      </c>
      <c r="G482" s="2" t="s">
        <v>3364</v>
      </c>
      <c r="H482" s="34" t="s">
        <v>822</v>
      </c>
      <c r="I482" s="2" t="s">
        <v>24</v>
      </c>
      <c r="J482" s="2" t="s">
        <v>24</v>
      </c>
      <c r="K482" s="2" t="s">
        <v>24</v>
      </c>
      <c r="L482" s="2" t="s">
        <v>24</v>
      </c>
    </row>
    <row r="483" customFormat="false" ht="15" hidden="false" customHeight="false" outlineLevel="0" collapsed="false">
      <c r="A483" s="2" t="s">
        <v>2190</v>
      </c>
      <c r="B483" s="14" t="s">
        <v>2189</v>
      </c>
      <c r="C483" s="16"/>
      <c r="D483" s="14" t="s">
        <v>3863</v>
      </c>
      <c r="E483" s="14" t="s">
        <v>120</v>
      </c>
      <c r="F483" s="2" t="s">
        <v>46</v>
      </c>
      <c r="G483" s="2" t="s">
        <v>3364</v>
      </c>
      <c r="H483" s="39" t="s">
        <v>832</v>
      </c>
      <c r="I483" s="2" t="s">
        <v>22</v>
      </c>
      <c r="J483" s="2"/>
      <c r="K483" s="2" t="s">
        <v>22</v>
      </c>
      <c r="L483" s="2" t="s">
        <v>22</v>
      </c>
    </row>
    <row r="484" customFormat="false" ht="15" hidden="false" customHeight="false" outlineLevel="0" collapsed="false">
      <c r="A484" s="2" t="s">
        <v>3158</v>
      </c>
      <c r="B484" s="13" t="s">
        <v>3864</v>
      </c>
      <c r="C484" s="13" t="s">
        <v>91</v>
      </c>
      <c r="D484" s="13" t="s">
        <v>3865</v>
      </c>
      <c r="E484" s="13" t="s">
        <v>124</v>
      </c>
      <c r="F484" s="2" t="s">
        <v>45</v>
      </c>
      <c r="G484" s="2" t="s">
        <v>3395</v>
      </c>
      <c r="H484" s="39" t="s">
        <v>832</v>
      </c>
      <c r="I484" s="2" t="s">
        <v>24</v>
      </c>
      <c r="J484" s="2" t="s">
        <v>24</v>
      </c>
      <c r="K484" s="2" t="s">
        <v>24</v>
      </c>
      <c r="L484" s="2" t="s">
        <v>24</v>
      </c>
    </row>
    <row r="485" customFormat="false" ht="15" hidden="false" customHeight="false" outlineLevel="0" collapsed="false">
      <c r="A485" s="2" t="s">
        <v>1336</v>
      </c>
      <c r="B485" s="13" t="s">
        <v>1335</v>
      </c>
      <c r="C485" s="13" t="s">
        <v>123</v>
      </c>
      <c r="D485" s="13" t="s">
        <v>3866</v>
      </c>
      <c r="E485" s="13" t="s">
        <v>73</v>
      </c>
      <c r="F485" s="2" t="s">
        <v>99</v>
      </c>
      <c r="G485" s="2" t="s">
        <v>3355</v>
      </c>
      <c r="H485" s="39" t="s">
        <v>832</v>
      </c>
      <c r="I485" s="2" t="s">
        <v>24</v>
      </c>
      <c r="J485" s="2" t="s">
        <v>24</v>
      </c>
      <c r="K485" s="2" t="s">
        <v>24</v>
      </c>
      <c r="L485" s="2" t="s">
        <v>24</v>
      </c>
    </row>
    <row r="486" customFormat="false" ht="15" hidden="false" customHeight="false" outlineLevel="0" collapsed="false">
      <c r="A486" s="2" t="s">
        <v>2390</v>
      </c>
      <c r="B486" s="13" t="s">
        <v>2389</v>
      </c>
      <c r="C486" s="13" t="s">
        <v>82</v>
      </c>
      <c r="D486" s="13" t="s">
        <v>3867</v>
      </c>
      <c r="E486" s="13" t="s">
        <v>78</v>
      </c>
      <c r="F486" s="2" t="s">
        <v>99</v>
      </c>
      <c r="G486" s="2" t="s">
        <v>3369</v>
      </c>
      <c r="H486" s="39" t="s">
        <v>832</v>
      </c>
      <c r="I486" s="2" t="s">
        <v>24</v>
      </c>
      <c r="J486" s="2" t="s">
        <v>24</v>
      </c>
      <c r="K486" s="2" t="s">
        <v>24</v>
      </c>
      <c r="L486" s="2" t="s">
        <v>24</v>
      </c>
    </row>
    <row r="487" customFormat="false" ht="15" hidden="false" customHeight="false" outlineLevel="0" collapsed="false">
      <c r="A487" s="2" t="s">
        <v>2830</v>
      </c>
      <c r="B487" s="13" t="s">
        <v>2829</v>
      </c>
      <c r="C487" s="13" t="s">
        <v>86</v>
      </c>
      <c r="D487" s="13" t="s">
        <v>3868</v>
      </c>
      <c r="E487" s="13" t="s">
        <v>105</v>
      </c>
      <c r="F487" s="2" t="s">
        <v>99</v>
      </c>
      <c r="G487" s="2" t="s">
        <v>3369</v>
      </c>
      <c r="H487" s="39" t="s">
        <v>832</v>
      </c>
      <c r="I487" s="2" t="s">
        <v>24</v>
      </c>
      <c r="J487" s="2" t="s">
        <v>24</v>
      </c>
      <c r="K487" s="2" t="s">
        <v>24</v>
      </c>
      <c r="L487" s="2" t="s">
        <v>24</v>
      </c>
    </row>
    <row r="488" customFormat="false" ht="15" hidden="false" customHeight="false" outlineLevel="0" collapsed="false">
      <c r="A488" s="2" t="s">
        <v>1417</v>
      </c>
      <c r="B488" s="13" t="s">
        <v>1416</v>
      </c>
      <c r="C488" s="13" t="s">
        <v>98</v>
      </c>
      <c r="D488" s="13" t="s">
        <v>3869</v>
      </c>
      <c r="E488" s="13" t="s">
        <v>127</v>
      </c>
      <c r="F488" s="2" t="s">
        <v>99</v>
      </c>
      <c r="G488" s="2" t="s">
        <v>3355</v>
      </c>
      <c r="H488" s="39" t="s">
        <v>832</v>
      </c>
      <c r="I488" s="2" t="s">
        <v>24</v>
      </c>
      <c r="J488" s="2" t="s">
        <v>24</v>
      </c>
      <c r="K488" s="2" t="s">
        <v>24</v>
      </c>
      <c r="L488" s="2" t="s">
        <v>24</v>
      </c>
    </row>
    <row r="489" customFormat="false" ht="15" hidden="false" customHeight="false" outlineLevel="0" collapsed="false">
      <c r="A489" s="2" t="s">
        <v>1482</v>
      </c>
      <c r="B489" s="13" t="s">
        <v>1481</v>
      </c>
      <c r="C489" s="13" t="s">
        <v>98</v>
      </c>
      <c r="D489" s="13" t="s">
        <v>3870</v>
      </c>
      <c r="E489" s="13" t="s">
        <v>83</v>
      </c>
      <c r="F489" s="2" t="s">
        <v>99</v>
      </c>
      <c r="G489" s="2" t="s">
        <v>3355</v>
      </c>
      <c r="H489" s="39" t="s">
        <v>832</v>
      </c>
      <c r="I489" s="2" t="s">
        <v>24</v>
      </c>
      <c r="J489" s="2" t="s">
        <v>24</v>
      </c>
      <c r="K489" s="2" t="s">
        <v>24</v>
      </c>
      <c r="L489" s="2" t="s">
        <v>24</v>
      </c>
    </row>
    <row r="490" customFormat="false" ht="15" hidden="false" customHeight="false" outlineLevel="0" collapsed="false">
      <c r="A490" s="2" t="s">
        <v>596</v>
      </c>
      <c r="B490" s="13" t="s">
        <v>595</v>
      </c>
      <c r="C490" s="13" t="s">
        <v>95</v>
      </c>
      <c r="D490" s="13" t="s">
        <v>3871</v>
      </c>
      <c r="E490" s="13" t="s">
        <v>87</v>
      </c>
      <c r="F490" s="2" t="s">
        <v>99</v>
      </c>
      <c r="G490" s="2" t="s">
        <v>3359</v>
      </c>
      <c r="H490" s="34" t="s">
        <v>822</v>
      </c>
      <c r="I490" s="2" t="s">
        <v>24</v>
      </c>
      <c r="J490" s="2" t="s">
        <v>24</v>
      </c>
      <c r="K490" s="2" t="s">
        <v>24</v>
      </c>
      <c r="L490" s="2" t="s">
        <v>24</v>
      </c>
    </row>
    <row r="491" customFormat="false" ht="15" hidden="false" customHeight="false" outlineLevel="0" collapsed="false">
      <c r="A491" s="2" t="s">
        <v>1219</v>
      </c>
      <c r="B491" s="13" t="s">
        <v>1218</v>
      </c>
      <c r="C491" s="13" t="s">
        <v>77</v>
      </c>
      <c r="D491" s="13" t="s">
        <v>3872</v>
      </c>
      <c r="E491" s="13" t="s">
        <v>83</v>
      </c>
      <c r="F491" s="2" t="s">
        <v>99</v>
      </c>
      <c r="G491" s="2" t="s">
        <v>3355</v>
      </c>
      <c r="H491" s="39" t="s">
        <v>832</v>
      </c>
      <c r="I491" s="2" t="s">
        <v>24</v>
      </c>
      <c r="J491" s="2" t="s">
        <v>24</v>
      </c>
      <c r="K491" s="2" t="s">
        <v>24</v>
      </c>
      <c r="L491" s="2" t="s">
        <v>24</v>
      </c>
    </row>
    <row r="492" customFormat="false" ht="15" hidden="false" customHeight="false" outlineLevel="0" collapsed="false">
      <c r="A492" s="2" t="s">
        <v>402</v>
      </c>
      <c r="B492" s="13" t="s">
        <v>401</v>
      </c>
      <c r="C492" s="13" t="s">
        <v>91</v>
      </c>
      <c r="D492" s="13" t="s">
        <v>3873</v>
      </c>
      <c r="E492" s="13" t="s">
        <v>102</v>
      </c>
      <c r="F492" s="2" t="s">
        <v>99</v>
      </c>
      <c r="G492" s="2" t="s">
        <v>3359</v>
      </c>
      <c r="H492" s="34" t="s">
        <v>822</v>
      </c>
      <c r="I492" s="2" t="s">
        <v>24</v>
      </c>
      <c r="J492" s="2" t="s">
        <v>24</v>
      </c>
      <c r="K492" s="2" t="s">
        <v>24</v>
      </c>
      <c r="L492" s="2" t="s">
        <v>24</v>
      </c>
    </row>
    <row r="493" customFormat="false" ht="15" hidden="false" customHeight="false" outlineLevel="0" collapsed="false">
      <c r="A493" s="2" t="s">
        <v>1680</v>
      </c>
      <c r="B493" s="13" t="s">
        <v>1679</v>
      </c>
      <c r="C493" s="13" t="s">
        <v>95</v>
      </c>
      <c r="D493" s="13" t="s">
        <v>3874</v>
      </c>
      <c r="E493" s="13" t="s">
        <v>120</v>
      </c>
      <c r="F493" s="2" t="s">
        <v>99</v>
      </c>
      <c r="G493" s="2" t="s">
        <v>3355</v>
      </c>
      <c r="H493" s="39" t="s">
        <v>832</v>
      </c>
      <c r="I493" s="2" t="s">
        <v>24</v>
      </c>
      <c r="J493" s="2" t="s">
        <v>24</v>
      </c>
      <c r="K493" s="2" t="s">
        <v>24</v>
      </c>
      <c r="L493" s="2" t="s">
        <v>24</v>
      </c>
    </row>
    <row r="494" customFormat="false" ht="15" hidden="false" customHeight="false" outlineLevel="0" collapsed="false">
      <c r="A494" s="2" t="s">
        <v>1364</v>
      </c>
      <c r="B494" s="13" t="s">
        <v>1363</v>
      </c>
      <c r="C494" s="13" t="s">
        <v>77</v>
      </c>
      <c r="D494" s="13" t="s">
        <v>3875</v>
      </c>
      <c r="E494" s="13" t="s">
        <v>102</v>
      </c>
      <c r="F494" s="2" t="s">
        <v>99</v>
      </c>
      <c r="G494" s="2" t="s">
        <v>3355</v>
      </c>
      <c r="H494" s="39" t="s">
        <v>832</v>
      </c>
      <c r="I494" s="2" t="s">
        <v>24</v>
      </c>
      <c r="J494" s="2" t="s">
        <v>24</v>
      </c>
      <c r="K494" s="2" t="s">
        <v>24</v>
      </c>
      <c r="L494" s="2" t="s">
        <v>24</v>
      </c>
    </row>
    <row r="495" customFormat="false" ht="15" hidden="false" customHeight="false" outlineLevel="0" collapsed="false">
      <c r="A495" s="2" t="s">
        <v>1610</v>
      </c>
      <c r="B495" s="13" t="s">
        <v>1609</v>
      </c>
      <c r="C495" s="13" t="s">
        <v>91</v>
      </c>
      <c r="D495" s="13" t="s">
        <v>3876</v>
      </c>
      <c r="E495" s="14" t="s">
        <v>105</v>
      </c>
      <c r="F495" s="2" t="s">
        <v>99</v>
      </c>
      <c r="G495" s="2" t="s">
        <v>3355</v>
      </c>
      <c r="H495" s="39" t="s">
        <v>832</v>
      </c>
      <c r="I495" s="2" t="s">
        <v>24</v>
      </c>
      <c r="J495" s="2" t="s">
        <v>24</v>
      </c>
      <c r="K495" s="2" t="s">
        <v>24</v>
      </c>
      <c r="L495" s="2" t="s">
        <v>22</v>
      </c>
    </row>
    <row r="496" customFormat="false" ht="15" hidden="false" customHeight="false" outlineLevel="0" collapsed="false">
      <c r="A496" s="2" t="s">
        <v>552</v>
      </c>
      <c r="B496" s="13" t="s">
        <v>551</v>
      </c>
      <c r="C496" s="13" t="s">
        <v>77</v>
      </c>
      <c r="D496" s="13" t="s">
        <v>3877</v>
      </c>
      <c r="E496" s="13" t="s">
        <v>154</v>
      </c>
      <c r="F496" s="2" t="s">
        <v>99</v>
      </c>
      <c r="G496" s="2" t="s">
        <v>3359</v>
      </c>
      <c r="H496" s="34" t="s">
        <v>822</v>
      </c>
      <c r="I496" s="2" t="s">
        <v>24</v>
      </c>
      <c r="J496" s="2" t="s">
        <v>24</v>
      </c>
      <c r="K496" s="2" t="s">
        <v>24</v>
      </c>
      <c r="L496" s="2" t="s">
        <v>24</v>
      </c>
    </row>
    <row r="497" customFormat="false" ht="15" hidden="false" customHeight="false" outlineLevel="0" collapsed="false">
      <c r="A497" s="2" t="s">
        <v>2437</v>
      </c>
      <c r="B497" s="13" t="s">
        <v>2436</v>
      </c>
      <c r="C497" s="13" t="s">
        <v>123</v>
      </c>
      <c r="D497" s="13" t="s">
        <v>3878</v>
      </c>
      <c r="E497" s="13" t="s">
        <v>73</v>
      </c>
      <c r="F497" s="2" t="s">
        <v>99</v>
      </c>
      <c r="G497" s="2" t="s">
        <v>3369</v>
      </c>
      <c r="H497" s="39" t="s">
        <v>832</v>
      </c>
      <c r="I497" s="2" t="s">
        <v>24</v>
      </c>
      <c r="J497" s="2" t="s">
        <v>24</v>
      </c>
      <c r="K497" s="2" t="s">
        <v>24</v>
      </c>
      <c r="L497" s="2" t="s">
        <v>24</v>
      </c>
    </row>
    <row r="498" customFormat="false" ht="15" hidden="false" customHeight="false" outlineLevel="0" collapsed="false">
      <c r="A498" s="2" t="s">
        <v>666</v>
      </c>
      <c r="B498" s="13" t="s">
        <v>665</v>
      </c>
      <c r="C498" s="13" t="s">
        <v>86</v>
      </c>
      <c r="D498" s="16"/>
      <c r="E498" s="13" t="s">
        <v>78</v>
      </c>
      <c r="F498" s="2" t="s">
        <v>46</v>
      </c>
      <c r="G498" s="2" t="s">
        <v>3364</v>
      </c>
      <c r="H498" s="34" t="s">
        <v>822</v>
      </c>
      <c r="I498" s="2" t="s">
        <v>24</v>
      </c>
      <c r="J498" s="2" t="s">
        <v>24</v>
      </c>
      <c r="K498" s="2"/>
      <c r="L498" s="2" t="s">
        <v>24</v>
      </c>
    </row>
    <row r="499" customFormat="false" ht="15" hidden="false" customHeight="false" outlineLevel="0" collapsed="false">
      <c r="A499" s="2" t="s">
        <v>2198</v>
      </c>
      <c r="B499" s="13" t="s">
        <v>2197</v>
      </c>
      <c r="C499" s="13" t="s">
        <v>95</v>
      </c>
      <c r="D499" s="13" t="s">
        <v>3879</v>
      </c>
      <c r="E499" s="13" t="s">
        <v>78</v>
      </c>
      <c r="F499" s="2" t="s">
        <v>106</v>
      </c>
      <c r="G499" s="2" t="s">
        <v>3361</v>
      </c>
      <c r="H499" s="39" t="s">
        <v>832</v>
      </c>
      <c r="I499" s="2" t="s">
        <v>24</v>
      </c>
      <c r="J499" s="2" t="s">
        <v>24</v>
      </c>
      <c r="K499" s="2" t="s">
        <v>24</v>
      </c>
      <c r="L499" s="2" t="s">
        <v>24</v>
      </c>
    </row>
    <row r="500" customFormat="false" ht="15" hidden="false" customHeight="false" outlineLevel="0" collapsed="false">
      <c r="A500" s="2" t="s">
        <v>562</v>
      </c>
      <c r="B500" s="13" t="s">
        <v>561</v>
      </c>
      <c r="C500" s="13" t="s">
        <v>77</v>
      </c>
      <c r="D500" s="13" t="s">
        <v>3880</v>
      </c>
      <c r="E500" s="13" t="s">
        <v>87</v>
      </c>
      <c r="F500" s="2" t="s">
        <v>99</v>
      </c>
      <c r="G500" s="2" t="s">
        <v>3359</v>
      </c>
      <c r="H500" s="34" t="s">
        <v>822</v>
      </c>
      <c r="I500" s="2" t="s">
        <v>24</v>
      </c>
      <c r="J500" s="2" t="s">
        <v>24</v>
      </c>
      <c r="K500" s="2" t="s">
        <v>24</v>
      </c>
      <c r="L500" s="2" t="s">
        <v>24</v>
      </c>
    </row>
    <row r="501" customFormat="false" ht="15" hidden="false" customHeight="false" outlineLevel="0" collapsed="false">
      <c r="A501" s="2" t="s">
        <v>1874</v>
      </c>
      <c r="B501" s="13" t="s">
        <v>1873</v>
      </c>
      <c r="C501" s="13" t="s">
        <v>77</v>
      </c>
      <c r="D501" s="14" t="s">
        <v>3881</v>
      </c>
      <c r="E501" s="13" t="s">
        <v>127</v>
      </c>
      <c r="F501" s="2" t="s">
        <v>99</v>
      </c>
      <c r="G501" s="2" t="s">
        <v>3369</v>
      </c>
      <c r="H501" s="39" t="s">
        <v>832</v>
      </c>
      <c r="I501" s="2" t="s">
        <v>24</v>
      </c>
      <c r="J501" s="2" t="s">
        <v>24</v>
      </c>
      <c r="K501" s="2" t="s">
        <v>22</v>
      </c>
      <c r="L501" s="2" t="s">
        <v>24</v>
      </c>
    </row>
    <row r="502" customFormat="false" ht="15" hidden="false" customHeight="false" outlineLevel="0" collapsed="false">
      <c r="A502" s="2" t="s">
        <v>1568</v>
      </c>
      <c r="B502" s="13" t="s">
        <v>1567</v>
      </c>
      <c r="C502" s="13" t="s">
        <v>95</v>
      </c>
      <c r="D502" s="13" t="s">
        <v>3882</v>
      </c>
      <c r="E502" s="13" t="s">
        <v>105</v>
      </c>
      <c r="F502" s="2" t="s">
        <v>99</v>
      </c>
      <c r="G502" s="2" t="s">
        <v>3355</v>
      </c>
      <c r="H502" s="39" t="s">
        <v>832</v>
      </c>
      <c r="I502" s="2" t="s">
        <v>24</v>
      </c>
      <c r="J502" s="2" t="s">
        <v>24</v>
      </c>
      <c r="K502" s="2" t="s">
        <v>24</v>
      </c>
      <c r="L502" s="2" t="s">
        <v>24</v>
      </c>
    </row>
    <row r="503" customFormat="false" ht="15" hidden="false" customHeight="false" outlineLevel="0" collapsed="false">
      <c r="A503" s="2" t="s">
        <v>1276</v>
      </c>
      <c r="B503" s="13" t="s">
        <v>1275</v>
      </c>
      <c r="C503" s="13" t="s">
        <v>91</v>
      </c>
      <c r="D503" s="13" t="s">
        <v>3883</v>
      </c>
      <c r="E503" s="13" t="s">
        <v>124</v>
      </c>
      <c r="F503" s="2" t="s">
        <v>92</v>
      </c>
      <c r="G503" s="2" t="s">
        <v>3361</v>
      </c>
      <c r="H503" s="39" t="s">
        <v>832</v>
      </c>
      <c r="I503" s="2" t="s">
        <v>24</v>
      </c>
      <c r="J503" s="2" t="s">
        <v>24</v>
      </c>
      <c r="K503" s="2" t="s">
        <v>24</v>
      </c>
      <c r="L503" s="2" t="s">
        <v>24</v>
      </c>
    </row>
    <row r="504" customFormat="false" ht="15" hidden="false" customHeight="false" outlineLevel="0" collapsed="false">
      <c r="A504" s="2" t="s">
        <v>3172</v>
      </c>
      <c r="B504" s="13" t="s">
        <v>3884</v>
      </c>
      <c r="C504" s="13" t="s">
        <v>82</v>
      </c>
      <c r="D504" s="13" t="s">
        <v>3885</v>
      </c>
      <c r="E504" s="13" t="s">
        <v>105</v>
      </c>
      <c r="F504" s="2" t="s">
        <v>46</v>
      </c>
      <c r="G504" s="2" t="s">
        <v>3395</v>
      </c>
      <c r="H504" s="39" t="s">
        <v>832</v>
      </c>
      <c r="I504" s="2" t="s">
        <v>24</v>
      </c>
      <c r="J504" s="2" t="s">
        <v>24</v>
      </c>
      <c r="K504" s="2" t="s">
        <v>24</v>
      </c>
      <c r="L504" s="2" t="s">
        <v>24</v>
      </c>
    </row>
    <row r="505" customFormat="false" ht="15" hidden="false" customHeight="false" outlineLevel="0" collapsed="false">
      <c r="A505" s="2" t="s">
        <v>226</v>
      </c>
      <c r="B505" s="13" t="s">
        <v>225</v>
      </c>
      <c r="C505" s="13" t="s">
        <v>91</v>
      </c>
      <c r="D505" s="13" t="s">
        <v>3886</v>
      </c>
      <c r="E505" s="14" t="s">
        <v>154</v>
      </c>
      <c r="F505" s="2" t="s">
        <v>47</v>
      </c>
      <c r="G505" s="2" t="s">
        <v>3364</v>
      </c>
      <c r="H505" s="34" t="s">
        <v>822</v>
      </c>
      <c r="I505" s="2" t="s">
        <v>24</v>
      </c>
      <c r="J505" s="2" t="s">
        <v>24</v>
      </c>
      <c r="K505" s="2" t="s">
        <v>24</v>
      </c>
      <c r="L505" s="2" t="s">
        <v>22</v>
      </c>
    </row>
    <row r="506" customFormat="false" ht="15" hidden="false" customHeight="false" outlineLevel="0" collapsed="false">
      <c r="A506" s="2" t="s">
        <v>3174</v>
      </c>
      <c r="B506" s="13" t="s">
        <v>3887</v>
      </c>
      <c r="C506" s="13" t="s">
        <v>82</v>
      </c>
      <c r="D506" s="13" t="s">
        <v>3888</v>
      </c>
      <c r="E506" s="13" t="s">
        <v>154</v>
      </c>
      <c r="F506" s="2" t="s">
        <v>45</v>
      </c>
      <c r="G506" s="2" t="s">
        <v>3395</v>
      </c>
      <c r="H506" s="39" t="s">
        <v>832</v>
      </c>
      <c r="I506" s="2" t="s">
        <v>24</v>
      </c>
      <c r="J506" s="2" t="s">
        <v>24</v>
      </c>
      <c r="K506" s="2" t="s">
        <v>24</v>
      </c>
      <c r="L506" s="2" t="s">
        <v>24</v>
      </c>
    </row>
    <row r="507" customFormat="false" ht="15" hidden="false" customHeight="false" outlineLevel="0" collapsed="false">
      <c r="A507" s="2" t="s">
        <v>570</v>
      </c>
      <c r="B507" s="13" t="s">
        <v>569</v>
      </c>
      <c r="C507" s="13" t="s">
        <v>86</v>
      </c>
      <c r="D507" s="13" t="s">
        <v>3889</v>
      </c>
      <c r="E507" s="13" t="s">
        <v>105</v>
      </c>
      <c r="F507" s="2" t="s">
        <v>99</v>
      </c>
      <c r="G507" s="2" t="s">
        <v>3359</v>
      </c>
      <c r="H507" s="34" t="s">
        <v>822</v>
      </c>
      <c r="I507" s="2" t="s">
        <v>24</v>
      </c>
      <c r="J507" s="2" t="s">
        <v>24</v>
      </c>
      <c r="K507" s="2" t="s">
        <v>24</v>
      </c>
      <c r="L507" s="2" t="s">
        <v>24</v>
      </c>
    </row>
    <row r="508" customFormat="false" ht="15" hidden="false" customHeight="false" outlineLevel="0" collapsed="false">
      <c r="A508" s="2" t="s">
        <v>488</v>
      </c>
      <c r="B508" s="13" t="s">
        <v>487</v>
      </c>
      <c r="C508" s="13" t="s">
        <v>91</v>
      </c>
      <c r="D508" s="13" t="s">
        <v>3890</v>
      </c>
      <c r="E508" s="13" t="s">
        <v>87</v>
      </c>
      <c r="F508" s="2" t="s">
        <v>99</v>
      </c>
      <c r="G508" s="2" t="s">
        <v>3359</v>
      </c>
      <c r="H508" s="34" t="s">
        <v>822</v>
      </c>
      <c r="I508" s="2" t="s">
        <v>24</v>
      </c>
      <c r="J508" s="2" t="s">
        <v>24</v>
      </c>
      <c r="K508" s="2" t="s">
        <v>24</v>
      </c>
      <c r="L508" s="2" t="s">
        <v>24</v>
      </c>
    </row>
    <row r="509" customFormat="false" ht="15" hidden="false" customHeight="false" outlineLevel="0" collapsed="false">
      <c r="A509" s="2" t="s">
        <v>3176</v>
      </c>
      <c r="B509" s="13" t="s">
        <v>3891</v>
      </c>
      <c r="C509" s="13" t="s">
        <v>115</v>
      </c>
      <c r="D509" s="16"/>
      <c r="E509" s="13" t="s">
        <v>102</v>
      </c>
      <c r="F509" s="2" t="s">
        <v>45</v>
      </c>
      <c r="G509" s="2" t="s">
        <v>3395</v>
      </c>
      <c r="H509" s="39" t="s">
        <v>832</v>
      </c>
      <c r="I509" s="2" t="s">
        <v>24</v>
      </c>
      <c r="J509" s="2" t="s">
        <v>24</v>
      </c>
      <c r="K509" s="2"/>
      <c r="L509" s="2" t="s">
        <v>24</v>
      </c>
    </row>
    <row r="510" customFormat="false" ht="15" hidden="false" customHeight="false" outlineLevel="0" collapsed="false">
      <c r="A510" s="2" t="s">
        <v>1998</v>
      </c>
      <c r="B510" s="13" t="s">
        <v>1997</v>
      </c>
      <c r="C510" s="13" t="s">
        <v>162</v>
      </c>
      <c r="D510" s="13" t="s">
        <v>3892</v>
      </c>
      <c r="E510" s="13" t="s">
        <v>83</v>
      </c>
      <c r="F510" s="2" t="s">
        <v>99</v>
      </c>
      <c r="G510" s="2" t="s">
        <v>3355</v>
      </c>
      <c r="H510" s="39" t="s">
        <v>832</v>
      </c>
      <c r="I510" s="2" t="s">
        <v>24</v>
      </c>
      <c r="J510" s="2" t="s">
        <v>24</v>
      </c>
      <c r="K510" s="2" t="s">
        <v>24</v>
      </c>
      <c r="L510" s="2" t="s">
        <v>24</v>
      </c>
    </row>
    <row r="511" customFormat="false" ht="15" hidden="false" customHeight="false" outlineLevel="0" collapsed="false">
      <c r="A511" s="2" t="s">
        <v>344</v>
      </c>
      <c r="B511" s="13" t="s">
        <v>343</v>
      </c>
      <c r="C511" s="13" t="s">
        <v>72</v>
      </c>
      <c r="D511" s="13" t="s">
        <v>3893</v>
      </c>
      <c r="E511" s="13" t="s">
        <v>124</v>
      </c>
      <c r="F511" s="2" t="s">
        <v>99</v>
      </c>
      <c r="G511" s="2" t="s">
        <v>3359</v>
      </c>
      <c r="H511" s="34" t="s">
        <v>822</v>
      </c>
      <c r="I511" s="2" t="s">
        <v>24</v>
      </c>
      <c r="J511" s="2" t="s">
        <v>24</v>
      </c>
      <c r="K511" s="2" t="s">
        <v>24</v>
      </c>
      <c r="L511" s="2" t="s">
        <v>24</v>
      </c>
    </row>
    <row r="512" customFormat="false" ht="15" hidden="false" customHeight="false" outlineLevel="0" collapsed="false">
      <c r="A512" s="2" t="s">
        <v>1268</v>
      </c>
      <c r="B512" s="13" t="s">
        <v>1267</v>
      </c>
      <c r="C512" s="13" t="s">
        <v>95</v>
      </c>
      <c r="D512" s="13" t="s">
        <v>3894</v>
      </c>
      <c r="E512" s="13" t="s">
        <v>105</v>
      </c>
      <c r="F512" s="2" t="s">
        <v>99</v>
      </c>
      <c r="G512" s="2" t="s">
        <v>3355</v>
      </c>
      <c r="H512" s="39" t="s">
        <v>832</v>
      </c>
      <c r="I512" s="2" t="s">
        <v>24</v>
      </c>
      <c r="J512" s="2" t="s">
        <v>24</v>
      </c>
      <c r="K512" s="2" t="s">
        <v>24</v>
      </c>
      <c r="L512" s="2" t="s">
        <v>24</v>
      </c>
    </row>
    <row r="513" customFormat="false" ht="15" hidden="false" customHeight="false" outlineLevel="0" collapsed="false">
      <c r="A513" s="2" t="s">
        <v>3180</v>
      </c>
      <c r="B513" s="13" t="s">
        <v>3895</v>
      </c>
      <c r="C513" s="13" t="s">
        <v>162</v>
      </c>
      <c r="D513" s="14" t="s">
        <v>3896</v>
      </c>
      <c r="E513" s="13" t="s">
        <v>78</v>
      </c>
      <c r="F513" s="2" t="s">
        <v>149</v>
      </c>
      <c r="G513" s="2" t="s">
        <v>3385</v>
      </c>
      <c r="H513" s="39" t="s">
        <v>832</v>
      </c>
      <c r="I513" s="2" t="s">
        <v>24</v>
      </c>
      <c r="J513" s="2" t="s">
        <v>24</v>
      </c>
      <c r="K513" s="2" t="s">
        <v>22</v>
      </c>
      <c r="L513" s="2" t="s">
        <v>24</v>
      </c>
    </row>
    <row r="514" customFormat="false" ht="15" hidden="false" customHeight="false" outlineLevel="0" collapsed="false">
      <c r="A514" s="2" t="s">
        <v>3182</v>
      </c>
      <c r="B514" s="16"/>
      <c r="C514" s="16"/>
      <c r="D514" s="16"/>
      <c r="E514" s="16"/>
      <c r="F514" s="2" t="s">
        <v>45</v>
      </c>
      <c r="G514" s="2" t="s">
        <v>3395</v>
      </c>
      <c r="H514" s="39" t="s">
        <v>832</v>
      </c>
      <c r="I514" s="2"/>
      <c r="J514" s="2"/>
      <c r="K514" s="2"/>
      <c r="L514" s="2"/>
    </row>
    <row r="515" customFormat="false" ht="15" hidden="false" customHeight="false" outlineLevel="0" collapsed="false">
      <c r="A515" s="2" t="s">
        <v>2090</v>
      </c>
      <c r="B515" s="13" t="s">
        <v>2089</v>
      </c>
      <c r="C515" s="13" t="s">
        <v>95</v>
      </c>
      <c r="D515" s="13" t="s">
        <v>3897</v>
      </c>
      <c r="E515" s="13" t="s">
        <v>105</v>
      </c>
      <c r="F515" s="2" t="s">
        <v>99</v>
      </c>
      <c r="G515" s="2" t="s">
        <v>3355</v>
      </c>
      <c r="H515" s="39" t="s">
        <v>832</v>
      </c>
      <c r="I515" s="2" t="s">
        <v>24</v>
      </c>
      <c r="J515" s="2" t="s">
        <v>24</v>
      </c>
      <c r="K515" s="2" t="s">
        <v>24</v>
      </c>
      <c r="L515" s="2" t="s">
        <v>24</v>
      </c>
    </row>
    <row r="516" customFormat="false" ht="15" hidden="false" customHeight="false" outlineLevel="0" collapsed="false">
      <c r="A516" s="2" t="s">
        <v>224</v>
      </c>
      <c r="B516" s="13" t="s">
        <v>223</v>
      </c>
      <c r="C516" s="13" t="s">
        <v>82</v>
      </c>
      <c r="D516" s="13" t="s">
        <v>3898</v>
      </c>
      <c r="E516" s="13" t="s">
        <v>102</v>
      </c>
      <c r="F516" s="2" t="s">
        <v>99</v>
      </c>
      <c r="G516" s="2" t="s">
        <v>3359</v>
      </c>
      <c r="H516" s="34" t="s">
        <v>822</v>
      </c>
      <c r="I516" s="2" t="s">
        <v>24</v>
      </c>
      <c r="J516" s="2" t="s">
        <v>24</v>
      </c>
      <c r="K516" s="2" t="s">
        <v>24</v>
      </c>
      <c r="L516" s="2" t="s">
        <v>24</v>
      </c>
    </row>
    <row r="517" customFormat="false" ht="15" hidden="false" customHeight="false" outlineLevel="0" collapsed="false">
      <c r="A517" s="2" t="s">
        <v>3184</v>
      </c>
      <c r="B517" s="13" t="s">
        <v>3899</v>
      </c>
      <c r="C517" s="13" t="s">
        <v>72</v>
      </c>
      <c r="D517" s="13" t="s">
        <v>3900</v>
      </c>
      <c r="E517" s="13" t="s">
        <v>154</v>
      </c>
      <c r="F517" s="2" t="s">
        <v>47</v>
      </c>
      <c r="G517" s="2" t="s">
        <v>3395</v>
      </c>
      <c r="H517" s="39" t="s">
        <v>832</v>
      </c>
      <c r="I517" s="2" t="s">
        <v>24</v>
      </c>
      <c r="J517" s="2" t="s">
        <v>24</v>
      </c>
      <c r="K517" s="2" t="s">
        <v>24</v>
      </c>
      <c r="L517" s="2" t="s">
        <v>24</v>
      </c>
    </row>
    <row r="518" customFormat="false" ht="15" hidden="false" customHeight="false" outlineLevel="0" collapsed="false">
      <c r="A518" s="2" t="s">
        <v>2682</v>
      </c>
      <c r="B518" s="13" t="s">
        <v>2681</v>
      </c>
      <c r="C518" s="13" t="s">
        <v>95</v>
      </c>
      <c r="D518" s="13" t="s">
        <v>3901</v>
      </c>
      <c r="E518" s="13" t="s">
        <v>78</v>
      </c>
      <c r="F518" s="2" t="s">
        <v>106</v>
      </c>
      <c r="G518" s="2" t="s">
        <v>3361</v>
      </c>
      <c r="H518" s="39" t="s">
        <v>832</v>
      </c>
      <c r="I518" s="2" t="s">
        <v>24</v>
      </c>
      <c r="J518" s="2" t="s">
        <v>24</v>
      </c>
      <c r="K518" s="2" t="s">
        <v>24</v>
      </c>
      <c r="L518" s="2" t="s">
        <v>24</v>
      </c>
    </row>
    <row r="519" customFormat="false" ht="15" hidden="false" customHeight="false" outlineLevel="0" collapsed="false">
      <c r="A519" s="2" t="s">
        <v>2078</v>
      </c>
      <c r="B519" s="13" t="s">
        <v>2077</v>
      </c>
      <c r="C519" s="13" t="s">
        <v>72</v>
      </c>
      <c r="D519" s="13" t="s">
        <v>3902</v>
      </c>
      <c r="E519" s="13" t="s">
        <v>120</v>
      </c>
      <c r="F519" s="2" t="s">
        <v>99</v>
      </c>
      <c r="G519" s="2" t="s">
        <v>3355</v>
      </c>
      <c r="H519" s="39" t="s">
        <v>832</v>
      </c>
      <c r="I519" s="2" t="s">
        <v>24</v>
      </c>
      <c r="J519" s="2" t="s">
        <v>24</v>
      </c>
      <c r="K519" s="2" t="s">
        <v>24</v>
      </c>
      <c r="L519" s="2" t="s">
        <v>24</v>
      </c>
    </row>
    <row r="520" customFormat="false" ht="15" hidden="false" customHeight="false" outlineLevel="0" collapsed="false">
      <c r="A520" s="2" t="s">
        <v>526</v>
      </c>
      <c r="B520" s="13" t="s">
        <v>525</v>
      </c>
      <c r="C520" s="13" t="s">
        <v>77</v>
      </c>
      <c r="D520" s="14" t="s">
        <v>3903</v>
      </c>
      <c r="E520" s="16"/>
      <c r="F520" s="2" t="s">
        <v>46</v>
      </c>
      <c r="G520" s="2" t="s">
        <v>3364</v>
      </c>
      <c r="H520" s="34" t="s">
        <v>822</v>
      </c>
      <c r="I520" s="2" t="s">
        <v>24</v>
      </c>
      <c r="J520" s="2" t="s">
        <v>24</v>
      </c>
      <c r="K520" s="2" t="s">
        <v>22</v>
      </c>
      <c r="L520" s="2"/>
    </row>
    <row r="521" customFormat="false" ht="15" hidden="false" customHeight="false" outlineLevel="0" collapsed="false">
      <c r="A521" s="2" t="s">
        <v>1226</v>
      </c>
      <c r="B521" s="13" t="s">
        <v>1225</v>
      </c>
      <c r="C521" s="14" t="s">
        <v>86</v>
      </c>
      <c r="D521" s="13" t="s">
        <v>3904</v>
      </c>
      <c r="E521" s="13" t="s">
        <v>83</v>
      </c>
      <c r="F521" s="2" t="s">
        <v>99</v>
      </c>
      <c r="G521" s="2" t="s">
        <v>3355</v>
      </c>
      <c r="H521" s="39" t="s">
        <v>832</v>
      </c>
      <c r="I521" s="2" t="s">
        <v>24</v>
      </c>
      <c r="J521" s="2" t="s">
        <v>22</v>
      </c>
      <c r="K521" s="2" t="s">
        <v>24</v>
      </c>
      <c r="L521" s="2" t="s">
        <v>24</v>
      </c>
    </row>
    <row r="522" customFormat="false" ht="15" hidden="false" customHeight="false" outlineLevel="0" collapsed="false">
      <c r="A522" s="2" t="s">
        <v>258</v>
      </c>
      <c r="B522" s="13" t="s">
        <v>257</v>
      </c>
      <c r="C522" s="13" t="s">
        <v>123</v>
      </c>
      <c r="D522" s="13" t="s">
        <v>3905</v>
      </c>
      <c r="E522" s="13" t="s">
        <v>105</v>
      </c>
      <c r="F522" s="2" t="s">
        <v>46</v>
      </c>
      <c r="G522" s="2" t="s">
        <v>3364</v>
      </c>
      <c r="H522" s="34" t="s">
        <v>822</v>
      </c>
      <c r="I522" s="2" t="s">
        <v>24</v>
      </c>
      <c r="J522" s="2" t="s">
        <v>24</v>
      </c>
      <c r="K522" s="2" t="s">
        <v>24</v>
      </c>
      <c r="L522" s="2" t="s">
        <v>24</v>
      </c>
    </row>
    <row r="523" customFormat="false" ht="15" hidden="false" customHeight="false" outlineLevel="0" collapsed="false">
      <c r="A523" s="2" t="s">
        <v>242</v>
      </c>
      <c r="B523" s="13" t="s">
        <v>241</v>
      </c>
      <c r="C523" s="13" t="s">
        <v>115</v>
      </c>
      <c r="D523" s="13" t="s">
        <v>3906</v>
      </c>
      <c r="E523" s="13" t="s">
        <v>124</v>
      </c>
      <c r="F523" s="2" t="s">
        <v>46</v>
      </c>
      <c r="G523" s="2" t="s">
        <v>3364</v>
      </c>
      <c r="H523" s="34" t="s">
        <v>822</v>
      </c>
      <c r="I523" s="2" t="s">
        <v>24</v>
      </c>
      <c r="J523" s="2" t="s">
        <v>24</v>
      </c>
      <c r="K523" s="2" t="s">
        <v>24</v>
      </c>
      <c r="L523" s="2" t="s">
        <v>24</v>
      </c>
    </row>
    <row r="524" customFormat="false" ht="15" hidden="false" customHeight="false" outlineLevel="0" collapsed="false">
      <c r="A524" s="2" t="s">
        <v>560</v>
      </c>
      <c r="B524" s="13" t="s">
        <v>559</v>
      </c>
      <c r="C524" s="13" t="s">
        <v>115</v>
      </c>
      <c r="D524" s="13" t="s">
        <v>3907</v>
      </c>
      <c r="E524" s="13" t="s">
        <v>78</v>
      </c>
      <c r="F524" s="2" t="s">
        <v>47</v>
      </c>
      <c r="G524" s="2" t="s">
        <v>3364</v>
      </c>
      <c r="H524" s="34" t="s">
        <v>822</v>
      </c>
      <c r="I524" s="2" t="s">
        <v>24</v>
      </c>
      <c r="J524" s="2" t="s">
        <v>24</v>
      </c>
      <c r="K524" s="2" t="s">
        <v>24</v>
      </c>
      <c r="L524" s="2" t="s">
        <v>24</v>
      </c>
    </row>
    <row r="525" customFormat="false" ht="15" hidden="false" customHeight="false" outlineLevel="0" collapsed="false">
      <c r="A525" s="2" t="s">
        <v>1884</v>
      </c>
      <c r="B525" s="13" t="s">
        <v>1883</v>
      </c>
      <c r="C525" s="13" t="s">
        <v>123</v>
      </c>
      <c r="D525" s="13" t="s">
        <v>3908</v>
      </c>
      <c r="E525" s="13" t="s">
        <v>73</v>
      </c>
      <c r="F525" s="2" t="s">
        <v>99</v>
      </c>
      <c r="G525" s="2" t="s">
        <v>3355</v>
      </c>
      <c r="H525" s="39" t="s">
        <v>832</v>
      </c>
      <c r="I525" s="2" t="s">
        <v>24</v>
      </c>
      <c r="J525" s="2" t="s">
        <v>24</v>
      </c>
      <c r="K525" s="2" t="s">
        <v>24</v>
      </c>
      <c r="L525" s="2" t="s">
        <v>24</v>
      </c>
    </row>
    <row r="526" customFormat="false" ht="15" hidden="false" customHeight="false" outlineLevel="0" collapsed="false">
      <c r="A526" s="2" t="s">
        <v>3188</v>
      </c>
      <c r="B526" s="16"/>
      <c r="C526" s="16"/>
      <c r="D526" s="16"/>
      <c r="E526" s="16"/>
      <c r="F526" s="2" t="s">
        <v>47</v>
      </c>
      <c r="G526" s="2" t="s">
        <v>3395</v>
      </c>
      <c r="H526" s="39" t="s">
        <v>832</v>
      </c>
      <c r="I526" s="2"/>
      <c r="J526" s="2"/>
      <c r="K526" s="2"/>
      <c r="L526" s="2"/>
    </row>
    <row r="527" customFormat="false" ht="15" hidden="false" customHeight="false" outlineLevel="0" collapsed="false">
      <c r="A527" s="2" t="s">
        <v>1705</v>
      </c>
      <c r="B527" s="13" t="s">
        <v>1704</v>
      </c>
      <c r="C527" s="13" t="s">
        <v>77</v>
      </c>
      <c r="D527" s="13" t="s">
        <v>3909</v>
      </c>
      <c r="E527" s="13" t="s">
        <v>127</v>
      </c>
      <c r="F527" s="2" t="s">
        <v>149</v>
      </c>
      <c r="G527" s="2" t="s">
        <v>3361</v>
      </c>
      <c r="H527" s="39" t="s">
        <v>832</v>
      </c>
      <c r="I527" s="2" t="s">
        <v>24</v>
      </c>
      <c r="J527" s="2" t="s">
        <v>24</v>
      </c>
      <c r="K527" s="2" t="s">
        <v>24</v>
      </c>
      <c r="L527" s="2" t="s">
        <v>24</v>
      </c>
    </row>
    <row r="528" customFormat="false" ht="15" hidden="false" customHeight="false" outlineLevel="0" collapsed="false">
      <c r="A528" s="2" t="s">
        <v>802</v>
      </c>
      <c r="B528" s="14" t="s">
        <v>801</v>
      </c>
      <c r="C528" s="14" t="s">
        <v>123</v>
      </c>
      <c r="D528" s="14" t="s">
        <v>3910</v>
      </c>
      <c r="E528" s="14" t="s">
        <v>83</v>
      </c>
      <c r="F528" s="2" t="s">
        <v>47</v>
      </c>
      <c r="G528" s="2" t="s">
        <v>3364</v>
      </c>
      <c r="H528" s="34" t="s">
        <v>822</v>
      </c>
      <c r="I528" s="2" t="s">
        <v>22</v>
      </c>
      <c r="J528" s="2" t="s">
        <v>22</v>
      </c>
      <c r="K528" s="2" t="s">
        <v>22</v>
      </c>
      <c r="L528" s="2" t="s">
        <v>22</v>
      </c>
    </row>
    <row r="529" customFormat="false" ht="15" hidden="false" customHeight="false" outlineLevel="0" collapsed="false">
      <c r="A529" s="2" t="s">
        <v>2489</v>
      </c>
      <c r="B529" s="13" t="s">
        <v>2488</v>
      </c>
      <c r="C529" s="13" t="s">
        <v>86</v>
      </c>
      <c r="D529" s="13" t="s">
        <v>3911</v>
      </c>
      <c r="E529" s="13" t="s">
        <v>102</v>
      </c>
      <c r="F529" s="2" t="s">
        <v>92</v>
      </c>
      <c r="G529" s="2" t="s">
        <v>3361</v>
      </c>
      <c r="H529" s="39" t="s">
        <v>832</v>
      </c>
      <c r="I529" s="2" t="s">
        <v>24</v>
      </c>
      <c r="J529" s="2" t="s">
        <v>24</v>
      </c>
      <c r="K529" s="2" t="s">
        <v>24</v>
      </c>
      <c r="L529" s="2" t="s">
        <v>24</v>
      </c>
    </row>
    <row r="530" customFormat="false" ht="15" hidden="false" customHeight="false" outlineLevel="0" collapsed="false">
      <c r="A530" s="2" t="s">
        <v>1120</v>
      </c>
      <c r="B530" s="13" t="s">
        <v>1119</v>
      </c>
      <c r="C530" s="13" t="s">
        <v>72</v>
      </c>
      <c r="D530" s="13" t="s">
        <v>3912</v>
      </c>
      <c r="E530" s="13" t="s">
        <v>87</v>
      </c>
      <c r="F530" s="2" t="s">
        <v>149</v>
      </c>
      <c r="G530" s="2" t="s">
        <v>3361</v>
      </c>
      <c r="H530" s="39" t="s">
        <v>832</v>
      </c>
      <c r="I530" s="2" t="s">
        <v>24</v>
      </c>
      <c r="J530" s="2" t="s">
        <v>24</v>
      </c>
      <c r="K530" s="2" t="s">
        <v>24</v>
      </c>
      <c r="L530" s="2" t="s">
        <v>24</v>
      </c>
    </row>
    <row r="531" customFormat="false" ht="15" hidden="false" customHeight="false" outlineLevel="0" collapsed="false">
      <c r="A531" s="2" t="s">
        <v>510</v>
      </c>
      <c r="B531" s="13" t="s">
        <v>509</v>
      </c>
      <c r="C531" s="13" t="s">
        <v>95</v>
      </c>
      <c r="D531" s="13" t="s">
        <v>3913</v>
      </c>
      <c r="E531" s="13" t="s">
        <v>83</v>
      </c>
      <c r="F531" s="2" t="s">
        <v>99</v>
      </c>
      <c r="G531" s="2" t="s">
        <v>3359</v>
      </c>
      <c r="H531" s="34" t="s">
        <v>822</v>
      </c>
      <c r="I531" s="2" t="s">
        <v>24</v>
      </c>
      <c r="J531" s="2" t="s">
        <v>24</v>
      </c>
      <c r="K531" s="2" t="s">
        <v>24</v>
      </c>
      <c r="L531" s="2" t="s">
        <v>24</v>
      </c>
    </row>
    <row r="532" customFormat="false" ht="15" hidden="false" customHeight="false" outlineLevel="0" collapsed="false">
      <c r="A532" s="2" t="s">
        <v>544</v>
      </c>
      <c r="B532" s="13" t="s">
        <v>543</v>
      </c>
      <c r="C532" s="13" t="s">
        <v>115</v>
      </c>
      <c r="D532" s="13" t="s">
        <v>3914</v>
      </c>
      <c r="E532" s="14" t="s">
        <v>102</v>
      </c>
      <c r="F532" s="2" t="s">
        <v>99</v>
      </c>
      <c r="G532" s="2" t="s">
        <v>3359</v>
      </c>
      <c r="H532" s="34" t="s">
        <v>822</v>
      </c>
      <c r="I532" s="2" t="s">
        <v>24</v>
      </c>
      <c r="J532" s="2" t="s">
        <v>24</v>
      </c>
      <c r="K532" s="2" t="s">
        <v>24</v>
      </c>
      <c r="L532" s="2" t="s">
        <v>22</v>
      </c>
    </row>
    <row r="533" customFormat="false" ht="15" hidden="false" customHeight="false" outlineLevel="0" collapsed="false">
      <c r="A533" s="2" t="s">
        <v>692</v>
      </c>
      <c r="B533" s="13" t="s">
        <v>691</v>
      </c>
      <c r="C533" s="13" t="s">
        <v>123</v>
      </c>
      <c r="D533" s="13" t="s">
        <v>3915</v>
      </c>
      <c r="E533" s="13" t="s">
        <v>83</v>
      </c>
      <c r="F533" s="2" t="s">
        <v>149</v>
      </c>
      <c r="G533" s="2" t="s">
        <v>3376</v>
      </c>
      <c r="H533" s="34" t="s">
        <v>822</v>
      </c>
      <c r="I533" s="2" t="s">
        <v>24</v>
      </c>
      <c r="J533" s="2" t="s">
        <v>24</v>
      </c>
      <c r="K533" s="2" t="s">
        <v>24</v>
      </c>
      <c r="L533" s="2" t="s">
        <v>24</v>
      </c>
    </row>
    <row r="534" customFormat="false" ht="15" hidden="false" customHeight="false" outlineLevel="0" collapsed="false">
      <c r="A534" s="2" t="s">
        <v>682</v>
      </c>
      <c r="B534" s="13" t="s">
        <v>681</v>
      </c>
      <c r="C534" s="13" t="s">
        <v>98</v>
      </c>
      <c r="D534" s="13" t="s">
        <v>3916</v>
      </c>
      <c r="E534" s="13" t="s">
        <v>127</v>
      </c>
      <c r="F534" s="2" t="s">
        <v>99</v>
      </c>
      <c r="G534" s="2" t="s">
        <v>3359</v>
      </c>
      <c r="H534" s="34" t="s">
        <v>822</v>
      </c>
      <c r="I534" s="2" t="s">
        <v>24</v>
      </c>
      <c r="J534" s="2" t="s">
        <v>24</v>
      </c>
      <c r="K534" s="2" t="s">
        <v>24</v>
      </c>
      <c r="L534" s="2" t="s">
        <v>24</v>
      </c>
    </row>
    <row r="535" customFormat="false" ht="15" hidden="false" customHeight="false" outlineLevel="0" collapsed="false">
      <c r="A535" s="2" t="s">
        <v>750</v>
      </c>
      <c r="B535" s="13" t="s">
        <v>749</v>
      </c>
      <c r="C535" s="13" t="s">
        <v>91</v>
      </c>
      <c r="D535" s="13" t="s">
        <v>3917</v>
      </c>
      <c r="E535" s="13" t="s">
        <v>105</v>
      </c>
      <c r="F535" s="2" t="s">
        <v>45</v>
      </c>
      <c r="G535" s="2" t="s">
        <v>3364</v>
      </c>
      <c r="H535" s="34" t="s">
        <v>822</v>
      </c>
      <c r="I535" s="2" t="s">
        <v>24</v>
      </c>
      <c r="J535" s="2" t="s">
        <v>24</v>
      </c>
      <c r="K535" s="2" t="s">
        <v>24</v>
      </c>
      <c r="L535" s="2" t="s">
        <v>24</v>
      </c>
    </row>
    <row r="536" customFormat="false" ht="15" hidden="false" customHeight="false" outlineLevel="0" collapsed="false">
      <c r="A536" s="2" t="s">
        <v>604</v>
      </c>
      <c r="B536" s="13" t="s">
        <v>603</v>
      </c>
      <c r="C536" s="13" t="s">
        <v>77</v>
      </c>
      <c r="D536" s="13" t="s">
        <v>3918</v>
      </c>
      <c r="E536" s="13" t="s">
        <v>127</v>
      </c>
      <c r="F536" s="2" t="s">
        <v>92</v>
      </c>
      <c r="G536" s="2" t="s">
        <v>3376</v>
      </c>
      <c r="H536" s="34" t="s">
        <v>822</v>
      </c>
      <c r="I536" s="2" t="s">
        <v>24</v>
      </c>
      <c r="J536" s="2" t="s">
        <v>24</v>
      </c>
      <c r="K536" s="2" t="s">
        <v>24</v>
      </c>
      <c r="L536" s="2" t="s">
        <v>24</v>
      </c>
    </row>
    <row r="537" customFormat="false" ht="15" hidden="false" customHeight="false" outlineLevel="0" collapsed="false">
      <c r="A537" s="2" t="s">
        <v>1846</v>
      </c>
      <c r="B537" s="14" t="s">
        <v>1845</v>
      </c>
      <c r="C537" s="14" t="s">
        <v>95</v>
      </c>
      <c r="D537" s="14" t="s">
        <v>3919</v>
      </c>
      <c r="E537" s="14" t="s">
        <v>120</v>
      </c>
      <c r="F537" s="2" t="s">
        <v>106</v>
      </c>
      <c r="G537" s="2" t="s">
        <v>3361</v>
      </c>
      <c r="H537" s="39" t="s">
        <v>832</v>
      </c>
      <c r="I537" s="2" t="s">
        <v>22</v>
      </c>
      <c r="J537" s="2" t="s">
        <v>22</v>
      </c>
      <c r="K537" s="2" t="s">
        <v>22</v>
      </c>
      <c r="L537" s="2" t="s">
        <v>22</v>
      </c>
    </row>
    <row r="538" customFormat="false" ht="15" hidden="false" customHeight="false" outlineLevel="0" collapsed="false">
      <c r="A538" s="2" t="s">
        <v>452</v>
      </c>
      <c r="B538" s="14" t="s">
        <v>451</v>
      </c>
      <c r="C538" s="13" t="s">
        <v>86</v>
      </c>
      <c r="D538" s="14" t="s">
        <v>3920</v>
      </c>
      <c r="E538" s="14" t="s">
        <v>120</v>
      </c>
      <c r="F538" s="2" t="s">
        <v>45</v>
      </c>
      <c r="G538" s="2" t="s">
        <v>3364</v>
      </c>
      <c r="H538" s="34" t="s">
        <v>822</v>
      </c>
      <c r="I538" s="2" t="s">
        <v>22</v>
      </c>
      <c r="J538" s="2" t="s">
        <v>24</v>
      </c>
      <c r="K538" s="2" t="s">
        <v>22</v>
      </c>
      <c r="L538" s="2" t="s">
        <v>22</v>
      </c>
    </row>
    <row r="539" customFormat="false" ht="15" hidden="false" customHeight="false" outlineLevel="0" collapsed="false">
      <c r="A539" s="2" t="s">
        <v>690</v>
      </c>
      <c r="B539" s="13" t="s">
        <v>689</v>
      </c>
      <c r="C539" s="13" t="s">
        <v>82</v>
      </c>
      <c r="D539" s="13" t="s">
        <v>3921</v>
      </c>
      <c r="E539" s="13" t="s">
        <v>127</v>
      </c>
      <c r="F539" s="2" t="s">
        <v>106</v>
      </c>
      <c r="G539" s="2" t="s">
        <v>3376</v>
      </c>
      <c r="H539" s="34" t="s">
        <v>822</v>
      </c>
      <c r="I539" s="2" t="s">
        <v>24</v>
      </c>
      <c r="J539" s="2" t="s">
        <v>24</v>
      </c>
      <c r="K539" s="2" t="s">
        <v>24</v>
      </c>
      <c r="L539" s="2" t="s">
        <v>24</v>
      </c>
    </row>
    <row r="540" customFormat="false" ht="15" hidden="false" customHeight="false" outlineLevel="0" collapsed="false">
      <c r="A540" s="2" t="s">
        <v>1684</v>
      </c>
      <c r="B540" s="13" t="s">
        <v>1683</v>
      </c>
      <c r="C540" s="13" t="s">
        <v>82</v>
      </c>
      <c r="D540" s="13" t="s">
        <v>3922</v>
      </c>
      <c r="E540" s="13" t="s">
        <v>102</v>
      </c>
      <c r="F540" s="2" t="s">
        <v>99</v>
      </c>
      <c r="G540" s="2" t="s">
        <v>3355</v>
      </c>
      <c r="H540" s="39" t="s">
        <v>832</v>
      </c>
      <c r="I540" s="2" t="s">
        <v>24</v>
      </c>
      <c r="J540" s="2" t="s">
        <v>24</v>
      </c>
      <c r="K540" s="2" t="s">
        <v>24</v>
      </c>
      <c r="L540" s="2" t="s">
        <v>24</v>
      </c>
    </row>
    <row r="541" customFormat="false" ht="15" hidden="false" customHeight="false" outlineLevel="0" collapsed="false">
      <c r="A541" s="2" t="s">
        <v>948</v>
      </c>
      <c r="B541" s="13" t="s">
        <v>947</v>
      </c>
      <c r="C541" s="13" t="s">
        <v>123</v>
      </c>
      <c r="D541" s="13" t="s">
        <v>3923</v>
      </c>
      <c r="E541" s="13" t="s">
        <v>120</v>
      </c>
      <c r="F541" s="2" t="s">
        <v>99</v>
      </c>
      <c r="G541" s="2" t="s">
        <v>3355</v>
      </c>
      <c r="H541" s="39" t="s">
        <v>832</v>
      </c>
      <c r="I541" s="2" t="s">
        <v>24</v>
      </c>
      <c r="J541" s="2" t="s">
        <v>24</v>
      </c>
      <c r="K541" s="2" t="s">
        <v>24</v>
      </c>
      <c r="L541" s="2" t="s">
        <v>24</v>
      </c>
    </row>
    <row r="542" customFormat="false" ht="15" hidden="false" customHeight="false" outlineLevel="0" collapsed="false">
      <c r="A542" s="2" t="s">
        <v>406</v>
      </c>
      <c r="B542" s="13" t="s">
        <v>405</v>
      </c>
      <c r="C542" s="13" t="s">
        <v>123</v>
      </c>
      <c r="D542" s="13" t="s">
        <v>3924</v>
      </c>
      <c r="E542" s="13" t="s">
        <v>127</v>
      </c>
      <c r="F542" s="2" t="s">
        <v>99</v>
      </c>
      <c r="G542" s="2" t="s">
        <v>3359</v>
      </c>
      <c r="H542" s="34" t="s">
        <v>822</v>
      </c>
      <c r="I542" s="2" t="s">
        <v>24</v>
      </c>
      <c r="J542" s="2" t="s">
        <v>24</v>
      </c>
      <c r="K542" s="2" t="s">
        <v>24</v>
      </c>
      <c r="L542" s="2" t="s">
        <v>24</v>
      </c>
    </row>
    <row r="543" customFormat="false" ht="15" hidden="false" customHeight="false" outlineLevel="0" collapsed="false">
      <c r="A543" s="2" t="s">
        <v>3195</v>
      </c>
      <c r="B543" s="13" t="s">
        <v>3925</v>
      </c>
      <c r="C543" s="13" t="s">
        <v>86</v>
      </c>
      <c r="D543" s="13" t="s">
        <v>3926</v>
      </c>
      <c r="E543" s="13" t="s">
        <v>154</v>
      </c>
      <c r="F543" s="2" t="s">
        <v>46</v>
      </c>
      <c r="G543" s="2" t="s">
        <v>3395</v>
      </c>
      <c r="H543" s="39" t="s">
        <v>832</v>
      </c>
      <c r="I543" s="2" t="s">
        <v>24</v>
      </c>
      <c r="J543" s="2" t="s">
        <v>24</v>
      </c>
      <c r="K543" s="2" t="s">
        <v>24</v>
      </c>
      <c r="L543" s="2" t="s">
        <v>24</v>
      </c>
    </row>
    <row r="544" customFormat="false" ht="15" hidden="false" customHeight="false" outlineLevel="0" collapsed="false">
      <c r="A544" s="2" t="s">
        <v>288</v>
      </c>
      <c r="B544" s="13" t="s">
        <v>287</v>
      </c>
      <c r="C544" s="13" t="s">
        <v>95</v>
      </c>
      <c r="D544" s="13" t="s">
        <v>3927</v>
      </c>
      <c r="E544" s="13" t="s">
        <v>105</v>
      </c>
      <c r="F544" s="2" t="s">
        <v>99</v>
      </c>
      <c r="G544" s="2" t="s">
        <v>3359</v>
      </c>
      <c r="H544" s="34" t="s">
        <v>822</v>
      </c>
      <c r="I544" s="2" t="s">
        <v>24</v>
      </c>
      <c r="J544" s="2" t="s">
        <v>24</v>
      </c>
      <c r="K544" s="2" t="s">
        <v>24</v>
      </c>
      <c r="L544" s="2" t="s">
        <v>24</v>
      </c>
    </row>
    <row r="545" customFormat="false" ht="15" hidden="false" customHeight="false" outlineLevel="0" collapsed="false">
      <c r="A545" s="2" t="s">
        <v>1367</v>
      </c>
      <c r="B545" s="13" t="s">
        <v>1366</v>
      </c>
      <c r="C545" s="13" t="s">
        <v>95</v>
      </c>
      <c r="D545" s="13" t="s">
        <v>3928</v>
      </c>
      <c r="E545" s="13" t="s">
        <v>120</v>
      </c>
      <c r="F545" s="2" t="s">
        <v>99</v>
      </c>
      <c r="G545" s="2" t="s">
        <v>3355</v>
      </c>
      <c r="H545" s="39" t="s">
        <v>832</v>
      </c>
      <c r="I545" s="2" t="s">
        <v>24</v>
      </c>
      <c r="J545" s="2" t="s">
        <v>24</v>
      </c>
      <c r="K545" s="2" t="s">
        <v>24</v>
      </c>
      <c r="L545" s="2" t="s">
        <v>24</v>
      </c>
    </row>
    <row r="546" customFormat="false" ht="15" hidden="false" customHeight="false" outlineLevel="0" collapsed="false">
      <c r="A546" s="2" t="s">
        <v>410</v>
      </c>
      <c r="B546" s="13" t="s">
        <v>409</v>
      </c>
      <c r="C546" s="13" t="s">
        <v>95</v>
      </c>
      <c r="D546" s="13" t="s">
        <v>3929</v>
      </c>
      <c r="E546" s="13" t="s">
        <v>127</v>
      </c>
      <c r="F546" s="2" t="s">
        <v>106</v>
      </c>
      <c r="G546" s="2" t="s">
        <v>3376</v>
      </c>
      <c r="H546" s="34" t="s">
        <v>822</v>
      </c>
      <c r="I546" s="2" t="s">
        <v>24</v>
      </c>
      <c r="J546" s="2" t="s">
        <v>24</v>
      </c>
      <c r="K546" s="2" t="s">
        <v>24</v>
      </c>
      <c r="L546" s="2" t="s">
        <v>24</v>
      </c>
    </row>
    <row r="547" customFormat="false" ht="15" hidden="false" customHeight="false" outlineLevel="0" collapsed="false">
      <c r="A547" s="2" t="s">
        <v>3198</v>
      </c>
      <c r="B547" s="14" t="s">
        <v>3930</v>
      </c>
      <c r="C547" s="14" t="s">
        <v>86</v>
      </c>
      <c r="D547" s="14" t="s">
        <v>3931</v>
      </c>
      <c r="E547" s="14" t="s">
        <v>105</v>
      </c>
      <c r="F547" s="2" t="s">
        <v>92</v>
      </c>
      <c r="G547" s="2" t="s">
        <v>3385</v>
      </c>
      <c r="H547" s="39" t="s">
        <v>832</v>
      </c>
      <c r="I547" s="2" t="s">
        <v>22</v>
      </c>
      <c r="J547" s="2" t="s">
        <v>22</v>
      </c>
      <c r="K547" s="2" t="s">
        <v>22</v>
      </c>
      <c r="L547" s="2" t="s">
        <v>22</v>
      </c>
    </row>
    <row r="548" customFormat="false" ht="15" hidden="false" customHeight="false" outlineLevel="0" collapsed="false">
      <c r="A548" s="2" t="s">
        <v>276</v>
      </c>
      <c r="B548" s="13" t="s">
        <v>275</v>
      </c>
      <c r="C548" s="13" t="s">
        <v>82</v>
      </c>
      <c r="D548" s="13" t="s">
        <v>3932</v>
      </c>
      <c r="E548" s="13" t="s">
        <v>83</v>
      </c>
      <c r="F548" s="2" t="s">
        <v>99</v>
      </c>
      <c r="G548" s="2" t="s">
        <v>3359</v>
      </c>
      <c r="H548" s="34" t="s">
        <v>822</v>
      </c>
      <c r="I548" s="2" t="s">
        <v>24</v>
      </c>
      <c r="J548" s="2" t="s">
        <v>24</v>
      </c>
      <c r="K548" s="2" t="s">
        <v>24</v>
      </c>
      <c r="L548" s="2" t="s">
        <v>24</v>
      </c>
    </row>
    <row r="549" customFormat="false" ht="15" hidden="false" customHeight="false" outlineLevel="0" collapsed="false">
      <c r="A549" s="2" t="s">
        <v>2323</v>
      </c>
      <c r="B549" s="13" t="s">
        <v>2322</v>
      </c>
      <c r="C549" s="13" t="s">
        <v>115</v>
      </c>
      <c r="D549" s="13" t="s">
        <v>3933</v>
      </c>
      <c r="E549" s="13" t="s">
        <v>78</v>
      </c>
      <c r="F549" s="2" t="s">
        <v>99</v>
      </c>
      <c r="G549" s="2" t="s">
        <v>3369</v>
      </c>
      <c r="H549" s="39" t="s">
        <v>832</v>
      </c>
      <c r="I549" s="2" t="s">
        <v>24</v>
      </c>
      <c r="J549" s="2" t="s">
        <v>24</v>
      </c>
      <c r="K549" s="2" t="s">
        <v>24</v>
      </c>
      <c r="L549" s="2" t="s">
        <v>24</v>
      </c>
    </row>
    <row r="550" customFormat="false" ht="15" hidden="false" customHeight="false" outlineLevel="0" collapsed="false">
      <c r="A550" s="2" t="s">
        <v>1890</v>
      </c>
      <c r="B550" s="13" t="s">
        <v>1889</v>
      </c>
      <c r="C550" s="13" t="s">
        <v>162</v>
      </c>
      <c r="D550" s="13" t="s">
        <v>3934</v>
      </c>
      <c r="E550" s="14" t="s">
        <v>120</v>
      </c>
      <c r="F550" s="2" t="s">
        <v>149</v>
      </c>
      <c r="G550" s="2" t="s">
        <v>3361</v>
      </c>
      <c r="H550" s="39" t="s">
        <v>832</v>
      </c>
      <c r="I550" s="2" t="s">
        <v>24</v>
      </c>
      <c r="J550" s="2" t="s">
        <v>24</v>
      </c>
      <c r="K550" s="2" t="s">
        <v>24</v>
      </c>
      <c r="L550" s="2" t="s">
        <v>22</v>
      </c>
    </row>
    <row r="551" customFormat="false" ht="15" hidden="false" customHeight="false" outlineLevel="0" collapsed="false">
      <c r="A551" s="2" t="s">
        <v>356</v>
      </c>
      <c r="B551" s="13" t="s">
        <v>355</v>
      </c>
      <c r="C551" s="13" t="s">
        <v>91</v>
      </c>
      <c r="D551" s="14" t="s">
        <v>3935</v>
      </c>
      <c r="E551" s="13" t="s">
        <v>154</v>
      </c>
      <c r="F551" s="2" t="s">
        <v>99</v>
      </c>
      <c r="G551" s="2" t="s">
        <v>3359</v>
      </c>
      <c r="H551" s="34" t="s">
        <v>822</v>
      </c>
      <c r="I551" s="2" t="s">
        <v>24</v>
      </c>
      <c r="J551" s="2" t="s">
        <v>24</v>
      </c>
      <c r="K551" s="2" t="s">
        <v>22</v>
      </c>
      <c r="L551" s="2" t="s">
        <v>24</v>
      </c>
    </row>
    <row r="552" customFormat="false" ht="15" hidden="false" customHeight="false" outlineLevel="0" collapsed="false">
      <c r="A552" s="2" t="s">
        <v>3201</v>
      </c>
      <c r="B552" s="13" t="s">
        <v>3936</v>
      </c>
      <c r="C552" s="13" t="s">
        <v>95</v>
      </c>
      <c r="D552" s="14" t="s">
        <v>3937</v>
      </c>
      <c r="E552" s="13" t="s">
        <v>83</v>
      </c>
      <c r="F552" s="2" t="s">
        <v>149</v>
      </c>
      <c r="G552" s="2" t="s">
        <v>3385</v>
      </c>
      <c r="H552" s="39" t="s">
        <v>832</v>
      </c>
      <c r="I552" s="2" t="s">
        <v>24</v>
      </c>
      <c r="J552" s="2" t="s">
        <v>24</v>
      </c>
      <c r="K552" s="2" t="s">
        <v>22</v>
      </c>
      <c r="L552" s="2" t="s">
        <v>24</v>
      </c>
    </row>
    <row r="553" customFormat="false" ht="15" hidden="false" customHeight="false" outlineLevel="0" collapsed="false">
      <c r="A553" s="2" t="s">
        <v>512</v>
      </c>
      <c r="B553" s="13" t="s">
        <v>511</v>
      </c>
      <c r="C553" s="13" t="s">
        <v>91</v>
      </c>
      <c r="D553" s="13" t="s">
        <v>3938</v>
      </c>
      <c r="E553" s="13" t="s">
        <v>127</v>
      </c>
      <c r="F553" s="2" t="s">
        <v>45</v>
      </c>
      <c r="G553" s="2" t="s">
        <v>3364</v>
      </c>
      <c r="H553" s="34" t="s">
        <v>822</v>
      </c>
      <c r="I553" s="2" t="s">
        <v>24</v>
      </c>
      <c r="J553" s="2" t="s">
        <v>24</v>
      </c>
      <c r="K553" s="2" t="s">
        <v>24</v>
      </c>
      <c r="L553" s="2" t="s">
        <v>24</v>
      </c>
    </row>
    <row r="554" customFormat="false" ht="15" hidden="false" customHeight="false" outlineLevel="0" collapsed="false">
      <c r="A554" s="2" t="s">
        <v>2779</v>
      </c>
      <c r="B554" s="13" t="s">
        <v>2778</v>
      </c>
      <c r="C554" s="13" t="s">
        <v>123</v>
      </c>
      <c r="D554" s="13" t="s">
        <v>3939</v>
      </c>
      <c r="E554" s="13" t="s">
        <v>127</v>
      </c>
      <c r="F554" s="2" t="s">
        <v>106</v>
      </c>
      <c r="G554" s="2" t="s">
        <v>3361</v>
      </c>
      <c r="H554" s="39" t="s">
        <v>832</v>
      </c>
      <c r="I554" s="2" t="s">
        <v>24</v>
      </c>
      <c r="J554" s="2" t="s">
        <v>24</v>
      </c>
      <c r="K554" s="2" t="s">
        <v>24</v>
      </c>
      <c r="L554" s="2" t="s">
        <v>24</v>
      </c>
    </row>
    <row r="555" customFormat="false" ht="15" hidden="false" customHeight="false" outlineLevel="0" collapsed="false">
      <c r="A555" s="2" t="s">
        <v>3205</v>
      </c>
      <c r="B555" s="13" t="s">
        <v>3940</v>
      </c>
      <c r="C555" s="13" t="s">
        <v>91</v>
      </c>
      <c r="D555" s="13" t="s">
        <v>3941</v>
      </c>
      <c r="E555" s="13" t="s">
        <v>73</v>
      </c>
      <c r="F555" s="2" t="s">
        <v>99</v>
      </c>
      <c r="G555" s="2" t="s">
        <v>3410</v>
      </c>
      <c r="H555" s="39" t="s">
        <v>832</v>
      </c>
      <c r="I555" s="2" t="s">
        <v>24</v>
      </c>
      <c r="J555" s="2" t="s">
        <v>24</v>
      </c>
      <c r="K555" s="2" t="s">
        <v>24</v>
      </c>
      <c r="L555" s="2" t="s">
        <v>24</v>
      </c>
    </row>
    <row r="556" customFormat="false" ht="15" hidden="false" customHeight="false" outlineLevel="0" collapsed="false">
      <c r="A556" s="2" t="s">
        <v>606</v>
      </c>
      <c r="B556" s="13" t="s">
        <v>605</v>
      </c>
      <c r="C556" s="13" t="s">
        <v>91</v>
      </c>
      <c r="D556" s="13" t="s">
        <v>3942</v>
      </c>
      <c r="E556" s="13" t="s">
        <v>105</v>
      </c>
      <c r="F556" s="2" t="s">
        <v>99</v>
      </c>
      <c r="G556" s="2" t="s">
        <v>3359</v>
      </c>
      <c r="H556" s="34" t="s">
        <v>822</v>
      </c>
      <c r="I556" s="2" t="s">
        <v>24</v>
      </c>
      <c r="J556" s="2" t="s">
        <v>24</v>
      </c>
      <c r="K556" s="2" t="s">
        <v>24</v>
      </c>
      <c r="L556" s="2" t="s">
        <v>24</v>
      </c>
    </row>
    <row r="557" customFormat="false" ht="15" hidden="false" customHeight="false" outlineLevel="0" collapsed="false">
      <c r="A557" s="2" t="s">
        <v>1352</v>
      </c>
      <c r="B557" s="13" t="s">
        <v>1351</v>
      </c>
      <c r="C557" s="15" t="s">
        <v>95</v>
      </c>
      <c r="D557" s="13" t="s">
        <v>3943</v>
      </c>
      <c r="E557" s="15" t="s">
        <v>105</v>
      </c>
      <c r="F557" s="2" t="s">
        <v>99</v>
      </c>
      <c r="G557" s="2" t="s">
        <v>3369</v>
      </c>
      <c r="H557" s="39" t="s">
        <v>832</v>
      </c>
      <c r="I557" s="2" t="s">
        <v>24</v>
      </c>
      <c r="J557" s="2" t="s">
        <v>19</v>
      </c>
      <c r="K557" s="2" t="s">
        <v>24</v>
      </c>
      <c r="L557" s="2" t="s">
        <v>19</v>
      </c>
    </row>
    <row r="558" customFormat="false" ht="15" hidden="false" customHeight="false" outlineLevel="0" collapsed="false">
      <c r="A558" s="2" t="s">
        <v>284</v>
      </c>
      <c r="B558" s="13" t="s">
        <v>283</v>
      </c>
      <c r="C558" s="13" t="s">
        <v>162</v>
      </c>
      <c r="D558" s="13" t="s">
        <v>3944</v>
      </c>
      <c r="E558" s="13" t="s">
        <v>105</v>
      </c>
      <c r="F558" s="2" t="s">
        <v>99</v>
      </c>
      <c r="G558" s="2" t="s">
        <v>3359</v>
      </c>
      <c r="H558" s="34" t="s">
        <v>822</v>
      </c>
      <c r="I558" s="2" t="s">
        <v>24</v>
      </c>
      <c r="J558" s="2" t="s">
        <v>24</v>
      </c>
      <c r="K558" s="2" t="s">
        <v>24</v>
      </c>
      <c r="L558" s="2" t="s">
        <v>24</v>
      </c>
    </row>
    <row r="559" customFormat="false" ht="15" hidden="false" customHeight="false" outlineLevel="0" collapsed="false">
      <c r="A559" s="2" t="s">
        <v>1131</v>
      </c>
      <c r="B559" s="13" t="s">
        <v>1130</v>
      </c>
      <c r="C559" s="13" t="s">
        <v>115</v>
      </c>
      <c r="D559" s="13" t="s">
        <v>3945</v>
      </c>
      <c r="E559" s="13" t="s">
        <v>102</v>
      </c>
      <c r="F559" s="2" t="s">
        <v>99</v>
      </c>
      <c r="G559" s="2" t="s">
        <v>3355</v>
      </c>
      <c r="H559" s="39" t="s">
        <v>832</v>
      </c>
      <c r="I559" s="2" t="s">
        <v>24</v>
      </c>
      <c r="J559" s="2" t="s">
        <v>24</v>
      </c>
      <c r="K559" s="2" t="s">
        <v>24</v>
      </c>
      <c r="L559" s="2" t="s">
        <v>24</v>
      </c>
    </row>
    <row r="560" customFormat="false" ht="15" hidden="false" customHeight="false" outlineLevel="0" collapsed="false">
      <c r="A560" s="2" t="s">
        <v>3208</v>
      </c>
      <c r="B560" s="13" t="s">
        <v>3946</v>
      </c>
      <c r="C560" s="13" t="s">
        <v>95</v>
      </c>
      <c r="D560" s="13" t="s">
        <v>3947</v>
      </c>
      <c r="E560" s="13" t="s">
        <v>124</v>
      </c>
      <c r="F560" s="2" t="s">
        <v>46</v>
      </c>
      <c r="G560" s="2" t="s">
        <v>3395</v>
      </c>
      <c r="H560" s="39" t="s">
        <v>832</v>
      </c>
      <c r="I560" s="2" t="s">
        <v>24</v>
      </c>
      <c r="J560" s="2" t="s">
        <v>24</v>
      </c>
      <c r="K560" s="2" t="s">
        <v>24</v>
      </c>
      <c r="L560" s="2" t="s">
        <v>24</v>
      </c>
    </row>
    <row r="561" customFormat="false" ht="15" hidden="false" customHeight="false" outlineLevel="0" collapsed="false">
      <c r="A561" s="2" t="s">
        <v>1233</v>
      </c>
      <c r="B561" s="13" t="s">
        <v>1232</v>
      </c>
      <c r="C561" s="13" t="s">
        <v>115</v>
      </c>
      <c r="D561" s="13" t="s">
        <v>3948</v>
      </c>
      <c r="E561" s="14" t="s">
        <v>124</v>
      </c>
      <c r="F561" s="2" t="s">
        <v>99</v>
      </c>
      <c r="G561" s="2" t="s">
        <v>3355</v>
      </c>
      <c r="H561" s="39" t="s">
        <v>832</v>
      </c>
      <c r="I561" s="2" t="s">
        <v>24</v>
      </c>
      <c r="J561" s="2" t="s">
        <v>24</v>
      </c>
      <c r="K561" s="2" t="s">
        <v>24</v>
      </c>
      <c r="L561" s="2" t="s">
        <v>22</v>
      </c>
    </row>
    <row r="562" customFormat="false" ht="15" hidden="false" customHeight="false" outlineLevel="0" collapsed="false">
      <c r="A562" s="2" t="s">
        <v>3210</v>
      </c>
      <c r="B562" s="13" t="s">
        <v>3949</v>
      </c>
      <c r="C562" s="13" t="s">
        <v>86</v>
      </c>
      <c r="D562" s="14" t="s">
        <v>3950</v>
      </c>
      <c r="E562" s="13" t="s">
        <v>154</v>
      </c>
      <c r="F562" s="2" t="s">
        <v>92</v>
      </c>
      <c r="G562" s="2" t="s">
        <v>3385</v>
      </c>
      <c r="H562" s="39" t="s">
        <v>832</v>
      </c>
      <c r="I562" s="2" t="s">
        <v>24</v>
      </c>
      <c r="J562" s="2" t="s">
        <v>24</v>
      </c>
      <c r="K562" s="2" t="s">
        <v>22</v>
      </c>
      <c r="L562" s="2" t="s">
        <v>24</v>
      </c>
    </row>
    <row r="563" customFormat="false" ht="15" hidden="false" customHeight="false" outlineLevel="0" collapsed="false">
      <c r="A563" s="2" t="s">
        <v>308</v>
      </c>
      <c r="B563" s="13" t="s">
        <v>307</v>
      </c>
      <c r="C563" s="13" t="s">
        <v>77</v>
      </c>
      <c r="D563" s="13" t="s">
        <v>3951</v>
      </c>
      <c r="E563" s="13" t="s">
        <v>102</v>
      </c>
      <c r="F563" s="2" t="s">
        <v>99</v>
      </c>
      <c r="G563" s="2" t="s">
        <v>3359</v>
      </c>
      <c r="H563" s="34" t="s">
        <v>822</v>
      </c>
      <c r="I563" s="2" t="s">
        <v>24</v>
      </c>
      <c r="J563" s="2" t="s">
        <v>24</v>
      </c>
      <c r="K563" s="2" t="s">
        <v>24</v>
      </c>
      <c r="L563" s="2" t="s">
        <v>24</v>
      </c>
    </row>
    <row r="564" customFormat="false" ht="15" hidden="false" customHeight="false" outlineLevel="0" collapsed="false">
      <c r="A564" s="2" t="s">
        <v>722</v>
      </c>
      <c r="B564" s="13" t="s">
        <v>721</v>
      </c>
      <c r="C564" s="13" t="s">
        <v>77</v>
      </c>
      <c r="D564" s="13" t="s">
        <v>3952</v>
      </c>
      <c r="E564" s="13" t="s">
        <v>124</v>
      </c>
      <c r="F564" s="2" t="s">
        <v>149</v>
      </c>
      <c r="G564" s="2" t="s">
        <v>3376</v>
      </c>
      <c r="H564" s="34" t="s">
        <v>822</v>
      </c>
      <c r="I564" s="2" t="s">
        <v>24</v>
      </c>
      <c r="J564" s="2" t="s">
        <v>24</v>
      </c>
      <c r="K564" s="2" t="s">
        <v>24</v>
      </c>
      <c r="L564" s="2" t="s">
        <v>24</v>
      </c>
    </row>
    <row r="565" customFormat="false" ht="15" hidden="false" customHeight="false" outlineLevel="0" collapsed="false">
      <c r="A565" s="2" t="s">
        <v>592</v>
      </c>
      <c r="B565" s="13" t="s">
        <v>591</v>
      </c>
      <c r="C565" s="13" t="s">
        <v>86</v>
      </c>
      <c r="D565" s="14" t="s">
        <v>3953</v>
      </c>
      <c r="E565" s="13" t="s">
        <v>105</v>
      </c>
      <c r="F565" s="2" t="s">
        <v>99</v>
      </c>
      <c r="G565" s="2" t="s">
        <v>3359</v>
      </c>
      <c r="H565" s="34" t="s">
        <v>822</v>
      </c>
      <c r="I565" s="2" t="s">
        <v>24</v>
      </c>
      <c r="J565" s="2" t="s">
        <v>24</v>
      </c>
      <c r="K565" s="2" t="s">
        <v>22</v>
      </c>
      <c r="L565" s="2" t="s">
        <v>24</v>
      </c>
    </row>
    <row r="566" customFormat="false" ht="15" hidden="false" customHeight="false" outlineLevel="0" collapsed="false">
      <c r="A566" s="2" t="s">
        <v>542</v>
      </c>
      <c r="B566" s="13" t="s">
        <v>541</v>
      </c>
      <c r="C566" s="13" t="s">
        <v>72</v>
      </c>
      <c r="D566" s="13" t="s">
        <v>3954</v>
      </c>
      <c r="E566" s="14" t="s">
        <v>127</v>
      </c>
      <c r="F566" s="2" t="s">
        <v>99</v>
      </c>
      <c r="G566" s="2" t="s">
        <v>3359</v>
      </c>
      <c r="H566" s="34" t="s">
        <v>822</v>
      </c>
      <c r="I566" s="2" t="s">
        <v>24</v>
      </c>
      <c r="J566" s="2" t="s">
        <v>24</v>
      </c>
      <c r="K566" s="2" t="s">
        <v>24</v>
      </c>
      <c r="L566" s="2" t="s">
        <v>22</v>
      </c>
    </row>
    <row r="567" customFormat="false" ht="15" hidden="false" customHeight="false" outlineLevel="0" collapsed="false">
      <c r="A567" s="2" t="s">
        <v>961</v>
      </c>
      <c r="B567" s="13" t="s">
        <v>960</v>
      </c>
      <c r="C567" s="13" t="s">
        <v>123</v>
      </c>
      <c r="D567" s="13" t="s">
        <v>3955</v>
      </c>
      <c r="E567" s="13" t="s">
        <v>120</v>
      </c>
      <c r="F567" s="2" t="s">
        <v>99</v>
      </c>
      <c r="G567" s="2" t="s">
        <v>3355</v>
      </c>
      <c r="H567" s="39" t="s">
        <v>832</v>
      </c>
      <c r="I567" s="2" t="s">
        <v>24</v>
      </c>
      <c r="J567" s="2" t="s">
        <v>24</v>
      </c>
      <c r="K567" s="2" t="s">
        <v>24</v>
      </c>
      <c r="L567" s="2" t="s">
        <v>24</v>
      </c>
    </row>
    <row r="568" customFormat="false" ht="15" hidden="false" customHeight="false" outlineLevel="0" collapsed="false">
      <c r="A568" s="2" t="s">
        <v>911</v>
      </c>
      <c r="B568" s="13" t="s">
        <v>910</v>
      </c>
      <c r="C568" s="13" t="s">
        <v>86</v>
      </c>
      <c r="D568" s="13" t="s">
        <v>3956</v>
      </c>
      <c r="E568" s="13" t="s">
        <v>78</v>
      </c>
      <c r="F568" s="2" t="s">
        <v>99</v>
      </c>
      <c r="G568" s="2" t="s">
        <v>3355</v>
      </c>
      <c r="H568" s="39" t="s">
        <v>832</v>
      </c>
      <c r="I568" s="2" t="s">
        <v>24</v>
      </c>
      <c r="J568" s="2" t="s">
        <v>24</v>
      </c>
      <c r="K568" s="2" t="s">
        <v>24</v>
      </c>
      <c r="L568" s="2" t="s">
        <v>24</v>
      </c>
    </row>
    <row r="569" customFormat="false" ht="15" hidden="false" customHeight="false" outlineLevel="0" collapsed="false">
      <c r="A569" s="2" t="s">
        <v>3211</v>
      </c>
      <c r="B569" s="13" t="s">
        <v>3957</v>
      </c>
      <c r="C569" s="13" t="s">
        <v>98</v>
      </c>
      <c r="D569" s="13" t="s">
        <v>3958</v>
      </c>
      <c r="E569" s="13" t="s">
        <v>124</v>
      </c>
      <c r="F569" s="2" t="s">
        <v>45</v>
      </c>
      <c r="G569" s="2" t="s">
        <v>3395</v>
      </c>
      <c r="H569" s="39" t="s">
        <v>832</v>
      </c>
      <c r="I569" s="2" t="s">
        <v>24</v>
      </c>
      <c r="J569" s="2" t="s">
        <v>24</v>
      </c>
      <c r="K569" s="2" t="s">
        <v>24</v>
      </c>
      <c r="L569" s="2" t="s">
        <v>24</v>
      </c>
    </row>
    <row r="570" customFormat="false" ht="15" hidden="false" customHeight="false" outlineLevel="0" collapsed="false">
      <c r="A570" s="2" t="s">
        <v>550</v>
      </c>
      <c r="B570" s="13" t="s">
        <v>549</v>
      </c>
      <c r="C570" s="13" t="s">
        <v>82</v>
      </c>
      <c r="D570" s="13" t="s">
        <v>3959</v>
      </c>
      <c r="E570" s="13" t="s">
        <v>78</v>
      </c>
      <c r="F570" s="2" t="s">
        <v>106</v>
      </c>
      <c r="G570" s="2" t="s">
        <v>3376</v>
      </c>
      <c r="H570" s="34" t="s">
        <v>822</v>
      </c>
      <c r="I570" s="2" t="s">
        <v>24</v>
      </c>
      <c r="J570" s="2" t="s">
        <v>24</v>
      </c>
      <c r="K570" s="2" t="s">
        <v>24</v>
      </c>
      <c r="L570" s="2" t="s">
        <v>24</v>
      </c>
    </row>
    <row r="571" customFormat="false" ht="15" hidden="false" customHeight="false" outlineLevel="0" collapsed="false">
      <c r="A571" s="2" t="s">
        <v>348</v>
      </c>
      <c r="B571" s="13" t="s">
        <v>347</v>
      </c>
      <c r="C571" s="13" t="s">
        <v>77</v>
      </c>
      <c r="D571" s="13" t="s">
        <v>3960</v>
      </c>
      <c r="E571" s="13" t="s">
        <v>73</v>
      </c>
      <c r="F571" s="2" t="s">
        <v>99</v>
      </c>
      <c r="G571" s="2" t="s">
        <v>3359</v>
      </c>
      <c r="H571" s="34" t="s">
        <v>822</v>
      </c>
      <c r="I571" s="2" t="s">
        <v>24</v>
      </c>
      <c r="J571" s="2" t="s">
        <v>24</v>
      </c>
      <c r="K571" s="2" t="s">
        <v>24</v>
      </c>
      <c r="L571" s="2" t="s">
        <v>24</v>
      </c>
    </row>
    <row r="572" customFormat="false" ht="15" hidden="false" customHeight="false" outlineLevel="0" collapsed="false">
      <c r="A572" s="2" t="s">
        <v>1911</v>
      </c>
      <c r="B572" s="13" t="s">
        <v>1910</v>
      </c>
      <c r="C572" s="13" t="s">
        <v>77</v>
      </c>
      <c r="D572" s="13" t="s">
        <v>3961</v>
      </c>
      <c r="E572" s="13" t="s">
        <v>83</v>
      </c>
      <c r="F572" s="2" t="s">
        <v>149</v>
      </c>
      <c r="G572" s="2" t="s">
        <v>3361</v>
      </c>
      <c r="H572" s="39" t="s">
        <v>832</v>
      </c>
      <c r="I572" s="2" t="s">
        <v>24</v>
      </c>
      <c r="J572" s="2" t="s">
        <v>24</v>
      </c>
      <c r="K572" s="2" t="s">
        <v>24</v>
      </c>
      <c r="L572" s="2" t="s">
        <v>24</v>
      </c>
    </row>
    <row r="573" customFormat="false" ht="15" hidden="false" customHeight="false" outlineLevel="0" collapsed="false">
      <c r="A573" s="2" t="s">
        <v>528</v>
      </c>
      <c r="B573" s="13" t="s">
        <v>527</v>
      </c>
      <c r="C573" s="13" t="s">
        <v>115</v>
      </c>
      <c r="D573" s="14" t="s">
        <v>3962</v>
      </c>
      <c r="E573" s="13" t="s">
        <v>73</v>
      </c>
      <c r="F573" s="2" t="s">
        <v>99</v>
      </c>
      <c r="G573" s="2" t="s">
        <v>3359</v>
      </c>
      <c r="H573" s="34" t="s">
        <v>822</v>
      </c>
      <c r="I573" s="2" t="s">
        <v>24</v>
      </c>
      <c r="J573" s="2" t="s">
        <v>24</v>
      </c>
      <c r="K573" s="2" t="s">
        <v>22</v>
      </c>
      <c r="L573" s="2" t="s">
        <v>24</v>
      </c>
    </row>
    <row r="574" customFormat="false" ht="15" hidden="false" customHeight="false" outlineLevel="0" collapsed="false">
      <c r="A574" s="2" t="s">
        <v>1279</v>
      </c>
      <c r="B574" s="13" t="s">
        <v>1278</v>
      </c>
      <c r="C574" s="13" t="s">
        <v>86</v>
      </c>
      <c r="D574" s="13" t="s">
        <v>3963</v>
      </c>
      <c r="E574" s="13" t="s">
        <v>154</v>
      </c>
      <c r="F574" s="2" t="s">
        <v>99</v>
      </c>
      <c r="G574" s="2" t="s">
        <v>3355</v>
      </c>
      <c r="H574" s="39" t="s">
        <v>832</v>
      </c>
      <c r="I574" s="2" t="s">
        <v>24</v>
      </c>
      <c r="J574" s="2" t="s">
        <v>24</v>
      </c>
      <c r="K574" s="2" t="s">
        <v>24</v>
      </c>
      <c r="L574" s="2" t="s">
        <v>24</v>
      </c>
    </row>
    <row r="575" customFormat="false" ht="15" hidden="false" customHeight="false" outlineLevel="0" collapsed="false">
      <c r="A575" s="2" t="s">
        <v>1087</v>
      </c>
      <c r="B575" s="13" t="s">
        <v>1086</v>
      </c>
      <c r="C575" s="13" t="s">
        <v>98</v>
      </c>
      <c r="D575" s="14" t="s">
        <v>3964</v>
      </c>
      <c r="E575" s="13" t="s">
        <v>124</v>
      </c>
      <c r="F575" s="2" t="s">
        <v>99</v>
      </c>
      <c r="G575" s="2" t="s">
        <v>3355</v>
      </c>
      <c r="H575" s="39" t="s">
        <v>832</v>
      </c>
      <c r="I575" s="2" t="s">
        <v>24</v>
      </c>
      <c r="J575" s="2" t="s">
        <v>24</v>
      </c>
      <c r="K575" s="2" t="s">
        <v>22</v>
      </c>
      <c r="L575" s="2" t="s">
        <v>24</v>
      </c>
    </row>
    <row r="576" customFormat="false" ht="15" hidden="false" customHeight="false" outlineLevel="0" collapsed="false">
      <c r="A576" s="2" t="s">
        <v>3216</v>
      </c>
      <c r="B576" s="16"/>
      <c r="C576" s="16"/>
      <c r="D576" s="16"/>
      <c r="E576" s="16"/>
      <c r="F576" s="2" t="s">
        <v>99</v>
      </c>
      <c r="G576" s="2" t="s">
        <v>3410</v>
      </c>
      <c r="H576" s="39" t="s">
        <v>832</v>
      </c>
      <c r="I576" s="2"/>
      <c r="J576" s="2"/>
      <c r="K576" s="2"/>
      <c r="L576" s="2"/>
    </row>
    <row r="577" customFormat="false" ht="15" hidden="false" customHeight="false" outlineLevel="0" collapsed="false">
      <c r="A577" s="2" t="s">
        <v>1553</v>
      </c>
      <c r="B577" s="13" t="s">
        <v>1552</v>
      </c>
      <c r="C577" s="13" t="s">
        <v>162</v>
      </c>
      <c r="D577" s="13" t="s">
        <v>3965</v>
      </c>
      <c r="E577" s="13" t="s">
        <v>154</v>
      </c>
      <c r="F577" s="2" t="s">
        <v>99</v>
      </c>
      <c r="G577" s="2" t="s">
        <v>3355</v>
      </c>
      <c r="H577" s="39" t="s">
        <v>832</v>
      </c>
      <c r="I577" s="2" t="s">
        <v>24</v>
      </c>
      <c r="J577" s="2" t="s">
        <v>24</v>
      </c>
      <c r="K577" s="2" t="s">
        <v>24</v>
      </c>
      <c r="L577" s="2" t="s">
        <v>24</v>
      </c>
    </row>
    <row r="578" customFormat="false" ht="15" hidden="false" customHeight="false" outlineLevel="0" collapsed="false">
      <c r="A578" s="2" t="s">
        <v>1561</v>
      </c>
      <c r="B578" s="13" t="s">
        <v>1560</v>
      </c>
      <c r="C578" s="13" t="s">
        <v>115</v>
      </c>
      <c r="D578" s="13" t="s">
        <v>3966</v>
      </c>
      <c r="E578" s="13" t="s">
        <v>124</v>
      </c>
      <c r="F578" s="2" t="s">
        <v>99</v>
      </c>
      <c r="G578" s="2" t="s">
        <v>3355</v>
      </c>
      <c r="H578" s="39" t="s">
        <v>832</v>
      </c>
      <c r="I578" s="2" t="s">
        <v>24</v>
      </c>
      <c r="J578" s="2" t="s">
        <v>24</v>
      </c>
      <c r="K578" s="2" t="s">
        <v>24</v>
      </c>
      <c r="L578" s="2" t="s">
        <v>24</v>
      </c>
    </row>
    <row r="579" customFormat="false" ht="15" hidden="false" customHeight="false" outlineLevel="0" collapsed="false">
      <c r="A579" s="2" t="s">
        <v>1673</v>
      </c>
      <c r="B579" s="13" t="s">
        <v>1672</v>
      </c>
      <c r="C579" s="13" t="s">
        <v>115</v>
      </c>
      <c r="D579" s="13" t="s">
        <v>3967</v>
      </c>
      <c r="E579" s="13" t="s">
        <v>102</v>
      </c>
      <c r="F579" s="2" t="s">
        <v>99</v>
      </c>
      <c r="G579" s="2" t="s">
        <v>3355</v>
      </c>
      <c r="H579" s="39" t="s">
        <v>832</v>
      </c>
      <c r="I579" s="2" t="s">
        <v>24</v>
      </c>
      <c r="J579" s="2" t="s">
        <v>24</v>
      </c>
      <c r="K579" s="2" t="s">
        <v>24</v>
      </c>
      <c r="L579" s="2" t="s">
        <v>24</v>
      </c>
    </row>
    <row r="580" customFormat="false" ht="15" hidden="false" customHeight="false" outlineLevel="0" collapsed="false">
      <c r="A580" s="2" t="s">
        <v>800</v>
      </c>
      <c r="B580" s="13" t="s">
        <v>799</v>
      </c>
      <c r="C580" s="13" t="s">
        <v>77</v>
      </c>
      <c r="D580" s="13" t="s">
        <v>3968</v>
      </c>
      <c r="E580" s="13" t="s">
        <v>102</v>
      </c>
      <c r="F580" s="2" t="s">
        <v>46</v>
      </c>
      <c r="G580" s="2" t="s">
        <v>3364</v>
      </c>
      <c r="H580" s="34" t="s">
        <v>822</v>
      </c>
      <c r="I580" s="2" t="s">
        <v>24</v>
      </c>
      <c r="J580" s="2" t="s">
        <v>24</v>
      </c>
      <c r="K580" s="2" t="s">
        <v>24</v>
      </c>
      <c r="L580" s="2" t="s">
        <v>24</v>
      </c>
    </row>
    <row r="581" customFormat="false" ht="15" hidden="false" customHeight="false" outlineLevel="0" collapsed="false">
      <c r="A581" s="2" t="s">
        <v>879</v>
      </c>
      <c r="B581" s="13" t="s">
        <v>878</v>
      </c>
      <c r="C581" s="13" t="s">
        <v>86</v>
      </c>
      <c r="D581" s="14" t="s">
        <v>3969</v>
      </c>
      <c r="E581" s="13" t="s">
        <v>87</v>
      </c>
      <c r="F581" s="2" t="s">
        <v>99</v>
      </c>
      <c r="G581" s="2" t="s">
        <v>3355</v>
      </c>
      <c r="H581" s="39" t="s">
        <v>832</v>
      </c>
      <c r="I581" s="2" t="s">
        <v>24</v>
      </c>
      <c r="J581" s="2" t="s">
        <v>24</v>
      </c>
      <c r="K581" s="2" t="s">
        <v>22</v>
      </c>
      <c r="L581" s="2" t="s">
        <v>24</v>
      </c>
    </row>
    <row r="582" customFormat="false" ht="15" hidden="false" customHeight="false" outlineLevel="0" collapsed="false">
      <c r="A582" s="2" t="s">
        <v>748</v>
      </c>
      <c r="B582" s="14" t="s">
        <v>747</v>
      </c>
      <c r="C582" s="14" t="s">
        <v>72</v>
      </c>
      <c r="D582" s="16"/>
      <c r="E582" s="14" t="s">
        <v>87</v>
      </c>
      <c r="F582" s="2" t="s">
        <v>47</v>
      </c>
      <c r="G582" s="2" t="s">
        <v>3364</v>
      </c>
      <c r="H582" s="34" t="s">
        <v>822</v>
      </c>
      <c r="I582" s="2" t="s">
        <v>22</v>
      </c>
      <c r="J582" s="2" t="s">
        <v>22</v>
      </c>
      <c r="K582" s="2"/>
      <c r="L582" s="2" t="s">
        <v>22</v>
      </c>
    </row>
    <row r="583" customFormat="false" ht="15" hidden="false" customHeight="false" outlineLevel="0" collapsed="false">
      <c r="A583" s="2" t="s">
        <v>1659</v>
      </c>
      <c r="B583" s="13" t="s">
        <v>1658</v>
      </c>
      <c r="C583" s="13" t="s">
        <v>82</v>
      </c>
      <c r="D583" s="14" t="s">
        <v>3970</v>
      </c>
      <c r="E583" s="13" t="s">
        <v>154</v>
      </c>
      <c r="F583" s="2" t="s">
        <v>106</v>
      </c>
      <c r="G583" s="2" t="s">
        <v>3361</v>
      </c>
      <c r="H583" s="39" t="s">
        <v>832</v>
      </c>
      <c r="I583" s="2" t="s">
        <v>24</v>
      </c>
      <c r="J583" s="2" t="s">
        <v>24</v>
      </c>
      <c r="K583" s="2" t="s">
        <v>22</v>
      </c>
      <c r="L583" s="2" t="s">
        <v>24</v>
      </c>
    </row>
    <row r="584" customFormat="false" ht="15" hidden="false" customHeight="false" outlineLevel="0" collapsed="false">
      <c r="A584" s="2" t="s">
        <v>742</v>
      </c>
      <c r="B584" s="13" t="s">
        <v>741</v>
      </c>
      <c r="C584" s="13" t="s">
        <v>72</v>
      </c>
      <c r="D584" s="13" t="s">
        <v>3971</v>
      </c>
      <c r="E584" s="13" t="s">
        <v>120</v>
      </c>
      <c r="F584" s="2" t="s">
        <v>99</v>
      </c>
      <c r="G584" s="2" t="s">
        <v>3359</v>
      </c>
      <c r="H584" s="34" t="s">
        <v>822</v>
      </c>
      <c r="I584" s="2" t="s">
        <v>24</v>
      </c>
      <c r="J584" s="2" t="s">
        <v>24</v>
      </c>
      <c r="K584" s="2" t="s">
        <v>24</v>
      </c>
      <c r="L584" s="2" t="s">
        <v>24</v>
      </c>
    </row>
    <row r="585" customFormat="false" ht="15" hidden="false" customHeight="false" outlineLevel="0" collapsed="false">
      <c r="A585" s="2" t="s">
        <v>1075</v>
      </c>
      <c r="B585" s="13" t="s">
        <v>1074</v>
      </c>
      <c r="C585" s="13" t="s">
        <v>77</v>
      </c>
      <c r="D585" s="13" t="s">
        <v>3972</v>
      </c>
      <c r="E585" s="13" t="s">
        <v>73</v>
      </c>
      <c r="F585" s="2" t="s">
        <v>99</v>
      </c>
      <c r="G585" s="2" t="s">
        <v>3355</v>
      </c>
      <c r="H585" s="39" t="s">
        <v>832</v>
      </c>
      <c r="I585" s="2" t="s">
        <v>24</v>
      </c>
      <c r="J585" s="2" t="s">
        <v>24</v>
      </c>
      <c r="K585" s="2" t="s">
        <v>24</v>
      </c>
      <c r="L585" s="2" t="s">
        <v>24</v>
      </c>
    </row>
    <row r="586" customFormat="false" ht="15" hidden="false" customHeight="false" outlineLevel="0" collapsed="false">
      <c r="A586" s="2" t="s">
        <v>640</v>
      </c>
      <c r="B586" s="13" t="s">
        <v>639</v>
      </c>
      <c r="C586" s="13" t="s">
        <v>86</v>
      </c>
      <c r="D586" s="13" t="s">
        <v>3973</v>
      </c>
      <c r="E586" s="13" t="s">
        <v>154</v>
      </c>
      <c r="F586" s="2" t="s">
        <v>46</v>
      </c>
      <c r="G586" s="2" t="s">
        <v>3364</v>
      </c>
      <c r="H586" s="34" t="s">
        <v>822</v>
      </c>
      <c r="I586" s="2" t="s">
        <v>24</v>
      </c>
      <c r="J586" s="2" t="s">
        <v>24</v>
      </c>
      <c r="K586" s="2" t="s">
        <v>24</v>
      </c>
      <c r="L586" s="2" t="s">
        <v>24</v>
      </c>
    </row>
    <row r="587" customFormat="false" ht="15" hidden="false" customHeight="false" outlineLevel="0" collapsed="false">
      <c r="A587" s="2" t="s">
        <v>2529</v>
      </c>
      <c r="B587" s="13" t="s">
        <v>2528</v>
      </c>
      <c r="C587" s="13" t="s">
        <v>82</v>
      </c>
      <c r="D587" s="13" t="s">
        <v>3974</v>
      </c>
      <c r="E587" s="13" t="s">
        <v>102</v>
      </c>
      <c r="F587" s="2" t="s">
        <v>99</v>
      </c>
      <c r="G587" s="2" t="s">
        <v>3369</v>
      </c>
      <c r="H587" s="39" t="s">
        <v>832</v>
      </c>
      <c r="I587" s="2" t="s">
        <v>24</v>
      </c>
      <c r="J587" s="2" t="s">
        <v>24</v>
      </c>
      <c r="K587" s="2" t="s">
        <v>24</v>
      </c>
      <c r="L587" s="2" t="s">
        <v>24</v>
      </c>
    </row>
    <row r="588" customFormat="false" ht="15" hidden="false" customHeight="false" outlineLevel="0" collapsed="false">
      <c r="A588" s="2" t="s">
        <v>3223</v>
      </c>
      <c r="B588" s="13" t="s">
        <v>3975</v>
      </c>
      <c r="C588" s="13" t="s">
        <v>98</v>
      </c>
      <c r="D588" s="13" t="s">
        <v>3976</v>
      </c>
      <c r="E588" s="14" t="s">
        <v>73</v>
      </c>
      <c r="F588" s="2" t="s">
        <v>45</v>
      </c>
      <c r="G588" s="2" t="s">
        <v>3395</v>
      </c>
      <c r="H588" s="39" t="s">
        <v>832</v>
      </c>
      <c r="I588" s="2" t="s">
        <v>24</v>
      </c>
      <c r="J588" s="2" t="s">
        <v>24</v>
      </c>
      <c r="K588" s="2" t="s">
        <v>24</v>
      </c>
      <c r="L588" s="2" t="s">
        <v>22</v>
      </c>
    </row>
    <row r="589" customFormat="false" ht="15" hidden="false" customHeight="false" outlineLevel="0" collapsed="false">
      <c r="A589" s="2" t="s">
        <v>1975</v>
      </c>
      <c r="B589" s="13" t="s">
        <v>1974</v>
      </c>
      <c r="C589" s="13" t="s">
        <v>115</v>
      </c>
      <c r="D589" s="14" t="s">
        <v>3977</v>
      </c>
      <c r="E589" s="13" t="s">
        <v>73</v>
      </c>
      <c r="F589" s="2" t="s">
        <v>99</v>
      </c>
      <c r="G589" s="2" t="s">
        <v>3355</v>
      </c>
      <c r="H589" s="39" t="s">
        <v>832</v>
      </c>
      <c r="I589" s="2" t="s">
        <v>24</v>
      </c>
      <c r="J589" s="2" t="s">
        <v>24</v>
      </c>
      <c r="K589" s="2" t="s">
        <v>22</v>
      </c>
      <c r="L589" s="2" t="s">
        <v>24</v>
      </c>
    </row>
    <row r="590" customFormat="false" ht="15" hidden="false" customHeight="false" outlineLevel="0" collapsed="false">
      <c r="A590" s="2" t="s">
        <v>392</v>
      </c>
      <c r="B590" s="13" t="s">
        <v>391</v>
      </c>
      <c r="C590" s="13" t="s">
        <v>91</v>
      </c>
      <c r="D590" s="14" t="s">
        <v>3978</v>
      </c>
      <c r="E590" s="14" t="s">
        <v>87</v>
      </c>
      <c r="F590" s="2" t="s">
        <v>99</v>
      </c>
      <c r="G590" s="2" t="s">
        <v>3359</v>
      </c>
      <c r="H590" s="34" t="s">
        <v>822</v>
      </c>
      <c r="I590" s="2" t="s">
        <v>24</v>
      </c>
      <c r="J590" s="2" t="s">
        <v>24</v>
      </c>
      <c r="K590" s="2" t="s">
        <v>22</v>
      </c>
      <c r="L590" s="2" t="s">
        <v>22</v>
      </c>
    </row>
    <row r="591" customFormat="false" ht="15" hidden="false" customHeight="false" outlineLevel="0" collapsed="false">
      <c r="A591" s="2" t="s">
        <v>1579</v>
      </c>
      <c r="B591" s="13" t="s">
        <v>1578</v>
      </c>
      <c r="C591" s="13" t="s">
        <v>86</v>
      </c>
      <c r="D591" s="14" t="s">
        <v>3979</v>
      </c>
      <c r="E591" s="13" t="s">
        <v>102</v>
      </c>
      <c r="F591" s="2" t="s">
        <v>99</v>
      </c>
      <c r="G591" s="2" t="s">
        <v>3355</v>
      </c>
      <c r="H591" s="39" t="s">
        <v>832</v>
      </c>
      <c r="I591" s="2" t="s">
        <v>24</v>
      </c>
      <c r="J591" s="2" t="s">
        <v>24</v>
      </c>
      <c r="K591" s="2" t="s">
        <v>22</v>
      </c>
      <c r="L591" s="2" t="s">
        <v>24</v>
      </c>
    </row>
    <row r="592" customFormat="false" ht="15" hidden="false" customHeight="false" outlineLevel="0" collapsed="false">
      <c r="A592" s="2" t="s">
        <v>2721</v>
      </c>
      <c r="B592" s="13" t="s">
        <v>2720</v>
      </c>
      <c r="C592" s="13" t="s">
        <v>72</v>
      </c>
      <c r="D592" s="13" t="s">
        <v>3980</v>
      </c>
      <c r="E592" s="13" t="s">
        <v>105</v>
      </c>
      <c r="F592" s="2" t="s">
        <v>99</v>
      </c>
      <c r="G592" s="2" t="s">
        <v>3369</v>
      </c>
      <c r="H592" s="39" t="s">
        <v>832</v>
      </c>
      <c r="I592" s="2" t="s">
        <v>24</v>
      </c>
      <c r="J592" s="2" t="s">
        <v>24</v>
      </c>
      <c r="K592" s="2" t="s">
        <v>24</v>
      </c>
      <c r="L592" s="2" t="s">
        <v>24</v>
      </c>
    </row>
    <row r="593" customFormat="false" ht="15" hidden="false" customHeight="false" outlineLevel="0" collapsed="false">
      <c r="A593" s="2" t="s">
        <v>1138</v>
      </c>
      <c r="B593" s="13" t="s">
        <v>1137</v>
      </c>
      <c r="C593" s="13" t="s">
        <v>91</v>
      </c>
      <c r="D593" s="13" t="s">
        <v>3981</v>
      </c>
      <c r="E593" s="13" t="s">
        <v>120</v>
      </c>
      <c r="F593" s="2" t="s">
        <v>99</v>
      </c>
      <c r="G593" s="2" t="s">
        <v>3369</v>
      </c>
      <c r="H593" s="39" t="s">
        <v>832</v>
      </c>
      <c r="I593" s="2" t="s">
        <v>24</v>
      </c>
      <c r="J593" s="2" t="s">
        <v>24</v>
      </c>
      <c r="K593" s="2" t="s">
        <v>24</v>
      </c>
      <c r="L593" s="2" t="s">
        <v>24</v>
      </c>
    </row>
    <row r="594" customFormat="false" ht="15" hidden="false" customHeight="false" outlineLevel="0" collapsed="false">
      <c r="A594" s="2" t="s">
        <v>1164</v>
      </c>
      <c r="B594" s="13" t="s">
        <v>1163</v>
      </c>
      <c r="C594" s="13" t="s">
        <v>162</v>
      </c>
      <c r="D594" s="14" t="s">
        <v>3982</v>
      </c>
      <c r="E594" s="13" t="s">
        <v>154</v>
      </c>
      <c r="F594" s="2" t="s">
        <v>99</v>
      </c>
      <c r="G594" s="2" t="s">
        <v>3355</v>
      </c>
      <c r="H594" s="39" t="s">
        <v>832</v>
      </c>
      <c r="I594" s="2" t="s">
        <v>24</v>
      </c>
      <c r="J594" s="2" t="s">
        <v>24</v>
      </c>
      <c r="K594" s="2" t="s">
        <v>22</v>
      </c>
      <c r="L594" s="2" t="s">
        <v>24</v>
      </c>
    </row>
    <row r="595" customFormat="false" ht="15" hidden="false" customHeight="false" outlineLevel="0" collapsed="false">
      <c r="A595" s="2" t="s">
        <v>202</v>
      </c>
      <c r="B595" s="13" t="s">
        <v>201</v>
      </c>
      <c r="C595" s="13" t="s">
        <v>82</v>
      </c>
      <c r="D595" s="13" t="s">
        <v>3983</v>
      </c>
      <c r="E595" s="13" t="s">
        <v>120</v>
      </c>
      <c r="F595" s="2" t="s">
        <v>46</v>
      </c>
      <c r="G595" s="2" t="s">
        <v>3364</v>
      </c>
      <c r="H595" s="34" t="s">
        <v>822</v>
      </c>
      <c r="I595" s="2" t="s">
        <v>24</v>
      </c>
      <c r="J595" s="2" t="s">
        <v>24</v>
      </c>
      <c r="K595" s="2" t="s">
        <v>24</v>
      </c>
      <c r="L595" s="2" t="s">
        <v>24</v>
      </c>
    </row>
    <row r="596" customFormat="false" ht="15" hidden="false" customHeight="false" outlineLevel="0" collapsed="false">
      <c r="A596" s="2" t="s">
        <v>2741</v>
      </c>
      <c r="B596" s="13" t="s">
        <v>2740</v>
      </c>
      <c r="C596" s="13" t="s">
        <v>115</v>
      </c>
      <c r="D596" s="13" t="s">
        <v>3984</v>
      </c>
      <c r="E596" s="13" t="s">
        <v>124</v>
      </c>
      <c r="F596" s="2" t="s">
        <v>99</v>
      </c>
      <c r="G596" s="2" t="s">
        <v>3369</v>
      </c>
      <c r="H596" s="39" t="s">
        <v>832</v>
      </c>
      <c r="I596" s="2" t="s">
        <v>24</v>
      </c>
      <c r="J596" s="2" t="s">
        <v>24</v>
      </c>
      <c r="K596" s="2" t="s">
        <v>24</v>
      </c>
      <c r="L596" s="2" t="s">
        <v>24</v>
      </c>
    </row>
    <row r="597" customFormat="false" ht="15" hidden="false" customHeight="false" outlineLevel="0" collapsed="false">
      <c r="A597" s="2" t="s">
        <v>256</v>
      </c>
      <c r="B597" s="13" t="s">
        <v>255</v>
      </c>
      <c r="C597" s="13" t="s">
        <v>82</v>
      </c>
      <c r="D597" s="13" t="s">
        <v>3985</v>
      </c>
      <c r="E597" s="13" t="s">
        <v>124</v>
      </c>
      <c r="F597" s="2" t="s">
        <v>47</v>
      </c>
      <c r="G597" s="2" t="s">
        <v>3364</v>
      </c>
      <c r="H597" s="34" t="s">
        <v>822</v>
      </c>
      <c r="I597" s="2" t="s">
        <v>24</v>
      </c>
      <c r="J597" s="2" t="s">
        <v>24</v>
      </c>
      <c r="K597" s="2" t="s">
        <v>24</v>
      </c>
      <c r="L597" s="2" t="s">
        <v>24</v>
      </c>
    </row>
    <row r="598" customFormat="false" ht="15" hidden="false" customHeight="false" outlineLevel="0" collapsed="false">
      <c r="A598" s="2" t="s">
        <v>184</v>
      </c>
      <c r="B598" s="13" t="s">
        <v>183</v>
      </c>
      <c r="C598" s="13" t="s">
        <v>98</v>
      </c>
      <c r="D598" s="13" t="s">
        <v>3986</v>
      </c>
      <c r="E598" s="13" t="s">
        <v>105</v>
      </c>
      <c r="F598" s="2" t="s">
        <v>99</v>
      </c>
      <c r="G598" s="2" t="s">
        <v>3359</v>
      </c>
      <c r="H598" s="34" t="s">
        <v>822</v>
      </c>
      <c r="I598" s="2" t="s">
        <v>24</v>
      </c>
      <c r="J598" s="2" t="s">
        <v>24</v>
      </c>
      <c r="K598" s="2" t="s">
        <v>24</v>
      </c>
      <c r="L598" s="2" t="s">
        <v>24</v>
      </c>
    </row>
    <row r="599" customFormat="false" ht="15" hidden="false" customHeight="false" outlineLevel="0" collapsed="false">
      <c r="A599" s="2" t="s">
        <v>774</v>
      </c>
      <c r="B599" s="13" t="s">
        <v>773</v>
      </c>
      <c r="C599" s="13" t="s">
        <v>98</v>
      </c>
      <c r="D599" s="13" t="s">
        <v>3987</v>
      </c>
      <c r="E599" s="13" t="s">
        <v>105</v>
      </c>
      <c r="F599" s="2" t="s">
        <v>45</v>
      </c>
      <c r="G599" s="2" t="s">
        <v>3364</v>
      </c>
      <c r="H599" s="34" t="s">
        <v>822</v>
      </c>
      <c r="I599" s="2" t="s">
        <v>24</v>
      </c>
      <c r="J599" s="2" t="s">
        <v>24</v>
      </c>
      <c r="K599" s="2" t="s">
        <v>24</v>
      </c>
      <c r="L599" s="2" t="s">
        <v>24</v>
      </c>
    </row>
    <row r="600" customFormat="false" ht="15" hidden="false" customHeight="false" outlineLevel="0" collapsed="false">
      <c r="A600" s="2" t="s">
        <v>1692</v>
      </c>
      <c r="B600" s="13" t="s">
        <v>1691</v>
      </c>
      <c r="C600" s="13" t="s">
        <v>115</v>
      </c>
      <c r="D600" s="13" t="s">
        <v>3988</v>
      </c>
      <c r="E600" s="13" t="s">
        <v>154</v>
      </c>
      <c r="F600" s="2" t="s">
        <v>149</v>
      </c>
      <c r="G600" s="2" t="s">
        <v>3361</v>
      </c>
      <c r="H600" s="39" t="s">
        <v>832</v>
      </c>
      <c r="I600" s="2" t="s">
        <v>24</v>
      </c>
      <c r="J600" s="2" t="s">
        <v>24</v>
      </c>
      <c r="K600" s="2" t="s">
        <v>24</v>
      </c>
      <c r="L600" s="2" t="s">
        <v>24</v>
      </c>
    </row>
    <row r="601" customFormat="false" ht="15" hidden="false" customHeight="false" outlineLevel="0" collapsed="false">
      <c r="A601" s="2" t="s">
        <v>2220</v>
      </c>
      <c r="B601" s="14" t="s">
        <v>2219</v>
      </c>
      <c r="C601" s="14" t="s">
        <v>115</v>
      </c>
      <c r="D601" s="14" t="s">
        <v>3989</v>
      </c>
      <c r="E601" s="14" t="s">
        <v>120</v>
      </c>
      <c r="F601" s="2" t="s">
        <v>106</v>
      </c>
      <c r="G601" s="2" t="s">
        <v>3361</v>
      </c>
      <c r="H601" s="39" t="s">
        <v>832</v>
      </c>
      <c r="I601" s="2" t="s">
        <v>22</v>
      </c>
      <c r="J601" s="2" t="s">
        <v>22</v>
      </c>
      <c r="K601" s="2" t="s">
        <v>22</v>
      </c>
      <c r="L601" s="2" t="s">
        <v>22</v>
      </c>
    </row>
    <row r="602" customFormat="false" ht="15" hidden="false" customHeight="false" outlineLevel="0" collapsed="false">
      <c r="A602" s="2" t="s">
        <v>1449</v>
      </c>
      <c r="B602" s="13" t="s">
        <v>1448</v>
      </c>
      <c r="C602" s="13" t="s">
        <v>95</v>
      </c>
      <c r="D602" s="13" t="s">
        <v>3990</v>
      </c>
      <c r="E602" s="13" t="s">
        <v>73</v>
      </c>
      <c r="F602" s="2" t="s">
        <v>99</v>
      </c>
      <c r="G602" s="2" t="s">
        <v>3355</v>
      </c>
      <c r="H602" s="39" t="s">
        <v>832</v>
      </c>
      <c r="I602" s="2" t="s">
        <v>24</v>
      </c>
      <c r="J602" s="2" t="s">
        <v>24</v>
      </c>
      <c r="K602" s="2" t="s">
        <v>24</v>
      </c>
      <c r="L602" s="2" t="s">
        <v>24</v>
      </c>
    </row>
    <row r="603" customFormat="false" ht="15" hidden="false" customHeight="false" outlineLevel="0" collapsed="false">
      <c r="A603" s="2" t="s">
        <v>1123</v>
      </c>
      <c r="B603" s="13" t="s">
        <v>1122</v>
      </c>
      <c r="C603" s="13" t="s">
        <v>86</v>
      </c>
      <c r="D603" s="14" t="s">
        <v>3991</v>
      </c>
      <c r="E603" s="13" t="s">
        <v>105</v>
      </c>
      <c r="F603" s="2" t="s">
        <v>99</v>
      </c>
      <c r="G603" s="2" t="s">
        <v>3355</v>
      </c>
      <c r="H603" s="39" t="s">
        <v>832</v>
      </c>
      <c r="I603" s="2" t="s">
        <v>24</v>
      </c>
      <c r="J603" s="2" t="s">
        <v>24</v>
      </c>
      <c r="K603" s="2" t="s">
        <v>22</v>
      </c>
      <c r="L603" s="2" t="s">
        <v>24</v>
      </c>
    </row>
    <row r="604" customFormat="false" ht="15" hidden="false" customHeight="false" outlineLevel="0" collapsed="false">
      <c r="A604" s="2" t="s">
        <v>378</v>
      </c>
      <c r="B604" s="13" t="s">
        <v>377</v>
      </c>
      <c r="C604" s="13" t="s">
        <v>123</v>
      </c>
      <c r="D604" s="13" t="s">
        <v>3992</v>
      </c>
      <c r="E604" s="13" t="s">
        <v>73</v>
      </c>
      <c r="F604" s="2" t="s">
        <v>106</v>
      </c>
      <c r="G604" s="2" t="s">
        <v>3376</v>
      </c>
      <c r="H604" s="34" t="s">
        <v>822</v>
      </c>
      <c r="I604" s="2" t="s">
        <v>24</v>
      </c>
      <c r="J604" s="2" t="s">
        <v>24</v>
      </c>
      <c r="K604" s="2" t="s">
        <v>24</v>
      </c>
      <c r="L604" s="2" t="s">
        <v>24</v>
      </c>
    </row>
    <row r="605" customFormat="false" ht="15" hidden="false" customHeight="false" outlineLevel="0" collapsed="false">
      <c r="A605" s="2" t="s">
        <v>206</v>
      </c>
      <c r="B605" s="14" t="s">
        <v>205</v>
      </c>
      <c r="C605" s="14" t="s">
        <v>115</v>
      </c>
      <c r="D605" s="14" t="s">
        <v>3993</v>
      </c>
      <c r="E605" s="14" t="s">
        <v>87</v>
      </c>
      <c r="F605" s="2" t="s">
        <v>46</v>
      </c>
      <c r="G605" s="2" t="s">
        <v>3364</v>
      </c>
      <c r="H605" s="34" t="s">
        <v>822</v>
      </c>
      <c r="I605" s="2" t="s">
        <v>22</v>
      </c>
      <c r="J605" s="2" t="s">
        <v>22</v>
      </c>
      <c r="K605" s="2" t="s">
        <v>22</v>
      </c>
      <c r="L605" s="2" t="s">
        <v>22</v>
      </c>
    </row>
    <row r="606" customFormat="false" ht="15" hidden="false" customHeight="false" outlineLevel="0" collapsed="false">
      <c r="A606" s="2" t="s">
        <v>556</v>
      </c>
      <c r="B606" s="13" t="s">
        <v>555</v>
      </c>
      <c r="C606" s="13" t="s">
        <v>95</v>
      </c>
      <c r="D606" s="13" t="s">
        <v>3994</v>
      </c>
      <c r="E606" s="13" t="s">
        <v>83</v>
      </c>
      <c r="F606" s="2" t="s">
        <v>149</v>
      </c>
      <c r="G606" s="2" t="s">
        <v>3376</v>
      </c>
      <c r="H606" s="34" t="s">
        <v>822</v>
      </c>
      <c r="I606" s="2" t="s">
        <v>24</v>
      </c>
      <c r="J606" s="2" t="s">
        <v>24</v>
      </c>
      <c r="K606" s="2" t="s">
        <v>24</v>
      </c>
      <c r="L606" s="2" t="s">
        <v>24</v>
      </c>
    </row>
    <row r="607" customFormat="false" ht="15" hidden="false" customHeight="false" outlineLevel="0" collapsed="false">
      <c r="A607" s="2" t="s">
        <v>1750</v>
      </c>
      <c r="B607" s="13" t="s">
        <v>1749</v>
      </c>
      <c r="C607" s="13" t="s">
        <v>82</v>
      </c>
      <c r="D607" s="14" t="s">
        <v>3995</v>
      </c>
      <c r="E607" s="13" t="s">
        <v>127</v>
      </c>
      <c r="F607" s="2" t="s">
        <v>99</v>
      </c>
      <c r="G607" s="2" t="s">
        <v>3355</v>
      </c>
      <c r="H607" s="39" t="s">
        <v>832</v>
      </c>
      <c r="I607" s="2" t="s">
        <v>24</v>
      </c>
      <c r="J607" s="2" t="s">
        <v>24</v>
      </c>
      <c r="K607" s="2" t="s">
        <v>22</v>
      </c>
      <c r="L607" s="2" t="s">
        <v>24</v>
      </c>
    </row>
    <row r="608" customFormat="false" ht="15" hidden="false" customHeight="false" outlineLevel="0" collapsed="false">
      <c r="A608" s="2" t="s">
        <v>210</v>
      </c>
      <c r="B608" s="13" t="s">
        <v>209</v>
      </c>
      <c r="C608" s="13" t="s">
        <v>162</v>
      </c>
      <c r="D608" s="13" t="s">
        <v>3996</v>
      </c>
      <c r="E608" s="13" t="s">
        <v>120</v>
      </c>
      <c r="F608" s="2" t="s">
        <v>99</v>
      </c>
      <c r="G608" s="2" t="s">
        <v>3359</v>
      </c>
      <c r="H608" s="34" t="s">
        <v>822</v>
      </c>
      <c r="I608" s="2" t="s">
        <v>24</v>
      </c>
      <c r="J608" s="2" t="s">
        <v>24</v>
      </c>
      <c r="K608" s="2" t="s">
        <v>24</v>
      </c>
      <c r="L608" s="2" t="s">
        <v>24</v>
      </c>
    </row>
    <row r="609" customFormat="false" ht="15" hidden="false" customHeight="false" outlineLevel="0" collapsed="false">
      <c r="A609" s="2" t="s">
        <v>636</v>
      </c>
      <c r="B609" s="13" t="s">
        <v>635</v>
      </c>
      <c r="C609" s="13" t="s">
        <v>82</v>
      </c>
      <c r="D609" s="13" t="s">
        <v>3997</v>
      </c>
      <c r="E609" s="14" t="s">
        <v>83</v>
      </c>
      <c r="F609" s="2" t="s">
        <v>99</v>
      </c>
      <c r="G609" s="2" t="s">
        <v>3359</v>
      </c>
      <c r="H609" s="34" t="s">
        <v>822</v>
      </c>
      <c r="I609" s="2" t="s">
        <v>24</v>
      </c>
      <c r="J609" s="2" t="s">
        <v>24</v>
      </c>
      <c r="K609" s="2" t="s">
        <v>24</v>
      </c>
      <c r="L609" s="2" t="s">
        <v>22</v>
      </c>
    </row>
    <row r="610" customFormat="false" ht="15" hidden="false" customHeight="false" outlineLevel="0" collapsed="false">
      <c r="A610" s="2" t="s">
        <v>454</v>
      </c>
      <c r="B610" s="13" t="s">
        <v>453</v>
      </c>
      <c r="C610" s="13" t="s">
        <v>115</v>
      </c>
      <c r="D610" s="14" t="s">
        <v>3998</v>
      </c>
      <c r="E610" s="13" t="s">
        <v>87</v>
      </c>
      <c r="F610" s="2" t="s">
        <v>92</v>
      </c>
      <c r="G610" s="2" t="s">
        <v>3376</v>
      </c>
      <c r="H610" s="34" t="s">
        <v>822</v>
      </c>
      <c r="I610" s="2" t="s">
        <v>24</v>
      </c>
      <c r="J610" s="2" t="s">
        <v>24</v>
      </c>
      <c r="K610" s="2" t="s">
        <v>22</v>
      </c>
      <c r="L610" s="2" t="s">
        <v>24</v>
      </c>
    </row>
    <row r="611" customFormat="false" ht="15" hidden="false" customHeight="false" outlineLevel="0" collapsed="false">
      <c r="A611" s="2" t="s">
        <v>746</v>
      </c>
      <c r="B611" s="14" t="s">
        <v>745</v>
      </c>
      <c r="C611" s="14" t="s">
        <v>98</v>
      </c>
      <c r="D611" s="14" t="s">
        <v>3999</v>
      </c>
      <c r="E611" s="14" t="s">
        <v>102</v>
      </c>
      <c r="F611" s="2" t="s">
        <v>47</v>
      </c>
      <c r="G611" s="2" t="s">
        <v>3364</v>
      </c>
      <c r="H611" s="34" t="s">
        <v>822</v>
      </c>
      <c r="I611" s="2" t="s">
        <v>22</v>
      </c>
      <c r="J611" s="2" t="s">
        <v>22</v>
      </c>
      <c r="K611" s="2" t="s">
        <v>22</v>
      </c>
      <c r="L611" s="2" t="s">
        <v>22</v>
      </c>
    </row>
    <row r="612" customFormat="false" ht="15" hidden="false" customHeight="false" outlineLevel="0" collapsed="false">
      <c r="A612" s="2" t="s">
        <v>696</v>
      </c>
      <c r="B612" s="13" t="s">
        <v>695</v>
      </c>
      <c r="C612" s="13" t="s">
        <v>72</v>
      </c>
      <c r="D612" s="13" t="s">
        <v>4000</v>
      </c>
      <c r="E612" s="13" t="s">
        <v>124</v>
      </c>
      <c r="F612" s="2" t="s">
        <v>46</v>
      </c>
      <c r="G612" s="2" t="s">
        <v>3364</v>
      </c>
      <c r="H612" s="34" t="s">
        <v>822</v>
      </c>
      <c r="I612" s="2" t="s">
        <v>24</v>
      </c>
      <c r="J612" s="2" t="s">
        <v>24</v>
      </c>
      <c r="K612" s="2" t="s">
        <v>24</v>
      </c>
      <c r="L612" s="2" t="s">
        <v>24</v>
      </c>
    </row>
    <row r="613" customFormat="false" ht="15" hidden="false" customHeight="false" outlineLevel="0" collapsed="false">
      <c r="A613" s="2" t="s">
        <v>2621</v>
      </c>
      <c r="B613" s="13" t="s">
        <v>2620</v>
      </c>
      <c r="C613" s="13" t="s">
        <v>162</v>
      </c>
      <c r="D613" s="13" t="s">
        <v>4001</v>
      </c>
      <c r="E613" s="13" t="s">
        <v>78</v>
      </c>
      <c r="F613" s="2" t="s">
        <v>106</v>
      </c>
      <c r="G613" s="2" t="s">
        <v>3361</v>
      </c>
      <c r="H613" s="39" t="s">
        <v>832</v>
      </c>
      <c r="I613" s="2" t="s">
        <v>24</v>
      </c>
      <c r="J613" s="2" t="s">
        <v>24</v>
      </c>
      <c r="K613" s="2" t="s">
        <v>24</v>
      </c>
      <c r="L613" s="2" t="s">
        <v>24</v>
      </c>
    </row>
    <row r="614" customFormat="false" ht="15" hidden="false" customHeight="false" outlineLevel="0" collapsed="false">
      <c r="A614" s="2" t="s">
        <v>782</v>
      </c>
      <c r="B614" s="14" t="s">
        <v>781</v>
      </c>
      <c r="C614" s="14" t="s">
        <v>91</v>
      </c>
      <c r="D614" s="14" t="s">
        <v>4002</v>
      </c>
      <c r="E614" s="14" t="s">
        <v>73</v>
      </c>
      <c r="F614" s="2" t="s">
        <v>47</v>
      </c>
      <c r="G614" s="2" t="s">
        <v>3364</v>
      </c>
      <c r="H614" s="34" t="s">
        <v>822</v>
      </c>
      <c r="I614" s="2" t="s">
        <v>22</v>
      </c>
      <c r="J614" s="2" t="s">
        <v>22</v>
      </c>
      <c r="K614" s="2" t="s">
        <v>22</v>
      </c>
      <c r="L614" s="2" t="s">
        <v>22</v>
      </c>
    </row>
    <row r="615" customFormat="false" ht="15" hidden="false" customHeight="false" outlineLevel="0" collapsed="false">
      <c r="A615" s="2" t="s">
        <v>126</v>
      </c>
      <c r="B615" s="13" t="s">
        <v>125</v>
      </c>
      <c r="C615" s="13" t="s">
        <v>82</v>
      </c>
      <c r="D615" s="13" t="s">
        <v>4003</v>
      </c>
      <c r="E615" s="13" t="s">
        <v>127</v>
      </c>
      <c r="F615" s="2" t="s">
        <v>45</v>
      </c>
      <c r="G615" s="2" t="s">
        <v>3364</v>
      </c>
      <c r="H615" s="34" t="s">
        <v>822</v>
      </c>
      <c r="I615" s="2" t="s">
        <v>24</v>
      </c>
      <c r="J615" s="2" t="s">
        <v>24</v>
      </c>
      <c r="K615" s="2" t="s">
        <v>24</v>
      </c>
      <c r="L615" s="2" t="s">
        <v>24</v>
      </c>
    </row>
    <row r="616" customFormat="false" ht="15" hidden="false" customHeight="false" outlineLevel="0" collapsed="false">
      <c r="A616" s="2" t="s">
        <v>1252</v>
      </c>
      <c r="B616" s="13" t="s">
        <v>1251</v>
      </c>
      <c r="C616" s="13" t="s">
        <v>95</v>
      </c>
      <c r="D616" s="14" t="s">
        <v>4004</v>
      </c>
      <c r="E616" s="13" t="s">
        <v>154</v>
      </c>
      <c r="F616" s="2" t="s">
        <v>99</v>
      </c>
      <c r="G616" s="2" t="s">
        <v>3355</v>
      </c>
      <c r="H616" s="39" t="s">
        <v>832</v>
      </c>
      <c r="I616" s="2" t="s">
        <v>24</v>
      </c>
      <c r="J616" s="2" t="s">
        <v>24</v>
      </c>
      <c r="K616" s="2" t="s">
        <v>22</v>
      </c>
      <c r="L616" s="2" t="s">
        <v>24</v>
      </c>
    </row>
    <row r="617" customFormat="false" ht="15" hidden="false" customHeight="false" outlineLevel="0" collapsed="false">
      <c r="A617" s="2" t="s">
        <v>1735</v>
      </c>
      <c r="B617" s="13" t="s">
        <v>1734</v>
      </c>
      <c r="C617" s="13" t="s">
        <v>123</v>
      </c>
      <c r="D617" s="13" t="s">
        <v>4005</v>
      </c>
      <c r="E617" s="13" t="s">
        <v>78</v>
      </c>
      <c r="F617" s="2" t="s">
        <v>99</v>
      </c>
      <c r="G617" s="2" t="s">
        <v>3355</v>
      </c>
      <c r="H617" s="39" t="s">
        <v>832</v>
      </c>
      <c r="I617" s="2" t="s">
        <v>24</v>
      </c>
      <c r="J617" s="2" t="s">
        <v>24</v>
      </c>
      <c r="K617" s="2" t="s">
        <v>24</v>
      </c>
      <c r="L617" s="2" t="s">
        <v>24</v>
      </c>
    </row>
    <row r="618" customFormat="false" ht="15" hidden="false" customHeight="false" outlineLevel="0" collapsed="false">
      <c r="A618" s="2" t="s">
        <v>680</v>
      </c>
      <c r="B618" s="13" t="s">
        <v>679</v>
      </c>
      <c r="C618" s="13" t="s">
        <v>95</v>
      </c>
      <c r="D618" s="13" t="s">
        <v>4006</v>
      </c>
      <c r="E618" s="13" t="s">
        <v>127</v>
      </c>
      <c r="F618" s="2" t="s">
        <v>45</v>
      </c>
      <c r="G618" s="2" t="s">
        <v>3364</v>
      </c>
      <c r="H618" s="34" t="s">
        <v>822</v>
      </c>
      <c r="I618" s="2" t="s">
        <v>24</v>
      </c>
      <c r="J618" s="2" t="s">
        <v>24</v>
      </c>
      <c r="K618" s="2" t="s">
        <v>24</v>
      </c>
      <c r="L618" s="2" t="s">
        <v>24</v>
      </c>
    </row>
    <row r="619" customFormat="false" ht="15" hidden="false" customHeight="false" outlineLevel="0" collapsed="false">
      <c r="A619" s="2" t="s">
        <v>3237</v>
      </c>
      <c r="B619" s="16"/>
      <c r="C619" s="16"/>
      <c r="D619" s="16"/>
      <c r="E619" s="16"/>
      <c r="F619" s="2" t="s">
        <v>106</v>
      </c>
      <c r="G619" s="2" t="s">
        <v>3385</v>
      </c>
      <c r="H619" s="39" t="s">
        <v>832</v>
      </c>
      <c r="I619" s="2"/>
      <c r="J619" s="2"/>
      <c r="K619" s="2"/>
      <c r="L619" s="2"/>
    </row>
    <row r="620" customFormat="false" ht="15" hidden="false" customHeight="false" outlineLevel="0" collapsed="false">
      <c r="A620" s="2" t="s">
        <v>198</v>
      </c>
      <c r="B620" s="13" t="s">
        <v>197</v>
      </c>
      <c r="C620" s="13" t="s">
        <v>95</v>
      </c>
      <c r="D620" s="14" t="s">
        <v>4007</v>
      </c>
      <c r="E620" s="13" t="s">
        <v>102</v>
      </c>
      <c r="F620" s="2" t="s">
        <v>149</v>
      </c>
      <c r="G620" s="2" t="s">
        <v>3376</v>
      </c>
      <c r="H620" s="34" t="s">
        <v>822</v>
      </c>
      <c r="I620" s="2" t="s">
        <v>24</v>
      </c>
      <c r="J620" s="2" t="s">
        <v>24</v>
      </c>
      <c r="K620" s="2" t="s">
        <v>22</v>
      </c>
      <c r="L620" s="2" t="s">
        <v>24</v>
      </c>
    </row>
    <row r="621" customFormat="false" ht="15" hidden="false" customHeight="false" outlineLevel="0" collapsed="false">
      <c r="A621" s="2" t="s">
        <v>2398</v>
      </c>
      <c r="B621" s="13" t="s">
        <v>2397</v>
      </c>
      <c r="C621" s="13" t="s">
        <v>123</v>
      </c>
      <c r="D621" s="13" t="s">
        <v>4008</v>
      </c>
      <c r="E621" s="13" t="s">
        <v>78</v>
      </c>
      <c r="F621" s="2" t="s">
        <v>106</v>
      </c>
      <c r="G621" s="2" t="s">
        <v>3361</v>
      </c>
      <c r="H621" s="39" t="s">
        <v>832</v>
      </c>
      <c r="I621" s="2" t="s">
        <v>24</v>
      </c>
      <c r="J621" s="2" t="s">
        <v>24</v>
      </c>
      <c r="K621" s="2" t="s">
        <v>24</v>
      </c>
      <c r="L621" s="2" t="s">
        <v>24</v>
      </c>
    </row>
    <row r="622" customFormat="false" ht="15" hidden="false" customHeight="false" outlineLevel="0" collapsed="false">
      <c r="A622" s="2" t="s">
        <v>148</v>
      </c>
      <c r="B622" s="13" t="s">
        <v>147</v>
      </c>
      <c r="C622" s="13" t="s">
        <v>123</v>
      </c>
      <c r="D622" s="13" t="s">
        <v>4009</v>
      </c>
      <c r="E622" s="13" t="s">
        <v>73</v>
      </c>
      <c r="F622" s="2" t="s">
        <v>149</v>
      </c>
      <c r="G622" s="2" t="s">
        <v>3376</v>
      </c>
      <c r="H622" s="34" t="s">
        <v>822</v>
      </c>
      <c r="I622" s="2" t="s">
        <v>24</v>
      </c>
      <c r="J622" s="2" t="s">
        <v>24</v>
      </c>
      <c r="K622" s="2" t="s">
        <v>24</v>
      </c>
      <c r="L622" s="2" t="s">
        <v>24</v>
      </c>
    </row>
    <row r="623" customFormat="false" ht="15" hidden="false" customHeight="false" outlineLevel="0" collapsed="false">
      <c r="A623" s="2" t="s">
        <v>71</v>
      </c>
      <c r="B623" s="13" t="s">
        <v>70</v>
      </c>
      <c r="C623" s="13" t="s">
        <v>72</v>
      </c>
      <c r="D623" s="16"/>
      <c r="E623" s="13" t="s">
        <v>73</v>
      </c>
      <c r="F623" s="2" t="s">
        <v>45</v>
      </c>
      <c r="G623" s="2" t="s">
        <v>3364</v>
      </c>
      <c r="H623" s="34" t="s">
        <v>822</v>
      </c>
      <c r="I623" s="2" t="s">
        <v>24</v>
      </c>
      <c r="J623" s="2" t="s">
        <v>24</v>
      </c>
      <c r="K623" s="2"/>
      <c r="L623" s="2" t="s">
        <v>24</v>
      </c>
    </row>
    <row r="624" customFormat="false" ht="15" hidden="false" customHeight="false" outlineLevel="0" collapsed="false">
      <c r="A624" s="2" t="s">
        <v>1761</v>
      </c>
      <c r="B624" s="13" t="s">
        <v>1760</v>
      </c>
      <c r="C624" s="13" t="s">
        <v>162</v>
      </c>
      <c r="D624" s="13" t="s">
        <v>4010</v>
      </c>
      <c r="E624" s="13" t="s">
        <v>124</v>
      </c>
      <c r="F624" s="2" t="s">
        <v>99</v>
      </c>
      <c r="G624" s="2" t="s">
        <v>3355</v>
      </c>
      <c r="H624" s="39" t="s">
        <v>832</v>
      </c>
      <c r="I624" s="2" t="s">
        <v>24</v>
      </c>
      <c r="J624" s="2" t="s">
        <v>24</v>
      </c>
      <c r="K624" s="2" t="s">
        <v>24</v>
      </c>
      <c r="L624" s="2" t="s">
        <v>24</v>
      </c>
    </row>
    <row r="625" customFormat="false" ht="15" hidden="false" customHeight="false" outlineLevel="0" collapsed="false">
      <c r="A625" s="2" t="s">
        <v>1229</v>
      </c>
      <c r="B625" s="13" t="s">
        <v>1228</v>
      </c>
      <c r="C625" s="13" t="s">
        <v>115</v>
      </c>
      <c r="D625" s="13" t="s">
        <v>4011</v>
      </c>
      <c r="E625" s="14" t="s">
        <v>124</v>
      </c>
      <c r="F625" s="2" t="s">
        <v>99</v>
      </c>
      <c r="G625" s="2" t="s">
        <v>3355</v>
      </c>
      <c r="H625" s="39" t="s">
        <v>832</v>
      </c>
      <c r="I625" s="2" t="s">
        <v>24</v>
      </c>
      <c r="J625" s="2" t="s">
        <v>24</v>
      </c>
      <c r="K625" s="2" t="s">
        <v>24</v>
      </c>
      <c r="L625" s="2" t="s">
        <v>22</v>
      </c>
    </row>
    <row r="626" customFormat="false" ht="15" hidden="false" customHeight="false" outlineLevel="0" collapsed="false">
      <c r="A626" s="2" t="s">
        <v>2757</v>
      </c>
      <c r="B626" s="13" t="s">
        <v>2756</v>
      </c>
      <c r="C626" s="13" t="s">
        <v>95</v>
      </c>
      <c r="D626" s="13" t="s">
        <v>4012</v>
      </c>
      <c r="E626" s="13" t="s">
        <v>127</v>
      </c>
      <c r="F626" s="2" t="s">
        <v>99</v>
      </c>
      <c r="G626" s="2" t="s">
        <v>3369</v>
      </c>
      <c r="H626" s="39" t="s">
        <v>832</v>
      </c>
      <c r="I626" s="2" t="s">
        <v>24</v>
      </c>
      <c r="J626" s="2" t="s">
        <v>24</v>
      </c>
      <c r="K626" s="2" t="s">
        <v>24</v>
      </c>
      <c r="L626" s="2" t="s">
        <v>24</v>
      </c>
    </row>
    <row r="627" customFormat="false" ht="15" hidden="false" customHeight="false" outlineLevel="0" collapsed="false">
      <c r="A627" s="2" t="s">
        <v>730</v>
      </c>
      <c r="B627" s="13" t="s">
        <v>729</v>
      </c>
      <c r="C627" s="13" t="s">
        <v>98</v>
      </c>
      <c r="D627" s="13" t="s">
        <v>4013</v>
      </c>
      <c r="E627" s="13" t="s">
        <v>154</v>
      </c>
      <c r="F627" s="2" t="s">
        <v>46</v>
      </c>
      <c r="G627" s="2" t="s">
        <v>3364</v>
      </c>
      <c r="H627" s="34" t="s">
        <v>822</v>
      </c>
      <c r="I627" s="2" t="s">
        <v>24</v>
      </c>
      <c r="J627" s="2" t="s">
        <v>24</v>
      </c>
      <c r="K627" s="2" t="s">
        <v>24</v>
      </c>
      <c r="L627" s="2" t="s">
        <v>24</v>
      </c>
    </row>
    <row r="628" customFormat="false" ht="15" hidden="false" customHeight="false" outlineLevel="0" collapsed="false">
      <c r="A628" s="2" t="s">
        <v>2762</v>
      </c>
      <c r="B628" s="13" t="s">
        <v>2761</v>
      </c>
      <c r="C628" s="13" t="s">
        <v>77</v>
      </c>
      <c r="D628" s="13" t="s">
        <v>4014</v>
      </c>
      <c r="E628" s="13" t="s">
        <v>120</v>
      </c>
      <c r="F628" s="2" t="s">
        <v>92</v>
      </c>
      <c r="G628" s="2" t="s">
        <v>3361</v>
      </c>
      <c r="H628" s="39" t="s">
        <v>832</v>
      </c>
      <c r="I628" s="2" t="s">
        <v>24</v>
      </c>
      <c r="J628" s="2" t="s">
        <v>24</v>
      </c>
      <c r="K628" s="2" t="s">
        <v>24</v>
      </c>
      <c r="L628" s="2" t="s">
        <v>24</v>
      </c>
    </row>
    <row r="629" customFormat="false" ht="15" hidden="false" customHeight="false" outlineLevel="0" collapsed="false">
      <c r="A629" s="2" t="s">
        <v>270</v>
      </c>
      <c r="B629" s="13" t="s">
        <v>269</v>
      </c>
      <c r="C629" s="13" t="s">
        <v>115</v>
      </c>
      <c r="D629" s="13" t="s">
        <v>4015</v>
      </c>
      <c r="E629" s="13" t="s">
        <v>105</v>
      </c>
      <c r="F629" s="2" t="s">
        <v>99</v>
      </c>
      <c r="G629" s="2" t="s">
        <v>3359</v>
      </c>
      <c r="H629" s="34" t="s">
        <v>822</v>
      </c>
      <c r="I629" s="2" t="s">
        <v>24</v>
      </c>
      <c r="J629" s="2" t="s">
        <v>24</v>
      </c>
      <c r="K629" s="2" t="s">
        <v>24</v>
      </c>
      <c r="L629" s="2" t="s">
        <v>24</v>
      </c>
    </row>
    <row r="630" customFormat="false" ht="15" hidden="false" customHeight="false" outlineLevel="0" collapsed="false">
      <c r="A630" s="2" t="s">
        <v>1410</v>
      </c>
      <c r="B630" s="13" t="s">
        <v>1409</v>
      </c>
      <c r="C630" s="13" t="s">
        <v>77</v>
      </c>
      <c r="D630" s="13" t="s">
        <v>4016</v>
      </c>
      <c r="E630" s="13" t="s">
        <v>73</v>
      </c>
      <c r="F630" s="2" t="s">
        <v>99</v>
      </c>
      <c r="G630" s="2" t="s">
        <v>3355</v>
      </c>
      <c r="H630" s="39" t="s">
        <v>832</v>
      </c>
      <c r="I630" s="2" t="s">
        <v>24</v>
      </c>
      <c r="J630" s="2" t="s">
        <v>24</v>
      </c>
      <c r="K630" s="2" t="s">
        <v>24</v>
      </c>
      <c r="L630" s="2" t="s">
        <v>24</v>
      </c>
    </row>
    <row r="631" customFormat="false" ht="15" hidden="false" customHeight="false" outlineLevel="0" collapsed="false">
      <c r="A631" s="2" t="s">
        <v>1399</v>
      </c>
      <c r="B631" s="13" t="s">
        <v>1398</v>
      </c>
      <c r="C631" s="13" t="s">
        <v>98</v>
      </c>
      <c r="D631" s="13" t="s">
        <v>4017</v>
      </c>
      <c r="E631" s="13" t="s">
        <v>127</v>
      </c>
      <c r="F631" s="2" t="s">
        <v>149</v>
      </c>
      <c r="G631" s="2" t="s">
        <v>3361</v>
      </c>
      <c r="H631" s="39" t="s">
        <v>832</v>
      </c>
      <c r="I631" s="2" t="s">
        <v>24</v>
      </c>
      <c r="J631" s="2" t="s">
        <v>24</v>
      </c>
      <c r="K631" s="2" t="s">
        <v>24</v>
      </c>
      <c r="L631" s="2" t="s">
        <v>24</v>
      </c>
    </row>
    <row r="632" customFormat="false" ht="15" hidden="false" customHeight="false" outlineLevel="0" collapsed="false">
      <c r="A632" s="2" t="s">
        <v>656</v>
      </c>
      <c r="B632" s="13" t="s">
        <v>655</v>
      </c>
      <c r="C632" s="13" t="s">
        <v>72</v>
      </c>
      <c r="D632" s="13" t="s">
        <v>4018</v>
      </c>
      <c r="E632" s="13" t="s">
        <v>73</v>
      </c>
      <c r="F632" s="2" t="s">
        <v>99</v>
      </c>
      <c r="G632" s="2" t="s">
        <v>3359</v>
      </c>
      <c r="H632" s="34" t="s">
        <v>822</v>
      </c>
      <c r="I632" s="2" t="s">
        <v>24</v>
      </c>
      <c r="J632" s="2" t="s">
        <v>24</v>
      </c>
      <c r="K632" s="2" t="s">
        <v>24</v>
      </c>
      <c r="L632" s="2" t="s">
        <v>24</v>
      </c>
    </row>
    <row r="633" customFormat="false" ht="15" hidden="false" customHeight="false" outlineLevel="0" collapsed="false">
      <c r="A633" s="2" t="s">
        <v>2050</v>
      </c>
      <c r="B633" s="13" t="s">
        <v>2049</v>
      </c>
      <c r="C633" s="13" t="s">
        <v>98</v>
      </c>
      <c r="D633" s="13" t="s">
        <v>4019</v>
      </c>
      <c r="E633" s="13" t="s">
        <v>124</v>
      </c>
      <c r="F633" s="2" t="s">
        <v>99</v>
      </c>
      <c r="G633" s="2" t="s">
        <v>3355</v>
      </c>
      <c r="H633" s="39" t="s">
        <v>832</v>
      </c>
      <c r="I633" s="2" t="s">
        <v>24</v>
      </c>
      <c r="J633" s="2" t="s">
        <v>24</v>
      </c>
      <c r="K633" s="2" t="s">
        <v>24</v>
      </c>
      <c r="L633" s="2" t="s">
        <v>24</v>
      </c>
    </row>
    <row r="634" customFormat="false" ht="15" hidden="false" customHeight="false" outlineLevel="0" collapsed="false">
      <c r="A634" s="2" t="s">
        <v>3247</v>
      </c>
      <c r="B634" s="13" t="s">
        <v>4020</v>
      </c>
      <c r="C634" s="13" t="s">
        <v>115</v>
      </c>
      <c r="D634" s="13" t="s">
        <v>4021</v>
      </c>
      <c r="E634" s="13" t="s">
        <v>83</v>
      </c>
      <c r="F634" s="2" t="s">
        <v>46</v>
      </c>
      <c r="G634" s="2" t="s">
        <v>3395</v>
      </c>
      <c r="H634" s="39" t="s">
        <v>832</v>
      </c>
      <c r="I634" s="2" t="s">
        <v>24</v>
      </c>
      <c r="J634" s="2" t="s">
        <v>24</v>
      </c>
      <c r="K634" s="2" t="s">
        <v>24</v>
      </c>
      <c r="L634" s="2" t="s">
        <v>24</v>
      </c>
    </row>
    <row r="635" customFormat="false" ht="15" hidden="false" customHeight="false" outlineLevel="0" collapsed="false">
      <c r="A635" s="2" t="s">
        <v>3249</v>
      </c>
      <c r="B635" s="14" t="s">
        <v>4022</v>
      </c>
      <c r="C635" s="14" t="s">
        <v>77</v>
      </c>
      <c r="D635" s="14" t="s">
        <v>4023</v>
      </c>
      <c r="E635" s="14" t="s">
        <v>124</v>
      </c>
      <c r="F635" s="2" t="s">
        <v>92</v>
      </c>
      <c r="G635" s="2" t="s">
        <v>3385</v>
      </c>
      <c r="H635" s="39" t="s">
        <v>832</v>
      </c>
      <c r="I635" s="2" t="s">
        <v>22</v>
      </c>
      <c r="J635" s="2" t="s">
        <v>22</v>
      </c>
      <c r="K635" s="2" t="s">
        <v>22</v>
      </c>
      <c r="L635" s="2" t="s">
        <v>22</v>
      </c>
    </row>
    <row r="636" customFormat="false" ht="15" hidden="false" customHeight="false" outlineLevel="0" collapsed="false">
      <c r="A636" s="2" t="s">
        <v>3251</v>
      </c>
      <c r="B636" s="13" t="s">
        <v>4024</v>
      </c>
      <c r="C636" s="13" t="s">
        <v>91</v>
      </c>
      <c r="D636" s="13" t="s">
        <v>4025</v>
      </c>
      <c r="E636" s="13" t="s">
        <v>83</v>
      </c>
      <c r="F636" s="2" t="s">
        <v>46</v>
      </c>
      <c r="G636" s="2" t="s">
        <v>3395</v>
      </c>
      <c r="H636" s="39" t="s">
        <v>832</v>
      </c>
      <c r="I636" s="2" t="s">
        <v>24</v>
      </c>
      <c r="J636" s="2" t="s">
        <v>24</v>
      </c>
      <c r="K636" s="2" t="s">
        <v>24</v>
      </c>
      <c r="L636" s="2" t="s">
        <v>24</v>
      </c>
    </row>
    <row r="637" customFormat="false" ht="15" hidden="false" customHeight="false" outlineLevel="0" collapsed="false">
      <c r="A637" s="2" t="s">
        <v>600</v>
      </c>
      <c r="B637" s="13" t="s">
        <v>599</v>
      </c>
      <c r="C637" s="13" t="s">
        <v>77</v>
      </c>
      <c r="D637" s="13" t="s">
        <v>4026</v>
      </c>
      <c r="E637" s="13" t="s">
        <v>102</v>
      </c>
      <c r="F637" s="2" t="s">
        <v>99</v>
      </c>
      <c r="G637" s="2" t="s">
        <v>3359</v>
      </c>
      <c r="H637" s="34" t="s">
        <v>822</v>
      </c>
      <c r="I637" s="2" t="s">
        <v>24</v>
      </c>
      <c r="J637" s="2" t="s">
        <v>24</v>
      </c>
      <c r="K637" s="2" t="s">
        <v>24</v>
      </c>
      <c r="L637" s="2" t="s">
        <v>24</v>
      </c>
    </row>
    <row r="638" customFormat="false" ht="15" hidden="false" customHeight="false" outlineLevel="0" collapsed="false">
      <c r="A638" s="2" t="s">
        <v>3253</v>
      </c>
      <c r="B638" s="13" t="s">
        <v>4027</v>
      </c>
      <c r="C638" s="13" t="s">
        <v>123</v>
      </c>
      <c r="D638" s="13" t="s">
        <v>4028</v>
      </c>
      <c r="E638" s="13" t="s">
        <v>120</v>
      </c>
      <c r="F638" s="2" t="s">
        <v>99</v>
      </c>
      <c r="G638" s="2" t="s">
        <v>3410</v>
      </c>
      <c r="H638" s="39" t="s">
        <v>832</v>
      </c>
      <c r="I638" s="2" t="s">
        <v>24</v>
      </c>
      <c r="J638" s="2" t="s">
        <v>24</v>
      </c>
      <c r="K638" s="2" t="s">
        <v>24</v>
      </c>
      <c r="L638" s="2" t="s">
        <v>24</v>
      </c>
    </row>
    <row r="639" customFormat="false" ht="15" hidden="false" customHeight="false" outlineLevel="0" collapsed="false">
      <c r="A639" s="2" t="s">
        <v>166</v>
      </c>
      <c r="B639" s="14" t="s">
        <v>165</v>
      </c>
      <c r="C639" s="14" t="s">
        <v>77</v>
      </c>
      <c r="D639" s="16"/>
      <c r="E639" s="14" t="s">
        <v>102</v>
      </c>
      <c r="F639" s="2" t="s">
        <v>47</v>
      </c>
      <c r="G639" s="2" t="s">
        <v>3364</v>
      </c>
      <c r="H639" s="34" t="s">
        <v>822</v>
      </c>
      <c r="I639" s="2" t="s">
        <v>22</v>
      </c>
      <c r="J639" s="2" t="s">
        <v>22</v>
      </c>
      <c r="K639" s="2"/>
      <c r="L639" s="2" t="s">
        <v>22</v>
      </c>
    </row>
    <row r="640" customFormat="false" ht="15" hidden="false" customHeight="false" outlineLevel="0" collapsed="false">
      <c r="A640" s="2" t="s">
        <v>492</v>
      </c>
      <c r="B640" s="14" t="s">
        <v>491</v>
      </c>
      <c r="C640" s="13" t="s">
        <v>82</v>
      </c>
      <c r="D640" s="13" t="s">
        <v>4029</v>
      </c>
      <c r="E640" s="13" t="s">
        <v>127</v>
      </c>
      <c r="F640" s="2" t="s">
        <v>92</v>
      </c>
      <c r="G640" s="2" t="s">
        <v>3376</v>
      </c>
      <c r="H640" s="34" t="s">
        <v>822</v>
      </c>
      <c r="I640" s="2" t="s">
        <v>22</v>
      </c>
      <c r="J640" s="2" t="s">
        <v>24</v>
      </c>
      <c r="K640" s="2" t="s">
        <v>24</v>
      </c>
      <c r="L640" s="2" t="s">
        <v>24</v>
      </c>
    </row>
    <row r="641" customFormat="false" ht="15" hidden="false" customHeight="false" outlineLevel="0" collapsed="false">
      <c r="A641" s="2" t="s">
        <v>470</v>
      </c>
      <c r="B641" s="13" t="s">
        <v>469</v>
      </c>
      <c r="C641" s="13" t="s">
        <v>82</v>
      </c>
      <c r="D641" s="14" t="s">
        <v>4030</v>
      </c>
      <c r="E641" s="13" t="s">
        <v>105</v>
      </c>
      <c r="F641" s="2" t="s">
        <v>99</v>
      </c>
      <c r="G641" s="2" t="s">
        <v>3359</v>
      </c>
      <c r="H641" s="34" t="s">
        <v>822</v>
      </c>
      <c r="I641" s="2" t="s">
        <v>24</v>
      </c>
      <c r="J641" s="2" t="s">
        <v>24</v>
      </c>
      <c r="K641" s="2" t="s">
        <v>22</v>
      </c>
      <c r="L641" s="2" t="s">
        <v>24</v>
      </c>
    </row>
    <row r="642" customFormat="false" ht="15" hidden="false" customHeight="false" outlineLevel="0" collapsed="false">
      <c r="A642" s="2" t="s">
        <v>2149</v>
      </c>
      <c r="B642" s="13" t="s">
        <v>2148</v>
      </c>
      <c r="C642" s="13" t="s">
        <v>77</v>
      </c>
      <c r="D642" s="13" t="s">
        <v>4031</v>
      </c>
      <c r="E642" s="13" t="s">
        <v>124</v>
      </c>
      <c r="F642" s="2" t="s">
        <v>99</v>
      </c>
      <c r="G642" s="2" t="s">
        <v>3355</v>
      </c>
      <c r="H642" s="39" t="s">
        <v>832</v>
      </c>
      <c r="I642" s="2" t="s">
        <v>24</v>
      </c>
      <c r="J642" s="2" t="s">
        <v>24</v>
      </c>
      <c r="K642" s="2" t="s">
        <v>24</v>
      </c>
      <c r="L642" s="2" t="s">
        <v>24</v>
      </c>
    </row>
    <row r="643" customFormat="false" ht="15" hidden="false" customHeight="false" outlineLevel="0" collapsed="false">
      <c r="A643" s="2" t="s">
        <v>576</v>
      </c>
      <c r="B643" s="13" t="s">
        <v>575</v>
      </c>
      <c r="C643" s="13" t="s">
        <v>115</v>
      </c>
      <c r="D643" s="13" t="s">
        <v>4032</v>
      </c>
      <c r="E643" s="13" t="s">
        <v>124</v>
      </c>
      <c r="F643" s="2" t="s">
        <v>106</v>
      </c>
      <c r="G643" s="2" t="s">
        <v>3376</v>
      </c>
      <c r="H643" s="34" t="s">
        <v>822</v>
      </c>
      <c r="I643" s="2" t="s">
        <v>24</v>
      </c>
      <c r="J643" s="2" t="s">
        <v>24</v>
      </c>
      <c r="K643" s="2" t="s">
        <v>24</v>
      </c>
      <c r="L643" s="2" t="s">
        <v>24</v>
      </c>
    </row>
    <row r="644" customFormat="false" ht="15" hidden="false" customHeight="false" outlineLevel="0" collapsed="false">
      <c r="A644" s="2" t="s">
        <v>638</v>
      </c>
      <c r="B644" s="13" t="s">
        <v>637</v>
      </c>
      <c r="C644" s="13" t="s">
        <v>77</v>
      </c>
      <c r="D644" s="13" t="s">
        <v>4033</v>
      </c>
      <c r="E644" s="13" t="s">
        <v>154</v>
      </c>
      <c r="F644" s="2" t="s">
        <v>99</v>
      </c>
      <c r="G644" s="2" t="s">
        <v>3359</v>
      </c>
      <c r="H644" s="34" t="s">
        <v>822</v>
      </c>
      <c r="I644" s="2" t="s">
        <v>24</v>
      </c>
      <c r="J644" s="2" t="s">
        <v>24</v>
      </c>
      <c r="K644" s="2" t="s">
        <v>24</v>
      </c>
      <c r="L644" s="2" t="s">
        <v>24</v>
      </c>
    </row>
    <row r="645" customFormat="false" ht="15" hidden="false" customHeight="false" outlineLevel="0" collapsed="false">
      <c r="A645" s="2" t="s">
        <v>3258</v>
      </c>
      <c r="B645" s="13" t="s">
        <v>4034</v>
      </c>
      <c r="C645" s="13" t="s">
        <v>86</v>
      </c>
      <c r="D645" s="13" t="s">
        <v>4035</v>
      </c>
      <c r="E645" s="13" t="s">
        <v>154</v>
      </c>
      <c r="F645" s="2" t="s">
        <v>46</v>
      </c>
      <c r="G645" s="2" t="s">
        <v>3395</v>
      </c>
      <c r="H645" s="39" t="s">
        <v>832</v>
      </c>
      <c r="I645" s="2" t="s">
        <v>24</v>
      </c>
      <c r="J645" s="2" t="s">
        <v>24</v>
      </c>
      <c r="K645" s="2" t="s">
        <v>24</v>
      </c>
      <c r="L645" s="2" t="s">
        <v>24</v>
      </c>
    </row>
    <row r="646" customFormat="false" ht="15" hidden="false" customHeight="false" outlineLevel="0" collapsed="false">
      <c r="A646" s="2" t="s">
        <v>3259</v>
      </c>
      <c r="B646" s="13" t="s">
        <v>4036</v>
      </c>
      <c r="C646" s="13" t="s">
        <v>72</v>
      </c>
      <c r="D646" s="13" t="s">
        <v>4037</v>
      </c>
      <c r="E646" s="13" t="s">
        <v>154</v>
      </c>
      <c r="F646" s="2" t="s">
        <v>92</v>
      </c>
      <c r="G646" s="2" t="s">
        <v>3385</v>
      </c>
      <c r="H646" s="39" t="s">
        <v>832</v>
      </c>
      <c r="I646" s="2" t="s">
        <v>24</v>
      </c>
      <c r="J646" s="2" t="s">
        <v>24</v>
      </c>
      <c r="K646" s="2" t="s">
        <v>24</v>
      </c>
      <c r="L646" s="2" t="s">
        <v>24</v>
      </c>
    </row>
    <row r="647" customFormat="false" ht="15" hidden="false" customHeight="false" outlineLevel="0" collapsed="false">
      <c r="A647" s="2" t="s">
        <v>316</v>
      </c>
      <c r="B647" s="13" t="s">
        <v>315</v>
      </c>
      <c r="C647" s="13" t="s">
        <v>95</v>
      </c>
      <c r="D647" s="14" t="s">
        <v>4038</v>
      </c>
      <c r="E647" s="13" t="s">
        <v>127</v>
      </c>
      <c r="F647" s="2" t="s">
        <v>99</v>
      </c>
      <c r="G647" s="2" t="s">
        <v>3359</v>
      </c>
      <c r="H647" s="34" t="s">
        <v>822</v>
      </c>
      <c r="I647" s="2" t="s">
        <v>24</v>
      </c>
      <c r="J647" s="2" t="s">
        <v>24</v>
      </c>
      <c r="K647" s="2" t="s">
        <v>22</v>
      </c>
      <c r="L647" s="2" t="s">
        <v>24</v>
      </c>
    </row>
    <row r="648" customFormat="false" ht="15" hidden="false" customHeight="false" outlineLevel="0" collapsed="false">
      <c r="A648" s="2" t="s">
        <v>1543</v>
      </c>
      <c r="B648" s="13" t="s">
        <v>1542</v>
      </c>
      <c r="C648" s="13" t="s">
        <v>72</v>
      </c>
      <c r="D648" s="13" t="s">
        <v>4039</v>
      </c>
      <c r="E648" s="13" t="s">
        <v>105</v>
      </c>
      <c r="F648" s="2" t="s">
        <v>99</v>
      </c>
      <c r="G648" s="2" t="s">
        <v>3355</v>
      </c>
      <c r="H648" s="39" t="s">
        <v>832</v>
      </c>
      <c r="I648" s="2" t="s">
        <v>24</v>
      </c>
      <c r="J648" s="2" t="s">
        <v>24</v>
      </c>
      <c r="K648" s="2" t="s">
        <v>24</v>
      </c>
      <c r="L648" s="2" t="s">
        <v>24</v>
      </c>
    </row>
    <row r="649" customFormat="false" ht="15" hidden="false" customHeight="false" outlineLevel="0" collapsed="false">
      <c r="A649" s="2" t="s">
        <v>1950</v>
      </c>
      <c r="B649" s="13" t="s">
        <v>1949</v>
      </c>
      <c r="C649" s="13" t="s">
        <v>162</v>
      </c>
      <c r="D649" s="14" t="s">
        <v>4040</v>
      </c>
      <c r="E649" s="13" t="s">
        <v>73</v>
      </c>
      <c r="F649" s="2" t="s">
        <v>99</v>
      </c>
      <c r="G649" s="2" t="s">
        <v>3355</v>
      </c>
      <c r="H649" s="39" t="s">
        <v>832</v>
      </c>
      <c r="I649" s="2" t="s">
        <v>24</v>
      </c>
      <c r="J649" s="2" t="s">
        <v>24</v>
      </c>
      <c r="K649" s="2" t="s">
        <v>22</v>
      </c>
      <c r="L649" s="2" t="s">
        <v>24</v>
      </c>
    </row>
    <row r="650" customFormat="false" ht="15" hidden="false" customHeight="false" outlineLevel="0" collapsed="false">
      <c r="A650" s="2" t="s">
        <v>546</v>
      </c>
      <c r="B650" s="14" t="s">
        <v>545</v>
      </c>
      <c r="C650" s="13" t="s">
        <v>123</v>
      </c>
      <c r="D650" s="13" t="s">
        <v>4041</v>
      </c>
      <c r="E650" s="13" t="s">
        <v>78</v>
      </c>
      <c r="F650" s="2" t="s">
        <v>92</v>
      </c>
      <c r="G650" s="2" t="s">
        <v>3376</v>
      </c>
      <c r="H650" s="34" t="s">
        <v>822</v>
      </c>
      <c r="I650" s="2" t="s">
        <v>22</v>
      </c>
      <c r="J650" s="2" t="s">
        <v>24</v>
      </c>
      <c r="K650" s="2" t="s">
        <v>24</v>
      </c>
      <c r="L650" s="2" t="s">
        <v>24</v>
      </c>
    </row>
    <row r="651" customFormat="false" ht="15" hidden="false" customHeight="false" outlineLevel="0" collapsed="false">
      <c r="A651" s="2" t="s">
        <v>2212</v>
      </c>
      <c r="B651" s="13" t="s">
        <v>2211</v>
      </c>
      <c r="C651" s="13" t="s">
        <v>72</v>
      </c>
      <c r="D651" s="14" t="s">
        <v>4042</v>
      </c>
      <c r="E651" s="13" t="s">
        <v>87</v>
      </c>
      <c r="F651" s="2" t="s">
        <v>99</v>
      </c>
      <c r="G651" s="2" t="s">
        <v>3369</v>
      </c>
      <c r="H651" s="39" t="s">
        <v>832</v>
      </c>
      <c r="I651" s="2" t="s">
        <v>24</v>
      </c>
      <c r="J651" s="2" t="s">
        <v>24</v>
      </c>
      <c r="K651" s="2" t="s">
        <v>22</v>
      </c>
      <c r="L651" s="2" t="s">
        <v>24</v>
      </c>
    </row>
    <row r="652" customFormat="false" ht="15" hidden="false" customHeight="false" outlineLevel="0" collapsed="false">
      <c r="A652" s="2" t="s">
        <v>484</v>
      </c>
      <c r="B652" s="13" t="s">
        <v>483</v>
      </c>
      <c r="C652" s="13" t="s">
        <v>123</v>
      </c>
      <c r="D652" s="13" t="s">
        <v>4043</v>
      </c>
      <c r="E652" s="13" t="s">
        <v>127</v>
      </c>
      <c r="F652" s="2" t="s">
        <v>106</v>
      </c>
      <c r="G652" s="2" t="s">
        <v>3376</v>
      </c>
      <c r="H652" s="34" t="s">
        <v>822</v>
      </c>
      <c r="I652" s="2" t="s">
        <v>24</v>
      </c>
      <c r="J652" s="2" t="s">
        <v>24</v>
      </c>
      <c r="K652" s="2" t="s">
        <v>24</v>
      </c>
      <c r="L652" s="2" t="s">
        <v>24</v>
      </c>
    </row>
    <row r="653" customFormat="false" ht="15" hidden="false" customHeight="false" outlineLevel="0" collapsed="false">
      <c r="A653" s="2" t="s">
        <v>2261</v>
      </c>
      <c r="B653" s="13" t="s">
        <v>2260</v>
      </c>
      <c r="C653" s="13" t="s">
        <v>91</v>
      </c>
      <c r="D653" s="14" t="s">
        <v>4044</v>
      </c>
      <c r="E653" s="13" t="s">
        <v>120</v>
      </c>
      <c r="F653" s="2" t="s">
        <v>99</v>
      </c>
      <c r="G653" s="2" t="s">
        <v>3369</v>
      </c>
      <c r="H653" s="39" t="s">
        <v>832</v>
      </c>
      <c r="I653" s="2" t="s">
        <v>24</v>
      </c>
      <c r="J653" s="2" t="s">
        <v>24</v>
      </c>
      <c r="K653" s="2" t="s">
        <v>22</v>
      </c>
      <c r="L653" s="2" t="s">
        <v>24</v>
      </c>
    </row>
    <row r="654" customFormat="false" ht="15" hidden="false" customHeight="false" outlineLevel="0" collapsed="false">
      <c r="A654" s="2" t="s">
        <v>164</v>
      </c>
      <c r="B654" s="13" t="s">
        <v>163</v>
      </c>
      <c r="C654" s="13" t="s">
        <v>115</v>
      </c>
      <c r="D654" s="13" t="s">
        <v>4045</v>
      </c>
      <c r="E654" s="13" t="s">
        <v>83</v>
      </c>
      <c r="F654" s="2" t="s">
        <v>99</v>
      </c>
      <c r="G654" s="2" t="s">
        <v>3359</v>
      </c>
      <c r="H654" s="34" t="s">
        <v>822</v>
      </c>
      <c r="I654" s="2" t="s">
        <v>24</v>
      </c>
      <c r="J654" s="2" t="s">
        <v>24</v>
      </c>
      <c r="K654" s="2" t="s">
        <v>24</v>
      </c>
      <c r="L654" s="2" t="s">
        <v>24</v>
      </c>
    </row>
    <row r="655" customFormat="false" ht="15" hidden="false" customHeight="false" outlineLevel="0" collapsed="false">
      <c r="A655" s="2" t="s">
        <v>1339</v>
      </c>
      <c r="B655" s="13" t="s">
        <v>1338</v>
      </c>
      <c r="C655" s="13" t="s">
        <v>77</v>
      </c>
      <c r="D655" s="13" t="s">
        <v>4046</v>
      </c>
      <c r="E655" s="14" t="s">
        <v>87</v>
      </c>
      <c r="F655" s="2" t="s">
        <v>99</v>
      </c>
      <c r="G655" s="2" t="s">
        <v>3369</v>
      </c>
      <c r="H655" s="39" t="s">
        <v>832</v>
      </c>
      <c r="I655" s="2" t="s">
        <v>24</v>
      </c>
      <c r="J655" s="2" t="s">
        <v>24</v>
      </c>
      <c r="K655" s="2" t="s">
        <v>24</v>
      </c>
      <c r="L655" s="2" t="s">
        <v>22</v>
      </c>
    </row>
    <row r="656" customFormat="false" ht="15" hidden="false" customHeight="false" outlineLevel="0" collapsed="false">
      <c r="A656" s="2" t="s">
        <v>204</v>
      </c>
      <c r="B656" s="13" t="s">
        <v>203</v>
      </c>
      <c r="C656" s="13" t="s">
        <v>86</v>
      </c>
      <c r="D656" s="13" t="s">
        <v>4047</v>
      </c>
      <c r="E656" s="13" t="s">
        <v>127</v>
      </c>
      <c r="F656" s="2" t="s">
        <v>99</v>
      </c>
      <c r="G656" s="2" t="s">
        <v>3359</v>
      </c>
      <c r="H656" s="34" t="s">
        <v>822</v>
      </c>
      <c r="I656" s="2" t="s">
        <v>24</v>
      </c>
      <c r="J656" s="2" t="s">
        <v>24</v>
      </c>
      <c r="K656" s="2" t="s">
        <v>24</v>
      </c>
      <c r="L656" s="2" t="s">
        <v>24</v>
      </c>
    </row>
    <row r="657" customFormat="false" ht="15" hidden="false" customHeight="false" outlineLevel="0" collapsed="false">
      <c r="A657" s="2" t="s">
        <v>300</v>
      </c>
      <c r="B657" s="13" t="s">
        <v>299</v>
      </c>
      <c r="C657" s="13" t="s">
        <v>72</v>
      </c>
      <c r="D657" s="13" t="s">
        <v>4048</v>
      </c>
      <c r="E657" s="13" t="s">
        <v>73</v>
      </c>
      <c r="F657" s="2" t="s">
        <v>149</v>
      </c>
      <c r="G657" s="2" t="s">
        <v>3376</v>
      </c>
      <c r="H657" s="34" t="s">
        <v>822</v>
      </c>
      <c r="I657" s="2" t="s">
        <v>24</v>
      </c>
      <c r="J657" s="2" t="s">
        <v>24</v>
      </c>
      <c r="K657" s="2" t="s">
        <v>24</v>
      </c>
      <c r="L657" s="2" t="s">
        <v>24</v>
      </c>
    </row>
    <row r="658" customFormat="false" ht="15" hidden="false" customHeight="false" outlineLevel="0" collapsed="false">
      <c r="A658" s="2" t="s">
        <v>3266</v>
      </c>
      <c r="B658" s="13" t="s">
        <v>4049</v>
      </c>
      <c r="C658" s="13" t="s">
        <v>95</v>
      </c>
      <c r="D658" s="13" t="s">
        <v>4050</v>
      </c>
      <c r="E658" s="13" t="s">
        <v>102</v>
      </c>
      <c r="F658" s="2" t="s">
        <v>45</v>
      </c>
      <c r="G658" s="2" t="s">
        <v>3395</v>
      </c>
      <c r="H658" s="39" t="s">
        <v>832</v>
      </c>
      <c r="I658" s="2" t="s">
        <v>24</v>
      </c>
      <c r="J658" s="2" t="s">
        <v>24</v>
      </c>
      <c r="K658" s="2" t="s">
        <v>24</v>
      </c>
      <c r="L658" s="2" t="s">
        <v>24</v>
      </c>
    </row>
    <row r="659" customFormat="false" ht="15" hidden="false" customHeight="false" outlineLevel="0" collapsed="false">
      <c r="A659" s="2" t="s">
        <v>3268</v>
      </c>
      <c r="B659" s="13" t="s">
        <v>4051</v>
      </c>
      <c r="C659" s="13" t="s">
        <v>123</v>
      </c>
      <c r="D659" s="13" t="s">
        <v>4052</v>
      </c>
      <c r="E659" s="13" t="s">
        <v>120</v>
      </c>
      <c r="F659" s="2" t="s">
        <v>45</v>
      </c>
      <c r="G659" s="2" t="s">
        <v>3395</v>
      </c>
      <c r="H659" s="39" t="s">
        <v>832</v>
      </c>
      <c r="I659" s="2" t="s">
        <v>24</v>
      </c>
      <c r="J659" s="2" t="s">
        <v>24</v>
      </c>
      <c r="K659" s="2" t="s">
        <v>24</v>
      </c>
      <c r="L659" s="2" t="s">
        <v>24</v>
      </c>
    </row>
    <row r="660" customFormat="false" ht="15" hidden="false" customHeight="false" outlineLevel="0" collapsed="false">
      <c r="A660" s="2" t="s">
        <v>2175</v>
      </c>
      <c r="B660" s="13" t="s">
        <v>2174</v>
      </c>
      <c r="C660" s="13" t="s">
        <v>95</v>
      </c>
      <c r="D660" s="14" t="s">
        <v>4053</v>
      </c>
      <c r="E660" s="13" t="s">
        <v>154</v>
      </c>
      <c r="F660" s="2" t="s">
        <v>106</v>
      </c>
      <c r="G660" s="2" t="s">
        <v>3361</v>
      </c>
      <c r="H660" s="39" t="s">
        <v>832</v>
      </c>
      <c r="I660" s="2" t="s">
        <v>24</v>
      </c>
      <c r="J660" s="2" t="s">
        <v>24</v>
      </c>
      <c r="K660" s="2" t="s">
        <v>22</v>
      </c>
      <c r="L660" s="2" t="s">
        <v>24</v>
      </c>
    </row>
    <row r="661" customFormat="false" ht="15" hidden="false" customHeight="false" outlineLevel="0" collapsed="false">
      <c r="A661" s="2" t="s">
        <v>1921</v>
      </c>
      <c r="B661" s="13" t="s">
        <v>1920</v>
      </c>
      <c r="C661" s="13" t="s">
        <v>72</v>
      </c>
      <c r="D661" s="13" t="s">
        <v>4054</v>
      </c>
      <c r="E661" s="13" t="s">
        <v>120</v>
      </c>
      <c r="F661" s="2" t="s">
        <v>99</v>
      </c>
      <c r="G661" s="2" t="s">
        <v>3355</v>
      </c>
      <c r="H661" s="39" t="s">
        <v>832</v>
      </c>
      <c r="I661" s="2" t="s">
        <v>24</v>
      </c>
      <c r="J661" s="2" t="s">
        <v>24</v>
      </c>
      <c r="K661" s="2" t="s">
        <v>24</v>
      </c>
      <c r="L661" s="2" t="s">
        <v>24</v>
      </c>
    </row>
    <row r="662" customFormat="false" ht="15" hidden="false" customHeight="false" outlineLevel="0" collapsed="false">
      <c r="A662" s="2" t="s">
        <v>1632</v>
      </c>
      <c r="B662" s="13" t="s">
        <v>1631</v>
      </c>
      <c r="C662" s="13" t="s">
        <v>162</v>
      </c>
      <c r="D662" s="13" t="s">
        <v>4055</v>
      </c>
      <c r="E662" s="13" t="s">
        <v>124</v>
      </c>
      <c r="F662" s="2" t="s">
        <v>99</v>
      </c>
      <c r="G662" s="2" t="s">
        <v>3355</v>
      </c>
      <c r="H662" s="39" t="s">
        <v>832</v>
      </c>
      <c r="I662" s="2" t="s">
        <v>24</v>
      </c>
      <c r="J662" s="2" t="s">
        <v>24</v>
      </c>
      <c r="K662" s="2" t="s">
        <v>24</v>
      </c>
      <c r="L662" s="2" t="s">
        <v>24</v>
      </c>
    </row>
    <row r="663" customFormat="false" ht="15" hidden="false" customHeight="false" outlineLevel="0" collapsed="false">
      <c r="A663" s="2" t="s">
        <v>2069</v>
      </c>
      <c r="B663" s="13" t="s">
        <v>2068</v>
      </c>
      <c r="C663" s="13" t="s">
        <v>162</v>
      </c>
      <c r="D663" s="13" t="s">
        <v>4056</v>
      </c>
      <c r="E663" s="13" t="s">
        <v>83</v>
      </c>
      <c r="F663" s="2" t="s">
        <v>99</v>
      </c>
      <c r="G663" s="2" t="s">
        <v>3355</v>
      </c>
      <c r="H663" s="39" t="s">
        <v>832</v>
      </c>
      <c r="I663" s="2" t="s">
        <v>24</v>
      </c>
      <c r="J663" s="2" t="s">
        <v>24</v>
      </c>
      <c r="K663" s="2" t="s">
        <v>24</v>
      </c>
      <c r="L663" s="2" t="s">
        <v>24</v>
      </c>
    </row>
    <row r="664" customFormat="false" ht="15" hidden="false" customHeight="false" outlineLevel="0" collapsed="false">
      <c r="A664" s="2" t="s">
        <v>3273</v>
      </c>
      <c r="B664" s="13" t="s">
        <v>4057</v>
      </c>
      <c r="C664" s="13" t="s">
        <v>82</v>
      </c>
      <c r="D664" s="13" t="s">
        <v>4058</v>
      </c>
      <c r="E664" s="13" t="s">
        <v>78</v>
      </c>
      <c r="F664" s="2" t="s">
        <v>92</v>
      </c>
      <c r="G664" s="2" t="s">
        <v>3385</v>
      </c>
      <c r="H664" s="39" t="s">
        <v>832</v>
      </c>
      <c r="I664" s="2" t="s">
        <v>24</v>
      </c>
      <c r="J664" s="2" t="s">
        <v>24</v>
      </c>
      <c r="K664" s="2" t="s">
        <v>24</v>
      </c>
      <c r="L664" s="2" t="s">
        <v>24</v>
      </c>
    </row>
    <row r="665" customFormat="false" ht="15" hidden="false" customHeight="false" outlineLevel="0" collapsed="false">
      <c r="A665" s="2" t="s">
        <v>3275</v>
      </c>
      <c r="B665" s="13" t="s">
        <v>4059</v>
      </c>
      <c r="C665" s="13" t="s">
        <v>86</v>
      </c>
      <c r="D665" s="13" t="s">
        <v>4060</v>
      </c>
      <c r="E665" s="13" t="s">
        <v>124</v>
      </c>
      <c r="F665" s="2" t="s">
        <v>106</v>
      </c>
      <c r="G665" s="2" t="s">
        <v>3385</v>
      </c>
      <c r="H665" s="39" t="s">
        <v>832</v>
      </c>
      <c r="I665" s="2" t="s">
        <v>24</v>
      </c>
      <c r="J665" s="2" t="s">
        <v>24</v>
      </c>
      <c r="K665" s="2" t="s">
        <v>24</v>
      </c>
      <c r="L665" s="2" t="s">
        <v>24</v>
      </c>
    </row>
    <row r="666" customFormat="false" ht="15" hidden="false" customHeight="false" outlineLevel="0" collapsed="false">
      <c r="A666" s="2" t="s">
        <v>1814</v>
      </c>
      <c r="B666" s="13" t="s">
        <v>1813</v>
      </c>
      <c r="C666" s="13" t="s">
        <v>72</v>
      </c>
      <c r="D666" s="13" t="s">
        <v>4061</v>
      </c>
      <c r="E666" s="13" t="s">
        <v>120</v>
      </c>
      <c r="F666" s="2" t="s">
        <v>99</v>
      </c>
      <c r="G666" s="2" t="s">
        <v>3369</v>
      </c>
      <c r="H666" s="39" t="s">
        <v>832</v>
      </c>
      <c r="I666" s="2" t="s">
        <v>24</v>
      </c>
      <c r="J666" s="2" t="s">
        <v>24</v>
      </c>
      <c r="K666" s="2" t="s">
        <v>24</v>
      </c>
      <c r="L666" s="2" t="s">
        <v>24</v>
      </c>
    </row>
    <row r="667" customFormat="false" ht="15" hidden="false" customHeight="false" outlineLevel="0" collapsed="false">
      <c r="A667" s="2" t="s">
        <v>1239</v>
      </c>
      <c r="B667" s="13" t="s">
        <v>1238</v>
      </c>
      <c r="C667" s="13" t="s">
        <v>82</v>
      </c>
      <c r="D667" s="13" t="s">
        <v>4062</v>
      </c>
      <c r="E667" s="13" t="s">
        <v>127</v>
      </c>
      <c r="F667" s="2" t="s">
        <v>99</v>
      </c>
      <c r="G667" s="2" t="s">
        <v>3355</v>
      </c>
      <c r="H667" s="39" t="s">
        <v>832</v>
      </c>
      <c r="I667" s="2" t="s">
        <v>24</v>
      </c>
      <c r="J667" s="2" t="s">
        <v>24</v>
      </c>
      <c r="K667" s="2" t="s">
        <v>24</v>
      </c>
      <c r="L667" s="2" t="s">
        <v>24</v>
      </c>
    </row>
    <row r="668" customFormat="false" ht="15" hidden="false" customHeight="false" outlineLevel="0" collapsed="false">
      <c r="A668" s="2" t="s">
        <v>554</v>
      </c>
      <c r="B668" s="13" t="s">
        <v>553</v>
      </c>
      <c r="C668" s="13" t="s">
        <v>95</v>
      </c>
      <c r="D668" s="13" t="s">
        <v>4063</v>
      </c>
      <c r="E668" s="13" t="s">
        <v>83</v>
      </c>
      <c r="F668" s="2" t="s">
        <v>99</v>
      </c>
      <c r="G668" s="2" t="s">
        <v>3359</v>
      </c>
      <c r="H668" s="34" t="s">
        <v>822</v>
      </c>
      <c r="I668" s="2" t="s">
        <v>24</v>
      </c>
      <c r="J668" s="2" t="s">
        <v>24</v>
      </c>
      <c r="K668" s="2" t="s">
        <v>24</v>
      </c>
      <c r="L668" s="2" t="s">
        <v>24</v>
      </c>
    </row>
    <row r="669" customFormat="false" ht="15" hidden="false" customHeight="false" outlineLevel="0" collapsed="false">
      <c r="A669" s="2" t="s">
        <v>414</v>
      </c>
      <c r="B669" s="13" t="s">
        <v>413</v>
      </c>
      <c r="C669" s="13" t="s">
        <v>77</v>
      </c>
      <c r="D669" s="13" t="s">
        <v>4064</v>
      </c>
      <c r="E669" s="13" t="s">
        <v>154</v>
      </c>
      <c r="F669" s="2" t="s">
        <v>99</v>
      </c>
      <c r="G669" s="2" t="s">
        <v>3359</v>
      </c>
      <c r="H669" s="34" t="s">
        <v>822</v>
      </c>
      <c r="I669" s="2" t="s">
        <v>24</v>
      </c>
      <c r="J669" s="2" t="s">
        <v>24</v>
      </c>
      <c r="K669" s="2" t="s">
        <v>24</v>
      </c>
      <c r="L669" s="2" t="s">
        <v>24</v>
      </c>
    </row>
    <row r="670" customFormat="false" ht="15" hidden="false" customHeight="false" outlineLevel="0" collapsed="false">
      <c r="A670" s="2" t="s">
        <v>490</v>
      </c>
      <c r="B670" s="13" t="s">
        <v>489</v>
      </c>
      <c r="C670" s="13" t="s">
        <v>77</v>
      </c>
      <c r="D670" s="14" t="s">
        <v>4065</v>
      </c>
      <c r="E670" s="14" t="s">
        <v>87</v>
      </c>
      <c r="F670" s="2" t="s">
        <v>45</v>
      </c>
      <c r="G670" s="2" t="s">
        <v>3364</v>
      </c>
      <c r="H670" s="34" t="s">
        <v>822</v>
      </c>
      <c r="I670" s="2" t="s">
        <v>24</v>
      </c>
      <c r="J670" s="2" t="s">
        <v>24</v>
      </c>
      <c r="K670" s="2" t="s">
        <v>22</v>
      </c>
      <c r="L670" s="2" t="s">
        <v>22</v>
      </c>
    </row>
    <row r="671" customFormat="false" ht="15" hidden="false" customHeight="false" outlineLevel="0" collapsed="false">
      <c r="A671" s="2" t="s">
        <v>1295</v>
      </c>
      <c r="B671" s="13" t="s">
        <v>1294</v>
      </c>
      <c r="C671" s="13" t="s">
        <v>123</v>
      </c>
      <c r="D671" s="14" t="s">
        <v>4066</v>
      </c>
      <c r="E671" s="14" t="s">
        <v>154</v>
      </c>
      <c r="F671" s="2" t="s">
        <v>99</v>
      </c>
      <c r="G671" s="2" t="s">
        <v>3355</v>
      </c>
      <c r="H671" s="39" t="s">
        <v>832</v>
      </c>
      <c r="I671" s="2" t="s">
        <v>24</v>
      </c>
      <c r="J671" s="2" t="s">
        <v>24</v>
      </c>
      <c r="K671" s="2" t="s">
        <v>22</v>
      </c>
      <c r="L671" s="2" t="s">
        <v>22</v>
      </c>
    </row>
    <row r="672" customFormat="false" ht="15" hidden="false" customHeight="false" outlineLevel="0" collapsed="false">
      <c r="A672" s="2" t="s">
        <v>2640</v>
      </c>
      <c r="B672" s="13" t="s">
        <v>2639</v>
      </c>
      <c r="C672" s="13" t="s">
        <v>115</v>
      </c>
      <c r="D672" s="13" t="s">
        <v>4067</v>
      </c>
      <c r="E672" s="13" t="s">
        <v>87</v>
      </c>
      <c r="F672" s="2" t="s">
        <v>99</v>
      </c>
      <c r="G672" s="2" t="s">
        <v>3369</v>
      </c>
      <c r="H672" s="39" t="s">
        <v>832</v>
      </c>
      <c r="I672" s="2" t="s">
        <v>24</v>
      </c>
      <c r="J672" s="2" t="s">
        <v>24</v>
      </c>
      <c r="K672" s="2" t="s">
        <v>24</v>
      </c>
      <c r="L672" s="2" t="s">
        <v>24</v>
      </c>
    </row>
    <row r="673" customFormat="false" ht="15" hidden="false" customHeight="false" outlineLevel="0" collapsed="false">
      <c r="A673" s="2" t="s">
        <v>3280</v>
      </c>
      <c r="B673" s="16"/>
      <c r="C673" s="16"/>
      <c r="D673" s="16"/>
      <c r="E673" s="16"/>
      <c r="F673" s="2" t="s">
        <v>45</v>
      </c>
      <c r="G673" s="2" t="s">
        <v>3395</v>
      </c>
      <c r="H673" s="39" t="s">
        <v>832</v>
      </c>
      <c r="I673" s="2"/>
      <c r="J673" s="2"/>
      <c r="K673" s="2"/>
      <c r="L673" s="2"/>
    </row>
    <row r="674" customFormat="false" ht="15" hidden="false" customHeight="false" outlineLevel="0" collapsed="false">
      <c r="A674" s="2" t="s">
        <v>208</v>
      </c>
      <c r="B674" s="13" t="s">
        <v>207</v>
      </c>
      <c r="C674" s="13" t="s">
        <v>82</v>
      </c>
      <c r="D674" s="13" t="s">
        <v>4068</v>
      </c>
      <c r="E674" s="13" t="s">
        <v>83</v>
      </c>
      <c r="F674" s="2" t="s">
        <v>47</v>
      </c>
      <c r="G674" s="2" t="s">
        <v>3364</v>
      </c>
      <c r="H674" s="34" t="s">
        <v>822</v>
      </c>
      <c r="I674" s="2" t="s">
        <v>24</v>
      </c>
      <c r="J674" s="2" t="s">
        <v>24</v>
      </c>
      <c r="K674" s="2" t="s">
        <v>24</v>
      </c>
      <c r="L674" s="2" t="s">
        <v>24</v>
      </c>
    </row>
    <row r="675" customFormat="false" ht="15" hidden="false" customHeight="false" outlineLevel="0" collapsed="false">
      <c r="A675" s="2" t="s">
        <v>3281</v>
      </c>
      <c r="B675" s="13" t="s">
        <v>4069</v>
      </c>
      <c r="C675" s="13" t="s">
        <v>82</v>
      </c>
      <c r="D675" s="13" t="s">
        <v>4070</v>
      </c>
      <c r="E675" s="13" t="s">
        <v>105</v>
      </c>
      <c r="F675" s="2" t="s">
        <v>106</v>
      </c>
      <c r="G675" s="2" t="s">
        <v>3385</v>
      </c>
      <c r="H675" s="39" t="s">
        <v>832</v>
      </c>
      <c r="I675" s="2" t="s">
        <v>24</v>
      </c>
      <c r="J675" s="2" t="s">
        <v>24</v>
      </c>
      <c r="K675" s="2" t="s">
        <v>24</v>
      </c>
      <c r="L675" s="2" t="s">
        <v>24</v>
      </c>
    </row>
    <row r="676" customFormat="false" ht="15" hidden="false" customHeight="false" outlineLevel="0" collapsed="false">
      <c r="A676" s="2" t="s">
        <v>1331</v>
      </c>
      <c r="B676" s="13" t="s">
        <v>1330</v>
      </c>
      <c r="C676" s="13" t="s">
        <v>95</v>
      </c>
      <c r="D676" s="13" t="s">
        <v>4071</v>
      </c>
      <c r="E676" s="13" t="s">
        <v>102</v>
      </c>
      <c r="F676" s="2" t="s">
        <v>99</v>
      </c>
      <c r="G676" s="2" t="s">
        <v>3369</v>
      </c>
      <c r="H676" s="39" t="s">
        <v>832</v>
      </c>
      <c r="I676" s="2" t="s">
        <v>24</v>
      </c>
      <c r="J676" s="2" t="s">
        <v>24</v>
      </c>
      <c r="K676" s="2" t="s">
        <v>24</v>
      </c>
      <c r="L676" s="2" t="s">
        <v>24</v>
      </c>
    </row>
    <row r="677" customFormat="false" ht="15" hidden="false" customHeight="false" outlineLevel="0" collapsed="false">
      <c r="A677" s="2" t="s">
        <v>2710</v>
      </c>
      <c r="B677" s="13" t="s">
        <v>2709</v>
      </c>
      <c r="C677" s="13" t="s">
        <v>95</v>
      </c>
      <c r="D677" s="13" t="s">
        <v>4072</v>
      </c>
      <c r="E677" s="13" t="s">
        <v>78</v>
      </c>
      <c r="F677" s="2" t="s">
        <v>99</v>
      </c>
      <c r="G677" s="2" t="s">
        <v>3369</v>
      </c>
      <c r="H677" s="39" t="s">
        <v>832</v>
      </c>
      <c r="I677" s="2" t="s">
        <v>24</v>
      </c>
      <c r="J677" s="2" t="s">
        <v>24</v>
      </c>
      <c r="K677" s="2" t="s">
        <v>24</v>
      </c>
      <c r="L677" s="2" t="s">
        <v>24</v>
      </c>
    </row>
    <row r="678" customFormat="false" ht="15" hidden="false" customHeight="false" outlineLevel="0" collapsed="false">
      <c r="A678" s="2" t="s">
        <v>518</v>
      </c>
      <c r="B678" s="13" t="s">
        <v>517</v>
      </c>
      <c r="C678" s="13" t="s">
        <v>123</v>
      </c>
      <c r="D678" s="13" t="s">
        <v>4073</v>
      </c>
      <c r="E678" s="13" t="s">
        <v>120</v>
      </c>
      <c r="F678" s="2" t="s">
        <v>99</v>
      </c>
      <c r="G678" s="2" t="s">
        <v>3359</v>
      </c>
      <c r="H678" s="34" t="s">
        <v>822</v>
      </c>
      <c r="I678" s="2" t="s">
        <v>24</v>
      </c>
      <c r="J678" s="2" t="s">
        <v>24</v>
      </c>
      <c r="K678" s="2" t="s">
        <v>24</v>
      </c>
      <c r="L678" s="2" t="s">
        <v>24</v>
      </c>
    </row>
    <row r="679" customFormat="false" ht="15" hidden="false" customHeight="false" outlineLevel="0" collapsed="false">
      <c r="A679" s="2" t="s">
        <v>176</v>
      </c>
      <c r="B679" s="13" t="s">
        <v>175</v>
      </c>
      <c r="C679" s="13" t="s">
        <v>162</v>
      </c>
      <c r="D679" s="13" t="s">
        <v>4074</v>
      </c>
      <c r="E679" s="13" t="s">
        <v>127</v>
      </c>
      <c r="F679" s="2" t="s">
        <v>106</v>
      </c>
      <c r="G679" s="2" t="s">
        <v>3376</v>
      </c>
      <c r="H679" s="34" t="s">
        <v>822</v>
      </c>
      <c r="I679" s="2" t="s">
        <v>24</v>
      </c>
      <c r="J679" s="2" t="s">
        <v>24</v>
      </c>
      <c r="K679" s="2" t="s">
        <v>24</v>
      </c>
      <c r="L679" s="2" t="s">
        <v>24</v>
      </c>
    </row>
    <row r="680" customFormat="false" ht="15" hidden="false" customHeight="false" outlineLevel="0" collapsed="false">
      <c r="A680" s="2" t="s">
        <v>1155</v>
      </c>
      <c r="B680" s="13" t="s">
        <v>1154</v>
      </c>
      <c r="C680" s="13" t="s">
        <v>86</v>
      </c>
      <c r="D680" s="13" t="s">
        <v>4075</v>
      </c>
      <c r="E680" s="13" t="s">
        <v>105</v>
      </c>
      <c r="F680" s="2" t="s">
        <v>99</v>
      </c>
      <c r="G680" s="2" t="s">
        <v>3355</v>
      </c>
      <c r="H680" s="39" t="s">
        <v>832</v>
      </c>
      <c r="I680" s="2" t="s">
        <v>24</v>
      </c>
      <c r="J680" s="2" t="s">
        <v>24</v>
      </c>
      <c r="K680" s="2" t="s">
        <v>24</v>
      </c>
      <c r="L680" s="2" t="s">
        <v>24</v>
      </c>
    </row>
    <row r="681" customFormat="false" ht="15" hidden="false" customHeight="false" outlineLevel="0" collapsed="false">
      <c r="A681" s="2" t="s">
        <v>516</v>
      </c>
      <c r="B681" s="13" t="s">
        <v>515</v>
      </c>
      <c r="C681" s="13" t="s">
        <v>98</v>
      </c>
      <c r="D681" s="13" t="s">
        <v>4076</v>
      </c>
      <c r="E681" s="13" t="s">
        <v>105</v>
      </c>
      <c r="F681" s="2" t="s">
        <v>99</v>
      </c>
      <c r="G681" s="2" t="s">
        <v>3359</v>
      </c>
      <c r="H681" s="34" t="s">
        <v>822</v>
      </c>
      <c r="I681" s="2" t="s">
        <v>24</v>
      </c>
      <c r="J681" s="2" t="s">
        <v>24</v>
      </c>
      <c r="K681" s="2" t="s">
        <v>24</v>
      </c>
      <c r="L681" s="2" t="s">
        <v>24</v>
      </c>
    </row>
    <row r="682" customFormat="false" ht="15" hidden="false" customHeight="false" outlineLevel="0" collapsed="false">
      <c r="A682" s="2" t="s">
        <v>578</v>
      </c>
      <c r="B682" s="13" t="s">
        <v>577</v>
      </c>
      <c r="C682" s="13" t="s">
        <v>77</v>
      </c>
      <c r="D682" s="13" t="s">
        <v>4077</v>
      </c>
      <c r="E682" s="13" t="s">
        <v>154</v>
      </c>
      <c r="F682" s="2" t="s">
        <v>99</v>
      </c>
      <c r="G682" s="2" t="s">
        <v>3359</v>
      </c>
      <c r="H682" s="34" t="s">
        <v>822</v>
      </c>
      <c r="I682" s="2" t="s">
        <v>24</v>
      </c>
      <c r="J682" s="2" t="s">
        <v>24</v>
      </c>
      <c r="K682" s="2" t="s">
        <v>24</v>
      </c>
      <c r="L682" s="2" t="s">
        <v>24</v>
      </c>
    </row>
    <row r="683" customFormat="false" ht="15" hidden="false" customHeight="false" outlineLevel="0" collapsed="false">
      <c r="A683" s="2" t="s">
        <v>780</v>
      </c>
      <c r="B683" s="13" t="s">
        <v>779</v>
      </c>
      <c r="C683" s="13" t="s">
        <v>82</v>
      </c>
      <c r="D683" s="13" t="s">
        <v>4078</v>
      </c>
      <c r="E683" s="13" t="s">
        <v>127</v>
      </c>
      <c r="F683" s="2" t="s">
        <v>47</v>
      </c>
      <c r="G683" s="2" t="s">
        <v>3364</v>
      </c>
      <c r="H683" s="34" t="s">
        <v>822</v>
      </c>
      <c r="I683" s="2" t="s">
        <v>24</v>
      </c>
      <c r="J683" s="2" t="s">
        <v>24</v>
      </c>
      <c r="K683" s="2" t="s">
        <v>24</v>
      </c>
      <c r="L683" s="2" t="s">
        <v>24</v>
      </c>
    </row>
    <row r="684" customFormat="false" ht="15" hidden="false" customHeight="false" outlineLevel="0" collapsed="false">
      <c r="A684" s="2" t="s">
        <v>1394</v>
      </c>
      <c r="B684" s="14" t="s">
        <v>1393</v>
      </c>
      <c r="C684" s="13" t="s">
        <v>77</v>
      </c>
      <c r="D684" s="13" t="s">
        <v>4079</v>
      </c>
      <c r="E684" s="13" t="s">
        <v>102</v>
      </c>
      <c r="F684" s="2" t="s">
        <v>99</v>
      </c>
      <c r="G684" s="2" t="s">
        <v>3355</v>
      </c>
      <c r="H684" s="39" t="s">
        <v>832</v>
      </c>
      <c r="I684" s="2" t="s">
        <v>22</v>
      </c>
      <c r="J684" s="2" t="s">
        <v>24</v>
      </c>
      <c r="K684" s="2" t="s">
        <v>24</v>
      </c>
      <c r="L684" s="2" t="s">
        <v>24</v>
      </c>
    </row>
    <row r="685" customFormat="false" ht="15" hidden="false" customHeight="false" outlineLevel="0" collapsed="false">
      <c r="A685" s="2" t="s">
        <v>212</v>
      </c>
      <c r="B685" s="13" t="s">
        <v>211</v>
      </c>
      <c r="C685" s="13" t="s">
        <v>123</v>
      </c>
      <c r="D685" s="13" t="s">
        <v>4080</v>
      </c>
      <c r="E685" s="13" t="s">
        <v>105</v>
      </c>
      <c r="F685" s="2" t="s">
        <v>99</v>
      </c>
      <c r="G685" s="2" t="s">
        <v>3359</v>
      </c>
      <c r="H685" s="34" t="s">
        <v>822</v>
      </c>
      <c r="I685" s="2" t="s">
        <v>24</v>
      </c>
      <c r="J685" s="2" t="s">
        <v>24</v>
      </c>
      <c r="K685" s="2" t="s">
        <v>24</v>
      </c>
      <c r="L685" s="2" t="s">
        <v>24</v>
      </c>
    </row>
    <row r="686" customFormat="false" ht="15" hidden="false" customHeight="false" outlineLevel="0" collapsed="false">
      <c r="A686" s="2" t="s">
        <v>336</v>
      </c>
      <c r="B686" s="13" t="s">
        <v>335</v>
      </c>
      <c r="C686" s="13" t="s">
        <v>72</v>
      </c>
      <c r="D686" s="13" t="s">
        <v>4081</v>
      </c>
      <c r="E686" s="13" t="s">
        <v>73</v>
      </c>
      <c r="F686" s="2" t="s">
        <v>99</v>
      </c>
      <c r="G686" s="2" t="s">
        <v>3359</v>
      </c>
      <c r="H686" s="34" t="s">
        <v>822</v>
      </c>
      <c r="I686" s="2" t="s">
        <v>24</v>
      </c>
      <c r="J686" s="2" t="s">
        <v>24</v>
      </c>
      <c r="K686" s="2" t="s">
        <v>24</v>
      </c>
      <c r="L686" s="2" t="s">
        <v>24</v>
      </c>
    </row>
    <row r="687" customFormat="false" ht="15" hidden="false" customHeight="false" outlineLevel="0" collapsed="false">
      <c r="A687" s="2" t="s">
        <v>254</v>
      </c>
      <c r="B687" s="13" t="s">
        <v>253</v>
      </c>
      <c r="C687" s="13" t="s">
        <v>95</v>
      </c>
      <c r="D687" s="13" t="s">
        <v>4082</v>
      </c>
      <c r="E687" s="13" t="s">
        <v>154</v>
      </c>
      <c r="F687" s="2" t="s">
        <v>99</v>
      </c>
      <c r="G687" s="2" t="s">
        <v>3359</v>
      </c>
      <c r="H687" s="34" t="s">
        <v>822</v>
      </c>
      <c r="I687" s="2" t="s">
        <v>24</v>
      </c>
      <c r="J687" s="2" t="s">
        <v>24</v>
      </c>
      <c r="K687" s="2" t="s">
        <v>24</v>
      </c>
      <c r="L687" s="2" t="s">
        <v>24</v>
      </c>
    </row>
    <row r="688" customFormat="false" ht="15" hidden="false" customHeight="false" outlineLevel="0" collapsed="false">
      <c r="A688" s="2" t="s">
        <v>372</v>
      </c>
      <c r="B688" s="13" t="s">
        <v>371</v>
      </c>
      <c r="C688" s="13" t="s">
        <v>95</v>
      </c>
      <c r="D688" s="13" t="s">
        <v>4083</v>
      </c>
      <c r="E688" s="13" t="s">
        <v>102</v>
      </c>
      <c r="F688" s="2" t="s">
        <v>99</v>
      </c>
      <c r="G688" s="2" t="s">
        <v>3359</v>
      </c>
      <c r="H688" s="34" t="s">
        <v>822</v>
      </c>
      <c r="I688" s="2" t="s">
        <v>24</v>
      </c>
      <c r="J688" s="2" t="s">
        <v>24</v>
      </c>
      <c r="K688" s="2" t="s">
        <v>24</v>
      </c>
      <c r="L688" s="2" t="s">
        <v>24</v>
      </c>
    </row>
    <row r="689" customFormat="false" ht="15" hidden="false" customHeight="false" outlineLevel="0" collapsed="false">
      <c r="A689" s="2" t="s">
        <v>1938</v>
      </c>
      <c r="B689" s="13" t="s">
        <v>1937</v>
      </c>
      <c r="C689" s="16"/>
      <c r="D689" s="13" t="s">
        <v>4084</v>
      </c>
      <c r="E689" s="13" t="s">
        <v>154</v>
      </c>
      <c r="F689" s="2" t="s">
        <v>46</v>
      </c>
      <c r="G689" s="2" t="s">
        <v>3364</v>
      </c>
      <c r="H689" s="39" t="s">
        <v>832</v>
      </c>
      <c r="I689" s="2" t="s">
        <v>24</v>
      </c>
      <c r="J689" s="2"/>
      <c r="K689" s="2" t="s">
        <v>24</v>
      </c>
      <c r="L689" s="2" t="s">
        <v>24</v>
      </c>
    </row>
    <row r="690" customFormat="false" ht="15" hidden="false" customHeight="false" outlineLevel="0" collapsed="false">
      <c r="A690" s="2" t="s">
        <v>101</v>
      </c>
      <c r="B690" s="14" t="s">
        <v>100</v>
      </c>
      <c r="C690" s="13" t="s">
        <v>72</v>
      </c>
      <c r="D690" s="13" t="s">
        <v>4085</v>
      </c>
      <c r="E690" s="13" t="s">
        <v>102</v>
      </c>
      <c r="F690" s="2" t="s">
        <v>46</v>
      </c>
      <c r="G690" s="2" t="s">
        <v>3364</v>
      </c>
      <c r="H690" s="34" t="s">
        <v>822</v>
      </c>
      <c r="I690" s="2" t="s">
        <v>22</v>
      </c>
      <c r="J690" s="2" t="s">
        <v>24</v>
      </c>
      <c r="K690" s="2" t="s">
        <v>24</v>
      </c>
      <c r="L690" s="2" t="s">
        <v>24</v>
      </c>
    </row>
    <row r="691" customFormat="false" ht="15" hidden="false" customHeight="false" outlineLevel="0" collapsed="false">
      <c r="A691" s="2" t="s">
        <v>620</v>
      </c>
      <c r="B691" s="13" t="s">
        <v>619</v>
      </c>
      <c r="C691" s="13" t="s">
        <v>115</v>
      </c>
      <c r="D691" s="13" t="s">
        <v>4086</v>
      </c>
      <c r="E691" s="13" t="s">
        <v>83</v>
      </c>
      <c r="F691" s="2" t="s">
        <v>99</v>
      </c>
      <c r="G691" s="2" t="s">
        <v>3359</v>
      </c>
      <c r="H691" s="34" t="s">
        <v>822</v>
      </c>
      <c r="I691" s="2" t="s">
        <v>24</v>
      </c>
      <c r="J691" s="2" t="s">
        <v>24</v>
      </c>
      <c r="K691" s="2" t="s">
        <v>24</v>
      </c>
      <c r="L691" s="2" t="s">
        <v>24</v>
      </c>
    </row>
    <row r="692" customFormat="false" ht="15" hidden="false" customHeight="false" outlineLevel="0" collapsed="false">
      <c r="A692" s="2" t="s">
        <v>514</v>
      </c>
      <c r="B692" s="13" t="s">
        <v>513</v>
      </c>
      <c r="C692" s="13" t="s">
        <v>72</v>
      </c>
      <c r="D692" s="13" t="s">
        <v>4087</v>
      </c>
      <c r="E692" s="13" t="s">
        <v>154</v>
      </c>
      <c r="F692" s="2" t="s">
        <v>99</v>
      </c>
      <c r="G692" s="2" t="s">
        <v>3359</v>
      </c>
      <c r="H692" s="34" t="s">
        <v>822</v>
      </c>
      <c r="I692" s="2" t="s">
        <v>24</v>
      </c>
      <c r="J692" s="2" t="s">
        <v>24</v>
      </c>
      <c r="K692" s="2" t="s">
        <v>24</v>
      </c>
      <c r="L692" s="2" t="s">
        <v>24</v>
      </c>
    </row>
    <row r="693" customFormat="false" ht="15" hidden="false" customHeight="false" outlineLevel="0" collapsed="false">
      <c r="A693" s="2" t="s">
        <v>712</v>
      </c>
      <c r="B693" s="13" t="s">
        <v>711</v>
      </c>
      <c r="C693" s="13" t="s">
        <v>123</v>
      </c>
      <c r="D693" s="13" t="s">
        <v>4088</v>
      </c>
      <c r="E693" s="13" t="s">
        <v>78</v>
      </c>
      <c r="F693" s="2" t="s">
        <v>46</v>
      </c>
      <c r="G693" s="2" t="s">
        <v>3364</v>
      </c>
      <c r="H693" s="34" t="s">
        <v>822</v>
      </c>
      <c r="I693" s="2" t="s">
        <v>24</v>
      </c>
      <c r="J693" s="2" t="s">
        <v>24</v>
      </c>
      <c r="K693" s="2" t="s">
        <v>24</v>
      </c>
      <c r="L693" s="2" t="s">
        <v>24</v>
      </c>
    </row>
    <row r="694" customFormat="false" ht="15" hidden="false" customHeight="false" outlineLevel="0" collapsed="false">
      <c r="A694" s="2" t="s">
        <v>2194</v>
      </c>
      <c r="B694" s="13" t="s">
        <v>2193</v>
      </c>
      <c r="C694" s="13" t="s">
        <v>77</v>
      </c>
      <c r="D694" s="14" t="s">
        <v>4089</v>
      </c>
      <c r="E694" s="13" t="s">
        <v>105</v>
      </c>
      <c r="F694" s="2" t="s">
        <v>99</v>
      </c>
      <c r="G694" s="2" t="s">
        <v>3355</v>
      </c>
      <c r="H694" s="39" t="s">
        <v>832</v>
      </c>
      <c r="I694" s="2" t="s">
        <v>24</v>
      </c>
      <c r="J694" s="2" t="s">
        <v>24</v>
      </c>
      <c r="K694" s="2" t="s">
        <v>22</v>
      </c>
      <c r="L694" s="2" t="s">
        <v>24</v>
      </c>
    </row>
    <row r="695" customFormat="false" ht="15" hidden="false" customHeight="false" outlineLevel="0" collapsed="false">
      <c r="A695" s="2" t="s">
        <v>310</v>
      </c>
      <c r="B695" s="13" t="s">
        <v>309</v>
      </c>
      <c r="C695" s="13" t="s">
        <v>98</v>
      </c>
      <c r="D695" s="13" t="s">
        <v>4090</v>
      </c>
      <c r="E695" s="13" t="s">
        <v>154</v>
      </c>
      <c r="F695" s="2" t="s">
        <v>99</v>
      </c>
      <c r="G695" s="2" t="s">
        <v>3359</v>
      </c>
      <c r="H695" s="34" t="s">
        <v>822</v>
      </c>
      <c r="I695" s="2" t="s">
        <v>24</v>
      </c>
      <c r="J695" s="2" t="s">
        <v>24</v>
      </c>
      <c r="K695" s="2" t="s">
        <v>24</v>
      </c>
      <c r="L695" s="2" t="s">
        <v>24</v>
      </c>
    </row>
    <row r="696" customFormat="false" ht="15" hidden="false" customHeight="false" outlineLevel="0" collapsed="false">
      <c r="A696" s="2" t="s">
        <v>446</v>
      </c>
      <c r="B696" s="13" t="s">
        <v>445</v>
      </c>
      <c r="C696" s="13" t="s">
        <v>95</v>
      </c>
      <c r="D696" s="13" t="s">
        <v>4091</v>
      </c>
      <c r="E696" s="13" t="s">
        <v>73</v>
      </c>
      <c r="F696" s="2" t="s">
        <v>149</v>
      </c>
      <c r="G696" s="2" t="s">
        <v>3376</v>
      </c>
      <c r="H696" s="34" t="s">
        <v>822</v>
      </c>
      <c r="I696" s="2" t="s">
        <v>24</v>
      </c>
      <c r="J696" s="2" t="s">
        <v>24</v>
      </c>
      <c r="K696" s="2" t="s">
        <v>24</v>
      </c>
      <c r="L696" s="2" t="s">
        <v>24</v>
      </c>
    </row>
    <row r="697" customFormat="false" ht="15" hidden="false" customHeight="false" outlineLevel="0" collapsed="false">
      <c r="A697" s="2" t="s">
        <v>1325</v>
      </c>
      <c r="B697" s="13" t="s">
        <v>1324</v>
      </c>
      <c r="C697" s="13" t="s">
        <v>95</v>
      </c>
      <c r="D697" s="13" t="s">
        <v>4092</v>
      </c>
      <c r="E697" s="13" t="s">
        <v>83</v>
      </c>
      <c r="F697" s="2" t="s">
        <v>99</v>
      </c>
      <c r="G697" s="2" t="s">
        <v>3355</v>
      </c>
      <c r="H697" s="39" t="s">
        <v>832</v>
      </c>
      <c r="I697" s="2" t="s">
        <v>24</v>
      </c>
      <c r="J697" s="2" t="s">
        <v>24</v>
      </c>
      <c r="K697" s="2" t="s">
        <v>24</v>
      </c>
      <c r="L697" s="2" t="s">
        <v>24</v>
      </c>
    </row>
    <row r="698" customFormat="false" ht="15" hidden="false" customHeight="false" outlineLevel="0" collapsed="false">
      <c r="A698" s="2" t="s">
        <v>1546</v>
      </c>
      <c r="B698" s="13" t="s">
        <v>1545</v>
      </c>
      <c r="C698" s="13" t="s">
        <v>98</v>
      </c>
      <c r="D698" s="13" t="s">
        <v>4093</v>
      </c>
      <c r="E698" s="13" t="s">
        <v>87</v>
      </c>
      <c r="F698" s="2" t="s">
        <v>99</v>
      </c>
      <c r="G698" s="2" t="s">
        <v>3355</v>
      </c>
      <c r="H698" s="39" t="s">
        <v>832</v>
      </c>
      <c r="I698" s="2" t="s">
        <v>24</v>
      </c>
      <c r="J698" s="2" t="s">
        <v>24</v>
      </c>
      <c r="K698" s="2" t="s">
        <v>24</v>
      </c>
      <c r="L698" s="2" t="s">
        <v>24</v>
      </c>
    </row>
    <row r="699" customFormat="false" ht="15" hidden="false" customHeight="false" outlineLevel="0" collapsed="false">
      <c r="A699" s="2" t="s">
        <v>140</v>
      </c>
      <c r="B699" s="13" t="s">
        <v>139</v>
      </c>
      <c r="C699" s="14" t="s">
        <v>77</v>
      </c>
      <c r="D699" s="13" t="s">
        <v>4094</v>
      </c>
      <c r="E699" s="13" t="s">
        <v>120</v>
      </c>
      <c r="F699" s="2" t="s">
        <v>47</v>
      </c>
      <c r="G699" s="2" t="s">
        <v>3364</v>
      </c>
      <c r="H699" s="34" t="s">
        <v>822</v>
      </c>
      <c r="I699" s="2" t="s">
        <v>24</v>
      </c>
      <c r="J699" s="2" t="s">
        <v>22</v>
      </c>
      <c r="K699" s="2" t="s">
        <v>24</v>
      </c>
      <c r="L699" s="2" t="s">
        <v>24</v>
      </c>
    </row>
    <row r="700" customFormat="false" ht="15" hidden="false" customHeight="false" outlineLevel="0" collapsed="false">
      <c r="A700" s="2" t="s">
        <v>386</v>
      </c>
      <c r="B700" s="14" t="s">
        <v>385</v>
      </c>
      <c r="C700" s="14" t="s">
        <v>95</v>
      </c>
      <c r="D700" s="14" t="s">
        <v>4095</v>
      </c>
      <c r="E700" s="14" t="s">
        <v>83</v>
      </c>
      <c r="F700" s="2" t="s">
        <v>99</v>
      </c>
      <c r="G700" s="2" t="s">
        <v>3359</v>
      </c>
      <c r="H700" s="34" t="s">
        <v>822</v>
      </c>
      <c r="I700" s="2" t="s">
        <v>22</v>
      </c>
      <c r="J700" s="2" t="s">
        <v>22</v>
      </c>
      <c r="K700" s="2" t="s">
        <v>22</v>
      </c>
      <c r="L700" s="2" t="s">
        <v>22</v>
      </c>
    </row>
    <row r="701" customFormat="false" ht="15" hidden="false" customHeight="false" outlineLevel="0" collapsed="false">
      <c r="A701" s="2" t="s">
        <v>830</v>
      </c>
      <c r="B701" s="13" t="s">
        <v>829</v>
      </c>
      <c r="C701" s="13" t="s">
        <v>115</v>
      </c>
      <c r="D701" s="13" t="s">
        <v>4096</v>
      </c>
      <c r="E701" s="13" t="s">
        <v>78</v>
      </c>
      <c r="F701" s="2" t="s">
        <v>99</v>
      </c>
      <c r="G701" s="2" t="s">
        <v>3355</v>
      </c>
      <c r="H701" s="39" t="s">
        <v>832</v>
      </c>
      <c r="I701" s="2" t="s">
        <v>24</v>
      </c>
      <c r="J701" s="2" t="s">
        <v>24</v>
      </c>
      <c r="K701" s="2" t="s">
        <v>24</v>
      </c>
      <c r="L701" s="2" t="s">
        <v>24</v>
      </c>
    </row>
    <row r="702" customFormat="false" ht="15" hidden="false" customHeight="false" outlineLevel="0" collapsed="false">
      <c r="A702" s="2" t="s">
        <v>616</v>
      </c>
      <c r="B702" s="13" t="s">
        <v>615</v>
      </c>
      <c r="C702" s="13" t="s">
        <v>82</v>
      </c>
      <c r="D702" s="13" t="s">
        <v>4097</v>
      </c>
      <c r="E702" s="13" t="s">
        <v>102</v>
      </c>
      <c r="F702" s="2" t="s">
        <v>99</v>
      </c>
      <c r="G702" s="2" t="s">
        <v>3359</v>
      </c>
      <c r="H702" s="34" t="s">
        <v>822</v>
      </c>
      <c r="I702" s="2" t="s">
        <v>24</v>
      </c>
      <c r="J702" s="2" t="s">
        <v>24</v>
      </c>
      <c r="K702" s="2" t="s">
        <v>24</v>
      </c>
      <c r="L702" s="2" t="s">
        <v>24</v>
      </c>
    </row>
    <row r="703" customFormat="false" ht="15" hidden="false" customHeight="false" outlineLevel="0" collapsed="false">
      <c r="A703" s="2" t="s">
        <v>1506</v>
      </c>
      <c r="B703" s="13" t="s">
        <v>1505</v>
      </c>
      <c r="C703" s="13" t="s">
        <v>72</v>
      </c>
      <c r="D703" s="16"/>
      <c r="E703" s="13" t="s">
        <v>78</v>
      </c>
      <c r="F703" s="2" t="s">
        <v>99</v>
      </c>
      <c r="G703" s="2" t="s">
        <v>3355</v>
      </c>
      <c r="H703" s="39" t="s">
        <v>832</v>
      </c>
      <c r="I703" s="2" t="s">
        <v>24</v>
      </c>
      <c r="J703" s="2" t="s">
        <v>24</v>
      </c>
      <c r="K703" s="2"/>
      <c r="L703" s="2" t="s">
        <v>24</v>
      </c>
    </row>
    <row r="704" customFormat="false" ht="15" hidden="false" customHeight="false" outlineLevel="0" collapsed="false">
      <c r="A704" s="2" t="s">
        <v>2771</v>
      </c>
      <c r="B704" s="13" t="s">
        <v>2770</v>
      </c>
      <c r="C704" s="13" t="s">
        <v>72</v>
      </c>
      <c r="D704" s="14" t="s">
        <v>4098</v>
      </c>
      <c r="E704" s="13" t="s">
        <v>73</v>
      </c>
      <c r="F704" s="2" t="s">
        <v>106</v>
      </c>
      <c r="G704" s="2" t="s">
        <v>3361</v>
      </c>
      <c r="H704" s="39" t="s">
        <v>832</v>
      </c>
      <c r="I704" s="2" t="s">
        <v>24</v>
      </c>
      <c r="J704" s="2" t="s">
        <v>24</v>
      </c>
      <c r="K704" s="2" t="s">
        <v>22</v>
      </c>
      <c r="L704" s="2" t="s">
        <v>24</v>
      </c>
    </row>
    <row r="705" customFormat="false" ht="15" hidden="false" customHeight="false" outlineLevel="0" collapsed="false">
      <c r="A705" s="2" t="s">
        <v>986</v>
      </c>
      <c r="B705" s="13" t="s">
        <v>985</v>
      </c>
      <c r="C705" s="13" t="s">
        <v>82</v>
      </c>
      <c r="D705" s="13" t="s">
        <v>4099</v>
      </c>
      <c r="E705" s="13" t="s">
        <v>102</v>
      </c>
      <c r="F705" s="2" t="s">
        <v>99</v>
      </c>
      <c r="G705" s="2" t="s">
        <v>3369</v>
      </c>
      <c r="H705" s="39" t="s">
        <v>832</v>
      </c>
      <c r="I705" s="2" t="s">
        <v>24</v>
      </c>
      <c r="J705" s="2" t="s">
        <v>24</v>
      </c>
      <c r="K705" s="2" t="s">
        <v>24</v>
      </c>
      <c r="L705" s="2" t="s">
        <v>24</v>
      </c>
    </row>
    <row r="706" customFormat="false" ht="15" hidden="false" customHeight="false" outlineLevel="0" collapsed="false">
      <c r="A706" s="2" t="s">
        <v>786</v>
      </c>
      <c r="B706" s="13" t="s">
        <v>785</v>
      </c>
      <c r="C706" s="13" t="s">
        <v>115</v>
      </c>
      <c r="D706" s="14" t="s">
        <v>4100</v>
      </c>
      <c r="E706" s="14" t="s">
        <v>127</v>
      </c>
      <c r="F706" s="2" t="s">
        <v>46</v>
      </c>
      <c r="G706" s="2" t="s">
        <v>3364</v>
      </c>
      <c r="H706" s="34" t="s">
        <v>822</v>
      </c>
      <c r="I706" s="2" t="s">
        <v>24</v>
      </c>
      <c r="J706" s="2" t="s">
        <v>24</v>
      </c>
      <c r="K706" s="2" t="s">
        <v>22</v>
      </c>
      <c r="L706" s="2" t="s">
        <v>22</v>
      </c>
    </row>
    <row r="707" customFormat="false" ht="15" hidden="false" customHeight="false" outlineLevel="0" collapsed="false">
      <c r="A707" s="2" t="s">
        <v>945</v>
      </c>
      <c r="B707" s="13" t="s">
        <v>944</v>
      </c>
      <c r="C707" s="13" t="s">
        <v>123</v>
      </c>
      <c r="D707" s="13" t="s">
        <v>4101</v>
      </c>
      <c r="E707" s="13" t="s">
        <v>105</v>
      </c>
      <c r="F707" s="2" t="s">
        <v>99</v>
      </c>
      <c r="G707" s="2" t="s">
        <v>3355</v>
      </c>
      <c r="H707" s="39" t="s">
        <v>832</v>
      </c>
      <c r="I707" s="2" t="s">
        <v>24</v>
      </c>
      <c r="J707" s="2" t="s">
        <v>24</v>
      </c>
      <c r="K707" s="2" t="s">
        <v>24</v>
      </c>
      <c r="L707" s="2" t="s">
        <v>24</v>
      </c>
    </row>
    <row r="708" customFormat="false" ht="15" hidden="false" customHeight="false" outlineLevel="0" collapsed="false">
      <c r="A708" s="2" t="s">
        <v>480</v>
      </c>
      <c r="B708" s="13" t="s">
        <v>479</v>
      </c>
      <c r="C708" s="13" t="s">
        <v>91</v>
      </c>
      <c r="D708" s="13" t="s">
        <v>4102</v>
      </c>
      <c r="E708" s="13" t="s">
        <v>87</v>
      </c>
      <c r="F708" s="2" t="s">
        <v>99</v>
      </c>
      <c r="G708" s="2" t="s">
        <v>3359</v>
      </c>
      <c r="H708" s="34" t="s">
        <v>822</v>
      </c>
      <c r="I708" s="2" t="s">
        <v>24</v>
      </c>
      <c r="J708" s="2" t="s">
        <v>24</v>
      </c>
      <c r="K708" s="2" t="s">
        <v>24</v>
      </c>
      <c r="L708" s="2" t="s">
        <v>24</v>
      </c>
    </row>
    <row r="709" customFormat="false" ht="15" hidden="false" customHeight="false" outlineLevel="0" collapsed="false">
      <c r="A709" s="2" t="s">
        <v>418</v>
      </c>
      <c r="B709" s="13" t="s">
        <v>417</v>
      </c>
      <c r="C709" s="13" t="s">
        <v>72</v>
      </c>
      <c r="D709" s="13" t="s">
        <v>4103</v>
      </c>
      <c r="E709" s="13" t="s">
        <v>127</v>
      </c>
      <c r="F709" s="2" t="s">
        <v>47</v>
      </c>
      <c r="G709" s="2" t="s">
        <v>3364</v>
      </c>
      <c r="H709" s="34" t="s">
        <v>822</v>
      </c>
      <c r="I709" s="2" t="s">
        <v>24</v>
      </c>
      <c r="J709" s="2" t="s">
        <v>24</v>
      </c>
      <c r="K709" s="2" t="s">
        <v>24</v>
      </c>
      <c r="L709" s="2" t="s">
        <v>24</v>
      </c>
    </row>
    <row r="710" customFormat="false" ht="15" hidden="false" customHeight="false" outlineLevel="0" collapsed="false">
      <c r="A710" s="2" t="s">
        <v>1144</v>
      </c>
      <c r="B710" s="13" t="s">
        <v>1143</v>
      </c>
      <c r="C710" s="13" t="s">
        <v>123</v>
      </c>
      <c r="D710" s="13" t="s">
        <v>4104</v>
      </c>
      <c r="E710" s="13" t="s">
        <v>102</v>
      </c>
      <c r="F710" s="2" t="s">
        <v>99</v>
      </c>
      <c r="G710" s="2" t="s">
        <v>3355</v>
      </c>
      <c r="H710" s="39" t="s">
        <v>832</v>
      </c>
      <c r="I710" s="2" t="s">
        <v>24</v>
      </c>
      <c r="J710" s="2" t="s">
        <v>24</v>
      </c>
      <c r="K710" s="2" t="s">
        <v>24</v>
      </c>
      <c r="L710" s="2" t="s">
        <v>24</v>
      </c>
    </row>
    <row r="711" customFormat="false" ht="15" hidden="false" customHeight="false" outlineLevel="0" collapsed="false">
      <c r="A711" s="2" t="s">
        <v>2768</v>
      </c>
      <c r="B711" s="13" t="s">
        <v>2767</v>
      </c>
      <c r="C711" s="13" t="s">
        <v>162</v>
      </c>
      <c r="D711" s="13" t="s">
        <v>4105</v>
      </c>
      <c r="E711" s="13" t="s">
        <v>105</v>
      </c>
      <c r="F711" s="2" t="s">
        <v>99</v>
      </c>
      <c r="G711" s="2" t="s">
        <v>3369</v>
      </c>
      <c r="H711" s="39" t="s">
        <v>832</v>
      </c>
      <c r="I711" s="2" t="s">
        <v>24</v>
      </c>
      <c r="J711" s="2" t="s">
        <v>24</v>
      </c>
      <c r="K711" s="2" t="s">
        <v>24</v>
      </c>
      <c r="L711" s="2" t="s">
        <v>24</v>
      </c>
    </row>
    <row r="712" customFormat="false" ht="15" hidden="false" customHeight="false" outlineLevel="0" collapsed="false">
      <c r="A712" s="2" t="s">
        <v>804</v>
      </c>
      <c r="B712" s="13" t="s">
        <v>803</v>
      </c>
      <c r="C712" s="13" t="s">
        <v>86</v>
      </c>
      <c r="D712" s="13" t="s">
        <v>4106</v>
      </c>
      <c r="E712" s="13" t="s">
        <v>105</v>
      </c>
      <c r="F712" s="2" t="s">
        <v>47</v>
      </c>
      <c r="G712" s="2" t="s">
        <v>3364</v>
      </c>
      <c r="H712" s="34" t="s">
        <v>822</v>
      </c>
      <c r="I712" s="2" t="s">
        <v>24</v>
      </c>
      <c r="J712" s="2" t="s">
        <v>24</v>
      </c>
      <c r="K712" s="2" t="s">
        <v>24</v>
      </c>
      <c r="L712" s="2" t="s">
        <v>24</v>
      </c>
    </row>
    <row r="713" customFormat="false" ht="15" hidden="false" customHeight="false" outlineLevel="0" collapsed="false">
      <c r="A713" s="2" t="s">
        <v>676</v>
      </c>
      <c r="B713" s="13" t="s">
        <v>675</v>
      </c>
      <c r="C713" s="13" t="s">
        <v>91</v>
      </c>
      <c r="D713" s="13" t="s">
        <v>4107</v>
      </c>
      <c r="E713" s="13" t="s">
        <v>87</v>
      </c>
      <c r="F713" s="2" t="s">
        <v>92</v>
      </c>
      <c r="G713" s="2" t="s">
        <v>3376</v>
      </c>
      <c r="H713" s="34" t="s">
        <v>822</v>
      </c>
      <c r="I713" s="2" t="s">
        <v>24</v>
      </c>
      <c r="J713" s="2" t="s">
        <v>24</v>
      </c>
      <c r="K713" s="2" t="s">
        <v>24</v>
      </c>
      <c r="L713" s="2" t="s">
        <v>24</v>
      </c>
    </row>
    <row r="714" customFormat="false" ht="15" hidden="false" customHeight="false" outlineLevel="0" collapsed="false">
      <c r="A714" s="2" t="s">
        <v>352</v>
      </c>
      <c r="B714" s="13" t="s">
        <v>351</v>
      </c>
      <c r="C714" s="13" t="s">
        <v>86</v>
      </c>
      <c r="D714" s="13" t="s">
        <v>4108</v>
      </c>
      <c r="E714" s="13" t="s">
        <v>87</v>
      </c>
      <c r="F714" s="2" t="s">
        <v>149</v>
      </c>
      <c r="G714" s="2" t="s">
        <v>3376</v>
      </c>
      <c r="H714" s="34" t="s">
        <v>822</v>
      </c>
      <c r="I714" s="2" t="s">
        <v>24</v>
      </c>
      <c r="J714" s="2" t="s">
        <v>24</v>
      </c>
      <c r="K714" s="2" t="s">
        <v>24</v>
      </c>
      <c r="L714" s="2" t="s">
        <v>24</v>
      </c>
    </row>
    <row r="715" customFormat="false" ht="15" hidden="false" customHeight="false" outlineLevel="0" collapsed="false">
      <c r="A715" s="2" t="s">
        <v>246</v>
      </c>
      <c r="B715" s="13" t="s">
        <v>245</v>
      </c>
      <c r="C715" s="13" t="s">
        <v>91</v>
      </c>
      <c r="D715" s="14" t="s">
        <v>4109</v>
      </c>
      <c r="E715" s="13" t="s">
        <v>102</v>
      </c>
      <c r="F715" s="2" t="s">
        <v>106</v>
      </c>
      <c r="G715" s="2" t="s">
        <v>3376</v>
      </c>
      <c r="H715" s="34" t="s">
        <v>822</v>
      </c>
      <c r="I715" s="2" t="s">
        <v>24</v>
      </c>
      <c r="J715" s="2" t="s">
        <v>24</v>
      </c>
      <c r="K715" s="2" t="s">
        <v>22</v>
      </c>
      <c r="L715" s="2" t="s">
        <v>24</v>
      </c>
    </row>
    <row r="716" customFormat="false" ht="15" hidden="false" customHeight="false" outlineLevel="0" collapsed="false">
      <c r="A716" s="2" t="s">
        <v>584</v>
      </c>
      <c r="B716" s="13" t="s">
        <v>583</v>
      </c>
      <c r="C716" s="13" t="s">
        <v>162</v>
      </c>
      <c r="D716" s="13" t="s">
        <v>4110</v>
      </c>
      <c r="E716" s="13" t="s">
        <v>83</v>
      </c>
      <c r="F716" s="2" t="s">
        <v>99</v>
      </c>
      <c r="G716" s="2" t="s">
        <v>3359</v>
      </c>
      <c r="H716" s="34" t="s">
        <v>822</v>
      </c>
      <c r="I716" s="2" t="s">
        <v>24</v>
      </c>
      <c r="J716" s="2" t="s">
        <v>24</v>
      </c>
      <c r="K716" s="2" t="s">
        <v>24</v>
      </c>
      <c r="L716" s="2" t="s">
        <v>24</v>
      </c>
    </row>
    <row r="717" customFormat="false" ht="15" hidden="false" customHeight="false" outlineLevel="0" collapsed="false">
      <c r="A717" s="2" t="s">
        <v>144</v>
      </c>
      <c r="B717" s="13" t="s">
        <v>143</v>
      </c>
      <c r="C717" s="13" t="s">
        <v>98</v>
      </c>
      <c r="D717" s="13" t="s">
        <v>4111</v>
      </c>
      <c r="E717" s="13" t="s">
        <v>120</v>
      </c>
      <c r="F717" s="2" t="s">
        <v>99</v>
      </c>
      <c r="G717" s="2" t="s">
        <v>3359</v>
      </c>
      <c r="H717" s="34" t="s">
        <v>822</v>
      </c>
      <c r="I717" s="2" t="s">
        <v>24</v>
      </c>
      <c r="J717" s="2" t="s">
        <v>24</v>
      </c>
      <c r="K717" s="2" t="s">
        <v>24</v>
      </c>
      <c r="L717" s="2" t="s">
        <v>24</v>
      </c>
    </row>
    <row r="718" customFormat="false" ht="15" hidden="false" customHeight="false" outlineLevel="0" collapsed="false">
      <c r="A718" s="2" t="s">
        <v>2018</v>
      </c>
      <c r="B718" s="13" t="s">
        <v>2017</v>
      </c>
      <c r="C718" s="13" t="s">
        <v>123</v>
      </c>
      <c r="D718" s="14" t="s">
        <v>4112</v>
      </c>
      <c r="E718" s="13" t="s">
        <v>73</v>
      </c>
      <c r="F718" s="2" t="s">
        <v>149</v>
      </c>
      <c r="G718" s="2" t="s">
        <v>3361</v>
      </c>
      <c r="H718" s="39" t="s">
        <v>832</v>
      </c>
      <c r="I718" s="2" t="s">
        <v>24</v>
      </c>
      <c r="J718" s="2" t="s">
        <v>24</v>
      </c>
      <c r="K718" s="2" t="s">
        <v>22</v>
      </c>
      <c r="L718" s="2" t="s">
        <v>24</v>
      </c>
    </row>
    <row r="719" customFormat="false" ht="15" hidden="false" customHeight="false" outlineLevel="0" collapsed="false">
      <c r="A719" s="2" t="s">
        <v>790</v>
      </c>
      <c r="B719" s="13" t="s">
        <v>789</v>
      </c>
      <c r="C719" s="13" t="s">
        <v>77</v>
      </c>
      <c r="D719" s="13" t="s">
        <v>4113</v>
      </c>
      <c r="E719" s="13" t="s">
        <v>73</v>
      </c>
      <c r="F719" s="2" t="s">
        <v>149</v>
      </c>
      <c r="G719" s="2" t="s">
        <v>3376</v>
      </c>
      <c r="H719" s="34" t="s">
        <v>822</v>
      </c>
      <c r="I719" s="2" t="s">
        <v>24</v>
      </c>
      <c r="J719" s="2" t="s">
        <v>24</v>
      </c>
      <c r="K719" s="2" t="s">
        <v>24</v>
      </c>
      <c r="L719" s="2" t="s">
        <v>24</v>
      </c>
    </row>
    <row r="720" customFormat="false" ht="15" hidden="false" customHeight="false" outlineLevel="0" collapsed="false">
      <c r="A720" s="2" t="s">
        <v>286</v>
      </c>
      <c r="B720" s="13" t="s">
        <v>285</v>
      </c>
      <c r="C720" s="13" t="s">
        <v>72</v>
      </c>
      <c r="D720" s="13" t="s">
        <v>4114</v>
      </c>
      <c r="E720" s="13" t="s">
        <v>78</v>
      </c>
      <c r="F720" s="2" t="s">
        <v>99</v>
      </c>
      <c r="G720" s="2" t="s">
        <v>3359</v>
      </c>
      <c r="H720" s="34" t="s">
        <v>822</v>
      </c>
      <c r="I720" s="2" t="s">
        <v>24</v>
      </c>
      <c r="J720" s="2" t="s">
        <v>24</v>
      </c>
      <c r="K720" s="2" t="s">
        <v>24</v>
      </c>
      <c r="L720" s="2" t="s">
        <v>24</v>
      </c>
    </row>
    <row r="721" customFormat="false" ht="15" hidden="false" customHeight="false" outlineLevel="0" collapsed="false">
      <c r="A721" s="2" t="s">
        <v>3298</v>
      </c>
      <c r="B721" s="13" t="s">
        <v>4115</v>
      </c>
      <c r="C721" s="13" t="s">
        <v>91</v>
      </c>
      <c r="D721" s="13" t="s">
        <v>4116</v>
      </c>
      <c r="E721" s="13" t="s">
        <v>87</v>
      </c>
      <c r="F721" s="2" t="s">
        <v>46</v>
      </c>
      <c r="G721" s="2" t="s">
        <v>3395</v>
      </c>
      <c r="H721" s="39" t="s">
        <v>832</v>
      </c>
      <c r="I721" s="2" t="s">
        <v>24</v>
      </c>
      <c r="J721" s="2" t="s">
        <v>24</v>
      </c>
      <c r="K721" s="2" t="s">
        <v>24</v>
      </c>
      <c r="L721" s="2" t="s">
        <v>24</v>
      </c>
    </row>
    <row r="722" customFormat="false" ht="15" hidden="false" customHeight="false" outlineLevel="0" collapsed="false">
      <c r="A722" s="2" t="s">
        <v>1838</v>
      </c>
      <c r="B722" s="13" t="s">
        <v>1837</v>
      </c>
      <c r="C722" s="13" t="s">
        <v>123</v>
      </c>
      <c r="D722" s="14" t="s">
        <v>4117</v>
      </c>
      <c r="E722" s="13" t="s">
        <v>127</v>
      </c>
      <c r="F722" s="2" t="s">
        <v>99</v>
      </c>
      <c r="G722" s="2" t="s">
        <v>3355</v>
      </c>
      <c r="H722" s="39" t="s">
        <v>832</v>
      </c>
      <c r="I722" s="2" t="s">
        <v>24</v>
      </c>
      <c r="J722" s="2" t="s">
        <v>24</v>
      </c>
      <c r="K722" s="2" t="s">
        <v>22</v>
      </c>
      <c r="L722" s="2" t="s">
        <v>24</v>
      </c>
    </row>
    <row r="723" customFormat="false" ht="15" hidden="false" customHeight="false" outlineLevel="0" collapsed="false">
      <c r="A723" s="2" t="s">
        <v>151</v>
      </c>
      <c r="B723" s="13" t="s">
        <v>150</v>
      </c>
      <c r="C723" s="13" t="s">
        <v>77</v>
      </c>
      <c r="D723" s="13" t="s">
        <v>4118</v>
      </c>
      <c r="E723" s="13" t="s">
        <v>102</v>
      </c>
      <c r="F723" s="2" t="s">
        <v>99</v>
      </c>
      <c r="G723" s="2" t="s">
        <v>3359</v>
      </c>
      <c r="H723" s="34" t="s">
        <v>822</v>
      </c>
      <c r="I723" s="2" t="s">
        <v>24</v>
      </c>
      <c r="J723" s="2" t="s">
        <v>24</v>
      </c>
      <c r="K723" s="2" t="s">
        <v>24</v>
      </c>
      <c r="L723" s="2" t="s">
        <v>24</v>
      </c>
    </row>
    <row r="724" customFormat="false" ht="15" hidden="false" customHeight="false" outlineLevel="0" collapsed="false">
      <c r="A724" s="2" t="s">
        <v>174</v>
      </c>
      <c r="B724" s="13" t="s">
        <v>173</v>
      </c>
      <c r="C724" s="13" t="s">
        <v>91</v>
      </c>
      <c r="D724" s="14" t="s">
        <v>4119</v>
      </c>
      <c r="E724" s="13" t="s">
        <v>127</v>
      </c>
      <c r="F724" s="2" t="s">
        <v>47</v>
      </c>
      <c r="G724" s="2" t="s">
        <v>3364</v>
      </c>
      <c r="H724" s="34" t="s">
        <v>822</v>
      </c>
      <c r="I724" s="2" t="s">
        <v>24</v>
      </c>
      <c r="J724" s="2" t="s">
        <v>24</v>
      </c>
      <c r="K724" s="2" t="s">
        <v>22</v>
      </c>
      <c r="L724" s="2" t="s">
        <v>24</v>
      </c>
    </row>
    <row r="725" customFormat="false" ht="15" hidden="false" customHeight="false" outlineLevel="0" collapsed="false">
      <c r="A725" s="2" t="s">
        <v>2236</v>
      </c>
      <c r="B725" s="14" t="s">
        <v>2235</v>
      </c>
      <c r="C725" s="14" t="s">
        <v>98</v>
      </c>
      <c r="D725" s="14" t="s">
        <v>4120</v>
      </c>
      <c r="E725" s="14" t="s">
        <v>127</v>
      </c>
      <c r="F725" s="2" t="s">
        <v>106</v>
      </c>
      <c r="G725" s="2" t="s">
        <v>3361</v>
      </c>
      <c r="H725" s="39" t="s">
        <v>832</v>
      </c>
      <c r="I725" s="2" t="s">
        <v>22</v>
      </c>
      <c r="J725" s="2" t="s">
        <v>22</v>
      </c>
      <c r="K725" s="2" t="s">
        <v>22</v>
      </c>
      <c r="L725" s="2" t="s">
        <v>22</v>
      </c>
    </row>
    <row r="726" customFormat="false" ht="15" hidden="false" customHeight="false" outlineLevel="0" collapsed="false">
      <c r="A726" s="2" t="s">
        <v>758</v>
      </c>
      <c r="B726" s="13" t="s">
        <v>757</v>
      </c>
      <c r="C726" s="13" t="s">
        <v>123</v>
      </c>
      <c r="D726" s="14" t="s">
        <v>4121</v>
      </c>
      <c r="E726" s="13" t="s">
        <v>105</v>
      </c>
      <c r="F726" s="2" t="s">
        <v>47</v>
      </c>
      <c r="G726" s="2" t="s">
        <v>3364</v>
      </c>
      <c r="H726" s="34" t="s">
        <v>822</v>
      </c>
      <c r="I726" s="2" t="s">
        <v>24</v>
      </c>
      <c r="J726" s="2" t="s">
        <v>24</v>
      </c>
      <c r="K726" s="2" t="s">
        <v>22</v>
      </c>
      <c r="L726" s="2" t="s">
        <v>24</v>
      </c>
    </row>
    <row r="727" customFormat="false" ht="15" hidden="false" customHeight="false" outlineLevel="0" collapsed="false">
      <c r="A727" s="2" t="s">
        <v>85</v>
      </c>
      <c r="B727" s="13" t="s">
        <v>84</v>
      </c>
      <c r="C727" s="13" t="s">
        <v>86</v>
      </c>
      <c r="D727" s="13" t="s">
        <v>4122</v>
      </c>
      <c r="E727" s="13" t="s">
        <v>87</v>
      </c>
      <c r="F727" s="2" t="s">
        <v>45</v>
      </c>
      <c r="G727" s="2" t="s">
        <v>3364</v>
      </c>
      <c r="H727" s="34" t="s">
        <v>822</v>
      </c>
      <c r="I727" s="2" t="s">
        <v>24</v>
      </c>
      <c r="J727" s="2" t="s">
        <v>24</v>
      </c>
      <c r="K727" s="2" t="s">
        <v>24</v>
      </c>
      <c r="L727" s="2" t="s">
        <v>24</v>
      </c>
    </row>
    <row r="728" customFormat="false" ht="15" hidden="false" customHeight="false" outlineLevel="0" collapsed="false">
      <c r="A728" s="2" t="s">
        <v>1530</v>
      </c>
      <c r="B728" s="13" t="s">
        <v>1529</v>
      </c>
      <c r="C728" s="13" t="s">
        <v>98</v>
      </c>
      <c r="D728" s="13" t="s">
        <v>4123</v>
      </c>
      <c r="E728" s="13" t="s">
        <v>83</v>
      </c>
      <c r="F728" s="2" t="s">
        <v>99</v>
      </c>
      <c r="G728" s="2" t="s">
        <v>3355</v>
      </c>
      <c r="H728" s="39" t="s">
        <v>832</v>
      </c>
      <c r="I728" s="2" t="s">
        <v>24</v>
      </c>
      <c r="J728" s="2" t="s">
        <v>24</v>
      </c>
      <c r="K728" s="2" t="s">
        <v>24</v>
      </c>
      <c r="L728" s="2" t="s">
        <v>24</v>
      </c>
    </row>
    <row r="729" customFormat="false" ht="15" hidden="false" customHeight="false" outlineLevel="0" collapsed="false">
      <c r="A729" s="2" t="s">
        <v>1852</v>
      </c>
      <c r="B729" s="13" t="s">
        <v>1851</v>
      </c>
      <c r="C729" s="13" t="s">
        <v>91</v>
      </c>
      <c r="D729" s="13" t="s">
        <v>4124</v>
      </c>
      <c r="E729" s="13" t="s">
        <v>127</v>
      </c>
      <c r="F729" s="2" t="s">
        <v>106</v>
      </c>
      <c r="G729" s="2" t="s">
        <v>3361</v>
      </c>
      <c r="H729" s="39" t="s">
        <v>832</v>
      </c>
      <c r="I729" s="2" t="s">
        <v>24</v>
      </c>
      <c r="J729" s="2" t="s">
        <v>24</v>
      </c>
      <c r="K729" s="2" t="s">
        <v>24</v>
      </c>
      <c r="L729" s="2" t="s">
        <v>24</v>
      </c>
    </row>
    <row r="730" customFormat="false" ht="15" hidden="false" customHeight="false" outlineLevel="0" collapsed="false">
      <c r="A730" s="2" t="s">
        <v>268</v>
      </c>
      <c r="B730" s="13" t="s">
        <v>267</v>
      </c>
      <c r="C730" s="13" t="s">
        <v>91</v>
      </c>
      <c r="D730" s="14" t="s">
        <v>4125</v>
      </c>
      <c r="E730" s="13" t="s">
        <v>127</v>
      </c>
      <c r="F730" s="2" t="s">
        <v>92</v>
      </c>
      <c r="G730" s="2" t="s">
        <v>3376</v>
      </c>
      <c r="H730" s="34" t="s">
        <v>822</v>
      </c>
      <c r="I730" s="2" t="s">
        <v>24</v>
      </c>
      <c r="J730" s="2" t="s">
        <v>24</v>
      </c>
      <c r="K730" s="2" t="s">
        <v>22</v>
      </c>
      <c r="L730" s="2" t="s">
        <v>24</v>
      </c>
    </row>
    <row r="731" customFormat="false" ht="15" hidden="false" customHeight="false" outlineLevel="0" collapsed="false">
      <c r="A731" s="2" t="s">
        <v>3301</v>
      </c>
      <c r="B731" s="13" t="s">
        <v>4126</v>
      </c>
      <c r="C731" s="13" t="s">
        <v>77</v>
      </c>
      <c r="D731" s="16"/>
      <c r="E731" s="13" t="s">
        <v>154</v>
      </c>
      <c r="F731" s="2" t="s">
        <v>106</v>
      </c>
      <c r="G731" s="2" t="s">
        <v>3385</v>
      </c>
      <c r="H731" s="39" t="s">
        <v>832</v>
      </c>
      <c r="I731" s="2" t="s">
        <v>24</v>
      </c>
      <c r="J731" s="2" t="s">
        <v>24</v>
      </c>
      <c r="K731" s="2"/>
      <c r="L731" s="2" t="s">
        <v>24</v>
      </c>
    </row>
    <row r="732" customFormat="false" ht="15" hidden="false" customHeight="false" outlineLevel="0" collapsed="false">
      <c r="A732" s="2" t="s">
        <v>540</v>
      </c>
      <c r="B732" s="13" t="s">
        <v>539</v>
      </c>
      <c r="C732" s="13" t="s">
        <v>123</v>
      </c>
      <c r="D732" s="13" t="s">
        <v>4127</v>
      </c>
      <c r="E732" s="13" t="s">
        <v>120</v>
      </c>
      <c r="F732" s="2" t="s">
        <v>99</v>
      </c>
      <c r="G732" s="2" t="s">
        <v>3359</v>
      </c>
      <c r="H732" s="34" t="s">
        <v>822</v>
      </c>
      <c r="I732" s="2" t="s">
        <v>24</v>
      </c>
      <c r="J732" s="2" t="s">
        <v>24</v>
      </c>
      <c r="K732" s="2" t="s">
        <v>24</v>
      </c>
      <c r="L732" s="2" t="s">
        <v>24</v>
      </c>
    </row>
    <row r="733" customFormat="false" ht="15" hidden="false" customHeight="false" outlineLevel="0" collapsed="false">
      <c r="A733" s="2" t="s">
        <v>3303</v>
      </c>
      <c r="B733" s="13" t="s">
        <v>4128</v>
      </c>
      <c r="C733" s="13" t="s">
        <v>72</v>
      </c>
      <c r="D733" s="14" t="s">
        <v>4129</v>
      </c>
      <c r="E733" s="14" t="s">
        <v>120</v>
      </c>
      <c r="F733" s="2" t="s">
        <v>46</v>
      </c>
      <c r="G733" s="2" t="s">
        <v>3395</v>
      </c>
      <c r="H733" s="39" t="s">
        <v>832</v>
      </c>
      <c r="I733" s="2" t="s">
        <v>24</v>
      </c>
      <c r="J733" s="2" t="s">
        <v>24</v>
      </c>
      <c r="K733" s="2" t="s">
        <v>22</v>
      </c>
      <c r="L733" s="2" t="s">
        <v>22</v>
      </c>
    </row>
    <row r="734" customFormat="false" ht="15" hidden="false" customHeight="false" outlineLevel="0" collapsed="false">
      <c r="A734" s="2" t="s">
        <v>1849</v>
      </c>
      <c r="B734" s="13" t="s">
        <v>1848</v>
      </c>
      <c r="C734" s="13" t="s">
        <v>123</v>
      </c>
      <c r="D734" s="13" t="s">
        <v>4130</v>
      </c>
      <c r="E734" s="13" t="s">
        <v>127</v>
      </c>
      <c r="F734" s="2" t="s">
        <v>99</v>
      </c>
      <c r="G734" s="2" t="s">
        <v>3355</v>
      </c>
      <c r="H734" s="39" t="s">
        <v>832</v>
      </c>
      <c r="I734" s="2" t="s">
        <v>24</v>
      </c>
      <c r="J734" s="2" t="s">
        <v>24</v>
      </c>
      <c r="K734" s="2" t="s">
        <v>24</v>
      </c>
      <c r="L734" s="2" t="s">
        <v>24</v>
      </c>
    </row>
    <row r="735" customFormat="false" ht="15" hidden="false" customHeight="false" outlineLevel="0" collapsed="false">
      <c r="A735" s="2" t="s">
        <v>458</v>
      </c>
      <c r="B735" s="13" t="s">
        <v>457</v>
      </c>
      <c r="C735" s="13" t="s">
        <v>86</v>
      </c>
      <c r="D735" s="13" t="s">
        <v>4131</v>
      </c>
      <c r="E735" s="13" t="s">
        <v>127</v>
      </c>
      <c r="F735" s="2" t="s">
        <v>99</v>
      </c>
      <c r="G735" s="2" t="s">
        <v>3359</v>
      </c>
      <c r="H735" s="34" t="s">
        <v>822</v>
      </c>
      <c r="I735" s="2" t="s">
        <v>24</v>
      </c>
      <c r="J735" s="2" t="s">
        <v>24</v>
      </c>
      <c r="K735" s="2" t="s">
        <v>24</v>
      </c>
      <c r="L735" s="2" t="s">
        <v>24</v>
      </c>
    </row>
    <row r="736" customFormat="false" ht="15" hidden="false" customHeight="false" outlineLevel="0" collapsed="false">
      <c r="A736" s="2" t="s">
        <v>312</v>
      </c>
      <c r="B736" s="13" t="s">
        <v>311</v>
      </c>
      <c r="C736" s="13" t="s">
        <v>82</v>
      </c>
      <c r="D736" s="14" t="s">
        <v>4132</v>
      </c>
      <c r="E736" s="13" t="s">
        <v>78</v>
      </c>
      <c r="F736" s="2" t="s">
        <v>99</v>
      </c>
      <c r="G736" s="2" t="s">
        <v>3359</v>
      </c>
      <c r="H736" s="34" t="s">
        <v>822</v>
      </c>
      <c r="I736" s="2" t="s">
        <v>24</v>
      </c>
      <c r="J736" s="2" t="s">
        <v>24</v>
      </c>
      <c r="K736" s="2" t="s">
        <v>22</v>
      </c>
      <c r="L736" s="2" t="s">
        <v>24</v>
      </c>
    </row>
    <row r="737" customFormat="false" ht="15" hidden="false" customHeight="false" outlineLevel="0" collapsed="false">
      <c r="A737" s="2" t="s">
        <v>2679</v>
      </c>
      <c r="B737" s="13" t="s">
        <v>2678</v>
      </c>
      <c r="C737" s="14" t="s">
        <v>162</v>
      </c>
      <c r="D737" s="13" t="s">
        <v>4133</v>
      </c>
      <c r="E737" s="14" t="s">
        <v>127</v>
      </c>
      <c r="F737" s="2" t="s">
        <v>106</v>
      </c>
      <c r="G737" s="2" t="s">
        <v>3361</v>
      </c>
      <c r="H737" s="39" t="s">
        <v>832</v>
      </c>
      <c r="I737" s="2" t="s">
        <v>24</v>
      </c>
      <c r="J737" s="2" t="s">
        <v>22</v>
      </c>
      <c r="K737" s="2" t="s">
        <v>24</v>
      </c>
      <c r="L737" s="2" t="s">
        <v>22</v>
      </c>
    </row>
    <row r="738" customFormat="false" ht="15" hidden="false" customHeight="false" outlineLevel="0" collapsed="false">
      <c r="A738" s="2" t="s">
        <v>294</v>
      </c>
      <c r="B738" s="13" t="s">
        <v>293</v>
      </c>
      <c r="C738" s="13" t="s">
        <v>91</v>
      </c>
      <c r="D738" s="13" t="s">
        <v>4134</v>
      </c>
      <c r="E738" s="13" t="s">
        <v>154</v>
      </c>
      <c r="F738" s="2" t="s">
        <v>99</v>
      </c>
      <c r="G738" s="2" t="s">
        <v>3359</v>
      </c>
      <c r="H738" s="34" t="s">
        <v>822</v>
      </c>
      <c r="I738" s="2" t="s">
        <v>24</v>
      </c>
      <c r="J738" s="2" t="s">
        <v>24</v>
      </c>
      <c r="K738" s="2" t="s">
        <v>24</v>
      </c>
      <c r="L738" s="2" t="s">
        <v>24</v>
      </c>
    </row>
    <row r="739" customFormat="false" ht="15" hidden="false" customHeight="false" outlineLevel="0" collapsed="false">
      <c r="A739" s="2" t="s">
        <v>168</v>
      </c>
      <c r="B739" s="13" t="s">
        <v>167</v>
      </c>
      <c r="C739" s="13" t="s">
        <v>98</v>
      </c>
      <c r="D739" s="13" t="s">
        <v>4135</v>
      </c>
      <c r="E739" s="13" t="s">
        <v>87</v>
      </c>
      <c r="F739" s="2" t="s">
        <v>99</v>
      </c>
      <c r="G739" s="2" t="s">
        <v>3359</v>
      </c>
      <c r="H739" s="34" t="s">
        <v>822</v>
      </c>
      <c r="I739" s="2" t="s">
        <v>24</v>
      </c>
      <c r="J739" s="2" t="s">
        <v>24</v>
      </c>
      <c r="K739" s="2" t="s">
        <v>24</v>
      </c>
      <c r="L739" s="2" t="s">
        <v>24</v>
      </c>
    </row>
    <row r="740" customFormat="false" ht="15" hidden="false" customHeight="false" outlineLevel="0" collapsed="false">
      <c r="A740" s="2" t="s">
        <v>3306</v>
      </c>
      <c r="B740" s="13" t="s">
        <v>4136</v>
      </c>
      <c r="C740" s="13" t="s">
        <v>91</v>
      </c>
      <c r="D740" s="13" t="s">
        <v>4137</v>
      </c>
      <c r="E740" s="13" t="s">
        <v>127</v>
      </c>
      <c r="F740" s="2" t="s">
        <v>149</v>
      </c>
      <c r="G740" s="2" t="s">
        <v>3385</v>
      </c>
      <c r="H740" s="39" t="s">
        <v>832</v>
      </c>
      <c r="I740" s="2" t="s">
        <v>24</v>
      </c>
      <c r="J740" s="2" t="s">
        <v>24</v>
      </c>
      <c r="K740" s="2" t="s">
        <v>24</v>
      </c>
      <c r="L740" s="2" t="s">
        <v>24</v>
      </c>
    </row>
    <row r="741" customFormat="false" ht="15" hidden="false" customHeight="false" outlineLevel="0" collapsed="false">
      <c r="A741" s="2" t="s">
        <v>122</v>
      </c>
      <c r="B741" s="13" t="s">
        <v>121</v>
      </c>
      <c r="C741" s="13" t="s">
        <v>123</v>
      </c>
      <c r="D741" s="13" t="s">
        <v>4138</v>
      </c>
      <c r="E741" s="13" t="s">
        <v>124</v>
      </c>
      <c r="F741" s="2" t="s">
        <v>45</v>
      </c>
      <c r="G741" s="2" t="s">
        <v>3364</v>
      </c>
      <c r="H741" s="34" t="s">
        <v>822</v>
      </c>
      <c r="I741" s="2" t="s">
        <v>24</v>
      </c>
      <c r="J741" s="2" t="s">
        <v>24</v>
      </c>
      <c r="K741" s="2" t="s">
        <v>24</v>
      </c>
      <c r="L741" s="2" t="s">
        <v>24</v>
      </c>
    </row>
    <row r="742" customFormat="false" ht="15" hidden="false" customHeight="false" outlineLevel="0" collapsed="false">
      <c r="A742" s="2" t="s">
        <v>1571</v>
      </c>
      <c r="B742" s="13" t="s">
        <v>1570</v>
      </c>
      <c r="C742" s="13" t="s">
        <v>82</v>
      </c>
      <c r="D742" s="13" t="s">
        <v>4139</v>
      </c>
      <c r="E742" s="13" t="s">
        <v>127</v>
      </c>
      <c r="F742" s="2" t="s">
        <v>99</v>
      </c>
      <c r="G742" s="2" t="s">
        <v>3355</v>
      </c>
      <c r="H742" s="39" t="s">
        <v>832</v>
      </c>
      <c r="I742" s="2" t="s">
        <v>24</v>
      </c>
      <c r="J742" s="2" t="s">
        <v>24</v>
      </c>
      <c r="K742" s="2" t="s">
        <v>24</v>
      </c>
      <c r="L742" s="2" t="s">
        <v>24</v>
      </c>
    </row>
    <row r="743" customFormat="false" ht="15" hidden="false" customHeight="false" outlineLevel="0" collapsed="false">
      <c r="A743" s="2" t="s">
        <v>3309</v>
      </c>
      <c r="B743" s="14" t="s">
        <v>4140</v>
      </c>
      <c r="C743" s="14" t="s">
        <v>91</v>
      </c>
      <c r="D743" s="14" t="s">
        <v>4141</v>
      </c>
      <c r="E743" s="14" t="s">
        <v>124</v>
      </c>
      <c r="F743" s="2" t="s">
        <v>46</v>
      </c>
      <c r="G743" s="2" t="s">
        <v>3395</v>
      </c>
      <c r="H743" s="39" t="s">
        <v>832</v>
      </c>
      <c r="I743" s="2" t="s">
        <v>22</v>
      </c>
      <c r="J743" s="2" t="s">
        <v>22</v>
      </c>
      <c r="K743" s="2" t="s">
        <v>22</v>
      </c>
      <c r="L743" s="2" t="s">
        <v>22</v>
      </c>
    </row>
    <row r="744" customFormat="false" ht="15" hidden="false" customHeight="false" outlineLevel="0" collapsed="false">
      <c r="A744" s="2" t="s">
        <v>1108</v>
      </c>
      <c r="B744" s="13" t="s">
        <v>1107</v>
      </c>
      <c r="C744" s="13" t="s">
        <v>162</v>
      </c>
      <c r="D744" s="13" t="s">
        <v>4142</v>
      </c>
      <c r="E744" s="13" t="s">
        <v>105</v>
      </c>
      <c r="F744" s="2" t="s">
        <v>99</v>
      </c>
      <c r="G744" s="2" t="s">
        <v>3355</v>
      </c>
      <c r="H744" s="39" t="s">
        <v>832</v>
      </c>
      <c r="I744" s="2" t="s">
        <v>24</v>
      </c>
      <c r="J744" s="2" t="s">
        <v>24</v>
      </c>
      <c r="K744" s="2" t="s">
        <v>24</v>
      </c>
      <c r="L744" s="2" t="s">
        <v>24</v>
      </c>
    </row>
    <row r="745" customFormat="false" ht="15" hidden="false" customHeight="false" outlineLevel="0" collapsed="false">
      <c r="A745" s="2" t="s">
        <v>602</v>
      </c>
      <c r="B745" s="13" t="s">
        <v>601</v>
      </c>
      <c r="C745" s="13" t="s">
        <v>77</v>
      </c>
      <c r="D745" s="14" t="s">
        <v>4143</v>
      </c>
      <c r="E745" s="13" t="s">
        <v>83</v>
      </c>
      <c r="F745" s="2" t="s">
        <v>99</v>
      </c>
      <c r="G745" s="2" t="s">
        <v>3359</v>
      </c>
      <c r="H745" s="34" t="s">
        <v>822</v>
      </c>
      <c r="I745" s="2" t="s">
        <v>24</v>
      </c>
      <c r="J745" s="2" t="s">
        <v>24</v>
      </c>
      <c r="K745" s="2" t="s">
        <v>22</v>
      </c>
      <c r="L745" s="2" t="s">
        <v>24</v>
      </c>
    </row>
    <row r="746" customFormat="false" ht="15" hidden="false" customHeight="false" outlineLevel="0" collapsed="false">
      <c r="A746" s="2" t="s">
        <v>2295</v>
      </c>
      <c r="B746" s="14" t="s">
        <v>2294</v>
      </c>
      <c r="C746" s="14" t="s">
        <v>72</v>
      </c>
      <c r="D746" s="14" t="s">
        <v>4144</v>
      </c>
      <c r="E746" s="14" t="s">
        <v>87</v>
      </c>
      <c r="F746" s="2" t="s">
        <v>106</v>
      </c>
      <c r="G746" s="2" t="s">
        <v>3361</v>
      </c>
      <c r="H746" s="39" t="s">
        <v>832</v>
      </c>
      <c r="I746" s="2" t="s">
        <v>22</v>
      </c>
      <c r="J746" s="2" t="s">
        <v>22</v>
      </c>
      <c r="K746" s="2" t="s">
        <v>22</v>
      </c>
      <c r="L746" s="2" t="s">
        <v>22</v>
      </c>
    </row>
    <row r="747" customFormat="false" ht="15" hidden="false" customHeight="false" outlineLevel="0" collapsed="false">
      <c r="A747" s="2" t="s">
        <v>170</v>
      </c>
      <c r="B747" s="13" t="s">
        <v>169</v>
      </c>
      <c r="C747" s="13" t="s">
        <v>82</v>
      </c>
      <c r="D747" s="13" t="s">
        <v>4145</v>
      </c>
      <c r="E747" s="13" t="s">
        <v>154</v>
      </c>
      <c r="F747" s="2" t="s">
        <v>99</v>
      </c>
      <c r="G747" s="2" t="s">
        <v>3359</v>
      </c>
      <c r="H747" s="34" t="s">
        <v>822</v>
      </c>
      <c r="I747" s="2" t="s">
        <v>24</v>
      </c>
      <c r="J747" s="2" t="s">
        <v>24</v>
      </c>
      <c r="K747" s="2" t="s">
        <v>24</v>
      </c>
      <c r="L747" s="2" t="s">
        <v>24</v>
      </c>
    </row>
    <row r="748" customFormat="false" ht="15" hidden="false" customHeight="false" outlineLevel="0" collapsed="false">
      <c r="A748" s="2" t="s">
        <v>672</v>
      </c>
      <c r="B748" s="13" t="s">
        <v>671</v>
      </c>
      <c r="C748" s="13" t="s">
        <v>162</v>
      </c>
      <c r="D748" s="13" t="s">
        <v>4146</v>
      </c>
      <c r="E748" s="13" t="s">
        <v>83</v>
      </c>
      <c r="F748" s="2" t="s">
        <v>99</v>
      </c>
      <c r="G748" s="2" t="s">
        <v>3359</v>
      </c>
      <c r="H748" s="34" t="s">
        <v>822</v>
      </c>
      <c r="I748" s="2" t="s">
        <v>24</v>
      </c>
      <c r="J748" s="2" t="s">
        <v>24</v>
      </c>
      <c r="K748" s="2" t="s">
        <v>24</v>
      </c>
      <c r="L748" s="2" t="s">
        <v>24</v>
      </c>
    </row>
    <row r="749" customFormat="false" ht="15" hidden="false" customHeight="false" outlineLevel="0" collapsed="false">
      <c r="A749" s="2" t="s">
        <v>1653</v>
      </c>
      <c r="B749" s="13" t="s">
        <v>1652</v>
      </c>
      <c r="C749" s="14" t="s">
        <v>91</v>
      </c>
      <c r="D749" s="14" t="s">
        <v>4147</v>
      </c>
      <c r="E749" s="13" t="s">
        <v>120</v>
      </c>
      <c r="F749" s="2" t="s">
        <v>99</v>
      </c>
      <c r="G749" s="2" t="s">
        <v>3355</v>
      </c>
      <c r="H749" s="39" t="s">
        <v>832</v>
      </c>
      <c r="I749" s="2" t="s">
        <v>24</v>
      </c>
      <c r="J749" s="2" t="s">
        <v>22</v>
      </c>
      <c r="K749" s="2" t="s">
        <v>22</v>
      </c>
      <c r="L749" s="2" t="s">
        <v>24</v>
      </c>
    </row>
    <row r="750" customFormat="false" ht="15" hidden="false" customHeight="false" outlineLevel="0" collapsed="false">
      <c r="A750" s="2" t="s">
        <v>1797</v>
      </c>
      <c r="B750" s="13" t="s">
        <v>1796</v>
      </c>
      <c r="C750" s="13" t="s">
        <v>98</v>
      </c>
      <c r="D750" s="13" t="s">
        <v>4148</v>
      </c>
      <c r="E750" s="13" t="s">
        <v>127</v>
      </c>
      <c r="F750" s="2" t="s">
        <v>99</v>
      </c>
      <c r="G750" s="2" t="s">
        <v>3355</v>
      </c>
      <c r="H750" s="39" t="s">
        <v>832</v>
      </c>
      <c r="I750" s="2" t="s">
        <v>24</v>
      </c>
      <c r="J750" s="2" t="s">
        <v>24</v>
      </c>
      <c r="K750" s="2" t="s">
        <v>24</v>
      </c>
      <c r="L750" s="2" t="s">
        <v>24</v>
      </c>
    </row>
    <row r="751" customFormat="false" ht="15" hidden="false" customHeight="false" outlineLevel="0" collapsed="false">
      <c r="A751" s="2" t="s">
        <v>2157</v>
      </c>
      <c r="B751" s="13" t="s">
        <v>2156</v>
      </c>
      <c r="C751" s="13" t="s">
        <v>123</v>
      </c>
      <c r="D751" s="13" t="s">
        <v>4149</v>
      </c>
      <c r="E751" s="13" t="s">
        <v>127</v>
      </c>
      <c r="F751" s="2" t="s">
        <v>99</v>
      </c>
      <c r="G751" s="2" t="s">
        <v>3355</v>
      </c>
      <c r="H751" s="39" t="s">
        <v>832</v>
      </c>
      <c r="I751" s="2" t="s">
        <v>24</v>
      </c>
      <c r="J751" s="2" t="s">
        <v>24</v>
      </c>
      <c r="K751" s="2" t="s">
        <v>24</v>
      </c>
      <c r="L751" s="2" t="s">
        <v>24</v>
      </c>
    </row>
    <row r="752" customFormat="false" ht="15" hidden="false" customHeight="false" outlineLevel="0" collapsed="false">
      <c r="A752" s="2" t="s">
        <v>324</v>
      </c>
      <c r="B752" s="13" t="s">
        <v>323</v>
      </c>
      <c r="C752" s="13" t="s">
        <v>82</v>
      </c>
      <c r="D752" s="13" t="s">
        <v>4150</v>
      </c>
      <c r="E752" s="13" t="s">
        <v>87</v>
      </c>
      <c r="F752" s="2" t="s">
        <v>45</v>
      </c>
      <c r="G752" s="2" t="s">
        <v>3364</v>
      </c>
      <c r="H752" s="34" t="s">
        <v>822</v>
      </c>
      <c r="I752" s="2" t="s">
        <v>24</v>
      </c>
      <c r="J752" s="2" t="s">
        <v>24</v>
      </c>
      <c r="K752" s="2" t="s">
        <v>24</v>
      </c>
      <c r="L752" s="2" t="s">
        <v>24</v>
      </c>
    </row>
    <row r="753" customFormat="false" ht="15" hidden="false" customHeight="false" outlineLevel="0" collapsed="false">
      <c r="A753" s="2" t="s">
        <v>738</v>
      </c>
      <c r="B753" s="13" t="s">
        <v>737</v>
      </c>
      <c r="C753" s="13" t="s">
        <v>77</v>
      </c>
      <c r="D753" s="14" t="s">
        <v>4151</v>
      </c>
      <c r="E753" s="13" t="s">
        <v>124</v>
      </c>
      <c r="F753" s="2" t="s">
        <v>99</v>
      </c>
      <c r="G753" s="2" t="s">
        <v>3359</v>
      </c>
      <c r="H753" s="34" t="s">
        <v>822</v>
      </c>
      <c r="I753" s="2" t="s">
        <v>24</v>
      </c>
      <c r="J753" s="2" t="s">
        <v>24</v>
      </c>
      <c r="K753" s="2" t="s">
        <v>22</v>
      </c>
      <c r="L753" s="2" t="s">
        <v>24</v>
      </c>
    </row>
    <row r="754" customFormat="false" ht="15" hidden="false" customHeight="false" outlineLevel="0" collapsed="false">
      <c r="A754" s="2" t="s">
        <v>3313</v>
      </c>
      <c r="B754" s="13" t="s">
        <v>4152</v>
      </c>
      <c r="C754" s="13" t="s">
        <v>162</v>
      </c>
      <c r="D754" s="13" t="s">
        <v>4153</v>
      </c>
      <c r="E754" s="13" t="s">
        <v>73</v>
      </c>
      <c r="F754" s="2" t="s">
        <v>47</v>
      </c>
      <c r="G754" s="2" t="s">
        <v>3395</v>
      </c>
      <c r="H754" s="39" t="s">
        <v>832</v>
      </c>
      <c r="I754" s="2" t="s">
        <v>24</v>
      </c>
      <c r="J754" s="2" t="s">
        <v>24</v>
      </c>
      <c r="K754" s="2" t="s">
        <v>24</v>
      </c>
      <c r="L754" s="2" t="s">
        <v>24</v>
      </c>
    </row>
    <row r="755" customFormat="false" ht="15" hidden="false" customHeight="false" outlineLevel="0" collapsed="false">
      <c r="A755" s="2" t="s">
        <v>2536</v>
      </c>
      <c r="B755" s="13" t="s">
        <v>2535</v>
      </c>
      <c r="C755" s="13" t="s">
        <v>123</v>
      </c>
      <c r="D755" s="14" t="s">
        <v>4154</v>
      </c>
      <c r="E755" s="14" t="s">
        <v>83</v>
      </c>
      <c r="F755" s="2" t="s">
        <v>99</v>
      </c>
      <c r="G755" s="2" t="s">
        <v>3369</v>
      </c>
      <c r="H755" s="39" t="s">
        <v>832</v>
      </c>
      <c r="I755" s="2" t="s">
        <v>24</v>
      </c>
      <c r="J755" s="2" t="s">
        <v>24</v>
      </c>
      <c r="K755" s="2" t="s">
        <v>22</v>
      </c>
      <c r="L755" s="2" t="s">
        <v>22</v>
      </c>
    </row>
    <row r="756" customFormat="false" ht="15" hidden="false" customHeight="false" outlineLevel="0" collapsed="false">
      <c r="A756" s="2" t="s">
        <v>161</v>
      </c>
      <c r="B756" s="13" t="s">
        <v>160</v>
      </c>
      <c r="C756" s="13" t="s">
        <v>162</v>
      </c>
      <c r="D756" s="13" t="s">
        <v>4155</v>
      </c>
      <c r="E756" s="13" t="s">
        <v>124</v>
      </c>
      <c r="F756" s="2" t="s">
        <v>45</v>
      </c>
      <c r="G756" s="2" t="s">
        <v>3364</v>
      </c>
      <c r="H756" s="34" t="s">
        <v>822</v>
      </c>
      <c r="I756" s="2" t="s">
        <v>24</v>
      </c>
      <c r="J756" s="2" t="s">
        <v>24</v>
      </c>
      <c r="K756" s="2" t="s">
        <v>24</v>
      </c>
      <c r="L756" s="2" t="s">
        <v>24</v>
      </c>
    </row>
    <row r="757" customFormat="false" ht="15" hidden="false" customHeight="false" outlineLevel="0" collapsed="false">
      <c r="A757" s="2" t="s">
        <v>1066</v>
      </c>
      <c r="B757" s="13" t="s">
        <v>1065</v>
      </c>
      <c r="C757" s="13" t="s">
        <v>86</v>
      </c>
      <c r="D757" s="13" t="s">
        <v>4156</v>
      </c>
      <c r="E757" s="13" t="s">
        <v>102</v>
      </c>
      <c r="F757" s="2" t="s">
        <v>149</v>
      </c>
      <c r="G757" s="2" t="s">
        <v>3361</v>
      </c>
      <c r="H757" s="39" t="s">
        <v>832</v>
      </c>
      <c r="I757" s="2" t="s">
        <v>24</v>
      </c>
      <c r="J757" s="2" t="s">
        <v>24</v>
      </c>
      <c r="K757" s="2" t="s">
        <v>24</v>
      </c>
      <c r="L757" s="2" t="s">
        <v>24</v>
      </c>
    </row>
    <row r="758" customFormat="false" ht="15" hidden="false" customHeight="false" outlineLevel="0" collapsed="false">
      <c r="A758" s="2" t="s">
        <v>1003</v>
      </c>
      <c r="B758" s="13" t="s">
        <v>1002</v>
      </c>
      <c r="C758" s="13" t="s">
        <v>72</v>
      </c>
      <c r="D758" s="13" t="s">
        <v>4157</v>
      </c>
      <c r="E758" s="13" t="s">
        <v>73</v>
      </c>
      <c r="F758" s="2" t="s">
        <v>99</v>
      </c>
      <c r="G758" s="2" t="s">
        <v>3355</v>
      </c>
      <c r="H758" s="39" t="s">
        <v>832</v>
      </c>
      <c r="I758" s="2" t="s">
        <v>24</v>
      </c>
      <c r="J758" s="2" t="s">
        <v>24</v>
      </c>
      <c r="K758" s="2" t="s">
        <v>24</v>
      </c>
      <c r="L758" s="2" t="s">
        <v>24</v>
      </c>
    </row>
    <row r="759" customFormat="false" ht="15" hidden="false" customHeight="false" outlineLevel="0" collapsed="false">
      <c r="A759" s="2" t="s">
        <v>3318</v>
      </c>
      <c r="B759" s="13" t="s">
        <v>4158</v>
      </c>
      <c r="C759" s="13" t="s">
        <v>72</v>
      </c>
      <c r="D759" s="16"/>
      <c r="E759" s="13" t="s">
        <v>102</v>
      </c>
      <c r="F759" s="2" t="s">
        <v>45</v>
      </c>
      <c r="G759" s="2" t="s">
        <v>3395</v>
      </c>
      <c r="H759" s="39" t="s">
        <v>832</v>
      </c>
      <c r="I759" s="2" t="s">
        <v>24</v>
      </c>
      <c r="J759" s="2" t="s">
        <v>24</v>
      </c>
      <c r="K759" s="2"/>
      <c r="L759" s="2" t="s">
        <v>24</v>
      </c>
    </row>
    <row r="760" customFormat="false" ht="15" hidden="false" customHeight="false" outlineLevel="0" collapsed="false">
      <c r="A760" s="2" t="s">
        <v>3320</v>
      </c>
      <c r="B760" s="13" t="s">
        <v>4159</v>
      </c>
      <c r="C760" s="13" t="s">
        <v>95</v>
      </c>
      <c r="D760" s="15" t="s">
        <v>4160</v>
      </c>
      <c r="E760" s="13" t="s">
        <v>120</v>
      </c>
      <c r="F760" s="2" t="s">
        <v>46</v>
      </c>
      <c r="G760" s="2" t="s">
        <v>3395</v>
      </c>
      <c r="H760" s="39" t="s">
        <v>832</v>
      </c>
      <c r="I760" s="2" t="s">
        <v>24</v>
      </c>
      <c r="J760" s="2" t="s">
        <v>24</v>
      </c>
      <c r="K760" s="2" t="s">
        <v>19</v>
      </c>
      <c r="L760" s="2" t="s">
        <v>24</v>
      </c>
    </row>
    <row r="761" customFormat="false" ht="15" hidden="false" customHeight="false" outlineLevel="0" collapsed="false">
      <c r="A761" s="2" t="s">
        <v>668</v>
      </c>
      <c r="B761" s="13" t="s">
        <v>667</v>
      </c>
      <c r="C761" s="13" t="s">
        <v>82</v>
      </c>
      <c r="D761" s="13" t="s">
        <v>4161</v>
      </c>
      <c r="E761" s="13" t="s">
        <v>154</v>
      </c>
      <c r="F761" s="2" t="s">
        <v>92</v>
      </c>
      <c r="G761" s="2" t="s">
        <v>3376</v>
      </c>
      <c r="H761" s="34" t="s">
        <v>822</v>
      </c>
      <c r="I761" s="2" t="s">
        <v>24</v>
      </c>
      <c r="J761" s="2" t="s">
        <v>24</v>
      </c>
      <c r="K761" s="2" t="s">
        <v>24</v>
      </c>
      <c r="L761" s="2" t="s">
        <v>24</v>
      </c>
    </row>
    <row r="762" customFormat="false" ht="15" hidden="false" customHeight="false" outlineLevel="0" collapsed="false">
      <c r="A762" s="2" t="s">
        <v>2034</v>
      </c>
      <c r="B762" s="13" t="s">
        <v>2033</v>
      </c>
      <c r="C762" s="13" t="s">
        <v>115</v>
      </c>
      <c r="D762" s="13" t="s">
        <v>4162</v>
      </c>
      <c r="E762" s="13" t="s">
        <v>102</v>
      </c>
      <c r="F762" s="2" t="s">
        <v>99</v>
      </c>
      <c r="G762" s="2" t="s">
        <v>3355</v>
      </c>
      <c r="H762" s="39" t="s">
        <v>832</v>
      </c>
      <c r="I762" s="2" t="s">
        <v>24</v>
      </c>
      <c r="J762" s="2" t="s">
        <v>24</v>
      </c>
      <c r="K762" s="2" t="s">
        <v>24</v>
      </c>
      <c r="L762" s="2" t="s">
        <v>24</v>
      </c>
    </row>
    <row r="763" customFormat="false" ht="15" hidden="false" customHeight="false" outlineLevel="0" collapsed="false">
      <c r="A763" s="2" t="s">
        <v>530</v>
      </c>
      <c r="B763" s="13" t="s">
        <v>529</v>
      </c>
      <c r="C763" s="13" t="s">
        <v>77</v>
      </c>
      <c r="D763" s="13" t="s">
        <v>4163</v>
      </c>
      <c r="E763" s="13" t="s">
        <v>78</v>
      </c>
      <c r="F763" s="2" t="s">
        <v>99</v>
      </c>
      <c r="G763" s="2" t="s">
        <v>3359</v>
      </c>
      <c r="H763" s="34" t="s">
        <v>822</v>
      </c>
      <c r="I763" s="2" t="s">
        <v>24</v>
      </c>
      <c r="J763" s="2" t="s">
        <v>24</v>
      </c>
      <c r="K763" s="2" t="s">
        <v>24</v>
      </c>
      <c r="L763" s="2" t="s">
        <v>24</v>
      </c>
    </row>
    <row r="764" customFormat="false" ht="15" hidden="false" customHeight="false" outlineLevel="0" collapsed="false">
      <c r="A764" s="2" t="s">
        <v>632</v>
      </c>
      <c r="B764" s="13" t="s">
        <v>631</v>
      </c>
      <c r="C764" s="13" t="s">
        <v>95</v>
      </c>
      <c r="D764" s="14" t="s">
        <v>4164</v>
      </c>
      <c r="E764" s="13" t="s">
        <v>78</v>
      </c>
      <c r="F764" s="2" t="s">
        <v>92</v>
      </c>
      <c r="G764" s="2" t="s">
        <v>3376</v>
      </c>
      <c r="H764" s="34" t="s">
        <v>822</v>
      </c>
      <c r="I764" s="2" t="s">
        <v>24</v>
      </c>
      <c r="J764" s="2" t="s">
        <v>24</v>
      </c>
      <c r="K764" s="2" t="s">
        <v>22</v>
      </c>
      <c r="L764" s="2" t="s">
        <v>24</v>
      </c>
    </row>
    <row r="765" customFormat="false" ht="15" hidden="false" customHeight="false" outlineLevel="0" collapsed="false">
      <c r="A765" s="2" t="s">
        <v>642</v>
      </c>
      <c r="B765" s="13" t="s">
        <v>641</v>
      </c>
      <c r="C765" s="13" t="s">
        <v>95</v>
      </c>
      <c r="D765" s="13" t="s">
        <v>4165</v>
      </c>
      <c r="E765" s="13" t="s">
        <v>154</v>
      </c>
      <c r="F765" s="2" t="s">
        <v>92</v>
      </c>
      <c r="G765" s="2" t="s">
        <v>3376</v>
      </c>
      <c r="H765" s="34" t="s">
        <v>822</v>
      </c>
      <c r="I765" s="2" t="s">
        <v>24</v>
      </c>
      <c r="J765" s="2" t="s">
        <v>24</v>
      </c>
      <c r="K765" s="2" t="s">
        <v>24</v>
      </c>
      <c r="L765" s="2" t="s">
        <v>24</v>
      </c>
    </row>
    <row r="766" customFormat="false" ht="15" hidden="false" customHeight="false" outlineLevel="0" collapsed="false">
      <c r="A766" s="2" t="s">
        <v>1594</v>
      </c>
      <c r="B766" s="13" t="s">
        <v>1593</v>
      </c>
      <c r="C766" s="13" t="s">
        <v>162</v>
      </c>
      <c r="D766" s="13" t="s">
        <v>4166</v>
      </c>
      <c r="E766" s="13" t="s">
        <v>105</v>
      </c>
      <c r="F766" s="2" t="s">
        <v>99</v>
      </c>
      <c r="G766" s="2" t="s">
        <v>3355</v>
      </c>
      <c r="H766" s="39" t="s">
        <v>832</v>
      </c>
      <c r="I766" s="2" t="s">
        <v>24</v>
      </c>
      <c r="J766" s="2" t="s">
        <v>24</v>
      </c>
      <c r="K766" s="2" t="s">
        <v>24</v>
      </c>
      <c r="L766" s="2" t="s">
        <v>24</v>
      </c>
    </row>
    <row r="767" customFormat="false" ht="15" hidden="false" customHeight="false" outlineLevel="0" collapsed="false">
      <c r="A767" s="2" t="s">
        <v>2433</v>
      </c>
      <c r="B767" s="13" t="s">
        <v>2432</v>
      </c>
      <c r="C767" s="13" t="s">
        <v>162</v>
      </c>
      <c r="D767" s="13" t="s">
        <v>4167</v>
      </c>
      <c r="E767" s="13" t="s">
        <v>124</v>
      </c>
      <c r="F767" s="2" t="s">
        <v>99</v>
      </c>
      <c r="G767" s="2" t="s">
        <v>3369</v>
      </c>
      <c r="H767" s="39" t="s">
        <v>832</v>
      </c>
      <c r="I767" s="2" t="s">
        <v>24</v>
      </c>
      <c r="J767" s="2" t="s">
        <v>24</v>
      </c>
      <c r="K767" s="2" t="s">
        <v>24</v>
      </c>
      <c r="L767" s="2" t="s">
        <v>24</v>
      </c>
    </row>
    <row r="768" customFormat="false" ht="15" hidden="false" customHeight="false" outlineLevel="0" collapsed="false">
      <c r="A768" s="2" t="s">
        <v>1575</v>
      </c>
      <c r="B768" s="13" t="s">
        <v>1574</v>
      </c>
      <c r="C768" s="13" t="s">
        <v>72</v>
      </c>
      <c r="D768" s="13" t="s">
        <v>4168</v>
      </c>
      <c r="E768" s="14" t="s">
        <v>83</v>
      </c>
      <c r="F768" s="2" t="s">
        <v>99</v>
      </c>
      <c r="G768" s="2" t="s">
        <v>3355</v>
      </c>
      <c r="H768" s="39" t="s">
        <v>832</v>
      </c>
      <c r="I768" s="2" t="s">
        <v>24</v>
      </c>
      <c r="J768" s="2" t="s">
        <v>24</v>
      </c>
      <c r="K768" s="2" t="s">
        <v>24</v>
      </c>
      <c r="L768" s="2" t="s">
        <v>22</v>
      </c>
    </row>
    <row r="769" customFormat="false" ht="15" hidden="false" customHeight="false" outlineLevel="0" collapsed="false">
      <c r="A769" s="2" t="s">
        <v>1291</v>
      </c>
      <c r="B769" s="13" t="s">
        <v>1290</v>
      </c>
      <c r="C769" s="13" t="s">
        <v>95</v>
      </c>
      <c r="D769" s="16"/>
      <c r="E769" s="13" t="s">
        <v>120</v>
      </c>
      <c r="F769" s="2" t="s">
        <v>149</v>
      </c>
      <c r="G769" s="2" t="s">
        <v>3361</v>
      </c>
      <c r="H769" s="39" t="s">
        <v>832</v>
      </c>
      <c r="I769" s="2" t="s">
        <v>24</v>
      </c>
      <c r="J769" s="2" t="s">
        <v>24</v>
      </c>
      <c r="K769" s="2"/>
      <c r="L769" s="2" t="s">
        <v>24</v>
      </c>
    </row>
    <row r="770" customFormat="false" ht="15" hidden="false" customHeight="false" outlineLevel="0" collapsed="false">
      <c r="A770" s="2" t="s">
        <v>296</v>
      </c>
      <c r="B770" s="13" t="s">
        <v>295</v>
      </c>
      <c r="C770" s="14" t="s">
        <v>95</v>
      </c>
      <c r="D770" s="14" t="s">
        <v>4169</v>
      </c>
      <c r="E770" s="13" t="s">
        <v>78</v>
      </c>
      <c r="F770" s="2" t="s">
        <v>99</v>
      </c>
      <c r="G770" s="2" t="s">
        <v>3359</v>
      </c>
      <c r="H770" s="34" t="s">
        <v>822</v>
      </c>
      <c r="I770" s="2" t="s">
        <v>24</v>
      </c>
      <c r="J770" s="2" t="s">
        <v>22</v>
      </c>
      <c r="K770" s="2" t="s">
        <v>22</v>
      </c>
      <c r="L770" s="2" t="s">
        <v>24</v>
      </c>
    </row>
    <row r="771" customFormat="false" ht="15" hidden="false" customHeight="false" outlineLevel="0" collapsed="false">
      <c r="A771" s="2" t="s">
        <v>342</v>
      </c>
      <c r="B771" s="13" t="s">
        <v>341</v>
      </c>
      <c r="C771" s="13" t="s">
        <v>82</v>
      </c>
      <c r="D771" s="13" t="s">
        <v>4170</v>
      </c>
      <c r="E771" s="13" t="s">
        <v>154</v>
      </c>
      <c r="F771" s="2" t="s">
        <v>99</v>
      </c>
      <c r="G771" s="2" t="s">
        <v>3359</v>
      </c>
      <c r="H771" s="34" t="s">
        <v>822</v>
      </c>
      <c r="I771" s="2" t="s">
        <v>24</v>
      </c>
      <c r="J771" s="2" t="s">
        <v>24</v>
      </c>
      <c r="K771" s="2" t="s">
        <v>24</v>
      </c>
      <c r="L771" s="2" t="s">
        <v>24</v>
      </c>
    </row>
    <row r="772" customFormat="false" ht="15" hidden="false" customHeight="false" outlineLevel="0" collapsed="false">
      <c r="A772" s="2" t="s">
        <v>3324</v>
      </c>
      <c r="B772" s="13" t="s">
        <v>4171</v>
      </c>
      <c r="C772" s="13" t="s">
        <v>95</v>
      </c>
      <c r="D772" s="13" t="s">
        <v>4172</v>
      </c>
      <c r="E772" s="13" t="s">
        <v>87</v>
      </c>
      <c r="F772" s="2" t="s">
        <v>149</v>
      </c>
      <c r="G772" s="2" t="s">
        <v>3385</v>
      </c>
      <c r="H772" s="39" t="s">
        <v>832</v>
      </c>
      <c r="I772" s="2" t="s">
        <v>24</v>
      </c>
      <c r="J772" s="2" t="s">
        <v>24</v>
      </c>
      <c r="K772" s="2" t="s">
        <v>24</v>
      </c>
      <c r="L772" s="2" t="s">
        <v>24</v>
      </c>
    </row>
    <row r="773" customFormat="false" ht="15" hidden="false" customHeight="false" outlineLevel="0" collapsed="false">
      <c r="A773" s="2" t="s">
        <v>650</v>
      </c>
      <c r="B773" s="13" t="s">
        <v>649</v>
      </c>
      <c r="C773" s="13" t="s">
        <v>115</v>
      </c>
      <c r="D773" s="14" t="s">
        <v>4173</v>
      </c>
      <c r="E773" s="13" t="s">
        <v>78</v>
      </c>
      <c r="F773" s="2" t="s">
        <v>106</v>
      </c>
      <c r="G773" s="2" t="s">
        <v>3376</v>
      </c>
      <c r="H773" s="34" t="s">
        <v>822</v>
      </c>
      <c r="I773" s="2" t="s">
        <v>24</v>
      </c>
      <c r="J773" s="2" t="s">
        <v>24</v>
      </c>
      <c r="K773" s="2" t="s">
        <v>22</v>
      </c>
      <c r="L773" s="2" t="s">
        <v>24</v>
      </c>
    </row>
    <row r="774" customFormat="false" ht="15" hidden="false" customHeight="false" outlineLevel="0" collapsed="false">
      <c r="A774" s="2" t="s">
        <v>1028</v>
      </c>
      <c r="B774" s="13" t="s">
        <v>1027</v>
      </c>
      <c r="C774" s="13" t="s">
        <v>162</v>
      </c>
      <c r="D774" s="14" t="s">
        <v>4174</v>
      </c>
      <c r="E774" s="13" t="s">
        <v>78</v>
      </c>
      <c r="F774" s="2" t="s">
        <v>99</v>
      </c>
      <c r="G774" s="2" t="s">
        <v>3355</v>
      </c>
      <c r="H774" s="39" t="s">
        <v>832</v>
      </c>
      <c r="I774" s="2" t="s">
        <v>24</v>
      </c>
      <c r="J774" s="2" t="s">
        <v>24</v>
      </c>
      <c r="K774" s="2" t="s">
        <v>22</v>
      </c>
      <c r="L774" s="2" t="s">
        <v>24</v>
      </c>
    </row>
    <row r="775" customFormat="false" ht="15" hidden="false" customHeight="false" outlineLevel="0" collapsed="false">
      <c r="A775" s="2" t="s">
        <v>612</v>
      </c>
      <c r="B775" s="13" t="s">
        <v>611</v>
      </c>
      <c r="C775" s="13" t="s">
        <v>77</v>
      </c>
      <c r="D775" s="13" t="s">
        <v>4175</v>
      </c>
      <c r="E775" s="13" t="s">
        <v>127</v>
      </c>
      <c r="F775" s="2" t="s">
        <v>99</v>
      </c>
      <c r="G775" s="2" t="s">
        <v>3359</v>
      </c>
      <c r="H775" s="34" t="s">
        <v>822</v>
      </c>
      <c r="I775" s="2" t="s">
        <v>24</v>
      </c>
      <c r="J775" s="2" t="s">
        <v>24</v>
      </c>
      <c r="K775" s="2" t="s">
        <v>24</v>
      </c>
      <c r="L775" s="2" t="s">
        <v>24</v>
      </c>
    </row>
    <row r="776" customFormat="false" ht="15" hidden="false" customHeight="false" outlineLevel="0" collapsed="false">
      <c r="A776" s="2" t="s">
        <v>1438</v>
      </c>
      <c r="B776" s="13" t="s">
        <v>1437</v>
      </c>
      <c r="C776" s="13" t="s">
        <v>82</v>
      </c>
      <c r="D776" s="13" t="s">
        <v>4176</v>
      </c>
      <c r="E776" s="13" t="s">
        <v>124</v>
      </c>
      <c r="F776" s="2" t="s">
        <v>99</v>
      </c>
      <c r="G776" s="2" t="s">
        <v>3355</v>
      </c>
      <c r="H776" s="39" t="s">
        <v>832</v>
      </c>
      <c r="I776" s="2" t="s">
        <v>24</v>
      </c>
      <c r="J776" s="2" t="s">
        <v>24</v>
      </c>
      <c r="K776" s="2" t="s">
        <v>24</v>
      </c>
      <c r="L776" s="2" t="s">
        <v>24</v>
      </c>
    </row>
    <row r="777" customFormat="false" ht="15" hidden="false" customHeight="false" outlineLevel="0" collapsed="false">
      <c r="A777" s="2" t="s">
        <v>752</v>
      </c>
      <c r="B777" s="13" t="s">
        <v>751</v>
      </c>
      <c r="C777" s="13" t="s">
        <v>98</v>
      </c>
      <c r="D777" s="13" t="s">
        <v>4177</v>
      </c>
      <c r="E777" s="13" t="s">
        <v>120</v>
      </c>
      <c r="F777" s="2" t="s">
        <v>106</v>
      </c>
      <c r="G777" s="2" t="s">
        <v>3376</v>
      </c>
      <c r="H777" s="34" t="s">
        <v>822</v>
      </c>
      <c r="I777" s="2" t="s">
        <v>24</v>
      </c>
      <c r="J777" s="2" t="s">
        <v>24</v>
      </c>
      <c r="K777" s="2" t="s">
        <v>24</v>
      </c>
      <c r="L777" s="2" t="s">
        <v>24</v>
      </c>
    </row>
    <row r="778" customFormat="false" ht="15" hidden="false" customHeight="false" outlineLevel="0" collapsed="false">
      <c r="A778" s="2" t="s">
        <v>862</v>
      </c>
      <c r="B778" s="14" t="s">
        <v>861</v>
      </c>
      <c r="C778" s="14" t="s">
        <v>162</v>
      </c>
      <c r="D778" s="14" t="s">
        <v>4178</v>
      </c>
      <c r="E778" s="14" t="s">
        <v>124</v>
      </c>
      <c r="F778" s="2" t="s">
        <v>149</v>
      </c>
      <c r="G778" s="2" t="s">
        <v>3361</v>
      </c>
      <c r="H778" s="39" t="s">
        <v>832</v>
      </c>
      <c r="I778" s="2" t="s">
        <v>22</v>
      </c>
      <c r="J778" s="2" t="s">
        <v>22</v>
      </c>
      <c r="K778" s="2" t="s">
        <v>22</v>
      </c>
      <c r="L778" s="2" t="s">
        <v>22</v>
      </c>
    </row>
    <row r="779" customFormat="false" ht="15" hidden="false" customHeight="false" outlineLevel="0" collapsed="false">
      <c r="A779" s="2" t="s">
        <v>2060</v>
      </c>
      <c r="B779" s="13" t="s">
        <v>2059</v>
      </c>
      <c r="C779" s="13" t="s">
        <v>91</v>
      </c>
      <c r="D779" s="13" t="s">
        <v>4179</v>
      </c>
      <c r="E779" s="13" t="s">
        <v>127</v>
      </c>
      <c r="F779" s="2" t="s">
        <v>99</v>
      </c>
      <c r="G779" s="2" t="s">
        <v>3355</v>
      </c>
      <c r="H779" s="39" t="s">
        <v>832</v>
      </c>
      <c r="I779" s="2" t="s">
        <v>24</v>
      </c>
      <c r="J779" s="2" t="s">
        <v>24</v>
      </c>
      <c r="K779" s="2" t="s">
        <v>24</v>
      </c>
      <c r="L779" s="2" t="s">
        <v>24</v>
      </c>
    </row>
    <row r="780" customFormat="false" ht="15" hidden="false" customHeight="false" outlineLevel="0" collapsed="false">
      <c r="A780" s="2" t="s">
        <v>460</v>
      </c>
      <c r="B780" s="13" t="s">
        <v>459</v>
      </c>
      <c r="C780" s="13" t="s">
        <v>95</v>
      </c>
      <c r="D780" s="13" t="s">
        <v>4180</v>
      </c>
      <c r="E780" s="13" t="s">
        <v>105</v>
      </c>
      <c r="F780" s="2" t="s">
        <v>99</v>
      </c>
      <c r="G780" s="2" t="s">
        <v>3359</v>
      </c>
      <c r="H780" s="34" t="s">
        <v>822</v>
      </c>
      <c r="I780" s="2" t="s">
        <v>24</v>
      </c>
      <c r="J780" s="2" t="s">
        <v>24</v>
      </c>
      <c r="K780" s="2" t="s">
        <v>24</v>
      </c>
      <c r="L780" s="2" t="s">
        <v>24</v>
      </c>
    </row>
    <row r="781" customFormat="false" ht="15" hidden="false" customHeight="false" outlineLevel="0" collapsed="false">
      <c r="A781" s="2" t="s">
        <v>424</v>
      </c>
      <c r="B781" s="13" t="s">
        <v>423</v>
      </c>
      <c r="C781" s="13" t="s">
        <v>86</v>
      </c>
      <c r="D781" s="13" t="s">
        <v>4181</v>
      </c>
      <c r="E781" s="13" t="s">
        <v>73</v>
      </c>
      <c r="F781" s="2" t="s">
        <v>99</v>
      </c>
      <c r="G781" s="2" t="s">
        <v>3359</v>
      </c>
      <c r="H781" s="34" t="s">
        <v>822</v>
      </c>
      <c r="I781" s="2" t="s">
        <v>24</v>
      </c>
      <c r="J781" s="2" t="s">
        <v>24</v>
      </c>
      <c r="K781" s="2" t="s">
        <v>24</v>
      </c>
      <c r="L781" s="2" t="s">
        <v>24</v>
      </c>
    </row>
    <row r="782" customFormat="false" ht="15" hidden="false" customHeight="false" outlineLevel="0" collapsed="false">
      <c r="A782" s="2" t="s">
        <v>370</v>
      </c>
      <c r="B782" s="13" t="s">
        <v>369</v>
      </c>
      <c r="C782" s="13" t="s">
        <v>86</v>
      </c>
      <c r="D782" s="13" t="s">
        <v>4182</v>
      </c>
      <c r="E782" s="13" t="s">
        <v>83</v>
      </c>
      <c r="F782" s="2" t="s">
        <v>99</v>
      </c>
      <c r="G782" s="2" t="s">
        <v>3359</v>
      </c>
      <c r="H782" s="34" t="s">
        <v>822</v>
      </c>
      <c r="I782" s="2" t="s">
        <v>24</v>
      </c>
      <c r="J782" s="2" t="s">
        <v>24</v>
      </c>
      <c r="K782" s="2" t="s">
        <v>24</v>
      </c>
      <c r="L782" s="2" t="s">
        <v>24</v>
      </c>
    </row>
    <row r="783" customFormat="false" ht="15" hidden="false" customHeight="false" outlineLevel="0" collapsed="false">
      <c r="A783" s="2" t="s">
        <v>536</v>
      </c>
      <c r="B783" s="13" t="s">
        <v>535</v>
      </c>
      <c r="C783" s="13" t="s">
        <v>115</v>
      </c>
      <c r="D783" s="13" t="s">
        <v>4183</v>
      </c>
      <c r="E783" s="13" t="s">
        <v>124</v>
      </c>
      <c r="F783" s="2" t="s">
        <v>99</v>
      </c>
      <c r="G783" s="2" t="s">
        <v>3359</v>
      </c>
      <c r="H783" s="34" t="s">
        <v>822</v>
      </c>
      <c r="I783" s="2" t="s">
        <v>24</v>
      </c>
      <c r="J783" s="2" t="s">
        <v>24</v>
      </c>
      <c r="K783" s="2" t="s">
        <v>24</v>
      </c>
      <c r="L783" s="2" t="s">
        <v>24</v>
      </c>
    </row>
    <row r="784" customFormat="false" ht="15" hidden="false" customHeight="false" outlineLevel="0" collapsed="false">
      <c r="A784" s="2" t="s">
        <v>1317</v>
      </c>
      <c r="B784" s="13" t="s">
        <v>1316</v>
      </c>
      <c r="C784" s="13" t="s">
        <v>82</v>
      </c>
      <c r="D784" s="13" t="s">
        <v>4184</v>
      </c>
      <c r="E784" s="13" t="s">
        <v>102</v>
      </c>
      <c r="F784" s="2" t="s">
        <v>99</v>
      </c>
      <c r="G784" s="2" t="s">
        <v>3355</v>
      </c>
      <c r="H784" s="39" t="s">
        <v>832</v>
      </c>
      <c r="I784" s="2" t="s">
        <v>24</v>
      </c>
      <c r="J784" s="2" t="s">
        <v>24</v>
      </c>
      <c r="K784" s="2" t="s">
        <v>24</v>
      </c>
      <c r="L784" s="2" t="s">
        <v>24</v>
      </c>
    </row>
    <row r="785" customFormat="false" ht="15" hidden="false" customHeight="false" outlineLevel="0" collapsed="false">
      <c r="A785" s="2" t="s">
        <v>1985</v>
      </c>
      <c r="B785" s="13" t="s">
        <v>1984</v>
      </c>
      <c r="C785" s="13" t="s">
        <v>82</v>
      </c>
      <c r="D785" s="13" t="s">
        <v>4185</v>
      </c>
      <c r="E785" s="13" t="s">
        <v>127</v>
      </c>
      <c r="F785" s="2" t="s">
        <v>99</v>
      </c>
      <c r="G785" s="2" t="s">
        <v>3369</v>
      </c>
      <c r="H785" s="39" t="s">
        <v>832</v>
      </c>
      <c r="I785" s="2" t="s">
        <v>24</v>
      </c>
      <c r="J785" s="2" t="s">
        <v>24</v>
      </c>
      <c r="K785" s="2" t="s">
        <v>24</v>
      </c>
      <c r="L785" s="2" t="s">
        <v>24</v>
      </c>
    </row>
    <row r="786" customFormat="false" ht="15" hidden="false" customHeight="false" outlineLevel="0" collapsed="false">
      <c r="A786" s="2" t="s">
        <v>2302</v>
      </c>
      <c r="B786" s="14" t="s">
        <v>2301</v>
      </c>
      <c r="C786" s="14" t="s">
        <v>95</v>
      </c>
      <c r="D786" s="14" t="s">
        <v>4186</v>
      </c>
      <c r="E786" s="14" t="s">
        <v>105</v>
      </c>
      <c r="F786" s="2" t="s">
        <v>99</v>
      </c>
      <c r="G786" s="2" t="s">
        <v>3369</v>
      </c>
      <c r="H786" s="39" t="s">
        <v>832</v>
      </c>
      <c r="I786" s="2" t="s">
        <v>22</v>
      </c>
      <c r="J786" s="2" t="s">
        <v>22</v>
      </c>
      <c r="K786" s="2" t="s">
        <v>22</v>
      </c>
      <c r="L786" s="2" t="s">
        <v>22</v>
      </c>
    </row>
    <row r="787" customFormat="false" ht="15" hidden="false" customHeight="false" outlineLevel="0" collapsed="false">
      <c r="A787" s="2" t="s">
        <v>2225</v>
      </c>
      <c r="B787" s="14" t="s">
        <v>2224</v>
      </c>
      <c r="C787" s="14" t="s">
        <v>115</v>
      </c>
      <c r="D787" s="14" t="s">
        <v>4187</v>
      </c>
      <c r="E787" s="14" t="s">
        <v>102</v>
      </c>
      <c r="F787" s="2" t="s">
        <v>99</v>
      </c>
      <c r="G787" s="2" t="s">
        <v>3369</v>
      </c>
      <c r="H787" s="39" t="s">
        <v>832</v>
      </c>
      <c r="I787" s="2" t="s">
        <v>22</v>
      </c>
      <c r="J787" s="2" t="s">
        <v>22</v>
      </c>
      <c r="K787" s="2" t="s">
        <v>22</v>
      </c>
      <c r="L787" s="2" t="s">
        <v>22</v>
      </c>
    </row>
    <row r="788" customFormat="false" ht="15" hidden="false" customHeight="false" outlineLevel="0" collapsed="false">
      <c r="A788" s="2" t="s">
        <v>1715</v>
      </c>
      <c r="B788" s="13" t="s">
        <v>1714</v>
      </c>
      <c r="C788" s="13" t="s">
        <v>77</v>
      </c>
      <c r="D788" s="13" t="s">
        <v>4188</v>
      </c>
      <c r="E788" s="13" t="s">
        <v>127</v>
      </c>
      <c r="F788" s="2" t="s">
        <v>99</v>
      </c>
      <c r="G788" s="2" t="s">
        <v>3355</v>
      </c>
      <c r="H788" s="39" t="s">
        <v>832</v>
      </c>
      <c r="I788" s="2" t="s">
        <v>24</v>
      </c>
      <c r="J788" s="2" t="s">
        <v>24</v>
      </c>
      <c r="K788" s="2" t="s">
        <v>24</v>
      </c>
      <c r="L788" s="2" t="s">
        <v>24</v>
      </c>
    </row>
    <row r="789" customFormat="false" ht="15" hidden="false" customHeight="false" outlineLevel="0" collapsed="false">
      <c r="A789" s="2" t="s">
        <v>1557</v>
      </c>
      <c r="B789" s="13" t="s">
        <v>1556</v>
      </c>
      <c r="C789" s="13" t="s">
        <v>98</v>
      </c>
      <c r="D789" s="13" t="s">
        <v>4189</v>
      </c>
      <c r="E789" s="13" t="s">
        <v>105</v>
      </c>
      <c r="F789" s="2" t="s">
        <v>99</v>
      </c>
      <c r="G789" s="2" t="s">
        <v>3369</v>
      </c>
      <c r="H789" s="39" t="s">
        <v>832</v>
      </c>
      <c r="I789" s="2" t="s">
        <v>24</v>
      </c>
      <c r="J789" s="2" t="s">
        <v>24</v>
      </c>
      <c r="K789" s="2" t="s">
        <v>24</v>
      </c>
      <c r="L789" s="2" t="s">
        <v>24</v>
      </c>
    </row>
    <row r="790" customFormat="false" ht="15" hidden="false" customHeight="false" outlineLevel="0" collapsed="false">
      <c r="A790" s="2" t="s">
        <v>432</v>
      </c>
      <c r="B790" s="13" t="s">
        <v>431</v>
      </c>
      <c r="C790" s="13" t="s">
        <v>91</v>
      </c>
      <c r="D790" s="13" t="s">
        <v>4190</v>
      </c>
      <c r="E790" s="13" t="s">
        <v>124</v>
      </c>
      <c r="F790" s="2" t="s">
        <v>99</v>
      </c>
      <c r="G790" s="2" t="s">
        <v>3359</v>
      </c>
      <c r="H790" s="34" t="s">
        <v>822</v>
      </c>
      <c r="I790" s="2" t="s">
        <v>24</v>
      </c>
      <c r="J790" s="2" t="s">
        <v>24</v>
      </c>
      <c r="K790" s="2" t="s">
        <v>24</v>
      </c>
      <c r="L790" s="2" t="s">
        <v>24</v>
      </c>
    </row>
    <row r="791" customFormat="false" ht="15" hidden="false" customHeight="false" outlineLevel="0" collapsed="false">
      <c r="A791" s="2" t="s">
        <v>3332</v>
      </c>
      <c r="B791" s="14" t="s">
        <v>4191</v>
      </c>
      <c r="C791" s="14" t="s">
        <v>115</v>
      </c>
      <c r="D791" s="14" t="s">
        <v>4192</v>
      </c>
      <c r="E791" s="14" t="s">
        <v>102</v>
      </c>
      <c r="F791" s="2" t="s">
        <v>99</v>
      </c>
      <c r="G791" s="2" t="s">
        <v>3410</v>
      </c>
      <c r="H791" s="39" t="s">
        <v>832</v>
      </c>
      <c r="I791" s="2" t="s">
        <v>22</v>
      </c>
      <c r="J791" s="2" t="s">
        <v>22</v>
      </c>
      <c r="K791" s="2" t="s">
        <v>22</v>
      </c>
      <c r="L791" s="2" t="s">
        <v>22</v>
      </c>
    </row>
    <row r="792" customFormat="false" ht="15" hidden="false" customHeight="false" outlineLevel="0" collapsed="false">
      <c r="A792" s="2" t="s">
        <v>2401</v>
      </c>
      <c r="B792" s="14" t="s">
        <v>2400</v>
      </c>
      <c r="C792" s="14" t="s">
        <v>98</v>
      </c>
      <c r="D792" s="14" t="s">
        <v>4193</v>
      </c>
      <c r="E792" s="14" t="s">
        <v>87</v>
      </c>
      <c r="F792" s="2" t="s">
        <v>99</v>
      </c>
      <c r="G792" s="2" t="s">
        <v>3369</v>
      </c>
      <c r="H792" s="39" t="s">
        <v>832</v>
      </c>
      <c r="I792" s="2" t="s">
        <v>22</v>
      </c>
      <c r="J792" s="2" t="s">
        <v>22</v>
      </c>
      <c r="K792" s="2" t="s">
        <v>22</v>
      </c>
      <c r="L792" s="2" t="s">
        <v>22</v>
      </c>
    </row>
    <row r="793" customFormat="false" ht="15" hidden="false" customHeight="false" outlineLevel="0" collapsed="false">
      <c r="A793" s="2" t="s">
        <v>1972</v>
      </c>
      <c r="B793" s="13" t="s">
        <v>1971</v>
      </c>
      <c r="C793" s="13" t="s">
        <v>72</v>
      </c>
      <c r="D793" s="13" t="s">
        <v>4194</v>
      </c>
      <c r="E793" s="14" t="s">
        <v>73</v>
      </c>
      <c r="F793" s="2" t="s">
        <v>99</v>
      </c>
      <c r="G793" s="2" t="s">
        <v>3355</v>
      </c>
      <c r="H793" s="39" t="s">
        <v>832</v>
      </c>
      <c r="I793" s="2" t="s">
        <v>24</v>
      </c>
      <c r="J793" s="2" t="s">
        <v>24</v>
      </c>
      <c r="K793" s="2" t="s">
        <v>24</v>
      </c>
      <c r="L793" s="2" t="s">
        <v>22</v>
      </c>
    </row>
    <row r="794" customFormat="false" ht="15" hidden="false" customHeight="false" outlineLevel="0" collapsed="false">
      <c r="A794" s="2" t="s">
        <v>3337</v>
      </c>
      <c r="B794" s="13" t="s">
        <v>4195</v>
      </c>
      <c r="C794" s="13" t="s">
        <v>91</v>
      </c>
      <c r="D794" s="13" t="s">
        <v>4196</v>
      </c>
      <c r="E794" s="13" t="s">
        <v>154</v>
      </c>
      <c r="F794" s="2" t="s">
        <v>45</v>
      </c>
      <c r="G794" s="2" t="s">
        <v>3395</v>
      </c>
      <c r="H794" s="39" t="s">
        <v>832</v>
      </c>
      <c r="I794" s="2" t="s">
        <v>24</v>
      </c>
      <c r="J794" s="2" t="s">
        <v>24</v>
      </c>
      <c r="K794" s="2" t="s">
        <v>24</v>
      </c>
      <c r="L794" s="2" t="s">
        <v>24</v>
      </c>
    </row>
    <row r="795" customFormat="false" ht="15" hidden="false" customHeight="false" outlineLevel="0" collapsed="false">
      <c r="A795" s="2" t="s">
        <v>3339</v>
      </c>
      <c r="B795" s="13" t="s">
        <v>4197</v>
      </c>
      <c r="C795" s="13" t="s">
        <v>82</v>
      </c>
      <c r="D795" s="14" t="s">
        <v>4198</v>
      </c>
      <c r="E795" s="13" t="s">
        <v>124</v>
      </c>
      <c r="F795" s="2" t="s">
        <v>46</v>
      </c>
      <c r="G795" s="2" t="s">
        <v>3395</v>
      </c>
      <c r="H795" s="39" t="s">
        <v>832</v>
      </c>
      <c r="I795" s="2" t="s">
        <v>24</v>
      </c>
      <c r="J795" s="2" t="s">
        <v>24</v>
      </c>
      <c r="K795" s="2" t="s">
        <v>22</v>
      </c>
      <c r="L795" s="2" t="s">
        <v>24</v>
      </c>
    </row>
    <row r="796" customFormat="false" ht="15" hidden="false" customHeight="false" outlineLevel="0" collapsed="false">
      <c r="A796" s="2" t="s">
        <v>678</v>
      </c>
      <c r="B796" s="13" t="s">
        <v>677</v>
      </c>
      <c r="C796" s="13" t="s">
        <v>72</v>
      </c>
      <c r="D796" s="13" t="s">
        <v>4199</v>
      </c>
      <c r="E796" s="13" t="s">
        <v>102</v>
      </c>
      <c r="F796" s="2" t="s">
        <v>99</v>
      </c>
      <c r="G796" s="2" t="s">
        <v>3359</v>
      </c>
      <c r="H796" s="34" t="s">
        <v>822</v>
      </c>
      <c r="I796" s="2" t="s">
        <v>24</v>
      </c>
      <c r="J796" s="2" t="s">
        <v>24</v>
      </c>
      <c r="K796" s="2" t="s">
        <v>24</v>
      </c>
      <c r="L796" s="2" t="s">
        <v>24</v>
      </c>
    </row>
    <row r="797" customFormat="false" ht="15" hidden="false" customHeight="false" outlineLevel="0" collapsed="false">
      <c r="A797" s="2" t="s">
        <v>506</v>
      </c>
      <c r="B797" s="13" t="s">
        <v>505</v>
      </c>
      <c r="C797" s="13" t="s">
        <v>123</v>
      </c>
      <c r="D797" s="13" t="s">
        <v>4200</v>
      </c>
      <c r="E797" s="13" t="s">
        <v>120</v>
      </c>
      <c r="F797" s="2" t="s">
        <v>99</v>
      </c>
      <c r="G797" s="2" t="s">
        <v>3359</v>
      </c>
      <c r="H797" s="34" t="s">
        <v>822</v>
      </c>
      <c r="I797" s="2" t="s">
        <v>24</v>
      </c>
      <c r="J797" s="2" t="s">
        <v>24</v>
      </c>
      <c r="K797" s="2" t="s">
        <v>24</v>
      </c>
      <c r="L797" s="2" t="s">
        <v>24</v>
      </c>
    </row>
    <row r="798" customFormat="false" ht="15" hidden="false" customHeight="false" outlineLevel="0" collapsed="false">
      <c r="A798" s="2" t="s">
        <v>2838</v>
      </c>
      <c r="B798" s="13" t="s">
        <v>2837</v>
      </c>
      <c r="C798" s="13" t="s">
        <v>82</v>
      </c>
      <c r="D798" s="13" t="s">
        <v>4201</v>
      </c>
      <c r="E798" s="13" t="s">
        <v>105</v>
      </c>
      <c r="F798" s="2" t="s">
        <v>92</v>
      </c>
      <c r="G798" s="2" t="s">
        <v>3361</v>
      </c>
      <c r="H798" s="39" t="s">
        <v>832</v>
      </c>
      <c r="I798" s="2" t="s">
        <v>24</v>
      </c>
      <c r="J798" s="2" t="s">
        <v>24</v>
      </c>
      <c r="K798" s="2" t="s">
        <v>24</v>
      </c>
      <c r="L798" s="2" t="s">
        <v>24</v>
      </c>
    </row>
    <row r="799" customFormat="false" ht="15" hidden="false" customHeight="false" outlineLevel="0" collapsed="false">
      <c r="A799" s="2" t="s">
        <v>1360</v>
      </c>
      <c r="B799" s="13" t="s">
        <v>1359</v>
      </c>
      <c r="C799" s="13" t="s">
        <v>77</v>
      </c>
      <c r="D799" s="13" t="s">
        <v>4202</v>
      </c>
      <c r="E799" s="13" t="s">
        <v>78</v>
      </c>
      <c r="F799" s="2" t="s">
        <v>99</v>
      </c>
      <c r="G799" s="2" t="s">
        <v>3355</v>
      </c>
      <c r="H799" s="39" t="s">
        <v>832</v>
      </c>
      <c r="I799" s="2" t="s">
        <v>24</v>
      </c>
      <c r="J799" s="2" t="s">
        <v>24</v>
      </c>
      <c r="K799" s="2" t="s">
        <v>24</v>
      </c>
      <c r="L799" s="2" t="s">
        <v>24</v>
      </c>
    </row>
    <row r="800" customFormat="false" ht="15" hidden="false" customHeight="false" outlineLevel="0" collapsed="false">
      <c r="A800" s="2" t="s">
        <v>586</v>
      </c>
      <c r="B800" s="13" t="s">
        <v>585</v>
      </c>
      <c r="C800" s="13" t="s">
        <v>123</v>
      </c>
      <c r="D800" s="13" t="s">
        <v>4203</v>
      </c>
      <c r="E800" s="13" t="s">
        <v>124</v>
      </c>
      <c r="F800" s="2" t="s">
        <v>99</v>
      </c>
      <c r="G800" s="2" t="s">
        <v>3359</v>
      </c>
      <c r="H800" s="34" t="s">
        <v>822</v>
      </c>
      <c r="I800" s="2" t="s">
        <v>24</v>
      </c>
      <c r="J800" s="2" t="s">
        <v>24</v>
      </c>
      <c r="K800" s="2" t="s">
        <v>24</v>
      </c>
      <c r="L800" s="2" t="s">
        <v>24</v>
      </c>
    </row>
    <row r="801" customFormat="false" ht="15" hidden="false" customHeight="false" outlineLevel="0" collapsed="false">
      <c r="A801" s="2" t="s">
        <v>400</v>
      </c>
      <c r="B801" s="13" t="s">
        <v>399</v>
      </c>
      <c r="C801" s="13" t="s">
        <v>98</v>
      </c>
      <c r="D801" s="13" t="s">
        <v>4204</v>
      </c>
      <c r="E801" s="13" t="s">
        <v>105</v>
      </c>
      <c r="F801" s="2" t="s">
        <v>99</v>
      </c>
      <c r="G801" s="2" t="s">
        <v>3359</v>
      </c>
      <c r="H801" s="34" t="s">
        <v>822</v>
      </c>
      <c r="I801" s="2" t="s">
        <v>24</v>
      </c>
      <c r="J801" s="2" t="s">
        <v>24</v>
      </c>
      <c r="K801" s="2" t="s">
        <v>24</v>
      </c>
      <c r="L801" s="2" t="s">
        <v>24</v>
      </c>
    </row>
    <row r="802" customFormat="false" ht="15" hidden="false" customHeight="false" outlineLevel="0" collapsed="false">
      <c r="A802" s="2" t="s">
        <v>674</v>
      </c>
      <c r="B802" s="13" t="s">
        <v>673</v>
      </c>
      <c r="C802" s="13" t="s">
        <v>86</v>
      </c>
      <c r="D802" s="14" t="s">
        <v>4205</v>
      </c>
      <c r="E802" s="13" t="s">
        <v>87</v>
      </c>
      <c r="F802" s="2" t="s">
        <v>47</v>
      </c>
      <c r="G802" s="2" t="s">
        <v>3364</v>
      </c>
      <c r="H802" s="34" t="s">
        <v>822</v>
      </c>
      <c r="I802" s="2" t="s">
        <v>24</v>
      </c>
      <c r="J802" s="2" t="s">
        <v>24</v>
      </c>
      <c r="K802" s="2" t="s">
        <v>22</v>
      </c>
      <c r="L802" s="2" t="s">
        <v>24</v>
      </c>
    </row>
    <row r="803" customFormat="false" ht="15" hidden="false" customHeight="false" outlineLevel="0" collapsed="false">
      <c r="A803" s="2" t="s">
        <v>232</v>
      </c>
      <c r="B803" s="13" t="s">
        <v>231</v>
      </c>
      <c r="C803" s="13" t="s">
        <v>98</v>
      </c>
      <c r="D803" s="14" t="s">
        <v>4206</v>
      </c>
      <c r="E803" s="13" t="s">
        <v>105</v>
      </c>
      <c r="F803" s="2" t="s">
        <v>99</v>
      </c>
      <c r="G803" s="2" t="s">
        <v>3359</v>
      </c>
      <c r="H803" s="34" t="s">
        <v>822</v>
      </c>
      <c r="I803" s="2" t="s">
        <v>24</v>
      </c>
      <c r="J803" s="2" t="s">
        <v>24</v>
      </c>
      <c r="K803" s="2" t="s">
        <v>22</v>
      </c>
      <c r="L803" s="2" t="s">
        <v>24</v>
      </c>
    </row>
    <row r="804" customFormat="false" ht="15" hidden="false" customHeight="false" outlineLevel="0" collapsed="false">
      <c r="A804" s="2" t="s">
        <v>1195</v>
      </c>
      <c r="B804" s="13" t="s">
        <v>1194</v>
      </c>
      <c r="C804" s="13" t="s">
        <v>77</v>
      </c>
      <c r="D804" s="13" t="s">
        <v>4207</v>
      </c>
      <c r="E804" s="13" t="s">
        <v>120</v>
      </c>
      <c r="F804" s="2" t="s">
        <v>99</v>
      </c>
      <c r="G804" s="2" t="s">
        <v>3355</v>
      </c>
      <c r="H804" s="39" t="s">
        <v>832</v>
      </c>
      <c r="I804" s="2" t="s">
        <v>24</v>
      </c>
      <c r="J804" s="2" t="s">
        <v>24</v>
      </c>
      <c r="K804" s="2" t="s">
        <v>24</v>
      </c>
      <c r="L804" s="2" t="s">
        <v>24</v>
      </c>
    </row>
  </sheetData>
  <autoFilter ref="A4:L8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30"/>
    <col collapsed="false" customWidth="true" hidden="false" outlineLevel="0" max="4" min="4" style="0" width="22"/>
    <col collapsed="false" customWidth="true" hidden="false" outlineLevel="0" max="5" min="5" style="0" width="44"/>
    <col collapsed="false" customWidth="true" hidden="false" outlineLevel="0" max="6" min="6" style="0" width="22"/>
    <col collapsed="false" customWidth="true" hidden="false" outlineLevel="0" max="7" min="7" style="0" width="14"/>
    <col collapsed="false" customWidth="true" hidden="false" outlineLevel="0" max="8" min="8" style="0" width="60"/>
  </cols>
  <sheetData>
    <row r="1" customFormat="false" ht="17.35" hidden="false" customHeight="false" outlineLevel="0" collapsed="false">
      <c r="A1" s="1" t="s">
        <v>4208</v>
      </c>
      <c r="B1" s="2"/>
      <c r="C1" s="2"/>
      <c r="D1" s="2"/>
      <c r="E1" s="2"/>
      <c r="F1" s="2"/>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31.5" hidden="false" customHeight="true" outlineLevel="0" collapsed="false">
      <c r="A4" s="8" t="s">
        <v>26</v>
      </c>
      <c r="B4" s="8" t="s">
        <v>4209</v>
      </c>
      <c r="C4" s="8" t="s">
        <v>28</v>
      </c>
      <c r="D4" s="8" t="s">
        <v>4210</v>
      </c>
      <c r="E4" s="8" t="s">
        <v>4211</v>
      </c>
      <c r="F4" s="8" t="s">
        <v>4212</v>
      </c>
      <c r="G4" s="8" t="s">
        <v>4213</v>
      </c>
      <c r="H4" s="8" t="s">
        <v>4214</v>
      </c>
    </row>
    <row r="5" customFormat="false" ht="75" hidden="false" customHeight="true" outlineLevel="0" collapsed="false">
      <c r="A5" s="49" t="s">
        <v>29</v>
      </c>
      <c r="B5" s="49" t="s">
        <v>4215</v>
      </c>
      <c r="C5" s="49" t="s">
        <v>4216</v>
      </c>
      <c r="D5" s="49" t="s">
        <v>816</v>
      </c>
      <c r="E5" s="49" t="s">
        <v>4217</v>
      </c>
      <c r="F5" s="49" t="s">
        <v>4218</v>
      </c>
      <c r="G5" s="49" t="s">
        <v>4219</v>
      </c>
      <c r="H5" s="49" t="s">
        <v>4220</v>
      </c>
    </row>
    <row r="6" customFormat="false" ht="75" hidden="false" customHeight="true" outlineLevel="0" collapsed="false">
      <c r="A6" s="49" t="s">
        <v>31</v>
      </c>
      <c r="B6" s="49" t="s">
        <v>4221</v>
      </c>
      <c r="C6" s="49" t="s">
        <v>4222</v>
      </c>
      <c r="D6" s="49" t="s">
        <v>817</v>
      </c>
      <c r="E6" s="49" t="s">
        <v>4223</v>
      </c>
      <c r="F6" s="49" t="s">
        <v>4224</v>
      </c>
      <c r="G6" s="49" t="s">
        <v>4225</v>
      </c>
      <c r="H6" s="49" t="s">
        <v>4226</v>
      </c>
    </row>
    <row r="7" customFormat="false" ht="75" hidden="false" customHeight="true" outlineLevel="0" collapsed="false">
      <c r="A7" s="49" t="s">
        <v>33</v>
      </c>
      <c r="B7" s="49" t="s">
        <v>4227</v>
      </c>
      <c r="C7" s="49" t="s">
        <v>4228</v>
      </c>
      <c r="D7" s="49" t="s">
        <v>818</v>
      </c>
      <c r="E7" s="49" t="s">
        <v>4229</v>
      </c>
      <c r="F7" s="49" t="s">
        <v>4218</v>
      </c>
      <c r="G7" s="49" t="s">
        <v>4230</v>
      </c>
      <c r="H7" s="49" t="s">
        <v>4231</v>
      </c>
    </row>
    <row r="8" customFormat="false" ht="15" hidden="false" customHeight="false" outlineLevel="0" collapsed="false">
      <c r="A8" s="2"/>
      <c r="B8" s="2"/>
      <c r="C8" s="2"/>
      <c r="D8" s="2"/>
      <c r="E8" s="2"/>
      <c r="F8" s="2"/>
      <c r="G8" s="2"/>
      <c r="H8" s="2"/>
    </row>
    <row r="9" customFormat="false" ht="15" hidden="false" customHeight="false" outlineLevel="0" collapsed="false">
      <c r="A9" s="50" t="s">
        <v>4232</v>
      </c>
      <c r="B9" s="2"/>
      <c r="C9" s="2"/>
      <c r="D9" s="2"/>
      <c r="E9" s="2"/>
      <c r="F9" s="2"/>
      <c r="G9" s="2"/>
      <c r="H9" s="2"/>
    </row>
    <row r="10" customFormat="false" ht="15" hidden="false" customHeight="false" outlineLevel="0" collapsed="false">
      <c r="A10" s="50" t="s">
        <v>4233</v>
      </c>
      <c r="B10" s="2"/>
      <c r="C10" s="2"/>
      <c r="D10" s="2"/>
      <c r="E10" s="2"/>
      <c r="F10" s="2"/>
      <c r="G10" s="2"/>
      <c r="H10" s="2"/>
    </row>
    <row r="11" customFormat="false" ht="15" hidden="false" customHeight="false" outlineLevel="0" collapsed="false">
      <c r="A11" s="50" t="s">
        <v>4234</v>
      </c>
      <c r="B11" s="2"/>
      <c r="C11" s="2"/>
      <c r="D11" s="2"/>
      <c r="E11" s="2"/>
      <c r="F11" s="2"/>
      <c r="G11" s="2"/>
      <c r="H1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6" min="2" style="0" width="13"/>
    <col collapsed="false" customWidth="true" hidden="false" outlineLevel="0" max="8" min="7" style="0" width="11"/>
    <col collapsed="false" customWidth="true" hidden="false" outlineLevel="0" max="10" min="9" style="0" width="10"/>
    <col collapsed="false" customWidth="true" hidden="false" outlineLevel="0" max="11" min="11" style="0" width="9"/>
    <col collapsed="false" customWidth="true" hidden="false" outlineLevel="0" max="22" min="12" style="0" width="11"/>
  </cols>
  <sheetData>
    <row r="1" customFormat="false" ht="17.35" hidden="false" customHeight="false" outlineLevel="0" collapsed="false">
      <c r="A1" s="1" t="s">
        <v>4235</v>
      </c>
      <c r="B1" s="2"/>
      <c r="C1" s="2"/>
      <c r="D1" s="2"/>
      <c r="E1" s="2"/>
      <c r="F1" s="2"/>
      <c r="G1" s="2"/>
      <c r="H1" s="2"/>
      <c r="I1" s="2"/>
      <c r="J1" s="2"/>
      <c r="K1" s="2"/>
      <c r="L1" s="2"/>
      <c r="M1" s="2"/>
      <c r="N1" s="2"/>
      <c r="O1" s="2"/>
      <c r="P1" s="2"/>
      <c r="Q1" s="2"/>
      <c r="R1" s="2"/>
      <c r="S1" s="2"/>
      <c r="T1" s="2"/>
      <c r="U1" s="2"/>
      <c r="V1" s="2"/>
    </row>
    <row r="2" customFormat="false" ht="15" hidden="false" customHeight="false" outlineLevel="0" collapsed="false">
      <c r="A2" s="3" t="s">
        <v>4236</v>
      </c>
      <c r="B2" s="2"/>
      <c r="C2" s="2"/>
      <c r="D2" s="2"/>
      <c r="E2" s="2"/>
      <c r="F2" s="2"/>
      <c r="G2" s="2"/>
      <c r="H2" s="2"/>
      <c r="I2" s="2"/>
      <c r="J2" s="2"/>
      <c r="K2" s="2"/>
      <c r="L2" s="2"/>
      <c r="M2" s="2"/>
      <c r="N2" s="2"/>
      <c r="O2" s="2"/>
      <c r="P2" s="2"/>
      <c r="Q2" s="2"/>
      <c r="R2" s="2"/>
      <c r="S2" s="2"/>
      <c r="T2" s="2"/>
      <c r="U2" s="2"/>
      <c r="V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row>
    <row r="4" customFormat="false" ht="15" hidden="false" customHeight="false" outlineLevel="0" collapsed="false">
      <c r="A4" s="2" t="s">
        <v>4237</v>
      </c>
      <c r="B4" s="51" t="n">
        <v>0.25</v>
      </c>
      <c r="C4" s="51" t="n">
        <v>0.25</v>
      </c>
      <c r="D4" s="51" t="n">
        <v>0.2</v>
      </c>
      <c r="E4" s="51" t="n">
        <v>0.15</v>
      </c>
      <c r="F4" s="51" t="n">
        <v>0.15</v>
      </c>
      <c r="G4" s="9" t="n">
        <f aca="false">SUM(B4:F4)</f>
        <v>1</v>
      </c>
      <c r="H4" s="2" t="s">
        <v>4238</v>
      </c>
      <c r="I4" s="2"/>
      <c r="J4" s="2"/>
      <c r="K4" s="2"/>
      <c r="L4" s="2"/>
      <c r="M4" s="2"/>
      <c r="N4" s="2"/>
      <c r="O4" s="2"/>
      <c r="P4" s="2"/>
      <c r="Q4" s="2"/>
      <c r="R4" s="2"/>
      <c r="S4" s="2"/>
      <c r="T4" s="2"/>
      <c r="U4" s="2"/>
      <c r="V4" s="2"/>
    </row>
    <row r="5" customFormat="false" ht="15" hidden="false" customHeight="false" outlineLevel="0" collapsed="false">
      <c r="A5" s="2" t="s">
        <v>4239</v>
      </c>
      <c r="B5" s="52" t="n">
        <v>0.4</v>
      </c>
      <c r="C5" s="2"/>
      <c r="D5" s="2"/>
      <c r="E5" s="2"/>
      <c r="F5" s="2"/>
      <c r="G5" s="2"/>
      <c r="H5" s="2"/>
      <c r="I5" s="2"/>
      <c r="J5" s="2"/>
      <c r="K5" s="2"/>
      <c r="L5" s="2"/>
      <c r="M5" s="2"/>
      <c r="N5" s="2"/>
      <c r="O5" s="2"/>
      <c r="P5" s="2"/>
      <c r="Q5" s="2"/>
      <c r="R5" s="2"/>
      <c r="S5" s="2"/>
      <c r="T5" s="2"/>
      <c r="U5" s="2"/>
      <c r="V5" s="2"/>
    </row>
    <row r="6" customFormat="false" ht="15" hidden="false" customHeight="false" outlineLevel="0" collapsed="false">
      <c r="A6" s="2" t="s">
        <v>4240</v>
      </c>
      <c r="B6" s="51" t="n">
        <v>0.15</v>
      </c>
      <c r="C6" s="2" t="s">
        <v>4241</v>
      </c>
      <c r="D6" s="2"/>
      <c r="E6" s="2"/>
      <c r="F6" s="2"/>
      <c r="G6" s="2"/>
      <c r="H6" s="2"/>
      <c r="I6" s="2"/>
      <c r="J6" s="2"/>
      <c r="K6" s="2"/>
      <c r="L6" s="2"/>
      <c r="M6" s="2"/>
      <c r="N6" s="2"/>
      <c r="O6" s="2"/>
      <c r="P6" s="2"/>
      <c r="Q6" s="2"/>
      <c r="R6" s="2"/>
      <c r="S6" s="2"/>
      <c r="T6" s="2"/>
      <c r="U6" s="2"/>
      <c r="V6" s="2"/>
    </row>
    <row r="7" customFormat="false" ht="31.5" hidden="false" customHeight="true" outlineLevel="0" collapsed="false">
      <c r="A7" s="8" t="s">
        <v>4242</v>
      </c>
      <c r="B7" s="8" t="s">
        <v>4243</v>
      </c>
      <c r="C7" s="8" t="s">
        <v>4244</v>
      </c>
      <c r="D7" s="8" t="s">
        <v>4245</v>
      </c>
      <c r="E7" s="8" t="s">
        <v>4246</v>
      </c>
      <c r="F7" s="8" t="s">
        <v>4247</v>
      </c>
      <c r="G7" s="8" t="s">
        <v>4248</v>
      </c>
      <c r="H7" s="8" t="s">
        <v>4249</v>
      </c>
      <c r="I7" s="8" t="s">
        <v>4250</v>
      </c>
      <c r="J7" s="8" t="s">
        <v>4251</v>
      </c>
      <c r="K7" s="8" t="s">
        <v>4252</v>
      </c>
      <c r="L7" s="8" t="s">
        <v>4253</v>
      </c>
      <c r="M7" s="8" t="s">
        <v>4254</v>
      </c>
      <c r="N7" s="8" t="s">
        <v>4255</v>
      </c>
      <c r="O7" s="8" t="s">
        <v>4256</v>
      </c>
      <c r="P7" s="8" t="s">
        <v>4257</v>
      </c>
      <c r="Q7" s="8" t="s">
        <v>4258</v>
      </c>
      <c r="R7" s="8" t="s">
        <v>4259</v>
      </c>
      <c r="S7" s="8" t="s">
        <v>4260</v>
      </c>
      <c r="T7" s="8" t="s">
        <v>4261</v>
      </c>
      <c r="U7" s="8" t="s">
        <v>4262</v>
      </c>
      <c r="V7" s="8" t="s">
        <v>4263</v>
      </c>
    </row>
    <row r="8" customFormat="false" ht="15" hidden="false" customHeight="false" outlineLevel="0" collapsed="false">
      <c r="A8" s="2" t="s">
        <v>24</v>
      </c>
      <c r="B8" s="12" t="n">
        <v>0.6437</v>
      </c>
      <c r="C8" s="12" t="n">
        <v>0.8918</v>
      </c>
      <c r="D8" s="12" t="n">
        <v>0.8773</v>
      </c>
      <c r="E8" s="12" t="n">
        <v>0.9972</v>
      </c>
      <c r="F8" s="12" t="n">
        <v>0.9753</v>
      </c>
      <c r="G8" s="53" t="n">
        <f aca="false">SUMPRODUCT($B$4:$F$4,B8:F8)</f>
        <v>0.85521</v>
      </c>
      <c r="H8" s="53" t="n">
        <v>0.7646</v>
      </c>
      <c r="I8" s="2" t="n">
        <v>1</v>
      </c>
      <c r="J8" s="53" t="n">
        <f aca="false">IF(H8="",G8,(1-$B$6)*G8+$B$6*H8)</f>
        <v>0.8416185</v>
      </c>
      <c r="K8" s="2" t="n">
        <f aca="false">IF(J8&lt;$B$5,"excluded",COUNTIFS($J$8:$J$10,"&gt;"&amp;J8,$J$8:$J$10,"&gt;="&amp;$B$5)+1)</f>
        <v>1</v>
      </c>
      <c r="L8" s="53" t="n">
        <v>0.8474</v>
      </c>
      <c r="M8" s="9" t="n">
        <v>0.5714</v>
      </c>
      <c r="N8" s="31" t="n">
        <v>21</v>
      </c>
      <c r="O8" s="11" t="n">
        <v>2507</v>
      </c>
      <c r="P8" s="11" t="n">
        <v>1105</v>
      </c>
      <c r="Q8" s="12" t="n">
        <v>0.01</v>
      </c>
      <c r="R8" s="11" t="n">
        <v>0</v>
      </c>
      <c r="S8" s="11" t="n">
        <v>12269</v>
      </c>
      <c r="T8" s="9" t="n">
        <v>0.878</v>
      </c>
      <c r="U8" s="9" t="n">
        <v>0.8003</v>
      </c>
      <c r="V8" s="9" t="n">
        <v>0.7611</v>
      </c>
    </row>
    <row r="9" customFormat="false" ht="15" hidden="false" customHeight="false" outlineLevel="0" collapsed="false">
      <c r="A9" s="2" t="s">
        <v>22</v>
      </c>
      <c r="B9" s="12" t="n">
        <v>0.5114</v>
      </c>
      <c r="C9" s="12" t="n">
        <v>0.9634</v>
      </c>
      <c r="D9" s="12" t="n">
        <v>0.9397</v>
      </c>
      <c r="E9" s="12" t="n">
        <v>0.999</v>
      </c>
      <c r="F9" s="12" t="n">
        <v>0.9823</v>
      </c>
      <c r="G9" s="53" t="n">
        <f aca="false">SUMPRODUCT($B$4:$F$4,B9:F9)</f>
        <v>0.853835</v>
      </c>
      <c r="H9" s="53" t="n">
        <v>0.7639</v>
      </c>
      <c r="I9" s="2" t="n">
        <v>1</v>
      </c>
      <c r="J9" s="53" t="n">
        <f aca="false">IF(H9="",G9,(1-$B$6)*G9+$B$6*H9)</f>
        <v>0.84034475</v>
      </c>
      <c r="K9" s="2" t="n">
        <f aca="false">IF(J9&lt;$B$5,"excluded",COUNTIFS($J$8:$J$10,"&gt;"&amp;J9,$J$8:$J$10,"&gt;="&amp;$B$5)+1)</f>
        <v>2</v>
      </c>
      <c r="L9" s="53" t="n">
        <v>0.8502</v>
      </c>
      <c r="M9" s="9" t="n">
        <v>0.5625</v>
      </c>
      <c r="N9" s="31" t="n">
        <v>16</v>
      </c>
      <c r="O9" s="11" t="n">
        <v>1814</v>
      </c>
      <c r="P9" s="11" t="n">
        <v>786</v>
      </c>
      <c r="Q9" s="12" t="n">
        <v>0</v>
      </c>
      <c r="R9" s="11" t="n">
        <v>0</v>
      </c>
      <c r="S9" s="11" t="n">
        <v>1814</v>
      </c>
      <c r="T9" s="9" t="n">
        <v>0.963</v>
      </c>
      <c r="U9" s="9" t="n">
        <v>0.965</v>
      </c>
      <c r="V9" s="9" t="n">
        <v>0.8998</v>
      </c>
    </row>
    <row r="10" customFormat="false" ht="15" hidden="false" customHeight="false" outlineLevel="0" collapsed="false">
      <c r="A10" s="2" t="s">
        <v>19</v>
      </c>
      <c r="B10" s="12" t="n">
        <v>0.3224</v>
      </c>
      <c r="C10" s="12" t="n">
        <v>0.7242</v>
      </c>
      <c r="D10" s="12" t="n">
        <v>0.5958</v>
      </c>
      <c r="E10" s="12" t="n">
        <v>0.9893</v>
      </c>
      <c r="F10" s="12" t="n">
        <v>0.9625</v>
      </c>
      <c r="G10" s="53" t="n">
        <f aca="false">SUMPRODUCT($B$4:$F$4,B10:F10)</f>
        <v>0.67358</v>
      </c>
      <c r="H10" s="53" t="n">
        <v>0.555</v>
      </c>
      <c r="I10" s="2" t="n">
        <v>1</v>
      </c>
      <c r="J10" s="53" t="n">
        <f aca="false">IF(H10="",G10,(1-$B$6)*G10+$B$6*H10)</f>
        <v>0.655793</v>
      </c>
      <c r="K10" s="2" t="n">
        <f aca="false">IF(J10&lt;$B$5,"excluded",COUNTIFS($J$8:$J$10,"&gt;"&amp;J10,$J$8:$J$10,"&gt;="&amp;$B$5)+1)</f>
        <v>3</v>
      </c>
      <c r="L10" s="53" t="n">
        <v>0.661</v>
      </c>
      <c r="M10" s="9" t="n">
        <v>0.3077</v>
      </c>
      <c r="N10" s="31" t="n">
        <v>13</v>
      </c>
      <c r="O10" s="11" t="n">
        <v>1879</v>
      </c>
      <c r="P10" s="11" t="n">
        <v>820</v>
      </c>
      <c r="Q10" s="12" t="n">
        <v>0.0383</v>
      </c>
      <c r="R10" s="11" t="n">
        <v>23</v>
      </c>
      <c r="S10" s="11" t="n">
        <v>3175</v>
      </c>
      <c r="T10" s="9" t="n">
        <v>0.6903</v>
      </c>
      <c r="U10" s="9" t="n">
        <v>0.7186</v>
      </c>
      <c r="V10" s="9" t="n">
        <v>0.2068</v>
      </c>
    </row>
    <row r="11" customFormat="false" ht="15" hidden="false" customHeight="false" outlineLevel="0" collapsed="false">
      <c r="A11" s="2"/>
      <c r="B11" s="2"/>
      <c r="C11" s="2"/>
      <c r="D11" s="2"/>
      <c r="E11" s="2"/>
      <c r="F11" s="2"/>
      <c r="G11" s="2"/>
      <c r="H11" s="2"/>
      <c r="I11" s="2"/>
      <c r="J11" s="2"/>
      <c r="K11" s="2"/>
      <c r="L11" s="2"/>
      <c r="M11" s="2"/>
      <c r="N11" s="2"/>
      <c r="O11" s="2"/>
      <c r="P11" s="2"/>
      <c r="Q11" s="2"/>
      <c r="R11" s="2"/>
      <c r="S11" s="2"/>
      <c r="T11" s="2"/>
      <c r="U11" s="2"/>
      <c r="V11" s="2"/>
    </row>
    <row r="12" customFormat="false" ht="15" hidden="false" customHeight="false" outlineLevel="0" collapsed="false">
      <c r="A12" s="2"/>
      <c r="B12" s="2"/>
      <c r="C12" s="2"/>
      <c r="D12" s="2"/>
      <c r="E12" s="2"/>
      <c r="F12" s="2"/>
      <c r="G12" s="2"/>
      <c r="H12" s="2"/>
      <c r="I12" s="2"/>
      <c r="J12" s="2"/>
      <c r="K12" s="2"/>
      <c r="L12" s="2"/>
      <c r="M12" s="2"/>
      <c r="N12" s="2"/>
      <c r="O12" s="2"/>
      <c r="P12" s="2"/>
      <c r="Q12" s="2"/>
      <c r="R12" s="2"/>
      <c r="S12" s="2"/>
      <c r="T12" s="2"/>
      <c r="U12" s="2"/>
      <c r="V12" s="2"/>
    </row>
    <row r="13" customFormat="false" ht="15" hidden="false" customHeight="false" outlineLevel="0" collapsed="false">
      <c r="A13" s="4" t="s">
        <v>4264</v>
      </c>
      <c r="B13" s="2"/>
      <c r="C13" s="2"/>
      <c r="D13" s="2"/>
      <c r="E13" s="2"/>
      <c r="F13" s="2"/>
      <c r="G13" s="2"/>
      <c r="H13" s="2"/>
      <c r="I13" s="2"/>
      <c r="J13" s="2"/>
      <c r="K13" s="2"/>
      <c r="L13" s="2"/>
      <c r="M13" s="2"/>
      <c r="N13" s="2"/>
      <c r="O13" s="2"/>
      <c r="P13" s="2"/>
      <c r="Q13" s="2"/>
      <c r="R13" s="2"/>
      <c r="S13" s="2"/>
      <c r="T13" s="2"/>
      <c r="U13" s="2"/>
      <c r="V13" s="2"/>
    </row>
    <row r="14" customFormat="false" ht="31.5" hidden="false" customHeight="true" outlineLevel="0" collapsed="false">
      <c r="A14" s="8" t="s">
        <v>42</v>
      </c>
      <c r="B14" s="8" t="s">
        <v>43</v>
      </c>
      <c r="C14" s="8" t="s">
        <v>24</v>
      </c>
      <c r="D14" s="8" t="s">
        <v>22</v>
      </c>
      <c r="E14" s="8" t="s">
        <v>19</v>
      </c>
      <c r="F14" s="2"/>
      <c r="G14" s="2"/>
      <c r="H14" s="2"/>
      <c r="I14" s="2"/>
      <c r="J14" s="2"/>
      <c r="K14" s="2"/>
      <c r="L14" s="2"/>
      <c r="M14" s="2"/>
      <c r="N14" s="2"/>
      <c r="O14" s="2"/>
      <c r="P14" s="2"/>
      <c r="Q14" s="2"/>
      <c r="R14" s="2"/>
      <c r="S14" s="2"/>
      <c r="T14" s="2"/>
      <c r="U14" s="2"/>
      <c r="V14" s="2"/>
    </row>
    <row r="15" customFormat="false" ht="15" hidden="false" customHeight="false" outlineLevel="0" collapsed="false">
      <c r="A15" s="2" t="s">
        <v>45</v>
      </c>
      <c r="B15" s="2" t="n">
        <v>628</v>
      </c>
      <c r="C15" s="54" t="n">
        <v>0.7643</v>
      </c>
      <c r="D15" s="9" t="n">
        <v>0.4092</v>
      </c>
      <c r="E15" s="9" t="n">
        <v>0.328</v>
      </c>
      <c r="F15" s="2"/>
      <c r="G15" s="2"/>
      <c r="H15" s="2"/>
      <c r="I15" s="2"/>
      <c r="J15" s="2"/>
      <c r="K15" s="2"/>
      <c r="L15" s="2"/>
      <c r="M15" s="2"/>
      <c r="N15" s="2"/>
      <c r="O15" s="2"/>
      <c r="P15" s="2"/>
      <c r="Q15" s="2"/>
      <c r="R15" s="2"/>
      <c r="S15" s="2"/>
      <c r="T15" s="2"/>
      <c r="U15" s="2"/>
      <c r="V15" s="2"/>
    </row>
    <row r="16" customFormat="false" ht="15" hidden="false" customHeight="false" outlineLevel="0" collapsed="false">
      <c r="A16" s="2" t="s">
        <v>46</v>
      </c>
      <c r="B16" s="2" t="n">
        <v>636</v>
      </c>
      <c r="C16" s="54" t="n">
        <v>0.7673</v>
      </c>
      <c r="D16" s="9" t="n">
        <v>0.2783</v>
      </c>
      <c r="E16" s="9" t="n">
        <v>0.2877</v>
      </c>
      <c r="F16" s="2"/>
      <c r="G16" s="2"/>
      <c r="H16" s="2"/>
      <c r="I16" s="2"/>
      <c r="J16" s="2"/>
      <c r="K16" s="2"/>
      <c r="L16" s="2"/>
      <c r="M16" s="2"/>
      <c r="N16" s="2"/>
      <c r="O16" s="2"/>
      <c r="P16" s="2"/>
      <c r="Q16" s="2"/>
      <c r="R16" s="2"/>
      <c r="S16" s="2"/>
      <c r="T16" s="2"/>
      <c r="U16" s="2"/>
      <c r="V16" s="2"/>
    </row>
    <row r="17" customFormat="false" ht="15" hidden="false" customHeight="false" outlineLevel="0" collapsed="false">
      <c r="A17" s="2" t="s">
        <v>47</v>
      </c>
      <c r="B17" s="2" t="n">
        <v>625</v>
      </c>
      <c r="C17" s="9" t="n">
        <v>0.3968</v>
      </c>
      <c r="D17" s="54" t="n">
        <v>0.8512</v>
      </c>
      <c r="E17" s="9" t="n">
        <v>0.352</v>
      </c>
      <c r="F17" s="2"/>
      <c r="G17" s="2"/>
      <c r="H17" s="2"/>
      <c r="I17" s="2"/>
      <c r="J17" s="2"/>
      <c r="K17" s="2"/>
      <c r="L17" s="2"/>
      <c r="M17" s="2"/>
      <c r="N17" s="2"/>
      <c r="O17" s="2"/>
      <c r="P17" s="2"/>
      <c r="Q17" s="2"/>
      <c r="R17" s="2"/>
      <c r="S17" s="2"/>
      <c r="T17" s="2"/>
      <c r="U17" s="2"/>
      <c r="V1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26"/>
    <col collapsed="false" customWidth="true" hidden="false" outlineLevel="0" max="4" min="4" style="0" width="22"/>
    <col collapsed="false" customWidth="true" hidden="false" outlineLevel="0" max="5" min="5" style="0" width="46"/>
    <col collapsed="false" customWidth="true" hidden="false" outlineLevel="0" max="7" min="6" style="0" width="13"/>
  </cols>
  <sheetData>
    <row r="1" customFormat="false" ht="17.35" hidden="false" customHeight="false" outlineLevel="0" collapsed="false">
      <c r="A1" s="1" t="s">
        <v>4265</v>
      </c>
      <c r="B1" s="2"/>
      <c r="C1" s="2"/>
      <c r="D1" s="2"/>
      <c r="E1" s="2"/>
      <c r="F1" s="2"/>
      <c r="G1" s="2"/>
    </row>
    <row r="2" customFormat="false" ht="15" hidden="false" customHeight="false" outlineLevel="0" collapsed="false">
      <c r="A2" s="3" t="s">
        <v>4266</v>
      </c>
      <c r="B2" s="2"/>
      <c r="C2" s="2"/>
      <c r="D2" s="2"/>
      <c r="E2" s="2"/>
      <c r="F2" s="2"/>
      <c r="G2" s="2"/>
    </row>
    <row r="3" customFormat="false" ht="15" hidden="false" customHeight="false" outlineLevel="0" collapsed="false">
      <c r="A3" s="2"/>
      <c r="B3" s="2"/>
      <c r="C3" s="2"/>
      <c r="D3" s="2"/>
      <c r="E3" s="2"/>
      <c r="F3" s="2"/>
      <c r="G3" s="2"/>
    </row>
    <row r="4" customFormat="false" ht="31.5" hidden="false" customHeight="true" outlineLevel="0" collapsed="false">
      <c r="A4" s="8" t="s">
        <v>4267</v>
      </c>
      <c r="B4" s="8" t="s">
        <v>4268</v>
      </c>
      <c r="C4" s="8" t="s">
        <v>4269</v>
      </c>
      <c r="D4" s="8" t="s">
        <v>4270</v>
      </c>
      <c r="E4" s="8" t="s">
        <v>4271</v>
      </c>
      <c r="F4" s="8" t="s">
        <v>4272</v>
      </c>
      <c r="G4" s="8" t="s">
        <v>4273</v>
      </c>
    </row>
    <row r="5" customFormat="false" ht="15" hidden="false" customHeight="false" outlineLevel="0" collapsed="false">
      <c r="A5" s="55" t="s">
        <v>4274</v>
      </c>
      <c r="B5" s="53" t="n">
        <v>0.8502</v>
      </c>
      <c r="C5" s="53" t="n">
        <v>0.8474</v>
      </c>
      <c r="D5" s="53" t="n">
        <v>0.661</v>
      </c>
      <c r="E5" s="2" t="n">
        <v>1</v>
      </c>
      <c r="F5" s="2" t="n">
        <v>2</v>
      </c>
      <c r="G5" s="2" t="n">
        <v>3</v>
      </c>
    </row>
    <row r="6" customFormat="false" ht="15" hidden="false" customHeight="false" outlineLevel="0" collapsed="false">
      <c r="A6" s="4" t="s">
        <v>4275</v>
      </c>
      <c r="B6" s="53" t="n">
        <v>0.8538</v>
      </c>
      <c r="C6" s="53" t="n">
        <v>0.8552</v>
      </c>
      <c r="D6" s="53" t="n">
        <v>0.6736</v>
      </c>
      <c r="E6" s="2" t="n">
        <v>2</v>
      </c>
      <c r="F6" s="2" t="n">
        <v>1</v>
      </c>
      <c r="G6" s="2" t="n">
        <v>3</v>
      </c>
    </row>
    <row r="7" customFormat="false" ht="15" hidden="false" customHeight="false" outlineLevel="0" collapsed="false">
      <c r="A7" s="2"/>
      <c r="B7" s="2"/>
      <c r="C7" s="2"/>
      <c r="D7" s="2"/>
      <c r="E7" s="2"/>
      <c r="F7" s="2"/>
      <c r="G7" s="2"/>
    </row>
    <row r="8" customFormat="false" ht="15" hidden="false" customHeight="false" outlineLevel="0" collapsed="false">
      <c r="A8" s="4" t="s">
        <v>4276</v>
      </c>
      <c r="B8" s="2"/>
      <c r="C8" s="2"/>
      <c r="D8" s="2"/>
      <c r="E8" s="2"/>
      <c r="F8" s="2"/>
      <c r="G8" s="2"/>
    </row>
    <row r="9" customFormat="false" ht="31.5" hidden="false" customHeight="true" outlineLevel="0" collapsed="false">
      <c r="A9" s="8" t="s">
        <v>4242</v>
      </c>
      <c r="B9" s="8" t="s">
        <v>4277</v>
      </c>
      <c r="C9" s="8" t="s">
        <v>4278</v>
      </c>
      <c r="D9" s="8" t="s">
        <v>4279</v>
      </c>
      <c r="E9" s="8" t="s">
        <v>4280</v>
      </c>
      <c r="F9" s="2"/>
      <c r="G9" s="2"/>
    </row>
    <row r="10" customFormat="false" ht="26.85" hidden="false" customHeight="false" outlineLevel="0" collapsed="false">
      <c r="A10" s="49" t="s">
        <v>22</v>
      </c>
      <c r="B10" s="49" t="s">
        <v>4281</v>
      </c>
      <c r="C10" s="49" t="s">
        <v>4282</v>
      </c>
      <c r="D10" s="49" t="s">
        <v>4283</v>
      </c>
      <c r="E10" s="49" t="s">
        <v>4284</v>
      </c>
      <c r="F10" s="2"/>
      <c r="G10" s="2"/>
    </row>
    <row r="11" customFormat="false" ht="15" hidden="false" customHeight="false" outlineLevel="0" collapsed="false">
      <c r="A11" s="49" t="s">
        <v>24</v>
      </c>
      <c r="B11" s="49" t="s">
        <v>4281</v>
      </c>
      <c r="C11" s="49" t="s">
        <v>4285</v>
      </c>
      <c r="D11" s="49" t="s">
        <v>4286</v>
      </c>
      <c r="E11" s="49" t="s">
        <v>4284</v>
      </c>
      <c r="F11" s="2"/>
      <c r="G11" s="2"/>
    </row>
    <row r="12" customFormat="false" ht="52.2" hidden="false" customHeight="false" outlineLevel="0" collapsed="false">
      <c r="A12" s="49" t="s">
        <v>19</v>
      </c>
      <c r="B12" s="49" t="s">
        <v>4281</v>
      </c>
      <c r="C12" s="49" t="s">
        <v>4287</v>
      </c>
      <c r="D12" s="49" t="s">
        <v>4288</v>
      </c>
      <c r="E12" s="49" t="s">
        <v>4284</v>
      </c>
      <c r="F12" s="2"/>
      <c r="G1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9"/>
    <col collapsed="false" customWidth="true" hidden="false" outlineLevel="0" max="7" min="4" style="0" width="12"/>
    <col collapsed="false" customWidth="true" hidden="false" outlineLevel="0" max="8" min="8" style="0" width="10"/>
  </cols>
  <sheetData>
    <row r="1" customFormat="false" ht="17.35" hidden="false" customHeight="false" outlineLevel="0" collapsed="false">
      <c r="A1" s="1" t="s">
        <v>4289</v>
      </c>
      <c r="B1" s="2"/>
      <c r="C1" s="2"/>
      <c r="D1" s="2"/>
      <c r="E1" s="2"/>
      <c r="F1" s="2"/>
      <c r="G1" s="2"/>
      <c r="H1" s="2"/>
    </row>
    <row r="2" customFormat="false" ht="15" hidden="false" customHeight="false" outlineLevel="0" collapsed="false">
      <c r="A2" s="3" t="s">
        <v>4290</v>
      </c>
      <c r="B2" s="2"/>
      <c r="C2" s="2"/>
      <c r="D2" s="2"/>
      <c r="E2" s="2"/>
      <c r="F2" s="2"/>
      <c r="G2" s="2"/>
      <c r="H2" s="2"/>
    </row>
    <row r="3" customFormat="false" ht="15" hidden="false" customHeight="false" outlineLevel="0" collapsed="false">
      <c r="A3" s="2"/>
      <c r="B3" s="2"/>
      <c r="C3" s="2"/>
      <c r="D3" s="2"/>
      <c r="E3" s="2"/>
      <c r="F3" s="2"/>
      <c r="G3" s="2"/>
      <c r="H3" s="2"/>
    </row>
    <row r="4" customFormat="false" ht="31.5" hidden="false" customHeight="true" outlineLevel="0" collapsed="false">
      <c r="A4" s="8" t="s">
        <v>56</v>
      </c>
      <c r="B4" s="8" t="s">
        <v>42</v>
      </c>
      <c r="C4" s="8" t="s">
        <v>4267</v>
      </c>
      <c r="D4" s="8" t="s">
        <v>814</v>
      </c>
      <c r="E4" s="10" t="s">
        <v>61</v>
      </c>
      <c r="F4" s="10" t="s">
        <v>63</v>
      </c>
      <c r="G4" s="10" t="s">
        <v>65</v>
      </c>
      <c r="H4" s="8" t="s">
        <v>36</v>
      </c>
    </row>
    <row r="5" customFormat="false" ht="15" hidden="false" customHeight="false" outlineLevel="0" collapsed="false">
      <c r="A5" s="2" t="s">
        <v>1534</v>
      </c>
      <c r="B5" s="2" t="s">
        <v>4291</v>
      </c>
      <c r="C5" s="2" t="s">
        <v>4274</v>
      </c>
      <c r="D5" s="2"/>
      <c r="E5" s="31" t="n">
        <v>20.2</v>
      </c>
      <c r="F5" s="31" t="n">
        <v>53</v>
      </c>
      <c r="G5" s="31" t="n">
        <v>0.8</v>
      </c>
      <c r="H5" s="2" t="s">
        <v>832</v>
      </c>
    </row>
    <row r="6" customFormat="false" ht="15" hidden="false" customHeight="false" outlineLevel="0" collapsed="false">
      <c r="A6" s="2" t="s">
        <v>1534</v>
      </c>
      <c r="B6" s="2" t="s">
        <v>4291</v>
      </c>
      <c r="C6" s="2" t="s">
        <v>4275</v>
      </c>
      <c r="D6" s="2"/>
      <c r="E6" s="31" t="n">
        <v>12.2</v>
      </c>
      <c r="F6" s="31" t="n">
        <v>56</v>
      </c>
      <c r="G6" s="31" t="n">
        <v>37.8</v>
      </c>
      <c r="H6" s="2" t="s">
        <v>832</v>
      </c>
    </row>
    <row r="7" customFormat="false" ht="15" hidden="false" customHeight="false" outlineLevel="0" collapsed="false">
      <c r="A7" s="2" t="s">
        <v>1534</v>
      </c>
      <c r="B7" s="2" t="s">
        <v>45</v>
      </c>
      <c r="C7" s="2" t="s">
        <v>4274</v>
      </c>
      <c r="D7" s="11" t="n">
        <v>83280</v>
      </c>
      <c r="E7" s="31" t="n">
        <v>19.2</v>
      </c>
      <c r="F7" s="31" t="n">
        <v>41.2</v>
      </c>
      <c r="G7" s="2"/>
      <c r="H7" s="2" t="s">
        <v>832</v>
      </c>
    </row>
    <row r="8" customFormat="false" ht="15" hidden="false" customHeight="false" outlineLevel="0" collapsed="false">
      <c r="A8" s="2" t="s">
        <v>1534</v>
      </c>
      <c r="B8" s="2" t="s">
        <v>45</v>
      </c>
      <c r="C8" s="2" t="s">
        <v>4275</v>
      </c>
      <c r="D8" s="11" t="n">
        <v>88250</v>
      </c>
      <c r="E8" s="31" t="n">
        <v>8.5</v>
      </c>
      <c r="F8" s="31" t="n">
        <v>61.9</v>
      </c>
      <c r="G8" s="31" t="n">
        <v>6.1</v>
      </c>
      <c r="H8" s="2" t="s">
        <v>822</v>
      </c>
    </row>
    <row r="9" customFormat="false" ht="15" hidden="false" customHeight="false" outlineLevel="0" collapsed="false">
      <c r="A9" s="2" t="s">
        <v>1534</v>
      </c>
      <c r="B9" s="2" t="s">
        <v>46</v>
      </c>
      <c r="C9" s="2" t="s">
        <v>4274</v>
      </c>
      <c r="D9" s="11" t="n">
        <v>50271</v>
      </c>
      <c r="E9" s="31" t="n">
        <v>41.1</v>
      </c>
      <c r="F9" s="2"/>
      <c r="G9" s="2"/>
      <c r="H9" s="2" t="s">
        <v>832</v>
      </c>
    </row>
    <row r="10" customFormat="false" ht="15" hidden="false" customHeight="false" outlineLevel="0" collapsed="false">
      <c r="A10" s="2" t="s">
        <v>1534</v>
      </c>
      <c r="B10" s="2" t="s">
        <v>46</v>
      </c>
      <c r="C10" s="2" t="s">
        <v>4275</v>
      </c>
      <c r="D10" s="11" t="n">
        <v>51160</v>
      </c>
      <c r="E10" s="31" t="n">
        <v>15.9</v>
      </c>
      <c r="F10" s="31" t="n">
        <v>50.2</v>
      </c>
      <c r="G10" s="31" t="n">
        <v>69.5</v>
      </c>
      <c r="H10" s="2" t="s">
        <v>822</v>
      </c>
    </row>
    <row r="11" customFormat="false" ht="15" hidden="false" customHeight="false" outlineLevel="0" collapsed="false">
      <c r="A11" s="2" t="s">
        <v>1534</v>
      </c>
      <c r="B11" s="2" t="s">
        <v>47</v>
      </c>
      <c r="C11" s="2" t="s">
        <v>4274</v>
      </c>
      <c r="D11" s="11" t="n">
        <v>60988</v>
      </c>
      <c r="E11" s="31" t="n">
        <v>0.3</v>
      </c>
      <c r="F11" s="31" t="n">
        <v>64.7</v>
      </c>
      <c r="G11" s="31" t="n">
        <v>0.8</v>
      </c>
      <c r="H11" s="2" t="s">
        <v>822</v>
      </c>
    </row>
    <row r="12" customFormat="false" ht="15" hidden="false" customHeight="false" outlineLevel="0" collapsed="false">
      <c r="A12" s="2" t="s">
        <v>1534</v>
      </c>
      <c r="B12" s="2" t="s">
        <v>47</v>
      </c>
      <c r="C12" s="2" t="s">
        <v>4275</v>
      </c>
      <c r="D12" s="2"/>
      <c r="E12" s="2"/>
      <c r="F12" s="2"/>
      <c r="G12" s="2"/>
      <c r="H12" s="2" t="s">
        <v>832</v>
      </c>
    </row>
    <row r="13" customFormat="false" ht="15" hidden="false" customHeight="false" outlineLevel="0" collapsed="false">
      <c r="A13" s="2" t="s">
        <v>1214</v>
      </c>
      <c r="B13" s="2" t="s">
        <v>4291</v>
      </c>
      <c r="C13" s="2" t="s">
        <v>4274</v>
      </c>
      <c r="D13" s="2"/>
      <c r="E13" s="31" t="n">
        <v>73.7</v>
      </c>
      <c r="F13" s="31" t="n">
        <v>55.2</v>
      </c>
      <c r="G13" s="31" t="n">
        <v>29.6</v>
      </c>
      <c r="H13" s="2" t="s">
        <v>822</v>
      </c>
    </row>
    <row r="14" customFormat="false" ht="15" hidden="false" customHeight="false" outlineLevel="0" collapsed="false">
      <c r="A14" s="2" t="s">
        <v>1214</v>
      </c>
      <c r="B14" s="2" t="s">
        <v>4291</v>
      </c>
      <c r="C14" s="2" t="s">
        <v>4275</v>
      </c>
      <c r="D14" s="2"/>
      <c r="E14" s="31" t="n">
        <v>72.3</v>
      </c>
      <c r="F14" s="31" t="n">
        <v>55.1</v>
      </c>
      <c r="G14" s="31" t="n">
        <v>13.6</v>
      </c>
      <c r="H14" s="2" t="s">
        <v>832</v>
      </c>
    </row>
    <row r="15" customFormat="false" ht="15" hidden="false" customHeight="false" outlineLevel="0" collapsed="false">
      <c r="A15" s="2" t="s">
        <v>1214</v>
      </c>
      <c r="B15" s="2" t="s">
        <v>45</v>
      </c>
      <c r="C15" s="2" t="s">
        <v>4274</v>
      </c>
      <c r="D15" s="11" t="n">
        <v>29580</v>
      </c>
      <c r="E15" s="31" t="n">
        <v>64.6</v>
      </c>
      <c r="F15" s="31" t="n">
        <v>86.5</v>
      </c>
      <c r="G15" s="2"/>
      <c r="H15" s="2" t="s">
        <v>822</v>
      </c>
    </row>
    <row r="16" customFormat="false" ht="15" hidden="false" customHeight="false" outlineLevel="0" collapsed="false">
      <c r="A16" s="2" t="s">
        <v>1214</v>
      </c>
      <c r="B16" s="2" t="s">
        <v>45</v>
      </c>
      <c r="C16" s="2" t="s">
        <v>4275</v>
      </c>
      <c r="D16" s="11" t="n">
        <v>30670</v>
      </c>
      <c r="E16" s="31" t="n">
        <v>52.2</v>
      </c>
      <c r="F16" s="31" t="n">
        <v>96.2</v>
      </c>
      <c r="G16" s="2"/>
      <c r="H16" s="2" t="s">
        <v>822</v>
      </c>
    </row>
    <row r="17" customFormat="false" ht="15" hidden="false" customHeight="false" outlineLevel="0" collapsed="false">
      <c r="A17" s="2" t="s">
        <v>1214</v>
      </c>
      <c r="B17" s="2" t="s">
        <v>46</v>
      </c>
      <c r="C17" s="2" t="s">
        <v>4274</v>
      </c>
      <c r="D17" s="11" t="n">
        <v>19350</v>
      </c>
      <c r="E17" s="31" t="n">
        <v>78.9</v>
      </c>
      <c r="F17" s="31" t="n">
        <v>60.7</v>
      </c>
      <c r="G17" s="31" t="n">
        <v>49.8</v>
      </c>
      <c r="H17" s="2" t="s">
        <v>822</v>
      </c>
    </row>
    <row r="18" customFormat="false" ht="15" hidden="false" customHeight="false" outlineLevel="0" collapsed="false">
      <c r="A18" s="2" t="s">
        <v>1214</v>
      </c>
      <c r="B18" s="2" t="s">
        <v>46</v>
      </c>
      <c r="C18" s="2" t="s">
        <v>4275</v>
      </c>
      <c r="D18" s="2"/>
      <c r="E18" s="2"/>
      <c r="F18" s="2"/>
      <c r="G18" s="2"/>
      <c r="H18" s="2" t="s">
        <v>832</v>
      </c>
    </row>
    <row r="19" customFormat="false" ht="15" hidden="false" customHeight="false" outlineLevel="0" collapsed="false">
      <c r="A19" s="2" t="s">
        <v>1214</v>
      </c>
      <c r="B19" s="2" t="s">
        <v>47</v>
      </c>
      <c r="C19" s="2" t="s">
        <v>4274</v>
      </c>
      <c r="D19" s="11" t="n">
        <v>72522</v>
      </c>
      <c r="E19" s="31" t="n">
        <v>77.5</v>
      </c>
      <c r="F19" s="31" t="n">
        <v>18.3</v>
      </c>
      <c r="G19" s="31" t="n">
        <v>9.5</v>
      </c>
      <c r="H19" s="2" t="s">
        <v>822</v>
      </c>
    </row>
    <row r="20" customFormat="false" ht="15" hidden="false" customHeight="false" outlineLevel="0" collapsed="false">
      <c r="A20" s="2" t="s">
        <v>1214</v>
      </c>
      <c r="B20" s="2" t="s">
        <v>47</v>
      </c>
      <c r="C20" s="2" t="s">
        <v>4275</v>
      </c>
      <c r="D20" s="11" t="n">
        <v>72750</v>
      </c>
      <c r="E20" s="31" t="n">
        <v>92.4</v>
      </c>
      <c r="F20" s="31" t="n">
        <v>14</v>
      </c>
      <c r="G20" s="31" t="n">
        <v>13.6</v>
      </c>
      <c r="H20" s="2" t="s">
        <v>822</v>
      </c>
    </row>
    <row r="21" customFormat="false" ht="15" hidden="false" customHeight="false" outlineLevel="0" collapsed="false">
      <c r="A21" s="2" t="s">
        <v>1832</v>
      </c>
      <c r="B21" s="2" t="s">
        <v>4291</v>
      </c>
      <c r="C21" s="2" t="s">
        <v>4274</v>
      </c>
      <c r="D21" s="2"/>
      <c r="E21" s="31" t="n">
        <v>47.9</v>
      </c>
      <c r="F21" s="31" t="n">
        <v>46.6</v>
      </c>
      <c r="G21" s="31" t="n">
        <v>82.4</v>
      </c>
      <c r="H21" s="2" t="s">
        <v>832</v>
      </c>
    </row>
    <row r="22" customFormat="false" ht="15" hidden="false" customHeight="false" outlineLevel="0" collapsed="false">
      <c r="A22" s="2" t="s">
        <v>1832</v>
      </c>
      <c r="B22" s="2" t="s">
        <v>4291</v>
      </c>
      <c r="C22" s="2" t="s">
        <v>4275</v>
      </c>
      <c r="D22" s="2"/>
      <c r="E22" s="31" t="n">
        <v>40.8</v>
      </c>
      <c r="F22" s="31" t="n">
        <v>46.7</v>
      </c>
      <c r="G22" s="31" t="n">
        <v>84.4</v>
      </c>
      <c r="H22" s="2" t="s">
        <v>832</v>
      </c>
    </row>
    <row r="23" customFormat="false" ht="15" hidden="false" customHeight="false" outlineLevel="0" collapsed="false">
      <c r="A23" s="2" t="s">
        <v>1832</v>
      </c>
      <c r="B23" s="2" t="s">
        <v>45</v>
      </c>
      <c r="C23" s="2" t="s">
        <v>4274</v>
      </c>
      <c r="D23" s="11" t="n">
        <v>30410</v>
      </c>
      <c r="E23" s="31" t="n">
        <v>55.1</v>
      </c>
      <c r="F23" s="31" t="n">
        <v>51.5</v>
      </c>
      <c r="G23" s="31" t="n">
        <v>68.8</v>
      </c>
      <c r="H23" s="2" t="s">
        <v>822</v>
      </c>
    </row>
    <row r="24" customFormat="false" ht="15" hidden="false" customHeight="false" outlineLevel="0" collapsed="false">
      <c r="A24" s="2" t="s">
        <v>1832</v>
      </c>
      <c r="B24" s="2" t="s">
        <v>45</v>
      </c>
      <c r="C24" s="2" t="s">
        <v>4275</v>
      </c>
      <c r="D24" s="11" t="n">
        <v>30830</v>
      </c>
      <c r="E24" s="31" t="n">
        <v>52.4</v>
      </c>
      <c r="F24" s="31" t="n">
        <v>32</v>
      </c>
      <c r="G24" s="2"/>
      <c r="H24" s="2" t="s">
        <v>832</v>
      </c>
    </row>
    <row r="25" customFormat="false" ht="15" hidden="false" customHeight="false" outlineLevel="0" collapsed="false">
      <c r="A25" s="2" t="s">
        <v>1832</v>
      </c>
      <c r="B25" s="2" t="s">
        <v>46</v>
      </c>
      <c r="C25" s="2" t="s">
        <v>4274</v>
      </c>
      <c r="D25" s="11" t="n">
        <v>251220</v>
      </c>
      <c r="E25" s="31" t="n">
        <v>40.7</v>
      </c>
      <c r="F25" s="31" t="n">
        <v>41.7</v>
      </c>
      <c r="G25" s="31" t="n">
        <v>96.1</v>
      </c>
      <c r="H25" s="2" t="s">
        <v>822</v>
      </c>
    </row>
    <row r="26" customFormat="false" ht="15" hidden="false" customHeight="false" outlineLevel="0" collapsed="false">
      <c r="A26" s="2" t="s">
        <v>1832</v>
      </c>
      <c r="B26" s="2" t="s">
        <v>46</v>
      </c>
      <c r="C26" s="2" t="s">
        <v>4275</v>
      </c>
      <c r="D26" s="11" t="n">
        <v>260580</v>
      </c>
      <c r="E26" s="31" t="n">
        <v>59.5</v>
      </c>
      <c r="F26" s="31" t="n">
        <v>38.2</v>
      </c>
      <c r="G26" s="31" t="n">
        <v>98.9</v>
      </c>
      <c r="H26" s="2" t="s">
        <v>822</v>
      </c>
    </row>
    <row r="27" customFormat="false" ht="15" hidden="false" customHeight="false" outlineLevel="0" collapsed="false">
      <c r="A27" s="2" t="s">
        <v>1832</v>
      </c>
      <c r="B27" s="2" t="s">
        <v>47</v>
      </c>
      <c r="C27" s="2" t="s">
        <v>4274</v>
      </c>
      <c r="D27" s="2"/>
      <c r="E27" s="2"/>
      <c r="F27" s="2"/>
      <c r="G27" s="2"/>
      <c r="H27" s="2" t="s">
        <v>832</v>
      </c>
    </row>
    <row r="28" customFormat="false" ht="15" hidden="false" customHeight="false" outlineLevel="0" collapsed="false">
      <c r="A28" s="2" t="s">
        <v>1832</v>
      </c>
      <c r="B28" s="2" t="s">
        <v>47</v>
      </c>
      <c r="C28" s="2" t="s">
        <v>4275</v>
      </c>
      <c r="D28" s="11" t="n">
        <v>3745</v>
      </c>
      <c r="E28" s="31" t="n">
        <v>10.4</v>
      </c>
      <c r="F28" s="31" t="n">
        <v>70</v>
      </c>
      <c r="G28" s="31" t="n">
        <v>69.9</v>
      </c>
      <c r="H28" s="2" t="s">
        <v>822</v>
      </c>
    </row>
    <row r="29" customFormat="false" ht="15" hidden="false" customHeight="false" outlineLevel="0" collapsed="false">
      <c r="A29" s="2" t="s">
        <v>720</v>
      </c>
      <c r="B29" s="2" t="s">
        <v>4291</v>
      </c>
      <c r="C29" s="2" t="s">
        <v>4274</v>
      </c>
      <c r="D29" s="2"/>
      <c r="E29" s="31" t="n">
        <v>34.8</v>
      </c>
      <c r="F29" s="31" t="n">
        <v>66.2</v>
      </c>
      <c r="G29" s="31" t="n">
        <v>45.9</v>
      </c>
      <c r="H29" s="2" t="s">
        <v>832</v>
      </c>
    </row>
    <row r="30" customFormat="false" ht="15" hidden="false" customHeight="false" outlineLevel="0" collapsed="false">
      <c r="A30" s="2" t="s">
        <v>720</v>
      </c>
      <c r="B30" s="2" t="s">
        <v>4291</v>
      </c>
      <c r="C30" s="2" t="s">
        <v>4275</v>
      </c>
      <c r="D30" s="2"/>
      <c r="E30" s="31" t="n">
        <v>26</v>
      </c>
      <c r="F30" s="31" t="n">
        <v>43.8</v>
      </c>
      <c r="G30" s="31" t="n">
        <v>53.5</v>
      </c>
      <c r="H30" s="2" t="s">
        <v>822</v>
      </c>
    </row>
    <row r="31" customFormat="false" ht="15" hidden="false" customHeight="false" outlineLevel="0" collapsed="false">
      <c r="A31" s="2" t="s">
        <v>720</v>
      </c>
      <c r="B31" s="2" t="s">
        <v>45</v>
      </c>
      <c r="C31" s="2" t="s">
        <v>4274</v>
      </c>
      <c r="D31" s="11" t="n">
        <v>38970</v>
      </c>
      <c r="E31" s="31" t="n">
        <v>18.1</v>
      </c>
      <c r="F31" s="31" t="n">
        <v>29.9</v>
      </c>
      <c r="G31" s="31" t="n">
        <v>25.1</v>
      </c>
      <c r="H31" s="2" t="s">
        <v>822</v>
      </c>
    </row>
    <row r="32" customFormat="false" ht="15" hidden="false" customHeight="false" outlineLevel="0" collapsed="false">
      <c r="A32" s="2" t="s">
        <v>720</v>
      </c>
      <c r="B32" s="2" t="s">
        <v>45</v>
      </c>
      <c r="C32" s="2" t="s">
        <v>4275</v>
      </c>
      <c r="D32" s="11" t="n">
        <v>38700</v>
      </c>
      <c r="E32" s="31" t="n">
        <v>10</v>
      </c>
      <c r="F32" s="31" t="n">
        <v>6.9</v>
      </c>
      <c r="G32" s="31" t="n">
        <v>8.2</v>
      </c>
      <c r="H32" s="2" t="s">
        <v>822</v>
      </c>
    </row>
    <row r="33" customFormat="false" ht="15" hidden="false" customHeight="false" outlineLevel="0" collapsed="false">
      <c r="A33" s="2" t="s">
        <v>720</v>
      </c>
      <c r="B33" s="2" t="s">
        <v>46</v>
      </c>
      <c r="C33" s="2" t="s">
        <v>4274</v>
      </c>
      <c r="D33" s="11" t="n">
        <v>290280</v>
      </c>
      <c r="E33" s="31" t="n">
        <v>69.5</v>
      </c>
      <c r="F33" s="31" t="n">
        <v>75</v>
      </c>
      <c r="G33" s="31" t="n">
        <v>89.7</v>
      </c>
      <c r="H33" s="2" t="s">
        <v>822</v>
      </c>
    </row>
    <row r="34" customFormat="false" ht="15" hidden="false" customHeight="false" outlineLevel="0" collapsed="false">
      <c r="A34" s="2" t="s">
        <v>720</v>
      </c>
      <c r="B34" s="2" t="s">
        <v>46</v>
      </c>
      <c r="C34" s="2" t="s">
        <v>4275</v>
      </c>
      <c r="D34" s="11" t="n">
        <v>291450</v>
      </c>
      <c r="E34" s="31" t="n">
        <v>52.1</v>
      </c>
      <c r="F34" s="31" t="n">
        <v>58</v>
      </c>
      <c r="G34" s="31" t="n">
        <v>86.1</v>
      </c>
      <c r="H34" s="2" t="s">
        <v>822</v>
      </c>
    </row>
    <row r="35" customFormat="false" ht="15" hidden="false" customHeight="false" outlineLevel="0" collapsed="false">
      <c r="A35" s="2" t="s">
        <v>720</v>
      </c>
      <c r="B35" s="2" t="s">
        <v>47</v>
      </c>
      <c r="C35" s="2" t="s">
        <v>4274</v>
      </c>
      <c r="D35" s="11" t="n">
        <v>15810</v>
      </c>
      <c r="E35" s="31" t="n">
        <v>16.8</v>
      </c>
      <c r="F35" s="31" t="n">
        <v>93.8</v>
      </c>
      <c r="G35" s="31" t="n">
        <v>22.8</v>
      </c>
      <c r="H35" s="2" t="s">
        <v>832</v>
      </c>
    </row>
    <row r="36" customFormat="false" ht="15" hidden="false" customHeight="false" outlineLevel="0" collapsed="false">
      <c r="A36" s="2" t="s">
        <v>720</v>
      </c>
      <c r="B36" s="2" t="s">
        <v>47</v>
      </c>
      <c r="C36" s="2" t="s">
        <v>4275</v>
      </c>
      <c r="D36" s="11" t="n">
        <v>16753</v>
      </c>
      <c r="E36" s="31" t="n">
        <v>15.9</v>
      </c>
      <c r="F36" s="31" t="n">
        <v>66.6</v>
      </c>
      <c r="G36" s="31" t="n">
        <v>66.3</v>
      </c>
      <c r="H36" s="2" t="s">
        <v>822</v>
      </c>
    </row>
    <row r="37" customFormat="false" ht="15" hidden="false" customHeight="false" outlineLevel="0" collapsed="false">
      <c r="A37" s="2" t="s">
        <v>2632</v>
      </c>
      <c r="B37" s="2" t="s">
        <v>4291</v>
      </c>
      <c r="C37" s="2" t="s">
        <v>4274</v>
      </c>
      <c r="D37" s="2"/>
      <c r="E37" s="31" t="n">
        <v>32.7</v>
      </c>
      <c r="F37" s="31" t="n">
        <v>46.7</v>
      </c>
      <c r="G37" s="31" t="n">
        <v>50.8</v>
      </c>
      <c r="H37" s="2" t="s">
        <v>832</v>
      </c>
    </row>
    <row r="38" customFormat="false" ht="15" hidden="false" customHeight="false" outlineLevel="0" collapsed="false">
      <c r="A38" s="2" t="s">
        <v>2632</v>
      </c>
      <c r="B38" s="2" t="s">
        <v>4291</v>
      </c>
      <c r="C38" s="2" t="s">
        <v>4275</v>
      </c>
      <c r="D38" s="2"/>
      <c r="E38" s="31" t="n">
        <v>36.2</v>
      </c>
      <c r="F38" s="31" t="n">
        <v>51.2</v>
      </c>
      <c r="G38" s="31" t="n">
        <v>45.5</v>
      </c>
      <c r="H38" s="2" t="s">
        <v>832</v>
      </c>
    </row>
    <row r="39" customFormat="false" ht="15" hidden="false" customHeight="false" outlineLevel="0" collapsed="false">
      <c r="A39" s="2" t="s">
        <v>2632</v>
      </c>
      <c r="B39" s="2" t="s">
        <v>45</v>
      </c>
      <c r="C39" s="2" t="s">
        <v>4274</v>
      </c>
      <c r="D39" s="2"/>
      <c r="E39" s="2"/>
      <c r="F39" s="2"/>
      <c r="G39" s="2"/>
      <c r="H39" s="2" t="s">
        <v>832</v>
      </c>
    </row>
    <row r="40" customFormat="false" ht="15" hidden="false" customHeight="false" outlineLevel="0" collapsed="false">
      <c r="A40" s="2" t="s">
        <v>2632</v>
      </c>
      <c r="B40" s="2" t="s">
        <v>45</v>
      </c>
      <c r="C40" s="2" t="s">
        <v>4275</v>
      </c>
      <c r="D40" s="2"/>
      <c r="E40" s="2"/>
      <c r="F40" s="2"/>
      <c r="G40" s="2"/>
      <c r="H40" s="2" t="s">
        <v>832</v>
      </c>
    </row>
    <row r="41" customFormat="false" ht="15" hidden="false" customHeight="false" outlineLevel="0" collapsed="false">
      <c r="A41" s="2" t="s">
        <v>2632</v>
      </c>
      <c r="B41" s="2" t="s">
        <v>47</v>
      </c>
      <c r="C41" s="2" t="s">
        <v>4274</v>
      </c>
      <c r="D41" s="11" t="n">
        <v>5029</v>
      </c>
      <c r="E41" s="31" t="n">
        <v>32.7</v>
      </c>
      <c r="F41" s="31" t="n">
        <v>46.7</v>
      </c>
      <c r="G41" s="31" t="n">
        <v>50.8</v>
      </c>
      <c r="H41" s="2" t="s">
        <v>822</v>
      </c>
    </row>
    <row r="42" customFormat="false" ht="15" hidden="false" customHeight="false" outlineLevel="0" collapsed="false">
      <c r="A42" s="2" t="s">
        <v>2632</v>
      </c>
      <c r="B42" s="2" t="s">
        <v>47</v>
      </c>
      <c r="C42" s="2" t="s">
        <v>4275</v>
      </c>
      <c r="D42" s="11" t="n">
        <v>5276</v>
      </c>
      <c r="E42" s="31" t="n">
        <v>36.2</v>
      </c>
      <c r="F42" s="31" t="n">
        <v>51.2</v>
      </c>
      <c r="G42" s="31" t="n">
        <v>45.5</v>
      </c>
      <c r="H42" s="2" t="s">
        <v>822</v>
      </c>
    </row>
    <row r="43" customFormat="false" ht="15" hidden="false" customHeight="false" outlineLevel="0" collapsed="false">
      <c r="A43" s="2" t="s">
        <v>1117</v>
      </c>
      <c r="B43" s="2" t="s">
        <v>4291</v>
      </c>
      <c r="C43" s="2" t="s">
        <v>4274</v>
      </c>
      <c r="D43" s="2"/>
      <c r="E43" s="31" t="n">
        <v>85.5</v>
      </c>
      <c r="F43" s="31" t="n">
        <v>32.6</v>
      </c>
      <c r="G43" s="31" t="n">
        <v>35.7</v>
      </c>
      <c r="H43" s="2" t="s">
        <v>822</v>
      </c>
    </row>
    <row r="44" customFormat="false" ht="15" hidden="false" customHeight="false" outlineLevel="0" collapsed="false">
      <c r="A44" s="2" t="s">
        <v>1117</v>
      </c>
      <c r="B44" s="2" t="s">
        <v>4291</v>
      </c>
      <c r="C44" s="2" t="s">
        <v>4275</v>
      </c>
      <c r="D44" s="2"/>
      <c r="E44" s="31" t="n">
        <v>76.8</v>
      </c>
      <c r="F44" s="31" t="n">
        <v>31.6</v>
      </c>
      <c r="G44" s="31" t="n">
        <v>37.9</v>
      </c>
      <c r="H44" s="2" t="s">
        <v>832</v>
      </c>
    </row>
    <row r="45" customFormat="false" ht="15" hidden="false" customHeight="false" outlineLevel="0" collapsed="false">
      <c r="A45" s="2" t="s">
        <v>1117</v>
      </c>
      <c r="B45" s="2" t="s">
        <v>45</v>
      </c>
      <c r="C45" s="2" t="s">
        <v>4274</v>
      </c>
      <c r="D45" s="11" t="n">
        <v>103620</v>
      </c>
      <c r="E45" s="31" t="n">
        <v>91.6</v>
      </c>
      <c r="F45" s="31" t="n">
        <v>52.7</v>
      </c>
      <c r="G45" s="31" t="n">
        <v>48.8</v>
      </c>
      <c r="H45" s="2" t="s">
        <v>822</v>
      </c>
    </row>
    <row r="46" customFormat="false" ht="15" hidden="false" customHeight="false" outlineLevel="0" collapsed="false">
      <c r="A46" s="2" t="s">
        <v>1117</v>
      </c>
      <c r="B46" s="2" t="s">
        <v>45</v>
      </c>
      <c r="C46" s="2" t="s">
        <v>4275</v>
      </c>
      <c r="D46" s="11" t="n">
        <v>110280</v>
      </c>
      <c r="E46" s="31" t="n">
        <v>64.3</v>
      </c>
      <c r="F46" s="31" t="n">
        <v>22.9</v>
      </c>
      <c r="G46" s="31" t="n">
        <v>35.9</v>
      </c>
      <c r="H46" s="2" t="s">
        <v>822</v>
      </c>
    </row>
    <row r="47" customFormat="false" ht="15" hidden="false" customHeight="false" outlineLevel="0" collapsed="false">
      <c r="A47" s="2" t="s">
        <v>1117</v>
      </c>
      <c r="B47" s="2" t="s">
        <v>46</v>
      </c>
      <c r="C47" s="2" t="s">
        <v>4274</v>
      </c>
      <c r="D47" s="11" t="n">
        <v>8399</v>
      </c>
      <c r="E47" s="31" t="n">
        <v>90.2</v>
      </c>
      <c r="F47" s="31" t="n">
        <v>22.8</v>
      </c>
      <c r="G47" s="31" t="n">
        <v>52.5</v>
      </c>
      <c r="H47" s="2" t="s">
        <v>822</v>
      </c>
    </row>
    <row r="48" customFormat="false" ht="15" hidden="false" customHeight="false" outlineLevel="0" collapsed="false">
      <c r="A48" s="2" t="s">
        <v>1117</v>
      </c>
      <c r="B48" s="2" t="s">
        <v>46</v>
      </c>
      <c r="C48" s="2" t="s">
        <v>4275</v>
      </c>
      <c r="D48" s="11" t="n">
        <v>8660</v>
      </c>
      <c r="E48" s="31" t="n">
        <v>85.5</v>
      </c>
      <c r="F48" s="2"/>
      <c r="G48" s="31" t="n">
        <v>54.1</v>
      </c>
      <c r="H48" s="2" t="s">
        <v>832</v>
      </c>
    </row>
    <row r="49" customFormat="false" ht="15" hidden="false" customHeight="false" outlineLevel="0" collapsed="false">
      <c r="A49" s="2" t="s">
        <v>1117</v>
      </c>
      <c r="B49" s="2" t="s">
        <v>47</v>
      </c>
      <c r="C49" s="2" t="s">
        <v>4274</v>
      </c>
      <c r="D49" s="11" t="n">
        <v>54681</v>
      </c>
      <c r="E49" s="31" t="n">
        <v>74.6</v>
      </c>
      <c r="F49" s="31" t="n">
        <v>22.2</v>
      </c>
      <c r="G49" s="31" t="n">
        <v>5.8</v>
      </c>
      <c r="H49" s="2" t="s">
        <v>822</v>
      </c>
    </row>
    <row r="50" customFormat="false" ht="15" hidden="false" customHeight="false" outlineLevel="0" collapsed="false">
      <c r="A50" s="2" t="s">
        <v>1117</v>
      </c>
      <c r="B50" s="2" t="s">
        <v>47</v>
      </c>
      <c r="C50" s="2" t="s">
        <v>4275</v>
      </c>
      <c r="D50" s="11" t="n">
        <v>57911</v>
      </c>
      <c r="E50" s="31" t="n">
        <v>80.6</v>
      </c>
      <c r="F50" s="31" t="n">
        <v>40.3</v>
      </c>
      <c r="G50" s="31" t="n">
        <v>23.7</v>
      </c>
      <c r="H50" s="2" t="s">
        <v>822</v>
      </c>
    </row>
    <row r="51" customFormat="false" ht="15" hidden="false" customHeight="false" outlineLevel="0" collapsed="false">
      <c r="A51" s="2" t="s">
        <v>474</v>
      </c>
      <c r="B51" s="2" t="s">
        <v>4291</v>
      </c>
      <c r="C51" s="2" t="s">
        <v>4274</v>
      </c>
      <c r="D51" s="2"/>
      <c r="E51" s="2"/>
      <c r="F51" s="31" t="n">
        <v>87.8</v>
      </c>
      <c r="G51" s="31" t="n">
        <v>55.3</v>
      </c>
      <c r="H51" s="2" t="s">
        <v>832</v>
      </c>
    </row>
    <row r="52" customFormat="false" ht="15" hidden="false" customHeight="false" outlineLevel="0" collapsed="false">
      <c r="A52" s="2" t="s">
        <v>474</v>
      </c>
      <c r="B52" s="2" t="s">
        <v>4291</v>
      </c>
      <c r="C52" s="2" t="s">
        <v>4275</v>
      </c>
      <c r="D52" s="2"/>
      <c r="E52" s="31" t="n">
        <v>50.7</v>
      </c>
      <c r="F52" s="31" t="n">
        <v>70.1</v>
      </c>
      <c r="G52" s="31" t="n">
        <v>61.1</v>
      </c>
      <c r="H52" s="2" t="s">
        <v>822</v>
      </c>
    </row>
    <row r="53" customFormat="false" ht="15" hidden="false" customHeight="false" outlineLevel="0" collapsed="false">
      <c r="A53" s="2" t="s">
        <v>474</v>
      </c>
      <c r="B53" s="2" t="s">
        <v>46</v>
      </c>
      <c r="C53" s="2" t="s">
        <v>4274</v>
      </c>
      <c r="D53" s="11" t="n">
        <v>477680</v>
      </c>
      <c r="E53" s="2"/>
      <c r="F53" s="31" t="n">
        <v>87.8</v>
      </c>
      <c r="G53" s="31" t="n">
        <v>55.3</v>
      </c>
      <c r="H53" s="2" t="s">
        <v>832</v>
      </c>
    </row>
    <row r="54" customFormat="false" ht="15" hidden="false" customHeight="false" outlineLevel="0" collapsed="false">
      <c r="A54" s="2" t="s">
        <v>474</v>
      </c>
      <c r="B54" s="2" t="s">
        <v>46</v>
      </c>
      <c r="C54" s="2" t="s">
        <v>4275</v>
      </c>
      <c r="D54" s="11" t="n">
        <v>489170</v>
      </c>
      <c r="E54" s="31" t="n">
        <v>50.7</v>
      </c>
      <c r="F54" s="31" t="n">
        <v>70.1</v>
      </c>
      <c r="G54" s="31" t="n">
        <v>61.1</v>
      </c>
      <c r="H54" s="2" t="s">
        <v>822</v>
      </c>
    </row>
    <row r="55" customFormat="false" ht="15" hidden="false" customHeight="false" outlineLevel="0" collapsed="false">
      <c r="A55" s="2" t="s">
        <v>698</v>
      </c>
      <c r="B55" s="2" t="s">
        <v>4291</v>
      </c>
      <c r="C55" s="2" t="s">
        <v>4274</v>
      </c>
      <c r="D55" s="2"/>
      <c r="E55" s="31" t="n">
        <v>25.8</v>
      </c>
      <c r="F55" s="31" t="n">
        <v>40</v>
      </c>
      <c r="G55" s="31" t="n">
        <v>46.1</v>
      </c>
      <c r="H55" s="2" t="s">
        <v>822</v>
      </c>
    </row>
    <row r="56" customFormat="false" ht="15" hidden="false" customHeight="false" outlineLevel="0" collapsed="false">
      <c r="A56" s="2" t="s">
        <v>698</v>
      </c>
      <c r="B56" s="2" t="s">
        <v>4291</v>
      </c>
      <c r="C56" s="2" t="s">
        <v>4275</v>
      </c>
      <c r="D56" s="2"/>
      <c r="E56" s="31" t="n">
        <v>28.6</v>
      </c>
      <c r="F56" s="31" t="n">
        <v>43.8</v>
      </c>
      <c r="G56" s="31" t="n">
        <v>58</v>
      </c>
      <c r="H56" s="2" t="s">
        <v>822</v>
      </c>
    </row>
    <row r="57" customFormat="false" ht="15" hidden="false" customHeight="false" outlineLevel="0" collapsed="false">
      <c r="A57" s="2" t="s">
        <v>698</v>
      </c>
      <c r="B57" s="2" t="s">
        <v>45</v>
      </c>
      <c r="C57" s="2" t="s">
        <v>4274</v>
      </c>
      <c r="D57" s="11" t="n">
        <v>181628</v>
      </c>
      <c r="E57" s="31" t="n">
        <v>39.7</v>
      </c>
      <c r="F57" s="31" t="n">
        <v>21.2</v>
      </c>
      <c r="G57" s="31" t="n">
        <v>27.3</v>
      </c>
      <c r="H57" s="2" t="s">
        <v>822</v>
      </c>
    </row>
    <row r="58" customFormat="false" ht="15" hidden="false" customHeight="false" outlineLevel="0" collapsed="false">
      <c r="A58" s="2" t="s">
        <v>698</v>
      </c>
      <c r="B58" s="2" t="s">
        <v>45</v>
      </c>
      <c r="C58" s="2" t="s">
        <v>4275</v>
      </c>
      <c r="D58" s="11" t="n">
        <v>182210</v>
      </c>
      <c r="E58" s="31" t="n">
        <v>53.9</v>
      </c>
      <c r="F58" s="31" t="n">
        <v>32.9</v>
      </c>
      <c r="G58" s="31" t="n">
        <v>57.3</v>
      </c>
      <c r="H58" s="2" t="s">
        <v>822</v>
      </c>
    </row>
    <row r="59" customFormat="false" ht="15" hidden="false" customHeight="false" outlineLevel="0" collapsed="false">
      <c r="A59" s="2" t="s">
        <v>698</v>
      </c>
      <c r="B59" s="2" t="s">
        <v>46</v>
      </c>
      <c r="C59" s="2" t="s">
        <v>4274</v>
      </c>
      <c r="D59" s="11" t="n">
        <v>77767</v>
      </c>
      <c r="E59" s="31" t="n">
        <v>5.9</v>
      </c>
      <c r="F59" s="31" t="n">
        <v>10.9</v>
      </c>
      <c r="G59" s="31" t="n">
        <v>98.6</v>
      </c>
      <c r="H59" s="2" t="s">
        <v>822</v>
      </c>
    </row>
    <row r="60" customFormat="false" ht="15" hidden="false" customHeight="false" outlineLevel="0" collapsed="false">
      <c r="A60" s="2" t="s">
        <v>698</v>
      </c>
      <c r="B60" s="2" t="s">
        <v>46</v>
      </c>
      <c r="C60" s="2" t="s">
        <v>4275</v>
      </c>
      <c r="D60" s="11" t="n">
        <v>79800</v>
      </c>
      <c r="E60" s="31" t="n">
        <v>9.2</v>
      </c>
      <c r="F60" s="31" t="n">
        <v>3.6</v>
      </c>
      <c r="G60" s="31" t="n">
        <v>94.9</v>
      </c>
      <c r="H60" s="2" t="s">
        <v>822</v>
      </c>
    </row>
    <row r="61" customFormat="false" ht="15" hidden="false" customHeight="false" outlineLevel="0" collapsed="false">
      <c r="A61" s="2" t="s">
        <v>698</v>
      </c>
      <c r="B61" s="2" t="s">
        <v>47</v>
      </c>
      <c r="C61" s="2" t="s">
        <v>4274</v>
      </c>
      <c r="D61" s="11" t="n">
        <v>6155</v>
      </c>
      <c r="E61" s="31" t="n">
        <v>31.8</v>
      </c>
      <c r="F61" s="31" t="n">
        <v>87.8</v>
      </c>
      <c r="G61" s="31" t="n">
        <v>12.5</v>
      </c>
      <c r="H61" s="2" t="s">
        <v>822</v>
      </c>
    </row>
    <row r="62" customFormat="false" ht="15" hidden="false" customHeight="false" outlineLevel="0" collapsed="false">
      <c r="A62" s="2" t="s">
        <v>698</v>
      </c>
      <c r="B62" s="2" t="s">
        <v>47</v>
      </c>
      <c r="C62" s="2" t="s">
        <v>4275</v>
      </c>
      <c r="D62" s="11" t="n">
        <v>6810</v>
      </c>
      <c r="E62" s="31" t="n">
        <v>22.6</v>
      </c>
      <c r="F62" s="31" t="n">
        <v>95</v>
      </c>
      <c r="G62" s="31" t="n">
        <v>21.7</v>
      </c>
      <c r="H62" s="2" t="s">
        <v>822</v>
      </c>
    </row>
    <row r="63" customFormat="false" ht="15" hidden="false" customHeight="false" outlineLevel="0" collapsed="false">
      <c r="A63" s="2" t="s">
        <v>1223</v>
      </c>
      <c r="B63" s="2" t="s">
        <v>4291</v>
      </c>
      <c r="C63" s="2" t="s">
        <v>4274</v>
      </c>
      <c r="D63" s="2"/>
      <c r="E63" s="31" t="n">
        <v>53.8</v>
      </c>
      <c r="F63" s="31" t="n">
        <v>67.2</v>
      </c>
      <c r="G63" s="31" t="n">
        <v>75.1</v>
      </c>
      <c r="H63" s="2" t="s">
        <v>832</v>
      </c>
    </row>
    <row r="64" customFormat="false" ht="15" hidden="false" customHeight="false" outlineLevel="0" collapsed="false">
      <c r="A64" s="2" t="s">
        <v>1223</v>
      </c>
      <c r="B64" s="2" t="s">
        <v>4291</v>
      </c>
      <c r="C64" s="2" t="s">
        <v>4275</v>
      </c>
      <c r="D64" s="2"/>
      <c r="E64" s="31" t="n">
        <v>50.7</v>
      </c>
      <c r="F64" s="31" t="n">
        <v>70</v>
      </c>
      <c r="G64" s="31" t="n">
        <v>92.3</v>
      </c>
      <c r="H64" s="2" t="s">
        <v>832</v>
      </c>
    </row>
    <row r="65" customFormat="false" ht="15" hidden="false" customHeight="false" outlineLevel="0" collapsed="false">
      <c r="A65" s="2" t="s">
        <v>1223</v>
      </c>
      <c r="B65" s="2" t="s">
        <v>45</v>
      </c>
      <c r="C65" s="2" t="s">
        <v>4274</v>
      </c>
      <c r="D65" s="11" t="n">
        <v>177465</v>
      </c>
      <c r="E65" s="31" t="n">
        <v>53.8</v>
      </c>
      <c r="F65" s="31" t="n">
        <v>91.8</v>
      </c>
      <c r="G65" s="31" t="n">
        <v>75.1</v>
      </c>
      <c r="H65" s="2" t="s">
        <v>822</v>
      </c>
    </row>
    <row r="66" customFormat="false" ht="15" hidden="false" customHeight="false" outlineLevel="0" collapsed="false">
      <c r="A66" s="2" t="s">
        <v>1223</v>
      </c>
      <c r="B66" s="2" t="s">
        <v>45</v>
      </c>
      <c r="C66" s="2" t="s">
        <v>4275</v>
      </c>
      <c r="D66" s="11" t="n">
        <v>182110</v>
      </c>
      <c r="E66" s="31" t="n">
        <v>50.7</v>
      </c>
      <c r="F66" s="31" t="n">
        <v>70</v>
      </c>
      <c r="G66" s="31" t="n">
        <v>92.3</v>
      </c>
      <c r="H66" s="2" t="s">
        <v>822</v>
      </c>
    </row>
    <row r="67" customFormat="false" ht="15" hidden="false" customHeight="false" outlineLevel="0" collapsed="false">
      <c r="A67" s="2" t="s">
        <v>1223</v>
      </c>
      <c r="B67" s="2" t="s">
        <v>46</v>
      </c>
      <c r="C67" s="2" t="s">
        <v>4274</v>
      </c>
      <c r="D67" s="11" t="n">
        <v>31620</v>
      </c>
      <c r="E67" s="2"/>
      <c r="F67" s="31" t="n">
        <v>42.7</v>
      </c>
      <c r="G67" s="2"/>
      <c r="H67" s="2" t="s">
        <v>832</v>
      </c>
    </row>
    <row r="68" customFormat="false" ht="15" hidden="false" customHeight="false" outlineLevel="0" collapsed="false">
      <c r="A68" s="2" t="s">
        <v>1223</v>
      </c>
      <c r="B68" s="2" t="s">
        <v>46</v>
      </c>
      <c r="C68" s="2" t="s">
        <v>4275</v>
      </c>
      <c r="D68" s="2"/>
      <c r="E68" s="2"/>
      <c r="F68" s="2"/>
      <c r="G68" s="2"/>
      <c r="H68" s="2" t="s">
        <v>832</v>
      </c>
    </row>
    <row r="69" customFormat="false" ht="15" hidden="false" customHeight="false" outlineLevel="0" collapsed="false">
      <c r="A69" s="2" t="s">
        <v>108</v>
      </c>
      <c r="B69" s="2" t="s">
        <v>4291</v>
      </c>
      <c r="C69" s="2" t="s">
        <v>4274</v>
      </c>
      <c r="D69" s="2"/>
      <c r="E69" s="2"/>
      <c r="F69" s="31" t="n">
        <v>22.2</v>
      </c>
      <c r="G69" s="31" t="n">
        <v>0.8</v>
      </c>
      <c r="H69" s="2" t="s">
        <v>832</v>
      </c>
    </row>
    <row r="70" customFormat="false" ht="15" hidden="false" customHeight="false" outlineLevel="0" collapsed="false">
      <c r="A70" s="2" t="s">
        <v>108</v>
      </c>
      <c r="B70" s="2" t="s">
        <v>4291</v>
      </c>
      <c r="C70" s="2" t="s">
        <v>4275</v>
      </c>
      <c r="D70" s="2"/>
      <c r="E70" s="31" t="n">
        <v>92.8</v>
      </c>
      <c r="F70" s="31" t="n">
        <v>25</v>
      </c>
      <c r="G70" s="31" t="n">
        <v>6.3</v>
      </c>
      <c r="H70" s="2" t="s">
        <v>822</v>
      </c>
    </row>
    <row r="71" customFormat="false" ht="15" hidden="false" customHeight="false" outlineLevel="0" collapsed="false">
      <c r="A71" s="2" t="s">
        <v>108</v>
      </c>
      <c r="B71" s="2" t="s">
        <v>47</v>
      </c>
      <c r="C71" s="2" t="s">
        <v>4274</v>
      </c>
      <c r="D71" s="11" t="n">
        <v>5168</v>
      </c>
      <c r="E71" s="2"/>
      <c r="F71" s="31" t="n">
        <v>22.2</v>
      </c>
      <c r="G71" s="31" t="n">
        <v>0.8</v>
      </c>
      <c r="H71" s="2" t="s">
        <v>832</v>
      </c>
    </row>
    <row r="72" customFormat="false" ht="15" hidden="false" customHeight="false" outlineLevel="0" collapsed="false">
      <c r="A72" s="2" t="s">
        <v>108</v>
      </c>
      <c r="B72" s="2" t="s">
        <v>47</v>
      </c>
      <c r="C72" s="2" t="s">
        <v>4275</v>
      </c>
      <c r="D72" s="11" t="n">
        <v>5060</v>
      </c>
      <c r="E72" s="31" t="n">
        <v>92.8</v>
      </c>
      <c r="F72" s="31" t="n">
        <v>25</v>
      </c>
      <c r="G72" s="31" t="n">
        <v>6.3</v>
      </c>
      <c r="H72" s="2" t="s">
        <v>822</v>
      </c>
    </row>
    <row r="73" customFormat="false" ht="15" hidden="false" customHeight="false" outlineLevel="0" collapsed="false">
      <c r="A73" s="2" t="s">
        <v>1635</v>
      </c>
      <c r="B73" s="2" t="s">
        <v>4291</v>
      </c>
      <c r="C73" s="2" t="s">
        <v>4274</v>
      </c>
      <c r="D73" s="2"/>
      <c r="E73" s="31" t="n">
        <v>48.8</v>
      </c>
      <c r="F73" s="31" t="n">
        <v>27.1</v>
      </c>
      <c r="G73" s="31" t="n">
        <v>7.1</v>
      </c>
      <c r="H73" s="2" t="s">
        <v>832</v>
      </c>
    </row>
    <row r="74" customFormat="false" ht="15" hidden="false" customHeight="false" outlineLevel="0" collapsed="false">
      <c r="A74" s="2" t="s">
        <v>1635</v>
      </c>
      <c r="B74" s="2" t="s">
        <v>4291</v>
      </c>
      <c r="C74" s="2" t="s">
        <v>4275</v>
      </c>
      <c r="D74" s="2"/>
      <c r="E74" s="31" t="n">
        <v>94.7</v>
      </c>
      <c r="F74" s="31" t="n">
        <v>51.3</v>
      </c>
      <c r="G74" s="31" t="n">
        <v>30.8</v>
      </c>
      <c r="H74" s="2" t="s">
        <v>832</v>
      </c>
    </row>
    <row r="75" customFormat="false" ht="15" hidden="false" customHeight="false" outlineLevel="0" collapsed="false">
      <c r="A75" s="2" t="s">
        <v>1635</v>
      </c>
      <c r="B75" s="2" t="s">
        <v>45</v>
      </c>
      <c r="C75" s="2" t="s">
        <v>4274</v>
      </c>
      <c r="D75" s="11" t="n">
        <v>44650</v>
      </c>
      <c r="E75" s="31" t="n">
        <v>70.9</v>
      </c>
      <c r="F75" s="31" t="n">
        <v>52.9</v>
      </c>
      <c r="G75" s="2"/>
      <c r="H75" s="2" t="s">
        <v>822</v>
      </c>
    </row>
    <row r="76" customFormat="false" ht="15" hidden="false" customHeight="false" outlineLevel="0" collapsed="false">
      <c r="A76" s="2" t="s">
        <v>1635</v>
      </c>
      <c r="B76" s="2" t="s">
        <v>45</v>
      </c>
      <c r="C76" s="2" t="s">
        <v>4275</v>
      </c>
      <c r="D76" s="2"/>
      <c r="E76" s="2"/>
      <c r="F76" s="2"/>
      <c r="G76" s="2"/>
      <c r="H76" s="2" t="s">
        <v>832</v>
      </c>
    </row>
    <row r="77" customFormat="false" ht="15" hidden="false" customHeight="false" outlineLevel="0" collapsed="false">
      <c r="A77" s="2" t="s">
        <v>1635</v>
      </c>
      <c r="B77" s="2" t="s">
        <v>46</v>
      </c>
      <c r="C77" s="2" t="s">
        <v>4274</v>
      </c>
      <c r="D77" s="2"/>
      <c r="E77" s="2"/>
      <c r="F77" s="2"/>
      <c r="G77" s="2"/>
      <c r="H77" s="2" t="s">
        <v>832</v>
      </c>
    </row>
    <row r="78" customFormat="false" ht="15" hidden="false" customHeight="false" outlineLevel="0" collapsed="false">
      <c r="A78" s="2" t="s">
        <v>1635</v>
      </c>
      <c r="B78" s="2" t="s">
        <v>46</v>
      </c>
      <c r="C78" s="2" t="s">
        <v>4275</v>
      </c>
      <c r="D78" s="11" t="n">
        <v>29230</v>
      </c>
      <c r="E78" s="31" t="n">
        <v>94.7</v>
      </c>
      <c r="F78" s="31" t="n">
        <v>51.3</v>
      </c>
      <c r="G78" s="31" t="n">
        <v>0.9</v>
      </c>
      <c r="H78" s="2" t="s">
        <v>822</v>
      </c>
    </row>
    <row r="79" customFormat="false" ht="15" hidden="false" customHeight="false" outlineLevel="0" collapsed="false">
      <c r="A79" s="2" t="s">
        <v>1635</v>
      </c>
      <c r="B79" s="2" t="s">
        <v>47</v>
      </c>
      <c r="C79" s="2" t="s">
        <v>4274</v>
      </c>
      <c r="D79" s="11" t="n">
        <v>77361</v>
      </c>
      <c r="E79" s="31" t="n">
        <v>26.6</v>
      </c>
      <c r="F79" s="31" t="n">
        <v>1.3</v>
      </c>
      <c r="G79" s="31" t="n">
        <v>7.1</v>
      </c>
      <c r="H79" s="2" t="s">
        <v>822</v>
      </c>
    </row>
    <row r="80" customFormat="false" ht="15" hidden="false" customHeight="false" outlineLevel="0" collapsed="false">
      <c r="A80" s="2" t="s">
        <v>1635</v>
      </c>
      <c r="B80" s="2" t="s">
        <v>47</v>
      </c>
      <c r="C80" s="2" t="s">
        <v>4275</v>
      </c>
      <c r="D80" s="2"/>
      <c r="E80" s="2"/>
      <c r="F80" s="2"/>
      <c r="G80" s="31" t="n">
        <v>60.6</v>
      </c>
      <c r="H80" s="2" t="s">
        <v>832</v>
      </c>
    </row>
    <row r="81" customFormat="false" ht="15" hidden="false" customHeight="false" outlineLevel="0" collapsed="false">
      <c r="A81" s="2" t="s">
        <v>190</v>
      </c>
      <c r="B81" s="2" t="s">
        <v>4291</v>
      </c>
      <c r="C81" s="2" t="s">
        <v>4274</v>
      </c>
      <c r="D81" s="2"/>
      <c r="E81" s="31" t="n">
        <v>65.2</v>
      </c>
      <c r="F81" s="2"/>
      <c r="G81" s="31" t="n">
        <v>4.9</v>
      </c>
      <c r="H81" s="2" t="s">
        <v>832</v>
      </c>
    </row>
    <row r="82" customFormat="false" ht="15" hidden="false" customHeight="false" outlineLevel="0" collapsed="false">
      <c r="A82" s="2" t="s">
        <v>190</v>
      </c>
      <c r="B82" s="2" t="s">
        <v>4291</v>
      </c>
      <c r="C82" s="2" t="s">
        <v>4275</v>
      </c>
      <c r="D82" s="2"/>
      <c r="E82" s="31" t="n">
        <v>76.4</v>
      </c>
      <c r="F82" s="31" t="n">
        <v>27.9</v>
      </c>
      <c r="G82" s="31" t="n">
        <v>0.9</v>
      </c>
      <c r="H82" s="2" t="s">
        <v>822</v>
      </c>
    </row>
    <row r="83" customFormat="false" ht="15" hidden="false" customHeight="false" outlineLevel="0" collapsed="false">
      <c r="A83" s="2" t="s">
        <v>190</v>
      </c>
      <c r="B83" s="2" t="s">
        <v>47</v>
      </c>
      <c r="C83" s="2" t="s">
        <v>4274</v>
      </c>
      <c r="D83" s="11" t="n">
        <v>12770</v>
      </c>
      <c r="E83" s="31" t="n">
        <v>65.2</v>
      </c>
      <c r="F83" s="2"/>
      <c r="G83" s="31" t="n">
        <v>4.9</v>
      </c>
      <c r="H83" s="2" t="s">
        <v>832</v>
      </c>
    </row>
    <row r="84" customFormat="false" ht="15" hidden="false" customHeight="false" outlineLevel="0" collapsed="false">
      <c r="A84" s="2" t="s">
        <v>190</v>
      </c>
      <c r="B84" s="2" t="s">
        <v>47</v>
      </c>
      <c r="C84" s="2" t="s">
        <v>4275</v>
      </c>
      <c r="D84" s="11" t="n">
        <v>12410</v>
      </c>
      <c r="E84" s="31" t="n">
        <v>76.4</v>
      </c>
      <c r="F84" s="31" t="n">
        <v>27.9</v>
      </c>
      <c r="G84" s="31" t="n">
        <v>0.9</v>
      </c>
      <c r="H84" s="2" t="s">
        <v>822</v>
      </c>
    </row>
    <row r="85" customFormat="false" ht="15" hidden="false" customHeight="false" outlineLevel="0" collapsed="false">
      <c r="A85" s="2" t="s">
        <v>1185</v>
      </c>
      <c r="B85" s="2" t="s">
        <v>4291</v>
      </c>
      <c r="C85" s="2" t="s">
        <v>4274</v>
      </c>
      <c r="D85" s="2"/>
      <c r="E85" s="31" t="n">
        <v>21.9</v>
      </c>
      <c r="F85" s="31" t="n">
        <v>47</v>
      </c>
      <c r="G85" s="31" t="n">
        <v>38.2</v>
      </c>
      <c r="H85" s="2" t="s">
        <v>832</v>
      </c>
    </row>
    <row r="86" customFormat="false" ht="15" hidden="false" customHeight="false" outlineLevel="0" collapsed="false">
      <c r="A86" s="2" t="s">
        <v>1185</v>
      </c>
      <c r="B86" s="2" t="s">
        <v>4291</v>
      </c>
      <c r="C86" s="2" t="s">
        <v>4275</v>
      </c>
      <c r="D86" s="2"/>
      <c r="E86" s="31" t="n">
        <v>23.8</v>
      </c>
      <c r="F86" s="31" t="n">
        <v>45.6</v>
      </c>
      <c r="G86" s="31" t="n">
        <v>25.2</v>
      </c>
      <c r="H86" s="2" t="s">
        <v>832</v>
      </c>
    </row>
    <row r="87" customFormat="false" ht="15" hidden="false" customHeight="false" outlineLevel="0" collapsed="false">
      <c r="A87" s="2" t="s">
        <v>1185</v>
      </c>
      <c r="B87" s="2" t="s">
        <v>45</v>
      </c>
      <c r="C87" s="2" t="s">
        <v>4274</v>
      </c>
      <c r="D87" s="11" t="n">
        <v>2193478</v>
      </c>
      <c r="E87" s="31" t="n">
        <v>45.4</v>
      </c>
      <c r="F87" s="31" t="n">
        <v>92.9</v>
      </c>
      <c r="G87" s="31" t="n">
        <v>45.4</v>
      </c>
      <c r="H87" s="2" t="s">
        <v>822</v>
      </c>
    </row>
    <row r="88" customFormat="false" ht="15" hidden="false" customHeight="false" outlineLevel="0" collapsed="false">
      <c r="A88" s="2" t="s">
        <v>1185</v>
      </c>
      <c r="B88" s="2" t="s">
        <v>45</v>
      </c>
      <c r="C88" s="2" t="s">
        <v>4275</v>
      </c>
      <c r="D88" s="11" t="n">
        <v>2281430</v>
      </c>
      <c r="E88" s="31" t="n">
        <v>56.5</v>
      </c>
      <c r="F88" s="31" t="n">
        <v>100</v>
      </c>
      <c r="G88" s="31" t="n">
        <v>28</v>
      </c>
      <c r="H88" s="2" t="s">
        <v>822</v>
      </c>
    </row>
    <row r="89" customFormat="false" ht="15" hidden="false" customHeight="false" outlineLevel="0" collapsed="false">
      <c r="A89" s="2" t="s">
        <v>1185</v>
      </c>
      <c r="B89" s="2" t="s">
        <v>46</v>
      </c>
      <c r="C89" s="2" t="s">
        <v>4274</v>
      </c>
      <c r="D89" s="11" t="n">
        <v>92190</v>
      </c>
      <c r="E89" s="31" t="n">
        <v>1.2</v>
      </c>
      <c r="F89" s="31" t="n">
        <v>21.3</v>
      </c>
      <c r="G89" s="2"/>
      <c r="H89" s="2" t="s">
        <v>832</v>
      </c>
    </row>
    <row r="90" customFormat="false" ht="15" hidden="false" customHeight="false" outlineLevel="0" collapsed="false">
      <c r="A90" s="2" t="s">
        <v>1185</v>
      </c>
      <c r="B90" s="2" t="s">
        <v>46</v>
      </c>
      <c r="C90" s="2" t="s">
        <v>4275</v>
      </c>
      <c r="D90" s="11" t="n">
        <v>98580</v>
      </c>
      <c r="E90" s="31" t="n">
        <v>1.2</v>
      </c>
      <c r="F90" s="31" t="n">
        <v>8</v>
      </c>
      <c r="G90" s="2"/>
      <c r="H90" s="2" t="s">
        <v>832</v>
      </c>
    </row>
    <row r="91" customFormat="false" ht="15" hidden="false" customHeight="false" outlineLevel="0" collapsed="false">
      <c r="A91" s="2" t="s">
        <v>1185</v>
      </c>
      <c r="B91" s="2" t="s">
        <v>47</v>
      </c>
      <c r="C91" s="2" t="s">
        <v>4274</v>
      </c>
      <c r="D91" s="11" t="n">
        <v>12542</v>
      </c>
      <c r="E91" s="31" t="n">
        <v>19</v>
      </c>
      <c r="F91" s="31" t="n">
        <v>26.8</v>
      </c>
      <c r="G91" s="31" t="n">
        <v>30.9</v>
      </c>
      <c r="H91" s="2" t="s">
        <v>822</v>
      </c>
    </row>
    <row r="92" customFormat="false" ht="15" hidden="false" customHeight="false" outlineLevel="0" collapsed="false">
      <c r="A92" s="2" t="s">
        <v>1185</v>
      </c>
      <c r="B92" s="2" t="s">
        <v>47</v>
      </c>
      <c r="C92" s="2" t="s">
        <v>4275</v>
      </c>
      <c r="D92" s="11" t="n">
        <v>12990</v>
      </c>
      <c r="E92" s="31" t="n">
        <v>13.6</v>
      </c>
      <c r="F92" s="31" t="n">
        <v>28.9</v>
      </c>
      <c r="G92" s="31" t="n">
        <v>22.4</v>
      </c>
      <c r="H92" s="2" t="s">
        <v>822</v>
      </c>
    </row>
    <row r="93" customFormat="false" ht="15" hidden="false" customHeight="false" outlineLevel="0" collapsed="false">
      <c r="A93" s="2" t="s">
        <v>2074</v>
      </c>
      <c r="B93" s="2" t="s">
        <v>4291</v>
      </c>
      <c r="C93" s="2" t="s">
        <v>4274</v>
      </c>
      <c r="D93" s="2"/>
      <c r="E93" s="31" t="n">
        <v>46.7</v>
      </c>
      <c r="F93" s="31" t="n">
        <v>59.6</v>
      </c>
      <c r="G93" s="31" t="n">
        <v>50.3</v>
      </c>
      <c r="H93" s="2" t="s">
        <v>832</v>
      </c>
    </row>
    <row r="94" customFormat="false" ht="15" hidden="false" customHeight="false" outlineLevel="0" collapsed="false">
      <c r="A94" s="2" t="s">
        <v>2074</v>
      </c>
      <c r="B94" s="2" t="s">
        <v>4291</v>
      </c>
      <c r="C94" s="2" t="s">
        <v>4275</v>
      </c>
      <c r="D94" s="2"/>
      <c r="E94" s="31" t="n">
        <v>21.4</v>
      </c>
      <c r="F94" s="31" t="n">
        <v>9.5</v>
      </c>
      <c r="G94" s="31" t="n">
        <v>15</v>
      </c>
      <c r="H94" s="2" t="s">
        <v>832</v>
      </c>
    </row>
    <row r="95" customFormat="false" ht="15" hidden="false" customHeight="false" outlineLevel="0" collapsed="false">
      <c r="A95" s="2" t="s">
        <v>2074</v>
      </c>
      <c r="B95" s="2" t="s">
        <v>45</v>
      </c>
      <c r="C95" s="2" t="s">
        <v>4274</v>
      </c>
      <c r="D95" s="2"/>
      <c r="E95" s="2"/>
      <c r="F95" s="2"/>
      <c r="G95" s="2"/>
      <c r="H95" s="2" t="s">
        <v>832</v>
      </c>
    </row>
    <row r="96" customFormat="false" ht="15" hidden="false" customHeight="false" outlineLevel="0" collapsed="false">
      <c r="A96" s="2" t="s">
        <v>2074</v>
      </c>
      <c r="B96" s="2" t="s">
        <v>45</v>
      </c>
      <c r="C96" s="2" t="s">
        <v>4275</v>
      </c>
      <c r="D96" s="2"/>
      <c r="E96" s="2"/>
      <c r="F96" s="2"/>
      <c r="G96" s="2"/>
      <c r="H96" s="2" t="s">
        <v>832</v>
      </c>
    </row>
    <row r="97" customFormat="false" ht="15" hidden="false" customHeight="false" outlineLevel="0" collapsed="false">
      <c r="A97" s="2" t="s">
        <v>2074</v>
      </c>
      <c r="B97" s="2" t="s">
        <v>46</v>
      </c>
      <c r="C97" s="2" t="s">
        <v>4274</v>
      </c>
      <c r="D97" s="11" t="n">
        <v>12840</v>
      </c>
      <c r="E97" s="31" t="n">
        <v>23.1</v>
      </c>
      <c r="F97" s="31" t="n">
        <v>24</v>
      </c>
      <c r="G97" s="2"/>
      <c r="H97" s="2" t="s">
        <v>832</v>
      </c>
    </row>
    <row r="98" customFormat="false" ht="15" hidden="false" customHeight="false" outlineLevel="0" collapsed="false">
      <c r="A98" s="2" t="s">
        <v>2074</v>
      </c>
      <c r="B98" s="2" t="s">
        <v>46</v>
      </c>
      <c r="C98" s="2" t="s">
        <v>4275</v>
      </c>
      <c r="D98" s="11" t="n">
        <v>12610</v>
      </c>
      <c r="E98" s="31" t="n">
        <v>21.4</v>
      </c>
      <c r="F98" s="31" t="n">
        <v>9.5</v>
      </c>
      <c r="G98" s="31" t="n">
        <v>15</v>
      </c>
      <c r="H98" s="2" t="s">
        <v>822</v>
      </c>
    </row>
    <row r="99" customFormat="false" ht="15" hidden="false" customHeight="false" outlineLevel="0" collapsed="false">
      <c r="A99" s="2" t="s">
        <v>2074</v>
      </c>
      <c r="B99" s="2" t="s">
        <v>47</v>
      </c>
      <c r="C99" s="2" t="s">
        <v>4274</v>
      </c>
      <c r="D99" s="11" t="n">
        <v>876473</v>
      </c>
      <c r="E99" s="31" t="n">
        <v>70.2</v>
      </c>
      <c r="F99" s="31" t="n">
        <v>95.1</v>
      </c>
      <c r="G99" s="31" t="n">
        <v>50.3</v>
      </c>
      <c r="H99" s="2" t="s">
        <v>822</v>
      </c>
    </row>
    <row r="100" customFormat="false" ht="15" hidden="false" customHeight="false" outlineLevel="0" collapsed="false">
      <c r="A100" s="2" t="s">
        <v>2074</v>
      </c>
      <c r="B100" s="2" t="s">
        <v>47</v>
      </c>
      <c r="C100" s="2" t="s">
        <v>4275</v>
      </c>
      <c r="D100" s="2"/>
      <c r="E100" s="2"/>
      <c r="F100" s="2"/>
      <c r="G100" s="2"/>
      <c r="H100" s="2" t="s">
        <v>832</v>
      </c>
    </row>
    <row r="101" customFormat="false" ht="15" hidden="false" customHeight="false" outlineLevel="0" collapsed="false">
      <c r="A101" s="2" t="s">
        <v>2063</v>
      </c>
      <c r="B101" s="2" t="s">
        <v>4291</v>
      </c>
      <c r="C101" s="2" t="s">
        <v>4274</v>
      </c>
      <c r="D101" s="2"/>
      <c r="E101" s="31" t="n">
        <v>34.8</v>
      </c>
      <c r="F101" s="31" t="n">
        <v>47.7</v>
      </c>
      <c r="G101" s="31" t="n">
        <v>63.7</v>
      </c>
      <c r="H101" s="2" t="s">
        <v>822</v>
      </c>
    </row>
    <row r="102" customFormat="false" ht="15" hidden="false" customHeight="false" outlineLevel="0" collapsed="false">
      <c r="A102" s="2" t="s">
        <v>2063</v>
      </c>
      <c r="B102" s="2" t="s">
        <v>4291</v>
      </c>
      <c r="C102" s="2" t="s">
        <v>4275</v>
      </c>
      <c r="D102" s="2"/>
      <c r="E102" s="31" t="n">
        <v>37.1</v>
      </c>
      <c r="F102" s="31" t="n">
        <v>34.2</v>
      </c>
      <c r="G102" s="31" t="n">
        <v>93.8</v>
      </c>
      <c r="H102" s="2" t="s">
        <v>832</v>
      </c>
    </row>
    <row r="103" customFormat="false" ht="15" hidden="false" customHeight="false" outlineLevel="0" collapsed="false">
      <c r="A103" s="2" t="s">
        <v>2063</v>
      </c>
      <c r="B103" s="2" t="s">
        <v>45</v>
      </c>
      <c r="C103" s="2" t="s">
        <v>4274</v>
      </c>
      <c r="D103" s="11" t="n">
        <v>9246</v>
      </c>
      <c r="E103" s="31" t="n">
        <v>89.4</v>
      </c>
      <c r="F103" s="31" t="n">
        <v>45.2</v>
      </c>
      <c r="G103" s="31" t="n">
        <v>56.3</v>
      </c>
      <c r="H103" s="2" t="s">
        <v>822</v>
      </c>
    </row>
    <row r="104" customFormat="false" ht="15" hidden="false" customHeight="false" outlineLevel="0" collapsed="false">
      <c r="A104" s="2" t="s">
        <v>2063</v>
      </c>
      <c r="B104" s="2" t="s">
        <v>45</v>
      </c>
      <c r="C104" s="2" t="s">
        <v>4275</v>
      </c>
      <c r="D104" s="11" t="n">
        <v>9490</v>
      </c>
      <c r="E104" s="31" t="n">
        <v>83.6</v>
      </c>
      <c r="F104" s="2"/>
      <c r="G104" s="31" t="n">
        <v>89.5</v>
      </c>
      <c r="H104" s="2" t="s">
        <v>832</v>
      </c>
    </row>
    <row r="105" customFormat="false" ht="15" hidden="false" customHeight="false" outlineLevel="0" collapsed="false">
      <c r="A105" s="2" t="s">
        <v>2063</v>
      </c>
      <c r="B105" s="2" t="s">
        <v>46</v>
      </c>
      <c r="C105" s="2" t="s">
        <v>4274</v>
      </c>
      <c r="D105" s="11" t="n">
        <v>32160</v>
      </c>
      <c r="E105" s="31" t="n">
        <v>10</v>
      </c>
      <c r="F105" s="31" t="n">
        <v>48.7</v>
      </c>
      <c r="G105" s="31" t="n">
        <v>98.4</v>
      </c>
      <c r="H105" s="2" t="s">
        <v>822</v>
      </c>
    </row>
    <row r="106" customFormat="false" ht="15" hidden="false" customHeight="false" outlineLevel="0" collapsed="false">
      <c r="A106" s="2" t="s">
        <v>2063</v>
      </c>
      <c r="B106" s="2" t="s">
        <v>46</v>
      </c>
      <c r="C106" s="2" t="s">
        <v>4275</v>
      </c>
      <c r="D106" s="11" t="n">
        <v>32640</v>
      </c>
      <c r="E106" s="31" t="n">
        <v>23.2</v>
      </c>
      <c r="F106" s="31" t="n">
        <v>55.6</v>
      </c>
      <c r="G106" s="31" t="n">
        <v>98</v>
      </c>
      <c r="H106" s="2" t="s">
        <v>822</v>
      </c>
    </row>
    <row r="107" customFormat="false" ht="15" hidden="false" customHeight="false" outlineLevel="0" collapsed="false">
      <c r="A107" s="2" t="s">
        <v>2063</v>
      </c>
      <c r="B107" s="2" t="s">
        <v>47</v>
      </c>
      <c r="C107" s="2" t="s">
        <v>4274</v>
      </c>
      <c r="D107" s="11" t="n">
        <v>22319</v>
      </c>
      <c r="E107" s="31" t="n">
        <v>5</v>
      </c>
      <c r="F107" s="31" t="n">
        <v>49.3</v>
      </c>
      <c r="G107" s="31" t="n">
        <v>36.5</v>
      </c>
      <c r="H107" s="2" t="s">
        <v>822</v>
      </c>
    </row>
    <row r="108" customFormat="false" ht="15" hidden="false" customHeight="false" outlineLevel="0" collapsed="false">
      <c r="A108" s="2" t="s">
        <v>2063</v>
      </c>
      <c r="B108" s="2" t="s">
        <v>47</v>
      </c>
      <c r="C108" s="2" t="s">
        <v>4275</v>
      </c>
      <c r="D108" s="11" t="n">
        <v>21923</v>
      </c>
      <c r="E108" s="31" t="n">
        <v>4.6</v>
      </c>
      <c r="F108" s="31" t="n">
        <v>12.7</v>
      </c>
      <c r="G108" s="2"/>
      <c r="H108" s="2" t="s">
        <v>832</v>
      </c>
    </row>
    <row r="109" customFormat="false" ht="15" hidden="false" customHeight="false" outlineLevel="0" collapsed="false">
      <c r="A109" s="2" t="s">
        <v>364</v>
      </c>
      <c r="B109" s="2" t="s">
        <v>4291</v>
      </c>
      <c r="C109" s="2" t="s">
        <v>4274</v>
      </c>
      <c r="D109" s="2"/>
      <c r="E109" s="31" t="n">
        <v>71</v>
      </c>
      <c r="F109" s="31" t="n">
        <v>69.6</v>
      </c>
      <c r="G109" s="31" t="n">
        <v>49</v>
      </c>
      <c r="H109" s="2" t="s">
        <v>832</v>
      </c>
    </row>
    <row r="110" customFormat="false" ht="15" hidden="false" customHeight="false" outlineLevel="0" collapsed="false">
      <c r="A110" s="2" t="s">
        <v>364</v>
      </c>
      <c r="B110" s="2" t="s">
        <v>4291</v>
      </c>
      <c r="C110" s="2" t="s">
        <v>4275</v>
      </c>
      <c r="D110" s="2"/>
      <c r="E110" s="31" t="n">
        <v>57.5</v>
      </c>
      <c r="F110" s="31" t="n">
        <v>73.2</v>
      </c>
      <c r="G110" s="31" t="n">
        <v>66</v>
      </c>
      <c r="H110" s="2" t="s">
        <v>822</v>
      </c>
    </row>
    <row r="111" customFormat="false" ht="15" hidden="false" customHeight="false" outlineLevel="0" collapsed="false">
      <c r="A111" s="2" t="s">
        <v>364</v>
      </c>
      <c r="B111" s="2" t="s">
        <v>45</v>
      </c>
      <c r="C111" s="2" t="s">
        <v>4274</v>
      </c>
      <c r="D111" s="2"/>
      <c r="E111" s="2"/>
      <c r="F111" s="2"/>
      <c r="G111" s="2"/>
      <c r="H111" s="2" t="s">
        <v>832</v>
      </c>
    </row>
    <row r="112" customFormat="false" ht="15" hidden="false" customHeight="false" outlineLevel="0" collapsed="false">
      <c r="A112" s="2" t="s">
        <v>364</v>
      </c>
      <c r="B112" s="2" t="s">
        <v>45</v>
      </c>
      <c r="C112" s="2" t="s">
        <v>4275</v>
      </c>
      <c r="D112" s="11" t="n">
        <v>19167</v>
      </c>
      <c r="E112" s="31" t="n">
        <v>65</v>
      </c>
      <c r="F112" s="31" t="n">
        <v>53.3</v>
      </c>
      <c r="G112" s="31" t="n">
        <v>38.2</v>
      </c>
      <c r="H112" s="2" t="s">
        <v>822</v>
      </c>
    </row>
    <row r="113" customFormat="false" ht="15" hidden="false" customHeight="false" outlineLevel="0" collapsed="false">
      <c r="A113" s="2" t="s">
        <v>364</v>
      </c>
      <c r="B113" s="2" t="s">
        <v>46</v>
      </c>
      <c r="C113" s="2" t="s">
        <v>4274</v>
      </c>
      <c r="D113" s="11" t="n">
        <v>131200</v>
      </c>
      <c r="E113" s="31" t="n">
        <v>78.1</v>
      </c>
      <c r="F113" s="31" t="n">
        <v>78.2</v>
      </c>
      <c r="G113" s="2"/>
      <c r="H113" s="2" t="s">
        <v>832</v>
      </c>
    </row>
    <row r="114" customFormat="false" ht="15" hidden="false" customHeight="false" outlineLevel="0" collapsed="false">
      <c r="A114" s="2" t="s">
        <v>364</v>
      </c>
      <c r="B114" s="2" t="s">
        <v>46</v>
      </c>
      <c r="C114" s="2" t="s">
        <v>4275</v>
      </c>
      <c r="D114" s="11" t="n">
        <v>137760</v>
      </c>
      <c r="E114" s="31" t="n">
        <v>65.6</v>
      </c>
      <c r="F114" s="31" t="n">
        <v>98.7</v>
      </c>
      <c r="G114" s="31" t="n">
        <v>96.5</v>
      </c>
      <c r="H114" s="2" t="s">
        <v>822</v>
      </c>
    </row>
    <row r="115" customFormat="false" ht="15" hidden="false" customHeight="false" outlineLevel="0" collapsed="false">
      <c r="A115" s="2" t="s">
        <v>364</v>
      </c>
      <c r="B115" s="2" t="s">
        <v>47</v>
      </c>
      <c r="C115" s="2" t="s">
        <v>4274</v>
      </c>
      <c r="D115" s="11" t="n">
        <v>2534</v>
      </c>
      <c r="E115" s="31" t="n">
        <v>64</v>
      </c>
      <c r="F115" s="31" t="n">
        <v>61.1</v>
      </c>
      <c r="G115" s="31" t="n">
        <v>49</v>
      </c>
      <c r="H115" s="2" t="s">
        <v>822</v>
      </c>
    </row>
    <row r="116" customFormat="false" ht="15" hidden="false" customHeight="false" outlineLevel="0" collapsed="false">
      <c r="A116" s="2" t="s">
        <v>364</v>
      </c>
      <c r="B116" s="2" t="s">
        <v>47</v>
      </c>
      <c r="C116" s="2" t="s">
        <v>4275</v>
      </c>
      <c r="D116" s="11" t="n">
        <v>2681</v>
      </c>
      <c r="E116" s="31" t="n">
        <v>42</v>
      </c>
      <c r="F116" s="31" t="n">
        <v>67.5</v>
      </c>
      <c r="G116" s="31" t="n">
        <v>63.3</v>
      </c>
      <c r="H116" s="2" t="s">
        <v>822</v>
      </c>
    </row>
    <row r="117" customFormat="false" ht="15" hidden="false" customHeight="false" outlineLevel="0" collapsed="false">
      <c r="A117" s="2" t="s">
        <v>500</v>
      </c>
      <c r="B117" s="2" t="s">
        <v>4291</v>
      </c>
      <c r="C117" s="2" t="s">
        <v>4274</v>
      </c>
      <c r="D117" s="2"/>
      <c r="E117" s="31" t="n">
        <v>63</v>
      </c>
      <c r="F117" s="31" t="n">
        <v>31</v>
      </c>
      <c r="G117" s="31" t="n">
        <v>33.3</v>
      </c>
      <c r="H117" s="2" t="s">
        <v>822</v>
      </c>
    </row>
    <row r="118" customFormat="false" ht="15" hidden="false" customHeight="false" outlineLevel="0" collapsed="false">
      <c r="A118" s="2" t="s">
        <v>500</v>
      </c>
      <c r="B118" s="2" t="s">
        <v>4291</v>
      </c>
      <c r="C118" s="2" t="s">
        <v>4275</v>
      </c>
      <c r="D118" s="2"/>
      <c r="E118" s="31" t="n">
        <v>48.6</v>
      </c>
      <c r="F118" s="31" t="n">
        <v>29.6</v>
      </c>
      <c r="G118" s="31" t="n">
        <v>37.5</v>
      </c>
      <c r="H118" s="2" t="s">
        <v>822</v>
      </c>
    </row>
    <row r="119" customFormat="false" ht="15" hidden="false" customHeight="false" outlineLevel="0" collapsed="false">
      <c r="A119" s="2" t="s">
        <v>500</v>
      </c>
      <c r="B119" s="2" t="s">
        <v>45</v>
      </c>
      <c r="C119" s="2" t="s">
        <v>4274</v>
      </c>
      <c r="D119" s="11" t="n">
        <v>56795</v>
      </c>
      <c r="E119" s="31" t="n">
        <v>72.6</v>
      </c>
      <c r="F119" s="31" t="n">
        <v>44.2</v>
      </c>
      <c r="G119" s="2"/>
      <c r="H119" s="2" t="s">
        <v>822</v>
      </c>
    </row>
    <row r="120" customFormat="false" ht="15" hidden="false" customHeight="false" outlineLevel="0" collapsed="false">
      <c r="A120" s="2" t="s">
        <v>500</v>
      </c>
      <c r="B120" s="2" t="s">
        <v>45</v>
      </c>
      <c r="C120" s="2" t="s">
        <v>4275</v>
      </c>
      <c r="D120" s="11" t="n">
        <v>58280</v>
      </c>
      <c r="E120" s="31" t="n">
        <v>62.4</v>
      </c>
      <c r="F120" s="31" t="n">
        <v>23</v>
      </c>
      <c r="G120" s="2"/>
      <c r="H120" s="2" t="s">
        <v>822</v>
      </c>
    </row>
    <row r="121" customFormat="false" ht="15" hidden="false" customHeight="false" outlineLevel="0" collapsed="false">
      <c r="A121" s="2" t="s">
        <v>500</v>
      </c>
      <c r="B121" s="2" t="s">
        <v>47</v>
      </c>
      <c r="C121" s="2" t="s">
        <v>4274</v>
      </c>
      <c r="D121" s="11" t="n">
        <v>8725</v>
      </c>
      <c r="E121" s="31" t="n">
        <v>53.3</v>
      </c>
      <c r="F121" s="31" t="n">
        <v>17.8</v>
      </c>
      <c r="G121" s="31" t="n">
        <v>33.3</v>
      </c>
      <c r="H121" s="2" t="s">
        <v>822</v>
      </c>
    </row>
    <row r="122" customFormat="false" ht="15" hidden="false" customHeight="false" outlineLevel="0" collapsed="false">
      <c r="A122" s="2" t="s">
        <v>500</v>
      </c>
      <c r="B122" s="2" t="s">
        <v>47</v>
      </c>
      <c r="C122" s="2" t="s">
        <v>4275</v>
      </c>
      <c r="D122" s="11" t="n">
        <v>8780</v>
      </c>
      <c r="E122" s="31" t="n">
        <v>34.7</v>
      </c>
      <c r="F122" s="31" t="n">
        <v>36.2</v>
      </c>
      <c r="G122" s="31" t="n">
        <v>37.5</v>
      </c>
      <c r="H122" s="2" t="s">
        <v>822</v>
      </c>
    </row>
    <row r="123" customFormat="false" ht="15" hidden="false" customHeight="false" outlineLevel="0" collapsed="false">
      <c r="A123" s="2" t="s">
        <v>940</v>
      </c>
      <c r="B123" s="2" t="s">
        <v>4291</v>
      </c>
      <c r="C123" s="2" t="s">
        <v>4274</v>
      </c>
      <c r="D123" s="2"/>
      <c r="E123" s="31" t="n">
        <v>51.6</v>
      </c>
      <c r="F123" s="31" t="n">
        <v>43.6</v>
      </c>
      <c r="G123" s="31" t="n">
        <v>28.8</v>
      </c>
      <c r="H123" s="2" t="s">
        <v>832</v>
      </c>
    </row>
    <row r="124" customFormat="false" ht="15" hidden="false" customHeight="false" outlineLevel="0" collapsed="false">
      <c r="A124" s="2" t="s">
        <v>940</v>
      </c>
      <c r="B124" s="2" t="s">
        <v>4291</v>
      </c>
      <c r="C124" s="2" t="s">
        <v>4275</v>
      </c>
      <c r="D124" s="2"/>
      <c r="E124" s="31" t="n">
        <v>79.2</v>
      </c>
      <c r="F124" s="31" t="n">
        <v>35.5</v>
      </c>
      <c r="G124" s="31" t="n">
        <v>12.2</v>
      </c>
      <c r="H124" s="2" t="s">
        <v>832</v>
      </c>
    </row>
    <row r="125" customFormat="false" ht="15" hidden="false" customHeight="false" outlineLevel="0" collapsed="false">
      <c r="A125" s="2" t="s">
        <v>940</v>
      </c>
      <c r="B125" s="2" t="s">
        <v>45</v>
      </c>
      <c r="C125" s="2" t="s">
        <v>4274</v>
      </c>
      <c r="D125" s="11" t="n">
        <v>49610</v>
      </c>
      <c r="E125" s="31" t="n">
        <v>91.4</v>
      </c>
      <c r="F125" s="31" t="n">
        <v>56.9</v>
      </c>
      <c r="G125" s="31" t="n">
        <v>55.9</v>
      </c>
      <c r="H125" s="2" t="s">
        <v>822</v>
      </c>
    </row>
    <row r="126" customFormat="false" ht="15" hidden="false" customHeight="false" outlineLevel="0" collapsed="false">
      <c r="A126" s="2" t="s">
        <v>940</v>
      </c>
      <c r="B126" s="2" t="s">
        <v>45</v>
      </c>
      <c r="C126" s="2" t="s">
        <v>4275</v>
      </c>
      <c r="D126" s="11" t="n">
        <v>50410</v>
      </c>
      <c r="E126" s="31" t="n">
        <v>85.8</v>
      </c>
      <c r="F126" s="31" t="n">
        <v>26.8</v>
      </c>
      <c r="G126" s="31" t="n">
        <v>18.6</v>
      </c>
      <c r="H126" s="2" t="s">
        <v>822</v>
      </c>
    </row>
    <row r="127" customFormat="false" ht="15" hidden="false" customHeight="false" outlineLevel="0" collapsed="false">
      <c r="A127" s="2" t="s">
        <v>940</v>
      </c>
      <c r="B127" s="2" t="s">
        <v>46</v>
      </c>
      <c r="C127" s="2" t="s">
        <v>4274</v>
      </c>
      <c r="D127" s="2"/>
      <c r="E127" s="2"/>
      <c r="F127" s="2"/>
      <c r="G127" s="2"/>
      <c r="H127" s="2" t="s">
        <v>832</v>
      </c>
    </row>
    <row r="128" customFormat="false" ht="15" hidden="false" customHeight="false" outlineLevel="0" collapsed="false">
      <c r="A128" s="2" t="s">
        <v>940</v>
      </c>
      <c r="B128" s="2" t="s">
        <v>46</v>
      </c>
      <c r="C128" s="2" t="s">
        <v>4275</v>
      </c>
      <c r="D128" s="11" t="n">
        <v>19771</v>
      </c>
      <c r="E128" s="31" t="n">
        <v>99</v>
      </c>
      <c r="F128" s="31" t="n">
        <v>52.4</v>
      </c>
      <c r="G128" s="2"/>
      <c r="H128" s="2" t="s">
        <v>832</v>
      </c>
    </row>
    <row r="129" customFormat="false" ht="15" hidden="false" customHeight="false" outlineLevel="0" collapsed="false">
      <c r="A129" s="2" t="s">
        <v>940</v>
      </c>
      <c r="B129" s="2" t="s">
        <v>47</v>
      </c>
      <c r="C129" s="2" t="s">
        <v>4274</v>
      </c>
      <c r="D129" s="11" t="n">
        <v>111723</v>
      </c>
      <c r="E129" s="31" t="n">
        <v>11.9</v>
      </c>
      <c r="F129" s="31" t="n">
        <v>30.2</v>
      </c>
      <c r="G129" s="31" t="n">
        <v>1.8</v>
      </c>
      <c r="H129" s="2" t="s">
        <v>822</v>
      </c>
    </row>
    <row r="130" customFormat="false" ht="15" hidden="false" customHeight="false" outlineLevel="0" collapsed="false">
      <c r="A130" s="2" t="s">
        <v>940</v>
      </c>
      <c r="B130" s="2" t="s">
        <v>47</v>
      </c>
      <c r="C130" s="2" t="s">
        <v>4275</v>
      </c>
      <c r="D130" s="11" t="n">
        <v>117820</v>
      </c>
      <c r="E130" s="31" t="n">
        <v>52.9</v>
      </c>
      <c r="F130" s="31" t="n">
        <v>27.3</v>
      </c>
      <c r="G130" s="31" t="n">
        <v>5.9</v>
      </c>
      <c r="H130" s="2" t="s">
        <v>822</v>
      </c>
    </row>
    <row r="131" customFormat="false" ht="15" hidden="false" customHeight="false" outlineLevel="0" collapsed="false">
      <c r="A131" s="2" t="s">
        <v>220</v>
      </c>
      <c r="B131" s="2" t="s">
        <v>4291</v>
      </c>
      <c r="C131" s="2" t="s">
        <v>4274</v>
      </c>
      <c r="D131" s="2"/>
      <c r="E131" s="31" t="n">
        <v>63.7</v>
      </c>
      <c r="F131" s="31" t="n">
        <v>44.9</v>
      </c>
      <c r="G131" s="31" t="n">
        <v>76.5</v>
      </c>
      <c r="H131" s="2" t="s">
        <v>822</v>
      </c>
    </row>
    <row r="132" customFormat="false" ht="15" hidden="false" customHeight="false" outlineLevel="0" collapsed="false">
      <c r="A132" s="2" t="s">
        <v>220</v>
      </c>
      <c r="B132" s="2" t="s">
        <v>4291</v>
      </c>
      <c r="C132" s="2" t="s">
        <v>4275</v>
      </c>
      <c r="D132" s="2"/>
      <c r="E132" s="31" t="n">
        <v>72.8</v>
      </c>
      <c r="F132" s="31" t="n">
        <v>50.1</v>
      </c>
      <c r="G132" s="31" t="n">
        <v>48.7</v>
      </c>
      <c r="H132" s="2" t="s">
        <v>822</v>
      </c>
    </row>
    <row r="133" customFormat="false" ht="15" hidden="false" customHeight="false" outlineLevel="0" collapsed="false">
      <c r="A133" s="2" t="s">
        <v>220</v>
      </c>
      <c r="B133" s="2" t="s">
        <v>45</v>
      </c>
      <c r="C133" s="2" t="s">
        <v>4274</v>
      </c>
      <c r="D133" s="11" t="n">
        <v>30194</v>
      </c>
      <c r="E133" s="31" t="n">
        <v>92</v>
      </c>
      <c r="F133" s="31" t="n">
        <v>86.1</v>
      </c>
      <c r="G133" s="31" t="n">
        <v>80</v>
      </c>
      <c r="H133" s="2" t="s">
        <v>822</v>
      </c>
    </row>
    <row r="134" customFormat="false" ht="15" hidden="false" customHeight="false" outlineLevel="0" collapsed="false">
      <c r="A134" s="2" t="s">
        <v>220</v>
      </c>
      <c r="B134" s="2" t="s">
        <v>45</v>
      </c>
      <c r="C134" s="2" t="s">
        <v>4275</v>
      </c>
      <c r="D134" s="11" t="n">
        <v>32330</v>
      </c>
      <c r="E134" s="31" t="n">
        <v>96.8</v>
      </c>
      <c r="F134" s="31" t="n">
        <v>95.9</v>
      </c>
      <c r="G134" s="31" t="n">
        <v>43.6</v>
      </c>
      <c r="H134" s="2" t="s">
        <v>822</v>
      </c>
    </row>
    <row r="135" customFormat="false" ht="15" hidden="false" customHeight="false" outlineLevel="0" collapsed="false">
      <c r="A135" s="2" t="s">
        <v>220</v>
      </c>
      <c r="B135" s="2" t="s">
        <v>46</v>
      </c>
      <c r="C135" s="2" t="s">
        <v>4274</v>
      </c>
      <c r="D135" s="11" t="n">
        <v>52000</v>
      </c>
      <c r="E135" s="31" t="n">
        <v>24.5</v>
      </c>
      <c r="F135" s="31" t="n">
        <v>20.2</v>
      </c>
      <c r="G135" s="31" t="n">
        <v>90.2</v>
      </c>
      <c r="H135" s="2" t="s">
        <v>822</v>
      </c>
    </row>
    <row r="136" customFormat="false" ht="15" hidden="false" customHeight="false" outlineLevel="0" collapsed="false">
      <c r="A136" s="2" t="s">
        <v>220</v>
      </c>
      <c r="B136" s="2" t="s">
        <v>46</v>
      </c>
      <c r="C136" s="2" t="s">
        <v>4275</v>
      </c>
      <c r="D136" s="11" t="n">
        <v>51530</v>
      </c>
      <c r="E136" s="31" t="n">
        <v>34</v>
      </c>
      <c r="F136" s="31" t="n">
        <v>22.2</v>
      </c>
      <c r="G136" s="31" t="n">
        <v>81.5</v>
      </c>
      <c r="H136" s="2" t="s">
        <v>822</v>
      </c>
    </row>
    <row r="137" customFormat="false" ht="15" hidden="false" customHeight="false" outlineLevel="0" collapsed="false">
      <c r="A137" s="2" t="s">
        <v>220</v>
      </c>
      <c r="B137" s="2" t="s">
        <v>47</v>
      </c>
      <c r="C137" s="2" t="s">
        <v>4274</v>
      </c>
      <c r="D137" s="11" t="n">
        <v>129034</v>
      </c>
      <c r="E137" s="31" t="n">
        <v>74.7</v>
      </c>
      <c r="F137" s="31" t="n">
        <v>28.4</v>
      </c>
      <c r="G137" s="31" t="n">
        <v>59.4</v>
      </c>
      <c r="H137" s="2" t="s">
        <v>822</v>
      </c>
    </row>
    <row r="138" customFormat="false" ht="15" hidden="false" customHeight="false" outlineLevel="0" collapsed="false">
      <c r="A138" s="2" t="s">
        <v>220</v>
      </c>
      <c r="B138" s="2" t="s">
        <v>47</v>
      </c>
      <c r="C138" s="2" t="s">
        <v>4275</v>
      </c>
      <c r="D138" s="11" t="n">
        <v>126028</v>
      </c>
      <c r="E138" s="31" t="n">
        <v>87.5</v>
      </c>
      <c r="F138" s="31" t="n">
        <v>32.3</v>
      </c>
      <c r="G138" s="31" t="n">
        <v>21.1</v>
      </c>
      <c r="H138" s="2" t="s">
        <v>822</v>
      </c>
    </row>
    <row r="139" customFormat="false" ht="15" hidden="false" customHeight="false" outlineLevel="0" collapsed="false">
      <c r="A139" s="2" t="s">
        <v>1090</v>
      </c>
      <c r="B139" s="2" t="s">
        <v>4291</v>
      </c>
      <c r="C139" s="2" t="s">
        <v>4274</v>
      </c>
      <c r="D139" s="2"/>
      <c r="E139" s="2"/>
      <c r="F139" s="2"/>
      <c r="G139" s="2"/>
      <c r="H139" s="2" t="s">
        <v>832</v>
      </c>
    </row>
    <row r="140" customFormat="false" ht="15" hidden="false" customHeight="false" outlineLevel="0" collapsed="false">
      <c r="A140" s="2" t="s">
        <v>1090</v>
      </c>
      <c r="B140" s="2" t="s">
        <v>4291</v>
      </c>
      <c r="C140" s="2" t="s">
        <v>4275</v>
      </c>
      <c r="D140" s="2"/>
      <c r="E140" s="31" t="n">
        <v>68.4</v>
      </c>
      <c r="F140" s="31" t="n">
        <v>44.3</v>
      </c>
      <c r="G140" s="2"/>
      <c r="H140" s="2" t="s">
        <v>832</v>
      </c>
    </row>
    <row r="141" customFormat="false" ht="15" hidden="false" customHeight="false" outlineLevel="0" collapsed="false">
      <c r="A141" s="2" t="s">
        <v>1090</v>
      </c>
      <c r="B141" s="2" t="s">
        <v>45</v>
      </c>
      <c r="C141" s="2" t="s">
        <v>4274</v>
      </c>
      <c r="D141" s="2"/>
      <c r="E141" s="2"/>
      <c r="F141" s="2"/>
      <c r="G141" s="2"/>
      <c r="H141" s="2" t="s">
        <v>832</v>
      </c>
    </row>
    <row r="142" customFormat="false" ht="15" hidden="false" customHeight="false" outlineLevel="0" collapsed="false">
      <c r="A142" s="2" t="s">
        <v>1090</v>
      </c>
      <c r="B142" s="2" t="s">
        <v>45</v>
      </c>
      <c r="C142" s="2" t="s">
        <v>4275</v>
      </c>
      <c r="D142" s="11" t="n">
        <v>230295</v>
      </c>
      <c r="E142" s="31" t="n">
        <v>68.4</v>
      </c>
      <c r="F142" s="31" t="n">
        <v>44.3</v>
      </c>
      <c r="G142" s="2"/>
      <c r="H142" s="2" t="s">
        <v>822</v>
      </c>
    </row>
    <row r="143" customFormat="false" ht="15" hidden="false" customHeight="false" outlineLevel="0" collapsed="false">
      <c r="A143" s="2" t="s">
        <v>1090</v>
      </c>
      <c r="B143" s="2" t="s">
        <v>46</v>
      </c>
      <c r="C143" s="2" t="s">
        <v>4274</v>
      </c>
      <c r="D143" s="2"/>
      <c r="E143" s="2"/>
      <c r="F143" s="2"/>
      <c r="G143" s="2"/>
      <c r="H143" s="2" t="s">
        <v>832</v>
      </c>
    </row>
    <row r="144" customFormat="false" ht="15" hidden="false" customHeight="false" outlineLevel="0" collapsed="false">
      <c r="A144" s="2" t="s">
        <v>1090</v>
      </c>
      <c r="B144" s="2" t="s">
        <v>46</v>
      </c>
      <c r="C144" s="2" t="s">
        <v>4275</v>
      </c>
      <c r="D144" s="2"/>
      <c r="E144" s="2"/>
      <c r="F144" s="2"/>
      <c r="G144" s="2"/>
      <c r="H144" s="2" t="s">
        <v>832</v>
      </c>
    </row>
    <row r="145" customFormat="false" ht="15" hidden="false" customHeight="false" outlineLevel="0" collapsed="false">
      <c r="A145" s="2" t="s">
        <v>1273</v>
      </c>
      <c r="B145" s="2" t="s">
        <v>4291</v>
      </c>
      <c r="C145" s="2" t="s">
        <v>4274</v>
      </c>
      <c r="D145" s="2"/>
      <c r="E145" s="31" t="n">
        <v>55</v>
      </c>
      <c r="F145" s="31" t="n">
        <v>48.5</v>
      </c>
      <c r="G145" s="31" t="n">
        <v>34.7</v>
      </c>
      <c r="H145" s="2" t="s">
        <v>822</v>
      </c>
    </row>
    <row r="146" customFormat="false" ht="15" hidden="false" customHeight="false" outlineLevel="0" collapsed="false">
      <c r="A146" s="2" t="s">
        <v>1273</v>
      </c>
      <c r="B146" s="2" t="s">
        <v>4291</v>
      </c>
      <c r="C146" s="2" t="s">
        <v>4275</v>
      </c>
      <c r="D146" s="2"/>
      <c r="E146" s="31" t="n">
        <v>35</v>
      </c>
      <c r="F146" s="31" t="n">
        <v>40.6</v>
      </c>
      <c r="G146" s="31" t="n">
        <v>9.9</v>
      </c>
      <c r="H146" s="2" t="s">
        <v>832</v>
      </c>
    </row>
    <row r="147" customFormat="false" ht="15" hidden="false" customHeight="false" outlineLevel="0" collapsed="false">
      <c r="A147" s="2" t="s">
        <v>1273</v>
      </c>
      <c r="B147" s="2" t="s">
        <v>45</v>
      </c>
      <c r="C147" s="2" t="s">
        <v>4274</v>
      </c>
      <c r="D147" s="11" t="n">
        <v>6200</v>
      </c>
      <c r="E147" s="31" t="n">
        <v>43.2</v>
      </c>
      <c r="F147" s="31" t="n">
        <v>82.3</v>
      </c>
      <c r="G147" s="31" t="n">
        <v>22.9</v>
      </c>
      <c r="H147" s="2" t="s">
        <v>822</v>
      </c>
    </row>
    <row r="148" customFormat="false" ht="15" hidden="false" customHeight="false" outlineLevel="0" collapsed="false">
      <c r="A148" s="2" t="s">
        <v>1273</v>
      </c>
      <c r="B148" s="2" t="s">
        <v>45</v>
      </c>
      <c r="C148" s="2" t="s">
        <v>4275</v>
      </c>
      <c r="D148" s="11" t="n">
        <v>6348</v>
      </c>
      <c r="E148" s="31" t="n">
        <v>44</v>
      </c>
      <c r="F148" s="31" t="n">
        <v>50.7</v>
      </c>
      <c r="G148" s="31" t="n">
        <v>10.7</v>
      </c>
      <c r="H148" s="2" t="s">
        <v>822</v>
      </c>
    </row>
    <row r="149" customFormat="false" ht="15" hidden="false" customHeight="false" outlineLevel="0" collapsed="false">
      <c r="A149" s="2" t="s">
        <v>1273</v>
      </c>
      <c r="B149" s="2" t="s">
        <v>46</v>
      </c>
      <c r="C149" s="2" t="s">
        <v>4274</v>
      </c>
      <c r="D149" s="11" t="n">
        <v>16425</v>
      </c>
      <c r="E149" s="31" t="n">
        <v>78.3</v>
      </c>
      <c r="F149" s="31" t="n">
        <v>33.7</v>
      </c>
      <c r="G149" s="31" t="n">
        <v>66</v>
      </c>
      <c r="H149" s="2" t="s">
        <v>822</v>
      </c>
    </row>
    <row r="150" customFormat="false" ht="15" hidden="false" customHeight="false" outlineLevel="0" collapsed="false">
      <c r="A150" s="2" t="s">
        <v>1273</v>
      </c>
      <c r="B150" s="2" t="s">
        <v>46</v>
      </c>
      <c r="C150" s="2" t="s">
        <v>4275</v>
      </c>
      <c r="D150" s="2"/>
      <c r="E150" s="2"/>
      <c r="F150" s="2"/>
      <c r="G150" s="2"/>
      <c r="H150" s="2" t="s">
        <v>832</v>
      </c>
    </row>
    <row r="151" customFormat="false" ht="15" hidden="false" customHeight="false" outlineLevel="0" collapsed="false">
      <c r="A151" s="2" t="s">
        <v>1273</v>
      </c>
      <c r="B151" s="2" t="s">
        <v>47</v>
      </c>
      <c r="C151" s="2" t="s">
        <v>4274</v>
      </c>
      <c r="D151" s="11" t="n">
        <v>207205</v>
      </c>
      <c r="E151" s="31" t="n">
        <v>43.4</v>
      </c>
      <c r="F151" s="31" t="n">
        <v>29.6</v>
      </c>
      <c r="G151" s="31" t="n">
        <v>15.3</v>
      </c>
      <c r="H151" s="2" t="s">
        <v>822</v>
      </c>
    </row>
    <row r="152" customFormat="false" ht="15" hidden="false" customHeight="false" outlineLevel="0" collapsed="false">
      <c r="A152" s="2" t="s">
        <v>1273</v>
      </c>
      <c r="B152" s="2" t="s">
        <v>47</v>
      </c>
      <c r="C152" s="2" t="s">
        <v>4275</v>
      </c>
      <c r="D152" s="11" t="n">
        <v>211120</v>
      </c>
      <c r="E152" s="31" t="n">
        <v>26.1</v>
      </c>
      <c r="F152" s="31" t="n">
        <v>30.4</v>
      </c>
      <c r="G152" s="31" t="n">
        <v>9.1</v>
      </c>
      <c r="H152" s="2" t="s">
        <v>822</v>
      </c>
    </row>
    <row r="153" customFormat="false" ht="15" hidden="false" customHeight="false" outlineLevel="0" collapsed="false">
      <c r="A153" s="2" t="s">
        <v>90</v>
      </c>
      <c r="B153" s="2" t="s">
        <v>4291</v>
      </c>
      <c r="C153" s="2" t="s">
        <v>4274</v>
      </c>
      <c r="D153" s="2"/>
      <c r="E153" s="31" t="n">
        <v>95.1</v>
      </c>
      <c r="F153" s="31" t="n">
        <v>54.3</v>
      </c>
      <c r="G153" s="2"/>
      <c r="H153" s="2" t="s">
        <v>832</v>
      </c>
    </row>
    <row r="154" customFormat="false" ht="15" hidden="false" customHeight="false" outlineLevel="0" collapsed="false">
      <c r="A154" s="2" t="s">
        <v>90</v>
      </c>
      <c r="B154" s="2" t="s">
        <v>4291</v>
      </c>
      <c r="C154" s="2" t="s">
        <v>4275</v>
      </c>
      <c r="D154" s="2"/>
      <c r="E154" s="31" t="n">
        <v>95.4</v>
      </c>
      <c r="F154" s="31" t="n">
        <v>47.8</v>
      </c>
      <c r="G154" s="31" t="n">
        <v>69</v>
      </c>
      <c r="H154" s="2" t="s">
        <v>822</v>
      </c>
    </row>
    <row r="155" customFormat="false" ht="15" hidden="false" customHeight="false" outlineLevel="0" collapsed="false">
      <c r="A155" s="2" t="s">
        <v>90</v>
      </c>
      <c r="B155" s="2" t="s">
        <v>45</v>
      </c>
      <c r="C155" s="2" t="s">
        <v>4274</v>
      </c>
      <c r="D155" s="11" t="n">
        <v>19360</v>
      </c>
      <c r="E155" s="31" t="n">
        <v>91.8</v>
      </c>
      <c r="F155" s="31" t="n">
        <v>61.7</v>
      </c>
      <c r="G155" s="2"/>
      <c r="H155" s="2" t="s">
        <v>822</v>
      </c>
    </row>
    <row r="156" customFormat="false" ht="15" hidden="false" customHeight="false" outlineLevel="0" collapsed="false">
      <c r="A156" s="2" t="s">
        <v>90</v>
      </c>
      <c r="B156" s="2" t="s">
        <v>45</v>
      </c>
      <c r="C156" s="2" t="s">
        <v>4275</v>
      </c>
      <c r="D156" s="11" t="n">
        <v>20130</v>
      </c>
      <c r="E156" s="31" t="n">
        <v>93.4</v>
      </c>
      <c r="F156" s="31" t="n">
        <v>50.2</v>
      </c>
      <c r="G156" s="2"/>
      <c r="H156" s="2" t="s">
        <v>822</v>
      </c>
    </row>
    <row r="157" customFormat="false" ht="15" hidden="false" customHeight="false" outlineLevel="0" collapsed="false">
      <c r="A157" s="2" t="s">
        <v>90</v>
      </c>
      <c r="B157" s="2" t="s">
        <v>47</v>
      </c>
      <c r="C157" s="2" t="s">
        <v>4274</v>
      </c>
      <c r="D157" s="11" t="n">
        <v>172311</v>
      </c>
      <c r="E157" s="31" t="n">
        <v>98.4</v>
      </c>
      <c r="F157" s="31" t="n">
        <v>46.9</v>
      </c>
      <c r="G157" s="2"/>
      <c r="H157" s="2" t="s">
        <v>832</v>
      </c>
    </row>
    <row r="158" customFormat="false" ht="15" hidden="false" customHeight="false" outlineLevel="0" collapsed="false">
      <c r="A158" s="2" t="s">
        <v>90</v>
      </c>
      <c r="B158" s="2" t="s">
        <v>47</v>
      </c>
      <c r="C158" s="2" t="s">
        <v>4275</v>
      </c>
      <c r="D158" s="11" t="n">
        <v>175579</v>
      </c>
      <c r="E158" s="31" t="n">
        <v>97.4</v>
      </c>
      <c r="F158" s="31" t="n">
        <v>45.3</v>
      </c>
      <c r="G158" s="31" t="n">
        <v>69</v>
      </c>
      <c r="H158" s="2" t="s">
        <v>822</v>
      </c>
    </row>
    <row r="159" customFormat="false" ht="15" hidden="false" customHeight="false" outlineLevel="0" collapsed="false">
      <c r="A159" s="2" t="s">
        <v>314</v>
      </c>
      <c r="B159" s="2" t="s">
        <v>4291</v>
      </c>
      <c r="C159" s="2" t="s">
        <v>4274</v>
      </c>
      <c r="D159" s="2"/>
      <c r="E159" s="31" t="n">
        <v>57</v>
      </c>
      <c r="F159" s="31" t="n">
        <v>45.4</v>
      </c>
      <c r="G159" s="31" t="n">
        <v>70.6</v>
      </c>
      <c r="H159" s="2" t="s">
        <v>822</v>
      </c>
    </row>
    <row r="160" customFormat="false" ht="15" hidden="false" customHeight="false" outlineLevel="0" collapsed="false">
      <c r="A160" s="2" t="s">
        <v>314</v>
      </c>
      <c r="B160" s="2" t="s">
        <v>4291</v>
      </c>
      <c r="C160" s="2" t="s">
        <v>4275</v>
      </c>
      <c r="D160" s="2"/>
      <c r="E160" s="31" t="n">
        <v>62.4</v>
      </c>
      <c r="F160" s="31" t="n">
        <v>42</v>
      </c>
      <c r="G160" s="31" t="n">
        <v>63.6</v>
      </c>
      <c r="H160" s="2" t="s">
        <v>822</v>
      </c>
    </row>
    <row r="161" customFormat="false" ht="15" hidden="false" customHeight="false" outlineLevel="0" collapsed="false">
      <c r="A161" s="2" t="s">
        <v>314</v>
      </c>
      <c r="B161" s="2" t="s">
        <v>46</v>
      </c>
      <c r="C161" s="2" t="s">
        <v>4274</v>
      </c>
      <c r="D161" s="11" t="n">
        <v>11790</v>
      </c>
      <c r="E161" s="31" t="n">
        <v>46</v>
      </c>
      <c r="F161" s="31" t="n">
        <v>75.3</v>
      </c>
      <c r="G161" s="31" t="n">
        <v>73.7</v>
      </c>
      <c r="H161" s="2" t="s">
        <v>822</v>
      </c>
    </row>
    <row r="162" customFormat="false" ht="15" hidden="false" customHeight="false" outlineLevel="0" collapsed="false">
      <c r="A162" s="2" t="s">
        <v>314</v>
      </c>
      <c r="B162" s="2" t="s">
        <v>46</v>
      </c>
      <c r="C162" s="2" t="s">
        <v>4275</v>
      </c>
      <c r="D162" s="11" t="n">
        <v>12010</v>
      </c>
      <c r="E162" s="31" t="n">
        <v>69</v>
      </c>
      <c r="F162" s="31" t="n">
        <v>57.8</v>
      </c>
      <c r="G162" s="31" t="n">
        <v>66.2</v>
      </c>
      <c r="H162" s="2" t="s">
        <v>822</v>
      </c>
    </row>
    <row r="163" customFormat="false" ht="15" hidden="false" customHeight="false" outlineLevel="0" collapsed="false">
      <c r="A163" s="2" t="s">
        <v>314</v>
      </c>
      <c r="B163" s="2" t="s">
        <v>47</v>
      </c>
      <c r="C163" s="2" t="s">
        <v>4274</v>
      </c>
      <c r="D163" s="11" t="n">
        <v>4215</v>
      </c>
      <c r="E163" s="31" t="n">
        <v>68</v>
      </c>
      <c r="F163" s="31" t="n">
        <v>15.6</v>
      </c>
      <c r="G163" s="31" t="n">
        <v>67.5</v>
      </c>
      <c r="H163" s="2" t="s">
        <v>822</v>
      </c>
    </row>
    <row r="164" customFormat="false" ht="15" hidden="false" customHeight="false" outlineLevel="0" collapsed="false">
      <c r="A164" s="2" t="s">
        <v>314</v>
      </c>
      <c r="B164" s="2" t="s">
        <v>47</v>
      </c>
      <c r="C164" s="2" t="s">
        <v>4275</v>
      </c>
      <c r="D164" s="11" t="n">
        <v>7447</v>
      </c>
      <c r="E164" s="31" t="n">
        <v>55.7</v>
      </c>
      <c r="F164" s="31" t="n">
        <v>26.2</v>
      </c>
      <c r="G164" s="31" t="n">
        <v>61.1</v>
      </c>
      <c r="H164" s="2" t="s">
        <v>822</v>
      </c>
    </row>
    <row r="165" customFormat="false" ht="15" hidden="false" customHeight="false" outlineLevel="0" collapsed="false">
      <c r="A165" s="2" t="s">
        <v>2900</v>
      </c>
      <c r="B165" s="2" t="s">
        <v>4291</v>
      </c>
      <c r="C165" s="2" t="s">
        <v>4274</v>
      </c>
      <c r="D165" s="2"/>
      <c r="E165" s="31" t="n">
        <v>60.6</v>
      </c>
      <c r="F165" s="31" t="n">
        <v>38</v>
      </c>
      <c r="G165" s="31" t="n">
        <v>32.6</v>
      </c>
      <c r="H165" s="2" t="s">
        <v>822</v>
      </c>
    </row>
    <row r="166" customFormat="false" ht="15" hidden="false" customHeight="false" outlineLevel="0" collapsed="false">
      <c r="A166" s="2" t="s">
        <v>2900</v>
      </c>
      <c r="B166" s="2" t="s">
        <v>4291</v>
      </c>
      <c r="C166" s="2" t="s">
        <v>4275</v>
      </c>
      <c r="D166" s="2"/>
      <c r="E166" s="2"/>
      <c r="F166" s="31" t="n">
        <v>62.9</v>
      </c>
      <c r="G166" s="31" t="n">
        <v>77.6</v>
      </c>
      <c r="H166" s="2" t="s">
        <v>832</v>
      </c>
    </row>
    <row r="167" customFormat="false" ht="15" hidden="false" customHeight="false" outlineLevel="0" collapsed="false">
      <c r="A167" s="2" t="s">
        <v>2900</v>
      </c>
      <c r="B167" s="2" t="s">
        <v>45</v>
      </c>
      <c r="C167" s="2" t="s">
        <v>4274</v>
      </c>
      <c r="D167" s="11" t="n">
        <v>285040</v>
      </c>
      <c r="E167" s="31" t="n">
        <v>90.9</v>
      </c>
      <c r="F167" s="31" t="n">
        <v>70.5</v>
      </c>
      <c r="G167" s="31" t="n">
        <v>35.6</v>
      </c>
      <c r="H167" s="2" t="s">
        <v>822</v>
      </c>
    </row>
    <row r="168" customFormat="false" ht="15" hidden="false" customHeight="false" outlineLevel="0" collapsed="false">
      <c r="A168" s="2" t="s">
        <v>2900</v>
      </c>
      <c r="B168" s="2" t="s">
        <v>45</v>
      </c>
      <c r="C168" s="2" t="s">
        <v>4275</v>
      </c>
      <c r="D168" s="11" t="n">
        <v>296963</v>
      </c>
      <c r="E168" s="2"/>
      <c r="F168" s="31" t="n">
        <v>62.9</v>
      </c>
      <c r="G168" s="31" t="n">
        <v>77.6</v>
      </c>
      <c r="H168" s="2" t="s">
        <v>832</v>
      </c>
    </row>
    <row r="169" customFormat="false" ht="15" hidden="false" customHeight="false" outlineLevel="0" collapsed="false">
      <c r="A169" s="2" t="s">
        <v>2900</v>
      </c>
      <c r="B169" s="2" t="s">
        <v>47</v>
      </c>
      <c r="C169" s="2" t="s">
        <v>4274</v>
      </c>
      <c r="D169" s="11" t="n">
        <v>552046</v>
      </c>
      <c r="E169" s="31" t="n">
        <v>30.3</v>
      </c>
      <c r="F169" s="31" t="n">
        <v>5.6</v>
      </c>
      <c r="G169" s="31" t="n">
        <v>29.5</v>
      </c>
      <c r="H169" s="2" t="s">
        <v>822</v>
      </c>
    </row>
    <row r="170" customFormat="false" ht="15" hidden="false" customHeight="false" outlineLevel="0" collapsed="false">
      <c r="A170" s="2" t="s">
        <v>2900</v>
      </c>
      <c r="B170" s="2" t="s">
        <v>47</v>
      </c>
      <c r="C170" s="2" t="s">
        <v>4275</v>
      </c>
      <c r="D170" s="2"/>
      <c r="E170" s="2"/>
      <c r="F170" s="2"/>
      <c r="G170" s="2"/>
      <c r="H170" s="2" t="s">
        <v>832</v>
      </c>
    </row>
    <row r="171" customFormat="false" ht="15" hidden="false" customHeight="false" outlineLevel="0" collapsed="false">
      <c r="A171" s="2" t="s">
        <v>710</v>
      </c>
      <c r="B171" s="2" t="s">
        <v>4291</v>
      </c>
      <c r="C171" s="2" t="s">
        <v>4274</v>
      </c>
      <c r="D171" s="2"/>
      <c r="E171" s="31" t="n">
        <v>20</v>
      </c>
      <c r="F171" s="31" t="n">
        <v>35.6</v>
      </c>
      <c r="G171" s="31" t="n">
        <v>90.6</v>
      </c>
      <c r="H171" s="2" t="s">
        <v>832</v>
      </c>
    </row>
    <row r="172" customFormat="false" ht="15" hidden="false" customHeight="false" outlineLevel="0" collapsed="false">
      <c r="A172" s="2" t="s">
        <v>710</v>
      </c>
      <c r="B172" s="2" t="s">
        <v>4291</v>
      </c>
      <c r="C172" s="2" t="s">
        <v>4275</v>
      </c>
      <c r="D172" s="2"/>
      <c r="E172" s="31" t="n">
        <v>27.1</v>
      </c>
      <c r="F172" s="31" t="n">
        <v>48.7</v>
      </c>
      <c r="G172" s="31" t="n">
        <v>70.7</v>
      </c>
      <c r="H172" s="2" t="s">
        <v>822</v>
      </c>
    </row>
    <row r="173" customFormat="false" ht="15" hidden="false" customHeight="false" outlineLevel="0" collapsed="false">
      <c r="A173" s="2" t="s">
        <v>710</v>
      </c>
      <c r="B173" s="2" t="s">
        <v>45</v>
      </c>
      <c r="C173" s="2" t="s">
        <v>4274</v>
      </c>
      <c r="D173" s="11" t="n">
        <v>684428</v>
      </c>
      <c r="E173" s="31" t="n">
        <v>8.8</v>
      </c>
      <c r="F173" s="31" t="n">
        <v>51.4</v>
      </c>
      <c r="G173" s="31" t="n">
        <v>82</v>
      </c>
      <c r="H173" s="2" t="s">
        <v>822</v>
      </c>
    </row>
    <row r="174" customFormat="false" ht="15" hidden="false" customHeight="false" outlineLevel="0" collapsed="false">
      <c r="A174" s="2" t="s">
        <v>710</v>
      </c>
      <c r="B174" s="2" t="s">
        <v>45</v>
      </c>
      <c r="C174" s="2" t="s">
        <v>4275</v>
      </c>
      <c r="D174" s="11" t="n">
        <v>694040</v>
      </c>
      <c r="E174" s="31" t="n">
        <v>13</v>
      </c>
      <c r="F174" s="31" t="n">
        <v>59.3</v>
      </c>
      <c r="G174" s="31" t="n">
        <v>34.5</v>
      </c>
      <c r="H174" s="2" t="s">
        <v>822</v>
      </c>
    </row>
    <row r="175" customFormat="false" ht="15" hidden="false" customHeight="false" outlineLevel="0" collapsed="false">
      <c r="A175" s="2" t="s">
        <v>710</v>
      </c>
      <c r="B175" s="2" t="s">
        <v>46</v>
      </c>
      <c r="C175" s="2" t="s">
        <v>4274</v>
      </c>
      <c r="D175" s="11" t="n">
        <v>27632</v>
      </c>
      <c r="E175" s="31" t="n">
        <v>31.1</v>
      </c>
      <c r="F175" s="31" t="n">
        <v>19.9</v>
      </c>
      <c r="G175" s="31" t="n">
        <v>99.3</v>
      </c>
      <c r="H175" s="2" t="s">
        <v>822</v>
      </c>
    </row>
    <row r="176" customFormat="false" ht="15" hidden="false" customHeight="false" outlineLevel="0" collapsed="false">
      <c r="A176" s="2" t="s">
        <v>710</v>
      </c>
      <c r="B176" s="2" t="s">
        <v>46</v>
      </c>
      <c r="C176" s="2" t="s">
        <v>4275</v>
      </c>
      <c r="D176" s="11" t="n">
        <v>28401</v>
      </c>
      <c r="E176" s="31" t="n">
        <v>15.7</v>
      </c>
      <c r="F176" s="31" t="n">
        <v>38.2</v>
      </c>
      <c r="G176" s="31" t="n">
        <v>81.7</v>
      </c>
      <c r="H176" s="2" t="s">
        <v>822</v>
      </c>
    </row>
    <row r="177" customFormat="false" ht="15" hidden="false" customHeight="false" outlineLevel="0" collapsed="false">
      <c r="A177" s="2" t="s">
        <v>710</v>
      </c>
      <c r="B177" s="2" t="s">
        <v>47</v>
      </c>
      <c r="C177" s="2" t="s">
        <v>4274</v>
      </c>
      <c r="D177" s="2"/>
      <c r="E177" s="2"/>
      <c r="F177" s="2"/>
      <c r="G177" s="2"/>
      <c r="H177" s="2" t="s">
        <v>832</v>
      </c>
    </row>
    <row r="178" customFormat="false" ht="15" hidden="false" customHeight="false" outlineLevel="0" collapsed="false">
      <c r="A178" s="2" t="s">
        <v>710</v>
      </c>
      <c r="B178" s="2" t="s">
        <v>47</v>
      </c>
      <c r="C178" s="2" t="s">
        <v>4275</v>
      </c>
      <c r="D178" s="11" t="n">
        <v>42090</v>
      </c>
      <c r="E178" s="31" t="n">
        <v>52.6</v>
      </c>
      <c r="F178" s="31" t="n">
        <v>48.7</v>
      </c>
      <c r="G178" s="31" t="n">
        <v>95.9</v>
      </c>
      <c r="H178" s="2" t="s">
        <v>822</v>
      </c>
    </row>
    <row r="179" customFormat="false" ht="15" hidden="false" customHeight="false" outlineLevel="0" collapsed="false">
      <c r="A179" s="2" t="s">
        <v>2903</v>
      </c>
      <c r="B179" s="2" t="s">
        <v>4291</v>
      </c>
      <c r="C179" s="2" t="s">
        <v>4274</v>
      </c>
      <c r="D179" s="2"/>
      <c r="E179" s="31" t="n">
        <v>72.6</v>
      </c>
      <c r="F179" s="31" t="n">
        <v>60.5</v>
      </c>
      <c r="G179" s="31" t="n">
        <v>67.4</v>
      </c>
      <c r="H179" s="2" t="s">
        <v>832</v>
      </c>
    </row>
    <row r="180" customFormat="false" ht="15" hidden="false" customHeight="false" outlineLevel="0" collapsed="false">
      <c r="A180" s="2" t="s">
        <v>2903</v>
      </c>
      <c r="B180" s="2" t="s">
        <v>4291</v>
      </c>
      <c r="C180" s="2" t="s">
        <v>4275</v>
      </c>
      <c r="D180" s="2"/>
      <c r="E180" s="31" t="n">
        <v>15.9</v>
      </c>
      <c r="F180" s="31" t="n">
        <v>86.3</v>
      </c>
      <c r="G180" s="2"/>
      <c r="H180" s="2" t="s">
        <v>832</v>
      </c>
    </row>
    <row r="181" customFormat="false" ht="15" hidden="false" customHeight="false" outlineLevel="0" collapsed="false">
      <c r="A181" s="2" t="s">
        <v>2903</v>
      </c>
      <c r="B181" s="2" t="s">
        <v>45</v>
      </c>
      <c r="C181" s="2" t="s">
        <v>4274</v>
      </c>
      <c r="D181" s="11" t="n">
        <v>16719</v>
      </c>
      <c r="E181" s="31" t="n">
        <v>49.5</v>
      </c>
      <c r="F181" s="2"/>
      <c r="G181" s="2"/>
      <c r="H181" s="2" t="s">
        <v>832</v>
      </c>
    </row>
    <row r="182" customFormat="false" ht="15" hidden="false" customHeight="false" outlineLevel="0" collapsed="false">
      <c r="A182" s="2" t="s">
        <v>2903</v>
      </c>
      <c r="B182" s="2" t="s">
        <v>45</v>
      </c>
      <c r="C182" s="2" t="s">
        <v>4275</v>
      </c>
      <c r="D182" s="11" t="n">
        <v>17919</v>
      </c>
      <c r="E182" s="31" t="n">
        <v>15.9</v>
      </c>
      <c r="F182" s="31" t="n">
        <v>86.3</v>
      </c>
      <c r="G182" s="2"/>
      <c r="H182" s="2" t="s">
        <v>832</v>
      </c>
    </row>
    <row r="183" customFormat="false" ht="15" hidden="false" customHeight="false" outlineLevel="0" collapsed="false">
      <c r="A183" s="2" t="s">
        <v>2903</v>
      </c>
      <c r="B183" s="2" t="s">
        <v>47</v>
      </c>
      <c r="C183" s="2" t="s">
        <v>4274</v>
      </c>
      <c r="D183" s="11" t="n">
        <v>302200</v>
      </c>
      <c r="E183" s="31" t="n">
        <v>95.8</v>
      </c>
      <c r="F183" s="31" t="n">
        <v>60.5</v>
      </c>
      <c r="G183" s="31" t="n">
        <v>67.4</v>
      </c>
      <c r="H183" s="2" t="s">
        <v>822</v>
      </c>
    </row>
    <row r="184" customFormat="false" ht="15" hidden="false" customHeight="false" outlineLevel="0" collapsed="false">
      <c r="A184" s="2" t="s">
        <v>2903</v>
      </c>
      <c r="B184" s="2" t="s">
        <v>47</v>
      </c>
      <c r="C184" s="2" t="s">
        <v>4275</v>
      </c>
      <c r="D184" s="2"/>
      <c r="E184" s="2"/>
      <c r="F184" s="2"/>
      <c r="G184" s="2"/>
      <c r="H184" s="2" t="s">
        <v>832</v>
      </c>
    </row>
    <row r="185" customFormat="false" ht="15" hidden="false" customHeight="false" outlineLevel="0" collapsed="false">
      <c r="A185" s="2" t="s">
        <v>614</v>
      </c>
      <c r="B185" s="2" t="s">
        <v>4291</v>
      </c>
      <c r="C185" s="2" t="s">
        <v>4274</v>
      </c>
      <c r="D185" s="2"/>
      <c r="E185" s="31" t="n">
        <v>47.4</v>
      </c>
      <c r="F185" s="31" t="n">
        <v>63.2</v>
      </c>
      <c r="G185" s="31" t="n">
        <v>80.1</v>
      </c>
      <c r="H185" s="2" t="s">
        <v>822</v>
      </c>
    </row>
    <row r="186" customFormat="false" ht="15" hidden="false" customHeight="false" outlineLevel="0" collapsed="false">
      <c r="A186" s="2" t="s">
        <v>614</v>
      </c>
      <c r="B186" s="2" t="s">
        <v>4291</v>
      </c>
      <c r="C186" s="2" t="s">
        <v>4275</v>
      </c>
      <c r="D186" s="2"/>
      <c r="E186" s="31" t="n">
        <v>38.1</v>
      </c>
      <c r="F186" s="31" t="n">
        <v>58.5</v>
      </c>
      <c r="G186" s="31" t="n">
        <v>55</v>
      </c>
      <c r="H186" s="2" t="s">
        <v>822</v>
      </c>
    </row>
    <row r="187" customFormat="false" ht="15" hidden="false" customHeight="false" outlineLevel="0" collapsed="false">
      <c r="A187" s="2" t="s">
        <v>614</v>
      </c>
      <c r="B187" s="2" t="s">
        <v>46</v>
      </c>
      <c r="C187" s="2" t="s">
        <v>4274</v>
      </c>
      <c r="D187" s="11" t="n">
        <v>8570</v>
      </c>
      <c r="E187" s="31" t="n">
        <v>47.4</v>
      </c>
      <c r="F187" s="31" t="n">
        <v>63.2</v>
      </c>
      <c r="G187" s="31" t="n">
        <v>80.1</v>
      </c>
      <c r="H187" s="2" t="s">
        <v>822</v>
      </c>
    </row>
    <row r="188" customFormat="false" ht="15" hidden="false" customHeight="false" outlineLevel="0" collapsed="false">
      <c r="A188" s="2" t="s">
        <v>614</v>
      </c>
      <c r="B188" s="2" t="s">
        <v>46</v>
      </c>
      <c r="C188" s="2" t="s">
        <v>4275</v>
      </c>
      <c r="D188" s="11" t="n">
        <v>9120</v>
      </c>
      <c r="E188" s="31" t="n">
        <v>38.1</v>
      </c>
      <c r="F188" s="31" t="n">
        <v>58.5</v>
      </c>
      <c r="G188" s="31" t="n">
        <v>55</v>
      </c>
      <c r="H188" s="2" t="s">
        <v>822</v>
      </c>
    </row>
    <row r="189" customFormat="false" ht="15" hidden="false" customHeight="false" outlineLevel="0" collapsed="false">
      <c r="A189" s="2" t="s">
        <v>728</v>
      </c>
      <c r="B189" s="2" t="s">
        <v>4291</v>
      </c>
      <c r="C189" s="2" t="s">
        <v>4274</v>
      </c>
      <c r="D189" s="2"/>
      <c r="E189" s="31" t="n">
        <v>9.5</v>
      </c>
      <c r="F189" s="2"/>
      <c r="G189" s="31" t="n">
        <v>4.6</v>
      </c>
      <c r="H189" s="2" t="s">
        <v>832</v>
      </c>
    </row>
    <row r="190" customFormat="false" ht="15" hidden="false" customHeight="false" outlineLevel="0" collapsed="false">
      <c r="A190" s="2" t="s">
        <v>728</v>
      </c>
      <c r="B190" s="2" t="s">
        <v>4291</v>
      </c>
      <c r="C190" s="2" t="s">
        <v>4275</v>
      </c>
      <c r="D190" s="2"/>
      <c r="E190" s="31" t="n">
        <v>25.2</v>
      </c>
      <c r="F190" s="31" t="n">
        <v>45.6</v>
      </c>
      <c r="G190" s="31" t="n">
        <v>25</v>
      </c>
      <c r="H190" s="2" t="s">
        <v>822</v>
      </c>
    </row>
    <row r="191" customFormat="false" ht="15" hidden="false" customHeight="false" outlineLevel="0" collapsed="false">
      <c r="A191" s="2" t="s">
        <v>728</v>
      </c>
      <c r="B191" s="2" t="s">
        <v>45</v>
      </c>
      <c r="C191" s="2" t="s">
        <v>4274</v>
      </c>
      <c r="D191" s="11" t="n">
        <v>12980</v>
      </c>
      <c r="E191" s="31" t="n">
        <v>9.5</v>
      </c>
      <c r="F191" s="2"/>
      <c r="G191" s="31" t="n">
        <v>0.9</v>
      </c>
      <c r="H191" s="2" t="s">
        <v>832</v>
      </c>
    </row>
    <row r="192" customFormat="false" ht="15" hidden="false" customHeight="false" outlineLevel="0" collapsed="false">
      <c r="A192" s="2" t="s">
        <v>728</v>
      </c>
      <c r="B192" s="2" t="s">
        <v>45</v>
      </c>
      <c r="C192" s="2" t="s">
        <v>4275</v>
      </c>
      <c r="D192" s="11" t="n">
        <v>12800</v>
      </c>
      <c r="E192" s="31" t="n">
        <v>9.3</v>
      </c>
      <c r="F192" s="31" t="n">
        <v>2.7</v>
      </c>
      <c r="G192" s="31" t="n">
        <v>1.3</v>
      </c>
      <c r="H192" s="2" t="s">
        <v>822</v>
      </c>
    </row>
    <row r="193" customFormat="false" ht="15" hidden="false" customHeight="false" outlineLevel="0" collapsed="false">
      <c r="A193" s="2" t="s">
        <v>728</v>
      </c>
      <c r="B193" s="2" t="s">
        <v>47</v>
      </c>
      <c r="C193" s="2" t="s">
        <v>4274</v>
      </c>
      <c r="D193" s="2"/>
      <c r="E193" s="2"/>
      <c r="F193" s="2"/>
      <c r="G193" s="31" t="n">
        <v>8.3</v>
      </c>
      <c r="H193" s="2" t="s">
        <v>832</v>
      </c>
    </row>
    <row r="194" customFormat="false" ht="15" hidden="false" customHeight="false" outlineLevel="0" collapsed="false">
      <c r="A194" s="2" t="s">
        <v>728</v>
      </c>
      <c r="B194" s="2" t="s">
        <v>47</v>
      </c>
      <c r="C194" s="2" t="s">
        <v>4275</v>
      </c>
      <c r="D194" s="11" t="n">
        <v>47823</v>
      </c>
      <c r="E194" s="31" t="n">
        <v>41.1</v>
      </c>
      <c r="F194" s="31" t="n">
        <v>88.6</v>
      </c>
      <c r="G194" s="31" t="n">
        <v>48.6</v>
      </c>
      <c r="H194" s="2" t="s">
        <v>822</v>
      </c>
    </row>
    <row r="195" customFormat="false" ht="15" hidden="false" customHeight="false" outlineLevel="0" collapsed="false">
      <c r="A195" s="2" t="s">
        <v>566</v>
      </c>
      <c r="B195" s="2" t="s">
        <v>4291</v>
      </c>
      <c r="C195" s="2" t="s">
        <v>4275</v>
      </c>
      <c r="D195" s="2"/>
      <c r="E195" s="31" t="n">
        <v>42.6</v>
      </c>
      <c r="F195" s="31" t="n">
        <v>70.4</v>
      </c>
      <c r="G195" s="31" t="n">
        <v>50.3</v>
      </c>
      <c r="H195" s="2" t="s">
        <v>822</v>
      </c>
    </row>
    <row r="196" customFormat="false" ht="15" hidden="false" customHeight="false" outlineLevel="0" collapsed="false">
      <c r="A196" s="2" t="s">
        <v>566</v>
      </c>
      <c r="B196" s="2" t="s">
        <v>45</v>
      </c>
      <c r="C196" s="2" t="s">
        <v>4275</v>
      </c>
      <c r="D196" s="11" t="n">
        <v>14840</v>
      </c>
      <c r="E196" s="31" t="n">
        <v>70.7</v>
      </c>
      <c r="F196" s="31" t="n">
        <v>40.5</v>
      </c>
      <c r="G196" s="31" t="n">
        <v>79.5</v>
      </c>
      <c r="H196" s="2" t="s">
        <v>822</v>
      </c>
    </row>
    <row r="197" customFormat="false" ht="15" hidden="false" customHeight="false" outlineLevel="0" collapsed="false">
      <c r="A197" s="2" t="s">
        <v>566</v>
      </c>
      <c r="B197" s="2" t="s">
        <v>46</v>
      </c>
      <c r="C197" s="2" t="s">
        <v>4275</v>
      </c>
      <c r="D197" s="11" t="n">
        <v>2795520</v>
      </c>
      <c r="E197" s="31" t="n">
        <v>17.5</v>
      </c>
      <c r="F197" s="31" t="n">
        <v>83.3</v>
      </c>
      <c r="G197" s="31" t="n">
        <v>4.6</v>
      </c>
      <c r="H197" s="2" t="s">
        <v>822</v>
      </c>
    </row>
    <row r="198" customFormat="false" ht="15" hidden="false" customHeight="false" outlineLevel="0" collapsed="false">
      <c r="A198" s="2" t="s">
        <v>566</v>
      </c>
      <c r="B198" s="2" t="s">
        <v>47</v>
      </c>
      <c r="C198" s="2" t="s">
        <v>4275</v>
      </c>
      <c r="D198" s="11" t="n">
        <v>78610</v>
      </c>
      <c r="E198" s="31" t="n">
        <v>39.7</v>
      </c>
      <c r="F198" s="31" t="n">
        <v>87.3</v>
      </c>
      <c r="G198" s="31" t="n">
        <v>66.7</v>
      </c>
      <c r="H198" s="2" t="s">
        <v>822</v>
      </c>
    </row>
    <row r="199" customFormat="false" ht="15" hidden="false" customHeight="false" outlineLevel="0" collapsed="false">
      <c r="A199" s="2" t="s">
        <v>1079</v>
      </c>
      <c r="B199" s="2" t="s">
        <v>4291</v>
      </c>
      <c r="C199" s="2" t="s">
        <v>4274</v>
      </c>
      <c r="D199" s="2"/>
      <c r="E199" s="31" t="n">
        <v>45.5</v>
      </c>
      <c r="F199" s="31" t="n">
        <v>31.1</v>
      </c>
      <c r="G199" s="31" t="n">
        <v>73.3</v>
      </c>
      <c r="H199" s="2" t="s">
        <v>822</v>
      </c>
    </row>
    <row r="200" customFormat="false" ht="15" hidden="false" customHeight="false" outlineLevel="0" collapsed="false">
      <c r="A200" s="2" t="s">
        <v>1079</v>
      </c>
      <c r="B200" s="2" t="s">
        <v>4291</v>
      </c>
      <c r="C200" s="2" t="s">
        <v>4275</v>
      </c>
      <c r="D200" s="2"/>
      <c r="E200" s="31" t="n">
        <v>41.8</v>
      </c>
      <c r="F200" s="31" t="n">
        <v>51.6</v>
      </c>
      <c r="G200" s="31" t="n">
        <v>75.4</v>
      </c>
      <c r="H200" s="2" t="s">
        <v>832</v>
      </c>
    </row>
    <row r="201" customFormat="false" ht="15" hidden="false" customHeight="false" outlineLevel="0" collapsed="false">
      <c r="A201" s="2" t="s">
        <v>1079</v>
      </c>
      <c r="B201" s="2" t="s">
        <v>45</v>
      </c>
      <c r="C201" s="2" t="s">
        <v>4274</v>
      </c>
      <c r="D201" s="11" t="n">
        <v>27760</v>
      </c>
      <c r="E201" s="31" t="n">
        <v>89.6</v>
      </c>
      <c r="F201" s="31" t="n">
        <v>24.8</v>
      </c>
      <c r="G201" s="31" t="n">
        <v>99.8</v>
      </c>
      <c r="H201" s="2" t="s">
        <v>822</v>
      </c>
    </row>
    <row r="202" customFormat="false" ht="15" hidden="false" customHeight="false" outlineLevel="0" collapsed="false">
      <c r="A202" s="2" t="s">
        <v>1079</v>
      </c>
      <c r="B202" s="2" t="s">
        <v>45</v>
      </c>
      <c r="C202" s="2" t="s">
        <v>4275</v>
      </c>
      <c r="D202" s="11" t="n">
        <v>29470</v>
      </c>
      <c r="E202" s="31" t="n">
        <v>69.4</v>
      </c>
      <c r="F202" s="31" t="n">
        <v>51.5</v>
      </c>
      <c r="G202" s="31" t="n">
        <v>95.1</v>
      </c>
      <c r="H202" s="2" t="s">
        <v>822</v>
      </c>
    </row>
    <row r="203" customFormat="false" ht="15" hidden="false" customHeight="false" outlineLevel="0" collapsed="false">
      <c r="A203" s="2" t="s">
        <v>1079</v>
      </c>
      <c r="B203" s="2" t="s">
        <v>46</v>
      </c>
      <c r="C203" s="2" t="s">
        <v>4274</v>
      </c>
      <c r="D203" s="11" t="n">
        <v>416033</v>
      </c>
      <c r="E203" s="31" t="n">
        <v>32.5</v>
      </c>
      <c r="F203" s="31" t="n">
        <v>12.2</v>
      </c>
      <c r="G203" s="31" t="n">
        <v>79.5</v>
      </c>
      <c r="H203" s="2" t="s">
        <v>822</v>
      </c>
    </row>
    <row r="204" customFormat="false" ht="15" hidden="false" customHeight="false" outlineLevel="0" collapsed="false">
      <c r="A204" s="2" t="s">
        <v>1079</v>
      </c>
      <c r="B204" s="2" t="s">
        <v>46</v>
      </c>
      <c r="C204" s="2" t="s">
        <v>4275</v>
      </c>
      <c r="D204" s="2"/>
      <c r="E204" s="2"/>
      <c r="F204" s="2"/>
      <c r="G204" s="2"/>
      <c r="H204" s="2" t="s">
        <v>832</v>
      </c>
    </row>
    <row r="205" customFormat="false" ht="15" hidden="false" customHeight="false" outlineLevel="0" collapsed="false">
      <c r="A205" s="2" t="s">
        <v>1079</v>
      </c>
      <c r="B205" s="2" t="s">
        <v>47</v>
      </c>
      <c r="C205" s="2" t="s">
        <v>4274</v>
      </c>
      <c r="D205" s="11" t="n">
        <v>17855</v>
      </c>
      <c r="E205" s="31" t="n">
        <v>14.5</v>
      </c>
      <c r="F205" s="31" t="n">
        <v>56.2</v>
      </c>
      <c r="G205" s="31" t="n">
        <v>40.7</v>
      </c>
      <c r="H205" s="2" t="s">
        <v>822</v>
      </c>
    </row>
    <row r="206" customFormat="false" ht="15" hidden="false" customHeight="false" outlineLevel="0" collapsed="false">
      <c r="A206" s="2" t="s">
        <v>1079</v>
      </c>
      <c r="B206" s="2" t="s">
        <v>47</v>
      </c>
      <c r="C206" s="2" t="s">
        <v>4275</v>
      </c>
      <c r="D206" s="11" t="n">
        <v>18430</v>
      </c>
      <c r="E206" s="31" t="n">
        <v>14.3</v>
      </c>
      <c r="F206" s="31" t="n">
        <v>51.6</v>
      </c>
      <c r="G206" s="31" t="n">
        <v>55.6</v>
      </c>
      <c r="H206" s="2" t="s">
        <v>822</v>
      </c>
    </row>
    <row r="207" customFormat="false" ht="15" hidden="false" customHeight="false" outlineLevel="0" collapsed="false">
      <c r="A207" s="2" t="s">
        <v>2907</v>
      </c>
      <c r="B207" s="2" t="s">
        <v>4291</v>
      </c>
      <c r="C207" s="2" t="s">
        <v>4275</v>
      </c>
      <c r="D207" s="2"/>
      <c r="E207" s="31" t="n">
        <v>61.5</v>
      </c>
      <c r="F207" s="31" t="n">
        <v>28.3</v>
      </c>
      <c r="G207" s="2"/>
      <c r="H207" s="2" t="s">
        <v>832</v>
      </c>
    </row>
    <row r="208" customFormat="false" ht="15" hidden="false" customHeight="false" outlineLevel="0" collapsed="false">
      <c r="A208" s="2" t="s">
        <v>2907</v>
      </c>
      <c r="B208" s="2" t="s">
        <v>46</v>
      </c>
      <c r="C208" s="2" t="s">
        <v>4275</v>
      </c>
      <c r="D208" s="11" t="n">
        <v>8560</v>
      </c>
      <c r="E208" s="31" t="n">
        <v>61.5</v>
      </c>
      <c r="F208" s="31" t="n">
        <v>28.3</v>
      </c>
      <c r="G208" s="2"/>
      <c r="H208" s="2" t="s">
        <v>832</v>
      </c>
    </row>
    <row r="209" customFormat="false" ht="15" hidden="false" customHeight="false" outlineLevel="0" collapsed="false">
      <c r="A209" s="2" t="s">
        <v>564</v>
      </c>
      <c r="B209" s="2" t="s">
        <v>4291</v>
      </c>
      <c r="C209" s="2" t="s">
        <v>4274</v>
      </c>
      <c r="D209" s="2"/>
      <c r="E209" s="31" t="n">
        <v>14.2</v>
      </c>
      <c r="F209" s="31" t="n">
        <v>97.8</v>
      </c>
      <c r="G209" s="31" t="n">
        <v>44.4</v>
      </c>
      <c r="H209" s="2" t="s">
        <v>832</v>
      </c>
    </row>
    <row r="210" customFormat="false" ht="15" hidden="false" customHeight="false" outlineLevel="0" collapsed="false">
      <c r="A210" s="2" t="s">
        <v>564</v>
      </c>
      <c r="B210" s="2" t="s">
        <v>4291</v>
      </c>
      <c r="C210" s="2" t="s">
        <v>4275</v>
      </c>
      <c r="D210" s="2"/>
      <c r="E210" s="31" t="n">
        <v>42.6</v>
      </c>
      <c r="F210" s="31" t="n">
        <v>82.2</v>
      </c>
      <c r="G210" s="31" t="n">
        <v>23.2</v>
      </c>
      <c r="H210" s="2" t="s">
        <v>822</v>
      </c>
    </row>
    <row r="211" customFormat="false" ht="15" hidden="false" customHeight="false" outlineLevel="0" collapsed="false">
      <c r="A211" s="2" t="s">
        <v>564</v>
      </c>
      <c r="B211" s="2" t="s">
        <v>45</v>
      </c>
      <c r="C211" s="2" t="s">
        <v>4274</v>
      </c>
      <c r="D211" s="11" t="n">
        <v>2450</v>
      </c>
      <c r="E211" s="31" t="n">
        <v>22</v>
      </c>
      <c r="F211" s="2"/>
      <c r="G211" s="31" t="n">
        <v>73.2</v>
      </c>
      <c r="H211" s="2" t="s">
        <v>832</v>
      </c>
    </row>
    <row r="212" customFormat="false" ht="15" hidden="false" customHeight="false" outlineLevel="0" collapsed="false">
      <c r="A212" s="2" t="s">
        <v>564</v>
      </c>
      <c r="B212" s="2" t="s">
        <v>45</v>
      </c>
      <c r="C212" s="2" t="s">
        <v>4275</v>
      </c>
      <c r="D212" s="11" t="n">
        <v>2440</v>
      </c>
      <c r="E212" s="31" t="n">
        <v>49.7</v>
      </c>
      <c r="F212" s="31" t="n">
        <v>63.4</v>
      </c>
      <c r="G212" s="31" t="n">
        <v>58</v>
      </c>
      <c r="H212" s="2" t="s">
        <v>822</v>
      </c>
    </row>
    <row r="213" customFormat="false" ht="15" hidden="false" customHeight="false" outlineLevel="0" collapsed="false">
      <c r="A213" s="2" t="s">
        <v>564</v>
      </c>
      <c r="B213" s="2" t="s">
        <v>46</v>
      </c>
      <c r="C213" s="2" t="s">
        <v>4274</v>
      </c>
      <c r="D213" s="11" t="n">
        <v>34242</v>
      </c>
      <c r="E213" s="31" t="n">
        <v>6.3</v>
      </c>
      <c r="F213" s="31" t="n">
        <v>97.8</v>
      </c>
      <c r="G213" s="31" t="n">
        <v>15.5</v>
      </c>
      <c r="H213" s="2" t="s">
        <v>822</v>
      </c>
    </row>
    <row r="214" customFormat="false" ht="15" hidden="false" customHeight="false" outlineLevel="0" collapsed="false">
      <c r="A214" s="2" t="s">
        <v>564</v>
      </c>
      <c r="B214" s="2" t="s">
        <v>46</v>
      </c>
      <c r="C214" s="2" t="s">
        <v>4275</v>
      </c>
      <c r="D214" s="11" t="n">
        <v>36680</v>
      </c>
      <c r="E214" s="31" t="n">
        <v>16.7</v>
      </c>
      <c r="F214" s="31" t="n">
        <v>91.6</v>
      </c>
      <c r="G214" s="31" t="n">
        <v>10.6</v>
      </c>
      <c r="H214" s="2" t="s">
        <v>822</v>
      </c>
    </row>
    <row r="215" customFormat="false" ht="15" hidden="false" customHeight="false" outlineLevel="0" collapsed="false">
      <c r="A215" s="2" t="s">
        <v>564</v>
      </c>
      <c r="B215" s="2" t="s">
        <v>47</v>
      </c>
      <c r="C215" s="2" t="s">
        <v>4274</v>
      </c>
      <c r="D215" s="2"/>
      <c r="E215" s="2"/>
      <c r="F215" s="2"/>
      <c r="G215" s="2"/>
      <c r="H215" s="2" t="s">
        <v>832</v>
      </c>
    </row>
    <row r="216" customFormat="false" ht="15" hidden="false" customHeight="false" outlineLevel="0" collapsed="false">
      <c r="A216" s="2" t="s">
        <v>564</v>
      </c>
      <c r="B216" s="2" t="s">
        <v>47</v>
      </c>
      <c r="C216" s="2" t="s">
        <v>4275</v>
      </c>
      <c r="D216" s="11" t="n">
        <v>93291</v>
      </c>
      <c r="E216" s="31" t="n">
        <v>61.4</v>
      </c>
      <c r="F216" s="31" t="n">
        <v>91.6</v>
      </c>
      <c r="G216" s="31" t="n">
        <v>0.9</v>
      </c>
      <c r="H216" s="2" t="s">
        <v>822</v>
      </c>
    </row>
    <row r="217" customFormat="false" ht="15" hidden="false" customHeight="false" outlineLevel="0" collapsed="false">
      <c r="A217" s="2" t="s">
        <v>2029</v>
      </c>
      <c r="B217" s="2" t="s">
        <v>4291</v>
      </c>
      <c r="C217" s="2" t="s">
        <v>4274</v>
      </c>
      <c r="D217" s="2"/>
      <c r="E217" s="31" t="n">
        <v>28.7</v>
      </c>
      <c r="F217" s="31" t="n">
        <v>55.8</v>
      </c>
      <c r="G217" s="31" t="n">
        <v>40.3</v>
      </c>
      <c r="H217" s="2" t="s">
        <v>822</v>
      </c>
    </row>
    <row r="218" customFormat="false" ht="15" hidden="false" customHeight="false" outlineLevel="0" collapsed="false">
      <c r="A218" s="2" t="s">
        <v>2029</v>
      </c>
      <c r="B218" s="2" t="s">
        <v>4291</v>
      </c>
      <c r="C218" s="2" t="s">
        <v>4275</v>
      </c>
      <c r="D218" s="2"/>
      <c r="E218" s="31" t="n">
        <v>27.9</v>
      </c>
      <c r="F218" s="31" t="n">
        <v>81.2</v>
      </c>
      <c r="G218" s="31" t="n">
        <v>42.9</v>
      </c>
      <c r="H218" s="2" t="s">
        <v>832</v>
      </c>
    </row>
    <row r="219" customFormat="false" ht="15" hidden="false" customHeight="false" outlineLevel="0" collapsed="false">
      <c r="A219" s="2" t="s">
        <v>2029</v>
      </c>
      <c r="B219" s="2" t="s">
        <v>45</v>
      </c>
      <c r="C219" s="2" t="s">
        <v>4274</v>
      </c>
      <c r="D219" s="11" t="n">
        <v>10460</v>
      </c>
      <c r="E219" s="31" t="n">
        <v>26.6</v>
      </c>
      <c r="F219" s="31" t="n">
        <v>35</v>
      </c>
      <c r="G219" s="31" t="n">
        <v>44.4</v>
      </c>
      <c r="H219" s="2" t="s">
        <v>822</v>
      </c>
    </row>
    <row r="220" customFormat="false" ht="15" hidden="false" customHeight="false" outlineLevel="0" collapsed="false">
      <c r="A220" s="2" t="s">
        <v>2029</v>
      </c>
      <c r="B220" s="2" t="s">
        <v>45</v>
      </c>
      <c r="C220" s="2" t="s">
        <v>4275</v>
      </c>
      <c r="D220" s="11" t="n">
        <v>10600</v>
      </c>
      <c r="E220" s="31" t="n">
        <v>28.2</v>
      </c>
      <c r="F220" s="2"/>
      <c r="G220" s="31" t="n">
        <v>13.8</v>
      </c>
      <c r="H220" s="2" t="s">
        <v>832</v>
      </c>
    </row>
    <row r="221" customFormat="false" ht="15" hidden="false" customHeight="false" outlineLevel="0" collapsed="false">
      <c r="A221" s="2" t="s">
        <v>2029</v>
      </c>
      <c r="B221" s="2" t="s">
        <v>46</v>
      </c>
      <c r="C221" s="2" t="s">
        <v>4274</v>
      </c>
      <c r="D221" s="11" t="n">
        <v>81163</v>
      </c>
      <c r="E221" s="31" t="n">
        <v>22.3</v>
      </c>
      <c r="F221" s="31" t="n">
        <v>35.6</v>
      </c>
      <c r="G221" s="31" t="n">
        <v>28.1</v>
      </c>
      <c r="H221" s="2" t="s">
        <v>822</v>
      </c>
    </row>
    <row r="222" customFormat="false" ht="15" hidden="false" customHeight="false" outlineLevel="0" collapsed="false">
      <c r="A222" s="2" t="s">
        <v>2029</v>
      </c>
      <c r="B222" s="2" t="s">
        <v>46</v>
      </c>
      <c r="C222" s="2" t="s">
        <v>4275</v>
      </c>
      <c r="D222" s="11" t="n">
        <v>79553</v>
      </c>
      <c r="E222" s="31" t="n">
        <v>29.1</v>
      </c>
      <c r="F222" s="31" t="n">
        <v>65.5</v>
      </c>
      <c r="G222" s="31" t="n">
        <v>62.3</v>
      </c>
      <c r="H222" s="2" t="s">
        <v>822</v>
      </c>
    </row>
    <row r="223" customFormat="false" ht="15" hidden="false" customHeight="false" outlineLevel="0" collapsed="false">
      <c r="A223" s="2" t="s">
        <v>2029</v>
      </c>
      <c r="B223" s="2" t="s">
        <v>47</v>
      </c>
      <c r="C223" s="2" t="s">
        <v>4274</v>
      </c>
      <c r="D223" s="11" t="n">
        <v>22624</v>
      </c>
      <c r="E223" s="31" t="n">
        <v>37.2</v>
      </c>
      <c r="F223" s="31" t="n">
        <v>96.7</v>
      </c>
      <c r="G223" s="31" t="n">
        <v>48.3</v>
      </c>
      <c r="H223" s="2" t="s">
        <v>822</v>
      </c>
    </row>
    <row r="224" customFormat="false" ht="15" hidden="false" customHeight="false" outlineLevel="0" collapsed="false">
      <c r="A224" s="2" t="s">
        <v>2029</v>
      </c>
      <c r="B224" s="2" t="s">
        <v>47</v>
      </c>
      <c r="C224" s="2" t="s">
        <v>4275</v>
      </c>
      <c r="D224" s="11" t="n">
        <v>24492</v>
      </c>
      <c r="E224" s="31" t="n">
        <v>26.3</v>
      </c>
      <c r="F224" s="31" t="n">
        <v>96.8</v>
      </c>
      <c r="G224" s="31" t="n">
        <v>52.5</v>
      </c>
      <c r="H224" s="2" t="s">
        <v>822</v>
      </c>
    </row>
    <row r="225" customFormat="false" ht="15" hidden="false" customHeight="false" outlineLevel="0" collapsed="false">
      <c r="A225" s="2" t="s">
        <v>776</v>
      </c>
      <c r="B225" s="2" t="s">
        <v>4291</v>
      </c>
      <c r="C225" s="2" t="s">
        <v>4274</v>
      </c>
      <c r="D225" s="2"/>
      <c r="E225" s="31" t="n">
        <v>23.9</v>
      </c>
      <c r="F225" s="31" t="n">
        <v>36.3</v>
      </c>
      <c r="G225" s="31" t="n">
        <v>64.3</v>
      </c>
      <c r="H225" s="2" t="s">
        <v>822</v>
      </c>
    </row>
    <row r="226" customFormat="false" ht="15" hidden="false" customHeight="false" outlineLevel="0" collapsed="false">
      <c r="A226" s="2" t="s">
        <v>776</v>
      </c>
      <c r="B226" s="2" t="s">
        <v>4291</v>
      </c>
      <c r="C226" s="2" t="s">
        <v>4275</v>
      </c>
      <c r="D226" s="2"/>
      <c r="E226" s="31" t="n">
        <v>16.8</v>
      </c>
      <c r="F226" s="31" t="n">
        <v>34.3</v>
      </c>
      <c r="G226" s="31" t="n">
        <v>59.5</v>
      </c>
      <c r="H226" s="2" t="s">
        <v>822</v>
      </c>
    </row>
    <row r="227" customFormat="false" ht="15" hidden="false" customHeight="false" outlineLevel="0" collapsed="false">
      <c r="A227" s="2" t="s">
        <v>776</v>
      </c>
      <c r="B227" s="2" t="s">
        <v>45</v>
      </c>
      <c r="C227" s="2" t="s">
        <v>4274</v>
      </c>
      <c r="D227" s="11" t="n">
        <v>89513</v>
      </c>
      <c r="E227" s="31" t="n">
        <v>14.9</v>
      </c>
      <c r="F227" s="31" t="n">
        <v>12</v>
      </c>
      <c r="G227" s="31" t="n">
        <v>31.2</v>
      </c>
      <c r="H227" s="2" t="s">
        <v>822</v>
      </c>
    </row>
    <row r="228" customFormat="false" ht="15" hidden="false" customHeight="false" outlineLevel="0" collapsed="false">
      <c r="A228" s="2" t="s">
        <v>776</v>
      </c>
      <c r="B228" s="2" t="s">
        <v>45</v>
      </c>
      <c r="C228" s="2" t="s">
        <v>4275</v>
      </c>
      <c r="D228" s="11" t="n">
        <v>89620</v>
      </c>
      <c r="E228" s="31" t="n">
        <v>17</v>
      </c>
      <c r="F228" s="31" t="n">
        <v>8.2</v>
      </c>
      <c r="G228" s="31" t="n">
        <v>37.3</v>
      </c>
      <c r="H228" s="2" t="s">
        <v>822</v>
      </c>
    </row>
    <row r="229" customFormat="false" ht="15" hidden="false" customHeight="false" outlineLevel="0" collapsed="false">
      <c r="A229" s="2" t="s">
        <v>776</v>
      </c>
      <c r="B229" s="2" t="s">
        <v>46</v>
      </c>
      <c r="C229" s="2" t="s">
        <v>4274</v>
      </c>
      <c r="D229" s="11" t="n">
        <v>24730</v>
      </c>
      <c r="E229" s="31" t="n">
        <v>9.6</v>
      </c>
      <c r="F229" s="31" t="n">
        <v>91.4</v>
      </c>
      <c r="G229" s="31" t="n">
        <v>66.7</v>
      </c>
      <c r="H229" s="2" t="s">
        <v>822</v>
      </c>
    </row>
    <row r="230" customFormat="false" ht="15" hidden="false" customHeight="false" outlineLevel="0" collapsed="false">
      <c r="A230" s="2" t="s">
        <v>776</v>
      </c>
      <c r="B230" s="2" t="s">
        <v>46</v>
      </c>
      <c r="C230" s="2" t="s">
        <v>4275</v>
      </c>
      <c r="D230" s="11" t="n">
        <v>26000</v>
      </c>
      <c r="E230" s="31" t="n">
        <v>10</v>
      </c>
      <c r="F230" s="31" t="n">
        <v>79.6</v>
      </c>
      <c r="G230" s="31" t="n">
        <v>54.3</v>
      </c>
      <c r="H230" s="2" t="s">
        <v>822</v>
      </c>
    </row>
    <row r="231" customFormat="false" ht="15" hidden="false" customHeight="false" outlineLevel="0" collapsed="false">
      <c r="A231" s="2" t="s">
        <v>776</v>
      </c>
      <c r="B231" s="2" t="s">
        <v>47</v>
      </c>
      <c r="C231" s="2" t="s">
        <v>4274</v>
      </c>
      <c r="D231" s="11" t="n">
        <v>5801</v>
      </c>
      <c r="E231" s="31" t="n">
        <v>47.1</v>
      </c>
      <c r="F231" s="31" t="n">
        <v>5.6</v>
      </c>
      <c r="G231" s="31" t="n">
        <v>95.1</v>
      </c>
      <c r="H231" s="2" t="s">
        <v>822</v>
      </c>
    </row>
    <row r="232" customFormat="false" ht="15" hidden="false" customHeight="false" outlineLevel="0" collapsed="false">
      <c r="A232" s="2" t="s">
        <v>776</v>
      </c>
      <c r="B232" s="2" t="s">
        <v>47</v>
      </c>
      <c r="C232" s="2" t="s">
        <v>4275</v>
      </c>
      <c r="D232" s="11" t="n">
        <v>5849</v>
      </c>
      <c r="E232" s="31" t="n">
        <v>23.5</v>
      </c>
      <c r="F232" s="31" t="n">
        <v>15</v>
      </c>
      <c r="G232" s="31" t="n">
        <v>86.9</v>
      </c>
      <c r="H232" s="2" t="s">
        <v>822</v>
      </c>
    </row>
    <row r="233" customFormat="false" ht="15" hidden="false" customHeight="false" outlineLevel="0" collapsed="false">
      <c r="A233" s="2" t="s">
        <v>954</v>
      </c>
      <c r="B233" s="2" t="s">
        <v>4291</v>
      </c>
      <c r="C233" s="2" t="s">
        <v>4274</v>
      </c>
      <c r="D233" s="2"/>
      <c r="E233" s="31" t="n">
        <v>50.4</v>
      </c>
      <c r="F233" s="31" t="n">
        <v>33.7</v>
      </c>
      <c r="G233" s="31" t="n">
        <v>74.7</v>
      </c>
      <c r="H233" s="2" t="s">
        <v>832</v>
      </c>
    </row>
    <row r="234" customFormat="false" ht="15" hidden="false" customHeight="false" outlineLevel="0" collapsed="false">
      <c r="A234" s="2" t="s">
        <v>954</v>
      </c>
      <c r="B234" s="2" t="s">
        <v>4291</v>
      </c>
      <c r="C234" s="2" t="s">
        <v>4275</v>
      </c>
      <c r="D234" s="2"/>
      <c r="E234" s="31" t="n">
        <v>57.5</v>
      </c>
      <c r="F234" s="31" t="n">
        <v>30.4</v>
      </c>
      <c r="G234" s="31" t="n">
        <v>64.8</v>
      </c>
      <c r="H234" s="2" t="s">
        <v>832</v>
      </c>
    </row>
    <row r="235" customFormat="false" ht="15" hidden="false" customHeight="false" outlineLevel="0" collapsed="false">
      <c r="A235" s="2" t="s">
        <v>954</v>
      </c>
      <c r="B235" s="2" t="s">
        <v>45</v>
      </c>
      <c r="C235" s="2" t="s">
        <v>4274</v>
      </c>
      <c r="D235" s="11" t="n">
        <v>100550</v>
      </c>
      <c r="E235" s="31" t="n">
        <v>46.2</v>
      </c>
      <c r="F235" s="31" t="n">
        <v>8.9</v>
      </c>
      <c r="G235" s="31" t="n">
        <v>61.2</v>
      </c>
      <c r="H235" s="2" t="s">
        <v>822</v>
      </c>
    </row>
    <row r="236" customFormat="false" ht="15" hidden="false" customHeight="false" outlineLevel="0" collapsed="false">
      <c r="A236" s="2" t="s">
        <v>954</v>
      </c>
      <c r="B236" s="2" t="s">
        <v>45</v>
      </c>
      <c r="C236" s="2" t="s">
        <v>4275</v>
      </c>
      <c r="D236" s="11" t="n">
        <v>104240</v>
      </c>
      <c r="E236" s="31" t="n">
        <v>84.7</v>
      </c>
      <c r="F236" s="31" t="n">
        <v>15.7</v>
      </c>
      <c r="G236" s="31" t="n">
        <v>64.8</v>
      </c>
      <c r="H236" s="2" t="s">
        <v>822</v>
      </c>
    </row>
    <row r="237" customFormat="false" ht="15" hidden="false" customHeight="false" outlineLevel="0" collapsed="false">
      <c r="A237" s="2" t="s">
        <v>954</v>
      </c>
      <c r="B237" s="2" t="s">
        <v>46</v>
      </c>
      <c r="C237" s="2" t="s">
        <v>4274</v>
      </c>
      <c r="D237" s="11" t="n">
        <v>13290</v>
      </c>
      <c r="E237" s="31" t="n">
        <v>12.7</v>
      </c>
      <c r="F237" s="31" t="n">
        <v>34.1</v>
      </c>
      <c r="G237" s="2"/>
      <c r="H237" s="2" t="s">
        <v>832</v>
      </c>
    </row>
    <row r="238" customFormat="false" ht="15" hidden="false" customHeight="false" outlineLevel="0" collapsed="false">
      <c r="A238" s="2" t="s">
        <v>954</v>
      </c>
      <c r="B238" s="2" t="s">
        <v>46</v>
      </c>
      <c r="C238" s="2" t="s">
        <v>4275</v>
      </c>
      <c r="D238" s="11" t="n">
        <v>13880</v>
      </c>
      <c r="E238" s="31" t="n">
        <v>8.8</v>
      </c>
      <c r="F238" s="31" t="n">
        <v>36.4</v>
      </c>
      <c r="G238" s="2"/>
      <c r="H238" s="2" t="s">
        <v>832</v>
      </c>
    </row>
    <row r="239" customFormat="false" ht="15" hidden="false" customHeight="false" outlineLevel="0" collapsed="false">
      <c r="A239" s="2" t="s">
        <v>954</v>
      </c>
      <c r="B239" s="2" t="s">
        <v>47</v>
      </c>
      <c r="C239" s="2" t="s">
        <v>4274</v>
      </c>
      <c r="D239" s="11" t="n">
        <v>76373</v>
      </c>
      <c r="E239" s="31" t="n">
        <v>92.2</v>
      </c>
      <c r="F239" s="31" t="n">
        <v>58.2</v>
      </c>
      <c r="G239" s="31" t="n">
        <v>88.2</v>
      </c>
      <c r="H239" s="2" t="s">
        <v>822</v>
      </c>
    </row>
    <row r="240" customFormat="false" ht="15" hidden="false" customHeight="false" outlineLevel="0" collapsed="false">
      <c r="A240" s="2" t="s">
        <v>954</v>
      </c>
      <c r="B240" s="2" t="s">
        <v>47</v>
      </c>
      <c r="C240" s="2" t="s">
        <v>4275</v>
      </c>
      <c r="D240" s="11" t="n">
        <v>79290</v>
      </c>
      <c r="E240" s="31" t="n">
        <v>79</v>
      </c>
      <c r="F240" s="31" t="n">
        <v>39</v>
      </c>
      <c r="G240" s="2"/>
      <c r="H240" s="2" t="s">
        <v>832</v>
      </c>
    </row>
    <row r="241" customFormat="false" ht="15" hidden="false" customHeight="false" outlineLevel="0" collapsed="false">
      <c r="A241" s="2" t="s">
        <v>574</v>
      </c>
      <c r="B241" s="2" t="s">
        <v>4291</v>
      </c>
      <c r="C241" s="2" t="s">
        <v>4274</v>
      </c>
      <c r="D241" s="2"/>
      <c r="E241" s="31" t="n">
        <v>34.3</v>
      </c>
      <c r="F241" s="31" t="n">
        <v>47.4</v>
      </c>
      <c r="G241" s="31" t="n">
        <v>72.5</v>
      </c>
      <c r="H241" s="2" t="s">
        <v>832</v>
      </c>
    </row>
    <row r="242" customFormat="false" ht="15" hidden="false" customHeight="false" outlineLevel="0" collapsed="false">
      <c r="A242" s="2" t="s">
        <v>574</v>
      </c>
      <c r="B242" s="2" t="s">
        <v>4291</v>
      </c>
      <c r="C242" s="2" t="s">
        <v>4275</v>
      </c>
      <c r="D242" s="2"/>
      <c r="E242" s="31" t="n">
        <v>41.7</v>
      </c>
      <c r="F242" s="31" t="n">
        <v>58.1</v>
      </c>
      <c r="G242" s="31" t="n">
        <v>60.8</v>
      </c>
      <c r="H242" s="2" t="s">
        <v>822</v>
      </c>
    </row>
    <row r="243" customFormat="false" ht="15" hidden="false" customHeight="false" outlineLevel="0" collapsed="false">
      <c r="A243" s="2" t="s">
        <v>574</v>
      </c>
      <c r="B243" s="2" t="s">
        <v>45</v>
      </c>
      <c r="C243" s="2" t="s">
        <v>4274</v>
      </c>
      <c r="D243" s="2"/>
      <c r="E243" s="2"/>
      <c r="F243" s="2"/>
      <c r="G243" s="31" t="n">
        <v>62.7</v>
      </c>
      <c r="H243" s="2" t="s">
        <v>832</v>
      </c>
    </row>
    <row r="244" customFormat="false" ht="15" hidden="false" customHeight="false" outlineLevel="0" collapsed="false">
      <c r="A244" s="2" t="s">
        <v>574</v>
      </c>
      <c r="B244" s="2" t="s">
        <v>45</v>
      </c>
      <c r="C244" s="2" t="s">
        <v>4275</v>
      </c>
      <c r="D244" s="11" t="n">
        <v>30990</v>
      </c>
      <c r="E244" s="31" t="n">
        <v>78.4</v>
      </c>
      <c r="F244" s="31" t="n">
        <v>94.8</v>
      </c>
      <c r="G244" s="31" t="n">
        <v>13.1</v>
      </c>
      <c r="H244" s="2" t="s">
        <v>822</v>
      </c>
    </row>
    <row r="245" customFormat="false" ht="15" hidden="false" customHeight="false" outlineLevel="0" collapsed="false">
      <c r="A245" s="2" t="s">
        <v>574</v>
      </c>
      <c r="B245" s="2" t="s">
        <v>46</v>
      </c>
      <c r="C245" s="2" t="s">
        <v>4274</v>
      </c>
      <c r="D245" s="11" t="n">
        <v>11190</v>
      </c>
      <c r="E245" s="31" t="n">
        <v>3.9</v>
      </c>
      <c r="F245" s="31" t="n">
        <v>68.2</v>
      </c>
      <c r="G245" s="31" t="n">
        <v>78.3</v>
      </c>
      <c r="H245" s="2" t="s">
        <v>822</v>
      </c>
    </row>
    <row r="246" customFormat="false" ht="15" hidden="false" customHeight="false" outlineLevel="0" collapsed="false">
      <c r="A246" s="2" t="s">
        <v>574</v>
      </c>
      <c r="B246" s="2" t="s">
        <v>46</v>
      </c>
      <c r="C246" s="2" t="s">
        <v>4275</v>
      </c>
      <c r="D246" s="11" t="n">
        <v>11820</v>
      </c>
      <c r="E246" s="31" t="n">
        <v>2.8</v>
      </c>
      <c r="F246" s="31" t="n">
        <v>59.6</v>
      </c>
      <c r="G246" s="31" t="n">
        <v>87.9</v>
      </c>
      <c r="H246" s="2" t="s">
        <v>822</v>
      </c>
    </row>
    <row r="247" customFormat="false" ht="15" hidden="false" customHeight="false" outlineLevel="0" collapsed="false">
      <c r="A247" s="2" t="s">
        <v>574</v>
      </c>
      <c r="B247" s="2" t="s">
        <v>47</v>
      </c>
      <c r="C247" s="2" t="s">
        <v>4274</v>
      </c>
      <c r="D247" s="11" t="n">
        <v>6340</v>
      </c>
      <c r="E247" s="31" t="n">
        <v>64.7</v>
      </c>
      <c r="F247" s="31" t="n">
        <v>26.7</v>
      </c>
      <c r="G247" s="31" t="n">
        <v>76.5</v>
      </c>
      <c r="H247" s="2" t="s">
        <v>822</v>
      </c>
    </row>
    <row r="248" customFormat="false" ht="15" hidden="false" customHeight="false" outlineLevel="0" collapsed="false">
      <c r="A248" s="2" t="s">
        <v>574</v>
      </c>
      <c r="B248" s="2" t="s">
        <v>47</v>
      </c>
      <c r="C248" s="2" t="s">
        <v>4275</v>
      </c>
      <c r="D248" s="11" t="n">
        <v>6330</v>
      </c>
      <c r="E248" s="31" t="n">
        <v>43.9</v>
      </c>
      <c r="F248" s="31" t="n">
        <v>20</v>
      </c>
      <c r="G248" s="31" t="n">
        <v>81.4</v>
      </c>
      <c r="H248" s="2" t="s">
        <v>822</v>
      </c>
    </row>
    <row r="249" customFormat="false" ht="15" hidden="false" customHeight="false" outlineLevel="0" collapsed="false">
      <c r="A249" s="2" t="s">
        <v>1264</v>
      </c>
      <c r="B249" s="2" t="s">
        <v>4291</v>
      </c>
      <c r="C249" s="2" t="s">
        <v>4274</v>
      </c>
      <c r="D249" s="2"/>
      <c r="E249" s="31" t="n">
        <v>57.8</v>
      </c>
      <c r="F249" s="31" t="n">
        <v>20.6</v>
      </c>
      <c r="G249" s="31" t="n">
        <v>88.7</v>
      </c>
      <c r="H249" s="2" t="s">
        <v>832</v>
      </c>
    </row>
    <row r="250" customFormat="false" ht="15" hidden="false" customHeight="false" outlineLevel="0" collapsed="false">
      <c r="A250" s="2" t="s">
        <v>1264</v>
      </c>
      <c r="B250" s="2" t="s">
        <v>4291</v>
      </c>
      <c r="C250" s="2" t="s">
        <v>4275</v>
      </c>
      <c r="D250" s="2"/>
      <c r="E250" s="31" t="n">
        <v>65</v>
      </c>
      <c r="F250" s="31" t="n">
        <v>29.3</v>
      </c>
      <c r="G250" s="31" t="n">
        <v>60.6</v>
      </c>
      <c r="H250" s="2" t="s">
        <v>832</v>
      </c>
    </row>
    <row r="251" customFormat="false" ht="15" hidden="false" customHeight="false" outlineLevel="0" collapsed="false">
      <c r="A251" s="2" t="s">
        <v>1264</v>
      </c>
      <c r="B251" s="2" t="s">
        <v>45</v>
      </c>
      <c r="C251" s="2" t="s">
        <v>4274</v>
      </c>
      <c r="D251" s="2"/>
      <c r="E251" s="2"/>
      <c r="F251" s="2"/>
      <c r="G251" s="2"/>
      <c r="H251" s="2" t="s">
        <v>832</v>
      </c>
    </row>
    <row r="252" customFormat="false" ht="15" hidden="false" customHeight="false" outlineLevel="0" collapsed="false">
      <c r="A252" s="2" t="s">
        <v>1264</v>
      </c>
      <c r="B252" s="2" t="s">
        <v>45</v>
      </c>
      <c r="C252" s="2" t="s">
        <v>4275</v>
      </c>
      <c r="D252" s="11" t="n">
        <v>203770</v>
      </c>
      <c r="E252" s="31" t="n">
        <v>45.4</v>
      </c>
      <c r="F252" s="31" t="n">
        <v>29.3</v>
      </c>
      <c r="G252" s="31" t="n">
        <v>69.2</v>
      </c>
      <c r="H252" s="2" t="s">
        <v>822</v>
      </c>
    </row>
    <row r="253" customFormat="false" ht="15" hidden="false" customHeight="false" outlineLevel="0" collapsed="false">
      <c r="A253" s="2" t="s">
        <v>1264</v>
      </c>
      <c r="B253" s="2" t="s">
        <v>46</v>
      </c>
      <c r="C253" s="2" t="s">
        <v>4274</v>
      </c>
      <c r="D253" s="11" t="n">
        <v>1510</v>
      </c>
      <c r="E253" s="31" t="n">
        <v>60.7</v>
      </c>
      <c r="F253" s="2"/>
      <c r="G253" s="2"/>
      <c r="H253" s="2" t="s">
        <v>832</v>
      </c>
    </row>
    <row r="254" customFormat="false" ht="15" hidden="false" customHeight="false" outlineLevel="0" collapsed="false">
      <c r="A254" s="2" t="s">
        <v>1264</v>
      </c>
      <c r="B254" s="2" t="s">
        <v>46</v>
      </c>
      <c r="C254" s="2" t="s">
        <v>4275</v>
      </c>
      <c r="D254" s="11" t="n">
        <v>1560</v>
      </c>
      <c r="E254" s="31" t="n">
        <v>84.5</v>
      </c>
      <c r="F254" s="2"/>
      <c r="G254" s="31" t="n">
        <v>52.1</v>
      </c>
      <c r="H254" s="2" t="s">
        <v>832</v>
      </c>
    </row>
    <row r="255" customFormat="false" ht="15" hidden="false" customHeight="false" outlineLevel="0" collapsed="false">
      <c r="A255" s="2" t="s">
        <v>1264</v>
      </c>
      <c r="B255" s="2" t="s">
        <v>47</v>
      </c>
      <c r="C255" s="2" t="s">
        <v>4274</v>
      </c>
      <c r="D255" s="11" t="n">
        <v>34407</v>
      </c>
      <c r="E255" s="31" t="n">
        <v>54.8</v>
      </c>
      <c r="F255" s="31" t="n">
        <v>20.6</v>
      </c>
      <c r="G255" s="31" t="n">
        <v>88.7</v>
      </c>
      <c r="H255" s="2" t="s">
        <v>822</v>
      </c>
    </row>
    <row r="256" customFormat="false" ht="15" hidden="false" customHeight="false" outlineLevel="0" collapsed="false">
      <c r="A256" s="2" t="s">
        <v>1264</v>
      </c>
      <c r="B256" s="2" t="s">
        <v>47</v>
      </c>
      <c r="C256" s="2" t="s">
        <v>4275</v>
      </c>
      <c r="D256" s="2"/>
      <c r="E256" s="2"/>
      <c r="F256" s="2"/>
      <c r="G256" s="2"/>
      <c r="H256" s="2" t="s">
        <v>832</v>
      </c>
    </row>
    <row r="257" customFormat="false" ht="15" hidden="false" customHeight="false" outlineLevel="0" collapsed="false">
      <c r="A257" s="2" t="s">
        <v>248</v>
      </c>
      <c r="B257" s="2" t="s">
        <v>4291</v>
      </c>
      <c r="C257" s="2" t="s">
        <v>4274</v>
      </c>
      <c r="D257" s="2"/>
      <c r="E257" s="31" t="n">
        <v>69.8</v>
      </c>
      <c r="F257" s="31" t="n">
        <v>54</v>
      </c>
      <c r="G257" s="31" t="n">
        <v>50.5</v>
      </c>
      <c r="H257" s="2" t="s">
        <v>822</v>
      </c>
    </row>
    <row r="258" customFormat="false" ht="15" hidden="false" customHeight="false" outlineLevel="0" collapsed="false">
      <c r="A258" s="2" t="s">
        <v>248</v>
      </c>
      <c r="B258" s="2" t="s">
        <v>4291</v>
      </c>
      <c r="C258" s="2" t="s">
        <v>4275</v>
      </c>
      <c r="D258" s="2"/>
      <c r="E258" s="31" t="n">
        <v>68</v>
      </c>
      <c r="F258" s="31" t="n">
        <v>67.4</v>
      </c>
      <c r="G258" s="31" t="n">
        <v>51.8</v>
      </c>
      <c r="H258" s="2" t="s">
        <v>822</v>
      </c>
    </row>
    <row r="259" customFormat="false" ht="15" hidden="false" customHeight="false" outlineLevel="0" collapsed="false">
      <c r="A259" s="2" t="s">
        <v>248</v>
      </c>
      <c r="B259" s="2" t="s">
        <v>46</v>
      </c>
      <c r="C259" s="2" t="s">
        <v>4274</v>
      </c>
      <c r="D259" s="11" t="n">
        <v>403736</v>
      </c>
      <c r="E259" s="31" t="n">
        <v>98</v>
      </c>
      <c r="F259" s="31" t="n">
        <v>57.1</v>
      </c>
      <c r="G259" s="31" t="n">
        <v>91.3</v>
      </c>
      <c r="H259" s="2" t="s">
        <v>822</v>
      </c>
    </row>
    <row r="260" customFormat="false" ht="15" hidden="false" customHeight="false" outlineLevel="0" collapsed="false">
      <c r="A260" s="2" t="s">
        <v>248</v>
      </c>
      <c r="B260" s="2" t="s">
        <v>46</v>
      </c>
      <c r="C260" s="2" t="s">
        <v>4275</v>
      </c>
      <c r="D260" s="11" t="n">
        <v>410680</v>
      </c>
      <c r="E260" s="31" t="n">
        <v>99.8</v>
      </c>
      <c r="F260" s="31" t="n">
        <v>75.2</v>
      </c>
      <c r="G260" s="31" t="n">
        <v>85.2</v>
      </c>
      <c r="H260" s="2" t="s">
        <v>822</v>
      </c>
    </row>
    <row r="261" customFormat="false" ht="15" hidden="false" customHeight="false" outlineLevel="0" collapsed="false">
      <c r="A261" s="2" t="s">
        <v>248</v>
      </c>
      <c r="B261" s="2" t="s">
        <v>47</v>
      </c>
      <c r="C261" s="2" t="s">
        <v>4274</v>
      </c>
      <c r="D261" s="11" t="n">
        <v>20938</v>
      </c>
      <c r="E261" s="31" t="n">
        <v>41.7</v>
      </c>
      <c r="F261" s="31" t="n">
        <v>51</v>
      </c>
      <c r="G261" s="31" t="n">
        <v>9.7</v>
      </c>
      <c r="H261" s="2" t="s">
        <v>822</v>
      </c>
    </row>
    <row r="262" customFormat="false" ht="15" hidden="false" customHeight="false" outlineLevel="0" collapsed="false">
      <c r="A262" s="2" t="s">
        <v>248</v>
      </c>
      <c r="B262" s="2" t="s">
        <v>47</v>
      </c>
      <c r="C262" s="2" t="s">
        <v>4275</v>
      </c>
      <c r="D262" s="11" t="n">
        <v>21465</v>
      </c>
      <c r="E262" s="31" t="n">
        <v>36.3</v>
      </c>
      <c r="F262" s="31" t="n">
        <v>59.7</v>
      </c>
      <c r="G262" s="31" t="n">
        <v>18.5</v>
      </c>
      <c r="H262" s="2" t="s">
        <v>822</v>
      </c>
    </row>
    <row r="263" customFormat="false" ht="15" hidden="false" customHeight="false" outlineLevel="0" collapsed="false">
      <c r="A263" s="2" t="s">
        <v>200</v>
      </c>
      <c r="B263" s="2" t="s">
        <v>4291</v>
      </c>
      <c r="C263" s="2" t="s">
        <v>4274</v>
      </c>
      <c r="D263" s="2"/>
      <c r="E263" s="31" t="n">
        <v>83.6</v>
      </c>
      <c r="F263" s="31" t="n">
        <v>10.5</v>
      </c>
      <c r="G263" s="31" t="n">
        <v>76</v>
      </c>
      <c r="H263" s="2" t="s">
        <v>822</v>
      </c>
    </row>
    <row r="264" customFormat="false" ht="15" hidden="false" customHeight="false" outlineLevel="0" collapsed="false">
      <c r="A264" s="2" t="s">
        <v>200</v>
      </c>
      <c r="B264" s="2" t="s">
        <v>4291</v>
      </c>
      <c r="C264" s="2" t="s">
        <v>4275</v>
      </c>
      <c r="D264" s="2"/>
      <c r="E264" s="31" t="n">
        <v>75.3</v>
      </c>
      <c r="F264" s="31" t="n">
        <v>4.9</v>
      </c>
      <c r="G264" s="31" t="n">
        <v>84.1</v>
      </c>
      <c r="H264" s="2" t="s">
        <v>822</v>
      </c>
    </row>
    <row r="265" customFormat="false" ht="15" hidden="false" customHeight="false" outlineLevel="0" collapsed="false">
      <c r="A265" s="2" t="s">
        <v>200</v>
      </c>
      <c r="B265" s="2" t="s">
        <v>47</v>
      </c>
      <c r="C265" s="2" t="s">
        <v>4274</v>
      </c>
      <c r="D265" s="11" t="n">
        <v>33547</v>
      </c>
      <c r="E265" s="31" t="n">
        <v>83.6</v>
      </c>
      <c r="F265" s="31" t="n">
        <v>10.5</v>
      </c>
      <c r="G265" s="31" t="n">
        <v>76</v>
      </c>
      <c r="H265" s="2" t="s">
        <v>822</v>
      </c>
    </row>
    <row r="266" customFormat="false" ht="15" hidden="false" customHeight="false" outlineLevel="0" collapsed="false">
      <c r="A266" s="2" t="s">
        <v>200</v>
      </c>
      <c r="B266" s="2" t="s">
        <v>47</v>
      </c>
      <c r="C266" s="2" t="s">
        <v>4275</v>
      </c>
      <c r="D266" s="11" t="n">
        <v>33240</v>
      </c>
      <c r="E266" s="31" t="n">
        <v>75.3</v>
      </c>
      <c r="F266" s="31" t="n">
        <v>4.9</v>
      </c>
      <c r="G266" s="31" t="n">
        <v>84.1</v>
      </c>
      <c r="H266" s="2" t="s">
        <v>822</v>
      </c>
    </row>
    <row r="267" customFormat="false" ht="15" hidden="false" customHeight="false" outlineLevel="0" collapsed="false">
      <c r="A267" s="2" t="s">
        <v>726</v>
      </c>
      <c r="B267" s="2" t="s">
        <v>4291</v>
      </c>
      <c r="C267" s="2" t="s">
        <v>4274</v>
      </c>
      <c r="D267" s="2"/>
      <c r="E267" s="31" t="n">
        <v>24.2</v>
      </c>
      <c r="F267" s="31" t="n">
        <v>32.7</v>
      </c>
      <c r="G267" s="31" t="n">
        <v>32.2</v>
      </c>
      <c r="H267" s="2" t="s">
        <v>822</v>
      </c>
    </row>
    <row r="268" customFormat="false" ht="15" hidden="false" customHeight="false" outlineLevel="0" collapsed="false">
      <c r="A268" s="2" t="s">
        <v>726</v>
      </c>
      <c r="B268" s="2" t="s">
        <v>4291</v>
      </c>
      <c r="C268" s="2" t="s">
        <v>4275</v>
      </c>
      <c r="D268" s="2"/>
      <c r="E268" s="31" t="n">
        <v>25.4</v>
      </c>
      <c r="F268" s="31" t="n">
        <v>41.1</v>
      </c>
      <c r="G268" s="31" t="n">
        <v>35.4</v>
      </c>
      <c r="H268" s="2" t="s">
        <v>822</v>
      </c>
    </row>
    <row r="269" customFormat="false" ht="15" hidden="false" customHeight="false" outlineLevel="0" collapsed="false">
      <c r="A269" s="2" t="s">
        <v>726</v>
      </c>
      <c r="B269" s="2" t="s">
        <v>45</v>
      </c>
      <c r="C269" s="2" t="s">
        <v>4274</v>
      </c>
      <c r="D269" s="11" t="n">
        <v>22191</v>
      </c>
      <c r="E269" s="31" t="n">
        <v>13.6</v>
      </c>
      <c r="F269" s="31" t="n">
        <v>49.3</v>
      </c>
      <c r="G269" s="31" t="n">
        <v>10.7</v>
      </c>
      <c r="H269" s="2" t="s">
        <v>822</v>
      </c>
    </row>
    <row r="270" customFormat="false" ht="15" hidden="false" customHeight="false" outlineLevel="0" collapsed="false">
      <c r="A270" s="2" t="s">
        <v>726</v>
      </c>
      <c r="B270" s="2" t="s">
        <v>45</v>
      </c>
      <c r="C270" s="2" t="s">
        <v>4275</v>
      </c>
      <c r="D270" s="11" t="n">
        <v>22580</v>
      </c>
      <c r="E270" s="31" t="n">
        <v>20.4</v>
      </c>
      <c r="F270" s="31" t="n">
        <v>41.9</v>
      </c>
      <c r="G270" s="31" t="n">
        <v>33.8</v>
      </c>
      <c r="H270" s="2" t="s">
        <v>822</v>
      </c>
    </row>
    <row r="271" customFormat="false" ht="15" hidden="false" customHeight="false" outlineLevel="0" collapsed="false">
      <c r="A271" s="2" t="s">
        <v>726</v>
      </c>
      <c r="B271" s="2" t="s">
        <v>46</v>
      </c>
      <c r="C271" s="2" t="s">
        <v>4274</v>
      </c>
      <c r="D271" s="11" t="n">
        <v>30331</v>
      </c>
      <c r="E271" s="31" t="n">
        <v>11</v>
      </c>
      <c r="F271" s="31" t="n">
        <v>24.3</v>
      </c>
      <c r="G271" s="31" t="n">
        <v>27.2</v>
      </c>
      <c r="H271" s="2" t="s">
        <v>822</v>
      </c>
    </row>
    <row r="272" customFormat="false" ht="15" hidden="false" customHeight="false" outlineLevel="0" collapsed="false">
      <c r="A272" s="2" t="s">
        <v>726</v>
      </c>
      <c r="B272" s="2" t="s">
        <v>46</v>
      </c>
      <c r="C272" s="2" t="s">
        <v>4275</v>
      </c>
      <c r="D272" s="11" t="n">
        <v>30080</v>
      </c>
      <c r="E272" s="31" t="n">
        <v>16.9</v>
      </c>
      <c r="F272" s="31" t="n">
        <v>64</v>
      </c>
      <c r="G272" s="31" t="n">
        <v>15.5</v>
      </c>
      <c r="H272" s="2" t="s">
        <v>822</v>
      </c>
    </row>
    <row r="273" customFormat="false" ht="15" hidden="false" customHeight="false" outlineLevel="0" collapsed="false">
      <c r="A273" s="2" t="s">
        <v>726</v>
      </c>
      <c r="B273" s="2" t="s">
        <v>47</v>
      </c>
      <c r="C273" s="2" t="s">
        <v>4274</v>
      </c>
      <c r="D273" s="11" t="n">
        <v>8214</v>
      </c>
      <c r="E273" s="31" t="n">
        <v>48.1</v>
      </c>
      <c r="F273" s="31" t="n">
        <v>24.4</v>
      </c>
      <c r="G273" s="31" t="n">
        <v>58.7</v>
      </c>
      <c r="H273" s="2" t="s">
        <v>822</v>
      </c>
    </row>
    <row r="274" customFormat="false" ht="15" hidden="false" customHeight="false" outlineLevel="0" collapsed="false">
      <c r="A274" s="2" t="s">
        <v>726</v>
      </c>
      <c r="B274" s="2" t="s">
        <v>47</v>
      </c>
      <c r="C274" s="2" t="s">
        <v>4275</v>
      </c>
      <c r="D274" s="11" t="n">
        <v>8522</v>
      </c>
      <c r="E274" s="31" t="n">
        <v>39</v>
      </c>
      <c r="F274" s="31" t="n">
        <v>17.5</v>
      </c>
      <c r="G274" s="31" t="n">
        <v>56.8</v>
      </c>
      <c r="H274" s="2" t="s">
        <v>822</v>
      </c>
    </row>
    <row r="275" customFormat="false" ht="15" hidden="false" customHeight="false" outlineLevel="0" collapsed="false">
      <c r="A275" s="2" t="s">
        <v>153</v>
      </c>
      <c r="B275" s="2" t="s">
        <v>4291</v>
      </c>
      <c r="C275" s="2" t="s">
        <v>4275</v>
      </c>
      <c r="D275" s="2"/>
      <c r="E275" s="31" t="n">
        <v>82.9</v>
      </c>
      <c r="F275" s="31" t="n">
        <v>36.7</v>
      </c>
      <c r="G275" s="31" t="n">
        <v>4.5</v>
      </c>
      <c r="H275" s="2" t="s">
        <v>822</v>
      </c>
    </row>
    <row r="276" customFormat="false" ht="15" hidden="false" customHeight="false" outlineLevel="0" collapsed="false">
      <c r="A276" s="2" t="s">
        <v>153</v>
      </c>
      <c r="B276" s="2" t="s">
        <v>47</v>
      </c>
      <c r="C276" s="2" t="s">
        <v>4275</v>
      </c>
      <c r="D276" s="11" t="n">
        <v>13930</v>
      </c>
      <c r="E276" s="31" t="n">
        <v>82.9</v>
      </c>
      <c r="F276" s="31" t="n">
        <v>36.7</v>
      </c>
      <c r="G276" s="31" t="n">
        <v>4.5</v>
      </c>
      <c r="H276" s="2" t="s">
        <v>822</v>
      </c>
    </row>
    <row r="277" customFormat="false" ht="15" hidden="false" customHeight="false" outlineLevel="0" collapsed="false">
      <c r="A277" s="2" t="s">
        <v>2038</v>
      </c>
      <c r="B277" s="2" t="s">
        <v>4291</v>
      </c>
      <c r="C277" s="2" t="s">
        <v>4274</v>
      </c>
      <c r="D277" s="2"/>
      <c r="E277" s="31" t="n">
        <v>58.6</v>
      </c>
      <c r="F277" s="31" t="n">
        <v>38</v>
      </c>
      <c r="G277" s="31" t="n">
        <v>94.1</v>
      </c>
      <c r="H277" s="2" t="s">
        <v>832</v>
      </c>
    </row>
    <row r="278" customFormat="false" ht="15" hidden="false" customHeight="false" outlineLevel="0" collapsed="false">
      <c r="A278" s="2" t="s">
        <v>2038</v>
      </c>
      <c r="B278" s="2" t="s">
        <v>4291</v>
      </c>
      <c r="C278" s="2" t="s">
        <v>4275</v>
      </c>
      <c r="D278" s="2"/>
      <c r="E278" s="31" t="n">
        <v>27.9</v>
      </c>
      <c r="F278" s="31" t="n">
        <v>68</v>
      </c>
      <c r="G278" s="31" t="n">
        <v>72.6</v>
      </c>
      <c r="H278" s="2" t="s">
        <v>832</v>
      </c>
    </row>
    <row r="279" customFormat="false" ht="15" hidden="false" customHeight="false" outlineLevel="0" collapsed="false">
      <c r="A279" s="2" t="s">
        <v>2038</v>
      </c>
      <c r="B279" s="2" t="s">
        <v>45</v>
      </c>
      <c r="C279" s="2" t="s">
        <v>4274</v>
      </c>
      <c r="D279" s="11" t="n">
        <v>636010</v>
      </c>
      <c r="E279" s="31" t="n">
        <v>82.3</v>
      </c>
      <c r="F279" s="31" t="n">
        <v>47.3</v>
      </c>
      <c r="G279" s="2"/>
      <c r="H279" s="2" t="s">
        <v>832</v>
      </c>
    </row>
    <row r="280" customFormat="false" ht="15" hidden="false" customHeight="false" outlineLevel="0" collapsed="false">
      <c r="A280" s="2" t="s">
        <v>2038</v>
      </c>
      <c r="B280" s="2" t="s">
        <v>45</v>
      </c>
      <c r="C280" s="2" t="s">
        <v>4275</v>
      </c>
      <c r="D280" s="2"/>
      <c r="E280" s="2"/>
      <c r="F280" s="2"/>
      <c r="G280" s="2"/>
      <c r="H280" s="2" t="s">
        <v>832</v>
      </c>
    </row>
    <row r="281" customFormat="false" ht="15" hidden="false" customHeight="false" outlineLevel="0" collapsed="false">
      <c r="A281" s="2" t="s">
        <v>2038</v>
      </c>
      <c r="B281" s="2" t="s">
        <v>46</v>
      </c>
      <c r="C281" s="2" t="s">
        <v>4274</v>
      </c>
      <c r="D281" s="11" t="n">
        <v>15774</v>
      </c>
      <c r="E281" s="31" t="n">
        <v>35</v>
      </c>
      <c r="F281" s="31" t="n">
        <v>28.8</v>
      </c>
      <c r="G281" s="31" t="n">
        <v>94.1</v>
      </c>
      <c r="H281" s="2" t="s">
        <v>822</v>
      </c>
    </row>
    <row r="282" customFormat="false" ht="15" hidden="false" customHeight="false" outlineLevel="0" collapsed="false">
      <c r="A282" s="2" t="s">
        <v>2038</v>
      </c>
      <c r="B282" s="2" t="s">
        <v>46</v>
      </c>
      <c r="C282" s="2" t="s">
        <v>4275</v>
      </c>
      <c r="D282" s="11" t="n">
        <v>15780</v>
      </c>
      <c r="E282" s="31" t="n">
        <v>27.9</v>
      </c>
      <c r="F282" s="31" t="n">
        <v>68</v>
      </c>
      <c r="G282" s="31" t="n">
        <v>72.6</v>
      </c>
      <c r="H282" s="2" t="s">
        <v>822</v>
      </c>
    </row>
    <row r="283" customFormat="false" ht="15" hidden="false" customHeight="false" outlineLevel="0" collapsed="false">
      <c r="A283" s="2" t="s">
        <v>2914</v>
      </c>
      <c r="B283" s="2" t="s">
        <v>4291</v>
      </c>
      <c r="C283" s="2" t="s">
        <v>4275</v>
      </c>
      <c r="D283" s="2"/>
      <c r="E283" s="31" t="n">
        <v>14.9</v>
      </c>
      <c r="F283" s="2"/>
      <c r="G283" s="31" t="n">
        <v>28.2</v>
      </c>
      <c r="H283" s="2" t="s">
        <v>832</v>
      </c>
    </row>
    <row r="284" customFormat="false" ht="15" hidden="false" customHeight="false" outlineLevel="0" collapsed="false">
      <c r="A284" s="2" t="s">
        <v>2914</v>
      </c>
      <c r="B284" s="2" t="s">
        <v>45</v>
      </c>
      <c r="C284" s="2" t="s">
        <v>4275</v>
      </c>
      <c r="D284" s="11" t="n">
        <v>121620</v>
      </c>
      <c r="E284" s="31" t="n">
        <v>14.9</v>
      </c>
      <c r="F284" s="2"/>
      <c r="G284" s="31" t="n">
        <v>28.2</v>
      </c>
      <c r="H284" s="2" t="s">
        <v>832</v>
      </c>
    </row>
    <row r="285" customFormat="false" ht="15" hidden="false" customHeight="false" outlineLevel="0" collapsed="false">
      <c r="A285" s="2" t="s">
        <v>2916</v>
      </c>
      <c r="B285" s="2" t="s">
        <v>4291</v>
      </c>
      <c r="C285" s="2" t="s">
        <v>4274</v>
      </c>
      <c r="D285" s="2"/>
      <c r="E285" s="31" t="n">
        <v>70</v>
      </c>
      <c r="F285" s="31" t="n">
        <v>29.6</v>
      </c>
      <c r="G285" s="31" t="n">
        <v>63.5</v>
      </c>
      <c r="H285" s="2" t="s">
        <v>822</v>
      </c>
    </row>
    <row r="286" customFormat="false" ht="15" hidden="false" customHeight="false" outlineLevel="0" collapsed="false">
      <c r="A286" s="2" t="s">
        <v>2916</v>
      </c>
      <c r="B286" s="2" t="s">
        <v>4291</v>
      </c>
      <c r="C286" s="2" t="s">
        <v>4275</v>
      </c>
      <c r="D286" s="2"/>
      <c r="E286" s="31" t="n">
        <v>79.6</v>
      </c>
      <c r="F286" s="31" t="n">
        <v>41.1</v>
      </c>
      <c r="G286" s="2"/>
      <c r="H286" s="2" t="s">
        <v>832</v>
      </c>
    </row>
    <row r="287" customFormat="false" ht="15" hidden="false" customHeight="false" outlineLevel="0" collapsed="false">
      <c r="A287" s="2" t="s">
        <v>2916</v>
      </c>
      <c r="B287" s="2" t="s">
        <v>45</v>
      </c>
      <c r="C287" s="2" t="s">
        <v>4274</v>
      </c>
      <c r="D287" s="11" t="n">
        <v>42644</v>
      </c>
      <c r="E287" s="31" t="n">
        <v>60.1</v>
      </c>
      <c r="F287" s="31" t="n">
        <v>22.6</v>
      </c>
      <c r="G287" s="31" t="n">
        <v>93.2</v>
      </c>
      <c r="H287" s="2" t="s">
        <v>822</v>
      </c>
    </row>
    <row r="288" customFormat="false" ht="15" hidden="false" customHeight="false" outlineLevel="0" collapsed="false">
      <c r="A288" s="2" t="s">
        <v>2916</v>
      </c>
      <c r="B288" s="2" t="s">
        <v>45</v>
      </c>
      <c r="C288" s="2" t="s">
        <v>4275</v>
      </c>
      <c r="D288" s="2"/>
      <c r="E288" s="2"/>
      <c r="F288" s="2"/>
      <c r="G288" s="2"/>
      <c r="H288" s="2" t="s">
        <v>832</v>
      </c>
    </row>
    <row r="289" customFormat="false" ht="15" hidden="false" customHeight="false" outlineLevel="0" collapsed="false">
      <c r="A289" s="2" t="s">
        <v>2916</v>
      </c>
      <c r="B289" s="2" t="s">
        <v>46</v>
      </c>
      <c r="C289" s="2" t="s">
        <v>4274</v>
      </c>
      <c r="D289" s="11" t="n">
        <v>44960</v>
      </c>
      <c r="E289" s="31" t="n">
        <v>52.4</v>
      </c>
      <c r="F289" s="31" t="n">
        <v>58.8</v>
      </c>
      <c r="G289" s="31" t="n">
        <v>52.1</v>
      </c>
      <c r="H289" s="2" t="s">
        <v>822</v>
      </c>
    </row>
    <row r="290" customFormat="false" ht="15" hidden="false" customHeight="false" outlineLevel="0" collapsed="false">
      <c r="A290" s="2" t="s">
        <v>2916</v>
      </c>
      <c r="B290" s="2" t="s">
        <v>46</v>
      </c>
      <c r="C290" s="2" t="s">
        <v>4275</v>
      </c>
      <c r="D290" s="11" t="n">
        <v>47649</v>
      </c>
      <c r="E290" s="31" t="n">
        <v>64.8</v>
      </c>
      <c r="F290" s="31" t="n">
        <v>73.5</v>
      </c>
      <c r="G290" s="2"/>
      <c r="H290" s="2" t="s">
        <v>832</v>
      </c>
    </row>
    <row r="291" customFormat="false" ht="15" hidden="false" customHeight="false" outlineLevel="0" collapsed="false">
      <c r="A291" s="2" t="s">
        <v>2916</v>
      </c>
      <c r="B291" s="2" t="s">
        <v>47</v>
      </c>
      <c r="C291" s="2" t="s">
        <v>4274</v>
      </c>
      <c r="D291" s="11" t="n">
        <v>109597</v>
      </c>
      <c r="E291" s="31" t="n">
        <v>97.4</v>
      </c>
      <c r="F291" s="31" t="n">
        <v>7.4</v>
      </c>
      <c r="G291" s="31" t="n">
        <v>45.3</v>
      </c>
      <c r="H291" s="2" t="s">
        <v>822</v>
      </c>
    </row>
    <row r="292" customFormat="false" ht="15" hidden="false" customHeight="false" outlineLevel="0" collapsed="false">
      <c r="A292" s="2" t="s">
        <v>2916</v>
      </c>
      <c r="B292" s="2" t="s">
        <v>47</v>
      </c>
      <c r="C292" s="2" t="s">
        <v>4275</v>
      </c>
      <c r="D292" s="11" t="n">
        <v>107481</v>
      </c>
      <c r="E292" s="31" t="n">
        <v>94.4</v>
      </c>
      <c r="F292" s="31" t="n">
        <v>8.7</v>
      </c>
      <c r="G292" s="2"/>
      <c r="H292" s="2" t="s">
        <v>832</v>
      </c>
    </row>
    <row r="293" customFormat="false" ht="15" hidden="false" customHeight="false" outlineLevel="0" collapsed="false">
      <c r="A293" s="2" t="s">
        <v>1789</v>
      </c>
      <c r="B293" s="2" t="s">
        <v>4291</v>
      </c>
      <c r="C293" s="2" t="s">
        <v>4274</v>
      </c>
      <c r="D293" s="2"/>
      <c r="E293" s="31" t="n">
        <v>47</v>
      </c>
      <c r="F293" s="31" t="n">
        <v>48.7</v>
      </c>
      <c r="G293" s="31" t="n">
        <v>84.5</v>
      </c>
      <c r="H293" s="2" t="s">
        <v>822</v>
      </c>
    </row>
    <row r="294" customFormat="false" ht="15" hidden="false" customHeight="false" outlineLevel="0" collapsed="false">
      <c r="A294" s="2" t="s">
        <v>1789</v>
      </c>
      <c r="B294" s="2" t="s">
        <v>4291</v>
      </c>
      <c r="C294" s="2" t="s">
        <v>4275</v>
      </c>
      <c r="D294" s="2"/>
      <c r="E294" s="31" t="n">
        <v>73</v>
      </c>
      <c r="F294" s="31" t="n">
        <v>41.2</v>
      </c>
      <c r="G294" s="31" t="n">
        <v>9.3</v>
      </c>
      <c r="H294" s="2" t="s">
        <v>832</v>
      </c>
    </row>
    <row r="295" customFormat="false" ht="15" hidden="false" customHeight="false" outlineLevel="0" collapsed="false">
      <c r="A295" s="2" t="s">
        <v>1789</v>
      </c>
      <c r="B295" s="2" t="s">
        <v>45</v>
      </c>
      <c r="C295" s="2" t="s">
        <v>4274</v>
      </c>
      <c r="D295" s="11" t="n">
        <v>17040</v>
      </c>
      <c r="E295" s="31" t="n">
        <v>41.5</v>
      </c>
      <c r="F295" s="31" t="n">
        <v>20.8</v>
      </c>
      <c r="G295" s="31" t="n">
        <v>76.6</v>
      </c>
      <c r="H295" s="2" t="s">
        <v>822</v>
      </c>
    </row>
    <row r="296" customFormat="false" ht="15" hidden="false" customHeight="false" outlineLevel="0" collapsed="false">
      <c r="A296" s="2" t="s">
        <v>1789</v>
      </c>
      <c r="B296" s="2" t="s">
        <v>45</v>
      </c>
      <c r="C296" s="2" t="s">
        <v>4275</v>
      </c>
      <c r="D296" s="2"/>
      <c r="E296" s="2"/>
      <c r="F296" s="2"/>
      <c r="G296" s="2"/>
      <c r="H296" s="2" t="s">
        <v>832</v>
      </c>
    </row>
    <row r="297" customFormat="false" ht="15" hidden="false" customHeight="false" outlineLevel="0" collapsed="false">
      <c r="A297" s="2" t="s">
        <v>1789</v>
      </c>
      <c r="B297" s="2" t="s">
        <v>46</v>
      </c>
      <c r="C297" s="2" t="s">
        <v>4274</v>
      </c>
      <c r="D297" s="11" t="n">
        <v>4690</v>
      </c>
      <c r="E297" s="31" t="n">
        <v>36.6</v>
      </c>
      <c r="F297" s="31" t="n">
        <v>87.7</v>
      </c>
      <c r="G297" s="31" t="n">
        <v>87</v>
      </c>
      <c r="H297" s="2" t="s">
        <v>822</v>
      </c>
    </row>
    <row r="298" customFormat="false" ht="15" hidden="false" customHeight="false" outlineLevel="0" collapsed="false">
      <c r="A298" s="2" t="s">
        <v>1789</v>
      </c>
      <c r="B298" s="2" t="s">
        <v>46</v>
      </c>
      <c r="C298" s="2" t="s">
        <v>4275</v>
      </c>
      <c r="D298" s="11" t="n">
        <v>4830</v>
      </c>
      <c r="E298" s="31" t="n">
        <v>67.4</v>
      </c>
      <c r="F298" s="31" t="n">
        <v>64.2</v>
      </c>
      <c r="G298" s="31" t="n">
        <v>9.3</v>
      </c>
      <c r="H298" s="2" t="s">
        <v>822</v>
      </c>
    </row>
    <row r="299" customFormat="false" ht="15" hidden="false" customHeight="false" outlineLevel="0" collapsed="false">
      <c r="A299" s="2" t="s">
        <v>1789</v>
      </c>
      <c r="B299" s="2" t="s">
        <v>47</v>
      </c>
      <c r="C299" s="2" t="s">
        <v>4274</v>
      </c>
      <c r="D299" s="11" t="n">
        <v>55492</v>
      </c>
      <c r="E299" s="31" t="n">
        <v>62.8</v>
      </c>
      <c r="F299" s="31" t="n">
        <v>37.6</v>
      </c>
      <c r="G299" s="31" t="n">
        <v>89.8</v>
      </c>
      <c r="H299" s="2" t="s">
        <v>822</v>
      </c>
    </row>
    <row r="300" customFormat="false" ht="15" hidden="false" customHeight="false" outlineLevel="0" collapsed="false">
      <c r="A300" s="2" t="s">
        <v>1789</v>
      </c>
      <c r="B300" s="2" t="s">
        <v>47</v>
      </c>
      <c r="C300" s="2" t="s">
        <v>4275</v>
      </c>
      <c r="D300" s="11" t="n">
        <v>55602</v>
      </c>
      <c r="E300" s="31" t="n">
        <v>78.5</v>
      </c>
      <c r="F300" s="31" t="n">
        <v>18.2</v>
      </c>
      <c r="G300" s="2"/>
      <c r="H300" s="2" t="s">
        <v>832</v>
      </c>
    </row>
    <row r="301" customFormat="false" ht="15" hidden="false" customHeight="false" outlineLevel="0" collapsed="false">
      <c r="A301" s="2" t="s">
        <v>867</v>
      </c>
      <c r="B301" s="2" t="s">
        <v>4291</v>
      </c>
      <c r="C301" s="2" t="s">
        <v>4274</v>
      </c>
      <c r="D301" s="2"/>
      <c r="E301" s="31" t="n">
        <v>70.2</v>
      </c>
      <c r="F301" s="31" t="n">
        <v>65</v>
      </c>
      <c r="G301" s="31" t="n">
        <v>37.6</v>
      </c>
      <c r="H301" s="2" t="s">
        <v>832</v>
      </c>
    </row>
    <row r="302" customFormat="false" ht="15" hidden="false" customHeight="false" outlineLevel="0" collapsed="false">
      <c r="A302" s="2" t="s">
        <v>867</v>
      </c>
      <c r="B302" s="2" t="s">
        <v>4291</v>
      </c>
      <c r="C302" s="2" t="s">
        <v>4275</v>
      </c>
      <c r="D302" s="2"/>
      <c r="E302" s="31" t="n">
        <v>53.8</v>
      </c>
      <c r="F302" s="31" t="n">
        <v>63.4</v>
      </c>
      <c r="G302" s="31" t="n">
        <v>21.3</v>
      </c>
      <c r="H302" s="2" t="s">
        <v>832</v>
      </c>
    </row>
    <row r="303" customFormat="false" ht="15" hidden="false" customHeight="false" outlineLevel="0" collapsed="false">
      <c r="A303" s="2" t="s">
        <v>867</v>
      </c>
      <c r="B303" s="2" t="s">
        <v>45</v>
      </c>
      <c r="C303" s="2" t="s">
        <v>4274</v>
      </c>
      <c r="D303" s="11" t="n">
        <v>174920</v>
      </c>
      <c r="E303" s="31" t="n">
        <v>94.4</v>
      </c>
      <c r="F303" s="31" t="n">
        <v>73.3</v>
      </c>
      <c r="G303" s="31" t="n">
        <v>22</v>
      </c>
      <c r="H303" s="2" t="s">
        <v>822</v>
      </c>
    </row>
    <row r="304" customFormat="false" ht="15" hidden="false" customHeight="false" outlineLevel="0" collapsed="false">
      <c r="A304" s="2" t="s">
        <v>867</v>
      </c>
      <c r="B304" s="2" t="s">
        <v>45</v>
      </c>
      <c r="C304" s="2" t="s">
        <v>4275</v>
      </c>
      <c r="D304" s="11" t="n">
        <v>180880</v>
      </c>
      <c r="E304" s="31" t="n">
        <v>95.3</v>
      </c>
      <c r="F304" s="31" t="n">
        <v>74.3</v>
      </c>
      <c r="G304" s="31" t="n">
        <v>3</v>
      </c>
      <c r="H304" s="2" t="s">
        <v>822</v>
      </c>
    </row>
    <row r="305" customFormat="false" ht="15" hidden="false" customHeight="false" outlineLevel="0" collapsed="false">
      <c r="A305" s="2" t="s">
        <v>867</v>
      </c>
      <c r="B305" s="2" t="s">
        <v>46</v>
      </c>
      <c r="C305" s="2" t="s">
        <v>4274</v>
      </c>
      <c r="D305" s="11" t="n">
        <v>104880</v>
      </c>
      <c r="E305" s="31" t="n">
        <v>89</v>
      </c>
      <c r="F305" s="2"/>
      <c r="G305" s="31" t="n">
        <v>53.2</v>
      </c>
      <c r="H305" s="2" t="s">
        <v>832</v>
      </c>
    </row>
    <row r="306" customFormat="false" ht="15" hidden="false" customHeight="false" outlineLevel="0" collapsed="false">
      <c r="A306" s="2" t="s">
        <v>867</v>
      </c>
      <c r="B306" s="2" t="s">
        <v>46</v>
      </c>
      <c r="C306" s="2" t="s">
        <v>4275</v>
      </c>
      <c r="D306" s="2"/>
      <c r="E306" s="2"/>
      <c r="F306" s="2"/>
      <c r="G306" s="2"/>
      <c r="H306" s="2" t="s">
        <v>832</v>
      </c>
    </row>
    <row r="307" customFormat="false" ht="15" hidden="false" customHeight="false" outlineLevel="0" collapsed="false">
      <c r="A307" s="2" t="s">
        <v>867</v>
      </c>
      <c r="B307" s="2" t="s">
        <v>47</v>
      </c>
      <c r="C307" s="2" t="s">
        <v>4274</v>
      </c>
      <c r="D307" s="11" t="n">
        <v>5980</v>
      </c>
      <c r="E307" s="31" t="n">
        <v>27.2</v>
      </c>
      <c r="F307" s="31" t="n">
        <v>56.7</v>
      </c>
      <c r="G307" s="2"/>
      <c r="H307" s="2" t="s">
        <v>832</v>
      </c>
    </row>
    <row r="308" customFormat="false" ht="15" hidden="false" customHeight="false" outlineLevel="0" collapsed="false">
      <c r="A308" s="2" t="s">
        <v>867</v>
      </c>
      <c r="B308" s="2" t="s">
        <v>47</v>
      </c>
      <c r="C308" s="2" t="s">
        <v>4275</v>
      </c>
      <c r="D308" s="11" t="n">
        <v>6000</v>
      </c>
      <c r="E308" s="31" t="n">
        <v>12.3</v>
      </c>
      <c r="F308" s="31" t="n">
        <v>52.5</v>
      </c>
      <c r="G308" s="31" t="n">
        <v>39.6</v>
      </c>
      <c r="H308" s="2" t="s">
        <v>822</v>
      </c>
    </row>
    <row r="309" customFormat="false" ht="15" hidden="false" customHeight="false" outlineLevel="0" collapsed="false">
      <c r="A309" s="2" t="s">
        <v>76</v>
      </c>
      <c r="B309" s="2" t="s">
        <v>4291</v>
      </c>
      <c r="C309" s="2" t="s">
        <v>4274</v>
      </c>
      <c r="D309" s="2"/>
      <c r="E309" s="31" t="n">
        <v>99.3</v>
      </c>
      <c r="F309" s="31" t="n">
        <v>65.6</v>
      </c>
      <c r="G309" s="31" t="n">
        <v>48.9</v>
      </c>
      <c r="H309" s="2" t="s">
        <v>822</v>
      </c>
    </row>
    <row r="310" customFormat="false" ht="15" hidden="false" customHeight="false" outlineLevel="0" collapsed="false">
      <c r="A310" s="2" t="s">
        <v>76</v>
      </c>
      <c r="B310" s="2" t="s">
        <v>4291</v>
      </c>
      <c r="C310" s="2" t="s">
        <v>4275</v>
      </c>
      <c r="D310" s="2"/>
      <c r="E310" s="31" t="n">
        <v>98.6</v>
      </c>
      <c r="F310" s="31" t="n">
        <v>48.8</v>
      </c>
      <c r="G310" s="31" t="n">
        <v>50.4</v>
      </c>
      <c r="H310" s="2" t="s">
        <v>822</v>
      </c>
    </row>
    <row r="311" customFormat="false" ht="15" hidden="false" customHeight="false" outlineLevel="0" collapsed="false">
      <c r="A311" s="2" t="s">
        <v>76</v>
      </c>
      <c r="B311" s="2" t="s">
        <v>47</v>
      </c>
      <c r="C311" s="2" t="s">
        <v>4274</v>
      </c>
      <c r="D311" s="11" t="n">
        <v>5900</v>
      </c>
      <c r="E311" s="31" t="n">
        <v>99.3</v>
      </c>
      <c r="F311" s="31" t="n">
        <v>65.6</v>
      </c>
      <c r="G311" s="31" t="n">
        <v>48.9</v>
      </c>
      <c r="H311" s="2" t="s">
        <v>822</v>
      </c>
    </row>
    <row r="312" customFormat="false" ht="15" hidden="false" customHeight="false" outlineLevel="0" collapsed="false">
      <c r="A312" s="2" t="s">
        <v>76</v>
      </c>
      <c r="B312" s="2" t="s">
        <v>47</v>
      </c>
      <c r="C312" s="2" t="s">
        <v>4275</v>
      </c>
      <c r="D312" s="11" t="n">
        <v>6232</v>
      </c>
      <c r="E312" s="31" t="n">
        <v>98.6</v>
      </c>
      <c r="F312" s="31" t="n">
        <v>48.8</v>
      </c>
      <c r="G312" s="31" t="n">
        <v>50.4</v>
      </c>
      <c r="H312" s="2" t="s">
        <v>822</v>
      </c>
    </row>
    <row r="313" customFormat="false" ht="15" hidden="false" customHeight="false" outlineLevel="0" collapsed="false">
      <c r="A313" s="2" t="s">
        <v>326</v>
      </c>
      <c r="B313" s="2" t="s">
        <v>4291</v>
      </c>
      <c r="C313" s="2" t="s">
        <v>4274</v>
      </c>
      <c r="D313" s="2"/>
      <c r="E313" s="31" t="n">
        <v>54.5</v>
      </c>
      <c r="F313" s="31" t="n">
        <v>36.4</v>
      </c>
      <c r="G313" s="31" t="n">
        <v>46.3</v>
      </c>
      <c r="H313" s="2" t="s">
        <v>832</v>
      </c>
    </row>
    <row r="314" customFormat="false" ht="15" hidden="false" customHeight="false" outlineLevel="0" collapsed="false">
      <c r="A314" s="2" t="s">
        <v>326</v>
      </c>
      <c r="B314" s="2" t="s">
        <v>4291</v>
      </c>
      <c r="C314" s="2" t="s">
        <v>4275</v>
      </c>
      <c r="D314" s="2"/>
      <c r="E314" s="31" t="n">
        <v>60.6</v>
      </c>
      <c r="F314" s="31" t="n">
        <v>33.6</v>
      </c>
      <c r="G314" s="31" t="n">
        <v>56.3</v>
      </c>
      <c r="H314" s="2" t="s">
        <v>822</v>
      </c>
    </row>
    <row r="315" customFormat="false" ht="15" hidden="false" customHeight="false" outlineLevel="0" collapsed="false">
      <c r="A315" s="2" t="s">
        <v>326</v>
      </c>
      <c r="B315" s="2" t="s">
        <v>45</v>
      </c>
      <c r="C315" s="2" t="s">
        <v>4274</v>
      </c>
      <c r="D315" s="11" t="n">
        <v>16780</v>
      </c>
      <c r="E315" s="31" t="n">
        <v>97.8</v>
      </c>
      <c r="F315" s="2"/>
      <c r="G315" s="2"/>
      <c r="H315" s="2" t="s">
        <v>832</v>
      </c>
    </row>
    <row r="316" customFormat="false" ht="15" hidden="false" customHeight="false" outlineLevel="0" collapsed="false">
      <c r="A316" s="2" t="s">
        <v>326</v>
      </c>
      <c r="B316" s="2" t="s">
        <v>45</v>
      </c>
      <c r="C316" s="2" t="s">
        <v>4275</v>
      </c>
      <c r="D316" s="11" t="n">
        <v>17620</v>
      </c>
      <c r="E316" s="31" t="n">
        <v>93</v>
      </c>
      <c r="F316" s="31" t="n">
        <v>40.2</v>
      </c>
      <c r="G316" s="31" t="n">
        <v>86.7</v>
      </c>
      <c r="H316" s="2" t="s">
        <v>822</v>
      </c>
    </row>
    <row r="317" customFormat="false" ht="15" hidden="false" customHeight="false" outlineLevel="0" collapsed="false">
      <c r="A317" s="2" t="s">
        <v>326</v>
      </c>
      <c r="B317" s="2" t="s">
        <v>46</v>
      </c>
      <c r="C317" s="2" t="s">
        <v>4274</v>
      </c>
      <c r="D317" s="11" t="n">
        <v>220420</v>
      </c>
      <c r="E317" s="31" t="n">
        <v>37.8</v>
      </c>
      <c r="F317" s="31" t="n">
        <v>23.7</v>
      </c>
      <c r="G317" s="31" t="n">
        <v>29.9</v>
      </c>
      <c r="H317" s="2" t="s">
        <v>822</v>
      </c>
    </row>
    <row r="318" customFormat="false" ht="15" hidden="false" customHeight="false" outlineLevel="0" collapsed="false">
      <c r="A318" s="2" t="s">
        <v>326</v>
      </c>
      <c r="B318" s="2" t="s">
        <v>46</v>
      </c>
      <c r="C318" s="2" t="s">
        <v>4275</v>
      </c>
      <c r="D318" s="11" t="n">
        <v>219670</v>
      </c>
      <c r="E318" s="31" t="n">
        <v>35.6</v>
      </c>
      <c r="F318" s="31" t="n">
        <v>4.5</v>
      </c>
      <c r="G318" s="31" t="n">
        <v>37.7</v>
      </c>
      <c r="H318" s="2" t="s">
        <v>822</v>
      </c>
    </row>
    <row r="319" customFormat="false" ht="15" hidden="false" customHeight="false" outlineLevel="0" collapsed="false">
      <c r="A319" s="2" t="s">
        <v>326</v>
      </c>
      <c r="B319" s="2" t="s">
        <v>47</v>
      </c>
      <c r="C319" s="2" t="s">
        <v>4274</v>
      </c>
      <c r="D319" s="11" t="n">
        <v>86199</v>
      </c>
      <c r="E319" s="31" t="n">
        <v>27.9</v>
      </c>
      <c r="F319" s="31" t="n">
        <v>49</v>
      </c>
      <c r="G319" s="31" t="n">
        <v>62.8</v>
      </c>
      <c r="H319" s="2" t="s">
        <v>822</v>
      </c>
    </row>
    <row r="320" customFormat="false" ht="15" hidden="false" customHeight="false" outlineLevel="0" collapsed="false">
      <c r="A320" s="2" t="s">
        <v>326</v>
      </c>
      <c r="B320" s="2" t="s">
        <v>47</v>
      </c>
      <c r="C320" s="2" t="s">
        <v>4275</v>
      </c>
      <c r="D320" s="11" t="n">
        <v>88928</v>
      </c>
      <c r="E320" s="31" t="n">
        <v>53.1</v>
      </c>
      <c r="F320" s="31" t="n">
        <v>56.2</v>
      </c>
      <c r="G320" s="31" t="n">
        <v>44.6</v>
      </c>
      <c r="H320" s="2" t="s">
        <v>822</v>
      </c>
    </row>
    <row r="321" customFormat="false" ht="15" hidden="false" customHeight="false" outlineLevel="0" collapsed="false">
      <c r="A321" s="2" t="s">
        <v>558</v>
      </c>
      <c r="B321" s="2" t="s">
        <v>4291</v>
      </c>
      <c r="C321" s="2" t="s">
        <v>4274</v>
      </c>
      <c r="D321" s="2"/>
      <c r="E321" s="31" t="n">
        <v>55</v>
      </c>
      <c r="F321" s="31" t="n">
        <v>63.7</v>
      </c>
      <c r="G321" s="31" t="n">
        <v>97.4</v>
      </c>
      <c r="H321" s="2" t="s">
        <v>822</v>
      </c>
    </row>
    <row r="322" customFormat="false" ht="15" hidden="false" customHeight="false" outlineLevel="0" collapsed="false">
      <c r="A322" s="2" t="s">
        <v>558</v>
      </c>
      <c r="B322" s="2" t="s">
        <v>4291</v>
      </c>
      <c r="C322" s="2" t="s">
        <v>4275</v>
      </c>
      <c r="D322" s="2"/>
      <c r="E322" s="31" t="n">
        <v>43.2</v>
      </c>
      <c r="F322" s="31" t="n">
        <v>55.2</v>
      </c>
      <c r="G322" s="31" t="n">
        <v>93.2</v>
      </c>
      <c r="H322" s="2" t="s">
        <v>822</v>
      </c>
    </row>
    <row r="323" customFormat="false" ht="15" hidden="false" customHeight="false" outlineLevel="0" collapsed="false">
      <c r="A323" s="2" t="s">
        <v>558</v>
      </c>
      <c r="B323" s="2" t="s">
        <v>47</v>
      </c>
      <c r="C323" s="2" t="s">
        <v>4274</v>
      </c>
      <c r="D323" s="11" t="n">
        <v>15476</v>
      </c>
      <c r="E323" s="31" t="n">
        <v>55</v>
      </c>
      <c r="F323" s="31" t="n">
        <v>63.7</v>
      </c>
      <c r="G323" s="31" t="n">
        <v>97.4</v>
      </c>
      <c r="H323" s="2" t="s">
        <v>822</v>
      </c>
    </row>
    <row r="324" customFormat="false" ht="15" hidden="false" customHeight="false" outlineLevel="0" collapsed="false">
      <c r="A324" s="2" t="s">
        <v>558</v>
      </c>
      <c r="B324" s="2" t="s">
        <v>47</v>
      </c>
      <c r="C324" s="2" t="s">
        <v>4275</v>
      </c>
      <c r="D324" s="11" t="n">
        <v>15890</v>
      </c>
      <c r="E324" s="31" t="n">
        <v>43.2</v>
      </c>
      <c r="F324" s="31" t="n">
        <v>55.2</v>
      </c>
      <c r="G324" s="31" t="n">
        <v>93.2</v>
      </c>
      <c r="H324" s="2" t="s">
        <v>822</v>
      </c>
    </row>
    <row r="325" customFormat="false" ht="15" hidden="false" customHeight="false" outlineLevel="0" collapsed="false">
      <c r="A325" s="2" t="s">
        <v>2920</v>
      </c>
      <c r="B325" s="2" t="s">
        <v>4291</v>
      </c>
      <c r="C325" s="2" t="s">
        <v>4274</v>
      </c>
      <c r="D325" s="2"/>
      <c r="E325" s="2"/>
      <c r="F325" s="2"/>
      <c r="G325" s="2"/>
      <c r="H325" s="2" t="s">
        <v>832</v>
      </c>
    </row>
    <row r="326" customFormat="false" ht="15" hidden="false" customHeight="false" outlineLevel="0" collapsed="false">
      <c r="A326" s="2" t="s">
        <v>2920</v>
      </c>
      <c r="B326" s="2" t="s">
        <v>4291</v>
      </c>
      <c r="C326" s="2" t="s">
        <v>4275</v>
      </c>
      <c r="D326" s="2"/>
      <c r="E326" s="2"/>
      <c r="F326" s="2"/>
      <c r="G326" s="2"/>
      <c r="H326" s="2" t="s">
        <v>832</v>
      </c>
    </row>
    <row r="327" customFormat="false" ht="15" hidden="false" customHeight="false" outlineLevel="0" collapsed="false">
      <c r="A327" s="2" t="s">
        <v>2920</v>
      </c>
      <c r="B327" s="2" t="s">
        <v>45</v>
      </c>
      <c r="C327" s="2" t="s">
        <v>4274</v>
      </c>
      <c r="D327" s="2"/>
      <c r="E327" s="2"/>
      <c r="F327" s="2"/>
      <c r="G327" s="2"/>
      <c r="H327" s="2" t="s">
        <v>832</v>
      </c>
    </row>
    <row r="328" customFormat="false" ht="15" hidden="false" customHeight="false" outlineLevel="0" collapsed="false">
      <c r="A328" s="2" t="s">
        <v>2920</v>
      </c>
      <c r="B328" s="2" t="s">
        <v>45</v>
      </c>
      <c r="C328" s="2" t="s">
        <v>4275</v>
      </c>
      <c r="D328" s="2"/>
      <c r="E328" s="2"/>
      <c r="F328" s="2"/>
      <c r="G328" s="2"/>
      <c r="H328" s="2" t="s">
        <v>832</v>
      </c>
    </row>
    <row r="329" customFormat="false" ht="15" hidden="false" customHeight="false" outlineLevel="0" collapsed="false">
      <c r="A329" s="2" t="s">
        <v>438</v>
      </c>
      <c r="B329" s="2" t="s">
        <v>4291</v>
      </c>
      <c r="C329" s="2" t="s">
        <v>4274</v>
      </c>
      <c r="D329" s="2"/>
      <c r="E329" s="31" t="n">
        <v>51.2</v>
      </c>
      <c r="F329" s="31" t="n">
        <v>14.3</v>
      </c>
      <c r="G329" s="31" t="n">
        <v>49.7</v>
      </c>
      <c r="H329" s="2" t="s">
        <v>832</v>
      </c>
    </row>
    <row r="330" customFormat="false" ht="15" hidden="false" customHeight="false" outlineLevel="0" collapsed="false">
      <c r="A330" s="2" t="s">
        <v>438</v>
      </c>
      <c r="B330" s="2" t="s">
        <v>4291</v>
      </c>
      <c r="C330" s="2" t="s">
        <v>4275</v>
      </c>
      <c r="D330" s="2"/>
      <c r="E330" s="31" t="n">
        <v>52.9</v>
      </c>
      <c r="F330" s="31" t="n">
        <v>22.1</v>
      </c>
      <c r="G330" s="31" t="n">
        <v>40.2</v>
      </c>
      <c r="H330" s="2" t="s">
        <v>822</v>
      </c>
    </row>
    <row r="331" customFormat="false" ht="15" hidden="false" customHeight="false" outlineLevel="0" collapsed="false">
      <c r="A331" s="2" t="s">
        <v>438</v>
      </c>
      <c r="B331" s="2" t="s">
        <v>45</v>
      </c>
      <c r="C331" s="2" t="s">
        <v>4274</v>
      </c>
      <c r="D331" s="11" t="n">
        <v>40031</v>
      </c>
      <c r="E331" s="31" t="n">
        <v>14.3</v>
      </c>
      <c r="F331" s="31" t="n">
        <v>10.6</v>
      </c>
      <c r="G331" s="31" t="n">
        <v>49.3</v>
      </c>
      <c r="H331" s="2" t="s">
        <v>822</v>
      </c>
    </row>
    <row r="332" customFormat="false" ht="15" hidden="false" customHeight="false" outlineLevel="0" collapsed="false">
      <c r="A332" s="2" t="s">
        <v>438</v>
      </c>
      <c r="B332" s="2" t="s">
        <v>45</v>
      </c>
      <c r="C332" s="2" t="s">
        <v>4275</v>
      </c>
      <c r="D332" s="11" t="n">
        <v>41170</v>
      </c>
      <c r="E332" s="31" t="n">
        <v>25.9</v>
      </c>
      <c r="F332" s="31" t="n">
        <v>31.3</v>
      </c>
      <c r="G332" s="31" t="n">
        <v>8.9</v>
      </c>
      <c r="H332" s="2" t="s">
        <v>822</v>
      </c>
    </row>
    <row r="333" customFormat="false" ht="15" hidden="false" customHeight="false" outlineLevel="0" collapsed="false">
      <c r="A333" s="2" t="s">
        <v>438</v>
      </c>
      <c r="B333" s="2" t="s">
        <v>46</v>
      </c>
      <c r="C333" s="2" t="s">
        <v>4274</v>
      </c>
      <c r="D333" s="11" t="n">
        <v>17920</v>
      </c>
      <c r="E333" s="31" t="n">
        <v>92.6</v>
      </c>
      <c r="F333" s="2"/>
      <c r="G333" s="2"/>
      <c r="H333" s="2" t="s">
        <v>832</v>
      </c>
    </row>
    <row r="334" customFormat="false" ht="15" hidden="false" customHeight="false" outlineLevel="0" collapsed="false">
      <c r="A334" s="2" t="s">
        <v>438</v>
      </c>
      <c r="B334" s="2" t="s">
        <v>46</v>
      </c>
      <c r="C334" s="2" t="s">
        <v>4275</v>
      </c>
      <c r="D334" s="11" t="n">
        <v>18130</v>
      </c>
      <c r="E334" s="31" t="n">
        <v>90</v>
      </c>
      <c r="F334" s="31" t="n">
        <v>9.8</v>
      </c>
      <c r="G334" s="31" t="n">
        <v>84.1</v>
      </c>
      <c r="H334" s="2" t="s">
        <v>822</v>
      </c>
    </row>
    <row r="335" customFormat="false" ht="15" hidden="false" customHeight="false" outlineLevel="0" collapsed="false">
      <c r="A335" s="2" t="s">
        <v>438</v>
      </c>
      <c r="B335" s="2" t="s">
        <v>47</v>
      </c>
      <c r="C335" s="2" t="s">
        <v>4274</v>
      </c>
      <c r="D335" s="11" t="n">
        <v>28457</v>
      </c>
      <c r="E335" s="31" t="n">
        <v>46.7</v>
      </c>
      <c r="F335" s="31" t="n">
        <v>18</v>
      </c>
      <c r="G335" s="31" t="n">
        <v>50.1</v>
      </c>
      <c r="H335" s="2" t="s">
        <v>822</v>
      </c>
    </row>
    <row r="336" customFormat="false" ht="15" hidden="false" customHeight="false" outlineLevel="0" collapsed="false">
      <c r="A336" s="2" t="s">
        <v>438</v>
      </c>
      <c r="B336" s="2" t="s">
        <v>47</v>
      </c>
      <c r="C336" s="2" t="s">
        <v>4275</v>
      </c>
      <c r="D336" s="11" t="n">
        <v>28140</v>
      </c>
      <c r="E336" s="31" t="n">
        <v>42.7</v>
      </c>
      <c r="F336" s="31" t="n">
        <v>25.3</v>
      </c>
      <c r="G336" s="31" t="n">
        <v>27.6</v>
      </c>
      <c r="H336" s="2" t="s">
        <v>822</v>
      </c>
    </row>
    <row r="337" customFormat="false" ht="15" hidden="false" customHeight="false" outlineLevel="0" collapsed="false">
      <c r="A337" s="2" t="s">
        <v>1893</v>
      </c>
      <c r="B337" s="2" t="s">
        <v>4291</v>
      </c>
      <c r="C337" s="2" t="s">
        <v>4274</v>
      </c>
      <c r="D337" s="2"/>
      <c r="E337" s="31" t="n">
        <v>28.2</v>
      </c>
      <c r="F337" s="31" t="n">
        <v>50</v>
      </c>
      <c r="G337" s="31" t="n">
        <v>48.2</v>
      </c>
      <c r="H337" s="2" t="s">
        <v>822</v>
      </c>
    </row>
    <row r="338" customFormat="false" ht="15" hidden="false" customHeight="false" outlineLevel="0" collapsed="false">
      <c r="A338" s="2" t="s">
        <v>1893</v>
      </c>
      <c r="B338" s="2" t="s">
        <v>4291</v>
      </c>
      <c r="C338" s="2" t="s">
        <v>4275</v>
      </c>
      <c r="D338" s="2"/>
      <c r="E338" s="31" t="n">
        <v>51.1</v>
      </c>
      <c r="F338" s="31" t="n">
        <v>35.8</v>
      </c>
      <c r="G338" s="31" t="n">
        <v>70.3</v>
      </c>
      <c r="H338" s="2" t="s">
        <v>832</v>
      </c>
    </row>
    <row r="339" customFormat="false" ht="15" hidden="false" customHeight="false" outlineLevel="0" collapsed="false">
      <c r="A339" s="2" t="s">
        <v>1893</v>
      </c>
      <c r="B339" s="2" t="s">
        <v>46</v>
      </c>
      <c r="C339" s="2" t="s">
        <v>4274</v>
      </c>
      <c r="D339" s="11" t="n">
        <v>430694</v>
      </c>
      <c r="E339" s="31" t="n">
        <v>20.9</v>
      </c>
      <c r="F339" s="31" t="n">
        <v>7.7</v>
      </c>
      <c r="G339" s="31" t="n">
        <v>4.8</v>
      </c>
      <c r="H339" s="2" t="s">
        <v>822</v>
      </c>
    </row>
    <row r="340" customFormat="false" ht="15" hidden="false" customHeight="false" outlineLevel="0" collapsed="false">
      <c r="A340" s="2" t="s">
        <v>1893</v>
      </c>
      <c r="B340" s="2" t="s">
        <v>46</v>
      </c>
      <c r="C340" s="2" t="s">
        <v>4275</v>
      </c>
      <c r="D340" s="11" t="n">
        <v>421260</v>
      </c>
      <c r="E340" s="31" t="n">
        <v>51.1</v>
      </c>
      <c r="F340" s="31" t="n">
        <v>14.6</v>
      </c>
      <c r="G340" s="31" t="n">
        <v>50.1</v>
      </c>
      <c r="H340" s="2" t="s">
        <v>822</v>
      </c>
    </row>
    <row r="341" customFormat="false" ht="15" hidden="false" customHeight="false" outlineLevel="0" collapsed="false">
      <c r="A341" s="2" t="s">
        <v>1893</v>
      </c>
      <c r="B341" s="2" t="s">
        <v>47</v>
      </c>
      <c r="C341" s="2" t="s">
        <v>4274</v>
      </c>
      <c r="D341" s="11" t="n">
        <v>3461477</v>
      </c>
      <c r="E341" s="31" t="n">
        <v>35.5</v>
      </c>
      <c r="F341" s="31" t="n">
        <v>92.3</v>
      </c>
      <c r="G341" s="31" t="n">
        <v>91.7</v>
      </c>
      <c r="H341" s="2" t="s">
        <v>822</v>
      </c>
    </row>
    <row r="342" customFormat="false" ht="15" hidden="false" customHeight="false" outlineLevel="0" collapsed="false">
      <c r="A342" s="2" t="s">
        <v>1893</v>
      </c>
      <c r="B342" s="2" t="s">
        <v>47</v>
      </c>
      <c r="C342" s="2" t="s">
        <v>4275</v>
      </c>
      <c r="D342" s="11" t="n">
        <v>3534780</v>
      </c>
      <c r="E342" s="2"/>
      <c r="F342" s="31" t="n">
        <v>57.1</v>
      </c>
      <c r="G342" s="31" t="n">
        <v>90.5</v>
      </c>
      <c r="H342" s="2" t="s">
        <v>832</v>
      </c>
    </row>
    <row r="343" customFormat="false" ht="15" hidden="false" customHeight="false" outlineLevel="0" collapsed="false">
      <c r="A343" s="2" t="s">
        <v>622</v>
      </c>
      <c r="B343" s="2" t="s">
        <v>4291</v>
      </c>
      <c r="C343" s="2" t="s">
        <v>4274</v>
      </c>
      <c r="D343" s="2"/>
      <c r="E343" s="31" t="n">
        <v>21.5</v>
      </c>
      <c r="F343" s="31" t="n">
        <v>52</v>
      </c>
      <c r="G343" s="31" t="n">
        <v>46.4</v>
      </c>
      <c r="H343" s="2" t="s">
        <v>822</v>
      </c>
    </row>
    <row r="344" customFormat="false" ht="15" hidden="false" customHeight="false" outlineLevel="0" collapsed="false">
      <c r="A344" s="2" t="s">
        <v>622</v>
      </c>
      <c r="B344" s="2" t="s">
        <v>4291</v>
      </c>
      <c r="C344" s="2" t="s">
        <v>4275</v>
      </c>
      <c r="D344" s="2"/>
      <c r="E344" s="31" t="n">
        <v>37.7</v>
      </c>
      <c r="F344" s="31" t="n">
        <v>48.4</v>
      </c>
      <c r="G344" s="31" t="n">
        <v>50.9</v>
      </c>
      <c r="H344" s="2" t="s">
        <v>822</v>
      </c>
    </row>
    <row r="345" customFormat="false" ht="15" hidden="false" customHeight="false" outlineLevel="0" collapsed="false">
      <c r="A345" s="2" t="s">
        <v>622</v>
      </c>
      <c r="B345" s="2" t="s">
        <v>47</v>
      </c>
      <c r="C345" s="2" t="s">
        <v>4274</v>
      </c>
      <c r="D345" s="11" t="n">
        <v>34737</v>
      </c>
      <c r="E345" s="31" t="n">
        <v>21.5</v>
      </c>
      <c r="F345" s="31" t="n">
        <v>52</v>
      </c>
      <c r="G345" s="31" t="n">
        <v>46.4</v>
      </c>
      <c r="H345" s="2" t="s">
        <v>822</v>
      </c>
    </row>
    <row r="346" customFormat="false" ht="15" hidden="false" customHeight="false" outlineLevel="0" collapsed="false">
      <c r="A346" s="2" t="s">
        <v>622</v>
      </c>
      <c r="B346" s="2" t="s">
        <v>47</v>
      </c>
      <c r="C346" s="2" t="s">
        <v>4275</v>
      </c>
      <c r="D346" s="11" t="n">
        <v>35840</v>
      </c>
      <c r="E346" s="31" t="n">
        <v>37.7</v>
      </c>
      <c r="F346" s="31" t="n">
        <v>48.4</v>
      </c>
      <c r="G346" s="31" t="n">
        <v>50.9</v>
      </c>
      <c r="H346" s="2" t="s">
        <v>822</v>
      </c>
    </row>
    <row r="347" customFormat="false" ht="15" hidden="false" customHeight="false" outlineLevel="0" collapsed="false">
      <c r="A347" s="2" t="s">
        <v>196</v>
      </c>
      <c r="B347" s="2" t="s">
        <v>4291</v>
      </c>
      <c r="C347" s="2" t="s">
        <v>4274</v>
      </c>
      <c r="D347" s="2"/>
      <c r="E347" s="31" t="n">
        <v>63.6</v>
      </c>
      <c r="F347" s="31" t="n">
        <v>61.9</v>
      </c>
      <c r="G347" s="31" t="n">
        <v>71.6</v>
      </c>
      <c r="H347" s="2" t="s">
        <v>822</v>
      </c>
    </row>
    <row r="348" customFormat="false" ht="15" hidden="false" customHeight="false" outlineLevel="0" collapsed="false">
      <c r="A348" s="2" t="s">
        <v>196</v>
      </c>
      <c r="B348" s="2" t="s">
        <v>4291</v>
      </c>
      <c r="C348" s="2" t="s">
        <v>4275</v>
      </c>
      <c r="D348" s="2"/>
      <c r="E348" s="31" t="n">
        <v>76.1</v>
      </c>
      <c r="F348" s="31" t="n">
        <v>50.6</v>
      </c>
      <c r="G348" s="31" t="n">
        <v>58.6</v>
      </c>
      <c r="H348" s="2" t="s">
        <v>822</v>
      </c>
    </row>
    <row r="349" customFormat="false" ht="15" hidden="false" customHeight="false" outlineLevel="0" collapsed="false">
      <c r="A349" s="2" t="s">
        <v>196</v>
      </c>
      <c r="B349" s="2" t="s">
        <v>45</v>
      </c>
      <c r="C349" s="2" t="s">
        <v>4274</v>
      </c>
      <c r="D349" s="11" t="n">
        <v>118212</v>
      </c>
      <c r="E349" s="31" t="n">
        <v>67.4</v>
      </c>
      <c r="F349" s="31" t="n">
        <v>34.9</v>
      </c>
      <c r="G349" s="31" t="n">
        <v>90</v>
      </c>
      <c r="H349" s="2" t="s">
        <v>822</v>
      </c>
    </row>
    <row r="350" customFormat="false" ht="15" hidden="false" customHeight="false" outlineLevel="0" collapsed="false">
      <c r="A350" s="2" t="s">
        <v>196</v>
      </c>
      <c r="B350" s="2" t="s">
        <v>45</v>
      </c>
      <c r="C350" s="2" t="s">
        <v>4275</v>
      </c>
      <c r="D350" s="11" t="n">
        <v>122330</v>
      </c>
      <c r="E350" s="31" t="n">
        <v>83.2</v>
      </c>
      <c r="F350" s="31" t="n">
        <v>18.6</v>
      </c>
      <c r="G350" s="31" t="n">
        <v>84.8</v>
      </c>
      <c r="H350" s="2" t="s">
        <v>822</v>
      </c>
    </row>
    <row r="351" customFormat="false" ht="15" hidden="false" customHeight="false" outlineLevel="0" collapsed="false">
      <c r="A351" s="2" t="s">
        <v>196</v>
      </c>
      <c r="B351" s="2" t="s">
        <v>47</v>
      </c>
      <c r="C351" s="2" t="s">
        <v>4274</v>
      </c>
      <c r="D351" s="11" t="n">
        <v>8069</v>
      </c>
      <c r="E351" s="31" t="n">
        <v>59.9</v>
      </c>
      <c r="F351" s="31" t="n">
        <v>88.9</v>
      </c>
      <c r="G351" s="31" t="n">
        <v>53.3</v>
      </c>
      <c r="H351" s="2" t="s">
        <v>822</v>
      </c>
    </row>
    <row r="352" customFormat="false" ht="15" hidden="false" customHeight="false" outlineLevel="0" collapsed="false">
      <c r="A352" s="2" t="s">
        <v>196</v>
      </c>
      <c r="B352" s="2" t="s">
        <v>47</v>
      </c>
      <c r="C352" s="2" t="s">
        <v>4275</v>
      </c>
      <c r="D352" s="11" t="n">
        <v>8420</v>
      </c>
      <c r="E352" s="31" t="n">
        <v>69</v>
      </c>
      <c r="F352" s="31" t="n">
        <v>82.5</v>
      </c>
      <c r="G352" s="31" t="n">
        <v>32.4</v>
      </c>
      <c r="H352" s="2" t="s">
        <v>822</v>
      </c>
    </row>
    <row r="353" customFormat="false" ht="15" hidden="false" customHeight="false" outlineLevel="0" collapsed="false">
      <c r="A353" s="2" t="s">
        <v>708</v>
      </c>
      <c r="B353" s="2" t="s">
        <v>4291</v>
      </c>
      <c r="C353" s="2" t="s">
        <v>4274</v>
      </c>
      <c r="D353" s="2"/>
      <c r="E353" s="31" t="n">
        <v>5.1</v>
      </c>
      <c r="F353" s="31" t="n">
        <v>83.2</v>
      </c>
      <c r="G353" s="31" t="n">
        <v>41</v>
      </c>
      <c r="H353" s="2" t="s">
        <v>832</v>
      </c>
    </row>
    <row r="354" customFormat="false" ht="15" hidden="false" customHeight="false" outlineLevel="0" collapsed="false">
      <c r="A354" s="2" t="s">
        <v>708</v>
      </c>
      <c r="B354" s="2" t="s">
        <v>4291</v>
      </c>
      <c r="C354" s="2" t="s">
        <v>4275</v>
      </c>
      <c r="D354" s="2"/>
      <c r="E354" s="31" t="n">
        <v>27.2</v>
      </c>
      <c r="F354" s="31" t="n">
        <v>61.9</v>
      </c>
      <c r="G354" s="31" t="n">
        <v>47.3</v>
      </c>
      <c r="H354" s="2" t="s">
        <v>822</v>
      </c>
    </row>
    <row r="355" customFormat="false" ht="15" hidden="false" customHeight="false" outlineLevel="0" collapsed="false">
      <c r="A355" s="2" t="s">
        <v>708</v>
      </c>
      <c r="B355" s="2" t="s">
        <v>45</v>
      </c>
      <c r="C355" s="2" t="s">
        <v>4274</v>
      </c>
      <c r="D355" s="2"/>
      <c r="E355" s="2"/>
      <c r="F355" s="2"/>
      <c r="G355" s="31" t="n">
        <v>72.9</v>
      </c>
      <c r="H355" s="2" t="s">
        <v>832</v>
      </c>
    </row>
    <row r="356" customFormat="false" ht="15" hidden="false" customHeight="false" outlineLevel="0" collapsed="false">
      <c r="A356" s="2" t="s">
        <v>708</v>
      </c>
      <c r="B356" s="2" t="s">
        <v>45</v>
      </c>
      <c r="C356" s="2" t="s">
        <v>4275</v>
      </c>
      <c r="D356" s="11" t="n">
        <v>89530</v>
      </c>
      <c r="E356" s="31" t="n">
        <v>38.9</v>
      </c>
      <c r="F356" s="31" t="n">
        <v>65.6</v>
      </c>
      <c r="G356" s="31" t="n">
        <v>76</v>
      </c>
      <c r="H356" s="2" t="s">
        <v>822</v>
      </c>
    </row>
    <row r="357" customFormat="false" ht="15" hidden="false" customHeight="false" outlineLevel="0" collapsed="false">
      <c r="A357" s="2" t="s">
        <v>708</v>
      </c>
      <c r="B357" s="2" t="s">
        <v>46</v>
      </c>
      <c r="C357" s="2" t="s">
        <v>4274</v>
      </c>
      <c r="D357" s="11" t="n">
        <v>1141080</v>
      </c>
      <c r="E357" s="31" t="n">
        <v>5.1</v>
      </c>
      <c r="F357" s="31" t="n">
        <v>77.8</v>
      </c>
      <c r="G357" s="31" t="n">
        <v>9.4</v>
      </c>
      <c r="H357" s="2" t="s">
        <v>822</v>
      </c>
    </row>
    <row r="358" customFormat="false" ht="15" hidden="false" customHeight="false" outlineLevel="0" collapsed="false">
      <c r="A358" s="2" t="s">
        <v>708</v>
      </c>
      <c r="B358" s="2" t="s">
        <v>46</v>
      </c>
      <c r="C358" s="2" t="s">
        <v>4275</v>
      </c>
      <c r="D358" s="11" t="n">
        <v>1201940</v>
      </c>
      <c r="E358" s="31" t="n">
        <v>3.3</v>
      </c>
      <c r="F358" s="31" t="n">
        <v>50</v>
      </c>
      <c r="G358" s="31" t="n">
        <v>11.7</v>
      </c>
      <c r="H358" s="2" t="s">
        <v>822</v>
      </c>
    </row>
    <row r="359" customFormat="false" ht="15" hidden="false" customHeight="false" outlineLevel="0" collapsed="false">
      <c r="A359" s="2" t="s">
        <v>708</v>
      </c>
      <c r="B359" s="2" t="s">
        <v>47</v>
      </c>
      <c r="C359" s="2" t="s">
        <v>4274</v>
      </c>
      <c r="D359" s="11" t="n">
        <v>49796</v>
      </c>
      <c r="E359" s="2"/>
      <c r="F359" s="31" t="n">
        <v>88.6</v>
      </c>
      <c r="G359" s="31" t="n">
        <v>40.6</v>
      </c>
      <c r="H359" s="2" t="s">
        <v>832</v>
      </c>
    </row>
    <row r="360" customFormat="false" ht="15" hidden="false" customHeight="false" outlineLevel="0" collapsed="false">
      <c r="A360" s="2" t="s">
        <v>708</v>
      </c>
      <c r="B360" s="2" t="s">
        <v>47</v>
      </c>
      <c r="C360" s="2" t="s">
        <v>4275</v>
      </c>
      <c r="D360" s="11" t="n">
        <v>51340</v>
      </c>
      <c r="E360" s="31" t="n">
        <v>39.3</v>
      </c>
      <c r="F360" s="31" t="n">
        <v>70.1</v>
      </c>
      <c r="G360" s="31" t="n">
        <v>54.3</v>
      </c>
      <c r="H360" s="2" t="s">
        <v>822</v>
      </c>
    </row>
    <row r="361" customFormat="false" ht="15" hidden="false" customHeight="false" outlineLevel="0" collapsed="false">
      <c r="A361" s="2" t="s">
        <v>278</v>
      </c>
      <c r="B361" s="2" t="s">
        <v>4291</v>
      </c>
      <c r="C361" s="2" t="s">
        <v>4274</v>
      </c>
      <c r="D361" s="2"/>
      <c r="E361" s="31" t="n">
        <v>55.2</v>
      </c>
      <c r="F361" s="31" t="n">
        <v>31.7</v>
      </c>
      <c r="G361" s="31" t="n">
        <v>32.9</v>
      </c>
      <c r="H361" s="2" t="s">
        <v>832</v>
      </c>
    </row>
    <row r="362" customFormat="false" ht="15" hidden="false" customHeight="false" outlineLevel="0" collapsed="false">
      <c r="A362" s="2" t="s">
        <v>278</v>
      </c>
      <c r="B362" s="2" t="s">
        <v>4291</v>
      </c>
      <c r="C362" s="2" t="s">
        <v>4275</v>
      </c>
      <c r="D362" s="2"/>
      <c r="E362" s="31" t="n">
        <v>64.9</v>
      </c>
      <c r="F362" s="31" t="n">
        <v>30.6</v>
      </c>
      <c r="G362" s="31" t="n">
        <v>44.4</v>
      </c>
      <c r="H362" s="2" t="s">
        <v>822</v>
      </c>
    </row>
    <row r="363" customFormat="false" ht="15" hidden="false" customHeight="false" outlineLevel="0" collapsed="false">
      <c r="A363" s="2" t="s">
        <v>278</v>
      </c>
      <c r="B363" s="2" t="s">
        <v>45</v>
      </c>
      <c r="C363" s="2" t="s">
        <v>4274</v>
      </c>
      <c r="D363" s="11" t="n">
        <v>15830</v>
      </c>
      <c r="E363" s="31" t="n">
        <v>29.8</v>
      </c>
      <c r="F363" s="31" t="n">
        <v>29.6</v>
      </c>
      <c r="G363" s="31" t="n">
        <v>84.1</v>
      </c>
      <c r="H363" s="2" t="s">
        <v>822</v>
      </c>
    </row>
    <row r="364" customFormat="false" ht="15" hidden="false" customHeight="false" outlineLevel="0" collapsed="false">
      <c r="A364" s="2" t="s">
        <v>278</v>
      </c>
      <c r="B364" s="2" t="s">
        <v>45</v>
      </c>
      <c r="C364" s="2" t="s">
        <v>4275</v>
      </c>
      <c r="D364" s="11" t="n">
        <v>16390</v>
      </c>
      <c r="E364" s="31" t="n">
        <v>47.1</v>
      </c>
      <c r="F364" s="31" t="n">
        <v>36.4</v>
      </c>
      <c r="G364" s="31" t="n">
        <v>68.3</v>
      </c>
      <c r="H364" s="2" t="s">
        <v>822</v>
      </c>
    </row>
    <row r="365" customFormat="false" ht="15" hidden="false" customHeight="false" outlineLevel="0" collapsed="false">
      <c r="A365" s="2" t="s">
        <v>278</v>
      </c>
      <c r="B365" s="2" t="s">
        <v>46</v>
      </c>
      <c r="C365" s="2" t="s">
        <v>4274</v>
      </c>
      <c r="D365" s="11" t="n">
        <v>22078</v>
      </c>
      <c r="E365" s="31" t="n">
        <v>79.5</v>
      </c>
      <c r="F365" s="31" t="n">
        <v>46.4</v>
      </c>
      <c r="G365" s="31" t="n">
        <v>6.8</v>
      </c>
      <c r="H365" s="2" t="s">
        <v>832</v>
      </c>
    </row>
    <row r="366" customFormat="false" ht="15" hidden="false" customHeight="false" outlineLevel="0" collapsed="false">
      <c r="A366" s="2" t="s">
        <v>278</v>
      </c>
      <c r="B366" s="2" t="s">
        <v>46</v>
      </c>
      <c r="C366" s="2" t="s">
        <v>4275</v>
      </c>
      <c r="D366" s="11" t="n">
        <v>23170</v>
      </c>
      <c r="E366" s="31" t="n">
        <v>84.9</v>
      </c>
      <c r="F366" s="31" t="n">
        <v>47.6</v>
      </c>
      <c r="G366" s="31" t="n">
        <v>61.6</v>
      </c>
      <c r="H366" s="2" t="s">
        <v>822</v>
      </c>
    </row>
    <row r="367" customFormat="false" ht="15" hidden="false" customHeight="false" outlineLevel="0" collapsed="false">
      <c r="A367" s="2" t="s">
        <v>278</v>
      </c>
      <c r="B367" s="2" t="s">
        <v>47</v>
      </c>
      <c r="C367" s="2" t="s">
        <v>4274</v>
      </c>
      <c r="D367" s="11" t="n">
        <v>51809</v>
      </c>
      <c r="E367" s="31" t="n">
        <v>56.4</v>
      </c>
      <c r="F367" s="31" t="n">
        <v>19</v>
      </c>
      <c r="G367" s="31" t="n">
        <v>7.9</v>
      </c>
      <c r="H367" s="2" t="s">
        <v>822</v>
      </c>
    </row>
    <row r="368" customFormat="false" ht="15" hidden="false" customHeight="false" outlineLevel="0" collapsed="false">
      <c r="A368" s="2" t="s">
        <v>278</v>
      </c>
      <c r="B368" s="2" t="s">
        <v>47</v>
      </c>
      <c r="C368" s="2" t="s">
        <v>4275</v>
      </c>
      <c r="D368" s="11" t="n">
        <v>49600</v>
      </c>
      <c r="E368" s="31" t="n">
        <v>62.8</v>
      </c>
      <c r="F368" s="31" t="n">
        <v>7.8</v>
      </c>
      <c r="G368" s="31" t="n">
        <v>3.2</v>
      </c>
      <c r="H368" s="2" t="s">
        <v>822</v>
      </c>
    </row>
    <row r="369" customFormat="false" ht="15" hidden="false" customHeight="false" outlineLevel="0" collapsed="false">
      <c r="A369" s="2" t="s">
        <v>366</v>
      </c>
      <c r="B369" s="2" t="s">
        <v>4291</v>
      </c>
      <c r="C369" s="2" t="s">
        <v>4274</v>
      </c>
      <c r="D369" s="2"/>
      <c r="E369" s="31" t="n">
        <v>65.6</v>
      </c>
      <c r="F369" s="31" t="n">
        <v>86.2</v>
      </c>
      <c r="G369" s="31" t="n">
        <v>22.9</v>
      </c>
      <c r="H369" s="2" t="s">
        <v>832</v>
      </c>
    </row>
    <row r="370" customFormat="false" ht="15" hidden="false" customHeight="false" outlineLevel="0" collapsed="false">
      <c r="A370" s="2" t="s">
        <v>366</v>
      </c>
      <c r="B370" s="2" t="s">
        <v>4291</v>
      </c>
      <c r="C370" s="2" t="s">
        <v>4275</v>
      </c>
      <c r="D370" s="2"/>
      <c r="E370" s="31" t="n">
        <v>57.5</v>
      </c>
      <c r="F370" s="31" t="n">
        <v>74.3</v>
      </c>
      <c r="G370" s="31" t="n">
        <v>54.9</v>
      </c>
      <c r="H370" s="2" t="s">
        <v>822</v>
      </c>
    </row>
    <row r="371" customFormat="false" ht="15" hidden="false" customHeight="false" outlineLevel="0" collapsed="false">
      <c r="A371" s="2" t="s">
        <v>366</v>
      </c>
      <c r="B371" s="2" t="s">
        <v>45</v>
      </c>
      <c r="C371" s="2" t="s">
        <v>4274</v>
      </c>
      <c r="D371" s="11" t="n">
        <v>4990</v>
      </c>
      <c r="E371" s="31" t="n">
        <v>78.4</v>
      </c>
      <c r="F371" s="31" t="n">
        <v>77.4</v>
      </c>
      <c r="G371" s="2"/>
      <c r="H371" s="2" t="s">
        <v>832</v>
      </c>
    </row>
    <row r="372" customFormat="false" ht="15" hidden="false" customHeight="false" outlineLevel="0" collapsed="false">
      <c r="A372" s="2" t="s">
        <v>366</v>
      </c>
      <c r="B372" s="2" t="s">
        <v>45</v>
      </c>
      <c r="C372" s="2" t="s">
        <v>4275</v>
      </c>
      <c r="D372" s="11" t="n">
        <v>5257</v>
      </c>
      <c r="E372" s="31" t="n">
        <v>83.9</v>
      </c>
      <c r="F372" s="31" t="n">
        <v>49.3</v>
      </c>
      <c r="G372" s="31" t="n">
        <v>73.9</v>
      </c>
      <c r="H372" s="2" t="s">
        <v>822</v>
      </c>
    </row>
    <row r="373" customFormat="false" ht="15" hidden="false" customHeight="false" outlineLevel="0" collapsed="false">
      <c r="A373" s="2" t="s">
        <v>366</v>
      </c>
      <c r="B373" s="2" t="s">
        <v>46</v>
      </c>
      <c r="C373" s="2" t="s">
        <v>4274</v>
      </c>
      <c r="D373" s="11" t="n">
        <v>7966</v>
      </c>
      <c r="E373" s="31" t="n">
        <v>52.6</v>
      </c>
      <c r="F373" s="31" t="n">
        <v>89.5</v>
      </c>
      <c r="G373" s="2"/>
      <c r="H373" s="2" t="s">
        <v>832</v>
      </c>
    </row>
    <row r="374" customFormat="false" ht="15" hidden="false" customHeight="false" outlineLevel="0" collapsed="false">
      <c r="A374" s="2" t="s">
        <v>366</v>
      </c>
      <c r="B374" s="2" t="s">
        <v>46</v>
      </c>
      <c r="C374" s="2" t="s">
        <v>4275</v>
      </c>
      <c r="D374" s="11" t="n">
        <v>8720</v>
      </c>
      <c r="E374" s="31" t="n">
        <v>19.1</v>
      </c>
      <c r="F374" s="31" t="n">
        <v>98.1</v>
      </c>
      <c r="G374" s="31" t="n">
        <v>47.5</v>
      </c>
      <c r="H374" s="2" t="s">
        <v>822</v>
      </c>
    </row>
    <row r="375" customFormat="false" ht="15" hidden="false" customHeight="false" outlineLevel="0" collapsed="false">
      <c r="A375" s="2" t="s">
        <v>366</v>
      </c>
      <c r="B375" s="2" t="s">
        <v>47</v>
      </c>
      <c r="C375" s="2" t="s">
        <v>4274</v>
      </c>
      <c r="D375" s="11" t="n">
        <v>29029</v>
      </c>
      <c r="E375" s="31" t="n">
        <v>65.7</v>
      </c>
      <c r="F375" s="31" t="n">
        <v>91.8</v>
      </c>
      <c r="G375" s="31" t="n">
        <v>22.9</v>
      </c>
      <c r="H375" s="2" t="s">
        <v>822</v>
      </c>
    </row>
    <row r="376" customFormat="false" ht="15" hidden="false" customHeight="false" outlineLevel="0" collapsed="false">
      <c r="A376" s="2" t="s">
        <v>366</v>
      </c>
      <c r="B376" s="2" t="s">
        <v>47</v>
      </c>
      <c r="C376" s="2" t="s">
        <v>4275</v>
      </c>
      <c r="D376" s="11" t="n">
        <v>31372</v>
      </c>
      <c r="E376" s="31" t="n">
        <v>69.5</v>
      </c>
      <c r="F376" s="31" t="n">
        <v>75.6</v>
      </c>
      <c r="G376" s="31" t="n">
        <v>43.2</v>
      </c>
      <c r="H376" s="2" t="s">
        <v>822</v>
      </c>
    </row>
    <row r="377" customFormat="false" ht="15" hidden="false" customHeight="false" outlineLevel="0" collapsed="false">
      <c r="A377" s="2" t="s">
        <v>1053</v>
      </c>
      <c r="B377" s="2" t="s">
        <v>4291</v>
      </c>
      <c r="C377" s="2" t="s">
        <v>4274</v>
      </c>
      <c r="D377" s="2"/>
      <c r="E377" s="31" t="n">
        <v>50.2</v>
      </c>
      <c r="F377" s="31" t="n">
        <v>33.9</v>
      </c>
      <c r="G377" s="31" t="n">
        <v>56.7</v>
      </c>
      <c r="H377" s="2" t="s">
        <v>822</v>
      </c>
    </row>
    <row r="378" customFormat="false" ht="15" hidden="false" customHeight="false" outlineLevel="0" collapsed="false">
      <c r="A378" s="2" t="s">
        <v>1053</v>
      </c>
      <c r="B378" s="2" t="s">
        <v>4291</v>
      </c>
      <c r="C378" s="2" t="s">
        <v>4275</v>
      </c>
      <c r="D378" s="2"/>
      <c r="E378" s="31" t="n">
        <v>72.8</v>
      </c>
      <c r="F378" s="31" t="n">
        <v>2.9</v>
      </c>
      <c r="G378" s="31" t="n">
        <v>79.3</v>
      </c>
      <c r="H378" s="2" t="s">
        <v>832</v>
      </c>
    </row>
    <row r="379" customFormat="false" ht="15" hidden="false" customHeight="false" outlineLevel="0" collapsed="false">
      <c r="A379" s="2" t="s">
        <v>1053</v>
      </c>
      <c r="B379" s="2" t="s">
        <v>45</v>
      </c>
      <c r="C379" s="2" t="s">
        <v>4274</v>
      </c>
      <c r="D379" s="11" t="n">
        <v>124870</v>
      </c>
      <c r="E379" s="31" t="n">
        <v>51.4</v>
      </c>
      <c r="F379" s="31" t="n">
        <v>14.4</v>
      </c>
      <c r="G379" s="31" t="n">
        <v>76.3</v>
      </c>
      <c r="H379" s="2" t="s">
        <v>822</v>
      </c>
    </row>
    <row r="380" customFormat="false" ht="15" hidden="false" customHeight="false" outlineLevel="0" collapsed="false">
      <c r="A380" s="2" t="s">
        <v>1053</v>
      </c>
      <c r="B380" s="2" t="s">
        <v>45</v>
      </c>
      <c r="C380" s="2" t="s">
        <v>4275</v>
      </c>
      <c r="D380" s="11" t="n">
        <v>123680</v>
      </c>
      <c r="E380" s="31" t="n">
        <v>72.8</v>
      </c>
      <c r="F380" s="31" t="n">
        <v>2.9</v>
      </c>
      <c r="G380" s="31" t="n">
        <v>79.3</v>
      </c>
      <c r="H380" s="2" t="s">
        <v>822</v>
      </c>
    </row>
    <row r="381" customFormat="false" ht="15" hidden="false" customHeight="false" outlineLevel="0" collapsed="false">
      <c r="A381" s="2" t="s">
        <v>1053</v>
      </c>
      <c r="B381" s="2" t="s">
        <v>46</v>
      </c>
      <c r="C381" s="2" t="s">
        <v>4274</v>
      </c>
      <c r="D381" s="11" t="n">
        <v>301450</v>
      </c>
      <c r="E381" s="31" t="n">
        <v>6.5</v>
      </c>
      <c r="F381" s="31" t="n">
        <v>25</v>
      </c>
      <c r="G381" s="31" t="n">
        <v>23.1</v>
      </c>
      <c r="H381" s="2" t="s">
        <v>822</v>
      </c>
    </row>
    <row r="382" customFormat="false" ht="15" hidden="false" customHeight="false" outlineLevel="0" collapsed="false">
      <c r="A382" s="2" t="s">
        <v>1053</v>
      </c>
      <c r="B382" s="2" t="s">
        <v>46</v>
      </c>
      <c r="C382" s="2" t="s">
        <v>4275</v>
      </c>
      <c r="D382" s="2"/>
      <c r="E382" s="2"/>
      <c r="F382" s="2"/>
      <c r="G382" s="2"/>
      <c r="H382" s="2" t="s">
        <v>832</v>
      </c>
    </row>
    <row r="383" customFormat="false" ht="15" hidden="false" customHeight="false" outlineLevel="0" collapsed="false">
      <c r="A383" s="2" t="s">
        <v>1053</v>
      </c>
      <c r="B383" s="2" t="s">
        <v>47</v>
      </c>
      <c r="C383" s="2" t="s">
        <v>4274</v>
      </c>
      <c r="D383" s="11" t="n">
        <v>102402</v>
      </c>
      <c r="E383" s="31" t="n">
        <v>92.6</v>
      </c>
      <c r="F383" s="31" t="n">
        <v>62.3</v>
      </c>
      <c r="G383" s="31" t="n">
        <v>70.7</v>
      </c>
      <c r="H383" s="2" t="s">
        <v>822</v>
      </c>
    </row>
    <row r="384" customFormat="false" ht="15" hidden="false" customHeight="false" outlineLevel="0" collapsed="false">
      <c r="A384" s="2" t="s">
        <v>1053</v>
      </c>
      <c r="B384" s="2" t="s">
        <v>47</v>
      </c>
      <c r="C384" s="2" t="s">
        <v>4275</v>
      </c>
      <c r="D384" s="2"/>
      <c r="E384" s="2"/>
      <c r="F384" s="2"/>
      <c r="G384" s="2"/>
      <c r="H384" s="2" t="s">
        <v>832</v>
      </c>
    </row>
    <row r="385" customFormat="false" ht="15" hidden="false" customHeight="false" outlineLevel="0" collapsed="false">
      <c r="A385" s="2" t="s">
        <v>306</v>
      </c>
      <c r="B385" s="2" t="s">
        <v>4291</v>
      </c>
      <c r="C385" s="2" t="s">
        <v>4274</v>
      </c>
      <c r="D385" s="2"/>
      <c r="E385" s="31" t="n">
        <v>63.5</v>
      </c>
      <c r="F385" s="31" t="n">
        <v>28.8</v>
      </c>
      <c r="G385" s="31" t="n">
        <v>32</v>
      </c>
      <c r="H385" s="2" t="s">
        <v>832</v>
      </c>
    </row>
    <row r="386" customFormat="false" ht="15" hidden="false" customHeight="false" outlineLevel="0" collapsed="false">
      <c r="A386" s="2" t="s">
        <v>306</v>
      </c>
      <c r="B386" s="2" t="s">
        <v>4291</v>
      </c>
      <c r="C386" s="2" t="s">
        <v>4275</v>
      </c>
      <c r="D386" s="2"/>
      <c r="E386" s="31" t="n">
        <v>63.1</v>
      </c>
      <c r="F386" s="31" t="n">
        <v>38.3</v>
      </c>
      <c r="G386" s="31" t="n">
        <v>58.9</v>
      </c>
      <c r="H386" s="2" t="s">
        <v>822</v>
      </c>
    </row>
    <row r="387" customFormat="false" ht="15" hidden="false" customHeight="false" outlineLevel="0" collapsed="false">
      <c r="A387" s="2" t="s">
        <v>306</v>
      </c>
      <c r="B387" s="2" t="s">
        <v>45</v>
      </c>
      <c r="C387" s="2" t="s">
        <v>4274</v>
      </c>
      <c r="D387" s="11" t="n">
        <v>144840</v>
      </c>
      <c r="E387" s="31" t="n">
        <v>31.8</v>
      </c>
      <c r="F387" s="31" t="n">
        <v>9.6</v>
      </c>
      <c r="G387" s="31" t="n">
        <v>22.4</v>
      </c>
      <c r="H387" s="2" t="s">
        <v>822</v>
      </c>
    </row>
    <row r="388" customFormat="false" ht="15" hidden="false" customHeight="false" outlineLevel="0" collapsed="false">
      <c r="A388" s="2" t="s">
        <v>306</v>
      </c>
      <c r="B388" s="2" t="s">
        <v>45</v>
      </c>
      <c r="C388" s="2" t="s">
        <v>4275</v>
      </c>
      <c r="D388" s="11" t="n">
        <v>146070</v>
      </c>
      <c r="E388" s="31" t="n">
        <v>28.5</v>
      </c>
      <c r="F388" s="31" t="n">
        <v>10.7</v>
      </c>
      <c r="G388" s="31" t="n">
        <v>48.3</v>
      </c>
      <c r="H388" s="2" t="s">
        <v>822</v>
      </c>
    </row>
    <row r="389" customFormat="false" ht="15" hidden="false" customHeight="false" outlineLevel="0" collapsed="false">
      <c r="A389" s="2" t="s">
        <v>306</v>
      </c>
      <c r="B389" s="2" t="s">
        <v>46</v>
      </c>
      <c r="C389" s="2" t="s">
        <v>4274</v>
      </c>
      <c r="D389" s="11" t="n">
        <v>2890</v>
      </c>
      <c r="E389" s="31" t="n">
        <v>79.6</v>
      </c>
      <c r="F389" s="2"/>
      <c r="G389" s="31" t="n">
        <v>54.6</v>
      </c>
      <c r="H389" s="2" t="s">
        <v>832</v>
      </c>
    </row>
    <row r="390" customFormat="false" ht="15" hidden="false" customHeight="false" outlineLevel="0" collapsed="false">
      <c r="A390" s="2" t="s">
        <v>306</v>
      </c>
      <c r="B390" s="2" t="s">
        <v>46</v>
      </c>
      <c r="C390" s="2" t="s">
        <v>4275</v>
      </c>
      <c r="D390" s="11" t="n">
        <v>2990</v>
      </c>
      <c r="E390" s="31" t="n">
        <v>85.7</v>
      </c>
      <c r="F390" s="31" t="n">
        <v>45.3</v>
      </c>
      <c r="G390" s="31" t="n">
        <v>69.3</v>
      </c>
      <c r="H390" s="2" t="s">
        <v>822</v>
      </c>
    </row>
    <row r="391" customFormat="false" ht="15" hidden="false" customHeight="false" outlineLevel="0" collapsed="false">
      <c r="A391" s="2" t="s">
        <v>306</v>
      </c>
      <c r="B391" s="2" t="s">
        <v>47</v>
      </c>
      <c r="C391" s="2" t="s">
        <v>4274</v>
      </c>
      <c r="D391" s="11" t="n">
        <v>98606</v>
      </c>
      <c r="E391" s="31" t="n">
        <v>79.2</v>
      </c>
      <c r="F391" s="31" t="n">
        <v>48</v>
      </c>
      <c r="G391" s="31" t="n">
        <v>19</v>
      </c>
      <c r="H391" s="2" t="s">
        <v>822</v>
      </c>
    </row>
    <row r="392" customFormat="false" ht="15" hidden="false" customHeight="false" outlineLevel="0" collapsed="false">
      <c r="A392" s="2" t="s">
        <v>306</v>
      </c>
      <c r="B392" s="2" t="s">
        <v>47</v>
      </c>
      <c r="C392" s="2" t="s">
        <v>4275</v>
      </c>
      <c r="D392" s="11" t="n">
        <v>103540</v>
      </c>
      <c r="E392" s="31" t="n">
        <v>75.1</v>
      </c>
      <c r="F392" s="31" t="n">
        <v>59</v>
      </c>
      <c r="G392" s="31" t="n">
        <v>59.1</v>
      </c>
      <c r="H392" s="2" t="s">
        <v>822</v>
      </c>
    </row>
    <row r="393" customFormat="false" ht="15" hidden="false" customHeight="false" outlineLevel="0" collapsed="false">
      <c r="A393" s="2" t="s">
        <v>358</v>
      </c>
      <c r="B393" s="2" t="s">
        <v>4291</v>
      </c>
      <c r="C393" s="2" t="s">
        <v>4274</v>
      </c>
      <c r="D393" s="2"/>
      <c r="E393" s="31" t="n">
        <v>53.8</v>
      </c>
      <c r="F393" s="31" t="n">
        <v>45.3</v>
      </c>
      <c r="G393" s="31" t="n">
        <v>74.4</v>
      </c>
      <c r="H393" s="2" t="s">
        <v>822</v>
      </c>
    </row>
    <row r="394" customFormat="false" ht="15" hidden="false" customHeight="false" outlineLevel="0" collapsed="false">
      <c r="A394" s="2" t="s">
        <v>358</v>
      </c>
      <c r="B394" s="2" t="s">
        <v>4291</v>
      </c>
      <c r="C394" s="2" t="s">
        <v>4275</v>
      </c>
      <c r="D394" s="2"/>
      <c r="E394" s="31" t="n">
        <v>58.9</v>
      </c>
      <c r="F394" s="31" t="n">
        <v>27.3</v>
      </c>
      <c r="G394" s="31" t="n">
        <v>72.4</v>
      </c>
      <c r="H394" s="2" t="s">
        <v>822</v>
      </c>
    </row>
    <row r="395" customFormat="false" ht="15" hidden="false" customHeight="false" outlineLevel="0" collapsed="false">
      <c r="A395" s="2" t="s">
        <v>358</v>
      </c>
      <c r="B395" s="2" t="s">
        <v>46</v>
      </c>
      <c r="C395" s="2" t="s">
        <v>4274</v>
      </c>
      <c r="D395" s="11" t="n">
        <v>11810</v>
      </c>
      <c r="E395" s="31" t="n">
        <v>53.8</v>
      </c>
      <c r="F395" s="31" t="n">
        <v>45.3</v>
      </c>
      <c r="G395" s="31" t="n">
        <v>74.4</v>
      </c>
      <c r="H395" s="2" t="s">
        <v>822</v>
      </c>
    </row>
    <row r="396" customFormat="false" ht="15" hidden="false" customHeight="false" outlineLevel="0" collapsed="false">
      <c r="A396" s="2" t="s">
        <v>358</v>
      </c>
      <c r="B396" s="2" t="s">
        <v>46</v>
      </c>
      <c r="C396" s="2" t="s">
        <v>4275</v>
      </c>
      <c r="D396" s="11" t="n">
        <v>11990</v>
      </c>
      <c r="E396" s="31" t="n">
        <v>58.9</v>
      </c>
      <c r="F396" s="31" t="n">
        <v>27.3</v>
      </c>
      <c r="G396" s="31" t="n">
        <v>72.4</v>
      </c>
      <c r="H396" s="2" t="s">
        <v>822</v>
      </c>
    </row>
    <row r="397" customFormat="false" ht="15" hidden="false" customHeight="false" outlineLevel="0" collapsed="false">
      <c r="A397" s="2" t="s">
        <v>1444</v>
      </c>
      <c r="B397" s="2" t="s">
        <v>4291</v>
      </c>
      <c r="C397" s="2" t="s">
        <v>4274</v>
      </c>
      <c r="D397" s="2"/>
      <c r="E397" s="31" t="n">
        <v>29.4</v>
      </c>
      <c r="F397" s="31" t="n">
        <v>44.5</v>
      </c>
      <c r="G397" s="31" t="n">
        <v>50.7</v>
      </c>
      <c r="H397" s="2" t="s">
        <v>832</v>
      </c>
    </row>
    <row r="398" customFormat="false" ht="15" hidden="false" customHeight="false" outlineLevel="0" collapsed="false">
      <c r="A398" s="2" t="s">
        <v>1444</v>
      </c>
      <c r="B398" s="2" t="s">
        <v>4291</v>
      </c>
      <c r="C398" s="2" t="s">
        <v>4275</v>
      </c>
      <c r="D398" s="2"/>
      <c r="E398" s="31" t="n">
        <v>17.2</v>
      </c>
      <c r="F398" s="31" t="n">
        <v>6.5</v>
      </c>
      <c r="G398" s="31" t="n">
        <v>15.6</v>
      </c>
      <c r="H398" s="2" t="s">
        <v>832</v>
      </c>
    </row>
    <row r="399" customFormat="false" ht="15" hidden="false" customHeight="false" outlineLevel="0" collapsed="false">
      <c r="A399" s="2" t="s">
        <v>1444</v>
      </c>
      <c r="B399" s="2" t="s">
        <v>45</v>
      </c>
      <c r="C399" s="2" t="s">
        <v>4274</v>
      </c>
      <c r="D399" s="11" t="n">
        <v>235640</v>
      </c>
      <c r="E399" s="31" t="n">
        <v>29.4</v>
      </c>
      <c r="F399" s="31" t="n">
        <v>44.5</v>
      </c>
      <c r="G399" s="31" t="n">
        <v>50.7</v>
      </c>
      <c r="H399" s="2" t="s">
        <v>822</v>
      </c>
    </row>
    <row r="400" customFormat="false" ht="15" hidden="false" customHeight="false" outlineLevel="0" collapsed="false">
      <c r="A400" s="2" t="s">
        <v>1444</v>
      </c>
      <c r="B400" s="2" t="s">
        <v>45</v>
      </c>
      <c r="C400" s="2" t="s">
        <v>4275</v>
      </c>
      <c r="D400" s="11" t="n">
        <v>229816</v>
      </c>
      <c r="E400" s="31" t="n">
        <v>21.4</v>
      </c>
      <c r="F400" s="31" t="n">
        <v>8.6</v>
      </c>
      <c r="G400" s="31" t="n">
        <v>15.6</v>
      </c>
      <c r="H400" s="2" t="s">
        <v>822</v>
      </c>
    </row>
    <row r="401" customFormat="false" ht="15" hidden="false" customHeight="false" outlineLevel="0" collapsed="false">
      <c r="A401" s="2" t="s">
        <v>1444</v>
      </c>
      <c r="B401" s="2" t="s">
        <v>46</v>
      </c>
      <c r="C401" s="2" t="s">
        <v>4274</v>
      </c>
      <c r="D401" s="2"/>
      <c r="E401" s="2"/>
      <c r="F401" s="2"/>
      <c r="G401" s="2"/>
      <c r="H401" s="2" t="s">
        <v>832</v>
      </c>
    </row>
    <row r="402" customFormat="false" ht="15" hidden="false" customHeight="false" outlineLevel="0" collapsed="false">
      <c r="A402" s="2" t="s">
        <v>1444</v>
      </c>
      <c r="B402" s="2" t="s">
        <v>46</v>
      </c>
      <c r="C402" s="2" t="s">
        <v>4275</v>
      </c>
      <c r="D402" s="11" t="n">
        <v>32132</v>
      </c>
      <c r="E402" s="31" t="n">
        <v>13</v>
      </c>
      <c r="F402" s="31" t="n">
        <v>4.4</v>
      </c>
      <c r="G402" s="2"/>
      <c r="H402" s="2" t="s">
        <v>832</v>
      </c>
    </row>
    <row r="403" customFormat="false" ht="15" hidden="false" customHeight="false" outlineLevel="0" collapsed="false">
      <c r="A403" s="2" t="s">
        <v>1444</v>
      </c>
      <c r="B403" s="2" t="s">
        <v>47</v>
      </c>
      <c r="C403" s="2" t="s">
        <v>4274</v>
      </c>
      <c r="D403" s="2"/>
      <c r="E403" s="2"/>
      <c r="F403" s="2"/>
      <c r="G403" s="2"/>
      <c r="H403" s="2" t="s">
        <v>832</v>
      </c>
    </row>
    <row r="404" customFormat="false" ht="15" hidden="false" customHeight="false" outlineLevel="0" collapsed="false">
      <c r="A404" s="2" t="s">
        <v>1444</v>
      </c>
      <c r="B404" s="2" t="s">
        <v>47</v>
      </c>
      <c r="C404" s="2" t="s">
        <v>4275</v>
      </c>
      <c r="D404" s="2"/>
      <c r="E404" s="2"/>
      <c r="F404" s="2"/>
      <c r="G404" s="2"/>
      <c r="H404" s="2" t="s">
        <v>832</v>
      </c>
    </row>
    <row r="405" customFormat="false" ht="15" hidden="false" customHeight="false" outlineLevel="0" collapsed="false">
      <c r="A405" s="2" t="s">
        <v>624</v>
      </c>
      <c r="B405" s="2" t="s">
        <v>4291</v>
      </c>
      <c r="C405" s="2" t="s">
        <v>4274</v>
      </c>
      <c r="D405" s="2"/>
      <c r="E405" s="31" t="n">
        <v>27.4</v>
      </c>
      <c r="F405" s="31" t="n">
        <v>54.1</v>
      </c>
      <c r="G405" s="31" t="n">
        <v>39.2</v>
      </c>
      <c r="H405" s="2" t="s">
        <v>822</v>
      </c>
    </row>
    <row r="406" customFormat="false" ht="15" hidden="false" customHeight="false" outlineLevel="0" collapsed="false">
      <c r="A406" s="2" t="s">
        <v>624</v>
      </c>
      <c r="B406" s="2" t="s">
        <v>4291</v>
      </c>
      <c r="C406" s="2" t="s">
        <v>4275</v>
      </c>
      <c r="D406" s="2"/>
      <c r="E406" s="31" t="n">
        <v>37.5</v>
      </c>
      <c r="F406" s="31" t="n">
        <v>67.9</v>
      </c>
      <c r="G406" s="31" t="n">
        <v>52.6</v>
      </c>
      <c r="H406" s="2" t="s">
        <v>822</v>
      </c>
    </row>
    <row r="407" customFormat="false" ht="15" hidden="false" customHeight="false" outlineLevel="0" collapsed="false">
      <c r="A407" s="2" t="s">
        <v>624</v>
      </c>
      <c r="B407" s="2" t="s">
        <v>45</v>
      </c>
      <c r="C407" s="2" t="s">
        <v>4274</v>
      </c>
      <c r="D407" s="11" t="n">
        <v>70183</v>
      </c>
      <c r="E407" s="31" t="n">
        <v>3.9</v>
      </c>
      <c r="F407" s="31" t="n">
        <v>47.1</v>
      </c>
      <c r="G407" s="31" t="n">
        <v>29</v>
      </c>
      <c r="H407" s="2" t="s">
        <v>822</v>
      </c>
    </row>
    <row r="408" customFormat="false" ht="15" hidden="false" customHeight="false" outlineLevel="0" collapsed="false">
      <c r="A408" s="2" t="s">
        <v>624</v>
      </c>
      <c r="B408" s="2" t="s">
        <v>45</v>
      </c>
      <c r="C408" s="2" t="s">
        <v>4275</v>
      </c>
      <c r="D408" s="11" t="n">
        <v>72490</v>
      </c>
      <c r="E408" s="31" t="n">
        <v>5.1</v>
      </c>
      <c r="F408" s="31" t="n">
        <v>50.9</v>
      </c>
      <c r="G408" s="31" t="n">
        <v>62.9</v>
      </c>
      <c r="H408" s="2" t="s">
        <v>822</v>
      </c>
    </row>
    <row r="409" customFormat="false" ht="15" hidden="false" customHeight="false" outlineLevel="0" collapsed="false">
      <c r="A409" s="2" t="s">
        <v>624</v>
      </c>
      <c r="B409" s="2" t="s">
        <v>46</v>
      </c>
      <c r="C409" s="2" t="s">
        <v>4274</v>
      </c>
      <c r="D409" s="11" t="n">
        <v>213729</v>
      </c>
      <c r="E409" s="31" t="n">
        <v>35.4</v>
      </c>
      <c r="F409" s="31" t="n">
        <v>79.5</v>
      </c>
      <c r="G409" s="31" t="n">
        <v>14.6</v>
      </c>
      <c r="H409" s="2" t="s">
        <v>822</v>
      </c>
    </row>
    <row r="410" customFormat="false" ht="15" hidden="false" customHeight="false" outlineLevel="0" collapsed="false">
      <c r="A410" s="2" t="s">
        <v>624</v>
      </c>
      <c r="B410" s="2" t="s">
        <v>46</v>
      </c>
      <c r="C410" s="2" t="s">
        <v>4275</v>
      </c>
      <c r="D410" s="11" t="n">
        <v>217320</v>
      </c>
      <c r="E410" s="31" t="n">
        <v>45.4</v>
      </c>
      <c r="F410" s="31" t="n">
        <v>80.9</v>
      </c>
      <c r="G410" s="31" t="n">
        <v>30</v>
      </c>
      <c r="H410" s="2" t="s">
        <v>822</v>
      </c>
    </row>
    <row r="411" customFormat="false" ht="15" hidden="false" customHeight="false" outlineLevel="0" collapsed="false">
      <c r="A411" s="2" t="s">
        <v>624</v>
      </c>
      <c r="B411" s="2" t="s">
        <v>47</v>
      </c>
      <c r="C411" s="2" t="s">
        <v>4274</v>
      </c>
      <c r="D411" s="11" t="n">
        <v>227522</v>
      </c>
      <c r="E411" s="31" t="n">
        <v>42.9</v>
      </c>
      <c r="F411" s="31" t="n">
        <v>35.8</v>
      </c>
      <c r="G411" s="31" t="n">
        <v>73.9</v>
      </c>
      <c r="H411" s="2" t="s">
        <v>822</v>
      </c>
    </row>
    <row r="412" customFormat="false" ht="15" hidden="false" customHeight="false" outlineLevel="0" collapsed="false">
      <c r="A412" s="2" t="s">
        <v>624</v>
      </c>
      <c r="B412" s="2" t="s">
        <v>47</v>
      </c>
      <c r="C412" s="2" t="s">
        <v>4275</v>
      </c>
      <c r="D412" s="11" t="n">
        <v>234130</v>
      </c>
      <c r="E412" s="31" t="n">
        <v>61.9</v>
      </c>
      <c r="F412" s="31" t="n">
        <v>72</v>
      </c>
      <c r="G412" s="31" t="n">
        <v>64.9</v>
      </c>
      <c r="H412" s="2" t="s">
        <v>822</v>
      </c>
    </row>
    <row r="413" customFormat="false" ht="15" hidden="false" customHeight="false" outlineLevel="0" collapsed="false">
      <c r="A413" s="2" t="s">
        <v>762</v>
      </c>
      <c r="B413" s="2" t="s">
        <v>4291</v>
      </c>
      <c r="C413" s="2" t="s">
        <v>4274</v>
      </c>
      <c r="D413" s="2"/>
      <c r="E413" s="31" t="n">
        <v>34.6</v>
      </c>
      <c r="F413" s="31" t="n">
        <v>47.4</v>
      </c>
      <c r="G413" s="2"/>
      <c r="H413" s="2" t="s">
        <v>832</v>
      </c>
    </row>
    <row r="414" customFormat="false" ht="15" hidden="false" customHeight="false" outlineLevel="0" collapsed="false">
      <c r="A414" s="2" t="s">
        <v>762</v>
      </c>
      <c r="B414" s="2" t="s">
        <v>4291</v>
      </c>
      <c r="C414" s="2" t="s">
        <v>4275</v>
      </c>
      <c r="D414" s="2"/>
      <c r="E414" s="31" t="n">
        <v>19.3</v>
      </c>
      <c r="F414" s="31" t="n">
        <v>30.2</v>
      </c>
      <c r="G414" s="31" t="n">
        <v>79.9</v>
      </c>
      <c r="H414" s="2" t="s">
        <v>822</v>
      </c>
    </row>
    <row r="415" customFormat="false" ht="15" hidden="false" customHeight="false" outlineLevel="0" collapsed="false">
      <c r="A415" s="2" t="s">
        <v>762</v>
      </c>
      <c r="B415" s="2" t="s">
        <v>46</v>
      </c>
      <c r="C415" s="2" t="s">
        <v>4274</v>
      </c>
      <c r="D415" s="11" t="n">
        <v>4920</v>
      </c>
      <c r="E415" s="31" t="n">
        <v>34.6</v>
      </c>
      <c r="F415" s="31" t="n">
        <v>47.4</v>
      </c>
      <c r="G415" s="2"/>
      <c r="H415" s="2" t="s">
        <v>832</v>
      </c>
    </row>
    <row r="416" customFormat="false" ht="15" hidden="false" customHeight="false" outlineLevel="0" collapsed="false">
      <c r="A416" s="2" t="s">
        <v>762</v>
      </c>
      <c r="B416" s="2" t="s">
        <v>46</v>
      </c>
      <c r="C416" s="2" t="s">
        <v>4275</v>
      </c>
      <c r="D416" s="11" t="n">
        <v>5288</v>
      </c>
      <c r="E416" s="31" t="n">
        <v>19.3</v>
      </c>
      <c r="F416" s="31" t="n">
        <v>30.2</v>
      </c>
      <c r="G416" s="31" t="n">
        <v>79.9</v>
      </c>
      <c r="H416" s="2" t="s">
        <v>822</v>
      </c>
    </row>
    <row r="417" customFormat="false" ht="15" hidden="false" customHeight="false" outlineLevel="0" collapsed="false">
      <c r="A417" s="2" t="s">
        <v>334</v>
      </c>
      <c r="B417" s="2" t="s">
        <v>4291</v>
      </c>
      <c r="C417" s="2" t="s">
        <v>4274</v>
      </c>
      <c r="D417" s="2"/>
      <c r="E417" s="31" t="n">
        <v>54.2</v>
      </c>
      <c r="F417" s="31" t="n">
        <v>74.2</v>
      </c>
      <c r="G417" s="31" t="n">
        <v>98.8</v>
      </c>
      <c r="H417" s="2" t="s">
        <v>822</v>
      </c>
    </row>
    <row r="418" customFormat="false" ht="15" hidden="false" customHeight="false" outlineLevel="0" collapsed="false">
      <c r="A418" s="2" t="s">
        <v>334</v>
      </c>
      <c r="B418" s="2" t="s">
        <v>4291</v>
      </c>
      <c r="C418" s="2" t="s">
        <v>4275</v>
      </c>
      <c r="D418" s="2"/>
      <c r="E418" s="31" t="n">
        <v>60.3</v>
      </c>
      <c r="F418" s="31" t="n">
        <v>57.7</v>
      </c>
      <c r="G418" s="31" t="n">
        <v>81.8</v>
      </c>
      <c r="H418" s="2" t="s">
        <v>822</v>
      </c>
    </row>
    <row r="419" customFormat="false" ht="15" hidden="false" customHeight="false" outlineLevel="0" collapsed="false">
      <c r="A419" s="2" t="s">
        <v>334</v>
      </c>
      <c r="B419" s="2" t="s">
        <v>45</v>
      </c>
      <c r="C419" s="2" t="s">
        <v>4274</v>
      </c>
      <c r="D419" s="11" t="n">
        <v>4360</v>
      </c>
      <c r="E419" s="31" t="n">
        <v>54.2</v>
      </c>
      <c r="F419" s="31" t="n">
        <v>74.2</v>
      </c>
      <c r="G419" s="31" t="n">
        <v>98.8</v>
      </c>
      <c r="H419" s="2" t="s">
        <v>822</v>
      </c>
    </row>
    <row r="420" customFormat="false" ht="15" hidden="false" customHeight="false" outlineLevel="0" collapsed="false">
      <c r="A420" s="2" t="s">
        <v>334</v>
      </c>
      <c r="B420" s="2" t="s">
        <v>45</v>
      </c>
      <c r="C420" s="2" t="s">
        <v>4275</v>
      </c>
      <c r="D420" s="11" t="n">
        <v>4540</v>
      </c>
      <c r="E420" s="31" t="n">
        <v>60.3</v>
      </c>
      <c r="F420" s="31" t="n">
        <v>57.7</v>
      </c>
      <c r="G420" s="31" t="n">
        <v>81.8</v>
      </c>
      <c r="H420" s="2" t="s">
        <v>822</v>
      </c>
    </row>
    <row r="421" customFormat="false" ht="15" hidden="false" customHeight="false" outlineLevel="0" collapsed="false">
      <c r="A421" s="2" t="s">
        <v>2007</v>
      </c>
      <c r="B421" s="2" t="s">
        <v>4291</v>
      </c>
      <c r="C421" s="2" t="s">
        <v>4274</v>
      </c>
      <c r="D421" s="2"/>
      <c r="E421" s="31" t="n">
        <v>25.2</v>
      </c>
      <c r="F421" s="31" t="n">
        <v>16.5</v>
      </c>
      <c r="G421" s="31" t="n">
        <v>100</v>
      </c>
      <c r="H421" s="2" t="s">
        <v>832</v>
      </c>
    </row>
    <row r="422" customFormat="false" ht="15" hidden="false" customHeight="false" outlineLevel="0" collapsed="false">
      <c r="A422" s="2" t="s">
        <v>2007</v>
      </c>
      <c r="B422" s="2" t="s">
        <v>4291</v>
      </c>
      <c r="C422" s="2" t="s">
        <v>4275</v>
      </c>
      <c r="D422" s="2"/>
      <c r="E422" s="31" t="n">
        <v>43.1</v>
      </c>
      <c r="F422" s="31" t="n">
        <v>60.1</v>
      </c>
      <c r="G422" s="31" t="n">
        <v>53.3</v>
      </c>
      <c r="H422" s="2" t="s">
        <v>832</v>
      </c>
    </row>
    <row r="423" customFormat="false" ht="15" hidden="false" customHeight="false" outlineLevel="0" collapsed="false">
      <c r="A423" s="2" t="s">
        <v>2007</v>
      </c>
      <c r="B423" s="2" t="s">
        <v>45</v>
      </c>
      <c r="C423" s="2" t="s">
        <v>4274</v>
      </c>
      <c r="D423" s="2"/>
      <c r="E423" s="2"/>
      <c r="F423" s="2"/>
      <c r="G423" s="2"/>
      <c r="H423" s="2" t="s">
        <v>832</v>
      </c>
    </row>
    <row r="424" customFormat="false" ht="15" hidden="false" customHeight="false" outlineLevel="0" collapsed="false">
      <c r="A424" s="2" t="s">
        <v>2007</v>
      </c>
      <c r="B424" s="2" t="s">
        <v>45</v>
      </c>
      <c r="C424" s="2" t="s">
        <v>4275</v>
      </c>
      <c r="D424" s="11" t="n">
        <v>148510</v>
      </c>
      <c r="E424" s="31" t="n">
        <v>51.2</v>
      </c>
      <c r="F424" s="31" t="n">
        <v>71.4</v>
      </c>
      <c r="G424" s="2"/>
      <c r="H424" s="2" t="s">
        <v>832</v>
      </c>
    </row>
    <row r="425" customFormat="false" ht="15" hidden="false" customHeight="false" outlineLevel="0" collapsed="false">
      <c r="A425" s="2" t="s">
        <v>2007</v>
      </c>
      <c r="B425" s="2" t="s">
        <v>46</v>
      </c>
      <c r="C425" s="2" t="s">
        <v>4274</v>
      </c>
      <c r="D425" s="11" t="n">
        <v>41164</v>
      </c>
      <c r="E425" s="31" t="n">
        <v>25.2</v>
      </c>
      <c r="F425" s="31" t="n">
        <v>16.5</v>
      </c>
      <c r="G425" s="31" t="n">
        <v>100</v>
      </c>
      <c r="H425" s="2" t="s">
        <v>822</v>
      </c>
    </row>
    <row r="426" customFormat="false" ht="15" hidden="false" customHeight="false" outlineLevel="0" collapsed="false">
      <c r="A426" s="2" t="s">
        <v>2007</v>
      </c>
      <c r="B426" s="2" t="s">
        <v>46</v>
      </c>
      <c r="C426" s="2" t="s">
        <v>4275</v>
      </c>
      <c r="D426" s="11" t="n">
        <v>42370</v>
      </c>
      <c r="E426" s="31" t="n">
        <v>33</v>
      </c>
      <c r="F426" s="31" t="n">
        <v>44</v>
      </c>
      <c r="G426" s="31" t="n">
        <v>100</v>
      </c>
      <c r="H426" s="2" t="s">
        <v>822</v>
      </c>
    </row>
    <row r="427" customFormat="false" ht="15" hidden="false" customHeight="false" outlineLevel="0" collapsed="false">
      <c r="A427" s="2" t="s">
        <v>2007</v>
      </c>
      <c r="B427" s="2" t="s">
        <v>47</v>
      </c>
      <c r="C427" s="2" t="s">
        <v>4274</v>
      </c>
      <c r="D427" s="2"/>
      <c r="E427" s="2"/>
      <c r="F427" s="2"/>
      <c r="G427" s="2"/>
      <c r="H427" s="2" t="s">
        <v>832</v>
      </c>
    </row>
    <row r="428" customFormat="false" ht="15" hidden="false" customHeight="false" outlineLevel="0" collapsed="false">
      <c r="A428" s="2" t="s">
        <v>2007</v>
      </c>
      <c r="B428" s="2" t="s">
        <v>47</v>
      </c>
      <c r="C428" s="2" t="s">
        <v>4275</v>
      </c>
      <c r="D428" s="11" t="n">
        <v>8612</v>
      </c>
      <c r="E428" s="31" t="n">
        <v>45</v>
      </c>
      <c r="F428" s="31" t="n">
        <v>65</v>
      </c>
      <c r="G428" s="31" t="n">
        <v>6.6</v>
      </c>
      <c r="H428" s="2" t="s">
        <v>822</v>
      </c>
    </row>
    <row r="429" customFormat="false" ht="15" hidden="false" customHeight="false" outlineLevel="0" collapsed="false">
      <c r="A429" s="2" t="s">
        <v>1605</v>
      </c>
      <c r="B429" s="2" t="s">
        <v>4291</v>
      </c>
      <c r="C429" s="2" t="s">
        <v>4274</v>
      </c>
      <c r="D429" s="2"/>
      <c r="E429" s="31" t="n">
        <v>79.6</v>
      </c>
      <c r="F429" s="31" t="n">
        <v>50.6</v>
      </c>
      <c r="G429" s="31" t="n">
        <v>30.5</v>
      </c>
      <c r="H429" s="2" t="s">
        <v>822</v>
      </c>
    </row>
    <row r="430" customFormat="false" ht="15" hidden="false" customHeight="false" outlineLevel="0" collapsed="false">
      <c r="A430" s="2" t="s">
        <v>1605</v>
      </c>
      <c r="B430" s="2" t="s">
        <v>4291</v>
      </c>
      <c r="C430" s="2" t="s">
        <v>4275</v>
      </c>
      <c r="D430" s="2"/>
      <c r="E430" s="31" t="n">
        <v>84.2</v>
      </c>
      <c r="F430" s="31" t="n">
        <v>61.4</v>
      </c>
      <c r="G430" s="31" t="n">
        <v>35.2</v>
      </c>
      <c r="H430" s="2" t="s">
        <v>832</v>
      </c>
    </row>
    <row r="431" customFormat="false" ht="15" hidden="false" customHeight="false" outlineLevel="0" collapsed="false">
      <c r="A431" s="2" t="s">
        <v>1605</v>
      </c>
      <c r="B431" s="2" t="s">
        <v>45</v>
      </c>
      <c r="C431" s="2" t="s">
        <v>4274</v>
      </c>
      <c r="D431" s="11" t="n">
        <v>2082999</v>
      </c>
      <c r="E431" s="31" t="n">
        <v>73.4</v>
      </c>
      <c r="F431" s="31" t="n">
        <v>28.6</v>
      </c>
      <c r="G431" s="2"/>
      <c r="H431" s="2" t="s">
        <v>822</v>
      </c>
    </row>
    <row r="432" customFormat="false" ht="15" hidden="false" customHeight="false" outlineLevel="0" collapsed="false">
      <c r="A432" s="2" t="s">
        <v>1605</v>
      </c>
      <c r="B432" s="2" t="s">
        <v>45</v>
      </c>
      <c r="C432" s="2" t="s">
        <v>4275</v>
      </c>
      <c r="D432" s="11" t="n">
        <v>2051030</v>
      </c>
      <c r="E432" s="2"/>
      <c r="F432" s="31" t="n">
        <v>17.6</v>
      </c>
      <c r="G432" s="2"/>
      <c r="H432" s="2" t="s">
        <v>832</v>
      </c>
    </row>
    <row r="433" customFormat="false" ht="15" hidden="false" customHeight="false" outlineLevel="0" collapsed="false">
      <c r="A433" s="2" t="s">
        <v>1605</v>
      </c>
      <c r="B433" s="2" t="s">
        <v>46</v>
      </c>
      <c r="C433" s="2" t="s">
        <v>4274</v>
      </c>
      <c r="D433" s="11" t="n">
        <v>17230</v>
      </c>
      <c r="E433" s="31" t="n">
        <v>98.2</v>
      </c>
      <c r="F433" s="31" t="n">
        <v>60.3</v>
      </c>
      <c r="G433" s="31" t="n">
        <v>0.9</v>
      </c>
      <c r="H433" s="2" t="s">
        <v>822</v>
      </c>
    </row>
    <row r="434" customFormat="false" ht="15" hidden="false" customHeight="false" outlineLevel="0" collapsed="false">
      <c r="A434" s="2" t="s">
        <v>1605</v>
      </c>
      <c r="B434" s="2" t="s">
        <v>46</v>
      </c>
      <c r="C434" s="2" t="s">
        <v>4275</v>
      </c>
      <c r="D434" s="11" t="n">
        <v>17460</v>
      </c>
      <c r="E434" s="31" t="n">
        <v>99.2</v>
      </c>
      <c r="F434" s="31" t="n">
        <v>85.1</v>
      </c>
      <c r="G434" s="31" t="n">
        <v>6.8</v>
      </c>
      <c r="H434" s="2" t="s">
        <v>822</v>
      </c>
    </row>
    <row r="435" customFormat="false" ht="15" hidden="false" customHeight="false" outlineLevel="0" collapsed="false">
      <c r="A435" s="2" t="s">
        <v>1605</v>
      </c>
      <c r="B435" s="2" t="s">
        <v>47</v>
      </c>
      <c r="C435" s="2" t="s">
        <v>4274</v>
      </c>
      <c r="D435" s="11" t="n">
        <v>189505</v>
      </c>
      <c r="E435" s="31" t="n">
        <v>67.3</v>
      </c>
      <c r="F435" s="31" t="n">
        <v>63</v>
      </c>
      <c r="G435" s="31" t="n">
        <v>60.1</v>
      </c>
      <c r="H435" s="2" t="s">
        <v>822</v>
      </c>
    </row>
    <row r="436" customFormat="false" ht="15" hidden="false" customHeight="false" outlineLevel="0" collapsed="false">
      <c r="A436" s="2" t="s">
        <v>1605</v>
      </c>
      <c r="B436" s="2" t="s">
        <v>47</v>
      </c>
      <c r="C436" s="2" t="s">
        <v>4275</v>
      </c>
      <c r="D436" s="11" t="n">
        <v>193920</v>
      </c>
      <c r="E436" s="31" t="n">
        <v>69.3</v>
      </c>
      <c r="F436" s="31" t="n">
        <v>81.4</v>
      </c>
      <c r="G436" s="31" t="n">
        <v>63.6</v>
      </c>
      <c r="H436" s="2" t="s">
        <v>822</v>
      </c>
    </row>
    <row r="437" customFormat="false" ht="15" hidden="false" customHeight="false" outlineLevel="0" collapsed="false">
      <c r="A437" s="2" t="s">
        <v>374</v>
      </c>
      <c r="B437" s="2" t="s">
        <v>4291</v>
      </c>
      <c r="C437" s="2" t="s">
        <v>4274</v>
      </c>
      <c r="D437" s="2"/>
      <c r="E437" s="31" t="n">
        <v>25.7</v>
      </c>
      <c r="F437" s="31" t="n">
        <v>11.7</v>
      </c>
      <c r="G437" s="31" t="n">
        <v>61</v>
      </c>
      <c r="H437" s="2" t="s">
        <v>832</v>
      </c>
    </row>
    <row r="438" customFormat="false" ht="15" hidden="false" customHeight="false" outlineLevel="0" collapsed="false">
      <c r="A438" s="2" t="s">
        <v>374</v>
      </c>
      <c r="B438" s="2" t="s">
        <v>4291</v>
      </c>
      <c r="C438" s="2" t="s">
        <v>4275</v>
      </c>
      <c r="D438" s="2"/>
      <c r="E438" s="31" t="n">
        <v>57</v>
      </c>
      <c r="F438" s="31" t="n">
        <v>38.2</v>
      </c>
      <c r="G438" s="31" t="n">
        <v>39.2</v>
      </c>
      <c r="H438" s="2" t="s">
        <v>822</v>
      </c>
    </row>
    <row r="439" customFormat="false" ht="15" hidden="false" customHeight="false" outlineLevel="0" collapsed="false">
      <c r="A439" s="2" t="s">
        <v>374</v>
      </c>
      <c r="B439" s="2" t="s">
        <v>45</v>
      </c>
      <c r="C439" s="2" t="s">
        <v>4274</v>
      </c>
      <c r="D439" s="11" t="n">
        <v>67787</v>
      </c>
      <c r="E439" s="31" t="n">
        <v>25.7</v>
      </c>
      <c r="F439" s="31" t="n">
        <v>11.7</v>
      </c>
      <c r="G439" s="31" t="n">
        <v>61</v>
      </c>
      <c r="H439" s="2" t="s">
        <v>822</v>
      </c>
    </row>
    <row r="440" customFormat="false" ht="15" hidden="false" customHeight="false" outlineLevel="0" collapsed="false">
      <c r="A440" s="2" t="s">
        <v>374</v>
      </c>
      <c r="B440" s="2" t="s">
        <v>45</v>
      </c>
      <c r="C440" s="2" t="s">
        <v>4275</v>
      </c>
      <c r="D440" s="11" t="n">
        <v>68400</v>
      </c>
      <c r="E440" s="31" t="n">
        <v>49.5</v>
      </c>
      <c r="F440" s="31" t="n">
        <v>10.7</v>
      </c>
      <c r="G440" s="31" t="n">
        <v>58.7</v>
      </c>
      <c r="H440" s="2" t="s">
        <v>822</v>
      </c>
    </row>
    <row r="441" customFormat="false" ht="15" hidden="false" customHeight="false" outlineLevel="0" collapsed="false">
      <c r="A441" s="2" t="s">
        <v>374</v>
      </c>
      <c r="B441" s="2" t="s">
        <v>47</v>
      </c>
      <c r="C441" s="2" t="s">
        <v>4274</v>
      </c>
      <c r="D441" s="2"/>
      <c r="E441" s="2"/>
      <c r="F441" s="2"/>
      <c r="G441" s="2"/>
      <c r="H441" s="2" t="s">
        <v>832</v>
      </c>
    </row>
    <row r="442" customFormat="false" ht="15" hidden="false" customHeight="false" outlineLevel="0" collapsed="false">
      <c r="A442" s="2" t="s">
        <v>374</v>
      </c>
      <c r="B442" s="2" t="s">
        <v>47</v>
      </c>
      <c r="C442" s="2" t="s">
        <v>4275</v>
      </c>
      <c r="D442" s="11" t="n">
        <v>52290</v>
      </c>
      <c r="E442" s="31" t="n">
        <v>64.4</v>
      </c>
      <c r="F442" s="31" t="n">
        <v>65.6</v>
      </c>
      <c r="G442" s="31" t="n">
        <v>19.7</v>
      </c>
      <c r="H442" s="2" t="s">
        <v>822</v>
      </c>
    </row>
    <row r="443" customFormat="false" ht="15" hidden="false" customHeight="false" outlineLevel="0" collapsed="false">
      <c r="A443" s="2" t="s">
        <v>2926</v>
      </c>
      <c r="B443" s="2" t="s">
        <v>4291</v>
      </c>
      <c r="C443" s="2" t="s">
        <v>4274</v>
      </c>
      <c r="D443" s="2"/>
      <c r="E443" s="2"/>
      <c r="F443" s="2"/>
      <c r="G443" s="2"/>
      <c r="H443" s="2" t="s">
        <v>832</v>
      </c>
    </row>
    <row r="444" customFormat="false" ht="15" hidden="false" customHeight="false" outlineLevel="0" collapsed="false">
      <c r="A444" s="2" t="s">
        <v>2926</v>
      </c>
      <c r="B444" s="2" t="s">
        <v>4291</v>
      </c>
      <c r="C444" s="2" t="s">
        <v>4275</v>
      </c>
      <c r="D444" s="2"/>
      <c r="E444" s="2"/>
      <c r="F444" s="2"/>
      <c r="G444" s="2"/>
      <c r="H444" s="2" t="s">
        <v>832</v>
      </c>
    </row>
    <row r="445" customFormat="false" ht="15" hidden="false" customHeight="false" outlineLevel="0" collapsed="false">
      <c r="A445" s="2" t="s">
        <v>2926</v>
      </c>
      <c r="B445" s="2" t="s">
        <v>46</v>
      </c>
      <c r="C445" s="2" t="s">
        <v>4274</v>
      </c>
      <c r="D445" s="2"/>
      <c r="E445" s="2"/>
      <c r="F445" s="2"/>
      <c r="G445" s="2"/>
      <c r="H445" s="2" t="s">
        <v>832</v>
      </c>
    </row>
    <row r="446" customFormat="false" ht="15" hidden="false" customHeight="false" outlineLevel="0" collapsed="false">
      <c r="A446" s="2" t="s">
        <v>2926</v>
      </c>
      <c r="B446" s="2" t="s">
        <v>46</v>
      </c>
      <c r="C446" s="2" t="s">
        <v>4275</v>
      </c>
      <c r="D446" s="2"/>
      <c r="E446" s="2"/>
      <c r="F446" s="2"/>
      <c r="G446" s="2"/>
      <c r="H446" s="2" t="s">
        <v>832</v>
      </c>
    </row>
    <row r="447" customFormat="false" ht="15" hidden="false" customHeight="false" outlineLevel="0" collapsed="false">
      <c r="A447" s="2" t="s">
        <v>1472</v>
      </c>
      <c r="B447" s="2" t="s">
        <v>4291</v>
      </c>
      <c r="C447" s="2" t="s">
        <v>4274</v>
      </c>
      <c r="D447" s="2"/>
      <c r="E447" s="31" t="n">
        <v>36.2</v>
      </c>
      <c r="F447" s="31" t="n">
        <v>47.5</v>
      </c>
      <c r="G447" s="31" t="n">
        <v>71.4</v>
      </c>
      <c r="H447" s="2" t="s">
        <v>832</v>
      </c>
    </row>
    <row r="448" customFormat="false" ht="15" hidden="false" customHeight="false" outlineLevel="0" collapsed="false">
      <c r="A448" s="2" t="s">
        <v>1472</v>
      </c>
      <c r="B448" s="2" t="s">
        <v>4291</v>
      </c>
      <c r="C448" s="2" t="s">
        <v>4275</v>
      </c>
      <c r="D448" s="2"/>
      <c r="E448" s="31" t="n">
        <v>48.8</v>
      </c>
      <c r="F448" s="31" t="n">
        <v>45.4</v>
      </c>
      <c r="G448" s="31" t="n">
        <v>70.4</v>
      </c>
      <c r="H448" s="2" t="s">
        <v>832</v>
      </c>
    </row>
    <row r="449" customFormat="false" ht="15" hidden="false" customHeight="false" outlineLevel="0" collapsed="false">
      <c r="A449" s="2" t="s">
        <v>1472</v>
      </c>
      <c r="B449" s="2" t="s">
        <v>45</v>
      </c>
      <c r="C449" s="2" t="s">
        <v>4274</v>
      </c>
      <c r="D449" s="11" t="n">
        <v>18358</v>
      </c>
      <c r="E449" s="31" t="n">
        <v>25.5</v>
      </c>
      <c r="F449" s="31" t="n">
        <v>15</v>
      </c>
      <c r="G449" s="31" t="n">
        <v>100</v>
      </c>
      <c r="H449" s="2" t="s">
        <v>822</v>
      </c>
    </row>
    <row r="450" customFormat="false" ht="15" hidden="false" customHeight="false" outlineLevel="0" collapsed="false">
      <c r="A450" s="2" t="s">
        <v>1472</v>
      </c>
      <c r="B450" s="2" t="s">
        <v>45</v>
      </c>
      <c r="C450" s="2" t="s">
        <v>4275</v>
      </c>
      <c r="D450" s="11" t="n">
        <v>18570</v>
      </c>
      <c r="E450" s="31" t="n">
        <v>16.6</v>
      </c>
      <c r="F450" s="31" t="n">
        <v>20.6</v>
      </c>
      <c r="G450" s="31" t="n">
        <v>90.9</v>
      </c>
      <c r="H450" s="2" t="s">
        <v>822</v>
      </c>
    </row>
    <row r="451" customFormat="false" ht="15" hidden="false" customHeight="false" outlineLevel="0" collapsed="false">
      <c r="A451" s="2" t="s">
        <v>1472</v>
      </c>
      <c r="B451" s="2" t="s">
        <v>46</v>
      </c>
      <c r="C451" s="2" t="s">
        <v>4274</v>
      </c>
      <c r="D451" s="11" t="n">
        <v>416405</v>
      </c>
      <c r="E451" s="31" t="n">
        <v>1</v>
      </c>
      <c r="F451" s="31" t="n">
        <v>62.8</v>
      </c>
      <c r="G451" s="2"/>
      <c r="H451" s="2" t="s">
        <v>832</v>
      </c>
    </row>
    <row r="452" customFormat="false" ht="15" hidden="false" customHeight="false" outlineLevel="0" collapsed="false">
      <c r="A452" s="2" t="s">
        <v>1472</v>
      </c>
      <c r="B452" s="2" t="s">
        <v>46</v>
      </c>
      <c r="C452" s="2" t="s">
        <v>4275</v>
      </c>
      <c r="D452" s="2"/>
      <c r="E452" s="2"/>
      <c r="F452" s="2"/>
      <c r="G452" s="2"/>
      <c r="H452" s="2" t="s">
        <v>832</v>
      </c>
    </row>
    <row r="453" customFormat="false" ht="15" hidden="false" customHeight="false" outlineLevel="0" collapsed="false">
      <c r="A453" s="2" t="s">
        <v>1472</v>
      </c>
      <c r="B453" s="2" t="s">
        <v>47</v>
      </c>
      <c r="C453" s="2" t="s">
        <v>4274</v>
      </c>
      <c r="D453" s="11" t="n">
        <v>423617</v>
      </c>
      <c r="E453" s="31" t="n">
        <v>82</v>
      </c>
      <c r="F453" s="31" t="n">
        <v>64.8</v>
      </c>
      <c r="G453" s="31" t="n">
        <v>42.9</v>
      </c>
      <c r="H453" s="2" t="s">
        <v>822</v>
      </c>
    </row>
    <row r="454" customFormat="false" ht="15" hidden="false" customHeight="false" outlineLevel="0" collapsed="false">
      <c r="A454" s="2" t="s">
        <v>1472</v>
      </c>
      <c r="B454" s="2" t="s">
        <v>47</v>
      </c>
      <c r="C454" s="2" t="s">
        <v>4275</v>
      </c>
      <c r="D454" s="11" t="n">
        <v>446469</v>
      </c>
      <c r="E454" s="31" t="n">
        <v>81</v>
      </c>
      <c r="F454" s="31" t="n">
        <v>70.2</v>
      </c>
      <c r="G454" s="31" t="n">
        <v>49.8</v>
      </c>
      <c r="H454" s="2" t="s">
        <v>822</v>
      </c>
    </row>
    <row r="455" customFormat="false" ht="15" hidden="false" customHeight="false" outlineLevel="0" collapsed="false">
      <c r="A455" s="2" t="s">
        <v>1037</v>
      </c>
      <c r="B455" s="2" t="s">
        <v>4291</v>
      </c>
      <c r="C455" s="2" t="s">
        <v>4274</v>
      </c>
      <c r="D455" s="2"/>
      <c r="E455" s="31" t="n">
        <v>62.4</v>
      </c>
      <c r="F455" s="31" t="n">
        <v>35.6</v>
      </c>
      <c r="G455" s="31" t="n">
        <v>85.2</v>
      </c>
      <c r="H455" s="2" t="s">
        <v>832</v>
      </c>
    </row>
    <row r="456" customFormat="false" ht="15" hidden="false" customHeight="false" outlineLevel="0" collapsed="false">
      <c r="A456" s="2" t="s">
        <v>1037</v>
      </c>
      <c r="B456" s="2" t="s">
        <v>4291</v>
      </c>
      <c r="C456" s="2" t="s">
        <v>4275</v>
      </c>
      <c r="D456" s="2"/>
      <c r="E456" s="31" t="n">
        <v>57.4</v>
      </c>
      <c r="F456" s="31" t="n">
        <v>23.2</v>
      </c>
      <c r="G456" s="31" t="n">
        <v>55.4</v>
      </c>
      <c r="H456" s="2" t="s">
        <v>832</v>
      </c>
    </row>
    <row r="457" customFormat="false" ht="15" hidden="false" customHeight="false" outlineLevel="0" collapsed="false">
      <c r="A457" s="2" t="s">
        <v>1037</v>
      </c>
      <c r="B457" s="2" t="s">
        <v>45</v>
      </c>
      <c r="C457" s="2" t="s">
        <v>4274</v>
      </c>
      <c r="D457" s="11" t="n">
        <v>90716</v>
      </c>
      <c r="E457" s="31" t="n">
        <v>73</v>
      </c>
      <c r="F457" s="31" t="n">
        <v>48.9</v>
      </c>
      <c r="G457" s="2"/>
      <c r="H457" s="2" t="s">
        <v>832</v>
      </c>
    </row>
    <row r="458" customFormat="false" ht="15" hidden="false" customHeight="false" outlineLevel="0" collapsed="false">
      <c r="A458" s="2" t="s">
        <v>1037</v>
      </c>
      <c r="B458" s="2" t="s">
        <v>45</v>
      </c>
      <c r="C458" s="2" t="s">
        <v>4275</v>
      </c>
      <c r="D458" s="11" t="n">
        <v>93060</v>
      </c>
      <c r="E458" s="31" t="n">
        <v>74.9</v>
      </c>
      <c r="F458" s="31" t="n">
        <v>38.1</v>
      </c>
      <c r="G458" s="31" t="n">
        <v>52.4</v>
      </c>
      <c r="H458" s="2" t="s">
        <v>822</v>
      </c>
    </row>
    <row r="459" customFormat="false" ht="15" hidden="false" customHeight="false" outlineLevel="0" collapsed="false">
      <c r="A459" s="2" t="s">
        <v>1037</v>
      </c>
      <c r="B459" s="2" t="s">
        <v>46</v>
      </c>
      <c r="C459" s="2" t="s">
        <v>4274</v>
      </c>
      <c r="D459" s="11" t="n">
        <v>1330930</v>
      </c>
      <c r="E459" s="31" t="n">
        <v>39.9</v>
      </c>
      <c r="F459" s="31" t="n">
        <v>22.2</v>
      </c>
      <c r="G459" s="31" t="n">
        <v>91.6</v>
      </c>
      <c r="H459" s="2" t="s">
        <v>822</v>
      </c>
    </row>
    <row r="460" customFormat="false" ht="15" hidden="false" customHeight="false" outlineLevel="0" collapsed="false">
      <c r="A460" s="2" t="s">
        <v>1037</v>
      </c>
      <c r="B460" s="2" t="s">
        <v>46</v>
      </c>
      <c r="C460" s="2" t="s">
        <v>4275</v>
      </c>
      <c r="D460" s="11" t="n">
        <v>1278060</v>
      </c>
      <c r="E460" s="31" t="n">
        <v>39.9</v>
      </c>
      <c r="F460" s="31" t="n">
        <v>8.3</v>
      </c>
      <c r="G460" s="31" t="n">
        <v>58.3</v>
      </c>
      <c r="H460" s="2" t="s">
        <v>822</v>
      </c>
    </row>
    <row r="461" customFormat="false" ht="15" hidden="false" customHeight="false" outlineLevel="0" collapsed="false">
      <c r="A461" s="2" t="s">
        <v>1037</v>
      </c>
      <c r="B461" s="2" t="s">
        <v>47</v>
      </c>
      <c r="C461" s="2" t="s">
        <v>4274</v>
      </c>
      <c r="D461" s="11" t="n">
        <v>14055</v>
      </c>
      <c r="E461" s="31" t="n">
        <v>74.4</v>
      </c>
      <c r="F461" s="2"/>
      <c r="G461" s="31" t="n">
        <v>78.7</v>
      </c>
      <c r="H461" s="2" t="s">
        <v>832</v>
      </c>
    </row>
    <row r="462" customFormat="false" ht="15" hidden="false" customHeight="false" outlineLevel="0" collapsed="false">
      <c r="A462" s="2" t="s">
        <v>1037</v>
      </c>
      <c r="B462" s="2" t="s">
        <v>47</v>
      </c>
      <c r="C462" s="2" t="s">
        <v>4275</v>
      </c>
      <c r="D462" s="2"/>
      <c r="E462" s="2"/>
      <c r="F462" s="2"/>
      <c r="G462" s="2"/>
      <c r="H462" s="2" t="s">
        <v>832</v>
      </c>
    </row>
    <row r="463" customFormat="false" ht="15" hidden="false" customHeight="false" outlineLevel="0" collapsed="false">
      <c r="A463" s="2" t="s">
        <v>932</v>
      </c>
      <c r="B463" s="2" t="s">
        <v>4291</v>
      </c>
      <c r="C463" s="2" t="s">
        <v>4274</v>
      </c>
      <c r="D463" s="2"/>
      <c r="E463" s="31" t="n">
        <v>77.2</v>
      </c>
      <c r="F463" s="31" t="n">
        <v>36.2</v>
      </c>
      <c r="G463" s="31" t="n">
        <v>30.4</v>
      </c>
      <c r="H463" s="2" t="s">
        <v>832</v>
      </c>
    </row>
    <row r="464" customFormat="false" ht="15" hidden="false" customHeight="false" outlineLevel="0" collapsed="false">
      <c r="A464" s="2" t="s">
        <v>932</v>
      </c>
      <c r="B464" s="2" t="s">
        <v>4291</v>
      </c>
      <c r="C464" s="2" t="s">
        <v>4275</v>
      </c>
      <c r="D464" s="2"/>
      <c r="E464" s="31" t="n">
        <v>84.5</v>
      </c>
      <c r="F464" s="31" t="n">
        <v>26.7</v>
      </c>
      <c r="G464" s="31" t="n">
        <v>38.2</v>
      </c>
      <c r="H464" s="2" t="s">
        <v>832</v>
      </c>
    </row>
    <row r="465" customFormat="false" ht="15" hidden="false" customHeight="false" outlineLevel="0" collapsed="false">
      <c r="A465" s="2" t="s">
        <v>932</v>
      </c>
      <c r="B465" s="2" t="s">
        <v>45</v>
      </c>
      <c r="C465" s="2" t="s">
        <v>4274</v>
      </c>
      <c r="D465" s="2"/>
      <c r="E465" s="2"/>
      <c r="F465" s="2"/>
      <c r="G465" s="2"/>
      <c r="H465" s="2" t="s">
        <v>832</v>
      </c>
    </row>
    <row r="466" customFormat="false" ht="15" hidden="false" customHeight="false" outlineLevel="0" collapsed="false">
      <c r="A466" s="2" t="s">
        <v>932</v>
      </c>
      <c r="B466" s="2" t="s">
        <v>45</v>
      </c>
      <c r="C466" s="2" t="s">
        <v>4275</v>
      </c>
      <c r="D466" s="11" t="n">
        <v>59020</v>
      </c>
      <c r="E466" s="31" t="n">
        <v>87</v>
      </c>
      <c r="F466" s="31" t="n">
        <v>16.2</v>
      </c>
      <c r="G466" s="2"/>
      <c r="H466" s="2" t="s">
        <v>822</v>
      </c>
    </row>
    <row r="467" customFormat="false" ht="15" hidden="false" customHeight="false" outlineLevel="0" collapsed="false">
      <c r="A467" s="2" t="s">
        <v>932</v>
      </c>
      <c r="B467" s="2" t="s">
        <v>46</v>
      </c>
      <c r="C467" s="2" t="s">
        <v>4274</v>
      </c>
      <c r="D467" s="11" t="n">
        <v>56650</v>
      </c>
      <c r="E467" s="31" t="n">
        <v>87.5</v>
      </c>
      <c r="F467" s="31" t="n">
        <v>14.6</v>
      </c>
      <c r="G467" s="31" t="n">
        <v>3.4</v>
      </c>
      <c r="H467" s="2" t="s">
        <v>822</v>
      </c>
    </row>
    <row r="468" customFormat="false" ht="15" hidden="false" customHeight="false" outlineLevel="0" collapsed="false">
      <c r="A468" s="2" t="s">
        <v>932</v>
      </c>
      <c r="B468" s="2" t="s">
        <v>46</v>
      </c>
      <c r="C468" s="2" t="s">
        <v>4275</v>
      </c>
      <c r="D468" s="11" t="n">
        <v>57410</v>
      </c>
      <c r="E468" s="31" t="n">
        <v>87.8</v>
      </c>
      <c r="F468" s="31" t="n">
        <v>20.7</v>
      </c>
      <c r="G468" s="2"/>
      <c r="H468" s="2" t="s">
        <v>832</v>
      </c>
    </row>
    <row r="469" customFormat="false" ht="15" hidden="false" customHeight="false" outlineLevel="0" collapsed="false">
      <c r="A469" s="2" t="s">
        <v>932</v>
      </c>
      <c r="B469" s="2" t="s">
        <v>47</v>
      </c>
      <c r="C469" s="2" t="s">
        <v>4274</v>
      </c>
      <c r="D469" s="11" t="n">
        <v>35710</v>
      </c>
      <c r="E469" s="31" t="n">
        <v>67</v>
      </c>
      <c r="F469" s="31" t="n">
        <v>57.8</v>
      </c>
      <c r="G469" s="31" t="n">
        <v>57.5</v>
      </c>
      <c r="H469" s="2" t="s">
        <v>822</v>
      </c>
    </row>
    <row r="470" customFormat="false" ht="15" hidden="false" customHeight="false" outlineLevel="0" collapsed="false">
      <c r="A470" s="2" t="s">
        <v>932</v>
      </c>
      <c r="B470" s="2" t="s">
        <v>47</v>
      </c>
      <c r="C470" s="2" t="s">
        <v>4275</v>
      </c>
      <c r="D470" s="11" t="n">
        <v>34750</v>
      </c>
      <c r="E470" s="31" t="n">
        <v>78.7</v>
      </c>
      <c r="F470" s="31" t="n">
        <v>43.2</v>
      </c>
      <c r="G470" s="31" t="n">
        <v>38.2</v>
      </c>
      <c r="H470" s="2" t="s">
        <v>822</v>
      </c>
    </row>
    <row r="471" customFormat="false" ht="15" hidden="false" customHeight="false" outlineLevel="0" collapsed="false">
      <c r="A471" s="2" t="s">
        <v>376</v>
      </c>
      <c r="B471" s="2" t="s">
        <v>4291</v>
      </c>
      <c r="C471" s="2" t="s">
        <v>4274</v>
      </c>
      <c r="D471" s="2"/>
      <c r="E471" s="31" t="n">
        <v>38.9</v>
      </c>
      <c r="F471" s="31" t="n">
        <v>45.7</v>
      </c>
      <c r="G471" s="31" t="n">
        <v>60.5</v>
      </c>
      <c r="H471" s="2" t="s">
        <v>832</v>
      </c>
    </row>
    <row r="472" customFormat="false" ht="15" hidden="false" customHeight="false" outlineLevel="0" collapsed="false">
      <c r="A472" s="2" t="s">
        <v>376</v>
      </c>
      <c r="B472" s="2" t="s">
        <v>4291</v>
      </c>
      <c r="C472" s="2" t="s">
        <v>4275</v>
      </c>
      <c r="D472" s="2"/>
      <c r="E472" s="31" t="n">
        <v>56.6</v>
      </c>
      <c r="F472" s="31" t="n">
        <v>76.4</v>
      </c>
      <c r="G472" s="31" t="n">
        <v>43.7</v>
      </c>
      <c r="H472" s="2" t="s">
        <v>822</v>
      </c>
    </row>
    <row r="473" customFormat="false" ht="15" hidden="false" customHeight="false" outlineLevel="0" collapsed="false">
      <c r="A473" s="2" t="s">
        <v>376</v>
      </c>
      <c r="B473" s="2" t="s">
        <v>47</v>
      </c>
      <c r="C473" s="2" t="s">
        <v>4274</v>
      </c>
      <c r="D473" s="11" t="n">
        <v>344980</v>
      </c>
      <c r="E473" s="31" t="n">
        <v>38.9</v>
      </c>
      <c r="F473" s="31" t="n">
        <v>45.7</v>
      </c>
      <c r="G473" s="31" t="n">
        <v>60.5</v>
      </c>
      <c r="H473" s="2" t="s">
        <v>822</v>
      </c>
    </row>
    <row r="474" customFormat="false" ht="15" hidden="false" customHeight="false" outlineLevel="0" collapsed="false">
      <c r="A474" s="2" t="s">
        <v>376</v>
      </c>
      <c r="B474" s="2" t="s">
        <v>47</v>
      </c>
      <c r="C474" s="2" t="s">
        <v>4275</v>
      </c>
      <c r="D474" s="11" t="n">
        <v>365625</v>
      </c>
      <c r="E474" s="31" t="n">
        <v>56.6</v>
      </c>
      <c r="F474" s="31" t="n">
        <v>76.4</v>
      </c>
      <c r="G474" s="31" t="n">
        <v>43.7</v>
      </c>
      <c r="H474" s="2" t="s">
        <v>822</v>
      </c>
    </row>
    <row r="475" customFormat="false" ht="15" hidden="false" customHeight="false" outlineLevel="0" collapsed="false">
      <c r="A475" s="2" t="s">
        <v>1380</v>
      </c>
      <c r="B475" s="2" t="s">
        <v>4291</v>
      </c>
      <c r="C475" s="2" t="s">
        <v>4274</v>
      </c>
      <c r="D475" s="2"/>
      <c r="E475" s="31" t="n">
        <v>38</v>
      </c>
      <c r="F475" s="31" t="n">
        <v>38.6</v>
      </c>
      <c r="G475" s="31" t="n">
        <v>83.1</v>
      </c>
      <c r="H475" s="2" t="s">
        <v>822</v>
      </c>
    </row>
    <row r="476" customFormat="false" ht="15" hidden="false" customHeight="false" outlineLevel="0" collapsed="false">
      <c r="A476" s="2" t="s">
        <v>1380</v>
      </c>
      <c r="B476" s="2" t="s">
        <v>4291</v>
      </c>
      <c r="C476" s="2" t="s">
        <v>4275</v>
      </c>
      <c r="D476" s="2"/>
      <c r="E476" s="31" t="n">
        <v>53.2</v>
      </c>
      <c r="F476" s="31" t="n">
        <v>28.5</v>
      </c>
      <c r="G476" s="31" t="n">
        <v>93.8</v>
      </c>
      <c r="H476" s="2" t="s">
        <v>832</v>
      </c>
    </row>
    <row r="477" customFormat="false" ht="15" hidden="false" customHeight="false" outlineLevel="0" collapsed="false">
      <c r="A477" s="2" t="s">
        <v>1380</v>
      </c>
      <c r="B477" s="2" t="s">
        <v>45</v>
      </c>
      <c r="C477" s="2" t="s">
        <v>4274</v>
      </c>
      <c r="D477" s="11" t="n">
        <v>90684</v>
      </c>
      <c r="E477" s="31" t="n">
        <v>8.6</v>
      </c>
      <c r="F477" s="31" t="n">
        <v>11.3</v>
      </c>
      <c r="G477" s="31" t="n">
        <v>86.8</v>
      </c>
      <c r="H477" s="2" t="s">
        <v>822</v>
      </c>
    </row>
    <row r="478" customFormat="false" ht="15" hidden="false" customHeight="false" outlineLevel="0" collapsed="false">
      <c r="A478" s="2" t="s">
        <v>1380</v>
      </c>
      <c r="B478" s="2" t="s">
        <v>45</v>
      </c>
      <c r="C478" s="2" t="s">
        <v>4275</v>
      </c>
      <c r="D478" s="11" t="n">
        <v>93220</v>
      </c>
      <c r="E478" s="31" t="n">
        <v>31.4</v>
      </c>
      <c r="F478" s="31" t="n">
        <v>18.2</v>
      </c>
      <c r="G478" s="31" t="n">
        <v>99.3</v>
      </c>
      <c r="H478" s="2" t="s">
        <v>822</v>
      </c>
    </row>
    <row r="479" customFormat="false" ht="15" hidden="false" customHeight="false" outlineLevel="0" collapsed="false">
      <c r="A479" s="2" t="s">
        <v>1380</v>
      </c>
      <c r="B479" s="2" t="s">
        <v>46</v>
      </c>
      <c r="C479" s="2" t="s">
        <v>4274</v>
      </c>
      <c r="D479" s="11" t="n">
        <v>80560</v>
      </c>
      <c r="E479" s="31" t="n">
        <v>70.5</v>
      </c>
      <c r="F479" s="31" t="n">
        <v>15.7</v>
      </c>
      <c r="G479" s="31" t="n">
        <v>78.1</v>
      </c>
      <c r="H479" s="2" t="s">
        <v>822</v>
      </c>
    </row>
    <row r="480" customFormat="false" ht="15" hidden="false" customHeight="false" outlineLevel="0" collapsed="false">
      <c r="A480" s="2" t="s">
        <v>1380</v>
      </c>
      <c r="B480" s="2" t="s">
        <v>46</v>
      </c>
      <c r="C480" s="2" t="s">
        <v>4275</v>
      </c>
      <c r="D480" s="11" t="n">
        <v>83990</v>
      </c>
      <c r="E480" s="31" t="n">
        <v>78.2</v>
      </c>
      <c r="F480" s="31" t="n">
        <v>15.6</v>
      </c>
      <c r="G480" s="2"/>
      <c r="H480" s="2" t="s">
        <v>832</v>
      </c>
    </row>
    <row r="481" customFormat="false" ht="15" hidden="false" customHeight="false" outlineLevel="0" collapsed="false">
      <c r="A481" s="2" t="s">
        <v>1380</v>
      </c>
      <c r="B481" s="2" t="s">
        <v>47</v>
      </c>
      <c r="C481" s="2" t="s">
        <v>4274</v>
      </c>
      <c r="D481" s="11" t="n">
        <v>182920</v>
      </c>
      <c r="E481" s="31" t="n">
        <v>34.9</v>
      </c>
      <c r="F481" s="31" t="n">
        <v>88.9</v>
      </c>
      <c r="G481" s="31" t="n">
        <v>84.5</v>
      </c>
      <c r="H481" s="2" t="s">
        <v>822</v>
      </c>
    </row>
    <row r="482" customFormat="false" ht="15" hidden="false" customHeight="false" outlineLevel="0" collapsed="false">
      <c r="A482" s="2" t="s">
        <v>1380</v>
      </c>
      <c r="B482" s="2" t="s">
        <v>47</v>
      </c>
      <c r="C482" s="2" t="s">
        <v>4275</v>
      </c>
      <c r="D482" s="11" t="n">
        <v>188200</v>
      </c>
      <c r="E482" s="31" t="n">
        <v>49.9</v>
      </c>
      <c r="F482" s="31" t="n">
        <v>51.6</v>
      </c>
      <c r="G482" s="31" t="n">
        <v>88.4</v>
      </c>
      <c r="H482" s="2" t="s">
        <v>822</v>
      </c>
    </row>
    <row r="483" customFormat="false" ht="15" hidden="false" customHeight="false" outlineLevel="0" collapsed="false">
      <c r="A483" s="2" t="s">
        <v>2094</v>
      </c>
      <c r="B483" s="2" t="s">
        <v>4291</v>
      </c>
      <c r="C483" s="2" t="s">
        <v>4274</v>
      </c>
      <c r="D483" s="2"/>
      <c r="E483" s="31" t="n">
        <v>6.9</v>
      </c>
      <c r="F483" s="31" t="n">
        <v>40</v>
      </c>
      <c r="G483" s="31" t="n">
        <v>30.2</v>
      </c>
      <c r="H483" s="2" t="s">
        <v>832</v>
      </c>
    </row>
    <row r="484" customFormat="false" ht="15" hidden="false" customHeight="false" outlineLevel="0" collapsed="false">
      <c r="A484" s="2" t="s">
        <v>2094</v>
      </c>
      <c r="B484" s="2" t="s">
        <v>4291</v>
      </c>
      <c r="C484" s="2" t="s">
        <v>4275</v>
      </c>
      <c r="D484" s="2"/>
      <c r="E484" s="31" t="n">
        <v>8.5</v>
      </c>
      <c r="F484" s="31" t="n">
        <v>23.3</v>
      </c>
      <c r="G484" s="31" t="n">
        <v>19.1</v>
      </c>
      <c r="H484" s="2" t="s">
        <v>832</v>
      </c>
    </row>
    <row r="485" customFormat="false" ht="15" hidden="false" customHeight="false" outlineLevel="0" collapsed="false">
      <c r="A485" s="2" t="s">
        <v>2094</v>
      </c>
      <c r="B485" s="2" t="s">
        <v>45</v>
      </c>
      <c r="C485" s="2" t="s">
        <v>4274</v>
      </c>
      <c r="D485" s="11" t="n">
        <v>4470</v>
      </c>
      <c r="E485" s="31" t="n">
        <v>14.7</v>
      </c>
      <c r="F485" s="2"/>
      <c r="G485" s="31" t="n">
        <v>0.9</v>
      </c>
      <c r="H485" s="2" t="s">
        <v>832</v>
      </c>
    </row>
    <row r="486" customFormat="false" ht="15" hidden="false" customHeight="false" outlineLevel="0" collapsed="false">
      <c r="A486" s="2" t="s">
        <v>2094</v>
      </c>
      <c r="B486" s="2" t="s">
        <v>45</v>
      </c>
      <c r="C486" s="2" t="s">
        <v>4275</v>
      </c>
      <c r="D486" s="11" t="n">
        <v>4620</v>
      </c>
      <c r="E486" s="31" t="n">
        <v>2.8</v>
      </c>
      <c r="F486" s="2"/>
      <c r="G486" s="31" t="n">
        <v>1.3</v>
      </c>
      <c r="H486" s="2" t="s">
        <v>832</v>
      </c>
    </row>
    <row r="487" customFormat="false" ht="15" hidden="false" customHeight="false" outlineLevel="0" collapsed="false">
      <c r="A487" s="2" t="s">
        <v>2094</v>
      </c>
      <c r="B487" s="2" t="s">
        <v>46</v>
      </c>
      <c r="C487" s="2" t="s">
        <v>4274</v>
      </c>
      <c r="D487" s="11" t="n">
        <v>19140</v>
      </c>
      <c r="E487" s="31" t="n">
        <v>4.9</v>
      </c>
      <c r="F487" s="31" t="n">
        <v>62.9</v>
      </c>
      <c r="G487" s="31" t="n">
        <v>38.6</v>
      </c>
      <c r="H487" s="2" t="s">
        <v>822</v>
      </c>
    </row>
    <row r="488" customFormat="false" ht="15" hidden="false" customHeight="false" outlineLevel="0" collapsed="false">
      <c r="A488" s="2" t="s">
        <v>2094</v>
      </c>
      <c r="B488" s="2" t="s">
        <v>46</v>
      </c>
      <c r="C488" s="2" t="s">
        <v>4275</v>
      </c>
      <c r="D488" s="11" t="n">
        <v>19960</v>
      </c>
      <c r="E488" s="31" t="n">
        <v>18.3</v>
      </c>
      <c r="F488" s="31" t="n">
        <v>44.7</v>
      </c>
      <c r="G488" s="31" t="n">
        <v>27.6</v>
      </c>
      <c r="H488" s="2" t="s">
        <v>822</v>
      </c>
    </row>
    <row r="489" customFormat="false" ht="15" hidden="false" customHeight="false" outlineLevel="0" collapsed="false">
      <c r="A489" s="2" t="s">
        <v>2094</v>
      </c>
      <c r="B489" s="2" t="s">
        <v>47</v>
      </c>
      <c r="C489" s="2" t="s">
        <v>4274</v>
      </c>
      <c r="D489" s="11" t="n">
        <v>68420</v>
      </c>
      <c r="E489" s="31" t="n">
        <v>1.2</v>
      </c>
      <c r="F489" s="31" t="n">
        <v>17</v>
      </c>
      <c r="G489" s="31" t="n">
        <v>51.1</v>
      </c>
      <c r="H489" s="2" t="s">
        <v>822</v>
      </c>
    </row>
    <row r="490" customFormat="false" ht="15" hidden="false" customHeight="false" outlineLevel="0" collapsed="false">
      <c r="A490" s="2" t="s">
        <v>2094</v>
      </c>
      <c r="B490" s="2" t="s">
        <v>47</v>
      </c>
      <c r="C490" s="2" t="s">
        <v>4275</v>
      </c>
      <c r="D490" s="11" t="n">
        <v>67730</v>
      </c>
      <c r="E490" s="31" t="n">
        <v>4.4</v>
      </c>
      <c r="F490" s="31" t="n">
        <v>1.9</v>
      </c>
      <c r="G490" s="31" t="n">
        <v>28.5</v>
      </c>
      <c r="H490" s="2" t="s">
        <v>822</v>
      </c>
    </row>
    <row r="491" customFormat="false" ht="15" hidden="false" customHeight="false" outlineLevel="0" collapsed="false">
      <c r="A491" s="2" t="s">
        <v>700</v>
      </c>
      <c r="B491" s="2" t="s">
        <v>4291</v>
      </c>
      <c r="C491" s="2" t="s">
        <v>4274</v>
      </c>
      <c r="D491" s="2"/>
      <c r="E491" s="31" t="n">
        <v>15.3</v>
      </c>
      <c r="F491" s="31" t="n">
        <v>72.6</v>
      </c>
      <c r="G491" s="31" t="n">
        <v>30.7</v>
      </c>
      <c r="H491" s="2" t="s">
        <v>822</v>
      </c>
    </row>
    <row r="492" customFormat="false" ht="15" hidden="false" customHeight="false" outlineLevel="0" collapsed="false">
      <c r="A492" s="2" t="s">
        <v>700</v>
      </c>
      <c r="B492" s="2" t="s">
        <v>4291</v>
      </c>
      <c r="C492" s="2" t="s">
        <v>4275</v>
      </c>
      <c r="D492" s="2"/>
      <c r="E492" s="31" t="n">
        <v>28.4</v>
      </c>
      <c r="F492" s="31" t="n">
        <v>45</v>
      </c>
      <c r="G492" s="31" t="n">
        <v>84.4</v>
      </c>
      <c r="H492" s="2" t="s">
        <v>822</v>
      </c>
    </row>
    <row r="493" customFormat="false" ht="15" hidden="false" customHeight="false" outlineLevel="0" collapsed="false">
      <c r="A493" s="2" t="s">
        <v>700</v>
      </c>
      <c r="B493" s="2" t="s">
        <v>45</v>
      </c>
      <c r="C493" s="2" t="s">
        <v>4274</v>
      </c>
      <c r="D493" s="11" t="n">
        <v>101300</v>
      </c>
      <c r="E493" s="31" t="n">
        <v>15.3</v>
      </c>
      <c r="F493" s="31" t="n">
        <v>72.6</v>
      </c>
      <c r="G493" s="31" t="n">
        <v>30.7</v>
      </c>
      <c r="H493" s="2" t="s">
        <v>822</v>
      </c>
    </row>
    <row r="494" customFormat="false" ht="15" hidden="false" customHeight="false" outlineLevel="0" collapsed="false">
      <c r="A494" s="2" t="s">
        <v>700</v>
      </c>
      <c r="B494" s="2" t="s">
        <v>45</v>
      </c>
      <c r="C494" s="2" t="s">
        <v>4275</v>
      </c>
      <c r="D494" s="11" t="n">
        <v>103010</v>
      </c>
      <c r="E494" s="31" t="n">
        <v>28.4</v>
      </c>
      <c r="F494" s="31" t="n">
        <v>45</v>
      </c>
      <c r="G494" s="31" t="n">
        <v>84.4</v>
      </c>
      <c r="H494" s="2" t="s">
        <v>822</v>
      </c>
    </row>
    <row r="495" customFormat="false" ht="15" hidden="false" customHeight="false" outlineLevel="0" collapsed="false">
      <c r="A495" s="2" t="s">
        <v>2689</v>
      </c>
      <c r="B495" s="2" t="s">
        <v>4291</v>
      </c>
      <c r="C495" s="2" t="s">
        <v>4274</v>
      </c>
      <c r="D495" s="2"/>
      <c r="E495" s="2"/>
      <c r="F495" s="2"/>
      <c r="G495" s="31" t="n">
        <v>92</v>
      </c>
      <c r="H495" s="2" t="s">
        <v>832</v>
      </c>
    </row>
    <row r="496" customFormat="false" ht="15" hidden="false" customHeight="false" outlineLevel="0" collapsed="false">
      <c r="A496" s="2" t="s">
        <v>2689</v>
      </c>
      <c r="B496" s="2" t="s">
        <v>4291</v>
      </c>
      <c r="C496" s="2" t="s">
        <v>4275</v>
      </c>
      <c r="D496" s="2"/>
      <c r="E496" s="31" t="n">
        <v>29.2</v>
      </c>
      <c r="F496" s="31" t="n">
        <v>69.2</v>
      </c>
      <c r="G496" s="31" t="n">
        <v>37.1</v>
      </c>
      <c r="H496" s="2" t="s">
        <v>832</v>
      </c>
    </row>
    <row r="497" customFormat="false" ht="15" hidden="false" customHeight="false" outlineLevel="0" collapsed="false">
      <c r="A497" s="2" t="s">
        <v>2689</v>
      </c>
      <c r="B497" s="2" t="s">
        <v>46</v>
      </c>
      <c r="C497" s="2" t="s">
        <v>4274</v>
      </c>
      <c r="D497" s="2"/>
      <c r="E497" s="2"/>
      <c r="F497" s="2"/>
      <c r="G497" s="31" t="n">
        <v>92</v>
      </c>
      <c r="H497" s="2" t="s">
        <v>832</v>
      </c>
    </row>
    <row r="498" customFormat="false" ht="15" hidden="false" customHeight="false" outlineLevel="0" collapsed="false">
      <c r="A498" s="2" t="s">
        <v>2689</v>
      </c>
      <c r="B498" s="2" t="s">
        <v>46</v>
      </c>
      <c r="C498" s="2" t="s">
        <v>4275</v>
      </c>
      <c r="D498" s="11" t="n">
        <v>50050</v>
      </c>
      <c r="E498" s="31" t="n">
        <v>30.8</v>
      </c>
      <c r="F498" s="31" t="n">
        <v>95.6</v>
      </c>
      <c r="G498" s="2"/>
      <c r="H498" s="2" t="s">
        <v>832</v>
      </c>
    </row>
    <row r="499" customFormat="false" ht="15" hidden="false" customHeight="false" outlineLevel="0" collapsed="false">
      <c r="A499" s="2" t="s">
        <v>2689</v>
      </c>
      <c r="B499" s="2" t="s">
        <v>47</v>
      </c>
      <c r="C499" s="2" t="s">
        <v>4274</v>
      </c>
      <c r="D499" s="2"/>
      <c r="E499" s="2"/>
      <c r="F499" s="2"/>
      <c r="G499" s="2"/>
      <c r="H499" s="2" t="s">
        <v>832</v>
      </c>
    </row>
    <row r="500" customFormat="false" ht="15" hidden="false" customHeight="false" outlineLevel="0" collapsed="false">
      <c r="A500" s="2" t="s">
        <v>2689</v>
      </c>
      <c r="B500" s="2" t="s">
        <v>47</v>
      </c>
      <c r="C500" s="2" t="s">
        <v>4275</v>
      </c>
      <c r="D500" s="11" t="n">
        <v>97601</v>
      </c>
      <c r="E500" s="31" t="n">
        <v>27.5</v>
      </c>
      <c r="F500" s="31" t="n">
        <v>42.9</v>
      </c>
      <c r="G500" s="31" t="n">
        <v>37.1</v>
      </c>
      <c r="H500" s="2" t="s">
        <v>822</v>
      </c>
    </row>
    <row r="501" customFormat="false" ht="15" hidden="false" customHeight="false" outlineLevel="0" collapsed="false">
      <c r="A501" s="2" t="s">
        <v>2932</v>
      </c>
      <c r="B501" s="2" t="s">
        <v>4291</v>
      </c>
      <c r="C501" s="2" t="s">
        <v>4274</v>
      </c>
      <c r="D501" s="2"/>
      <c r="E501" s="31" t="n">
        <v>19.7</v>
      </c>
      <c r="F501" s="31" t="n">
        <v>49.6</v>
      </c>
      <c r="G501" s="31" t="n">
        <v>32.9</v>
      </c>
      <c r="H501" s="2" t="s">
        <v>822</v>
      </c>
    </row>
    <row r="502" customFormat="false" ht="15" hidden="false" customHeight="false" outlineLevel="0" collapsed="false">
      <c r="A502" s="2" t="s">
        <v>2932</v>
      </c>
      <c r="B502" s="2" t="s">
        <v>4291</v>
      </c>
      <c r="C502" s="2" t="s">
        <v>4275</v>
      </c>
      <c r="D502" s="2"/>
      <c r="E502" s="31" t="n">
        <v>21</v>
      </c>
      <c r="F502" s="31" t="n">
        <v>35.4</v>
      </c>
      <c r="G502" s="2"/>
      <c r="H502" s="2" t="s">
        <v>832</v>
      </c>
    </row>
    <row r="503" customFormat="false" ht="15" hidden="false" customHeight="false" outlineLevel="0" collapsed="false">
      <c r="A503" s="2" t="s">
        <v>2932</v>
      </c>
      <c r="B503" s="2" t="s">
        <v>45</v>
      </c>
      <c r="C503" s="2" t="s">
        <v>4274</v>
      </c>
      <c r="D503" s="11" t="n">
        <v>54032</v>
      </c>
      <c r="E503" s="31" t="n">
        <v>19.7</v>
      </c>
      <c r="F503" s="31" t="n">
        <v>49.6</v>
      </c>
      <c r="G503" s="31" t="n">
        <v>32.9</v>
      </c>
      <c r="H503" s="2" t="s">
        <v>822</v>
      </c>
    </row>
    <row r="504" customFormat="false" ht="15" hidden="false" customHeight="false" outlineLevel="0" collapsed="false">
      <c r="A504" s="2" t="s">
        <v>2932</v>
      </c>
      <c r="B504" s="2" t="s">
        <v>45</v>
      </c>
      <c r="C504" s="2" t="s">
        <v>4275</v>
      </c>
      <c r="D504" s="11" t="n">
        <v>54553</v>
      </c>
      <c r="E504" s="31" t="n">
        <v>21</v>
      </c>
      <c r="F504" s="31" t="n">
        <v>35.4</v>
      </c>
      <c r="G504" s="2"/>
      <c r="H504" s="2" t="s">
        <v>832</v>
      </c>
    </row>
    <row r="505" customFormat="false" ht="15" hidden="false" customHeight="false" outlineLevel="0" collapsed="false">
      <c r="A505" s="2" t="s">
        <v>1677</v>
      </c>
      <c r="B505" s="2" t="s">
        <v>4291</v>
      </c>
      <c r="C505" s="2" t="s">
        <v>4274</v>
      </c>
      <c r="D505" s="2"/>
      <c r="E505" s="31" t="n">
        <v>75.1</v>
      </c>
      <c r="F505" s="31" t="n">
        <v>45.6</v>
      </c>
      <c r="G505" s="31" t="n">
        <v>29.9</v>
      </c>
      <c r="H505" s="2" t="s">
        <v>822</v>
      </c>
    </row>
    <row r="506" customFormat="false" ht="15" hidden="false" customHeight="false" outlineLevel="0" collapsed="false">
      <c r="A506" s="2" t="s">
        <v>1677</v>
      </c>
      <c r="B506" s="2" t="s">
        <v>4291</v>
      </c>
      <c r="C506" s="2" t="s">
        <v>4275</v>
      </c>
      <c r="D506" s="2"/>
      <c r="E506" s="31" t="n">
        <v>72.1</v>
      </c>
      <c r="F506" s="31" t="n">
        <v>60.1</v>
      </c>
      <c r="G506" s="31" t="n">
        <v>84.5</v>
      </c>
      <c r="H506" s="2" t="s">
        <v>832</v>
      </c>
    </row>
    <row r="507" customFormat="false" ht="15" hidden="false" customHeight="false" outlineLevel="0" collapsed="false">
      <c r="A507" s="2" t="s">
        <v>1677</v>
      </c>
      <c r="B507" s="2" t="s">
        <v>45</v>
      </c>
      <c r="C507" s="2" t="s">
        <v>4274</v>
      </c>
      <c r="D507" s="11" t="n">
        <v>197400</v>
      </c>
      <c r="E507" s="31" t="n">
        <v>94.6</v>
      </c>
      <c r="F507" s="31" t="n">
        <v>95.9</v>
      </c>
      <c r="G507" s="31" t="n">
        <v>20.7</v>
      </c>
      <c r="H507" s="2" t="s">
        <v>822</v>
      </c>
    </row>
    <row r="508" customFormat="false" ht="15" hidden="false" customHeight="false" outlineLevel="0" collapsed="false">
      <c r="A508" s="2" t="s">
        <v>1677</v>
      </c>
      <c r="B508" s="2" t="s">
        <v>45</v>
      </c>
      <c r="C508" s="2" t="s">
        <v>4275</v>
      </c>
      <c r="D508" s="11" t="n">
        <v>216220</v>
      </c>
      <c r="E508" s="31" t="n">
        <v>93.2</v>
      </c>
      <c r="F508" s="31" t="n">
        <v>97.1</v>
      </c>
      <c r="G508" s="2"/>
      <c r="H508" s="2" t="s">
        <v>832</v>
      </c>
    </row>
    <row r="509" customFormat="false" ht="15" hidden="false" customHeight="false" outlineLevel="0" collapsed="false">
      <c r="A509" s="2" t="s">
        <v>1677</v>
      </c>
      <c r="B509" s="2" t="s">
        <v>46</v>
      </c>
      <c r="C509" s="2" t="s">
        <v>4274</v>
      </c>
      <c r="D509" s="11" t="n">
        <v>52822</v>
      </c>
      <c r="E509" s="31" t="n">
        <v>89.4</v>
      </c>
      <c r="F509" s="31" t="n">
        <v>12.4</v>
      </c>
      <c r="G509" s="31" t="n">
        <v>20.3</v>
      </c>
      <c r="H509" s="2" t="s">
        <v>822</v>
      </c>
    </row>
    <row r="510" customFormat="false" ht="15" hidden="false" customHeight="false" outlineLevel="0" collapsed="false">
      <c r="A510" s="2" t="s">
        <v>1677</v>
      </c>
      <c r="B510" s="2" t="s">
        <v>46</v>
      </c>
      <c r="C510" s="2" t="s">
        <v>4275</v>
      </c>
      <c r="D510" s="11" t="n">
        <v>52677</v>
      </c>
      <c r="E510" s="31" t="n">
        <v>87.2</v>
      </c>
      <c r="F510" s="31" t="n">
        <v>7.3</v>
      </c>
      <c r="G510" s="31" t="n">
        <v>75.1</v>
      </c>
      <c r="H510" s="2" t="s">
        <v>822</v>
      </c>
    </row>
    <row r="511" customFormat="false" ht="15" hidden="false" customHeight="false" outlineLevel="0" collapsed="false">
      <c r="A511" s="2" t="s">
        <v>1677</v>
      </c>
      <c r="B511" s="2" t="s">
        <v>47</v>
      </c>
      <c r="C511" s="2" t="s">
        <v>4274</v>
      </c>
      <c r="D511" s="11" t="n">
        <v>32358</v>
      </c>
      <c r="E511" s="31" t="n">
        <v>41.2</v>
      </c>
      <c r="F511" s="31" t="n">
        <v>28.4</v>
      </c>
      <c r="G511" s="31" t="n">
        <v>48.7</v>
      </c>
      <c r="H511" s="2" t="s">
        <v>822</v>
      </c>
    </row>
    <row r="512" customFormat="false" ht="15" hidden="false" customHeight="false" outlineLevel="0" collapsed="false">
      <c r="A512" s="2" t="s">
        <v>1677</v>
      </c>
      <c r="B512" s="2" t="s">
        <v>47</v>
      </c>
      <c r="C512" s="2" t="s">
        <v>4275</v>
      </c>
      <c r="D512" s="11" t="n">
        <v>33230</v>
      </c>
      <c r="E512" s="31" t="n">
        <v>35.8</v>
      </c>
      <c r="F512" s="31" t="n">
        <v>76</v>
      </c>
      <c r="G512" s="31" t="n">
        <v>93.9</v>
      </c>
      <c r="H512" s="2" t="s">
        <v>822</v>
      </c>
    </row>
    <row r="513" customFormat="false" ht="15" hidden="false" customHeight="false" outlineLevel="0" collapsed="false">
      <c r="A513" s="2" t="s">
        <v>302</v>
      </c>
      <c r="B513" s="2" t="s">
        <v>4291</v>
      </c>
      <c r="C513" s="2" t="s">
        <v>4274</v>
      </c>
      <c r="D513" s="2"/>
      <c r="E513" s="31" t="n">
        <v>63.6</v>
      </c>
      <c r="F513" s="31" t="n">
        <v>32.2</v>
      </c>
      <c r="G513" s="2"/>
      <c r="H513" s="2" t="s">
        <v>832</v>
      </c>
    </row>
    <row r="514" customFormat="false" ht="15" hidden="false" customHeight="false" outlineLevel="0" collapsed="false">
      <c r="A514" s="2" t="s">
        <v>302</v>
      </c>
      <c r="B514" s="2" t="s">
        <v>4291</v>
      </c>
      <c r="C514" s="2" t="s">
        <v>4275</v>
      </c>
      <c r="D514" s="2"/>
      <c r="E514" s="31" t="n">
        <v>63.8</v>
      </c>
      <c r="F514" s="31" t="n">
        <v>14.3</v>
      </c>
      <c r="G514" s="31" t="n">
        <v>36.1</v>
      </c>
      <c r="H514" s="2" t="s">
        <v>822</v>
      </c>
    </row>
    <row r="515" customFormat="false" ht="15" hidden="false" customHeight="false" outlineLevel="0" collapsed="false">
      <c r="A515" s="2" t="s">
        <v>302</v>
      </c>
      <c r="B515" s="2" t="s">
        <v>45</v>
      </c>
      <c r="C515" s="2" t="s">
        <v>4274</v>
      </c>
      <c r="D515" s="11" t="n">
        <v>1587651</v>
      </c>
      <c r="E515" s="31" t="n">
        <v>55.9</v>
      </c>
      <c r="F515" s="31" t="n">
        <v>35.7</v>
      </c>
      <c r="G515" s="2"/>
      <c r="H515" s="2" t="s">
        <v>832</v>
      </c>
    </row>
    <row r="516" customFormat="false" ht="15" hidden="false" customHeight="false" outlineLevel="0" collapsed="false">
      <c r="A516" s="2" t="s">
        <v>302</v>
      </c>
      <c r="B516" s="2" t="s">
        <v>45</v>
      </c>
      <c r="C516" s="2" t="s">
        <v>4275</v>
      </c>
      <c r="D516" s="11" t="n">
        <v>1683510</v>
      </c>
      <c r="E516" s="31" t="n">
        <v>56</v>
      </c>
      <c r="F516" s="31" t="n">
        <v>23.5</v>
      </c>
      <c r="G516" s="31" t="n">
        <v>55.9</v>
      </c>
      <c r="H516" s="2" t="s">
        <v>822</v>
      </c>
    </row>
    <row r="517" customFormat="false" ht="15" hidden="false" customHeight="false" outlineLevel="0" collapsed="false">
      <c r="A517" s="2" t="s">
        <v>302</v>
      </c>
      <c r="B517" s="2" t="s">
        <v>46</v>
      </c>
      <c r="C517" s="2" t="s">
        <v>4274</v>
      </c>
      <c r="D517" s="11" t="n">
        <v>252250</v>
      </c>
      <c r="E517" s="31" t="n">
        <v>71.4</v>
      </c>
      <c r="F517" s="31" t="n">
        <v>28.8</v>
      </c>
      <c r="G517" s="2"/>
      <c r="H517" s="2" t="s">
        <v>832</v>
      </c>
    </row>
    <row r="518" customFormat="false" ht="15" hidden="false" customHeight="false" outlineLevel="0" collapsed="false">
      <c r="A518" s="2" t="s">
        <v>302</v>
      </c>
      <c r="B518" s="2" t="s">
        <v>46</v>
      </c>
      <c r="C518" s="2" t="s">
        <v>4275</v>
      </c>
      <c r="D518" s="11" t="n">
        <v>253310</v>
      </c>
      <c r="E518" s="31" t="n">
        <v>71.5</v>
      </c>
      <c r="F518" s="31" t="n">
        <v>5.1</v>
      </c>
      <c r="G518" s="31" t="n">
        <v>16.3</v>
      </c>
      <c r="H518" s="2" t="s">
        <v>822</v>
      </c>
    </row>
    <row r="519" customFormat="false" ht="15" hidden="false" customHeight="false" outlineLevel="0" collapsed="false">
      <c r="A519" s="2" t="s">
        <v>338</v>
      </c>
      <c r="B519" s="2" t="s">
        <v>4291</v>
      </c>
      <c r="C519" s="2" t="s">
        <v>4274</v>
      </c>
      <c r="D519" s="2"/>
      <c r="E519" s="31" t="n">
        <v>80.3</v>
      </c>
      <c r="F519" s="31" t="n">
        <v>6.9</v>
      </c>
      <c r="G519" s="31" t="n">
        <v>7.6</v>
      </c>
      <c r="H519" s="2" t="s">
        <v>822</v>
      </c>
    </row>
    <row r="520" customFormat="false" ht="15" hidden="false" customHeight="false" outlineLevel="0" collapsed="false">
      <c r="A520" s="2" t="s">
        <v>338</v>
      </c>
      <c r="B520" s="2" t="s">
        <v>4291</v>
      </c>
      <c r="C520" s="2" t="s">
        <v>4275</v>
      </c>
      <c r="D520" s="2"/>
      <c r="E520" s="31" t="n">
        <v>60</v>
      </c>
      <c r="F520" s="31" t="n">
        <v>20.1</v>
      </c>
      <c r="G520" s="31" t="n">
        <v>11.1</v>
      </c>
      <c r="H520" s="2" t="s">
        <v>822</v>
      </c>
    </row>
    <row r="521" customFormat="false" ht="15" hidden="false" customHeight="false" outlineLevel="0" collapsed="false">
      <c r="A521" s="2" t="s">
        <v>338</v>
      </c>
      <c r="B521" s="2" t="s">
        <v>47</v>
      </c>
      <c r="C521" s="2" t="s">
        <v>4274</v>
      </c>
      <c r="D521" s="11" t="n">
        <v>94830</v>
      </c>
      <c r="E521" s="31" t="n">
        <v>80.3</v>
      </c>
      <c r="F521" s="31" t="n">
        <v>6.9</v>
      </c>
      <c r="G521" s="31" t="n">
        <v>7.6</v>
      </c>
      <c r="H521" s="2" t="s">
        <v>822</v>
      </c>
    </row>
    <row r="522" customFormat="false" ht="15" hidden="false" customHeight="false" outlineLevel="0" collapsed="false">
      <c r="A522" s="2" t="s">
        <v>338</v>
      </c>
      <c r="B522" s="2" t="s">
        <v>47</v>
      </c>
      <c r="C522" s="2" t="s">
        <v>4275</v>
      </c>
      <c r="D522" s="11" t="n">
        <v>94724</v>
      </c>
      <c r="E522" s="31" t="n">
        <v>60</v>
      </c>
      <c r="F522" s="31" t="n">
        <v>20.1</v>
      </c>
      <c r="G522" s="31" t="n">
        <v>11.1</v>
      </c>
      <c r="H522" s="2" t="s">
        <v>822</v>
      </c>
    </row>
    <row r="523" customFormat="false" ht="15" hidden="false" customHeight="false" outlineLevel="0" collapsed="false">
      <c r="A523" s="2" t="s">
        <v>2494</v>
      </c>
      <c r="B523" s="2" t="s">
        <v>4291</v>
      </c>
      <c r="C523" s="2" t="s">
        <v>4274</v>
      </c>
      <c r="D523" s="2"/>
      <c r="E523" s="31" t="n">
        <v>31.2</v>
      </c>
      <c r="F523" s="31" t="n">
        <v>41.4</v>
      </c>
      <c r="G523" s="31" t="n">
        <v>5.8</v>
      </c>
      <c r="H523" s="2" t="s">
        <v>822</v>
      </c>
    </row>
    <row r="524" customFormat="false" ht="15" hidden="false" customHeight="false" outlineLevel="0" collapsed="false">
      <c r="A524" s="2" t="s">
        <v>2494</v>
      </c>
      <c r="B524" s="2" t="s">
        <v>4291</v>
      </c>
      <c r="C524" s="2" t="s">
        <v>4275</v>
      </c>
      <c r="D524" s="2"/>
      <c r="E524" s="31" t="n">
        <v>46.7</v>
      </c>
      <c r="F524" s="31" t="n">
        <v>48.1</v>
      </c>
      <c r="G524" s="31" t="n">
        <v>32.3</v>
      </c>
      <c r="H524" s="2" t="s">
        <v>832</v>
      </c>
    </row>
    <row r="525" customFormat="false" ht="15" hidden="false" customHeight="false" outlineLevel="0" collapsed="false">
      <c r="A525" s="2" t="s">
        <v>2494</v>
      </c>
      <c r="B525" s="2" t="s">
        <v>45</v>
      </c>
      <c r="C525" s="2" t="s">
        <v>4274</v>
      </c>
      <c r="D525" s="11" t="n">
        <v>24748</v>
      </c>
      <c r="E525" s="31" t="n">
        <v>14</v>
      </c>
      <c r="F525" s="31" t="n">
        <v>28.5</v>
      </c>
      <c r="G525" s="31" t="n">
        <v>0.9</v>
      </c>
      <c r="H525" s="2" t="s">
        <v>822</v>
      </c>
    </row>
    <row r="526" customFormat="false" ht="15" hidden="false" customHeight="false" outlineLevel="0" collapsed="false">
      <c r="A526" s="2" t="s">
        <v>2494</v>
      </c>
      <c r="B526" s="2" t="s">
        <v>45</v>
      </c>
      <c r="C526" s="2" t="s">
        <v>4275</v>
      </c>
      <c r="D526" s="11" t="n">
        <v>24940</v>
      </c>
      <c r="E526" s="31" t="n">
        <v>37.1</v>
      </c>
      <c r="F526" s="31" t="n">
        <v>22.7</v>
      </c>
      <c r="G526" s="2"/>
      <c r="H526" s="2" t="s">
        <v>832</v>
      </c>
    </row>
    <row r="527" customFormat="false" ht="15" hidden="false" customHeight="false" outlineLevel="0" collapsed="false">
      <c r="A527" s="2" t="s">
        <v>2494</v>
      </c>
      <c r="B527" s="2" t="s">
        <v>47</v>
      </c>
      <c r="C527" s="2" t="s">
        <v>4274</v>
      </c>
      <c r="D527" s="11" t="n">
        <v>92223</v>
      </c>
      <c r="E527" s="31" t="n">
        <v>48.3</v>
      </c>
      <c r="F527" s="31" t="n">
        <v>54.2</v>
      </c>
      <c r="G527" s="31" t="n">
        <v>10.6</v>
      </c>
      <c r="H527" s="2" t="s">
        <v>822</v>
      </c>
    </row>
    <row r="528" customFormat="false" ht="15" hidden="false" customHeight="false" outlineLevel="0" collapsed="false">
      <c r="A528" s="2" t="s">
        <v>2494</v>
      </c>
      <c r="B528" s="2" t="s">
        <v>47</v>
      </c>
      <c r="C528" s="2" t="s">
        <v>4275</v>
      </c>
      <c r="D528" s="11" t="n">
        <v>95230</v>
      </c>
      <c r="E528" s="31" t="n">
        <v>56.3</v>
      </c>
      <c r="F528" s="31" t="n">
        <v>73.4</v>
      </c>
      <c r="G528" s="31" t="n">
        <v>32.3</v>
      </c>
      <c r="H528" s="2" t="s">
        <v>822</v>
      </c>
    </row>
    <row r="529" customFormat="false" ht="15" hidden="false" customHeight="false" outlineLevel="0" collapsed="false">
      <c r="A529" s="2" t="s">
        <v>662</v>
      </c>
      <c r="B529" s="2" t="s">
        <v>4291</v>
      </c>
      <c r="C529" s="2" t="s">
        <v>4274</v>
      </c>
      <c r="D529" s="2"/>
      <c r="E529" s="31" t="n">
        <v>37</v>
      </c>
      <c r="F529" s="31" t="n">
        <v>73.5</v>
      </c>
      <c r="G529" s="31" t="n">
        <v>48</v>
      </c>
      <c r="H529" s="2" t="s">
        <v>822</v>
      </c>
    </row>
    <row r="530" customFormat="false" ht="15" hidden="false" customHeight="false" outlineLevel="0" collapsed="false">
      <c r="A530" s="2" t="s">
        <v>662</v>
      </c>
      <c r="B530" s="2" t="s">
        <v>4291</v>
      </c>
      <c r="C530" s="2" t="s">
        <v>4275</v>
      </c>
      <c r="D530" s="2"/>
      <c r="E530" s="31" t="n">
        <v>33.8</v>
      </c>
      <c r="F530" s="31" t="n">
        <v>58.9</v>
      </c>
      <c r="G530" s="31" t="n">
        <v>67.6</v>
      </c>
      <c r="H530" s="2" t="s">
        <v>822</v>
      </c>
    </row>
    <row r="531" customFormat="false" ht="15" hidden="false" customHeight="false" outlineLevel="0" collapsed="false">
      <c r="A531" s="2" t="s">
        <v>662</v>
      </c>
      <c r="B531" s="2" t="s">
        <v>45</v>
      </c>
      <c r="C531" s="2" t="s">
        <v>4274</v>
      </c>
      <c r="D531" s="11" t="n">
        <v>55488</v>
      </c>
      <c r="E531" s="31" t="n">
        <v>48.6</v>
      </c>
      <c r="F531" s="31" t="n">
        <v>57.3</v>
      </c>
      <c r="G531" s="31" t="n">
        <v>41</v>
      </c>
      <c r="H531" s="2" t="s">
        <v>822</v>
      </c>
    </row>
    <row r="532" customFormat="false" ht="15" hidden="false" customHeight="false" outlineLevel="0" collapsed="false">
      <c r="A532" s="2" t="s">
        <v>662</v>
      </c>
      <c r="B532" s="2" t="s">
        <v>45</v>
      </c>
      <c r="C532" s="2" t="s">
        <v>4275</v>
      </c>
      <c r="D532" s="11" t="n">
        <v>57810</v>
      </c>
      <c r="E532" s="31" t="n">
        <v>41</v>
      </c>
      <c r="F532" s="31" t="n">
        <v>38.8</v>
      </c>
      <c r="G532" s="31" t="n">
        <v>66.7</v>
      </c>
      <c r="H532" s="2" t="s">
        <v>822</v>
      </c>
    </row>
    <row r="533" customFormat="false" ht="15" hidden="false" customHeight="false" outlineLevel="0" collapsed="false">
      <c r="A533" s="2" t="s">
        <v>662</v>
      </c>
      <c r="B533" s="2" t="s">
        <v>46</v>
      </c>
      <c r="C533" s="2" t="s">
        <v>4274</v>
      </c>
      <c r="D533" s="11" t="n">
        <v>293230</v>
      </c>
      <c r="E533" s="31" t="n">
        <v>25.4</v>
      </c>
      <c r="F533" s="31" t="n">
        <v>89.7</v>
      </c>
      <c r="G533" s="31" t="n">
        <v>55</v>
      </c>
      <c r="H533" s="2" t="s">
        <v>822</v>
      </c>
    </row>
    <row r="534" customFormat="false" ht="15" hidden="false" customHeight="false" outlineLevel="0" collapsed="false">
      <c r="A534" s="2" t="s">
        <v>662</v>
      </c>
      <c r="B534" s="2" t="s">
        <v>46</v>
      </c>
      <c r="C534" s="2" t="s">
        <v>4275</v>
      </c>
      <c r="D534" s="11" t="n">
        <v>314370</v>
      </c>
      <c r="E534" s="31" t="n">
        <v>26.5</v>
      </c>
      <c r="F534" s="31" t="n">
        <v>79</v>
      </c>
      <c r="G534" s="31" t="n">
        <v>68.4</v>
      </c>
      <c r="H534" s="2" t="s">
        <v>822</v>
      </c>
    </row>
    <row r="535" customFormat="false" ht="15" hidden="false" customHeight="false" outlineLevel="0" collapsed="false">
      <c r="A535" s="2" t="s">
        <v>380</v>
      </c>
      <c r="B535" s="2" t="s">
        <v>4291</v>
      </c>
      <c r="C535" s="2" t="s">
        <v>4274</v>
      </c>
      <c r="D535" s="2"/>
      <c r="E535" s="2"/>
      <c r="F535" s="2"/>
      <c r="G535" s="2"/>
      <c r="H535" s="2" t="s">
        <v>832</v>
      </c>
    </row>
    <row r="536" customFormat="false" ht="15" hidden="false" customHeight="false" outlineLevel="0" collapsed="false">
      <c r="A536" s="2" t="s">
        <v>380</v>
      </c>
      <c r="B536" s="2" t="s">
        <v>4291</v>
      </c>
      <c r="C536" s="2" t="s">
        <v>4275</v>
      </c>
      <c r="D536" s="2"/>
      <c r="E536" s="31" t="n">
        <v>56.3</v>
      </c>
      <c r="F536" s="31" t="n">
        <v>43.6</v>
      </c>
      <c r="G536" s="31" t="n">
        <v>90</v>
      </c>
      <c r="H536" s="2" t="s">
        <v>822</v>
      </c>
    </row>
    <row r="537" customFormat="false" ht="15" hidden="false" customHeight="false" outlineLevel="0" collapsed="false">
      <c r="A537" s="2" t="s">
        <v>380</v>
      </c>
      <c r="B537" s="2" t="s">
        <v>45</v>
      </c>
      <c r="C537" s="2" t="s">
        <v>4274</v>
      </c>
      <c r="D537" s="2"/>
      <c r="E537" s="2"/>
      <c r="F537" s="2"/>
      <c r="G537" s="2"/>
      <c r="H537" s="2" t="s">
        <v>832</v>
      </c>
    </row>
    <row r="538" customFormat="false" ht="15" hidden="false" customHeight="false" outlineLevel="0" collapsed="false">
      <c r="A538" s="2" t="s">
        <v>380</v>
      </c>
      <c r="B538" s="2" t="s">
        <v>45</v>
      </c>
      <c r="C538" s="2" t="s">
        <v>4275</v>
      </c>
      <c r="D538" s="11" t="n">
        <v>308810</v>
      </c>
      <c r="E538" s="31" t="n">
        <v>56.3</v>
      </c>
      <c r="F538" s="31" t="n">
        <v>43.6</v>
      </c>
      <c r="G538" s="31" t="n">
        <v>90</v>
      </c>
      <c r="H538" s="2" t="s">
        <v>822</v>
      </c>
    </row>
    <row r="539" customFormat="false" ht="15" hidden="false" customHeight="false" outlineLevel="0" collapsed="false">
      <c r="A539" s="2" t="s">
        <v>1308</v>
      </c>
      <c r="B539" s="2" t="s">
        <v>4291</v>
      </c>
      <c r="C539" s="2" t="s">
        <v>4274</v>
      </c>
      <c r="D539" s="2"/>
      <c r="E539" s="31" t="n">
        <v>45.4</v>
      </c>
      <c r="F539" s="31" t="n">
        <v>82.9</v>
      </c>
      <c r="G539" s="31" t="n">
        <v>34</v>
      </c>
      <c r="H539" s="2" t="s">
        <v>832</v>
      </c>
    </row>
    <row r="540" customFormat="false" ht="15" hidden="false" customHeight="false" outlineLevel="0" collapsed="false">
      <c r="A540" s="2" t="s">
        <v>1308</v>
      </c>
      <c r="B540" s="2" t="s">
        <v>4291</v>
      </c>
      <c r="C540" s="2" t="s">
        <v>4275</v>
      </c>
      <c r="D540" s="2"/>
      <c r="E540" s="31" t="n">
        <v>40.1</v>
      </c>
      <c r="F540" s="31" t="n">
        <v>81.4</v>
      </c>
      <c r="G540" s="31" t="n">
        <v>54.7</v>
      </c>
      <c r="H540" s="2" t="s">
        <v>832</v>
      </c>
    </row>
    <row r="541" customFormat="false" ht="15" hidden="false" customHeight="false" outlineLevel="0" collapsed="false">
      <c r="A541" s="2" t="s">
        <v>1308</v>
      </c>
      <c r="B541" s="2" t="s">
        <v>45</v>
      </c>
      <c r="C541" s="2" t="s">
        <v>4274</v>
      </c>
      <c r="D541" s="11" t="n">
        <v>22980</v>
      </c>
      <c r="E541" s="31" t="n">
        <v>27.6</v>
      </c>
      <c r="F541" s="31" t="n">
        <v>89.1</v>
      </c>
      <c r="G541" s="31" t="n">
        <v>36.1</v>
      </c>
      <c r="H541" s="2" t="s">
        <v>822</v>
      </c>
    </row>
    <row r="542" customFormat="false" ht="15" hidden="false" customHeight="false" outlineLevel="0" collapsed="false">
      <c r="A542" s="2" t="s">
        <v>1308</v>
      </c>
      <c r="B542" s="2" t="s">
        <v>45</v>
      </c>
      <c r="C542" s="2" t="s">
        <v>4275</v>
      </c>
      <c r="D542" s="11" t="n">
        <v>24420</v>
      </c>
      <c r="E542" s="31" t="n">
        <v>40.3</v>
      </c>
      <c r="F542" s="31" t="n">
        <v>89</v>
      </c>
      <c r="G542" s="31" t="n">
        <v>26.6</v>
      </c>
      <c r="H542" s="2" t="s">
        <v>822</v>
      </c>
    </row>
    <row r="543" customFormat="false" ht="15" hidden="false" customHeight="false" outlineLevel="0" collapsed="false">
      <c r="A543" s="2" t="s">
        <v>1308</v>
      </c>
      <c r="B543" s="2" t="s">
        <v>46</v>
      </c>
      <c r="C543" s="2" t="s">
        <v>4274</v>
      </c>
      <c r="D543" s="2"/>
      <c r="E543" s="2"/>
      <c r="F543" s="2"/>
      <c r="G543" s="2"/>
      <c r="H543" s="2" t="s">
        <v>832</v>
      </c>
    </row>
    <row r="544" customFormat="false" ht="15" hidden="false" customHeight="false" outlineLevel="0" collapsed="false">
      <c r="A544" s="2" t="s">
        <v>1308</v>
      </c>
      <c r="B544" s="2" t="s">
        <v>46</v>
      </c>
      <c r="C544" s="2" t="s">
        <v>4275</v>
      </c>
      <c r="D544" s="2"/>
      <c r="E544" s="2"/>
      <c r="F544" s="2"/>
      <c r="G544" s="2"/>
      <c r="H544" s="2" t="s">
        <v>832</v>
      </c>
    </row>
    <row r="545" customFormat="false" ht="15" hidden="false" customHeight="false" outlineLevel="0" collapsed="false">
      <c r="A545" s="2" t="s">
        <v>1308</v>
      </c>
      <c r="B545" s="2" t="s">
        <v>47</v>
      </c>
      <c r="C545" s="2" t="s">
        <v>4274</v>
      </c>
      <c r="D545" s="11" t="n">
        <v>6147</v>
      </c>
      <c r="E545" s="31" t="n">
        <v>63.1</v>
      </c>
      <c r="F545" s="31" t="n">
        <v>76.7</v>
      </c>
      <c r="G545" s="31" t="n">
        <v>31.9</v>
      </c>
      <c r="H545" s="2" t="s">
        <v>822</v>
      </c>
    </row>
    <row r="546" customFormat="false" ht="15" hidden="false" customHeight="false" outlineLevel="0" collapsed="false">
      <c r="A546" s="2" t="s">
        <v>1308</v>
      </c>
      <c r="B546" s="2" t="s">
        <v>47</v>
      </c>
      <c r="C546" s="2" t="s">
        <v>4275</v>
      </c>
      <c r="D546" s="11" t="n">
        <v>6680</v>
      </c>
      <c r="E546" s="31" t="n">
        <v>39.9</v>
      </c>
      <c r="F546" s="31" t="n">
        <v>73.8</v>
      </c>
      <c r="G546" s="31" t="n">
        <v>82.8</v>
      </c>
      <c r="H546" s="2" t="s">
        <v>822</v>
      </c>
    </row>
    <row r="547" customFormat="false" ht="15" hidden="false" customHeight="false" outlineLevel="0" collapsed="false">
      <c r="A547" s="2" t="s">
        <v>1428</v>
      </c>
      <c r="B547" s="2" t="s">
        <v>4291</v>
      </c>
      <c r="C547" s="2" t="s">
        <v>4274</v>
      </c>
      <c r="D547" s="2"/>
      <c r="E547" s="31" t="n">
        <v>15.9</v>
      </c>
      <c r="F547" s="31" t="n">
        <v>96.1</v>
      </c>
      <c r="G547" s="31" t="n">
        <v>30.1</v>
      </c>
      <c r="H547" s="2" t="s">
        <v>822</v>
      </c>
    </row>
    <row r="548" customFormat="false" ht="15" hidden="false" customHeight="false" outlineLevel="0" collapsed="false">
      <c r="A548" s="2" t="s">
        <v>1428</v>
      </c>
      <c r="B548" s="2" t="s">
        <v>4291</v>
      </c>
      <c r="C548" s="2" t="s">
        <v>4275</v>
      </c>
      <c r="D548" s="2"/>
      <c r="E548" s="31" t="n">
        <v>33</v>
      </c>
      <c r="F548" s="31" t="n">
        <v>93.5</v>
      </c>
      <c r="G548" s="31" t="n">
        <v>28.2</v>
      </c>
      <c r="H548" s="2" t="s">
        <v>832</v>
      </c>
    </row>
    <row r="549" customFormat="false" ht="15" hidden="false" customHeight="false" outlineLevel="0" collapsed="false">
      <c r="A549" s="2" t="s">
        <v>1428</v>
      </c>
      <c r="B549" s="2" t="s">
        <v>45</v>
      </c>
      <c r="C549" s="2" t="s">
        <v>4274</v>
      </c>
      <c r="D549" s="11" t="n">
        <v>39670</v>
      </c>
      <c r="E549" s="31" t="n">
        <v>5.8</v>
      </c>
      <c r="F549" s="31" t="n">
        <v>91.2</v>
      </c>
      <c r="G549" s="31" t="n">
        <v>42.9</v>
      </c>
      <c r="H549" s="2" t="s">
        <v>822</v>
      </c>
    </row>
    <row r="550" customFormat="false" ht="15" hidden="false" customHeight="false" outlineLevel="0" collapsed="false">
      <c r="A550" s="2" t="s">
        <v>1428</v>
      </c>
      <c r="B550" s="2" t="s">
        <v>45</v>
      </c>
      <c r="C550" s="2" t="s">
        <v>4275</v>
      </c>
      <c r="D550" s="11" t="n">
        <v>42220</v>
      </c>
      <c r="E550" s="31" t="n">
        <v>23.6</v>
      </c>
      <c r="F550" s="31" t="n">
        <v>89.7</v>
      </c>
      <c r="G550" s="31" t="n">
        <v>40.1</v>
      </c>
      <c r="H550" s="2" t="s">
        <v>822</v>
      </c>
    </row>
    <row r="551" customFormat="false" ht="15" hidden="false" customHeight="false" outlineLevel="0" collapsed="false">
      <c r="A551" s="2" t="s">
        <v>1428</v>
      </c>
      <c r="B551" s="2" t="s">
        <v>46</v>
      </c>
      <c r="C551" s="2" t="s">
        <v>4274</v>
      </c>
      <c r="D551" s="11" t="n">
        <v>10432</v>
      </c>
      <c r="E551" s="31" t="n">
        <v>21.5</v>
      </c>
      <c r="F551" s="31" t="n">
        <v>100</v>
      </c>
      <c r="G551" s="31" t="n">
        <v>21.7</v>
      </c>
      <c r="H551" s="2" t="s">
        <v>822</v>
      </c>
    </row>
    <row r="552" customFormat="false" ht="15" hidden="false" customHeight="false" outlineLevel="0" collapsed="false">
      <c r="A552" s="2" t="s">
        <v>1428</v>
      </c>
      <c r="B552" s="2" t="s">
        <v>46</v>
      </c>
      <c r="C552" s="2" t="s">
        <v>4275</v>
      </c>
      <c r="D552" s="11" t="n">
        <v>11440</v>
      </c>
      <c r="E552" s="31" t="n">
        <v>43</v>
      </c>
      <c r="F552" s="31" t="n">
        <v>99.6</v>
      </c>
      <c r="G552" s="2"/>
      <c r="H552" s="2" t="s">
        <v>832</v>
      </c>
    </row>
    <row r="553" customFormat="false" ht="15" hidden="false" customHeight="false" outlineLevel="0" collapsed="false">
      <c r="A553" s="2" t="s">
        <v>1428</v>
      </c>
      <c r="B553" s="2" t="s">
        <v>47</v>
      </c>
      <c r="C553" s="2" t="s">
        <v>4274</v>
      </c>
      <c r="D553" s="11" t="n">
        <v>22117</v>
      </c>
      <c r="E553" s="31" t="n">
        <v>20.4</v>
      </c>
      <c r="F553" s="31" t="n">
        <v>97.1</v>
      </c>
      <c r="G553" s="31" t="n">
        <v>25.7</v>
      </c>
      <c r="H553" s="2" t="s">
        <v>822</v>
      </c>
    </row>
    <row r="554" customFormat="false" ht="15" hidden="false" customHeight="false" outlineLevel="0" collapsed="false">
      <c r="A554" s="2" t="s">
        <v>1428</v>
      </c>
      <c r="B554" s="2" t="s">
        <v>47</v>
      </c>
      <c r="C554" s="2" t="s">
        <v>4275</v>
      </c>
      <c r="D554" s="11" t="n">
        <v>24210</v>
      </c>
      <c r="E554" s="31" t="n">
        <v>32.3</v>
      </c>
      <c r="F554" s="31" t="n">
        <v>91.2</v>
      </c>
      <c r="G554" s="31" t="n">
        <v>16.3</v>
      </c>
      <c r="H554" s="2" t="s">
        <v>822</v>
      </c>
    </row>
    <row r="555" customFormat="false" ht="15" hidden="false" customHeight="false" outlineLevel="0" collapsed="false">
      <c r="A555" s="2" t="s">
        <v>1810</v>
      </c>
      <c r="B555" s="2" t="s">
        <v>4291</v>
      </c>
      <c r="C555" s="2" t="s">
        <v>4274</v>
      </c>
      <c r="D555" s="2"/>
      <c r="E555" s="31" t="n">
        <v>60.2</v>
      </c>
      <c r="F555" s="31" t="n">
        <v>37.2</v>
      </c>
      <c r="G555" s="31" t="n">
        <v>28.5</v>
      </c>
      <c r="H555" s="2" t="s">
        <v>832</v>
      </c>
    </row>
    <row r="556" customFormat="false" ht="15" hidden="false" customHeight="false" outlineLevel="0" collapsed="false">
      <c r="A556" s="2" t="s">
        <v>1810</v>
      </c>
      <c r="B556" s="2" t="s">
        <v>4291</v>
      </c>
      <c r="C556" s="2" t="s">
        <v>4275</v>
      </c>
      <c r="D556" s="2"/>
      <c r="E556" s="31" t="n">
        <v>65.4</v>
      </c>
      <c r="F556" s="31" t="n">
        <v>27.7</v>
      </c>
      <c r="G556" s="31" t="n">
        <v>21</v>
      </c>
      <c r="H556" s="2" t="s">
        <v>832</v>
      </c>
    </row>
    <row r="557" customFormat="false" ht="15" hidden="false" customHeight="false" outlineLevel="0" collapsed="false">
      <c r="A557" s="2" t="s">
        <v>1810</v>
      </c>
      <c r="B557" s="2" t="s">
        <v>45</v>
      </c>
      <c r="C557" s="2" t="s">
        <v>4274</v>
      </c>
      <c r="D557" s="11" t="n">
        <v>348313</v>
      </c>
      <c r="E557" s="31" t="n">
        <v>35.6</v>
      </c>
      <c r="F557" s="31" t="n">
        <v>32.2</v>
      </c>
      <c r="G557" s="31" t="n">
        <v>27.8</v>
      </c>
      <c r="H557" s="2" t="s">
        <v>822</v>
      </c>
    </row>
    <row r="558" customFormat="false" ht="15" hidden="false" customHeight="false" outlineLevel="0" collapsed="false">
      <c r="A558" s="2" t="s">
        <v>1810</v>
      </c>
      <c r="B558" s="2" t="s">
        <v>45</v>
      </c>
      <c r="C558" s="2" t="s">
        <v>4275</v>
      </c>
      <c r="D558" s="11" t="n">
        <v>365030</v>
      </c>
      <c r="E558" s="31" t="n">
        <v>42.7</v>
      </c>
      <c r="F558" s="31" t="n">
        <v>26.4</v>
      </c>
      <c r="G558" s="2"/>
      <c r="H558" s="2" t="s">
        <v>832</v>
      </c>
    </row>
    <row r="559" customFormat="false" ht="15" hidden="false" customHeight="false" outlineLevel="0" collapsed="false">
      <c r="A559" s="2" t="s">
        <v>1810</v>
      </c>
      <c r="B559" s="2" t="s">
        <v>46</v>
      </c>
      <c r="C559" s="2" t="s">
        <v>4274</v>
      </c>
      <c r="D559" s="11" t="n">
        <v>1151930</v>
      </c>
      <c r="E559" s="31" t="n">
        <v>57.7</v>
      </c>
      <c r="F559" s="2"/>
      <c r="G559" s="31" t="n">
        <v>24.4</v>
      </c>
      <c r="H559" s="2" t="s">
        <v>832</v>
      </c>
    </row>
    <row r="560" customFormat="false" ht="15" hidden="false" customHeight="false" outlineLevel="0" collapsed="false">
      <c r="A560" s="2" t="s">
        <v>1810</v>
      </c>
      <c r="B560" s="2" t="s">
        <v>46</v>
      </c>
      <c r="C560" s="2" t="s">
        <v>4275</v>
      </c>
      <c r="D560" s="11" t="n">
        <v>1180880</v>
      </c>
      <c r="E560" s="31" t="n">
        <v>64.6</v>
      </c>
      <c r="F560" s="31" t="n">
        <v>16.7</v>
      </c>
      <c r="G560" s="31" t="n">
        <v>12.6</v>
      </c>
      <c r="H560" s="2" t="s">
        <v>822</v>
      </c>
    </row>
    <row r="561" customFormat="false" ht="15" hidden="false" customHeight="false" outlineLevel="0" collapsed="false">
      <c r="A561" s="2" t="s">
        <v>1810</v>
      </c>
      <c r="B561" s="2" t="s">
        <v>47</v>
      </c>
      <c r="C561" s="2" t="s">
        <v>4274</v>
      </c>
      <c r="D561" s="11" t="n">
        <v>14513</v>
      </c>
      <c r="E561" s="31" t="n">
        <v>87.4</v>
      </c>
      <c r="F561" s="31" t="n">
        <v>42.2</v>
      </c>
      <c r="G561" s="31" t="n">
        <v>33.2</v>
      </c>
      <c r="H561" s="2" t="s">
        <v>822</v>
      </c>
    </row>
    <row r="562" customFormat="false" ht="15" hidden="false" customHeight="false" outlineLevel="0" collapsed="false">
      <c r="A562" s="2" t="s">
        <v>1810</v>
      </c>
      <c r="B562" s="2" t="s">
        <v>47</v>
      </c>
      <c r="C562" s="2" t="s">
        <v>4275</v>
      </c>
      <c r="D562" s="11" t="n">
        <v>15117</v>
      </c>
      <c r="E562" s="31" t="n">
        <v>88.9</v>
      </c>
      <c r="F562" s="31" t="n">
        <v>39.9</v>
      </c>
      <c r="G562" s="31" t="n">
        <v>29.4</v>
      </c>
      <c r="H562" s="2" t="s">
        <v>822</v>
      </c>
    </row>
    <row r="563" customFormat="false" ht="15" hidden="false" customHeight="false" outlineLevel="0" collapsed="false">
      <c r="A563" s="2" t="s">
        <v>1462</v>
      </c>
      <c r="B563" s="2" t="s">
        <v>4291</v>
      </c>
      <c r="C563" s="2" t="s">
        <v>4274</v>
      </c>
      <c r="D563" s="2"/>
      <c r="E563" s="31" t="n">
        <v>71.6</v>
      </c>
      <c r="F563" s="31" t="n">
        <v>56.7</v>
      </c>
      <c r="G563" s="31" t="n">
        <v>24.7</v>
      </c>
      <c r="H563" s="2" t="s">
        <v>822</v>
      </c>
    </row>
    <row r="564" customFormat="false" ht="15" hidden="false" customHeight="false" outlineLevel="0" collapsed="false">
      <c r="A564" s="2" t="s">
        <v>1462</v>
      </c>
      <c r="B564" s="2" t="s">
        <v>4291</v>
      </c>
      <c r="C564" s="2" t="s">
        <v>4275</v>
      </c>
      <c r="D564" s="2"/>
      <c r="E564" s="31" t="n">
        <v>62.3</v>
      </c>
      <c r="F564" s="31" t="n">
        <v>51.1</v>
      </c>
      <c r="G564" s="31" t="n">
        <v>23</v>
      </c>
      <c r="H564" s="2" t="s">
        <v>832</v>
      </c>
    </row>
    <row r="565" customFormat="false" ht="15" hidden="false" customHeight="false" outlineLevel="0" collapsed="false">
      <c r="A565" s="2" t="s">
        <v>1462</v>
      </c>
      <c r="B565" s="2" t="s">
        <v>45</v>
      </c>
      <c r="C565" s="2" t="s">
        <v>4274</v>
      </c>
      <c r="D565" s="11" t="n">
        <v>130410</v>
      </c>
      <c r="E565" s="31" t="n">
        <v>37.8</v>
      </c>
      <c r="F565" s="31" t="n">
        <v>60.3</v>
      </c>
      <c r="G565" s="31" t="n">
        <v>28.5</v>
      </c>
      <c r="H565" s="2" t="s">
        <v>822</v>
      </c>
    </row>
    <row r="566" customFormat="false" ht="15" hidden="false" customHeight="false" outlineLevel="0" collapsed="false">
      <c r="A566" s="2" t="s">
        <v>1462</v>
      </c>
      <c r="B566" s="2" t="s">
        <v>45</v>
      </c>
      <c r="C566" s="2" t="s">
        <v>4275</v>
      </c>
      <c r="D566" s="11" t="n">
        <v>137830</v>
      </c>
      <c r="E566" s="31" t="n">
        <v>18.7</v>
      </c>
      <c r="F566" s="31" t="n">
        <v>60.7</v>
      </c>
      <c r="G566" s="31" t="n">
        <v>44.1</v>
      </c>
      <c r="H566" s="2" t="s">
        <v>822</v>
      </c>
    </row>
    <row r="567" customFormat="false" ht="15" hidden="false" customHeight="false" outlineLevel="0" collapsed="false">
      <c r="A567" s="2" t="s">
        <v>1462</v>
      </c>
      <c r="B567" s="2" t="s">
        <v>46</v>
      </c>
      <c r="C567" s="2" t="s">
        <v>4274</v>
      </c>
      <c r="D567" s="11" t="n">
        <v>108200</v>
      </c>
      <c r="E567" s="31" t="n">
        <v>93.2</v>
      </c>
      <c r="F567" s="31" t="n">
        <v>97.4</v>
      </c>
      <c r="G567" s="31" t="n">
        <v>34.7</v>
      </c>
      <c r="H567" s="2" t="s">
        <v>822</v>
      </c>
    </row>
    <row r="568" customFormat="false" ht="15" hidden="false" customHeight="false" outlineLevel="0" collapsed="false">
      <c r="A568" s="2" t="s">
        <v>1462</v>
      </c>
      <c r="B568" s="2" t="s">
        <v>46</v>
      </c>
      <c r="C568" s="2" t="s">
        <v>4275</v>
      </c>
      <c r="D568" s="11" t="n">
        <v>115745</v>
      </c>
      <c r="E568" s="31" t="n">
        <v>92.3</v>
      </c>
      <c r="F568" s="31" t="n">
        <v>78.3</v>
      </c>
      <c r="G568" s="2"/>
      <c r="H568" s="2" t="s">
        <v>832</v>
      </c>
    </row>
    <row r="569" customFormat="false" ht="15" hidden="false" customHeight="false" outlineLevel="0" collapsed="false">
      <c r="A569" s="2" t="s">
        <v>1462</v>
      </c>
      <c r="B569" s="2" t="s">
        <v>47</v>
      </c>
      <c r="C569" s="2" t="s">
        <v>4274</v>
      </c>
      <c r="D569" s="11" t="n">
        <v>242096</v>
      </c>
      <c r="E569" s="31" t="n">
        <v>83.9</v>
      </c>
      <c r="F569" s="31" t="n">
        <v>12.3</v>
      </c>
      <c r="G569" s="31" t="n">
        <v>10.8</v>
      </c>
      <c r="H569" s="2" t="s">
        <v>822</v>
      </c>
    </row>
    <row r="570" customFormat="false" ht="15" hidden="false" customHeight="false" outlineLevel="0" collapsed="false">
      <c r="A570" s="2" t="s">
        <v>1462</v>
      </c>
      <c r="B570" s="2" t="s">
        <v>47</v>
      </c>
      <c r="C570" s="2" t="s">
        <v>4275</v>
      </c>
      <c r="D570" s="11" t="n">
        <v>245184</v>
      </c>
      <c r="E570" s="31" t="n">
        <v>76</v>
      </c>
      <c r="F570" s="31" t="n">
        <v>14.3</v>
      </c>
      <c r="G570" s="31" t="n">
        <v>1.8</v>
      </c>
      <c r="H570" s="2" t="s">
        <v>822</v>
      </c>
    </row>
    <row r="571" customFormat="false" ht="15" hidden="false" customHeight="false" outlineLevel="0" collapsed="false">
      <c r="A571" s="2" t="s">
        <v>1954</v>
      </c>
      <c r="B571" s="2" t="s">
        <v>4291</v>
      </c>
      <c r="C571" s="2" t="s">
        <v>4274</v>
      </c>
      <c r="D571" s="2"/>
      <c r="E571" s="31" t="n">
        <v>61</v>
      </c>
      <c r="F571" s="31" t="n">
        <v>31.8</v>
      </c>
      <c r="G571" s="31" t="n">
        <v>50.1</v>
      </c>
      <c r="H571" s="2" t="s">
        <v>822</v>
      </c>
    </row>
    <row r="572" customFormat="false" ht="15" hidden="false" customHeight="false" outlineLevel="0" collapsed="false">
      <c r="A572" s="2" t="s">
        <v>1954</v>
      </c>
      <c r="B572" s="2" t="s">
        <v>4291</v>
      </c>
      <c r="C572" s="2" t="s">
        <v>4275</v>
      </c>
      <c r="D572" s="2"/>
      <c r="E572" s="31" t="n">
        <v>57.8</v>
      </c>
      <c r="F572" s="31" t="n">
        <v>36.1</v>
      </c>
      <c r="G572" s="31" t="n">
        <v>44.8</v>
      </c>
      <c r="H572" s="2" t="s">
        <v>832</v>
      </c>
    </row>
    <row r="573" customFormat="false" ht="15" hidden="false" customHeight="false" outlineLevel="0" collapsed="false">
      <c r="A573" s="2" t="s">
        <v>1954</v>
      </c>
      <c r="B573" s="2" t="s">
        <v>45</v>
      </c>
      <c r="C573" s="2" t="s">
        <v>4274</v>
      </c>
      <c r="D573" s="11" t="n">
        <v>30360</v>
      </c>
      <c r="E573" s="31" t="n">
        <v>47.5</v>
      </c>
      <c r="F573" s="31" t="n">
        <v>31</v>
      </c>
      <c r="G573" s="31" t="n">
        <v>83.4</v>
      </c>
      <c r="H573" s="2" t="s">
        <v>822</v>
      </c>
    </row>
    <row r="574" customFormat="false" ht="15" hidden="false" customHeight="false" outlineLevel="0" collapsed="false">
      <c r="A574" s="2" t="s">
        <v>1954</v>
      </c>
      <c r="B574" s="2" t="s">
        <v>45</v>
      </c>
      <c r="C574" s="2" t="s">
        <v>4275</v>
      </c>
      <c r="D574" s="11" t="n">
        <v>31180</v>
      </c>
      <c r="E574" s="31" t="n">
        <v>36.7</v>
      </c>
      <c r="F574" s="31" t="n">
        <v>17.5</v>
      </c>
      <c r="G574" s="2"/>
      <c r="H574" s="2" t="s">
        <v>832</v>
      </c>
    </row>
    <row r="575" customFormat="false" ht="15" hidden="false" customHeight="false" outlineLevel="0" collapsed="false">
      <c r="A575" s="2" t="s">
        <v>1954</v>
      </c>
      <c r="B575" s="2" t="s">
        <v>46</v>
      </c>
      <c r="C575" s="2" t="s">
        <v>4274</v>
      </c>
      <c r="D575" s="11" t="n">
        <v>203130</v>
      </c>
      <c r="E575" s="31" t="n">
        <v>35.6</v>
      </c>
      <c r="F575" s="31" t="n">
        <v>48.1</v>
      </c>
      <c r="G575" s="31" t="n">
        <v>61.2</v>
      </c>
      <c r="H575" s="2" t="s">
        <v>822</v>
      </c>
    </row>
    <row r="576" customFormat="false" ht="15" hidden="false" customHeight="false" outlineLevel="0" collapsed="false">
      <c r="A576" s="2" t="s">
        <v>1954</v>
      </c>
      <c r="B576" s="2" t="s">
        <v>46</v>
      </c>
      <c r="C576" s="2" t="s">
        <v>4275</v>
      </c>
      <c r="D576" s="11" t="n">
        <v>211630</v>
      </c>
      <c r="E576" s="31" t="n">
        <v>41.7</v>
      </c>
      <c r="F576" s="31" t="n">
        <v>50.3</v>
      </c>
      <c r="G576" s="31" t="n">
        <v>76.6</v>
      </c>
      <c r="H576" s="2" t="s">
        <v>822</v>
      </c>
    </row>
    <row r="577" customFormat="false" ht="15" hidden="false" customHeight="false" outlineLevel="0" collapsed="false">
      <c r="A577" s="2" t="s">
        <v>1954</v>
      </c>
      <c r="B577" s="2" t="s">
        <v>47</v>
      </c>
      <c r="C577" s="2" t="s">
        <v>4274</v>
      </c>
      <c r="D577" s="11" t="n">
        <v>34809</v>
      </c>
      <c r="E577" s="31" t="n">
        <v>100</v>
      </c>
      <c r="F577" s="31" t="n">
        <v>16.3</v>
      </c>
      <c r="G577" s="31" t="n">
        <v>5.6</v>
      </c>
      <c r="H577" s="2" t="s">
        <v>822</v>
      </c>
    </row>
    <row r="578" customFormat="false" ht="15" hidden="false" customHeight="false" outlineLevel="0" collapsed="false">
      <c r="A578" s="2" t="s">
        <v>1954</v>
      </c>
      <c r="B578" s="2" t="s">
        <v>47</v>
      </c>
      <c r="C578" s="2" t="s">
        <v>4275</v>
      </c>
      <c r="D578" s="11" t="n">
        <v>35702</v>
      </c>
      <c r="E578" s="31" t="n">
        <v>94.9</v>
      </c>
      <c r="F578" s="31" t="n">
        <v>40.6</v>
      </c>
      <c r="G578" s="31" t="n">
        <v>13.1</v>
      </c>
      <c r="H578" s="2" t="s">
        <v>822</v>
      </c>
    </row>
    <row r="579" customFormat="false" ht="15" hidden="false" customHeight="false" outlineLevel="0" collapsed="false">
      <c r="A579" s="2" t="s">
        <v>2084</v>
      </c>
      <c r="B579" s="2" t="s">
        <v>4291</v>
      </c>
      <c r="C579" s="2" t="s">
        <v>4274</v>
      </c>
      <c r="D579" s="2"/>
      <c r="E579" s="31" t="n">
        <v>87.2</v>
      </c>
      <c r="F579" s="31" t="n">
        <v>71.2</v>
      </c>
      <c r="G579" s="31" t="n">
        <v>56.8</v>
      </c>
      <c r="H579" s="2" t="s">
        <v>832</v>
      </c>
    </row>
    <row r="580" customFormat="false" ht="15" hidden="false" customHeight="false" outlineLevel="0" collapsed="false">
      <c r="A580" s="2" t="s">
        <v>2084</v>
      </c>
      <c r="B580" s="2" t="s">
        <v>4291</v>
      </c>
      <c r="C580" s="2" t="s">
        <v>4275</v>
      </c>
      <c r="D580" s="2"/>
      <c r="E580" s="31" t="n">
        <v>58.6</v>
      </c>
      <c r="F580" s="31" t="n">
        <v>57.3</v>
      </c>
      <c r="G580" s="31" t="n">
        <v>34.9</v>
      </c>
      <c r="H580" s="2" t="s">
        <v>832</v>
      </c>
    </row>
    <row r="581" customFormat="false" ht="15" hidden="false" customHeight="false" outlineLevel="0" collapsed="false">
      <c r="A581" s="2" t="s">
        <v>2084</v>
      </c>
      <c r="B581" s="2" t="s">
        <v>45</v>
      </c>
      <c r="C581" s="2" t="s">
        <v>4274</v>
      </c>
      <c r="D581" s="11" t="n">
        <v>108089</v>
      </c>
      <c r="E581" s="31" t="n">
        <v>87.2</v>
      </c>
      <c r="F581" s="31" t="n">
        <v>71.2</v>
      </c>
      <c r="G581" s="31" t="n">
        <v>56.8</v>
      </c>
      <c r="H581" s="2" t="s">
        <v>822</v>
      </c>
    </row>
    <row r="582" customFormat="false" ht="15" hidden="false" customHeight="false" outlineLevel="0" collapsed="false">
      <c r="A582" s="2" t="s">
        <v>2084</v>
      </c>
      <c r="B582" s="2" t="s">
        <v>45</v>
      </c>
      <c r="C582" s="2" t="s">
        <v>4275</v>
      </c>
      <c r="D582" s="11" t="n">
        <v>112630</v>
      </c>
      <c r="E582" s="2"/>
      <c r="F582" s="31" t="n">
        <v>47.9</v>
      </c>
      <c r="G582" s="31" t="n">
        <v>60.8</v>
      </c>
      <c r="H582" s="2" t="s">
        <v>832</v>
      </c>
    </row>
    <row r="583" customFormat="false" ht="15" hidden="false" customHeight="false" outlineLevel="0" collapsed="false">
      <c r="A583" s="2" t="s">
        <v>2084</v>
      </c>
      <c r="B583" s="2" t="s">
        <v>46</v>
      </c>
      <c r="C583" s="2" t="s">
        <v>4274</v>
      </c>
      <c r="D583" s="2"/>
      <c r="E583" s="2"/>
      <c r="F583" s="2"/>
      <c r="G583" s="2"/>
      <c r="H583" s="2" t="s">
        <v>832</v>
      </c>
    </row>
    <row r="584" customFormat="false" ht="15" hidden="false" customHeight="false" outlineLevel="0" collapsed="false">
      <c r="A584" s="2" t="s">
        <v>2084</v>
      </c>
      <c r="B584" s="2" t="s">
        <v>46</v>
      </c>
      <c r="C584" s="2" t="s">
        <v>4275</v>
      </c>
      <c r="D584" s="11" t="n">
        <v>555680</v>
      </c>
      <c r="E584" s="31" t="n">
        <v>19.4</v>
      </c>
      <c r="F584" s="31" t="n">
        <v>91.1</v>
      </c>
      <c r="G584" s="31" t="n">
        <v>9.1</v>
      </c>
      <c r="H584" s="2" t="s">
        <v>822</v>
      </c>
    </row>
    <row r="585" customFormat="false" ht="15" hidden="false" customHeight="false" outlineLevel="0" collapsed="false">
      <c r="A585" s="2" t="s">
        <v>2084</v>
      </c>
      <c r="B585" s="2" t="s">
        <v>47</v>
      </c>
      <c r="C585" s="2" t="s">
        <v>4274</v>
      </c>
      <c r="D585" s="2"/>
      <c r="E585" s="2"/>
      <c r="F585" s="2"/>
      <c r="G585" s="2"/>
      <c r="H585" s="2" t="s">
        <v>832</v>
      </c>
    </row>
    <row r="586" customFormat="false" ht="15" hidden="false" customHeight="false" outlineLevel="0" collapsed="false">
      <c r="A586" s="2" t="s">
        <v>2084</v>
      </c>
      <c r="B586" s="2" t="s">
        <v>47</v>
      </c>
      <c r="C586" s="2" t="s">
        <v>4275</v>
      </c>
      <c r="D586" s="11" t="n">
        <v>142140</v>
      </c>
      <c r="E586" s="31" t="n">
        <v>97.9</v>
      </c>
      <c r="F586" s="31" t="n">
        <v>32.9</v>
      </c>
      <c r="G586" s="2"/>
      <c r="H586" s="2" t="s">
        <v>832</v>
      </c>
    </row>
    <row r="587" customFormat="false" ht="15" hidden="false" customHeight="false" outlineLevel="0" collapsed="false">
      <c r="A587" s="2" t="s">
        <v>1981</v>
      </c>
      <c r="B587" s="2" t="s">
        <v>4291</v>
      </c>
      <c r="C587" s="2" t="s">
        <v>4274</v>
      </c>
      <c r="D587" s="2"/>
      <c r="E587" s="31" t="n">
        <v>27</v>
      </c>
      <c r="F587" s="31" t="n">
        <v>98.2</v>
      </c>
      <c r="G587" s="31" t="n">
        <v>83.8</v>
      </c>
      <c r="H587" s="2" t="s">
        <v>832</v>
      </c>
    </row>
    <row r="588" customFormat="false" ht="15" hidden="false" customHeight="false" outlineLevel="0" collapsed="false">
      <c r="A588" s="2" t="s">
        <v>1981</v>
      </c>
      <c r="B588" s="2" t="s">
        <v>4291</v>
      </c>
      <c r="C588" s="2" t="s">
        <v>4275</v>
      </c>
      <c r="D588" s="2"/>
      <c r="E588" s="31" t="n">
        <v>37.3</v>
      </c>
      <c r="F588" s="31" t="n">
        <v>90.6</v>
      </c>
      <c r="G588" s="31" t="n">
        <v>66.2</v>
      </c>
      <c r="H588" s="2" t="s">
        <v>832</v>
      </c>
    </row>
    <row r="589" customFormat="false" ht="15" hidden="false" customHeight="false" outlineLevel="0" collapsed="false">
      <c r="A589" s="2" t="s">
        <v>1981</v>
      </c>
      <c r="B589" s="2" t="s">
        <v>45</v>
      </c>
      <c r="C589" s="2" t="s">
        <v>4274</v>
      </c>
      <c r="D589" s="2"/>
      <c r="E589" s="2"/>
      <c r="F589" s="2"/>
      <c r="G589" s="2"/>
      <c r="H589" s="2" t="s">
        <v>832</v>
      </c>
    </row>
    <row r="590" customFormat="false" ht="15" hidden="false" customHeight="false" outlineLevel="0" collapsed="false">
      <c r="A590" s="2" t="s">
        <v>1981</v>
      </c>
      <c r="B590" s="2" t="s">
        <v>45</v>
      </c>
      <c r="C590" s="2" t="s">
        <v>4275</v>
      </c>
      <c r="D590" s="2"/>
      <c r="E590" s="2"/>
      <c r="F590" s="2"/>
      <c r="G590" s="31" t="n">
        <v>43.1</v>
      </c>
      <c r="H590" s="2" t="s">
        <v>832</v>
      </c>
    </row>
    <row r="591" customFormat="false" ht="15" hidden="false" customHeight="false" outlineLevel="0" collapsed="false">
      <c r="A591" s="2" t="s">
        <v>1981</v>
      </c>
      <c r="B591" s="2" t="s">
        <v>46</v>
      </c>
      <c r="C591" s="2" t="s">
        <v>4274</v>
      </c>
      <c r="D591" s="11" t="n">
        <v>5460</v>
      </c>
      <c r="E591" s="31" t="n">
        <v>27</v>
      </c>
      <c r="F591" s="31" t="n">
        <v>98.2</v>
      </c>
      <c r="G591" s="31" t="n">
        <v>83.8</v>
      </c>
      <c r="H591" s="2" t="s">
        <v>822</v>
      </c>
    </row>
    <row r="592" customFormat="false" ht="15" hidden="false" customHeight="false" outlineLevel="0" collapsed="false">
      <c r="A592" s="2" t="s">
        <v>1981</v>
      </c>
      <c r="B592" s="2" t="s">
        <v>46</v>
      </c>
      <c r="C592" s="2" t="s">
        <v>4275</v>
      </c>
      <c r="D592" s="11" t="n">
        <v>6050</v>
      </c>
      <c r="E592" s="31" t="n">
        <v>37.3</v>
      </c>
      <c r="F592" s="31" t="n">
        <v>90.6</v>
      </c>
      <c r="G592" s="31" t="n">
        <v>89.2</v>
      </c>
      <c r="H592" s="2" t="s">
        <v>822</v>
      </c>
    </row>
    <row r="593" customFormat="false" ht="15" hidden="false" customHeight="false" outlineLevel="0" collapsed="false">
      <c r="A593" s="2" t="s">
        <v>2943</v>
      </c>
      <c r="B593" s="2" t="s">
        <v>4291</v>
      </c>
      <c r="C593" s="2" t="s">
        <v>4274</v>
      </c>
      <c r="D593" s="2"/>
      <c r="E593" s="31" t="n">
        <v>65</v>
      </c>
      <c r="F593" s="31" t="n">
        <v>46.2</v>
      </c>
      <c r="G593" s="31" t="n">
        <v>81.3</v>
      </c>
      <c r="H593" s="2" t="s">
        <v>822</v>
      </c>
    </row>
    <row r="594" customFormat="false" ht="15" hidden="false" customHeight="false" outlineLevel="0" collapsed="false">
      <c r="A594" s="2" t="s">
        <v>2943</v>
      </c>
      <c r="B594" s="2" t="s">
        <v>4291</v>
      </c>
      <c r="C594" s="2" t="s">
        <v>4275</v>
      </c>
      <c r="D594" s="2"/>
      <c r="E594" s="2"/>
      <c r="F594" s="31" t="n">
        <v>60.5</v>
      </c>
      <c r="G594" s="2"/>
      <c r="H594" s="2" t="s">
        <v>832</v>
      </c>
    </row>
    <row r="595" customFormat="false" ht="15" hidden="false" customHeight="false" outlineLevel="0" collapsed="false">
      <c r="A595" s="2" t="s">
        <v>2943</v>
      </c>
      <c r="B595" s="2" t="s">
        <v>46</v>
      </c>
      <c r="C595" s="2" t="s">
        <v>4274</v>
      </c>
      <c r="D595" s="11" t="n">
        <v>160010</v>
      </c>
      <c r="E595" s="31" t="n">
        <v>65</v>
      </c>
      <c r="F595" s="31" t="n">
        <v>46.2</v>
      </c>
      <c r="G595" s="31" t="n">
        <v>81.3</v>
      </c>
      <c r="H595" s="2" t="s">
        <v>822</v>
      </c>
    </row>
    <row r="596" customFormat="false" ht="15" hidden="false" customHeight="false" outlineLevel="0" collapsed="false">
      <c r="A596" s="2" t="s">
        <v>2943</v>
      </c>
      <c r="B596" s="2" t="s">
        <v>46</v>
      </c>
      <c r="C596" s="2" t="s">
        <v>4275</v>
      </c>
      <c r="D596" s="11" t="n">
        <v>159653</v>
      </c>
      <c r="E596" s="2"/>
      <c r="F596" s="31" t="n">
        <v>60.5</v>
      </c>
      <c r="G596" s="2"/>
      <c r="H596" s="2" t="s">
        <v>832</v>
      </c>
    </row>
    <row r="597" customFormat="false" ht="15" hidden="false" customHeight="false" outlineLevel="0" collapsed="false">
      <c r="A597" s="2" t="s">
        <v>2656</v>
      </c>
      <c r="B597" s="2" t="s">
        <v>4291</v>
      </c>
      <c r="C597" s="2" t="s">
        <v>4275</v>
      </c>
      <c r="D597" s="2"/>
      <c r="E597" s="31" t="n">
        <v>56</v>
      </c>
      <c r="F597" s="31" t="n">
        <v>53.4</v>
      </c>
      <c r="G597" s="31" t="n">
        <v>31.5</v>
      </c>
      <c r="H597" s="2" t="s">
        <v>832</v>
      </c>
    </row>
    <row r="598" customFormat="false" ht="15" hidden="false" customHeight="false" outlineLevel="0" collapsed="false">
      <c r="A598" s="2" t="s">
        <v>2656</v>
      </c>
      <c r="B598" s="2" t="s">
        <v>45</v>
      </c>
      <c r="C598" s="2" t="s">
        <v>4275</v>
      </c>
      <c r="D598" s="11" t="n">
        <v>242408</v>
      </c>
      <c r="E598" s="31" t="n">
        <v>79.2</v>
      </c>
      <c r="F598" s="31" t="n">
        <v>42.1</v>
      </c>
      <c r="G598" s="2"/>
      <c r="H598" s="2" t="s">
        <v>832</v>
      </c>
    </row>
    <row r="599" customFormat="false" ht="15" hidden="false" customHeight="false" outlineLevel="0" collapsed="false">
      <c r="A599" s="2" t="s">
        <v>2656</v>
      </c>
      <c r="B599" s="2" t="s">
        <v>47</v>
      </c>
      <c r="C599" s="2" t="s">
        <v>4275</v>
      </c>
      <c r="D599" s="11" t="n">
        <v>21623</v>
      </c>
      <c r="E599" s="31" t="n">
        <v>32.8</v>
      </c>
      <c r="F599" s="31" t="n">
        <v>64.6</v>
      </c>
      <c r="G599" s="31" t="n">
        <v>31.5</v>
      </c>
      <c r="H599" s="2" t="s">
        <v>822</v>
      </c>
    </row>
    <row r="600" customFormat="false" ht="15" hidden="false" customHeight="false" outlineLevel="0" collapsed="false">
      <c r="A600" s="2" t="s">
        <v>2947</v>
      </c>
      <c r="B600" s="2" t="s">
        <v>4291</v>
      </c>
      <c r="C600" s="2" t="s">
        <v>4275</v>
      </c>
      <c r="D600" s="2"/>
      <c r="E600" s="31" t="n">
        <v>76.4</v>
      </c>
      <c r="F600" s="31" t="n">
        <v>45.1</v>
      </c>
      <c r="G600" s="2"/>
      <c r="H600" s="2" t="s">
        <v>832</v>
      </c>
    </row>
    <row r="601" customFormat="false" ht="15" hidden="false" customHeight="false" outlineLevel="0" collapsed="false">
      <c r="A601" s="2" t="s">
        <v>2947</v>
      </c>
      <c r="B601" s="2" t="s">
        <v>46</v>
      </c>
      <c r="C601" s="2" t="s">
        <v>4275</v>
      </c>
      <c r="D601" s="11" t="n">
        <v>62870</v>
      </c>
      <c r="E601" s="31" t="n">
        <v>76.4</v>
      </c>
      <c r="F601" s="31" t="n">
        <v>45.1</v>
      </c>
      <c r="G601" s="2"/>
      <c r="H601" s="2" t="s">
        <v>832</v>
      </c>
    </row>
    <row r="602" customFormat="false" ht="15" hidden="false" customHeight="false" outlineLevel="0" collapsed="false">
      <c r="A602" s="2" t="s">
        <v>1727</v>
      </c>
      <c r="B602" s="2" t="s">
        <v>4291</v>
      </c>
      <c r="C602" s="2" t="s">
        <v>4274</v>
      </c>
      <c r="D602" s="2"/>
      <c r="E602" s="31" t="n">
        <v>36.8</v>
      </c>
      <c r="F602" s="31" t="n">
        <v>59.9</v>
      </c>
      <c r="G602" s="31" t="n">
        <v>14.6</v>
      </c>
      <c r="H602" s="2" t="s">
        <v>822</v>
      </c>
    </row>
    <row r="603" customFormat="false" ht="15" hidden="false" customHeight="false" outlineLevel="0" collapsed="false">
      <c r="A603" s="2" t="s">
        <v>1727</v>
      </c>
      <c r="B603" s="2" t="s">
        <v>4291</v>
      </c>
      <c r="C603" s="2" t="s">
        <v>4275</v>
      </c>
      <c r="D603" s="2"/>
      <c r="E603" s="31" t="n">
        <v>44.6</v>
      </c>
      <c r="F603" s="31" t="n">
        <v>85.4</v>
      </c>
      <c r="G603" s="31" t="n">
        <v>22.7</v>
      </c>
      <c r="H603" s="2" t="s">
        <v>832</v>
      </c>
    </row>
    <row r="604" customFormat="false" ht="15" hidden="false" customHeight="false" outlineLevel="0" collapsed="false">
      <c r="A604" s="2" t="s">
        <v>1727</v>
      </c>
      <c r="B604" s="2" t="s">
        <v>45</v>
      </c>
      <c r="C604" s="2" t="s">
        <v>4274</v>
      </c>
      <c r="D604" s="11" t="n">
        <v>14150</v>
      </c>
      <c r="E604" s="31" t="n">
        <v>3</v>
      </c>
      <c r="F604" s="31" t="n">
        <v>4.7</v>
      </c>
      <c r="G604" s="31" t="n">
        <v>28.3</v>
      </c>
      <c r="H604" s="2" t="s">
        <v>822</v>
      </c>
    </row>
    <row r="605" customFormat="false" ht="15" hidden="false" customHeight="false" outlineLevel="0" collapsed="false">
      <c r="A605" s="2" t="s">
        <v>1727</v>
      </c>
      <c r="B605" s="2" t="s">
        <v>45</v>
      </c>
      <c r="C605" s="2" t="s">
        <v>4275</v>
      </c>
      <c r="D605" s="11" t="n">
        <v>14580</v>
      </c>
      <c r="E605" s="31" t="n">
        <v>9.6</v>
      </c>
      <c r="F605" s="2"/>
      <c r="G605" s="31" t="n">
        <v>29.8</v>
      </c>
      <c r="H605" s="2" t="s">
        <v>832</v>
      </c>
    </row>
    <row r="606" customFormat="false" ht="15" hidden="false" customHeight="false" outlineLevel="0" collapsed="false">
      <c r="A606" s="2" t="s">
        <v>1727</v>
      </c>
      <c r="B606" s="2" t="s">
        <v>46</v>
      </c>
      <c r="C606" s="2" t="s">
        <v>4274</v>
      </c>
      <c r="D606" s="11" t="n">
        <v>72916</v>
      </c>
      <c r="E606" s="31" t="n">
        <v>42.9</v>
      </c>
      <c r="F606" s="31" t="n">
        <v>93.3</v>
      </c>
      <c r="G606" s="31" t="n">
        <v>2.7</v>
      </c>
      <c r="H606" s="2" t="s">
        <v>822</v>
      </c>
    </row>
    <row r="607" customFormat="false" ht="15" hidden="false" customHeight="false" outlineLevel="0" collapsed="false">
      <c r="A607" s="2" t="s">
        <v>1727</v>
      </c>
      <c r="B607" s="2" t="s">
        <v>46</v>
      </c>
      <c r="C607" s="2" t="s">
        <v>4275</v>
      </c>
      <c r="D607" s="11" t="n">
        <v>76780</v>
      </c>
      <c r="E607" s="31" t="n">
        <v>77.6</v>
      </c>
      <c r="F607" s="31" t="n">
        <v>86.2</v>
      </c>
      <c r="G607" s="31" t="n">
        <v>26.9</v>
      </c>
      <c r="H607" s="2" t="s">
        <v>822</v>
      </c>
    </row>
    <row r="608" customFormat="false" ht="15" hidden="false" customHeight="false" outlineLevel="0" collapsed="false">
      <c r="A608" s="2" t="s">
        <v>1727</v>
      </c>
      <c r="B608" s="2" t="s">
        <v>47</v>
      </c>
      <c r="C608" s="2" t="s">
        <v>4274</v>
      </c>
      <c r="D608" s="11" t="n">
        <v>44179</v>
      </c>
      <c r="E608" s="31" t="n">
        <v>64.5</v>
      </c>
      <c r="F608" s="31" t="n">
        <v>81.7</v>
      </c>
      <c r="G608" s="31" t="n">
        <v>12.9</v>
      </c>
      <c r="H608" s="2" t="s">
        <v>822</v>
      </c>
    </row>
    <row r="609" customFormat="false" ht="15" hidden="false" customHeight="false" outlineLevel="0" collapsed="false">
      <c r="A609" s="2" t="s">
        <v>1727</v>
      </c>
      <c r="B609" s="2" t="s">
        <v>47</v>
      </c>
      <c r="C609" s="2" t="s">
        <v>4275</v>
      </c>
      <c r="D609" s="11" t="n">
        <v>45850</v>
      </c>
      <c r="E609" s="31" t="n">
        <v>46.6</v>
      </c>
      <c r="F609" s="31" t="n">
        <v>84.7</v>
      </c>
      <c r="G609" s="31" t="n">
        <v>11.5</v>
      </c>
      <c r="H609" s="2" t="s">
        <v>822</v>
      </c>
    </row>
    <row r="610" customFormat="false" ht="15" hidden="false" customHeight="false" outlineLevel="0" collapsed="false">
      <c r="A610" s="2" t="s">
        <v>1489</v>
      </c>
      <c r="B610" s="2" t="s">
        <v>4291</v>
      </c>
      <c r="C610" s="2" t="s">
        <v>4274</v>
      </c>
      <c r="D610" s="2"/>
      <c r="E610" s="31" t="n">
        <v>37.8</v>
      </c>
      <c r="F610" s="31" t="n">
        <v>86</v>
      </c>
      <c r="G610" s="31" t="n">
        <v>60.7</v>
      </c>
      <c r="H610" s="2" t="s">
        <v>822</v>
      </c>
    </row>
    <row r="611" customFormat="false" ht="15" hidden="false" customHeight="false" outlineLevel="0" collapsed="false">
      <c r="A611" s="2" t="s">
        <v>1489</v>
      </c>
      <c r="B611" s="2" t="s">
        <v>4291</v>
      </c>
      <c r="C611" s="2" t="s">
        <v>4275</v>
      </c>
      <c r="D611" s="2"/>
      <c r="E611" s="31" t="n">
        <v>36.5</v>
      </c>
      <c r="F611" s="31" t="n">
        <v>55.2</v>
      </c>
      <c r="G611" s="31" t="n">
        <v>44</v>
      </c>
      <c r="H611" s="2" t="s">
        <v>832</v>
      </c>
    </row>
    <row r="612" customFormat="false" ht="15" hidden="false" customHeight="false" outlineLevel="0" collapsed="false">
      <c r="A612" s="2" t="s">
        <v>1489</v>
      </c>
      <c r="B612" s="2" t="s">
        <v>45</v>
      </c>
      <c r="C612" s="2" t="s">
        <v>4274</v>
      </c>
      <c r="D612" s="11" t="n">
        <v>7740</v>
      </c>
      <c r="E612" s="31" t="n">
        <v>40.4</v>
      </c>
      <c r="F612" s="31" t="n">
        <v>62.9</v>
      </c>
      <c r="G612" s="31" t="n">
        <v>67.6</v>
      </c>
      <c r="H612" s="2" t="s">
        <v>822</v>
      </c>
    </row>
    <row r="613" customFormat="false" ht="15" hidden="false" customHeight="false" outlineLevel="0" collapsed="false">
      <c r="A613" s="2" t="s">
        <v>1489</v>
      </c>
      <c r="B613" s="2" t="s">
        <v>45</v>
      </c>
      <c r="C613" s="2" t="s">
        <v>4275</v>
      </c>
      <c r="D613" s="11" t="n">
        <v>8030</v>
      </c>
      <c r="E613" s="31" t="n">
        <v>14.2</v>
      </c>
      <c r="F613" s="31" t="n">
        <v>22.5</v>
      </c>
      <c r="G613" s="31" t="n">
        <v>27</v>
      </c>
      <c r="H613" s="2" t="s">
        <v>822</v>
      </c>
    </row>
    <row r="614" customFormat="false" ht="15" hidden="false" customHeight="false" outlineLevel="0" collapsed="false">
      <c r="A614" s="2" t="s">
        <v>1489</v>
      </c>
      <c r="B614" s="2" t="s">
        <v>46</v>
      </c>
      <c r="C614" s="2" t="s">
        <v>4274</v>
      </c>
      <c r="D614" s="11" t="n">
        <v>152009</v>
      </c>
      <c r="E614" s="31" t="n">
        <v>55.4</v>
      </c>
      <c r="F614" s="31" t="n">
        <v>96.8</v>
      </c>
      <c r="G614" s="31" t="n">
        <v>81.7</v>
      </c>
      <c r="H614" s="2" t="s">
        <v>822</v>
      </c>
    </row>
    <row r="615" customFormat="false" ht="15" hidden="false" customHeight="false" outlineLevel="0" collapsed="false">
      <c r="A615" s="2" t="s">
        <v>1489</v>
      </c>
      <c r="B615" s="2" t="s">
        <v>46</v>
      </c>
      <c r="C615" s="2" t="s">
        <v>4275</v>
      </c>
      <c r="D615" s="11" t="n">
        <v>159500</v>
      </c>
      <c r="E615" s="31" t="n">
        <v>70.9</v>
      </c>
      <c r="F615" s="2"/>
      <c r="G615" s="31" t="n">
        <v>60.7</v>
      </c>
      <c r="H615" s="2" t="s">
        <v>832</v>
      </c>
    </row>
    <row r="616" customFormat="false" ht="15" hidden="false" customHeight="false" outlineLevel="0" collapsed="false">
      <c r="A616" s="2" t="s">
        <v>1489</v>
      </c>
      <c r="B616" s="2" t="s">
        <v>47</v>
      </c>
      <c r="C616" s="2" t="s">
        <v>4274</v>
      </c>
      <c r="D616" s="11" t="n">
        <v>12610</v>
      </c>
      <c r="E616" s="31" t="n">
        <v>17.5</v>
      </c>
      <c r="F616" s="31" t="n">
        <v>98.4</v>
      </c>
      <c r="G616" s="31" t="n">
        <v>32.8</v>
      </c>
      <c r="H616" s="2" t="s">
        <v>822</v>
      </c>
    </row>
    <row r="617" customFormat="false" ht="15" hidden="false" customHeight="false" outlineLevel="0" collapsed="false">
      <c r="A617" s="2" t="s">
        <v>1489</v>
      </c>
      <c r="B617" s="2" t="s">
        <v>47</v>
      </c>
      <c r="C617" s="2" t="s">
        <v>4275</v>
      </c>
      <c r="D617" s="11" t="n">
        <v>13339</v>
      </c>
      <c r="E617" s="31" t="n">
        <v>24.3</v>
      </c>
      <c r="F617" s="31" t="n">
        <v>88</v>
      </c>
      <c r="G617" s="31" t="n">
        <v>44.3</v>
      </c>
      <c r="H617" s="2" t="s">
        <v>822</v>
      </c>
    </row>
    <row r="618" customFormat="false" ht="15" hidden="false" customHeight="false" outlineLevel="0" collapsed="false">
      <c r="A618" s="2" t="s">
        <v>2186</v>
      </c>
      <c r="B618" s="2" t="s">
        <v>4291</v>
      </c>
      <c r="C618" s="2" t="s">
        <v>4274</v>
      </c>
      <c r="D618" s="2"/>
      <c r="E618" s="31" t="n">
        <v>27.7</v>
      </c>
      <c r="F618" s="31" t="n">
        <v>6.4</v>
      </c>
      <c r="G618" s="31" t="n">
        <v>26</v>
      </c>
      <c r="H618" s="2" t="s">
        <v>832</v>
      </c>
    </row>
    <row r="619" customFormat="false" ht="15" hidden="false" customHeight="false" outlineLevel="0" collapsed="false">
      <c r="A619" s="2" t="s">
        <v>2186</v>
      </c>
      <c r="B619" s="2" t="s">
        <v>4291</v>
      </c>
      <c r="C619" s="2" t="s">
        <v>4275</v>
      </c>
      <c r="D619" s="2"/>
      <c r="E619" s="31" t="n">
        <v>34.7</v>
      </c>
      <c r="F619" s="31" t="n">
        <v>28.4</v>
      </c>
      <c r="G619" s="31" t="n">
        <v>4.2</v>
      </c>
      <c r="H619" s="2" t="s">
        <v>832</v>
      </c>
    </row>
    <row r="620" customFormat="false" ht="15" hidden="false" customHeight="false" outlineLevel="0" collapsed="false">
      <c r="A620" s="2" t="s">
        <v>2186</v>
      </c>
      <c r="B620" s="2" t="s">
        <v>45</v>
      </c>
      <c r="C620" s="2" t="s">
        <v>4274</v>
      </c>
      <c r="D620" s="11" t="n">
        <v>3100</v>
      </c>
      <c r="E620" s="31" t="n">
        <v>53.1</v>
      </c>
      <c r="F620" s="2"/>
      <c r="G620" s="2"/>
      <c r="H620" s="2" t="s">
        <v>832</v>
      </c>
    </row>
    <row r="621" customFormat="false" ht="15" hidden="false" customHeight="false" outlineLevel="0" collapsed="false">
      <c r="A621" s="2" t="s">
        <v>2186</v>
      </c>
      <c r="B621" s="2" t="s">
        <v>45</v>
      </c>
      <c r="C621" s="2" t="s">
        <v>4275</v>
      </c>
      <c r="D621" s="11" t="n">
        <v>3222</v>
      </c>
      <c r="E621" s="31" t="n">
        <v>66.5</v>
      </c>
      <c r="F621" s="31" t="n">
        <v>46.5</v>
      </c>
      <c r="G621" s="2"/>
      <c r="H621" s="2" t="s">
        <v>832</v>
      </c>
    </row>
    <row r="622" customFormat="false" ht="15" hidden="false" customHeight="false" outlineLevel="0" collapsed="false">
      <c r="A622" s="2" t="s">
        <v>2186</v>
      </c>
      <c r="B622" s="2" t="s">
        <v>46</v>
      </c>
      <c r="C622" s="2" t="s">
        <v>4274</v>
      </c>
      <c r="D622" s="11" t="n">
        <v>59320</v>
      </c>
      <c r="E622" s="31" t="n">
        <v>2.3</v>
      </c>
      <c r="F622" s="31" t="n">
        <v>6.4</v>
      </c>
      <c r="G622" s="31" t="n">
        <v>26</v>
      </c>
      <c r="H622" s="2" t="s">
        <v>822</v>
      </c>
    </row>
    <row r="623" customFormat="false" ht="15" hidden="false" customHeight="false" outlineLevel="0" collapsed="false">
      <c r="A623" s="2" t="s">
        <v>2186</v>
      </c>
      <c r="B623" s="2" t="s">
        <v>46</v>
      </c>
      <c r="C623" s="2" t="s">
        <v>4275</v>
      </c>
      <c r="D623" s="11" t="n">
        <v>58500</v>
      </c>
      <c r="E623" s="31" t="n">
        <v>2.9</v>
      </c>
      <c r="F623" s="31" t="n">
        <v>10.2</v>
      </c>
      <c r="G623" s="31" t="n">
        <v>4.2</v>
      </c>
      <c r="H623" s="2" t="s">
        <v>822</v>
      </c>
    </row>
    <row r="624" customFormat="false" ht="15" hidden="false" customHeight="false" outlineLevel="0" collapsed="false">
      <c r="A624" s="2" t="s">
        <v>1747</v>
      </c>
      <c r="B624" s="2" t="s">
        <v>4291</v>
      </c>
      <c r="C624" s="2" t="s">
        <v>4274</v>
      </c>
      <c r="D624" s="2"/>
      <c r="E624" s="31" t="n">
        <v>29.2</v>
      </c>
      <c r="F624" s="31" t="n">
        <v>78</v>
      </c>
      <c r="G624" s="31" t="n">
        <v>68.6</v>
      </c>
      <c r="H624" s="2" t="s">
        <v>832</v>
      </c>
    </row>
    <row r="625" customFormat="false" ht="15" hidden="false" customHeight="false" outlineLevel="0" collapsed="false">
      <c r="A625" s="2" t="s">
        <v>1747</v>
      </c>
      <c r="B625" s="2" t="s">
        <v>4291</v>
      </c>
      <c r="C625" s="2" t="s">
        <v>4275</v>
      </c>
      <c r="D625" s="2"/>
      <c r="E625" s="31" t="n">
        <v>45.5</v>
      </c>
      <c r="F625" s="31" t="n">
        <v>46.3</v>
      </c>
      <c r="G625" s="31" t="n">
        <v>43.6</v>
      </c>
      <c r="H625" s="2" t="s">
        <v>832</v>
      </c>
    </row>
    <row r="626" customFormat="false" ht="15" hidden="false" customHeight="false" outlineLevel="0" collapsed="false">
      <c r="A626" s="2" t="s">
        <v>1747</v>
      </c>
      <c r="B626" s="2" t="s">
        <v>45</v>
      </c>
      <c r="C626" s="2" t="s">
        <v>4274</v>
      </c>
      <c r="D626" s="11" t="n">
        <v>44740</v>
      </c>
      <c r="E626" s="31" t="n">
        <v>27.2</v>
      </c>
      <c r="F626" s="31" t="n">
        <v>92.7</v>
      </c>
      <c r="G626" s="31" t="n">
        <v>43.4</v>
      </c>
      <c r="H626" s="2" t="s">
        <v>822</v>
      </c>
    </row>
    <row r="627" customFormat="false" ht="15" hidden="false" customHeight="false" outlineLevel="0" collapsed="false">
      <c r="A627" s="2" t="s">
        <v>1747</v>
      </c>
      <c r="B627" s="2" t="s">
        <v>45</v>
      </c>
      <c r="C627" s="2" t="s">
        <v>4275</v>
      </c>
      <c r="D627" s="11" t="n">
        <v>46845</v>
      </c>
      <c r="E627" s="31" t="n">
        <v>26.1</v>
      </c>
      <c r="F627" s="31" t="n">
        <v>78.4</v>
      </c>
      <c r="G627" s="2"/>
      <c r="H627" s="2" t="s">
        <v>832</v>
      </c>
    </row>
    <row r="628" customFormat="false" ht="15" hidden="false" customHeight="false" outlineLevel="0" collapsed="false">
      <c r="A628" s="2" t="s">
        <v>1747</v>
      </c>
      <c r="B628" s="2" t="s">
        <v>46</v>
      </c>
      <c r="C628" s="2" t="s">
        <v>4274</v>
      </c>
      <c r="D628" s="2"/>
      <c r="E628" s="2"/>
      <c r="F628" s="2"/>
      <c r="G628" s="2"/>
      <c r="H628" s="2" t="s">
        <v>832</v>
      </c>
    </row>
    <row r="629" customFormat="false" ht="15" hidden="false" customHeight="false" outlineLevel="0" collapsed="false">
      <c r="A629" s="2" t="s">
        <v>1747</v>
      </c>
      <c r="B629" s="2" t="s">
        <v>46</v>
      </c>
      <c r="C629" s="2" t="s">
        <v>4275</v>
      </c>
      <c r="D629" s="11" t="n">
        <v>978930</v>
      </c>
      <c r="E629" s="31" t="n">
        <v>73.9</v>
      </c>
      <c r="F629" s="31" t="n">
        <v>51.6</v>
      </c>
      <c r="G629" s="31" t="n">
        <v>5.7</v>
      </c>
      <c r="H629" s="2" t="s">
        <v>822</v>
      </c>
    </row>
    <row r="630" customFormat="false" ht="15" hidden="false" customHeight="false" outlineLevel="0" collapsed="false">
      <c r="A630" s="2" t="s">
        <v>1747</v>
      </c>
      <c r="B630" s="2" t="s">
        <v>47</v>
      </c>
      <c r="C630" s="2" t="s">
        <v>4274</v>
      </c>
      <c r="D630" s="11" t="n">
        <v>13763</v>
      </c>
      <c r="E630" s="31" t="n">
        <v>31.1</v>
      </c>
      <c r="F630" s="31" t="n">
        <v>63.4</v>
      </c>
      <c r="G630" s="31" t="n">
        <v>93.8</v>
      </c>
      <c r="H630" s="2" t="s">
        <v>822</v>
      </c>
    </row>
    <row r="631" customFormat="false" ht="15" hidden="false" customHeight="false" outlineLevel="0" collapsed="false">
      <c r="A631" s="2" t="s">
        <v>1747</v>
      </c>
      <c r="B631" s="2" t="s">
        <v>47</v>
      </c>
      <c r="C631" s="2" t="s">
        <v>4275</v>
      </c>
      <c r="D631" s="11" t="n">
        <v>13640</v>
      </c>
      <c r="E631" s="31" t="n">
        <v>36.5</v>
      </c>
      <c r="F631" s="31" t="n">
        <v>8.8</v>
      </c>
      <c r="G631" s="31" t="n">
        <v>81.5</v>
      </c>
      <c r="H631" s="2" t="s">
        <v>822</v>
      </c>
    </row>
    <row r="632" customFormat="false" ht="15" hidden="false" customHeight="false" outlineLevel="0" collapsed="false">
      <c r="A632" s="2" t="s">
        <v>2953</v>
      </c>
      <c r="B632" s="2" t="s">
        <v>4291</v>
      </c>
      <c r="C632" s="2" t="s">
        <v>4274</v>
      </c>
      <c r="D632" s="2"/>
      <c r="E632" s="2"/>
      <c r="F632" s="2"/>
      <c r="G632" s="2"/>
      <c r="H632" s="2" t="s">
        <v>832</v>
      </c>
    </row>
    <row r="633" customFormat="false" ht="15" hidden="false" customHeight="false" outlineLevel="0" collapsed="false">
      <c r="A633" s="2" t="s">
        <v>2953</v>
      </c>
      <c r="B633" s="2" t="s">
        <v>4291</v>
      </c>
      <c r="C633" s="2" t="s">
        <v>4275</v>
      </c>
      <c r="D633" s="2"/>
      <c r="E633" s="31" t="n">
        <v>21.9</v>
      </c>
      <c r="F633" s="31" t="n">
        <v>37.5</v>
      </c>
      <c r="G633" s="2"/>
      <c r="H633" s="2" t="s">
        <v>832</v>
      </c>
    </row>
    <row r="634" customFormat="false" ht="15" hidden="false" customHeight="false" outlineLevel="0" collapsed="false">
      <c r="A634" s="2" t="s">
        <v>2953</v>
      </c>
      <c r="B634" s="2" t="s">
        <v>45</v>
      </c>
      <c r="C634" s="2" t="s">
        <v>4274</v>
      </c>
      <c r="D634" s="2"/>
      <c r="E634" s="2"/>
      <c r="F634" s="2"/>
      <c r="G634" s="2"/>
      <c r="H634" s="2" t="s">
        <v>832</v>
      </c>
    </row>
    <row r="635" customFormat="false" ht="15" hidden="false" customHeight="false" outlineLevel="0" collapsed="false">
      <c r="A635" s="2" t="s">
        <v>2953</v>
      </c>
      <c r="B635" s="2" t="s">
        <v>45</v>
      </c>
      <c r="C635" s="2" t="s">
        <v>4275</v>
      </c>
      <c r="D635" s="11" t="n">
        <v>48125</v>
      </c>
      <c r="E635" s="31" t="n">
        <v>21.9</v>
      </c>
      <c r="F635" s="31" t="n">
        <v>37.5</v>
      </c>
      <c r="G635" s="2"/>
      <c r="H635" s="2" t="s">
        <v>832</v>
      </c>
    </row>
    <row r="636" customFormat="false" ht="15" hidden="false" customHeight="false" outlineLevel="0" collapsed="false">
      <c r="A636" s="2" t="s">
        <v>847</v>
      </c>
      <c r="B636" s="2" t="s">
        <v>4291</v>
      </c>
      <c r="C636" s="2" t="s">
        <v>4274</v>
      </c>
      <c r="D636" s="2"/>
      <c r="E636" s="31" t="n">
        <v>78.8</v>
      </c>
      <c r="F636" s="31" t="n">
        <v>63</v>
      </c>
      <c r="G636" s="31" t="n">
        <v>47.1</v>
      </c>
      <c r="H636" s="2" t="s">
        <v>832</v>
      </c>
    </row>
    <row r="637" customFormat="false" ht="15" hidden="false" customHeight="false" outlineLevel="0" collapsed="false">
      <c r="A637" s="2" t="s">
        <v>847</v>
      </c>
      <c r="B637" s="2" t="s">
        <v>4291</v>
      </c>
      <c r="C637" s="2" t="s">
        <v>4275</v>
      </c>
      <c r="D637" s="2"/>
      <c r="E637" s="31" t="n">
        <v>78.7</v>
      </c>
      <c r="F637" s="31" t="n">
        <v>62.2</v>
      </c>
      <c r="G637" s="31" t="n">
        <v>61.1</v>
      </c>
      <c r="H637" s="2" t="s">
        <v>832</v>
      </c>
    </row>
    <row r="638" customFormat="false" ht="15" hidden="false" customHeight="false" outlineLevel="0" collapsed="false">
      <c r="A638" s="2" t="s">
        <v>847</v>
      </c>
      <c r="B638" s="2" t="s">
        <v>45</v>
      </c>
      <c r="C638" s="2" t="s">
        <v>4274</v>
      </c>
      <c r="D638" s="11" t="n">
        <v>192460</v>
      </c>
      <c r="E638" s="31" t="n">
        <v>96.1</v>
      </c>
      <c r="F638" s="31" t="n">
        <v>56.8</v>
      </c>
      <c r="G638" s="2"/>
      <c r="H638" s="2" t="s">
        <v>832</v>
      </c>
    </row>
    <row r="639" customFormat="false" ht="15" hidden="false" customHeight="false" outlineLevel="0" collapsed="false">
      <c r="A639" s="2" t="s">
        <v>847</v>
      </c>
      <c r="B639" s="2" t="s">
        <v>45</v>
      </c>
      <c r="C639" s="2" t="s">
        <v>4275</v>
      </c>
      <c r="D639" s="11" t="n">
        <v>196143</v>
      </c>
      <c r="E639" s="31" t="n">
        <v>97.4</v>
      </c>
      <c r="F639" s="31" t="n">
        <v>52.9</v>
      </c>
      <c r="G639" s="31" t="n">
        <v>93</v>
      </c>
      <c r="H639" s="2" t="s">
        <v>822</v>
      </c>
    </row>
    <row r="640" customFormat="false" ht="15" hidden="false" customHeight="false" outlineLevel="0" collapsed="false">
      <c r="A640" s="2" t="s">
        <v>847</v>
      </c>
      <c r="B640" s="2" t="s">
        <v>46</v>
      </c>
      <c r="C640" s="2" t="s">
        <v>4274</v>
      </c>
      <c r="D640" s="2"/>
      <c r="E640" s="2"/>
      <c r="F640" s="2"/>
      <c r="G640" s="2"/>
      <c r="H640" s="2" t="s">
        <v>832</v>
      </c>
    </row>
    <row r="641" customFormat="false" ht="15" hidden="false" customHeight="false" outlineLevel="0" collapsed="false">
      <c r="A641" s="2" t="s">
        <v>847</v>
      </c>
      <c r="B641" s="2" t="s">
        <v>46</v>
      </c>
      <c r="C641" s="2" t="s">
        <v>4275</v>
      </c>
      <c r="D641" s="11" t="n">
        <v>3390</v>
      </c>
      <c r="E641" s="31" t="n">
        <v>83.3</v>
      </c>
      <c r="F641" s="2"/>
      <c r="G641" s="31" t="n">
        <v>62.5</v>
      </c>
      <c r="H641" s="2" t="s">
        <v>832</v>
      </c>
    </row>
    <row r="642" customFormat="false" ht="15" hidden="false" customHeight="false" outlineLevel="0" collapsed="false">
      <c r="A642" s="2" t="s">
        <v>847</v>
      </c>
      <c r="B642" s="2" t="s">
        <v>47</v>
      </c>
      <c r="C642" s="2" t="s">
        <v>4274</v>
      </c>
      <c r="D642" s="11" t="n">
        <v>1463024</v>
      </c>
      <c r="E642" s="31" t="n">
        <v>61.6</v>
      </c>
      <c r="F642" s="31" t="n">
        <v>69.2</v>
      </c>
      <c r="G642" s="31" t="n">
        <v>47.1</v>
      </c>
      <c r="H642" s="2" t="s">
        <v>822</v>
      </c>
    </row>
    <row r="643" customFormat="false" ht="15" hidden="false" customHeight="false" outlineLevel="0" collapsed="false">
      <c r="A643" s="2" t="s">
        <v>847</v>
      </c>
      <c r="B643" s="2" t="s">
        <v>47</v>
      </c>
      <c r="C643" s="2" t="s">
        <v>4275</v>
      </c>
      <c r="D643" s="11" t="n">
        <v>1521249</v>
      </c>
      <c r="E643" s="31" t="n">
        <v>55.4</v>
      </c>
      <c r="F643" s="31" t="n">
        <v>71.4</v>
      </c>
      <c r="G643" s="31" t="n">
        <v>27.8</v>
      </c>
      <c r="H643" s="2" t="s">
        <v>822</v>
      </c>
    </row>
    <row r="644" customFormat="false" ht="15" hidden="false" customHeight="false" outlineLevel="0" collapsed="false">
      <c r="A644" s="2" t="s">
        <v>2956</v>
      </c>
      <c r="B644" s="2" t="s">
        <v>4291</v>
      </c>
      <c r="C644" s="2" t="s">
        <v>4274</v>
      </c>
      <c r="D644" s="2"/>
      <c r="E644" s="31" t="n">
        <v>59</v>
      </c>
      <c r="F644" s="31" t="n">
        <v>66.1</v>
      </c>
      <c r="G644" s="31" t="n">
        <v>46.3</v>
      </c>
      <c r="H644" s="2" t="s">
        <v>822</v>
      </c>
    </row>
    <row r="645" customFormat="false" ht="15" hidden="false" customHeight="false" outlineLevel="0" collapsed="false">
      <c r="A645" s="2" t="s">
        <v>2956</v>
      </c>
      <c r="B645" s="2" t="s">
        <v>4291</v>
      </c>
      <c r="C645" s="2" t="s">
        <v>4275</v>
      </c>
      <c r="D645" s="2"/>
      <c r="E645" s="31" t="n">
        <v>73.3</v>
      </c>
      <c r="F645" s="31" t="n">
        <v>68.7</v>
      </c>
      <c r="G645" s="31" t="n">
        <v>22.8</v>
      </c>
      <c r="H645" s="2" t="s">
        <v>832</v>
      </c>
    </row>
    <row r="646" customFormat="false" ht="15" hidden="false" customHeight="false" outlineLevel="0" collapsed="false">
      <c r="A646" s="2" t="s">
        <v>2956</v>
      </c>
      <c r="B646" s="2" t="s">
        <v>45</v>
      </c>
      <c r="C646" s="2" t="s">
        <v>4274</v>
      </c>
      <c r="D646" s="11" t="n">
        <v>30270</v>
      </c>
      <c r="E646" s="31" t="n">
        <v>59</v>
      </c>
      <c r="F646" s="31" t="n">
        <v>66.1</v>
      </c>
      <c r="G646" s="31" t="n">
        <v>46.3</v>
      </c>
      <c r="H646" s="2" t="s">
        <v>822</v>
      </c>
    </row>
    <row r="647" customFormat="false" ht="15" hidden="false" customHeight="false" outlineLevel="0" collapsed="false">
      <c r="A647" s="2" t="s">
        <v>2956</v>
      </c>
      <c r="B647" s="2" t="s">
        <v>45</v>
      </c>
      <c r="C647" s="2" t="s">
        <v>4275</v>
      </c>
      <c r="D647" s="11" t="n">
        <v>30350</v>
      </c>
      <c r="E647" s="31" t="n">
        <v>73.3</v>
      </c>
      <c r="F647" s="31" t="n">
        <v>68.7</v>
      </c>
      <c r="G647" s="31" t="n">
        <v>22.8</v>
      </c>
      <c r="H647" s="2" t="s">
        <v>832</v>
      </c>
    </row>
    <row r="648" customFormat="false" ht="15" hidden="false" customHeight="false" outlineLevel="0" collapsed="false">
      <c r="A648" s="2" t="s">
        <v>658</v>
      </c>
      <c r="B648" s="2" t="s">
        <v>4291</v>
      </c>
      <c r="C648" s="2" t="s">
        <v>4274</v>
      </c>
      <c r="D648" s="2"/>
      <c r="E648" s="31" t="n">
        <v>23.3</v>
      </c>
      <c r="F648" s="31" t="n">
        <v>37.8</v>
      </c>
      <c r="G648" s="31" t="n">
        <v>82.8</v>
      </c>
      <c r="H648" s="2" t="s">
        <v>822</v>
      </c>
    </row>
    <row r="649" customFormat="false" ht="15" hidden="false" customHeight="false" outlineLevel="0" collapsed="false">
      <c r="A649" s="2" t="s">
        <v>658</v>
      </c>
      <c r="B649" s="2" t="s">
        <v>4291</v>
      </c>
      <c r="C649" s="2" t="s">
        <v>4275</v>
      </c>
      <c r="D649" s="2"/>
      <c r="E649" s="31" t="n">
        <v>33.9</v>
      </c>
      <c r="F649" s="31" t="n">
        <v>58.8</v>
      </c>
      <c r="G649" s="31" t="n">
        <v>69.5</v>
      </c>
      <c r="H649" s="2" t="s">
        <v>822</v>
      </c>
    </row>
    <row r="650" customFormat="false" ht="15" hidden="false" customHeight="false" outlineLevel="0" collapsed="false">
      <c r="A650" s="2" t="s">
        <v>658</v>
      </c>
      <c r="B650" s="2" t="s">
        <v>45</v>
      </c>
      <c r="C650" s="2" t="s">
        <v>4274</v>
      </c>
      <c r="D650" s="11" t="n">
        <v>24646</v>
      </c>
      <c r="E650" s="31" t="n">
        <v>3.2</v>
      </c>
      <c r="F650" s="31" t="n">
        <v>56.2</v>
      </c>
      <c r="G650" s="31" t="n">
        <v>68.5</v>
      </c>
      <c r="H650" s="2" t="s">
        <v>822</v>
      </c>
    </row>
    <row r="651" customFormat="false" ht="15" hidden="false" customHeight="false" outlineLevel="0" collapsed="false">
      <c r="A651" s="2" t="s">
        <v>658</v>
      </c>
      <c r="B651" s="2" t="s">
        <v>45</v>
      </c>
      <c r="C651" s="2" t="s">
        <v>4275</v>
      </c>
      <c r="D651" s="11" t="n">
        <v>25760</v>
      </c>
      <c r="E651" s="31" t="n">
        <v>5.7</v>
      </c>
      <c r="F651" s="31" t="n">
        <v>59.5</v>
      </c>
      <c r="G651" s="31" t="n">
        <v>36.6</v>
      </c>
      <c r="H651" s="2" t="s">
        <v>822</v>
      </c>
    </row>
    <row r="652" customFormat="false" ht="15" hidden="false" customHeight="false" outlineLevel="0" collapsed="false">
      <c r="A652" s="2" t="s">
        <v>658</v>
      </c>
      <c r="B652" s="2" t="s">
        <v>46</v>
      </c>
      <c r="C652" s="2" t="s">
        <v>4274</v>
      </c>
      <c r="D652" s="11" t="n">
        <v>27130</v>
      </c>
      <c r="E652" s="31" t="n">
        <v>60.9</v>
      </c>
      <c r="F652" s="31" t="n">
        <v>31.1</v>
      </c>
      <c r="G652" s="31" t="n">
        <v>88.1</v>
      </c>
      <c r="H652" s="2" t="s">
        <v>822</v>
      </c>
    </row>
    <row r="653" customFormat="false" ht="15" hidden="false" customHeight="false" outlineLevel="0" collapsed="false">
      <c r="A653" s="2" t="s">
        <v>658</v>
      </c>
      <c r="B653" s="2" t="s">
        <v>46</v>
      </c>
      <c r="C653" s="2" t="s">
        <v>4275</v>
      </c>
      <c r="D653" s="11" t="n">
        <v>27720</v>
      </c>
      <c r="E653" s="31" t="n">
        <v>74.7</v>
      </c>
      <c r="F653" s="31" t="n">
        <v>66.2</v>
      </c>
      <c r="G653" s="31" t="n">
        <v>94.5</v>
      </c>
      <c r="H653" s="2" t="s">
        <v>822</v>
      </c>
    </row>
    <row r="654" customFormat="false" ht="15" hidden="false" customHeight="false" outlineLevel="0" collapsed="false">
      <c r="A654" s="2" t="s">
        <v>658</v>
      </c>
      <c r="B654" s="2" t="s">
        <v>47</v>
      </c>
      <c r="C654" s="2" t="s">
        <v>4274</v>
      </c>
      <c r="D654" s="11" t="n">
        <v>41477</v>
      </c>
      <c r="E654" s="31" t="n">
        <v>5.7</v>
      </c>
      <c r="F654" s="31" t="n">
        <v>26.1</v>
      </c>
      <c r="G654" s="31" t="n">
        <v>91.9</v>
      </c>
      <c r="H654" s="2" t="s">
        <v>822</v>
      </c>
    </row>
    <row r="655" customFormat="false" ht="15" hidden="false" customHeight="false" outlineLevel="0" collapsed="false">
      <c r="A655" s="2" t="s">
        <v>658</v>
      </c>
      <c r="B655" s="2" t="s">
        <v>47</v>
      </c>
      <c r="C655" s="2" t="s">
        <v>4275</v>
      </c>
      <c r="D655" s="11" t="n">
        <v>24534</v>
      </c>
      <c r="E655" s="31" t="n">
        <v>21.3</v>
      </c>
      <c r="F655" s="31" t="n">
        <v>50.6</v>
      </c>
      <c r="G655" s="31" t="n">
        <v>77.4</v>
      </c>
      <c r="H655" s="2" t="s">
        <v>822</v>
      </c>
    </row>
    <row r="656" customFormat="false" ht="15" hidden="false" customHeight="false" outlineLevel="0" collapsed="false">
      <c r="A656" s="2" t="s">
        <v>322</v>
      </c>
      <c r="B656" s="2" t="s">
        <v>4291</v>
      </c>
      <c r="C656" s="2" t="s">
        <v>4274</v>
      </c>
      <c r="D656" s="2"/>
      <c r="E656" s="31" t="n">
        <v>56.7</v>
      </c>
      <c r="F656" s="31" t="n">
        <v>49.8</v>
      </c>
      <c r="G656" s="31" t="n">
        <v>18</v>
      </c>
      <c r="H656" s="2" t="s">
        <v>832</v>
      </c>
    </row>
    <row r="657" customFormat="false" ht="15" hidden="false" customHeight="false" outlineLevel="0" collapsed="false">
      <c r="A657" s="2" t="s">
        <v>322</v>
      </c>
      <c r="B657" s="2" t="s">
        <v>4291</v>
      </c>
      <c r="C657" s="2" t="s">
        <v>4275</v>
      </c>
      <c r="D657" s="2"/>
      <c r="E657" s="31" t="n">
        <v>60.9</v>
      </c>
      <c r="F657" s="31" t="n">
        <v>67.6</v>
      </c>
      <c r="G657" s="31" t="n">
        <v>56.4</v>
      </c>
      <c r="H657" s="2" t="s">
        <v>822</v>
      </c>
    </row>
    <row r="658" customFormat="false" ht="15" hidden="false" customHeight="false" outlineLevel="0" collapsed="false">
      <c r="A658" s="2" t="s">
        <v>322</v>
      </c>
      <c r="B658" s="2" t="s">
        <v>45</v>
      </c>
      <c r="C658" s="2" t="s">
        <v>4274</v>
      </c>
      <c r="D658" s="11" t="n">
        <v>49793</v>
      </c>
      <c r="E658" s="31" t="n">
        <v>75.4</v>
      </c>
      <c r="F658" s="31" t="n">
        <v>20.4</v>
      </c>
      <c r="G658" s="31" t="n">
        <v>18</v>
      </c>
      <c r="H658" s="2" t="s">
        <v>822</v>
      </c>
    </row>
    <row r="659" customFormat="false" ht="15" hidden="false" customHeight="false" outlineLevel="0" collapsed="false">
      <c r="A659" s="2" t="s">
        <v>322</v>
      </c>
      <c r="B659" s="2" t="s">
        <v>45</v>
      </c>
      <c r="C659" s="2" t="s">
        <v>4275</v>
      </c>
      <c r="D659" s="11" t="n">
        <v>50860</v>
      </c>
      <c r="E659" s="31" t="n">
        <v>78.8</v>
      </c>
      <c r="F659" s="31" t="n">
        <v>45.7</v>
      </c>
      <c r="G659" s="31" t="n">
        <v>50.1</v>
      </c>
      <c r="H659" s="2" t="s">
        <v>822</v>
      </c>
    </row>
    <row r="660" customFormat="false" ht="15" hidden="false" customHeight="false" outlineLevel="0" collapsed="false">
      <c r="A660" s="2" t="s">
        <v>322</v>
      </c>
      <c r="B660" s="2" t="s">
        <v>46</v>
      </c>
      <c r="C660" s="2" t="s">
        <v>4274</v>
      </c>
      <c r="D660" s="11" t="n">
        <v>30530</v>
      </c>
      <c r="E660" s="31" t="n">
        <v>38</v>
      </c>
      <c r="F660" s="31" t="n">
        <v>46.8</v>
      </c>
      <c r="G660" s="2"/>
      <c r="H660" s="2" t="s">
        <v>832</v>
      </c>
    </row>
    <row r="661" customFormat="false" ht="15" hidden="false" customHeight="false" outlineLevel="0" collapsed="false">
      <c r="A661" s="2" t="s">
        <v>322</v>
      </c>
      <c r="B661" s="2" t="s">
        <v>46</v>
      </c>
      <c r="C661" s="2" t="s">
        <v>4275</v>
      </c>
      <c r="D661" s="11" t="n">
        <v>32665</v>
      </c>
      <c r="E661" s="31" t="n">
        <v>33.6</v>
      </c>
      <c r="F661" s="31" t="n">
        <v>68.4</v>
      </c>
      <c r="G661" s="31" t="n">
        <v>62.9</v>
      </c>
      <c r="H661" s="2" t="s">
        <v>822</v>
      </c>
    </row>
    <row r="662" customFormat="false" ht="15" hidden="false" customHeight="false" outlineLevel="0" collapsed="false">
      <c r="A662" s="2" t="s">
        <v>322</v>
      </c>
      <c r="B662" s="2" t="s">
        <v>47</v>
      </c>
      <c r="C662" s="2" t="s">
        <v>4274</v>
      </c>
      <c r="D662" s="11" t="n">
        <v>4057</v>
      </c>
      <c r="E662" s="2"/>
      <c r="F662" s="31" t="n">
        <v>82.2</v>
      </c>
      <c r="G662" s="2"/>
      <c r="H662" s="2" t="s">
        <v>832</v>
      </c>
    </row>
    <row r="663" customFormat="false" ht="15" hidden="false" customHeight="false" outlineLevel="0" collapsed="false">
      <c r="A663" s="2" t="s">
        <v>322</v>
      </c>
      <c r="B663" s="2" t="s">
        <v>47</v>
      </c>
      <c r="C663" s="2" t="s">
        <v>4275</v>
      </c>
      <c r="D663" s="11" t="n">
        <v>4480</v>
      </c>
      <c r="E663" s="31" t="n">
        <v>70.4</v>
      </c>
      <c r="F663" s="31" t="n">
        <v>88.8</v>
      </c>
      <c r="G663" s="31" t="n">
        <v>56.3</v>
      </c>
      <c r="H663" s="2" t="s">
        <v>822</v>
      </c>
    </row>
    <row r="664" customFormat="false" ht="15" hidden="false" customHeight="false" outlineLevel="0" collapsed="false">
      <c r="A664" s="2" t="s">
        <v>1114</v>
      </c>
      <c r="B664" s="2" t="s">
        <v>4291</v>
      </c>
      <c r="C664" s="2" t="s">
        <v>4274</v>
      </c>
      <c r="D664" s="2"/>
      <c r="E664" s="31" t="n">
        <v>52.7</v>
      </c>
      <c r="F664" s="31" t="n">
        <v>43.1</v>
      </c>
      <c r="G664" s="31" t="n">
        <v>65.6</v>
      </c>
      <c r="H664" s="2" t="s">
        <v>832</v>
      </c>
    </row>
    <row r="665" customFormat="false" ht="15" hidden="false" customHeight="false" outlineLevel="0" collapsed="false">
      <c r="A665" s="2" t="s">
        <v>1114</v>
      </c>
      <c r="B665" s="2" t="s">
        <v>4291</v>
      </c>
      <c r="C665" s="2" t="s">
        <v>4275</v>
      </c>
      <c r="D665" s="2"/>
      <c r="E665" s="31" t="n">
        <v>44.5</v>
      </c>
      <c r="F665" s="31" t="n">
        <v>49.8</v>
      </c>
      <c r="G665" s="31" t="n">
        <v>66.2</v>
      </c>
      <c r="H665" s="2" t="s">
        <v>832</v>
      </c>
    </row>
    <row r="666" customFormat="false" ht="15" hidden="false" customHeight="false" outlineLevel="0" collapsed="false">
      <c r="A666" s="2" t="s">
        <v>1114</v>
      </c>
      <c r="B666" s="2" t="s">
        <v>45</v>
      </c>
      <c r="C666" s="2" t="s">
        <v>4274</v>
      </c>
      <c r="D666" s="11" t="n">
        <v>7900</v>
      </c>
      <c r="E666" s="31" t="n">
        <v>40</v>
      </c>
      <c r="F666" s="2"/>
      <c r="G666" s="31" t="n">
        <v>64.6</v>
      </c>
      <c r="H666" s="2" t="s">
        <v>832</v>
      </c>
    </row>
    <row r="667" customFormat="false" ht="15" hidden="false" customHeight="false" outlineLevel="0" collapsed="false">
      <c r="A667" s="2" t="s">
        <v>1114</v>
      </c>
      <c r="B667" s="2" t="s">
        <v>45</v>
      </c>
      <c r="C667" s="2" t="s">
        <v>4275</v>
      </c>
      <c r="D667" s="11" t="n">
        <v>8340</v>
      </c>
      <c r="E667" s="31" t="n">
        <v>64.5</v>
      </c>
      <c r="F667" s="31" t="n">
        <v>87.3</v>
      </c>
      <c r="G667" s="31" t="n">
        <v>49</v>
      </c>
      <c r="H667" s="2" t="s">
        <v>822</v>
      </c>
    </row>
    <row r="668" customFormat="false" ht="15" hidden="false" customHeight="false" outlineLevel="0" collapsed="false">
      <c r="A668" s="2" t="s">
        <v>1114</v>
      </c>
      <c r="B668" s="2" t="s">
        <v>46</v>
      </c>
      <c r="C668" s="2" t="s">
        <v>4274</v>
      </c>
      <c r="D668" s="11" t="n">
        <v>35174</v>
      </c>
      <c r="E668" s="31" t="n">
        <v>84.3</v>
      </c>
      <c r="F668" s="31" t="n">
        <v>43.1</v>
      </c>
      <c r="G668" s="31" t="n">
        <v>77.6</v>
      </c>
      <c r="H668" s="2" t="s">
        <v>822</v>
      </c>
    </row>
    <row r="669" customFormat="false" ht="15" hidden="false" customHeight="false" outlineLevel="0" collapsed="false">
      <c r="A669" s="2" t="s">
        <v>1114</v>
      </c>
      <c r="B669" s="2" t="s">
        <v>46</v>
      </c>
      <c r="C669" s="2" t="s">
        <v>4275</v>
      </c>
      <c r="D669" s="2"/>
      <c r="E669" s="2"/>
      <c r="F669" s="2"/>
      <c r="G669" s="2"/>
      <c r="H669" s="2" t="s">
        <v>832</v>
      </c>
    </row>
    <row r="670" customFormat="false" ht="15" hidden="false" customHeight="false" outlineLevel="0" collapsed="false">
      <c r="A670" s="2" t="s">
        <v>1114</v>
      </c>
      <c r="B670" s="2" t="s">
        <v>47</v>
      </c>
      <c r="C670" s="2" t="s">
        <v>4274</v>
      </c>
      <c r="D670" s="11" t="n">
        <v>235894</v>
      </c>
      <c r="E670" s="31" t="n">
        <v>33.9</v>
      </c>
      <c r="F670" s="2"/>
      <c r="G670" s="31" t="n">
        <v>54.5</v>
      </c>
      <c r="H670" s="2" t="s">
        <v>832</v>
      </c>
    </row>
    <row r="671" customFormat="false" ht="15" hidden="false" customHeight="false" outlineLevel="0" collapsed="false">
      <c r="A671" s="2" t="s">
        <v>1114</v>
      </c>
      <c r="B671" s="2" t="s">
        <v>47</v>
      </c>
      <c r="C671" s="2" t="s">
        <v>4275</v>
      </c>
      <c r="D671" s="11" t="n">
        <v>234494</v>
      </c>
      <c r="E671" s="31" t="n">
        <v>24.5</v>
      </c>
      <c r="F671" s="31" t="n">
        <v>12.4</v>
      </c>
      <c r="G671" s="31" t="n">
        <v>83.3</v>
      </c>
      <c r="H671" s="2" t="s">
        <v>822</v>
      </c>
    </row>
    <row r="672" customFormat="false" ht="15" hidden="false" customHeight="false" outlineLevel="0" collapsed="false">
      <c r="A672" s="2" t="s">
        <v>104</v>
      </c>
      <c r="B672" s="2" t="s">
        <v>4291</v>
      </c>
      <c r="C672" s="2" t="s">
        <v>4274</v>
      </c>
      <c r="D672" s="2"/>
      <c r="E672" s="31" t="n">
        <v>93.7</v>
      </c>
      <c r="F672" s="31" t="n">
        <v>56.7</v>
      </c>
      <c r="G672" s="31" t="n">
        <v>57.5</v>
      </c>
      <c r="H672" s="2" t="s">
        <v>822</v>
      </c>
    </row>
    <row r="673" customFormat="false" ht="15" hidden="false" customHeight="false" outlineLevel="0" collapsed="false">
      <c r="A673" s="2" t="s">
        <v>104</v>
      </c>
      <c r="B673" s="2" t="s">
        <v>4291</v>
      </c>
      <c r="C673" s="2" t="s">
        <v>4275</v>
      </c>
      <c r="D673" s="2"/>
      <c r="E673" s="31" t="n">
        <v>93.8</v>
      </c>
      <c r="F673" s="31" t="n">
        <v>71.6</v>
      </c>
      <c r="G673" s="31" t="n">
        <v>68.5</v>
      </c>
      <c r="H673" s="2" t="s">
        <v>822</v>
      </c>
    </row>
    <row r="674" customFormat="false" ht="15" hidden="false" customHeight="false" outlineLevel="0" collapsed="false">
      <c r="A674" s="2" t="s">
        <v>104</v>
      </c>
      <c r="B674" s="2" t="s">
        <v>46</v>
      </c>
      <c r="C674" s="2" t="s">
        <v>4274</v>
      </c>
      <c r="D674" s="11" t="n">
        <v>123820</v>
      </c>
      <c r="E674" s="31" t="n">
        <v>98.6</v>
      </c>
      <c r="F674" s="31" t="n">
        <v>32.7</v>
      </c>
      <c r="G674" s="31" t="n">
        <v>34</v>
      </c>
      <c r="H674" s="2" t="s">
        <v>822</v>
      </c>
    </row>
    <row r="675" customFormat="false" ht="15" hidden="false" customHeight="false" outlineLevel="0" collapsed="false">
      <c r="A675" s="2" t="s">
        <v>104</v>
      </c>
      <c r="B675" s="2" t="s">
        <v>46</v>
      </c>
      <c r="C675" s="2" t="s">
        <v>4275</v>
      </c>
      <c r="D675" s="11" t="n">
        <v>123830</v>
      </c>
      <c r="E675" s="31" t="n">
        <v>97.8</v>
      </c>
      <c r="F675" s="31" t="n">
        <v>51</v>
      </c>
      <c r="G675" s="31" t="n">
        <v>50.6</v>
      </c>
      <c r="H675" s="2" t="s">
        <v>822</v>
      </c>
    </row>
    <row r="676" customFormat="false" ht="15" hidden="false" customHeight="false" outlineLevel="0" collapsed="false">
      <c r="A676" s="2" t="s">
        <v>104</v>
      </c>
      <c r="B676" s="2" t="s">
        <v>47</v>
      </c>
      <c r="C676" s="2" t="s">
        <v>4274</v>
      </c>
      <c r="D676" s="11" t="n">
        <v>46006</v>
      </c>
      <c r="E676" s="31" t="n">
        <v>88.8</v>
      </c>
      <c r="F676" s="31" t="n">
        <v>80.7</v>
      </c>
      <c r="G676" s="31" t="n">
        <v>81</v>
      </c>
      <c r="H676" s="2" t="s">
        <v>822</v>
      </c>
    </row>
    <row r="677" customFormat="false" ht="15" hidden="false" customHeight="false" outlineLevel="0" collapsed="false">
      <c r="A677" s="2" t="s">
        <v>104</v>
      </c>
      <c r="B677" s="2" t="s">
        <v>47</v>
      </c>
      <c r="C677" s="2" t="s">
        <v>4275</v>
      </c>
      <c r="D677" s="11" t="n">
        <v>49434</v>
      </c>
      <c r="E677" s="31" t="n">
        <v>89.9</v>
      </c>
      <c r="F677" s="31" t="n">
        <v>92.2</v>
      </c>
      <c r="G677" s="31" t="n">
        <v>86.4</v>
      </c>
      <c r="H677" s="2" t="s">
        <v>822</v>
      </c>
    </row>
    <row r="678" customFormat="false" ht="15" hidden="false" customHeight="false" outlineLevel="0" collapsed="false">
      <c r="A678" s="2" t="s">
        <v>1755</v>
      </c>
      <c r="B678" s="2" t="s">
        <v>4291</v>
      </c>
      <c r="C678" s="2" t="s">
        <v>4274</v>
      </c>
      <c r="D678" s="2"/>
      <c r="E678" s="31" t="n">
        <v>15.6</v>
      </c>
      <c r="F678" s="31" t="n">
        <v>59.8</v>
      </c>
      <c r="G678" s="31" t="n">
        <v>56.2</v>
      </c>
      <c r="H678" s="2" t="s">
        <v>832</v>
      </c>
    </row>
    <row r="679" customFormat="false" ht="15" hidden="false" customHeight="false" outlineLevel="0" collapsed="false">
      <c r="A679" s="2" t="s">
        <v>1755</v>
      </c>
      <c r="B679" s="2" t="s">
        <v>4291</v>
      </c>
      <c r="C679" s="2" t="s">
        <v>4275</v>
      </c>
      <c r="D679" s="2"/>
      <c r="E679" s="31" t="n">
        <v>41.5</v>
      </c>
      <c r="F679" s="31" t="n">
        <v>42.6</v>
      </c>
      <c r="G679" s="31" t="n">
        <v>67.4</v>
      </c>
      <c r="H679" s="2" t="s">
        <v>832</v>
      </c>
    </row>
    <row r="680" customFormat="false" ht="15" hidden="false" customHeight="false" outlineLevel="0" collapsed="false">
      <c r="A680" s="2" t="s">
        <v>1755</v>
      </c>
      <c r="B680" s="2" t="s">
        <v>45</v>
      </c>
      <c r="C680" s="2" t="s">
        <v>4274</v>
      </c>
      <c r="D680" s="11" t="n">
        <v>160210</v>
      </c>
      <c r="E680" s="31" t="n">
        <v>19.6</v>
      </c>
      <c r="F680" s="31" t="n">
        <v>87.7</v>
      </c>
      <c r="G680" s="31" t="n">
        <v>14.9</v>
      </c>
      <c r="H680" s="2" t="s">
        <v>822</v>
      </c>
    </row>
    <row r="681" customFormat="false" ht="15" hidden="false" customHeight="false" outlineLevel="0" collapsed="false">
      <c r="A681" s="2" t="s">
        <v>1755</v>
      </c>
      <c r="B681" s="2" t="s">
        <v>45</v>
      </c>
      <c r="C681" s="2" t="s">
        <v>4275</v>
      </c>
      <c r="D681" s="2"/>
      <c r="E681" s="2"/>
      <c r="F681" s="2"/>
      <c r="G681" s="2"/>
      <c r="H681" s="2" t="s">
        <v>832</v>
      </c>
    </row>
    <row r="682" customFormat="false" ht="15" hidden="false" customHeight="false" outlineLevel="0" collapsed="false">
      <c r="A682" s="2" t="s">
        <v>1755</v>
      </c>
      <c r="B682" s="2" t="s">
        <v>46</v>
      </c>
      <c r="C682" s="2" t="s">
        <v>4274</v>
      </c>
      <c r="D682" s="11" t="n">
        <v>136981</v>
      </c>
      <c r="E682" s="2"/>
      <c r="F682" s="31" t="n">
        <v>73.1</v>
      </c>
      <c r="G682" s="2"/>
      <c r="H682" s="2" t="s">
        <v>832</v>
      </c>
    </row>
    <row r="683" customFormat="false" ht="15" hidden="false" customHeight="false" outlineLevel="0" collapsed="false">
      <c r="A683" s="2" t="s">
        <v>1755</v>
      </c>
      <c r="B683" s="2" t="s">
        <v>46</v>
      </c>
      <c r="C683" s="2" t="s">
        <v>4275</v>
      </c>
      <c r="D683" s="11" t="n">
        <v>143900</v>
      </c>
      <c r="E683" s="31" t="n">
        <v>72.9</v>
      </c>
      <c r="F683" s="31" t="n">
        <v>73.2</v>
      </c>
      <c r="G683" s="31" t="n">
        <v>37.3</v>
      </c>
      <c r="H683" s="2" t="s">
        <v>822</v>
      </c>
    </row>
    <row r="684" customFormat="false" ht="15" hidden="false" customHeight="false" outlineLevel="0" collapsed="false">
      <c r="A684" s="2" t="s">
        <v>1755</v>
      </c>
      <c r="B684" s="2" t="s">
        <v>47</v>
      </c>
      <c r="C684" s="2" t="s">
        <v>4274</v>
      </c>
      <c r="D684" s="11" t="n">
        <v>14573</v>
      </c>
      <c r="E684" s="31" t="n">
        <v>11.6</v>
      </c>
      <c r="F684" s="31" t="n">
        <v>18.6</v>
      </c>
      <c r="G684" s="31" t="n">
        <v>97.5</v>
      </c>
      <c r="H684" s="2" t="s">
        <v>822</v>
      </c>
    </row>
    <row r="685" customFormat="false" ht="15" hidden="false" customHeight="false" outlineLevel="0" collapsed="false">
      <c r="A685" s="2" t="s">
        <v>1755</v>
      </c>
      <c r="B685" s="2" t="s">
        <v>47</v>
      </c>
      <c r="C685" s="2" t="s">
        <v>4275</v>
      </c>
      <c r="D685" s="11" t="n">
        <v>14778</v>
      </c>
      <c r="E685" s="31" t="n">
        <v>10.1</v>
      </c>
      <c r="F685" s="31" t="n">
        <v>12</v>
      </c>
      <c r="G685" s="31" t="n">
        <v>97.5</v>
      </c>
      <c r="H685" s="2" t="s">
        <v>822</v>
      </c>
    </row>
    <row r="686" customFormat="false" ht="15" hidden="false" customHeight="false" outlineLevel="0" collapsed="false">
      <c r="A686" s="2" t="s">
        <v>754</v>
      </c>
      <c r="B686" s="2" t="s">
        <v>4291</v>
      </c>
      <c r="C686" s="2" t="s">
        <v>4274</v>
      </c>
      <c r="D686" s="2"/>
      <c r="E686" s="31" t="n">
        <v>29</v>
      </c>
      <c r="F686" s="31" t="n">
        <v>22.1</v>
      </c>
      <c r="G686" s="31" t="n">
        <v>47.4</v>
      </c>
      <c r="H686" s="2" t="s">
        <v>832</v>
      </c>
    </row>
    <row r="687" customFormat="false" ht="15" hidden="false" customHeight="false" outlineLevel="0" collapsed="false">
      <c r="A687" s="2" t="s">
        <v>754</v>
      </c>
      <c r="B687" s="2" t="s">
        <v>4291</v>
      </c>
      <c r="C687" s="2" t="s">
        <v>4275</v>
      </c>
      <c r="D687" s="2"/>
      <c r="E687" s="31" t="n">
        <v>20.7</v>
      </c>
      <c r="F687" s="31" t="n">
        <v>38.5</v>
      </c>
      <c r="G687" s="31" t="n">
        <v>56.9</v>
      </c>
      <c r="H687" s="2" t="s">
        <v>822</v>
      </c>
    </row>
    <row r="688" customFormat="false" ht="15" hidden="false" customHeight="false" outlineLevel="0" collapsed="false">
      <c r="A688" s="2" t="s">
        <v>754</v>
      </c>
      <c r="B688" s="2" t="s">
        <v>45</v>
      </c>
      <c r="C688" s="2" t="s">
        <v>4274</v>
      </c>
      <c r="D688" s="11" t="n">
        <v>169990</v>
      </c>
      <c r="E688" s="31" t="n">
        <v>25.3</v>
      </c>
      <c r="F688" s="31" t="n">
        <v>5.5</v>
      </c>
      <c r="G688" s="31" t="n">
        <v>86.1</v>
      </c>
      <c r="H688" s="2" t="s">
        <v>822</v>
      </c>
    </row>
    <row r="689" customFormat="false" ht="15" hidden="false" customHeight="false" outlineLevel="0" collapsed="false">
      <c r="A689" s="2" t="s">
        <v>754</v>
      </c>
      <c r="B689" s="2" t="s">
        <v>45</v>
      </c>
      <c r="C689" s="2" t="s">
        <v>4275</v>
      </c>
      <c r="D689" s="11" t="n">
        <v>177829</v>
      </c>
      <c r="E689" s="31" t="n">
        <v>16.3</v>
      </c>
      <c r="F689" s="31" t="n">
        <v>13.6</v>
      </c>
      <c r="G689" s="31" t="n">
        <v>61.5</v>
      </c>
      <c r="H689" s="2" t="s">
        <v>822</v>
      </c>
    </row>
    <row r="690" customFormat="false" ht="15" hidden="false" customHeight="false" outlineLevel="0" collapsed="false">
      <c r="A690" s="2" t="s">
        <v>754</v>
      </c>
      <c r="B690" s="2" t="s">
        <v>46</v>
      </c>
      <c r="C690" s="2" t="s">
        <v>4274</v>
      </c>
      <c r="D690" s="11" t="n">
        <v>38687</v>
      </c>
      <c r="E690" s="31" t="n">
        <v>12.9</v>
      </c>
      <c r="F690" s="31" t="n">
        <v>39.7</v>
      </c>
      <c r="G690" s="2"/>
      <c r="H690" s="2" t="s">
        <v>832</v>
      </c>
    </row>
    <row r="691" customFormat="false" ht="15" hidden="false" customHeight="false" outlineLevel="0" collapsed="false">
      <c r="A691" s="2" t="s">
        <v>754</v>
      </c>
      <c r="B691" s="2" t="s">
        <v>46</v>
      </c>
      <c r="C691" s="2" t="s">
        <v>4275</v>
      </c>
      <c r="D691" s="11" t="n">
        <v>40180</v>
      </c>
      <c r="E691" s="31" t="n">
        <v>5.9</v>
      </c>
      <c r="F691" s="31" t="n">
        <v>57.1</v>
      </c>
      <c r="G691" s="31" t="n">
        <v>71.3</v>
      </c>
      <c r="H691" s="2" t="s">
        <v>822</v>
      </c>
    </row>
    <row r="692" customFormat="false" ht="15" hidden="false" customHeight="false" outlineLevel="0" collapsed="false">
      <c r="A692" s="2" t="s">
        <v>754</v>
      </c>
      <c r="B692" s="2" t="s">
        <v>47</v>
      </c>
      <c r="C692" s="2" t="s">
        <v>4274</v>
      </c>
      <c r="D692" s="11" t="n">
        <v>280263</v>
      </c>
      <c r="E692" s="31" t="n">
        <v>48.8</v>
      </c>
      <c r="F692" s="31" t="n">
        <v>21</v>
      </c>
      <c r="G692" s="31" t="n">
        <v>8.8</v>
      </c>
      <c r="H692" s="2" t="s">
        <v>822</v>
      </c>
    </row>
    <row r="693" customFormat="false" ht="15" hidden="false" customHeight="false" outlineLevel="0" collapsed="false">
      <c r="A693" s="2" t="s">
        <v>754</v>
      </c>
      <c r="B693" s="2" t="s">
        <v>47</v>
      </c>
      <c r="C693" s="2" t="s">
        <v>4275</v>
      </c>
      <c r="D693" s="11" t="n">
        <v>291560</v>
      </c>
      <c r="E693" s="31" t="n">
        <v>40</v>
      </c>
      <c r="F693" s="31" t="n">
        <v>44.7</v>
      </c>
      <c r="G693" s="31" t="n">
        <v>37.8</v>
      </c>
      <c r="H693" s="2" t="s">
        <v>822</v>
      </c>
    </row>
    <row r="694" customFormat="false" ht="15" hidden="false" customHeight="false" outlineLevel="0" collapsed="false">
      <c r="A694" s="2" t="s">
        <v>2957</v>
      </c>
      <c r="B694" s="2" t="s">
        <v>4291</v>
      </c>
      <c r="C694" s="2" t="s">
        <v>4274</v>
      </c>
      <c r="D694" s="2"/>
      <c r="E694" s="31" t="n">
        <v>70.8</v>
      </c>
      <c r="F694" s="31" t="n">
        <v>91</v>
      </c>
      <c r="G694" s="31" t="n">
        <v>81.5</v>
      </c>
      <c r="H694" s="2" t="s">
        <v>822</v>
      </c>
    </row>
    <row r="695" customFormat="false" ht="15" hidden="false" customHeight="false" outlineLevel="0" collapsed="false">
      <c r="A695" s="2" t="s">
        <v>2957</v>
      </c>
      <c r="B695" s="2" t="s">
        <v>4291</v>
      </c>
      <c r="C695" s="2" t="s">
        <v>4275</v>
      </c>
      <c r="D695" s="2"/>
      <c r="E695" s="2"/>
      <c r="F695" s="31" t="n">
        <v>89.2</v>
      </c>
      <c r="G695" s="31" t="n">
        <v>89</v>
      </c>
      <c r="H695" s="2" t="s">
        <v>832</v>
      </c>
    </row>
    <row r="696" customFormat="false" ht="15" hidden="false" customHeight="false" outlineLevel="0" collapsed="false">
      <c r="A696" s="2" t="s">
        <v>2957</v>
      </c>
      <c r="B696" s="2" t="s">
        <v>46</v>
      </c>
      <c r="C696" s="2" t="s">
        <v>4274</v>
      </c>
      <c r="D696" s="11" t="n">
        <v>109690</v>
      </c>
      <c r="E696" s="31" t="n">
        <v>70.8</v>
      </c>
      <c r="F696" s="31" t="n">
        <v>91</v>
      </c>
      <c r="G696" s="31" t="n">
        <v>81.5</v>
      </c>
      <c r="H696" s="2" t="s">
        <v>822</v>
      </c>
    </row>
    <row r="697" customFormat="false" ht="15" hidden="false" customHeight="false" outlineLevel="0" collapsed="false">
      <c r="A697" s="2" t="s">
        <v>2957</v>
      </c>
      <c r="B697" s="2" t="s">
        <v>46</v>
      </c>
      <c r="C697" s="2" t="s">
        <v>4275</v>
      </c>
      <c r="D697" s="11" t="n">
        <v>114470</v>
      </c>
      <c r="E697" s="2"/>
      <c r="F697" s="31" t="n">
        <v>89.2</v>
      </c>
      <c r="G697" s="31" t="n">
        <v>89</v>
      </c>
      <c r="H697" s="2" t="s">
        <v>832</v>
      </c>
    </row>
    <row r="698" customFormat="false" ht="15" hidden="false" customHeight="false" outlineLevel="0" collapsed="false">
      <c r="A698" s="2" t="s">
        <v>362</v>
      </c>
      <c r="B698" s="2" t="s">
        <v>4291</v>
      </c>
      <c r="C698" s="2" t="s">
        <v>4274</v>
      </c>
      <c r="D698" s="2"/>
      <c r="E698" s="31" t="n">
        <v>63.8</v>
      </c>
      <c r="F698" s="31" t="n">
        <v>74</v>
      </c>
      <c r="G698" s="31" t="n">
        <v>69</v>
      </c>
      <c r="H698" s="2" t="s">
        <v>822</v>
      </c>
    </row>
    <row r="699" customFormat="false" ht="15" hidden="false" customHeight="false" outlineLevel="0" collapsed="false">
      <c r="A699" s="2" t="s">
        <v>362</v>
      </c>
      <c r="B699" s="2" t="s">
        <v>4291</v>
      </c>
      <c r="C699" s="2" t="s">
        <v>4275</v>
      </c>
      <c r="D699" s="2"/>
      <c r="E699" s="31" t="n">
        <v>57.7</v>
      </c>
      <c r="F699" s="31" t="n">
        <v>66.2</v>
      </c>
      <c r="G699" s="31" t="n">
        <v>59</v>
      </c>
      <c r="H699" s="2" t="s">
        <v>822</v>
      </c>
    </row>
    <row r="700" customFormat="false" ht="15" hidden="false" customHeight="false" outlineLevel="0" collapsed="false">
      <c r="A700" s="2" t="s">
        <v>362</v>
      </c>
      <c r="B700" s="2" t="s">
        <v>45</v>
      </c>
      <c r="C700" s="2" t="s">
        <v>4274</v>
      </c>
      <c r="D700" s="11" t="n">
        <v>40140</v>
      </c>
      <c r="E700" s="31" t="n">
        <v>96.8</v>
      </c>
      <c r="F700" s="31" t="n">
        <v>60.2</v>
      </c>
      <c r="G700" s="31" t="n">
        <v>94.6</v>
      </c>
      <c r="H700" s="2" t="s">
        <v>822</v>
      </c>
    </row>
    <row r="701" customFormat="false" ht="15" hidden="false" customHeight="false" outlineLevel="0" collapsed="false">
      <c r="A701" s="2" t="s">
        <v>362</v>
      </c>
      <c r="B701" s="2" t="s">
        <v>45</v>
      </c>
      <c r="C701" s="2" t="s">
        <v>4275</v>
      </c>
      <c r="D701" s="11" t="n">
        <v>42010</v>
      </c>
      <c r="E701" s="31" t="n">
        <v>96.4</v>
      </c>
      <c r="F701" s="31" t="n">
        <v>65.3</v>
      </c>
      <c r="G701" s="31" t="n">
        <v>98.8</v>
      </c>
      <c r="H701" s="2" t="s">
        <v>822</v>
      </c>
    </row>
    <row r="702" customFormat="false" ht="15" hidden="false" customHeight="false" outlineLevel="0" collapsed="false">
      <c r="A702" s="2" t="s">
        <v>362</v>
      </c>
      <c r="B702" s="2" t="s">
        <v>47</v>
      </c>
      <c r="C702" s="2" t="s">
        <v>4274</v>
      </c>
      <c r="D702" s="11" t="n">
        <v>171483</v>
      </c>
      <c r="E702" s="31" t="n">
        <v>30.8</v>
      </c>
      <c r="F702" s="31" t="n">
        <v>87.7</v>
      </c>
      <c r="G702" s="31" t="n">
        <v>43.4</v>
      </c>
      <c r="H702" s="2" t="s">
        <v>822</v>
      </c>
    </row>
    <row r="703" customFormat="false" ht="15" hidden="false" customHeight="false" outlineLevel="0" collapsed="false">
      <c r="A703" s="2" t="s">
        <v>362</v>
      </c>
      <c r="B703" s="2" t="s">
        <v>47</v>
      </c>
      <c r="C703" s="2" t="s">
        <v>4275</v>
      </c>
      <c r="D703" s="11" t="n">
        <v>181536</v>
      </c>
      <c r="E703" s="31" t="n">
        <v>19</v>
      </c>
      <c r="F703" s="31" t="n">
        <v>67.1</v>
      </c>
      <c r="G703" s="31" t="n">
        <v>19.2</v>
      </c>
      <c r="H703" s="2" t="s">
        <v>822</v>
      </c>
    </row>
    <row r="704" customFormat="false" ht="15" hidden="false" customHeight="false" outlineLevel="0" collapsed="false">
      <c r="A704" s="2" t="s">
        <v>2959</v>
      </c>
      <c r="B704" s="2" t="s">
        <v>4291</v>
      </c>
      <c r="C704" s="2" t="s">
        <v>4275</v>
      </c>
      <c r="D704" s="2"/>
      <c r="E704" s="2"/>
      <c r="F704" s="2"/>
      <c r="G704" s="2"/>
      <c r="H704" s="2" t="s">
        <v>832</v>
      </c>
    </row>
    <row r="705" customFormat="false" ht="15" hidden="false" customHeight="false" outlineLevel="0" collapsed="false">
      <c r="A705" s="2" t="s">
        <v>2959</v>
      </c>
      <c r="B705" s="2" t="s">
        <v>46</v>
      </c>
      <c r="C705" s="2" t="s">
        <v>4275</v>
      </c>
      <c r="D705" s="2"/>
      <c r="E705" s="2"/>
      <c r="F705" s="2"/>
      <c r="G705" s="2"/>
      <c r="H705" s="2" t="s">
        <v>832</v>
      </c>
    </row>
    <row r="706" customFormat="false" ht="15" hidden="false" customHeight="false" outlineLevel="0" collapsed="false">
      <c r="A706" s="2" t="s">
        <v>1243</v>
      </c>
      <c r="B706" s="2" t="s">
        <v>4291</v>
      </c>
      <c r="C706" s="2" t="s">
        <v>4274</v>
      </c>
      <c r="D706" s="2"/>
      <c r="E706" s="31" t="n">
        <v>64.2</v>
      </c>
      <c r="F706" s="31" t="n">
        <v>36.4</v>
      </c>
      <c r="G706" s="31" t="n">
        <v>56.9</v>
      </c>
      <c r="H706" s="2" t="s">
        <v>822</v>
      </c>
    </row>
    <row r="707" customFormat="false" ht="15" hidden="false" customHeight="false" outlineLevel="0" collapsed="false">
      <c r="A707" s="2" t="s">
        <v>1243</v>
      </c>
      <c r="B707" s="2" t="s">
        <v>4291</v>
      </c>
      <c r="C707" s="2" t="s">
        <v>4275</v>
      </c>
      <c r="D707" s="2"/>
      <c r="E707" s="31" t="n">
        <v>31.2</v>
      </c>
      <c r="F707" s="31" t="n">
        <v>33.2</v>
      </c>
      <c r="G707" s="31" t="n">
        <v>67.1</v>
      </c>
      <c r="H707" s="2" t="s">
        <v>832</v>
      </c>
    </row>
    <row r="708" customFormat="false" ht="15" hidden="false" customHeight="false" outlineLevel="0" collapsed="false">
      <c r="A708" s="2" t="s">
        <v>1243</v>
      </c>
      <c r="B708" s="2" t="s">
        <v>45</v>
      </c>
      <c r="C708" s="2" t="s">
        <v>4274</v>
      </c>
      <c r="D708" s="11" t="n">
        <v>84930</v>
      </c>
      <c r="E708" s="31" t="n">
        <v>57</v>
      </c>
      <c r="F708" s="31" t="n">
        <v>6.6</v>
      </c>
      <c r="G708" s="31" t="n">
        <v>87.1</v>
      </c>
      <c r="H708" s="2" t="s">
        <v>822</v>
      </c>
    </row>
    <row r="709" customFormat="false" ht="15" hidden="false" customHeight="false" outlineLevel="0" collapsed="false">
      <c r="A709" s="2" t="s">
        <v>1243</v>
      </c>
      <c r="B709" s="2" t="s">
        <v>45</v>
      </c>
      <c r="C709" s="2" t="s">
        <v>4275</v>
      </c>
      <c r="D709" s="11" t="n">
        <v>82280</v>
      </c>
      <c r="E709" s="31" t="n">
        <v>48.6</v>
      </c>
      <c r="F709" s="31" t="n">
        <v>19.2</v>
      </c>
      <c r="G709" s="31" t="n">
        <v>67.1</v>
      </c>
      <c r="H709" s="2" t="s">
        <v>822</v>
      </c>
    </row>
    <row r="710" customFormat="false" ht="15" hidden="false" customHeight="false" outlineLevel="0" collapsed="false">
      <c r="A710" s="2" t="s">
        <v>1243</v>
      </c>
      <c r="B710" s="2" t="s">
        <v>46</v>
      </c>
      <c r="C710" s="2" t="s">
        <v>4274</v>
      </c>
      <c r="D710" s="11" t="n">
        <v>11810</v>
      </c>
      <c r="E710" s="31" t="n">
        <v>70.1</v>
      </c>
      <c r="F710" s="31" t="n">
        <v>38.6</v>
      </c>
      <c r="G710" s="31" t="n">
        <v>51.1</v>
      </c>
      <c r="H710" s="2" t="s">
        <v>822</v>
      </c>
    </row>
    <row r="711" customFormat="false" ht="15" hidden="false" customHeight="false" outlineLevel="0" collapsed="false">
      <c r="A711" s="2" t="s">
        <v>1243</v>
      </c>
      <c r="B711" s="2" t="s">
        <v>46</v>
      </c>
      <c r="C711" s="2" t="s">
        <v>4275</v>
      </c>
      <c r="D711" s="2"/>
      <c r="E711" s="2"/>
      <c r="F711" s="2"/>
      <c r="G711" s="2"/>
      <c r="H711" s="2" t="s">
        <v>832</v>
      </c>
    </row>
    <row r="712" customFormat="false" ht="15" hidden="false" customHeight="false" outlineLevel="0" collapsed="false">
      <c r="A712" s="2" t="s">
        <v>1243</v>
      </c>
      <c r="B712" s="2" t="s">
        <v>47</v>
      </c>
      <c r="C712" s="2" t="s">
        <v>4274</v>
      </c>
      <c r="D712" s="11" t="n">
        <v>15885</v>
      </c>
      <c r="E712" s="31" t="n">
        <v>65.4</v>
      </c>
      <c r="F712" s="31" t="n">
        <v>64.1</v>
      </c>
      <c r="G712" s="31" t="n">
        <v>32.6</v>
      </c>
      <c r="H712" s="2" t="s">
        <v>822</v>
      </c>
    </row>
    <row r="713" customFormat="false" ht="15" hidden="false" customHeight="false" outlineLevel="0" collapsed="false">
      <c r="A713" s="2" t="s">
        <v>1243</v>
      </c>
      <c r="B713" s="2" t="s">
        <v>47</v>
      </c>
      <c r="C713" s="2" t="s">
        <v>4275</v>
      </c>
      <c r="D713" s="11" t="n">
        <v>16748</v>
      </c>
      <c r="E713" s="31" t="n">
        <v>13.9</v>
      </c>
      <c r="F713" s="31" t="n">
        <v>47.1</v>
      </c>
      <c r="G713" s="2"/>
      <c r="H713" s="2" t="s">
        <v>832</v>
      </c>
    </row>
    <row r="714" customFormat="false" ht="15" hidden="false" customHeight="false" outlineLevel="0" collapsed="false">
      <c r="A714" s="2" t="s">
        <v>188</v>
      </c>
      <c r="B714" s="2" t="s">
        <v>4291</v>
      </c>
      <c r="C714" s="2" t="s">
        <v>4274</v>
      </c>
      <c r="D714" s="2"/>
      <c r="E714" s="31" t="n">
        <v>74</v>
      </c>
      <c r="F714" s="31" t="n">
        <v>5.2</v>
      </c>
      <c r="G714" s="31" t="n">
        <v>65.1</v>
      </c>
      <c r="H714" s="2" t="s">
        <v>822</v>
      </c>
    </row>
    <row r="715" customFormat="false" ht="15" hidden="false" customHeight="false" outlineLevel="0" collapsed="false">
      <c r="A715" s="2" t="s">
        <v>188</v>
      </c>
      <c r="B715" s="2" t="s">
        <v>4291</v>
      </c>
      <c r="C715" s="2" t="s">
        <v>4275</v>
      </c>
      <c r="D715" s="2"/>
      <c r="E715" s="31" t="n">
        <v>76.5</v>
      </c>
      <c r="F715" s="31" t="n">
        <v>3.2</v>
      </c>
      <c r="G715" s="31" t="n">
        <v>65.6</v>
      </c>
      <c r="H715" s="2" t="s">
        <v>822</v>
      </c>
    </row>
    <row r="716" customFormat="false" ht="15" hidden="false" customHeight="false" outlineLevel="0" collapsed="false">
      <c r="A716" s="2" t="s">
        <v>188</v>
      </c>
      <c r="B716" s="2" t="s">
        <v>47</v>
      </c>
      <c r="C716" s="2" t="s">
        <v>4274</v>
      </c>
      <c r="D716" s="11" t="n">
        <v>34144</v>
      </c>
      <c r="E716" s="31" t="n">
        <v>74</v>
      </c>
      <c r="F716" s="31" t="n">
        <v>5.2</v>
      </c>
      <c r="G716" s="31" t="n">
        <v>65.1</v>
      </c>
      <c r="H716" s="2" t="s">
        <v>822</v>
      </c>
    </row>
    <row r="717" customFormat="false" ht="15" hidden="false" customHeight="false" outlineLevel="0" collapsed="false">
      <c r="A717" s="2" t="s">
        <v>188</v>
      </c>
      <c r="B717" s="2" t="s">
        <v>47</v>
      </c>
      <c r="C717" s="2" t="s">
        <v>4275</v>
      </c>
      <c r="D717" s="11" t="n">
        <v>33710</v>
      </c>
      <c r="E717" s="31" t="n">
        <v>76.5</v>
      </c>
      <c r="F717" s="31" t="n">
        <v>3.2</v>
      </c>
      <c r="G717" s="31" t="n">
        <v>65.6</v>
      </c>
      <c r="H717" s="2" t="s">
        <v>822</v>
      </c>
    </row>
    <row r="718" customFormat="false" ht="15" hidden="false" customHeight="false" outlineLevel="0" collapsed="false">
      <c r="A718" s="2" t="s">
        <v>222</v>
      </c>
      <c r="B718" s="2" t="s">
        <v>4291</v>
      </c>
      <c r="C718" s="2" t="s">
        <v>4274</v>
      </c>
      <c r="D718" s="2"/>
      <c r="E718" s="31" t="n">
        <v>54</v>
      </c>
      <c r="F718" s="31" t="n">
        <v>85.8</v>
      </c>
      <c r="G718" s="31" t="n">
        <v>95.6</v>
      </c>
      <c r="H718" s="2" t="s">
        <v>832</v>
      </c>
    </row>
    <row r="719" customFormat="false" ht="15" hidden="false" customHeight="false" outlineLevel="0" collapsed="false">
      <c r="A719" s="2" t="s">
        <v>222</v>
      </c>
      <c r="B719" s="2" t="s">
        <v>4291</v>
      </c>
      <c r="C719" s="2" t="s">
        <v>4275</v>
      </c>
      <c r="D719" s="2"/>
      <c r="E719" s="31" t="n">
        <v>71.8</v>
      </c>
      <c r="F719" s="31" t="n">
        <v>48.5</v>
      </c>
      <c r="G719" s="31" t="n">
        <v>65.8</v>
      </c>
      <c r="H719" s="2" t="s">
        <v>822</v>
      </c>
    </row>
    <row r="720" customFormat="false" ht="15" hidden="false" customHeight="false" outlineLevel="0" collapsed="false">
      <c r="A720" s="2" t="s">
        <v>222</v>
      </c>
      <c r="B720" s="2" t="s">
        <v>45</v>
      </c>
      <c r="C720" s="2" t="s">
        <v>4274</v>
      </c>
      <c r="D720" s="11" t="n">
        <v>24120</v>
      </c>
      <c r="E720" s="31" t="n">
        <v>63.1</v>
      </c>
      <c r="F720" s="2"/>
      <c r="G720" s="31" t="n">
        <v>96.1</v>
      </c>
      <c r="H720" s="2" t="s">
        <v>832</v>
      </c>
    </row>
    <row r="721" customFormat="false" ht="15" hidden="false" customHeight="false" outlineLevel="0" collapsed="false">
      <c r="A721" s="2" t="s">
        <v>222</v>
      </c>
      <c r="B721" s="2" t="s">
        <v>45</v>
      </c>
      <c r="C721" s="2" t="s">
        <v>4275</v>
      </c>
      <c r="D721" s="11" t="n">
        <v>24180</v>
      </c>
      <c r="E721" s="31" t="n">
        <v>39.5</v>
      </c>
      <c r="F721" s="31" t="n">
        <v>24.7</v>
      </c>
      <c r="G721" s="31" t="n">
        <v>81.4</v>
      </c>
      <c r="H721" s="2" t="s">
        <v>822</v>
      </c>
    </row>
    <row r="722" customFormat="false" ht="15" hidden="false" customHeight="false" outlineLevel="0" collapsed="false">
      <c r="A722" s="2" t="s">
        <v>222</v>
      </c>
      <c r="B722" s="2" t="s">
        <v>46</v>
      </c>
      <c r="C722" s="2" t="s">
        <v>4274</v>
      </c>
      <c r="D722" s="11" t="n">
        <v>45940</v>
      </c>
      <c r="E722" s="31" t="n">
        <v>44.8</v>
      </c>
      <c r="F722" s="31" t="n">
        <v>85.8</v>
      </c>
      <c r="G722" s="31" t="n">
        <v>95</v>
      </c>
      <c r="H722" s="2" t="s">
        <v>822</v>
      </c>
    </row>
    <row r="723" customFormat="false" ht="15" hidden="false" customHeight="false" outlineLevel="0" collapsed="false">
      <c r="A723" s="2" t="s">
        <v>222</v>
      </c>
      <c r="B723" s="2" t="s">
        <v>46</v>
      </c>
      <c r="C723" s="2" t="s">
        <v>4275</v>
      </c>
      <c r="D723" s="11" t="n">
        <v>26690</v>
      </c>
      <c r="E723" s="31" t="n">
        <v>80</v>
      </c>
      <c r="F723" s="31" t="n">
        <v>100</v>
      </c>
      <c r="G723" s="31" t="n">
        <v>78.1</v>
      </c>
      <c r="H723" s="2" t="s">
        <v>822</v>
      </c>
    </row>
    <row r="724" customFormat="false" ht="15" hidden="false" customHeight="false" outlineLevel="0" collapsed="false">
      <c r="A724" s="2" t="s">
        <v>222</v>
      </c>
      <c r="B724" s="2" t="s">
        <v>47</v>
      </c>
      <c r="C724" s="2" t="s">
        <v>4274</v>
      </c>
      <c r="D724" s="2"/>
      <c r="E724" s="2"/>
      <c r="F724" s="2"/>
      <c r="G724" s="2"/>
      <c r="H724" s="2" t="s">
        <v>832</v>
      </c>
    </row>
    <row r="725" customFormat="false" ht="15" hidden="false" customHeight="false" outlineLevel="0" collapsed="false">
      <c r="A725" s="2" t="s">
        <v>222</v>
      </c>
      <c r="B725" s="2" t="s">
        <v>47</v>
      </c>
      <c r="C725" s="2" t="s">
        <v>4275</v>
      </c>
      <c r="D725" s="11" t="n">
        <v>96079</v>
      </c>
      <c r="E725" s="31" t="n">
        <v>95.8</v>
      </c>
      <c r="F725" s="31" t="n">
        <v>20.8</v>
      </c>
      <c r="G725" s="31" t="n">
        <v>38</v>
      </c>
      <c r="H725" s="2" t="s">
        <v>822</v>
      </c>
    </row>
    <row r="726" customFormat="false" ht="15" hidden="false" customHeight="false" outlineLevel="0" collapsed="false">
      <c r="A726" s="2" t="s">
        <v>2116</v>
      </c>
      <c r="B726" s="2" t="s">
        <v>4291</v>
      </c>
      <c r="C726" s="2" t="s">
        <v>4274</v>
      </c>
      <c r="D726" s="2"/>
      <c r="E726" s="31" t="n">
        <v>8.6</v>
      </c>
      <c r="F726" s="31" t="n">
        <v>58.8</v>
      </c>
      <c r="G726" s="31" t="n">
        <v>44.4</v>
      </c>
      <c r="H726" s="2" t="s">
        <v>832</v>
      </c>
    </row>
    <row r="727" customFormat="false" ht="15" hidden="false" customHeight="false" outlineLevel="0" collapsed="false">
      <c r="A727" s="2" t="s">
        <v>2116</v>
      </c>
      <c r="B727" s="2" t="s">
        <v>4291</v>
      </c>
      <c r="C727" s="2" t="s">
        <v>4275</v>
      </c>
      <c r="D727" s="2"/>
      <c r="E727" s="31" t="n">
        <v>12.8</v>
      </c>
      <c r="F727" s="31" t="n">
        <v>57</v>
      </c>
      <c r="G727" s="31" t="n">
        <v>45</v>
      </c>
      <c r="H727" s="2" t="s">
        <v>832</v>
      </c>
    </row>
    <row r="728" customFormat="false" ht="15" hidden="false" customHeight="false" outlineLevel="0" collapsed="false">
      <c r="A728" s="2" t="s">
        <v>2116</v>
      </c>
      <c r="B728" s="2" t="s">
        <v>45</v>
      </c>
      <c r="C728" s="2" t="s">
        <v>4274</v>
      </c>
      <c r="D728" s="2"/>
      <c r="E728" s="2"/>
      <c r="F728" s="2"/>
      <c r="G728" s="2"/>
      <c r="H728" s="2" t="s">
        <v>832</v>
      </c>
    </row>
    <row r="729" customFormat="false" ht="15" hidden="false" customHeight="false" outlineLevel="0" collapsed="false">
      <c r="A729" s="2" t="s">
        <v>2116</v>
      </c>
      <c r="B729" s="2" t="s">
        <v>45</v>
      </c>
      <c r="C729" s="2" t="s">
        <v>4275</v>
      </c>
      <c r="D729" s="2"/>
      <c r="E729" s="2"/>
      <c r="F729" s="2"/>
      <c r="G729" s="2"/>
      <c r="H729" s="2" t="s">
        <v>832</v>
      </c>
    </row>
    <row r="730" customFormat="false" ht="15" hidden="false" customHeight="false" outlineLevel="0" collapsed="false">
      <c r="A730" s="2" t="s">
        <v>2116</v>
      </c>
      <c r="B730" s="2" t="s">
        <v>46</v>
      </c>
      <c r="C730" s="2" t="s">
        <v>4274</v>
      </c>
      <c r="D730" s="11" t="n">
        <v>14030</v>
      </c>
      <c r="E730" s="31" t="n">
        <v>8.8</v>
      </c>
      <c r="F730" s="2"/>
      <c r="G730" s="31" t="n">
        <v>85.4</v>
      </c>
      <c r="H730" s="2" t="s">
        <v>832</v>
      </c>
    </row>
    <row r="731" customFormat="false" ht="15" hidden="false" customHeight="false" outlineLevel="0" collapsed="false">
      <c r="A731" s="2" t="s">
        <v>2116</v>
      </c>
      <c r="B731" s="2" t="s">
        <v>46</v>
      </c>
      <c r="C731" s="2" t="s">
        <v>4275</v>
      </c>
      <c r="D731" s="11" t="n">
        <v>14300</v>
      </c>
      <c r="E731" s="31" t="n">
        <v>14.9</v>
      </c>
      <c r="F731" s="31" t="n">
        <v>69.8</v>
      </c>
      <c r="G731" s="31" t="n">
        <v>66.4</v>
      </c>
      <c r="H731" s="2" t="s">
        <v>822</v>
      </c>
    </row>
    <row r="732" customFormat="false" ht="15" hidden="false" customHeight="false" outlineLevel="0" collapsed="false">
      <c r="A732" s="2" t="s">
        <v>2116</v>
      </c>
      <c r="B732" s="2" t="s">
        <v>47</v>
      </c>
      <c r="C732" s="2" t="s">
        <v>4274</v>
      </c>
      <c r="D732" s="11" t="n">
        <v>75394</v>
      </c>
      <c r="E732" s="31" t="n">
        <v>8.5</v>
      </c>
      <c r="F732" s="31" t="n">
        <v>58.8</v>
      </c>
      <c r="G732" s="31" t="n">
        <v>3.5</v>
      </c>
      <c r="H732" s="2" t="s">
        <v>822</v>
      </c>
    </row>
    <row r="733" customFormat="false" ht="15" hidden="false" customHeight="false" outlineLevel="0" collapsed="false">
      <c r="A733" s="2" t="s">
        <v>2116</v>
      </c>
      <c r="B733" s="2" t="s">
        <v>47</v>
      </c>
      <c r="C733" s="2" t="s">
        <v>4275</v>
      </c>
      <c r="D733" s="11" t="n">
        <v>77930</v>
      </c>
      <c r="E733" s="31" t="n">
        <v>10.6</v>
      </c>
      <c r="F733" s="31" t="n">
        <v>44.2</v>
      </c>
      <c r="G733" s="31" t="n">
        <v>23.5</v>
      </c>
      <c r="H733" s="2" t="s">
        <v>822</v>
      </c>
    </row>
    <row r="734" customFormat="false" ht="15" hidden="false" customHeight="false" outlineLevel="0" collapsed="false">
      <c r="A734" s="2" t="s">
        <v>810</v>
      </c>
      <c r="B734" s="2" t="s">
        <v>4291</v>
      </c>
      <c r="C734" s="2" t="s">
        <v>4274</v>
      </c>
      <c r="D734" s="2"/>
      <c r="E734" s="31" t="n">
        <v>0.2</v>
      </c>
      <c r="F734" s="31" t="n">
        <v>34</v>
      </c>
      <c r="G734" s="31" t="n">
        <v>6</v>
      </c>
      <c r="H734" s="2" t="s">
        <v>822</v>
      </c>
    </row>
    <row r="735" customFormat="false" ht="15" hidden="false" customHeight="false" outlineLevel="0" collapsed="false">
      <c r="A735" s="2" t="s">
        <v>810</v>
      </c>
      <c r="B735" s="2" t="s">
        <v>4291</v>
      </c>
      <c r="C735" s="2" t="s">
        <v>4275</v>
      </c>
      <c r="D735" s="2"/>
      <c r="E735" s="31" t="n">
        <v>0.4</v>
      </c>
      <c r="F735" s="31" t="n">
        <v>13.7</v>
      </c>
      <c r="G735" s="31" t="n">
        <v>3.6</v>
      </c>
      <c r="H735" s="2" t="s">
        <v>822</v>
      </c>
    </row>
    <row r="736" customFormat="false" ht="15" hidden="false" customHeight="false" outlineLevel="0" collapsed="false">
      <c r="A736" s="2" t="s">
        <v>810</v>
      </c>
      <c r="B736" s="2" t="s">
        <v>47</v>
      </c>
      <c r="C736" s="2" t="s">
        <v>4274</v>
      </c>
      <c r="D736" s="11" t="n">
        <v>382979</v>
      </c>
      <c r="E736" s="31" t="n">
        <v>0.2</v>
      </c>
      <c r="F736" s="31" t="n">
        <v>34</v>
      </c>
      <c r="G736" s="31" t="n">
        <v>6</v>
      </c>
      <c r="H736" s="2" t="s">
        <v>822</v>
      </c>
    </row>
    <row r="737" customFormat="false" ht="15" hidden="false" customHeight="false" outlineLevel="0" collapsed="false">
      <c r="A737" s="2" t="s">
        <v>810</v>
      </c>
      <c r="B737" s="2" t="s">
        <v>47</v>
      </c>
      <c r="C737" s="2" t="s">
        <v>4275</v>
      </c>
      <c r="D737" s="11" t="n">
        <v>383499</v>
      </c>
      <c r="E737" s="31" t="n">
        <v>0.4</v>
      </c>
      <c r="F737" s="31" t="n">
        <v>13.7</v>
      </c>
      <c r="G737" s="31" t="n">
        <v>3.6</v>
      </c>
      <c r="H737" s="2" t="s">
        <v>822</v>
      </c>
    </row>
    <row r="738" customFormat="false" ht="15" hidden="false" customHeight="false" outlineLevel="0" collapsed="false">
      <c r="A738" s="2" t="s">
        <v>756</v>
      </c>
      <c r="B738" s="2" t="s">
        <v>4291</v>
      </c>
      <c r="C738" s="2" t="s">
        <v>4274</v>
      </c>
      <c r="D738" s="2"/>
      <c r="E738" s="31" t="n">
        <v>29.8</v>
      </c>
      <c r="F738" s="31" t="n">
        <v>71.2</v>
      </c>
      <c r="G738" s="31" t="n">
        <v>8.5</v>
      </c>
      <c r="H738" s="2" t="s">
        <v>832</v>
      </c>
    </row>
    <row r="739" customFormat="false" ht="15" hidden="false" customHeight="false" outlineLevel="0" collapsed="false">
      <c r="A739" s="2" t="s">
        <v>756</v>
      </c>
      <c r="B739" s="2" t="s">
        <v>4291</v>
      </c>
      <c r="C739" s="2" t="s">
        <v>4275</v>
      </c>
      <c r="D739" s="2"/>
      <c r="E739" s="31" t="n">
        <v>19.6</v>
      </c>
      <c r="F739" s="31" t="n">
        <v>36.9</v>
      </c>
      <c r="G739" s="31" t="n">
        <v>57</v>
      </c>
      <c r="H739" s="2" t="s">
        <v>822</v>
      </c>
    </row>
    <row r="740" customFormat="false" ht="15" hidden="false" customHeight="false" outlineLevel="0" collapsed="false">
      <c r="A740" s="2" t="s">
        <v>756</v>
      </c>
      <c r="B740" s="2" t="s">
        <v>45</v>
      </c>
      <c r="C740" s="2" t="s">
        <v>4274</v>
      </c>
      <c r="D740" s="11" t="n">
        <v>680285</v>
      </c>
      <c r="E740" s="31" t="n">
        <v>48.4</v>
      </c>
      <c r="F740" s="31" t="n">
        <v>59.6</v>
      </c>
      <c r="G740" s="2"/>
      <c r="H740" s="2" t="s">
        <v>832</v>
      </c>
    </row>
    <row r="741" customFormat="false" ht="15" hidden="false" customHeight="false" outlineLevel="0" collapsed="false">
      <c r="A741" s="2" t="s">
        <v>756</v>
      </c>
      <c r="B741" s="2" t="s">
        <v>45</v>
      </c>
      <c r="C741" s="2" t="s">
        <v>4275</v>
      </c>
      <c r="D741" s="11" t="n">
        <v>699880</v>
      </c>
      <c r="E741" s="31" t="n">
        <v>31.9</v>
      </c>
      <c r="F741" s="31" t="n">
        <v>30</v>
      </c>
      <c r="G741" s="31" t="n">
        <v>77.9</v>
      </c>
      <c r="H741" s="2" t="s">
        <v>822</v>
      </c>
    </row>
    <row r="742" customFormat="false" ht="15" hidden="false" customHeight="false" outlineLevel="0" collapsed="false">
      <c r="A742" s="2" t="s">
        <v>756</v>
      </c>
      <c r="B742" s="2" t="s">
        <v>47</v>
      </c>
      <c r="C742" s="2" t="s">
        <v>4274</v>
      </c>
      <c r="D742" s="11" t="n">
        <v>57928</v>
      </c>
      <c r="E742" s="31" t="n">
        <v>11.1</v>
      </c>
      <c r="F742" s="31" t="n">
        <v>82.7</v>
      </c>
      <c r="G742" s="31" t="n">
        <v>8.5</v>
      </c>
      <c r="H742" s="2" t="s">
        <v>822</v>
      </c>
    </row>
    <row r="743" customFormat="false" ht="15" hidden="false" customHeight="false" outlineLevel="0" collapsed="false">
      <c r="A743" s="2" t="s">
        <v>756</v>
      </c>
      <c r="B743" s="2" t="s">
        <v>47</v>
      </c>
      <c r="C743" s="2" t="s">
        <v>4275</v>
      </c>
      <c r="D743" s="11" t="n">
        <v>61300</v>
      </c>
      <c r="E743" s="31" t="n">
        <v>7.2</v>
      </c>
      <c r="F743" s="31" t="n">
        <v>43.8</v>
      </c>
      <c r="G743" s="31" t="n">
        <v>36</v>
      </c>
      <c r="H743" s="2" t="s">
        <v>822</v>
      </c>
    </row>
    <row r="744" customFormat="false" ht="15" hidden="false" customHeight="false" outlineLevel="0" collapsed="false">
      <c r="A744" s="2" t="s">
        <v>2961</v>
      </c>
      <c r="B744" s="2" t="s">
        <v>4291</v>
      </c>
      <c r="C744" s="2" t="s">
        <v>4274</v>
      </c>
      <c r="D744" s="2"/>
      <c r="E744" s="31" t="n">
        <v>52.4</v>
      </c>
      <c r="F744" s="31" t="n">
        <v>53.1</v>
      </c>
      <c r="G744" s="31" t="n">
        <v>60.6</v>
      </c>
      <c r="H744" s="2" t="s">
        <v>832</v>
      </c>
    </row>
    <row r="745" customFormat="false" ht="15" hidden="false" customHeight="false" outlineLevel="0" collapsed="false">
      <c r="A745" s="2" t="s">
        <v>2961</v>
      </c>
      <c r="B745" s="2" t="s">
        <v>4291</v>
      </c>
      <c r="C745" s="2" t="s">
        <v>4275</v>
      </c>
      <c r="D745" s="2"/>
      <c r="E745" s="31" t="n">
        <v>73.6</v>
      </c>
      <c r="F745" s="31" t="n">
        <v>100</v>
      </c>
      <c r="G745" s="31" t="n">
        <v>63.6</v>
      </c>
      <c r="H745" s="2" t="s">
        <v>832</v>
      </c>
    </row>
    <row r="746" customFormat="false" ht="15" hidden="false" customHeight="false" outlineLevel="0" collapsed="false">
      <c r="A746" s="2" t="s">
        <v>2961</v>
      </c>
      <c r="B746" s="2" t="s">
        <v>45</v>
      </c>
      <c r="C746" s="2" t="s">
        <v>4274</v>
      </c>
      <c r="D746" s="2"/>
      <c r="E746" s="2"/>
      <c r="F746" s="2"/>
      <c r="G746" s="2"/>
      <c r="H746" s="2" t="s">
        <v>832</v>
      </c>
    </row>
    <row r="747" customFormat="false" ht="15" hidden="false" customHeight="false" outlineLevel="0" collapsed="false">
      <c r="A747" s="2" t="s">
        <v>2961</v>
      </c>
      <c r="B747" s="2" t="s">
        <v>45</v>
      </c>
      <c r="C747" s="2" t="s">
        <v>4275</v>
      </c>
      <c r="D747" s="11" t="n">
        <v>28550</v>
      </c>
      <c r="E747" s="31" t="n">
        <v>51.4</v>
      </c>
      <c r="F747" s="2"/>
      <c r="G747" s="31" t="n">
        <v>63.6</v>
      </c>
      <c r="H747" s="2" t="s">
        <v>832</v>
      </c>
    </row>
    <row r="748" customFormat="false" ht="15" hidden="false" customHeight="false" outlineLevel="0" collapsed="false">
      <c r="A748" s="2" t="s">
        <v>2961</v>
      </c>
      <c r="B748" s="2" t="s">
        <v>46</v>
      </c>
      <c r="C748" s="2" t="s">
        <v>4274</v>
      </c>
      <c r="D748" s="11" t="n">
        <v>2554</v>
      </c>
      <c r="E748" s="31" t="n">
        <v>95.5</v>
      </c>
      <c r="F748" s="31" t="n">
        <v>100</v>
      </c>
      <c r="G748" s="31" t="n">
        <v>62.8</v>
      </c>
      <c r="H748" s="2" t="s">
        <v>822</v>
      </c>
    </row>
    <row r="749" customFormat="false" ht="15" hidden="false" customHeight="false" outlineLevel="0" collapsed="false">
      <c r="A749" s="2" t="s">
        <v>2961</v>
      </c>
      <c r="B749" s="2" t="s">
        <v>46</v>
      </c>
      <c r="C749" s="2" t="s">
        <v>4275</v>
      </c>
      <c r="D749" s="11" t="n">
        <v>2662</v>
      </c>
      <c r="E749" s="31" t="n">
        <v>95.9</v>
      </c>
      <c r="F749" s="31" t="n">
        <v>100</v>
      </c>
      <c r="G749" s="2"/>
      <c r="H749" s="2" t="s">
        <v>832</v>
      </c>
    </row>
    <row r="750" customFormat="false" ht="15" hidden="false" customHeight="false" outlineLevel="0" collapsed="false">
      <c r="A750" s="2" t="s">
        <v>2961</v>
      </c>
      <c r="B750" s="2" t="s">
        <v>47</v>
      </c>
      <c r="C750" s="2" t="s">
        <v>4274</v>
      </c>
      <c r="D750" s="11" t="n">
        <v>22162</v>
      </c>
      <c r="E750" s="31" t="n">
        <v>9.3</v>
      </c>
      <c r="F750" s="31" t="n">
        <v>6.2</v>
      </c>
      <c r="G750" s="31" t="n">
        <v>58.4</v>
      </c>
      <c r="H750" s="2" t="s">
        <v>822</v>
      </c>
    </row>
    <row r="751" customFormat="false" ht="15" hidden="false" customHeight="false" outlineLevel="0" collapsed="false">
      <c r="A751" s="2" t="s">
        <v>2961</v>
      </c>
      <c r="B751" s="2" t="s">
        <v>47</v>
      </c>
      <c r="C751" s="2" t="s">
        <v>4275</v>
      </c>
      <c r="D751" s="2"/>
      <c r="E751" s="2"/>
      <c r="F751" s="2"/>
      <c r="G751" s="2"/>
      <c r="H751" s="2" t="s">
        <v>832</v>
      </c>
    </row>
    <row r="752" customFormat="false" ht="15" hidden="false" customHeight="false" outlineLevel="0" collapsed="false">
      <c r="A752" s="2" t="s">
        <v>456</v>
      </c>
      <c r="B752" s="2" t="s">
        <v>4291</v>
      </c>
      <c r="C752" s="2" t="s">
        <v>4274</v>
      </c>
      <c r="D752" s="2"/>
      <c r="E752" s="31" t="n">
        <v>65</v>
      </c>
      <c r="F752" s="31" t="n">
        <v>38.8</v>
      </c>
      <c r="G752" s="31" t="n">
        <v>50.2</v>
      </c>
      <c r="H752" s="2" t="s">
        <v>832</v>
      </c>
    </row>
    <row r="753" customFormat="false" ht="15" hidden="false" customHeight="false" outlineLevel="0" collapsed="false">
      <c r="A753" s="2" t="s">
        <v>456</v>
      </c>
      <c r="B753" s="2" t="s">
        <v>4291</v>
      </c>
      <c r="C753" s="2" t="s">
        <v>4275</v>
      </c>
      <c r="D753" s="2"/>
      <c r="E753" s="31" t="n">
        <v>51.7</v>
      </c>
      <c r="F753" s="31" t="n">
        <v>21.3</v>
      </c>
      <c r="G753" s="31" t="n">
        <v>21.1</v>
      </c>
      <c r="H753" s="2" t="s">
        <v>822</v>
      </c>
    </row>
    <row r="754" customFormat="false" ht="15" hidden="false" customHeight="false" outlineLevel="0" collapsed="false">
      <c r="A754" s="2" t="s">
        <v>456</v>
      </c>
      <c r="B754" s="2" t="s">
        <v>45</v>
      </c>
      <c r="C754" s="2" t="s">
        <v>4274</v>
      </c>
      <c r="D754" s="11" t="n">
        <v>39860</v>
      </c>
      <c r="E754" s="31" t="n">
        <v>34.8</v>
      </c>
      <c r="F754" s="31" t="n">
        <v>37.2</v>
      </c>
      <c r="G754" s="31" t="n">
        <v>90.5</v>
      </c>
      <c r="H754" s="2" t="s">
        <v>822</v>
      </c>
    </row>
    <row r="755" customFormat="false" ht="15" hidden="false" customHeight="false" outlineLevel="0" collapsed="false">
      <c r="A755" s="2" t="s">
        <v>456</v>
      </c>
      <c r="B755" s="2" t="s">
        <v>45</v>
      </c>
      <c r="C755" s="2" t="s">
        <v>4275</v>
      </c>
      <c r="D755" s="11" t="n">
        <v>41320</v>
      </c>
      <c r="E755" s="31" t="n">
        <v>34</v>
      </c>
      <c r="F755" s="31" t="n">
        <v>15.8</v>
      </c>
      <c r="G755" s="31" t="n">
        <v>41</v>
      </c>
      <c r="H755" s="2" t="s">
        <v>822</v>
      </c>
    </row>
    <row r="756" customFormat="false" ht="15" hidden="false" customHeight="false" outlineLevel="0" collapsed="false">
      <c r="A756" s="2" t="s">
        <v>456</v>
      </c>
      <c r="B756" s="2" t="s">
        <v>46</v>
      </c>
      <c r="C756" s="2" t="s">
        <v>4274</v>
      </c>
      <c r="D756" s="2"/>
      <c r="E756" s="2"/>
      <c r="F756" s="2"/>
      <c r="G756" s="2"/>
      <c r="H756" s="2" t="s">
        <v>832</v>
      </c>
    </row>
    <row r="757" customFormat="false" ht="15" hidden="false" customHeight="false" outlineLevel="0" collapsed="false">
      <c r="A757" s="2" t="s">
        <v>456</v>
      </c>
      <c r="B757" s="2" t="s">
        <v>46</v>
      </c>
      <c r="C757" s="2" t="s">
        <v>4275</v>
      </c>
      <c r="D757" s="11" t="n">
        <v>26410</v>
      </c>
      <c r="E757" s="31" t="n">
        <v>24</v>
      </c>
      <c r="F757" s="31" t="n">
        <v>2.2</v>
      </c>
      <c r="G757" s="31" t="n">
        <v>7.7</v>
      </c>
      <c r="H757" s="2" t="s">
        <v>822</v>
      </c>
    </row>
    <row r="758" customFormat="false" ht="15" hidden="false" customHeight="false" outlineLevel="0" collapsed="false">
      <c r="A758" s="2" t="s">
        <v>456</v>
      </c>
      <c r="B758" s="2" t="s">
        <v>47</v>
      </c>
      <c r="C758" s="2" t="s">
        <v>4274</v>
      </c>
      <c r="D758" s="11" t="n">
        <v>13093</v>
      </c>
      <c r="E758" s="31" t="n">
        <v>95.3</v>
      </c>
      <c r="F758" s="31" t="n">
        <v>40.5</v>
      </c>
      <c r="G758" s="31" t="n">
        <v>9.9</v>
      </c>
      <c r="H758" s="2" t="s">
        <v>822</v>
      </c>
    </row>
    <row r="759" customFormat="false" ht="15" hidden="false" customHeight="false" outlineLevel="0" collapsed="false">
      <c r="A759" s="2" t="s">
        <v>456</v>
      </c>
      <c r="B759" s="2" t="s">
        <v>47</v>
      </c>
      <c r="C759" s="2" t="s">
        <v>4275</v>
      </c>
      <c r="D759" s="11" t="n">
        <v>13935</v>
      </c>
      <c r="E759" s="31" t="n">
        <v>97.2</v>
      </c>
      <c r="F759" s="31" t="n">
        <v>45.8</v>
      </c>
      <c r="G759" s="31" t="n">
        <v>14.5</v>
      </c>
      <c r="H759" s="2" t="s">
        <v>822</v>
      </c>
    </row>
    <row r="760" customFormat="false" ht="15" hidden="false" customHeight="false" outlineLevel="0" collapsed="false">
      <c r="A760" s="2" t="s">
        <v>1374</v>
      </c>
      <c r="B760" s="2" t="s">
        <v>4291</v>
      </c>
      <c r="C760" s="2" t="s">
        <v>4274</v>
      </c>
      <c r="D760" s="2"/>
      <c r="E760" s="31" t="n">
        <v>19.6</v>
      </c>
      <c r="F760" s="31" t="n">
        <v>72.6</v>
      </c>
      <c r="G760" s="31" t="n">
        <v>45.8</v>
      </c>
      <c r="H760" s="2" t="s">
        <v>832</v>
      </c>
    </row>
    <row r="761" customFormat="false" ht="15" hidden="false" customHeight="false" outlineLevel="0" collapsed="false">
      <c r="A761" s="2" t="s">
        <v>1374</v>
      </c>
      <c r="B761" s="2" t="s">
        <v>4291</v>
      </c>
      <c r="C761" s="2" t="s">
        <v>4275</v>
      </c>
      <c r="D761" s="2"/>
      <c r="E761" s="31" t="n">
        <v>32.9</v>
      </c>
      <c r="F761" s="31" t="n">
        <v>27.8</v>
      </c>
      <c r="G761" s="31" t="n">
        <v>55.2</v>
      </c>
      <c r="H761" s="2" t="s">
        <v>832</v>
      </c>
    </row>
    <row r="762" customFormat="false" ht="15" hidden="false" customHeight="false" outlineLevel="0" collapsed="false">
      <c r="A762" s="2" t="s">
        <v>1374</v>
      </c>
      <c r="B762" s="2" t="s">
        <v>45</v>
      </c>
      <c r="C762" s="2" t="s">
        <v>4274</v>
      </c>
      <c r="D762" s="11" t="n">
        <v>8923</v>
      </c>
      <c r="E762" s="31" t="n">
        <v>36.9</v>
      </c>
      <c r="F762" s="31" t="n">
        <v>72.6</v>
      </c>
      <c r="G762" s="31" t="n">
        <v>10.2</v>
      </c>
      <c r="H762" s="2" t="s">
        <v>822</v>
      </c>
    </row>
    <row r="763" customFormat="false" ht="15" hidden="false" customHeight="false" outlineLevel="0" collapsed="false">
      <c r="A763" s="2" t="s">
        <v>1374</v>
      </c>
      <c r="B763" s="2" t="s">
        <v>45</v>
      </c>
      <c r="C763" s="2" t="s">
        <v>4275</v>
      </c>
      <c r="D763" s="11" t="n">
        <v>9240</v>
      </c>
      <c r="E763" s="31" t="n">
        <v>32.3</v>
      </c>
      <c r="F763" s="31" t="n">
        <v>64.8</v>
      </c>
      <c r="G763" s="31" t="n">
        <v>19.6</v>
      </c>
      <c r="H763" s="2" t="s">
        <v>822</v>
      </c>
    </row>
    <row r="764" customFormat="false" ht="15" hidden="false" customHeight="false" outlineLevel="0" collapsed="false">
      <c r="A764" s="2" t="s">
        <v>1374</v>
      </c>
      <c r="B764" s="2" t="s">
        <v>46</v>
      </c>
      <c r="C764" s="2" t="s">
        <v>4274</v>
      </c>
      <c r="D764" s="2"/>
      <c r="E764" s="2"/>
      <c r="F764" s="2"/>
      <c r="G764" s="2"/>
      <c r="H764" s="2" t="s">
        <v>832</v>
      </c>
    </row>
    <row r="765" customFormat="false" ht="15" hidden="false" customHeight="false" outlineLevel="0" collapsed="false">
      <c r="A765" s="2" t="s">
        <v>1374</v>
      </c>
      <c r="B765" s="2" t="s">
        <v>46</v>
      </c>
      <c r="C765" s="2" t="s">
        <v>4275</v>
      </c>
      <c r="D765" s="11" t="n">
        <v>4910</v>
      </c>
      <c r="E765" s="31" t="n">
        <v>63.7</v>
      </c>
      <c r="F765" s="31" t="n">
        <v>1.9</v>
      </c>
      <c r="G765" s="2"/>
      <c r="H765" s="2" t="s">
        <v>832</v>
      </c>
    </row>
    <row r="766" customFormat="false" ht="15" hidden="false" customHeight="false" outlineLevel="0" collapsed="false">
      <c r="A766" s="2" t="s">
        <v>1374</v>
      </c>
      <c r="B766" s="2" t="s">
        <v>47</v>
      </c>
      <c r="C766" s="2" t="s">
        <v>4274</v>
      </c>
      <c r="D766" s="11" t="n">
        <v>29140</v>
      </c>
      <c r="E766" s="31" t="n">
        <v>2.2</v>
      </c>
      <c r="F766" s="2"/>
      <c r="G766" s="31" t="n">
        <v>81.5</v>
      </c>
      <c r="H766" s="2" t="s">
        <v>832</v>
      </c>
    </row>
    <row r="767" customFormat="false" ht="15" hidden="false" customHeight="false" outlineLevel="0" collapsed="false">
      <c r="A767" s="2" t="s">
        <v>1374</v>
      </c>
      <c r="B767" s="2" t="s">
        <v>47</v>
      </c>
      <c r="C767" s="2" t="s">
        <v>4275</v>
      </c>
      <c r="D767" s="11" t="n">
        <v>28985</v>
      </c>
      <c r="E767" s="31" t="n">
        <v>2.6</v>
      </c>
      <c r="F767" s="31" t="n">
        <v>16.6</v>
      </c>
      <c r="G767" s="31" t="n">
        <v>90.9</v>
      </c>
      <c r="H767" s="2" t="s">
        <v>822</v>
      </c>
    </row>
    <row r="768" customFormat="false" ht="15" hidden="false" customHeight="false" outlineLevel="0" collapsed="false">
      <c r="A768" s="2" t="s">
        <v>834</v>
      </c>
      <c r="B768" s="2" t="s">
        <v>4291</v>
      </c>
      <c r="C768" s="2" t="s">
        <v>4274</v>
      </c>
      <c r="D768" s="2"/>
      <c r="E768" s="31" t="n">
        <v>54.2</v>
      </c>
      <c r="F768" s="31" t="n">
        <v>69.9</v>
      </c>
      <c r="G768" s="31" t="n">
        <v>7.3</v>
      </c>
      <c r="H768" s="2" t="s">
        <v>832</v>
      </c>
    </row>
    <row r="769" customFormat="false" ht="15" hidden="false" customHeight="false" outlineLevel="0" collapsed="false">
      <c r="A769" s="2" t="s">
        <v>834</v>
      </c>
      <c r="B769" s="2" t="s">
        <v>4291</v>
      </c>
      <c r="C769" s="2" t="s">
        <v>4275</v>
      </c>
      <c r="D769" s="2"/>
      <c r="E769" s="31" t="n">
        <v>61.9</v>
      </c>
      <c r="F769" s="31" t="n">
        <v>60.6</v>
      </c>
      <c r="G769" s="31" t="n">
        <v>64.4</v>
      </c>
      <c r="H769" s="2" t="s">
        <v>832</v>
      </c>
    </row>
    <row r="770" customFormat="false" ht="15" hidden="false" customHeight="false" outlineLevel="0" collapsed="false">
      <c r="A770" s="2" t="s">
        <v>834</v>
      </c>
      <c r="B770" s="2" t="s">
        <v>45</v>
      </c>
      <c r="C770" s="2" t="s">
        <v>4274</v>
      </c>
      <c r="D770" s="2"/>
      <c r="E770" s="2"/>
      <c r="F770" s="2"/>
      <c r="G770" s="2"/>
      <c r="H770" s="2" t="s">
        <v>832</v>
      </c>
    </row>
    <row r="771" customFormat="false" ht="15" hidden="false" customHeight="false" outlineLevel="0" collapsed="false">
      <c r="A771" s="2" t="s">
        <v>834</v>
      </c>
      <c r="B771" s="2" t="s">
        <v>45</v>
      </c>
      <c r="C771" s="2" t="s">
        <v>4275</v>
      </c>
      <c r="D771" s="11" t="n">
        <v>174450</v>
      </c>
      <c r="E771" s="31" t="n">
        <v>98.9</v>
      </c>
      <c r="F771" s="31" t="n">
        <v>95.7</v>
      </c>
      <c r="G771" s="31" t="n">
        <v>31.9</v>
      </c>
      <c r="H771" s="2" t="s">
        <v>822</v>
      </c>
    </row>
    <row r="772" customFormat="false" ht="15" hidden="false" customHeight="false" outlineLevel="0" collapsed="false">
      <c r="A772" s="2" t="s">
        <v>834</v>
      </c>
      <c r="B772" s="2" t="s">
        <v>46</v>
      </c>
      <c r="C772" s="2" t="s">
        <v>4274</v>
      </c>
      <c r="D772" s="11" t="n">
        <v>114960</v>
      </c>
      <c r="E772" s="31" t="n">
        <v>54.2</v>
      </c>
      <c r="F772" s="31" t="n">
        <v>69.9</v>
      </c>
      <c r="G772" s="31" t="n">
        <v>7.3</v>
      </c>
      <c r="H772" s="2" t="s">
        <v>822</v>
      </c>
    </row>
    <row r="773" customFormat="false" ht="15" hidden="false" customHeight="false" outlineLevel="0" collapsed="false">
      <c r="A773" s="2" t="s">
        <v>834</v>
      </c>
      <c r="B773" s="2" t="s">
        <v>46</v>
      </c>
      <c r="C773" s="2" t="s">
        <v>4275</v>
      </c>
      <c r="D773" s="11" t="n">
        <v>116990</v>
      </c>
      <c r="E773" s="2"/>
      <c r="F773" s="2"/>
      <c r="G773" s="2"/>
      <c r="H773" s="2" t="s">
        <v>832</v>
      </c>
    </row>
    <row r="774" customFormat="false" ht="15" hidden="false" customHeight="false" outlineLevel="0" collapsed="false">
      <c r="A774" s="2" t="s">
        <v>834</v>
      </c>
      <c r="B774" s="2" t="s">
        <v>47</v>
      </c>
      <c r="C774" s="2" t="s">
        <v>4274</v>
      </c>
      <c r="D774" s="2"/>
      <c r="E774" s="2"/>
      <c r="F774" s="2"/>
      <c r="G774" s="2"/>
      <c r="H774" s="2" t="s">
        <v>832</v>
      </c>
    </row>
    <row r="775" customFormat="false" ht="15" hidden="false" customHeight="false" outlineLevel="0" collapsed="false">
      <c r="A775" s="2" t="s">
        <v>834</v>
      </c>
      <c r="B775" s="2" t="s">
        <v>47</v>
      </c>
      <c r="C775" s="2" t="s">
        <v>4275</v>
      </c>
      <c r="D775" s="11" t="n">
        <v>57055</v>
      </c>
      <c r="E775" s="31" t="n">
        <v>24.9</v>
      </c>
      <c r="F775" s="31" t="n">
        <v>25.6</v>
      </c>
      <c r="G775" s="31" t="n">
        <v>97</v>
      </c>
      <c r="H775" s="2" t="s">
        <v>822</v>
      </c>
    </row>
    <row r="776" customFormat="false" ht="15" hidden="false" customHeight="false" outlineLevel="0" collapsed="false">
      <c r="A776" s="2" t="s">
        <v>2966</v>
      </c>
      <c r="B776" s="2" t="s">
        <v>4291</v>
      </c>
      <c r="C776" s="2" t="s">
        <v>4274</v>
      </c>
      <c r="D776" s="2"/>
      <c r="E776" s="31" t="n">
        <v>38.4</v>
      </c>
      <c r="F776" s="31" t="n">
        <v>24.2</v>
      </c>
      <c r="G776" s="31" t="n">
        <v>7.8</v>
      </c>
      <c r="H776" s="2" t="s">
        <v>822</v>
      </c>
    </row>
    <row r="777" customFormat="false" ht="15" hidden="false" customHeight="false" outlineLevel="0" collapsed="false">
      <c r="A777" s="2" t="s">
        <v>2966</v>
      </c>
      <c r="B777" s="2" t="s">
        <v>4291</v>
      </c>
      <c r="C777" s="2" t="s">
        <v>4275</v>
      </c>
      <c r="D777" s="2"/>
      <c r="E777" s="2"/>
      <c r="F777" s="2"/>
      <c r="G777" s="31" t="n">
        <v>13.3</v>
      </c>
      <c r="H777" s="2" t="s">
        <v>832</v>
      </c>
    </row>
    <row r="778" customFormat="false" ht="15" hidden="false" customHeight="false" outlineLevel="0" collapsed="false">
      <c r="A778" s="2" t="s">
        <v>2966</v>
      </c>
      <c r="B778" s="2" t="s">
        <v>45</v>
      </c>
      <c r="C778" s="2" t="s">
        <v>4274</v>
      </c>
      <c r="D778" s="11" t="n">
        <v>3380</v>
      </c>
      <c r="E778" s="31" t="n">
        <v>38.4</v>
      </c>
      <c r="F778" s="31" t="n">
        <v>24.2</v>
      </c>
      <c r="G778" s="31" t="n">
        <v>7.8</v>
      </c>
      <c r="H778" s="2" t="s">
        <v>822</v>
      </c>
    </row>
    <row r="779" customFormat="false" ht="15" hidden="false" customHeight="false" outlineLevel="0" collapsed="false">
      <c r="A779" s="2" t="s">
        <v>2966</v>
      </c>
      <c r="B779" s="2" t="s">
        <v>45</v>
      </c>
      <c r="C779" s="2" t="s">
        <v>4275</v>
      </c>
      <c r="D779" s="2"/>
      <c r="E779" s="2"/>
      <c r="F779" s="2"/>
      <c r="G779" s="31" t="n">
        <v>13.3</v>
      </c>
      <c r="H779" s="2" t="s">
        <v>832</v>
      </c>
    </row>
    <row r="780" customFormat="false" ht="15" hidden="false" customHeight="false" outlineLevel="0" collapsed="false">
      <c r="A780" s="2" t="s">
        <v>129</v>
      </c>
      <c r="B780" s="2" t="s">
        <v>4291</v>
      </c>
      <c r="C780" s="2" t="s">
        <v>4274</v>
      </c>
      <c r="D780" s="2"/>
      <c r="E780" s="2"/>
      <c r="F780" s="2"/>
      <c r="G780" s="2"/>
      <c r="H780" s="2" t="s">
        <v>832</v>
      </c>
    </row>
    <row r="781" customFormat="false" ht="15" hidden="false" customHeight="false" outlineLevel="0" collapsed="false">
      <c r="A781" s="2" t="s">
        <v>129</v>
      </c>
      <c r="B781" s="2" t="s">
        <v>4291</v>
      </c>
      <c r="C781" s="2" t="s">
        <v>4275</v>
      </c>
      <c r="D781" s="2"/>
      <c r="E781" s="31" t="n">
        <v>87.7</v>
      </c>
      <c r="F781" s="31" t="n">
        <v>44.5</v>
      </c>
      <c r="G781" s="31" t="n">
        <v>85.1</v>
      </c>
      <c r="H781" s="2" t="s">
        <v>822</v>
      </c>
    </row>
    <row r="782" customFormat="false" ht="15" hidden="false" customHeight="false" outlineLevel="0" collapsed="false">
      <c r="A782" s="2" t="s">
        <v>129</v>
      </c>
      <c r="B782" s="2" t="s">
        <v>47</v>
      </c>
      <c r="C782" s="2" t="s">
        <v>4274</v>
      </c>
      <c r="D782" s="2"/>
      <c r="E782" s="2"/>
      <c r="F782" s="2"/>
      <c r="G782" s="2"/>
      <c r="H782" s="2" t="s">
        <v>832</v>
      </c>
    </row>
    <row r="783" customFormat="false" ht="15" hidden="false" customHeight="false" outlineLevel="0" collapsed="false">
      <c r="A783" s="2" t="s">
        <v>129</v>
      </c>
      <c r="B783" s="2" t="s">
        <v>47</v>
      </c>
      <c r="C783" s="2" t="s">
        <v>4275</v>
      </c>
      <c r="D783" s="11" t="n">
        <v>53974</v>
      </c>
      <c r="E783" s="31" t="n">
        <v>87.7</v>
      </c>
      <c r="F783" s="31" t="n">
        <v>44.5</v>
      </c>
      <c r="G783" s="31" t="n">
        <v>85.1</v>
      </c>
      <c r="H783" s="2" t="s">
        <v>822</v>
      </c>
    </row>
    <row r="784" customFormat="false" ht="15" hidden="false" customHeight="false" outlineLevel="0" collapsed="false">
      <c r="A784" s="2" t="s">
        <v>798</v>
      </c>
      <c r="B784" s="2" t="s">
        <v>4291</v>
      </c>
      <c r="C784" s="2" t="s">
        <v>4274</v>
      </c>
      <c r="D784" s="2"/>
      <c r="E784" s="31" t="n">
        <v>13.2</v>
      </c>
      <c r="F784" s="31" t="n">
        <v>60.9</v>
      </c>
      <c r="G784" s="2"/>
      <c r="H784" s="2" t="s">
        <v>822</v>
      </c>
    </row>
    <row r="785" customFormat="false" ht="15" hidden="false" customHeight="false" outlineLevel="0" collapsed="false">
      <c r="A785" s="2" t="s">
        <v>798</v>
      </c>
      <c r="B785" s="2" t="s">
        <v>4291</v>
      </c>
      <c r="C785" s="2" t="s">
        <v>4275</v>
      </c>
      <c r="D785" s="2"/>
      <c r="E785" s="31" t="n">
        <v>10.4</v>
      </c>
      <c r="F785" s="31" t="n">
        <v>49.5</v>
      </c>
      <c r="G785" s="2"/>
      <c r="H785" s="2" t="s">
        <v>822</v>
      </c>
    </row>
    <row r="786" customFormat="false" ht="15" hidden="false" customHeight="false" outlineLevel="0" collapsed="false">
      <c r="A786" s="2" t="s">
        <v>798</v>
      </c>
      <c r="B786" s="2" t="s">
        <v>45</v>
      </c>
      <c r="C786" s="2" t="s">
        <v>4274</v>
      </c>
      <c r="D786" s="11" t="n">
        <v>36410</v>
      </c>
      <c r="E786" s="31" t="n">
        <v>13.2</v>
      </c>
      <c r="F786" s="31" t="n">
        <v>60.9</v>
      </c>
      <c r="G786" s="2"/>
      <c r="H786" s="2" t="s">
        <v>822</v>
      </c>
    </row>
    <row r="787" customFormat="false" ht="15" hidden="false" customHeight="false" outlineLevel="0" collapsed="false">
      <c r="A787" s="2" t="s">
        <v>798</v>
      </c>
      <c r="B787" s="2" t="s">
        <v>45</v>
      </c>
      <c r="C787" s="2" t="s">
        <v>4275</v>
      </c>
      <c r="D787" s="11" t="n">
        <v>36450</v>
      </c>
      <c r="E787" s="31" t="n">
        <v>10.4</v>
      </c>
      <c r="F787" s="31" t="n">
        <v>49.5</v>
      </c>
      <c r="G787" s="2"/>
      <c r="H787" s="2" t="s">
        <v>822</v>
      </c>
    </row>
    <row r="788" customFormat="false" ht="15" hidden="false" customHeight="false" outlineLevel="0" collapsed="false">
      <c r="A788" s="2" t="s">
        <v>2446</v>
      </c>
      <c r="B788" s="2" t="s">
        <v>4291</v>
      </c>
      <c r="C788" s="2" t="s">
        <v>4274</v>
      </c>
      <c r="D788" s="2"/>
      <c r="E788" s="31" t="n">
        <v>46.2</v>
      </c>
      <c r="F788" s="31" t="n">
        <v>41</v>
      </c>
      <c r="G788" s="31" t="n">
        <v>41.6</v>
      </c>
      <c r="H788" s="2" t="s">
        <v>832</v>
      </c>
    </row>
    <row r="789" customFormat="false" ht="15" hidden="false" customHeight="false" outlineLevel="0" collapsed="false">
      <c r="A789" s="2" t="s">
        <v>2446</v>
      </c>
      <c r="B789" s="2" t="s">
        <v>4291</v>
      </c>
      <c r="C789" s="2" t="s">
        <v>4275</v>
      </c>
      <c r="D789" s="2"/>
      <c r="E789" s="31" t="n">
        <v>32.4</v>
      </c>
      <c r="F789" s="31" t="n">
        <v>31.4</v>
      </c>
      <c r="G789" s="31" t="n">
        <v>64.5</v>
      </c>
      <c r="H789" s="2" t="s">
        <v>832</v>
      </c>
    </row>
    <row r="790" customFormat="false" ht="15" hidden="false" customHeight="false" outlineLevel="0" collapsed="false">
      <c r="A790" s="2" t="s">
        <v>2446</v>
      </c>
      <c r="B790" s="2" t="s">
        <v>45</v>
      </c>
      <c r="C790" s="2" t="s">
        <v>4274</v>
      </c>
      <c r="D790" s="2"/>
      <c r="E790" s="2"/>
      <c r="F790" s="2"/>
      <c r="G790" s="2"/>
      <c r="H790" s="2" t="s">
        <v>832</v>
      </c>
    </row>
    <row r="791" customFormat="false" ht="15" hidden="false" customHeight="false" outlineLevel="0" collapsed="false">
      <c r="A791" s="2" t="s">
        <v>2446</v>
      </c>
      <c r="B791" s="2" t="s">
        <v>45</v>
      </c>
      <c r="C791" s="2" t="s">
        <v>4275</v>
      </c>
      <c r="D791" s="11" t="n">
        <v>10490</v>
      </c>
      <c r="E791" s="31" t="n">
        <v>1.1</v>
      </c>
      <c r="F791" s="31" t="n">
        <v>28.5</v>
      </c>
      <c r="G791" s="2"/>
      <c r="H791" s="2" t="s">
        <v>832</v>
      </c>
    </row>
    <row r="792" customFormat="false" ht="15" hidden="false" customHeight="false" outlineLevel="0" collapsed="false">
      <c r="A792" s="2" t="s">
        <v>2446</v>
      </c>
      <c r="B792" s="2" t="s">
        <v>46</v>
      </c>
      <c r="C792" s="2" t="s">
        <v>4274</v>
      </c>
      <c r="D792" s="11" t="n">
        <v>615380</v>
      </c>
      <c r="E792" s="31" t="n">
        <v>32.3</v>
      </c>
      <c r="F792" s="31" t="n">
        <v>63.5</v>
      </c>
      <c r="G792" s="31" t="n">
        <v>40.6</v>
      </c>
      <c r="H792" s="2" t="s">
        <v>822</v>
      </c>
    </row>
    <row r="793" customFormat="false" ht="15" hidden="false" customHeight="false" outlineLevel="0" collapsed="false">
      <c r="A793" s="2" t="s">
        <v>2446</v>
      </c>
      <c r="B793" s="2" t="s">
        <v>46</v>
      </c>
      <c r="C793" s="2" t="s">
        <v>4275</v>
      </c>
      <c r="D793" s="2"/>
      <c r="E793" s="2"/>
      <c r="F793" s="2"/>
      <c r="G793" s="2"/>
      <c r="H793" s="2" t="s">
        <v>832</v>
      </c>
    </row>
    <row r="794" customFormat="false" ht="15" hidden="false" customHeight="false" outlineLevel="0" collapsed="false">
      <c r="A794" s="2" t="s">
        <v>2446</v>
      </c>
      <c r="B794" s="2" t="s">
        <v>47</v>
      </c>
      <c r="C794" s="2" t="s">
        <v>4274</v>
      </c>
      <c r="D794" s="11" t="n">
        <v>100661</v>
      </c>
      <c r="E794" s="31" t="n">
        <v>60</v>
      </c>
      <c r="F794" s="31" t="n">
        <v>18.5</v>
      </c>
      <c r="G794" s="31" t="n">
        <v>42.5</v>
      </c>
      <c r="H794" s="2" t="s">
        <v>822</v>
      </c>
    </row>
    <row r="795" customFormat="false" ht="15" hidden="false" customHeight="false" outlineLevel="0" collapsed="false">
      <c r="A795" s="2" t="s">
        <v>2446</v>
      </c>
      <c r="B795" s="2" t="s">
        <v>47</v>
      </c>
      <c r="C795" s="2" t="s">
        <v>4275</v>
      </c>
      <c r="D795" s="11" t="n">
        <v>100730</v>
      </c>
      <c r="E795" s="31" t="n">
        <v>63.8</v>
      </c>
      <c r="F795" s="31" t="n">
        <v>34.2</v>
      </c>
      <c r="G795" s="31" t="n">
        <v>64.5</v>
      </c>
      <c r="H795" s="2" t="s">
        <v>822</v>
      </c>
    </row>
    <row r="796" customFormat="false" ht="15" hidden="false" customHeight="false" outlineLevel="0" collapsed="false">
      <c r="A796" s="2" t="s">
        <v>394</v>
      </c>
      <c r="B796" s="2" t="s">
        <v>4291</v>
      </c>
      <c r="C796" s="2" t="s">
        <v>4274</v>
      </c>
      <c r="D796" s="2"/>
      <c r="E796" s="31" t="n">
        <v>57.6</v>
      </c>
      <c r="F796" s="31" t="n">
        <v>66.3</v>
      </c>
      <c r="G796" s="31" t="n">
        <v>49.8</v>
      </c>
      <c r="H796" s="2" t="s">
        <v>822</v>
      </c>
    </row>
    <row r="797" customFormat="false" ht="15" hidden="false" customHeight="false" outlineLevel="0" collapsed="false">
      <c r="A797" s="2" t="s">
        <v>394</v>
      </c>
      <c r="B797" s="2" t="s">
        <v>4291</v>
      </c>
      <c r="C797" s="2" t="s">
        <v>4275</v>
      </c>
      <c r="D797" s="2"/>
      <c r="E797" s="31" t="n">
        <v>55.6</v>
      </c>
      <c r="F797" s="31" t="n">
        <v>80.4</v>
      </c>
      <c r="G797" s="31" t="n">
        <v>31.2</v>
      </c>
      <c r="H797" s="2" t="s">
        <v>822</v>
      </c>
    </row>
    <row r="798" customFormat="false" ht="15" hidden="false" customHeight="false" outlineLevel="0" collapsed="false">
      <c r="A798" s="2" t="s">
        <v>394</v>
      </c>
      <c r="B798" s="2" t="s">
        <v>45</v>
      </c>
      <c r="C798" s="2" t="s">
        <v>4274</v>
      </c>
      <c r="D798" s="11" t="n">
        <v>15250</v>
      </c>
      <c r="E798" s="31" t="n">
        <v>25</v>
      </c>
      <c r="F798" s="31" t="n">
        <v>87.2</v>
      </c>
      <c r="G798" s="31" t="n">
        <v>53.4</v>
      </c>
      <c r="H798" s="2" t="s">
        <v>822</v>
      </c>
    </row>
    <row r="799" customFormat="false" ht="15" hidden="false" customHeight="false" outlineLevel="0" collapsed="false">
      <c r="A799" s="2" t="s">
        <v>394</v>
      </c>
      <c r="B799" s="2" t="s">
        <v>45</v>
      </c>
      <c r="C799" s="2" t="s">
        <v>4275</v>
      </c>
      <c r="D799" s="11" t="n">
        <v>16700</v>
      </c>
      <c r="E799" s="31" t="n">
        <v>19.7</v>
      </c>
      <c r="F799" s="31" t="n">
        <v>94.2</v>
      </c>
      <c r="G799" s="31" t="n">
        <v>45.5</v>
      </c>
      <c r="H799" s="2" t="s">
        <v>822</v>
      </c>
    </row>
    <row r="800" customFormat="false" ht="15" hidden="false" customHeight="false" outlineLevel="0" collapsed="false">
      <c r="A800" s="2" t="s">
        <v>394</v>
      </c>
      <c r="B800" s="2" t="s">
        <v>46</v>
      </c>
      <c r="C800" s="2" t="s">
        <v>4274</v>
      </c>
      <c r="D800" s="11" t="n">
        <v>81090</v>
      </c>
      <c r="E800" s="31" t="n">
        <v>56</v>
      </c>
      <c r="F800" s="31" t="n">
        <v>46.1</v>
      </c>
      <c r="G800" s="31" t="n">
        <v>73.5</v>
      </c>
      <c r="H800" s="2" t="s">
        <v>822</v>
      </c>
    </row>
    <row r="801" customFormat="false" ht="15" hidden="false" customHeight="false" outlineLevel="0" collapsed="false">
      <c r="A801" s="2" t="s">
        <v>394</v>
      </c>
      <c r="B801" s="2" t="s">
        <v>46</v>
      </c>
      <c r="C801" s="2" t="s">
        <v>4275</v>
      </c>
      <c r="D801" s="11" t="n">
        <v>82620</v>
      </c>
      <c r="E801" s="31" t="n">
        <v>56.8</v>
      </c>
      <c r="F801" s="31" t="n">
        <v>82.9</v>
      </c>
      <c r="G801" s="31" t="n">
        <v>15.9</v>
      </c>
      <c r="H801" s="2" t="s">
        <v>822</v>
      </c>
    </row>
    <row r="802" customFormat="false" ht="15" hidden="false" customHeight="false" outlineLevel="0" collapsed="false">
      <c r="A802" s="2" t="s">
        <v>394</v>
      </c>
      <c r="B802" s="2" t="s">
        <v>47</v>
      </c>
      <c r="C802" s="2" t="s">
        <v>4274</v>
      </c>
      <c r="D802" s="11" t="n">
        <v>85242</v>
      </c>
      <c r="E802" s="31" t="n">
        <v>91.7</v>
      </c>
      <c r="F802" s="31" t="n">
        <v>65.7</v>
      </c>
      <c r="G802" s="31" t="n">
        <v>22.4</v>
      </c>
      <c r="H802" s="2" t="s">
        <v>822</v>
      </c>
    </row>
    <row r="803" customFormat="false" ht="15" hidden="false" customHeight="false" outlineLevel="0" collapsed="false">
      <c r="A803" s="2" t="s">
        <v>394</v>
      </c>
      <c r="B803" s="2" t="s">
        <v>47</v>
      </c>
      <c r="C803" s="2" t="s">
        <v>4275</v>
      </c>
      <c r="D803" s="11" t="n">
        <v>90879</v>
      </c>
      <c r="E803" s="31" t="n">
        <v>90.3</v>
      </c>
      <c r="F803" s="31" t="n">
        <v>64</v>
      </c>
      <c r="G803" s="31" t="n">
        <v>32.1</v>
      </c>
      <c r="H803" s="2" t="s">
        <v>822</v>
      </c>
    </row>
    <row r="804" customFormat="false" ht="15" hidden="false" customHeight="false" outlineLevel="0" collapsed="false">
      <c r="A804" s="2" t="s">
        <v>1496</v>
      </c>
      <c r="B804" s="2" t="s">
        <v>4291</v>
      </c>
      <c r="C804" s="2" t="s">
        <v>4274</v>
      </c>
      <c r="D804" s="2"/>
      <c r="E804" s="31" t="n">
        <v>16.4</v>
      </c>
      <c r="F804" s="31" t="n">
        <v>27.5</v>
      </c>
      <c r="G804" s="31" t="n">
        <v>42.8</v>
      </c>
      <c r="H804" s="2" t="s">
        <v>822</v>
      </c>
    </row>
    <row r="805" customFormat="false" ht="15" hidden="false" customHeight="false" outlineLevel="0" collapsed="false">
      <c r="A805" s="2" t="s">
        <v>1496</v>
      </c>
      <c r="B805" s="2" t="s">
        <v>4291</v>
      </c>
      <c r="C805" s="2" t="s">
        <v>4275</v>
      </c>
      <c r="D805" s="2"/>
      <c r="E805" s="31" t="n">
        <v>26.8</v>
      </c>
      <c r="F805" s="31" t="n">
        <v>21.1</v>
      </c>
      <c r="G805" s="31" t="n">
        <v>73.7</v>
      </c>
      <c r="H805" s="2" t="s">
        <v>832</v>
      </c>
    </row>
    <row r="806" customFormat="false" ht="15" hidden="false" customHeight="false" outlineLevel="0" collapsed="false">
      <c r="A806" s="2" t="s">
        <v>1496</v>
      </c>
      <c r="B806" s="2" t="s">
        <v>45</v>
      </c>
      <c r="C806" s="2" t="s">
        <v>4274</v>
      </c>
      <c r="D806" s="11" t="n">
        <v>26960</v>
      </c>
      <c r="E806" s="31" t="n">
        <v>9.3</v>
      </c>
      <c r="F806" s="31" t="n">
        <v>13.9</v>
      </c>
      <c r="G806" s="31" t="n">
        <v>51.7</v>
      </c>
      <c r="H806" s="2" t="s">
        <v>822</v>
      </c>
    </row>
    <row r="807" customFormat="false" ht="15" hidden="false" customHeight="false" outlineLevel="0" collapsed="false">
      <c r="A807" s="2" t="s">
        <v>1496</v>
      </c>
      <c r="B807" s="2" t="s">
        <v>45</v>
      </c>
      <c r="C807" s="2" t="s">
        <v>4275</v>
      </c>
      <c r="D807" s="11" t="n">
        <v>27100</v>
      </c>
      <c r="E807" s="31" t="n">
        <v>13.6</v>
      </c>
      <c r="F807" s="31" t="n">
        <v>8.9</v>
      </c>
      <c r="G807" s="31" t="n">
        <v>73.7</v>
      </c>
      <c r="H807" s="2" t="s">
        <v>822</v>
      </c>
    </row>
    <row r="808" customFormat="false" ht="15" hidden="false" customHeight="false" outlineLevel="0" collapsed="false">
      <c r="A808" s="2" t="s">
        <v>1496</v>
      </c>
      <c r="B808" s="2" t="s">
        <v>46</v>
      </c>
      <c r="C808" s="2" t="s">
        <v>4274</v>
      </c>
      <c r="D808" s="11" t="n">
        <v>1731150</v>
      </c>
      <c r="E808" s="31" t="n">
        <v>12.5</v>
      </c>
      <c r="F808" s="31" t="n">
        <v>66.7</v>
      </c>
      <c r="G808" s="31" t="n">
        <v>72.4</v>
      </c>
      <c r="H808" s="2" t="s">
        <v>822</v>
      </c>
    </row>
    <row r="809" customFormat="false" ht="15" hidden="false" customHeight="false" outlineLevel="0" collapsed="false">
      <c r="A809" s="2" t="s">
        <v>1496</v>
      </c>
      <c r="B809" s="2" t="s">
        <v>46</v>
      </c>
      <c r="C809" s="2" t="s">
        <v>4275</v>
      </c>
      <c r="D809" s="11" t="n">
        <v>1807241</v>
      </c>
      <c r="E809" s="31" t="n">
        <v>40.1</v>
      </c>
      <c r="F809" s="31" t="n">
        <v>33.3</v>
      </c>
      <c r="G809" s="2"/>
      <c r="H809" s="2" t="s">
        <v>832</v>
      </c>
    </row>
    <row r="810" customFormat="false" ht="15" hidden="false" customHeight="false" outlineLevel="0" collapsed="false">
      <c r="A810" s="2" t="s">
        <v>1496</v>
      </c>
      <c r="B810" s="2" t="s">
        <v>47</v>
      </c>
      <c r="C810" s="2" t="s">
        <v>4274</v>
      </c>
      <c r="D810" s="11" t="n">
        <v>50060</v>
      </c>
      <c r="E810" s="31" t="n">
        <v>27.5</v>
      </c>
      <c r="F810" s="31" t="n">
        <v>2</v>
      </c>
      <c r="G810" s="31" t="n">
        <v>4.2</v>
      </c>
      <c r="H810" s="2" t="s">
        <v>822</v>
      </c>
    </row>
    <row r="811" customFormat="false" ht="15" hidden="false" customHeight="false" outlineLevel="0" collapsed="false">
      <c r="A811" s="2" t="s">
        <v>1496</v>
      </c>
      <c r="B811" s="2" t="s">
        <v>47</v>
      </c>
      <c r="C811" s="2" t="s">
        <v>4275</v>
      </c>
      <c r="D811" s="2"/>
      <c r="E811" s="2"/>
      <c r="F811" s="2"/>
      <c r="G811" s="2"/>
      <c r="H811" s="2" t="s">
        <v>832</v>
      </c>
    </row>
    <row r="812" customFormat="false" ht="15" hidden="false" customHeight="false" outlineLevel="0" collapsed="false">
      <c r="A812" s="2" t="s">
        <v>2790</v>
      </c>
      <c r="B812" s="2" t="s">
        <v>4291</v>
      </c>
      <c r="C812" s="2" t="s">
        <v>4274</v>
      </c>
      <c r="D812" s="2"/>
      <c r="E812" s="31" t="n">
        <v>18.4</v>
      </c>
      <c r="F812" s="31" t="n">
        <v>34.6</v>
      </c>
      <c r="G812" s="31" t="n">
        <v>76.5</v>
      </c>
      <c r="H812" s="2" t="s">
        <v>822</v>
      </c>
    </row>
    <row r="813" customFormat="false" ht="15" hidden="false" customHeight="false" outlineLevel="0" collapsed="false">
      <c r="A813" s="2" t="s">
        <v>2790</v>
      </c>
      <c r="B813" s="2" t="s">
        <v>4291</v>
      </c>
      <c r="C813" s="2" t="s">
        <v>4275</v>
      </c>
      <c r="D813" s="2"/>
      <c r="E813" s="31" t="n">
        <v>22.6</v>
      </c>
      <c r="F813" s="31" t="n">
        <v>37.1</v>
      </c>
      <c r="G813" s="31" t="n">
        <v>52.9</v>
      </c>
      <c r="H813" s="2" t="s">
        <v>832</v>
      </c>
    </row>
    <row r="814" customFormat="false" ht="15" hidden="false" customHeight="false" outlineLevel="0" collapsed="false">
      <c r="A814" s="2" t="s">
        <v>2790</v>
      </c>
      <c r="B814" s="2" t="s">
        <v>46</v>
      </c>
      <c r="C814" s="2" t="s">
        <v>4274</v>
      </c>
      <c r="D814" s="11" t="n">
        <v>16543</v>
      </c>
      <c r="E814" s="31" t="n">
        <v>31.3</v>
      </c>
      <c r="F814" s="31" t="n">
        <v>43.4</v>
      </c>
      <c r="G814" s="31" t="n">
        <v>98.9</v>
      </c>
      <c r="H814" s="2" t="s">
        <v>822</v>
      </c>
    </row>
    <row r="815" customFormat="false" ht="15" hidden="false" customHeight="false" outlineLevel="0" collapsed="false">
      <c r="A815" s="2" t="s">
        <v>2790</v>
      </c>
      <c r="B815" s="2" t="s">
        <v>46</v>
      </c>
      <c r="C815" s="2" t="s">
        <v>4275</v>
      </c>
      <c r="D815" s="11" t="n">
        <v>16820</v>
      </c>
      <c r="E815" s="31" t="n">
        <v>32</v>
      </c>
      <c r="F815" s="31" t="n">
        <v>50.5</v>
      </c>
      <c r="G815" s="31" t="n">
        <v>86.3</v>
      </c>
      <c r="H815" s="2" t="s">
        <v>832</v>
      </c>
    </row>
    <row r="816" customFormat="false" ht="15" hidden="false" customHeight="false" outlineLevel="0" collapsed="false">
      <c r="A816" s="2" t="s">
        <v>2790</v>
      </c>
      <c r="B816" s="2" t="s">
        <v>47</v>
      </c>
      <c r="C816" s="2" t="s">
        <v>4274</v>
      </c>
      <c r="D816" s="11" t="n">
        <v>26268</v>
      </c>
      <c r="E816" s="31" t="n">
        <v>5.4</v>
      </c>
      <c r="F816" s="31" t="n">
        <v>25.8</v>
      </c>
      <c r="G816" s="31" t="n">
        <v>54.1</v>
      </c>
      <c r="H816" s="2" t="s">
        <v>822</v>
      </c>
    </row>
    <row r="817" customFormat="false" ht="15" hidden="false" customHeight="false" outlineLevel="0" collapsed="false">
      <c r="A817" s="2" t="s">
        <v>2790</v>
      </c>
      <c r="B817" s="2" t="s">
        <v>47</v>
      </c>
      <c r="C817" s="2" t="s">
        <v>4275</v>
      </c>
      <c r="D817" s="11" t="n">
        <v>26753</v>
      </c>
      <c r="E817" s="31" t="n">
        <v>13.2</v>
      </c>
      <c r="F817" s="31" t="n">
        <v>23.7</v>
      </c>
      <c r="G817" s="31" t="n">
        <v>19.5</v>
      </c>
      <c r="H817" s="2" t="s">
        <v>822</v>
      </c>
    </row>
    <row r="818" customFormat="false" ht="15" hidden="false" customHeight="false" outlineLevel="0" collapsed="false">
      <c r="A818" s="2" t="s">
        <v>885</v>
      </c>
      <c r="B818" s="2" t="s">
        <v>4291</v>
      </c>
      <c r="C818" s="2" t="s">
        <v>4274</v>
      </c>
      <c r="D818" s="2"/>
      <c r="E818" s="31" t="n">
        <v>72.2</v>
      </c>
      <c r="F818" s="31" t="n">
        <v>91.4</v>
      </c>
      <c r="G818" s="31" t="n">
        <v>62</v>
      </c>
      <c r="H818" s="2" t="s">
        <v>832</v>
      </c>
    </row>
    <row r="819" customFormat="false" ht="15" hidden="false" customHeight="false" outlineLevel="0" collapsed="false">
      <c r="A819" s="2" t="s">
        <v>885</v>
      </c>
      <c r="B819" s="2" t="s">
        <v>4291</v>
      </c>
      <c r="C819" s="2" t="s">
        <v>4275</v>
      </c>
      <c r="D819" s="2"/>
      <c r="E819" s="31" t="n">
        <v>83.2</v>
      </c>
      <c r="F819" s="31" t="n">
        <v>80.5</v>
      </c>
      <c r="G819" s="31" t="n">
        <v>64.5</v>
      </c>
      <c r="H819" s="2" t="s">
        <v>832</v>
      </c>
    </row>
    <row r="820" customFormat="false" ht="15" hidden="false" customHeight="false" outlineLevel="0" collapsed="false">
      <c r="A820" s="2" t="s">
        <v>885</v>
      </c>
      <c r="B820" s="2" t="s">
        <v>45</v>
      </c>
      <c r="C820" s="2" t="s">
        <v>4274</v>
      </c>
      <c r="D820" s="11" t="n">
        <v>19922</v>
      </c>
      <c r="E820" s="31" t="n">
        <v>87.3</v>
      </c>
      <c r="F820" s="31" t="n">
        <v>92.3</v>
      </c>
      <c r="G820" s="31" t="n">
        <v>26.8</v>
      </c>
      <c r="H820" s="2" t="s">
        <v>822</v>
      </c>
    </row>
    <row r="821" customFormat="false" ht="15" hidden="false" customHeight="false" outlineLevel="0" collapsed="false">
      <c r="A821" s="2" t="s">
        <v>885</v>
      </c>
      <c r="B821" s="2" t="s">
        <v>45</v>
      </c>
      <c r="C821" s="2" t="s">
        <v>4275</v>
      </c>
      <c r="D821" s="11" t="n">
        <v>21650</v>
      </c>
      <c r="E821" s="31" t="n">
        <v>93.8</v>
      </c>
      <c r="F821" s="31" t="n">
        <v>87.3</v>
      </c>
      <c r="G821" s="31" t="n">
        <v>29.4</v>
      </c>
      <c r="H821" s="2" t="s">
        <v>822</v>
      </c>
    </row>
    <row r="822" customFormat="false" ht="15" hidden="false" customHeight="false" outlineLevel="0" collapsed="false">
      <c r="A822" s="2" t="s">
        <v>885</v>
      </c>
      <c r="B822" s="2" t="s">
        <v>46</v>
      </c>
      <c r="C822" s="2" t="s">
        <v>4274</v>
      </c>
      <c r="D822" s="2"/>
      <c r="E822" s="2"/>
      <c r="F822" s="2"/>
      <c r="G822" s="2"/>
      <c r="H822" s="2" t="s">
        <v>832</v>
      </c>
    </row>
    <row r="823" customFormat="false" ht="15" hidden="false" customHeight="false" outlineLevel="0" collapsed="false">
      <c r="A823" s="2" t="s">
        <v>885</v>
      </c>
      <c r="B823" s="2" t="s">
        <v>46</v>
      </c>
      <c r="C823" s="2" t="s">
        <v>4275</v>
      </c>
      <c r="D823" s="2"/>
      <c r="E823" s="2"/>
      <c r="F823" s="2"/>
      <c r="G823" s="2"/>
      <c r="H823" s="2" t="s">
        <v>832</v>
      </c>
    </row>
    <row r="824" customFormat="false" ht="15" hidden="false" customHeight="false" outlineLevel="0" collapsed="false">
      <c r="A824" s="2" t="s">
        <v>885</v>
      </c>
      <c r="B824" s="2" t="s">
        <v>47</v>
      </c>
      <c r="C824" s="2" t="s">
        <v>4274</v>
      </c>
      <c r="D824" s="11" t="n">
        <v>37279</v>
      </c>
      <c r="E824" s="31" t="n">
        <v>57.1</v>
      </c>
      <c r="F824" s="31" t="n">
        <v>90.5</v>
      </c>
      <c r="G824" s="31" t="n">
        <v>97.2</v>
      </c>
      <c r="H824" s="2" t="s">
        <v>822</v>
      </c>
    </row>
    <row r="825" customFormat="false" ht="15" hidden="false" customHeight="false" outlineLevel="0" collapsed="false">
      <c r="A825" s="2" t="s">
        <v>885</v>
      </c>
      <c r="B825" s="2" t="s">
        <v>47</v>
      </c>
      <c r="C825" s="2" t="s">
        <v>4275</v>
      </c>
      <c r="D825" s="11" t="n">
        <v>39760</v>
      </c>
      <c r="E825" s="31" t="n">
        <v>72.5</v>
      </c>
      <c r="F825" s="31" t="n">
        <v>73.7</v>
      </c>
      <c r="G825" s="31" t="n">
        <v>99.6</v>
      </c>
      <c r="H825" s="2" t="s">
        <v>822</v>
      </c>
    </row>
    <row r="826" customFormat="false" ht="15" hidden="false" customHeight="false" outlineLevel="0" collapsed="false">
      <c r="A826" s="2" t="s">
        <v>2024</v>
      </c>
      <c r="B826" s="2" t="s">
        <v>4291</v>
      </c>
      <c r="C826" s="2" t="s">
        <v>4274</v>
      </c>
      <c r="D826" s="2"/>
      <c r="E826" s="31" t="n">
        <v>35.8</v>
      </c>
      <c r="F826" s="31" t="n">
        <v>74</v>
      </c>
      <c r="G826" s="31" t="n">
        <v>79</v>
      </c>
      <c r="H826" s="2" t="s">
        <v>832</v>
      </c>
    </row>
    <row r="827" customFormat="false" ht="15" hidden="false" customHeight="false" outlineLevel="0" collapsed="false">
      <c r="A827" s="2" t="s">
        <v>2024</v>
      </c>
      <c r="B827" s="2" t="s">
        <v>4291</v>
      </c>
      <c r="C827" s="2" t="s">
        <v>4275</v>
      </c>
      <c r="D827" s="2"/>
      <c r="E827" s="31" t="n">
        <v>46.5</v>
      </c>
      <c r="F827" s="31" t="n">
        <v>70.6</v>
      </c>
      <c r="G827" s="31" t="n">
        <v>66.7</v>
      </c>
      <c r="H827" s="2" t="s">
        <v>832</v>
      </c>
    </row>
    <row r="828" customFormat="false" ht="15" hidden="false" customHeight="false" outlineLevel="0" collapsed="false">
      <c r="A828" s="2" t="s">
        <v>2024</v>
      </c>
      <c r="B828" s="2" t="s">
        <v>45</v>
      </c>
      <c r="C828" s="2" t="s">
        <v>4274</v>
      </c>
      <c r="D828" s="11" t="n">
        <v>196650</v>
      </c>
      <c r="E828" s="31" t="n">
        <v>41.9</v>
      </c>
      <c r="F828" s="31" t="n">
        <v>79.5</v>
      </c>
      <c r="G828" s="31" t="n">
        <v>80.5</v>
      </c>
      <c r="H828" s="2" t="s">
        <v>822</v>
      </c>
    </row>
    <row r="829" customFormat="false" ht="15" hidden="false" customHeight="false" outlineLevel="0" collapsed="false">
      <c r="A829" s="2" t="s">
        <v>2024</v>
      </c>
      <c r="B829" s="2" t="s">
        <v>45</v>
      </c>
      <c r="C829" s="2" t="s">
        <v>4275</v>
      </c>
      <c r="D829" s="11" t="n">
        <v>199080</v>
      </c>
      <c r="E829" s="2"/>
      <c r="F829" s="31" t="n">
        <v>66.4</v>
      </c>
      <c r="G829" s="31" t="n">
        <v>64.6</v>
      </c>
      <c r="H829" s="2" t="s">
        <v>832</v>
      </c>
    </row>
    <row r="830" customFormat="false" ht="15" hidden="false" customHeight="false" outlineLevel="0" collapsed="false">
      <c r="A830" s="2" t="s">
        <v>2024</v>
      </c>
      <c r="B830" s="2" t="s">
        <v>46</v>
      </c>
      <c r="C830" s="2" t="s">
        <v>4274</v>
      </c>
      <c r="D830" s="11" t="n">
        <v>99328</v>
      </c>
      <c r="E830" s="31" t="n">
        <v>25.6</v>
      </c>
      <c r="F830" s="31" t="n">
        <v>56.2</v>
      </c>
      <c r="G830" s="2"/>
      <c r="H830" s="2" t="s">
        <v>832</v>
      </c>
    </row>
    <row r="831" customFormat="false" ht="15" hidden="false" customHeight="false" outlineLevel="0" collapsed="false">
      <c r="A831" s="2" t="s">
        <v>2024</v>
      </c>
      <c r="B831" s="2" t="s">
        <v>46</v>
      </c>
      <c r="C831" s="2" t="s">
        <v>4275</v>
      </c>
      <c r="D831" s="11" t="n">
        <v>101890</v>
      </c>
      <c r="E831" s="31" t="n">
        <v>29.7</v>
      </c>
      <c r="F831" s="31" t="n">
        <v>76.4</v>
      </c>
      <c r="G831" s="31" t="n">
        <v>87</v>
      </c>
      <c r="H831" s="2" t="s">
        <v>822</v>
      </c>
    </row>
    <row r="832" customFormat="false" ht="15" hidden="false" customHeight="false" outlineLevel="0" collapsed="false">
      <c r="A832" s="2" t="s">
        <v>2024</v>
      </c>
      <c r="B832" s="2" t="s">
        <v>47</v>
      </c>
      <c r="C832" s="2" t="s">
        <v>4274</v>
      </c>
      <c r="D832" s="11" t="n">
        <v>140561</v>
      </c>
      <c r="E832" s="31" t="n">
        <v>40</v>
      </c>
      <c r="F832" s="31" t="n">
        <v>86.4</v>
      </c>
      <c r="G832" s="31" t="n">
        <v>77.6</v>
      </c>
      <c r="H832" s="2" t="s">
        <v>822</v>
      </c>
    </row>
    <row r="833" customFormat="false" ht="15" hidden="false" customHeight="false" outlineLevel="0" collapsed="false">
      <c r="A833" s="2" t="s">
        <v>2024</v>
      </c>
      <c r="B833" s="2" t="s">
        <v>47</v>
      </c>
      <c r="C833" s="2" t="s">
        <v>4275</v>
      </c>
      <c r="D833" s="11" t="n">
        <v>146463</v>
      </c>
      <c r="E833" s="31" t="n">
        <v>63.3</v>
      </c>
      <c r="F833" s="31" t="n">
        <v>68.9</v>
      </c>
      <c r="G833" s="31" t="n">
        <v>48.4</v>
      </c>
      <c r="H833" s="2" t="s">
        <v>822</v>
      </c>
    </row>
    <row r="834" customFormat="false" ht="15" hidden="false" customHeight="false" outlineLevel="0" collapsed="false">
      <c r="A834" s="2" t="s">
        <v>422</v>
      </c>
      <c r="B834" s="2" t="s">
        <v>4291</v>
      </c>
      <c r="C834" s="2" t="s">
        <v>4274</v>
      </c>
      <c r="D834" s="2"/>
      <c r="E834" s="31" t="n">
        <v>58</v>
      </c>
      <c r="F834" s="31" t="n">
        <v>55.5</v>
      </c>
      <c r="G834" s="31" t="n">
        <v>11.8</v>
      </c>
      <c r="H834" s="2" t="s">
        <v>832</v>
      </c>
    </row>
    <row r="835" customFormat="false" ht="15" hidden="false" customHeight="false" outlineLevel="0" collapsed="false">
      <c r="A835" s="2" t="s">
        <v>422</v>
      </c>
      <c r="B835" s="2" t="s">
        <v>4291</v>
      </c>
      <c r="C835" s="2" t="s">
        <v>4275</v>
      </c>
      <c r="D835" s="2"/>
      <c r="E835" s="31" t="n">
        <v>53.7</v>
      </c>
      <c r="F835" s="31" t="n">
        <v>63.3</v>
      </c>
      <c r="G835" s="31" t="n">
        <v>25.3</v>
      </c>
      <c r="H835" s="2" t="s">
        <v>822</v>
      </c>
    </row>
    <row r="836" customFormat="false" ht="15" hidden="false" customHeight="false" outlineLevel="0" collapsed="false">
      <c r="A836" s="2" t="s">
        <v>422</v>
      </c>
      <c r="B836" s="2" t="s">
        <v>45</v>
      </c>
      <c r="C836" s="2" t="s">
        <v>4274</v>
      </c>
      <c r="D836" s="11" t="n">
        <v>72840</v>
      </c>
      <c r="E836" s="31" t="n">
        <v>17.7</v>
      </c>
      <c r="F836" s="31" t="n">
        <v>81.8</v>
      </c>
      <c r="G836" s="31" t="n">
        <v>23.4</v>
      </c>
      <c r="H836" s="2" t="s">
        <v>822</v>
      </c>
    </row>
    <row r="837" customFormat="false" ht="15" hidden="false" customHeight="false" outlineLevel="0" collapsed="false">
      <c r="A837" s="2" t="s">
        <v>422</v>
      </c>
      <c r="B837" s="2" t="s">
        <v>45</v>
      </c>
      <c r="C837" s="2" t="s">
        <v>4275</v>
      </c>
      <c r="D837" s="11" t="n">
        <v>78590</v>
      </c>
      <c r="E837" s="31" t="n">
        <v>20.8</v>
      </c>
      <c r="F837" s="31" t="n">
        <v>82.5</v>
      </c>
      <c r="G837" s="31" t="n">
        <v>31.7</v>
      </c>
      <c r="H837" s="2" t="s">
        <v>822</v>
      </c>
    </row>
    <row r="838" customFormat="false" ht="15" hidden="false" customHeight="false" outlineLevel="0" collapsed="false">
      <c r="A838" s="2" t="s">
        <v>422</v>
      </c>
      <c r="B838" s="2" t="s">
        <v>46</v>
      </c>
      <c r="C838" s="2" t="s">
        <v>4274</v>
      </c>
      <c r="D838" s="11" t="n">
        <v>95280</v>
      </c>
      <c r="E838" s="31" t="n">
        <v>74</v>
      </c>
      <c r="F838" s="31" t="n">
        <v>49.1</v>
      </c>
      <c r="G838" s="31" t="n">
        <v>0.7</v>
      </c>
      <c r="H838" s="2" t="s">
        <v>822</v>
      </c>
    </row>
    <row r="839" customFormat="false" ht="15" hidden="false" customHeight="false" outlineLevel="0" collapsed="false">
      <c r="A839" s="2" t="s">
        <v>422</v>
      </c>
      <c r="B839" s="2" t="s">
        <v>46</v>
      </c>
      <c r="C839" s="2" t="s">
        <v>4275</v>
      </c>
      <c r="D839" s="11" t="n">
        <v>97970</v>
      </c>
      <c r="E839" s="31" t="n">
        <v>76.2</v>
      </c>
      <c r="F839" s="31" t="n">
        <v>71.6</v>
      </c>
      <c r="G839" s="31" t="n">
        <v>24.1</v>
      </c>
      <c r="H839" s="2" t="s">
        <v>822</v>
      </c>
    </row>
    <row r="840" customFormat="false" ht="15" hidden="false" customHeight="false" outlineLevel="0" collapsed="false">
      <c r="A840" s="2" t="s">
        <v>422</v>
      </c>
      <c r="B840" s="2" t="s">
        <v>47</v>
      </c>
      <c r="C840" s="2" t="s">
        <v>4274</v>
      </c>
      <c r="D840" s="11" t="n">
        <v>21597</v>
      </c>
      <c r="E840" s="31" t="n">
        <v>82.2</v>
      </c>
      <c r="F840" s="31" t="n">
        <v>35.6</v>
      </c>
      <c r="G840" s="31" t="n">
        <v>11.3</v>
      </c>
      <c r="H840" s="2" t="s">
        <v>832</v>
      </c>
    </row>
    <row r="841" customFormat="false" ht="15" hidden="false" customHeight="false" outlineLevel="0" collapsed="false">
      <c r="A841" s="2" t="s">
        <v>422</v>
      </c>
      <c r="B841" s="2" t="s">
        <v>47</v>
      </c>
      <c r="C841" s="2" t="s">
        <v>4275</v>
      </c>
      <c r="D841" s="11" t="n">
        <v>22469</v>
      </c>
      <c r="E841" s="31" t="n">
        <v>64</v>
      </c>
      <c r="F841" s="31" t="n">
        <v>35.7</v>
      </c>
      <c r="G841" s="31" t="n">
        <v>20.1</v>
      </c>
      <c r="H841" s="2" t="s">
        <v>822</v>
      </c>
    </row>
    <row r="842" customFormat="false" ht="15" hidden="false" customHeight="false" outlineLevel="0" collapsed="false">
      <c r="A842" s="2" t="s">
        <v>216</v>
      </c>
      <c r="B842" s="2" t="s">
        <v>4291</v>
      </c>
      <c r="C842" s="2" t="s">
        <v>4274</v>
      </c>
      <c r="D842" s="2"/>
      <c r="E842" s="31" t="n">
        <v>86.2</v>
      </c>
      <c r="F842" s="31" t="n">
        <v>96.1</v>
      </c>
      <c r="G842" s="31" t="n">
        <v>59.8</v>
      </c>
      <c r="H842" s="2" t="s">
        <v>822</v>
      </c>
    </row>
    <row r="843" customFormat="false" ht="15" hidden="false" customHeight="false" outlineLevel="0" collapsed="false">
      <c r="A843" s="2" t="s">
        <v>216</v>
      </c>
      <c r="B843" s="2" t="s">
        <v>4291</v>
      </c>
      <c r="C843" s="2" t="s">
        <v>4275</v>
      </c>
      <c r="D843" s="2"/>
      <c r="E843" s="31" t="n">
        <v>73.2</v>
      </c>
      <c r="F843" s="31" t="n">
        <v>99.4</v>
      </c>
      <c r="G843" s="31" t="n">
        <v>30.6</v>
      </c>
      <c r="H843" s="2" t="s">
        <v>822</v>
      </c>
    </row>
    <row r="844" customFormat="false" ht="15" hidden="false" customHeight="false" outlineLevel="0" collapsed="false">
      <c r="A844" s="2" t="s">
        <v>216</v>
      </c>
      <c r="B844" s="2" t="s">
        <v>47</v>
      </c>
      <c r="C844" s="2" t="s">
        <v>4274</v>
      </c>
      <c r="D844" s="11" t="n">
        <v>10602</v>
      </c>
      <c r="E844" s="31" t="n">
        <v>86.2</v>
      </c>
      <c r="F844" s="31" t="n">
        <v>96.1</v>
      </c>
      <c r="G844" s="31" t="n">
        <v>59.8</v>
      </c>
      <c r="H844" s="2" t="s">
        <v>822</v>
      </c>
    </row>
    <row r="845" customFormat="false" ht="15" hidden="false" customHeight="false" outlineLevel="0" collapsed="false">
      <c r="A845" s="2" t="s">
        <v>216</v>
      </c>
      <c r="B845" s="2" t="s">
        <v>47</v>
      </c>
      <c r="C845" s="2" t="s">
        <v>4275</v>
      </c>
      <c r="D845" s="11" t="n">
        <v>11480</v>
      </c>
      <c r="E845" s="31" t="n">
        <v>73.2</v>
      </c>
      <c r="F845" s="31" t="n">
        <v>99.4</v>
      </c>
      <c r="G845" s="31" t="n">
        <v>30.6</v>
      </c>
      <c r="H845" s="2" t="s">
        <v>822</v>
      </c>
    </row>
    <row r="846" customFormat="false" ht="15" hidden="false" customHeight="false" outlineLevel="0" collapsed="false">
      <c r="A846" s="2" t="s">
        <v>1486</v>
      </c>
      <c r="B846" s="2" t="s">
        <v>4291</v>
      </c>
      <c r="C846" s="2" t="s">
        <v>4274</v>
      </c>
      <c r="D846" s="2"/>
      <c r="E846" s="31" t="n">
        <v>43.2</v>
      </c>
      <c r="F846" s="31" t="n">
        <v>38.3</v>
      </c>
      <c r="G846" s="31" t="n">
        <v>70</v>
      </c>
      <c r="H846" s="2" t="s">
        <v>832</v>
      </c>
    </row>
    <row r="847" customFormat="false" ht="15" hidden="false" customHeight="false" outlineLevel="0" collapsed="false">
      <c r="A847" s="2" t="s">
        <v>1486</v>
      </c>
      <c r="B847" s="2" t="s">
        <v>4291</v>
      </c>
      <c r="C847" s="2" t="s">
        <v>4275</v>
      </c>
      <c r="D847" s="2"/>
      <c r="E847" s="31" t="n">
        <v>39.9</v>
      </c>
      <c r="F847" s="31" t="n">
        <v>47.1</v>
      </c>
      <c r="G847" s="31" t="n">
        <v>46.7</v>
      </c>
      <c r="H847" s="2" t="s">
        <v>832</v>
      </c>
    </row>
    <row r="848" customFormat="false" ht="15" hidden="false" customHeight="false" outlineLevel="0" collapsed="false">
      <c r="A848" s="2" t="s">
        <v>1486</v>
      </c>
      <c r="B848" s="2" t="s">
        <v>45</v>
      </c>
      <c r="C848" s="2" t="s">
        <v>4274</v>
      </c>
      <c r="D848" s="11" t="n">
        <v>108050</v>
      </c>
      <c r="E848" s="31" t="n">
        <v>9.7</v>
      </c>
      <c r="F848" s="31" t="n">
        <v>6.2</v>
      </c>
      <c r="G848" s="2"/>
      <c r="H848" s="2" t="s">
        <v>832</v>
      </c>
    </row>
    <row r="849" customFormat="false" ht="15" hidden="false" customHeight="false" outlineLevel="0" collapsed="false">
      <c r="A849" s="2" t="s">
        <v>1486</v>
      </c>
      <c r="B849" s="2" t="s">
        <v>45</v>
      </c>
      <c r="C849" s="2" t="s">
        <v>4275</v>
      </c>
      <c r="D849" s="11" t="n">
        <v>106810</v>
      </c>
      <c r="E849" s="31" t="n">
        <v>14.4</v>
      </c>
      <c r="F849" s="31" t="n">
        <v>6.4</v>
      </c>
      <c r="G849" s="31" t="n">
        <v>86.9</v>
      </c>
      <c r="H849" s="2" t="s">
        <v>822</v>
      </c>
    </row>
    <row r="850" customFormat="false" ht="15" hidden="false" customHeight="false" outlineLevel="0" collapsed="false">
      <c r="A850" s="2" t="s">
        <v>1486</v>
      </c>
      <c r="B850" s="2" t="s">
        <v>46</v>
      </c>
      <c r="C850" s="2" t="s">
        <v>4274</v>
      </c>
      <c r="D850" s="2"/>
      <c r="E850" s="2"/>
      <c r="F850" s="2"/>
      <c r="G850" s="2"/>
      <c r="H850" s="2" t="s">
        <v>832</v>
      </c>
    </row>
    <row r="851" customFormat="false" ht="15" hidden="false" customHeight="false" outlineLevel="0" collapsed="false">
      <c r="A851" s="2" t="s">
        <v>1486</v>
      </c>
      <c r="B851" s="2" t="s">
        <v>46</v>
      </c>
      <c r="C851" s="2" t="s">
        <v>4275</v>
      </c>
      <c r="D851" s="11" t="n">
        <v>56980</v>
      </c>
      <c r="E851" s="31" t="n">
        <v>40.3</v>
      </c>
      <c r="F851" s="31" t="n">
        <v>66.5</v>
      </c>
      <c r="G851" s="31" t="n">
        <v>6.4</v>
      </c>
      <c r="H851" s="2" t="s">
        <v>822</v>
      </c>
    </row>
    <row r="852" customFormat="false" ht="15" hidden="false" customHeight="false" outlineLevel="0" collapsed="false">
      <c r="A852" s="2" t="s">
        <v>1486</v>
      </c>
      <c r="B852" s="2" t="s">
        <v>47</v>
      </c>
      <c r="C852" s="2" t="s">
        <v>4274</v>
      </c>
      <c r="D852" s="11" t="n">
        <v>327548</v>
      </c>
      <c r="E852" s="31" t="n">
        <v>76.6</v>
      </c>
      <c r="F852" s="31" t="n">
        <v>70.4</v>
      </c>
      <c r="G852" s="31" t="n">
        <v>70</v>
      </c>
      <c r="H852" s="2" t="s">
        <v>822</v>
      </c>
    </row>
    <row r="853" customFormat="false" ht="15" hidden="false" customHeight="false" outlineLevel="0" collapsed="false">
      <c r="A853" s="2" t="s">
        <v>1486</v>
      </c>
      <c r="B853" s="2" t="s">
        <v>47</v>
      </c>
      <c r="C853" s="2" t="s">
        <v>4275</v>
      </c>
      <c r="D853" s="11" t="n">
        <v>338040</v>
      </c>
      <c r="E853" s="31" t="n">
        <v>65.1</v>
      </c>
      <c r="F853" s="31" t="n">
        <v>68.3</v>
      </c>
      <c r="G853" s="2"/>
      <c r="H853" s="2" t="s">
        <v>832</v>
      </c>
    </row>
    <row r="854" customFormat="false" ht="15" hidden="false" customHeight="false" outlineLevel="0" collapsed="false">
      <c r="A854" s="2" t="s">
        <v>136</v>
      </c>
      <c r="B854" s="2" t="s">
        <v>4291</v>
      </c>
      <c r="C854" s="2" t="s">
        <v>4274</v>
      </c>
      <c r="D854" s="2"/>
      <c r="E854" s="31" t="n">
        <v>94.3</v>
      </c>
      <c r="F854" s="31" t="n">
        <v>62.4</v>
      </c>
      <c r="G854" s="31" t="n">
        <v>72.7</v>
      </c>
      <c r="H854" s="2" t="s">
        <v>822</v>
      </c>
    </row>
    <row r="855" customFormat="false" ht="15" hidden="false" customHeight="false" outlineLevel="0" collapsed="false">
      <c r="A855" s="2" t="s">
        <v>136</v>
      </c>
      <c r="B855" s="2" t="s">
        <v>4291</v>
      </c>
      <c r="C855" s="2" t="s">
        <v>4275</v>
      </c>
      <c r="D855" s="2"/>
      <c r="E855" s="31" t="n">
        <v>86.1</v>
      </c>
      <c r="F855" s="31" t="n">
        <v>74.7</v>
      </c>
      <c r="G855" s="31" t="n">
        <v>68.5</v>
      </c>
      <c r="H855" s="2" t="s">
        <v>822</v>
      </c>
    </row>
    <row r="856" customFormat="false" ht="15" hidden="false" customHeight="false" outlineLevel="0" collapsed="false">
      <c r="A856" s="2" t="s">
        <v>136</v>
      </c>
      <c r="B856" s="2" t="s">
        <v>47</v>
      </c>
      <c r="C856" s="2" t="s">
        <v>4274</v>
      </c>
      <c r="D856" s="11" t="n">
        <v>41809</v>
      </c>
      <c r="E856" s="31" t="n">
        <v>94.3</v>
      </c>
      <c r="F856" s="31" t="n">
        <v>62.4</v>
      </c>
      <c r="G856" s="31" t="n">
        <v>72.7</v>
      </c>
      <c r="H856" s="2" t="s">
        <v>822</v>
      </c>
    </row>
    <row r="857" customFormat="false" ht="15" hidden="false" customHeight="false" outlineLevel="0" collapsed="false">
      <c r="A857" s="2" t="s">
        <v>136</v>
      </c>
      <c r="B857" s="2" t="s">
        <v>47</v>
      </c>
      <c r="C857" s="2" t="s">
        <v>4275</v>
      </c>
      <c r="D857" s="11" t="n">
        <v>44236</v>
      </c>
      <c r="E857" s="31" t="n">
        <v>86.1</v>
      </c>
      <c r="F857" s="31" t="n">
        <v>74.7</v>
      </c>
      <c r="G857" s="31" t="n">
        <v>68.5</v>
      </c>
      <c r="H857" s="2" t="s">
        <v>822</v>
      </c>
    </row>
    <row r="858" customFormat="false" ht="15" hidden="false" customHeight="false" outlineLevel="0" collapsed="false">
      <c r="A858" s="2" t="s">
        <v>2126</v>
      </c>
      <c r="B858" s="2" t="s">
        <v>4291</v>
      </c>
      <c r="C858" s="2" t="s">
        <v>4274</v>
      </c>
      <c r="D858" s="2"/>
      <c r="E858" s="31" t="n">
        <v>41.8</v>
      </c>
      <c r="F858" s="31" t="n">
        <v>24.1</v>
      </c>
      <c r="G858" s="31" t="n">
        <v>65.7</v>
      </c>
      <c r="H858" s="2" t="s">
        <v>822</v>
      </c>
    </row>
    <row r="859" customFormat="false" ht="15" hidden="false" customHeight="false" outlineLevel="0" collapsed="false">
      <c r="A859" s="2" t="s">
        <v>2126</v>
      </c>
      <c r="B859" s="2" t="s">
        <v>4291</v>
      </c>
      <c r="C859" s="2" t="s">
        <v>4275</v>
      </c>
      <c r="D859" s="2"/>
      <c r="E859" s="31" t="n">
        <v>40.3</v>
      </c>
      <c r="F859" s="31" t="n">
        <v>8.7</v>
      </c>
      <c r="G859" s="31" t="n">
        <v>56.3</v>
      </c>
      <c r="H859" s="2" t="s">
        <v>832</v>
      </c>
    </row>
    <row r="860" customFormat="false" ht="15" hidden="false" customHeight="false" outlineLevel="0" collapsed="false">
      <c r="A860" s="2" t="s">
        <v>2126</v>
      </c>
      <c r="B860" s="2" t="s">
        <v>45</v>
      </c>
      <c r="C860" s="2" t="s">
        <v>4274</v>
      </c>
      <c r="D860" s="11" t="n">
        <v>45641</v>
      </c>
      <c r="E860" s="31" t="n">
        <v>14.5</v>
      </c>
      <c r="F860" s="31" t="n">
        <v>15.3</v>
      </c>
      <c r="G860" s="31" t="n">
        <v>57.6</v>
      </c>
      <c r="H860" s="2" t="s">
        <v>822</v>
      </c>
    </row>
    <row r="861" customFormat="false" ht="15" hidden="false" customHeight="false" outlineLevel="0" collapsed="false">
      <c r="A861" s="2" t="s">
        <v>2126</v>
      </c>
      <c r="B861" s="2" t="s">
        <v>45</v>
      </c>
      <c r="C861" s="2" t="s">
        <v>4275</v>
      </c>
      <c r="D861" s="11" t="n">
        <v>44290</v>
      </c>
      <c r="E861" s="31" t="n">
        <v>19.3</v>
      </c>
      <c r="F861" s="2"/>
      <c r="G861" s="2"/>
      <c r="H861" s="2" t="s">
        <v>832</v>
      </c>
    </row>
    <row r="862" customFormat="false" ht="15" hidden="false" customHeight="false" outlineLevel="0" collapsed="false">
      <c r="A862" s="2" t="s">
        <v>2126</v>
      </c>
      <c r="B862" s="2" t="s">
        <v>46</v>
      </c>
      <c r="C862" s="2" t="s">
        <v>4274</v>
      </c>
      <c r="D862" s="11" t="n">
        <v>47266</v>
      </c>
      <c r="E862" s="31" t="n">
        <v>13.1</v>
      </c>
      <c r="F862" s="31" t="n">
        <v>4.1</v>
      </c>
      <c r="G862" s="31" t="n">
        <v>63.7</v>
      </c>
      <c r="H862" s="2" t="s">
        <v>822</v>
      </c>
    </row>
    <row r="863" customFormat="false" ht="15" hidden="false" customHeight="false" outlineLevel="0" collapsed="false">
      <c r="A863" s="2" t="s">
        <v>2126</v>
      </c>
      <c r="B863" s="2" t="s">
        <v>46</v>
      </c>
      <c r="C863" s="2" t="s">
        <v>4275</v>
      </c>
      <c r="D863" s="11" t="n">
        <v>47630</v>
      </c>
      <c r="E863" s="31" t="n">
        <v>13.4</v>
      </c>
      <c r="F863" s="31" t="n">
        <v>8.7</v>
      </c>
      <c r="G863" s="31" t="n">
        <v>58.7</v>
      </c>
      <c r="H863" s="2" t="s">
        <v>822</v>
      </c>
    </row>
    <row r="864" customFormat="false" ht="15" hidden="false" customHeight="false" outlineLevel="0" collapsed="false">
      <c r="A864" s="2" t="s">
        <v>2126</v>
      </c>
      <c r="B864" s="2" t="s">
        <v>47</v>
      </c>
      <c r="C864" s="2" t="s">
        <v>4274</v>
      </c>
      <c r="D864" s="11" t="n">
        <v>91407</v>
      </c>
      <c r="E864" s="31" t="n">
        <v>97.8</v>
      </c>
      <c r="F864" s="31" t="n">
        <v>52.9</v>
      </c>
      <c r="G864" s="31" t="n">
        <v>75.7</v>
      </c>
      <c r="H864" s="2" t="s">
        <v>822</v>
      </c>
    </row>
    <row r="865" customFormat="false" ht="15" hidden="false" customHeight="false" outlineLevel="0" collapsed="false">
      <c r="A865" s="2" t="s">
        <v>2126</v>
      </c>
      <c r="B865" s="2" t="s">
        <v>47</v>
      </c>
      <c r="C865" s="2" t="s">
        <v>4275</v>
      </c>
      <c r="D865" s="11" t="n">
        <v>95190</v>
      </c>
      <c r="E865" s="31" t="n">
        <v>88.2</v>
      </c>
      <c r="F865" s="2"/>
      <c r="G865" s="31" t="n">
        <v>53.9</v>
      </c>
      <c r="H865" s="2" t="s">
        <v>832</v>
      </c>
    </row>
    <row r="866" customFormat="false" ht="15" hidden="false" customHeight="false" outlineLevel="0" collapsed="false">
      <c r="A866" s="2" t="s">
        <v>2140</v>
      </c>
      <c r="B866" s="2" t="s">
        <v>4291</v>
      </c>
      <c r="C866" s="2" t="s">
        <v>4274</v>
      </c>
      <c r="D866" s="2"/>
      <c r="E866" s="31" t="n">
        <v>54.6</v>
      </c>
      <c r="F866" s="31" t="n">
        <v>67.5</v>
      </c>
      <c r="G866" s="31" t="n">
        <v>32</v>
      </c>
      <c r="H866" s="2" t="s">
        <v>822</v>
      </c>
    </row>
    <row r="867" customFormat="false" ht="15" hidden="false" customHeight="false" outlineLevel="0" collapsed="false">
      <c r="A867" s="2" t="s">
        <v>2140</v>
      </c>
      <c r="B867" s="2" t="s">
        <v>4291</v>
      </c>
      <c r="C867" s="2" t="s">
        <v>4275</v>
      </c>
      <c r="D867" s="2"/>
      <c r="E867" s="31" t="n">
        <v>10.8</v>
      </c>
      <c r="F867" s="31" t="n">
        <v>28</v>
      </c>
      <c r="G867" s="31" t="n">
        <v>37.1</v>
      </c>
      <c r="H867" s="2" t="s">
        <v>832</v>
      </c>
    </row>
    <row r="868" customFormat="false" ht="15" hidden="false" customHeight="false" outlineLevel="0" collapsed="false">
      <c r="A868" s="2" t="s">
        <v>2140</v>
      </c>
      <c r="B868" s="2" t="s">
        <v>46</v>
      </c>
      <c r="C868" s="2" t="s">
        <v>4274</v>
      </c>
      <c r="D868" s="11" t="n">
        <v>95900</v>
      </c>
      <c r="E868" s="31" t="n">
        <v>16.4</v>
      </c>
      <c r="F868" s="31" t="n">
        <v>85</v>
      </c>
      <c r="G868" s="31" t="n">
        <v>56.2</v>
      </c>
      <c r="H868" s="2" t="s">
        <v>822</v>
      </c>
    </row>
    <row r="869" customFormat="false" ht="15" hidden="false" customHeight="false" outlineLevel="0" collapsed="false">
      <c r="A869" s="2" t="s">
        <v>2140</v>
      </c>
      <c r="B869" s="2" t="s">
        <v>46</v>
      </c>
      <c r="C869" s="2" t="s">
        <v>4275</v>
      </c>
      <c r="D869" s="11" t="n">
        <v>97830</v>
      </c>
      <c r="E869" s="31" t="n">
        <v>10.8</v>
      </c>
      <c r="F869" s="31" t="n">
        <v>28</v>
      </c>
      <c r="G869" s="31" t="n">
        <v>37.1</v>
      </c>
      <c r="H869" s="2" t="s">
        <v>822</v>
      </c>
    </row>
    <row r="870" customFormat="false" ht="15" hidden="false" customHeight="false" outlineLevel="0" collapsed="false">
      <c r="A870" s="2" t="s">
        <v>2140</v>
      </c>
      <c r="B870" s="2" t="s">
        <v>47</v>
      </c>
      <c r="C870" s="2" t="s">
        <v>4274</v>
      </c>
      <c r="D870" s="11" t="n">
        <v>93463</v>
      </c>
      <c r="E870" s="31" t="n">
        <v>92.7</v>
      </c>
      <c r="F870" s="31" t="n">
        <v>50</v>
      </c>
      <c r="G870" s="31" t="n">
        <v>7.8</v>
      </c>
      <c r="H870" s="2" t="s">
        <v>822</v>
      </c>
    </row>
    <row r="871" customFormat="false" ht="15" hidden="false" customHeight="false" outlineLevel="0" collapsed="false">
      <c r="A871" s="2" t="s">
        <v>2140</v>
      </c>
      <c r="B871" s="2" t="s">
        <v>47</v>
      </c>
      <c r="C871" s="2" t="s">
        <v>4275</v>
      </c>
      <c r="D871" s="2"/>
      <c r="E871" s="2"/>
      <c r="F871" s="2"/>
      <c r="G871" s="2"/>
      <c r="H871" s="2" t="s">
        <v>832</v>
      </c>
    </row>
    <row r="872" customFormat="false" ht="15" hidden="false" customHeight="false" outlineLevel="0" collapsed="false">
      <c r="A872" s="2" t="s">
        <v>94</v>
      </c>
      <c r="B872" s="2" t="s">
        <v>4291</v>
      </c>
      <c r="C872" s="2" t="s">
        <v>4274</v>
      </c>
      <c r="D872" s="2"/>
      <c r="E872" s="2"/>
      <c r="F872" s="2"/>
      <c r="G872" s="31" t="n">
        <v>12.9</v>
      </c>
      <c r="H872" s="2" t="s">
        <v>832</v>
      </c>
    </row>
    <row r="873" customFormat="false" ht="15" hidden="false" customHeight="false" outlineLevel="0" collapsed="false">
      <c r="A873" s="2" t="s">
        <v>94</v>
      </c>
      <c r="B873" s="2" t="s">
        <v>4291</v>
      </c>
      <c r="C873" s="2" t="s">
        <v>4275</v>
      </c>
      <c r="D873" s="2"/>
      <c r="E873" s="31" t="n">
        <v>94.9</v>
      </c>
      <c r="F873" s="31" t="n">
        <v>34.3</v>
      </c>
      <c r="G873" s="31" t="n">
        <v>48.5</v>
      </c>
      <c r="H873" s="2" t="s">
        <v>822</v>
      </c>
    </row>
    <row r="874" customFormat="false" ht="15" hidden="false" customHeight="false" outlineLevel="0" collapsed="false">
      <c r="A874" s="2" t="s">
        <v>94</v>
      </c>
      <c r="B874" s="2" t="s">
        <v>45</v>
      </c>
      <c r="C874" s="2" t="s">
        <v>4274</v>
      </c>
      <c r="D874" s="2"/>
      <c r="E874" s="2"/>
      <c r="F874" s="2"/>
      <c r="G874" s="31" t="n">
        <v>12.9</v>
      </c>
      <c r="H874" s="2" t="s">
        <v>832</v>
      </c>
    </row>
    <row r="875" customFormat="false" ht="15" hidden="false" customHeight="false" outlineLevel="0" collapsed="false">
      <c r="A875" s="2" t="s">
        <v>94</v>
      </c>
      <c r="B875" s="2" t="s">
        <v>45</v>
      </c>
      <c r="C875" s="2" t="s">
        <v>4275</v>
      </c>
      <c r="D875" s="11" t="n">
        <v>132660</v>
      </c>
      <c r="E875" s="31" t="n">
        <v>94.9</v>
      </c>
      <c r="F875" s="31" t="n">
        <v>34.3</v>
      </c>
      <c r="G875" s="31" t="n">
        <v>48.5</v>
      </c>
      <c r="H875" s="2" t="s">
        <v>822</v>
      </c>
    </row>
    <row r="876" customFormat="false" ht="15" hidden="false" customHeight="false" outlineLevel="0" collapsed="false">
      <c r="A876" s="2" t="s">
        <v>688</v>
      </c>
      <c r="B876" s="2" t="s">
        <v>4291</v>
      </c>
      <c r="C876" s="2" t="s">
        <v>4274</v>
      </c>
      <c r="D876" s="2"/>
      <c r="E876" s="31" t="n">
        <v>38.2</v>
      </c>
      <c r="F876" s="31" t="n">
        <v>45.2</v>
      </c>
      <c r="G876" s="31" t="n">
        <v>92.7</v>
      </c>
      <c r="H876" s="2" t="s">
        <v>832</v>
      </c>
    </row>
    <row r="877" customFormat="false" ht="15" hidden="false" customHeight="false" outlineLevel="0" collapsed="false">
      <c r="A877" s="2" t="s">
        <v>688</v>
      </c>
      <c r="B877" s="2" t="s">
        <v>4291</v>
      </c>
      <c r="C877" s="2" t="s">
        <v>4275</v>
      </c>
      <c r="D877" s="2"/>
      <c r="E877" s="31" t="n">
        <v>29.6</v>
      </c>
      <c r="F877" s="31" t="n">
        <v>51</v>
      </c>
      <c r="G877" s="31" t="n">
        <v>74</v>
      </c>
      <c r="H877" s="2" t="s">
        <v>822</v>
      </c>
    </row>
    <row r="878" customFormat="false" ht="15" hidden="false" customHeight="false" outlineLevel="0" collapsed="false">
      <c r="A878" s="2" t="s">
        <v>688</v>
      </c>
      <c r="B878" s="2" t="s">
        <v>45</v>
      </c>
      <c r="C878" s="2" t="s">
        <v>4274</v>
      </c>
      <c r="D878" s="11" t="n">
        <v>111440</v>
      </c>
      <c r="E878" s="31" t="n">
        <v>69.1</v>
      </c>
      <c r="F878" s="31" t="n">
        <v>69.2</v>
      </c>
      <c r="G878" s="2"/>
      <c r="H878" s="2" t="s">
        <v>832</v>
      </c>
    </row>
    <row r="879" customFormat="false" ht="15" hidden="false" customHeight="false" outlineLevel="0" collapsed="false">
      <c r="A879" s="2" t="s">
        <v>688</v>
      </c>
      <c r="B879" s="2" t="s">
        <v>45</v>
      </c>
      <c r="C879" s="2" t="s">
        <v>4275</v>
      </c>
      <c r="D879" s="11" t="n">
        <v>117610</v>
      </c>
      <c r="E879" s="31" t="n">
        <v>53.7</v>
      </c>
      <c r="F879" s="31" t="n">
        <v>85</v>
      </c>
      <c r="G879" s="31" t="n">
        <v>52</v>
      </c>
      <c r="H879" s="2" t="s">
        <v>822</v>
      </c>
    </row>
    <row r="880" customFormat="false" ht="15" hidden="false" customHeight="false" outlineLevel="0" collapsed="false">
      <c r="A880" s="2" t="s">
        <v>688</v>
      </c>
      <c r="B880" s="2" t="s">
        <v>46</v>
      </c>
      <c r="C880" s="2" t="s">
        <v>4274</v>
      </c>
      <c r="D880" s="11" t="n">
        <v>8406</v>
      </c>
      <c r="E880" s="31" t="n">
        <v>7.2</v>
      </c>
      <c r="F880" s="31" t="n">
        <v>21.1</v>
      </c>
      <c r="G880" s="31" t="n">
        <v>92.7</v>
      </c>
      <c r="H880" s="2" t="s">
        <v>822</v>
      </c>
    </row>
    <row r="881" customFormat="false" ht="15" hidden="false" customHeight="false" outlineLevel="0" collapsed="false">
      <c r="A881" s="2" t="s">
        <v>688</v>
      </c>
      <c r="B881" s="2" t="s">
        <v>46</v>
      </c>
      <c r="C881" s="2" t="s">
        <v>4275</v>
      </c>
      <c r="D881" s="11" t="n">
        <v>8700</v>
      </c>
      <c r="E881" s="31" t="n">
        <v>5.5</v>
      </c>
      <c r="F881" s="31" t="n">
        <v>17</v>
      </c>
      <c r="G881" s="31" t="n">
        <v>96</v>
      </c>
      <c r="H881" s="2" t="s">
        <v>822</v>
      </c>
    </row>
    <row r="882" customFormat="false" ht="15" hidden="false" customHeight="false" outlineLevel="0" collapsed="false">
      <c r="A882" s="2" t="s">
        <v>1158</v>
      </c>
      <c r="B882" s="2" t="s">
        <v>4291</v>
      </c>
      <c r="C882" s="2" t="s">
        <v>4274</v>
      </c>
      <c r="D882" s="2"/>
      <c r="E882" s="31" t="n">
        <v>67.1</v>
      </c>
      <c r="F882" s="31" t="n">
        <v>47.3</v>
      </c>
      <c r="G882" s="31" t="n">
        <v>38.3</v>
      </c>
      <c r="H882" s="2" t="s">
        <v>822</v>
      </c>
    </row>
    <row r="883" customFormat="false" ht="15" hidden="false" customHeight="false" outlineLevel="0" collapsed="false">
      <c r="A883" s="2" t="s">
        <v>1158</v>
      </c>
      <c r="B883" s="2" t="s">
        <v>4291</v>
      </c>
      <c r="C883" s="2" t="s">
        <v>4275</v>
      </c>
      <c r="D883" s="2"/>
      <c r="E883" s="31" t="n">
        <v>72.6</v>
      </c>
      <c r="F883" s="31" t="n">
        <v>20.8</v>
      </c>
      <c r="G883" s="31" t="n">
        <v>52.1</v>
      </c>
      <c r="H883" s="2" t="s">
        <v>832</v>
      </c>
    </row>
    <row r="884" customFormat="false" ht="15" hidden="false" customHeight="false" outlineLevel="0" collapsed="false">
      <c r="A884" s="2" t="s">
        <v>1158</v>
      </c>
      <c r="B884" s="2" t="s">
        <v>45</v>
      </c>
      <c r="C884" s="2" t="s">
        <v>4274</v>
      </c>
      <c r="D884" s="11" t="n">
        <v>91349</v>
      </c>
      <c r="E884" s="31" t="n">
        <v>85.8</v>
      </c>
      <c r="F884" s="31" t="n">
        <v>9.9</v>
      </c>
      <c r="G884" s="31" t="n">
        <v>52</v>
      </c>
      <c r="H884" s="2" t="s">
        <v>822</v>
      </c>
    </row>
    <row r="885" customFormat="false" ht="15" hidden="false" customHeight="false" outlineLevel="0" collapsed="false">
      <c r="A885" s="2" t="s">
        <v>1158</v>
      </c>
      <c r="B885" s="2" t="s">
        <v>45</v>
      </c>
      <c r="C885" s="2" t="s">
        <v>4275</v>
      </c>
      <c r="D885" s="11" t="n">
        <v>93990</v>
      </c>
      <c r="E885" s="31" t="n">
        <v>59.2</v>
      </c>
      <c r="F885" s="31" t="n">
        <v>13.1</v>
      </c>
      <c r="G885" s="31" t="n">
        <v>69.7</v>
      </c>
      <c r="H885" s="2" t="s">
        <v>822</v>
      </c>
    </row>
    <row r="886" customFormat="false" ht="15" hidden="false" customHeight="false" outlineLevel="0" collapsed="false">
      <c r="A886" s="2" t="s">
        <v>1158</v>
      </c>
      <c r="B886" s="2" t="s">
        <v>46</v>
      </c>
      <c r="C886" s="2" t="s">
        <v>4274</v>
      </c>
      <c r="D886" s="11" t="n">
        <v>60360</v>
      </c>
      <c r="E886" s="31" t="n">
        <v>20.5</v>
      </c>
      <c r="F886" s="31" t="n">
        <v>89.9</v>
      </c>
      <c r="G886" s="31" t="n">
        <v>37.9</v>
      </c>
      <c r="H886" s="2" t="s">
        <v>822</v>
      </c>
    </row>
    <row r="887" customFormat="false" ht="15" hidden="false" customHeight="false" outlineLevel="0" collapsed="false">
      <c r="A887" s="2" t="s">
        <v>1158</v>
      </c>
      <c r="B887" s="2" t="s">
        <v>46</v>
      </c>
      <c r="C887" s="2" t="s">
        <v>4275</v>
      </c>
      <c r="D887" s="2"/>
      <c r="E887" s="2"/>
      <c r="F887" s="2"/>
      <c r="G887" s="31" t="n">
        <v>49.7</v>
      </c>
      <c r="H887" s="2" t="s">
        <v>832</v>
      </c>
    </row>
    <row r="888" customFormat="false" ht="15" hidden="false" customHeight="false" outlineLevel="0" collapsed="false">
      <c r="A888" s="2" t="s">
        <v>1158</v>
      </c>
      <c r="B888" s="2" t="s">
        <v>47</v>
      </c>
      <c r="C888" s="2" t="s">
        <v>4274</v>
      </c>
      <c r="D888" s="11" t="n">
        <v>146590</v>
      </c>
      <c r="E888" s="31" t="n">
        <v>95</v>
      </c>
      <c r="F888" s="31" t="n">
        <v>42</v>
      </c>
      <c r="G888" s="31" t="n">
        <v>24.9</v>
      </c>
      <c r="H888" s="2" t="s">
        <v>822</v>
      </c>
    </row>
    <row r="889" customFormat="false" ht="15" hidden="false" customHeight="false" outlineLevel="0" collapsed="false">
      <c r="A889" s="2" t="s">
        <v>1158</v>
      </c>
      <c r="B889" s="2" t="s">
        <v>47</v>
      </c>
      <c r="C889" s="2" t="s">
        <v>4275</v>
      </c>
      <c r="D889" s="11" t="n">
        <v>150336</v>
      </c>
      <c r="E889" s="31" t="n">
        <v>85.9</v>
      </c>
      <c r="F889" s="31" t="n">
        <v>28.6</v>
      </c>
      <c r="G889" s="31" t="n">
        <v>36.9</v>
      </c>
      <c r="H889" s="2" t="s">
        <v>822</v>
      </c>
    </row>
    <row r="890" customFormat="false" ht="15" hidden="false" customHeight="false" outlineLevel="0" collapsed="false">
      <c r="A890" s="2" t="s">
        <v>2976</v>
      </c>
      <c r="B890" s="2" t="s">
        <v>4291</v>
      </c>
      <c r="C890" s="2" t="s">
        <v>4274</v>
      </c>
      <c r="D890" s="2"/>
      <c r="E890" s="31" t="n">
        <v>42.3</v>
      </c>
      <c r="F890" s="31" t="n">
        <v>26.6</v>
      </c>
      <c r="G890" s="31" t="n">
        <v>34.9</v>
      </c>
      <c r="H890" s="2" t="s">
        <v>822</v>
      </c>
    </row>
    <row r="891" customFormat="false" ht="15" hidden="false" customHeight="false" outlineLevel="0" collapsed="false">
      <c r="A891" s="2" t="s">
        <v>2976</v>
      </c>
      <c r="B891" s="2" t="s">
        <v>4291</v>
      </c>
      <c r="C891" s="2" t="s">
        <v>4275</v>
      </c>
      <c r="D891" s="2"/>
      <c r="E891" s="2"/>
      <c r="F891" s="2"/>
      <c r="G891" s="2"/>
      <c r="H891" s="2" t="s">
        <v>832</v>
      </c>
    </row>
    <row r="892" customFormat="false" ht="15" hidden="false" customHeight="false" outlineLevel="0" collapsed="false">
      <c r="A892" s="2" t="s">
        <v>2976</v>
      </c>
      <c r="B892" s="2" t="s">
        <v>46</v>
      </c>
      <c r="C892" s="2" t="s">
        <v>4274</v>
      </c>
      <c r="D892" s="11" t="n">
        <v>44331</v>
      </c>
      <c r="E892" s="31" t="n">
        <v>42.3</v>
      </c>
      <c r="F892" s="31" t="n">
        <v>26.6</v>
      </c>
      <c r="G892" s="31" t="n">
        <v>34.9</v>
      </c>
      <c r="H892" s="2" t="s">
        <v>822</v>
      </c>
    </row>
    <row r="893" customFormat="false" ht="15" hidden="false" customHeight="false" outlineLevel="0" collapsed="false">
      <c r="A893" s="2" t="s">
        <v>2976</v>
      </c>
      <c r="B893" s="2" t="s">
        <v>46</v>
      </c>
      <c r="C893" s="2" t="s">
        <v>4275</v>
      </c>
      <c r="D893" s="2"/>
      <c r="E893" s="2"/>
      <c r="F893" s="2"/>
      <c r="G893" s="2"/>
      <c r="H893" s="2" t="s">
        <v>832</v>
      </c>
    </row>
    <row r="894" customFormat="false" ht="15" hidden="false" customHeight="false" outlineLevel="0" collapsed="false">
      <c r="A894" s="2" t="s">
        <v>252</v>
      </c>
      <c r="B894" s="2" t="s">
        <v>4291</v>
      </c>
      <c r="C894" s="2" t="s">
        <v>4274</v>
      </c>
      <c r="D894" s="2"/>
      <c r="E894" s="31" t="n">
        <v>35.4</v>
      </c>
      <c r="F894" s="31" t="n">
        <v>45.3</v>
      </c>
      <c r="G894" s="31" t="n">
        <v>57.3</v>
      </c>
      <c r="H894" s="2" t="s">
        <v>822</v>
      </c>
    </row>
    <row r="895" customFormat="false" ht="15" hidden="false" customHeight="false" outlineLevel="0" collapsed="false">
      <c r="A895" s="2" t="s">
        <v>252</v>
      </c>
      <c r="B895" s="2" t="s">
        <v>4291</v>
      </c>
      <c r="C895" s="2" t="s">
        <v>4275</v>
      </c>
      <c r="D895" s="2"/>
      <c r="E895" s="31" t="n">
        <v>67.7</v>
      </c>
      <c r="F895" s="31" t="n">
        <v>6.2</v>
      </c>
      <c r="G895" s="31" t="n">
        <v>61.8</v>
      </c>
      <c r="H895" s="2" t="s">
        <v>822</v>
      </c>
    </row>
    <row r="896" customFormat="false" ht="15" hidden="false" customHeight="false" outlineLevel="0" collapsed="false">
      <c r="A896" s="2" t="s">
        <v>252</v>
      </c>
      <c r="B896" s="2" t="s">
        <v>45</v>
      </c>
      <c r="C896" s="2" t="s">
        <v>4274</v>
      </c>
      <c r="D896" s="11" t="n">
        <v>40703</v>
      </c>
      <c r="E896" s="31" t="n">
        <v>35.4</v>
      </c>
      <c r="F896" s="31" t="n">
        <v>45.3</v>
      </c>
      <c r="G896" s="31" t="n">
        <v>57.3</v>
      </c>
      <c r="H896" s="2" t="s">
        <v>822</v>
      </c>
    </row>
    <row r="897" customFormat="false" ht="15" hidden="false" customHeight="false" outlineLevel="0" collapsed="false">
      <c r="A897" s="2" t="s">
        <v>252</v>
      </c>
      <c r="B897" s="2" t="s">
        <v>45</v>
      </c>
      <c r="C897" s="2" t="s">
        <v>4275</v>
      </c>
      <c r="D897" s="11" t="n">
        <v>43660</v>
      </c>
      <c r="E897" s="31" t="n">
        <v>67.7</v>
      </c>
      <c r="F897" s="31" t="n">
        <v>6.2</v>
      </c>
      <c r="G897" s="31" t="n">
        <v>61.8</v>
      </c>
      <c r="H897" s="2" t="s">
        <v>822</v>
      </c>
    </row>
    <row r="898" customFormat="false" ht="15" hidden="false" customHeight="false" outlineLevel="0" collapsed="false">
      <c r="A898" s="2" t="s">
        <v>520</v>
      </c>
      <c r="B898" s="2" t="s">
        <v>4291</v>
      </c>
      <c r="C898" s="2" t="s">
        <v>4274</v>
      </c>
      <c r="D898" s="2"/>
      <c r="E898" s="31" t="n">
        <v>44.3</v>
      </c>
      <c r="F898" s="31" t="n">
        <v>26.4</v>
      </c>
      <c r="G898" s="31" t="n">
        <v>25.8</v>
      </c>
      <c r="H898" s="2" t="s">
        <v>832</v>
      </c>
    </row>
    <row r="899" customFormat="false" ht="15" hidden="false" customHeight="false" outlineLevel="0" collapsed="false">
      <c r="A899" s="2" t="s">
        <v>520</v>
      </c>
      <c r="B899" s="2" t="s">
        <v>4291</v>
      </c>
      <c r="C899" s="2" t="s">
        <v>4275</v>
      </c>
      <c r="D899" s="2"/>
      <c r="E899" s="31" t="n">
        <v>46.3</v>
      </c>
      <c r="F899" s="31" t="n">
        <v>35.6</v>
      </c>
      <c r="G899" s="31" t="n">
        <v>61.7</v>
      </c>
      <c r="H899" s="2" t="s">
        <v>822</v>
      </c>
    </row>
    <row r="900" customFormat="false" ht="15" hidden="false" customHeight="false" outlineLevel="0" collapsed="false">
      <c r="A900" s="2" t="s">
        <v>520</v>
      </c>
      <c r="B900" s="2" t="s">
        <v>45</v>
      </c>
      <c r="C900" s="2" t="s">
        <v>4274</v>
      </c>
      <c r="D900" s="11" t="n">
        <v>16110</v>
      </c>
      <c r="E900" s="31" t="n">
        <v>12.3</v>
      </c>
      <c r="F900" s="31" t="n">
        <v>19</v>
      </c>
      <c r="G900" s="31" t="n">
        <v>8.5</v>
      </c>
      <c r="H900" s="2" t="s">
        <v>822</v>
      </c>
    </row>
    <row r="901" customFormat="false" ht="15" hidden="false" customHeight="false" outlineLevel="0" collapsed="false">
      <c r="A901" s="2" t="s">
        <v>520</v>
      </c>
      <c r="B901" s="2" t="s">
        <v>45</v>
      </c>
      <c r="C901" s="2" t="s">
        <v>4275</v>
      </c>
      <c r="D901" s="11" t="n">
        <v>17016</v>
      </c>
      <c r="E901" s="31" t="n">
        <v>6</v>
      </c>
      <c r="F901" s="31" t="n">
        <v>37.1</v>
      </c>
      <c r="G901" s="31" t="n">
        <v>29.1</v>
      </c>
      <c r="H901" s="2" t="s">
        <v>822</v>
      </c>
    </row>
    <row r="902" customFormat="false" ht="15" hidden="false" customHeight="false" outlineLevel="0" collapsed="false">
      <c r="A902" s="2" t="s">
        <v>520</v>
      </c>
      <c r="B902" s="2" t="s">
        <v>46</v>
      </c>
      <c r="C902" s="2" t="s">
        <v>4274</v>
      </c>
      <c r="D902" s="2"/>
      <c r="E902" s="2"/>
      <c r="F902" s="2"/>
      <c r="G902" s="2"/>
      <c r="H902" s="2" t="s">
        <v>832</v>
      </c>
    </row>
    <row r="903" customFormat="false" ht="15" hidden="false" customHeight="false" outlineLevel="0" collapsed="false">
      <c r="A903" s="2" t="s">
        <v>520</v>
      </c>
      <c r="B903" s="2" t="s">
        <v>46</v>
      </c>
      <c r="C903" s="2" t="s">
        <v>4275</v>
      </c>
      <c r="D903" s="11" t="n">
        <v>11241</v>
      </c>
      <c r="E903" s="31" t="n">
        <v>46.2</v>
      </c>
      <c r="F903" s="31" t="n">
        <v>17.8</v>
      </c>
      <c r="G903" s="31" t="n">
        <v>75.5</v>
      </c>
      <c r="H903" s="2" t="s">
        <v>822</v>
      </c>
    </row>
    <row r="904" customFormat="false" ht="15" hidden="false" customHeight="false" outlineLevel="0" collapsed="false">
      <c r="A904" s="2" t="s">
        <v>520</v>
      </c>
      <c r="B904" s="2" t="s">
        <v>47</v>
      </c>
      <c r="C904" s="2" t="s">
        <v>4274</v>
      </c>
      <c r="D904" s="11" t="n">
        <v>14618</v>
      </c>
      <c r="E904" s="31" t="n">
        <v>76.3</v>
      </c>
      <c r="F904" s="31" t="n">
        <v>33.7</v>
      </c>
      <c r="G904" s="31" t="n">
        <v>43.2</v>
      </c>
      <c r="H904" s="2" t="s">
        <v>822</v>
      </c>
    </row>
    <row r="905" customFormat="false" ht="15" hidden="false" customHeight="false" outlineLevel="0" collapsed="false">
      <c r="A905" s="2" t="s">
        <v>520</v>
      </c>
      <c r="B905" s="2" t="s">
        <v>47</v>
      </c>
      <c r="C905" s="2" t="s">
        <v>4275</v>
      </c>
      <c r="D905" s="11" t="n">
        <v>14740</v>
      </c>
      <c r="E905" s="31" t="n">
        <v>86.6</v>
      </c>
      <c r="F905" s="31" t="n">
        <v>51.9</v>
      </c>
      <c r="G905" s="31" t="n">
        <v>80.5</v>
      </c>
      <c r="H905" s="2" t="s">
        <v>822</v>
      </c>
    </row>
    <row r="906" customFormat="false" ht="15" hidden="false" customHeight="false" outlineLevel="0" collapsed="false">
      <c r="A906" s="2" t="s">
        <v>582</v>
      </c>
      <c r="B906" s="2" t="s">
        <v>4291</v>
      </c>
      <c r="C906" s="2" t="s">
        <v>4274</v>
      </c>
      <c r="D906" s="2"/>
      <c r="E906" s="31" t="n">
        <v>42.1</v>
      </c>
      <c r="F906" s="31" t="n">
        <v>50.4</v>
      </c>
      <c r="G906" s="31" t="n">
        <v>62.8</v>
      </c>
      <c r="H906" s="2" t="s">
        <v>832</v>
      </c>
    </row>
    <row r="907" customFormat="false" ht="15" hidden="false" customHeight="false" outlineLevel="0" collapsed="false">
      <c r="A907" s="2" t="s">
        <v>582</v>
      </c>
      <c r="B907" s="2" t="s">
        <v>4291</v>
      </c>
      <c r="C907" s="2" t="s">
        <v>4275</v>
      </c>
      <c r="D907" s="2"/>
      <c r="E907" s="31" t="n">
        <v>40.7</v>
      </c>
      <c r="F907" s="31" t="n">
        <v>48.8</v>
      </c>
      <c r="G907" s="31" t="n">
        <v>32.8</v>
      </c>
      <c r="H907" s="2" t="s">
        <v>822</v>
      </c>
    </row>
    <row r="908" customFormat="false" ht="15" hidden="false" customHeight="false" outlineLevel="0" collapsed="false">
      <c r="A908" s="2" t="s">
        <v>582</v>
      </c>
      <c r="B908" s="2" t="s">
        <v>45</v>
      </c>
      <c r="C908" s="2" t="s">
        <v>4274</v>
      </c>
      <c r="D908" s="11" t="n">
        <v>13267</v>
      </c>
      <c r="E908" s="31" t="n">
        <v>78</v>
      </c>
      <c r="F908" s="31" t="n">
        <v>79.2</v>
      </c>
      <c r="G908" s="2"/>
      <c r="H908" s="2" t="s">
        <v>832</v>
      </c>
    </row>
    <row r="909" customFormat="false" ht="15" hidden="false" customHeight="false" outlineLevel="0" collapsed="false">
      <c r="A909" s="2" t="s">
        <v>582</v>
      </c>
      <c r="B909" s="2" t="s">
        <v>45</v>
      </c>
      <c r="C909" s="2" t="s">
        <v>4275</v>
      </c>
      <c r="D909" s="11" t="n">
        <v>13890</v>
      </c>
      <c r="E909" s="31" t="n">
        <v>66.9</v>
      </c>
      <c r="F909" s="31" t="n">
        <v>77.3</v>
      </c>
      <c r="G909" s="31" t="n">
        <v>24.2</v>
      </c>
      <c r="H909" s="2" t="s">
        <v>822</v>
      </c>
    </row>
    <row r="910" customFormat="false" ht="15" hidden="false" customHeight="false" outlineLevel="0" collapsed="false">
      <c r="A910" s="2" t="s">
        <v>582</v>
      </c>
      <c r="B910" s="2" t="s">
        <v>46</v>
      </c>
      <c r="C910" s="2" t="s">
        <v>4274</v>
      </c>
      <c r="D910" s="11" t="n">
        <v>22531</v>
      </c>
      <c r="E910" s="31" t="n">
        <v>7</v>
      </c>
      <c r="F910" s="31" t="n">
        <v>28.5</v>
      </c>
      <c r="G910" s="31" t="n">
        <v>60</v>
      </c>
      <c r="H910" s="2" t="s">
        <v>822</v>
      </c>
    </row>
    <row r="911" customFormat="false" ht="15" hidden="false" customHeight="false" outlineLevel="0" collapsed="false">
      <c r="A911" s="2" t="s">
        <v>582</v>
      </c>
      <c r="B911" s="2" t="s">
        <v>46</v>
      </c>
      <c r="C911" s="2" t="s">
        <v>4275</v>
      </c>
      <c r="D911" s="11" t="n">
        <v>22870</v>
      </c>
      <c r="E911" s="31" t="n">
        <v>16.3</v>
      </c>
      <c r="F911" s="31" t="n">
        <v>29.8</v>
      </c>
      <c r="G911" s="31" t="n">
        <v>20.8</v>
      </c>
      <c r="H911" s="2" t="s">
        <v>822</v>
      </c>
    </row>
    <row r="912" customFormat="false" ht="15" hidden="false" customHeight="false" outlineLevel="0" collapsed="false">
      <c r="A912" s="2" t="s">
        <v>582</v>
      </c>
      <c r="B912" s="2" t="s">
        <v>47</v>
      </c>
      <c r="C912" s="2" t="s">
        <v>4274</v>
      </c>
      <c r="D912" s="11" t="n">
        <v>10426</v>
      </c>
      <c r="E912" s="31" t="n">
        <v>41.3</v>
      </c>
      <c r="F912" s="31" t="n">
        <v>43.5</v>
      </c>
      <c r="G912" s="31" t="n">
        <v>65.6</v>
      </c>
      <c r="H912" s="2" t="s">
        <v>822</v>
      </c>
    </row>
    <row r="913" customFormat="false" ht="15" hidden="false" customHeight="false" outlineLevel="0" collapsed="false">
      <c r="A913" s="2" t="s">
        <v>582</v>
      </c>
      <c r="B913" s="2" t="s">
        <v>47</v>
      </c>
      <c r="C913" s="2" t="s">
        <v>4275</v>
      </c>
      <c r="D913" s="11" t="n">
        <v>10387</v>
      </c>
      <c r="E913" s="31" t="n">
        <v>38.8</v>
      </c>
      <c r="F913" s="31" t="n">
        <v>39.3</v>
      </c>
      <c r="G913" s="31" t="n">
        <v>53.4</v>
      </c>
      <c r="H913" s="2" t="s">
        <v>822</v>
      </c>
    </row>
    <row r="914" customFormat="false" ht="15" hidden="false" customHeight="false" outlineLevel="0" collapsed="false">
      <c r="A914" s="2" t="s">
        <v>1057</v>
      </c>
      <c r="B914" s="2" t="s">
        <v>4291</v>
      </c>
      <c r="C914" s="2" t="s">
        <v>4274</v>
      </c>
      <c r="D914" s="2"/>
      <c r="E914" s="31" t="n">
        <v>80.2</v>
      </c>
      <c r="F914" s="31" t="n">
        <v>39.1</v>
      </c>
      <c r="G914" s="31" t="n">
        <v>55.5</v>
      </c>
      <c r="H914" s="2" t="s">
        <v>832</v>
      </c>
    </row>
    <row r="915" customFormat="false" ht="15" hidden="false" customHeight="false" outlineLevel="0" collapsed="false">
      <c r="A915" s="2" t="s">
        <v>1057</v>
      </c>
      <c r="B915" s="2" t="s">
        <v>4291</v>
      </c>
      <c r="C915" s="2" t="s">
        <v>4275</v>
      </c>
      <c r="D915" s="2"/>
      <c r="E915" s="31" t="n">
        <v>60.8</v>
      </c>
      <c r="F915" s="31" t="n">
        <v>44</v>
      </c>
      <c r="G915" s="31" t="n">
        <v>29.4</v>
      </c>
      <c r="H915" s="2" t="s">
        <v>832</v>
      </c>
    </row>
    <row r="916" customFormat="false" ht="15" hidden="false" customHeight="false" outlineLevel="0" collapsed="false">
      <c r="A916" s="2" t="s">
        <v>1057</v>
      </c>
      <c r="B916" s="2" t="s">
        <v>45</v>
      </c>
      <c r="C916" s="2" t="s">
        <v>4274</v>
      </c>
      <c r="D916" s="11" t="n">
        <v>87350</v>
      </c>
      <c r="E916" s="31" t="n">
        <v>85.7</v>
      </c>
      <c r="F916" s="31" t="n">
        <v>39.1</v>
      </c>
      <c r="G916" s="2"/>
      <c r="H916" s="2" t="s">
        <v>822</v>
      </c>
    </row>
    <row r="917" customFormat="false" ht="15" hidden="false" customHeight="false" outlineLevel="0" collapsed="false">
      <c r="A917" s="2" t="s">
        <v>1057</v>
      </c>
      <c r="B917" s="2" t="s">
        <v>45</v>
      </c>
      <c r="C917" s="2" t="s">
        <v>4275</v>
      </c>
      <c r="D917" s="11" t="n">
        <v>91690</v>
      </c>
      <c r="E917" s="31" t="n">
        <v>72.2</v>
      </c>
      <c r="F917" s="31" t="n">
        <v>44</v>
      </c>
      <c r="G917" s="2"/>
      <c r="H917" s="2" t="s">
        <v>822</v>
      </c>
    </row>
    <row r="918" customFormat="false" ht="15" hidden="false" customHeight="false" outlineLevel="0" collapsed="false">
      <c r="A918" s="2" t="s">
        <v>1057</v>
      </c>
      <c r="B918" s="2" t="s">
        <v>46</v>
      </c>
      <c r="C918" s="2" t="s">
        <v>4274</v>
      </c>
      <c r="D918" s="11" t="n">
        <v>2940</v>
      </c>
      <c r="E918" s="31" t="n">
        <v>74.8</v>
      </c>
      <c r="F918" s="2"/>
      <c r="G918" s="31" t="n">
        <v>55.5</v>
      </c>
      <c r="H918" s="2" t="s">
        <v>832</v>
      </c>
    </row>
    <row r="919" customFormat="false" ht="15" hidden="false" customHeight="false" outlineLevel="0" collapsed="false">
      <c r="A919" s="2" t="s">
        <v>1057</v>
      </c>
      <c r="B919" s="2" t="s">
        <v>46</v>
      </c>
      <c r="C919" s="2" t="s">
        <v>4275</v>
      </c>
      <c r="D919" s="11" t="n">
        <v>3150</v>
      </c>
      <c r="E919" s="31" t="n">
        <v>49.5</v>
      </c>
      <c r="F919" s="2"/>
      <c r="G919" s="31" t="n">
        <v>29.4</v>
      </c>
      <c r="H919" s="2" t="s">
        <v>832</v>
      </c>
    </row>
    <row r="920" customFormat="false" ht="15" hidden="false" customHeight="false" outlineLevel="0" collapsed="false">
      <c r="A920" s="2" t="s">
        <v>1926</v>
      </c>
      <c r="B920" s="2" t="s">
        <v>4291</v>
      </c>
      <c r="C920" s="2" t="s">
        <v>4274</v>
      </c>
      <c r="D920" s="2"/>
      <c r="E920" s="31" t="n">
        <v>65</v>
      </c>
      <c r="F920" s="31" t="n">
        <v>23.4</v>
      </c>
      <c r="G920" s="31" t="n">
        <v>32</v>
      </c>
      <c r="H920" s="2" t="s">
        <v>832</v>
      </c>
    </row>
    <row r="921" customFormat="false" ht="15" hidden="false" customHeight="false" outlineLevel="0" collapsed="false">
      <c r="A921" s="2" t="s">
        <v>1926</v>
      </c>
      <c r="B921" s="2" t="s">
        <v>4291</v>
      </c>
      <c r="C921" s="2" t="s">
        <v>4275</v>
      </c>
      <c r="D921" s="2"/>
      <c r="E921" s="31" t="n">
        <v>45</v>
      </c>
      <c r="F921" s="31" t="n">
        <v>45.8</v>
      </c>
      <c r="G921" s="31" t="n">
        <v>33.6</v>
      </c>
      <c r="H921" s="2" t="s">
        <v>832</v>
      </c>
    </row>
    <row r="922" customFormat="false" ht="15" hidden="false" customHeight="false" outlineLevel="0" collapsed="false">
      <c r="A922" s="2" t="s">
        <v>1926</v>
      </c>
      <c r="B922" s="2" t="s">
        <v>45</v>
      </c>
      <c r="C922" s="2" t="s">
        <v>4274</v>
      </c>
      <c r="D922" s="11" t="n">
        <v>19577</v>
      </c>
      <c r="E922" s="31" t="n">
        <v>24</v>
      </c>
      <c r="F922" s="31" t="n">
        <v>23.4</v>
      </c>
      <c r="G922" s="31" t="n">
        <v>58.8</v>
      </c>
      <c r="H922" s="2" t="s">
        <v>822</v>
      </c>
    </row>
    <row r="923" customFormat="false" ht="15" hidden="false" customHeight="false" outlineLevel="0" collapsed="false">
      <c r="A923" s="2" t="s">
        <v>1926</v>
      </c>
      <c r="B923" s="2" t="s">
        <v>45</v>
      </c>
      <c r="C923" s="2" t="s">
        <v>4275</v>
      </c>
      <c r="D923" s="2"/>
      <c r="E923" s="2"/>
      <c r="F923" s="2"/>
      <c r="G923" s="2"/>
      <c r="H923" s="2" t="s">
        <v>832</v>
      </c>
    </row>
    <row r="924" customFormat="false" ht="15" hidden="false" customHeight="false" outlineLevel="0" collapsed="false">
      <c r="A924" s="2" t="s">
        <v>1926</v>
      </c>
      <c r="B924" s="2" t="s">
        <v>46</v>
      </c>
      <c r="C924" s="2" t="s">
        <v>4274</v>
      </c>
      <c r="D924" s="11" t="n">
        <v>14280</v>
      </c>
      <c r="E924" s="31" t="n">
        <v>82.4</v>
      </c>
      <c r="F924" s="2"/>
      <c r="G924" s="2"/>
      <c r="H924" s="2" t="s">
        <v>832</v>
      </c>
    </row>
    <row r="925" customFormat="false" ht="15" hidden="false" customHeight="false" outlineLevel="0" collapsed="false">
      <c r="A925" s="2" t="s">
        <v>1926</v>
      </c>
      <c r="B925" s="2" t="s">
        <v>46</v>
      </c>
      <c r="C925" s="2" t="s">
        <v>4275</v>
      </c>
      <c r="D925" s="11" t="n">
        <v>14950</v>
      </c>
      <c r="E925" s="31" t="n">
        <v>45</v>
      </c>
      <c r="F925" s="31" t="n">
        <v>45.8</v>
      </c>
      <c r="G925" s="31" t="n">
        <v>33.6</v>
      </c>
      <c r="H925" s="2" t="s">
        <v>822</v>
      </c>
    </row>
    <row r="926" customFormat="false" ht="15" hidden="false" customHeight="false" outlineLevel="0" collapsed="false">
      <c r="A926" s="2" t="s">
        <v>1926</v>
      </c>
      <c r="B926" s="2" t="s">
        <v>47</v>
      </c>
      <c r="C926" s="2" t="s">
        <v>4274</v>
      </c>
      <c r="D926" s="11" t="n">
        <v>33540</v>
      </c>
      <c r="E926" s="31" t="n">
        <v>88.6</v>
      </c>
      <c r="F926" s="2"/>
      <c r="G926" s="31" t="n">
        <v>5.1</v>
      </c>
      <c r="H926" s="2" t="s">
        <v>832</v>
      </c>
    </row>
    <row r="927" customFormat="false" ht="15" hidden="false" customHeight="false" outlineLevel="0" collapsed="false">
      <c r="A927" s="2" t="s">
        <v>1926</v>
      </c>
      <c r="B927" s="2" t="s">
        <v>47</v>
      </c>
      <c r="C927" s="2" t="s">
        <v>4275</v>
      </c>
      <c r="D927" s="2"/>
      <c r="E927" s="2"/>
      <c r="F927" s="2"/>
      <c r="G927" s="2"/>
      <c r="H927" s="2" t="s">
        <v>832</v>
      </c>
    </row>
    <row r="928" customFormat="false" ht="15" hidden="false" customHeight="false" outlineLevel="0" collapsed="false">
      <c r="A928" s="2" t="s">
        <v>368</v>
      </c>
      <c r="B928" s="2" t="s">
        <v>4291</v>
      </c>
      <c r="C928" s="2" t="s">
        <v>4274</v>
      </c>
      <c r="D928" s="2"/>
      <c r="E928" s="31" t="n">
        <v>68.5</v>
      </c>
      <c r="F928" s="31" t="n">
        <v>58.9</v>
      </c>
      <c r="G928" s="31" t="n">
        <v>52.1</v>
      </c>
      <c r="H928" s="2" t="s">
        <v>822</v>
      </c>
    </row>
    <row r="929" customFormat="false" ht="15" hidden="false" customHeight="false" outlineLevel="0" collapsed="false">
      <c r="A929" s="2" t="s">
        <v>368</v>
      </c>
      <c r="B929" s="2" t="s">
        <v>4291</v>
      </c>
      <c r="C929" s="2" t="s">
        <v>4275</v>
      </c>
      <c r="D929" s="2"/>
      <c r="E929" s="31" t="n">
        <v>57.5</v>
      </c>
      <c r="F929" s="31" t="n">
        <v>56.7</v>
      </c>
      <c r="G929" s="31" t="n">
        <v>63.2</v>
      </c>
      <c r="H929" s="2" t="s">
        <v>822</v>
      </c>
    </row>
    <row r="930" customFormat="false" ht="15" hidden="false" customHeight="false" outlineLevel="0" collapsed="false">
      <c r="A930" s="2" t="s">
        <v>368</v>
      </c>
      <c r="B930" s="2" t="s">
        <v>45</v>
      </c>
      <c r="C930" s="2" t="s">
        <v>4274</v>
      </c>
      <c r="D930" s="11" t="n">
        <v>96410</v>
      </c>
      <c r="E930" s="31" t="n">
        <v>61.3</v>
      </c>
      <c r="F930" s="31" t="n">
        <v>95.6</v>
      </c>
      <c r="G930" s="31" t="n">
        <v>15.6</v>
      </c>
      <c r="H930" s="2" t="s">
        <v>822</v>
      </c>
    </row>
    <row r="931" customFormat="false" ht="15" hidden="false" customHeight="false" outlineLevel="0" collapsed="false">
      <c r="A931" s="2" t="s">
        <v>368</v>
      </c>
      <c r="B931" s="2" t="s">
        <v>45</v>
      </c>
      <c r="C931" s="2" t="s">
        <v>4275</v>
      </c>
      <c r="D931" s="11" t="n">
        <v>101987</v>
      </c>
      <c r="E931" s="31" t="n">
        <v>29.9</v>
      </c>
      <c r="F931" s="31" t="n">
        <v>87.9</v>
      </c>
      <c r="G931" s="31" t="n">
        <v>6.3</v>
      </c>
      <c r="H931" s="2" t="s">
        <v>822</v>
      </c>
    </row>
    <row r="932" customFormat="false" ht="15" hidden="false" customHeight="false" outlineLevel="0" collapsed="false">
      <c r="A932" s="2" t="s">
        <v>368</v>
      </c>
      <c r="B932" s="2" t="s">
        <v>46</v>
      </c>
      <c r="C932" s="2" t="s">
        <v>4274</v>
      </c>
      <c r="D932" s="11" t="n">
        <v>62295</v>
      </c>
      <c r="E932" s="31" t="n">
        <v>95.7</v>
      </c>
      <c r="F932" s="31" t="n">
        <v>4.5</v>
      </c>
      <c r="G932" s="31" t="n">
        <v>97.7</v>
      </c>
      <c r="H932" s="2" t="s">
        <v>822</v>
      </c>
    </row>
    <row r="933" customFormat="false" ht="15" hidden="false" customHeight="false" outlineLevel="0" collapsed="false">
      <c r="A933" s="2" t="s">
        <v>368</v>
      </c>
      <c r="B933" s="2" t="s">
        <v>46</v>
      </c>
      <c r="C933" s="2" t="s">
        <v>4275</v>
      </c>
      <c r="D933" s="11" t="n">
        <v>62880</v>
      </c>
      <c r="E933" s="31" t="n">
        <v>94.3</v>
      </c>
      <c r="F933" s="31" t="n">
        <v>3.3</v>
      </c>
      <c r="G933" s="31" t="n">
        <v>99.3</v>
      </c>
      <c r="H933" s="2" t="s">
        <v>822</v>
      </c>
    </row>
    <row r="934" customFormat="false" ht="15" hidden="false" customHeight="false" outlineLevel="0" collapsed="false">
      <c r="A934" s="2" t="s">
        <v>368</v>
      </c>
      <c r="B934" s="2" t="s">
        <v>47</v>
      </c>
      <c r="C934" s="2" t="s">
        <v>4274</v>
      </c>
      <c r="D934" s="11" t="n">
        <v>207278</v>
      </c>
      <c r="E934" s="31" t="n">
        <v>48.4</v>
      </c>
      <c r="F934" s="31" t="n">
        <v>76.5</v>
      </c>
      <c r="G934" s="31" t="n">
        <v>43</v>
      </c>
      <c r="H934" s="2" t="s">
        <v>822</v>
      </c>
    </row>
    <row r="935" customFormat="false" ht="15" hidden="false" customHeight="false" outlineLevel="0" collapsed="false">
      <c r="A935" s="2" t="s">
        <v>368</v>
      </c>
      <c r="B935" s="2" t="s">
        <v>47</v>
      </c>
      <c r="C935" s="2" t="s">
        <v>4275</v>
      </c>
      <c r="D935" s="11" t="n">
        <v>216580</v>
      </c>
      <c r="E935" s="31" t="n">
        <v>48.3</v>
      </c>
      <c r="F935" s="31" t="n">
        <v>78.9</v>
      </c>
      <c r="G935" s="31" t="n">
        <v>83.9</v>
      </c>
      <c r="H935" s="2" t="s">
        <v>822</v>
      </c>
    </row>
    <row r="936" customFormat="false" ht="15" hidden="false" customHeight="false" outlineLevel="0" collapsed="false">
      <c r="A936" s="2" t="s">
        <v>508</v>
      </c>
      <c r="B936" s="2" t="s">
        <v>4291</v>
      </c>
      <c r="C936" s="2" t="s">
        <v>4274</v>
      </c>
      <c r="D936" s="2"/>
      <c r="E936" s="31" t="n">
        <v>40.2</v>
      </c>
      <c r="F936" s="31" t="n">
        <v>68.6</v>
      </c>
      <c r="G936" s="31" t="n">
        <v>51.6</v>
      </c>
      <c r="H936" s="2" t="s">
        <v>822</v>
      </c>
    </row>
    <row r="937" customFormat="false" ht="15" hidden="false" customHeight="false" outlineLevel="0" collapsed="false">
      <c r="A937" s="2" t="s">
        <v>508</v>
      </c>
      <c r="B937" s="2" t="s">
        <v>4291</v>
      </c>
      <c r="C937" s="2" t="s">
        <v>4275</v>
      </c>
      <c r="D937" s="2"/>
      <c r="E937" s="31" t="n">
        <v>47.8</v>
      </c>
      <c r="F937" s="31" t="n">
        <v>74.6</v>
      </c>
      <c r="G937" s="31" t="n">
        <v>40.8</v>
      </c>
      <c r="H937" s="2" t="s">
        <v>822</v>
      </c>
    </row>
    <row r="938" customFormat="false" ht="15" hidden="false" customHeight="false" outlineLevel="0" collapsed="false">
      <c r="A938" s="2" t="s">
        <v>508</v>
      </c>
      <c r="B938" s="2" t="s">
        <v>45</v>
      </c>
      <c r="C938" s="2" t="s">
        <v>4274</v>
      </c>
      <c r="D938" s="11" t="n">
        <v>14440</v>
      </c>
      <c r="E938" s="31" t="n">
        <v>74.9</v>
      </c>
      <c r="F938" s="31" t="n">
        <v>63.9</v>
      </c>
      <c r="G938" s="31" t="n">
        <v>58</v>
      </c>
      <c r="H938" s="2" t="s">
        <v>822</v>
      </c>
    </row>
    <row r="939" customFormat="false" ht="15" hidden="false" customHeight="false" outlineLevel="0" collapsed="false">
      <c r="A939" s="2" t="s">
        <v>508</v>
      </c>
      <c r="B939" s="2" t="s">
        <v>45</v>
      </c>
      <c r="C939" s="2" t="s">
        <v>4275</v>
      </c>
      <c r="D939" s="11" t="n">
        <v>14750</v>
      </c>
      <c r="E939" s="31" t="n">
        <v>81.5</v>
      </c>
      <c r="F939" s="31" t="n">
        <v>73.9</v>
      </c>
      <c r="G939" s="31" t="n">
        <v>63.4</v>
      </c>
      <c r="H939" s="2" t="s">
        <v>822</v>
      </c>
    </row>
    <row r="940" customFormat="false" ht="15" hidden="false" customHeight="false" outlineLevel="0" collapsed="false">
      <c r="A940" s="2" t="s">
        <v>508</v>
      </c>
      <c r="B940" s="2" t="s">
        <v>47</v>
      </c>
      <c r="C940" s="2" t="s">
        <v>4274</v>
      </c>
      <c r="D940" s="11" t="n">
        <v>10112</v>
      </c>
      <c r="E940" s="31" t="n">
        <v>5.5</v>
      </c>
      <c r="F940" s="31" t="n">
        <v>73.2</v>
      </c>
      <c r="G940" s="31" t="n">
        <v>45.1</v>
      </c>
      <c r="H940" s="2" t="s">
        <v>822</v>
      </c>
    </row>
    <row r="941" customFormat="false" ht="15" hidden="false" customHeight="false" outlineLevel="0" collapsed="false">
      <c r="A941" s="2" t="s">
        <v>508</v>
      </c>
      <c r="B941" s="2" t="s">
        <v>47</v>
      </c>
      <c r="C941" s="2" t="s">
        <v>4275</v>
      </c>
      <c r="D941" s="11" t="n">
        <v>10335</v>
      </c>
      <c r="E941" s="31" t="n">
        <v>14.1</v>
      </c>
      <c r="F941" s="31" t="n">
        <v>75.3</v>
      </c>
      <c r="G941" s="31" t="n">
        <v>18.3</v>
      </c>
      <c r="H941" s="2" t="s">
        <v>822</v>
      </c>
    </row>
    <row r="942" customFormat="false" ht="15" hidden="false" customHeight="false" outlineLevel="0" collapsed="false">
      <c r="A942" s="2" t="s">
        <v>532</v>
      </c>
      <c r="B942" s="2" t="s">
        <v>4291</v>
      </c>
      <c r="C942" s="2" t="s">
        <v>4274</v>
      </c>
      <c r="D942" s="2"/>
      <c r="E942" s="31" t="n">
        <v>33.6</v>
      </c>
      <c r="F942" s="31" t="n">
        <v>7.7</v>
      </c>
      <c r="G942" s="31" t="n">
        <v>6.2</v>
      </c>
      <c r="H942" s="2" t="s">
        <v>822</v>
      </c>
    </row>
    <row r="943" customFormat="false" ht="15" hidden="false" customHeight="false" outlineLevel="0" collapsed="false">
      <c r="A943" s="2" t="s">
        <v>532</v>
      </c>
      <c r="B943" s="2" t="s">
        <v>4291</v>
      </c>
      <c r="C943" s="2" t="s">
        <v>4275</v>
      </c>
      <c r="D943" s="2"/>
      <c r="E943" s="31" t="n">
        <v>45.5</v>
      </c>
      <c r="F943" s="31" t="n">
        <v>7.1</v>
      </c>
      <c r="G943" s="31" t="n">
        <v>8.2</v>
      </c>
      <c r="H943" s="2" t="s">
        <v>822</v>
      </c>
    </row>
    <row r="944" customFormat="false" ht="15" hidden="false" customHeight="false" outlineLevel="0" collapsed="false">
      <c r="A944" s="2" t="s">
        <v>532</v>
      </c>
      <c r="B944" s="2" t="s">
        <v>47</v>
      </c>
      <c r="C944" s="2" t="s">
        <v>4274</v>
      </c>
      <c r="D944" s="11" t="n">
        <v>2889469</v>
      </c>
      <c r="E944" s="31" t="n">
        <v>33.6</v>
      </c>
      <c r="F944" s="31" t="n">
        <v>7.7</v>
      </c>
      <c r="G944" s="31" t="n">
        <v>6.2</v>
      </c>
      <c r="H944" s="2" t="s">
        <v>822</v>
      </c>
    </row>
    <row r="945" customFormat="false" ht="15" hidden="false" customHeight="false" outlineLevel="0" collapsed="false">
      <c r="A945" s="2" t="s">
        <v>532</v>
      </c>
      <c r="B945" s="2" t="s">
        <v>47</v>
      </c>
      <c r="C945" s="2" t="s">
        <v>4275</v>
      </c>
      <c r="D945" s="11" t="n">
        <v>2794445</v>
      </c>
      <c r="E945" s="31" t="n">
        <v>45.5</v>
      </c>
      <c r="F945" s="31" t="n">
        <v>7.1</v>
      </c>
      <c r="G945" s="31" t="n">
        <v>8.2</v>
      </c>
      <c r="H945" s="2" t="s">
        <v>822</v>
      </c>
    </row>
    <row r="946" customFormat="false" ht="15" hidden="false" customHeight="false" outlineLevel="0" collapsed="false">
      <c r="A946" s="2" t="s">
        <v>644</v>
      </c>
      <c r="B946" s="2" t="s">
        <v>4291</v>
      </c>
      <c r="C946" s="2" t="s">
        <v>4274</v>
      </c>
      <c r="D946" s="2"/>
      <c r="E946" s="31" t="n">
        <v>15.3</v>
      </c>
      <c r="F946" s="31" t="n">
        <v>88.5</v>
      </c>
      <c r="G946" s="31" t="n">
        <v>6.2</v>
      </c>
      <c r="H946" s="2" t="s">
        <v>832</v>
      </c>
    </row>
    <row r="947" customFormat="false" ht="15" hidden="false" customHeight="false" outlineLevel="0" collapsed="false">
      <c r="A947" s="2" t="s">
        <v>644</v>
      </c>
      <c r="B947" s="2" t="s">
        <v>4291</v>
      </c>
      <c r="C947" s="2" t="s">
        <v>4275</v>
      </c>
      <c r="D947" s="2"/>
      <c r="E947" s="31" t="n">
        <v>35.3</v>
      </c>
      <c r="F947" s="31" t="n">
        <v>56.2</v>
      </c>
      <c r="G947" s="31" t="n">
        <v>47.8</v>
      </c>
      <c r="H947" s="2" t="s">
        <v>822</v>
      </c>
    </row>
    <row r="948" customFormat="false" ht="15" hidden="false" customHeight="false" outlineLevel="0" collapsed="false">
      <c r="A948" s="2" t="s">
        <v>644</v>
      </c>
      <c r="B948" s="2" t="s">
        <v>45</v>
      </c>
      <c r="C948" s="2" t="s">
        <v>4274</v>
      </c>
      <c r="D948" s="2"/>
      <c r="E948" s="2"/>
      <c r="F948" s="2"/>
      <c r="G948" s="2"/>
      <c r="H948" s="2" t="s">
        <v>832</v>
      </c>
    </row>
    <row r="949" customFormat="false" ht="15" hidden="false" customHeight="false" outlineLevel="0" collapsed="false">
      <c r="A949" s="2" t="s">
        <v>644</v>
      </c>
      <c r="B949" s="2" t="s">
        <v>45</v>
      </c>
      <c r="C949" s="2" t="s">
        <v>4275</v>
      </c>
      <c r="D949" s="11" t="n">
        <v>1420030</v>
      </c>
      <c r="E949" s="31" t="n">
        <v>12.7</v>
      </c>
      <c r="F949" s="31" t="n">
        <v>64.7</v>
      </c>
      <c r="G949" s="31" t="n">
        <v>4</v>
      </c>
      <c r="H949" s="2" t="s">
        <v>822</v>
      </c>
    </row>
    <row r="950" customFormat="false" ht="15" hidden="false" customHeight="false" outlineLevel="0" collapsed="false">
      <c r="A950" s="2" t="s">
        <v>644</v>
      </c>
      <c r="B950" s="2" t="s">
        <v>46</v>
      </c>
      <c r="C950" s="2" t="s">
        <v>4274</v>
      </c>
      <c r="D950" s="11" t="n">
        <v>175144</v>
      </c>
      <c r="E950" s="31" t="n">
        <v>15.3</v>
      </c>
      <c r="F950" s="31" t="n">
        <v>88.5</v>
      </c>
      <c r="G950" s="31" t="n">
        <v>6.2</v>
      </c>
      <c r="H950" s="2" t="s">
        <v>822</v>
      </c>
    </row>
    <row r="951" customFormat="false" ht="15" hidden="false" customHeight="false" outlineLevel="0" collapsed="false">
      <c r="A951" s="2" t="s">
        <v>644</v>
      </c>
      <c r="B951" s="2" t="s">
        <v>46</v>
      </c>
      <c r="C951" s="2" t="s">
        <v>4275</v>
      </c>
      <c r="D951" s="11" t="n">
        <v>173250</v>
      </c>
      <c r="E951" s="31" t="n">
        <v>13.8</v>
      </c>
      <c r="F951" s="31" t="n">
        <v>90.4</v>
      </c>
      <c r="G951" s="31" t="n">
        <v>58.1</v>
      </c>
      <c r="H951" s="2" t="s">
        <v>822</v>
      </c>
    </row>
    <row r="952" customFormat="false" ht="15" hidden="false" customHeight="false" outlineLevel="0" collapsed="false">
      <c r="A952" s="2" t="s">
        <v>644</v>
      </c>
      <c r="B952" s="2" t="s">
        <v>47</v>
      </c>
      <c r="C952" s="2" t="s">
        <v>4274</v>
      </c>
      <c r="D952" s="2"/>
      <c r="E952" s="2"/>
      <c r="F952" s="2"/>
      <c r="G952" s="2"/>
      <c r="H952" s="2" t="s">
        <v>832</v>
      </c>
    </row>
    <row r="953" customFormat="false" ht="15" hidden="false" customHeight="false" outlineLevel="0" collapsed="false">
      <c r="A953" s="2" t="s">
        <v>644</v>
      </c>
      <c r="B953" s="2" t="s">
        <v>47</v>
      </c>
      <c r="C953" s="2" t="s">
        <v>4275</v>
      </c>
      <c r="D953" s="11" t="n">
        <v>53223</v>
      </c>
      <c r="E953" s="31" t="n">
        <v>79.5</v>
      </c>
      <c r="F953" s="31" t="n">
        <v>13.6</v>
      </c>
      <c r="G953" s="31" t="n">
        <v>81.2</v>
      </c>
      <c r="H953" s="2" t="s">
        <v>822</v>
      </c>
    </row>
    <row r="954" customFormat="false" ht="15" hidden="false" customHeight="false" outlineLevel="0" collapsed="false">
      <c r="A954" s="2" t="s">
        <v>980</v>
      </c>
      <c r="B954" s="2" t="s">
        <v>4291</v>
      </c>
      <c r="C954" s="2" t="s">
        <v>4274</v>
      </c>
      <c r="D954" s="2"/>
      <c r="E954" s="31" t="n">
        <v>62.9</v>
      </c>
      <c r="F954" s="31" t="n">
        <v>29.2</v>
      </c>
      <c r="G954" s="31" t="n">
        <v>67.9</v>
      </c>
      <c r="H954" s="2" t="s">
        <v>822</v>
      </c>
    </row>
    <row r="955" customFormat="false" ht="15" hidden="false" customHeight="false" outlineLevel="0" collapsed="false">
      <c r="A955" s="2" t="s">
        <v>980</v>
      </c>
      <c r="B955" s="2" t="s">
        <v>4291</v>
      </c>
      <c r="C955" s="2" t="s">
        <v>4275</v>
      </c>
      <c r="D955" s="2"/>
      <c r="E955" s="31" t="n">
        <v>65.8</v>
      </c>
      <c r="F955" s="31" t="n">
        <v>20.8</v>
      </c>
      <c r="G955" s="31" t="n">
        <v>54.6</v>
      </c>
      <c r="H955" s="2" t="s">
        <v>832</v>
      </c>
    </row>
    <row r="956" customFormat="false" ht="15" hidden="false" customHeight="false" outlineLevel="0" collapsed="false">
      <c r="A956" s="2" t="s">
        <v>980</v>
      </c>
      <c r="B956" s="2" t="s">
        <v>45</v>
      </c>
      <c r="C956" s="2" t="s">
        <v>4274</v>
      </c>
      <c r="D956" s="11" t="n">
        <v>17360</v>
      </c>
      <c r="E956" s="31" t="n">
        <v>71.7</v>
      </c>
      <c r="F956" s="31" t="n">
        <v>40.9</v>
      </c>
      <c r="G956" s="31" t="n">
        <v>43.2</v>
      </c>
      <c r="H956" s="2" t="s">
        <v>822</v>
      </c>
    </row>
    <row r="957" customFormat="false" ht="15" hidden="false" customHeight="false" outlineLevel="0" collapsed="false">
      <c r="A957" s="2" t="s">
        <v>980</v>
      </c>
      <c r="B957" s="2" t="s">
        <v>45</v>
      </c>
      <c r="C957" s="2" t="s">
        <v>4275</v>
      </c>
      <c r="D957" s="11" t="n">
        <v>17150</v>
      </c>
      <c r="E957" s="31" t="n">
        <v>81.3</v>
      </c>
      <c r="F957" s="31" t="n">
        <v>22</v>
      </c>
      <c r="G957" s="31" t="n">
        <v>31</v>
      </c>
      <c r="H957" s="2" t="s">
        <v>822</v>
      </c>
    </row>
    <row r="958" customFormat="false" ht="15" hidden="false" customHeight="false" outlineLevel="0" collapsed="false">
      <c r="A958" s="2" t="s">
        <v>980</v>
      </c>
      <c r="B958" s="2" t="s">
        <v>46</v>
      </c>
      <c r="C958" s="2" t="s">
        <v>4274</v>
      </c>
      <c r="D958" s="11" t="n">
        <v>19515</v>
      </c>
      <c r="E958" s="31" t="n">
        <v>38.9</v>
      </c>
      <c r="F958" s="31" t="n">
        <v>31.8</v>
      </c>
      <c r="G958" s="31" t="n">
        <v>92.5</v>
      </c>
      <c r="H958" s="2" t="s">
        <v>822</v>
      </c>
    </row>
    <row r="959" customFormat="false" ht="15" hidden="false" customHeight="false" outlineLevel="0" collapsed="false">
      <c r="A959" s="2" t="s">
        <v>980</v>
      </c>
      <c r="B959" s="2" t="s">
        <v>46</v>
      </c>
      <c r="C959" s="2" t="s">
        <v>4275</v>
      </c>
      <c r="D959" s="11" t="n">
        <v>19830</v>
      </c>
      <c r="E959" s="31" t="n">
        <v>31.2</v>
      </c>
      <c r="F959" s="31" t="n">
        <v>29.1</v>
      </c>
      <c r="G959" s="2"/>
      <c r="H959" s="2" t="s">
        <v>832</v>
      </c>
    </row>
    <row r="960" customFormat="false" ht="15" hidden="false" customHeight="false" outlineLevel="0" collapsed="false">
      <c r="A960" s="2" t="s">
        <v>980</v>
      </c>
      <c r="B960" s="2" t="s">
        <v>47</v>
      </c>
      <c r="C960" s="2" t="s">
        <v>4274</v>
      </c>
      <c r="D960" s="11" t="n">
        <v>334186</v>
      </c>
      <c r="E960" s="31" t="n">
        <v>78</v>
      </c>
      <c r="F960" s="31" t="n">
        <v>14.8</v>
      </c>
      <c r="G960" s="31" t="n">
        <v>67.9</v>
      </c>
      <c r="H960" s="2" t="s">
        <v>822</v>
      </c>
    </row>
    <row r="961" customFormat="false" ht="15" hidden="false" customHeight="false" outlineLevel="0" collapsed="false">
      <c r="A961" s="2" t="s">
        <v>980</v>
      </c>
      <c r="B961" s="2" t="s">
        <v>47</v>
      </c>
      <c r="C961" s="2" t="s">
        <v>4275</v>
      </c>
      <c r="D961" s="11" t="n">
        <v>333180</v>
      </c>
      <c r="E961" s="31" t="n">
        <v>84.8</v>
      </c>
      <c r="F961" s="31" t="n">
        <v>11.2</v>
      </c>
      <c r="G961" s="31" t="n">
        <v>78.1</v>
      </c>
      <c r="H961" s="2" t="s">
        <v>822</v>
      </c>
    </row>
    <row r="962" customFormat="false" ht="15" hidden="false" customHeight="false" outlineLevel="0" collapsed="false">
      <c r="A962" s="2" t="s">
        <v>2360</v>
      </c>
      <c r="B962" s="2" t="s">
        <v>4291</v>
      </c>
      <c r="C962" s="2" t="s">
        <v>4274</v>
      </c>
      <c r="D962" s="2"/>
      <c r="E962" s="31" t="n">
        <v>33.4</v>
      </c>
      <c r="F962" s="31" t="n">
        <v>73.4</v>
      </c>
      <c r="G962" s="31" t="n">
        <v>56.2</v>
      </c>
      <c r="H962" s="2" t="s">
        <v>832</v>
      </c>
    </row>
    <row r="963" customFormat="false" ht="15" hidden="false" customHeight="false" outlineLevel="0" collapsed="false">
      <c r="A963" s="2" t="s">
        <v>2360</v>
      </c>
      <c r="B963" s="2" t="s">
        <v>4291</v>
      </c>
      <c r="C963" s="2" t="s">
        <v>4275</v>
      </c>
      <c r="D963" s="2"/>
      <c r="E963" s="31" t="n">
        <v>77.4</v>
      </c>
      <c r="F963" s="31" t="n">
        <v>60.8</v>
      </c>
      <c r="G963" s="31" t="n">
        <v>79.4</v>
      </c>
      <c r="H963" s="2" t="s">
        <v>832</v>
      </c>
    </row>
    <row r="964" customFormat="false" ht="15" hidden="false" customHeight="false" outlineLevel="0" collapsed="false">
      <c r="A964" s="2" t="s">
        <v>2360</v>
      </c>
      <c r="B964" s="2" t="s">
        <v>45</v>
      </c>
      <c r="C964" s="2" t="s">
        <v>4274</v>
      </c>
      <c r="D964" s="11" t="n">
        <v>211057</v>
      </c>
      <c r="E964" s="31" t="n">
        <v>43.6</v>
      </c>
      <c r="F964" s="31" t="n">
        <v>62.3</v>
      </c>
      <c r="G964" s="31" t="n">
        <v>72.2</v>
      </c>
      <c r="H964" s="2" t="s">
        <v>822</v>
      </c>
    </row>
    <row r="965" customFormat="false" ht="15" hidden="false" customHeight="false" outlineLevel="0" collapsed="false">
      <c r="A965" s="2" t="s">
        <v>2360</v>
      </c>
      <c r="B965" s="2" t="s">
        <v>45</v>
      </c>
      <c r="C965" s="2" t="s">
        <v>4275</v>
      </c>
      <c r="D965" s="11" t="n">
        <v>217030</v>
      </c>
      <c r="E965" s="2"/>
      <c r="F965" s="31" t="n">
        <v>35.7</v>
      </c>
      <c r="G965" s="31" t="n">
        <v>70.2</v>
      </c>
      <c r="H965" s="2" t="s">
        <v>832</v>
      </c>
    </row>
    <row r="966" customFormat="false" ht="15" hidden="false" customHeight="false" outlineLevel="0" collapsed="false">
      <c r="A966" s="2" t="s">
        <v>2360</v>
      </c>
      <c r="B966" s="2" t="s">
        <v>46</v>
      </c>
      <c r="C966" s="2" t="s">
        <v>4274</v>
      </c>
      <c r="D966" s="11" t="n">
        <v>9970</v>
      </c>
      <c r="E966" s="31" t="n">
        <v>28.2</v>
      </c>
      <c r="F966" s="31" t="n">
        <v>91.2</v>
      </c>
      <c r="G966" s="2"/>
      <c r="H966" s="2" t="s">
        <v>832</v>
      </c>
    </row>
    <row r="967" customFormat="false" ht="15" hidden="false" customHeight="false" outlineLevel="0" collapsed="false">
      <c r="A967" s="2" t="s">
        <v>2360</v>
      </c>
      <c r="B967" s="2" t="s">
        <v>46</v>
      </c>
      <c r="C967" s="2" t="s">
        <v>4275</v>
      </c>
      <c r="D967" s="2"/>
      <c r="E967" s="2"/>
      <c r="F967" s="2"/>
      <c r="G967" s="2"/>
      <c r="H967" s="2" t="s">
        <v>832</v>
      </c>
    </row>
    <row r="968" customFormat="false" ht="15" hidden="false" customHeight="false" outlineLevel="0" collapsed="false">
      <c r="A968" s="2" t="s">
        <v>2360</v>
      </c>
      <c r="B968" s="2" t="s">
        <v>47</v>
      </c>
      <c r="C968" s="2" t="s">
        <v>4274</v>
      </c>
      <c r="D968" s="11" t="n">
        <v>9778</v>
      </c>
      <c r="E968" s="31" t="n">
        <v>28.5</v>
      </c>
      <c r="F968" s="31" t="n">
        <v>66.7</v>
      </c>
      <c r="G968" s="31" t="n">
        <v>40.2</v>
      </c>
      <c r="H968" s="2" t="s">
        <v>822</v>
      </c>
    </row>
    <row r="969" customFormat="false" ht="15" hidden="false" customHeight="false" outlineLevel="0" collapsed="false">
      <c r="A969" s="2" t="s">
        <v>2360</v>
      </c>
      <c r="B969" s="2" t="s">
        <v>47</v>
      </c>
      <c r="C969" s="2" t="s">
        <v>4275</v>
      </c>
      <c r="D969" s="11" t="n">
        <v>10520</v>
      </c>
      <c r="E969" s="31" t="n">
        <v>77.4</v>
      </c>
      <c r="F969" s="31" t="n">
        <v>86</v>
      </c>
      <c r="G969" s="31" t="n">
        <v>88.7</v>
      </c>
      <c r="H969" s="2" t="s">
        <v>822</v>
      </c>
    </row>
    <row r="970" customFormat="false" ht="15" hidden="false" customHeight="false" outlineLevel="0" collapsed="false">
      <c r="A970" s="2" t="s">
        <v>494</v>
      </c>
      <c r="B970" s="2" t="s">
        <v>4291</v>
      </c>
      <c r="C970" s="2" t="s">
        <v>4274</v>
      </c>
      <c r="D970" s="2"/>
      <c r="E970" s="31" t="n">
        <v>32.2</v>
      </c>
      <c r="F970" s="31" t="n">
        <v>55.5</v>
      </c>
      <c r="G970" s="2"/>
      <c r="H970" s="2" t="s">
        <v>822</v>
      </c>
    </row>
    <row r="971" customFormat="false" ht="15" hidden="false" customHeight="false" outlineLevel="0" collapsed="false">
      <c r="A971" s="2" t="s">
        <v>494</v>
      </c>
      <c r="B971" s="2" t="s">
        <v>4291</v>
      </c>
      <c r="C971" s="2" t="s">
        <v>4275</v>
      </c>
      <c r="D971" s="2"/>
      <c r="E971" s="31" t="n">
        <v>48.8</v>
      </c>
      <c r="F971" s="31" t="n">
        <v>24.4</v>
      </c>
      <c r="G971" s="2"/>
      <c r="H971" s="2" t="s">
        <v>822</v>
      </c>
    </row>
    <row r="972" customFormat="false" ht="15" hidden="false" customHeight="false" outlineLevel="0" collapsed="false">
      <c r="A972" s="2" t="s">
        <v>494</v>
      </c>
      <c r="B972" s="2" t="s">
        <v>45</v>
      </c>
      <c r="C972" s="2" t="s">
        <v>4274</v>
      </c>
      <c r="D972" s="11" t="n">
        <v>85990</v>
      </c>
      <c r="E972" s="31" t="n">
        <v>32.2</v>
      </c>
      <c r="F972" s="31" t="n">
        <v>55.5</v>
      </c>
      <c r="G972" s="2"/>
      <c r="H972" s="2" t="s">
        <v>822</v>
      </c>
    </row>
    <row r="973" customFormat="false" ht="15" hidden="false" customHeight="false" outlineLevel="0" collapsed="false">
      <c r="A973" s="2" t="s">
        <v>494</v>
      </c>
      <c r="B973" s="2" t="s">
        <v>45</v>
      </c>
      <c r="C973" s="2" t="s">
        <v>4275</v>
      </c>
      <c r="D973" s="11" t="n">
        <v>86110</v>
      </c>
      <c r="E973" s="31" t="n">
        <v>48.8</v>
      </c>
      <c r="F973" s="31" t="n">
        <v>24.4</v>
      </c>
      <c r="G973" s="2"/>
      <c r="H973" s="2" t="s">
        <v>822</v>
      </c>
    </row>
    <row r="974" customFormat="false" ht="15" hidden="false" customHeight="false" outlineLevel="0" collapsed="false">
      <c r="A974" s="2" t="s">
        <v>630</v>
      </c>
      <c r="B974" s="2" t="s">
        <v>4291</v>
      </c>
      <c r="C974" s="2" t="s">
        <v>4274</v>
      </c>
      <c r="D974" s="2"/>
      <c r="E974" s="31" t="n">
        <v>36.7</v>
      </c>
      <c r="F974" s="31" t="n">
        <v>13.3</v>
      </c>
      <c r="G974" s="31" t="n">
        <v>88.4</v>
      </c>
      <c r="H974" s="2" t="s">
        <v>832</v>
      </c>
    </row>
    <row r="975" customFormat="false" ht="15" hidden="false" customHeight="false" outlineLevel="0" collapsed="false">
      <c r="A975" s="2" t="s">
        <v>630</v>
      </c>
      <c r="B975" s="2" t="s">
        <v>4291</v>
      </c>
      <c r="C975" s="2" t="s">
        <v>4275</v>
      </c>
      <c r="D975" s="2"/>
      <c r="E975" s="31" t="n">
        <v>37.2</v>
      </c>
      <c r="F975" s="31" t="n">
        <v>27.1</v>
      </c>
      <c r="G975" s="31" t="n">
        <v>38</v>
      </c>
      <c r="H975" s="2" t="s">
        <v>822</v>
      </c>
    </row>
    <row r="976" customFormat="false" ht="15" hidden="false" customHeight="false" outlineLevel="0" collapsed="false">
      <c r="A976" s="2" t="s">
        <v>630</v>
      </c>
      <c r="B976" s="2" t="s">
        <v>45</v>
      </c>
      <c r="C976" s="2" t="s">
        <v>4274</v>
      </c>
      <c r="D976" s="2"/>
      <c r="E976" s="2"/>
      <c r="F976" s="2"/>
      <c r="G976" s="2"/>
      <c r="H976" s="2" t="s">
        <v>832</v>
      </c>
    </row>
    <row r="977" customFormat="false" ht="15" hidden="false" customHeight="false" outlineLevel="0" collapsed="false">
      <c r="A977" s="2" t="s">
        <v>630</v>
      </c>
      <c r="B977" s="2" t="s">
        <v>45</v>
      </c>
      <c r="C977" s="2" t="s">
        <v>4275</v>
      </c>
      <c r="D977" s="11" t="n">
        <v>64690</v>
      </c>
      <c r="E977" s="31" t="n">
        <v>20</v>
      </c>
      <c r="F977" s="31" t="n">
        <v>46.7</v>
      </c>
      <c r="G977" s="31" t="n">
        <v>21.2</v>
      </c>
      <c r="H977" s="2" t="s">
        <v>822</v>
      </c>
    </row>
    <row r="978" customFormat="false" ht="15" hidden="false" customHeight="false" outlineLevel="0" collapsed="false">
      <c r="A978" s="2" t="s">
        <v>630</v>
      </c>
      <c r="B978" s="2" t="s">
        <v>47</v>
      </c>
      <c r="C978" s="2" t="s">
        <v>4274</v>
      </c>
      <c r="D978" s="11" t="n">
        <v>9416</v>
      </c>
      <c r="E978" s="31" t="n">
        <v>36.7</v>
      </c>
      <c r="F978" s="31" t="n">
        <v>13.3</v>
      </c>
      <c r="G978" s="31" t="n">
        <v>88.4</v>
      </c>
      <c r="H978" s="2" t="s">
        <v>822</v>
      </c>
    </row>
    <row r="979" customFormat="false" ht="15" hidden="false" customHeight="false" outlineLevel="0" collapsed="false">
      <c r="A979" s="2" t="s">
        <v>630</v>
      </c>
      <c r="B979" s="2" t="s">
        <v>47</v>
      </c>
      <c r="C979" s="2" t="s">
        <v>4275</v>
      </c>
      <c r="D979" s="11" t="n">
        <v>9051</v>
      </c>
      <c r="E979" s="31" t="n">
        <v>54.3</v>
      </c>
      <c r="F979" s="31" t="n">
        <v>7.5</v>
      </c>
      <c r="G979" s="31" t="n">
        <v>54.7</v>
      </c>
      <c r="H979" s="2" t="s">
        <v>822</v>
      </c>
    </row>
    <row r="980" customFormat="false" ht="15" hidden="false" customHeight="false" outlineLevel="0" collapsed="false">
      <c r="A980" s="2" t="s">
        <v>907</v>
      </c>
      <c r="B980" s="2" t="s">
        <v>4291</v>
      </c>
      <c r="C980" s="2" t="s">
        <v>4274</v>
      </c>
      <c r="D980" s="2"/>
      <c r="E980" s="31" t="n">
        <v>63.3</v>
      </c>
      <c r="F980" s="31" t="n">
        <v>84.4</v>
      </c>
      <c r="G980" s="31" t="n">
        <v>43</v>
      </c>
      <c r="H980" s="2" t="s">
        <v>832</v>
      </c>
    </row>
    <row r="981" customFormat="false" ht="15" hidden="false" customHeight="false" outlineLevel="0" collapsed="false">
      <c r="A981" s="2" t="s">
        <v>907</v>
      </c>
      <c r="B981" s="2" t="s">
        <v>4291</v>
      </c>
      <c r="C981" s="2" t="s">
        <v>4275</v>
      </c>
      <c r="D981" s="2"/>
      <c r="E981" s="31" t="n">
        <v>64</v>
      </c>
      <c r="F981" s="31" t="n">
        <v>74.3</v>
      </c>
      <c r="G981" s="31" t="n">
        <v>41.2</v>
      </c>
      <c r="H981" s="2" t="s">
        <v>832</v>
      </c>
    </row>
    <row r="982" customFormat="false" ht="15" hidden="false" customHeight="false" outlineLevel="0" collapsed="false">
      <c r="A982" s="2" t="s">
        <v>907</v>
      </c>
      <c r="B982" s="2" t="s">
        <v>45</v>
      </c>
      <c r="C982" s="2" t="s">
        <v>4274</v>
      </c>
      <c r="D982" s="11" t="n">
        <v>82090</v>
      </c>
      <c r="E982" s="31" t="n">
        <v>91.2</v>
      </c>
      <c r="F982" s="2"/>
      <c r="G982" s="2"/>
      <c r="H982" s="2" t="s">
        <v>832</v>
      </c>
    </row>
    <row r="983" customFormat="false" ht="15" hidden="false" customHeight="false" outlineLevel="0" collapsed="false">
      <c r="A983" s="2" t="s">
        <v>907</v>
      </c>
      <c r="B983" s="2" t="s">
        <v>45</v>
      </c>
      <c r="C983" s="2" t="s">
        <v>4275</v>
      </c>
      <c r="D983" s="11" t="n">
        <v>84833</v>
      </c>
      <c r="E983" s="31" t="n">
        <v>90.4</v>
      </c>
      <c r="F983" s="31" t="n">
        <v>54</v>
      </c>
      <c r="G983" s="2"/>
      <c r="H983" s="2" t="s">
        <v>822</v>
      </c>
    </row>
    <row r="984" customFormat="false" ht="15" hidden="false" customHeight="false" outlineLevel="0" collapsed="false">
      <c r="A984" s="2" t="s">
        <v>907</v>
      </c>
      <c r="B984" s="2" t="s">
        <v>46</v>
      </c>
      <c r="C984" s="2" t="s">
        <v>4274</v>
      </c>
      <c r="D984" s="11" t="n">
        <v>24550</v>
      </c>
      <c r="E984" s="31" t="n">
        <v>42.7</v>
      </c>
      <c r="F984" s="31" t="n">
        <v>69.3</v>
      </c>
      <c r="G984" s="31" t="n">
        <v>35.4</v>
      </c>
      <c r="H984" s="2" t="s">
        <v>822</v>
      </c>
    </row>
    <row r="985" customFormat="false" ht="15" hidden="false" customHeight="false" outlineLevel="0" collapsed="false">
      <c r="A985" s="2" t="s">
        <v>907</v>
      </c>
      <c r="B985" s="2" t="s">
        <v>46</v>
      </c>
      <c r="C985" s="2" t="s">
        <v>4275</v>
      </c>
      <c r="D985" s="11" t="n">
        <v>25380</v>
      </c>
      <c r="E985" s="2"/>
      <c r="F985" s="31" t="n">
        <v>69.5</v>
      </c>
      <c r="G985" s="31" t="n">
        <v>23.8</v>
      </c>
      <c r="H985" s="2" t="s">
        <v>832</v>
      </c>
    </row>
    <row r="986" customFormat="false" ht="15" hidden="false" customHeight="false" outlineLevel="0" collapsed="false">
      <c r="A986" s="2" t="s">
        <v>907</v>
      </c>
      <c r="B986" s="2" t="s">
        <v>47</v>
      </c>
      <c r="C986" s="2" t="s">
        <v>4274</v>
      </c>
      <c r="D986" s="11" t="n">
        <v>192744</v>
      </c>
      <c r="E986" s="31" t="n">
        <v>55.9</v>
      </c>
      <c r="F986" s="31" t="n">
        <v>99.4</v>
      </c>
      <c r="G986" s="31" t="n">
        <v>50.6</v>
      </c>
      <c r="H986" s="2" t="s">
        <v>822</v>
      </c>
    </row>
    <row r="987" customFormat="false" ht="15" hidden="false" customHeight="false" outlineLevel="0" collapsed="false">
      <c r="A987" s="2" t="s">
        <v>907</v>
      </c>
      <c r="B987" s="2" t="s">
        <v>47</v>
      </c>
      <c r="C987" s="2" t="s">
        <v>4275</v>
      </c>
      <c r="D987" s="11" t="n">
        <v>207730</v>
      </c>
      <c r="E987" s="31" t="n">
        <v>37.6</v>
      </c>
      <c r="F987" s="31" t="n">
        <v>99.4</v>
      </c>
      <c r="G987" s="31" t="n">
        <v>58.6</v>
      </c>
      <c r="H987" s="2" t="s">
        <v>822</v>
      </c>
    </row>
    <row r="988" customFormat="false" ht="15" hidden="false" customHeight="false" outlineLevel="0" collapsed="false">
      <c r="A988" s="2" t="s">
        <v>760</v>
      </c>
      <c r="B988" s="2" t="s">
        <v>4291</v>
      </c>
      <c r="C988" s="2" t="s">
        <v>4274</v>
      </c>
      <c r="D988" s="2"/>
      <c r="E988" s="31" t="n">
        <v>14</v>
      </c>
      <c r="F988" s="31" t="n">
        <v>80.2</v>
      </c>
      <c r="G988" s="31" t="n">
        <v>3</v>
      </c>
      <c r="H988" s="2" t="s">
        <v>832</v>
      </c>
    </row>
    <row r="989" customFormat="false" ht="15" hidden="false" customHeight="false" outlineLevel="0" collapsed="false">
      <c r="A989" s="2" t="s">
        <v>760</v>
      </c>
      <c r="B989" s="2" t="s">
        <v>4291</v>
      </c>
      <c r="C989" s="2" t="s">
        <v>4275</v>
      </c>
      <c r="D989" s="2"/>
      <c r="E989" s="31" t="n">
        <v>19.3</v>
      </c>
      <c r="F989" s="31" t="n">
        <v>82</v>
      </c>
      <c r="G989" s="31" t="n">
        <v>19.8</v>
      </c>
      <c r="H989" s="2" t="s">
        <v>822</v>
      </c>
    </row>
    <row r="990" customFormat="false" ht="15" hidden="false" customHeight="false" outlineLevel="0" collapsed="false">
      <c r="A990" s="2" t="s">
        <v>760</v>
      </c>
      <c r="B990" s="2" t="s">
        <v>45</v>
      </c>
      <c r="C990" s="2" t="s">
        <v>4274</v>
      </c>
      <c r="D990" s="11" t="n">
        <v>29180</v>
      </c>
      <c r="E990" s="31" t="n">
        <v>12.5</v>
      </c>
      <c r="F990" s="2"/>
      <c r="G990" s="31" t="n">
        <v>2.2</v>
      </c>
      <c r="H990" s="2" t="s">
        <v>832</v>
      </c>
    </row>
    <row r="991" customFormat="false" ht="15" hidden="false" customHeight="false" outlineLevel="0" collapsed="false">
      <c r="A991" s="2" t="s">
        <v>760</v>
      </c>
      <c r="B991" s="2" t="s">
        <v>45</v>
      </c>
      <c r="C991" s="2" t="s">
        <v>4275</v>
      </c>
      <c r="D991" s="11" t="n">
        <v>29430</v>
      </c>
      <c r="E991" s="31" t="n">
        <v>8.7</v>
      </c>
      <c r="F991" s="31" t="n">
        <v>66</v>
      </c>
      <c r="G991" s="31" t="n">
        <v>3.5</v>
      </c>
      <c r="H991" s="2" t="s">
        <v>822</v>
      </c>
    </row>
    <row r="992" customFormat="false" ht="15" hidden="false" customHeight="false" outlineLevel="0" collapsed="false">
      <c r="A992" s="2" t="s">
        <v>760</v>
      </c>
      <c r="B992" s="2" t="s">
        <v>46</v>
      </c>
      <c r="C992" s="2" t="s">
        <v>4274</v>
      </c>
      <c r="D992" s="2"/>
      <c r="E992" s="2"/>
      <c r="F992" s="2"/>
      <c r="G992" s="2"/>
      <c r="H992" s="2" t="s">
        <v>832</v>
      </c>
    </row>
    <row r="993" customFormat="false" ht="15" hidden="false" customHeight="false" outlineLevel="0" collapsed="false">
      <c r="A993" s="2" t="s">
        <v>760</v>
      </c>
      <c r="B993" s="2" t="s">
        <v>46</v>
      </c>
      <c r="C993" s="2" t="s">
        <v>4275</v>
      </c>
      <c r="D993" s="11" t="n">
        <v>125650</v>
      </c>
      <c r="E993" s="31" t="n">
        <v>37.9</v>
      </c>
      <c r="F993" s="31" t="n">
        <v>99.4</v>
      </c>
      <c r="G993" s="31" t="n">
        <v>26.7</v>
      </c>
      <c r="H993" s="2" t="s">
        <v>822</v>
      </c>
    </row>
    <row r="994" customFormat="false" ht="15" hidden="false" customHeight="false" outlineLevel="0" collapsed="false">
      <c r="A994" s="2" t="s">
        <v>760</v>
      </c>
      <c r="B994" s="2" t="s">
        <v>47</v>
      </c>
      <c r="C994" s="2" t="s">
        <v>4274</v>
      </c>
      <c r="D994" s="11" t="n">
        <v>227072</v>
      </c>
      <c r="E994" s="31" t="n">
        <v>15.4</v>
      </c>
      <c r="F994" s="31" t="n">
        <v>80.2</v>
      </c>
      <c r="G994" s="31" t="n">
        <v>3.9</v>
      </c>
      <c r="H994" s="2" t="s">
        <v>822</v>
      </c>
    </row>
    <row r="995" customFormat="false" ht="15" hidden="false" customHeight="false" outlineLevel="0" collapsed="false">
      <c r="A995" s="2" t="s">
        <v>760</v>
      </c>
      <c r="B995" s="2" t="s">
        <v>47</v>
      </c>
      <c r="C995" s="2" t="s">
        <v>4275</v>
      </c>
      <c r="D995" s="11" t="n">
        <v>247945</v>
      </c>
      <c r="E995" s="31" t="n">
        <v>11.3</v>
      </c>
      <c r="F995" s="31" t="n">
        <v>80.7</v>
      </c>
      <c r="G995" s="31" t="n">
        <v>29.2</v>
      </c>
      <c r="H995" s="2" t="s">
        <v>822</v>
      </c>
    </row>
    <row r="996" customFormat="false" ht="15" hidden="false" customHeight="false" outlineLevel="0" collapsed="false">
      <c r="A996" s="2" t="s">
        <v>1518</v>
      </c>
      <c r="B996" s="2" t="s">
        <v>4291</v>
      </c>
      <c r="C996" s="2" t="s">
        <v>4274</v>
      </c>
      <c r="D996" s="2"/>
      <c r="E996" s="31" t="n">
        <v>50.5</v>
      </c>
      <c r="F996" s="31" t="n">
        <v>35.3</v>
      </c>
      <c r="G996" s="31" t="n">
        <v>78.9</v>
      </c>
      <c r="H996" s="2" t="s">
        <v>832</v>
      </c>
    </row>
    <row r="997" customFormat="false" ht="15" hidden="false" customHeight="false" outlineLevel="0" collapsed="false">
      <c r="A997" s="2" t="s">
        <v>1518</v>
      </c>
      <c r="B997" s="2" t="s">
        <v>4291</v>
      </c>
      <c r="C997" s="2" t="s">
        <v>4275</v>
      </c>
      <c r="D997" s="2"/>
      <c r="E997" s="31" t="n">
        <v>11.7</v>
      </c>
      <c r="F997" s="31" t="n">
        <v>21.6</v>
      </c>
      <c r="G997" s="31" t="n">
        <v>54.5</v>
      </c>
      <c r="H997" s="2" t="s">
        <v>832</v>
      </c>
    </row>
    <row r="998" customFormat="false" ht="15" hidden="false" customHeight="false" outlineLevel="0" collapsed="false">
      <c r="A998" s="2" t="s">
        <v>1518</v>
      </c>
      <c r="B998" s="2" t="s">
        <v>45</v>
      </c>
      <c r="C998" s="2" t="s">
        <v>4274</v>
      </c>
      <c r="D998" s="11" t="n">
        <v>62734</v>
      </c>
      <c r="E998" s="31" t="n">
        <v>11.2</v>
      </c>
      <c r="F998" s="31" t="n">
        <v>30.7</v>
      </c>
      <c r="G998" s="31" t="n">
        <v>87.3</v>
      </c>
      <c r="H998" s="2" t="s">
        <v>822</v>
      </c>
    </row>
    <row r="999" customFormat="false" ht="15" hidden="false" customHeight="false" outlineLevel="0" collapsed="false">
      <c r="A999" s="2" t="s">
        <v>1518</v>
      </c>
      <c r="B999" s="2" t="s">
        <v>45</v>
      </c>
      <c r="C999" s="2" t="s">
        <v>4275</v>
      </c>
      <c r="D999" s="11" t="n">
        <v>64690</v>
      </c>
      <c r="E999" s="31" t="n">
        <v>11.7</v>
      </c>
      <c r="F999" s="31" t="n">
        <v>21.6</v>
      </c>
      <c r="G999" s="31" t="n">
        <v>54.5</v>
      </c>
      <c r="H999" s="2" t="s">
        <v>822</v>
      </c>
    </row>
    <row r="1000" customFormat="false" ht="15" hidden="false" customHeight="false" outlineLevel="0" collapsed="false">
      <c r="A1000" s="2" t="s">
        <v>1518</v>
      </c>
      <c r="B1000" s="2" t="s">
        <v>46</v>
      </c>
      <c r="C1000" s="2" t="s">
        <v>4274</v>
      </c>
      <c r="D1000" s="11" t="n">
        <v>20290</v>
      </c>
      <c r="E1000" s="2"/>
      <c r="F1000" s="2"/>
      <c r="G1000" s="2"/>
      <c r="H1000" s="2" t="s">
        <v>832</v>
      </c>
    </row>
    <row r="1001" customFormat="false" ht="15" hidden="false" customHeight="false" outlineLevel="0" collapsed="false">
      <c r="A1001" s="2" t="s">
        <v>1518</v>
      </c>
      <c r="B1001" s="2" t="s">
        <v>46</v>
      </c>
      <c r="C1001" s="2" t="s">
        <v>4275</v>
      </c>
      <c r="D1001" s="2"/>
      <c r="E1001" s="2"/>
      <c r="F1001" s="2"/>
      <c r="G1001" s="2"/>
      <c r="H1001" s="2" t="s">
        <v>832</v>
      </c>
    </row>
    <row r="1002" customFormat="false" ht="15" hidden="false" customHeight="false" outlineLevel="0" collapsed="false">
      <c r="A1002" s="2" t="s">
        <v>1518</v>
      </c>
      <c r="B1002" s="2" t="s">
        <v>47</v>
      </c>
      <c r="C1002" s="2" t="s">
        <v>4274</v>
      </c>
      <c r="D1002" s="11" t="n">
        <v>93152</v>
      </c>
      <c r="E1002" s="31" t="n">
        <v>89.8</v>
      </c>
      <c r="F1002" s="31" t="n">
        <v>39.9</v>
      </c>
      <c r="G1002" s="31" t="n">
        <v>70.5</v>
      </c>
      <c r="H1002" s="2" t="s">
        <v>822</v>
      </c>
    </row>
    <row r="1003" customFormat="false" ht="15" hidden="false" customHeight="false" outlineLevel="0" collapsed="false">
      <c r="A1003" s="2" t="s">
        <v>1518</v>
      </c>
      <c r="B1003" s="2" t="s">
        <v>47</v>
      </c>
      <c r="C1003" s="2" t="s">
        <v>4275</v>
      </c>
      <c r="D1003" s="2"/>
      <c r="E1003" s="2"/>
      <c r="F1003" s="2"/>
      <c r="G1003" s="2"/>
      <c r="H1003" s="2" t="s">
        <v>832</v>
      </c>
    </row>
    <row r="1004" customFormat="false" ht="15" hidden="false" customHeight="false" outlineLevel="0" collapsed="false">
      <c r="A1004" s="2" t="s">
        <v>572</v>
      </c>
      <c r="B1004" s="2" t="s">
        <v>4291</v>
      </c>
      <c r="C1004" s="2" t="s">
        <v>4274</v>
      </c>
      <c r="D1004" s="2"/>
      <c r="E1004" s="31" t="n">
        <v>28</v>
      </c>
      <c r="F1004" s="31" t="n">
        <v>84.8</v>
      </c>
      <c r="G1004" s="31" t="n">
        <v>69.2</v>
      </c>
      <c r="H1004" s="2" t="s">
        <v>832</v>
      </c>
    </row>
    <row r="1005" customFormat="false" ht="15" hidden="false" customHeight="false" outlineLevel="0" collapsed="false">
      <c r="A1005" s="2" t="s">
        <v>572</v>
      </c>
      <c r="B1005" s="2" t="s">
        <v>4291</v>
      </c>
      <c r="C1005" s="2" t="s">
        <v>4275</v>
      </c>
      <c r="D1005" s="2"/>
      <c r="E1005" s="31" t="n">
        <v>42.2</v>
      </c>
      <c r="F1005" s="31" t="n">
        <v>79.8</v>
      </c>
      <c r="G1005" s="31" t="n">
        <v>56.1</v>
      </c>
      <c r="H1005" s="2" t="s">
        <v>822</v>
      </c>
    </row>
    <row r="1006" customFormat="false" ht="15" hidden="false" customHeight="false" outlineLevel="0" collapsed="false">
      <c r="A1006" s="2" t="s">
        <v>572</v>
      </c>
      <c r="B1006" s="2" t="s">
        <v>45</v>
      </c>
      <c r="C1006" s="2" t="s">
        <v>4274</v>
      </c>
      <c r="D1006" s="11" t="n">
        <v>2920</v>
      </c>
      <c r="E1006" s="31" t="n">
        <v>13.4</v>
      </c>
      <c r="F1006" s="2"/>
      <c r="G1006" s="2"/>
      <c r="H1006" s="2" t="s">
        <v>832</v>
      </c>
    </row>
    <row r="1007" customFormat="false" ht="15" hidden="false" customHeight="false" outlineLevel="0" collapsed="false">
      <c r="A1007" s="2" t="s">
        <v>572</v>
      </c>
      <c r="B1007" s="2" t="s">
        <v>45</v>
      </c>
      <c r="C1007" s="2" t="s">
        <v>4275</v>
      </c>
      <c r="D1007" s="11" t="n">
        <v>3080</v>
      </c>
      <c r="E1007" s="31" t="n">
        <v>10.2</v>
      </c>
      <c r="F1007" s="31" t="n">
        <v>74.6</v>
      </c>
      <c r="G1007" s="31" t="n">
        <v>54.9</v>
      </c>
      <c r="H1007" s="2" t="s">
        <v>822</v>
      </c>
    </row>
    <row r="1008" customFormat="false" ht="15" hidden="false" customHeight="false" outlineLevel="0" collapsed="false">
      <c r="A1008" s="2" t="s">
        <v>572</v>
      </c>
      <c r="B1008" s="2" t="s">
        <v>46</v>
      </c>
      <c r="C1008" s="2" t="s">
        <v>4274</v>
      </c>
      <c r="D1008" s="11" t="n">
        <v>54760</v>
      </c>
      <c r="E1008" s="31" t="n">
        <v>26.2</v>
      </c>
      <c r="F1008" s="31" t="n">
        <v>78.3</v>
      </c>
      <c r="G1008" s="31" t="n">
        <v>42.9</v>
      </c>
      <c r="H1008" s="2" t="s">
        <v>822</v>
      </c>
    </row>
    <row r="1009" customFormat="false" ht="15" hidden="false" customHeight="false" outlineLevel="0" collapsed="false">
      <c r="A1009" s="2" t="s">
        <v>572</v>
      </c>
      <c r="B1009" s="2" t="s">
        <v>46</v>
      </c>
      <c r="C1009" s="2" t="s">
        <v>4275</v>
      </c>
      <c r="D1009" s="11" t="n">
        <v>57180</v>
      </c>
      <c r="E1009" s="31" t="n">
        <v>39.5</v>
      </c>
      <c r="F1009" s="31" t="n">
        <v>70.5</v>
      </c>
      <c r="G1009" s="31" t="n">
        <v>55.6</v>
      </c>
      <c r="H1009" s="2" t="s">
        <v>822</v>
      </c>
    </row>
    <row r="1010" customFormat="false" ht="15" hidden="false" customHeight="false" outlineLevel="0" collapsed="false">
      <c r="A1010" s="2" t="s">
        <v>572</v>
      </c>
      <c r="B1010" s="2" t="s">
        <v>47</v>
      </c>
      <c r="C1010" s="2" t="s">
        <v>4274</v>
      </c>
      <c r="D1010" s="11" t="n">
        <v>234743</v>
      </c>
      <c r="E1010" s="31" t="n">
        <v>44.5</v>
      </c>
      <c r="F1010" s="31" t="n">
        <v>91.4</v>
      </c>
      <c r="G1010" s="31" t="n">
        <v>95.4</v>
      </c>
      <c r="H1010" s="2" t="s">
        <v>822</v>
      </c>
    </row>
    <row r="1011" customFormat="false" ht="15" hidden="false" customHeight="false" outlineLevel="0" collapsed="false">
      <c r="A1011" s="2" t="s">
        <v>572</v>
      </c>
      <c r="B1011" s="2" t="s">
        <v>47</v>
      </c>
      <c r="C1011" s="2" t="s">
        <v>4275</v>
      </c>
      <c r="D1011" s="11" t="n">
        <v>249476</v>
      </c>
      <c r="E1011" s="31" t="n">
        <v>76.9</v>
      </c>
      <c r="F1011" s="31" t="n">
        <v>94.4</v>
      </c>
      <c r="G1011" s="31" t="n">
        <v>57.7</v>
      </c>
      <c r="H1011" s="2" t="s">
        <v>822</v>
      </c>
    </row>
    <row r="1012" customFormat="false" ht="15" hidden="false" customHeight="false" outlineLevel="0" collapsed="false">
      <c r="A1012" s="2" t="s">
        <v>1006</v>
      </c>
      <c r="B1012" s="2" t="s">
        <v>4291</v>
      </c>
      <c r="C1012" s="2" t="s">
        <v>4274</v>
      </c>
      <c r="D1012" s="2"/>
      <c r="E1012" s="31" t="n">
        <v>70.4</v>
      </c>
      <c r="F1012" s="31" t="n">
        <v>75</v>
      </c>
      <c r="G1012" s="31" t="n">
        <v>80.4</v>
      </c>
      <c r="H1012" s="2" t="s">
        <v>832</v>
      </c>
    </row>
    <row r="1013" customFormat="false" ht="15" hidden="false" customHeight="false" outlineLevel="0" collapsed="false">
      <c r="A1013" s="2" t="s">
        <v>1006</v>
      </c>
      <c r="B1013" s="2" t="s">
        <v>4291</v>
      </c>
      <c r="C1013" s="2" t="s">
        <v>4275</v>
      </c>
      <c r="D1013" s="2"/>
      <c r="E1013" s="31" t="n">
        <v>63.7</v>
      </c>
      <c r="F1013" s="31" t="n">
        <v>69.8</v>
      </c>
      <c r="G1013" s="31" t="n">
        <v>52.8</v>
      </c>
      <c r="H1013" s="2" t="s">
        <v>832</v>
      </c>
    </row>
    <row r="1014" customFormat="false" ht="15" hidden="false" customHeight="false" outlineLevel="0" collapsed="false">
      <c r="A1014" s="2" t="s">
        <v>1006</v>
      </c>
      <c r="B1014" s="2" t="s">
        <v>45</v>
      </c>
      <c r="C1014" s="2" t="s">
        <v>4274</v>
      </c>
      <c r="D1014" s="11" t="n">
        <v>1910</v>
      </c>
      <c r="E1014" s="31" t="n">
        <v>66.5</v>
      </c>
      <c r="F1014" s="2"/>
      <c r="G1014" s="2"/>
      <c r="H1014" s="2" t="s">
        <v>832</v>
      </c>
    </row>
    <row r="1015" customFormat="false" ht="15" hidden="false" customHeight="false" outlineLevel="0" collapsed="false">
      <c r="A1015" s="2" t="s">
        <v>1006</v>
      </c>
      <c r="B1015" s="2" t="s">
        <v>45</v>
      </c>
      <c r="C1015" s="2" t="s">
        <v>4275</v>
      </c>
      <c r="D1015" s="11" t="n">
        <v>1920</v>
      </c>
      <c r="E1015" s="31" t="n">
        <v>78.1</v>
      </c>
      <c r="F1015" s="31" t="n">
        <v>54.9</v>
      </c>
      <c r="G1015" s="2"/>
      <c r="H1015" s="2" t="s">
        <v>822</v>
      </c>
    </row>
    <row r="1016" customFormat="false" ht="15" hidden="false" customHeight="false" outlineLevel="0" collapsed="false">
      <c r="A1016" s="2" t="s">
        <v>1006</v>
      </c>
      <c r="B1016" s="2" t="s">
        <v>46</v>
      </c>
      <c r="C1016" s="2" t="s">
        <v>4274</v>
      </c>
      <c r="D1016" s="11" t="n">
        <v>38030</v>
      </c>
      <c r="E1016" s="31" t="n">
        <v>65.4</v>
      </c>
      <c r="F1016" s="31" t="n">
        <v>80.1</v>
      </c>
      <c r="G1016" s="31" t="n">
        <v>63.9</v>
      </c>
      <c r="H1016" s="2" t="s">
        <v>822</v>
      </c>
    </row>
    <row r="1017" customFormat="false" ht="15" hidden="false" customHeight="false" outlineLevel="0" collapsed="false">
      <c r="A1017" s="2" t="s">
        <v>1006</v>
      </c>
      <c r="B1017" s="2" t="s">
        <v>46</v>
      </c>
      <c r="C1017" s="2" t="s">
        <v>4275</v>
      </c>
      <c r="D1017" s="11" t="n">
        <v>40220</v>
      </c>
      <c r="E1017" s="31" t="n">
        <v>49.3</v>
      </c>
      <c r="F1017" s="31" t="n">
        <v>84.7</v>
      </c>
      <c r="G1017" s="31" t="n">
        <v>31.8</v>
      </c>
      <c r="H1017" s="2" t="s">
        <v>822</v>
      </c>
    </row>
    <row r="1018" customFormat="false" ht="15" hidden="false" customHeight="false" outlineLevel="0" collapsed="false">
      <c r="A1018" s="2" t="s">
        <v>1006</v>
      </c>
      <c r="B1018" s="2" t="s">
        <v>47</v>
      </c>
      <c r="C1018" s="2" t="s">
        <v>4274</v>
      </c>
      <c r="D1018" s="11" t="n">
        <v>43809</v>
      </c>
      <c r="E1018" s="31" t="n">
        <v>79.4</v>
      </c>
      <c r="F1018" s="31" t="n">
        <v>69.9</v>
      </c>
      <c r="G1018" s="31" t="n">
        <v>96.8</v>
      </c>
      <c r="H1018" s="2" t="s">
        <v>822</v>
      </c>
    </row>
    <row r="1019" customFormat="false" ht="15" hidden="false" customHeight="false" outlineLevel="0" collapsed="false">
      <c r="A1019" s="2" t="s">
        <v>1006</v>
      </c>
      <c r="B1019" s="2" t="s">
        <v>47</v>
      </c>
      <c r="C1019" s="2" t="s">
        <v>4275</v>
      </c>
      <c r="D1019" s="2"/>
      <c r="E1019" s="2"/>
      <c r="F1019" s="2"/>
      <c r="G1019" s="31" t="n">
        <v>73.8</v>
      </c>
      <c r="H1019" s="2" t="s">
        <v>832</v>
      </c>
    </row>
    <row r="1020" customFormat="false" ht="15" hidden="false" customHeight="false" outlineLevel="0" collapsed="false">
      <c r="A1020" s="2" t="s">
        <v>704</v>
      </c>
      <c r="B1020" s="2" t="s">
        <v>4291</v>
      </c>
      <c r="C1020" s="2" t="s">
        <v>4274</v>
      </c>
      <c r="D1020" s="2"/>
      <c r="E1020" s="31" t="n">
        <v>6.1</v>
      </c>
      <c r="F1020" s="31" t="n">
        <v>92.2</v>
      </c>
      <c r="G1020" s="31" t="n">
        <v>58</v>
      </c>
      <c r="H1020" s="2" t="s">
        <v>822</v>
      </c>
    </row>
    <row r="1021" customFormat="false" ht="15" hidden="false" customHeight="false" outlineLevel="0" collapsed="false">
      <c r="A1021" s="2" t="s">
        <v>704</v>
      </c>
      <c r="B1021" s="2" t="s">
        <v>4291</v>
      </c>
      <c r="C1021" s="2" t="s">
        <v>4275</v>
      </c>
      <c r="D1021" s="2"/>
      <c r="E1021" s="31" t="n">
        <v>28</v>
      </c>
      <c r="F1021" s="31" t="n">
        <v>86.4</v>
      </c>
      <c r="G1021" s="31" t="n">
        <v>78.5</v>
      </c>
      <c r="H1021" s="2" t="s">
        <v>822</v>
      </c>
    </row>
    <row r="1022" customFormat="false" ht="15" hidden="false" customHeight="false" outlineLevel="0" collapsed="false">
      <c r="A1022" s="2" t="s">
        <v>704</v>
      </c>
      <c r="B1022" s="2" t="s">
        <v>47</v>
      </c>
      <c r="C1022" s="2" t="s">
        <v>4274</v>
      </c>
      <c r="D1022" s="11" t="n">
        <v>90197</v>
      </c>
      <c r="E1022" s="31" t="n">
        <v>6.1</v>
      </c>
      <c r="F1022" s="31" t="n">
        <v>92.2</v>
      </c>
      <c r="G1022" s="31" t="n">
        <v>58</v>
      </c>
      <c r="H1022" s="2" t="s">
        <v>822</v>
      </c>
    </row>
    <row r="1023" customFormat="false" ht="15" hidden="false" customHeight="false" outlineLevel="0" collapsed="false">
      <c r="A1023" s="2" t="s">
        <v>704</v>
      </c>
      <c r="B1023" s="2" t="s">
        <v>47</v>
      </c>
      <c r="C1023" s="2" t="s">
        <v>4275</v>
      </c>
      <c r="D1023" s="11" t="n">
        <v>98240</v>
      </c>
      <c r="E1023" s="31" t="n">
        <v>28</v>
      </c>
      <c r="F1023" s="31" t="n">
        <v>86.4</v>
      </c>
      <c r="G1023" s="31" t="n">
        <v>78.5</v>
      </c>
      <c r="H1023" s="2" t="s">
        <v>822</v>
      </c>
    </row>
    <row r="1024" customFormat="false" ht="15" hidden="false" customHeight="false" outlineLevel="0" collapsed="false">
      <c r="A1024" s="2" t="s">
        <v>922</v>
      </c>
      <c r="B1024" s="2" t="s">
        <v>4291</v>
      </c>
      <c r="C1024" s="2" t="s">
        <v>4274</v>
      </c>
      <c r="D1024" s="2"/>
      <c r="E1024" s="31" t="n">
        <v>43.2</v>
      </c>
      <c r="F1024" s="31" t="n">
        <v>43.3</v>
      </c>
      <c r="G1024" s="31" t="n">
        <v>27.6</v>
      </c>
      <c r="H1024" s="2" t="s">
        <v>822</v>
      </c>
    </row>
    <row r="1025" customFormat="false" ht="15" hidden="false" customHeight="false" outlineLevel="0" collapsed="false">
      <c r="A1025" s="2" t="s">
        <v>922</v>
      </c>
      <c r="B1025" s="2" t="s">
        <v>4291</v>
      </c>
      <c r="C1025" s="2" t="s">
        <v>4275</v>
      </c>
      <c r="D1025" s="2"/>
      <c r="E1025" s="31" t="n">
        <v>48.6</v>
      </c>
      <c r="F1025" s="31" t="n">
        <v>46.2</v>
      </c>
      <c r="G1025" s="31" t="n">
        <v>5.4</v>
      </c>
      <c r="H1025" s="2" t="s">
        <v>832</v>
      </c>
    </row>
    <row r="1026" customFormat="false" ht="15" hidden="false" customHeight="false" outlineLevel="0" collapsed="false">
      <c r="A1026" s="2" t="s">
        <v>922</v>
      </c>
      <c r="B1026" s="2" t="s">
        <v>45</v>
      </c>
      <c r="C1026" s="2" t="s">
        <v>4274</v>
      </c>
      <c r="D1026" s="11" t="n">
        <v>120810</v>
      </c>
      <c r="E1026" s="31" t="n">
        <v>85.5</v>
      </c>
      <c r="F1026" s="31" t="n">
        <v>20.5</v>
      </c>
      <c r="G1026" s="2"/>
      <c r="H1026" s="2" t="s">
        <v>822</v>
      </c>
    </row>
    <row r="1027" customFormat="false" ht="15" hidden="false" customHeight="false" outlineLevel="0" collapsed="false">
      <c r="A1027" s="2" t="s">
        <v>922</v>
      </c>
      <c r="B1027" s="2" t="s">
        <v>45</v>
      </c>
      <c r="C1027" s="2" t="s">
        <v>4275</v>
      </c>
      <c r="D1027" s="11" t="n">
        <v>119160</v>
      </c>
      <c r="E1027" s="31" t="n">
        <v>88.5</v>
      </c>
      <c r="F1027" s="31" t="n">
        <v>15</v>
      </c>
      <c r="G1027" s="2"/>
      <c r="H1027" s="2" t="s">
        <v>822</v>
      </c>
    </row>
    <row r="1028" customFormat="false" ht="15" hidden="false" customHeight="false" outlineLevel="0" collapsed="false">
      <c r="A1028" s="2" t="s">
        <v>922</v>
      </c>
      <c r="B1028" s="2" t="s">
        <v>46</v>
      </c>
      <c r="C1028" s="2" t="s">
        <v>4274</v>
      </c>
      <c r="D1028" s="11" t="n">
        <v>29000</v>
      </c>
      <c r="E1028" s="31" t="n">
        <v>14.1</v>
      </c>
      <c r="F1028" s="31" t="n">
        <v>66.7</v>
      </c>
      <c r="G1028" s="31" t="n">
        <v>50.5</v>
      </c>
      <c r="H1028" s="2" t="s">
        <v>822</v>
      </c>
    </row>
    <row r="1029" customFormat="false" ht="15" hidden="false" customHeight="false" outlineLevel="0" collapsed="false">
      <c r="A1029" s="2" t="s">
        <v>922</v>
      </c>
      <c r="B1029" s="2" t="s">
        <v>46</v>
      </c>
      <c r="C1029" s="2" t="s">
        <v>4275</v>
      </c>
      <c r="D1029" s="11" t="n">
        <v>31045</v>
      </c>
      <c r="E1029" s="31" t="n">
        <v>12.4</v>
      </c>
      <c r="F1029" s="31" t="n">
        <v>92</v>
      </c>
      <c r="G1029" s="2"/>
      <c r="H1029" s="2" t="s">
        <v>832</v>
      </c>
    </row>
    <row r="1030" customFormat="false" ht="15" hidden="false" customHeight="false" outlineLevel="0" collapsed="false">
      <c r="A1030" s="2" t="s">
        <v>922</v>
      </c>
      <c r="B1030" s="2" t="s">
        <v>47</v>
      </c>
      <c r="C1030" s="2" t="s">
        <v>4274</v>
      </c>
      <c r="D1030" s="11" t="n">
        <v>11759</v>
      </c>
      <c r="E1030" s="31" t="n">
        <v>29.9</v>
      </c>
      <c r="F1030" s="31" t="n">
        <v>42.8</v>
      </c>
      <c r="G1030" s="31" t="n">
        <v>4.6</v>
      </c>
      <c r="H1030" s="2" t="s">
        <v>822</v>
      </c>
    </row>
    <row r="1031" customFormat="false" ht="15" hidden="false" customHeight="false" outlineLevel="0" collapsed="false">
      <c r="A1031" s="2" t="s">
        <v>922</v>
      </c>
      <c r="B1031" s="2" t="s">
        <v>47</v>
      </c>
      <c r="C1031" s="2" t="s">
        <v>4275</v>
      </c>
      <c r="D1031" s="11" t="n">
        <v>12100</v>
      </c>
      <c r="E1031" s="31" t="n">
        <v>44.8</v>
      </c>
      <c r="F1031" s="31" t="n">
        <v>31.5</v>
      </c>
      <c r="G1031" s="31" t="n">
        <v>5.4</v>
      </c>
      <c r="H1031" s="2" t="s">
        <v>822</v>
      </c>
    </row>
    <row r="1032" customFormat="false" ht="15" hidden="false" customHeight="false" outlineLevel="0" collapsed="false">
      <c r="A1032" s="2" t="s">
        <v>1031</v>
      </c>
      <c r="B1032" s="2" t="s">
        <v>4291</v>
      </c>
      <c r="C1032" s="2" t="s">
        <v>4274</v>
      </c>
      <c r="D1032" s="2"/>
      <c r="E1032" s="31" t="n">
        <v>51.9</v>
      </c>
      <c r="F1032" s="31" t="n">
        <v>69.1</v>
      </c>
      <c r="G1032" s="31" t="n">
        <v>25.9</v>
      </c>
      <c r="H1032" s="2" t="s">
        <v>822</v>
      </c>
    </row>
    <row r="1033" customFormat="false" ht="15" hidden="false" customHeight="false" outlineLevel="0" collapsed="false">
      <c r="A1033" s="2" t="s">
        <v>1031</v>
      </c>
      <c r="B1033" s="2" t="s">
        <v>4291</v>
      </c>
      <c r="C1033" s="2" t="s">
        <v>4275</v>
      </c>
      <c r="D1033" s="2"/>
      <c r="E1033" s="31" t="n">
        <v>40.6</v>
      </c>
      <c r="F1033" s="31" t="n">
        <v>82.2</v>
      </c>
      <c r="G1033" s="31" t="n">
        <v>27.6</v>
      </c>
      <c r="H1033" s="2" t="s">
        <v>832</v>
      </c>
    </row>
    <row r="1034" customFormat="false" ht="15" hidden="false" customHeight="false" outlineLevel="0" collapsed="false">
      <c r="A1034" s="2" t="s">
        <v>1031</v>
      </c>
      <c r="B1034" s="2" t="s">
        <v>45</v>
      </c>
      <c r="C1034" s="2" t="s">
        <v>4274</v>
      </c>
      <c r="D1034" s="11" t="n">
        <v>10510</v>
      </c>
      <c r="E1034" s="31" t="n">
        <v>65.5</v>
      </c>
      <c r="F1034" s="31" t="n">
        <v>73.4</v>
      </c>
      <c r="G1034" s="31" t="n">
        <v>44.9</v>
      </c>
      <c r="H1034" s="2" t="s">
        <v>822</v>
      </c>
    </row>
    <row r="1035" customFormat="false" ht="15" hidden="false" customHeight="false" outlineLevel="0" collapsed="false">
      <c r="A1035" s="2" t="s">
        <v>1031</v>
      </c>
      <c r="B1035" s="2" t="s">
        <v>45</v>
      </c>
      <c r="C1035" s="2" t="s">
        <v>4275</v>
      </c>
      <c r="D1035" s="11" t="n">
        <v>11000</v>
      </c>
      <c r="E1035" s="31" t="n">
        <v>75.2</v>
      </c>
      <c r="F1035" s="31" t="n">
        <v>89.3</v>
      </c>
      <c r="G1035" s="31" t="n">
        <v>12.8</v>
      </c>
      <c r="H1035" s="2" t="s">
        <v>822</v>
      </c>
    </row>
    <row r="1036" customFormat="false" ht="15" hidden="false" customHeight="false" outlineLevel="0" collapsed="false">
      <c r="A1036" s="2" t="s">
        <v>1031</v>
      </c>
      <c r="B1036" s="2" t="s">
        <v>46</v>
      </c>
      <c r="C1036" s="2" t="s">
        <v>4274</v>
      </c>
      <c r="D1036" s="11" t="n">
        <v>80250</v>
      </c>
      <c r="E1036" s="31" t="n">
        <v>85.1</v>
      </c>
      <c r="F1036" s="31" t="n">
        <v>87.6</v>
      </c>
      <c r="G1036" s="31" t="n">
        <v>13</v>
      </c>
      <c r="H1036" s="2" t="s">
        <v>822</v>
      </c>
    </row>
    <row r="1037" customFormat="false" ht="15" hidden="false" customHeight="false" outlineLevel="0" collapsed="false">
      <c r="A1037" s="2" t="s">
        <v>1031</v>
      </c>
      <c r="B1037" s="2" t="s">
        <v>46</v>
      </c>
      <c r="C1037" s="2" t="s">
        <v>4275</v>
      </c>
      <c r="D1037" s="2"/>
      <c r="E1037" s="2"/>
      <c r="F1037" s="2"/>
      <c r="G1037" s="2"/>
      <c r="H1037" s="2" t="s">
        <v>832</v>
      </c>
    </row>
    <row r="1038" customFormat="false" ht="15" hidden="false" customHeight="false" outlineLevel="0" collapsed="false">
      <c r="A1038" s="2" t="s">
        <v>1031</v>
      </c>
      <c r="B1038" s="2" t="s">
        <v>47</v>
      </c>
      <c r="C1038" s="2" t="s">
        <v>4274</v>
      </c>
      <c r="D1038" s="11" t="n">
        <v>10460</v>
      </c>
      <c r="E1038" s="31" t="n">
        <v>5.2</v>
      </c>
      <c r="F1038" s="31" t="n">
        <v>46.4</v>
      </c>
      <c r="G1038" s="31" t="n">
        <v>19.8</v>
      </c>
      <c r="H1038" s="2" t="s">
        <v>822</v>
      </c>
    </row>
    <row r="1039" customFormat="false" ht="15" hidden="false" customHeight="false" outlineLevel="0" collapsed="false">
      <c r="A1039" s="2" t="s">
        <v>1031</v>
      </c>
      <c r="B1039" s="2" t="s">
        <v>47</v>
      </c>
      <c r="C1039" s="2" t="s">
        <v>4275</v>
      </c>
      <c r="D1039" s="11" t="n">
        <v>10940</v>
      </c>
      <c r="E1039" s="31" t="n">
        <v>6</v>
      </c>
      <c r="F1039" s="31" t="n">
        <v>75</v>
      </c>
      <c r="G1039" s="31" t="n">
        <v>42.3</v>
      </c>
      <c r="H1039" s="2" t="s">
        <v>822</v>
      </c>
    </row>
    <row r="1040" customFormat="false" ht="15" hidden="false" customHeight="false" outlineLevel="0" collapsed="false">
      <c r="A1040" s="2" t="s">
        <v>1247</v>
      </c>
      <c r="B1040" s="2" t="s">
        <v>4291</v>
      </c>
      <c r="C1040" s="2" t="s">
        <v>4274</v>
      </c>
      <c r="D1040" s="2"/>
      <c r="E1040" s="31" t="n">
        <v>32.3</v>
      </c>
      <c r="F1040" s="31" t="n">
        <v>57.6</v>
      </c>
      <c r="G1040" s="31" t="n">
        <v>8.6</v>
      </c>
      <c r="H1040" s="2" t="s">
        <v>832</v>
      </c>
    </row>
    <row r="1041" customFormat="false" ht="15" hidden="false" customHeight="false" outlineLevel="0" collapsed="false">
      <c r="A1041" s="2" t="s">
        <v>1247</v>
      </c>
      <c r="B1041" s="2" t="s">
        <v>4291</v>
      </c>
      <c r="C1041" s="2" t="s">
        <v>4275</v>
      </c>
      <c r="D1041" s="2"/>
      <c r="E1041" s="31" t="n">
        <v>39.2</v>
      </c>
      <c r="F1041" s="31" t="n">
        <v>33.8</v>
      </c>
      <c r="G1041" s="31" t="n">
        <v>24.2</v>
      </c>
      <c r="H1041" s="2" t="s">
        <v>832</v>
      </c>
    </row>
    <row r="1042" customFormat="false" ht="15" hidden="false" customHeight="false" outlineLevel="0" collapsed="false">
      <c r="A1042" s="2" t="s">
        <v>1247</v>
      </c>
      <c r="B1042" s="2" t="s">
        <v>45</v>
      </c>
      <c r="C1042" s="2" t="s">
        <v>4274</v>
      </c>
      <c r="D1042" s="2"/>
      <c r="E1042" s="2"/>
      <c r="F1042" s="2"/>
      <c r="G1042" s="2"/>
      <c r="H1042" s="2" t="s">
        <v>832</v>
      </c>
    </row>
    <row r="1043" customFormat="false" ht="15" hidden="false" customHeight="false" outlineLevel="0" collapsed="false">
      <c r="A1043" s="2" t="s">
        <v>1247</v>
      </c>
      <c r="B1043" s="2" t="s">
        <v>45</v>
      </c>
      <c r="C1043" s="2" t="s">
        <v>4275</v>
      </c>
      <c r="D1043" s="11" t="n">
        <v>60300</v>
      </c>
      <c r="E1043" s="31" t="n">
        <v>48</v>
      </c>
      <c r="F1043" s="31" t="n">
        <v>13.7</v>
      </c>
      <c r="G1043" s="31" t="n">
        <v>4.2</v>
      </c>
      <c r="H1043" s="2" t="s">
        <v>822</v>
      </c>
    </row>
    <row r="1044" customFormat="false" ht="15" hidden="false" customHeight="false" outlineLevel="0" collapsed="false">
      <c r="A1044" s="2" t="s">
        <v>1247</v>
      </c>
      <c r="B1044" s="2" t="s">
        <v>46</v>
      </c>
      <c r="C1044" s="2" t="s">
        <v>4274</v>
      </c>
      <c r="D1044" s="11" t="n">
        <v>39730</v>
      </c>
      <c r="E1044" s="31" t="n">
        <v>54.6</v>
      </c>
      <c r="F1044" s="31" t="n">
        <v>70.4</v>
      </c>
      <c r="G1044" s="2"/>
      <c r="H1044" s="2" t="s">
        <v>832</v>
      </c>
    </row>
    <row r="1045" customFormat="false" ht="15" hidden="false" customHeight="false" outlineLevel="0" collapsed="false">
      <c r="A1045" s="2" t="s">
        <v>1247</v>
      </c>
      <c r="B1045" s="2" t="s">
        <v>46</v>
      </c>
      <c r="C1045" s="2" t="s">
        <v>4275</v>
      </c>
      <c r="D1045" s="11" t="n">
        <v>41160</v>
      </c>
      <c r="E1045" s="31" t="n">
        <v>62.1</v>
      </c>
      <c r="F1045" s="31" t="n">
        <v>53.8</v>
      </c>
      <c r="G1045" s="31" t="n">
        <v>32.7</v>
      </c>
      <c r="H1045" s="2" t="s">
        <v>822</v>
      </c>
    </row>
    <row r="1046" customFormat="false" ht="15" hidden="false" customHeight="false" outlineLevel="0" collapsed="false">
      <c r="A1046" s="2" t="s">
        <v>1247</v>
      </c>
      <c r="B1046" s="2" t="s">
        <v>47</v>
      </c>
      <c r="C1046" s="2" t="s">
        <v>4274</v>
      </c>
      <c r="D1046" s="11" t="n">
        <v>37132</v>
      </c>
      <c r="E1046" s="31" t="n">
        <v>10</v>
      </c>
      <c r="F1046" s="31" t="n">
        <v>44.8</v>
      </c>
      <c r="G1046" s="31" t="n">
        <v>8.6</v>
      </c>
      <c r="H1046" s="2" t="s">
        <v>822</v>
      </c>
    </row>
    <row r="1047" customFormat="false" ht="15" hidden="false" customHeight="false" outlineLevel="0" collapsed="false">
      <c r="A1047" s="2" t="s">
        <v>1247</v>
      </c>
      <c r="B1047" s="2" t="s">
        <v>47</v>
      </c>
      <c r="C1047" s="2" t="s">
        <v>4275</v>
      </c>
      <c r="D1047" s="11" t="n">
        <v>36911</v>
      </c>
      <c r="E1047" s="31" t="n">
        <v>7.4</v>
      </c>
      <c r="F1047" s="2"/>
      <c r="G1047" s="31" t="n">
        <v>35.8</v>
      </c>
      <c r="H1047" s="2" t="s">
        <v>832</v>
      </c>
    </row>
    <row r="1048" customFormat="false" ht="15" hidden="false" customHeight="false" outlineLevel="0" collapsed="false">
      <c r="A1048" s="2" t="s">
        <v>178</v>
      </c>
      <c r="B1048" s="2" t="s">
        <v>4291</v>
      </c>
      <c r="C1048" s="2" t="s">
        <v>4274</v>
      </c>
      <c r="D1048" s="2"/>
      <c r="E1048" s="31" t="n">
        <v>58</v>
      </c>
      <c r="F1048" s="31" t="n">
        <v>70.3</v>
      </c>
      <c r="G1048" s="31" t="n">
        <v>55.7</v>
      </c>
      <c r="H1048" s="2" t="s">
        <v>822</v>
      </c>
    </row>
    <row r="1049" customFormat="false" ht="15" hidden="false" customHeight="false" outlineLevel="0" collapsed="false">
      <c r="A1049" s="2" t="s">
        <v>178</v>
      </c>
      <c r="B1049" s="2" t="s">
        <v>4291</v>
      </c>
      <c r="C1049" s="2" t="s">
        <v>4275</v>
      </c>
      <c r="D1049" s="2"/>
      <c r="E1049" s="31" t="n">
        <v>78</v>
      </c>
      <c r="F1049" s="31" t="n">
        <v>50</v>
      </c>
      <c r="G1049" s="31" t="n">
        <v>44.4</v>
      </c>
      <c r="H1049" s="2" t="s">
        <v>822</v>
      </c>
    </row>
    <row r="1050" customFormat="false" ht="15" hidden="false" customHeight="false" outlineLevel="0" collapsed="false">
      <c r="A1050" s="2" t="s">
        <v>178</v>
      </c>
      <c r="B1050" s="2" t="s">
        <v>47</v>
      </c>
      <c r="C1050" s="2" t="s">
        <v>4274</v>
      </c>
      <c r="D1050" s="11" t="n">
        <v>39504</v>
      </c>
      <c r="E1050" s="31" t="n">
        <v>58</v>
      </c>
      <c r="F1050" s="31" t="n">
        <v>70.3</v>
      </c>
      <c r="G1050" s="31" t="n">
        <v>55.7</v>
      </c>
      <c r="H1050" s="2" t="s">
        <v>822</v>
      </c>
    </row>
    <row r="1051" customFormat="false" ht="15" hidden="false" customHeight="false" outlineLevel="0" collapsed="false">
      <c r="A1051" s="2" t="s">
        <v>178</v>
      </c>
      <c r="B1051" s="2" t="s">
        <v>47</v>
      </c>
      <c r="C1051" s="2" t="s">
        <v>4275</v>
      </c>
      <c r="D1051" s="11" t="n">
        <v>40655</v>
      </c>
      <c r="E1051" s="31" t="n">
        <v>78</v>
      </c>
      <c r="F1051" s="31" t="n">
        <v>50</v>
      </c>
      <c r="G1051" s="31" t="n">
        <v>44.4</v>
      </c>
      <c r="H1051" s="2" t="s">
        <v>822</v>
      </c>
    </row>
    <row r="1052" customFormat="false" ht="15" hidden="false" customHeight="false" outlineLevel="0" collapsed="false">
      <c r="A1052" s="2" t="s">
        <v>1905</v>
      </c>
      <c r="B1052" s="2" t="s">
        <v>4291</v>
      </c>
      <c r="C1052" s="2" t="s">
        <v>4274</v>
      </c>
      <c r="D1052" s="2"/>
      <c r="E1052" s="31" t="n">
        <v>38.4</v>
      </c>
      <c r="F1052" s="31" t="n">
        <v>48.1</v>
      </c>
      <c r="G1052" s="31" t="n">
        <v>44</v>
      </c>
      <c r="H1052" s="2" t="s">
        <v>822</v>
      </c>
    </row>
    <row r="1053" customFormat="false" ht="15" hidden="false" customHeight="false" outlineLevel="0" collapsed="false">
      <c r="A1053" s="2" t="s">
        <v>1905</v>
      </c>
      <c r="B1053" s="2" t="s">
        <v>4291</v>
      </c>
      <c r="C1053" s="2" t="s">
        <v>4275</v>
      </c>
      <c r="D1053" s="2"/>
      <c r="E1053" s="31" t="n">
        <v>57.3</v>
      </c>
      <c r="F1053" s="31" t="n">
        <v>35.7</v>
      </c>
      <c r="G1053" s="31" t="n">
        <v>53.8</v>
      </c>
      <c r="H1053" s="2" t="s">
        <v>832</v>
      </c>
    </row>
    <row r="1054" customFormat="false" ht="15" hidden="false" customHeight="false" outlineLevel="0" collapsed="false">
      <c r="A1054" s="2" t="s">
        <v>1905</v>
      </c>
      <c r="B1054" s="2" t="s">
        <v>45</v>
      </c>
      <c r="C1054" s="2" t="s">
        <v>4274</v>
      </c>
      <c r="D1054" s="11" t="n">
        <v>9560</v>
      </c>
      <c r="E1054" s="31" t="n">
        <v>29.1</v>
      </c>
      <c r="F1054" s="31" t="n">
        <v>80.6</v>
      </c>
      <c r="G1054" s="31" t="n">
        <v>54.5</v>
      </c>
      <c r="H1054" s="2" t="s">
        <v>822</v>
      </c>
    </row>
    <row r="1055" customFormat="false" ht="15" hidden="false" customHeight="false" outlineLevel="0" collapsed="false">
      <c r="A1055" s="2" t="s">
        <v>1905</v>
      </c>
      <c r="B1055" s="2" t="s">
        <v>45</v>
      </c>
      <c r="C1055" s="2" t="s">
        <v>4275</v>
      </c>
      <c r="D1055" s="11" t="n">
        <v>10179</v>
      </c>
      <c r="E1055" s="2"/>
      <c r="F1055" s="31" t="n">
        <v>83.2</v>
      </c>
      <c r="G1055" s="31" t="n">
        <v>76.6</v>
      </c>
      <c r="H1055" s="2" t="s">
        <v>832</v>
      </c>
    </row>
    <row r="1056" customFormat="false" ht="15" hidden="false" customHeight="false" outlineLevel="0" collapsed="false">
      <c r="A1056" s="2" t="s">
        <v>1905</v>
      </c>
      <c r="B1056" s="2" t="s">
        <v>46</v>
      </c>
      <c r="C1056" s="2" t="s">
        <v>4274</v>
      </c>
      <c r="D1056" s="11" t="n">
        <v>56920</v>
      </c>
      <c r="E1056" s="31" t="n">
        <v>24.3</v>
      </c>
      <c r="F1056" s="31" t="n">
        <v>15</v>
      </c>
      <c r="G1056" s="31" t="n">
        <v>47.9</v>
      </c>
      <c r="H1056" s="2" t="s">
        <v>822</v>
      </c>
    </row>
    <row r="1057" customFormat="false" ht="15" hidden="false" customHeight="false" outlineLevel="0" collapsed="false">
      <c r="A1057" s="2" t="s">
        <v>1905</v>
      </c>
      <c r="B1057" s="2" t="s">
        <v>46</v>
      </c>
      <c r="C1057" s="2" t="s">
        <v>4275</v>
      </c>
      <c r="D1057" s="11" t="n">
        <v>55870</v>
      </c>
      <c r="E1057" s="31" t="n">
        <v>47.9</v>
      </c>
      <c r="F1057" s="31" t="n">
        <v>4.7</v>
      </c>
      <c r="G1057" s="31" t="n">
        <v>36.9</v>
      </c>
      <c r="H1057" s="2" t="s">
        <v>822</v>
      </c>
    </row>
    <row r="1058" customFormat="false" ht="15" hidden="false" customHeight="false" outlineLevel="0" collapsed="false">
      <c r="A1058" s="2" t="s">
        <v>1905</v>
      </c>
      <c r="B1058" s="2" t="s">
        <v>47</v>
      </c>
      <c r="C1058" s="2" t="s">
        <v>4274</v>
      </c>
      <c r="D1058" s="11" t="n">
        <v>113592</v>
      </c>
      <c r="E1058" s="31" t="n">
        <v>61.9</v>
      </c>
      <c r="F1058" s="31" t="n">
        <v>48.8</v>
      </c>
      <c r="G1058" s="31" t="n">
        <v>29.6</v>
      </c>
      <c r="H1058" s="2" t="s">
        <v>822</v>
      </c>
    </row>
    <row r="1059" customFormat="false" ht="15" hidden="false" customHeight="false" outlineLevel="0" collapsed="false">
      <c r="A1059" s="2" t="s">
        <v>1905</v>
      </c>
      <c r="B1059" s="2" t="s">
        <v>47</v>
      </c>
      <c r="C1059" s="2" t="s">
        <v>4275</v>
      </c>
      <c r="D1059" s="11" t="n">
        <v>113204</v>
      </c>
      <c r="E1059" s="31" t="n">
        <v>66.7</v>
      </c>
      <c r="F1059" s="31" t="n">
        <v>19.3</v>
      </c>
      <c r="G1059" s="31" t="n">
        <v>47.8</v>
      </c>
      <c r="H1059" s="2" t="s">
        <v>822</v>
      </c>
    </row>
    <row r="1060" customFormat="false" ht="15" hidden="false" customHeight="false" outlineLevel="0" collapsed="false">
      <c r="A1060" s="2" t="s">
        <v>524</v>
      </c>
      <c r="B1060" s="2" t="s">
        <v>4291</v>
      </c>
      <c r="C1060" s="2" t="s">
        <v>4274</v>
      </c>
      <c r="D1060" s="2"/>
      <c r="E1060" s="31" t="n">
        <v>39.5</v>
      </c>
      <c r="F1060" s="31" t="n">
        <v>34.3</v>
      </c>
      <c r="G1060" s="31" t="n">
        <v>48</v>
      </c>
      <c r="H1060" s="2" t="s">
        <v>822</v>
      </c>
    </row>
    <row r="1061" customFormat="false" ht="15" hidden="false" customHeight="false" outlineLevel="0" collapsed="false">
      <c r="A1061" s="2" t="s">
        <v>524</v>
      </c>
      <c r="B1061" s="2" t="s">
        <v>4291</v>
      </c>
      <c r="C1061" s="2" t="s">
        <v>4275</v>
      </c>
      <c r="D1061" s="2"/>
      <c r="E1061" s="31" t="n">
        <v>46.1</v>
      </c>
      <c r="F1061" s="31" t="n">
        <v>32.1</v>
      </c>
      <c r="G1061" s="31" t="n">
        <v>41.5</v>
      </c>
      <c r="H1061" s="2" t="s">
        <v>822</v>
      </c>
    </row>
    <row r="1062" customFormat="false" ht="15" hidden="false" customHeight="false" outlineLevel="0" collapsed="false">
      <c r="A1062" s="2" t="s">
        <v>524</v>
      </c>
      <c r="B1062" s="2" t="s">
        <v>45</v>
      </c>
      <c r="C1062" s="2" t="s">
        <v>4274</v>
      </c>
      <c r="D1062" s="11" t="n">
        <v>52480</v>
      </c>
      <c r="E1062" s="31" t="n">
        <v>68.7</v>
      </c>
      <c r="F1062" s="31" t="n">
        <v>6.2</v>
      </c>
      <c r="G1062" s="31" t="n">
        <v>50.2</v>
      </c>
      <c r="H1062" s="2" t="s">
        <v>822</v>
      </c>
    </row>
    <row r="1063" customFormat="false" ht="15" hidden="false" customHeight="false" outlineLevel="0" collapsed="false">
      <c r="A1063" s="2" t="s">
        <v>524</v>
      </c>
      <c r="B1063" s="2" t="s">
        <v>45</v>
      </c>
      <c r="C1063" s="2" t="s">
        <v>4275</v>
      </c>
      <c r="D1063" s="11" t="n">
        <v>52353</v>
      </c>
      <c r="E1063" s="31" t="n">
        <v>82.2</v>
      </c>
      <c r="F1063" s="31" t="n">
        <v>23.7</v>
      </c>
      <c r="G1063" s="31" t="n">
        <v>9.3</v>
      </c>
      <c r="H1063" s="2" t="s">
        <v>822</v>
      </c>
    </row>
    <row r="1064" customFormat="false" ht="15" hidden="false" customHeight="false" outlineLevel="0" collapsed="false">
      <c r="A1064" s="2" t="s">
        <v>524</v>
      </c>
      <c r="B1064" s="2" t="s">
        <v>46</v>
      </c>
      <c r="C1064" s="2" t="s">
        <v>4274</v>
      </c>
      <c r="D1064" s="11" t="n">
        <v>49640</v>
      </c>
      <c r="E1064" s="31" t="n">
        <v>47.7</v>
      </c>
      <c r="F1064" s="31" t="n">
        <v>55.1</v>
      </c>
      <c r="G1064" s="31" t="n">
        <v>20.8</v>
      </c>
      <c r="H1064" s="2" t="s">
        <v>822</v>
      </c>
    </row>
    <row r="1065" customFormat="false" ht="15" hidden="false" customHeight="false" outlineLevel="0" collapsed="false">
      <c r="A1065" s="2" t="s">
        <v>524</v>
      </c>
      <c r="B1065" s="2" t="s">
        <v>46</v>
      </c>
      <c r="C1065" s="2" t="s">
        <v>4275</v>
      </c>
      <c r="D1065" s="11" t="n">
        <v>51430</v>
      </c>
      <c r="E1065" s="31" t="n">
        <v>53</v>
      </c>
      <c r="F1065" s="31" t="n">
        <v>43.3</v>
      </c>
      <c r="G1065" s="31" t="n">
        <v>73.5</v>
      </c>
      <c r="H1065" s="2" t="s">
        <v>822</v>
      </c>
    </row>
    <row r="1066" customFormat="false" ht="15" hidden="false" customHeight="false" outlineLevel="0" collapsed="false">
      <c r="A1066" s="2" t="s">
        <v>524</v>
      </c>
      <c r="B1066" s="2" t="s">
        <v>47</v>
      </c>
      <c r="C1066" s="2" t="s">
        <v>4274</v>
      </c>
      <c r="D1066" s="11" t="n">
        <v>51918</v>
      </c>
      <c r="E1066" s="31" t="n">
        <v>2.1</v>
      </c>
      <c r="F1066" s="31" t="n">
        <v>41.5</v>
      </c>
      <c r="G1066" s="31" t="n">
        <v>73</v>
      </c>
      <c r="H1066" s="2" t="s">
        <v>822</v>
      </c>
    </row>
    <row r="1067" customFormat="false" ht="15" hidden="false" customHeight="false" outlineLevel="0" collapsed="false">
      <c r="A1067" s="2" t="s">
        <v>524</v>
      </c>
      <c r="B1067" s="2" t="s">
        <v>47</v>
      </c>
      <c r="C1067" s="2" t="s">
        <v>4275</v>
      </c>
      <c r="D1067" s="11" t="n">
        <v>51719</v>
      </c>
      <c r="E1067" s="31" t="n">
        <v>3.2</v>
      </c>
      <c r="F1067" s="31" t="n">
        <v>29.2</v>
      </c>
      <c r="G1067" s="31" t="n">
        <v>41.6</v>
      </c>
      <c r="H1067" s="2" t="s">
        <v>822</v>
      </c>
    </row>
    <row r="1068" customFormat="false" ht="15" hidden="false" customHeight="false" outlineLevel="0" collapsed="false">
      <c r="A1068" s="2" t="s">
        <v>628</v>
      </c>
      <c r="B1068" s="2" t="s">
        <v>4291</v>
      </c>
      <c r="C1068" s="2" t="s">
        <v>4274</v>
      </c>
      <c r="D1068" s="2"/>
      <c r="E1068" s="31" t="n">
        <v>0.5</v>
      </c>
      <c r="F1068" s="2"/>
      <c r="G1068" s="31" t="n">
        <v>0.8</v>
      </c>
      <c r="H1068" s="2" t="s">
        <v>832</v>
      </c>
    </row>
    <row r="1069" customFormat="false" ht="15" hidden="false" customHeight="false" outlineLevel="0" collapsed="false">
      <c r="A1069" s="2" t="s">
        <v>628</v>
      </c>
      <c r="B1069" s="2" t="s">
        <v>4291</v>
      </c>
      <c r="C1069" s="2" t="s">
        <v>4275</v>
      </c>
      <c r="D1069" s="2"/>
      <c r="E1069" s="31" t="n">
        <v>37.2</v>
      </c>
      <c r="F1069" s="31" t="n">
        <v>74.8</v>
      </c>
      <c r="G1069" s="31" t="n">
        <v>7.4</v>
      </c>
      <c r="H1069" s="2" t="s">
        <v>822</v>
      </c>
    </row>
    <row r="1070" customFormat="false" ht="15" hidden="false" customHeight="false" outlineLevel="0" collapsed="false">
      <c r="A1070" s="2" t="s">
        <v>628</v>
      </c>
      <c r="B1070" s="2" t="s">
        <v>45</v>
      </c>
      <c r="C1070" s="2" t="s">
        <v>4274</v>
      </c>
      <c r="D1070" s="2"/>
      <c r="E1070" s="2"/>
      <c r="F1070" s="2"/>
      <c r="G1070" s="2"/>
      <c r="H1070" s="2" t="s">
        <v>832</v>
      </c>
    </row>
    <row r="1071" customFormat="false" ht="15" hidden="false" customHeight="false" outlineLevel="0" collapsed="false">
      <c r="A1071" s="2" t="s">
        <v>628</v>
      </c>
      <c r="B1071" s="2" t="s">
        <v>45</v>
      </c>
      <c r="C1071" s="2" t="s">
        <v>4275</v>
      </c>
      <c r="D1071" s="11" t="n">
        <v>96240</v>
      </c>
      <c r="E1071" s="31" t="n">
        <v>72</v>
      </c>
      <c r="F1071" s="31" t="n">
        <v>88.3</v>
      </c>
      <c r="G1071" s="31" t="n">
        <v>14</v>
      </c>
      <c r="H1071" s="2" t="s">
        <v>822</v>
      </c>
    </row>
    <row r="1072" customFormat="false" ht="15" hidden="false" customHeight="false" outlineLevel="0" collapsed="false">
      <c r="A1072" s="2" t="s">
        <v>628</v>
      </c>
      <c r="B1072" s="2" t="s">
        <v>47</v>
      </c>
      <c r="C1072" s="2" t="s">
        <v>4274</v>
      </c>
      <c r="D1072" s="11" t="n">
        <v>1290</v>
      </c>
      <c r="E1072" s="31" t="n">
        <v>0.5</v>
      </c>
      <c r="F1072" s="2"/>
      <c r="G1072" s="31" t="n">
        <v>0.8</v>
      </c>
      <c r="H1072" s="2" t="s">
        <v>832</v>
      </c>
    </row>
    <row r="1073" customFormat="false" ht="15" hidden="false" customHeight="false" outlineLevel="0" collapsed="false">
      <c r="A1073" s="2" t="s">
        <v>628</v>
      </c>
      <c r="B1073" s="2" t="s">
        <v>47</v>
      </c>
      <c r="C1073" s="2" t="s">
        <v>4275</v>
      </c>
      <c r="D1073" s="11" t="n">
        <v>1290</v>
      </c>
      <c r="E1073" s="31" t="n">
        <v>2.3</v>
      </c>
      <c r="F1073" s="31" t="n">
        <v>61.3</v>
      </c>
      <c r="G1073" s="31" t="n">
        <v>0.9</v>
      </c>
      <c r="H1073" s="2" t="s">
        <v>822</v>
      </c>
    </row>
    <row r="1074" customFormat="false" ht="15" hidden="false" customHeight="false" outlineLevel="0" collapsed="false">
      <c r="A1074" s="2" t="s">
        <v>1082</v>
      </c>
      <c r="B1074" s="2" t="s">
        <v>4291</v>
      </c>
      <c r="C1074" s="2" t="s">
        <v>4274</v>
      </c>
      <c r="D1074" s="2"/>
      <c r="E1074" s="31" t="n">
        <v>54.4</v>
      </c>
      <c r="F1074" s="31" t="n">
        <v>20.2</v>
      </c>
      <c r="G1074" s="31" t="n">
        <v>33.8</v>
      </c>
      <c r="H1074" s="2" t="s">
        <v>832</v>
      </c>
    </row>
    <row r="1075" customFormat="false" ht="15" hidden="false" customHeight="false" outlineLevel="0" collapsed="false">
      <c r="A1075" s="2" t="s">
        <v>1082</v>
      </c>
      <c r="B1075" s="2" t="s">
        <v>4291</v>
      </c>
      <c r="C1075" s="2" t="s">
        <v>4275</v>
      </c>
      <c r="D1075" s="2"/>
      <c r="E1075" s="31" t="n">
        <v>64.6</v>
      </c>
      <c r="F1075" s="31" t="n">
        <v>3.6</v>
      </c>
      <c r="G1075" s="31" t="n">
        <v>48.4</v>
      </c>
      <c r="H1075" s="2" t="s">
        <v>832</v>
      </c>
    </row>
    <row r="1076" customFormat="false" ht="15" hidden="false" customHeight="false" outlineLevel="0" collapsed="false">
      <c r="A1076" s="2" t="s">
        <v>1082</v>
      </c>
      <c r="B1076" s="2" t="s">
        <v>45</v>
      </c>
      <c r="C1076" s="2" t="s">
        <v>4274</v>
      </c>
      <c r="D1076" s="11" t="n">
        <v>242533</v>
      </c>
      <c r="E1076" s="31" t="n">
        <v>77.7</v>
      </c>
      <c r="F1076" s="31" t="n">
        <v>22.6</v>
      </c>
      <c r="G1076" s="31" t="n">
        <v>32.4</v>
      </c>
      <c r="H1076" s="2" t="s">
        <v>822</v>
      </c>
    </row>
    <row r="1077" customFormat="false" ht="15" hidden="false" customHeight="false" outlineLevel="0" collapsed="false">
      <c r="A1077" s="2" t="s">
        <v>1082</v>
      </c>
      <c r="B1077" s="2" t="s">
        <v>45</v>
      </c>
      <c r="C1077" s="2" t="s">
        <v>4275</v>
      </c>
      <c r="D1077" s="11" t="n">
        <v>246240</v>
      </c>
      <c r="E1077" s="31" t="n">
        <v>69.2</v>
      </c>
      <c r="F1077" s="31" t="n">
        <v>3.6</v>
      </c>
      <c r="G1077" s="31" t="n">
        <v>47.3</v>
      </c>
      <c r="H1077" s="2" t="s">
        <v>822</v>
      </c>
    </row>
    <row r="1078" customFormat="false" ht="15" hidden="false" customHeight="false" outlineLevel="0" collapsed="false">
      <c r="A1078" s="2" t="s">
        <v>1082</v>
      </c>
      <c r="B1078" s="2" t="s">
        <v>46</v>
      </c>
      <c r="C1078" s="2" t="s">
        <v>4274</v>
      </c>
      <c r="D1078" s="11" t="n">
        <v>114386</v>
      </c>
      <c r="E1078" s="31" t="n">
        <v>30.3</v>
      </c>
      <c r="F1078" s="2"/>
      <c r="G1078" s="2"/>
      <c r="H1078" s="2" t="s">
        <v>832</v>
      </c>
    </row>
    <row r="1079" customFormat="false" ht="15" hidden="false" customHeight="false" outlineLevel="0" collapsed="false">
      <c r="A1079" s="2" t="s">
        <v>1082</v>
      </c>
      <c r="B1079" s="2" t="s">
        <v>46</v>
      </c>
      <c r="C1079" s="2" t="s">
        <v>4275</v>
      </c>
      <c r="D1079" s="2"/>
      <c r="E1079" s="2"/>
      <c r="F1079" s="2"/>
      <c r="G1079" s="2"/>
      <c r="H1079" s="2" t="s">
        <v>832</v>
      </c>
    </row>
    <row r="1080" customFormat="false" ht="15" hidden="false" customHeight="false" outlineLevel="0" collapsed="false">
      <c r="A1080" s="2" t="s">
        <v>1082</v>
      </c>
      <c r="B1080" s="2" t="s">
        <v>47</v>
      </c>
      <c r="C1080" s="2" t="s">
        <v>4274</v>
      </c>
      <c r="D1080" s="11" t="n">
        <v>458360</v>
      </c>
      <c r="E1080" s="31" t="n">
        <v>55.2</v>
      </c>
      <c r="F1080" s="31" t="n">
        <v>17.9</v>
      </c>
      <c r="G1080" s="31" t="n">
        <v>35.3</v>
      </c>
      <c r="H1080" s="2" t="s">
        <v>822</v>
      </c>
    </row>
    <row r="1081" customFormat="false" ht="15" hidden="false" customHeight="false" outlineLevel="0" collapsed="false">
      <c r="A1081" s="2" t="s">
        <v>1082</v>
      </c>
      <c r="B1081" s="2" t="s">
        <v>47</v>
      </c>
      <c r="C1081" s="2" t="s">
        <v>4275</v>
      </c>
      <c r="D1081" s="11" t="n">
        <v>468900</v>
      </c>
      <c r="E1081" s="31" t="n">
        <v>60.1</v>
      </c>
      <c r="F1081" s="2"/>
      <c r="G1081" s="31" t="n">
        <v>49.5</v>
      </c>
      <c r="H1081" s="2" t="s">
        <v>832</v>
      </c>
    </row>
    <row r="1082" customFormat="false" ht="15" hidden="false" customHeight="false" outlineLevel="0" collapsed="false">
      <c r="A1082" s="2" t="s">
        <v>1420</v>
      </c>
      <c r="B1082" s="2" t="s">
        <v>4291</v>
      </c>
      <c r="C1082" s="2" t="s">
        <v>4274</v>
      </c>
      <c r="D1082" s="2"/>
      <c r="E1082" s="31" t="n">
        <v>53.4</v>
      </c>
      <c r="F1082" s="31" t="n">
        <v>50.8</v>
      </c>
      <c r="G1082" s="31" t="n">
        <v>11.4</v>
      </c>
      <c r="H1082" s="2" t="s">
        <v>832</v>
      </c>
    </row>
    <row r="1083" customFormat="false" ht="15" hidden="false" customHeight="false" outlineLevel="0" collapsed="false">
      <c r="A1083" s="2" t="s">
        <v>1420</v>
      </c>
      <c r="B1083" s="2" t="s">
        <v>4291</v>
      </c>
      <c r="C1083" s="2" t="s">
        <v>4275</v>
      </c>
      <c r="D1083" s="2"/>
      <c r="E1083" s="31" t="n">
        <v>49.2</v>
      </c>
      <c r="F1083" s="31" t="n">
        <v>43.8</v>
      </c>
      <c r="G1083" s="31" t="n">
        <v>23</v>
      </c>
      <c r="H1083" s="2" t="s">
        <v>832</v>
      </c>
    </row>
    <row r="1084" customFormat="false" ht="15" hidden="false" customHeight="false" outlineLevel="0" collapsed="false">
      <c r="A1084" s="2" t="s">
        <v>1420</v>
      </c>
      <c r="B1084" s="2" t="s">
        <v>45</v>
      </c>
      <c r="C1084" s="2" t="s">
        <v>4274</v>
      </c>
      <c r="D1084" s="11" t="n">
        <v>105298</v>
      </c>
      <c r="E1084" s="31" t="n">
        <v>27</v>
      </c>
      <c r="F1084" s="31" t="n">
        <v>67.1</v>
      </c>
      <c r="G1084" s="31" t="n">
        <v>14.6</v>
      </c>
      <c r="H1084" s="2" t="s">
        <v>822</v>
      </c>
    </row>
    <row r="1085" customFormat="false" ht="15" hidden="false" customHeight="false" outlineLevel="0" collapsed="false">
      <c r="A1085" s="2" t="s">
        <v>1420</v>
      </c>
      <c r="B1085" s="2" t="s">
        <v>45</v>
      </c>
      <c r="C1085" s="2" t="s">
        <v>4275</v>
      </c>
      <c r="D1085" s="11" t="n">
        <v>108000</v>
      </c>
      <c r="E1085" s="31" t="n">
        <v>25.1</v>
      </c>
      <c r="F1085" s="31" t="n">
        <v>72.1</v>
      </c>
      <c r="G1085" s="31" t="n">
        <v>9.1</v>
      </c>
      <c r="H1085" s="2" t="s">
        <v>822</v>
      </c>
    </row>
    <row r="1086" customFormat="false" ht="15" hidden="false" customHeight="false" outlineLevel="0" collapsed="false">
      <c r="A1086" s="2" t="s">
        <v>1420</v>
      </c>
      <c r="B1086" s="2" t="s">
        <v>46</v>
      </c>
      <c r="C1086" s="2" t="s">
        <v>4274</v>
      </c>
      <c r="D1086" s="2"/>
      <c r="E1086" s="2"/>
      <c r="F1086" s="2"/>
      <c r="G1086" s="2"/>
      <c r="H1086" s="2" t="s">
        <v>832</v>
      </c>
    </row>
    <row r="1087" customFormat="false" ht="15" hidden="false" customHeight="false" outlineLevel="0" collapsed="false">
      <c r="A1087" s="2" t="s">
        <v>1420</v>
      </c>
      <c r="B1087" s="2" t="s">
        <v>46</v>
      </c>
      <c r="C1087" s="2" t="s">
        <v>4275</v>
      </c>
      <c r="D1087" s="11" t="n">
        <v>66910</v>
      </c>
      <c r="E1087" s="2"/>
      <c r="F1087" s="31" t="n">
        <v>41.8</v>
      </c>
      <c r="G1087" s="31" t="n">
        <v>53</v>
      </c>
      <c r="H1087" s="2" t="s">
        <v>832</v>
      </c>
    </row>
    <row r="1088" customFormat="false" ht="15" hidden="false" customHeight="false" outlineLevel="0" collapsed="false">
      <c r="A1088" s="2" t="s">
        <v>1420</v>
      </c>
      <c r="B1088" s="2" t="s">
        <v>47</v>
      </c>
      <c r="C1088" s="2" t="s">
        <v>4274</v>
      </c>
      <c r="D1088" s="11" t="n">
        <v>118389</v>
      </c>
      <c r="E1088" s="31" t="n">
        <v>79.9</v>
      </c>
      <c r="F1088" s="31" t="n">
        <v>34.6</v>
      </c>
      <c r="G1088" s="31" t="n">
        <v>8.1</v>
      </c>
      <c r="H1088" s="2" t="s">
        <v>822</v>
      </c>
    </row>
    <row r="1089" customFormat="false" ht="15" hidden="false" customHeight="false" outlineLevel="0" collapsed="false">
      <c r="A1089" s="2" t="s">
        <v>1420</v>
      </c>
      <c r="B1089" s="2" t="s">
        <v>47</v>
      </c>
      <c r="C1089" s="2" t="s">
        <v>4275</v>
      </c>
      <c r="D1089" s="11" t="n">
        <v>124220</v>
      </c>
      <c r="E1089" s="31" t="n">
        <v>73.4</v>
      </c>
      <c r="F1089" s="31" t="n">
        <v>17.4</v>
      </c>
      <c r="G1089" s="31" t="n">
        <v>7</v>
      </c>
      <c r="H1089" s="2" t="s">
        <v>822</v>
      </c>
    </row>
    <row r="1090" customFormat="false" ht="15" hidden="false" customHeight="false" outlineLevel="0" collapsed="false">
      <c r="A1090" s="2" t="s">
        <v>1288</v>
      </c>
      <c r="B1090" s="2" t="s">
        <v>4291</v>
      </c>
      <c r="C1090" s="2" t="s">
        <v>4274</v>
      </c>
      <c r="D1090" s="2"/>
      <c r="E1090" s="31" t="n">
        <v>63.7</v>
      </c>
      <c r="F1090" s="31" t="n">
        <v>61</v>
      </c>
      <c r="G1090" s="31" t="n">
        <v>63.8</v>
      </c>
      <c r="H1090" s="2" t="s">
        <v>822</v>
      </c>
    </row>
    <row r="1091" customFormat="false" ht="15" hidden="false" customHeight="false" outlineLevel="0" collapsed="false">
      <c r="A1091" s="2" t="s">
        <v>1288</v>
      </c>
      <c r="B1091" s="2" t="s">
        <v>4291</v>
      </c>
      <c r="C1091" s="2" t="s">
        <v>4275</v>
      </c>
      <c r="D1091" s="2"/>
      <c r="E1091" s="31" t="n">
        <v>63.5</v>
      </c>
      <c r="F1091" s="31" t="n">
        <v>38.1</v>
      </c>
      <c r="G1091" s="31" t="n">
        <v>51.3</v>
      </c>
      <c r="H1091" s="2" t="s">
        <v>832</v>
      </c>
    </row>
    <row r="1092" customFormat="false" ht="15" hidden="false" customHeight="false" outlineLevel="0" collapsed="false">
      <c r="A1092" s="2" t="s">
        <v>1288</v>
      </c>
      <c r="B1092" s="2" t="s">
        <v>45</v>
      </c>
      <c r="C1092" s="2" t="s">
        <v>4274</v>
      </c>
      <c r="D1092" s="11" t="n">
        <v>51750</v>
      </c>
      <c r="E1092" s="31" t="n">
        <v>47.3</v>
      </c>
      <c r="F1092" s="31" t="n">
        <v>13.1</v>
      </c>
      <c r="G1092" s="2"/>
      <c r="H1092" s="2" t="s">
        <v>822</v>
      </c>
    </row>
    <row r="1093" customFormat="false" ht="15" hidden="false" customHeight="false" outlineLevel="0" collapsed="false">
      <c r="A1093" s="2" t="s">
        <v>1288</v>
      </c>
      <c r="B1093" s="2" t="s">
        <v>45</v>
      </c>
      <c r="C1093" s="2" t="s">
        <v>4275</v>
      </c>
      <c r="D1093" s="11" t="n">
        <v>53040</v>
      </c>
      <c r="E1093" s="31" t="n">
        <v>42.3</v>
      </c>
      <c r="F1093" s="31" t="n">
        <v>14.4</v>
      </c>
      <c r="G1093" s="2"/>
      <c r="H1093" s="2" t="s">
        <v>822</v>
      </c>
    </row>
    <row r="1094" customFormat="false" ht="15" hidden="false" customHeight="false" outlineLevel="0" collapsed="false">
      <c r="A1094" s="2" t="s">
        <v>1288</v>
      </c>
      <c r="B1094" s="2" t="s">
        <v>46</v>
      </c>
      <c r="C1094" s="2" t="s">
        <v>4274</v>
      </c>
      <c r="D1094" s="11" t="n">
        <v>14421</v>
      </c>
      <c r="E1094" s="31" t="n">
        <v>66.7</v>
      </c>
      <c r="F1094" s="31" t="n">
        <v>98.1</v>
      </c>
      <c r="G1094" s="31" t="n">
        <v>87.9</v>
      </c>
      <c r="H1094" s="2" t="s">
        <v>822</v>
      </c>
    </row>
    <row r="1095" customFormat="false" ht="15" hidden="false" customHeight="false" outlineLevel="0" collapsed="false">
      <c r="A1095" s="2" t="s">
        <v>1288</v>
      </c>
      <c r="B1095" s="2" t="s">
        <v>46</v>
      </c>
      <c r="C1095" s="2" t="s">
        <v>4275</v>
      </c>
      <c r="D1095" s="2"/>
      <c r="E1095" s="2"/>
      <c r="F1095" s="2"/>
      <c r="G1095" s="2"/>
      <c r="H1095" s="2" t="s">
        <v>832</v>
      </c>
    </row>
    <row r="1096" customFormat="false" ht="15" hidden="false" customHeight="false" outlineLevel="0" collapsed="false">
      <c r="A1096" s="2" t="s">
        <v>1288</v>
      </c>
      <c r="B1096" s="2" t="s">
        <v>47</v>
      </c>
      <c r="C1096" s="2" t="s">
        <v>4274</v>
      </c>
      <c r="D1096" s="11" t="n">
        <v>14843</v>
      </c>
      <c r="E1096" s="31" t="n">
        <v>77.2</v>
      </c>
      <c r="F1096" s="31" t="n">
        <v>71.9</v>
      </c>
      <c r="G1096" s="31" t="n">
        <v>39.7</v>
      </c>
      <c r="H1096" s="2" t="s">
        <v>822</v>
      </c>
    </row>
    <row r="1097" customFormat="false" ht="15" hidden="false" customHeight="false" outlineLevel="0" collapsed="false">
      <c r="A1097" s="2" t="s">
        <v>1288</v>
      </c>
      <c r="B1097" s="2" t="s">
        <v>47</v>
      </c>
      <c r="C1097" s="2" t="s">
        <v>4275</v>
      </c>
      <c r="D1097" s="11" t="n">
        <v>15543</v>
      </c>
      <c r="E1097" s="31" t="n">
        <v>84.7</v>
      </c>
      <c r="F1097" s="31" t="n">
        <v>61.7</v>
      </c>
      <c r="G1097" s="31" t="n">
        <v>51.3</v>
      </c>
      <c r="H1097" s="2" t="s">
        <v>822</v>
      </c>
    </row>
    <row r="1098" customFormat="false" ht="15" hidden="false" customHeight="false" outlineLevel="0" collapsed="false">
      <c r="A1098" s="2" t="s">
        <v>926</v>
      </c>
      <c r="B1098" s="2" t="s">
        <v>4291</v>
      </c>
      <c r="C1098" s="2" t="s">
        <v>4274</v>
      </c>
      <c r="D1098" s="2"/>
      <c r="E1098" s="31" t="n">
        <v>49.9</v>
      </c>
      <c r="F1098" s="31" t="n">
        <v>64</v>
      </c>
      <c r="G1098" s="31" t="n">
        <v>56.7</v>
      </c>
      <c r="H1098" s="2" t="s">
        <v>832</v>
      </c>
    </row>
    <row r="1099" customFormat="false" ht="15" hidden="false" customHeight="false" outlineLevel="0" collapsed="false">
      <c r="A1099" s="2" t="s">
        <v>926</v>
      </c>
      <c r="B1099" s="2" t="s">
        <v>4291</v>
      </c>
      <c r="C1099" s="2" t="s">
        <v>4275</v>
      </c>
      <c r="D1099" s="2"/>
      <c r="E1099" s="31" t="n">
        <v>39.5</v>
      </c>
      <c r="F1099" s="31" t="n">
        <v>80.6</v>
      </c>
      <c r="G1099" s="31" t="n">
        <v>43</v>
      </c>
      <c r="H1099" s="2" t="s">
        <v>832</v>
      </c>
    </row>
    <row r="1100" customFormat="false" ht="15" hidden="false" customHeight="false" outlineLevel="0" collapsed="false">
      <c r="A1100" s="2" t="s">
        <v>926</v>
      </c>
      <c r="B1100" s="2" t="s">
        <v>45</v>
      </c>
      <c r="C1100" s="2" t="s">
        <v>4274</v>
      </c>
      <c r="D1100" s="11" t="n">
        <v>24600</v>
      </c>
      <c r="E1100" s="31" t="n">
        <v>94.2</v>
      </c>
      <c r="F1100" s="31" t="n">
        <v>46.4</v>
      </c>
      <c r="G1100" s="31" t="n">
        <v>62</v>
      </c>
      <c r="H1100" s="2" t="s">
        <v>822</v>
      </c>
    </row>
    <row r="1101" customFormat="false" ht="15" hidden="false" customHeight="false" outlineLevel="0" collapsed="false">
      <c r="A1101" s="2" t="s">
        <v>926</v>
      </c>
      <c r="B1101" s="2" t="s">
        <v>45</v>
      </c>
      <c r="C1101" s="2" t="s">
        <v>4275</v>
      </c>
      <c r="D1101" s="11" t="n">
        <v>25240</v>
      </c>
      <c r="E1101" s="31" t="n">
        <v>88.1</v>
      </c>
      <c r="F1101" s="31" t="n">
        <v>82.1</v>
      </c>
      <c r="G1101" s="31" t="n">
        <v>23.5</v>
      </c>
      <c r="H1101" s="2" t="s">
        <v>822</v>
      </c>
    </row>
    <row r="1102" customFormat="false" ht="15" hidden="false" customHeight="false" outlineLevel="0" collapsed="false">
      <c r="A1102" s="2" t="s">
        <v>926</v>
      </c>
      <c r="B1102" s="2" t="s">
        <v>46</v>
      </c>
      <c r="C1102" s="2" t="s">
        <v>4274</v>
      </c>
      <c r="D1102" s="11" t="n">
        <v>14920</v>
      </c>
      <c r="E1102" s="31" t="n">
        <v>51.5</v>
      </c>
      <c r="F1102" s="31" t="n">
        <v>84.6</v>
      </c>
      <c r="G1102" s="31" t="n">
        <v>13.5</v>
      </c>
      <c r="H1102" s="2" t="s">
        <v>822</v>
      </c>
    </row>
    <row r="1103" customFormat="false" ht="15" hidden="false" customHeight="false" outlineLevel="0" collapsed="false">
      <c r="A1103" s="2" t="s">
        <v>926</v>
      </c>
      <c r="B1103" s="2" t="s">
        <v>46</v>
      </c>
      <c r="C1103" s="2" t="s">
        <v>4275</v>
      </c>
      <c r="D1103" s="11" t="n">
        <v>15420</v>
      </c>
      <c r="E1103" s="31" t="n">
        <v>28.5</v>
      </c>
      <c r="F1103" s="31" t="n">
        <v>76.4</v>
      </c>
      <c r="G1103" s="2"/>
      <c r="H1103" s="2" t="s">
        <v>832</v>
      </c>
    </row>
    <row r="1104" customFormat="false" ht="15" hidden="false" customHeight="false" outlineLevel="0" collapsed="false">
      <c r="A1104" s="2" t="s">
        <v>926</v>
      </c>
      <c r="B1104" s="2" t="s">
        <v>47</v>
      </c>
      <c r="C1104" s="2" t="s">
        <v>4274</v>
      </c>
      <c r="D1104" s="11" t="n">
        <v>212080</v>
      </c>
      <c r="E1104" s="31" t="n">
        <v>4</v>
      </c>
      <c r="F1104" s="31" t="n">
        <v>61.1</v>
      </c>
      <c r="G1104" s="31" t="n">
        <v>94.5</v>
      </c>
      <c r="H1104" s="2" t="s">
        <v>832</v>
      </c>
    </row>
    <row r="1105" customFormat="false" ht="15" hidden="false" customHeight="false" outlineLevel="0" collapsed="false">
      <c r="A1105" s="2" t="s">
        <v>926</v>
      </c>
      <c r="B1105" s="2" t="s">
        <v>47</v>
      </c>
      <c r="C1105" s="2" t="s">
        <v>4275</v>
      </c>
      <c r="D1105" s="11" t="n">
        <v>222650</v>
      </c>
      <c r="E1105" s="31" t="n">
        <v>1.8</v>
      </c>
      <c r="F1105" s="31" t="n">
        <v>83.2</v>
      </c>
      <c r="G1105" s="31" t="n">
        <v>62.5</v>
      </c>
      <c r="H1105" s="2" t="s">
        <v>822</v>
      </c>
    </row>
    <row r="1106" customFormat="false" ht="15" hidden="false" customHeight="false" outlineLevel="0" collapsed="false">
      <c r="A1106" s="2" t="s">
        <v>384</v>
      </c>
      <c r="B1106" s="2" t="s">
        <v>4291</v>
      </c>
      <c r="C1106" s="2" t="s">
        <v>4274</v>
      </c>
      <c r="D1106" s="2"/>
      <c r="E1106" s="31" t="n">
        <v>48</v>
      </c>
      <c r="F1106" s="31" t="n">
        <v>68.4</v>
      </c>
      <c r="G1106" s="31" t="n">
        <v>38.4</v>
      </c>
      <c r="H1106" s="2" t="s">
        <v>832</v>
      </c>
    </row>
    <row r="1107" customFormat="false" ht="15" hidden="false" customHeight="false" outlineLevel="0" collapsed="false">
      <c r="A1107" s="2" t="s">
        <v>384</v>
      </c>
      <c r="B1107" s="2" t="s">
        <v>4291</v>
      </c>
      <c r="C1107" s="2" t="s">
        <v>4275</v>
      </c>
      <c r="D1107" s="2"/>
      <c r="E1107" s="31" t="n">
        <v>56.2</v>
      </c>
      <c r="F1107" s="31" t="n">
        <v>54.9</v>
      </c>
      <c r="G1107" s="31" t="n">
        <v>42.8</v>
      </c>
      <c r="H1107" s="2" t="s">
        <v>822</v>
      </c>
    </row>
    <row r="1108" customFormat="false" ht="15" hidden="false" customHeight="false" outlineLevel="0" collapsed="false">
      <c r="A1108" s="2" t="s">
        <v>384</v>
      </c>
      <c r="B1108" s="2" t="s">
        <v>45</v>
      </c>
      <c r="C1108" s="2" t="s">
        <v>4274</v>
      </c>
      <c r="D1108" s="11" t="n">
        <v>16896</v>
      </c>
      <c r="E1108" s="31" t="n">
        <v>49.2</v>
      </c>
      <c r="F1108" s="2"/>
      <c r="G1108" s="2"/>
      <c r="H1108" s="2" t="s">
        <v>832</v>
      </c>
    </row>
    <row r="1109" customFormat="false" ht="15" hidden="false" customHeight="false" outlineLevel="0" collapsed="false">
      <c r="A1109" s="2" t="s">
        <v>384</v>
      </c>
      <c r="B1109" s="2" t="s">
        <v>45</v>
      </c>
      <c r="C1109" s="2" t="s">
        <v>4275</v>
      </c>
      <c r="D1109" s="11" t="n">
        <v>18030</v>
      </c>
      <c r="E1109" s="31" t="n">
        <v>70.5</v>
      </c>
      <c r="F1109" s="31" t="n">
        <v>80.4</v>
      </c>
      <c r="G1109" s="31" t="n">
        <v>18.4</v>
      </c>
      <c r="H1109" s="2" t="s">
        <v>822</v>
      </c>
    </row>
    <row r="1110" customFormat="false" ht="15" hidden="false" customHeight="false" outlineLevel="0" collapsed="false">
      <c r="A1110" s="2" t="s">
        <v>384</v>
      </c>
      <c r="B1110" s="2" t="s">
        <v>46</v>
      </c>
      <c r="C1110" s="2" t="s">
        <v>4274</v>
      </c>
      <c r="D1110" s="11" t="n">
        <v>570340</v>
      </c>
      <c r="E1110" s="31" t="n">
        <v>51.7</v>
      </c>
      <c r="F1110" s="31" t="n">
        <v>73.7</v>
      </c>
      <c r="G1110" s="2"/>
      <c r="H1110" s="2" t="s">
        <v>832</v>
      </c>
    </row>
    <row r="1111" customFormat="false" ht="15" hidden="false" customHeight="false" outlineLevel="0" collapsed="false">
      <c r="A1111" s="2" t="s">
        <v>384</v>
      </c>
      <c r="B1111" s="2" t="s">
        <v>46</v>
      </c>
      <c r="C1111" s="2" t="s">
        <v>4275</v>
      </c>
      <c r="D1111" s="11" t="n">
        <v>600160</v>
      </c>
      <c r="E1111" s="31" t="n">
        <v>39.1</v>
      </c>
      <c r="F1111" s="31" t="n">
        <v>35</v>
      </c>
      <c r="G1111" s="31" t="n">
        <v>31.1</v>
      </c>
      <c r="H1111" s="2" t="s">
        <v>822</v>
      </c>
    </row>
    <row r="1112" customFormat="false" ht="15" hidden="false" customHeight="false" outlineLevel="0" collapsed="false">
      <c r="A1112" s="2" t="s">
        <v>384</v>
      </c>
      <c r="B1112" s="2" t="s">
        <v>47</v>
      </c>
      <c r="C1112" s="2" t="s">
        <v>4274</v>
      </c>
      <c r="D1112" s="11" t="n">
        <v>14048</v>
      </c>
      <c r="E1112" s="31" t="n">
        <v>43.1</v>
      </c>
      <c r="F1112" s="31" t="n">
        <v>63.1</v>
      </c>
      <c r="G1112" s="31" t="n">
        <v>38.4</v>
      </c>
      <c r="H1112" s="2" t="s">
        <v>822</v>
      </c>
    </row>
    <row r="1113" customFormat="false" ht="15" hidden="false" customHeight="false" outlineLevel="0" collapsed="false">
      <c r="A1113" s="2" t="s">
        <v>384</v>
      </c>
      <c r="B1113" s="2" t="s">
        <v>47</v>
      </c>
      <c r="C1113" s="2" t="s">
        <v>4275</v>
      </c>
      <c r="D1113" s="11" t="n">
        <v>14300</v>
      </c>
      <c r="E1113" s="31" t="n">
        <v>58.9</v>
      </c>
      <c r="F1113" s="31" t="n">
        <v>49.4</v>
      </c>
      <c r="G1113" s="31" t="n">
        <v>78.9</v>
      </c>
      <c r="H1113" s="2" t="s">
        <v>822</v>
      </c>
    </row>
    <row r="1114" customFormat="false" ht="15" hidden="false" customHeight="false" outlineLevel="0" collapsed="false">
      <c r="A1114" s="2" t="s">
        <v>1371</v>
      </c>
      <c r="B1114" s="2" t="s">
        <v>4291</v>
      </c>
      <c r="C1114" s="2" t="s">
        <v>4274</v>
      </c>
      <c r="D1114" s="2"/>
      <c r="E1114" s="31" t="n">
        <v>41.5</v>
      </c>
      <c r="F1114" s="31" t="n">
        <v>47.4</v>
      </c>
      <c r="G1114" s="31" t="n">
        <v>87.8</v>
      </c>
      <c r="H1114" s="2" t="s">
        <v>832</v>
      </c>
    </row>
    <row r="1115" customFormat="false" ht="15" hidden="false" customHeight="false" outlineLevel="0" collapsed="false">
      <c r="A1115" s="2" t="s">
        <v>1371</v>
      </c>
      <c r="B1115" s="2" t="s">
        <v>4291</v>
      </c>
      <c r="C1115" s="2" t="s">
        <v>4275</v>
      </c>
      <c r="D1115" s="2"/>
      <c r="E1115" s="31" t="n">
        <v>24.3</v>
      </c>
      <c r="F1115" s="31" t="n">
        <v>41.6</v>
      </c>
      <c r="G1115" s="31" t="n">
        <v>82.6</v>
      </c>
      <c r="H1115" s="2" t="s">
        <v>832</v>
      </c>
    </row>
    <row r="1116" customFormat="false" ht="15" hidden="false" customHeight="false" outlineLevel="0" collapsed="false">
      <c r="A1116" s="2" t="s">
        <v>1371</v>
      </c>
      <c r="B1116" s="2" t="s">
        <v>45</v>
      </c>
      <c r="C1116" s="2" t="s">
        <v>4274</v>
      </c>
      <c r="D1116" s="11" t="n">
        <v>180230</v>
      </c>
      <c r="E1116" s="31" t="n">
        <v>71.3</v>
      </c>
      <c r="F1116" s="31" t="n">
        <v>86.3</v>
      </c>
      <c r="G1116" s="31" t="n">
        <v>73.7</v>
      </c>
      <c r="H1116" s="2" t="s">
        <v>822</v>
      </c>
    </row>
    <row r="1117" customFormat="false" ht="15" hidden="false" customHeight="false" outlineLevel="0" collapsed="false">
      <c r="A1117" s="2" t="s">
        <v>1371</v>
      </c>
      <c r="B1117" s="2" t="s">
        <v>45</v>
      </c>
      <c r="C1117" s="2" t="s">
        <v>4275</v>
      </c>
      <c r="D1117" s="11" t="n">
        <v>190160</v>
      </c>
      <c r="E1117" s="31" t="n">
        <v>32.7</v>
      </c>
      <c r="F1117" s="31" t="n">
        <v>75</v>
      </c>
      <c r="G1117" s="31" t="n">
        <v>72.5</v>
      </c>
      <c r="H1117" s="2" t="s">
        <v>822</v>
      </c>
    </row>
    <row r="1118" customFormat="false" ht="15" hidden="false" customHeight="false" outlineLevel="0" collapsed="false">
      <c r="A1118" s="2" t="s">
        <v>1371</v>
      </c>
      <c r="B1118" s="2" t="s">
        <v>46</v>
      </c>
      <c r="C1118" s="2" t="s">
        <v>4274</v>
      </c>
      <c r="D1118" s="11" t="n">
        <v>6420</v>
      </c>
      <c r="E1118" s="31" t="n">
        <v>22.1</v>
      </c>
      <c r="F1118" s="2"/>
      <c r="G1118" s="31" t="n">
        <v>98.2</v>
      </c>
      <c r="H1118" s="2" t="s">
        <v>832</v>
      </c>
    </row>
    <row r="1119" customFormat="false" ht="15" hidden="false" customHeight="false" outlineLevel="0" collapsed="false">
      <c r="A1119" s="2" t="s">
        <v>1371</v>
      </c>
      <c r="B1119" s="2" t="s">
        <v>46</v>
      </c>
      <c r="C1119" s="2" t="s">
        <v>4275</v>
      </c>
      <c r="D1119" s="11" t="n">
        <v>6610</v>
      </c>
      <c r="E1119" s="31" t="n">
        <v>20.2</v>
      </c>
      <c r="F1119" s="2"/>
      <c r="G1119" s="31" t="n">
        <v>77.3</v>
      </c>
      <c r="H1119" s="2" t="s">
        <v>832</v>
      </c>
    </row>
    <row r="1120" customFormat="false" ht="15" hidden="false" customHeight="false" outlineLevel="0" collapsed="false">
      <c r="A1120" s="2" t="s">
        <v>1371</v>
      </c>
      <c r="B1120" s="2" t="s">
        <v>47</v>
      </c>
      <c r="C1120" s="2" t="s">
        <v>4274</v>
      </c>
      <c r="D1120" s="11" t="n">
        <v>400013</v>
      </c>
      <c r="E1120" s="31" t="n">
        <v>31</v>
      </c>
      <c r="F1120" s="31" t="n">
        <v>8.6</v>
      </c>
      <c r="G1120" s="31" t="n">
        <v>91.5</v>
      </c>
      <c r="H1120" s="2" t="s">
        <v>822</v>
      </c>
    </row>
    <row r="1121" customFormat="false" ht="15" hidden="false" customHeight="false" outlineLevel="0" collapsed="false">
      <c r="A1121" s="2" t="s">
        <v>1371</v>
      </c>
      <c r="B1121" s="2" t="s">
        <v>47</v>
      </c>
      <c r="C1121" s="2" t="s">
        <v>4275</v>
      </c>
      <c r="D1121" s="11" t="n">
        <v>407828</v>
      </c>
      <c r="E1121" s="31" t="n">
        <v>20.1</v>
      </c>
      <c r="F1121" s="31" t="n">
        <v>8.1</v>
      </c>
      <c r="G1121" s="31" t="n">
        <v>98</v>
      </c>
      <c r="H1121" s="2" t="s">
        <v>822</v>
      </c>
    </row>
    <row r="1122" customFormat="false" ht="15" hidden="false" customHeight="false" outlineLevel="0" collapsed="false">
      <c r="A1122" s="2" t="s">
        <v>1935</v>
      </c>
      <c r="B1122" s="2" t="s">
        <v>4291</v>
      </c>
      <c r="C1122" s="2" t="s">
        <v>4274</v>
      </c>
      <c r="D1122" s="2"/>
      <c r="E1122" s="31" t="n">
        <v>20.5</v>
      </c>
      <c r="F1122" s="31" t="n">
        <v>41.1</v>
      </c>
      <c r="G1122" s="2"/>
      <c r="H1122" s="2" t="s">
        <v>832</v>
      </c>
    </row>
    <row r="1123" customFormat="false" ht="15" hidden="false" customHeight="false" outlineLevel="0" collapsed="false">
      <c r="A1123" s="2" t="s">
        <v>1935</v>
      </c>
      <c r="B1123" s="2" t="s">
        <v>4291</v>
      </c>
      <c r="C1123" s="2" t="s">
        <v>4275</v>
      </c>
      <c r="D1123" s="2"/>
      <c r="E1123" s="31" t="n">
        <v>44.2</v>
      </c>
      <c r="F1123" s="31" t="n">
        <v>77.1</v>
      </c>
      <c r="G1123" s="31" t="n">
        <v>50.3</v>
      </c>
      <c r="H1123" s="2" t="s">
        <v>832</v>
      </c>
    </row>
    <row r="1124" customFormat="false" ht="15" hidden="false" customHeight="false" outlineLevel="0" collapsed="false">
      <c r="A1124" s="2" t="s">
        <v>1935</v>
      </c>
      <c r="B1124" s="2" t="s">
        <v>45</v>
      </c>
      <c r="C1124" s="2" t="s">
        <v>4274</v>
      </c>
      <c r="D1124" s="11" t="n">
        <v>107622</v>
      </c>
      <c r="E1124" s="31" t="n">
        <v>20.5</v>
      </c>
      <c r="F1124" s="31" t="n">
        <v>41.1</v>
      </c>
      <c r="G1124" s="2"/>
      <c r="H1124" s="2" t="s">
        <v>822</v>
      </c>
    </row>
    <row r="1125" customFormat="false" ht="15" hidden="false" customHeight="false" outlineLevel="0" collapsed="false">
      <c r="A1125" s="2" t="s">
        <v>1935</v>
      </c>
      <c r="B1125" s="2" t="s">
        <v>45</v>
      </c>
      <c r="C1125" s="2" t="s">
        <v>4275</v>
      </c>
      <c r="D1125" s="2"/>
      <c r="E1125" s="2"/>
      <c r="F1125" s="2"/>
      <c r="G1125" s="2"/>
      <c r="H1125" s="2" t="s">
        <v>832</v>
      </c>
    </row>
    <row r="1126" customFormat="false" ht="15" hidden="false" customHeight="false" outlineLevel="0" collapsed="false">
      <c r="A1126" s="2" t="s">
        <v>1935</v>
      </c>
      <c r="B1126" s="2" t="s">
        <v>46</v>
      </c>
      <c r="C1126" s="2" t="s">
        <v>4274</v>
      </c>
      <c r="D1126" s="2"/>
      <c r="E1126" s="2"/>
      <c r="F1126" s="2"/>
      <c r="G1126" s="2"/>
      <c r="H1126" s="2" t="s">
        <v>832</v>
      </c>
    </row>
    <row r="1127" customFormat="false" ht="15" hidden="false" customHeight="false" outlineLevel="0" collapsed="false">
      <c r="A1127" s="2" t="s">
        <v>1935</v>
      </c>
      <c r="B1127" s="2" t="s">
        <v>46</v>
      </c>
      <c r="C1127" s="2" t="s">
        <v>4275</v>
      </c>
      <c r="D1127" s="11" t="n">
        <v>146730</v>
      </c>
      <c r="E1127" s="31" t="n">
        <v>44.2</v>
      </c>
      <c r="F1127" s="31" t="n">
        <v>77.1</v>
      </c>
      <c r="G1127" s="31" t="n">
        <v>50.3</v>
      </c>
      <c r="H1127" s="2" t="s">
        <v>822</v>
      </c>
    </row>
    <row r="1128" customFormat="false" ht="15" hidden="false" customHeight="false" outlineLevel="0" collapsed="false">
      <c r="A1128" s="2" t="s">
        <v>2992</v>
      </c>
      <c r="B1128" s="2" t="s">
        <v>4291</v>
      </c>
      <c r="C1128" s="2" t="s">
        <v>4274</v>
      </c>
      <c r="D1128" s="2"/>
      <c r="E1128" s="31" t="n">
        <v>68.2</v>
      </c>
      <c r="F1128" s="31" t="n">
        <v>53.3</v>
      </c>
      <c r="G1128" s="31" t="n">
        <v>96.8</v>
      </c>
      <c r="H1128" s="2" t="s">
        <v>832</v>
      </c>
    </row>
    <row r="1129" customFormat="false" ht="15" hidden="false" customHeight="false" outlineLevel="0" collapsed="false">
      <c r="A1129" s="2" t="s">
        <v>2992</v>
      </c>
      <c r="B1129" s="2" t="s">
        <v>4291</v>
      </c>
      <c r="C1129" s="2" t="s">
        <v>4275</v>
      </c>
      <c r="D1129" s="2"/>
      <c r="E1129" s="2"/>
      <c r="F1129" s="2"/>
      <c r="G1129" s="31" t="n">
        <v>37.3</v>
      </c>
      <c r="H1129" s="2" t="s">
        <v>832</v>
      </c>
    </row>
    <row r="1130" customFormat="false" ht="15" hidden="false" customHeight="false" outlineLevel="0" collapsed="false">
      <c r="A1130" s="2" t="s">
        <v>2992</v>
      </c>
      <c r="B1130" s="2" t="s">
        <v>45</v>
      </c>
      <c r="C1130" s="2" t="s">
        <v>4274</v>
      </c>
      <c r="D1130" s="11" t="n">
        <v>89380</v>
      </c>
      <c r="E1130" s="31" t="n">
        <v>74.7</v>
      </c>
      <c r="F1130" s="31" t="n">
        <v>19.3</v>
      </c>
      <c r="G1130" s="31" t="n">
        <v>96.8</v>
      </c>
      <c r="H1130" s="2" t="s">
        <v>822</v>
      </c>
    </row>
    <row r="1131" customFormat="false" ht="15" hidden="false" customHeight="false" outlineLevel="0" collapsed="false">
      <c r="A1131" s="2" t="s">
        <v>2992</v>
      </c>
      <c r="B1131" s="2" t="s">
        <v>45</v>
      </c>
      <c r="C1131" s="2" t="s">
        <v>4275</v>
      </c>
      <c r="D1131" s="2"/>
      <c r="E1131" s="2"/>
      <c r="F1131" s="2"/>
      <c r="G1131" s="2"/>
      <c r="H1131" s="2" t="s">
        <v>832</v>
      </c>
    </row>
    <row r="1132" customFormat="false" ht="15" hidden="false" customHeight="false" outlineLevel="0" collapsed="false">
      <c r="A1132" s="2" t="s">
        <v>2992</v>
      </c>
      <c r="B1132" s="2" t="s">
        <v>47</v>
      </c>
      <c r="C1132" s="2" t="s">
        <v>4274</v>
      </c>
      <c r="D1132" s="11" t="n">
        <v>42728</v>
      </c>
      <c r="E1132" s="31" t="n">
        <v>61.8</v>
      </c>
      <c r="F1132" s="31" t="n">
        <v>87.3</v>
      </c>
      <c r="G1132" s="2"/>
      <c r="H1132" s="2" t="s">
        <v>832</v>
      </c>
    </row>
    <row r="1133" customFormat="false" ht="15" hidden="false" customHeight="false" outlineLevel="0" collapsed="false">
      <c r="A1133" s="2" t="s">
        <v>2992</v>
      </c>
      <c r="B1133" s="2" t="s">
        <v>47</v>
      </c>
      <c r="C1133" s="2" t="s">
        <v>4275</v>
      </c>
      <c r="D1133" s="2"/>
      <c r="E1133" s="2"/>
      <c r="F1133" s="2"/>
      <c r="G1133" s="31" t="n">
        <v>37.3</v>
      </c>
      <c r="H1133" s="2" t="s">
        <v>832</v>
      </c>
    </row>
    <row r="1134" customFormat="false" ht="15" hidden="false" customHeight="false" outlineLevel="0" collapsed="false">
      <c r="A1134" s="2" t="s">
        <v>138</v>
      </c>
      <c r="B1134" s="2" t="s">
        <v>4291</v>
      </c>
      <c r="C1134" s="2" t="s">
        <v>4274</v>
      </c>
      <c r="D1134" s="2"/>
      <c r="E1134" s="31" t="n">
        <v>92</v>
      </c>
      <c r="F1134" s="31" t="n">
        <v>6.9</v>
      </c>
      <c r="G1134" s="31" t="n">
        <v>19.2</v>
      </c>
      <c r="H1134" s="2" t="s">
        <v>832</v>
      </c>
    </row>
    <row r="1135" customFormat="false" ht="15" hidden="false" customHeight="false" outlineLevel="0" collapsed="false">
      <c r="A1135" s="2" t="s">
        <v>138</v>
      </c>
      <c r="B1135" s="2" t="s">
        <v>4291</v>
      </c>
      <c r="C1135" s="2" t="s">
        <v>4275</v>
      </c>
      <c r="D1135" s="2"/>
      <c r="E1135" s="31" t="n">
        <v>85.8</v>
      </c>
      <c r="F1135" s="31" t="n">
        <v>12.7</v>
      </c>
      <c r="G1135" s="31" t="n">
        <v>35.8</v>
      </c>
      <c r="H1135" s="2" t="s">
        <v>822</v>
      </c>
    </row>
    <row r="1136" customFormat="false" ht="15" hidden="false" customHeight="false" outlineLevel="0" collapsed="false">
      <c r="A1136" s="2" t="s">
        <v>138</v>
      </c>
      <c r="B1136" s="2" t="s">
        <v>46</v>
      </c>
      <c r="C1136" s="2" t="s">
        <v>4274</v>
      </c>
      <c r="D1136" s="11" t="n">
        <v>36760</v>
      </c>
      <c r="E1136" s="2"/>
      <c r="F1136" s="31" t="n">
        <v>0.4</v>
      </c>
      <c r="G1136" s="31" t="n">
        <v>12.1</v>
      </c>
      <c r="H1136" s="2" t="s">
        <v>832</v>
      </c>
    </row>
    <row r="1137" customFormat="false" ht="15" hidden="false" customHeight="false" outlineLevel="0" collapsed="false">
      <c r="A1137" s="2" t="s">
        <v>138</v>
      </c>
      <c r="B1137" s="2" t="s">
        <v>46</v>
      </c>
      <c r="C1137" s="2" t="s">
        <v>4275</v>
      </c>
      <c r="D1137" s="11" t="n">
        <v>35830</v>
      </c>
      <c r="E1137" s="31" t="n">
        <v>82.9</v>
      </c>
      <c r="F1137" s="31" t="n">
        <v>0.7</v>
      </c>
      <c r="G1137" s="31" t="n">
        <v>45.5</v>
      </c>
      <c r="H1137" s="2" t="s">
        <v>822</v>
      </c>
    </row>
    <row r="1138" customFormat="false" ht="15" hidden="false" customHeight="false" outlineLevel="0" collapsed="false">
      <c r="A1138" s="2" t="s">
        <v>138</v>
      </c>
      <c r="B1138" s="2" t="s">
        <v>47</v>
      </c>
      <c r="C1138" s="2" t="s">
        <v>4274</v>
      </c>
      <c r="D1138" s="11" t="n">
        <v>32704</v>
      </c>
      <c r="E1138" s="31" t="n">
        <v>92</v>
      </c>
      <c r="F1138" s="31" t="n">
        <v>13.4</v>
      </c>
      <c r="G1138" s="31" t="n">
        <v>26.3</v>
      </c>
      <c r="H1138" s="2" t="s">
        <v>822</v>
      </c>
    </row>
    <row r="1139" customFormat="false" ht="15" hidden="false" customHeight="false" outlineLevel="0" collapsed="false">
      <c r="A1139" s="2" t="s">
        <v>138</v>
      </c>
      <c r="B1139" s="2" t="s">
        <v>47</v>
      </c>
      <c r="C1139" s="2" t="s">
        <v>4275</v>
      </c>
      <c r="D1139" s="11" t="n">
        <v>33594</v>
      </c>
      <c r="E1139" s="31" t="n">
        <v>88.7</v>
      </c>
      <c r="F1139" s="31" t="n">
        <v>24.7</v>
      </c>
      <c r="G1139" s="31" t="n">
        <v>26</v>
      </c>
      <c r="H1139" s="2" t="s">
        <v>822</v>
      </c>
    </row>
    <row r="1140" customFormat="false" ht="15" hidden="false" customHeight="false" outlineLevel="0" collapsed="false">
      <c r="A1140" s="2" t="s">
        <v>580</v>
      </c>
      <c r="B1140" s="2" t="s">
        <v>4291</v>
      </c>
      <c r="C1140" s="2" t="s">
        <v>4274</v>
      </c>
      <c r="D1140" s="2"/>
      <c r="E1140" s="31" t="n">
        <v>32.7</v>
      </c>
      <c r="F1140" s="31" t="n">
        <v>87.2</v>
      </c>
      <c r="G1140" s="31" t="n">
        <v>36.3</v>
      </c>
      <c r="H1140" s="2" t="s">
        <v>822</v>
      </c>
    </row>
    <row r="1141" customFormat="false" ht="15" hidden="false" customHeight="false" outlineLevel="0" collapsed="false">
      <c r="A1141" s="2" t="s">
        <v>580</v>
      </c>
      <c r="B1141" s="2" t="s">
        <v>4291</v>
      </c>
      <c r="C1141" s="2" t="s">
        <v>4275</v>
      </c>
      <c r="D1141" s="2"/>
      <c r="E1141" s="31" t="n">
        <v>40.9</v>
      </c>
      <c r="F1141" s="31" t="n">
        <v>81.5</v>
      </c>
      <c r="G1141" s="31" t="n">
        <v>85</v>
      </c>
      <c r="H1141" s="2" t="s">
        <v>822</v>
      </c>
    </row>
    <row r="1142" customFormat="false" ht="15" hidden="false" customHeight="false" outlineLevel="0" collapsed="false">
      <c r="A1142" s="2" t="s">
        <v>580</v>
      </c>
      <c r="B1142" s="2" t="s">
        <v>46</v>
      </c>
      <c r="C1142" s="2" t="s">
        <v>4274</v>
      </c>
      <c r="D1142" s="11" t="n">
        <v>162470</v>
      </c>
      <c r="E1142" s="31" t="n">
        <v>32.7</v>
      </c>
      <c r="F1142" s="31" t="n">
        <v>87.2</v>
      </c>
      <c r="G1142" s="31" t="n">
        <v>36.3</v>
      </c>
      <c r="H1142" s="2" t="s">
        <v>822</v>
      </c>
    </row>
    <row r="1143" customFormat="false" ht="15" hidden="false" customHeight="false" outlineLevel="0" collapsed="false">
      <c r="A1143" s="2" t="s">
        <v>580</v>
      </c>
      <c r="B1143" s="2" t="s">
        <v>46</v>
      </c>
      <c r="C1143" s="2" t="s">
        <v>4275</v>
      </c>
      <c r="D1143" s="11" t="n">
        <v>171990</v>
      </c>
      <c r="E1143" s="31" t="n">
        <v>40.9</v>
      </c>
      <c r="F1143" s="31" t="n">
        <v>81.5</v>
      </c>
      <c r="G1143" s="31" t="n">
        <v>85</v>
      </c>
      <c r="H1143" s="2" t="s">
        <v>822</v>
      </c>
    </row>
    <row r="1144" customFormat="false" ht="15" hidden="false" customHeight="false" outlineLevel="0" collapsed="false">
      <c r="A1144" s="2" t="s">
        <v>2543</v>
      </c>
      <c r="B1144" s="2" t="s">
        <v>4291</v>
      </c>
      <c r="C1144" s="2" t="s">
        <v>4274</v>
      </c>
      <c r="D1144" s="2"/>
      <c r="E1144" s="31" t="n">
        <v>64.2</v>
      </c>
      <c r="F1144" s="31" t="n">
        <v>56</v>
      </c>
      <c r="G1144" s="31" t="n">
        <v>64.4</v>
      </c>
      <c r="H1144" s="2" t="s">
        <v>832</v>
      </c>
    </row>
    <row r="1145" customFormat="false" ht="15" hidden="false" customHeight="false" outlineLevel="0" collapsed="false">
      <c r="A1145" s="2" t="s">
        <v>2543</v>
      </c>
      <c r="B1145" s="2" t="s">
        <v>4291</v>
      </c>
      <c r="C1145" s="2" t="s">
        <v>4275</v>
      </c>
      <c r="D1145" s="2"/>
      <c r="E1145" s="31" t="n">
        <v>48.6</v>
      </c>
      <c r="F1145" s="31" t="n">
        <v>64</v>
      </c>
      <c r="G1145" s="31" t="n">
        <v>75.8</v>
      </c>
      <c r="H1145" s="2" t="s">
        <v>832</v>
      </c>
    </row>
    <row r="1146" customFormat="false" ht="15" hidden="false" customHeight="false" outlineLevel="0" collapsed="false">
      <c r="A1146" s="2" t="s">
        <v>2543</v>
      </c>
      <c r="B1146" s="2" t="s">
        <v>45</v>
      </c>
      <c r="C1146" s="2" t="s">
        <v>4274</v>
      </c>
      <c r="D1146" s="11" t="n">
        <v>961310</v>
      </c>
      <c r="E1146" s="31" t="n">
        <v>70.6</v>
      </c>
      <c r="F1146" s="31" t="n">
        <v>17.8</v>
      </c>
      <c r="G1146" s="2"/>
      <c r="H1146" s="2" t="s">
        <v>832</v>
      </c>
    </row>
    <row r="1147" customFormat="false" ht="15" hidden="false" customHeight="false" outlineLevel="0" collapsed="false">
      <c r="A1147" s="2" t="s">
        <v>2543</v>
      </c>
      <c r="B1147" s="2" t="s">
        <v>45</v>
      </c>
      <c r="C1147" s="2" t="s">
        <v>4275</v>
      </c>
      <c r="D1147" s="2"/>
      <c r="E1147" s="2"/>
      <c r="F1147" s="2"/>
      <c r="G1147" s="2"/>
      <c r="H1147" s="2" t="s">
        <v>832</v>
      </c>
    </row>
    <row r="1148" customFormat="false" ht="15" hidden="false" customHeight="false" outlineLevel="0" collapsed="false">
      <c r="A1148" s="2" t="s">
        <v>2543</v>
      </c>
      <c r="B1148" s="2" t="s">
        <v>46</v>
      </c>
      <c r="C1148" s="2" t="s">
        <v>4274</v>
      </c>
      <c r="D1148" s="11" t="n">
        <v>6780</v>
      </c>
      <c r="E1148" s="31" t="n">
        <v>75.5</v>
      </c>
      <c r="F1148" s="31" t="n">
        <v>96.5</v>
      </c>
      <c r="G1148" s="31" t="n">
        <v>67.1</v>
      </c>
      <c r="H1148" s="2" t="s">
        <v>822</v>
      </c>
    </row>
    <row r="1149" customFormat="false" ht="15" hidden="false" customHeight="false" outlineLevel="0" collapsed="false">
      <c r="A1149" s="2" t="s">
        <v>2543</v>
      </c>
      <c r="B1149" s="2" t="s">
        <v>46</v>
      </c>
      <c r="C1149" s="2" t="s">
        <v>4275</v>
      </c>
      <c r="D1149" s="11" t="n">
        <v>7360</v>
      </c>
      <c r="E1149" s="31" t="n">
        <v>47.5</v>
      </c>
      <c r="F1149" s="31" t="n">
        <v>96.2</v>
      </c>
      <c r="G1149" s="2"/>
      <c r="H1149" s="2" t="s">
        <v>832</v>
      </c>
    </row>
    <row r="1150" customFormat="false" ht="15" hidden="false" customHeight="false" outlineLevel="0" collapsed="false">
      <c r="A1150" s="2" t="s">
        <v>2543</v>
      </c>
      <c r="B1150" s="2" t="s">
        <v>47</v>
      </c>
      <c r="C1150" s="2" t="s">
        <v>4274</v>
      </c>
      <c r="D1150" s="11" t="n">
        <v>317143</v>
      </c>
      <c r="E1150" s="31" t="n">
        <v>46.4</v>
      </c>
      <c r="F1150" s="31" t="n">
        <v>53.7</v>
      </c>
      <c r="G1150" s="31" t="n">
        <v>61.7</v>
      </c>
      <c r="H1150" s="2" t="s">
        <v>822</v>
      </c>
    </row>
    <row r="1151" customFormat="false" ht="15" hidden="false" customHeight="false" outlineLevel="0" collapsed="false">
      <c r="A1151" s="2" t="s">
        <v>2543</v>
      </c>
      <c r="B1151" s="2" t="s">
        <v>47</v>
      </c>
      <c r="C1151" s="2" t="s">
        <v>4275</v>
      </c>
      <c r="D1151" s="11" t="n">
        <v>315480</v>
      </c>
      <c r="E1151" s="31" t="n">
        <v>49.7</v>
      </c>
      <c r="F1151" s="31" t="n">
        <v>31.7</v>
      </c>
      <c r="G1151" s="31" t="n">
        <v>75.8</v>
      </c>
      <c r="H1151" s="2" t="s">
        <v>822</v>
      </c>
    </row>
    <row r="1152" customFormat="false" ht="15" hidden="false" customHeight="false" outlineLevel="0" collapsed="false">
      <c r="A1152" s="2" t="s">
        <v>2201</v>
      </c>
      <c r="B1152" s="2" t="s">
        <v>4291</v>
      </c>
      <c r="C1152" s="2" t="s">
        <v>4274</v>
      </c>
      <c r="D1152" s="2"/>
      <c r="E1152" s="31" t="n">
        <v>12.2</v>
      </c>
      <c r="F1152" s="31" t="n">
        <v>37.3</v>
      </c>
      <c r="G1152" s="31" t="n">
        <v>29.7</v>
      </c>
      <c r="H1152" s="2" t="s">
        <v>832</v>
      </c>
    </row>
    <row r="1153" customFormat="false" ht="15" hidden="false" customHeight="false" outlineLevel="0" collapsed="false">
      <c r="A1153" s="2" t="s">
        <v>2201</v>
      </c>
      <c r="B1153" s="2" t="s">
        <v>4291</v>
      </c>
      <c r="C1153" s="2" t="s">
        <v>4275</v>
      </c>
      <c r="D1153" s="2"/>
      <c r="E1153" s="31" t="n">
        <v>9</v>
      </c>
      <c r="F1153" s="31" t="n">
        <v>60</v>
      </c>
      <c r="G1153" s="31" t="n">
        <v>48.2</v>
      </c>
      <c r="H1153" s="2" t="s">
        <v>832</v>
      </c>
    </row>
    <row r="1154" customFormat="false" ht="15" hidden="false" customHeight="false" outlineLevel="0" collapsed="false">
      <c r="A1154" s="2" t="s">
        <v>2201</v>
      </c>
      <c r="B1154" s="2" t="s">
        <v>45</v>
      </c>
      <c r="C1154" s="2" t="s">
        <v>4274</v>
      </c>
      <c r="D1154" s="2"/>
      <c r="E1154" s="2"/>
      <c r="F1154" s="2"/>
      <c r="G1154" s="2"/>
      <c r="H1154" s="2" t="s">
        <v>832</v>
      </c>
    </row>
    <row r="1155" customFormat="false" ht="15" hidden="false" customHeight="false" outlineLevel="0" collapsed="false">
      <c r="A1155" s="2" t="s">
        <v>2201</v>
      </c>
      <c r="B1155" s="2" t="s">
        <v>45</v>
      </c>
      <c r="C1155" s="2" t="s">
        <v>4275</v>
      </c>
      <c r="D1155" s="11" t="n">
        <v>18400</v>
      </c>
      <c r="E1155" s="2"/>
      <c r="F1155" s="31" t="n">
        <v>58.1</v>
      </c>
      <c r="G1155" s="2"/>
      <c r="H1155" s="2" t="s">
        <v>832</v>
      </c>
    </row>
    <row r="1156" customFormat="false" ht="15" hidden="false" customHeight="false" outlineLevel="0" collapsed="false">
      <c r="A1156" s="2" t="s">
        <v>2201</v>
      </c>
      <c r="B1156" s="2" t="s">
        <v>46</v>
      </c>
      <c r="C1156" s="2" t="s">
        <v>4274</v>
      </c>
      <c r="D1156" s="11" t="n">
        <v>28600</v>
      </c>
      <c r="E1156" s="31" t="n">
        <v>2.7</v>
      </c>
      <c r="F1156" s="31" t="n">
        <v>59.9</v>
      </c>
      <c r="G1156" s="31" t="n">
        <v>35.8</v>
      </c>
      <c r="H1156" s="2" t="s">
        <v>822</v>
      </c>
    </row>
    <row r="1157" customFormat="false" ht="15" hidden="false" customHeight="false" outlineLevel="0" collapsed="false">
      <c r="A1157" s="2" t="s">
        <v>2201</v>
      </c>
      <c r="B1157" s="2" t="s">
        <v>46</v>
      </c>
      <c r="C1157" s="2" t="s">
        <v>4275</v>
      </c>
      <c r="D1157" s="11" t="n">
        <v>29170</v>
      </c>
      <c r="E1157" s="31" t="n">
        <v>1.4</v>
      </c>
      <c r="F1157" s="31" t="n">
        <v>67.3</v>
      </c>
      <c r="G1157" s="31" t="n">
        <v>54.5</v>
      </c>
      <c r="H1157" s="2" t="s">
        <v>822</v>
      </c>
    </row>
    <row r="1158" customFormat="false" ht="15" hidden="false" customHeight="false" outlineLevel="0" collapsed="false">
      <c r="A1158" s="2" t="s">
        <v>2201</v>
      </c>
      <c r="B1158" s="2" t="s">
        <v>47</v>
      </c>
      <c r="C1158" s="2" t="s">
        <v>4274</v>
      </c>
      <c r="D1158" s="11" t="n">
        <v>15918</v>
      </c>
      <c r="E1158" s="31" t="n">
        <v>21.8</v>
      </c>
      <c r="F1158" s="31" t="n">
        <v>14.7</v>
      </c>
      <c r="G1158" s="31" t="n">
        <v>23.6</v>
      </c>
      <c r="H1158" s="2" t="s">
        <v>822</v>
      </c>
    </row>
    <row r="1159" customFormat="false" ht="15" hidden="false" customHeight="false" outlineLevel="0" collapsed="false">
      <c r="A1159" s="2" t="s">
        <v>2201</v>
      </c>
      <c r="B1159" s="2" t="s">
        <v>47</v>
      </c>
      <c r="C1159" s="2" t="s">
        <v>4275</v>
      </c>
      <c r="D1159" s="11" t="n">
        <v>16800</v>
      </c>
      <c r="E1159" s="31" t="n">
        <v>16.6</v>
      </c>
      <c r="F1159" s="31" t="n">
        <v>54.5</v>
      </c>
      <c r="G1159" s="31" t="n">
        <v>41.8</v>
      </c>
      <c r="H1159" s="2" t="s">
        <v>822</v>
      </c>
    </row>
    <row r="1160" customFormat="false" ht="15" hidden="false" customHeight="false" outlineLevel="0" collapsed="false">
      <c r="A1160" s="2" t="s">
        <v>2246</v>
      </c>
      <c r="B1160" s="2" t="s">
        <v>4291</v>
      </c>
      <c r="C1160" s="2" t="s">
        <v>4274</v>
      </c>
      <c r="D1160" s="2"/>
      <c r="E1160" s="31" t="n">
        <v>90.3</v>
      </c>
      <c r="F1160" s="31" t="n">
        <v>83</v>
      </c>
      <c r="G1160" s="31" t="n">
        <v>27.2</v>
      </c>
      <c r="H1160" s="2" t="s">
        <v>822</v>
      </c>
    </row>
    <row r="1161" customFormat="false" ht="15" hidden="false" customHeight="false" outlineLevel="0" collapsed="false">
      <c r="A1161" s="2" t="s">
        <v>2246</v>
      </c>
      <c r="B1161" s="2" t="s">
        <v>4291</v>
      </c>
      <c r="C1161" s="2" t="s">
        <v>4275</v>
      </c>
      <c r="D1161" s="2"/>
      <c r="E1161" s="31" t="n">
        <v>95.1</v>
      </c>
      <c r="F1161" s="31" t="n">
        <v>99</v>
      </c>
      <c r="G1161" s="31" t="n">
        <v>62</v>
      </c>
      <c r="H1161" s="2" t="s">
        <v>832</v>
      </c>
    </row>
    <row r="1162" customFormat="false" ht="15" hidden="false" customHeight="false" outlineLevel="0" collapsed="false">
      <c r="A1162" s="2" t="s">
        <v>2246</v>
      </c>
      <c r="B1162" s="2" t="s">
        <v>47</v>
      </c>
      <c r="C1162" s="2" t="s">
        <v>4274</v>
      </c>
      <c r="D1162" s="11" t="n">
        <v>14702</v>
      </c>
      <c r="E1162" s="31" t="n">
        <v>90.3</v>
      </c>
      <c r="F1162" s="31" t="n">
        <v>83</v>
      </c>
      <c r="G1162" s="31" t="n">
        <v>27.2</v>
      </c>
      <c r="H1162" s="2" t="s">
        <v>822</v>
      </c>
    </row>
    <row r="1163" customFormat="false" ht="15" hidden="false" customHeight="false" outlineLevel="0" collapsed="false">
      <c r="A1163" s="2" t="s">
        <v>2246</v>
      </c>
      <c r="B1163" s="2" t="s">
        <v>47</v>
      </c>
      <c r="C1163" s="2" t="s">
        <v>4275</v>
      </c>
      <c r="D1163" s="11" t="n">
        <v>14791</v>
      </c>
      <c r="E1163" s="31" t="n">
        <v>95.1</v>
      </c>
      <c r="F1163" s="31" t="n">
        <v>99</v>
      </c>
      <c r="G1163" s="31" t="n">
        <v>62</v>
      </c>
      <c r="H1163" s="2" t="s">
        <v>822</v>
      </c>
    </row>
    <row r="1164" customFormat="false" ht="15" hidden="false" customHeight="false" outlineLevel="0" collapsed="false">
      <c r="A1164" s="2" t="s">
        <v>404</v>
      </c>
      <c r="B1164" s="2" t="s">
        <v>4291</v>
      </c>
      <c r="C1164" s="2" t="s">
        <v>4274</v>
      </c>
      <c r="D1164" s="2"/>
      <c r="E1164" s="31" t="n">
        <v>60</v>
      </c>
      <c r="F1164" s="31" t="n">
        <v>50.2</v>
      </c>
      <c r="G1164" s="31" t="n">
        <v>38.2</v>
      </c>
      <c r="H1164" s="2" t="s">
        <v>822</v>
      </c>
    </row>
    <row r="1165" customFormat="false" ht="15" hidden="false" customHeight="false" outlineLevel="0" collapsed="false">
      <c r="A1165" s="2" t="s">
        <v>404</v>
      </c>
      <c r="B1165" s="2" t="s">
        <v>4291</v>
      </c>
      <c r="C1165" s="2" t="s">
        <v>4275</v>
      </c>
      <c r="D1165" s="2"/>
      <c r="E1165" s="31" t="n">
        <v>54.8</v>
      </c>
      <c r="F1165" s="31" t="n">
        <v>40</v>
      </c>
      <c r="G1165" s="31" t="n">
        <v>33.8</v>
      </c>
      <c r="H1165" s="2" t="s">
        <v>822</v>
      </c>
    </row>
    <row r="1166" customFormat="false" ht="15" hidden="false" customHeight="false" outlineLevel="0" collapsed="false">
      <c r="A1166" s="2" t="s">
        <v>404</v>
      </c>
      <c r="B1166" s="2" t="s">
        <v>46</v>
      </c>
      <c r="C1166" s="2" t="s">
        <v>4274</v>
      </c>
      <c r="D1166" s="11" t="n">
        <v>3786</v>
      </c>
      <c r="E1166" s="31" t="n">
        <v>35.8</v>
      </c>
      <c r="F1166" s="31" t="n">
        <v>54.4</v>
      </c>
      <c r="G1166" s="31" t="n">
        <v>37</v>
      </c>
      <c r="H1166" s="2" t="s">
        <v>822</v>
      </c>
    </row>
    <row r="1167" customFormat="false" ht="15" hidden="false" customHeight="false" outlineLevel="0" collapsed="false">
      <c r="A1167" s="2" t="s">
        <v>404</v>
      </c>
      <c r="B1167" s="2" t="s">
        <v>46</v>
      </c>
      <c r="C1167" s="2" t="s">
        <v>4275</v>
      </c>
      <c r="D1167" s="11" t="n">
        <v>3860</v>
      </c>
      <c r="E1167" s="31" t="n">
        <v>42</v>
      </c>
      <c r="F1167" s="31" t="n">
        <v>34</v>
      </c>
      <c r="G1167" s="31" t="n">
        <v>57.6</v>
      </c>
      <c r="H1167" s="2" t="s">
        <v>822</v>
      </c>
    </row>
    <row r="1168" customFormat="false" ht="15" hidden="false" customHeight="false" outlineLevel="0" collapsed="false">
      <c r="A1168" s="2" t="s">
        <v>404</v>
      </c>
      <c r="B1168" s="2" t="s">
        <v>47</v>
      </c>
      <c r="C1168" s="2" t="s">
        <v>4274</v>
      </c>
      <c r="D1168" s="11" t="n">
        <v>28478</v>
      </c>
      <c r="E1168" s="31" t="n">
        <v>84.3</v>
      </c>
      <c r="F1168" s="31" t="n">
        <v>46.1</v>
      </c>
      <c r="G1168" s="31" t="n">
        <v>39.5</v>
      </c>
      <c r="H1168" s="2" t="s">
        <v>822</v>
      </c>
    </row>
    <row r="1169" customFormat="false" ht="15" hidden="false" customHeight="false" outlineLevel="0" collapsed="false">
      <c r="A1169" s="2" t="s">
        <v>404</v>
      </c>
      <c r="B1169" s="2" t="s">
        <v>47</v>
      </c>
      <c r="C1169" s="2" t="s">
        <v>4275</v>
      </c>
      <c r="D1169" s="11" t="n">
        <v>28882</v>
      </c>
      <c r="E1169" s="31" t="n">
        <v>67.7</v>
      </c>
      <c r="F1169" s="31" t="n">
        <v>46.1</v>
      </c>
      <c r="G1169" s="31" t="n">
        <v>10</v>
      </c>
      <c r="H1169" s="2" t="s">
        <v>822</v>
      </c>
    </row>
    <row r="1170" customFormat="false" ht="15" hidden="false" customHeight="false" outlineLevel="0" collapsed="false">
      <c r="A1170" s="2" t="s">
        <v>1908</v>
      </c>
      <c r="B1170" s="2" t="s">
        <v>4291</v>
      </c>
      <c r="C1170" s="2" t="s">
        <v>4274</v>
      </c>
      <c r="D1170" s="2"/>
      <c r="E1170" s="31" t="n">
        <v>68.9</v>
      </c>
      <c r="F1170" s="31" t="n">
        <v>57.7</v>
      </c>
      <c r="G1170" s="31" t="n">
        <v>58.1</v>
      </c>
      <c r="H1170" s="2" t="s">
        <v>822</v>
      </c>
    </row>
    <row r="1171" customFormat="false" ht="15" hidden="false" customHeight="false" outlineLevel="0" collapsed="false">
      <c r="A1171" s="2" t="s">
        <v>1908</v>
      </c>
      <c r="B1171" s="2" t="s">
        <v>4291</v>
      </c>
      <c r="C1171" s="2" t="s">
        <v>4275</v>
      </c>
      <c r="D1171" s="2"/>
      <c r="E1171" s="31" t="n">
        <v>70.5</v>
      </c>
      <c r="F1171" s="31" t="n">
        <v>37.5</v>
      </c>
      <c r="G1171" s="31" t="n">
        <v>35.7</v>
      </c>
      <c r="H1171" s="2" t="s">
        <v>832</v>
      </c>
    </row>
    <row r="1172" customFormat="false" ht="15" hidden="false" customHeight="false" outlineLevel="0" collapsed="false">
      <c r="A1172" s="2" t="s">
        <v>1908</v>
      </c>
      <c r="B1172" s="2" t="s">
        <v>45</v>
      </c>
      <c r="C1172" s="2" t="s">
        <v>4274</v>
      </c>
      <c r="D1172" s="11" t="n">
        <v>36936</v>
      </c>
      <c r="E1172" s="31" t="n">
        <v>62.9</v>
      </c>
      <c r="F1172" s="31" t="n">
        <v>83.9</v>
      </c>
      <c r="G1172" s="31" t="n">
        <v>57.8</v>
      </c>
      <c r="H1172" s="2" t="s">
        <v>822</v>
      </c>
    </row>
    <row r="1173" customFormat="false" ht="15" hidden="false" customHeight="false" outlineLevel="0" collapsed="false">
      <c r="A1173" s="2" t="s">
        <v>1908</v>
      </c>
      <c r="B1173" s="2" t="s">
        <v>45</v>
      </c>
      <c r="C1173" s="2" t="s">
        <v>4275</v>
      </c>
      <c r="D1173" s="2"/>
      <c r="E1173" s="2"/>
      <c r="F1173" s="2"/>
      <c r="G1173" s="2"/>
      <c r="H1173" s="2" t="s">
        <v>832</v>
      </c>
    </row>
    <row r="1174" customFormat="false" ht="15" hidden="false" customHeight="false" outlineLevel="0" collapsed="false">
      <c r="A1174" s="2" t="s">
        <v>1908</v>
      </c>
      <c r="B1174" s="2" t="s">
        <v>46</v>
      </c>
      <c r="C1174" s="2" t="s">
        <v>4274</v>
      </c>
      <c r="D1174" s="11" t="n">
        <v>244090</v>
      </c>
      <c r="E1174" s="31" t="n">
        <v>49.3</v>
      </c>
      <c r="F1174" s="31" t="n">
        <v>7.1</v>
      </c>
      <c r="G1174" s="31" t="n">
        <v>60.5</v>
      </c>
      <c r="H1174" s="2" t="s">
        <v>822</v>
      </c>
    </row>
    <row r="1175" customFormat="false" ht="15" hidden="false" customHeight="false" outlineLevel="0" collapsed="false">
      <c r="A1175" s="2" t="s">
        <v>1908</v>
      </c>
      <c r="B1175" s="2" t="s">
        <v>46</v>
      </c>
      <c r="C1175" s="2" t="s">
        <v>4275</v>
      </c>
      <c r="D1175" s="11" t="n">
        <v>241850</v>
      </c>
      <c r="E1175" s="31" t="n">
        <v>47.7</v>
      </c>
      <c r="F1175" s="31" t="n">
        <v>21</v>
      </c>
      <c r="G1175" s="31" t="n">
        <v>13.5</v>
      </c>
      <c r="H1175" s="2" t="s">
        <v>822</v>
      </c>
    </row>
    <row r="1176" customFormat="false" ht="15" hidden="false" customHeight="false" outlineLevel="0" collapsed="false">
      <c r="A1176" s="2" t="s">
        <v>1908</v>
      </c>
      <c r="B1176" s="2" t="s">
        <v>47</v>
      </c>
      <c r="C1176" s="2" t="s">
        <v>4274</v>
      </c>
      <c r="D1176" s="11" t="n">
        <v>188048</v>
      </c>
      <c r="E1176" s="31" t="n">
        <v>94.5</v>
      </c>
      <c r="F1176" s="31" t="n">
        <v>82.1</v>
      </c>
      <c r="G1176" s="31" t="n">
        <v>55.9</v>
      </c>
      <c r="H1176" s="2" t="s">
        <v>822</v>
      </c>
    </row>
    <row r="1177" customFormat="false" ht="15" hidden="false" customHeight="false" outlineLevel="0" collapsed="false">
      <c r="A1177" s="2" t="s">
        <v>1908</v>
      </c>
      <c r="B1177" s="2" t="s">
        <v>47</v>
      </c>
      <c r="C1177" s="2" t="s">
        <v>4275</v>
      </c>
      <c r="D1177" s="11" t="n">
        <v>196244</v>
      </c>
      <c r="E1177" s="31" t="n">
        <v>93.3</v>
      </c>
      <c r="F1177" s="31" t="n">
        <v>54</v>
      </c>
      <c r="G1177" s="31" t="n">
        <v>57.9</v>
      </c>
      <c r="H1177" s="2" t="s">
        <v>822</v>
      </c>
    </row>
    <row r="1178" customFormat="false" ht="15" hidden="false" customHeight="false" outlineLevel="0" collapsed="false">
      <c r="A1178" s="2" t="s">
        <v>2525</v>
      </c>
      <c r="B1178" s="2" t="s">
        <v>4291</v>
      </c>
      <c r="C1178" s="2" t="s">
        <v>4274</v>
      </c>
      <c r="D1178" s="2"/>
      <c r="E1178" s="31" t="n">
        <v>55.1</v>
      </c>
      <c r="F1178" s="31" t="n">
        <v>59.1</v>
      </c>
      <c r="G1178" s="31" t="n">
        <v>6.5</v>
      </c>
      <c r="H1178" s="2" t="s">
        <v>832</v>
      </c>
    </row>
    <row r="1179" customFormat="false" ht="15" hidden="false" customHeight="false" outlineLevel="0" collapsed="false">
      <c r="A1179" s="2" t="s">
        <v>2525</v>
      </c>
      <c r="B1179" s="2" t="s">
        <v>4291</v>
      </c>
      <c r="C1179" s="2" t="s">
        <v>4275</v>
      </c>
      <c r="D1179" s="2"/>
      <c r="E1179" s="31" t="n">
        <v>65.7</v>
      </c>
      <c r="F1179" s="31" t="n">
        <v>62.6</v>
      </c>
      <c r="G1179" s="31" t="n">
        <v>31.4</v>
      </c>
      <c r="H1179" s="2" t="s">
        <v>832</v>
      </c>
    </row>
    <row r="1180" customFormat="false" ht="15" hidden="false" customHeight="false" outlineLevel="0" collapsed="false">
      <c r="A1180" s="2" t="s">
        <v>2525</v>
      </c>
      <c r="B1180" s="2" t="s">
        <v>45</v>
      </c>
      <c r="C1180" s="2" t="s">
        <v>4274</v>
      </c>
      <c r="D1180" s="11" t="n">
        <v>18220</v>
      </c>
      <c r="E1180" s="31" t="n">
        <v>45.1</v>
      </c>
      <c r="F1180" s="2"/>
      <c r="G1180" s="2"/>
      <c r="H1180" s="2" t="s">
        <v>832</v>
      </c>
    </row>
    <row r="1181" customFormat="false" ht="15" hidden="false" customHeight="false" outlineLevel="0" collapsed="false">
      <c r="A1181" s="2" t="s">
        <v>2525</v>
      </c>
      <c r="B1181" s="2" t="s">
        <v>45</v>
      </c>
      <c r="C1181" s="2" t="s">
        <v>4275</v>
      </c>
      <c r="D1181" s="11" t="n">
        <v>19400</v>
      </c>
      <c r="E1181" s="31" t="n">
        <v>60.5</v>
      </c>
      <c r="F1181" s="31" t="n">
        <v>74.9</v>
      </c>
      <c r="G1181" s="31" t="n">
        <v>62</v>
      </c>
      <c r="H1181" s="2" t="s">
        <v>832</v>
      </c>
    </row>
    <row r="1182" customFormat="false" ht="15" hidden="false" customHeight="false" outlineLevel="0" collapsed="false">
      <c r="A1182" s="2" t="s">
        <v>2525</v>
      </c>
      <c r="B1182" s="2" t="s">
        <v>46</v>
      </c>
      <c r="C1182" s="2" t="s">
        <v>4274</v>
      </c>
      <c r="D1182" s="11" t="n">
        <v>35310</v>
      </c>
      <c r="E1182" s="31" t="n">
        <v>76.9</v>
      </c>
      <c r="F1182" s="31" t="n">
        <v>97</v>
      </c>
      <c r="G1182" s="2"/>
      <c r="H1182" s="2" t="s">
        <v>832</v>
      </c>
    </row>
    <row r="1183" customFormat="false" ht="15" hidden="false" customHeight="false" outlineLevel="0" collapsed="false">
      <c r="A1183" s="2" t="s">
        <v>2525</v>
      </c>
      <c r="B1183" s="2" t="s">
        <v>46</v>
      </c>
      <c r="C1183" s="2" t="s">
        <v>4275</v>
      </c>
      <c r="D1183" s="11" t="n">
        <v>38060</v>
      </c>
      <c r="E1183" s="31" t="n">
        <v>84.7</v>
      </c>
      <c r="F1183" s="31" t="n">
        <v>90.9</v>
      </c>
      <c r="G1183" s="2"/>
      <c r="H1183" s="2" t="s">
        <v>832</v>
      </c>
    </row>
    <row r="1184" customFormat="false" ht="15" hidden="false" customHeight="false" outlineLevel="0" collapsed="false">
      <c r="A1184" s="2" t="s">
        <v>2525</v>
      </c>
      <c r="B1184" s="2" t="s">
        <v>47</v>
      </c>
      <c r="C1184" s="2" t="s">
        <v>4274</v>
      </c>
      <c r="D1184" s="11" t="n">
        <v>88324</v>
      </c>
      <c r="E1184" s="31" t="n">
        <v>43.3</v>
      </c>
      <c r="F1184" s="31" t="n">
        <v>21.2</v>
      </c>
      <c r="G1184" s="31" t="n">
        <v>6.5</v>
      </c>
      <c r="H1184" s="2" t="s">
        <v>822</v>
      </c>
    </row>
    <row r="1185" customFormat="false" ht="15" hidden="false" customHeight="false" outlineLevel="0" collapsed="false">
      <c r="A1185" s="2" t="s">
        <v>2525</v>
      </c>
      <c r="B1185" s="2" t="s">
        <v>47</v>
      </c>
      <c r="C1185" s="2" t="s">
        <v>4275</v>
      </c>
      <c r="D1185" s="11" t="n">
        <v>90367</v>
      </c>
      <c r="E1185" s="31" t="n">
        <v>52</v>
      </c>
      <c r="F1185" s="31" t="n">
        <v>22.1</v>
      </c>
      <c r="G1185" s="31" t="n">
        <v>0.9</v>
      </c>
      <c r="H1185" s="2" t="s">
        <v>822</v>
      </c>
    </row>
    <row r="1186" customFormat="false" ht="15" hidden="false" customHeight="false" outlineLevel="0" collapsed="false">
      <c r="A1186" s="2" t="s">
        <v>2519</v>
      </c>
      <c r="B1186" s="2" t="s">
        <v>4291</v>
      </c>
      <c r="C1186" s="2" t="s">
        <v>4274</v>
      </c>
      <c r="D1186" s="2"/>
      <c r="E1186" s="31" t="n">
        <v>73.7</v>
      </c>
      <c r="F1186" s="31" t="n">
        <v>27.4</v>
      </c>
      <c r="G1186" s="31" t="n">
        <v>48.3</v>
      </c>
      <c r="H1186" s="2" t="s">
        <v>832</v>
      </c>
    </row>
    <row r="1187" customFormat="false" ht="15" hidden="false" customHeight="false" outlineLevel="0" collapsed="false">
      <c r="A1187" s="2" t="s">
        <v>2519</v>
      </c>
      <c r="B1187" s="2" t="s">
        <v>4291</v>
      </c>
      <c r="C1187" s="2" t="s">
        <v>4275</v>
      </c>
      <c r="D1187" s="2"/>
      <c r="E1187" s="31" t="n">
        <v>52.7</v>
      </c>
      <c r="F1187" s="31" t="n">
        <v>40.9</v>
      </c>
      <c r="G1187" s="31" t="n">
        <v>67</v>
      </c>
      <c r="H1187" s="2" t="s">
        <v>832</v>
      </c>
    </row>
    <row r="1188" customFormat="false" ht="15" hidden="false" customHeight="false" outlineLevel="0" collapsed="false">
      <c r="A1188" s="2" t="s">
        <v>2519</v>
      </c>
      <c r="B1188" s="2" t="s">
        <v>45</v>
      </c>
      <c r="C1188" s="2" t="s">
        <v>4274</v>
      </c>
      <c r="D1188" s="11" t="n">
        <v>4808</v>
      </c>
      <c r="E1188" s="31" t="n">
        <v>73.7</v>
      </c>
      <c r="F1188" s="31" t="n">
        <v>27.4</v>
      </c>
      <c r="G1188" s="31" t="n">
        <v>48.3</v>
      </c>
      <c r="H1188" s="2" t="s">
        <v>822</v>
      </c>
    </row>
    <row r="1189" customFormat="false" ht="15" hidden="false" customHeight="false" outlineLevel="0" collapsed="false">
      <c r="A1189" s="2" t="s">
        <v>2519</v>
      </c>
      <c r="B1189" s="2" t="s">
        <v>45</v>
      </c>
      <c r="C1189" s="2" t="s">
        <v>4275</v>
      </c>
      <c r="D1189" s="2"/>
      <c r="E1189" s="2"/>
      <c r="F1189" s="2"/>
      <c r="G1189" s="2"/>
      <c r="H1189" s="2" t="s">
        <v>832</v>
      </c>
    </row>
    <row r="1190" customFormat="false" ht="15" hidden="false" customHeight="false" outlineLevel="0" collapsed="false">
      <c r="A1190" s="2" t="s">
        <v>2519</v>
      </c>
      <c r="B1190" s="2" t="s">
        <v>47</v>
      </c>
      <c r="C1190" s="2" t="s">
        <v>4274</v>
      </c>
      <c r="D1190" s="2"/>
      <c r="E1190" s="2"/>
      <c r="F1190" s="2"/>
      <c r="G1190" s="2"/>
      <c r="H1190" s="2" t="s">
        <v>832</v>
      </c>
    </row>
    <row r="1191" customFormat="false" ht="15" hidden="false" customHeight="false" outlineLevel="0" collapsed="false">
      <c r="A1191" s="2" t="s">
        <v>2519</v>
      </c>
      <c r="B1191" s="2" t="s">
        <v>47</v>
      </c>
      <c r="C1191" s="2" t="s">
        <v>4275</v>
      </c>
      <c r="D1191" s="11" t="n">
        <v>32016</v>
      </c>
      <c r="E1191" s="31" t="n">
        <v>52.7</v>
      </c>
      <c r="F1191" s="31" t="n">
        <v>40.9</v>
      </c>
      <c r="G1191" s="31" t="n">
        <v>67</v>
      </c>
      <c r="H1191" s="2" t="s">
        <v>822</v>
      </c>
    </row>
    <row r="1192" customFormat="false" ht="15" hidden="false" customHeight="false" outlineLevel="0" collapsed="false">
      <c r="A1192" s="2" t="s">
        <v>1493</v>
      </c>
      <c r="B1192" s="2" t="s">
        <v>4291</v>
      </c>
      <c r="C1192" s="2" t="s">
        <v>4274</v>
      </c>
      <c r="D1192" s="2"/>
      <c r="E1192" s="31" t="n">
        <v>33</v>
      </c>
      <c r="F1192" s="31" t="n">
        <v>33.4</v>
      </c>
      <c r="G1192" s="31" t="n">
        <v>5.7</v>
      </c>
      <c r="H1192" s="2" t="s">
        <v>832</v>
      </c>
    </row>
    <row r="1193" customFormat="false" ht="15" hidden="false" customHeight="false" outlineLevel="0" collapsed="false">
      <c r="A1193" s="2" t="s">
        <v>1493</v>
      </c>
      <c r="B1193" s="2" t="s">
        <v>4291</v>
      </c>
      <c r="C1193" s="2" t="s">
        <v>4275</v>
      </c>
      <c r="D1193" s="2"/>
      <c r="E1193" s="31" t="n">
        <v>13.8</v>
      </c>
      <c r="F1193" s="31" t="n">
        <v>43</v>
      </c>
      <c r="G1193" s="31" t="n">
        <v>88.6</v>
      </c>
      <c r="H1193" s="2" t="s">
        <v>832</v>
      </c>
    </row>
    <row r="1194" customFormat="false" ht="15" hidden="false" customHeight="false" outlineLevel="0" collapsed="false">
      <c r="A1194" s="2" t="s">
        <v>1493</v>
      </c>
      <c r="B1194" s="2" t="s">
        <v>45</v>
      </c>
      <c r="C1194" s="2" t="s">
        <v>4274</v>
      </c>
      <c r="D1194" s="11" t="n">
        <v>10080</v>
      </c>
      <c r="E1194" s="31" t="n">
        <v>28.5</v>
      </c>
      <c r="F1194" s="31" t="n">
        <v>48.2</v>
      </c>
      <c r="G1194" s="2"/>
      <c r="H1194" s="2" t="s">
        <v>832</v>
      </c>
    </row>
    <row r="1195" customFormat="false" ht="15" hidden="false" customHeight="false" outlineLevel="0" collapsed="false">
      <c r="A1195" s="2" t="s">
        <v>1493</v>
      </c>
      <c r="B1195" s="2" t="s">
        <v>45</v>
      </c>
      <c r="C1195" s="2" t="s">
        <v>4275</v>
      </c>
      <c r="D1195" s="11" t="n">
        <v>10484</v>
      </c>
      <c r="E1195" s="31" t="n">
        <v>13.8</v>
      </c>
      <c r="F1195" s="31" t="n">
        <v>43</v>
      </c>
      <c r="G1195" s="31" t="n">
        <v>88.6</v>
      </c>
      <c r="H1195" s="2" t="s">
        <v>822</v>
      </c>
    </row>
    <row r="1196" customFormat="false" ht="15" hidden="false" customHeight="false" outlineLevel="0" collapsed="false">
      <c r="A1196" s="2" t="s">
        <v>1493</v>
      </c>
      <c r="B1196" s="2" t="s">
        <v>46</v>
      </c>
      <c r="C1196" s="2" t="s">
        <v>4274</v>
      </c>
      <c r="D1196" s="11" t="n">
        <v>84810</v>
      </c>
      <c r="E1196" s="31" t="n">
        <v>37.4</v>
      </c>
      <c r="F1196" s="31" t="n">
        <v>18.7</v>
      </c>
      <c r="G1196" s="31" t="n">
        <v>5.7</v>
      </c>
      <c r="H1196" s="2" t="s">
        <v>822</v>
      </c>
    </row>
    <row r="1197" customFormat="false" ht="15" hidden="false" customHeight="false" outlineLevel="0" collapsed="false">
      <c r="A1197" s="2" t="s">
        <v>1493</v>
      </c>
      <c r="B1197" s="2" t="s">
        <v>46</v>
      </c>
      <c r="C1197" s="2" t="s">
        <v>4275</v>
      </c>
      <c r="D1197" s="2"/>
      <c r="E1197" s="2"/>
      <c r="F1197" s="2"/>
      <c r="G1197" s="2"/>
      <c r="H1197" s="2" t="s">
        <v>832</v>
      </c>
    </row>
    <row r="1198" customFormat="false" ht="15" hidden="false" customHeight="false" outlineLevel="0" collapsed="false">
      <c r="A1198" s="2" t="s">
        <v>450</v>
      </c>
      <c r="B1198" s="2" t="s">
        <v>4291</v>
      </c>
      <c r="C1198" s="2" t="s">
        <v>4274</v>
      </c>
      <c r="D1198" s="2"/>
      <c r="E1198" s="31" t="n">
        <v>66.9</v>
      </c>
      <c r="F1198" s="31" t="n">
        <v>55.5</v>
      </c>
      <c r="G1198" s="31" t="n">
        <v>41.9</v>
      </c>
      <c r="H1198" s="2" t="s">
        <v>822</v>
      </c>
    </row>
    <row r="1199" customFormat="false" ht="15" hidden="false" customHeight="false" outlineLevel="0" collapsed="false">
      <c r="A1199" s="2" t="s">
        <v>450</v>
      </c>
      <c r="B1199" s="2" t="s">
        <v>4291</v>
      </c>
      <c r="C1199" s="2" t="s">
        <v>4275</v>
      </c>
      <c r="D1199" s="2"/>
      <c r="E1199" s="31" t="n">
        <v>52</v>
      </c>
      <c r="F1199" s="31" t="n">
        <v>61.6</v>
      </c>
      <c r="G1199" s="31" t="n">
        <v>54.6</v>
      </c>
      <c r="H1199" s="2" t="s">
        <v>822</v>
      </c>
    </row>
    <row r="1200" customFormat="false" ht="15" hidden="false" customHeight="false" outlineLevel="0" collapsed="false">
      <c r="A1200" s="2" t="s">
        <v>450</v>
      </c>
      <c r="B1200" s="2" t="s">
        <v>45</v>
      </c>
      <c r="C1200" s="2" t="s">
        <v>4274</v>
      </c>
      <c r="D1200" s="11" t="n">
        <v>25410</v>
      </c>
      <c r="E1200" s="31" t="n">
        <v>99.3</v>
      </c>
      <c r="F1200" s="31" t="n">
        <v>86.9</v>
      </c>
      <c r="G1200" s="31" t="n">
        <v>56.6</v>
      </c>
      <c r="H1200" s="2" t="s">
        <v>822</v>
      </c>
    </row>
    <row r="1201" customFormat="false" ht="15" hidden="false" customHeight="false" outlineLevel="0" collapsed="false">
      <c r="A1201" s="2" t="s">
        <v>450</v>
      </c>
      <c r="B1201" s="2" t="s">
        <v>45</v>
      </c>
      <c r="C1201" s="2" t="s">
        <v>4275</v>
      </c>
      <c r="D1201" s="11" t="n">
        <v>27220</v>
      </c>
      <c r="E1201" s="31" t="n">
        <v>87.5</v>
      </c>
      <c r="F1201" s="31" t="n">
        <v>81.1</v>
      </c>
      <c r="G1201" s="31" t="n">
        <v>78.1</v>
      </c>
      <c r="H1201" s="2" t="s">
        <v>822</v>
      </c>
    </row>
    <row r="1202" customFormat="false" ht="15" hidden="false" customHeight="false" outlineLevel="0" collapsed="false">
      <c r="A1202" s="2" t="s">
        <v>450</v>
      </c>
      <c r="B1202" s="2" t="s">
        <v>46</v>
      </c>
      <c r="C1202" s="2" t="s">
        <v>4274</v>
      </c>
      <c r="D1202" s="11" t="n">
        <v>13910</v>
      </c>
      <c r="E1202" s="31" t="n">
        <v>60.5</v>
      </c>
      <c r="F1202" s="31" t="n">
        <v>73.8</v>
      </c>
      <c r="G1202" s="31" t="n">
        <v>12.3</v>
      </c>
      <c r="H1202" s="2" t="s">
        <v>822</v>
      </c>
    </row>
    <row r="1203" customFormat="false" ht="15" hidden="false" customHeight="false" outlineLevel="0" collapsed="false">
      <c r="A1203" s="2" t="s">
        <v>450</v>
      </c>
      <c r="B1203" s="2" t="s">
        <v>46</v>
      </c>
      <c r="C1203" s="2" t="s">
        <v>4275</v>
      </c>
      <c r="D1203" s="11" t="n">
        <v>14830</v>
      </c>
      <c r="E1203" s="31" t="n">
        <v>59.3</v>
      </c>
      <c r="F1203" s="31" t="n">
        <v>88.7</v>
      </c>
      <c r="G1203" s="31" t="n">
        <v>6.2</v>
      </c>
      <c r="H1203" s="2" t="s">
        <v>822</v>
      </c>
    </row>
    <row r="1204" customFormat="false" ht="15" hidden="false" customHeight="false" outlineLevel="0" collapsed="false">
      <c r="A1204" s="2" t="s">
        <v>450</v>
      </c>
      <c r="B1204" s="2" t="s">
        <v>47</v>
      </c>
      <c r="C1204" s="2" t="s">
        <v>4274</v>
      </c>
      <c r="D1204" s="11" t="n">
        <v>55940</v>
      </c>
      <c r="E1204" s="31" t="n">
        <v>41</v>
      </c>
      <c r="F1204" s="31" t="n">
        <v>5.9</v>
      </c>
      <c r="G1204" s="31" t="n">
        <v>56.8</v>
      </c>
      <c r="H1204" s="2" t="s">
        <v>822</v>
      </c>
    </row>
    <row r="1205" customFormat="false" ht="15" hidden="false" customHeight="false" outlineLevel="0" collapsed="false">
      <c r="A1205" s="2" t="s">
        <v>450</v>
      </c>
      <c r="B1205" s="2" t="s">
        <v>47</v>
      </c>
      <c r="C1205" s="2" t="s">
        <v>4275</v>
      </c>
      <c r="D1205" s="11" t="n">
        <v>94656</v>
      </c>
      <c r="E1205" s="31" t="n">
        <v>9.2</v>
      </c>
      <c r="F1205" s="31" t="n">
        <v>14.9</v>
      </c>
      <c r="G1205" s="31" t="n">
        <v>79.6</v>
      </c>
      <c r="H1205" s="2" t="s">
        <v>822</v>
      </c>
    </row>
    <row r="1206" customFormat="false" ht="15" hidden="false" customHeight="false" outlineLevel="0" collapsed="false">
      <c r="A1206" s="2" t="s">
        <v>238</v>
      </c>
      <c r="B1206" s="2" t="s">
        <v>4291</v>
      </c>
      <c r="C1206" s="2" t="s">
        <v>4274</v>
      </c>
      <c r="D1206" s="2"/>
      <c r="E1206" s="31" t="n">
        <v>55.2</v>
      </c>
      <c r="F1206" s="31" t="n">
        <v>48.5</v>
      </c>
      <c r="G1206" s="31" t="n">
        <v>53.4</v>
      </c>
      <c r="H1206" s="2" t="s">
        <v>822</v>
      </c>
    </row>
    <row r="1207" customFormat="false" ht="15" hidden="false" customHeight="false" outlineLevel="0" collapsed="false">
      <c r="A1207" s="2" t="s">
        <v>238</v>
      </c>
      <c r="B1207" s="2" t="s">
        <v>4291</v>
      </c>
      <c r="C1207" s="2" t="s">
        <v>4275</v>
      </c>
      <c r="D1207" s="2"/>
      <c r="E1207" s="31" t="n">
        <v>69.5</v>
      </c>
      <c r="F1207" s="31" t="n">
        <v>48.6</v>
      </c>
      <c r="G1207" s="31" t="n">
        <v>50.4</v>
      </c>
      <c r="H1207" s="2" t="s">
        <v>822</v>
      </c>
    </row>
    <row r="1208" customFormat="false" ht="15" hidden="false" customHeight="false" outlineLevel="0" collapsed="false">
      <c r="A1208" s="2" t="s">
        <v>238</v>
      </c>
      <c r="B1208" s="2" t="s">
        <v>45</v>
      </c>
      <c r="C1208" s="2" t="s">
        <v>4274</v>
      </c>
      <c r="D1208" s="11" t="n">
        <v>113970</v>
      </c>
      <c r="E1208" s="31" t="n">
        <v>29.6</v>
      </c>
      <c r="F1208" s="31" t="n">
        <v>52.1</v>
      </c>
      <c r="G1208" s="31" t="n">
        <v>1.7</v>
      </c>
      <c r="H1208" s="2" t="s">
        <v>822</v>
      </c>
    </row>
    <row r="1209" customFormat="false" ht="15" hidden="false" customHeight="false" outlineLevel="0" collapsed="false">
      <c r="A1209" s="2" t="s">
        <v>238</v>
      </c>
      <c r="B1209" s="2" t="s">
        <v>45</v>
      </c>
      <c r="C1209" s="2" t="s">
        <v>4275</v>
      </c>
      <c r="D1209" s="11" t="n">
        <v>117660</v>
      </c>
      <c r="E1209" s="31" t="n">
        <v>40.1</v>
      </c>
      <c r="F1209" s="31" t="n">
        <v>45.7</v>
      </c>
      <c r="G1209" s="31" t="n">
        <v>9.6</v>
      </c>
      <c r="H1209" s="2" t="s">
        <v>822</v>
      </c>
    </row>
    <row r="1210" customFormat="false" ht="15" hidden="false" customHeight="false" outlineLevel="0" collapsed="false">
      <c r="A1210" s="2" t="s">
        <v>238</v>
      </c>
      <c r="B1210" s="2" t="s">
        <v>46</v>
      </c>
      <c r="C1210" s="2" t="s">
        <v>4274</v>
      </c>
      <c r="D1210" s="11" t="n">
        <v>60888</v>
      </c>
      <c r="E1210" s="31" t="n">
        <v>41.9</v>
      </c>
      <c r="F1210" s="31" t="n">
        <v>0.7</v>
      </c>
      <c r="G1210" s="31" t="n">
        <v>82.2</v>
      </c>
      <c r="H1210" s="2" t="s">
        <v>822</v>
      </c>
    </row>
    <row r="1211" customFormat="false" ht="15" hidden="false" customHeight="false" outlineLevel="0" collapsed="false">
      <c r="A1211" s="2" t="s">
        <v>238</v>
      </c>
      <c r="B1211" s="2" t="s">
        <v>46</v>
      </c>
      <c r="C1211" s="2" t="s">
        <v>4275</v>
      </c>
      <c r="D1211" s="11" t="n">
        <v>58870</v>
      </c>
      <c r="E1211" s="31" t="n">
        <v>69.4</v>
      </c>
      <c r="F1211" s="31" t="n">
        <v>1.5</v>
      </c>
      <c r="G1211" s="31" t="n">
        <v>72.2</v>
      </c>
      <c r="H1211" s="2" t="s">
        <v>822</v>
      </c>
    </row>
    <row r="1212" customFormat="false" ht="15" hidden="false" customHeight="false" outlineLevel="0" collapsed="false">
      <c r="A1212" s="2" t="s">
        <v>238</v>
      </c>
      <c r="B1212" s="2" t="s">
        <v>47</v>
      </c>
      <c r="C1212" s="2" t="s">
        <v>4274</v>
      </c>
      <c r="D1212" s="11" t="n">
        <v>68814</v>
      </c>
      <c r="E1212" s="31" t="n">
        <v>94.1</v>
      </c>
      <c r="F1212" s="31" t="n">
        <v>92.8</v>
      </c>
      <c r="G1212" s="31" t="n">
        <v>76.4</v>
      </c>
      <c r="H1212" s="2" t="s">
        <v>822</v>
      </c>
    </row>
    <row r="1213" customFormat="false" ht="15" hidden="false" customHeight="false" outlineLevel="0" collapsed="false">
      <c r="A1213" s="2" t="s">
        <v>238</v>
      </c>
      <c r="B1213" s="2" t="s">
        <v>47</v>
      </c>
      <c r="C1213" s="2" t="s">
        <v>4275</v>
      </c>
      <c r="D1213" s="11" t="n">
        <v>72696</v>
      </c>
      <c r="E1213" s="31" t="n">
        <v>99.1</v>
      </c>
      <c r="F1213" s="31" t="n">
        <v>98.7</v>
      </c>
      <c r="G1213" s="31" t="n">
        <v>69.4</v>
      </c>
      <c r="H1213" s="2" t="s">
        <v>822</v>
      </c>
    </row>
    <row r="1214" customFormat="false" ht="15" hidden="false" customHeight="false" outlineLevel="0" collapsed="false">
      <c r="A1214" s="2" t="s">
        <v>1515</v>
      </c>
      <c r="B1214" s="2" t="s">
        <v>4291</v>
      </c>
      <c r="C1214" s="2" t="s">
        <v>4274</v>
      </c>
      <c r="D1214" s="2"/>
      <c r="E1214" s="31" t="n">
        <v>31.1</v>
      </c>
      <c r="F1214" s="31" t="n">
        <v>67.6</v>
      </c>
      <c r="G1214" s="31" t="n">
        <v>45</v>
      </c>
      <c r="H1214" s="2" t="s">
        <v>832</v>
      </c>
    </row>
    <row r="1215" customFormat="false" ht="15" hidden="false" customHeight="false" outlineLevel="0" collapsed="false">
      <c r="A1215" s="2" t="s">
        <v>1515</v>
      </c>
      <c r="B1215" s="2" t="s">
        <v>4291</v>
      </c>
      <c r="C1215" s="2" t="s">
        <v>4275</v>
      </c>
      <c r="D1215" s="2"/>
      <c r="E1215" s="31" t="n">
        <v>39</v>
      </c>
      <c r="F1215" s="31" t="n">
        <v>42.6</v>
      </c>
      <c r="G1215" s="31" t="n">
        <v>53.6</v>
      </c>
      <c r="H1215" s="2" t="s">
        <v>832</v>
      </c>
    </row>
    <row r="1216" customFormat="false" ht="15" hidden="false" customHeight="false" outlineLevel="0" collapsed="false">
      <c r="A1216" s="2" t="s">
        <v>1515</v>
      </c>
      <c r="B1216" s="2" t="s">
        <v>45</v>
      </c>
      <c r="C1216" s="2" t="s">
        <v>4274</v>
      </c>
      <c r="D1216" s="11" t="n">
        <v>5668</v>
      </c>
      <c r="E1216" s="31" t="n">
        <v>6.9</v>
      </c>
      <c r="F1216" s="31" t="n">
        <v>46.8</v>
      </c>
      <c r="G1216" s="31" t="n">
        <v>16.5</v>
      </c>
      <c r="H1216" s="2" t="s">
        <v>822</v>
      </c>
    </row>
    <row r="1217" customFormat="false" ht="15" hidden="false" customHeight="false" outlineLevel="0" collapsed="false">
      <c r="A1217" s="2" t="s">
        <v>1515</v>
      </c>
      <c r="B1217" s="2" t="s">
        <v>45</v>
      </c>
      <c r="C1217" s="2" t="s">
        <v>4275</v>
      </c>
      <c r="D1217" s="11" t="n">
        <v>5920</v>
      </c>
      <c r="E1217" s="31" t="n">
        <v>11.9</v>
      </c>
      <c r="F1217" s="31" t="n">
        <v>18.3</v>
      </c>
      <c r="G1217" s="31" t="n">
        <v>24.7</v>
      </c>
      <c r="H1217" s="2" t="s">
        <v>822</v>
      </c>
    </row>
    <row r="1218" customFormat="false" ht="15" hidden="false" customHeight="false" outlineLevel="0" collapsed="false">
      <c r="A1218" s="2" t="s">
        <v>1515</v>
      </c>
      <c r="B1218" s="2" t="s">
        <v>46</v>
      </c>
      <c r="C1218" s="2" t="s">
        <v>4274</v>
      </c>
      <c r="D1218" s="11" t="n">
        <v>58933</v>
      </c>
      <c r="E1218" s="31" t="n">
        <v>40.5</v>
      </c>
      <c r="F1218" s="31" t="n">
        <v>82</v>
      </c>
      <c r="G1218" s="2"/>
      <c r="H1218" s="2" t="s">
        <v>832</v>
      </c>
    </row>
    <row r="1219" customFormat="false" ht="15" hidden="false" customHeight="false" outlineLevel="0" collapsed="false">
      <c r="A1219" s="2" t="s">
        <v>1515</v>
      </c>
      <c r="B1219" s="2" t="s">
        <v>46</v>
      </c>
      <c r="C1219" s="2" t="s">
        <v>4275</v>
      </c>
      <c r="D1219" s="11" t="n">
        <v>62340</v>
      </c>
      <c r="E1219" s="31" t="n">
        <v>36.7</v>
      </c>
      <c r="F1219" s="31" t="n">
        <v>74.5</v>
      </c>
      <c r="G1219" s="31" t="n">
        <v>92.7</v>
      </c>
      <c r="H1219" s="2" t="s">
        <v>832</v>
      </c>
    </row>
    <row r="1220" customFormat="false" ht="15" hidden="false" customHeight="false" outlineLevel="0" collapsed="false">
      <c r="A1220" s="2" t="s">
        <v>1515</v>
      </c>
      <c r="B1220" s="2" t="s">
        <v>47</v>
      </c>
      <c r="C1220" s="2" t="s">
        <v>4274</v>
      </c>
      <c r="D1220" s="11" t="n">
        <v>79370</v>
      </c>
      <c r="E1220" s="31" t="n">
        <v>45.8</v>
      </c>
      <c r="F1220" s="31" t="n">
        <v>73.9</v>
      </c>
      <c r="G1220" s="31" t="n">
        <v>73.4</v>
      </c>
      <c r="H1220" s="2" t="s">
        <v>822</v>
      </c>
    </row>
    <row r="1221" customFormat="false" ht="15" hidden="false" customHeight="false" outlineLevel="0" collapsed="false">
      <c r="A1221" s="2" t="s">
        <v>1515</v>
      </c>
      <c r="B1221" s="2" t="s">
        <v>47</v>
      </c>
      <c r="C1221" s="2" t="s">
        <v>4275</v>
      </c>
      <c r="D1221" s="11" t="n">
        <v>85770</v>
      </c>
      <c r="E1221" s="31" t="n">
        <v>68.3</v>
      </c>
      <c r="F1221" s="31" t="n">
        <v>35.1</v>
      </c>
      <c r="G1221" s="31" t="n">
        <v>43.5</v>
      </c>
      <c r="H1221" s="2" t="s">
        <v>822</v>
      </c>
    </row>
    <row r="1222" customFormat="false" ht="15" hidden="false" customHeight="false" outlineLevel="0" collapsed="false">
      <c r="A1222" s="2" t="s">
        <v>264</v>
      </c>
      <c r="B1222" s="2" t="s">
        <v>4291</v>
      </c>
      <c r="C1222" s="2" t="s">
        <v>4274</v>
      </c>
      <c r="D1222" s="2"/>
      <c r="E1222" s="31" t="n">
        <v>78.2</v>
      </c>
      <c r="F1222" s="31" t="n">
        <v>5.8</v>
      </c>
      <c r="G1222" s="31" t="n">
        <v>95.4</v>
      </c>
      <c r="H1222" s="2" t="s">
        <v>822</v>
      </c>
    </row>
    <row r="1223" customFormat="false" ht="15" hidden="false" customHeight="false" outlineLevel="0" collapsed="false">
      <c r="A1223" s="2" t="s">
        <v>264</v>
      </c>
      <c r="B1223" s="2" t="s">
        <v>4291</v>
      </c>
      <c r="C1223" s="2" t="s">
        <v>4275</v>
      </c>
      <c r="D1223" s="2"/>
      <c r="E1223" s="31" t="n">
        <v>66.2</v>
      </c>
      <c r="F1223" s="31" t="n">
        <v>4.1</v>
      </c>
      <c r="G1223" s="31" t="n">
        <v>85.1</v>
      </c>
      <c r="H1223" s="2" t="s">
        <v>822</v>
      </c>
    </row>
    <row r="1224" customFormat="false" ht="15" hidden="false" customHeight="false" outlineLevel="0" collapsed="false">
      <c r="A1224" s="2" t="s">
        <v>264</v>
      </c>
      <c r="B1224" s="2" t="s">
        <v>45</v>
      </c>
      <c r="C1224" s="2" t="s">
        <v>4274</v>
      </c>
      <c r="D1224" s="11" t="n">
        <v>42750</v>
      </c>
      <c r="E1224" s="31" t="n">
        <v>78.2</v>
      </c>
      <c r="F1224" s="31" t="n">
        <v>5.8</v>
      </c>
      <c r="G1224" s="31" t="n">
        <v>95.4</v>
      </c>
      <c r="H1224" s="2" t="s">
        <v>822</v>
      </c>
    </row>
    <row r="1225" customFormat="false" ht="15" hidden="false" customHeight="false" outlineLevel="0" collapsed="false">
      <c r="A1225" s="2" t="s">
        <v>264</v>
      </c>
      <c r="B1225" s="2" t="s">
        <v>45</v>
      </c>
      <c r="C1225" s="2" t="s">
        <v>4275</v>
      </c>
      <c r="D1225" s="11" t="n">
        <v>43090</v>
      </c>
      <c r="E1225" s="31" t="n">
        <v>66.2</v>
      </c>
      <c r="F1225" s="31" t="n">
        <v>4.1</v>
      </c>
      <c r="G1225" s="31" t="n">
        <v>85.1</v>
      </c>
      <c r="H1225" s="2" t="s">
        <v>822</v>
      </c>
    </row>
    <row r="1226" customFormat="false" ht="15" hidden="false" customHeight="false" outlineLevel="0" collapsed="false">
      <c r="A1226" s="2" t="s">
        <v>354</v>
      </c>
      <c r="B1226" s="2" t="s">
        <v>4291</v>
      </c>
      <c r="C1226" s="2" t="s">
        <v>4274</v>
      </c>
      <c r="D1226" s="2"/>
      <c r="E1226" s="31" t="n">
        <v>75.7</v>
      </c>
      <c r="F1226" s="2"/>
      <c r="G1226" s="2"/>
      <c r="H1226" s="2" t="s">
        <v>832</v>
      </c>
    </row>
    <row r="1227" customFormat="false" ht="15" hidden="false" customHeight="false" outlineLevel="0" collapsed="false">
      <c r="A1227" s="2" t="s">
        <v>354</v>
      </c>
      <c r="B1227" s="2" t="s">
        <v>4291</v>
      </c>
      <c r="C1227" s="2" t="s">
        <v>4275</v>
      </c>
      <c r="D1227" s="2"/>
      <c r="E1227" s="31" t="n">
        <v>59.1</v>
      </c>
      <c r="F1227" s="31" t="n">
        <v>20.4</v>
      </c>
      <c r="G1227" s="31" t="n">
        <v>19.9</v>
      </c>
      <c r="H1227" s="2" t="s">
        <v>822</v>
      </c>
    </row>
    <row r="1228" customFormat="false" ht="15" hidden="false" customHeight="false" outlineLevel="0" collapsed="false">
      <c r="A1228" s="2" t="s">
        <v>354</v>
      </c>
      <c r="B1228" s="2" t="s">
        <v>46</v>
      </c>
      <c r="C1228" s="2" t="s">
        <v>4274</v>
      </c>
      <c r="D1228" s="11" t="n">
        <v>16370</v>
      </c>
      <c r="E1228" s="31" t="n">
        <v>75.7</v>
      </c>
      <c r="F1228" s="2"/>
      <c r="G1228" s="2"/>
      <c r="H1228" s="2" t="s">
        <v>832</v>
      </c>
    </row>
    <row r="1229" customFormat="false" ht="15" hidden="false" customHeight="false" outlineLevel="0" collapsed="false">
      <c r="A1229" s="2" t="s">
        <v>354</v>
      </c>
      <c r="B1229" s="2" t="s">
        <v>46</v>
      </c>
      <c r="C1229" s="2" t="s">
        <v>4275</v>
      </c>
      <c r="D1229" s="11" t="n">
        <v>16960</v>
      </c>
      <c r="E1229" s="31" t="n">
        <v>59.1</v>
      </c>
      <c r="F1229" s="31" t="n">
        <v>20.4</v>
      </c>
      <c r="G1229" s="31" t="n">
        <v>19.9</v>
      </c>
      <c r="H1229" s="2" t="s">
        <v>822</v>
      </c>
    </row>
    <row r="1230" customFormat="false" ht="15" hidden="false" customHeight="false" outlineLevel="0" collapsed="false">
      <c r="A1230" s="2" t="s">
        <v>732</v>
      </c>
      <c r="B1230" s="2" t="s">
        <v>4291</v>
      </c>
      <c r="C1230" s="2" t="s">
        <v>4274</v>
      </c>
      <c r="D1230" s="2"/>
      <c r="E1230" s="31" t="n">
        <v>32.5</v>
      </c>
      <c r="F1230" s="31" t="n">
        <v>26</v>
      </c>
      <c r="G1230" s="31" t="n">
        <v>25.3</v>
      </c>
      <c r="H1230" s="2" t="s">
        <v>822</v>
      </c>
    </row>
    <row r="1231" customFormat="false" ht="15" hidden="false" customHeight="false" outlineLevel="0" collapsed="false">
      <c r="A1231" s="2" t="s">
        <v>732</v>
      </c>
      <c r="B1231" s="2" t="s">
        <v>4291</v>
      </c>
      <c r="C1231" s="2" t="s">
        <v>4275</v>
      </c>
      <c r="D1231" s="2"/>
      <c r="E1231" s="31" t="n">
        <v>24.2</v>
      </c>
      <c r="F1231" s="31" t="n">
        <v>38</v>
      </c>
      <c r="G1231" s="31" t="n">
        <v>35</v>
      </c>
      <c r="H1231" s="2" t="s">
        <v>822</v>
      </c>
    </row>
    <row r="1232" customFormat="false" ht="15" hidden="false" customHeight="false" outlineLevel="0" collapsed="false">
      <c r="A1232" s="2" t="s">
        <v>732</v>
      </c>
      <c r="B1232" s="2" t="s">
        <v>46</v>
      </c>
      <c r="C1232" s="2" t="s">
        <v>4274</v>
      </c>
      <c r="D1232" s="11" t="n">
        <v>326810</v>
      </c>
      <c r="E1232" s="31" t="n">
        <v>50.1</v>
      </c>
      <c r="F1232" s="31" t="n">
        <v>16.7</v>
      </c>
      <c r="G1232" s="31" t="n">
        <v>48.4</v>
      </c>
      <c r="H1232" s="2" t="s">
        <v>822</v>
      </c>
    </row>
    <row r="1233" customFormat="false" ht="15" hidden="false" customHeight="false" outlineLevel="0" collapsed="false">
      <c r="A1233" s="2" t="s">
        <v>732</v>
      </c>
      <c r="B1233" s="2" t="s">
        <v>46</v>
      </c>
      <c r="C1233" s="2" t="s">
        <v>4275</v>
      </c>
      <c r="D1233" s="11" t="n">
        <v>334300</v>
      </c>
      <c r="E1233" s="31" t="n">
        <v>35</v>
      </c>
      <c r="F1233" s="31" t="n">
        <v>47.8</v>
      </c>
      <c r="G1233" s="31" t="n">
        <v>65.8</v>
      </c>
      <c r="H1233" s="2" t="s">
        <v>822</v>
      </c>
    </row>
    <row r="1234" customFormat="false" ht="15" hidden="false" customHeight="false" outlineLevel="0" collapsed="false">
      <c r="A1234" s="2" t="s">
        <v>732</v>
      </c>
      <c r="B1234" s="2" t="s">
        <v>47</v>
      </c>
      <c r="C1234" s="2" t="s">
        <v>4274</v>
      </c>
      <c r="D1234" s="11" t="n">
        <v>15735</v>
      </c>
      <c r="E1234" s="31" t="n">
        <v>14.9</v>
      </c>
      <c r="F1234" s="31" t="n">
        <v>35.3</v>
      </c>
      <c r="G1234" s="31" t="n">
        <v>2.3</v>
      </c>
      <c r="H1234" s="2" t="s">
        <v>822</v>
      </c>
    </row>
    <row r="1235" customFormat="false" ht="15" hidden="false" customHeight="false" outlineLevel="0" collapsed="false">
      <c r="A1235" s="2" t="s">
        <v>732</v>
      </c>
      <c r="B1235" s="2" t="s">
        <v>47</v>
      </c>
      <c r="C1235" s="2" t="s">
        <v>4275</v>
      </c>
      <c r="D1235" s="11" t="n">
        <v>16486</v>
      </c>
      <c r="E1235" s="31" t="n">
        <v>13.4</v>
      </c>
      <c r="F1235" s="31" t="n">
        <v>28.2</v>
      </c>
      <c r="G1235" s="31" t="n">
        <v>4.3</v>
      </c>
      <c r="H1235" s="2" t="s">
        <v>822</v>
      </c>
    </row>
    <row r="1236" customFormat="false" ht="15" hidden="false" customHeight="false" outlineLevel="0" collapsed="false">
      <c r="A1236" s="2" t="s">
        <v>2171</v>
      </c>
      <c r="B1236" s="2" t="s">
        <v>4291</v>
      </c>
      <c r="C1236" s="2" t="s">
        <v>4274</v>
      </c>
      <c r="D1236" s="2"/>
      <c r="E1236" s="31" t="n">
        <v>36.1</v>
      </c>
      <c r="F1236" s="31" t="n">
        <v>28.6</v>
      </c>
      <c r="G1236" s="31" t="n">
        <v>58.1</v>
      </c>
      <c r="H1236" s="2" t="s">
        <v>832</v>
      </c>
    </row>
    <row r="1237" customFormat="false" ht="15" hidden="false" customHeight="false" outlineLevel="0" collapsed="false">
      <c r="A1237" s="2" t="s">
        <v>2171</v>
      </c>
      <c r="B1237" s="2" t="s">
        <v>4291</v>
      </c>
      <c r="C1237" s="2" t="s">
        <v>4275</v>
      </c>
      <c r="D1237" s="2"/>
      <c r="E1237" s="31" t="n">
        <v>25.9</v>
      </c>
      <c r="F1237" s="31" t="n">
        <v>73.2</v>
      </c>
      <c r="G1237" s="31" t="n">
        <v>71.4</v>
      </c>
      <c r="H1237" s="2" t="s">
        <v>832</v>
      </c>
    </row>
    <row r="1238" customFormat="false" ht="15" hidden="false" customHeight="false" outlineLevel="0" collapsed="false">
      <c r="A1238" s="2" t="s">
        <v>2171</v>
      </c>
      <c r="B1238" s="2" t="s">
        <v>45</v>
      </c>
      <c r="C1238" s="2" t="s">
        <v>4274</v>
      </c>
      <c r="D1238" s="11" t="n">
        <v>113780</v>
      </c>
      <c r="E1238" s="31" t="n">
        <v>30.9</v>
      </c>
      <c r="F1238" s="31" t="n">
        <v>34.2</v>
      </c>
      <c r="G1238" s="2"/>
      <c r="H1238" s="2" t="s">
        <v>832</v>
      </c>
    </row>
    <row r="1239" customFormat="false" ht="15" hidden="false" customHeight="false" outlineLevel="0" collapsed="false">
      <c r="A1239" s="2" t="s">
        <v>2171</v>
      </c>
      <c r="B1239" s="2" t="s">
        <v>45</v>
      </c>
      <c r="C1239" s="2" t="s">
        <v>4275</v>
      </c>
      <c r="D1239" s="2"/>
      <c r="E1239" s="2"/>
      <c r="F1239" s="2"/>
      <c r="G1239" s="31" t="n">
        <v>97</v>
      </c>
      <c r="H1239" s="2" t="s">
        <v>832</v>
      </c>
    </row>
    <row r="1240" customFormat="false" ht="15" hidden="false" customHeight="false" outlineLevel="0" collapsed="false">
      <c r="A1240" s="2" t="s">
        <v>2171</v>
      </c>
      <c r="B1240" s="2" t="s">
        <v>46</v>
      </c>
      <c r="C1240" s="2" t="s">
        <v>4274</v>
      </c>
      <c r="D1240" s="11" t="n">
        <v>1230</v>
      </c>
      <c r="E1240" s="31" t="n">
        <v>19.2</v>
      </c>
      <c r="F1240" s="2"/>
      <c r="G1240" s="31" t="n">
        <v>18.5</v>
      </c>
      <c r="H1240" s="2" t="s">
        <v>832</v>
      </c>
    </row>
    <row r="1241" customFormat="false" ht="15" hidden="false" customHeight="false" outlineLevel="0" collapsed="false">
      <c r="A1241" s="2" t="s">
        <v>2171</v>
      </c>
      <c r="B1241" s="2" t="s">
        <v>46</v>
      </c>
      <c r="C1241" s="2" t="s">
        <v>4275</v>
      </c>
      <c r="D1241" s="11" t="n">
        <v>1300</v>
      </c>
      <c r="E1241" s="31" t="n">
        <v>5.1</v>
      </c>
      <c r="F1241" s="31" t="n">
        <v>75.5</v>
      </c>
      <c r="G1241" s="31" t="n">
        <v>45.7</v>
      </c>
      <c r="H1241" s="2" t="s">
        <v>822</v>
      </c>
    </row>
    <row r="1242" customFormat="false" ht="15" hidden="false" customHeight="false" outlineLevel="0" collapsed="false">
      <c r="A1242" s="2" t="s">
        <v>2171</v>
      </c>
      <c r="B1242" s="2" t="s">
        <v>47</v>
      </c>
      <c r="C1242" s="2" t="s">
        <v>4274</v>
      </c>
      <c r="D1242" s="11" t="n">
        <v>18558</v>
      </c>
      <c r="E1242" s="31" t="n">
        <v>58.1</v>
      </c>
      <c r="F1242" s="31" t="n">
        <v>22.9</v>
      </c>
      <c r="G1242" s="31" t="n">
        <v>97.7</v>
      </c>
      <c r="H1242" s="2" t="s">
        <v>822</v>
      </c>
    </row>
    <row r="1243" customFormat="false" ht="15" hidden="false" customHeight="false" outlineLevel="0" collapsed="false">
      <c r="A1243" s="2" t="s">
        <v>2171</v>
      </c>
      <c r="B1243" s="2" t="s">
        <v>47</v>
      </c>
      <c r="C1243" s="2" t="s">
        <v>4275</v>
      </c>
      <c r="D1243" s="11" t="n">
        <v>19248</v>
      </c>
      <c r="E1243" s="31" t="n">
        <v>46.7</v>
      </c>
      <c r="F1243" s="31" t="n">
        <v>70.8</v>
      </c>
      <c r="G1243" s="2"/>
      <c r="H1243" s="2" t="s">
        <v>832</v>
      </c>
    </row>
    <row r="1244" customFormat="false" ht="15" hidden="false" customHeight="false" outlineLevel="0" collapsed="false">
      <c r="A1244" s="2" t="s">
        <v>2999</v>
      </c>
      <c r="B1244" s="2" t="s">
        <v>4291</v>
      </c>
      <c r="C1244" s="2" t="s">
        <v>4274</v>
      </c>
      <c r="D1244" s="2"/>
      <c r="E1244" s="31" t="n">
        <v>43.8</v>
      </c>
      <c r="F1244" s="31" t="n">
        <v>28.1</v>
      </c>
      <c r="G1244" s="31" t="n">
        <v>49</v>
      </c>
      <c r="H1244" s="2" t="s">
        <v>822</v>
      </c>
    </row>
    <row r="1245" customFormat="false" ht="15" hidden="false" customHeight="false" outlineLevel="0" collapsed="false">
      <c r="A1245" s="2" t="s">
        <v>2999</v>
      </c>
      <c r="B1245" s="2" t="s">
        <v>4291</v>
      </c>
      <c r="C1245" s="2" t="s">
        <v>4275</v>
      </c>
      <c r="D1245" s="2"/>
      <c r="E1245" s="2"/>
      <c r="F1245" s="31" t="n">
        <v>48.8</v>
      </c>
      <c r="G1245" s="31" t="n">
        <v>59.9</v>
      </c>
      <c r="H1245" s="2" t="s">
        <v>832</v>
      </c>
    </row>
    <row r="1246" customFormat="false" ht="15" hidden="false" customHeight="false" outlineLevel="0" collapsed="false">
      <c r="A1246" s="2" t="s">
        <v>2999</v>
      </c>
      <c r="B1246" s="2" t="s">
        <v>45</v>
      </c>
      <c r="C1246" s="2" t="s">
        <v>4274</v>
      </c>
      <c r="D1246" s="11" t="n">
        <v>61100</v>
      </c>
      <c r="E1246" s="31" t="n">
        <v>43.8</v>
      </c>
      <c r="F1246" s="31" t="n">
        <v>28.1</v>
      </c>
      <c r="G1246" s="31" t="n">
        <v>49</v>
      </c>
      <c r="H1246" s="2" t="s">
        <v>822</v>
      </c>
    </row>
    <row r="1247" customFormat="false" ht="15" hidden="false" customHeight="false" outlineLevel="0" collapsed="false">
      <c r="A1247" s="2" t="s">
        <v>2999</v>
      </c>
      <c r="B1247" s="2" t="s">
        <v>45</v>
      </c>
      <c r="C1247" s="2" t="s">
        <v>4275</v>
      </c>
      <c r="D1247" s="11" t="n">
        <v>62930</v>
      </c>
      <c r="E1247" s="2"/>
      <c r="F1247" s="31" t="n">
        <v>48.8</v>
      </c>
      <c r="G1247" s="31" t="n">
        <v>59.9</v>
      </c>
      <c r="H1247" s="2" t="s">
        <v>832</v>
      </c>
    </row>
    <row r="1248" customFormat="false" ht="15" hidden="false" customHeight="false" outlineLevel="0" collapsed="false">
      <c r="A1248" s="2" t="s">
        <v>734</v>
      </c>
      <c r="B1248" s="2" t="s">
        <v>4291</v>
      </c>
      <c r="C1248" s="2" t="s">
        <v>4274</v>
      </c>
      <c r="D1248" s="2"/>
      <c r="E1248" s="2"/>
      <c r="F1248" s="2"/>
      <c r="G1248" s="2"/>
      <c r="H1248" s="2" t="s">
        <v>832</v>
      </c>
    </row>
    <row r="1249" customFormat="false" ht="15" hidden="false" customHeight="false" outlineLevel="0" collapsed="false">
      <c r="A1249" s="2" t="s">
        <v>734</v>
      </c>
      <c r="B1249" s="2" t="s">
        <v>4291</v>
      </c>
      <c r="C1249" s="2" t="s">
        <v>4275</v>
      </c>
      <c r="D1249" s="2"/>
      <c r="E1249" s="31" t="n">
        <v>23.8</v>
      </c>
      <c r="F1249" s="31" t="n">
        <v>84.4</v>
      </c>
      <c r="G1249" s="31" t="n">
        <v>1.1</v>
      </c>
      <c r="H1249" s="2" t="s">
        <v>822</v>
      </c>
    </row>
    <row r="1250" customFormat="false" ht="15" hidden="false" customHeight="false" outlineLevel="0" collapsed="false">
      <c r="A1250" s="2" t="s">
        <v>734</v>
      </c>
      <c r="B1250" s="2" t="s">
        <v>46</v>
      </c>
      <c r="C1250" s="2" t="s">
        <v>4274</v>
      </c>
      <c r="D1250" s="2"/>
      <c r="E1250" s="2"/>
      <c r="F1250" s="2"/>
      <c r="G1250" s="2"/>
      <c r="H1250" s="2" t="s">
        <v>832</v>
      </c>
    </row>
    <row r="1251" customFormat="false" ht="15" hidden="false" customHeight="false" outlineLevel="0" collapsed="false">
      <c r="A1251" s="2" t="s">
        <v>734</v>
      </c>
      <c r="B1251" s="2" t="s">
        <v>46</v>
      </c>
      <c r="C1251" s="2" t="s">
        <v>4275</v>
      </c>
      <c r="D1251" s="11" t="n">
        <v>52450</v>
      </c>
      <c r="E1251" s="31" t="n">
        <v>23.8</v>
      </c>
      <c r="F1251" s="31" t="n">
        <v>84.4</v>
      </c>
      <c r="G1251" s="31" t="n">
        <v>1.1</v>
      </c>
      <c r="H1251" s="2" t="s">
        <v>822</v>
      </c>
    </row>
    <row r="1252" customFormat="false" ht="15" hidden="false" customHeight="false" outlineLevel="0" collapsed="false">
      <c r="A1252" s="2" t="s">
        <v>1932</v>
      </c>
      <c r="B1252" s="2" t="s">
        <v>4291</v>
      </c>
      <c r="C1252" s="2" t="s">
        <v>4274</v>
      </c>
      <c r="D1252" s="2"/>
      <c r="E1252" s="31" t="n">
        <v>50.2</v>
      </c>
      <c r="F1252" s="31" t="n">
        <v>79.6</v>
      </c>
      <c r="G1252" s="31" t="n">
        <v>45</v>
      </c>
      <c r="H1252" s="2" t="s">
        <v>832</v>
      </c>
    </row>
    <row r="1253" customFormat="false" ht="15" hidden="false" customHeight="false" outlineLevel="0" collapsed="false">
      <c r="A1253" s="2" t="s">
        <v>1932</v>
      </c>
      <c r="B1253" s="2" t="s">
        <v>4291</v>
      </c>
      <c r="C1253" s="2" t="s">
        <v>4275</v>
      </c>
      <c r="D1253" s="2"/>
      <c r="E1253" s="31" t="n">
        <v>38.1</v>
      </c>
      <c r="F1253" s="31" t="n">
        <v>68.8</v>
      </c>
      <c r="G1253" s="31" t="n">
        <v>93.6</v>
      </c>
      <c r="H1253" s="2" t="s">
        <v>832</v>
      </c>
    </row>
    <row r="1254" customFormat="false" ht="15" hidden="false" customHeight="false" outlineLevel="0" collapsed="false">
      <c r="A1254" s="2" t="s">
        <v>1932</v>
      </c>
      <c r="B1254" s="2" t="s">
        <v>45</v>
      </c>
      <c r="C1254" s="2" t="s">
        <v>4274</v>
      </c>
      <c r="D1254" s="11" t="n">
        <v>19450</v>
      </c>
      <c r="E1254" s="31" t="n">
        <v>31.3</v>
      </c>
      <c r="F1254" s="31" t="n">
        <v>94.5</v>
      </c>
      <c r="G1254" s="2"/>
      <c r="H1254" s="2" t="s">
        <v>832</v>
      </c>
    </row>
    <row r="1255" customFormat="false" ht="15" hidden="false" customHeight="false" outlineLevel="0" collapsed="false">
      <c r="A1255" s="2" t="s">
        <v>1932</v>
      </c>
      <c r="B1255" s="2" t="s">
        <v>45</v>
      </c>
      <c r="C1255" s="2" t="s">
        <v>4275</v>
      </c>
      <c r="D1255" s="11" t="n">
        <v>21270</v>
      </c>
      <c r="E1255" s="31" t="n">
        <v>31.6</v>
      </c>
      <c r="F1255" s="31" t="n">
        <v>99.7</v>
      </c>
      <c r="G1255" s="2"/>
      <c r="H1255" s="2" t="s">
        <v>832</v>
      </c>
    </row>
    <row r="1256" customFormat="false" ht="15" hidden="false" customHeight="false" outlineLevel="0" collapsed="false">
      <c r="A1256" s="2" t="s">
        <v>1932</v>
      </c>
      <c r="B1256" s="2" t="s">
        <v>46</v>
      </c>
      <c r="C1256" s="2" t="s">
        <v>4274</v>
      </c>
      <c r="D1256" s="11" t="n">
        <v>30241</v>
      </c>
      <c r="E1256" s="31" t="n">
        <v>69.1</v>
      </c>
      <c r="F1256" s="31" t="n">
        <v>64.8</v>
      </c>
      <c r="G1256" s="31" t="n">
        <v>45</v>
      </c>
      <c r="H1256" s="2" t="s">
        <v>822</v>
      </c>
    </row>
    <row r="1257" customFormat="false" ht="15" hidden="false" customHeight="false" outlineLevel="0" collapsed="false">
      <c r="A1257" s="2" t="s">
        <v>1932</v>
      </c>
      <c r="B1257" s="2" t="s">
        <v>46</v>
      </c>
      <c r="C1257" s="2" t="s">
        <v>4275</v>
      </c>
      <c r="D1257" s="11" t="n">
        <v>31860</v>
      </c>
      <c r="E1257" s="31" t="n">
        <v>44.6</v>
      </c>
      <c r="F1257" s="31" t="n">
        <v>37.8</v>
      </c>
      <c r="G1257" s="31" t="n">
        <v>93.6</v>
      </c>
      <c r="H1257" s="2" t="s">
        <v>822</v>
      </c>
    </row>
    <row r="1258" customFormat="false" ht="15" hidden="false" customHeight="false" outlineLevel="0" collapsed="false">
      <c r="A1258" s="2" t="s">
        <v>180</v>
      </c>
      <c r="B1258" s="2" t="s">
        <v>4291</v>
      </c>
      <c r="C1258" s="2" t="s">
        <v>4274</v>
      </c>
      <c r="D1258" s="2"/>
      <c r="E1258" s="31" t="n">
        <v>77.1</v>
      </c>
      <c r="F1258" s="31" t="n">
        <v>8.2</v>
      </c>
      <c r="G1258" s="31" t="n">
        <v>61.9</v>
      </c>
      <c r="H1258" s="2" t="s">
        <v>832</v>
      </c>
    </row>
    <row r="1259" customFormat="false" ht="15" hidden="false" customHeight="false" outlineLevel="0" collapsed="false">
      <c r="A1259" s="2" t="s">
        <v>180</v>
      </c>
      <c r="B1259" s="2" t="s">
        <v>4291</v>
      </c>
      <c r="C1259" s="2" t="s">
        <v>4275</v>
      </c>
      <c r="D1259" s="2"/>
      <c r="E1259" s="31" t="n">
        <v>77.6</v>
      </c>
      <c r="F1259" s="31" t="n">
        <v>40</v>
      </c>
      <c r="G1259" s="31" t="n">
        <v>35</v>
      </c>
      <c r="H1259" s="2" t="s">
        <v>822</v>
      </c>
    </row>
    <row r="1260" customFormat="false" ht="15" hidden="false" customHeight="false" outlineLevel="0" collapsed="false">
      <c r="A1260" s="2" t="s">
        <v>180</v>
      </c>
      <c r="B1260" s="2" t="s">
        <v>45</v>
      </c>
      <c r="C1260" s="2" t="s">
        <v>4274</v>
      </c>
      <c r="D1260" s="11" t="n">
        <v>4580</v>
      </c>
      <c r="E1260" s="31" t="n">
        <v>65.2</v>
      </c>
      <c r="F1260" s="2"/>
      <c r="G1260" s="31" t="n">
        <v>94.9</v>
      </c>
      <c r="H1260" s="2" t="s">
        <v>832</v>
      </c>
    </row>
    <row r="1261" customFormat="false" ht="15" hidden="false" customHeight="false" outlineLevel="0" collapsed="false">
      <c r="A1261" s="2" t="s">
        <v>180</v>
      </c>
      <c r="B1261" s="2" t="s">
        <v>45</v>
      </c>
      <c r="C1261" s="2" t="s">
        <v>4275</v>
      </c>
      <c r="D1261" s="11" t="n">
        <v>4735</v>
      </c>
      <c r="E1261" s="31" t="n">
        <v>63.7</v>
      </c>
      <c r="F1261" s="31" t="n">
        <v>73.2</v>
      </c>
      <c r="G1261" s="31" t="n">
        <v>54.3</v>
      </c>
      <c r="H1261" s="2" t="s">
        <v>822</v>
      </c>
    </row>
    <row r="1262" customFormat="false" ht="15" hidden="false" customHeight="false" outlineLevel="0" collapsed="false">
      <c r="A1262" s="2" t="s">
        <v>180</v>
      </c>
      <c r="B1262" s="2" t="s">
        <v>47</v>
      </c>
      <c r="C1262" s="2" t="s">
        <v>4274</v>
      </c>
      <c r="D1262" s="11" t="n">
        <v>39177</v>
      </c>
      <c r="E1262" s="31" t="n">
        <v>88.9</v>
      </c>
      <c r="F1262" s="31" t="n">
        <v>8.2</v>
      </c>
      <c r="G1262" s="31" t="n">
        <v>28.9</v>
      </c>
      <c r="H1262" s="2" t="s">
        <v>822</v>
      </c>
    </row>
    <row r="1263" customFormat="false" ht="15" hidden="false" customHeight="false" outlineLevel="0" collapsed="false">
      <c r="A1263" s="2" t="s">
        <v>180</v>
      </c>
      <c r="B1263" s="2" t="s">
        <v>47</v>
      </c>
      <c r="C1263" s="2" t="s">
        <v>4275</v>
      </c>
      <c r="D1263" s="11" t="n">
        <v>38170</v>
      </c>
      <c r="E1263" s="31" t="n">
        <v>91.5</v>
      </c>
      <c r="F1263" s="31" t="n">
        <v>6.8</v>
      </c>
      <c r="G1263" s="31" t="n">
        <v>15.8</v>
      </c>
      <c r="H1263" s="2" t="s">
        <v>822</v>
      </c>
    </row>
    <row r="1264" customFormat="false" ht="15" hidden="false" customHeight="false" outlineLevel="0" collapsed="false">
      <c r="A1264" s="2" t="s">
        <v>706</v>
      </c>
      <c r="B1264" s="2" t="s">
        <v>4291</v>
      </c>
      <c r="C1264" s="2" t="s">
        <v>4274</v>
      </c>
      <c r="D1264" s="2"/>
      <c r="E1264" s="31" t="n">
        <v>39.3</v>
      </c>
      <c r="F1264" s="31" t="n">
        <v>95.4</v>
      </c>
      <c r="G1264" s="31" t="n">
        <v>61.9</v>
      </c>
      <c r="H1264" s="2" t="s">
        <v>822</v>
      </c>
    </row>
    <row r="1265" customFormat="false" ht="15" hidden="false" customHeight="false" outlineLevel="0" collapsed="false">
      <c r="A1265" s="2" t="s">
        <v>706</v>
      </c>
      <c r="B1265" s="2" t="s">
        <v>4291</v>
      </c>
      <c r="C1265" s="2" t="s">
        <v>4275</v>
      </c>
      <c r="D1265" s="2"/>
      <c r="E1265" s="31" t="n">
        <v>27.7</v>
      </c>
      <c r="F1265" s="31" t="n">
        <v>98.1</v>
      </c>
      <c r="G1265" s="31" t="n">
        <v>36.7</v>
      </c>
      <c r="H1265" s="2" t="s">
        <v>822</v>
      </c>
    </row>
    <row r="1266" customFormat="false" ht="15" hidden="false" customHeight="false" outlineLevel="0" collapsed="false">
      <c r="A1266" s="2" t="s">
        <v>706</v>
      </c>
      <c r="B1266" s="2" t="s">
        <v>47</v>
      </c>
      <c r="C1266" s="2" t="s">
        <v>4274</v>
      </c>
      <c r="D1266" s="11" t="n">
        <v>19370</v>
      </c>
      <c r="E1266" s="31" t="n">
        <v>39.3</v>
      </c>
      <c r="F1266" s="31" t="n">
        <v>95.4</v>
      </c>
      <c r="G1266" s="31" t="n">
        <v>61.9</v>
      </c>
      <c r="H1266" s="2" t="s">
        <v>822</v>
      </c>
    </row>
    <row r="1267" customFormat="false" ht="15" hidden="false" customHeight="false" outlineLevel="0" collapsed="false">
      <c r="A1267" s="2" t="s">
        <v>706</v>
      </c>
      <c r="B1267" s="2" t="s">
        <v>47</v>
      </c>
      <c r="C1267" s="2" t="s">
        <v>4275</v>
      </c>
      <c r="D1267" s="11" t="n">
        <v>21550</v>
      </c>
      <c r="E1267" s="31" t="n">
        <v>27.7</v>
      </c>
      <c r="F1267" s="31" t="n">
        <v>98.1</v>
      </c>
      <c r="G1267" s="31" t="n">
        <v>36.7</v>
      </c>
      <c r="H1267" s="2" t="s">
        <v>822</v>
      </c>
    </row>
    <row r="1268" customFormat="false" ht="15" hidden="false" customHeight="false" outlineLevel="0" collapsed="false">
      <c r="A1268" s="2" t="s">
        <v>772</v>
      </c>
      <c r="B1268" s="2" t="s">
        <v>4291</v>
      </c>
      <c r="C1268" s="2" t="s">
        <v>4274</v>
      </c>
      <c r="D1268" s="2"/>
      <c r="E1268" s="31" t="n">
        <v>38.2</v>
      </c>
      <c r="F1268" s="31" t="n">
        <v>2.3</v>
      </c>
      <c r="G1268" s="2"/>
      <c r="H1268" s="2" t="s">
        <v>832</v>
      </c>
    </row>
    <row r="1269" customFormat="false" ht="15" hidden="false" customHeight="false" outlineLevel="0" collapsed="false">
      <c r="A1269" s="2" t="s">
        <v>772</v>
      </c>
      <c r="B1269" s="2" t="s">
        <v>4291</v>
      </c>
      <c r="C1269" s="2" t="s">
        <v>4275</v>
      </c>
      <c r="D1269" s="2"/>
      <c r="E1269" s="31" t="n">
        <v>17.3</v>
      </c>
      <c r="F1269" s="31" t="n">
        <v>6.2</v>
      </c>
      <c r="G1269" s="31" t="n">
        <v>21</v>
      </c>
      <c r="H1269" s="2" t="s">
        <v>822</v>
      </c>
    </row>
    <row r="1270" customFormat="false" ht="15" hidden="false" customHeight="false" outlineLevel="0" collapsed="false">
      <c r="A1270" s="2" t="s">
        <v>772</v>
      </c>
      <c r="B1270" s="2" t="s">
        <v>47</v>
      </c>
      <c r="C1270" s="2" t="s">
        <v>4274</v>
      </c>
      <c r="D1270" s="11" t="n">
        <v>39470</v>
      </c>
      <c r="E1270" s="31" t="n">
        <v>38.2</v>
      </c>
      <c r="F1270" s="31" t="n">
        <v>2.3</v>
      </c>
      <c r="G1270" s="2"/>
      <c r="H1270" s="2" t="s">
        <v>832</v>
      </c>
    </row>
    <row r="1271" customFormat="false" ht="15" hidden="false" customHeight="false" outlineLevel="0" collapsed="false">
      <c r="A1271" s="2" t="s">
        <v>772</v>
      </c>
      <c r="B1271" s="2" t="s">
        <v>47</v>
      </c>
      <c r="C1271" s="2" t="s">
        <v>4275</v>
      </c>
      <c r="D1271" s="11" t="n">
        <v>39618</v>
      </c>
      <c r="E1271" s="31" t="n">
        <v>17.3</v>
      </c>
      <c r="F1271" s="31" t="n">
        <v>6.2</v>
      </c>
      <c r="G1271" s="31" t="n">
        <v>21</v>
      </c>
      <c r="H1271" s="2" t="s">
        <v>822</v>
      </c>
    </row>
    <row r="1272" customFormat="false" ht="15" hidden="false" customHeight="false" outlineLevel="0" collapsed="false">
      <c r="A1272" s="2" t="s">
        <v>958</v>
      </c>
      <c r="B1272" s="2" t="s">
        <v>4291</v>
      </c>
      <c r="C1272" s="2" t="s">
        <v>4274</v>
      </c>
      <c r="D1272" s="2"/>
      <c r="E1272" s="31" t="n">
        <v>58.5</v>
      </c>
      <c r="F1272" s="31" t="n">
        <v>58.5</v>
      </c>
      <c r="G1272" s="31" t="n">
        <v>72.4</v>
      </c>
      <c r="H1272" s="2" t="s">
        <v>822</v>
      </c>
    </row>
    <row r="1273" customFormat="false" ht="15" hidden="false" customHeight="false" outlineLevel="0" collapsed="false">
      <c r="A1273" s="2" t="s">
        <v>958</v>
      </c>
      <c r="B1273" s="2" t="s">
        <v>4291</v>
      </c>
      <c r="C1273" s="2" t="s">
        <v>4275</v>
      </c>
      <c r="D1273" s="2"/>
      <c r="E1273" s="31" t="n">
        <v>52.5</v>
      </c>
      <c r="F1273" s="31" t="n">
        <v>67.3</v>
      </c>
      <c r="G1273" s="31" t="n">
        <v>65.2</v>
      </c>
      <c r="H1273" s="2" t="s">
        <v>832</v>
      </c>
    </row>
    <row r="1274" customFormat="false" ht="15" hidden="false" customHeight="false" outlineLevel="0" collapsed="false">
      <c r="A1274" s="2" t="s">
        <v>958</v>
      </c>
      <c r="B1274" s="2" t="s">
        <v>45</v>
      </c>
      <c r="C1274" s="2" t="s">
        <v>4274</v>
      </c>
      <c r="D1274" s="11" t="n">
        <v>17248</v>
      </c>
      <c r="E1274" s="31" t="n">
        <v>86.4</v>
      </c>
      <c r="F1274" s="31" t="n">
        <v>78.8</v>
      </c>
      <c r="G1274" s="31" t="n">
        <v>87.6</v>
      </c>
      <c r="H1274" s="2" t="s">
        <v>822</v>
      </c>
    </row>
    <row r="1275" customFormat="false" ht="15" hidden="false" customHeight="false" outlineLevel="0" collapsed="false">
      <c r="A1275" s="2" t="s">
        <v>958</v>
      </c>
      <c r="B1275" s="2" t="s">
        <v>45</v>
      </c>
      <c r="C1275" s="2" t="s">
        <v>4275</v>
      </c>
      <c r="D1275" s="11" t="n">
        <v>17900</v>
      </c>
      <c r="E1275" s="31" t="n">
        <v>84.3</v>
      </c>
      <c r="F1275" s="31" t="n">
        <v>74.6</v>
      </c>
      <c r="G1275" s="31" t="n">
        <v>62.7</v>
      </c>
      <c r="H1275" s="2" t="s">
        <v>822</v>
      </c>
    </row>
    <row r="1276" customFormat="false" ht="15" hidden="false" customHeight="false" outlineLevel="0" collapsed="false">
      <c r="A1276" s="2" t="s">
        <v>958</v>
      </c>
      <c r="B1276" s="2" t="s">
        <v>46</v>
      </c>
      <c r="C1276" s="2" t="s">
        <v>4274</v>
      </c>
      <c r="D1276" s="11" t="n">
        <v>61760</v>
      </c>
      <c r="E1276" s="31" t="n">
        <v>53.2</v>
      </c>
      <c r="F1276" s="31" t="n">
        <v>67.8</v>
      </c>
      <c r="G1276" s="31" t="n">
        <v>45.9</v>
      </c>
      <c r="H1276" s="2" t="s">
        <v>822</v>
      </c>
    </row>
    <row r="1277" customFormat="false" ht="15" hidden="false" customHeight="false" outlineLevel="0" collapsed="false">
      <c r="A1277" s="2" t="s">
        <v>958</v>
      </c>
      <c r="B1277" s="2" t="s">
        <v>46</v>
      </c>
      <c r="C1277" s="2" t="s">
        <v>4275</v>
      </c>
      <c r="D1277" s="11" t="n">
        <v>64610</v>
      </c>
      <c r="E1277" s="31" t="n">
        <v>41.5</v>
      </c>
      <c r="F1277" s="31" t="n">
        <v>60</v>
      </c>
      <c r="G1277" s="31" t="n">
        <v>63.8</v>
      </c>
      <c r="H1277" s="2" t="s">
        <v>822</v>
      </c>
    </row>
    <row r="1278" customFormat="false" ht="15" hidden="false" customHeight="false" outlineLevel="0" collapsed="false">
      <c r="A1278" s="2" t="s">
        <v>958</v>
      </c>
      <c r="B1278" s="2" t="s">
        <v>47</v>
      </c>
      <c r="C1278" s="2" t="s">
        <v>4274</v>
      </c>
      <c r="D1278" s="11" t="n">
        <v>5440</v>
      </c>
      <c r="E1278" s="31" t="n">
        <v>35.8</v>
      </c>
      <c r="F1278" s="31" t="n">
        <v>28.9</v>
      </c>
      <c r="G1278" s="31" t="n">
        <v>83.6</v>
      </c>
      <c r="H1278" s="2" t="s">
        <v>822</v>
      </c>
    </row>
    <row r="1279" customFormat="false" ht="15" hidden="false" customHeight="false" outlineLevel="0" collapsed="false">
      <c r="A1279" s="2" t="s">
        <v>958</v>
      </c>
      <c r="B1279" s="2" t="s">
        <v>47</v>
      </c>
      <c r="C1279" s="2" t="s">
        <v>4275</v>
      </c>
      <c r="D1279" s="11" t="n">
        <v>5740</v>
      </c>
      <c r="E1279" s="31" t="n">
        <v>31.7</v>
      </c>
      <c r="F1279" s="2"/>
      <c r="G1279" s="31" t="n">
        <v>69.2</v>
      </c>
      <c r="H1279" s="2" t="s">
        <v>832</v>
      </c>
    </row>
    <row r="1280" customFormat="false" ht="15" hidden="false" customHeight="false" outlineLevel="0" collapsed="false">
      <c r="A1280" s="2" t="s">
        <v>686</v>
      </c>
      <c r="B1280" s="2" t="s">
        <v>4291</v>
      </c>
      <c r="C1280" s="2" t="s">
        <v>4274</v>
      </c>
      <c r="D1280" s="2"/>
      <c r="E1280" s="31" t="n">
        <v>34</v>
      </c>
      <c r="F1280" s="31" t="n">
        <v>40</v>
      </c>
      <c r="G1280" s="31" t="n">
        <v>29.9</v>
      </c>
      <c r="H1280" s="2" t="s">
        <v>832</v>
      </c>
    </row>
    <row r="1281" customFormat="false" ht="15" hidden="false" customHeight="false" outlineLevel="0" collapsed="false">
      <c r="A1281" s="2" t="s">
        <v>686</v>
      </c>
      <c r="B1281" s="2" t="s">
        <v>4291</v>
      </c>
      <c r="C1281" s="2" t="s">
        <v>4275</v>
      </c>
      <c r="D1281" s="2"/>
      <c r="E1281" s="31" t="n">
        <v>29.9</v>
      </c>
      <c r="F1281" s="31" t="n">
        <v>40.1</v>
      </c>
      <c r="G1281" s="31" t="n">
        <v>43.3</v>
      </c>
      <c r="H1281" s="2" t="s">
        <v>822</v>
      </c>
    </row>
    <row r="1282" customFormat="false" ht="15" hidden="false" customHeight="false" outlineLevel="0" collapsed="false">
      <c r="A1282" s="2" t="s">
        <v>686</v>
      </c>
      <c r="B1282" s="2" t="s">
        <v>45</v>
      </c>
      <c r="C1282" s="2" t="s">
        <v>4274</v>
      </c>
      <c r="D1282" s="11" t="n">
        <v>52390</v>
      </c>
      <c r="E1282" s="31" t="n">
        <v>54.6</v>
      </c>
      <c r="F1282" s="2"/>
      <c r="G1282" s="31" t="n">
        <v>11.2</v>
      </c>
      <c r="H1282" s="2" t="s">
        <v>832</v>
      </c>
    </row>
    <row r="1283" customFormat="false" ht="15" hidden="false" customHeight="false" outlineLevel="0" collapsed="false">
      <c r="A1283" s="2" t="s">
        <v>686</v>
      </c>
      <c r="B1283" s="2" t="s">
        <v>45</v>
      </c>
      <c r="C1283" s="2" t="s">
        <v>4275</v>
      </c>
      <c r="D1283" s="11" t="n">
        <v>55650</v>
      </c>
      <c r="E1283" s="31" t="n">
        <v>56.9</v>
      </c>
      <c r="F1283" s="31" t="n">
        <v>61.5</v>
      </c>
      <c r="G1283" s="31" t="n">
        <v>12.1</v>
      </c>
      <c r="H1283" s="2" t="s">
        <v>822</v>
      </c>
    </row>
    <row r="1284" customFormat="false" ht="15" hidden="false" customHeight="false" outlineLevel="0" collapsed="false">
      <c r="A1284" s="2" t="s">
        <v>686</v>
      </c>
      <c r="B1284" s="2" t="s">
        <v>46</v>
      </c>
      <c r="C1284" s="2" t="s">
        <v>4274</v>
      </c>
      <c r="D1284" s="11" t="n">
        <v>27230</v>
      </c>
      <c r="E1284" s="2"/>
      <c r="F1284" s="31" t="n">
        <v>41.6</v>
      </c>
      <c r="G1284" s="31" t="n">
        <v>59.6</v>
      </c>
      <c r="H1284" s="2" t="s">
        <v>832</v>
      </c>
    </row>
    <row r="1285" customFormat="false" ht="15" hidden="false" customHeight="false" outlineLevel="0" collapsed="false">
      <c r="A1285" s="2" t="s">
        <v>686</v>
      </c>
      <c r="B1285" s="2" t="s">
        <v>46</v>
      </c>
      <c r="C1285" s="2" t="s">
        <v>4275</v>
      </c>
      <c r="D1285" s="11" t="n">
        <v>29180</v>
      </c>
      <c r="E1285" s="31" t="n">
        <v>20.8</v>
      </c>
      <c r="F1285" s="31" t="n">
        <v>37.5</v>
      </c>
      <c r="G1285" s="31" t="n">
        <v>83.4</v>
      </c>
      <c r="H1285" s="2" t="s">
        <v>822</v>
      </c>
    </row>
    <row r="1286" customFormat="false" ht="15" hidden="false" customHeight="false" outlineLevel="0" collapsed="false">
      <c r="A1286" s="2" t="s">
        <v>686</v>
      </c>
      <c r="B1286" s="2" t="s">
        <v>47</v>
      </c>
      <c r="C1286" s="2" t="s">
        <v>4274</v>
      </c>
      <c r="D1286" s="11" t="n">
        <v>4069259</v>
      </c>
      <c r="E1286" s="31" t="n">
        <v>13.5</v>
      </c>
      <c r="F1286" s="31" t="n">
        <v>38.5</v>
      </c>
      <c r="G1286" s="31" t="n">
        <v>18.9</v>
      </c>
      <c r="H1286" s="2" t="s">
        <v>822</v>
      </c>
    </row>
    <row r="1287" customFormat="false" ht="15" hidden="false" customHeight="false" outlineLevel="0" collapsed="false">
      <c r="A1287" s="2" t="s">
        <v>686</v>
      </c>
      <c r="B1287" s="2" t="s">
        <v>47</v>
      </c>
      <c r="C1287" s="2" t="s">
        <v>4275</v>
      </c>
      <c r="D1287" s="11" t="n">
        <v>3961233</v>
      </c>
      <c r="E1287" s="31" t="n">
        <v>12</v>
      </c>
      <c r="F1287" s="31" t="n">
        <v>21.4</v>
      </c>
      <c r="G1287" s="31" t="n">
        <v>34.4</v>
      </c>
      <c r="H1287" s="2" t="s">
        <v>822</v>
      </c>
    </row>
    <row r="1288" customFormat="false" ht="15" hidden="false" customHeight="false" outlineLevel="0" collapsed="false">
      <c r="A1288" s="2" t="s">
        <v>764</v>
      </c>
      <c r="B1288" s="2" t="s">
        <v>4291</v>
      </c>
      <c r="C1288" s="2" t="s">
        <v>4274</v>
      </c>
      <c r="D1288" s="2"/>
      <c r="E1288" s="31" t="n">
        <v>22.5</v>
      </c>
      <c r="F1288" s="31" t="n">
        <v>38.5</v>
      </c>
      <c r="G1288" s="31" t="n">
        <v>62.7</v>
      </c>
      <c r="H1288" s="2" t="s">
        <v>822</v>
      </c>
    </row>
    <row r="1289" customFormat="false" ht="15" hidden="false" customHeight="false" outlineLevel="0" collapsed="false">
      <c r="A1289" s="2" t="s">
        <v>764</v>
      </c>
      <c r="B1289" s="2" t="s">
        <v>4291</v>
      </c>
      <c r="C1289" s="2" t="s">
        <v>4275</v>
      </c>
      <c r="D1289" s="2"/>
      <c r="E1289" s="31" t="n">
        <v>19.1</v>
      </c>
      <c r="F1289" s="31" t="n">
        <v>28.1</v>
      </c>
      <c r="G1289" s="31" t="n">
        <v>47.5</v>
      </c>
      <c r="H1289" s="2" t="s">
        <v>822</v>
      </c>
    </row>
    <row r="1290" customFormat="false" ht="15" hidden="false" customHeight="false" outlineLevel="0" collapsed="false">
      <c r="A1290" s="2" t="s">
        <v>764</v>
      </c>
      <c r="B1290" s="2" t="s">
        <v>45</v>
      </c>
      <c r="C1290" s="2" t="s">
        <v>4274</v>
      </c>
      <c r="D1290" s="11" t="n">
        <v>113101</v>
      </c>
      <c r="E1290" s="31" t="n">
        <v>24.8</v>
      </c>
      <c r="F1290" s="31" t="n">
        <v>43.8</v>
      </c>
      <c r="G1290" s="31" t="n">
        <v>60.7</v>
      </c>
      <c r="H1290" s="2" t="s">
        <v>822</v>
      </c>
    </row>
    <row r="1291" customFormat="false" ht="15" hidden="false" customHeight="false" outlineLevel="0" collapsed="false">
      <c r="A1291" s="2" t="s">
        <v>764</v>
      </c>
      <c r="B1291" s="2" t="s">
        <v>45</v>
      </c>
      <c r="C1291" s="2" t="s">
        <v>4275</v>
      </c>
      <c r="D1291" s="11" t="n">
        <v>115300</v>
      </c>
      <c r="E1291" s="31" t="n">
        <v>18</v>
      </c>
      <c r="F1291" s="31" t="n">
        <v>39.3</v>
      </c>
      <c r="G1291" s="31" t="n">
        <v>27.5</v>
      </c>
      <c r="H1291" s="2" t="s">
        <v>822</v>
      </c>
    </row>
    <row r="1292" customFormat="false" ht="15" hidden="false" customHeight="false" outlineLevel="0" collapsed="false">
      <c r="A1292" s="2" t="s">
        <v>764</v>
      </c>
      <c r="B1292" s="2" t="s">
        <v>46</v>
      </c>
      <c r="C1292" s="2" t="s">
        <v>4274</v>
      </c>
      <c r="D1292" s="11" t="n">
        <v>70930</v>
      </c>
      <c r="E1292" s="31" t="n">
        <v>32.1</v>
      </c>
      <c r="F1292" s="31" t="n">
        <v>25.1</v>
      </c>
      <c r="G1292" s="31" t="n">
        <v>83.1</v>
      </c>
      <c r="H1292" s="2" t="s">
        <v>822</v>
      </c>
    </row>
    <row r="1293" customFormat="false" ht="15" hidden="false" customHeight="false" outlineLevel="0" collapsed="false">
      <c r="A1293" s="2" t="s">
        <v>764</v>
      </c>
      <c r="B1293" s="2" t="s">
        <v>46</v>
      </c>
      <c r="C1293" s="2" t="s">
        <v>4275</v>
      </c>
      <c r="D1293" s="11" t="n">
        <v>71490</v>
      </c>
      <c r="E1293" s="31" t="n">
        <v>32.6</v>
      </c>
      <c r="F1293" s="31" t="n">
        <v>25.8</v>
      </c>
      <c r="G1293" s="31" t="n">
        <v>94.3</v>
      </c>
      <c r="H1293" s="2" t="s">
        <v>822</v>
      </c>
    </row>
    <row r="1294" customFormat="false" ht="15" hidden="false" customHeight="false" outlineLevel="0" collapsed="false">
      <c r="A1294" s="2" t="s">
        <v>764</v>
      </c>
      <c r="B1294" s="2" t="s">
        <v>47</v>
      </c>
      <c r="C1294" s="2" t="s">
        <v>4274</v>
      </c>
      <c r="D1294" s="11" t="n">
        <v>90323</v>
      </c>
      <c r="E1294" s="31" t="n">
        <v>10.6</v>
      </c>
      <c r="F1294" s="31" t="n">
        <v>46.7</v>
      </c>
      <c r="G1294" s="31" t="n">
        <v>44.4</v>
      </c>
      <c r="H1294" s="2" t="s">
        <v>822</v>
      </c>
    </row>
    <row r="1295" customFormat="false" ht="15" hidden="false" customHeight="false" outlineLevel="0" collapsed="false">
      <c r="A1295" s="2" t="s">
        <v>764</v>
      </c>
      <c r="B1295" s="2" t="s">
        <v>47</v>
      </c>
      <c r="C1295" s="2" t="s">
        <v>4275</v>
      </c>
      <c r="D1295" s="11" t="n">
        <v>90864</v>
      </c>
      <c r="E1295" s="31" t="n">
        <v>6.7</v>
      </c>
      <c r="F1295" s="31" t="n">
        <v>19.2</v>
      </c>
      <c r="G1295" s="31" t="n">
        <v>20.6</v>
      </c>
      <c r="H1295" s="2" t="s">
        <v>822</v>
      </c>
    </row>
    <row r="1296" customFormat="false" ht="15" hidden="false" customHeight="false" outlineLevel="0" collapsed="false">
      <c r="A1296" s="2" t="s">
        <v>1093</v>
      </c>
      <c r="B1296" s="2" t="s">
        <v>4291</v>
      </c>
      <c r="C1296" s="2" t="s">
        <v>4274</v>
      </c>
      <c r="D1296" s="2"/>
      <c r="E1296" s="31" t="n">
        <v>54.4</v>
      </c>
      <c r="F1296" s="31" t="n">
        <v>8.8</v>
      </c>
      <c r="G1296" s="31" t="n">
        <v>39.2</v>
      </c>
      <c r="H1296" s="2" t="s">
        <v>832</v>
      </c>
    </row>
    <row r="1297" customFormat="false" ht="15" hidden="false" customHeight="false" outlineLevel="0" collapsed="false">
      <c r="A1297" s="2" t="s">
        <v>1093</v>
      </c>
      <c r="B1297" s="2" t="s">
        <v>4291</v>
      </c>
      <c r="C1297" s="2" t="s">
        <v>4275</v>
      </c>
      <c r="D1297" s="2"/>
      <c r="E1297" s="31" t="n">
        <v>66.7</v>
      </c>
      <c r="F1297" s="31" t="n">
        <v>8.7</v>
      </c>
      <c r="G1297" s="31" t="n">
        <v>47.2</v>
      </c>
      <c r="H1297" s="2" t="s">
        <v>832</v>
      </c>
    </row>
    <row r="1298" customFormat="false" ht="15" hidden="false" customHeight="false" outlineLevel="0" collapsed="false">
      <c r="A1298" s="2" t="s">
        <v>1093</v>
      </c>
      <c r="B1298" s="2" t="s">
        <v>45</v>
      </c>
      <c r="C1298" s="2" t="s">
        <v>4274</v>
      </c>
      <c r="D1298" s="11" t="n">
        <v>32010</v>
      </c>
      <c r="E1298" s="31" t="n">
        <v>76</v>
      </c>
      <c r="F1298" s="31" t="n">
        <v>1.8</v>
      </c>
      <c r="G1298" s="31" t="n">
        <v>18.3</v>
      </c>
      <c r="H1298" s="2" t="s">
        <v>822</v>
      </c>
    </row>
    <row r="1299" customFormat="false" ht="15" hidden="false" customHeight="false" outlineLevel="0" collapsed="false">
      <c r="A1299" s="2" t="s">
        <v>1093</v>
      </c>
      <c r="B1299" s="2" t="s">
        <v>45</v>
      </c>
      <c r="C1299" s="2" t="s">
        <v>4275</v>
      </c>
      <c r="D1299" s="11" t="n">
        <v>31320</v>
      </c>
      <c r="E1299" s="31" t="n">
        <v>68.2</v>
      </c>
      <c r="F1299" s="31" t="n">
        <v>1.7</v>
      </c>
      <c r="G1299" s="31" t="n">
        <v>23.3</v>
      </c>
      <c r="H1299" s="2" t="s">
        <v>822</v>
      </c>
    </row>
    <row r="1300" customFormat="false" ht="15" hidden="false" customHeight="false" outlineLevel="0" collapsed="false">
      <c r="A1300" s="2" t="s">
        <v>1093</v>
      </c>
      <c r="B1300" s="2" t="s">
        <v>46</v>
      </c>
      <c r="C1300" s="2" t="s">
        <v>4274</v>
      </c>
      <c r="D1300" s="2"/>
      <c r="E1300" s="2"/>
      <c r="F1300" s="2"/>
      <c r="G1300" s="2"/>
      <c r="H1300" s="2" t="s">
        <v>832</v>
      </c>
    </row>
    <row r="1301" customFormat="false" ht="15" hidden="false" customHeight="false" outlineLevel="0" collapsed="false">
      <c r="A1301" s="2" t="s">
        <v>1093</v>
      </c>
      <c r="B1301" s="2" t="s">
        <v>46</v>
      </c>
      <c r="C1301" s="2" t="s">
        <v>4275</v>
      </c>
      <c r="D1301" s="11" t="n">
        <v>381870</v>
      </c>
      <c r="E1301" s="31" t="n">
        <v>86.2</v>
      </c>
      <c r="F1301" s="31" t="n">
        <v>7</v>
      </c>
      <c r="G1301" s="2"/>
      <c r="H1301" s="2" t="s">
        <v>832</v>
      </c>
    </row>
    <row r="1302" customFormat="false" ht="15" hidden="false" customHeight="false" outlineLevel="0" collapsed="false">
      <c r="A1302" s="2" t="s">
        <v>1093</v>
      </c>
      <c r="B1302" s="2" t="s">
        <v>47</v>
      </c>
      <c r="C1302" s="2" t="s">
        <v>4274</v>
      </c>
      <c r="D1302" s="11" t="n">
        <v>44697</v>
      </c>
      <c r="E1302" s="31" t="n">
        <v>32.9</v>
      </c>
      <c r="F1302" s="31" t="n">
        <v>15.7</v>
      </c>
      <c r="G1302" s="31" t="n">
        <v>60</v>
      </c>
      <c r="H1302" s="2" t="s">
        <v>822</v>
      </c>
    </row>
    <row r="1303" customFormat="false" ht="15" hidden="false" customHeight="false" outlineLevel="0" collapsed="false">
      <c r="A1303" s="2" t="s">
        <v>1093</v>
      </c>
      <c r="B1303" s="2" t="s">
        <v>47</v>
      </c>
      <c r="C1303" s="2" t="s">
        <v>4275</v>
      </c>
      <c r="D1303" s="11" t="n">
        <v>45522</v>
      </c>
      <c r="E1303" s="31" t="n">
        <v>45.7</v>
      </c>
      <c r="F1303" s="31" t="n">
        <v>17.5</v>
      </c>
      <c r="G1303" s="31" t="n">
        <v>71</v>
      </c>
      <c r="H1303" s="2" t="s">
        <v>822</v>
      </c>
    </row>
    <row r="1304" customFormat="false" ht="15" hidden="false" customHeight="false" outlineLevel="0" collapsed="false">
      <c r="A1304" s="2" t="s">
        <v>598</v>
      </c>
      <c r="B1304" s="2" t="s">
        <v>4291</v>
      </c>
      <c r="C1304" s="2" t="s">
        <v>4274</v>
      </c>
      <c r="D1304" s="2"/>
      <c r="E1304" s="31" t="n">
        <v>34.6</v>
      </c>
      <c r="F1304" s="31" t="n">
        <v>80.8</v>
      </c>
      <c r="G1304" s="31" t="n">
        <v>48.2</v>
      </c>
      <c r="H1304" s="2" t="s">
        <v>832</v>
      </c>
    </row>
    <row r="1305" customFormat="false" ht="15" hidden="false" customHeight="false" outlineLevel="0" collapsed="false">
      <c r="A1305" s="2" t="s">
        <v>598</v>
      </c>
      <c r="B1305" s="2" t="s">
        <v>4291</v>
      </c>
      <c r="C1305" s="2" t="s">
        <v>4275</v>
      </c>
      <c r="D1305" s="2"/>
      <c r="E1305" s="31" t="n">
        <v>39.1</v>
      </c>
      <c r="F1305" s="31" t="n">
        <v>78.7</v>
      </c>
      <c r="G1305" s="31" t="n">
        <v>36.8</v>
      </c>
      <c r="H1305" s="2" t="s">
        <v>822</v>
      </c>
    </row>
    <row r="1306" customFormat="false" ht="15" hidden="false" customHeight="false" outlineLevel="0" collapsed="false">
      <c r="A1306" s="2" t="s">
        <v>598</v>
      </c>
      <c r="B1306" s="2" t="s">
        <v>45</v>
      </c>
      <c r="C1306" s="2" t="s">
        <v>4274</v>
      </c>
      <c r="D1306" s="11" t="n">
        <v>149040</v>
      </c>
      <c r="E1306" s="31" t="n">
        <v>34.6</v>
      </c>
      <c r="F1306" s="31" t="n">
        <v>80.8</v>
      </c>
      <c r="G1306" s="31" t="n">
        <v>82.2</v>
      </c>
      <c r="H1306" s="2" t="s">
        <v>822</v>
      </c>
    </row>
    <row r="1307" customFormat="false" ht="15" hidden="false" customHeight="false" outlineLevel="0" collapsed="false">
      <c r="A1307" s="2" t="s">
        <v>598</v>
      </c>
      <c r="B1307" s="2" t="s">
        <v>45</v>
      </c>
      <c r="C1307" s="2" t="s">
        <v>4275</v>
      </c>
      <c r="D1307" s="11" t="n">
        <v>158193</v>
      </c>
      <c r="E1307" s="31" t="n">
        <v>18.5</v>
      </c>
      <c r="F1307" s="31" t="n">
        <v>73.6</v>
      </c>
      <c r="G1307" s="31" t="n">
        <v>53.6</v>
      </c>
      <c r="H1307" s="2" t="s">
        <v>822</v>
      </c>
    </row>
    <row r="1308" customFormat="false" ht="15" hidden="false" customHeight="false" outlineLevel="0" collapsed="false">
      <c r="A1308" s="2" t="s">
        <v>598</v>
      </c>
      <c r="B1308" s="2" t="s">
        <v>46</v>
      </c>
      <c r="C1308" s="2" t="s">
        <v>4274</v>
      </c>
      <c r="D1308" s="2"/>
      <c r="E1308" s="2"/>
      <c r="F1308" s="2"/>
      <c r="G1308" s="2"/>
      <c r="H1308" s="2" t="s">
        <v>832</v>
      </c>
    </row>
    <row r="1309" customFormat="false" ht="15" hidden="false" customHeight="false" outlineLevel="0" collapsed="false">
      <c r="A1309" s="2" t="s">
        <v>598</v>
      </c>
      <c r="B1309" s="2" t="s">
        <v>46</v>
      </c>
      <c r="C1309" s="2" t="s">
        <v>4275</v>
      </c>
      <c r="D1309" s="11" t="n">
        <v>124860</v>
      </c>
      <c r="E1309" s="31" t="n">
        <v>30.1</v>
      </c>
      <c r="F1309" s="31" t="n">
        <v>69.4</v>
      </c>
      <c r="G1309" s="31" t="n">
        <v>42.4</v>
      </c>
      <c r="H1309" s="2" t="s">
        <v>822</v>
      </c>
    </row>
    <row r="1310" customFormat="false" ht="15" hidden="false" customHeight="false" outlineLevel="0" collapsed="false">
      <c r="A1310" s="2" t="s">
        <v>598</v>
      </c>
      <c r="B1310" s="2" t="s">
        <v>47</v>
      </c>
      <c r="C1310" s="2" t="s">
        <v>4274</v>
      </c>
      <c r="D1310" s="2"/>
      <c r="E1310" s="2"/>
      <c r="F1310" s="2"/>
      <c r="G1310" s="31" t="n">
        <v>14.3</v>
      </c>
      <c r="H1310" s="2" t="s">
        <v>832</v>
      </c>
    </row>
    <row r="1311" customFormat="false" ht="15" hidden="false" customHeight="false" outlineLevel="0" collapsed="false">
      <c r="A1311" s="2" t="s">
        <v>598</v>
      </c>
      <c r="B1311" s="2" t="s">
        <v>47</v>
      </c>
      <c r="C1311" s="2" t="s">
        <v>4275</v>
      </c>
      <c r="D1311" s="11" t="n">
        <v>186863</v>
      </c>
      <c r="E1311" s="31" t="n">
        <v>68.8</v>
      </c>
      <c r="F1311" s="31" t="n">
        <v>93.2</v>
      </c>
      <c r="G1311" s="31" t="n">
        <v>14.3</v>
      </c>
      <c r="H1311" s="2" t="s">
        <v>822</v>
      </c>
    </row>
    <row r="1312" customFormat="false" ht="15" hidden="false" customHeight="false" outlineLevel="0" collapsed="false">
      <c r="A1312" s="2" t="s">
        <v>97</v>
      </c>
      <c r="B1312" s="2" t="s">
        <v>4291</v>
      </c>
      <c r="C1312" s="2" t="s">
        <v>4274</v>
      </c>
      <c r="D1312" s="2"/>
      <c r="E1312" s="31" t="n">
        <v>83.2</v>
      </c>
      <c r="F1312" s="31" t="n">
        <v>83.3</v>
      </c>
      <c r="G1312" s="31" t="n">
        <v>54.6</v>
      </c>
      <c r="H1312" s="2" t="s">
        <v>832</v>
      </c>
    </row>
    <row r="1313" customFormat="false" ht="15" hidden="false" customHeight="false" outlineLevel="0" collapsed="false">
      <c r="A1313" s="2" t="s">
        <v>97</v>
      </c>
      <c r="B1313" s="2" t="s">
        <v>4291</v>
      </c>
      <c r="C1313" s="2" t="s">
        <v>4275</v>
      </c>
      <c r="D1313" s="2"/>
      <c r="E1313" s="31" t="n">
        <v>94.7</v>
      </c>
      <c r="F1313" s="31" t="n">
        <v>73.8</v>
      </c>
      <c r="G1313" s="31" t="n">
        <v>34.9</v>
      </c>
      <c r="H1313" s="2" t="s">
        <v>822</v>
      </c>
    </row>
    <row r="1314" customFormat="false" ht="15" hidden="false" customHeight="false" outlineLevel="0" collapsed="false">
      <c r="A1314" s="2" t="s">
        <v>97</v>
      </c>
      <c r="B1314" s="2" t="s">
        <v>45</v>
      </c>
      <c r="C1314" s="2" t="s">
        <v>4274</v>
      </c>
      <c r="D1314" s="2"/>
      <c r="E1314" s="2"/>
      <c r="F1314" s="2"/>
      <c r="G1314" s="2"/>
      <c r="H1314" s="2" t="s">
        <v>832</v>
      </c>
    </row>
    <row r="1315" customFormat="false" ht="15" hidden="false" customHeight="false" outlineLevel="0" collapsed="false">
      <c r="A1315" s="2" t="s">
        <v>97</v>
      </c>
      <c r="B1315" s="2" t="s">
        <v>45</v>
      </c>
      <c r="C1315" s="2" t="s">
        <v>4275</v>
      </c>
      <c r="D1315" s="11" t="n">
        <v>20574</v>
      </c>
      <c r="E1315" s="31" t="n">
        <v>98.5</v>
      </c>
      <c r="F1315" s="31" t="n">
        <v>70.1</v>
      </c>
      <c r="G1315" s="31" t="n">
        <v>24.9</v>
      </c>
      <c r="H1315" s="2" t="s">
        <v>822</v>
      </c>
    </row>
    <row r="1316" customFormat="false" ht="15" hidden="false" customHeight="false" outlineLevel="0" collapsed="false">
      <c r="A1316" s="2" t="s">
        <v>97</v>
      </c>
      <c r="B1316" s="2" t="s">
        <v>46</v>
      </c>
      <c r="C1316" s="2" t="s">
        <v>4274</v>
      </c>
      <c r="D1316" s="11" t="n">
        <v>105603</v>
      </c>
      <c r="E1316" s="31" t="n">
        <v>69.3</v>
      </c>
      <c r="F1316" s="31" t="n">
        <v>83.3</v>
      </c>
      <c r="G1316" s="31" t="n">
        <v>84.9</v>
      </c>
      <c r="H1316" s="2" t="s">
        <v>822</v>
      </c>
    </row>
    <row r="1317" customFormat="false" ht="15" hidden="false" customHeight="false" outlineLevel="0" collapsed="false">
      <c r="A1317" s="2" t="s">
        <v>97</v>
      </c>
      <c r="B1317" s="2" t="s">
        <v>46</v>
      </c>
      <c r="C1317" s="2" t="s">
        <v>4275</v>
      </c>
      <c r="D1317" s="11" t="n">
        <v>112300</v>
      </c>
      <c r="E1317" s="31" t="n">
        <v>89.2</v>
      </c>
      <c r="F1317" s="31" t="n">
        <v>88.5</v>
      </c>
      <c r="G1317" s="31" t="n">
        <v>35.8</v>
      </c>
      <c r="H1317" s="2" t="s">
        <v>822</v>
      </c>
    </row>
    <row r="1318" customFormat="false" ht="15" hidden="false" customHeight="false" outlineLevel="0" collapsed="false">
      <c r="A1318" s="2" t="s">
        <v>97</v>
      </c>
      <c r="B1318" s="2" t="s">
        <v>47</v>
      </c>
      <c r="C1318" s="2" t="s">
        <v>4274</v>
      </c>
      <c r="D1318" s="11" t="n">
        <v>282238</v>
      </c>
      <c r="E1318" s="31" t="n">
        <v>97.1</v>
      </c>
      <c r="F1318" s="2"/>
      <c r="G1318" s="31" t="n">
        <v>24.2</v>
      </c>
      <c r="H1318" s="2" t="s">
        <v>832</v>
      </c>
    </row>
    <row r="1319" customFormat="false" ht="15" hidden="false" customHeight="false" outlineLevel="0" collapsed="false">
      <c r="A1319" s="2" t="s">
        <v>97</v>
      </c>
      <c r="B1319" s="2" t="s">
        <v>47</v>
      </c>
      <c r="C1319" s="2" t="s">
        <v>4275</v>
      </c>
      <c r="D1319" s="11" t="n">
        <v>285682</v>
      </c>
      <c r="E1319" s="31" t="n">
        <v>96.3</v>
      </c>
      <c r="F1319" s="31" t="n">
        <v>62.7</v>
      </c>
      <c r="G1319" s="31" t="n">
        <v>44.1</v>
      </c>
      <c r="H1319" s="2" t="s">
        <v>822</v>
      </c>
    </row>
    <row r="1320" customFormat="false" ht="15" hidden="false" customHeight="false" outlineLevel="0" collapsed="false">
      <c r="A1320" s="2" t="s">
        <v>502</v>
      </c>
      <c r="B1320" s="2" t="s">
        <v>4291</v>
      </c>
      <c r="C1320" s="2" t="s">
        <v>4274</v>
      </c>
      <c r="D1320" s="2"/>
      <c r="E1320" s="2"/>
      <c r="F1320" s="2"/>
      <c r="G1320" s="2"/>
      <c r="H1320" s="2" t="s">
        <v>832</v>
      </c>
    </row>
    <row r="1321" customFormat="false" ht="15" hidden="false" customHeight="false" outlineLevel="0" collapsed="false">
      <c r="A1321" s="2" t="s">
        <v>502</v>
      </c>
      <c r="B1321" s="2" t="s">
        <v>4291</v>
      </c>
      <c r="C1321" s="2" t="s">
        <v>4275</v>
      </c>
      <c r="D1321" s="2"/>
      <c r="E1321" s="31" t="n">
        <v>48.6</v>
      </c>
      <c r="F1321" s="31" t="n">
        <v>66.2</v>
      </c>
      <c r="G1321" s="31" t="n">
        <v>40.7</v>
      </c>
      <c r="H1321" s="2" t="s">
        <v>822</v>
      </c>
    </row>
    <row r="1322" customFormat="false" ht="15" hidden="false" customHeight="false" outlineLevel="0" collapsed="false">
      <c r="A1322" s="2" t="s">
        <v>502</v>
      </c>
      <c r="B1322" s="2" t="s">
        <v>45</v>
      </c>
      <c r="C1322" s="2" t="s">
        <v>4274</v>
      </c>
      <c r="D1322" s="2"/>
      <c r="E1322" s="2"/>
      <c r="F1322" s="2"/>
      <c r="G1322" s="2"/>
      <c r="H1322" s="2" t="s">
        <v>832</v>
      </c>
    </row>
    <row r="1323" customFormat="false" ht="15" hidden="false" customHeight="false" outlineLevel="0" collapsed="false">
      <c r="A1323" s="2" t="s">
        <v>502</v>
      </c>
      <c r="B1323" s="2" t="s">
        <v>45</v>
      </c>
      <c r="C1323" s="2" t="s">
        <v>4275</v>
      </c>
      <c r="D1323" s="11" t="n">
        <v>16410</v>
      </c>
      <c r="E1323" s="31" t="n">
        <v>54.4</v>
      </c>
      <c r="F1323" s="31" t="n">
        <v>67.4</v>
      </c>
      <c r="G1323" s="31" t="n">
        <v>78.8</v>
      </c>
      <c r="H1323" s="2" t="s">
        <v>822</v>
      </c>
    </row>
    <row r="1324" customFormat="false" ht="15" hidden="false" customHeight="false" outlineLevel="0" collapsed="false">
      <c r="A1324" s="2" t="s">
        <v>502</v>
      </c>
      <c r="B1324" s="2" t="s">
        <v>46</v>
      </c>
      <c r="C1324" s="2" t="s">
        <v>4274</v>
      </c>
      <c r="D1324" s="2"/>
      <c r="E1324" s="2"/>
      <c r="F1324" s="2"/>
      <c r="G1324" s="2"/>
      <c r="H1324" s="2" t="s">
        <v>832</v>
      </c>
    </row>
    <row r="1325" customFormat="false" ht="15" hidden="false" customHeight="false" outlineLevel="0" collapsed="false">
      <c r="A1325" s="2" t="s">
        <v>502</v>
      </c>
      <c r="B1325" s="2" t="s">
        <v>46</v>
      </c>
      <c r="C1325" s="2" t="s">
        <v>4275</v>
      </c>
      <c r="D1325" s="11" t="n">
        <v>173470</v>
      </c>
      <c r="E1325" s="31" t="n">
        <v>42.8</v>
      </c>
      <c r="F1325" s="31" t="n">
        <v>65</v>
      </c>
      <c r="G1325" s="31" t="n">
        <v>2.6</v>
      </c>
      <c r="H1325" s="2" t="s">
        <v>822</v>
      </c>
    </row>
    <row r="1326" customFormat="false" ht="15" hidden="false" customHeight="false" outlineLevel="0" collapsed="false">
      <c r="A1326" s="2" t="s">
        <v>3004</v>
      </c>
      <c r="B1326" s="2" t="s">
        <v>4291</v>
      </c>
      <c r="C1326" s="2" t="s">
        <v>4274</v>
      </c>
      <c r="D1326" s="2"/>
      <c r="E1326" s="2"/>
      <c r="F1326" s="2"/>
      <c r="G1326" s="2"/>
      <c r="H1326" s="2" t="s">
        <v>832</v>
      </c>
    </row>
    <row r="1327" customFormat="false" ht="15" hidden="false" customHeight="false" outlineLevel="0" collapsed="false">
      <c r="A1327" s="2" t="s">
        <v>3004</v>
      </c>
      <c r="B1327" s="2" t="s">
        <v>4291</v>
      </c>
      <c r="C1327" s="2" t="s">
        <v>4275</v>
      </c>
      <c r="D1327" s="2"/>
      <c r="E1327" s="2"/>
      <c r="F1327" s="2"/>
      <c r="G1327" s="2"/>
      <c r="H1327" s="2" t="s">
        <v>832</v>
      </c>
    </row>
    <row r="1328" customFormat="false" ht="15" hidden="false" customHeight="false" outlineLevel="0" collapsed="false">
      <c r="A1328" s="2" t="s">
        <v>3004</v>
      </c>
      <c r="B1328" s="2" t="s">
        <v>46</v>
      </c>
      <c r="C1328" s="2" t="s">
        <v>4274</v>
      </c>
      <c r="D1328" s="2"/>
      <c r="E1328" s="2"/>
      <c r="F1328" s="2"/>
      <c r="G1328" s="2"/>
      <c r="H1328" s="2" t="s">
        <v>832</v>
      </c>
    </row>
    <row r="1329" customFormat="false" ht="15" hidden="false" customHeight="false" outlineLevel="0" collapsed="false">
      <c r="A1329" s="2" t="s">
        <v>3004</v>
      </c>
      <c r="B1329" s="2" t="s">
        <v>46</v>
      </c>
      <c r="C1329" s="2" t="s">
        <v>4275</v>
      </c>
      <c r="D1329" s="2"/>
      <c r="E1329" s="2"/>
      <c r="F1329" s="2"/>
      <c r="G1329" s="2"/>
      <c r="H1329" s="2" t="s">
        <v>832</v>
      </c>
    </row>
    <row r="1330" customFormat="false" ht="15" hidden="false" customHeight="false" outlineLevel="0" collapsed="false">
      <c r="A1330" s="2" t="s">
        <v>2207</v>
      </c>
      <c r="B1330" s="2" t="s">
        <v>4291</v>
      </c>
      <c r="C1330" s="2" t="s">
        <v>4274</v>
      </c>
      <c r="D1330" s="2"/>
      <c r="E1330" s="31" t="n">
        <v>31.6</v>
      </c>
      <c r="F1330" s="31" t="n">
        <v>51.1</v>
      </c>
      <c r="G1330" s="31" t="n">
        <v>73.4</v>
      </c>
      <c r="H1330" s="2" t="s">
        <v>822</v>
      </c>
    </row>
    <row r="1331" customFormat="false" ht="15" hidden="false" customHeight="false" outlineLevel="0" collapsed="false">
      <c r="A1331" s="2" t="s">
        <v>2207</v>
      </c>
      <c r="B1331" s="2" t="s">
        <v>4291</v>
      </c>
      <c r="C1331" s="2" t="s">
        <v>4275</v>
      </c>
      <c r="D1331" s="2"/>
      <c r="E1331" s="31" t="n">
        <v>24.6</v>
      </c>
      <c r="F1331" s="31" t="n">
        <v>55.6</v>
      </c>
      <c r="G1331" s="31" t="n">
        <v>57</v>
      </c>
      <c r="H1331" s="2" t="s">
        <v>832</v>
      </c>
    </row>
    <row r="1332" customFormat="false" ht="15" hidden="false" customHeight="false" outlineLevel="0" collapsed="false">
      <c r="A1332" s="2" t="s">
        <v>2207</v>
      </c>
      <c r="B1332" s="2" t="s">
        <v>45</v>
      </c>
      <c r="C1332" s="2" t="s">
        <v>4274</v>
      </c>
      <c r="D1332" s="11" t="n">
        <v>500240</v>
      </c>
      <c r="E1332" s="31" t="n">
        <v>46.9</v>
      </c>
      <c r="F1332" s="31" t="n">
        <v>58.2</v>
      </c>
      <c r="G1332" s="31" t="n">
        <v>82.7</v>
      </c>
      <c r="H1332" s="2" t="s">
        <v>822</v>
      </c>
    </row>
    <row r="1333" customFormat="false" ht="15" hidden="false" customHeight="false" outlineLevel="0" collapsed="false">
      <c r="A1333" s="2" t="s">
        <v>2207</v>
      </c>
      <c r="B1333" s="2" t="s">
        <v>45</v>
      </c>
      <c r="C1333" s="2" t="s">
        <v>4275</v>
      </c>
      <c r="D1333" s="2"/>
      <c r="E1333" s="2"/>
      <c r="F1333" s="2"/>
      <c r="G1333" s="2"/>
      <c r="H1333" s="2" t="s">
        <v>832</v>
      </c>
    </row>
    <row r="1334" customFormat="false" ht="15" hidden="false" customHeight="false" outlineLevel="0" collapsed="false">
      <c r="A1334" s="2" t="s">
        <v>2207</v>
      </c>
      <c r="B1334" s="2" t="s">
        <v>46</v>
      </c>
      <c r="C1334" s="2" t="s">
        <v>4274</v>
      </c>
      <c r="D1334" s="11" t="n">
        <v>220310</v>
      </c>
      <c r="E1334" s="31" t="n">
        <v>0.2</v>
      </c>
      <c r="F1334" s="31" t="n">
        <v>21.8</v>
      </c>
      <c r="G1334" s="31" t="n">
        <v>70.8</v>
      </c>
      <c r="H1334" s="2" t="s">
        <v>822</v>
      </c>
    </row>
    <row r="1335" customFormat="false" ht="15" hidden="false" customHeight="false" outlineLevel="0" collapsed="false">
      <c r="A1335" s="2" t="s">
        <v>2207</v>
      </c>
      <c r="B1335" s="2" t="s">
        <v>46</v>
      </c>
      <c r="C1335" s="2" t="s">
        <v>4275</v>
      </c>
      <c r="D1335" s="11" t="n">
        <v>217990</v>
      </c>
      <c r="E1335" s="31" t="n">
        <v>0.2</v>
      </c>
      <c r="F1335" s="31" t="n">
        <v>31.2</v>
      </c>
      <c r="G1335" s="31" t="n">
        <v>77.7</v>
      </c>
      <c r="H1335" s="2" t="s">
        <v>822</v>
      </c>
    </row>
    <row r="1336" customFormat="false" ht="15" hidden="false" customHeight="false" outlineLevel="0" collapsed="false">
      <c r="A1336" s="2" t="s">
        <v>2207</v>
      </c>
      <c r="B1336" s="2" t="s">
        <v>47</v>
      </c>
      <c r="C1336" s="2" t="s">
        <v>4274</v>
      </c>
      <c r="D1336" s="11" t="n">
        <v>6438</v>
      </c>
      <c r="E1336" s="31" t="n">
        <v>47.8</v>
      </c>
      <c r="F1336" s="31" t="n">
        <v>73.3</v>
      </c>
      <c r="G1336" s="31" t="n">
        <v>66.7</v>
      </c>
      <c r="H1336" s="2" t="s">
        <v>822</v>
      </c>
    </row>
    <row r="1337" customFormat="false" ht="15" hidden="false" customHeight="false" outlineLevel="0" collapsed="false">
      <c r="A1337" s="2" t="s">
        <v>2207</v>
      </c>
      <c r="B1337" s="2" t="s">
        <v>47</v>
      </c>
      <c r="C1337" s="2" t="s">
        <v>4275</v>
      </c>
      <c r="D1337" s="11" t="n">
        <v>6677</v>
      </c>
      <c r="E1337" s="31" t="n">
        <v>48.9</v>
      </c>
      <c r="F1337" s="31" t="n">
        <v>80</v>
      </c>
      <c r="G1337" s="31" t="n">
        <v>36.2</v>
      </c>
      <c r="H1337" s="2" t="s">
        <v>822</v>
      </c>
    </row>
    <row r="1338" customFormat="false" ht="15" hidden="false" customHeight="false" outlineLevel="0" collapsed="false">
      <c r="A1338" s="2" t="s">
        <v>114</v>
      </c>
      <c r="B1338" s="2" t="s">
        <v>4291</v>
      </c>
      <c r="C1338" s="2" t="s">
        <v>4275</v>
      </c>
      <c r="D1338" s="2"/>
      <c r="E1338" s="31" t="n">
        <v>91.8</v>
      </c>
      <c r="F1338" s="31" t="n">
        <v>36.4</v>
      </c>
      <c r="G1338" s="31" t="n">
        <v>47.5</v>
      </c>
      <c r="H1338" s="2" t="s">
        <v>822</v>
      </c>
    </row>
    <row r="1339" customFormat="false" ht="15" hidden="false" customHeight="false" outlineLevel="0" collapsed="false">
      <c r="A1339" s="2" t="s">
        <v>114</v>
      </c>
      <c r="B1339" s="2" t="s">
        <v>46</v>
      </c>
      <c r="C1339" s="2" t="s">
        <v>4275</v>
      </c>
      <c r="D1339" s="11" t="n">
        <v>58535</v>
      </c>
      <c r="E1339" s="31" t="n">
        <v>83.9</v>
      </c>
      <c r="F1339" s="31" t="n">
        <v>42.9</v>
      </c>
      <c r="G1339" s="31" t="n">
        <v>7.5</v>
      </c>
      <c r="H1339" s="2" t="s">
        <v>822</v>
      </c>
    </row>
    <row r="1340" customFormat="false" ht="15" hidden="false" customHeight="false" outlineLevel="0" collapsed="false">
      <c r="A1340" s="2" t="s">
        <v>114</v>
      </c>
      <c r="B1340" s="2" t="s">
        <v>47</v>
      </c>
      <c r="C1340" s="2" t="s">
        <v>4275</v>
      </c>
      <c r="D1340" s="11" t="n">
        <v>9430</v>
      </c>
      <c r="E1340" s="31" t="n">
        <v>99.6</v>
      </c>
      <c r="F1340" s="31" t="n">
        <v>30</v>
      </c>
      <c r="G1340" s="31" t="n">
        <v>87.5</v>
      </c>
      <c r="H1340" s="2" t="s">
        <v>822</v>
      </c>
    </row>
    <row r="1341" customFormat="false" ht="15" hidden="false" customHeight="false" outlineLevel="0" collapsed="false">
      <c r="A1341" s="2" t="s">
        <v>3005</v>
      </c>
      <c r="B1341" s="2" t="s">
        <v>4291</v>
      </c>
      <c r="C1341" s="2" t="s">
        <v>4275</v>
      </c>
      <c r="D1341" s="2"/>
      <c r="E1341" s="31" t="n">
        <v>9.4</v>
      </c>
      <c r="F1341" s="31" t="n">
        <v>41.5</v>
      </c>
      <c r="G1341" s="2"/>
      <c r="H1341" s="2" t="s">
        <v>832</v>
      </c>
    </row>
    <row r="1342" customFormat="false" ht="15" hidden="false" customHeight="false" outlineLevel="0" collapsed="false">
      <c r="A1342" s="2" t="s">
        <v>3005</v>
      </c>
      <c r="B1342" s="2" t="s">
        <v>46</v>
      </c>
      <c r="C1342" s="2" t="s">
        <v>4275</v>
      </c>
      <c r="D1342" s="11" t="n">
        <v>25388</v>
      </c>
      <c r="E1342" s="31" t="n">
        <v>9.4</v>
      </c>
      <c r="F1342" s="31" t="n">
        <v>41.5</v>
      </c>
      <c r="G1342" s="2"/>
      <c r="H1342" s="2" t="s">
        <v>832</v>
      </c>
    </row>
    <row r="1343" customFormat="false" ht="15" hidden="false" customHeight="false" outlineLevel="0" collapsed="false">
      <c r="A1343" s="2" t="s">
        <v>882</v>
      </c>
      <c r="B1343" s="2" t="s">
        <v>4291</v>
      </c>
      <c r="C1343" s="2" t="s">
        <v>4274</v>
      </c>
      <c r="D1343" s="2"/>
      <c r="E1343" s="31" t="n">
        <v>79.3</v>
      </c>
      <c r="F1343" s="31" t="n">
        <v>17.1</v>
      </c>
      <c r="G1343" s="31" t="n">
        <v>56.1</v>
      </c>
      <c r="H1343" s="2" t="s">
        <v>832</v>
      </c>
    </row>
    <row r="1344" customFormat="false" ht="15" hidden="false" customHeight="false" outlineLevel="0" collapsed="false">
      <c r="A1344" s="2" t="s">
        <v>882</v>
      </c>
      <c r="B1344" s="2" t="s">
        <v>4291</v>
      </c>
      <c r="C1344" s="2" t="s">
        <v>4275</v>
      </c>
      <c r="D1344" s="2"/>
      <c r="E1344" s="31" t="n">
        <v>72.2</v>
      </c>
      <c r="F1344" s="31" t="n">
        <v>54.5</v>
      </c>
      <c r="G1344" s="31" t="n">
        <v>51.5</v>
      </c>
      <c r="H1344" s="2" t="s">
        <v>832</v>
      </c>
    </row>
    <row r="1345" customFormat="false" ht="15" hidden="false" customHeight="false" outlineLevel="0" collapsed="false">
      <c r="A1345" s="2" t="s">
        <v>882</v>
      </c>
      <c r="B1345" s="2" t="s">
        <v>45</v>
      </c>
      <c r="C1345" s="2" t="s">
        <v>4274</v>
      </c>
      <c r="D1345" s="11" t="n">
        <v>137250</v>
      </c>
      <c r="E1345" s="31" t="n">
        <v>79.3</v>
      </c>
      <c r="F1345" s="31" t="n">
        <v>17.1</v>
      </c>
      <c r="G1345" s="31" t="n">
        <v>56.1</v>
      </c>
      <c r="H1345" s="2" t="s">
        <v>822</v>
      </c>
    </row>
    <row r="1346" customFormat="false" ht="15" hidden="false" customHeight="false" outlineLevel="0" collapsed="false">
      <c r="A1346" s="2" t="s">
        <v>882</v>
      </c>
      <c r="B1346" s="2" t="s">
        <v>45</v>
      </c>
      <c r="C1346" s="2" t="s">
        <v>4275</v>
      </c>
      <c r="D1346" s="11" t="n">
        <v>136460</v>
      </c>
      <c r="E1346" s="31" t="n">
        <v>94</v>
      </c>
      <c r="F1346" s="31" t="n">
        <v>17.1</v>
      </c>
      <c r="G1346" s="31" t="n">
        <v>41.5</v>
      </c>
      <c r="H1346" s="2" t="s">
        <v>822</v>
      </c>
    </row>
    <row r="1347" customFormat="false" ht="15" hidden="false" customHeight="false" outlineLevel="0" collapsed="false">
      <c r="A1347" s="2" t="s">
        <v>882</v>
      </c>
      <c r="B1347" s="2" t="s">
        <v>46</v>
      </c>
      <c r="C1347" s="2" t="s">
        <v>4274</v>
      </c>
      <c r="D1347" s="2"/>
      <c r="E1347" s="2"/>
      <c r="F1347" s="2"/>
      <c r="G1347" s="2"/>
      <c r="H1347" s="2" t="s">
        <v>832</v>
      </c>
    </row>
    <row r="1348" customFormat="false" ht="15" hidden="false" customHeight="false" outlineLevel="0" collapsed="false">
      <c r="A1348" s="2" t="s">
        <v>882</v>
      </c>
      <c r="B1348" s="2" t="s">
        <v>46</v>
      </c>
      <c r="C1348" s="2" t="s">
        <v>4275</v>
      </c>
      <c r="D1348" s="11" t="n">
        <v>3560</v>
      </c>
      <c r="E1348" s="31" t="n">
        <v>95.7</v>
      </c>
      <c r="F1348" s="2"/>
      <c r="G1348" s="31" t="n">
        <v>52.5</v>
      </c>
      <c r="H1348" s="2" t="s">
        <v>832</v>
      </c>
    </row>
    <row r="1349" customFormat="false" ht="15" hidden="false" customHeight="false" outlineLevel="0" collapsed="false">
      <c r="A1349" s="2" t="s">
        <v>882</v>
      </c>
      <c r="B1349" s="2" t="s">
        <v>47</v>
      </c>
      <c r="C1349" s="2" t="s">
        <v>4274</v>
      </c>
      <c r="D1349" s="2"/>
      <c r="E1349" s="2"/>
      <c r="F1349" s="2"/>
      <c r="G1349" s="2"/>
      <c r="H1349" s="2" t="s">
        <v>832</v>
      </c>
    </row>
    <row r="1350" customFormat="false" ht="15" hidden="false" customHeight="false" outlineLevel="0" collapsed="false">
      <c r="A1350" s="2" t="s">
        <v>882</v>
      </c>
      <c r="B1350" s="2" t="s">
        <v>47</v>
      </c>
      <c r="C1350" s="2" t="s">
        <v>4275</v>
      </c>
      <c r="D1350" s="11" t="n">
        <v>891990</v>
      </c>
      <c r="E1350" s="31" t="n">
        <v>26.8</v>
      </c>
      <c r="F1350" s="31" t="n">
        <v>91.9</v>
      </c>
      <c r="G1350" s="31" t="n">
        <v>60.4</v>
      </c>
      <c r="H1350" s="2" t="s">
        <v>822</v>
      </c>
    </row>
    <row r="1351" customFormat="false" ht="15" hidden="false" customHeight="false" outlineLevel="0" collapsed="false">
      <c r="A1351" s="2" t="s">
        <v>859</v>
      </c>
      <c r="B1351" s="2" t="s">
        <v>4291</v>
      </c>
      <c r="C1351" s="2" t="s">
        <v>4274</v>
      </c>
      <c r="D1351" s="2"/>
      <c r="E1351" s="31" t="n">
        <v>66</v>
      </c>
      <c r="F1351" s="31" t="n">
        <v>53.7</v>
      </c>
      <c r="G1351" s="31" t="n">
        <v>63.4</v>
      </c>
      <c r="H1351" s="2" t="s">
        <v>822</v>
      </c>
    </row>
    <row r="1352" customFormat="false" ht="15" hidden="false" customHeight="false" outlineLevel="0" collapsed="false">
      <c r="A1352" s="2" t="s">
        <v>859</v>
      </c>
      <c r="B1352" s="2" t="s">
        <v>4291</v>
      </c>
      <c r="C1352" s="2" t="s">
        <v>4275</v>
      </c>
      <c r="D1352" s="2"/>
      <c r="E1352" s="31" t="n">
        <v>68.1</v>
      </c>
      <c r="F1352" s="31" t="n">
        <v>71.5</v>
      </c>
      <c r="G1352" s="31" t="n">
        <v>69.6</v>
      </c>
      <c r="H1352" s="2" t="s">
        <v>832</v>
      </c>
    </row>
    <row r="1353" customFormat="false" ht="15" hidden="false" customHeight="false" outlineLevel="0" collapsed="false">
      <c r="A1353" s="2" t="s">
        <v>859</v>
      </c>
      <c r="B1353" s="2" t="s">
        <v>45</v>
      </c>
      <c r="C1353" s="2" t="s">
        <v>4274</v>
      </c>
      <c r="D1353" s="11" t="n">
        <v>17657</v>
      </c>
      <c r="E1353" s="31" t="n">
        <v>99.6</v>
      </c>
      <c r="F1353" s="31" t="n">
        <v>90.5</v>
      </c>
      <c r="G1353" s="31" t="n">
        <v>64.9</v>
      </c>
      <c r="H1353" s="2" t="s">
        <v>822</v>
      </c>
    </row>
    <row r="1354" customFormat="false" ht="15" hidden="false" customHeight="false" outlineLevel="0" collapsed="false">
      <c r="A1354" s="2" t="s">
        <v>859</v>
      </c>
      <c r="B1354" s="2" t="s">
        <v>45</v>
      </c>
      <c r="C1354" s="2" t="s">
        <v>4275</v>
      </c>
      <c r="D1354" s="11" t="n">
        <v>18270</v>
      </c>
      <c r="E1354" s="31" t="n">
        <v>96</v>
      </c>
      <c r="F1354" s="31" t="n">
        <v>91.4</v>
      </c>
      <c r="G1354" s="31" t="n">
        <v>57.6</v>
      </c>
      <c r="H1354" s="2" t="s">
        <v>822</v>
      </c>
    </row>
    <row r="1355" customFormat="false" ht="15" hidden="false" customHeight="false" outlineLevel="0" collapsed="false">
      <c r="A1355" s="2" t="s">
        <v>859</v>
      </c>
      <c r="B1355" s="2" t="s">
        <v>46</v>
      </c>
      <c r="C1355" s="2" t="s">
        <v>4274</v>
      </c>
      <c r="D1355" s="11" t="n">
        <v>35805</v>
      </c>
      <c r="E1355" s="31" t="n">
        <v>94.1</v>
      </c>
      <c r="F1355" s="31" t="n">
        <v>20.6</v>
      </c>
      <c r="G1355" s="31" t="n">
        <v>53.7</v>
      </c>
      <c r="H1355" s="2" t="s">
        <v>822</v>
      </c>
    </row>
    <row r="1356" customFormat="false" ht="15" hidden="false" customHeight="false" outlineLevel="0" collapsed="false">
      <c r="A1356" s="2" t="s">
        <v>859</v>
      </c>
      <c r="B1356" s="2" t="s">
        <v>46</v>
      </c>
      <c r="C1356" s="2" t="s">
        <v>4275</v>
      </c>
      <c r="D1356" s="11" t="n">
        <v>37019</v>
      </c>
      <c r="E1356" s="31" t="n">
        <v>99.4</v>
      </c>
      <c r="F1356" s="31" t="n">
        <v>51.6</v>
      </c>
      <c r="G1356" s="31" t="n">
        <v>65.3</v>
      </c>
      <c r="H1356" s="2" t="s">
        <v>822</v>
      </c>
    </row>
    <row r="1357" customFormat="false" ht="15" hidden="false" customHeight="false" outlineLevel="0" collapsed="false">
      <c r="A1357" s="2" t="s">
        <v>859</v>
      </c>
      <c r="B1357" s="2" t="s">
        <v>47</v>
      </c>
      <c r="C1357" s="2" t="s">
        <v>4274</v>
      </c>
      <c r="D1357" s="11" t="n">
        <v>515305</v>
      </c>
      <c r="E1357" s="31" t="n">
        <v>4.3</v>
      </c>
      <c r="F1357" s="31" t="n">
        <v>50</v>
      </c>
      <c r="G1357" s="31" t="n">
        <v>71.6</v>
      </c>
      <c r="H1357" s="2" t="s">
        <v>822</v>
      </c>
    </row>
    <row r="1358" customFormat="false" ht="15" hidden="false" customHeight="false" outlineLevel="0" collapsed="false">
      <c r="A1358" s="2" t="s">
        <v>859</v>
      </c>
      <c r="B1358" s="2" t="s">
        <v>47</v>
      </c>
      <c r="C1358" s="2" t="s">
        <v>4275</v>
      </c>
      <c r="D1358" s="11" t="n">
        <v>533067</v>
      </c>
      <c r="E1358" s="31" t="n">
        <v>8.8</v>
      </c>
      <c r="F1358" s="2"/>
      <c r="G1358" s="31" t="n">
        <v>86</v>
      </c>
      <c r="H1358" s="2" t="s">
        <v>832</v>
      </c>
    </row>
    <row r="1359" customFormat="false" ht="15" hidden="false" customHeight="false" outlineLevel="0" collapsed="false">
      <c r="A1359" s="2" t="s">
        <v>3009</v>
      </c>
      <c r="B1359" s="2" t="s">
        <v>4291</v>
      </c>
      <c r="C1359" s="2" t="s">
        <v>4274</v>
      </c>
      <c r="D1359" s="2"/>
      <c r="E1359" s="31" t="n">
        <v>26</v>
      </c>
      <c r="F1359" s="31" t="n">
        <v>45.9</v>
      </c>
      <c r="G1359" s="31" t="n">
        <v>10.1</v>
      </c>
      <c r="H1359" s="2" t="s">
        <v>832</v>
      </c>
    </row>
    <row r="1360" customFormat="false" ht="15" hidden="false" customHeight="false" outlineLevel="0" collapsed="false">
      <c r="A1360" s="2" t="s">
        <v>3009</v>
      </c>
      <c r="B1360" s="2" t="s">
        <v>4291</v>
      </c>
      <c r="C1360" s="2" t="s">
        <v>4275</v>
      </c>
      <c r="D1360" s="2"/>
      <c r="E1360" s="2"/>
      <c r="F1360" s="2"/>
      <c r="G1360" s="31" t="n">
        <v>0.9</v>
      </c>
      <c r="H1360" s="2" t="s">
        <v>832</v>
      </c>
    </row>
    <row r="1361" customFormat="false" ht="15" hidden="false" customHeight="false" outlineLevel="0" collapsed="false">
      <c r="A1361" s="2" t="s">
        <v>3009</v>
      </c>
      <c r="B1361" s="2" t="s">
        <v>45</v>
      </c>
      <c r="C1361" s="2" t="s">
        <v>4274</v>
      </c>
      <c r="D1361" s="11" t="n">
        <v>289240</v>
      </c>
      <c r="E1361" s="31" t="n">
        <v>6.1</v>
      </c>
      <c r="F1361" s="31" t="n">
        <v>6.8</v>
      </c>
      <c r="G1361" s="31" t="n">
        <v>6.6</v>
      </c>
      <c r="H1361" s="2" t="s">
        <v>822</v>
      </c>
    </row>
    <row r="1362" customFormat="false" ht="15" hidden="false" customHeight="false" outlineLevel="0" collapsed="false">
      <c r="A1362" s="2" t="s">
        <v>3009</v>
      </c>
      <c r="B1362" s="2" t="s">
        <v>45</v>
      </c>
      <c r="C1362" s="2" t="s">
        <v>4275</v>
      </c>
      <c r="D1362" s="2"/>
      <c r="E1362" s="2"/>
      <c r="F1362" s="2"/>
      <c r="G1362" s="2"/>
      <c r="H1362" s="2" t="s">
        <v>832</v>
      </c>
    </row>
    <row r="1363" customFormat="false" ht="15" hidden="false" customHeight="false" outlineLevel="0" collapsed="false">
      <c r="A1363" s="2" t="s">
        <v>3009</v>
      </c>
      <c r="B1363" s="2" t="s">
        <v>46</v>
      </c>
      <c r="C1363" s="2" t="s">
        <v>4274</v>
      </c>
      <c r="D1363" s="2"/>
      <c r="E1363" s="2"/>
      <c r="F1363" s="2"/>
      <c r="G1363" s="2"/>
      <c r="H1363" s="2" t="s">
        <v>832</v>
      </c>
    </row>
    <row r="1364" customFormat="false" ht="15" hidden="false" customHeight="false" outlineLevel="0" collapsed="false">
      <c r="A1364" s="2" t="s">
        <v>3009</v>
      </c>
      <c r="B1364" s="2" t="s">
        <v>46</v>
      </c>
      <c r="C1364" s="2" t="s">
        <v>4275</v>
      </c>
      <c r="D1364" s="2"/>
      <c r="E1364" s="2"/>
      <c r="F1364" s="2"/>
      <c r="G1364" s="2"/>
      <c r="H1364" s="2" t="s">
        <v>832</v>
      </c>
    </row>
    <row r="1365" customFormat="false" ht="15" hidden="false" customHeight="false" outlineLevel="0" collapsed="false">
      <c r="A1365" s="2" t="s">
        <v>3009</v>
      </c>
      <c r="B1365" s="2" t="s">
        <v>47</v>
      </c>
      <c r="C1365" s="2" t="s">
        <v>4274</v>
      </c>
      <c r="D1365" s="11" t="n">
        <v>75558</v>
      </c>
      <c r="E1365" s="31" t="n">
        <v>46</v>
      </c>
      <c r="F1365" s="31" t="n">
        <v>85</v>
      </c>
      <c r="G1365" s="31" t="n">
        <v>13.6</v>
      </c>
      <c r="H1365" s="2" t="s">
        <v>822</v>
      </c>
    </row>
    <row r="1366" customFormat="false" ht="15" hidden="false" customHeight="false" outlineLevel="0" collapsed="false">
      <c r="A1366" s="2" t="s">
        <v>3009</v>
      </c>
      <c r="B1366" s="2" t="s">
        <v>47</v>
      </c>
      <c r="C1366" s="2" t="s">
        <v>4275</v>
      </c>
      <c r="D1366" s="2"/>
      <c r="E1366" s="2"/>
      <c r="F1366" s="2"/>
      <c r="G1366" s="31" t="n">
        <v>0.9</v>
      </c>
      <c r="H1366" s="2" t="s">
        <v>832</v>
      </c>
    </row>
    <row r="1367" customFormat="false" ht="15" hidden="false" customHeight="false" outlineLevel="0" collapsed="false">
      <c r="A1367" s="2" t="s">
        <v>744</v>
      </c>
      <c r="B1367" s="2" t="s">
        <v>4291</v>
      </c>
      <c r="C1367" s="2" t="s">
        <v>4274</v>
      </c>
      <c r="D1367" s="2"/>
      <c r="E1367" s="31" t="n">
        <v>61.5</v>
      </c>
      <c r="F1367" s="31" t="n">
        <v>74</v>
      </c>
      <c r="G1367" s="31" t="n">
        <v>71.7</v>
      </c>
      <c r="H1367" s="2" t="s">
        <v>822</v>
      </c>
    </row>
    <row r="1368" customFormat="false" ht="15" hidden="false" customHeight="false" outlineLevel="0" collapsed="false">
      <c r="A1368" s="2" t="s">
        <v>744</v>
      </c>
      <c r="B1368" s="2" t="s">
        <v>4291</v>
      </c>
      <c r="C1368" s="2" t="s">
        <v>4275</v>
      </c>
      <c r="D1368" s="2"/>
      <c r="E1368" s="31" t="n">
        <v>22.5</v>
      </c>
      <c r="F1368" s="31" t="n">
        <v>82.1</v>
      </c>
      <c r="G1368" s="31" t="n">
        <v>34.3</v>
      </c>
      <c r="H1368" s="2" t="s">
        <v>822</v>
      </c>
    </row>
    <row r="1369" customFormat="false" ht="15" hidden="false" customHeight="false" outlineLevel="0" collapsed="false">
      <c r="A1369" s="2" t="s">
        <v>744</v>
      </c>
      <c r="B1369" s="2" t="s">
        <v>45</v>
      </c>
      <c r="C1369" s="2" t="s">
        <v>4274</v>
      </c>
      <c r="D1369" s="11" t="n">
        <v>937397</v>
      </c>
      <c r="E1369" s="31" t="n">
        <v>61.5</v>
      </c>
      <c r="F1369" s="31" t="n">
        <v>74</v>
      </c>
      <c r="G1369" s="31" t="n">
        <v>71.7</v>
      </c>
      <c r="H1369" s="2" t="s">
        <v>822</v>
      </c>
    </row>
    <row r="1370" customFormat="false" ht="15" hidden="false" customHeight="false" outlineLevel="0" collapsed="false">
      <c r="A1370" s="2" t="s">
        <v>744</v>
      </c>
      <c r="B1370" s="2" t="s">
        <v>45</v>
      </c>
      <c r="C1370" s="2" t="s">
        <v>4275</v>
      </c>
      <c r="D1370" s="11" t="n">
        <v>996530</v>
      </c>
      <c r="E1370" s="31" t="n">
        <v>22.5</v>
      </c>
      <c r="F1370" s="31" t="n">
        <v>82.1</v>
      </c>
      <c r="G1370" s="31" t="n">
        <v>34.3</v>
      </c>
      <c r="H1370" s="2" t="s">
        <v>822</v>
      </c>
    </row>
    <row r="1371" customFormat="false" ht="15" hidden="false" customHeight="false" outlineLevel="0" collapsed="false">
      <c r="A1371" s="2" t="s">
        <v>837</v>
      </c>
      <c r="B1371" s="2" t="s">
        <v>4291</v>
      </c>
      <c r="C1371" s="2" t="s">
        <v>4274</v>
      </c>
      <c r="D1371" s="2"/>
      <c r="E1371" s="31" t="n">
        <v>98.5</v>
      </c>
      <c r="F1371" s="31" t="n">
        <v>45.6</v>
      </c>
      <c r="G1371" s="31" t="n">
        <v>66.4</v>
      </c>
      <c r="H1371" s="2" t="s">
        <v>832</v>
      </c>
    </row>
    <row r="1372" customFormat="false" ht="15" hidden="false" customHeight="false" outlineLevel="0" collapsed="false">
      <c r="A1372" s="2" t="s">
        <v>837</v>
      </c>
      <c r="B1372" s="2" t="s">
        <v>4291</v>
      </c>
      <c r="C1372" s="2" t="s">
        <v>4275</v>
      </c>
      <c r="D1372" s="2"/>
      <c r="E1372" s="31" t="n">
        <v>97.1</v>
      </c>
      <c r="F1372" s="31" t="n">
        <v>77.3</v>
      </c>
      <c r="G1372" s="31" t="n">
        <v>81.8</v>
      </c>
      <c r="H1372" s="2" t="s">
        <v>832</v>
      </c>
    </row>
    <row r="1373" customFormat="false" ht="15" hidden="false" customHeight="false" outlineLevel="0" collapsed="false">
      <c r="A1373" s="2" t="s">
        <v>837</v>
      </c>
      <c r="B1373" s="2" t="s">
        <v>45</v>
      </c>
      <c r="C1373" s="2" t="s">
        <v>4274</v>
      </c>
      <c r="D1373" s="11" t="n">
        <v>18827</v>
      </c>
      <c r="E1373" s="31" t="n">
        <v>98.5</v>
      </c>
      <c r="F1373" s="31" t="n">
        <v>45.6</v>
      </c>
      <c r="G1373" s="31" t="n">
        <v>40.7</v>
      </c>
      <c r="H1373" s="2" t="s">
        <v>822</v>
      </c>
    </row>
    <row r="1374" customFormat="false" ht="15" hidden="false" customHeight="false" outlineLevel="0" collapsed="false">
      <c r="A1374" s="2" t="s">
        <v>837</v>
      </c>
      <c r="B1374" s="2" t="s">
        <v>45</v>
      </c>
      <c r="C1374" s="2" t="s">
        <v>4275</v>
      </c>
      <c r="D1374" s="11" t="n">
        <v>20020</v>
      </c>
      <c r="E1374" s="31" t="n">
        <v>98.7</v>
      </c>
      <c r="F1374" s="31" t="n">
        <v>64.6</v>
      </c>
      <c r="G1374" s="31" t="n">
        <v>65.7</v>
      </c>
      <c r="H1374" s="2" t="s">
        <v>822</v>
      </c>
    </row>
    <row r="1375" customFormat="false" ht="15" hidden="false" customHeight="false" outlineLevel="0" collapsed="false">
      <c r="A1375" s="2" t="s">
        <v>837</v>
      </c>
      <c r="B1375" s="2" t="s">
        <v>46</v>
      </c>
      <c r="C1375" s="2" t="s">
        <v>4274</v>
      </c>
      <c r="D1375" s="2"/>
      <c r="E1375" s="2"/>
      <c r="F1375" s="2"/>
      <c r="G1375" s="2"/>
      <c r="H1375" s="2" t="s">
        <v>832</v>
      </c>
    </row>
    <row r="1376" customFormat="false" ht="15" hidden="false" customHeight="false" outlineLevel="0" collapsed="false">
      <c r="A1376" s="2" t="s">
        <v>837</v>
      </c>
      <c r="B1376" s="2" t="s">
        <v>46</v>
      </c>
      <c r="C1376" s="2" t="s">
        <v>4275</v>
      </c>
      <c r="D1376" s="2"/>
      <c r="E1376" s="2"/>
      <c r="F1376" s="2"/>
      <c r="G1376" s="2"/>
      <c r="H1376" s="2" t="s">
        <v>832</v>
      </c>
    </row>
    <row r="1377" customFormat="false" ht="15" hidden="false" customHeight="false" outlineLevel="0" collapsed="false">
      <c r="A1377" s="2" t="s">
        <v>837</v>
      </c>
      <c r="B1377" s="2" t="s">
        <v>47</v>
      </c>
      <c r="C1377" s="2" t="s">
        <v>4274</v>
      </c>
      <c r="D1377" s="11" t="n">
        <v>9229</v>
      </c>
      <c r="E1377" s="2"/>
      <c r="F1377" s="2"/>
      <c r="G1377" s="31" t="n">
        <v>92.2</v>
      </c>
      <c r="H1377" s="2" t="s">
        <v>832</v>
      </c>
    </row>
    <row r="1378" customFormat="false" ht="15" hidden="false" customHeight="false" outlineLevel="0" collapsed="false">
      <c r="A1378" s="2" t="s">
        <v>837</v>
      </c>
      <c r="B1378" s="2" t="s">
        <v>47</v>
      </c>
      <c r="C1378" s="2" t="s">
        <v>4275</v>
      </c>
      <c r="D1378" s="11" t="n">
        <v>9623</v>
      </c>
      <c r="E1378" s="31" t="n">
        <v>95.4</v>
      </c>
      <c r="F1378" s="31" t="n">
        <v>90</v>
      </c>
      <c r="G1378" s="31" t="n">
        <v>97.8</v>
      </c>
      <c r="H1378" s="2" t="s">
        <v>822</v>
      </c>
    </row>
    <row r="1379" customFormat="false" ht="15" hidden="false" customHeight="false" outlineLevel="0" collapsed="false">
      <c r="A1379" s="2" t="s">
        <v>872</v>
      </c>
      <c r="B1379" s="2" t="s">
        <v>4291</v>
      </c>
      <c r="C1379" s="2" t="s">
        <v>4274</v>
      </c>
      <c r="D1379" s="2"/>
      <c r="E1379" s="31" t="n">
        <v>81</v>
      </c>
      <c r="F1379" s="31" t="n">
        <v>47</v>
      </c>
      <c r="G1379" s="31" t="n">
        <v>41.5</v>
      </c>
      <c r="H1379" s="2" t="s">
        <v>832</v>
      </c>
    </row>
    <row r="1380" customFormat="false" ht="15" hidden="false" customHeight="false" outlineLevel="0" collapsed="false">
      <c r="A1380" s="2" t="s">
        <v>872</v>
      </c>
      <c r="B1380" s="2" t="s">
        <v>4291</v>
      </c>
      <c r="C1380" s="2" t="s">
        <v>4275</v>
      </c>
      <c r="D1380" s="2"/>
      <c r="E1380" s="31" t="n">
        <v>75.3</v>
      </c>
      <c r="F1380" s="31" t="n">
        <v>47.9</v>
      </c>
      <c r="G1380" s="31" t="n">
        <v>49.2</v>
      </c>
      <c r="H1380" s="2" t="s">
        <v>832</v>
      </c>
    </row>
    <row r="1381" customFormat="false" ht="15" hidden="false" customHeight="false" outlineLevel="0" collapsed="false">
      <c r="A1381" s="2" t="s">
        <v>872</v>
      </c>
      <c r="B1381" s="2" t="s">
        <v>45</v>
      </c>
      <c r="C1381" s="2" t="s">
        <v>4274</v>
      </c>
      <c r="D1381" s="11" t="n">
        <v>7525</v>
      </c>
      <c r="E1381" s="31" t="n">
        <v>85.3</v>
      </c>
      <c r="F1381" s="31" t="n">
        <v>19.4</v>
      </c>
      <c r="G1381" s="31" t="n">
        <v>24.4</v>
      </c>
      <c r="H1381" s="2" t="s">
        <v>822</v>
      </c>
    </row>
    <row r="1382" customFormat="false" ht="15" hidden="false" customHeight="false" outlineLevel="0" collapsed="false">
      <c r="A1382" s="2" t="s">
        <v>872</v>
      </c>
      <c r="B1382" s="2" t="s">
        <v>45</v>
      </c>
      <c r="C1382" s="2" t="s">
        <v>4275</v>
      </c>
      <c r="D1382" s="11" t="n">
        <v>7461</v>
      </c>
      <c r="E1382" s="31" t="n">
        <v>94.7</v>
      </c>
      <c r="F1382" s="31" t="n">
        <v>21.1</v>
      </c>
      <c r="G1382" s="31" t="n">
        <v>49.2</v>
      </c>
      <c r="H1382" s="2" t="s">
        <v>822</v>
      </c>
    </row>
    <row r="1383" customFormat="false" ht="15" hidden="false" customHeight="false" outlineLevel="0" collapsed="false">
      <c r="A1383" s="2" t="s">
        <v>872</v>
      </c>
      <c r="B1383" s="2" t="s">
        <v>46</v>
      </c>
      <c r="C1383" s="2" t="s">
        <v>4274</v>
      </c>
      <c r="D1383" s="2"/>
      <c r="E1383" s="2"/>
      <c r="F1383" s="2"/>
      <c r="G1383" s="2"/>
      <c r="H1383" s="2" t="s">
        <v>832</v>
      </c>
    </row>
    <row r="1384" customFormat="false" ht="15" hidden="false" customHeight="false" outlineLevel="0" collapsed="false">
      <c r="A1384" s="2" t="s">
        <v>872</v>
      </c>
      <c r="B1384" s="2" t="s">
        <v>46</v>
      </c>
      <c r="C1384" s="2" t="s">
        <v>4275</v>
      </c>
      <c r="D1384" s="11" t="n">
        <v>176740</v>
      </c>
      <c r="E1384" s="31" t="n">
        <v>51.5</v>
      </c>
      <c r="F1384" s="31" t="n">
        <v>43.3</v>
      </c>
      <c r="G1384" s="2"/>
      <c r="H1384" s="2" t="s">
        <v>832</v>
      </c>
    </row>
    <row r="1385" customFormat="false" ht="15" hidden="false" customHeight="false" outlineLevel="0" collapsed="false">
      <c r="A1385" s="2" t="s">
        <v>872</v>
      </c>
      <c r="B1385" s="2" t="s">
        <v>47</v>
      </c>
      <c r="C1385" s="2" t="s">
        <v>4274</v>
      </c>
      <c r="D1385" s="11" t="n">
        <v>22014</v>
      </c>
      <c r="E1385" s="31" t="n">
        <v>76.8</v>
      </c>
      <c r="F1385" s="31" t="n">
        <v>74.5</v>
      </c>
      <c r="G1385" s="31" t="n">
        <v>58.6</v>
      </c>
      <c r="H1385" s="2" t="s">
        <v>822</v>
      </c>
    </row>
    <row r="1386" customFormat="false" ht="15" hidden="false" customHeight="false" outlineLevel="0" collapsed="false">
      <c r="A1386" s="2" t="s">
        <v>872</v>
      </c>
      <c r="B1386" s="2" t="s">
        <v>47</v>
      </c>
      <c r="C1386" s="2" t="s">
        <v>4275</v>
      </c>
      <c r="D1386" s="11" t="n">
        <v>22980</v>
      </c>
      <c r="E1386" s="31" t="n">
        <v>79.7</v>
      </c>
      <c r="F1386" s="31" t="n">
        <v>79.2</v>
      </c>
      <c r="G1386" s="2"/>
      <c r="H1386" s="2" t="s">
        <v>832</v>
      </c>
    </row>
    <row r="1387" customFormat="false" ht="15" hidden="false" customHeight="false" outlineLevel="0" collapsed="false">
      <c r="A1387" s="2" t="s">
        <v>999</v>
      </c>
      <c r="B1387" s="2" t="s">
        <v>4291</v>
      </c>
      <c r="C1387" s="2" t="s">
        <v>4274</v>
      </c>
      <c r="D1387" s="2"/>
      <c r="E1387" s="31" t="n">
        <v>27.5</v>
      </c>
      <c r="F1387" s="31" t="n">
        <v>70.9</v>
      </c>
      <c r="G1387" s="31" t="n">
        <v>18</v>
      </c>
      <c r="H1387" s="2" t="s">
        <v>832</v>
      </c>
    </row>
    <row r="1388" customFormat="false" ht="15" hidden="false" customHeight="false" outlineLevel="0" collapsed="false">
      <c r="A1388" s="2" t="s">
        <v>999</v>
      </c>
      <c r="B1388" s="2" t="s">
        <v>4291</v>
      </c>
      <c r="C1388" s="2" t="s">
        <v>4275</v>
      </c>
      <c r="D1388" s="2"/>
      <c r="E1388" s="31" t="n">
        <v>40</v>
      </c>
      <c r="F1388" s="31" t="n">
        <v>39</v>
      </c>
      <c r="G1388" s="31" t="n">
        <v>28.8</v>
      </c>
      <c r="H1388" s="2" t="s">
        <v>832</v>
      </c>
    </row>
    <row r="1389" customFormat="false" ht="15" hidden="false" customHeight="false" outlineLevel="0" collapsed="false">
      <c r="A1389" s="2" t="s">
        <v>999</v>
      </c>
      <c r="B1389" s="2" t="s">
        <v>45</v>
      </c>
      <c r="C1389" s="2" t="s">
        <v>4274</v>
      </c>
      <c r="D1389" s="2"/>
      <c r="E1389" s="2"/>
      <c r="F1389" s="2"/>
      <c r="G1389" s="31" t="n">
        <v>24.6</v>
      </c>
      <c r="H1389" s="2" t="s">
        <v>832</v>
      </c>
    </row>
    <row r="1390" customFormat="false" ht="15" hidden="false" customHeight="false" outlineLevel="0" collapsed="false">
      <c r="A1390" s="2" t="s">
        <v>999</v>
      </c>
      <c r="B1390" s="2" t="s">
        <v>45</v>
      </c>
      <c r="C1390" s="2" t="s">
        <v>4275</v>
      </c>
      <c r="D1390" s="11" t="n">
        <v>48851</v>
      </c>
      <c r="E1390" s="31" t="n">
        <v>78.6</v>
      </c>
      <c r="F1390" s="31" t="n">
        <v>56.4</v>
      </c>
      <c r="G1390" s="31" t="n">
        <v>62.2</v>
      </c>
      <c r="H1390" s="2" t="s">
        <v>822</v>
      </c>
    </row>
    <row r="1391" customFormat="false" ht="15" hidden="false" customHeight="false" outlineLevel="0" collapsed="false">
      <c r="A1391" s="2" t="s">
        <v>999</v>
      </c>
      <c r="B1391" s="2" t="s">
        <v>46</v>
      </c>
      <c r="C1391" s="2" t="s">
        <v>4274</v>
      </c>
      <c r="D1391" s="11" t="n">
        <v>40050</v>
      </c>
      <c r="E1391" s="31" t="n">
        <v>51.9</v>
      </c>
      <c r="F1391" s="31" t="n">
        <v>43.8</v>
      </c>
      <c r="G1391" s="31" t="n">
        <v>11.4</v>
      </c>
      <c r="H1391" s="2" t="s">
        <v>822</v>
      </c>
    </row>
    <row r="1392" customFormat="false" ht="15" hidden="false" customHeight="false" outlineLevel="0" collapsed="false">
      <c r="A1392" s="2" t="s">
        <v>999</v>
      </c>
      <c r="B1392" s="2" t="s">
        <v>46</v>
      </c>
      <c r="C1392" s="2" t="s">
        <v>4275</v>
      </c>
      <c r="D1392" s="11" t="n">
        <v>40320</v>
      </c>
      <c r="E1392" s="2"/>
      <c r="F1392" s="31" t="n">
        <v>21.5</v>
      </c>
      <c r="G1392" s="31" t="n">
        <v>4</v>
      </c>
      <c r="H1392" s="2" t="s">
        <v>832</v>
      </c>
    </row>
    <row r="1393" customFormat="false" ht="15" hidden="false" customHeight="false" outlineLevel="0" collapsed="false">
      <c r="A1393" s="2" t="s">
        <v>999</v>
      </c>
      <c r="B1393" s="2" t="s">
        <v>47</v>
      </c>
      <c r="C1393" s="2" t="s">
        <v>4274</v>
      </c>
      <c r="D1393" s="11" t="n">
        <v>255273</v>
      </c>
      <c r="E1393" s="31" t="n">
        <v>3.1</v>
      </c>
      <c r="F1393" s="31" t="n">
        <v>98.1</v>
      </c>
      <c r="G1393" s="2"/>
      <c r="H1393" s="2" t="s">
        <v>832</v>
      </c>
    </row>
    <row r="1394" customFormat="false" ht="15" hidden="false" customHeight="false" outlineLevel="0" collapsed="false">
      <c r="A1394" s="2" t="s">
        <v>999</v>
      </c>
      <c r="B1394" s="2" t="s">
        <v>47</v>
      </c>
      <c r="C1394" s="2" t="s">
        <v>4275</v>
      </c>
      <c r="D1394" s="11" t="n">
        <v>284600</v>
      </c>
      <c r="E1394" s="31" t="n">
        <v>1.4</v>
      </c>
      <c r="F1394" s="2"/>
      <c r="G1394" s="31" t="n">
        <v>20.3</v>
      </c>
      <c r="H1394" s="2" t="s">
        <v>832</v>
      </c>
    </row>
    <row r="1395" customFormat="false" ht="15" hidden="false" customHeight="false" outlineLevel="0" collapsed="false">
      <c r="A1395" s="2" t="s">
        <v>230</v>
      </c>
      <c r="B1395" s="2" t="s">
        <v>4291</v>
      </c>
      <c r="C1395" s="2" t="s">
        <v>4274</v>
      </c>
      <c r="D1395" s="2"/>
      <c r="E1395" s="31" t="n">
        <v>48.5</v>
      </c>
      <c r="F1395" s="31" t="n">
        <v>94.2</v>
      </c>
      <c r="G1395" s="31" t="n">
        <v>82.9</v>
      </c>
      <c r="H1395" s="2" t="s">
        <v>832</v>
      </c>
    </row>
    <row r="1396" customFormat="false" ht="15" hidden="false" customHeight="false" outlineLevel="0" collapsed="false">
      <c r="A1396" s="2" t="s">
        <v>230</v>
      </c>
      <c r="B1396" s="2" t="s">
        <v>4291</v>
      </c>
      <c r="C1396" s="2" t="s">
        <v>4275</v>
      </c>
      <c r="D1396" s="2"/>
      <c r="E1396" s="31" t="n">
        <v>70.3</v>
      </c>
      <c r="F1396" s="31" t="n">
        <v>61.6</v>
      </c>
      <c r="G1396" s="31" t="n">
        <v>56.5</v>
      </c>
      <c r="H1396" s="2" t="s">
        <v>822</v>
      </c>
    </row>
    <row r="1397" customFormat="false" ht="15" hidden="false" customHeight="false" outlineLevel="0" collapsed="false">
      <c r="A1397" s="2" t="s">
        <v>230</v>
      </c>
      <c r="B1397" s="2" t="s">
        <v>45</v>
      </c>
      <c r="C1397" s="2" t="s">
        <v>4274</v>
      </c>
      <c r="D1397" s="2"/>
      <c r="E1397" s="2"/>
      <c r="F1397" s="2"/>
      <c r="G1397" s="2"/>
      <c r="H1397" s="2" t="s">
        <v>832</v>
      </c>
    </row>
    <row r="1398" customFormat="false" ht="15" hidden="false" customHeight="false" outlineLevel="0" collapsed="false">
      <c r="A1398" s="2" t="s">
        <v>230</v>
      </c>
      <c r="B1398" s="2" t="s">
        <v>45</v>
      </c>
      <c r="C1398" s="2" t="s">
        <v>4275</v>
      </c>
      <c r="D1398" s="11" t="n">
        <v>135790</v>
      </c>
      <c r="E1398" s="31" t="n">
        <v>90.9</v>
      </c>
      <c r="F1398" s="31" t="n">
        <v>42.9</v>
      </c>
      <c r="G1398" s="31" t="n">
        <v>15.9</v>
      </c>
      <c r="H1398" s="2" t="s">
        <v>822</v>
      </c>
    </row>
    <row r="1399" customFormat="false" ht="15" hidden="false" customHeight="false" outlineLevel="0" collapsed="false">
      <c r="A1399" s="2" t="s">
        <v>230</v>
      </c>
      <c r="B1399" s="2" t="s">
        <v>46</v>
      </c>
      <c r="C1399" s="2" t="s">
        <v>4274</v>
      </c>
      <c r="D1399" s="11" t="n">
        <v>104840</v>
      </c>
      <c r="E1399" s="31" t="n">
        <v>48.5</v>
      </c>
      <c r="F1399" s="31" t="n">
        <v>94.2</v>
      </c>
      <c r="G1399" s="31" t="n">
        <v>82.9</v>
      </c>
      <c r="H1399" s="2" t="s">
        <v>822</v>
      </c>
    </row>
    <row r="1400" customFormat="false" ht="15" hidden="false" customHeight="false" outlineLevel="0" collapsed="false">
      <c r="A1400" s="2" t="s">
        <v>230</v>
      </c>
      <c r="B1400" s="2" t="s">
        <v>46</v>
      </c>
      <c r="C1400" s="2" t="s">
        <v>4275</v>
      </c>
      <c r="D1400" s="11" t="n">
        <v>110270</v>
      </c>
      <c r="E1400" s="31" t="n">
        <v>49.7</v>
      </c>
      <c r="F1400" s="31" t="n">
        <v>80.3</v>
      </c>
      <c r="G1400" s="31" t="n">
        <v>97.1</v>
      </c>
      <c r="H1400" s="2" t="s">
        <v>822</v>
      </c>
    </row>
    <row r="1401" customFormat="false" ht="15" hidden="false" customHeight="false" outlineLevel="0" collapsed="false">
      <c r="A1401" s="2" t="s">
        <v>670</v>
      </c>
      <c r="B1401" s="2" t="s">
        <v>4291</v>
      </c>
      <c r="C1401" s="2" t="s">
        <v>4274</v>
      </c>
      <c r="D1401" s="2"/>
      <c r="E1401" s="31" t="n">
        <v>32.7</v>
      </c>
      <c r="F1401" s="31" t="n">
        <v>19.9</v>
      </c>
      <c r="G1401" s="31" t="n">
        <v>95.3</v>
      </c>
      <c r="H1401" s="2" t="s">
        <v>822</v>
      </c>
    </row>
    <row r="1402" customFormat="false" ht="15" hidden="false" customHeight="false" outlineLevel="0" collapsed="false">
      <c r="A1402" s="2" t="s">
        <v>670</v>
      </c>
      <c r="B1402" s="2" t="s">
        <v>4291</v>
      </c>
      <c r="C1402" s="2" t="s">
        <v>4275</v>
      </c>
      <c r="D1402" s="2"/>
      <c r="E1402" s="31" t="n">
        <v>32.4</v>
      </c>
      <c r="F1402" s="31" t="n">
        <v>24.5</v>
      </c>
      <c r="G1402" s="31" t="n">
        <v>80.5</v>
      </c>
      <c r="H1402" s="2" t="s">
        <v>822</v>
      </c>
    </row>
    <row r="1403" customFormat="false" ht="15" hidden="false" customHeight="false" outlineLevel="0" collapsed="false">
      <c r="A1403" s="2" t="s">
        <v>670</v>
      </c>
      <c r="B1403" s="2" t="s">
        <v>45</v>
      </c>
      <c r="C1403" s="2" t="s">
        <v>4274</v>
      </c>
      <c r="D1403" s="11" t="n">
        <v>8120</v>
      </c>
      <c r="E1403" s="31" t="n">
        <v>3.5</v>
      </c>
      <c r="F1403" s="31" t="n">
        <v>9.7</v>
      </c>
      <c r="G1403" s="31" t="n">
        <v>97.3</v>
      </c>
      <c r="H1403" s="2" t="s">
        <v>822</v>
      </c>
    </row>
    <row r="1404" customFormat="false" ht="15" hidden="false" customHeight="false" outlineLevel="0" collapsed="false">
      <c r="A1404" s="2" t="s">
        <v>670</v>
      </c>
      <c r="B1404" s="2" t="s">
        <v>45</v>
      </c>
      <c r="C1404" s="2" t="s">
        <v>4275</v>
      </c>
      <c r="D1404" s="11" t="n">
        <v>8363</v>
      </c>
      <c r="E1404" s="31" t="n">
        <v>9.8</v>
      </c>
      <c r="F1404" s="31" t="n">
        <v>19.7</v>
      </c>
      <c r="G1404" s="31" t="n">
        <v>81.6</v>
      </c>
      <c r="H1404" s="2" t="s">
        <v>822</v>
      </c>
    </row>
    <row r="1405" customFormat="false" ht="15" hidden="false" customHeight="false" outlineLevel="0" collapsed="false">
      <c r="A1405" s="2" t="s">
        <v>670</v>
      </c>
      <c r="B1405" s="2" t="s">
        <v>46</v>
      </c>
      <c r="C1405" s="2" t="s">
        <v>4274</v>
      </c>
      <c r="D1405" s="11" t="n">
        <v>59262</v>
      </c>
      <c r="E1405" s="31" t="n">
        <v>87.3</v>
      </c>
      <c r="F1405" s="31" t="n">
        <v>3</v>
      </c>
      <c r="G1405" s="31" t="n">
        <v>95.2</v>
      </c>
      <c r="H1405" s="2" t="s">
        <v>822</v>
      </c>
    </row>
    <row r="1406" customFormat="false" ht="15" hidden="false" customHeight="false" outlineLevel="0" collapsed="false">
      <c r="A1406" s="2" t="s">
        <v>670</v>
      </c>
      <c r="B1406" s="2" t="s">
        <v>46</v>
      </c>
      <c r="C1406" s="2" t="s">
        <v>4275</v>
      </c>
      <c r="D1406" s="11" t="n">
        <v>61080</v>
      </c>
      <c r="E1406" s="31" t="n">
        <v>70.5</v>
      </c>
      <c r="F1406" s="31" t="n">
        <v>4</v>
      </c>
      <c r="G1406" s="31" t="n">
        <v>70.2</v>
      </c>
      <c r="H1406" s="2" t="s">
        <v>822</v>
      </c>
    </row>
    <row r="1407" customFormat="false" ht="15" hidden="false" customHeight="false" outlineLevel="0" collapsed="false">
      <c r="A1407" s="2" t="s">
        <v>670</v>
      </c>
      <c r="B1407" s="2" t="s">
        <v>47</v>
      </c>
      <c r="C1407" s="2" t="s">
        <v>4274</v>
      </c>
      <c r="D1407" s="11" t="n">
        <v>57980</v>
      </c>
      <c r="E1407" s="31" t="n">
        <v>7.4</v>
      </c>
      <c r="F1407" s="31" t="n">
        <v>47.1</v>
      </c>
      <c r="G1407" s="31" t="n">
        <v>93.3</v>
      </c>
      <c r="H1407" s="2" t="s">
        <v>822</v>
      </c>
    </row>
    <row r="1408" customFormat="false" ht="15" hidden="false" customHeight="false" outlineLevel="0" collapsed="false">
      <c r="A1408" s="2" t="s">
        <v>670</v>
      </c>
      <c r="B1408" s="2" t="s">
        <v>47</v>
      </c>
      <c r="C1408" s="2" t="s">
        <v>4275</v>
      </c>
      <c r="D1408" s="11" t="n">
        <v>59250</v>
      </c>
      <c r="E1408" s="31" t="n">
        <v>16.8</v>
      </c>
      <c r="F1408" s="31" t="n">
        <v>49.7</v>
      </c>
      <c r="G1408" s="31" t="n">
        <v>89.6</v>
      </c>
      <c r="H1408" s="2" t="s">
        <v>822</v>
      </c>
    </row>
    <row r="1409" customFormat="false" ht="15" hidden="false" customHeight="false" outlineLevel="0" collapsed="false">
      <c r="A1409" s="2" t="s">
        <v>1441</v>
      </c>
      <c r="B1409" s="2" t="s">
        <v>4291</v>
      </c>
      <c r="C1409" s="2" t="s">
        <v>4274</v>
      </c>
      <c r="D1409" s="2"/>
      <c r="E1409" s="31" t="n">
        <v>70.7</v>
      </c>
      <c r="F1409" s="31" t="n">
        <v>63.7</v>
      </c>
      <c r="G1409" s="31" t="n">
        <v>56.2</v>
      </c>
      <c r="H1409" s="2" t="s">
        <v>832</v>
      </c>
    </row>
    <row r="1410" customFormat="false" ht="15" hidden="false" customHeight="false" outlineLevel="0" collapsed="false">
      <c r="A1410" s="2" t="s">
        <v>1441</v>
      </c>
      <c r="B1410" s="2" t="s">
        <v>4291</v>
      </c>
      <c r="C1410" s="2" t="s">
        <v>4275</v>
      </c>
      <c r="D1410" s="2"/>
      <c r="E1410" s="31" t="n">
        <v>60.6</v>
      </c>
      <c r="F1410" s="31" t="n">
        <v>59.7</v>
      </c>
      <c r="G1410" s="31" t="n">
        <v>64.7</v>
      </c>
      <c r="H1410" s="2" t="s">
        <v>832</v>
      </c>
    </row>
    <row r="1411" customFormat="false" ht="15" hidden="false" customHeight="false" outlineLevel="0" collapsed="false">
      <c r="A1411" s="2" t="s">
        <v>1441</v>
      </c>
      <c r="B1411" s="2" t="s">
        <v>45</v>
      </c>
      <c r="C1411" s="2" t="s">
        <v>4274</v>
      </c>
      <c r="D1411" s="11" t="n">
        <v>3910</v>
      </c>
      <c r="E1411" s="31" t="n">
        <v>47.7</v>
      </c>
      <c r="F1411" s="31" t="n">
        <v>40.3</v>
      </c>
      <c r="G1411" s="31" t="n">
        <v>19.5</v>
      </c>
      <c r="H1411" s="2" t="s">
        <v>822</v>
      </c>
    </row>
    <row r="1412" customFormat="false" ht="15" hidden="false" customHeight="false" outlineLevel="0" collapsed="false">
      <c r="A1412" s="2" t="s">
        <v>1441</v>
      </c>
      <c r="B1412" s="2" t="s">
        <v>45</v>
      </c>
      <c r="C1412" s="2" t="s">
        <v>4275</v>
      </c>
      <c r="D1412" s="11" t="n">
        <v>4077</v>
      </c>
      <c r="E1412" s="31" t="n">
        <v>21.7</v>
      </c>
      <c r="F1412" s="31" t="n">
        <v>32.4</v>
      </c>
      <c r="G1412" s="31" t="n">
        <v>21.7</v>
      </c>
      <c r="H1412" s="2" t="s">
        <v>822</v>
      </c>
    </row>
    <row r="1413" customFormat="false" ht="15" hidden="false" customHeight="false" outlineLevel="0" collapsed="false">
      <c r="A1413" s="2" t="s">
        <v>1441</v>
      </c>
      <c r="B1413" s="2" t="s">
        <v>46</v>
      </c>
      <c r="C1413" s="2" t="s">
        <v>4274</v>
      </c>
      <c r="D1413" s="11" t="n">
        <v>11820</v>
      </c>
      <c r="E1413" s="31" t="n">
        <v>69.9</v>
      </c>
      <c r="F1413" s="31" t="n">
        <v>90.3</v>
      </c>
      <c r="G1413" s="31" t="n">
        <v>92.9</v>
      </c>
      <c r="H1413" s="2" t="s">
        <v>822</v>
      </c>
    </row>
    <row r="1414" customFormat="false" ht="15" hidden="false" customHeight="false" outlineLevel="0" collapsed="false">
      <c r="A1414" s="2" t="s">
        <v>1441</v>
      </c>
      <c r="B1414" s="2" t="s">
        <v>46</v>
      </c>
      <c r="C1414" s="2" t="s">
        <v>4275</v>
      </c>
      <c r="D1414" s="11" t="n">
        <v>12310</v>
      </c>
      <c r="E1414" s="2"/>
      <c r="F1414" s="31" t="n">
        <v>93.5</v>
      </c>
      <c r="G1414" s="31" t="n">
        <v>97.6</v>
      </c>
      <c r="H1414" s="2" t="s">
        <v>832</v>
      </c>
    </row>
    <row r="1415" customFormat="false" ht="15" hidden="false" customHeight="false" outlineLevel="0" collapsed="false">
      <c r="A1415" s="2" t="s">
        <v>1441</v>
      </c>
      <c r="B1415" s="2" t="s">
        <v>47</v>
      </c>
      <c r="C1415" s="2" t="s">
        <v>4274</v>
      </c>
      <c r="D1415" s="11" t="n">
        <v>34143</v>
      </c>
      <c r="E1415" s="31" t="n">
        <v>94.6</v>
      </c>
      <c r="F1415" s="31" t="n">
        <v>60.5</v>
      </c>
      <c r="G1415" s="2"/>
      <c r="H1415" s="2" t="s">
        <v>832</v>
      </c>
    </row>
    <row r="1416" customFormat="false" ht="15" hidden="false" customHeight="false" outlineLevel="0" collapsed="false">
      <c r="A1416" s="2" t="s">
        <v>1441</v>
      </c>
      <c r="B1416" s="2" t="s">
        <v>47</v>
      </c>
      <c r="C1416" s="2" t="s">
        <v>4275</v>
      </c>
      <c r="D1416" s="11" t="n">
        <v>35228</v>
      </c>
      <c r="E1416" s="31" t="n">
        <v>99.5</v>
      </c>
      <c r="F1416" s="31" t="n">
        <v>53.2</v>
      </c>
      <c r="G1416" s="31" t="n">
        <v>74.9</v>
      </c>
      <c r="H1416" s="2" t="s">
        <v>822</v>
      </c>
    </row>
    <row r="1417" customFormat="false" ht="15" hidden="false" customHeight="false" outlineLevel="0" collapsed="false">
      <c r="A1417" s="2" t="s">
        <v>390</v>
      </c>
      <c r="B1417" s="2" t="s">
        <v>4291</v>
      </c>
      <c r="C1417" s="2" t="s">
        <v>4274</v>
      </c>
      <c r="D1417" s="2"/>
      <c r="E1417" s="31" t="n">
        <v>68</v>
      </c>
      <c r="F1417" s="31" t="n">
        <v>52.2</v>
      </c>
      <c r="G1417" s="31" t="n">
        <v>42.5</v>
      </c>
      <c r="H1417" s="2" t="s">
        <v>832</v>
      </c>
    </row>
    <row r="1418" customFormat="false" ht="15" hidden="false" customHeight="false" outlineLevel="0" collapsed="false">
      <c r="A1418" s="2" t="s">
        <v>390</v>
      </c>
      <c r="B1418" s="2" t="s">
        <v>4291</v>
      </c>
      <c r="C1418" s="2" t="s">
        <v>4275</v>
      </c>
      <c r="D1418" s="2"/>
      <c r="E1418" s="31" t="n">
        <v>55.9</v>
      </c>
      <c r="F1418" s="31" t="n">
        <v>48.1</v>
      </c>
      <c r="G1418" s="31" t="n">
        <v>38.5</v>
      </c>
      <c r="H1418" s="2" t="s">
        <v>822</v>
      </c>
    </row>
    <row r="1419" customFormat="false" ht="15" hidden="false" customHeight="false" outlineLevel="0" collapsed="false">
      <c r="A1419" s="2" t="s">
        <v>390</v>
      </c>
      <c r="B1419" s="2" t="s">
        <v>45</v>
      </c>
      <c r="C1419" s="2" t="s">
        <v>4274</v>
      </c>
      <c r="D1419" s="11" t="n">
        <v>6132</v>
      </c>
      <c r="E1419" s="31" t="n">
        <v>81.2</v>
      </c>
      <c r="F1419" s="2"/>
      <c r="G1419" s="31" t="n">
        <v>75.6</v>
      </c>
      <c r="H1419" s="2" t="s">
        <v>832</v>
      </c>
    </row>
    <row r="1420" customFormat="false" ht="15" hidden="false" customHeight="false" outlineLevel="0" collapsed="false">
      <c r="A1420" s="2" t="s">
        <v>390</v>
      </c>
      <c r="B1420" s="2" t="s">
        <v>45</v>
      </c>
      <c r="C1420" s="2" t="s">
        <v>4275</v>
      </c>
      <c r="D1420" s="11" t="n">
        <v>6470</v>
      </c>
      <c r="E1420" s="31" t="n">
        <v>71.5</v>
      </c>
      <c r="F1420" s="31" t="n">
        <v>38</v>
      </c>
      <c r="G1420" s="31" t="n">
        <v>66</v>
      </c>
      <c r="H1420" s="2" t="s">
        <v>822</v>
      </c>
    </row>
    <row r="1421" customFormat="false" ht="15" hidden="false" customHeight="false" outlineLevel="0" collapsed="false">
      <c r="A1421" s="2" t="s">
        <v>390</v>
      </c>
      <c r="B1421" s="2" t="s">
        <v>46</v>
      </c>
      <c r="C1421" s="2" t="s">
        <v>4274</v>
      </c>
      <c r="D1421" s="11" t="n">
        <v>1422420</v>
      </c>
      <c r="E1421" s="31" t="n">
        <v>66.1</v>
      </c>
      <c r="F1421" s="31" t="n">
        <v>100</v>
      </c>
      <c r="G1421" s="31" t="n">
        <v>2.1</v>
      </c>
      <c r="H1421" s="2" t="s">
        <v>822</v>
      </c>
    </row>
    <row r="1422" customFormat="false" ht="15" hidden="false" customHeight="false" outlineLevel="0" collapsed="false">
      <c r="A1422" s="2" t="s">
        <v>390</v>
      </c>
      <c r="B1422" s="2" t="s">
        <v>46</v>
      </c>
      <c r="C1422" s="2" t="s">
        <v>4275</v>
      </c>
      <c r="D1422" s="11" t="n">
        <v>1465190</v>
      </c>
      <c r="E1422" s="31" t="n">
        <v>40.7</v>
      </c>
      <c r="F1422" s="31" t="n">
        <v>100</v>
      </c>
      <c r="G1422" s="31" t="n">
        <v>16.8</v>
      </c>
      <c r="H1422" s="2" t="s">
        <v>822</v>
      </c>
    </row>
    <row r="1423" customFormat="false" ht="15" hidden="false" customHeight="false" outlineLevel="0" collapsed="false">
      <c r="A1423" s="2" t="s">
        <v>390</v>
      </c>
      <c r="B1423" s="2" t="s">
        <v>47</v>
      </c>
      <c r="C1423" s="2" t="s">
        <v>4274</v>
      </c>
      <c r="D1423" s="11" t="n">
        <v>1473</v>
      </c>
      <c r="E1423" s="31" t="n">
        <v>56.6</v>
      </c>
      <c r="F1423" s="31" t="n">
        <v>4.4</v>
      </c>
      <c r="G1423" s="31" t="n">
        <v>49.9</v>
      </c>
      <c r="H1423" s="2" t="s">
        <v>822</v>
      </c>
    </row>
    <row r="1424" customFormat="false" ht="15" hidden="false" customHeight="false" outlineLevel="0" collapsed="false">
      <c r="A1424" s="2" t="s">
        <v>390</v>
      </c>
      <c r="B1424" s="2" t="s">
        <v>47</v>
      </c>
      <c r="C1424" s="2" t="s">
        <v>4275</v>
      </c>
      <c r="D1424" s="11" t="n">
        <v>1428</v>
      </c>
      <c r="E1424" s="31" t="n">
        <v>55.6</v>
      </c>
      <c r="F1424" s="31" t="n">
        <v>6.2</v>
      </c>
      <c r="G1424" s="31" t="n">
        <v>32.8</v>
      </c>
      <c r="H1424" s="2" t="s">
        <v>822</v>
      </c>
    </row>
    <row r="1425" customFormat="false" ht="15" hidden="false" customHeight="false" outlineLevel="0" collapsed="false">
      <c r="A1425" s="2" t="s">
        <v>1738</v>
      </c>
      <c r="B1425" s="2" t="s">
        <v>4291</v>
      </c>
      <c r="C1425" s="2" t="s">
        <v>4274</v>
      </c>
      <c r="D1425" s="2"/>
      <c r="E1425" s="31" t="n">
        <v>40.8</v>
      </c>
      <c r="F1425" s="31" t="n">
        <v>32.4</v>
      </c>
      <c r="G1425" s="31" t="n">
        <v>86.8</v>
      </c>
      <c r="H1425" s="2" t="s">
        <v>832</v>
      </c>
    </row>
    <row r="1426" customFormat="false" ht="15" hidden="false" customHeight="false" outlineLevel="0" collapsed="false">
      <c r="A1426" s="2" t="s">
        <v>1738</v>
      </c>
      <c r="B1426" s="2" t="s">
        <v>4291</v>
      </c>
      <c r="C1426" s="2" t="s">
        <v>4275</v>
      </c>
      <c r="D1426" s="2"/>
      <c r="E1426" s="31" t="n">
        <v>51.5</v>
      </c>
      <c r="F1426" s="31" t="n">
        <v>33</v>
      </c>
      <c r="G1426" s="31" t="n">
        <v>92.3</v>
      </c>
      <c r="H1426" s="2" t="s">
        <v>832</v>
      </c>
    </row>
    <row r="1427" customFormat="false" ht="15" hidden="false" customHeight="false" outlineLevel="0" collapsed="false">
      <c r="A1427" s="2" t="s">
        <v>1738</v>
      </c>
      <c r="B1427" s="2" t="s">
        <v>45</v>
      </c>
      <c r="C1427" s="2" t="s">
        <v>4274</v>
      </c>
      <c r="D1427" s="11" t="n">
        <v>237257</v>
      </c>
      <c r="E1427" s="31" t="n">
        <v>38.5</v>
      </c>
      <c r="F1427" s="31" t="n">
        <v>26.7</v>
      </c>
      <c r="G1427" s="2"/>
      <c r="H1427" s="2" t="s">
        <v>832</v>
      </c>
    </row>
    <row r="1428" customFormat="false" ht="15" hidden="false" customHeight="false" outlineLevel="0" collapsed="false">
      <c r="A1428" s="2" t="s">
        <v>1738</v>
      </c>
      <c r="B1428" s="2" t="s">
        <v>45</v>
      </c>
      <c r="C1428" s="2" t="s">
        <v>4275</v>
      </c>
      <c r="D1428" s="11" t="n">
        <v>247740</v>
      </c>
      <c r="E1428" s="31" t="n">
        <v>27.8</v>
      </c>
      <c r="F1428" s="31" t="n">
        <v>36.4</v>
      </c>
      <c r="G1428" s="2"/>
      <c r="H1428" s="2" t="s">
        <v>832</v>
      </c>
    </row>
    <row r="1429" customFormat="false" ht="15" hidden="false" customHeight="false" outlineLevel="0" collapsed="false">
      <c r="A1429" s="2" t="s">
        <v>1738</v>
      </c>
      <c r="B1429" s="2" t="s">
        <v>46</v>
      </c>
      <c r="C1429" s="2" t="s">
        <v>4274</v>
      </c>
      <c r="D1429" s="11" t="n">
        <v>26890</v>
      </c>
      <c r="E1429" s="31" t="n">
        <v>43.1</v>
      </c>
      <c r="F1429" s="31" t="n">
        <v>38.2</v>
      </c>
      <c r="G1429" s="31" t="n">
        <v>86.8</v>
      </c>
      <c r="H1429" s="2" t="s">
        <v>822</v>
      </c>
    </row>
    <row r="1430" customFormat="false" ht="15" hidden="false" customHeight="false" outlineLevel="0" collapsed="false">
      <c r="A1430" s="2" t="s">
        <v>1738</v>
      </c>
      <c r="B1430" s="2" t="s">
        <v>46</v>
      </c>
      <c r="C1430" s="2" t="s">
        <v>4275</v>
      </c>
      <c r="D1430" s="11" t="n">
        <v>27980</v>
      </c>
      <c r="E1430" s="31" t="n">
        <v>75.2</v>
      </c>
      <c r="F1430" s="31" t="n">
        <v>29.5</v>
      </c>
      <c r="G1430" s="31" t="n">
        <v>92.3</v>
      </c>
      <c r="H1430" s="2" t="s">
        <v>822</v>
      </c>
    </row>
    <row r="1431" customFormat="false" ht="15" hidden="false" customHeight="false" outlineLevel="0" collapsed="false">
      <c r="A1431" s="2" t="s">
        <v>266</v>
      </c>
      <c r="B1431" s="2" t="s">
        <v>4291</v>
      </c>
      <c r="C1431" s="2" t="s">
        <v>4274</v>
      </c>
      <c r="D1431" s="2"/>
      <c r="E1431" s="31" t="n">
        <v>56.8</v>
      </c>
      <c r="F1431" s="31" t="n">
        <v>47.4</v>
      </c>
      <c r="G1431" s="31" t="n">
        <v>58.2</v>
      </c>
      <c r="H1431" s="2" t="s">
        <v>822</v>
      </c>
    </row>
    <row r="1432" customFormat="false" ht="15" hidden="false" customHeight="false" outlineLevel="0" collapsed="false">
      <c r="A1432" s="2" t="s">
        <v>266</v>
      </c>
      <c r="B1432" s="2" t="s">
        <v>4291</v>
      </c>
      <c r="C1432" s="2" t="s">
        <v>4275</v>
      </c>
      <c r="D1432" s="2"/>
      <c r="E1432" s="31" t="n">
        <v>66.1</v>
      </c>
      <c r="F1432" s="31" t="n">
        <v>45.2</v>
      </c>
      <c r="G1432" s="31" t="n">
        <v>58.2</v>
      </c>
      <c r="H1432" s="2" t="s">
        <v>822</v>
      </c>
    </row>
    <row r="1433" customFormat="false" ht="15" hidden="false" customHeight="false" outlineLevel="0" collapsed="false">
      <c r="A1433" s="2" t="s">
        <v>266</v>
      </c>
      <c r="B1433" s="2" t="s">
        <v>45</v>
      </c>
      <c r="C1433" s="2" t="s">
        <v>4274</v>
      </c>
      <c r="D1433" s="11" t="n">
        <v>132019</v>
      </c>
      <c r="E1433" s="31" t="n">
        <v>13</v>
      </c>
      <c r="F1433" s="31" t="n">
        <v>57.5</v>
      </c>
      <c r="G1433" s="31" t="n">
        <v>34.1</v>
      </c>
      <c r="H1433" s="2" t="s">
        <v>822</v>
      </c>
    </row>
    <row r="1434" customFormat="false" ht="15" hidden="false" customHeight="false" outlineLevel="0" collapsed="false">
      <c r="A1434" s="2" t="s">
        <v>266</v>
      </c>
      <c r="B1434" s="2" t="s">
        <v>45</v>
      </c>
      <c r="C1434" s="2" t="s">
        <v>4275</v>
      </c>
      <c r="D1434" s="11" t="n">
        <v>132640</v>
      </c>
      <c r="E1434" s="31" t="n">
        <v>32.1</v>
      </c>
      <c r="F1434" s="31" t="n">
        <v>64.3</v>
      </c>
      <c r="G1434" s="31" t="n">
        <v>48</v>
      </c>
      <c r="H1434" s="2" t="s">
        <v>822</v>
      </c>
    </row>
    <row r="1435" customFormat="false" ht="15" hidden="false" customHeight="false" outlineLevel="0" collapsed="false">
      <c r="A1435" s="2" t="s">
        <v>266</v>
      </c>
      <c r="B1435" s="2" t="s">
        <v>46</v>
      </c>
      <c r="C1435" s="2" t="s">
        <v>4274</v>
      </c>
      <c r="D1435" s="11" t="n">
        <v>243796</v>
      </c>
      <c r="E1435" s="31" t="n">
        <v>57.9</v>
      </c>
      <c r="F1435" s="31" t="n">
        <v>9</v>
      </c>
      <c r="G1435" s="31" t="n">
        <v>84</v>
      </c>
      <c r="H1435" s="2" t="s">
        <v>822</v>
      </c>
    </row>
    <row r="1436" customFormat="false" ht="15" hidden="false" customHeight="false" outlineLevel="0" collapsed="false">
      <c r="A1436" s="2" t="s">
        <v>266</v>
      </c>
      <c r="B1436" s="2" t="s">
        <v>46</v>
      </c>
      <c r="C1436" s="2" t="s">
        <v>4275</v>
      </c>
      <c r="D1436" s="11" t="n">
        <v>249480</v>
      </c>
      <c r="E1436" s="31" t="n">
        <v>66.2</v>
      </c>
      <c r="F1436" s="31" t="n">
        <v>12.1</v>
      </c>
      <c r="G1436" s="31" t="n">
        <v>87.6</v>
      </c>
      <c r="H1436" s="2" t="s">
        <v>822</v>
      </c>
    </row>
    <row r="1437" customFormat="false" ht="15" hidden="false" customHeight="false" outlineLevel="0" collapsed="false">
      <c r="A1437" s="2" t="s">
        <v>266</v>
      </c>
      <c r="B1437" s="2" t="s">
        <v>47</v>
      </c>
      <c r="C1437" s="2" t="s">
        <v>4274</v>
      </c>
      <c r="D1437" s="11" t="n">
        <v>45610</v>
      </c>
      <c r="E1437" s="31" t="n">
        <v>99.5</v>
      </c>
      <c r="F1437" s="31" t="n">
        <v>75.8</v>
      </c>
      <c r="G1437" s="31" t="n">
        <v>56.6</v>
      </c>
      <c r="H1437" s="2" t="s">
        <v>822</v>
      </c>
    </row>
    <row r="1438" customFormat="false" ht="15" hidden="false" customHeight="false" outlineLevel="0" collapsed="false">
      <c r="A1438" s="2" t="s">
        <v>266</v>
      </c>
      <c r="B1438" s="2" t="s">
        <v>47</v>
      </c>
      <c r="C1438" s="2" t="s">
        <v>4275</v>
      </c>
      <c r="D1438" s="11" t="n">
        <v>48271</v>
      </c>
      <c r="E1438" s="31" t="n">
        <v>100</v>
      </c>
      <c r="F1438" s="31" t="n">
        <v>59.1</v>
      </c>
      <c r="G1438" s="31" t="n">
        <v>39.1</v>
      </c>
      <c r="H1438" s="2" t="s">
        <v>822</v>
      </c>
    </row>
    <row r="1439" customFormat="false" ht="15" hidden="false" customHeight="false" outlineLevel="0" collapsed="false">
      <c r="A1439" s="2" t="s">
        <v>478</v>
      </c>
      <c r="B1439" s="2" t="s">
        <v>4291</v>
      </c>
      <c r="C1439" s="2" t="s">
        <v>4274</v>
      </c>
      <c r="D1439" s="2"/>
      <c r="E1439" s="31" t="n">
        <v>42.2</v>
      </c>
      <c r="F1439" s="31" t="n">
        <v>31.8</v>
      </c>
      <c r="G1439" s="31" t="n">
        <v>75</v>
      </c>
      <c r="H1439" s="2" t="s">
        <v>832</v>
      </c>
    </row>
    <row r="1440" customFormat="false" ht="15" hidden="false" customHeight="false" outlineLevel="0" collapsed="false">
      <c r="A1440" s="2" t="s">
        <v>478</v>
      </c>
      <c r="B1440" s="2" t="s">
        <v>4291</v>
      </c>
      <c r="C1440" s="2" t="s">
        <v>4275</v>
      </c>
      <c r="D1440" s="2"/>
      <c r="E1440" s="31" t="n">
        <v>49.9</v>
      </c>
      <c r="F1440" s="31" t="n">
        <v>27.5</v>
      </c>
      <c r="G1440" s="31" t="n">
        <v>67.5</v>
      </c>
      <c r="H1440" s="2" t="s">
        <v>822</v>
      </c>
    </row>
    <row r="1441" customFormat="false" ht="15" hidden="false" customHeight="false" outlineLevel="0" collapsed="false">
      <c r="A1441" s="2" t="s">
        <v>478</v>
      </c>
      <c r="B1441" s="2" t="s">
        <v>45</v>
      </c>
      <c r="C1441" s="2" t="s">
        <v>4274</v>
      </c>
      <c r="D1441" s="11" t="n">
        <v>27620</v>
      </c>
      <c r="E1441" s="31" t="n">
        <v>61.8</v>
      </c>
      <c r="F1441" s="31" t="n">
        <v>26.6</v>
      </c>
      <c r="G1441" s="31" t="n">
        <v>64.1</v>
      </c>
      <c r="H1441" s="2" t="s">
        <v>822</v>
      </c>
    </row>
    <row r="1442" customFormat="false" ht="15" hidden="false" customHeight="false" outlineLevel="0" collapsed="false">
      <c r="A1442" s="2" t="s">
        <v>478</v>
      </c>
      <c r="B1442" s="2" t="s">
        <v>45</v>
      </c>
      <c r="C1442" s="2" t="s">
        <v>4275</v>
      </c>
      <c r="D1442" s="11" t="n">
        <v>27710</v>
      </c>
      <c r="E1442" s="31" t="n">
        <v>69.9</v>
      </c>
      <c r="F1442" s="31" t="n">
        <v>3.8</v>
      </c>
      <c r="G1442" s="31" t="n">
        <v>96.5</v>
      </c>
      <c r="H1442" s="2" t="s">
        <v>822</v>
      </c>
    </row>
    <row r="1443" customFormat="false" ht="15" hidden="false" customHeight="false" outlineLevel="0" collapsed="false">
      <c r="A1443" s="2" t="s">
        <v>478</v>
      </c>
      <c r="B1443" s="2" t="s">
        <v>46</v>
      </c>
      <c r="C1443" s="2" t="s">
        <v>4274</v>
      </c>
      <c r="D1443" s="11" t="n">
        <v>7110</v>
      </c>
      <c r="E1443" s="31" t="n">
        <v>38.2</v>
      </c>
      <c r="F1443" s="31" t="n">
        <v>24.6</v>
      </c>
      <c r="G1443" s="2"/>
      <c r="H1443" s="2" t="s">
        <v>832</v>
      </c>
    </row>
    <row r="1444" customFormat="false" ht="15" hidden="false" customHeight="false" outlineLevel="0" collapsed="false">
      <c r="A1444" s="2" t="s">
        <v>478</v>
      </c>
      <c r="B1444" s="2" t="s">
        <v>46</v>
      </c>
      <c r="C1444" s="2" t="s">
        <v>4275</v>
      </c>
      <c r="D1444" s="11" t="n">
        <v>7281</v>
      </c>
      <c r="E1444" s="31" t="n">
        <v>22</v>
      </c>
      <c r="F1444" s="31" t="n">
        <v>9.4</v>
      </c>
      <c r="G1444" s="31" t="n">
        <v>14.1</v>
      </c>
      <c r="H1444" s="2" t="s">
        <v>822</v>
      </c>
    </row>
    <row r="1445" customFormat="false" ht="15" hidden="false" customHeight="false" outlineLevel="0" collapsed="false">
      <c r="A1445" s="2" t="s">
        <v>478</v>
      </c>
      <c r="B1445" s="2" t="s">
        <v>47</v>
      </c>
      <c r="C1445" s="2" t="s">
        <v>4274</v>
      </c>
      <c r="D1445" s="11" t="n">
        <v>39803</v>
      </c>
      <c r="E1445" s="31" t="n">
        <v>26.5</v>
      </c>
      <c r="F1445" s="31" t="n">
        <v>44.1</v>
      </c>
      <c r="G1445" s="31" t="n">
        <v>85.9</v>
      </c>
      <c r="H1445" s="2" t="s">
        <v>822</v>
      </c>
    </row>
    <row r="1446" customFormat="false" ht="15" hidden="false" customHeight="false" outlineLevel="0" collapsed="false">
      <c r="A1446" s="2" t="s">
        <v>478</v>
      </c>
      <c r="B1446" s="2" t="s">
        <v>47</v>
      </c>
      <c r="C1446" s="2" t="s">
        <v>4275</v>
      </c>
      <c r="D1446" s="11" t="n">
        <v>39840</v>
      </c>
      <c r="E1446" s="31" t="n">
        <v>57.7</v>
      </c>
      <c r="F1446" s="31" t="n">
        <v>69.2</v>
      </c>
      <c r="G1446" s="31" t="n">
        <v>91.8</v>
      </c>
      <c r="H1446" s="2" t="s">
        <v>822</v>
      </c>
    </row>
    <row r="1447" customFormat="false" ht="15" hidden="false" customHeight="false" outlineLevel="0" collapsed="false">
      <c r="A1447" s="2" t="s">
        <v>1172</v>
      </c>
      <c r="B1447" s="2" t="s">
        <v>4291</v>
      </c>
      <c r="C1447" s="2" t="s">
        <v>4274</v>
      </c>
      <c r="D1447" s="2"/>
      <c r="E1447" s="31" t="n">
        <v>60.5</v>
      </c>
      <c r="F1447" s="31" t="n">
        <v>30.3</v>
      </c>
      <c r="G1447" s="31" t="n">
        <v>89.8</v>
      </c>
      <c r="H1447" s="2" t="s">
        <v>832</v>
      </c>
    </row>
    <row r="1448" customFormat="false" ht="15" hidden="false" customHeight="false" outlineLevel="0" collapsed="false">
      <c r="A1448" s="2" t="s">
        <v>1172</v>
      </c>
      <c r="B1448" s="2" t="s">
        <v>4291</v>
      </c>
      <c r="C1448" s="2" t="s">
        <v>4275</v>
      </c>
      <c r="D1448" s="2"/>
      <c r="E1448" s="31" t="n">
        <v>48.9</v>
      </c>
      <c r="F1448" s="31" t="n">
        <v>21.8</v>
      </c>
      <c r="G1448" s="31" t="n">
        <v>69</v>
      </c>
      <c r="H1448" s="2" t="s">
        <v>832</v>
      </c>
    </row>
    <row r="1449" customFormat="false" ht="15" hidden="false" customHeight="false" outlineLevel="0" collapsed="false">
      <c r="A1449" s="2" t="s">
        <v>1172</v>
      </c>
      <c r="B1449" s="2" t="s">
        <v>45</v>
      </c>
      <c r="C1449" s="2" t="s">
        <v>4274</v>
      </c>
      <c r="D1449" s="11" t="n">
        <v>23172</v>
      </c>
      <c r="E1449" s="31" t="n">
        <v>70</v>
      </c>
      <c r="F1449" s="31" t="n">
        <v>36.9</v>
      </c>
      <c r="G1449" s="2"/>
      <c r="H1449" s="2" t="s">
        <v>832</v>
      </c>
    </row>
    <row r="1450" customFormat="false" ht="15" hidden="false" customHeight="false" outlineLevel="0" collapsed="false">
      <c r="A1450" s="2" t="s">
        <v>1172</v>
      </c>
      <c r="B1450" s="2" t="s">
        <v>45</v>
      </c>
      <c r="C1450" s="2" t="s">
        <v>4275</v>
      </c>
      <c r="D1450" s="11" t="n">
        <v>23940</v>
      </c>
      <c r="E1450" s="31" t="n">
        <v>58</v>
      </c>
      <c r="F1450" s="31" t="n">
        <v>41.2</v>
      </c>
      <c r="G1450" s="31" t="n">
        <v>75.3</v>
      </c>
      <c r="H1450" s="2" t="s">
        <v>822</v>
      </c>
    </row>
    <row r="1451" customFormat="false" ht="15" hidden="false" customHeight="false" outlineLevel="0" collapsed="false">
      <c r="A1451" s="2" t="s">
        <v>1172</v>
      </c>
      <c r="B1451" s="2" t="s">
        <v>46</v>
      </c>
      <c r="C1451" s="2" t="s">
        <v>4274</v>
      </c>
      <c r="D1451" s="11" t="n">
        <v>4240</v>
      </c>
      <c r="E1451" s="31" t="n">
        <v>66.3</v>
      </c>
      <c r="F1451" s="31" t="n">
        <v>45.6</v>
      </c>
      <c r="G1451" s="31" t="n">
        <v>94.7</v>
      </c>
      <c r="H1451" s="2" t="s">
        <v>822</v>
      </c>
    </row>
    <row r="1452" customFormat="false" ht="15" hidden="false" customHeight="false" outlineLevel="0" collapsed="false">
      <c r="A1452" s="2" t="s">
        <v>1172</v>
      </c>
      <c r="B1452" s="2" t="s">
        <v>46</v>
      </c>
      <c r="C1452" s="2" t="s">
        <v>4275</v>
      </c>
      <c r="D1452" s="11" t="n">
        <v>4510</v>
      </c>
      <c r="E1452" s="31" t="n">
        <v>48.3</v>
      </c>
      <c r="F1452" s="2"/>
      <c r="G1452" s="31" t="n">
        <v>58.9</v>
      </c>
      <c r="H1452" s="2" t="s">
        <v>832</v>
      </c>
    </row>
    <row r="1453" customFormat="false" ht="15" hidden="false" customHeight="false" outlineLevel="0" collapsed="false">
      <c r="A1453" s="2" t="s">
        <v>1172</v>
      </c>
      <c r="B1453" s="2" t="s">
        <v>47</v>
      </c>
      <c r="C1453" s="2" t="s">
        <v>4274</v>
      </c>
      <c r="D1453" s="11" t="n">
        <v>46179</v>
      </c>
      <c r="E1453" s="31" t="n">
        <v>45.3</v>
      </c>
      <c r="F1453" s="31" t="n">
        <v>8.5</v>
      </c>
      <c r="G1453" s="31" t="n">
        <v>84.8</v>
      </c>
      <c r="H1453" s="2" t="s">
        <v>822</v>
      </c>
    </row>
    <row r="1454" customFormat="false" ht="15" hidden="false" customHeight="false" outlineLevel="0" collapsed="false">
      <c r="A1454" s="2" t="s">
        <v>1172</v>
      </c>
      <c r="B1454" s="2" t="s">
        <v>47</v>
      </c>
      <c r="C1454" s="2" t="s">
        <v>4275</v>
      </c>
      <c r="D1454" s="11" t="n">
        <v>46051</v>
      </c>
      <c r="E1454" s="31" t="n">
        <v>40.4</v>
      </c>
      <c r="F1454" s="31" t="n">
        <v>2.3</v>
      </c>
      <c r="G1454" s="31" t="n">
        <v>72.8</v>
      </c>
      <c r="H1454" s="2" t="s">
        <v>822</v>
      </c>
    </row>
    <row r="1455" customFormat="false" ht="15" hidden="false" customHeight="false" outlineLevel="0" collapsed="false">
      <c r="A1455" s="2" t="s">
        <v>482</v>
      </c>
      <c r="B1455" s="2" t="s">
        <v>4291</v>
      </c>
      <c r="C1455" s="2" t="s">
        <v>4274</v>
      </c>
      <c r="D1455" s="2"/>
      <c r="E1455" s="31" t="n">
        <v>55.9</v>
      </c>
      <c r="F1455" s="31" t="n">
        <v>62.9</v>
      </c>
      <c r="G1455" s="31" t="n">
        <v>43.7</v>
      </c>
      <c r="H1455" s="2" t="s">
        <v>832</v>
      </c>
    </row>
    <row r="1456" customFormat="false" ht="15" hidden="false" customHeight="false" outlineLevel="0" collapsed="false">
      <c r="A1456" s="2" t="s">
        <v>482</v>
      </c>
      <c r="B1456" s="2" t="s">
        <v>4291</v>
      </c>
      <c r="C1456" s="2" t="s">
        <v>4275</v>
      </c>
      <c r="D1456" s="2"/>
      <c r="E1456" s="31" t="n">
        <v>49.9</v>
      </c>
      <c r="F1456" s="31" t="n">
        <v>61.8</v>
      </c>
      <c r="G1456" s="31" t="n">
        <v>49.6</v>
      </c>
      <c r="H1456" s="2" t="s">
        <v>822</v>
      </c>
    </row>
    <row r="1457" customFormat="false" ht="15" hidden="false" customHeight="false" outlineLevel="0" collapsed="false">
      <c r="A1457" s="2" t="s">
        <v>482</v>
      </c>
      <c r="B1457" s="2" t="s">
        <v>45</v>
      </c>
      <c r="C1457" s="2" t="s">
        <v>4274</v>
      </c>
      <c r="D1457" s="11" t="n">
        <v>55190</v>
      </c>
      <c r="E1457" s="31" t="n">
        <v>56.4</v>
      </c>
      <c r="F1457" s="31" t="n">
        <v>47.4</v>
      </c>
      <c r="G1457" s="2"/>
      <c r="H1457" s="2" t="s">
        <v>832</v>
      </c>
    </row>
    <row r="1458" customFormat="false" ht="15" hidden="false" customHeight="false" outlineLevel="0" collapsed="false">
      <c r="A1458" s="2" t="s">
        <v>482</v>
      </c>
      <c r="B1458" s="2" t="s">
        <v>45</v>
      </c>
      <c r="C1458" s="2" t="s">
        <v>4275</v>
      </c>
      <c r="D1458" s="11" t="n">
        <v>56430</v>
      </c>
      <c r="E1458" s="31" t="n">
        <v>58.2</v>
      </c>
      <c r="F1458" s="31" t="n">
        <v>41.6</v>
      </c>
      <c r="G1458" s="31" t="n">
        <v>72.3</v>
      </c>
      <c r="H1458" s="2" t="s">
        <v>822</v>
      </c>
    </row>
    <row r="1459" customFormat="false" ht="15" hidden="false" customHeight="false" outlineLevel="0" collapsed="false">
      <c r="A1459" s="2" t="s">
        <v>482</v>
      </c>
      <c r="B1459" s="2" t="s">
        <v>46</v>
      </c>
      <c r="C1459" s="2" t="s">
        <v>4274</v>
      </c>
      <c r="D1459" s="2"/>
      <c r="E1459" s="2"/>
      <c r="F1459" s="2"/>
      <c r="G1459" s="2"/>
      <c r="H1459" s="2" t="s">
        <v>832</v>
      </c>
    </row>
    <row r="1460" customFormat="false" ht="15" hidden="false" customHeight="false" outlineLevel="0" collapsed="false">
      <c r="A1460" s="2" t="s">
        <v>482</v>
      </c>
      <c r="B1460" s="2" t="s">
        <v>46</v>
      </c>
      <c r="C1460" s="2" t="s">
        <v>4275</v>
      </c>
      <c r="D1460" s="11" t="n">
        <v>57650</v>
      </c>
      <c r="E1460" s="31" t="n">
        <v>17.7</v>
      </c>
      <c r="F1460" s="31" t="n">
        <v>63.6</v>
      </c>
      <c r="G1460" s="31" t="n">
        <v>14.8</v>
      </c>
      <c r="H1460" s="2" t="s">
        <v>822</v>
      </c>
    </row>
    <row r="1461" customFormat="false" ht="15" hidden="false" customHeight="false" outlineLevel="0" collapsed="false">
      <c r="A1461" s="2" t="s">
        <v>482</v>
      </c>
      <c r="B1461" s="2" t="s">
        <v>47</v>
      </c>
      <c r="C1461" s="2" t="s">
        <v>4274</v>
      </c>
      <c r="D1461" s="11" t="n">
        <v>11886</v>
      </c>
      <c r="E1461" s="31" t="n">
        <v>55.4</v>
      </c>
      <c r="F1461" s="31" t="n">
        <v>78.4</v>
      </c>
      <c r="G1461" s="31" t="n">
        <v>43.7</v>
      </c>
      <c r="H1461" s="2" t="s">
        <v>822</v>
      </c>
    </row>
    <row r="1462" customFormat="false" ht="15" hidden="false" customHeight="false" outlineLevel="0" collapsed="false">
      <c r="A1462" s="2" t="s">
        <v>482</v>
      </c>
      <c r="B1462" s="2" t="s">
        <v>47</v>
      </c>
      <c r="C1462" s="2" t="s">
        <v>4275</v>
      </c>
      <c r="D1462" s="11" t="n">
        <v>12546</v>
      </c>
      <c r="E1462" s="31" t="n">
        <v>73.9</v>
      </c>
      <c r="F1462" s="31" t="n">
        <v>80.2</v>
      </c>
      <c r="G1462" s="31" t="n">
        <v>61.8</v>
      </c>
      <c r="H1462" s="2" t="s">
        <v>822</v>
      </c>
    </row>
    <row r="1463" customFormat="false" ht="15" hidden="false" customHeight="false" outlineLevel="0" collapsed="false">
      <c r="A1463" s="2" t="s">
        <v>1283</v>
      </c>
      <c r="B1463" s="2" t="s">
        <v>4291</v>
      </c>
      <c r="C1463" s="2" t="s">
        <v>4274</v>
      </c>
      <c r="D1463" s="2"/>
      <c r="E1463" s="31" t="n">
        <v>21.3</v>
      </c>
      <c r="F1463" s="31" t="n">
        <v>13.9</v>
      </c>
      <c r="G1463" s="31" t="n">
        <v>63.2</v>
      </c>
      <c r="H1463" s="2" t="s">
        <v>822</v>
      </c>
    </row>
    <row r="1464" customFormat="false" ht="15" hidden="false" customHeight="false" outlineLevel="0" collapsed="false">
      <c r="A1464" s="2" t="s">
        <v>1283</v>
      </c>
      <c r="B1464" s="2" t="s">
        <v>4291</v>
      </c>
      <c r="C1464" s="2" t="s">
        <v>4275</v>
      </c>
      <c r="D1464" s="2"/>
      <c r="E1464" s="31" t="n">
        <v>35.8</v>
      </c>
      <c r="F1464" s="31" t="n">
        <v>15.8</v>
      </c>
      <c r="G1464" s="31" t="n">
        <v>88.1</v>
      </c>
      <c r="H1464" s="2" t="s">
        <v>832</v>
      </c>
    </row>
    <row r="1465" customFormat="false" ht="15" hidden="false" customHeight="false" outlineLevel="0" collapsed="false">
      <c r="A1465" s="2" t="s">
        <v>1283</v>
      </c>
      <c r="B1465" s="2" t="s">
        <v>45</v>
      </c>
      <c r="C1465" s="2" t="s">
        <v>4274</v>
      </c>
      <c r="D1465" s="11" t="n">
        <v>46610</v>
      </c>
      <c r="E1465" s="31" t="n">
        <v>27.4</v>
      </c>
      <c r="F1465" s="31" t="n">
        <v>15.7</v>
      </c>
      <c r="G1465" s="31" t="n">
        <v>60.2</v>
      </c>
      <c r="H1465" s="2" t="s">
        <v>822</v>
      </c>
    </row>
    <row r="1466" customFormat="false" ht="15" hidden="false" customHeight="false" outlineLevel="0" collapsed="false">
      <c r="A1466" s="2" t="s">
        <v>1283</v>
      </c>
      <c r="B1466" s="2" t="s">
        <v>45</v>
      </c>
      <c r="C1466" s="2" t="s">
        <v>4275</v>
      </c>
      <c r="D1466" s="11" t="n">
        <v>46690</v>
      </c>
      <c r="E1466" s="31" t="n">
        <v>43.3</v>
      </c>
      <c r="F1466" s="31" t="n">
        <v>25.4</v>
      </c>
      <c r="G1466" s="31" t="n">
        <v>80.9</v>
      </c>
      <c r="H1466" s="2" t="s">
        <v>822</v>
      </c>
    </row>
    <row r="1467" customFormat="false" ht="15" hidden="false" customHeight="false" outlineLevel="0" collapsed="false">
      <c r="A1467" s="2" t="s">
        <v>1283</v>
      </c>
      <c r="B1467" s="2" t="s">
        <v>46</v>
      </c>
      <c r="C1467" s="2" t="s">
        <v>4274</v>
      </c>
      <c r="D1467" s="11" t="n">
        <v>5312</v>
      </c>
      <c r="E1467" s="31" t="n">
        <v>33.7</v>
      </c>
      <c r="F1467" s="31" t="n">
        <v>12.3</v>
      </c>
      <c r="G1467" s="31" t="n">
        <v>32.9</v>
      </c>
      <c r="H1467" s="2" t="s">
        <v>822</v>
      </c>
    </row>
    <row r="1468" customFormat="false" ht="15" hidden="false" customHeight="false" outlineLevel="0" collapsed="false">
      <c r="A1468" s="2" t="s">
        <v>1283</v>
      </c>
      <c r="B1468" s="2" t="s">
        <v>46</v>
      </c>
      <c r="C1468" s="2" t="s">
        <v>4275</v>
      </c>
      <c r="D1468" s="11" t="n">
        <v>5320</v>
      </c>
      <c r="E1468" s="31" t="n">
        <v>61.1</v>
      </c>
      <c r="F1468" s="2"/>
      <c r="G1468" s="2"/>
      <c r="H1468" s="2" t="s">
        <v>832</v>
      </c>
    </row>
    <row r="1469" customFormat="false" ht="15" hidden="false" customHeight="false" outlineLevel="0" collapsed="false">
      <c r="A1469" s="2" t="s">
        <v>1283</v>
      </c>
      <c r="B1469" s="2" t="s">
        <v>47</v>
      </c>
      <c r="C1469" s="2" t="s">
        <v>4274</v>
      </c>
      <c r="D1469" s="11" t="n">
        <v>144614</v>
      </c>
      <c r="E1469" s="31" t="n">
        <v>2.8</v>
      </c>
      <c r="F1469" s="31" t="n">
        <v>13.6</v>
      </c>
      <c r="G1469" s="31" t="n">
        <v>96.6</v>
      </c>
      <c r="H1469" s="2" t="s">
        <v>822</v>
      </c>
    </row>
    <row r="1470" customFormat="false" ht="15" hidden="false" customHeight="false" outlineLevel="0" collapsed="false">
      <c r="A1470" s="2" t="s">
        <v>1283</v>
      </c>
      <c r="B1470" s="2" t="s">
        <v>47</v>
      </c>
      <c r="C1470" s="2" t="s">
        <v>4275</v>
      </c>
      <c r="D1470" s="11" t="n">
        <v>147390</v>
      </c>
      <c r="E1470" s="31" t="n">
        <v>3</v>
      </c>
      <c r="F1470" s="31" t="n">
        <v>6.2</v>
      </c>
      <c r="G1470" s="31" t="n">
        <v>95.3</v>
      </c>
      <c r="H1470" s="2" t="s">
        <v>822</v>
      </c>
    </row>
    <row r="1471" customFormat="false" ht="15" hidden="false" customHeight="false" outlineLevel="0" collapsed="false">
      <c r="A1471" s="2" t="s">
        <v>2550</v>
      </c>
      <c r="B1471" s="2" t="s">
        <v>4291</v>
      </c>
      <c r="C1471" s="2" t="s">
        <v>4274</v>
      </c>
      <c r="D1471" s="2"/>
      <c r="E1471" s="31" t="n">
        <v>75.4</v>
      </c>
      <c r="F1471" s="31" t="n">
        <v>17.4</v>
      </c>
      <c r="G1471" s="31" t="n">
        <v>37.6</v>
      </c>
      <c r="H1471" s="2" t="s">
        <v>832</v>
      </c>
    </row>
    <row r="1472" customFormat="false" ht="15" hidden="false" customHeight="false" outlineLevel="0" collapsed="false">
      <c r="A1472" s="2" t="s">
        <v>2550</v>
      </c>
      <c r="B1472" s="2" t="s">
        <v>4291</v>
      </c>
      <c r="C1472" s="2" t="s">
        <v>4275</v>
      </c>
      <c r="D1472" s="2"/>
      <c r="E1472" s="31" t="n">
        <v>49</v>
      </c>
      <c r="F1472" s="31" t="n">
        <v>85.7</v>
      </c>
      <c r="G1472" s="31" t="n">
        <v>81.9</v>
      </c>
      <c r="H1472" s="2" t="s">
        <v>832</v>
      </c>
    </row>
    <row r="1473" customFormat="false" ht="15" hidden="false" customHeight="false" outlineLevel="0" collapsed="false">
      <c r="A1473" s="2" t="s">
        <v>2550</v>
      </c>
      <c r="B1473" s="2" t="s">
        <v>45</v>
      </c>
      <c r="C1473" s="2" t="s">
        <v>4274</v>
      </c>
      <c r="D1473" s="11" t="n">
        <v>36860</v>
      </c>
      <c r="E1473" s="31" t="n">
        <v>85.1</v>
      </c>
      <c r="F1473" s="31" t="n">
        <v>25.9</v>
      </c>
      <c r="G1473" s="31" t="n">
        <v>42</v>
      </c>
      <c r="H1473" s="2" t="s">
        <v>822</v>
      </c>
    </row>
    <row r="1474" customFormat="false" ht="15" hidden="false" customHeight="false" outlineLevel="0" collapsed="false">
      <c r="A1474" s="2" t="s">
        <v>2550</v>
      </c>
      <c r="B1474" s="2" t="s">
        <v>45</v>
      </c>
      <c r="C1474" s="2" t="s">
        <v>4275</v>
      </c>
      <c r="D1474" s="2"/>
      <c r="E1474" s="2"/>
      <c r="F1474" s="2"/>
      <c r="G1474" s="2"/>
      <c r="H1474" s="2" t="s">
        <v>832</v>
      </c>
    </row>
    <row r="1475" customFormat="false" ht="15" hidden="false" customHeight="false" outlineLevel="0" collapsed="false">
      <c r="A1475" s="2" t="s">
        <v>2550</v>
      </c>
      <c r="B1475" s="2" t="s">
        <v>46</v>
      </c>
      <c r="C1475" s="2" t="s">
        <v>4274</v>
      </c>
      <c r="D1475" s="11" t="n">
        <v>369400</v>
      </c>
      <c r="E1475" s="31" t="n">
        <v>65.8</v>
      </c>
      <c r="F1475" s="31" t="n">
        <v>3.2</v>
      </c>
      <c r="G1475" s="31" t="n">
        <v>1.8</v>
      </c>
      <c r="H1475" s="2" t="s">
        <v>822</v>
      </c>
    </row>
    <row r="1476" customFormat="false" ht="15" hidden="false" customHeight="false" outlineLevel="0" collapsed="false">
      <c r="A1476" s="2" t="s">
        <v>2550</v>
      </c>
      <c r="B1476" s="2" t="s">
        <v>46</v>
      </c>
      <c r="C1476" s="2" t="s">
        <v>4275</v>
      </c>
      <c r="D1476" s="2"/>
      <c r="E1476" s="2"/>
      <c r="F1476" s="2"/>
      <c r="G1476" s="2"/>
      <c r="H1476" s="2" t="s">
        <v>832</v>
      </c>
    </row>
    <row r="1477" customFormat="false" ht="15" hidden="false" customHeight="false" outlineLevel="0" collapsed="false">
      <c r="A1477" s="2" t="s">
        <v>2550</v>
      </c>
      <c r="B1477" s="2" t="s">
        <v>47</v>
      </c>
      <c r="C1477" s="2" t="s">
        <v>4274</v>
      </c>
      <c r="D1477" s="11" t="n">
        <v>11477964</v>
      </c>
      <c r="E1477" s="2"/>
      <c r="F1477" s="31" t="n">
        <v>23.1</v>
      </c>
      <c r="G1477" s="31" t="n">
        <v>69</v>
      </c>
      <c r="H1477" s="2" t="s">
        <v>832</v>
      </c>
    </row>
    <row r="1478" customFormat="false" ht="15" hidden="false" customHeight="false" outlineLevel="0" collapsed="false">
      <c r="A1478" s="2" t="s">
        <v>2550</v>
      </c>
      <c r="B1478" s="2" t="s">
        <v>47</v>
      </c>
      <c r="C1478" s="2" t="s">
        <v>4275</v>
      </c>
      <c r="D1478" s="11" t="n">
        <v>11358570</v>
      </c>
      <c r="E1478" s="31" t="n">
        <v>49</v>
      </c>
      <c r="F1478" s="31" t="n">
        <v>85.7</v>
      </c>
      <c r="G1478" s="31" t="n">
        <v>81.9</v>
      </c>
      <c r="H1478" s="2" t="s">
        <v>822</v>
      </c>
    </row>
    <row r="1479" customFormat="false" ht="15" hidden="false" customHeight="false" outlineLevel="0" collapsed="false">
      <c r="A1479" s="2" t="s">
        <v>1758</v>
      </c>
      <c r="B1479" s="2" t="s">
        <v>4291</v>
      </c>
      <c r="C1479" s="2" t="s">
        <v>4274</v>
      </c>
      <c r="D1479" s="2"/>
      <c r="E1479" s="31" t="n">
        <v>27.9</v>
      </c>
      <c r="F1479" s="2"/>
      <c r="G1479" s="31" t="n">
        <v>16.8</v>
      </c>
      <c r="H1479" s="2" t="s">
        <v>832</v>
      </c>
    </row>
    <row r="1480" customFormat="false" ht="15" hidden="false" customHeight="false" outlineLevel="0" collapsed="false">
      <c r="A1480" s="2" t="s">
        <v>1758</v>
      </c>
      <c r="B1480" s="2" t="s">
        <v>4291</v>
      </c>
      <c r="C1480" s="2" t="s">
        <v>4275</v>
      </c>
      <c r="D1480" s="2"/>
      <c r="E1480" s="31" t="n">
        <v>41.9</v>
      </c>
      <c r="F1480" s="31" t="n">
        <v>24</v>
      </c>
      <c r="G1480" s="31" t="n">
        <v>3.6</v>
      </c>
      <c r="H1480" s="2" t="s">
        <v>832</v>
      </c>
    </row>
    <row r="1481" customFormat="false" ht="15" hidden="false" customHeight="false" outlineLevel="0" collapsed="false">
      <c r="A1481" s="2" t="s">
        <v>1758</v>
      </c>
      <c r="B1481" s="2" t="s">
        <v>45</v>
      </c>
      <c r="C1481" s="2" t="s">
        <v>4274</v>
      </c>
      <c r="D1481" s="11" t="n">
        <v>2810</v>
      </c>
      <c r="E1481" s="31" t="n">
        <v>27.9</v>
      </c>
      <c r="F1481" s="2"/>
      <c r="G1481" s="31" t="n">
        <v>16.8</v>
      </c>
      <c r="H1481" s="2" t="s">
        <v>832</v>
      </c>
    </row>
    <row r="1482" customFormat="false" ht="15" hidden="false" customHeight="false" outlineLevel="0" collapsed="false">
      <c r="A1482" s="2" t="s">
        <v>1758</v>
      </c>
      <c r="B1482" s="2" t="s">
        <v>45</v>
      </c>
      <c r="C1482" s="2" t="s">
        <v>4275</v>
      </c>
      <c r="D1482" s="11" t="n">
        <v>2880</v>
      </c>
      <c r="E1482" s="31" t="n">
        <v>11.5</v>
      </c>
      <c r="F1482" s="2"/>
      <c r="G1482" s="31" t="n">
        <v>1.3</v>
      </c>
      <c r="H1482" s="2" t="s">
        <v>832</v>
      </c>
    </row>
    <row r="1483" customFormat="false" ht="15" hidden="false" customHeight="false" outlineLevel="0" collapsed="false">
      <c r="A1483" s="2" t="s">
        <v>1758</v>
      </c>
      <c r="B1483" s="2" t="s">
        <v>46</v>
      </c>
      <c r="C1483" s="2" t="s">
        <v>4274</v>
      </c>
      <c r="D1483" s="2"/>
      <c r="E1483" s="2"/>
      <c r="F1483" s="2"/>
      <c r="G1483" s="2"/>
      <c r="H1483" s="2" t="s">
        <v>832</v>
      </c>
    </row>
    <row r="1484" customFormat="false" ht="15" hidden="false" customHeight="false" outlineLevel="0" collapsed="false">
      <c r="A1484" s="2" t="s">
        <v>1758</v>
      </c>
      <c r="B1484" s="2" t="s">
        <v>46</v>
      </c>
      <c r="C1484" s="2" t="s">
        <v>4275</v>
      </c>
      <c r="D1484" s="11" t="n">
        <v>11030</v>
      </c>
      <c r="E1484" s="31" t="n">
        <v>72.3</v>
      </c>
      <c r="F1484" s="31" t="n">
        <v>24</v>
      </c>
      <c r="G1484" s="31" t="n">
        <v>6</v>
      </c>
      <c r="H1484" s="2" t="s">
        <v>822</v>
      </c>
    </row>
    <row r="1485" customFormat="false" ht="15" hidden="false" customHeight="false" outlineLevel="0" collapsed="false">
      <c r="A1485" s="2" t="s">
        <v>182</v>
      </c>
      <c r="B1485" s="2" t="s">
        <v>4291</v>
      </c>
      <c r="C1485" s="2" t="s">
        <v>4274</v>
      </c>
      <c r="D1485" s="2"/>
      <c r="E1485" s="31" t="n">
        <v>73.3</v>
      </c>
      <c r="F1485" s="31" t="n">
        <v>39.4</v>
      </c>
      <c r="G1485" s="31" t="n">
        <v>56.2</v>
      </c>
      <c r="H1485" s="2" t="s">
        <v>832</v>
      </c>
    </row>
    <row r="1486" customFormat="false" ht="15" hidden="false" customHeight="false" outlineLevel="0" collapsed="false">
      <c r="A1486" s="2" t="s">
        <v>182</v>
      </c>
      <c r="B1486" s="2" t="s">
        <v>4291</v>
      </c>
      <c r="C1486" s="2" t="s">
        <v>4275</v>
      </c>
      <c r="D1486" s="2"/>
      <c r="E1486" s="31" t="n">
        <v>77.5</v>
      </c>
      <c r="F1486" s="31" t="n">
        <v>47.7</v>
      </c>
      <c r="G1486" s="31" t="n">
        <v>59.7</v>
      </c>
      <c r="H1486" s="2" t="s">
        <v>822</v>
      </c>
    </row>
    <row r="1487" customFormat="false" ht="15" hidden="false" customHeight="false" outlineLevel="0" collapsed="false">
      <c r="A1487" s="2" t="s">
        <v>182</v>
      </c>
      <c r="B1487" s="2" t="s">
        <v>45</v>
      </c>
      <c r="C1487" s="2" t="s">
        <v>4274</v>
      </c>
      <c r="D1487" s="2"/>
      <c r="E1487" s="2"/>
      <c r="F1487" s="2"/>
      <c r="G1487" s="31" t="n">
        <v>33.2</v>
      </c>
      <c r="H1487" s="2" t="s">
        <v>832</v>
      </c>
    </row>
    <row r="1488" customFormat="false" ht="15" hidden="false" customHeight="false" outlineLevel="0" collapsed="false">
      <c r="A1488" s="2" t="s">
        <v>182</v>
      </c>
      <c r="B1488" s="2" t="s">
        <v>45</v>
      </c>
      <c r="C1488" s="2" t="s">
        <v>4275</v>
      </c>
      <c r="D1488" s="11" t="n">
        <v>35380</v>
      </c>
      <c r="E1488" s="31" t="n">
        <v>99.8</v>
      </c>
      <c r="F1488" s="31" t="n">
        <v>32.3</v>
      </c>
      <c r="G1488" s="31" t="n">
        <v>53.8</v>
      </c>
      <c r="H1488" s="2" t="s">
        <v>822</v>
      </c>
    </row>
    <row r="1489" customFormat="false" ht="15" hidden="false" customHeight="false" outlineLevel="0" collapsed="false">
      <c r="A1489" s="2" t="s">
        <v>182</v>
      </c>
      <c r="B1489" s="2" t="s">
        <v>46</v>
      </c>
      <c r="C1489" s="2" t="s">
        <v>4274</v>
      </c>
      <c r="D1489" s="11" t="n">
        <v>116330</v>
      </c>
      <c r="E1489" s="31" t="n">
        <v>96.9</v>
      </c>
      <c r="F1489" s="31" t="n">
        <v>11.5</v>
      </c>
      <c r="G1489" s="31" t="n">
        <v>96.3</v>
      </c>
      <c r="H1489" s="2" t="s">
        <v>822</v>
      </c>
    </row>
    <row r="1490" customFormat="false" ht="15" hidden="false" customHeight="false" outlineLevel="0" collapsed="false">
      <c r="A1490" s="2" t="s">
        <v>182</v>
      </c>
      <c r="B1490" s="2" t="s">
        <v>46</v>
      </c>
      <c r="C1490" s="2" t="s">
        <v>4275</v>
      </c>
      <c r="D1490" s="11" t="n">
        <v>119732</v>
      </c>
      <c r="E1490" s="31" t="n">
        <v>97.6</v>
      </c>
      <c r="F1490" s="31" t="n">
        <v>36.9</v>
      </c>
      <c r="G1490" s="31" t="n">
        <v>95.6</v>
      </c>
      <c r="H1490" s="2" t="s">
        <v>822</v>
      </c>
    </row>
    <row r="1491" customFormat="false" ht="15" hidden="false" customHeight="false" outlineLevel="0" collapsed="false">
      <c r="A1491" s="2" t="s">
        <v>182</v>
      </c>
      <c r="B1491" s="2" t="s">
        <v>47</v>
      </c>
      <c r="C1491" s="2" t="s">
        <v>4274</v>
      </c>
      <c r="D1491" s="11" t="n">
        <v>167688</v>
      </c>
      <c r="E1491" s="31" t="n">
        <v>49.7</v>
      </c>
      <c r="F1491" s="31" t="n">
        <v>67.3</v>
      </c>
      <c r="G1491" s="31" t="n">
        <v>39</v>
      </c>
      <c r="H1491" s="2" t="s">
        <v>822</v>
      </c>
    </row>
    <row r="1492" customFormat="false" ht="15" hidden="false" customHeight="false" outlineLevel="0" collapsed="false">
      <c r="A1492" s="2" t="s">
        <v>182</v>
      </c>
      <c r="B1492" s="2" t="s">
        <v>47</v>
      </c>
      <c r="C1492" s="2" t="s">
        <v>4275</v>
      </c>
      <c r="D1492" s="11" t="n">
        <v>175810</v>
      </c>
      <c r="E1492" s="31" t="n">
        <v>35.1</v>
      </c>
      <c r="F1492" s="31" t="n">
        <v>73.9</v>
      </c>
      <c r="G1492" s="31" t="n">
        <v>29.7</v>
      </c>
      <c r="H1492" s="2" t="s">
        <v>822</v>
      </c>
    </row>
    <row r="1493" customFormat="false" ht="15" hidden="false" customHeight="false" outlineLevel="0" collapsed="false">
      <c r="A1493" s="2" t="s">
        <v>951</v>
      </c>
      <c r="B1493" s="2" t="s">
        <v>4291</v>
      </c>
      <c r="C1493" s="2" t="s">
        <v>4274</v>
      </c>
      <c r="D1493" s="2"/>
      <c r="E1493" s="31" t="n">
        <v>88.2</v>
      </c>
      <c r="F1493" s="31" t="n">
        <v>52.6</v>
      </c>
      <c r="G1493" s="31" t="n">
        <v>39.6</v>
      </c>
      <c r="H1493" s="2" t="s">
        <v>832</v>
      </c>
    </row>
    <row r="1494" customFormat="false" ht="15" hidden="false" customHeight="false" outlineLevel="0" collapsed="false">
      <c r="A1494" s="2" t="s">
        <v>951</v>
      </c>
      <c r="B1494" s="2" t="s">
        <v>4291</v>
      </c>
      <c r="C1494" s="2" t="s">
        <v>4275</v>
      </c>
      <c r="D1494" s="2"/>
      <c r="E1494" s="31" t="n">
        <v>87</v>
      </c>
      <c r="F1494" s="31" t="n">
        <v>67.2</v>
      </c>
      <c r="G1494" s="31" t="n">
        <v>20.8</v>
      </c>
      <c r="H1494" s="2" t="s">
        <v>832</v>
      </c>
    </row>
    <row r="1495" customFormat="false" ht="15" hidden="false" customHeight="false" outlineLevel="0" collapsed="false">
      <c r="A1495" s="2" t="s">
        <v>951</v>
      </c>
      <c r="B1495" s="2" t="s">
        <v>45</v>
      </c>
      <c r="C1495" s="2" t="s">
        <v>4274</v>
      </c>
      <c r="D1495" s="11" t="n">
        <v>487740</v>
      </c>
      <c r="E1495" s="31" t="n">
        <v>88.6</v>
      </c>
      <c r="F1495" s="31" t="n">
        <v>69.9</v>
      </c>
      <c r="G1495" s="2"/>
      <c r="H1495" s="2" t="s">
        <v>822</v>
      </c>
    </row>
    <row r="1496" customFormat="false" ht="15" hidden="false" customHeight="false" outlineLevel="0" collapsed="false">
      <c r="A1496" s="2" t="s">
        <v>951</v>
      </c>
      <c r="B1496" s="2" t="s">
        <v>45</v>
      </c>
      <c r="C1496" s="2" t="s">
        <v>4275</v>
      </c>
      <c r="D1496" s="11" t="n">
        <v>505860</v>
      </c>
      <c r="E1496" s="31" t="n">
        <v>84.9</v>
      </c>
      <c r="F1496" s="31" t="n">
        <v>68.6</v>
      </c>
      <c r="G1496" s="2"/>
      <c r="H1496" s="2" t="s">
        <v>822</v>
      </c>
    </row>
    <row r="1497" customFormat="false" ht="15" hidden="false" customHeight="false" outlineLevel="0" collapsed="false">
      <c r="A1497" s="2" t="s">
        <v>951</v>
      </c>
      <c r="B1497" s="2" t="s">
        <v>46</v>
      </c>
      <c r="C1497" s="2" t="s">
        <v>4274</v>
      </c>
      <c r="D1497" s="11" t="n">
        <v>27445</v>
      </c>
      <c r="E1497" s="2"/>
      <c r="F1497" s="2"/>
      <c r="G1497" s="31" t="n">
        <v>46.1</v>
      </c>
      <c r="H1497" s="2" t="s">
        <v>832</v>
      </c>
    </row>
    <row r="1498" customFormat="false" ht="15" hidden="false" customHeight="false" outlineLevel="0" collapsed="false">
      <c r="A1498" s="2" t="s">
        <v>951</v>
      </c>
      <c r="B1498" s="2" t="s">
        <v>46</v>
      </c>
      <c r="C1498" s="2" t="s">
        <v>4275</v>
      </c>
      <c r="D1498" s="2"/>
      <c r="E1498" s="2"/>
      <c r="F1498" s="2"/>
      <c r="G1498" s="2"/>
      <c r="H1498" s="2" t="s">
        <v>832</v>
      </c>
    </row>
    <row r="1499" customFormat="false" ht="15" hidden="false" customHeight="false" outlineLevel="0" collapsed="false">
      <c r="A1499" s="2" t="s">
        <v>951</v>
      </c>
      <c r="B1499" s="2" t="s">
        <v>47</v>
      </c>
      <c r="C1499" s="2" t="s">
        <v>4274</v>
      </c>
      <c r="D1499" s="11" t="n">
        <v>294057</v>
      </c>
      <c r="E1499" s="31" t="n">
        <v>87.9</v>
      </c>
      <c r="F1499" s="31" t="n">
        <v>35.2</v>
      </c>
      <c r="G1499" s="31" t="n">
        <v>33</v>
      </c>
      <c r="H1499" s="2" t="s">
        <v>822</v>
      </c>
    </row>
    <row r="1500" customFormat="false" ht="15" hidden="false" customHeight="false" outlineLevel="0" collapsed="false">
      <c r="A1500" s="2" t="s">
        <v>951</v>
      </c>
      <c r="B1500" s="2" t="s">
        <v>47</v>
      </c>
      <c r="C1500" s="2" t="s">
        <v>4275</v>
      </c>
      <c r="D1500" s="11" t="n">
        <v>310750</v>
      </c>
      <c r="E1500" s="31" t="n">
        <v>89.1</v>
      </c>
      <c r="F1500" s="31" t="n">
        <v>65.8</v>
      </c>
      <c r="G1500" s="31" t="n">
        <v>20.8</v>
      </c>
      <c r="H1500" s="2" t="s">
        <v>822</v>
      </c>
    </row>
    <row r="1501" customFormat="false" ht="15" hidden="false" customHeight="false" outlineLevel="0" collapsed="false">
      <c r="A1501" s="2" t="s">
        <v>250</v>
      </c>
      <c r="B1501" s="2" t="s">
        <v>4291</v>
      </c>
      <c r="C1501" s="2" t="s">
        <v>4274</v>
      </c>
      <c r="D1501" s="2"/>
      <c r="E1501" s="31" t="n">
        <v>80.4</v>
      </c>
      <c r="F1501" s="31" t="n">
        <v>27.4</v>
      </c>
      <c r="G1501" s="31" t="n">
        <v>69.3</v>
      </c>
      <c r="H1501" s="2" t="s">
        <v>832</v>
      </c>
    </row>
    <row r="1502" customFormat="false" ht="15" hidden="false" customHeight="false" outlineLevel="0" collapsed="false">
      <c r="A1502" s="2" t="s">
        <v>250</v>
      </c>
      <c r="B1502" s="2" t="s">
        <v>4291</v>
      </c>
      <c r="C1502" s="2" t="s">
        <v>4275</v>
      </c>
      <c r="D1502" s="2"/>
      <c r="E1502" s="31" t="n">
        <v>67.8</v>
      </c>
      <c r="F1502" s="31" t="n">
        <v>32.4</v>
      </c>
      <c r="G1502" s="31" t="n">
        <v>62</v>
      </c>
      <c r="H1502" s="2" t="s">
        <v>822</v>
      </c>
    </row>
    <row r="1503" customFormat="false" ht="15" hidden="false" customHeight="false" outlineLevel="0" collapsed="false">
      <c r="A1503" s="2" t="s">
        <v>250</v>
      </c>
      <c r="B1503" s="2" t="s">
        <v>45</v>
      </c>
      <c r="C1503" s="2" t="s">
        <v>4274</v>
      </c>
      <c r="D1503" s="11" t="n">
        <v>1166213</v>
      </c>
      <c r="E1503" s="31" t="n">
        <v>89.8</v>
      </c>
      <c r="F1503" s="31" t="n">
        <v>21.4</v>
      </c>
      <c r="G1503" s="31" t="n">
        <v>69.3</v>
      </c>
      <c r="H1503" s="2" t="s">
        <v>822</v>
      </c>
    </row>
    <row r="1504" customFormat="false" ht="15" hidden="false" customHeight="false" outlineLevel="0" collapsed="false">
      <c r="A1504" s="2" t="s">
        <v>250</v>
      </c>
      <c r="B1504" s="2" t="s">
        <v>45</v>
      </c>
      <c r="C1504" s="2" t="s">
        <v>4275</v>
      </c>
      <c r="D1504" s="11" t="n">
        <v>1148762</v>
      </c>
      <c r="E1504" s="31" t="n">
        <v>85.4</v>
      </c>
      <c r="F1504" s="31" t="n">
        <v>11.8</v>
      </c>
      <c r="G1504" s="31" t="n">
        <v>67.4</v>
      </c>
      <c r="H1504" s="2" t="s">
        <v>822</v>
      </c>
    </row>
    <row r="1505" customFormat="false" ht="15" hidden="false" customHeight="false" outlineLevel="0" collapsed="false">
      <c r="A1505" s="2" t="s">
        <v>250</v>
      </c>
      <c r="B1505" s="2" t="s">
        <v>46</v>
      </c>
      <c r="C1505" s="2" t="s">
        <v>4274</v>
      </c>
      <c r="D1505" s="11" t="n">
        <v>297680</v>
      </c>
      <c r="E1505" s="31" t="n">
        <v>71</v>
      </c>
      <c r="F1505" s="31" t="n">
        <v>33.3</v>
      </c>
      <c r="G1505" s="2"/>
      <c r="H1505" s="2" t="s">
        <v>832</v>
      </c>
    </row>
    <row r="1506" customFormat="false" ht="15" hidden="false" customHeight="false" outlineLevel="0" collapsed="false">
      <c r="A1506" s="2" t="s">
        <v>250</v>
      </c>
      <c r="B1506" s="2" t="s">
        <v>46</v>
      </c>
      <c r="C1506" s="2" t="s">
        <v>4275</v>
      </c>
      <c r="D1506" s="11" t="n">
        <v>301720</v>
      </c>
      <c r="E1506" s="31" t="n">
        <v>50.3</v>
      </c>
      <c r="F1506" s="31" t="n">
        <v>52.9</v>
      </c>
      <c r="G1506" s="31" t="n">
        <v>56.5</v>
      </c>
      <c r="H1506" s="2" t="s">
        <v>822</v>
      </c>
    </row>
    <row r="1507" customFormat="false" ht="15" hidden="false" customHeight="false" outlineLevel="0" collapsed="false">
      <c r="A1507" s="2" t="s">
        <v>3022</v>
      </c>
      <c r="B1507" s="2" t="s">
        <v>4291</v>
      </c>
      <c r="C1507" s="2" t="s">
        <v>4274</v>
      </c>
      <c r="D1507" s="2"/>
      <c r="E1507" s="2"/>
      <c r="F1507" s="2"/>
      <c r="G1507" s="2"/>
      <c r="H1507" s="2" t="s">
        <v>832</v>
      </c>
    </row>
    <row r="1508" customFormat="false" ht="15" hidden="false" customHeight="false" outlineLevel="0" collapsed="false">
      <c r="A1508" s="2" t="s">
        <v>3022</v>
      </c>
      <c r="B1508" s="2" t="s">
        <v>4291</v>
      </c>
      <c r="C1508" s="2" t="s">
        <v>4275</v>
      </c>
      <c r="D1508" s="2"/>
      <c r="E1508" s="31" t="n">
        <v>79.6</v>
      </c>
      <c r="F1508" s="2"/>
      <c r="G1508" s="31" t="n">
        <v>33.1</v>
      </c>
      <c r="H1508" s="2" t="s">
        <v>832</v>
      </c>
    </row>
    <row r="1509" customFormat="false" ht="15" hidden="false" customHeight="false" outlineLevel="0" collapsed="false">
      <c r="A1509" s="2" t="s">
        <v>3022</v>
      </c>
      <c r="B1509" s="2" t="s">
        <v>46</v>
      </c>
      <c r="C1509" s="2" t="s">
        <v>4274</v>
      </c>
      <c r="D1509" s="2"/>
      <c r="E1509" s="2"/>
      <c r="F1509" s="2"/>
      <c r="G1509" s="2"/>
      <c r="H1509" s="2" t="s">
        <v>832</v>
      </c>
    </row>
    <row r="1510" customFormat="false" ht="15" hidden="false" customHeight="false" outlineLevel="0" collapsed="false">
      <c r="A1510" s="2" t="s">
        <v>3022</v>
      </c>
      <c r="B1510" s="2" t="s">
        <v>46</v>
      </c>
      <c r="C1510" s="2" t="s">
        <v>4275</v>
      </c>
      <c r="D1510" s="11" t="n">
        <v>36260</v>
      </c>
      <c r="E1510" s="31" t="n">
        <v>79.6</v>
      </c>
      <c r="F1510" s="2"/>
      <c r="G1510" s="31" t="n">
        <v>33.1</v>
      </c>
      <c r="H1510" s="2" t="s">
        <v>832</v>
      </c>
    </row>
    <row r="1511" customFormat="false" ht="15" hidden="false" customHeight="false" outlineLevel="0" collapsed="false">
      <c r="A1511" s="2" t="s">
        <v>1168</v>
      </c>
      <c r="B1511" s="2" t="s">
        <v>4291</v>
      </c>
      <c r="C1511" s="2" t="s">
        <v>4274</v>
      </c>
      <c r="D1511" s="2"/>
      <c r="E1511" s="31" t="n">
        <v>26.4</v>
      </c>
      <c r="F1511" s="31" t="n">
        <v>61.2</v>
      </c>
      <c r="G1511" s="31" t="n">
        <v>46.7</v>
      </c>
      <c r="H1511" s="2" t="s">
        <v>832</v>
      </c>
    </row>
    <row r="1512" customFormat="false" ht="15" hidden="false" customHeight="false" outlineLevel="0" collapsed="false">
      <c r="A1512" s="2" t="s">
        <v>1168</v>
      </c>
      <c r="B1512" s="2" t="s">
        <v>4291</v>
      </c>
      <c r="C1512" s="2" t="s">
        <v>4275</v>
      </c>
      <c r="D1512" s="2"/>
      <c r="E1512" s="31" t="n">
        <v>58.4</v>
      </c>
      <c r="F1512" s="31" t="n">
        <v>45.4</v>
      </c>
      <c r="G1512" s="31" t="n">
        <v>74.4</v>
      </c>
      <c r="H1512" s="2" t="s">
        <v>832</v>
      </c>
    </row>
    <row r="1513" customFormat="false" ht="15" hidden="false" customHeight="false" outlineLevel="0" collapsed="false">
      <c r="A1513" s="2" t="s">
        <v>1168</v>
      </c>
      <c r="B1513" s="2" t="s">
        <v>45</v>
      </c>
      <c r="C1513" s="2" t="s">
        <v>4274</v>
      </c>
      <c r="D1513" s="11" t="n">
        <v>28470</v>
      </c>
      <c r="E1513" s="31" t="n">
        <v>23.6</v>
      </c>
      <c r="F1513" s="2"/>
      <c r="G1513" s="31" t="n">
        <v>89.5</v>
      </c>
      <c r="H1513" s="2" t="s">
        <v>832</v>
      </c>
    </row>
    <row r="1514" customFormat="false" ht="15" hidden="false" customHeight="false" outlineLevel="0" collapsed="false">
      <c r="A1514" s="2" t="s">
        <v>1168</v>
      </c>
      <c r="B1514" s="2" t="s">
        <v>45</v>
      </c>
      <c r="C1514" s="2" t="s">
        <v>4275</v>
      </c>
      <c r="D1514" s="11" t="n">
        <v>29100</v>
      </c>
      <c r="E1514" s="31" t="n">
        <v>58.4</v>
      </c>
      <c r="F1514" s="31" t="n">
        <v>45.4</v>
      </c>
      <c r="G1514" s="31" t="n">
        <v>74.4</v>
      </c>
      <c r="H1514" s="2" t="s">
        <v>822</v>
      </c>
    </row>
    <row r="1515" customFormat="false" ht="15" hidden="false" customHeight="false" outlineLevel="0" collapsed="false">
      <c r="A1515" s="2" t="s">
        <v>1168</v>
      </c>
      <c r="B1515" s="2" t="s">
        <v>46</v>
      </c>
      <c r="C1515" s="2" t="s">
        <v>4274</v>
      </c>
      <c r="D1515" s="11" t="n">
        <v>28290</v>
      </c>
      <c r="E1515" s="31" t="n">
        <v>29.2</v>
      </c>
      <c r="F1515" s="31" t="n">
        <v>64.4</v>
      </c>
      <c r="G1515" s="31" t="n">
        <v>3.9</v>
      </c>
      <c r="H1515" s="2" t="s">
        <v>822</v>
      </c>
    </row>
    <row r="1516" customFormat="false" ht="15" hidden="false" customHeight="false" outlineLevel="0" collapsed="false">
      <c r="A1516" s="2" t="s">
        <v>1168</v>
      </c>
      <c r="B1516" s="2" t="s">
        <v>46</v>
      </c>
      <c r="C1516" s="2" t="s">
        <v>4275</v>
      </c>
      <c r="D1516" s="2"/>
      <c r="E1516" s="2"/>
      <c r="F1516" s="2"/>
      <c r="G1516" s="2"/>
      <c r="H1516" s="2" t="s">
        <v>832</v>
      </c>
    </row>
    <row r="1517" customFormat="false" ht="15" hidden="false" customHeight="false" outlineLevel="0" collapsed="false">
      <c r="A1517" s="2" t="s">
        <v>1168</v>
      </c>
      <c r="B1517" s="2" t="s">
        <v>47</v>
      </c>
      <c r="C1517" s="2" t="s">
        <v>4274</v>
      </c>
      <c r="D1517" s="11" t="n">
        <v>324572</v>
      </c>
      <c r="E1517" s="2"/>
      <c r="F1517" s="31" t="n">
        <v>58</v>
      </c>
      <c r="G1517" s="2"/>
      <c r="H1517" s="2" t="s">
        <v>832</v>
      </c>
    </row>
    <row r="1518" customFormat="false" ht="15" hidden="false" customHeight="false" outlineLevel="0" collapsed="false">
      <c r="A1518" s="2" t="s">
        <v>1168</v>
      </c>
      <c r="B1518" s="2" t="s">
        <v>47</v>
      </c>
      <c r="C1518" s="2" t="s">
        <v>4275</v>
      </c>
      <c r="D1518" s="2"/>
      <c r="E1518" s="2"/>
      <c r="F1518" s="2"/>
      <c r="G1518" s="2"/>
      <c r="H1518" s="2" t="s">
        <v>832</v>
      </c>
    </row>
    <row r="1519" customFormat="false" ht="15" hidden="false" customHeight="false" outlineLevel="0" collapsed="false">
      <c r="A1519" s="2" t="s">
        <v>320</v>
      </c>
      <c r="B1519" s="2" t="s">
        <v>4291</v>
      </c>
      <c r="C1519" s="2" t="s">
        <v>4275</v>
      </c>
      <c r="D1519" s="2"/>
      <c r="E1519" s="31" t="n">
        <v>61.1</v>
      </c>
      <c r="F1519" s="31" t="n">
        <v>12.9</v>
      </c>
      <c r="G1519" s="31" t="n">
        <v>85.8</v>
      </c>
      <c r="H1519" s="2" t="s">
        <v>822</v>
      </c>
    </row>
    <row r="1520" customFormat="false" ht="15" hidden="false" customHeight="false" outlineLevel="0" collapsed="false">
      <c r="A1520" s="2" t="s">
        <v>320</v>
      </c>
      <c r="B1520" s="2" t="s">
        <v>45</v>
      </c>
      <c r="C1520" s="2" t="s">
        <v>4275</v>
      </c>
      <c r="D1520" s="11" t="n">
        <v>120497</v>
      </c>
      <c r="E1520" s="31" t="n">
        <v>61.1</v>
      </c>
      <c r="F1520" s="31" t="n">
        <v>12.9</v>
      </c>
      <c r="G1520" s="31" t="n">
        <v>85.8</v>
      </c>
      <c r="H1520" s="2" t="s">
        <v>822</v>
      </c>
    </row>
    <row r="1521" customFormat="false" ht="15" hidden="false" customHeight="false" outlineLevel="0" collapsed="false">
      <c r="A1521" s="2" t="s">
        <v>1822</v>
      </c>
      <c r="B1521" s="2" t="s">
        <v>4291</v>
      </c>
      <c r="C1521" s="2" t="s">
        <v>4274</v>
      </c>
      <c r="D1521" s="2"/>
      <c r="E1521" s="31" t="n">
        <v>54.9</v>
      </c>
      <c r="F1521" s="31" t="n">
        <v>75.9</v>
      </c>
      <c r="G1521" s="2"/>
      <c r="H1521" s="2" t="s">
        <v>832</v>
      </c>
    </row>
    <row r="1522" customFormat="false" ht="15" hidden="false" customHeight="false" outlineLevel="0" collapsed="false">
      <c r="A1522" s="2" t="s">
        <v>1822</v>
      </c>
      <c r="B1522" s="2" t="s">
        <v>4291</v>
      </c>
      <c r="C1522" s="2" t="s">
        <v>4275</v>
      </c>
      <c r="D1522" s="2"/>
      <c r="E1522" s="31" t="n">
        <v>51.9</v>
      </c>
      <c r="F1522" s="31" t="n">
        <v>64.4</v>
      </c>
      <c r="G1522" s="31" t="n">
        <v>28.6</v>
      </c>
      <c r="H1522" s="2" t="s">
        <v>832</v>
      </c>
    </row>
    <row r="1523" customFormat="false" ht="15" hidden="false" customHeight="false" outlineLevel="0" collapsed="false">
      <c r="A1523" s="2" t="s">
        <v>1822</v>
      </c>
      <c r="B1523" s="2" t="s">
        <v>45</v>
      </c>
      <c r="C1523" s="2" t="s">
        <v>4274</v>
      </c>
      <c r="D1523" s="11" t="n">
        <v>87355</v>
      </c>
      <c r="E1523" s="31" t="n">
        <v>54.9</v>
      </c>
      <c r="F1523" s="31" t="n">
        <v>75.9</v>
      </c>
      <c r="G1523" s="2"/>
      <c r="H1523" s="2" t="s">
        <v>832</v>
      </c>
    </row>
    <row r="1524" customFormat="false" ht="15" hidden="false" customHeight="false" outlineLevel="0" collapsed="false">
      <c r="A1524" s="2" t="s">
        <v>1822</v>
      </c>
      <c r="B1524" s="2" t="s">
        <v>45</v>
      </c>
      <c r="C1524" s="2" t="s">
        <v>4275</v>
      </c>
      <c r="D1524" s="11" t="n">
        <v>94575</v>
      </c>
      <c r="E1524" s="31" t="n">
        <v>62.8</v>
      </c>
      <c r="F1524" s="31" t="n">
        <v>55</v>
      </c>
      <c r="G1524" s="2"/>
      <c r="H1524" s="2" t="s">
        <v>832</v>
      </c>
    </row>
    <row r="1525" customFormat="false" ht="15" hidden="false" customHeight="false" outlineLevel="0" collapsed="false">
      <c r="A1525" s="2" t="s">
        <v>1822</v>
      </c>
      <c r="B1525" s="2" t="s">
        <v>46</v>
      </c>
      <c r="C1525" s="2" t="s">
        <v>4274</v>
      </c>
      <c r="D1525" s="2"/>
      <c r="E1525" s="2"/>
      <c r="F1525" s="2"/>
      <c r="G1525" s="2"/>
      <c r="H1525" s="2" t="s">
        <v>832</v>
      </c>
    </row>
    <row r="1526" customFormat="false" ht="15" hidden="false" customHeight="false" outlineLevel="0" collapsed="false">
      <c r="A1526" s="2" t="s">
        <v>1822</v>
      </c>
      <c r="B1526" s="2" t="s">
        <v>46</v>
      </c>
      <c r="C1526" s="2" t="s">
        <v>4275</v>
      </c>
      <c r="D1526" s="11" t="n">
        <v>38110</v>
      </c>
      <c r="E1526" s="31" t="n">
        <v>62.7</v>
      </c>
      <c r="F1526" s="31" t="n">
        <v>48.7</v>
      </c>
      <c r="G1526" s="31" t="n">
        <v>4.9</v>
      </c>
      <c r="H1526" s="2" t="s">
        <v>822</v>
      </c>
    </row>
    <row r="1527" customFormat="false" ht="15" hidden="false" customHeight="false" outlineLevel="0" collapsed="false">
      <c r="A1527" s="2" t="s">
        <v>1822</v>
      </c>
      <c r="B1527" s="2" t="s">
        <v>47</v>
      </c>
      <c r="C1527" s="2" t="s">
        <v>4274</v>
      </c>
      <c r="D1527" s="2"/>
      <c r="E1527" s="2"/>
      <c r="F1527" s="2"/>
      <c r="G1527" s="2"/>
      <c r="H1527" s="2" t="s">
        <v>832</v>
      </c>
    </row>
    <row r="1528" customFormat="false" ht="15" hidden="false" customHeight="false" outlineLevel="0" collapsed="false">
      <c r="A1528" s="2" t="s">
        <v>1822</v>
      </c>
      <c r="B1528" s="2" t="s">
        <v>47</v>
      </c>
      <c r="C1528" s="2" t="s">
        <v>4275</v>
      </c>
      <c r="D1528" s="11" t="n">
        <v>105901</v>
      </c>
      <c r="E1528" s="31" t="n">
        <v>30.2</v>
      </c>
      <c r="F1528" s="31" t="n">
        <v>89.4</v>
      </c>
      <c r="G1528" s="31" t="n">
        <v>52.2</v>
      </c>
      <c r="H1528" s="2" t="s">
        <v>822</v>
      </c>
    </row>
    <row r="1529" customFormat="false" ht="15" hidden="false" customHeight="false" outlineLevel="0" collapsed="false">
      <c r="A1529" s="2" t="s">
        <v>534</v>
      </c>
      <c r="B1529" s="2" t="s">
        <v>4291</v>
      </c>
      <c r="C1529" s="2" t="s">
        <v>4274</v>
      </c>
      <c r="D1529" s="2"/>
      <c r="E1529" s="31" t="n">
        <v>46.7</v>
      </c>
      <c r="F1529" s="31" t="n">
        <v>49</v>
      </c>
      <c r="G1529" s="31" t="n">
        <v>46.5</v>
      </c>
      <c r="H1529" s="2" t="s">
        <v>832</v>
      </c>
    </row>
    <row r="1530" customFormat="false" ht="15" hidden="false" customHeight="false" outlineLevel="0" collapsed="false">
      <c r="A1530" s="2" t="s">
        <v>534</v>
      </c>
      <c r="B1530" s="2" t="s">
        <v>4291</v>
      </c>
      <c r="C1530" s="2" t="s">
        <v>4275</v>
      </c>
      <c r="D1530" s="2"/>
      <c r="E1530" s="31" t="n">
        <v>45.4</v>
      </c>
      <c r="F1530" s="31" t="n">
        <v>40.2</v>
      </c>
      <c r="G1530" s="31" t="n">
        <v>41.2</v>
      </c>
      <c r="H1530" s="2" t="s">
        <v>822</v>
      </c>
    </row>
    <row r="1531" customFormat="false" ht="15" hidden="false" customHeight="false" outlineLevel="0" collapsed="false">
      <c r="A1531" s="2" t="s">
        <v>534</v>
      </c>
      <c r="B1531" s="2" t="s">
        <v>45</v>
      </c>
      <c r="C1531" s="2" t="s">
        <v>4274</v>
      </c>
      <c r="D1531" s="2"/>
      <c r="E1531" s="2"/>
      <c r="F1531" s="2"/>
      <c r="G1531" s="2"/>
      <c r="H1531" s="2" t="s">
        <v>832</v>
      </c>
    </row>
    <row r="1532" customFormat="false" ht="15" hidden="false" customHeight="false" outlineLevel="0" collapsed="false">
      <c r="A1532" s="2" t="s">
        <v>534</v>
      </c>
      <c r="B1532" s="2" t="s">
        <v>45</v>
      </c>
      <c r="C1532" s="2" t="s">
        <v>4275</v>
      </c>
      <c r="D1532" s="11" t="n">
        <v>92750</v>
      </c>
      <c r="E1532" s="31" t="n">
        <v>40.5</v>
      </c>
      <c r="F1532" s="31" t="n">
        <v>13.4</v>
      </c>
      <c r="G1532" s="31" t="n">
        <v>15.2</v>
      </c>
      <c r="H1532" s="2" t="s">
        <v>822</v>
      </c>
    </row>
    <row r="1533" customFormat="false" ht="15" hidden="false" customHeight="false" outlineLevel="0" collapsed="false">
      <c r="A1533" s="2" t="s">
        <v>534</v>
      </c>
      <c r="B1533" s="2" t="s">
        <v>46</v>
      </c>
      <c r="C1533" s="2" t="s">
        <v>4274</v>
      </c>
      <c r="D1533" s="11" t="n">
        <v>18285</v>
      </c>
      <c r="E1533" s="31" t="n">
        <v>48.1</v>
      </c>
      <c r="F1533" s="31" t="n">
        <v>94.4</v>
      </c>
      <c r="G1533" s="31" t="n">
        <v>6.4</v>
      </c>
      <c r="H1533" s="2" t="s">
        <v>822</v>
      </c>
    </row>
    <row r="1534" customFormat="false" ht="15" hidden="false" customHeight="false" outlineLevel="0" collapsed="false">
      <c r="A1534" s="2" t="s">
        <v>534</v>
      </c>
      <c r="B1534" s="2" t="s">
        <v>46</v>
      </c>
      <c r="C1534" s="2" t="s">
        <v>4275</v>
      </c>
      <c r="D1534" s="11" t="n">
        <v>19450</v>
      </c>
      <c r="E1534" s="31" t="n">
        <v>36.3</v>
      </c>
      <c r="F1534" s="31" t="n">
        <v>97.8</v>
      </c>
      <c r="G1534" s="31" t="n">
        <v>24.9</v>
      </c>
      <c r="H1534" s="2" t="s">
        <v>822</v>
      </c>
    </row>
    <row r="1535" customFormat="false" ht="15" hidden="false" customHeight="false" outlineLevel="0" collapsed="false">
      <c r="A1535" s="2" t="s">
        <v>534</v>
      </c>
      <c r="B1535" s="2" t="s">
        <v>47</v>
      </c>
      <c r="C1535" s="2" t="s">
        <v>4274</v>
      </c>
      <c r="D1535" s="11" t="n">
        <v>26341</v>
      </c>
      <c r="E1535" s="31" t="n">
        <v>45.2</v>
      </c>
      <c r="F1535" s="31" t="n">
        <v>3.6</v>
      </c>
      <c r="G1535" s="31" t="n">
        <v>86.6</v>
      </c>
      <c r="H1535" s="2" t="s">
        <v>822</v>
      </c>
    </row>
    <row r="1536" customFormat="false" ht="15" hidden="false" customHeight="false" outlineLevel="0" collapsed="false">
      <c r="A1536" s="2" t="s">
        <v>534</v>
      </c>
      <c r="B1536" s="2" t="s">
        <v>47</v>
      </c>
      <c r="C1536" s="2" t="s">
        <v>4275</v>
      </c>
      <c r="D1536" s="11" t="n">
        <v>26360</v>
      </c>
      <c r="E1536" s="31" t="n">
        <v>59.3</v>
      </c>
      <c r="F1536" s="31" t="n">
        <v>9.4</v>
      </c>
      <c r="G1536" s="31" t="n">
        <v>83.5</v>
      </c>
      <c r="H1536" s="2" t="s">
        <v>822</v>
      </c>
    </row>
    <row r="1537" customFormat="false" ht="15" hidden="false" customHeight="false" outlineLevel="0" collapsed="false">
      <c r="A1537" s="2" t="s">
        <v>1870</v>
      </c>
      <c r="B1537" s="2" t="s">
        <v>4291</v>
      </c>
      <c r="C1537" s="2" t="s">
        <v>4274</v>
      </c>
      <c r="D1537" s="2"/>
      <c r="E1537" s="31" t="n">
        <v>49.7</v>
      </c>
      <c r="F1537" s="31" t="n">
        <v>66.9</v>
      </c>
      <c r="G1537" s="31" t="n">
        <v>37.9</v>
      </c>
      <c r="H1537" s="2" t="s">
        <v>832</v>
      </c>
    </row>
    <row r="1538" customFormat="false" ht="15" hidden="false" customHeight="false" outlineLevel="0" collapsed="false">
      <c r="A1538" s="2" t="s">
        <v>1870</v>
      </c>
      <c r="B1538" s="2" t="s">
        <v>4291</v>
      </c>
      <c r="C1538" s="2" t="s">
        <v>4275</v>
      </c>
      <c r="D1538" s="2"/>
      <c r="E1538" s="31" t="n">
        <v>54.4</v>
      </c>
      <c r="F1538" s="31" t="n">
        <v>36</v>
      </c>
      <c r="G1538" s="31" t="n">
        <v>90.1</v>
      </c>
      <c r="H1538" s="2" t="s">
        <v>832</v>
      </c>
    </row>
    <row r="1539" customFormat="false" ht="15" hidden="false" customHeight="false" outlineLevel="0" collapsed="false">
      <c r="A1539" s="2" t="s">
        <v>1870</v>
      </c>
      <c r="B1539" s="2" t="s">
        <v>45</v>
      </c>
      <c r="C1539" s="2" t="s">
        <v>4274</v>
      </c>
      <c r="D1539" s="11" t="n">
        <v>153930</v>
      </c>
      <c r="E1539" s="31" t="n">
        <v>79.9</v>
      </c>
      <c r="F1539" s="31" t="n">
        <v>76</v>
      </c>
      <c r="G1539" s="2"/>
      <c r="H1539" s="2" t="s">
        <v>822</v>
      </c>
    </row>
    <row r="1540" customFormat="false" ht="15" hidden="false" customHeight="false" outlineLevel="0" collapsed="false">
      <c r="A1540" s="2" t="s">
        <v>1870</v>
      </c>
      <c r="B1540" s="2" t="s">
        <v>45</v>
      </c>
      <c r="C1540" s="2" t="s">
        <v>4275</v>
      </c>
      <c r="D1540" s="2"/>
      <c r="E1540" s="2"/>
      <c r="F1540" s="2"/>
      <c r="G1540" s="2"/>
      <c r="H1540" s="2" t="s">
        <v>832</v>
      </c>
    </row>
    <row r="1541" customFormat="false" ht="15" hidden="false" customHeight="false" outlineLevel="0" collapsed="false">
      <c r="A1541" s="2" t="s">
        <v>1870</v>
      </c>
      <c r="B1541" s="2" t="s">
        <v>46</v>
      </c>
      <c r="C1541" s="2" t="s">
        <v>4274</v>
      </c>
      <c r="D1541" s="2"/>
      <c r="E1541" s="2"/>
      <c r="F1541" s="2"/>
      <c r="G1541" s="2"/>
      <c r="H1541" s="2" t="s">
        <v>832</v>
      </c>
    </row>
    <row r="1542" customFormat="false" ht="15" hidden="false" customHeight="false" outlineLevel="0" collapsed="false">
      <c r="A1542" s="2" t="s">
        <v>1870</v>
      </c>
      <c r="B1542" s="2" t="s">
        <v>46</v>
      </c>
      <c r="C1542" s="2" t="s">
        <v>4275</v>
      </c>
      <c r="D1542" s="11" t="n">
        <v>15330</v>
      </c>
      <c r="E1542" s="31" t="n">
        <v>54.4</v>
      </c>
      <c r="F1542" s="31" t="n">
        <v>36</v>
      </c>
      <c r="G1542" s="31" t="n">
        <v>90.1</v>
      </c>
      <c r="H1542" s="2" t="s">
        <v>822</v>
      </c>
    </row>
    <row r="1543" customFormat="false" ht="15" hidden="false" customHeight="false" outlineLevel="0" collapsed="false">
      <c r="A1543" s="2" t="s">
        <v>1870</v>
      </c>
      <c r="B1543" s="2" t="s">
        <v>47</v>
      </c>
      <c r="C1543" s="2" t="s">
        <v>4274</v>
      </c>
      <c r="D1543" s="11" t="n">
        <v>8718</v>
      </c>
      <c r="E1543" s="31" t="n">
        <v>19.4</v>
      </c>
      <c r="F1543" s="31" t="n">
        <v>57.8</v>
      </c>
      <c r="G1543" s="31" t="n">
        <v>37.9</v>
      </c>
      <c r="H1543" s="2" t="s">
        <v>822</v>
      </c>
    </row>
    <row r="1544" customFormat="false" ht="15" hidden="false" customHeight="false" outlineLevel="0" collapsed="false">
      <c r="A1544" s="2" t="s">
        <v>1870</v>
      </c>
      <c r="B1544" s="2" t="s">
        <v>47</v>
      </c>
      <c r="C1544" s="2" t="s">
        <v>4275</v>
      </c>
      <c r="D1544" s="2"/>
      <c r="E1544" s="2"/>
      <c r="F1544" s="2"/>
      <c r="G1544" s="2"/>
      <c r="H1544" s="2" t="s">
        <v>832</v>
      </c>
    </row>
    <row r="1545" customFormat="false" ht="15" hidden="false" customHeight="false" outlineLevel="0" collapsed="false">
      <c r="A1545" s="2" t="s">
        <v>1550</v>
      </c>
      <c r="B1545" s="2" t="s">
        <v>4291</v>
      </c>
      <c r="C1545" s="2" t="s">
        <v>4274</v>
      </c>
      <c r="D1545" s="2"/>
      <c r="E1545" s="2"/>
      <c r="F1545" s="2"/>
      <c r="G1545" s="2"/>
      <c r="H1545" s="2" t="s">
        <v>832</v>
      </c>
    </row>
    <row r="1546" customFormat="false" ht="15" hidden="false" customHeight="false" outlineLevel="0" collapsed="false">
      <c r="A1546" s="2" t="s">
        <v>1550</v>
      </c>
      <c r="B1546" s="2" t="s">
        <v>4291</v>
      </c>
      <c r="C1546" s="2" t="s">
        <v>4275</v>
      </c>
      <c r="D1546" s="2"/>
      <c r="E1546" s="31" t="n">
        <v>49.8</v>
      </c>
      <c r="F1546" s="31" t="n">
        <v>81.9</v>
      </c>
      <c r="G1546" s="31" t="n">
        <v>43.4</v>
      </c>
      <c r="H1546" s="2" t="s">
        <v>832</v>
      </c>
    </row>
    <row r="1547" customFormat="false" ht="15" hidden="false" customHeight="false" outlineLevel="0" collapsed="false">
      <c r="A1547" s="2" t="s">
        <v>1550</v>
      </c>
      <c r="B1547" s="2" t="s">
        <v>45</v>
      </c>
      <c r="C1547" s="2" t="s">
        <v>4274</v>
      </c>
      <c r="D1547" s="2"/>
      <c r="E1547" s="2"/>
      <c r="F1547" s="2"/>
      <c r="G1547" s="2"/>
      <c r="H1547" s="2" t="s">
        <v>832</v>
      </c>
    </row>
    <row r="1548" customFormat="false" ht="15" hidden="false" customHeight="false" outlineLevel="0" collapsed="false">
      <c r="A1548" s="2" t="s">
        <v>1550</v>
      </c>
      <c r="B1548" s="2" t="s">
        <v>45</v>
      </c>
      <c r="C1548" s="2" t="s">
        <v>4275</v>
      </c>
      <c r="D1548" s="11" t="n">
        <v>24740</v>
      </c>
      <c r="E1548" s="31" t="n">
        <v>6.6</v>
      </c>
      <c r="F1548" s="31" t="n">
        <v>84.2</v>
      </c>
      <c r="G1548" s="31" t="n">
        <v>43.4</v>
      </c>
      <c r="H1548" s="2" t="s">
        <v>822</v>
      </c>
    </row>
    <row r="1549" customFormat="false" ht="15" hidden="false" customHeight="false" outlineLevel="0" collapsed="false">
      <c r="A1549" s="2" t="s">
        <v>1550</v>
      </c>
      <c r="B1549" s="2" t="s">
        <v>46</v>
      </c>
      <c r="C1549" s="2" t="s">
        <v>4274</v>
      </c>
      <c r="D1549" s="2"/>
      <c r="E1549" s="2"/>
      <c r="F1549" s="2"/>
      <c r="G1549" s="2"/>
      <c r="H1549" s="2" t="s">
        <v>832</v>
      </c>
    </row>
    <row r="1550" customFormat="false" ht="15" hidden="false" customHeight="false" outlineLevel="0" collapsed="false">
      <c r="A1550" s="2" t="s">
        <v>1550</v>
      </c>
      <c r="B1550" s="2" t="s">
        <v>46</v>
      </c>
      <c r="C1550" s="2" t="s">
        <v>4275</v>
      </c>
      <c r="D1550" s="11" t="n">
        <v>122223</v>
      </c>
      <c r="E1550" s="31" t="n">
        <v>92.9</v>
      </c>
      <c r="F1550" s="31" t="n">
        <v>79.6</v>
      </c>
      <c r="G1550" s="2"/>
      <c r="H1550" s="2" t="s">
        <v>832</v>
      </c>
    </row>
    <row r="1551" customFormat="false" ht="15" hidden="false" customHeight="false" outlineLevel="0" collapsed="false">
      <c r="A1551" s="2" t="s">
        <v>2626</v>
      </c>
      <c r="B1551" s="2" t="s">
        <v>4291</v>
      </c>
      <c r="C1551" s="2" t="s">
        <v>4274</v>
      </c>
      <c r="D1551" s="2"/>
      <c r="E1551" s="31" t="n">
        <v>41.2</v>
      </c>
      <c r="F1551" s="31" t="n">
        <v>86.4</v>
      </c>
      <c r="G1551" s="31" t="n">
        <v>37.7</v>
      </c>
      <c r="H1551" s="2" t="s">
        <v>832</v>
      </c>
    </row>
    <row r="1552" customFormat="false" ht="15" hidden="false" customHeight="false" outlineLevel="0" collapsed="false">
      <c r="A1552" s="2" t="s">
        <v>2626</v>
      </c>
      <c r="B1552" s="2" t="s">
        <v>4291</v>
      </c>
      <c r="C1552" s="2" t="s">
        <v>4275</v>
      </c>
      <c r="D1552" s="2"/>
      <c r="E1552" s="31" t="n">
        <v>39.3</v>
      </c>
      <c r="F1552" s="31" t="n">
        <v>62.9</v>
      </c>
      <c r="G1552" s="31" t="n">
        <v>19.8</v>
      </c>
      <c r="H1552" s="2" t="s">
        <v>832</v>
      </c>
    </row>
    <row r="1553" customFormat="false" ht="15" hidden="false" customHeight="false" outlineLevel="0" collapsed="false">
      <c r="A1553" s="2" t="s">
        <v>2626</v>
      </c>
      <c r="B1553" s="2" t="s">
        <v>45</v>
      </c>
      <c r="C1553" s="2" t="s">
        <v>4274</v>
      </c>
      <c r="D1553" s="11" t="n">
        <v>70030</v>
      </c>
      <c r="E1553" s="31" t="n">
        <v>30.4</v>
      </c>
      <c r="F1553" s="31" t="n">
        <v>97.1</v>
      </c>
      <c r="G1553" s="31" t="n">
        <v>47.8</v>
      </c>
      <c r="H1553" s="2" t="s">
        <v>822</v>
      </c>
    </row>
    <row r="1554" customFormat="false" ht="15" hidden="false" customHeight="false" outlineLevel="0" collapsed="false">
      <c r="A1554" s="2" t="s">
        <v>2626</v>
      </c>
      <c r="B1554" s="2" t="s">
        <v>45</v>
      </c>
      <c r="C1554" s="2" t="s">
        <v>4275</v>
      </c>
      <c r="D1554" s="11" t="n">
        <v>123600</v>
      </c>
      <c r="E1554" s="2"/>
      <c r="F1554" s="31" t="n">
        <v>62.1</v>
      </c>
      <c r="G1554" s="2"/>
      <c r="H1554" s="2" t="s">
        <v>832</v>
      </c>
    </row>
    <row r="1555" customFormat="false" ht="15" hidden="false" customHeight="false" outlineLevel="0" collapsed="false">
      <c r="A1555" s="2" t="s">
        <v>2626</v>
      </c>
      <c r="B1555" s="2" t="s">
        <v>46</v>
      </c>
      <c r="C1555" s="2" t="s">
        <v>4274</v>
      </c>
      <c r="D1555" s="11" t="n">
        <v>2840</v>
      </c>
      <c r="E1555" s="31" t="n">
        <v>50.5</v>
      </c>
      <c r="F1555" s="2"/>
      <c r="G1555" s="31" t="n">
        <v>24</v>
      </c>
      <c r="H1555" s="2" t="s">
        <v>832</v>
      </c>
    </row>
    <row r="1556" customFormat="false" ht="15" hidden="false" customHeight="false" outlineLevel="0" collapsed="false">
      <c r="A1556" s="2" t="s">
        <v>2626</v>
      </c>
      <c r="B1556" s="2" t="s">
        <v>46</v>
      </c>
      <c r="C1556" s="2" t="s">
        <v>4275</v>
      </c>
      <c r="D1556" s="11" t="n">
        <v>3010</v>
      </c>
      <c r="E1556" s="31" t="n">
        <v>41.8</v>
      </c>
      <c r="F1556" s="2"/>
      <c r="G1556" s="31" t="n">
        <v>7.1</v>
      </c>
      <c r="H1556" s="2" t="s">
        <v>832</v>
      </c>
    </row>
    <row r="1557" customFormat="false" ht="15" hidden="false" customHeight="false" outlineLevel="0" collapsed="false">
      <c r="A1557" s="2" t="s">
        <v>2626</v>
      </c>
      <c r="B1557" s="2" t="s">
        <v>47</v>
      </c>
      <c r="C1557" s="2" t="s">
        <v>4274</v>
      </c>
      <c r="D1557" s="11" t="n">
        <v>3670</v>
      </c>
      <c r="E1557" s="31" t="n">
        <v>42.7</v>
      </c>
      <c r="F1557" s="31" t="n">
        <v>75.6</v>
      </c>
      <c r="G1557" s="31" t="n">
        <v>41.3</v>
      </c>
      <c r="H1557" s="2" t="s">
        <v>822</v>
      </c>
    </row>
    <row r="1558" customFormat="false" ht="15" hidden="false" customHeight="false" outlineLevel="0" collapsed="false">
      <c r="A1558" s="2" t="s">
        <v>2626</v>
      </c>
      <c r="B1558" s="2" t="s">
        <v>47</v>
      </c>
      <c r="C1558" s="2" t="s">
        <v>4275</v>
      </c>
      <c r="D1558" s="11" t="n">
        <v>3841</v>
      </c>
      <c r="E1558" s="31" t="n">
        <v>36.9</v>
      </c>
      <c r="F1558" s="31" t="n">
        <v>63.7</v>
      </c>
      <c r="G1558" s="31" t="n">
        <v>32.6</v>
      </c>
      <c r="H1558" s="2" t="s">
        <v>822</v>
      </c>
    </row>
    <row r="1559" customFormat="false" ht="15" hidden="false" customHeight="false" outlineLevel="0" collapsed="false">
      <c r="A1559" s="2" t="s">
        <v>119</v>
      </c>
      <c r="B1559" s="2" t="s">
        <v>4291</v>
      </c>
      <c r="C1559" s="2" t="s">
        <v>4274</v>
      </c>
      <c r="D1559" s="2"/>
      <c r="E1559" s="31" t="n">
        <v>96</v>
      </c>
      <c r="F1559" s="31" t="n">
        <v>61.1</v>
      </c>
      <c r="G1559" s="2"/>
      <c r="H1559" s="2" t="s">
        <v>832</v>
      </c>
    </row>
    <row r="1560" customFormat="false" ht="15" hidden="false" customHeight="false" outlineLevel="0" collapsed="false">
      <c r="A1560" s="2" t="s">
        <v>119</v>
      </c>
      <c r="B1560" s="2" t="s">
        <v>4291</v>
      </c>
      <c r="C1560" s="2" t="s">
        <v>4275</v>
      </c>
      <c r="D1560" s="2"/>
      <c r="E1560" s="31" t="n">
        <v>91.4</v>
      </c>
      <c r="F1560" s="31" t="n">
        <v>80.5</v>
      </c>
      <c r="G1560" s="31" t="n">
        <v>47.5</v>
      </c>
      <c r="H1560" s="2" t="s">
        <v>822</v>
      </c>
    </row>
    <row r="1561" customFormat="false" ht="15" hidden="false" customHeight="false" outlineLevel="0" collapsed="false">
      <c r="A1561" s="2" t="s">
        <v>119</v>
      </c>
      <c r="B1561" s="2" t="s">
        <v>47</v>
      </c>
      <c r="C1561" s="2" t="s">
        <v>4274</v>
      </c>
      <c r="D1561" s="11" t="n">
        <v>36207</v>
      </c>
      <c r="E1561" s="31" t="n">
        <v>96</v>
      </c>
      <c r="F1561" s="31" t="n">
        <v>61.1</v>
      </c>
      <c r="G1561" s="2"/>
      <c r="H1561" s="2" t="s">
        <v>832</v>
      </c>
    </row>
    <row r="1562" customFormat="false" ht="15" hidden="false" customHeight="false" outlineLevel="0" collapsed="false">
      <c r="A1562" s="2" t="s">
        <v>119</v>
      </c>
      <c r="B1562" s="2" t="s">
        <v>47</v>
      </c>
      <c r="C1562" s="2" t="s">
        <v>4275</v>
      </c>
      <c r="D1562" s="11" t="n">
        <v>38310</v>
      </c>
      <c r="E1562" s="31" t="n">
        <v>91.4</v>
      </c>
      <c r="F1562" s="31" t="n">
        <v>80.5</v>
      </c>
      <c r="G1562" s="31" t="n">
        <v>47.5</v>
      </c>
      <c r="H1562" s="2" t="s">
        <v>822</v>
      </c>
    </row>
    <row r="1563" customFormat="false" ht="15" hidden="false" customHeight="false" outlineLevel="0" collapsed="false">
      <c r="A1563" s="2" t="s">
        <v>1881</v>
      </c>
      <c r="B1563" s="2" t="s">
        <v>4291</v>
      </c>
      <c r="C1563" s="2" t="s">
        <v>4274</v>
      </c>
      <c r="D1563" s="2"/>
      <c r="E1563" s="31" t="n">
        <v>46.4</v>
      </c>
      <c r="F1563" s="31" t="n">
        <v>69.7</v>
      </c>
      <c r="G1563" s="31" t="n">
        <v>53</v>
      </c>
      <c r="H1563" s="2" t="s">
        <v>822</v>
      </c>
    </row>
    <row r="1564" customFormat="false" ht="15" hidden="false" customHeight="false" outlineLevel="0" collapsed="false">
      <c r="A1564" s="2" t="s">
        <v>1881</v>
      </c>
      <c r="B1564" s="2" t="s">
        <v>4291</v>
      </c>
      <c r="C1564" s="2" t="s">
        <v>4275</v>
      </c>
      <c r="D1564" s="2"/>
      <c r="E1564" s="31" t="n">
        <v>71.4</v>
      </c>
      <c r="F1564" s="31" t="n">
        <v>72.3</v>
      </c>
      <c r="G1564" s="31" t="n">
        <v>69.2</v>
      </c>
      <c r="H1564" s="2" t="s">
        <v>832</v>
      </c>
    </row>
    <row r="1565" customFormat="false" ht="15" hidden="false" customHeight="false" outlineLevel="0" collapsed="false">
      <c r="A1565" s="2" t="s">
        <v>1881</v>
      </c>
      <c r="B1565" s="2" t="s">
        <v>45</v>
      </c>
      <c r="C1565" s="2" t="s">
        <v>4274</v>
      </c>
      <c r="D1565" s="11" t="n">
        <v>22270</v>
      </c>
      <c r="E1565" s="31" t="n">
        <v>17.3</v>
      </c>
      <c r="F1565" s="31" t="n">
        <v>77.4</v>
      </c>
      <c r="G1565" s="31" t="n">
        <v>72</v>
      </c>
      <c r="H1565" s="2" t="s">
        <v>822</v>
      </c>
    </row>
    <row r="1566" customFormat="false" ht="15" hidden="false" customHeight="false" outlineLevel="0" collapsed="false">
      <c r="A1566" s="2" t="s">
        <v>1881</v>
      </c>
      <c r="B1566" s="2" t="s">
        <v>45</v>
      </c>
      <c r="C1566" s="2" t="s">
        <v>4275</v>
      </c>
      <c r="D1566" s="2"/>
      <c r="E1566" s="2"/>
      <c r="F1566" s="2"/>
      <c r="G1566" s="2"/>
      <c r="H1566" s="2" t="s">
        <v>832</v>
      </c>
    </row>
    <row r="1567" customFormat="false" ht="15" hidden="false" customHeight="false" outlineLevel="0" collapsed="false">
      <c r="A1567" s="2" t="s">
        <v>1881</v>
      </c>
      <c r="B1567" s="2" t="s">
        <v>46</v>
      </c>
      <c r="C1567" s="2" t="s">
        <v>4274</v>
      </c>
      <c r="D1567" s="11" t="n">
        <v>59540</v>
      </c>
      <c r="E1567" s="31" t="n">
        <v>39.5</v>
      </c>
      <c r="F1567" s="31" t="n">
        <v>74.2</v>
      </c>
      <c r="G1567" s="31" t="n">
        <v>72.6</v>
      </c>
      <c r="H1567" s="2" t="s">
        <v>822</v>
      </c>
    </row>
    <row r="1568" customFormat="false" ht="15" hidden="false" customHeight="false" outlineLevel="0" collapsed="false">
      <c r="A1568" s="2" t="s">
        <v>1881</v>
      </c>
      <c r="B1568" s="2" t="s">
        <v>46</v>
      </c>
      <c r="C1568" s="2" t="s">
        <v>4275</v>
      </c>
      <c r="D1568" s="11" t="n">
        <v>61358</v>
      </c>
      <c r="E1568" s="31" t="n">
        <v>52.8</v>
      </c>
      <c r="F1568" s="31" t="n">
        <v>61.8</v>
      </c>
      <c r="G1568" s="31" t="n">
        <v>96.9</v>
      </c>
      <c r="H1568" s="2" t="s">
        <v>822</v>
      </c>
    </row>
    <row r="1569" customFormat="false" ht="15" hidden="false" customHeight="false" outlineLevel="0" collapsed="false">
      <c r="A1569" s="2" t="s">
        <v>1881</v>
      </c>
      <c r="B1569" s="2" t="s">
        <v>47</v>
      </c>
      <c r="C1569" s="2" t="s">
        <v>4274</v>
      </c>
      <c r="D1569" s="11" t="n">
        <v>10914</v>
      </c>
      <c r="E1569" s="31" t="n">
        <v>82.5</v>
      </c>
      <c r="F1569" s="31" t="n">
        <v>57.5</v>
      </c>
      <c r="G1569" s="31" t="n">
        <v>14.5</v>
      </c>
      <c r="H1569" s="2" t="s">
        <v>822</v>
      </c>
    </row>
    <row r="1570" customFormat="false" ht="15" hidden="false" customHeight="false" outlineLevel="0" collapsed="false">
      <c r="A1570" s="2" t="s">
        <v>1881</v>
      </c>
      <c r="B1570" s="2" t="s">
        <v>47</v>
      </c>
      <c r="C1570" s="2" t="s">
        <v>4275</v>
      </c>
      <c r="D1570" s="11" t="n">
        <v>11190</v>
      </c>
      <c r="E1570" s="31" t="n">
        <v>90.1</v>
      </c>
      <c r="F1570" s="31" t="n">
        <v>82.8</v>
      </c>
      <c r="G1570" s="31" t="n">
        <v>41.4</v>
      </c>
      <c r="H1570" s="2" t="s">
        <v>822</v>
      </c>
    </row>
    <row r="1571" customFormat="false" ht="15" hidden="false" customHeight="false" outlineLevel="0" collapsed="false">
      <c r="A1571" s="2" t="s">
        <v>664</v>
      </c>
      <c r="B1571" s="2" t="s">
        <v>4291</v>
      </c>
      <c r="C1571" s="2" t="s">
        <v>4274</v>
      </c>
      <c r="D1571" s="2"/>
      <c r="E1571" s="31" t="n">
        <v>30.1</v>
      </c>
      <c r="F1571" s="31" t="n">
        <v>45.4</v>
      </c>
      <c r="G1571" s="31" t="n">
        <v>98.1</v>
      </c>
      <c r="H1571" s="2" t="s">
        <v>822</v>
      </c>
    </row>
    <row r="1572" customFormat="false" ht="15" hidden="false" customHeight="false" outlineLevel="0" collapsed="false">
      <c r="A1572" s="2" t="s">
        <v>664</v>
      </c>
      <c r="B1572" s="2" t="s">
        <v>4291</v>
      </c>
      <c r="C1572" s="2" t="s">
        <v>4275</v>
      </c>
      <c r="D1572" s="2"/>
      <c r="E1572" s="31" t="n">
        <v>33.7</v>
      </c>
      <c r="F1572" s="31" t="n">
        <v>66.9</v>
      </c>
      <c r="G1572" s="31" t="n">
        <v>97.7</v>
      </c>
      <c r="H1572" s="2" t="s">
        <v>822</v>
      </c>
    </row>
    <row r="1573" customFormat="false" ht="15" hidden="false" customHeight="false" outlineLevel="0" collapsed="false">
      <c r="A1573" s="2" t="s">
        <v>664</v>
      </c>
      <c r="B1573" s="2" t="s">
        <v>47</v>
      </c>
      <c r="C1573" s="2" t="s">
        <v>4274</v>
      </c>
      <c r="D1573" s="11" t="n">
        <v>14213</v>
      </c>
      <c r="E1573" s="31" t="n">
        <v>30.1</v>
      </c>
      <c r="F1573" s="31" t="n">
        <v>45.4</v>
      </c>
      <c r="G1573" s="31" t="n">
        <v>98.1</v>
      </c>
      <c r="H1573" s="2" t="s">
        <v>822</v>
      </c>
    </row>
    <row r="1574" customFormat="false" ht="15" hidden="false" customHeight="false" outlineLevel="0" collapsed="false">
      <c r="A1574" s="2" t="s">
        <v>664</v>
      </c>
      <c r="B1574" s="2" t="s">
        <v>47</v>
      </c>
      <c r="C1574" s="2" t="s">
        <v>4275</v>
      </c>
      <c r="D1574" s="11" t="n">
        <v>15286</v>
      </c>
      <c r="E1574" s="31" t="n">
        <v>33.7</v>
      </c>
      <c r="F1574" s="31" t="n">
        <v>66.9</v>
      </c>
      <c r="G1574" s="31" t="n">
        <v>97.7</v>
      </c>
      <c r="H1574" s="2" t="s">
        <v>822</v>
      </c>
    </row>
    <row r="1575" customFormat="false" ht="15" hidden="false" customHeight="false" outlineLevel="0" collapsed="false">
      <c r="A1575" s="2" t="s">
        <v>408</v>
      </c>
      <c r="B1575" s="2" t="s">
        <v>4291</v>
      </c>
      <c r="C1575" s="2" t="s">
        <v>4274</v>
      </c>
      <c r="D1575" s="2"/>
      <c r="E1575" s="31" t="n">
        <v>38</v>
      </c>
      <c r="F1575" s="31" t="n">
        <v>48.5</v>
      </c>
      <c r="G1575" s="31" t="n">
        <v>41.2</v>
      </c>
      <c r="H1575" s="2" t="s">
        <v>822</v>
      </c>
    </row>
    <row r="1576" customFormat="false" ht="15" hidden="false" customHeight="false" outlineLevel="0" collapsed="false">
      <c r="A1576" s="2" t="s">
        <v>408</v>
      </c>
      <c r="B1576" s="2" t="s">
        <v>4291</v>
      </c>
      <c r="C1576" s="2" t="s">
        <v>4275</v>
      </c>
      <c r="D1576" s="2"/>
      <c r="E1576" s="31" t="n">
        <v>54.6</v>
      </c>
      <c r="F1576" s="31" t="n">
        <v>11.3</v>
      </c>
      <c r="G1576" s="31" t="n">
        <v>60.1</v>
      </c>
      <c r="H1576" s="2" t="s">
        <v>822</v>
      </c>
    </row>
    <row r="1577" customFormat="false" ht="15" hidden="false" customHeight="false" outlineLevel="0" collapsed="false">
      <c r="A1577" s="2" t="s">
        <v>408</v>
      </c>
      <c r="B1577" s="2" t="s">
        <v>45</v>
      </c>
      <c r="C1577" s="2" t="s">
        <v>4274</v>
      </c>
      <c r="D1577" s="11" t="n">
        <v>31675</v>
      </c>
      <c r="E1577" s="31" t="n">
        <v>38</v>
      </c>
      <c r="F1577" s="31" t="n">
        <v>48.5</v>
      </c>
      <c r="G1577" s="31" t="n">
        <v>41.2</v>
      </c>
      <c r="H1577" s="2" t="s">
        <v>822</v>
      </c>
    </row>
    <row r="1578" customFormat="false" ht="15" hidden="false" customHeight="false" outlineLevel="0" collapsed="false">
      <c r="A1578" s="2" t="s">
        <v>408</v>
      </c>
      <c r="B1578" s="2" t="s">
        <v>45</v>
      </c>
      <c r="C1578" s="2" t="s">
        <v>4275</v>
      </c>
      <c r="D1578" s="11" t="n">
        <v>31570</v>
      </c>
      <c r="E1578" s="31" t="n">
        <v>54.6</v>
      </c>
      <c r="F1578" s="31" t="n">
        <v>11.3</v>
      </c>
      <c r="G1578" s="31" t="n">
        <v>60.1</v>
      </c>
      <c r="H1578" s="2" t="s">
        <v>822</v>
      </c>
    </row>
    <row r="1579" customFormat="false" ht="15" hidden="false" customHeight="false" outlineLevel="0" collapsed="false">
      <c r="A1579" s="2" t="s">
        <v>2753</v>
      </c>
      <c r="B1579" s="2" t="s">
        <v>4291</v>
      </c>
      <c r="C1579" s="2" t="s">
        <v>4275</v>
      </c>
      <c r="D1579" s="2"/>
      <c r="E1579" s="31" t="n">
        <v>26.6</v>
      </c>
      <c r="F1579" s="31" t="n">
        <v>47.2</v>
      </c>
      <c r="G1579" s="31" t="n">
        <v>2.7</v>
      </c>
      <c r="H1579" s="2" t="s">
        <v>832</v>
      </c>
    </row>
    <row r="1580" customFormat="false" ht="15" hidden="false" customHeight="false" outlineLevel="0" collapsed="false">
      <c r="A1580" s="2" t="s">
        <v>2753</v>
      </c>
      <c r="B1580" s="2" t="s">
        <v>46</v>
      </c>
      <c r="C1580" s="2" t="s">
        <v>4275</v>
      </c>
      <c r="D1580" s="11" t="n">
        <v>7259</v>
      </c>
      <c r="E1580" s="31" t="n">
        <v>35.2</v>
      </c>
      <c r="F1580" s="31" t="n">
        <v>7.5</v>
      </c>
      <c r="G1580" s="2"/>
      <c r="H1580" s="2" t="s">
        <v>832</v>
      </c>
    </row>
    <row r="1581" customFormat="false" ht="15" hidden="false" customHeight="false" outlineLevel="0" collapsed="false">
      <c r="A1581" s="2" t="s">
        <v>2753</v>
      </c>
      <c r="B1581" s="2" t="s">
        <v>47</v>
      </c>
      <c r="C1581" s="2" t="s">
        <v>4275</v>
      </c>
      <c r="D1581" s="11" t="n">
        <v>180670</v>
      </c>
      <c r="E1581" s="31" t="n">
        <v>18</v>
      </c>
      <c r="F1581" s="31" t="n">
        <v>87</v>
      </c>
      <c r="G1581" s="31" t="n">
        <v>2.7</v>
      </c>
      <c r="H1581" s="2" t="s">
        <v>822</v>
      </c>
    </row>
    <row r="1582" customFormat="false" ht="15" hidden="false" customHeight="false" outlineLevel="0" collapsed="false">
      <c r="A1582" s="2" t="s">
        <v>1502</v>
      </c>
      <c r="B1582" s="2" t="s">
        <v>4291</v>
      </c>
      <c r="C1582" s="2" t="s">
        <v>4274</v>
      </c>
      <c r="D1582" s="2"/>
      <c r="E1582" s="31" t="n">
        <v>38.7</v>
      </c>
      <c r="F1582" s="31" t="n">
        <v>63.3</v>
      </c>
      <c r="G1582" s="31" t="n">
        <v>51.2</v>
      </c>
      <c r="H1582" s="2" t="s">
        <v>822</v>
      </c>
    </row>
    <row r="1583" customFormat="false" ht="15" hidden="false" customHeight="false" outlineLevel="0" collapsed="false">
      <c r="A1583" s="2" t="s">
        <v>1502</v>
      </c>
      <c r="B1583" s="2" t="s">
        <v>4291</v>
      </c>
      <c r="C1583" s="2" t="s">
        <v>4275</v>
      </c>
      <c r="D1583" s="2"/>
      <c r="E1583" s="31" t="n">
        <v>35</v>
      </c>
      <c r="F1583" s="31" t="n">
        <v>46.6</v>
      </c>
      <c r="G1583" s="31" t="n">
        <v>18.9</v>
      </c>
      <c r="H1583" s="2" t="s">
        <v>832</v>
      </c>
    </row>
    <row r="1584" customFormat="false" ht="15" hidden="false" customHeight="false" outlineLevel="0" collapsed="false">
      <c r="A1584" s="2" t="s">
        <v>1502</v>
      </c>
      <c r="B1584" s="2" t="s">
        <v>45</v>
      </c>
      <c r="C1584" s="2" t="s">
        <v>4274</v>
      </c>
      <c r="D1584" s="11" t="n">
        <v>68009</v>
      </c>
      <c r="E1584" s="31" t="n">
        <v>15.6</v>
      </c>
      <c r="F1584" s="31" t="n">
        <v>55.8</v>
      </c>
      <c r="G1584" s="31" t="n">
        <v>58.5</v>
      </c>
      <c r="H1584" s="2" t="s">
        <v>822</v>
      </c>
    </row>
    <row r="1585" customFormat="false" ht="15" hidden="false" customHeight="false" outlineLevel="0" collapsed="false">
      <c r="A1585" s="2" t="s">
        <v>1502</v>
      </c>
      <c r="B1585" s="2" t="s">
        <v>45</v>
      </c>
      <c r="C1585" s="2" t="s">
        <v>4275</v>
      </c>
      <c r="D1585" s="11" t="n">
        <v>68520</v>
      </c>
      <c r="E1585" s="31" t="n">
        <v>13.2</v>
      </c>
      <c r="F1585" s="31" t="n">
        <v>8.6</v>
      </c>
      <c r="G1585" s="31" t="n">
        <v>18.9</v>
      </c>
      <c r="H1585" s="2" t="s">
        <v>822</v>
      </c>
    </row>
    <row r="1586" customFormat="false" ht="15" hidden="false" customHeight="false" outlineLevel="0" collapsed="false">
      <c r="A1586" s="2" t="s">
        <v>1502</v>
      </c>
      <c r="B1586" s="2" t="s">
        <v>46</v>
      </c>
      <c r="C1586" s="2" t="s">
        <v>4274</v>
      </c>
      <c r="D1586" s="11" t="n">
        <v>68159</v>
      </c>
      <c r="E1586" s="31" t="n">
        <v>74.4</v>
      </c>
      <c r="F1586" s="31" t="n">
        <v>37.1</v>
      </c>
      <c r="G1586" s="31" t="n">
        <v>13.9</v>
      </c>
      <c r="H1586" s="2" t="s">
        <v>822</v>
      </c>
    </row>
    <row r="1587" customFormat="false" ht="15" hidden="false" customHeight="false" outlineLevel="0" collapsed="false">
      <c r="A1587" s="2" t="s">
        <v>1502</v>
      </c>
      <c r="B1587" s="2" t="s">
        <v>46</v>
      </c>
      <c r="C1587" s="2" t="s">
        <v>4275</v>
      </c>
      <c r="D1587" s="2"/>
      <c r="E1587" s="2"/>
      <c r="F1587" s="2"/>
      <c r="G1587" s="2"/>
      <c r="H1587" s="2" t="s">
        <v>832</v>
      </c>
    </row>
    <row r="1588" customFormat="false" ht="15" hidden="false" customHeight="false" outlineLevel="0" collapsed="false">
      <c r="A1588" s="2" t="s">
        <v>1502</v>
      </c>
      <c r="B1588" s="2" t="s">
        <v>47</v>
      </c>
      <c r="C1588" s="2" t="s">
        <v>4274</v>
      </c>
      <c r="D1588" s="11" t="n">
        <v>154851</v>
      </c>
      <c r="E1588" s="31" t="n">
        <v>26</v>
      </c>
      <c r="F1588" s="31" t="n">
        <v>96.9</v>
      </c>
      <c r="G1588" s="31" t="n">
        <v>81.3</v>
      </c>
      <c r="H1588" s="2" t="s">
        <v>822</v>
      </c>
    </row>
    <row r="1589" customFormat="false" ht="15" hidden="false" customHeight="false" outlineLevel="0" collapsed="false">
      <c r="A1589" s="2" t="s">
        <v>1502</v>
      </c>
      <c r="B1589" s="2" t="s">
        <v>47</v>
      </c>
      <c r="C1589" s="2" t="s">
        <v>4275</v>
      </c>
      <c r="D1589" s="11" t="n">
        <v>163313</v>
      </c>
      <c r="E1589" s="31" t="n">
        <v>56.8</v>
      </c>
      <c r="F1589" s="31" t="n">
        <v>84.5</v>
      </c>
      <c r="G1589" s="2"/>
      <c r="H1589" s="2" t="s">
        <v>832</v>
      </c>
    </row>
    <row r="1590" customFormat="false" ht="15" hidden="false" customHeight="false" outlineLevel="0" collapsed="false">
      <c r="A1590" s="2" t="s">
        <v>240</v>
      </c>
      <c r="B1590" s="2" t="s">
        <v>4291</v>
      </c>
      <c r="C1590" s="2" t="s">
        <v>4274</v>
      </c>
      <c r="D1590" s="2"/>
      <c r="E1590" s="31" t="n">
        <v>75</v>
      </c>
      <c r="F1590" s="31" t="n">
        <v>75.6</v>
      </c>
      <c r="G1590" s="31" t="n">
        <v>40.5</v>
      </c>
      <c r="H1590" s="2" t="s">
        <v>832</v>
      </c>
    </row>
    <row r="1591" customFormat="false" ht="15" hidden="false" customHeight="false" outlineLevel="0" collapsed="false">
      <c r="A1591" s="2" t="s">
        <v>240</v>
      </c>
      <c r="B1591" s="2" t="s">
        <v>4291</v>
      </c>
      <c r="C1591" s="2" t="s">
        <v>4275</v>
      </c>
      <c r="D1591" s="2"/>
      <c r="E1591" s="31" t="n">
        <v>69.4</v>
      </c>
      <c r="F1591" s="31" t="n">
        <v>65</v>
      </c>
      <c r="G1591" s="31" t="n">
        <v>39.2</v>
      </c>
      <c r="H1591" s="2" t="s">
        <v>822</v>
      </c>
    </row>
    <row r="1592" customFormat="false" ht="15" hidden="false" customHeight="false" outlineLevel="0" collapsed="false">
      <c r="A1592" s="2" t="s">
        <v>240</v>
      </c>
      <c r="B1592" s="2" t="s">
        <v>45</v>
      </c>
      <c r="C1592" s="2" t="s">
        <v>4274</v>
      </c>
      <c r="D1592" s="11" t="n">
        <v>14418</v>
      </c>
      <c r="E1592" s="31" t="n">
        <v>98.7</v>
      </c>
      <c r="F1592" s="31" t="n">
        <v>79.9</v>
      </c>
      <c r="G1592" s="31" t="n">
        <v>40.5</v>
      </c>
      <c r="H1592" s="2" t="s">
        <v>822</v>
      </c>
    </row>
    <row r="1593" customFormat="false" ht="15" hidden="false" customHeight="false" outlineLevel="0" collapsed="false">
      <c r="A1593" s="2" t="s">
        <v>240</v>
      </c>
      <c r="B1593" s="2" t="s">
        <v>45</v>
      </c>
      <c r="C1593" s="2" t="s">
        <v>4275</v>
      </c>
      <c r="D1593" s="11" t="n">
        <v>15310</v>
      </c>
      <c r="E1593" s="31" t="n">
        <v>97.5</v>
      </c>
      <c r="F1593" s="31" t="n">
        <v>55.7</v>
      </c>
      <c r="G1593" s="31" t="n">
        <v>35.4</v>
      </c>
      <c r="H1593" s="2" t="s">
        <v>822</v>
      </c>
    </row>
    <row r="1594" customFormat="false" ht="15" hidden="false" customHeight="false" outlineLevel="0" collapsed="false">
      <c r="A1594" s="2" t="s">
        <v>240</v>
      </c>
      <c r="B1594" s="2" t="s">
        <v>46</v>
      </c>
      <c r="C1594" s="2" t="s">
        <v>4274</v>
      </c>
      <c r="D1594" s="11" t="n">
        <v>34640</v>
      </c>
      <c r="E1594" s="31" t="n">
        <v>51.3</v>
      </c>
      <c r="F1594" s="31" t="n">
        <v>71.2</v>
      </c>
      <c r="G1594" s="2"/>
      <c r="H1594" s="2" t="s">
        <v>832</v>
      </c>
    </row>
    <row r="1595" customFormat="false" ht="15" hidden="false" customHeight="false" outlineLevel="0" collapsed="false">
      <c r="A1595" s="2" t="s">
        <v>240</v>
      </c>
      <c r="B1595" s="2" t="s">
        <v>46</v>
      </c>
      <c r="C1595" s="2" t="s">
        <v>4275</v>
      </c>
      <c r="D1595" s="11" t="n">
        <v>36080</v>
      </c>
      <c r="E1595" s="31" t="n">
        <v>41.3</v>
      </c>
      <c r="F1595" s="31" t="n">
        <v>74.2</v>
      </c>
      <c r="G1595" s="31" t="n">
        <v>43</v>
      </c>
      <c r="H1595" s="2" t="s">
        <v>822</v>
      </c>
    </row>
    <row r="1596" customFormat="false" ht="15" hidden="false" customHeight="false" outlineLevel="0" collapsed="false">
      <c r="A1596" s="2" t="s">
        <v>1345</v>
      </c>
      <c r="B1596" s="2" t="s">
        <v>4291</v>
      </c>
      <c r="C1596" s="2" t="s">
        <v>4274</v>
      </c>
      <c r="D1596" s="2"/>
      <c r="E1596" s="31" t="n">
        <v>27.4</v>
      </c>
      <c r="F1596" s="31" t="n">
        <v>27</v>
      </c>
      <c r="G1596" s="31" t="n">
        <v>44.4</v>
      </c>
      <c r="H1596" s="2" t="s">
        <v>822</v>
      </c>
    </row>
    <row r="1597" customFormat="false" ht="15" hidden="false" customHeight="false" outlineLevel="0" collapsed="false">
      <c r="A1597" s="2" t="s">
        <v>1345</v>
      </c>
      <c r="B1597" s="2" t="s">
        <v>4291</v>
      </c>
      <c r="C1597" s="2" t="s">
        <v>4275</v>
      </c>
      <c r="D1597" s="2"/>
      <c r="E1597" s="31" t="n">
        <v>24.8</v>
      </c>
      <c r="F1597" s="31" t="n">
        <v>22.2</v>
      </c>
      <c r="G1597" s="31" t="n">
        <v>40.1</v>
      </c>
      <c r="H1597" s="2" t="s">
        <v>832</v>
      </c>
    </row>
    <row r="1598" customFormat="false" ht="15" hidden="false" customHeight="false" outlineLevel="0" collapsed="false">
      <c r="A1598" s="2" t="s">
        <v>1345</v>
      </c>
      <c r="B1598" s="2" t="s">
        <v>45</v>
      </c>
      <c r="C1598" s="2" t="s">
        <v>4274</v>
      </c>
      <c r="D1598" s="11" t="n">
        <v>9960</v>
      </c>
      <c r="E1598" s="31" t="n">
        <v>46.7</v>
      </c>
      <c r="F1598" s="31" t="n">
        <v>29</v>
      </c>
      <c r="G1598" s="31" t="n">
        <v>21</v>
      </c>
      <c r="H1598" s="2" t="s">
        <v>822</v>
      </c>
    </row>
    <row r="1599" customFormat="false" ht="15" hidden="false" customHeight="false" outlineLevel="0" collapsed="false">
      <c r="A1599" s="2" t="s">
        <v>1345</v>
      </c>
      <c r="B1599" s="2" t="s">
        <v>45</v>
      </c>
      <c r="C1599" s="2" t="s">
        <v>4275</v>
      </c>
      <c r="D1599" s="11" t="n">
        <v>10020</v>
      </c>
      <c r="E1599" s="31" t="n">
        <v>35.2</v>
      </c>
      <c r="F1599" s="31" t="n">
        <v>39.5</v>
      </c>
      <c r="G1599" s="31" t="n">
        <v>11.4</v>
      </c>
      <c r="H1599" s="2" t="s">
        <v>822</v>
      </c>
    </row>
    <row r="1600" customFormat="false" ht="15" hidden="false" customHeight="false" outlineLevel="0" collapsed="false">
      <c r="A1600" s="2" t="s">
        <v>1345</v>
      </c>
      <c r="B1600" s="2" t="s">
        <v>46</v>
      </c>
      <c r="C1600" s="2" t="s">
        <v>4274</v>
      </c>
      <c r="D1600" s="11" t="n">
        <v>175658</v>
      </c>
      <c r="E1600" s="31" t="n">
        <v>9.2</v>
      </c>
      <c r="F1600" s="31" t="n">
        <v>41</v>
      </c>
      <c r="G1600" s="31" t="n">
        <v>37.4</v>
      </c>
      <c r="H1600" s="2" t="s">
        <v>822</v>
      </c>
    </row>
    <row r="1601" customFormat="false" ht="15" hidden="false" customHeight="false" outlineLevel="0" collapsed="false">
      <c r="A1601" s="2" t="s">
        <v>1345</v>
      </c>
      <c r="B1601" s="2" t="s">
        <v>46</v>
      </c>
      <c r="C1601" s="2" t="s">
        <v>4275</v>
      </c>
      <c r="D1601" s="2"/>
      <c r="E1601" s="2"/>
      <c r="F1601" s="2"/>
      <c r="G1601" s="2"/>
      <c r="H1601" s="2" t="s">
        <v>832</v>
      </c>
    </row>
    <row r="1602" customFormat="false" ht="15" hidden="false" customHeight="false" outlineLevel="0" collapsed="false">
      <c r="A1602" s="2" t="s">
        <v>1345</v>
      </c>
      <c r="B1602" s="2" t="s">
        <v>47</v>
      </c>
      <c r="C1602" s="2" t="s">
        <v>4274</v>
      </c>
      <c r="D1602" s="11" t="n">
        <v>3846</v>
      </c>
      <c r="E1602" s="31" t="n">
        <v>26.3</v>
      </c>
      <c r="F1602" s="31" t="n">
        <v>11.1</v>
      </c>
      <c r="G1602" s="31" t="n">
        <v>74.8</v>
      </c>
      <c r="H1602" s="2" t="s">
        <v>822</v>
      </c>
    </row>
    <row r="1603" customFormat="false" ht="15" hidden="false" customHeight="false" outlineLevel="0" collapsed="false">
      <c r="A1603" s="2" t="s">
        <v>1345</v>
      </c>
      <c r="B1603" s="2" t="s">
        <v>47</v>
      </c>
      <c r="C1603" s="2" t="s">
        <v>4275</v>
      </c>
      <c r="D1603" s="11" t="n">
        <v>3831</v>
      </c>
      <c r="E1603" s="31" t="n">
        <v>14.5</v>
      </c>
      <c r="F1603" s="31" t="n">
        <v>5</v>
      </c>
      <c r="G1603" s="31" t="n">
        <v>68.8</v>
      </c>
      <c r="H1603" s="2" t="s">
        <v>822</v>
      </c>
    </row>
    <row r="1604" customFormat="false" ht="15" hidden="false" customHeight="false" outlineLevel="0" collapsed="false">
      <c r="A1604" s="2" t="s">
        <v>272</v>
      </c>
      <c r="B1604" s="2" t="s">
        <v>4291</v>
      </c>
      <c r="C1604" s="2" t="s">
        <v>4274</v>
      </c>
      <c r="D1604" s="2"/>
      <c r="E1604" s="31" t="n">
        <v>84</v>
      </c>
      <c r="F1604" s="31" t="n">
        <v>51.1</v>
      </c>
      <c r="G1604" s="31" t="n">
        <v>88.5</v>
      </c>
      <c r="H1604" s="2" t="s">
        <v>822</v>
      </c>
    </row>
    <row r="1605" customFormat="false" ht="15" hidden="false" customHeight="false" outlineLevel="0" collapsed="false">
      <c r="A1605" s="2" t="s">
        <v>272</v>
      </c>
      <c r="B1605" s="2" t="s">
        <v>4291</v>
      </c>
      <c r="C1605" s="2" t="s">
        <v>4275</v>
      </c>
      <c r="D1605" s="2"/>
      <c r="E1605" s="31" t="n">
        <v>65.6</v>
      </c>
      <c r="F1605" s="31" t="n">
        <v>36.1</v>
      </c>
      <c r="G1605" s="31" t="n">
        <v>44.5</v>
      </c>
      <c r="H1605" s="2" t="s">
        <v>822</v>
      </c>
    </row>
    <row r="1606" customFormat="false" ht="15" hidden="false" customHeight="false" outlineLevel="0" collapsed="false">
      <c r="A1606" s="2" t="s">
        <v>272</v>
      </c>
      <c r="B1606" s="2" t="s">
        <v>45</v>
      </c>
      <c r="C1606" s="2" t="s">
        <v>4274</v>
      </c>
      <c r="D1606" s="11" t="n">
        <v>12416</v>
      </c>
      <c r="E1606" s="31" t="n">
        <v>84</v>
      </c>
      <c r="F1606" s="31" t="n">
        <v>51.1</v>
      </c>
      <c r="G1606" s="31" t="n">
        <v>88.5</v>
      </c>
      <c r="H1606" s="2" t="s">
        <v>822</v>
      </c>
    </row>
    <row r="1607" customFormat="false" ht="15" hidden="false" customHeight="false" outlineLevel="0" collapsed="false">
      <c r="A1607" s="2" t="s">
        <v>272</v>
      </c>
      <c r="B1607" s="2" t="s">
        <v>45</v>
      </c>
      <c r="C1607" s="2" t="s">
        <v>4275</v>
      </c>
      <c r="D1607" s="11" t="n">
        <v>12828</v>
      </c>
      <c r="E1607" s="31" t="n">
        <v>65.6</v>
      </c>
      <c r="F1607" s="31" t="n">
        <v>36.1</v>
      </c>
      <c r="G1607" s="31" t="n">
        <v>44.5</v>
      </c>
      <c r="H1607" s="2" t="s">
        <v>822</v>
      </c>
    </row>
    <row r="1608" customFormat="false" ht="15" hidden="false" customHeight="false" outlineLevel="0" collapsed="false">
      <c r="A1608" s="2" t="s">
        <v>194</v>
      </c>
      <c r="B1608" s="2" t="s">
        <v>4291</v>
      </c>
      <c r="C1608" s="2" t="s">
        <v>4274</v>
      </c>
      <c r="D1608" s="2"/>
      <c r="E1608" s="31" t="n">
        <v>65.2</v>
      </c>
      <c r="F1608" s="31" t="n">
        <v>61.4</v>
      </c>
      <c r="G1608" s="31" t="n">
        <v>57.3</v>
      </c>
      <c r="H1608" s="2" t="s">
        <v>832</v>
      </c>
    </row>
    <row r="1609" customFormat="false" ht="15" hidden="false" customHeight="false" outlineLevel="0" collapsed="false">
      <c r="A1609" s="2" t="s">
        <v>194</v>
      </c>
      <c r="B1609" s="2" t="s">
        <v>4291</v>
      </c>
      <c r="C1609" s="2" t="s">
        <v>4275</v>
      </c>
      <c r="D1609" s="2"/>
      <c r="E1609" s="31" t="n">
        <v>76.2</v>
      </c>
      <c r="F1609" s="31" t="n">
        <v>75.8</v>
      </c>
      <c r="G1609" s="31" t="n">
        <v>66</v>
      </c>
      <c r="H1609" s="2" t="s">
        <v>822</v>
      </c>
    </row>
    <row r="1610" customFormat="false" ht="15" hidden="false" customHeight="false" outlineLevel="0" collapsed="false">
      <c r="A1610" s="2" t="s">
        <v>194</v>
      </c>
      <c r="B1610" s="2" t="s">
        <v>45</v>
      </c>
      <c r="C1610" s="2" t="s">
        <v>4274</v>
      </c>
      <c r="D1610" s="11" t="n">
        <v>16620</v>
      </c>
      <c r="E1610" s="31" t="n">
        <v>65.7</v>
      </c>
      <c r="F1610" s="31" t="n">
        <v>69.3</v>
      </c>
      <c r="G1610" s="31" t="n">
        <v>45.9</v>
      </c>
      <c r="H1610" s="2" t="s">
        <v>822</v>
      </c>
    </row>
    <row r="1611" customFormat="false" ht="15" hidden="false" customHeight="false" outlineLevel="0" collapsed="false">
      <c r="A1611" s="2" t="s">
        <v>194</v>
      </c>
      <c r="B1611" s="2" t="s">
        <v>45</v>
      </c>
      <c r="C1611" s="2" t="s">
        <v>4275</v>
      </c>
      <c r="D1611" s="11" t="n">
        <v>17470</v>
      </c>
      <c r="E1611" s="31" t="n">
        <v>86</v>
      </c>
      <c r="F1611" s="31" t="n">
        <v>85.9</v>
      </c>
      <c r="G1611" s="31" t="n">
        <v>47.1</v>
      </c>
      <c r="H1611" s="2" t="s">
        <v>822</v>
      </c>
    </row>
    <row r="1612" customFormat="false" ht="15" hidden="false" customHeight="false" outlineLevel="0" collapsed="false">
      <c r="A1612" s="2" t="s">
        <v>194</v>
      </c>
      <c r="B1612" s="2" t="s">
        <v>46</v>
      </c>
      <c r="C1612" s="2" t="s">
        <v>4274</v>
      </c>
      <c r="D1612" s="11" t="n">
        <v>41970</v>
      </c>
      <c r="E1612" s="31" t="n">
        <v>53</v>
      </c>
      <c r="F1612" s="31" t="n">
        <v>66.3</v>
      </c>
      <c r="G1612" s="31" t="n">
        <v>68.7</v>
      </c>
      <c r="H1612" s="2" t="s">
        <v>822</v>
      </c>
    </row>
    <row r="1613" customFormat="false" ht="15" hidden="false" customHeight="false" outlineLevel="0" collapsed="false">
      <c r="A1613" s="2" t="s">
        <v>194</v>
      </c>
      <c r="B1613" s="2" t="s">
        <v>46</v>
      </c>
      <c r="C1613" s="2" t="s">
        <v>4275</v>
      </c>
      <c r="D1613" s="11" t="n">
        <v>42960</v>
      </c>
      <c r="E1613" s="31" t="n">
        <v>64.4</v>
      </c>
      <c r="F1613" s="31" t="n">
        <v>68.7</v>
      </c>
      <c r="G1613" s="31" t="n">
        <v>68.7</v>
      </c>
      <c r="H1613" s="2" t="s">
        <v>822</v>
      </c>
    </row>
    <row r="1614" customFormat="false" ht="15" hidden="false" customHeight="false" outlineLevel="0" collapsed="false">
      <c r="A1614" s="2" t="s">
        <v>194</v>
      </c>
      <c r="B1614" s="2" t="s">
        <v>47</v>
      </c>
      <c r="C1614" s="2" t="s">
        <v>4274</v>
      </c>
      <c r="D1614" s="11" t="n">
        <v>31890</v>
      </c>
      <c r="E1614" s="31" t="n">
        <v>77</v>
      </c>
      <c r="F1614" s="31" t="n">
        <v>48.7</v>
      </c>
      <c r="G1614" s="2"/>
      <c r="H1614" s="2" t="s">
        <v>832</v>
      </c>
    </row>
    <row r="1615" customFormat="false" ht="15" hidden="false" customHeight="false" outlineLevel="0" collapsed="false">
      <c r="A1615" s="2" t="s">
        <v>194</v>
      </c>
      <c r="B1615" s="2" t="s">
        <v>47</v>
      </c>
      <c r="C1615" s="2" t="s">
        <v>4275</v>
      </c>
      <c r="D1615" s="11" t="n">
        <v>53290</v>
      </c>
      <c r="E1615" s="31" t="n">
        <v>78.3</v>
      </c>
      <c r="F1615" s="31" t="n">
        <v>72.7</v>
      </c>
      <c r="G1615" s="31" t="n">
        <v>82.3</v>
      </c>
      <c r="H1615" s="2" t="s">
        <v>822</v>
      </c>
    </row>
    <row r="1616" customFormat="false" ht="15" hidden="false" customHeight="false" outlineLevel="0" collapsed="false">
      <c r="A1616" s="2" t="s">
        <v>1867</v>
      </c>
      <c r="B1616" s="2" t="s">
        <v>4291</v>
      </c>
      <c r="C1616" s="2" t="s">
        <v>4274</v>
      </c>
      <c r="D1616" s="2"/>
      <c r="E1616" s="31" t="n">
        <v>71.8</v>
      </c>
      <c r="F1616" s="31" t="n">
        <v>54.4</v>
      </c>
      <c r="G1616" s="31" t="n">
        <v>59.2</v>
      </c>
      <c r="H1616" s="2" t="s">
        <v>822</v>
      </c>
    </row>
    <row r="1617" customFormat="false" ht="15" hidden="false" customHeight="false" outlineLevel="0" collapsed="false">
      <c r="A1617" s="2" t="s">
        <v>1867</v>
      </c>
      <c r="B1617" s="2" t="s">
        <v>4291</v>
      </c>
      <c r="C1617" s="2" t="s">
        <v>4275</v>
      </c>
      <c r="D1617" s="2"/>
      <c r="E1617" s="31" t="n">
        <v>54.6</v>
      </c>
      <c r="F1617" s="31" t="n">
        <v>48.3</v>
      </c>
      <c r="G1617" s="31" t="n">
        <v>55.5</v>
      </c>
      <c r="H1617" s="2" t="s">
        <v>832</v>
      </c>
    </row>
    <row r="1618" customFormat="false" ht="15" hidden="false" customHeight="false" outlineLevel="0" collapsed="false">
      <c r="A1618" s="2" t="s">
        <v>1867</v>
      </c>
      <c r="B1618" s="2" t="s">
        <v>45</v>
      </c>
      <c r="C1618" s="2" t="s">
        <v>4274</v>
      </c>
      <c r="D1618" s="11" t="n">
        <v>9787</v>
      </c>
      <c r="E1618" s="31" t="n">
        <v>57.5</v>
      </c>
      <c r="F1618" s="31" t="n">
        <v>64.5</v>
      </c>
      <c r="G1618" s="31" t="n">
        <v>83.2</v>
      </c>
      <c r="H1618" s="2" t="s">
        <v>822</v>
      </c>
    </row>
    <row r="1619" customFormat="false" ht="15" hidden="false" customHeight="false" outlineLevel="0" collapsed="false">
      <c r="A1619" s="2" t="s">
        <v>1867</v>
      </c>
      <c r="B1619" s="2" t="s">
        <v>45</v>
      </c>
      <c r="C1619" s="2" t="s">
        <v>4275</v>
      </c>
      <c r="D1619" s="11" t="n">
        <v>10520</v>
      </c>
      <c r="E1619" s="31" t="n">
        <v>25.5</v>
      </c>
      <c r="F1619" s="31" t="n">
        <v>57</v>
      </c>
      <c r="G1619" s="2"/>
      <c r="H1619" s="2" t="s">
        <v>832</v>
      </c>
    </row>
    <row r="1620" customFormat="false" ht="15" hidden="false" customHeight="false" outlineLevel="0" collapsed="false">
      <c r="A1620" s="2" t="s">
        <v>1867</v>
      </c>
      <c r="B1620" s="2" t="s">
        <v>46</v>
      </c>
      <c r="C1620" s="2" t="s">
        <v>4274</v>
      </c>
      <c r="D1620" s="11" t="n">
        <v>8153</v>
      </c>
      <c r="E1620" s="31" t="n">
        <v>64</v>
      </c>
      <c r="F1620" s="31" t="n">
        <v>36.8</v>
      </c>
      <c r="G1620" s="31" t="n">
        <v>50.7</v>
      </c>
      <c r="H1620" s="2" t="s">
        <v>822</v>
      </c>
    </row>
    <row r="1621" customFormat="false" ht="15" hidden="false" customHeight="false" outlineLevel="0" collapsed="false">
      <c r="A1621" s="2" t="s">
        <v>1867</v>
      </c>
      <c r="B1621" s="2" t="s">
        <v>46</v>
      </c>
      <c r="C1621" s="2" t="s">
        <v>4275</v>
      </c>
      <c r="D1621" s="11" t="n">
        <v>8630</v>
      </c>
      <c r="E1621" s="31" t="n">
        <v>54.6</v>
      </c>
      <c r="F1621" s="31" t="n">
        <v>32.1</v>
      </c>
      <c r="G1621" s="31" t="n">
        <v>30.9</v>
      </c>
      <c r="H1621" s="2" t="s">
        <v>822</v>
      </c>
    </row>
    <row r="1622" customFormat="false" ht="15" hidden="false" customHeight="false" outlineLevel="0" collapsed="false">
      <c r="A1622" s="2" t="s">
        <v>1867</v>
      </c>
      <c r="B1622" s="2" t="s">
        <v>47</v>
      </c>
      <c r="C1622" s="2" t="s">
        <v>4274</v>
      </c>
      <c r="D1622" s="11" t="n">
        <v>83045</v>
      </c>
      <c r="E1622" s="31" t="n">
        <v>93.9</v>
      </c>
      <c r="F1622" s="31" t="n">
        <v>61.8</v>
      </c>
      <c r="G1622" s="31" t="n">
        <v>43.6</v>
      </c>
      <c r="H1622" s="2" t="s">
        <v>822</v>
      </c>
    </row>
    <row r="1623" customFormat="false" ht="15" hidden="false" customHeight="false" outlineLevel="0" collapsed="false">
      <c r="A1623" s="2" t="s">
        <v>1867</v>
      </c>
      <c r="B1623" s="2" t="s">
        <v>47</v>
      </c>
      <c r="C1623" s="2" t="s">
        <v>4275</v>
      </c>
      <c r="D1623" s="11" t="n">
        <v>89382</v>
      </c>
      <c r="E1623" s="31" t="n">
        <v>83.8</v>
      </c>
      <c r="F1623" s="31" t="n">
        <v>55.8</v>
      </c>
      <c r="G1623" s="31" t="n">
        <v>80.1</v>
      </c>
      <c r="H1623" s="2" t="s">
        <v>822</v>
      </c>
    </row>
    <row r="1624" customFormat="false" ht="15" hidden="false" customHeight="false" outlineLevel="0" collapsed="false">
      <c r="A1624" s="2" t="s">
        <v>218</v>
      </c>
      <c r="B1624" s="2" t="s">
        <v>4291</v>
      </c>
      <c r="C1624" s="2" t="s">
        <v>4274</v>
      </c>
      <c r="D1624" s="2"/>
      <c r="E1624" s="31" t="n">
        <v>87.8</v>
      </c>
      <c r="F1624" s="31" t="n">
        <v>87.6</v>
      </c>
      <c r="G1624" s="31" t="n">
        <v>56.6</v>
      </c>
      <c r="H1624" s="2" t="s">
        <v>822</v>
      </c>
    </row>
    <row r="1625" customFormat="false" ht="15" hidden="false" customHeight="false" outlineLevel="0" collapsed="false">
      <c r="A1625" s="2" t="s">
        <v>218</v>
      </c>
      <c r="B1625" s="2" t="s">
        <v>4291</v>
      </c>
      <c r="C1625" s="2" t="s">
        <v>4275</v>
      </c>
      <c r="D1625" s="2"/>
      <c r="E1625" s="31" t="n">
        <v>72.9</v>
      </c>
      <c r="F1625" s="31" t="n">
        <v>67.8</v>
      </c>
      <c r="G1625" s="31" t="n">
        <v>48.8</v>
      </c>
      <c r="H1625" s="2" t="s">
        <v>822</v>
      </c>
    </row>
    <row r="1626" customFormat="false" ht="15" hidden="false" customHeight="false" outlineLevel="0" collapsed="false">
      <c r="A1626" s="2" t="s">
        <v>218</v>
      </c>
      <c r="B1626" s="2" t="s">
        <v>46</v>
      </c>
      <c r="C1626" s="2" t="s">
        <v>4274</v>
      </c>
      <c r="D1626" s="11" t="n">
        <v>965879</v>
      </c>
      <c r="E1626" s="31" t="n">
        <v>97.1</v>
      </c>
      <c r="F1626" s="31" t="n">
        <v>96.2</v>
      </c>
      <c r="G1626" s="31" t="n">
        <v>58.2</v>
      </c>
      <c r="H1626" s="2" t="s">
        <v>822</v>
      </c>
    </row>
    <row r="1627" customFormat="false" ht="15" hidden="false" customHeight="false" outlineLevel="0" collapsed="false">
      <c r="A1627" s="2" t="s">
        <v>218</v>
      </c>
      <c r="B1627" s="2" t="s">
        <v>46</v>
      </c>
      <c r="C1627" s="2" t="s">
        <v>4275</v>
      </c>
      <c r="D1627" s="11" t="n">
        <v>1016260</v>
      </c>
      <c r="E1627" s="31" t="n">
        <v>91.7</v>
      </c>
      <c r="F1627" s="31" t="n">
        <v>66.7</v>
      </c>
      <c r="G1627" s="31" t="n">
        <v>62.7</v>
      </c>
      <c r="H1627" s="2" t="s">
        <v>822</v>
      </c>
    </row>
    <row r="1628" customFormat="false" ht="15" hidden="false" customHeight="false" outlineLevel="0" collapsed="false">
      <c r="A1628" s="2" t="s">
        <v>218</v>
      </c>
      <c r="B1628" s="2" t="s">
        <v>47</v>
      </c>
      <c r="C1628" s="2" t="s">
        <v>4274</v>
      </c>
      <c r="D1628" s="11" t="n">
        <v>3060</v>
      </c>
      <c r="E1628" s="31" t="n">
        <v>78.5</v>
      </c>
      <c r="F1628" s="31" t="n">
        <v>78.9</v>
      </c>
      <c r="G1628" s="31" t="n">
        <v>54.9</v>
      </c>
      <c r="H1628" s="2" t="s">
        <v>822</v>
      </c>
    </row>
    <row r="1629" customFormat="false" ht="15" hidden="false" customHeight="false" outlineLevel="0" collapsed="false">
      <c r="A1629" s="2" t="s">
        <v>218</v>
      </c>
      <c r="B1629" s="2" t="s">
        <v>47</v>
      </c>
      <c r="C1629" s="2" t="s">
        <v>4275</v>
      </c>
      <c r="D1629" s="11" t="n">
        <v>3267</v>
      </c>
      <c r="E1629" s="31" t="n">
        <v>54.1</v>
      </c>
      <c r="F1629" s="31" t="n">
        <v>68.8</v>
      </c>
      <c r="G1629" s="31" t="n">
        <v>34.8</v>
      </c>
      <c r="H1629" s="2" t="s">
        <v>822</v>
      </c>
    </row>
    <row r="1630" customFormat="false" ht="15" hidden="false" customHeight="false" outlineLevel="0" collapsed="false">
      <c r="A1630" s="2" t="s">
        <v>3032</v>
      </c>
      <c r="B1630" s="2" t="s">
        <v>4291</v>
      </c>
      <c r="C1630" s="2" t="s">
        <v>4274</v>
      </c>
      <c r="D1630" s="2"/>
      <c r="E1630" s="31" t="n">
        <v>81.7</v>
      </c>
      <c r="F1630" s="31" t="n">
        <v>3.3</v>
      </c>
      <c r="G1630" s="31" t="n">
        <v>14.6</v>
      </c>
      <c r="H1630" s="2" t="s">
        <v>822</v>
      </c>
    </row>
    <row r="1631" customFormat="false" ht="15" hidden="false" customHeight="false" outlineLevel="0" collapsed="false">
      <c r="A1631" s="2" t="s">
        <v>3032</v>
      </c>
      <c r="B1631" s="2" t="s">
        <v>4291</v>
      </c>
      <c r="C1631" s="2" t="s">
        <v>4275</v>
      </c>
      <c r="D1631" s="2"/>
      <c r="E1631" s="31" t="n">
        <v>72.8</v>
      </c>
      <c r="F1631" s="2"/>
      <c r="G1631" s="31" t="n">
        <v>8.8</v>
      </c>
      <c r="H1631" s="2" t="s">
        <v>832</v>
      </c>
    </row>
    <row r="1632" customFormat="false" ht="15" hidden="false" customHeight="false" outlineLevel="0" collapsed="false">
      <c r="A1632" s="2" t="s">
        <v>3032</v>
      </c>
      <c r="B1632" s="2" t="s">
        <v>47</v>
      </c>
      <c r="C1632" s="2" t="s">
        <v>4274</v>
      </c>
      <c r="D1632" s="11" t="n">
        <v>3218</v>
      </c>
      <c r="E1632" s="31" t="n">
        <v>81.7</v>
      </c>
      <c r="F1632" s="31" t="n">
        <v>3.3</v>
      </c>
      <c r="G1632" s="31" t="n">
        <v>14.6</v>
      </c>
      <c r="H1632" s="2" t="s">
        <v>822</v>
      </c>
    </row>
    <row r="1633" customFormat="false" ht="15" hidden="false" customHeight="false" outlineLevel="0" collapsed="false">
      <c r="A1633" s="2" t="s">
        <v>3032</v>
      </c>
      <c r="B1633" s="2" t="s">
        <v>47</v>
      </c>
      <c r="C1633" s="2" t="s">
        <v>4275</v>
      </c>
      <c r="D1633" s="11" t="n">
        <v>3300</v>
      </c>
      <c r="E1633" s="31" t="n">
        <v>72.8</v>
      </c>
      <c r="F1633" s="2"/>
      <c r="G1633" s="31" t="n">
        <v>8.8</v>
      </c>
      <c r="H1633" s="2" t="s">
        <v>832</v>
      </c>
    </row>
    <row r="1634" customFormat="false" ht="15" hidden="false" customHeight="false" outlineLevel="0" collapsed="false">
      <c r="A1634" s="2" t="s">
        <v>1805</v>
      </c>
      <c r="B1634" s="2" t="s">
        <v>4291</v>
      </c>
      <c r="C1634" s="2" t="s">
        <v>4274</v>
      </c>
      <c r="D1634" s="2"/>
      <c r="E1634" s="31" t="n">
        <v>53.7</v>
      </c>
      <c r="F1634" s="31" t="n">
        <v>47.6</v>
      </c>
      <c r="G1634" s="31" t="n">
        <v>60.1</v>
      </c>
      <c r="H1634" s="2" t="s">
        <v>822</v>
      </c>
    </row>
    <row r="1635" customFormat="false" ht="15" hidden="false" customHeight="false" outlineLevel="0" collapsed="false">
      <c r="A1635" s="2" t="s">
        <v>1805</v>
      </c>
      <c r="B1635" s="2" t="s">
        <v>4291</v>
      </c>
      <c r="C1635" s="2" t="s">
        <v>4275</v>
      </c>
      <c r="D1635" s="2"/>
      <c r="E1635" s="31" t="n">
        <v>49.1</v>
      </c>
      <c r="F1635" s="31" t="n">
        <v>46.2</v>
      </c>
      <c r="G1635" s="31" t="n">
        <v>35.7</v>
      </c>
      <c r="H1635" s="2" t="s">
        <v>832</v>
      </c>
    </row>
    <row r="1636" customFormat="false" ht="15" hidden="false" customHeight="false" outlineLevel="0" collapsed="false">
      <c r="A1636" s="2" t="s">
        <v>1805</v>
      </c>
      <c r="B1636" s="2" t="s">
        <v>45</v>
      </c>
      <c r="C1636" s="2" t="s">
        <v>4274</v>
      </c>
      <c r="D1636" s="11" t="n">
        <v>211440</v>
      </c>
      <c r="E1636" s="31" t="n">
        <v>42.8</v>
      </c>
      <c r="F1636" s="31" t="n">
        <v>35.6</v>
      </c>
      <c r="G1636" s="31" t="n">
        <v>39.3</v>
      </c>
      <c r="H1636" s="2" t="s">
        <v>822</v>
      </c>
    </row>
    <row r="1637" customFormat="false" ht="15" hidden="false" customHeight="false" outlineLevel="0" collapsed="false">
      <c r="A1637" s="2" t="s">
        <v>1805</v>
      </c>
      <c r="B1637" s="2" t="s">
        <v>45</v>
      </c>
      <c r="C1637" s="2" t="s">
        <v>4275</v>
      </c>
      <c r="D1637" s="11" t="n">
        <v>215630</v>
      </c>
      <c r="E1637" s="31" t="n">
        <v>56.1</v>
      </c>
      <c r="F1637" s="31" t="n">
        <v>56.4</v>
      </c>
      <c r="G1637" s="2"/>
      <c r="H1637" s="2" t="s">
        <v>832</v>
      </c>
    </row>
    <row r="1638" customFormat="false" ht="15" hidden="false" customHeight="false" outlineLevel="0" collapsed="false">
      <c r="A1638" s="2" t="s">
        <v>1805</v>
      </c>
      <c r="B1638" s="2" t="s">
        <v>46</v>
      </c>
      <c r="C1638" s="2" t="s">
        <v>4274</v>
      </c>
      <c r="D1638" s="11" t="n">
        <v>7820</v>
      </c>
      <c r="E1638" s="31" t="n">
        <v>92.4</v>
      </c>
      <c r="F1638" s="31" t="n">
        <v>75.4</v>
      </c>
      <c r="G1638" s="31" t="n">
        <v>82</v>
      </c>
      <c r="H1638" s="2" t="s">
        <v>822</v>
      </c>
    </row>
    <row r="1639" customFormat="false" ht="15" hidden="false" customHeight="false" outlineLevel="0" collapsed="false">
      <c r="A1639" s="2" t="s">
        <v>1805</v>
      </c>
      <c r="B1639" s="2" t="s">
        <v>46</v>
      </c>
      <c r="C1639" s="2" t="s">
        <v>4275</v>
      </c>
      <c r="D1639" s="11" t="n">
        <v>8460</v>
      </c>
      <c r="E1639" s="31" t="n">
        <v>65.4</v>
      </c>
      <c r="F1639" s="31" t="n">
        <v>62.3</v>
      </c>
      <c r="G1639" s="31" t="n">
        <v>49.9</v>
      </c>
      <c r="H1639" s="2" t="s">
        <v>822</v>
      </c>
    </row>
    <row r="1640" customFormat="false" ht="15" hidden="false" customHeight="false" outlineLevel="0" collapsed="false">
      <c r="A1640" s="2" t="s">
        <v>1805</v>
      </c>
      <c r="B1640" s="2" t="s">
        <v>47</v>
      </c>
      <c r="C1640" s="2" t="s">
        <v>4274</v>
      </c>
      <c r="D1640" s="11" t="n">
        <v>98181</v>
      </c>
      <c r="E1640" s="31" t="n">
        <v>25.8</v>
      </c>
      <c r="F1640" s="31" t="n">
        <v>31.7</v>
      </c>
      <c r="G1640" s="31" t="n">
        <v>59.1</v>
      </c>
      <c r="H1640" s="2" t="s">
        <v>822</v>
      </c>
    </row>
    <row r="1641" customFormat="false" ht="15" hidden="false" customHeight="false" outlineLevel="0" collapsed="false">
      <c r="A1641" s="2" t="s">
        <v>1805</v>
      </c>
      <c r="B1641" s="2" t="s">
        <v>47</v>
      </c>
      <c r="C1641" s="2" t="s">
        <v>4275</v>
      </c>
      <c r="D1641" s="11" t="n">
        <v>97370</v>
      </c>
      <c r="E1641" s="31" t="n">
        <v>25.9</v>
      </c>
      <c r="F1641" s="31" t="n">
        <v>19.8</v>
      </c>
      <c r="G1641" s="31" t="n">
        <v>21.5</v>
      </c>
      <c r="H1641" s="2" t="s">
        <v>822</v>
      </c>
    </row>
    <row r="1642" customFormat="false" ht="15" hidden="false" customHeight="false" outlineLevel="0" collapsed="false">
      <c r="A1642" s="2" t="s">
        <v>1040</v>
      </c>
      <c r="B1642" s="2" t="s">
        <v>4291</v>
      </c>
      <c r="C1642" s="2" t="s">
        <v>4274</v>
      </c>
      <c r="D1642" s="2"/>
      <c r="E1642" s="31" t="n">
        <v>62</v>
      </c>
      <c r="F1642" s="31" t="n">
        <v>41.8</v>
      </c>
      <c r="G1642" s="31" t="n">
        <v>49.6</v>
      </c>
      <c r="H1642" s="2" t="s">
        <v>822</v>
      </c>
    </row>
    <row r="1643" customFormat="false" ht="15" hidden="false" customHeight="false" outlineLevel="0" collapsed="false">
      <c r="A1643" s="2" t="s">
        <v>1040</v>
      </c>
      <c r="B1643" s="2" t="s">
        <v>4291</v>
      </c>
      <c r="C1643" s="2" t="s">
        <v>4275</v>
      </c>
      <c r="D1643" s="2"/>
      <c r="E1643" s="31" t="n">
        <v>74.7</v>
      </c>
      <c r="F1643" s="31" t="n">
        <v>59.8</v>
      </c>
      <c r="G1643" s="31" t="n">
        <v>2.5</v>
      </c>
      <c r="H1643" s="2" t="s">
        <v>832</v>
      </c>
    </row>
    <row r="1644" customFormat="false" ht="15" hidden="false" customHeight="false" outlineLevel="0" collapsed="false">
      <c r="A1644" s="2" t="s">
        <v>1040</v>
      </c>
      <c r="B1644" s="2" t="s">
        <v>45</v>
      </c>
      <c r="C1644" s="2" t="s">
        <v>4274</v>
      </c>
      <c r="D1644" s="11" t="n">
        <v>13846</v>
      </c>
      <c r="E1644" s="31" t="n">
        <v>53.6</v>
      </c>
      <c r="F1644" s="31" t="n">
        <v>24.5</v>
      </c>
      <c r="G1644" s="2"/>
      <c r="H1644" s="2" t="s">
        <v>822</v>
      </c>
    </row>
    <row r="1645" customFormat="false" ht="15" hidden="false" customHeight="false" outlineLevel="0" collapsed="false">
      <c r="A1645" s="2" t="s">
        <v>1040</v>
      </c>
      <c r="B1645" s="2" t="s">
        <v>45</v>
      </c>
      <c r="C1645" s="2" t="s">
        <v>4275</v>
      </c>
      <c r="D1645" s="11" t="n">
        <v>14100</v>
      </c>
      <c r="E1645" s="31" t="n">
        <v>74.7</v>
      </c>
      <c r="F1645" s="31" t="n">
        <v>59.8</v>
      </c>
      <c r="G1645" s="2"/>
      <c r="H1645" s="2" t="s">
        <v>822</v>
      </c>
    </row>
    <row r="1646" customFormat="false" ht="15" hidden="false" customHeight="false" outlineLevel="0" collapsed="false">
      <c r="A1646" s="2" t="s">
        <v>1040</v>
      </c>
      <c r="B1646" s="2" t="s">
        <v>46</v>
      </c>
      <c r="C1646" s="2" t="s">
        <v>4274</v>
      </c>
      <c r="D1646" s="11" t="n">
        <v>84047</v>
      </c>
      <c r="E1646" s="31" t="n">
        <v>56.4</v>
      </c>
      <c r="F1646" s="31" t="n">
        <v>7.1</v>
      </c>
      <c r="G1646" s="31" t="n">
        <v>96.6</v>
      </c>
      <c r="H1646" s="2" t="s">
        <v>822</v>
      </c>
    </row>
    <row r="1647" customFormat="false" ht="15" hidden="false" customHeight="false" outlineLevel="0" collapsed="false">
      <c r="A1647" s="2" t="s">
        <v>1040</v>
      </c>
      <c r="B1647" s="2" t="s">
        <v>46</v>
      </c>
      <c r="C1647" s="2" t="s">
        <v>4275</v>
      </c>
      <c r="D1647" s="2"/>
      <c r="E1647" s="2"/>
      <c r="F1647" s="2"/>
      <c r="G1647" s="2"/>
      <c r="H1647" s="2" t="s">
        <v>832</v>
      </c>
    </row>
    <row r="1648" customFormat="false" ht="15" hidden="false" customHeight="false" outlineLevel="0" collapsed="false">
      <c r="A1648" s="2" t="s">
        <v>1040</v>
      </c>
      <c r="B1648" s="2" t="s">
        <v>47</v>
      </c>
      <c r="C1648" s="2" t="s">
        <v>4274</v>
      </c>
      <c r="D1648" s="11" t="n">
        <v>696683</v>
      </c>
      <c r="E1648" s="31" t="n">
        <v>76</v>
      </c>
      <c r="F1648" s="31" t="n">
        <v>93.8</v>
      </c>
      <c r="G1648" s="31" t="n">
        <v>2.6</v>
      </c>
      <c r="H1648" s="2" t="s">
        <v>822</v>
      </c>
    </row>
    <row r="1649" customFormat="false" ht="15" hidden="false" customHeight="false" outlineLevel="0" collapsed="false">
      <c r="A1649" s="2" t="s">
        <v>1040</v>
      </c>
      <c r="B1649" s="2" t="s">
        <v>47</v>
      </c>
      <c r="C1649" s="2" t="s">
        <v>4275</v>
      </c>
      <c r="D1649" s="2"/>
      <c r="E1649" s="2"/>
      <c r="F1649" s="2"/>
      <c r="G1649" s="31" t="n">
        <v>2.5</v>
      </c>
      <c r="H1649" s="2" t="s">
        <v>832</v>
      </c>
    </row>
    <row r="1650" customFormat="false" ht="15" hidden="false" customHeight="false" outlineLevel="0" collapsed="false">
      <c r="A1650" s="2" t="s">
        <v>2258</v>
      </c>
      <c r="B1650" s="2" t="s">
        <v>4291</v>
      </c>
      <c r="C1650" s="2" t="s">
        <v>4274</v>
      </c>
      <c r="D1650" s="2"/>
      <c r="E1650" s="31" t="n">
        <v>50.7</v>
      </c>
      <c r="F1650" s="31" t="n">
        <v>30.8</v>
      </c>
      <c r="G1650" s="31" t="n">
        <v>9.6</v>
      </c>
      <c r="H1650" s="2" t="s">
        <v>822</v>
      </c>
    </row>
    <row r="1651" customFormat="false" ht="15" hidden="false" customHeight="false" outlineLevel="0" collapsed="false">
      <c r="A1651" s="2" t="s">
        <v>2258</v>
      </c>
      <c r="B1651" s="2" t="s">
        <v>4291</v>
      </c>
      <c r="C1651" s="2" t="s">
        <v>4275</v>
      </c>
      <c r="D1651" s="2"/>
      <c r="E1651" s="31" t="n">
        <v>93.8</v>
      </c>
      <c r="F1651" s="31" t="n">
        <v>10.4</v>
      </c>
      <c r="G1651" s="31" t="n">
        <v>1.1</v>
      </c>
      <c r="H1651" s="2" t="s">
        <v>832</v>
      </c>
    </row>
    <row r="1652" customFormat="false" ht="15" hidden="false" customHeight="false" outlineLevel="0" collapsed="false">
      <c r="A1652" s="2" t="s">
        <v>2258</v>
      </c>
      <c r="B1652" s="2" t="s">
        <v>45</v>
      </c>
      <c r="C1652" s="2" t="s">
        <v>4274</v>
      </c>
      <c r="D1652" s="11" t="n">
        <v>4180</v>
      </c>
      <c r="E1652" s="31" t="n">
        <v>11.9</v>
      </c>
      <c r="F1652" s="31" t="n">
        <v>51.6</v>
      </c>
      <c r="G1652" s="31" t="n">
        <v>13.7</v>
      </c>
      <c r="H1652" s="2" t="s">
        <v>822</v>
      </c>
    </row>
    <row r="1653" customFormat="false" ht="15" hidden="false" customHeight="false" outlineLevel="0" collapsed="false">
      <c r="A1653" s="2" t="s">
        <v>2258</v>
      </c>
      <c r="B1653" s="2" t="s">
        <v>45</v>
      </c>
      <c r="C1653" s="2" t="s">
        <v>4275</v>
      </c>
      <c r="D1653" s="11" t="n">
        <v>4270</v>
      </c>
      <c r="E1653" s="2"/>
      <c r="F1653" s="2"/>
      <c r="G1653" s="31" t="n">
        <v>1.3</v>
      </c>
      <c r="H1653" s="2" t="s">
        <v>832</v>
      </c>
    </row>
    <row r="1654" customFormat="false" ht="15" hidden="false" customHeight="false" outlineLevel="0" collapsed="false">
      <c r="A1654" s="2" t="s">
        <v>2258</v>
      </c>
      <c r="B1654" s="2" t="s">
        <v>47</v>
      </c>
      <c r="C1654" s="2" t="s">
        <v>4274</v>
      </c>
      <c r="D1654" s="11" t="n">
        <v>45160</v>
      </c>
      <c r="E1654" s="31" t="n">
        <v>89.4</v>
      </c>
      <c r="F1654" s="31" t="n">
        <v>10.1</v>
      </c>
      <c r="G1654" s="31" t="n">
        <v>5.5</v>
      </c>
      <c r="H1654" s="2" t="s">
        <v>822</v>
      </c>
    </row>
    <row r="1655" customFormat="false" ht="15" hidden="false" customHeight="false" outlineLevel="0" collapsed="false">
      <c r="A1655" s="2" t="s">
        <v>2258</v>
      </c>
      <c r="B1655" s="2" t="s">
        <v>47</v>
      </c>
      <c r="C1655" s="2" t="s">
        <v>4275</v>
      </c>
      <c r="D1655" s="11" t="n">
        <v>44382</v>
      </c>
      <c r="E1655" s="31" t="n">
        <v>93.8</v>
      </c>
      <c r="F1655" s="31" t="n">
        <v>10.4</v>
      </c>
      <c r="G1655" s="31" t="n">
        <v>0.9</v>
      </c>
      <c r="H1655" s="2" t="s">
        <v>822</v>
      </c>
    </row>
    <row r="1656" customFormat="false" ht="15" hidden="false" customHeight="false" outlineLevel="0" collapsed="false">
      <c r="A1656" s="2" t="s">
        <v>3037</v>
      </c>
      <c r="B1656" s="2" t="s">
        <v>4291</v>
      </c>
      <c r="C1656" s="2" t="s">
        <v>4274</v>
      </c>
      <c r="D1656" s="2"/>
      <c r="E1656" s="31" t="n">
        <v>58.7</v>
      </c>
      <c r="F1656" s="31" t="n">
        <v>82.9</v>
      </c>
      <c r="G1656" s="31" t="n">
        <v>2.9</v>
      </c>
      <c r="H1656" s="2" t="s">
        <v>822</v>
      </c>
    </row>
    <row r="1657" customFormat="false" ht="15" hidden="false" customHeight="false" outlineLevel="0" collapsed="false">
      <c r="A1657" s="2" t="s">
        <v>3037</v>
      </c>
      <c r="B1657" s="2" t="s">
        <v>4291</v>
      </c>
      <c r="C1657" s="2" t="s">
        <v>4275</v>
      </c>
      <c r="D1657" s="2"/>
      <c r="E1657" s="2"/>
      <c r="F1657" s="2"/>
      <c r="G1657" s="2"/>
      <c r="H1657" s="2" t="s">
        <v>832</v>
      </c>
    </row>
    <row r="1658" customFormat="false" ht="15" hidden="false" customHeight="false" outlineLevel="0" collapsed="false">
      <c r="A1658" s="2" t="s">
        <v>3037</v>
      </c>
      <c r="B1658" s="2" t="s">
        <v>45</v>
      </c>
      <c r="C1658" s="2" t="s">
        <v>4274</v>
      </c>
      <c r="D1658" s="11" t="n">
        <v>192340</v>
      </c>
      <c r="E1658" s="31" t="n">
        <v>58.7</v>
      </c>
      <c r="F1658" s="31" t="n">
        <v>82.9</v>
      </c>
      <c r="G1658" s="31" t="n">
        <v>2.9</v>
      </c>
      <c r="H1658" s="2" t="s">
        <v>822</v>
      </c>
    </row>
    <row r="1659" customFormat="false" ht="15" hidden="false" customHeight="false" outlineLevel="0" collapsed="false">
      <c r="A1659" s="2" t="s">
        <v>3037</v>
      </c>
      <c r="B1659" s="2" t="s">
        <v>45</v>
      </c>
      <c r="C1659" s="2" t="s">
        <v>4275</v>
      </c>
      <c r="D1659" s="2"/>
      <c r="E1659" s="2"/>
      <c r="F1659" s="2"/>
      <c r="G1659" s="2"/>
      <c r="H1659" s="2" t="s">
        <v>832</v>
      </c>
    </row>
    <row r="1660" customFormat="false" ht="15" hidden="false" customHeight="false" outlineLevel="0" collapsed="false">
      <c r="A1660" s="2" t="s">
        <v>1298</v>
      </c>
      <c r="B1660" s="2" t="s">
        <v>4291</v>
      </c>
      <c r="C1660" s="2" t="s">
        <v>4274</v>
      </c>
      <c r="D1660" s="2"/>
      <c r="E1660" s="31" t="n">
        <v>59.5</v>
      </c>
      <c r="F1660" s="31" t="n">
        <v>49.1</v>
      </c>
      <c r="G1660" s="31" t="n">
        <v>73.2</v>
      </c>
      <c r="H1660" s="2" t="s">
        <v>832</v>
      </c>
    </row>
    <row r="1661" customFormat="false" ht="15" hidden="false" customHeight="false" outlineLevel="0" collapsed="false">
      <c r="A1661" s="2" t="s">
        <v>1298</v>
      </c>
      <c r="B1661" s="2" t="s">
        <v>4291</v>
      </c>
      <c r="C1661" s="2" t="s">
        <v>4275</v>
      </c>
      <c r="D1661" s="2"/>
      <c r="E1661" s="31" t="n">
        <v>42.2</v>
      </c>
      <c r="F1661" s="31" t="n">
        <v>54.6</v>
      </c>
      <c r="G1661" s="31" t="n">
        <v>61.8</v>
      </c>
      <c r="H1661" s="2" t="s">
        <v>832</v>
      </c>
    </row>
    <row r="1662" customFormat="false" ht="15" hidden="false" customHeight="false" outlineLevel="0" collapsed="false">
      <c r="A1662" s="2" t="s">
        <v>1298</v>
      </c>
      <c r="B1662" s="2" t="s">
        <v>45</v>
      </c>
      <c r="C1662" s="2" t="s">
        <v>4274</v>
      </c>
      <c r="D1662" s="11" t="n">
        <v>1640</v>
      </c>
      <c r="E1662" s="31" t="n">
        <v>52</v>
      </c>
      <c r="F1662" s="31" t="n">
        <v>11.3</v>
      </c>
      <c r="G1662" s="31" t="n">
        <v>67.3</v>
      </c>
      <c r="H1662" s="2" t="s">
        <v>822</v>
      </c>
    </row>
    <row r="1663" customFormat="false" ht="15" hidden="false" customHeight="false" outlineLevel="0" collapsed="false">
      <c r="A1663" s="2" t="s">
        <v>1298</v>
      </c>
      <c r="B1663" s="2" t="s">
        <v>45</v>
      </c>
      <c r="C1663" s="2" t="s">
        <v>4275</v>
      </c>
      <c r="D1663" s="11" t="n">
        <v>1670</v>
      </c>
      <c r="E1663" s="31" t="n">
        <v>41.6</v>
      </c>
      <c r="F1663" s="31" t="n">
        <v>23.9</v>
      </c>
      <c r="G1663" s="31" t="n">
        <v>11.9</v>
      </c>
      <c r="H1663" s="2" t="s">
        <v>822</v>
      </c>
    </row>
    <row r="1664" customFormat="false" ht="15" hidden="false" customHeight="false" outlineLevel="0" collapsed="false">
      <c r="A1664" s="2" t="s">
        <v>1298</v>
      </c>
      <c r="B1664" s="2" t="s">
        <v>46</v>
      </c>
      <c r="C1664" s="2" t="s">
        <v>4274</v>
      </c>
      <c r="D1664" s="11" t="n">
        <v>52680</v>
      </c>
      <c r="E1664" s="31" t="n">
        <v>72</v>
      </c>
      <c r="F1664" s="31" t="n">
        <v>65.5</v>
      </c>
      <c r="G1664" s="2"/>
      <c r="H1664" s="2" t="s">
        <v>832</v>
      </c>
    </row>
    <row r="1665" customFormat="false" ht="15" hidden="false" customHeight="false" outlineLevel="0" collapsed="false">
      <c r="A1665" s="2" t="s">
        <v>1298</v>
      </c>
      <c r="B1665" s="2" t="s">
        <v>46</v>
      </c>
      <c r="C1665" s="2" t="s">
        <v>4275</v>
      </c>
      <c r="D1665" s="2"/>
      <c r="E1665" s="2"/>
      <c r="F1665" s="2"/>
      <c r="G1665" s="31" t="n">
        <v>80.1</v>
      </c>
      <c r="H1665" s="2" t="s">
        <v>832</v>
      </c>
    </row>
    <row r="1666" customFormat="false" ht="15" hidden="false" customHeight="false" outlineLevel="0" collapsed="false">
      <c r="A1666" s="2" t="s">
        <v>1298</v>
      </c>
      <c r="B1666" s="2" t="s">
        <v>47</v>
      </c>
      <c r="C1666" s="2" t="s">
        <v>4274</v>
      </c>
      <c r="D1666" s="11" t="n">
        <v>28511</v>
      </c>
      <c r="E1666" s="31" t="n">
        <v>54.5</v>
      </c>
      <c r="F1666" s="31" t="n">
        <v>70.6</v>
      </c>
      <c r="G1666" s="31" t="n">
        <v>79.2</v>
      </c>
      <c r="H1666" s="2" t="s">
        <v>822</v>
      </c>
    </row>
    <row r="1667" customFormat="false" ht="15" hidden="false" customHeight="false" outlineLevel="0" collapsed="false">
      <c r="A1667" s="2" t="s">
        <v>1298</v>
      </c>
      <c r="B1667" s="2" t="s">
        <v>47</v>
      </c>
      <c r="C1667" s="2" t="s">
        <v>4275</v>
      </c>
      <c r="D1667" s="11" t="n">
        <v>28950</v>
      </c>
      <c r="E1667" s="31" t="n">
        <v>42.9</v>
      </c>
      <c r="F1667" s="31" t="n">
        <v>85.4</v>
      </c>
      <c r="G1667" s="31" t="n">
        <v>93.4</v>
      </c>
      <c r="H1667" s="2" t="s">
        <v>822</v>
      </c>
    </row>
    <row r="1668" customFormat="false" ht="15" hidden="false" customHeight="false" outlineLevel="0" collapsed="false">
      <c r="A1668" s="2" t="s">
        <v>965</v>
      </c>
      <c r="B1668" s="2" t="s">
        <v>4291</v>
      </c>
      <c r="C1668" s="2" t="s">
        <v>4274</v>
      </c>
      <c r="D1668" s="2"/>
      <c r="E1668" s="31" t="n">
        <v>75.9</v>
      </c>
      <c r="F1668" s="31" t="n">
        <v>2.9</v>
      </c>
      <c r="G1668" s="31" t="n">
        <v>76.5</v>
      </c>
      <c r="H1668" s="2" t="s">
        <v>832</v>
      </c>
    </row>
    <row r="1669" customFormat="false" ht="15" hidden="false" customHeight="false" outlineLevel="0" collapsed="false">
      <c r="A1669" s="2" t="s">
        <v>965</v>
      </c>
      <c r="B1669" s="2" t="s">
        <v>4291</v>
      </c>
      <c r="C1669" s="2" t="s">
        <v>4275</v>
      </c>
      <c r="D1669" s="2"/>
      <c r="E1669" s="31" t="n">
        <v>83.7</v>
      </c>
      <c r="F1669" s="31" t="n">
        <v>60.6</v>
      </c>
      <c r="G1669" s="31" t="n">
        <v>91</v>
      </c>
      <c r="H1669" s="2" t="s">
        <v>832</v>
      </c>
    </row>
    <row r="1670" customFormat="false" ht="15" hidden="false" customHeight="false" outlineLevel="0" collapsed="false">
      <c r="A1670" s="2" t="s">
        <v>965</v>
      </c>
      <c r="B1670" s="2" t="s">
        <v>45</v>
      </c>
      <c r="C1670" s="2" t="s">
        <v>4274</v>
      </c>
      <c r="D1670" s="11" t="n">
        <v>8420</v>
      </c>
      <c r="E1670" s="31" t="n">
        <v>82.9</v>
      </c>
      <c r="F1670" s="2"/>
      <c r="G1670" s="31" t="n">
        <v>53.7</v>
      </c>
      <c r="H1670" s="2" t="s">
        <v>832</v>
      </c>
    </row>
    <row r="1671" customFormat="false" ht="15" hidden="false" customHeight="false" outlineLevel="0" collapsed="false">
      <c r="A1671" s="2" t="s">
        <v>965</v>
      </c>
      <c r="B1671" s="2" t="s">
        <v>45</v>
      </c>
      <c r="C1671" s="2" t="s">
        <v>4275</v>
      </c>
      <c r="D1671" s="11" t="n">
        <v>8390</v>
      </c>
      <c r="E1671" s="31" t="n">
        <v>83.7</v>
      </c>
      <c r="F1671" s="31" t="n">
        <v>60.6</v>
      </c>
      <c r="G1671" s="31" t="n">
        <v>82.8</v>
      </c>
      <c r="H1671" s="2" t="s">
        <v>822</v>
      </c>
    </row>
    <row r="1672" customFormat="false" ht="15" hidden="false" customHeight="false" outlineLevel="0" collapsed="false">
      <c r="A1672" s="2" t="s">
        <v>965</v>
      </c>
      <c r="B1672" s="2" t="s">
        <v>47</v>
      </c>
      <c r="C1672" s="2" t="s">
        <v>4274</v>
      </c>
      <c r="D1672" s="11" t="n">
        <v>64255</v>
      </c>
      <c r="E1672" s="31" t="n">
        <v>68.9</v>
      </c>
      <c r="F1672" s="31" t="n">
        <v>2.9</v>
      </c>
      <c r="G1672" s="31" t="n">
        <v>99.3</v>
      </c>
      <c r="H1672" s="2" t="s">
        <v>822</v>
      </c>
    </row>
    <row r="1673" customFormat="false" ht="15" hidden="false" customHeight="false" outlineLevel="0" collapsed="false">
      <c r="A1673" s="2" t="s">
        <v>965</v>
      </c>
      <c r="B1673" s="2" t="s">
        <v>47</v>
      </c>
      <c r="C1673" s="2" t="s">
        <v>4275</v>
      </c>
      <c r="D1673" s="2"/>
      <c r="E1673" s="2"/>
      <c r="F1673" s="2"/>
      <c r="G1673" s="31" t="n">
        <v>99.3</v>
      </c>
      <c r="H1673" s="2" t="s">
        <v>832</v>
      </c>
    </row>
    <row r="1674" customFormat="false" ht="15" hidden="false" customHeight="false" outlineLevel="0" collapsed="false">
      <c r="A1674" s="2" t="s">
        <v>2332</v>
      </c>
      <c r="B1674" s="2" t="s">
        <v>4291</v>
      </c>
      <c r="C1674" s="2" t="s">
        <v>4274</v>
      </c>
      <c r="D1674" s="2"/>
      <c r="E1674" s="31" t="n">
        <v>44.8</v>
      </c>
      <c r="F1674" s="31" t="n">
        <v>56.9</v>
      </c>
      <c r="G1674" s="31" t="n">
        <v>51.3</v>
      </c>
      <c r="H1674" s="2" t="s">
        <v>822</v>
      </c>
    </row>
    <row r="1675" customFormat="false" ht="15" hidden="false" customHeight="false" outlineLevel="0" collapsed="false">
      <c r="A1675" s="2" t="s">
        <v>2332</v>
      </c>
      <c r="B1675" s="2" t="s">
        <v>4291</v>
      </c>
      <c r="C1675" s="2" t="s">
        <v>4275</v>
      </c>
      <c r="D1675" s="2"/>
      <c r="E1675" s="31" t="n">
        <v>82.7</v>
      </c>
      <c r="F1675" s="31" t="n">
        <v>24.8</v>
      </c>
      <c r="G1675" s="31" t="n">
        <v>76.5</v>
      </c>
      <c r="H1675" s="2" t="s">
        <v>832</v>
      </c>
    </row>
    <row r="1676" customFormat="false" ht="15" hidden="false" customHeight="false" outlineLevel="0" collapsed="false">
      <c r="A1676" s="2" t="s">
        <v>2332</v>
      </c>
      <c r="B1676" s="2" t="s">
        <v>45</v>
      </c>
      <c r="C1676" s="2" t="s">
        <v>4274</v>
      </c>
      <c r="D1676" s="11" t="n">
        <v>385500</v>
      </c>
      <c r="E1676" s="31" t="n">
        <v>30.7</v>
      </c>
      <c r="F1676" s="31" t="n">
        <v>37.7</v>
      </c>
      <c r="G1676" s="31" t="n">
        <v>31.7</v>
      </c>
      <c r="H1676" s="2" t="s">
        <v>822</v>
      </c>
    </row>
    <row r="1677" customFormat="false" ht="15" hidden="false" customHeight="false" outlineLevel="0" collapsed="false">
      <c r="A1677" s="2" t="s">
        <v>2332</v>
      </c>
      <c r="B1677" s="2" t="s">
        <v>45</v>
      </c>
      <c r="C1677" s="2" t="s">
        <v>4275</v>
      </c>
      <c r="D1677" s="2"/>
      <c r="E1677" s="2"/>
      <c r="F1677" s="2"/>
      <c r="G1677" s="2"/>
      <c r="H1677" s="2" t="s">
        <v>832</v>
      </c>
    </row>
    <row r="1678" customFormat="false" ht="15" hidden="false" customHeight="false" outlineLevel="0" collapsed="false">
      <c r="A1678" s="2" t="s">
        <v>2332</v>
      </c>
      <c r="B1678" s="2" t="s">
        <v>46</v>
      </c>
      <c r="C1678" s="2" t="s">
        <v>4274</v>
      </c>
      <c r="D1678" s="11" t="n">
        <v>166880</v>
      </c>
      <c r="E1678" s="31" t="n">
        <v>21.3</v>
      </c>
      <c r="F1678" s="31" t="n">
        <v>93.6</v>
      </c>
      <c r="G1678" s="31" t="n">
        <v>79.9</v>
      </c>
      <c r="H1678" s="2" t="s">
        <v>822</v>
      </c>
    </row>
    <row r="1679" customFormat="false" ht="15" hidden="false" customHeight="false" outlineLevel="0" collapsed="false">
      <c r="A1679" s="2" t="s">
        <v>2332</v>
      </c>
      <c r="B1679" s="2" t="s">
        <v>46</v>
      </c>
      <c r="C1679" s="2" t="s">
        <v>4275</v>
      </c>
      <c r="D1679" s="2"/>
      <c r="E1679" s="2"/>
      <c r="F1679" s="2"/>
      <c r="G1679" s="2"/>
      <c r="H1679" s="2" t="s">
        <v>832</v>
      </c>
    </row>
    <row r="1680" customFormat="false" ht="15" hidden="false" customHeight="false" outlineLevel="0" collapsed="false">
      <c r="A1680" s="2" t="s">
        <v>2332</v>
      </c>
      <c r="B1680" s="2" t="s">
        <v>47</v>
      </c>
      <c r="C1680" s="2" t="s">
        <v>4274</v>
      </c>
      <c r="D1680" s="11" t="n">
        <v>115374</v>
      </c>
      <c r="E1680" s="31" t="n">
        <v>82.4</v>
      </c>
      <c r="F1680" s="31" t="n">
        <v>39.5</v>
      </c>
      <c r="G1680" s="31" t="n">
        <v>42.3</v>
      </c>
      <c r="H1680" s="2" t="s">
        <v>822</v>
      </c>
    </row>
    <row r="1681" customFormat="false" ht="15" hidden="false" customHeight="false" outlineLevel="0" collapsed="false">
      <c r="A1681" s="2" t="s">
        <v>2332</v>
      </c>
      <c r="B1681" s="2" t="s">
        <v>47</v>
      </c>
      <c r="C1681" s="2" t="s">
        <v>4275</v>
      </c>
      <c r="D1681" s="11" t="n">
        <v>121580</v>
      </c>
      <c r="E1681" s="31" t="n">
        <v>82.7</v>
      </c>
      <c r="F1681" s="31" t="n">
        <v>24.8</v>
      </c>
      <c r="G1681" s="31" t="n">
        <v>76.5</v>
      </c>
      <c r="H1681" s="2" t="s">
        <v>822</v>
      </c>
    </row>
    <row r="1682" customFormat="false" ht="15" hidden="false" customHeight="false" outlineLevel="0" collapsed="false">
      <c r="A1682" s="2" t="s">
        <v>3040</v>
      </c>
      <c r="B1682" s="2" t="s">
        <v>4291</v>
      </c>
      <c r="C1682" s="2" t="s">
        <v>4275</v>
      </c>
      <c r="D1682" s="2"/>
      <c r="E1682" s="31" t="n">
        <v>14.7</v>
      </c>
      <c r="F1682" s="2"/>
      <c r="G1682" s="31" t="n">
        <v>93.8</v>
      </c>
      <c r="H1682" s="2" t="s">
        <v>832</v>
      </c>
    </row>
    <row r="1683" customFormat="false" ht="15" hidden="false" customHeight="false" outlineLevel="0" collapsed="false">
      <c r="A1683" s="2" t="s">
        <v>3040</v>
      </c>
      <c r="B1683" s="2" t="s">
        <v>46</v>
      </c>
      <c r="C1683" s="2" t="s">
        <v>4275</v>
      </c>
      <c r="D1683" s="11" t="n">
        <v>14060</v>
      </c>
      <c r="E1683" s="31" t="n">
        <v>14.7</v>
      </c>
      <c r="F1683" s="2"/>
      <c r="G1683" s="31" t="n">
        <v>93.8</v>
      </c>
      <c r="H1683" s="2" t="s">
        <v>832</v>
      </c>
    </row>
    <row r="1684" customFormat="false" ht="15" hidden="false" customHeight="false" outlineLevel="0" collapsed="false">
      <c r="A1684" s="2" t="s">
        <v>796</v>
      </c>
      <c r="B1684" s="2" t="s">
        <v>4291</v>
      </c>
      <c r="C1684" s="2" t="s">
        <v>4274</v>
      </c>
      <c r="D1684" s="2"/>
      <c r="E1684" s="31" t="n">
        <v>10.8</v>
      </c>
      <c r="F1684" s="31" t="n">
        <v>24.7</v>
      </c>
      <c r="G1684" s="2"/>
      <c r="H1684" s="2" t="s">
        <v>832</v>
      </c>
    </row>
    <row r="1685" customFormat="false" ht="15" hidden="false" customHeight="false" outlineLevel="0" collapsed="false">
      <c r="A1685" s="2" t="s">
        <v>796</v>
      </c>
      <c r="B1685" s="2" t="s">
        <v>4291</v>
      </c>
      <c r="C1685" s="2" t="s">
        <v>4275</v>
      </c>
      <c r="D1685" s="2"/>
      <c r="E1685" s="31" t="n">
        <v>11.5</v>
      </c>
      <c r="F1685" s="31" t="n">
        <v>43.3</v>
      </c>
      <c r="G1685" s="31" t="n">
        <v>47.7</v>
      </c>
      <c r="H1685" s="2" t="s">
        <v>822</v>
      </c>
    </row>
    <row r="1686" customFormat="false" ht="15" hidden="false" customHeight="false" outlineLevel="0" collapsed="false">
      <c r="A1686" s="2" t="s">
        <v>796</v>
      </c>
      <c r="B1686" s="2" t="s">
        <v>45</v>
      </c>
      <c r="C1686" s="2" t="s">
        <v>4274</v>
      </c>
      <c r="D1686" s="11" t="n">
        <v>294634</v>
      </c>
      <c r="E1686" s="31" t="n">
        <v>10.8</v>
      </c>
      <c r="F1686" s="31" t="n">
        <v>24.7</v>
      </c>
      <c r="G1686" s="2"/>
      <c r="H1686" s="2" t="s">
        <v>822</v>
      </c>
    </row>
    <row r="1687" customFormat="false" ht="15" hidden="false" customHeight="false" outlineLevel="0" collapsed="false">
      <c r="A1687" s="2" t="s">
        <v>796</v>
      </c>
      <c r="B1687" s="2" t="s">
        <v>45</v>
      </c>
      <c r="C1687" s="2" t="s">
        <v>4275</v>
      </c>
      <c r="D1687" s="11" t="n">
        <v>290640</v>
      </c>
      <c r="E1687" s="31" t="n">
        <v>4.7</v>
      </c>
      <c r="F1687" s="31" t="n">
        <v>20.7</v>
      </c>
      <c r="G1687" s="2"/>
      <c r="H1687" s="2" t="s">
        <v>822</v>
      </c>
    </row>
    <row r="1688" customFormat="false" ht="15" hidden="false" customHeight="false" outlineLevel="0" collapsed="false">
      <c r="A1688" s="2" t="s">
        <v>796</v>
      </c>
      <c r="B1688" s="2" t="s">
        <v>47</v>
      </c>
      <c r="C1688" s="2" t="s">
        <v>4274</v>
      </c>
      <c r="D1688" s="2"/>
      <c r="E1688" s="2"/>
      <c r="F1688" s="2"/>
      <c r="G1688" s="2"/>
      <c r="H1688" s="2" t="s">
        <v>832</v>
      </c>
    </row>
    <row r="1689" customFormat="false" ht="15" hidden="false" customHeight="false" outlineLevel="0" collapsed="false">
      <c r="A1689" s="2" t="s">
        <v>796</v>
      </c>
      <c r="B1689" s="2" t="s">
        <v>47</v>
      </c>
      <c r="C1689" s="2" t="s">
        <v>4275</v>
      </c>
      <c r="D1689" s="11" t="n">
        <v>56810</v>
      </c>
      <c r="E1689" s="31" t="n">
        <v>18.3</v>
      </c>
      <c r="F1689" s="31" t="n">
        <v>65.9</v>
      </c>
      <c r="G1689" s="31" t="n">
        <v>47.7</v>
      </c>
      <c r="H1689" s="2" t="s">
        <v>822</v>
      </c>
    </row>
    <row r="1690" customFormat="false" ht="15" hidden="false" customHeight="false" outlineLevel="0" collapsed="false">
      <c r="A1690" s="2" t="s">
        <v>298</v>
      </c>
      <c r="B1690" s="2" t="s">
        <v>4291</v>
      </c>
      <c r="C1690" s="2" t="s">
        <v>4274</v>
      </c>
      <c r="D1690" s="2"/>
      <c r="E1690" s="31" t="n">
        <v>49.3</v>
      </c>
      <c r="F1690" s="31" t="n">
        <v>54</v>
      </c>
      <c r="G1690" s="2"/>
      <c r="H1690" s="2" t="s">
        <v>832</v>
      </c>
    </row>
    <row r="1691" customFormat="false" ht="15" hidden="false" customHeight="false" outlineLevel="0" collapsed="false">
      <c r="A1691" s="2" t="s">
        <v>298</v>
      </c>
      <c r="B1691" s="2" t="s">
        <v>4291</v>
      </c>
      <c r="C1691" s="2" t="s">
        <v>4275</v>
      </c>
      <c r="D1691" s="2"/>
      <c r="E1691" s="31" t="n">
        <v>64</v>
      </c>
      <c r="F1691" s="31" t="n">
        <v>50.6</v>
      </c>
      <c r="G1691" s="31" t="n">
        <v>21.4</v>
      </c>
      <c r="H1691" s="2" t="s">
        <v>822</v>
      </c>
    </row>
    <row r="1692" customFormat="false" ht="15" hidden="false" customHeight="false" outlineLevel="0" collapsed="false">
      <c r="A1692" s="2" t="s">
        <v>298</v>
      </c>
      <c r="B1692" s="2" t="s">
        <v>45</v>
      </c>
      <c r="C1692" s="2" t="s">
        <v>4274</v>
      </c>
      <c r="D1692" s="11" t="n">
        <v>19600</v>
      </c>
      <c r="E1692" s="31" t="n">
        <v>49.3</v>
      </c>
      <c r="F1692" s="31" t="n">
        <v>100</v>
      </c>
      <c r="G1692" s="2"/>
      <c r="H1692" s="2" t="s">
        <v>822</v>
      </c>
    </row>
    <row r="1693" customFormat="false" ht="15" hidden="false" customHeight="false" outlineLevel="0" collapsed="false">
      <c r="A1693" s="2" t="s">
        <v>298</v>
      </c>
      <c r="B1693" s="2" t="s">
        <v>45</v>
      </c>
      <c r="C1693" s="2" t="s">
        <v>4275</v>
      </c>
      <c r="D1693" s="11" t="n">
        <v>21740</v>
      </c>
      <c r="E1693" s="31" t="n">
        <v>50.1</v>
      </c>
      <c r="F1693" s="31" t="n">
        <v>100</v>
      </c>
      <c r="G1693" s="2"/>
      <c r="H1693" s="2" t="s">
        <v>822</v>
      </c>
    </row>
    <row r="1694" customFormat="false" ht="15" hidden="false" customHeight="false" outlineLevel="0" collapsed="false">
      <c r="A1694" s="2" t="s">
        <v>298</v>
      </c>
      <c r="B1694" s="2" t="s">
        <v>46</v>
      </c>
      <c r="C1694" s="2" t="s">
        <v>4274</v>
      </c>
      <c r="D1694" s="11" t="n">
        <v>17897</v>
      </c>
      <c r="E1694" s="2"/>
      <c r="F1694" s="31" t="n">
        <v>7.9</v>
      </c>
      <c r="G1694" s="2"/>
      <c r="H1694" s="2" t="s">
        <v>832</v>
      </c>
    </row>
    <row r="1695" customFormat="false" ht="15" hidden="false" customHeight="false" outlineLevel="0" collapsed="false">
      <c r="A1695" s="2" t="s">
        <v>298</v>
      </c>
      <c r="B1695" s="2" t="s">
        <v>46</v>
      </c>
      <c r="C1695" s="2" t="s">
        <v>4275</v>
      </c>
      <c r="D1695" s="11" t="n">
        <v>17505</v>
      </c>
      <c r="E1695" s="31" t="n">
        <v>77.8</v>
      </c>
      <c r="F1695" s="31" t="n">
        <v>1.1</v>
      </c>
      <c r="G1695" s="31" t="n">
        <v>21.4</v>
      </c>
      <c r="H1695" s="2" t="s">
        <v>822</v>
      </c>
    </row>
    <row r="1696" customFormat="false" ht="15" hidden="false" customHeight="false" outlineLevel="0" collapsed="false">
      <c r="A1696" s="2" t="s">
        <v>1009</v>
      </c>
      <c r="B1696" s="2" t="s">
        <v>4291</v>
      </c>
      <c r="C1696" s="2" t="s">
        <v>4274</v>
      </c>
      <c r="D1696" s="2"/>
      <c r="E1696" s="31" t="n">
        <v>69.6</v>
      </c>
      <c r="F1696" s="31" t="n">
        <v>26.6</v>
      </c>
      <c r="G1696" s="31" t="n">
        <v>75.3</v>
      </c>
      <c r="H1696" s="2" t="s">
        <v>832</v>
      </c>
    </row>
    <row r="1697" customFormat="false" ht="15" hidden="false" customHeight="false" outlineLevel="0" collapsed="false">
      <c r="A1697" s="2" t="s">
        <v>1009</v>
      </c>
      <c r="B1697" s="2" t="s">
        <v>4291</v>
      </c>
      <c r="C1697" s="2" t="s">
        <v>4275</v>
      </c>
      <c r="D1697" s="2"/>
      <c r="E1697" s="31" t="n">
        <v>67.3</v>
      </c>
      <c r="F1697" s="31" t="n">
        <v>52.7</v>
      </c>
      <c r="G1697" s="31" t="n">
        <v>59.2</v>
      </c>
      <c r="H1697" s="2" t="s">
        <v>832</v>
      </c>
    </row>
    <row r="1698" customFormat="false" ht="15" hidden="false" customHeight="false" outlineLevel="0" collapsed="false">
      <c r="A1698" s="2" t="s">
        <v>1009</v>
      </c>
      <c r="B1698" s="2" t="s">
        <v>45</v>
      </c>
      <c r="C1698" s="2" t="s">
        <v>4274</v>
      </c>
      <c r="D1698" s="11" t="n">
        <v>49363</v>
      </c>
      <c r="E1698" s="31" t="n">
        <v>65.9</v>
      </c>
      <c r="F1698" s="31" t="n">
        <v>46</v>
      </c>
      <c r="G1698" s="2"/>
      <c r="H1698" s="2" t="s">
        <v>832</v>
      </c>
    </row>
    <row r="1699" customFormat="false" ht="15" hidden="false" customHeight="false" outlineLevel="0" collapsed="false">
      <c r="A1699" s="2" t="s">
        <v>1009</v>
      </c>
      <c r="B1699" s="2" t="s">
        <v>45</v>
      </c>
      <c r="C1699" s="2" t="s">
        <v>4275</v>
      </c>
      <c r="D1699" s="11" t="n">
        <v>50960</v>
      </c>
      <c r="E1699" s="31" t="n">
        <v>77.9</v>
      </c>
      <c r="F1699" s="31" t="n">
        <v>42.3</v>
      </c>
      <c r="G1699" s="31" t="n">
        <v>31.5</v>
      </c>
      <c r="H1699" s="2" t="s">
        <v>822</v>
      </c>
    </row>
    <row r="1700" customFormat="false" ht="15" hidden="false" customHeight="false" outlineLevel="0" collapsed="false">
      <c r="A1700" s="2" t="s">
        <v>1009</v>
      </c>
      <c r="B1700" s="2" t="s">
        <v>46</v>
      </c>
      <c r="C1700" s="2" t="s">
        <v>4274</v>
      </c>
      <c r="D1700" s="2"/>
      <c r="E1700" s="2"/>
      <c r="F1700" s="2"/>
      <c r="G1700" s="2"/>
      <c r="H1700" s="2" t="s">
        <v>832</v>
      </c>
    </row>
    <row r="1701" customFormat="false" ht="15" hidden="false" customHeight="false" outlineLevel="0" collapsed="false">
      <c r="A1701" s="2" t="s">
        <v>1009</v>
      </c>
      <c r="B1701" s="2" t="s">
        <v>46</v>
      </c>
      <c r="C1701" s="2" t="s">
        <v>4275</v>
      </c>
      <c r="D1701" s="11" t="n">
        <v>200420</v>
      </c>
      <c r="E1701" s="31" t="n">
        <v>34.6</v>
      </c>
      <c r="F1701" s="31" t="n">
        <v>63.1</v>
      </c>
      <c r="G1701" s="31" t="n">
        <v>69.1</v>
      </c>
      <c r="H1701" s="2" t="s">
        <v>822</v>
      </c>
    </row>
    <row r="1702" customFormat="false" ht="15" hidden="false" customHeight="false" outlineLevel="0" collapsed="false">
      <c r="A1702" s="2" t="s">
        <v>1009</v>
      </c>
      <c r="B1702" s="2" t="s">
        <v>47</v>
      </c>
      <c r="C1702" s="2" t="s">
        <v>4274</v>
      </c>
      <c r="D1702" s="11" t="n">
        <v>58233</v>
      </c>
      <c r="E1702" s="31" t="n">
        <v>73.4</v>
      </c>
      <c r="F1702" s="31" t="n">
        <v>7.2</v>
      </c>
      <c r="G1702" s="31" t="n">
        <v>75.3</v>
      </c>
      <c r="H1702" s="2" t="s">
        <v>822</v>
      </c>
    </row>
    <row r="1703" customFormat="false" ht="15" hidden="false" customHeight="false" outlineLevel="0" collapsed="false">
      <c r="A1703" s="2" t="s">
        <v>1009</v>
      </c>
      <c r="B1703" s="2" t="s">
        <v>47</v>
      </c>
      <c r="C1703" s="2" t="s">
        <v>4275</v>
      </c>
      <c r="D1703" s="11" t="n">
        <v>56540</v>
      </c>
      <c r="E1703" s="31" t="n">
        <v>89.4</v>
      </c>
      <c r="F1703" s="2"/>
      <c r="G1703" s="31" t="n">
        <v>76.9</v>
      </c>
      <c r="H1703" s="2" t="s">
        <v>832</v>
      </c>
    </row>
    <row r="1704" customFormat="false" ht="15" hidden="false" customHeight="false" outlineLevel="0" collapsed="false">
      <c r="A1704" s="2" t="s">
        <v>626</v>
      </c>
      <c r="B1704" s="2" t="s">
        <v>4291</v>
      </c>
      <c r="C1704" s="2" t="s">
        <v>4274</v>
      </c>
      <c r="D1704" s="2"/>
      <c r="E1704" s="31" t="n">
        <v>30.7</v>
      </c>
      <c r="F1704" s="31" t="n">
        <v>87.6</v>
      </c>
      <c r="G1704" s="31" t="n">
        <v>58.8</v>
      </c>
      <c r="H1704" s="2" t="s">
        <v>832</v>
      </c>
    </row>
    <row r="1705" customFormat="false" ht="15" hidden="false" customHeight="false" outlineLevel="0" collapsed="false">
      <c r="A1705" s="2" t="s">
        <v>626</v>
      </c>
      <c r="B1705" s="2" t="s">
        <v>4291</v>
      </c>
      <c r="C1705" s="2" t="s">
        <v>4275</v>
      </c>
      <c r="D1705" s="2"/>
      <c r="E1705" s="31" t="n">
        <v>37.4</v>
      </c>
      <c r="F1705" s="31" t="n">
        <v>79.3</v>
      </c>
      <c r="G1705" s="31" t="n">
        <v>46.8</v>
      </c>
      <c r="H1705" s="2" t="s">
        <v>822</v>
      </c>
    </row>
    <row r="1706" customFormat="false" ht="15" hidden="false" customHeight="false" outlineLevel="0" collapsed="false">
      <c r="A1706" s="2" t="s">
        <v>626</v>
      </c>
      <c r="B1706" s="2" t="s">
        <v>45</v>
      </c>
      <c r="C1706" s="2" t="s">
        <v>4274</v>
      </c>
      <c r="D1706" s="2"/>
      <c r="E1706" s="2"/>
      <c r="F1706" s="2"/>
      <c r="G1706" s="31" t="n">
        <v>47.3</v>
      </c>
      <c r="H1706" s="2" t="s">
        <v>832</v>
      </c>
    </row>
    <row r="1707" customFormat="false" ht="15" hidden="false" customHeight="false" outlineLevel="0" collapsed="false">
      <c r="A1707" s="2" t="s">
        <v>626</v>
      </c>
      <c r="B1707" s="2" t="s">
        <v>45</v>
      </c>
      <c r="C1707" s="2" t="s">
        <v>4275</v>
      </c>
      <c r="D1707" s="11" t="n">
        <v>112480</v>
      </c>
      <c r="E1707" s="31" t="n">
        <v>39.7</v>
      </c>
      <c r="F1707" s="31" t="n">
        <v>49.3</v>
      </c>
      <c r="G1707" s="31" t="n">
        <v>52.7</v>
      </c>
      <c r="H1707" s="2" t="s">
        <v>822</v>
      </c>
    </row>
    <row r="1708" customFormat="false" ht="15" hidden="false" customHeight="false" outlineLevel="0" collapsed="false">
      <c r="A1708" s="2" t="s">
        <v>626</v>
      </c>
      <c r="B1708" s="2" t="s">
        <v>46</v>
      </c>
      <c r="C1708" s="2" t="s">
        <v>4274</v>
      </c>
      <c r="D1708" s="11" t="n">
        <v>197430</v>
      </c>
      <c r="E1708" s="31" t="n">
        <v>2.2</v>
      </c>
      <c r="F1708" s="31" t="n">
        <v>85.3</v>
      </c>
      <c r="G1708" s="31" t="n">
        <v>89</v>
      </c>
      <c r="H1708" s="2" t="s">
        <v>822</v>
      </c>
    </row>
    <row r="1709" customFormat="false" ht="15" hidden="false" customHeight="false" outlineLevel="0" collapsed="false">
      <c r="A1709" s="2" t="s">
        <v>626</v>
      </c>
      <c r="B1709" s="2" t="s">
        <v>46</v>
      </c>
      <c r="C1709" s="2" t="s">
        <v>4275</v>
      </c>
      <c r="D1709" s="11" t="n">
        <v>205320</v>
      </c>
      <c r="E1709" s="31" t="n">
        <v>10.2</v>
      </c>
      <c r="F1709" s="31" t="n">
        <v>95.5</v>
      </c>
      <c r="G1709" s="31" t="n">
        <v>65.6</v>
      </c>
      <c r="H1709" s="2" t="s">
        <v>822</v>
      </c>
    </row>
    <row r="1710" customFormat="false" ht="15" hidden="false" customHeight="false" outlineLevel="0" collapsed="false">
      <c r="A1710" s="2" t="s">
        <v>626</v>
      </c>
      <c r="B1710" s="2" t="s">
        <v>47</v>
      </c>
      <c r="C1710" s="2" t="s">
        <v>4274</v>
      </c>
      <c r="D1710" s="11" t="n">
        <v>92034</v>
      </c>
      <c r="E1710" s="31" t="n">
        <v>59.2</v>
      </c>
      <c r="F1710" s="31" t="n">
        <v>89.9</v>
      </c>
      <c r="G1710" s="31" t="n">
        <v>40</v>
      </c>
      <c r="H1710" s="2" t="s">
        <v>822</v>
      </c>
    </row>
    <row r="1711" customFormat="false" ht="15" hidden="false" customHeight="false" outlineLevel="0" collapsed="false">
      <c r="A1711" s="2" t="s">
        <v>626</v>
      </c>
      <c r="B1711" s="2" t="s">
        <v>47</v>
      </c>
      <c r="C1711" s="2" t="s">
        <v>4275</v>
      </c>
      <c r="D1711" s="11" t="n">
        <v>98372</v>
      </c>
      <c r="E1711" s="31" t="n">
        <v>62.4</v>
      </c>
      <c r="F1711" s="31" t="n">
        <v>93.2</v>
      </c>
      <c r="G1711" s="31" t="n">
        <v>22</v>
      </c>
      <c r="H1711" s="2" t="s">
        <v>822</v>
      </c>
    </row>
    <row r="1712" customFormat="false" ht="15" hidden="false" customHeight="false" outlineLevel="0" collapsed="false">
      <c r="A1712" s="2" t="s">
        <v>1801</v>
      </c>
      <c r="B1712" s="2" t="s">
        <v>4291</v>
      </c>
      <c r="C1712" s="2" t="s">
        <v>4274</v>
      </c>
      <c r="D1712" s="2"/>
      <c r="E1712" s="31" t="n">
        <v>60.4</v>
      </c>
      <c r="F1712" s="31" t="n">
        <v>34.2</v>
      </c>
      <c r="G1712" s="31" t="n">
        <v>36.3</v>
      </c>
      <c r="H1712" s="2" t="s">
        <v>822</v>
      </c>
    </row>
    <row r="1713" customFormat="false" ht="15" hidden="false" customHeight="false" outlineLevel="0" collapsed="false">
      <c r="A1713" s="2" t="s">
        <v>1801</v>
      </c>
      <c r="B1713" s="2" t="s">
        <v>4291</v>
      </c>
      <c r="C1713" s="2" t="s">
        <v>4275</v>
      </c>
      <c r="D1713" s="2"/>
      <c r="E1713" s="31" t="n">
        <v>68.4</v>
      </c>
      <c r="F1713" s="31" t="n">
        <v>34</v>
      </c>
      <c r="G1713" s="31" t="n">
        <v>43.4</v>
      </c>
      <c r="H1713" s="2" t="s">
        <v>832</v>
      </c>
    </row>
    <row r="1714" customFormat="false" ht="15" hidden="false" customHeight="false" outlineLevel="0" collapsed="false">
      <c r="A1714" s="2" t="s">
        <v>1801</v>
      </c>
      <c r="B1714" s="2" t="s">
        <v>45</v>
      </c>
      <c r="C1714" s="2" t="s">
        <v>4274</v>
      </c>
      <c r="D1714" s="11" t="n">
        <v>48775</v>
      </c>
      <c r="E1714" s="31" t="n">
        <v>86.2</v>
      </c>
      <c r="F1714" s="31" t="n">
        <v>52.2</v>
      </c>
      <c r="G1714" s="31" t="n">
        <v>84.6</v>
      </c>
      <c r="H1714" s="2" t="s">
        <v>822</v>
      </c>
    </row>
    <row r="1715" customFormat="false" ht="15" hidden="false" customHeight="false" outlineLevel="0" collapsed="false">
      <c r="A1715" s="2" t="s">
        <v>1801</v>
      </c>
      <c r="B1715" s="2" t="s">
        <v>45</v>
      </c>
      <c r="C1715" s="2" t="s">
        <v>4275</v>
      </c>
      <c r="D1715" s="2"/>
      <c r="E1715" s="2"/>
      <c r="F1715" s="2"/>
      <c r="G1715" s="31" t="n">
        <v>71.1</v>
      </c>
      <c r="H1715" s="2" t="s">
        <v>832</v>
      </c>
    </row>
    <row r="1716" customFormat="false" ht="15" hidden="false" customHeight="false" outlineLevel="0" collapsed="false">
      <c r="A1716" s="2" t="s">
        <v>1801</v>
      </c>
      <c r="B1716" s="2" t="s">
        <v>46</v>
      </c>
      <c r="C1716" s="2" t="s">
        <v>4274</v>
      </c>
      <c r="D1716" s="11" t="n">
        <v>22730</v>
      </c>
      <c r="E1716" s="31" t="n">
        <v>54.8</v>
      </c>
      <c r="F1716" s="31" t="n">
        <v>33</v>
      </c>
      <c r="G1716" s="31" t="n">
        <v>5.9</v>
      </c>
      <c r="H1716" s="2" t="s">
        <v>822</v>
      </c>
    </row>
    <row r="1717" customFormat="false" ht="15" hidden="false" customHeight="false" outlineLevel="0" collapsed="false">
      <c r="A1717" s="2" t="s">
        <v>1801</v>
      </c>
      <c r="B1717" s="2" t="s">
        <v>46</v>
      </c>
      <c r="C1717" s="2" t="s">
        <v>4275</v>
      </c>
      <c r="D1717" s="11" t="n">
        <v>24880</v>
      </c>
      <c r="E1717" s="31" t="n">
        <v>65.8</v>
      </c>
      <c r="F1717" s="31" t="n">
        <v>58.9</v>
      </c>
      <c r="G1717" s="31" t="n">
        <v>7.9</v>
      </c>
      <c r="H1717" s="2" t="s">
        <v>822</v>
      </c>
    </row>
    <row r="1718" customFormat="false" ht="15" hidden="false" customHeight="false" outlineLevel="0" collapsed="false">
      <c r="A1718" s="2" t="s">
        <v>1801</v>
      </c>
      <c r="B1718" s="2" t="s">
        <v>47</v>
      </c>
      <c r="C1718" s="2" t="s">
        <v>4274</v>
      </c>
      <c r="D1718" s="11" t="n">
        <v>17096</v>
      </c>
      <c r="E1718" s="31" t="n">
        <v>40.1</v>
      </c>
      <c r="F1718" s="31" t="n">
        <v>17.3</v>
      </c>
      <c r="G1718" s="31" t="n">
        <v>18.3</v>
      </c>
      <c r="H1718" s="2" t="s">
        <v>822</v>
      </c>
    </row>
    <row r="1719" customFormat="false" ht="15" hidden="false" customHeight="false" outlineLevel="0" collapsed="false">
      <c r="A1719" s="2" t="s">
        <v>1801</v>
      </c>
      <c r="B1719" s="2" t="s">
        <v>47</v>
      </c>
      <c r="C1719" s="2" t="s">
        <v>4275</v>
      </c>
      <c r="D1719" s="11" t="n">
        <v>17630</v>
      </c>
      <c r="E1719" s="31" t="n">
        <v>70.9</v>
      </c>
      <c r="F1719" s="31" t="n">
        <v>9.1</v>
      </c>
      <c r="G1719" s="31" t="n">
        <v>51.1</v>
      </c>
      <c r="H1719" s="2" t="s">
        <v>822</v>
      </c>
    </row>
    <row r="1720" customFormat="false" ht="15" hidden="false" customHeight="false" outlineLevel="0" collapsed="false">
      <c r="A1720" s="2" t="s">
        <v>716</v>
      </c>
      <c r="B1720" s="2" t="s">
        <v>4291</v>
      </c>
      <c r="C1720" s="2" t="s">
        <v>4274</v>
      </c>
      <c r="D1720" s="2"/>
      <c r="E1720" s="31" t="n">
        <v>29.3</v>
      </c>
      <c r="F1720" s="31" t="n">
        <v>37.5</v>
      </c>
      <c r="G1720" s="31" t="n">
        <v>59.8</v>
      </c>
      <c r="H1720" s="2" t="s">
        <v>822</v>
      </c>
    </row>
    <row r="1721" customFormat="false" ht="15" hidden="false" customHeight="false" outlineLevel="0" collapsed="false">
      <c r="A1721" s="2" t="s">
        <v>716</v>
      </c>
      <c r="B1721" s="2" t="s">
        <v>4291</v>
      </c>
      <c r="C1721" s="2" t="s">
        <v>4275</v>
      </c>
      <c r="D1721" s="2"/>
      <c r="E1721" s="31" t="n">
        <v>26.6</v>
      </c>
      <c r="F1721" s="31" t="n">
        <v>56.6</v>
      </c>
      <c r="G1721" s="31" t="n">
        <v>57</v>
      </c>
      <c r="H1721" s="2" t="s">
        <v>822</v>
      </c>
    </row>
    <row r="1722" customFormat="false" ht="15" hidden="false" customHeight="false" outlineLevel="0" collapsed="false">
      <c r="A1722" s="2" t="s">
        <v>716</v>
      </c>
      <c r="B1722" s="2" t="s">
        <v>45</v>
      </c>
      <c r="C1722" s="2" t="s">
        <v>4274</v>
      </c>
      <c r="D1722" s="11" t="n">
        <v>23620</v>
      </c>
      <c r="E1722" s="31" t="n">
        <v>48.2</v>
      </c>
      <c r="F1722" s="31" t="n">
        <v>63.5</v>
      </c>
      <c r="G1722" s="31" t="n">
        <v>70.2</v>
      </c>
      <c r="H1722" s="2" t="s">
        <v>822</v>
      </c>
    </row>
    <row r="1723" customFormat="false" ht="15" hidden="false" customHeight="false" outlineLevel="0" collapsed="false">
      <c r="A1723" s="2" t="s">
        <v>716</v>
      </c>
      <c r="B1723" s="2" t="s">
        <v>45</v>
      </c>
      <c r="C1723" s="2" t="s">
        <v>4275</v>
      </c>
      <c r="D1723" s="11" t="n">
        <v>24850</v>
      </c>
      <c r="E1723" s="31" t="n">
        <v>46.3</v>
      </c>
      <c r="F1723" s="31" t="n">
        <v>58.4</v>
      </c>
      <c r="G1723" s="31" t="n">
        <v>69.9</v>
      </c>
      <c r="H1723" s="2" t="s">
        <v>822</v>
      </c>
    </row>
    <row r="1724" customFormat="false" ht="15" hidden="false" customHeight="false" outlineLevel="0" collapsed="false">
      <c r="A1724" s="2" t="s">
        <v>716</v>
      </c>
      <c r="B1724" s="2" t="s">
        <v>46</v>
      </c>
      <c r="C1724" s="2" t="s">
        <v>4274</v>
      </c>
      <c r="D1724" s="11" t="n">
        <v>14236</v>
      </c>
      <c r="E1724" s="31" t="n">
        <v>36.4</v>
      </c>
      <c r="F1724" s="31" t="n">
        <v>10.5</v>
      </c>
      <c r="G1724" s="31" t="n">
        <v>43.2</v>
      </c>
      <c r="H1724" s="2" t="s">
        <v>822</v>
      </c>
    </row>
    <row r="1725" customFormat="false" ht="15" hidden="false" customHeight="false" outlineLevel="0" collapsed="false">
      <c r="A1725" s="2" t="s">
        <v>716</v>
      </c>
      <c r="B1725" s="2" t="s">
        <v>46</v>
      </c>
      <c r="C1725" s="2" t="s">
        <v>4275</v>
      </c>
      <c r="D1725" s="11" t="n">
        <v>14812</v>
      </c>
      <c r="E1725" s="31" t="n">
        <v>28.7</v>
      </c>
      <c r="F1725" s="31" t="n">
        <v>28.4</v>
      </c>
      <c r="G1725" s="31" t="n">
        <v>53.9</v>
      </c>
      <c r="H1725" s="2" t="s">
        <v>822</v>
      </c>
    </row>
    <row r="1726" customFormat="false" ht="15" hidden="false" customHeight="false" outlineLevel="0" collapsed="false">
      <c r="A1726" s="2" t="s">
        <v>716</v>
      </c>
      <c r="B1726" s="2" t="s">
        <v>47</v>
      </c>
      <c r="C1726" s="2" t="s">
        <v>4274</v>
      </c>
      <c r="D1726" s="11" t="n">
        <v>92437</v>
      </c>
      <c r="E1726" s="31" t="n">
        <v>3.3</v>
      </c>
      <c r="F1726" s="31" t="n">
        <v>38.6</v>
      </c>
      <c r="G1726" s="31" t="n">
        <v>66.1</v>
      </c>
      <c r="H1726" s="2" t="s">
        <v>822</v>
      </c>
    </row>
    <row r="1727" customFormat="false" ht="15" hidden="false" customHeight="false" outlineLevel="0" collapsed="false">
      <c r="A1727" s="2" t="s">
        <v>716</v>
      </c>
      <c r="B1727" s="2" t="s">
        <v>47</v>
      </c>
      <c r="C1727" s="2" t="s">
        <v>4275</v>
      </c>
      <c r="D1727" s="11" t="n">
        <v>94798</v>
      </c>
      <c r="E1727" s="31" t="n">
        <v>4.8</v>
      </c>
      <c r="F1727" s="31" t="n">
        <v>83.1</v>
      </c>
      <c r="G1727" s="31" t="n">
        <v>47.1</v>
      </c>
      <c r="H1727" s="2" t="s">
        <v>822</v>
      </c>
    </row>
    <row r="1728" customFormat="false" ht="15" hidden="false" customHeight="false" outlineLevel="0" collapsed="false">
      <c r="A1728" s="2" t="s">
        <v>416</v>
      </c>
      <c r="B1728" s="2" t="s">
        <v>4291</v>
      </c>
      <c r="C1728" s="2" t="s">
        <v>4274</v>
      </c>
      <c r="D1728" s="2"/>
      <c r="E1728" s="31" t="n">
        <v>84.2</v>
      </c>
      <c r="F1728" s="31" t="n">
        <v>34.1</v>
      </c>
      <c r="G1728" s="31" t="n">
        <v>62.3</v>
      </c>
      <c r="H1728" s="2" t="s">
        <v>832</v>
      </c>
    </row>
    <row r="1729" customFormat="false" ht="15" hidden="false" customHeight="false" outlineLevel="0" collapsed="false">
      <c r="A1729" s="2" t="s">
        <v>416</v>
      </c>
      <c r="B1729" s="2" t="s">
        <v>4291</v>
      </c>
      <c r="C1729" s="2" t="s">
        <v>4275</v>
      </c>
      <c r="D1729" s="2"/>
      <c r="E1729" s="31" t="n">
        <v>53.9</v>
      </c>
      <c r="F1729" s="31" t="n">
        <v>43.7</v>
      </c>
      <c r="G1729" s="31" t="n">
        <v>61.8</v>
      </c>
      <c r="H1729" s="2" t="s">
        <v>822</v>
      </c>
    </row>
    <row r="1730" customFormat="false" ht="15" hidden="false" customHeight="false" outlineLevel="0" collapsed="false">
      <c r="A1730" s="2" t="s">
        <v>416</v>
      </c>
      <c r="B1730" s="2" t="s">
        <v>45</v>
      </c>
      <c r="C1730" s="2" t="s">
        <v>4274</v>
      </c>
      <c r="D1730" s="11" t="n">
        <v>168180</v>
      </c>
      <c r="E1730" s="31" t="n">
        <v>82.1</v>
      </c>
      <c r="F1730" s="31" t="n">
        <v>26</v>
      </c>
      <c r="G1730" s="31" t="n">
        <v>34.9</v>
      </c>
      <c r="H1730" s="2" t="s">
        <v>822</v>
      </c>
    </row>
    <row r="1731" customFormat="false" ht="15" hidden="false" customHeight="false" outlineLevel="0" collapsed="false">
      <c r="A1731" s="2" t="s">
        <v>416</v>
      </c>
      <c r="B1731" s="2" t="s">
        <v>45</v>
      </c>
      <c r="C1731" s="2" t="s">
        <v>4275</v>
      </c>
      <c r="D1731" s="11" t="n">
        <v>166920</v>
      </c>
      <c r="E1731" s="31" t="n">
        <v>65.8</v>
      </c>
      <c r="F1731" s="31" t="n">
        <v>21.4</v>
      </c>
      <c r="G1731" s="31" t="n">
        <v>5.6</v>
      </c>
      <c r="H1731" s="2" t="s">
        <v>822</v>
      </c>
    </row>
    <row r="1732" customFormat="false" ht="15" hidden="false" customHeight="false" outlineLevel="0" collapsed="false">
      <c r="A1732" s="2" t="s">
        <v>416</v>
      </c>
      <c r="B1732" s="2" t="s">
        <v>46</v>
      </c>
      <c r="C1732" s="2" t="s">
        <v>4274</v>
      </c>
      <c r="D1732" s="2"/>
      <c r="E1732" s="2"/>
      <c r="F1732" s="2"/>
      <c r="G1732" s="31" t="n">
        <v>65.1</v>
      </c>
      <c r="H1732" s="2" t="s">
        <v>832</v>
      </c>
    </row>
    <row r="1733" customFormat="false" ht="15" hidden="false" customHeight="false" outlineLevel="0" collapsed="false">
      <c r="A1733" s="2" t="s">
        <v>416</v>
      </c>
      <c r="B1733" s="2" t="s">
        <v>46</v>
      </c>
      <c r="C1733" s="2" t="s">
        <v>4275</v>
      </c>
      <c r="D1733" s="11" t="n">
        <v>61860</v>
      </c>
      <c r="E1733" s="31" t="n">
        <v>50.9</v>
      </c>
      <c r="F1733" s="31" t="n">
        <v>70.9</v>
      </c>
      <c r="G1733" s="31" t="n">
        <v>90.7</v>
      </c>
      <c r="H1733" s="2" t="s">
        <v>822</v>
      </c>
    </row>
    <row r="1734" customFormat="false" ht="15" hidden="false" customHeight="false" outlineLevel="0" collapsed="false">
      <c r="A1734" s="2" t="s">
        <v>416</v>
      </c>
      <c r="B1734" s="2" t="s">
        <v>47</v>
      </c>
      <c r="C1734" s="2" t="s">
        <v>4274</v>
      </c>
      <c r="D1734" s="11" t="n">
        <v>9045</v>
      </c>
      <c r="E1734" s="31" t="n">
        <v>86.3</v>
      </c>
      <c r="F1734" s="31" t="n">
        <v>42.2</v>
      </c>
      <c r="G1734" s="31" t="n">
        <v>86.9</v>
      </c>
      <c r="H1734" s="2" t="s">
        <v>822</v>
      </c>
    </row>
    <row r="1735" customFormat="false" ht="15" hidden="false" customHeight="false" outlineLevel="0" collapsed="false">
      <c r="A1735" s="2" t="s">
        <v>416</v>
      </c>
      <c r="B1735" s="2" t="s">
        <v>47</v>
      </c>
      <c r="C1735" s="2" t="s">
        <v>4275</v>
      </c>
      <c r="D1735" s="11" t="n">
        <v>9502</v>
      </c>
      <c r="E1735" s="31" t="n">
        <v>45.1</v>
      </c>
      <c r="F1735" s="31" t="n">
        <v>38.8</v>
      </c>
      <c r="G1735" s="31" t="n">
        <v>89.1</v>
      </c>
      <c r="H1735" s="2" t="s">
        <v>822</v>
      </c>
    </row>
    <row r="1736" customFormat="false" ht="15" hidden="false" customHeight="false" outlineLevel="0" collapsed="false">
      <c r="A1736" s="2" t="s">
        <v>304</v>
      </c>
      <c r="B1736" s="2" t="s">
        <v>4291</v>
      </c>
      <c r="C1736" s="2" t="s">
        <v>4274</v>
      </c>
      <c r="D1736" s="2"/>
      <c r="E1736" s="31" t="n">
        <v>66.3</v>
      </c>
      <c r="F1736" s="31" t="n">
        <v>55.5</v>
      </c>
      <c r="G1736" s="31" t="n">
        <v>67.1</v>
      </c>
      <c r="H1736" s="2" t="s">
        <v>822</v>
      </c>
    </row>
    <row r="1737" customFormat="false" ht="15" hidden="false" customHeight="false" outlineLevel="0" collapsed="false">
      <c r="A1737" s="2" t="s">
        <v>304</v>
      </c>
      <c r="B1737" s="2" t="s">
        <v>4291</v>
      </c>
      <c r="C1737" s="2" t="s">
        <v>4275</v>
      </c>
      <c r="D1737" s="2"/>
      <c r="E1737" s="31" t="n">
        <v>63.5</v>
      </c>
      <c r="F1737" s="31" t="n">
        <v>80.7</v>
      </c>
      <c r="G1737" s="31" t="n">
        <v>65</v>
      </c>
      <c r="H1737" s="2" t="s">
        <v>822</v>
      </c>
    </row>
    <row r="1738" customFormat="false" ht="15" hidden="false" customHeight="false" outlineLevel="0" collapsed="false">
      <c r="A1738" s="2" t="s">
        <v>304</v>
      </c>
      <c r="B1738" s="2" t="s">
        <v>45</v>
      </c>
      <c r="C1738" s="2" t="s">
        <v>4274</v>
      </c>
      <c r="D1738" s="11" t="n">
        <v>453754</v>
      </c>
      <c r="E1738" s="31" t="n">
        <v>66.3</v>
      </c>
      <c r="F1738" s="31" t="n">
        <v>55.5</v>
      </c>
      <c r="G1738" s="31" t="n">
        <v>67.1</v>
      </c>
      <c r="H1738" s="2" t="s">
        <v>822</v>
      </c>
    </row>
    <row r="1739" customFormat="false" ht="15" hidden="false" customHeight="false" outlineLevel="0" collapsed="false">
      <c r="A1739" s="2" t="s">
        <v>304</v>
      </c>
      <c r="B1739" s="2" t="s">
        <v>45</v>
      </c>
      <c r="C1739" s="2" t="s">
        <v>4275</v>
      </c>
      <c r="D1739" s="11" t="n">
        <v>487480</v>
      </c>
      <c r="E1739" s="31" t="n">
        <v>63.5</v>
      </c>
      <c r="F1739" s="31" t="n">
        <v>80.7</v>
      </c>
      <c r="G1739" s="31" t="n">
        <v>65</v>
      </c>
      <c r="H1739" s="2" t="s">
        <v>822</v>
      </c>
    </row>
    <row r="1740" customFormat="false" ht="15" hidden="false" customHeight="false" outlineLevel="0" collapsed="false">
      <c r="A1740" s="2" t="s">
        <v>1782</v>
      </c>
      <c r="B1740" s="2" t="s">
        <v>4291</v>
      </c>
      <c r="C1740" s="2" t="s">
        <v>4274</v>
      </c>
      <c r="D1740" s="2"/>
      <c r="E1740" s="31" t="n">
        <v>52</v>
      </c>
      <c r="F1740" s="31" t="n">
        <v>78.6</v>
      </c>
      <c r="G1740" s="31" t="n">
        <v>38.6</v>
      </c>
      <c r="H1740" s="2" t="s">
        <v>832</v>
      </c>
    </row>
    <row r="1741" customFormat="false" ht="15" hidden="false" customHeight="false" outlineLevel="0" collapsed="false">
      <c r="A1741" s="2" t="s">
        <v>1782</v>
      </c>
      <c r="B1741" s="2" t="s">
        <v>4291</v>
      </c>
      <c r="C1741" s="2" t="s">
        <v>4275</v>
      </c>
      <c r="D1741" s="2"/>
      <c r="E1741" s="31" t="n">
        <v>64.7</v>
      </c>
      <c r="F1741" s="31" t="n">
        <v>60.2</v>
      </c>
      <c r="G1741" s="31" t="n">
        <v>75.8</v>
      </c>
      <c r="H1741" s="2" t="s">
        <v>832</v>
      </c>
    </row>
    <row r="1742" customFormat="false" ht="15" hidden="false" customHeight="false" outlineLevel="0" collapsed="false">
      <c r="A1742" s="2" t="s">
        <v>1782</v>
      </c>
      <c r="B1742" s="2" t="s">
        <v>45</v>
      </c>
      <c r="C1742" s="2" t="s">
        <v>4274</v>
      </c>
      <c r="D1742" s="11" t="n">
        <v>32196</v>
      </c>
      <c r="E1742" s="31" t="n">
        <v>84.5</v>
      </c>
      <c r="F1742" s="31" t="n">
        <v>88.3</v>
      </c>
      <c r="G1742" s="31" t="n">
        <v>11.5</v>
      </c>
      <c r="H1742" s="2" t="s">
        <v>822</v>
      </c>
    </row>
    <row r="1743" customFormat="false" ht="15" hidden="false" customHeight="false" outlineLevel="0" collapsed="false">
      <c r="A1743" s="2" t="s">
        <v>1782</v>
      </c>
      <c r="B1743" s="2" t="s">
        <v>45</v>
      </c>
      <c r="C1743" s="2" t="s">
        <v>4275</v>
      </c>
      <c r="D1743" s="11" t="n">
        <v>34310</v>
      </c>
      <c r="E1743" s="31" t="n">
        <v>92.8</v>
      </c>
      <c r="F1743" s="31" t="n">
        <v>70.8</v>
      </c>
      <c r="G1743" s="2"/>
      <c r="H1743" s="2" t="s">
        <v>832</v>
      </c>
    </row>
    <row r="1744" customFormat="false" ht="15" hidden="false" customHeight="false" outlineLevel="0" collapsed="false">
      <c r="A1744" s="2" t="s">
        <v>1782</v>
      </c>
      <c r="B1744" s="2" t="s">
        <v>46</v>
      </c>
      <c r="C1744" s="2" t="s">
        <v>4274</v>
      </c>
      <c r="D1744" s="2"/>
      <c r="E1744" s="2"/>
      <c r="F1744" s="2"/>
      <c r="G1744" s="2"/>
      <c r="H1744" s="2" t="s">
        <v>832</v>
      </c>
    </row>
    <row r="1745" customFormat="false" ht="15" hidden="false" customHeight="false" outlineLevel="0" collapsed="false">
      <c r="A1745" s="2" t="s">
        <v>1782</v>
      </c>
      <c r="B1745" s="2" t="s">
        <v>46</v>
      </c>
      <c r="C1745" s="2" t="s">
        <v>4275</v>
      </c>
      <c r="D1745" s="11" t="n">
        <v>135100</v>
      </c>
      <c r="E1745" s="31" t="n">
        <v>68.8</v>
      </c>
      <c r="F1745" s="31" t="n">
        <v>85.4</v>
      </c>
      <c r="G1745" s="31" t="n">
        <v>66.7</v>
      </c>
      <c r="H1745" s="2" t="s">
        <v>822</v>
      </c>
    </row>
    <row r="1746" customFormat="false" ht="15" hidden="false" customHeight="false" outlineLevel="0" collapsed="false">
      <c r="A1746" s="2" t="s">
        <v>1782</v>
      </c>
      <c r="B1746" s="2" t="s">
        <v>47</v>
      </c>
      <c r="C1746" s="2" t="s">
        <v>4274</v>
      </c>
      <c r="D1746" s="11" t="n">
        <v>44466</v>
      </c>
      <c r="E1746" s="31" t="n">
        <v>19.6</v>
      </c>
      <c r="F1746" s="31" t="n">
        <v>69</v>
      </c>
      <c r="G1746" s="31" t="n">
        <v>65.8</v>
      </c>
      <c r="H1746" s="2" t="s">
        <v>822</v>
      </c>
    </row>
    <row r="1747" customFormat="false" ht="15" hidden="false" customHeight="false" outlineLevel="0" collapsed="false">
      <c r="A1747" s="2" t="s">
        <v>1782</v>
      </c>
      <c r="B1747" s="2" t="s">
        <v>47</v>
      </c>
      <c r="C1747" s="2" t="s">
        <v>4275</v>
      </c>
      <c r="D1747" s="11" t="n">
        <v>43590</v>
      </c>
      <c r="E1747" s="31" t="n">
        <v>32.5</v>
      </c>
      <c r="F1747" s="31" t="n">
        <v>24.4</v>
      </c>
      <c r="G1747" s="31" t="n">
        <v>84.9</v>
      </c>
      <c r="H1747" s="2" t="s">
        <v>822</v>
      </c>
    </row>
    <row r="1748" customFormat="false" ht="15" hidden="false" customHeight="false" outlineLevel="0" collapsed="false">
      <c r="A1748" s="2" t="s">
        <v>770</v>
      </c>
      <c r="B1748" s="2" t="s">
        <v>4291</v>
      </c>
      <c r="C1748" s="2" t="s">
        <v>4274</v>
      </c>
      <c r="D1748" s="2"/>
      <c r="E1748" s="31" t="n">
        <v>18.6</v>
      </c>
      <c r="F1748" s="31" t="n">
        <v>40.1</v>
      </c>
      <c r="G1748" s="2"/>
      <c r="H1748" s="2" t="s">
        <v>822</v>
      </c>
    </row>
    <row r="1749" customFormat="false" ht="15" hidden="false" customHeight="false" outlineLevel="0" collapsed="false">
      <c r="A1749" s="2" t="s">
        <v>770</v>
      </c>
      <c r="B1749" s="2" t="s">
        <v>4291</v>
      </c>
      <c r="C1749" s="2" t="s">
        <v>4275</v>
      </c>
      <c r="D1749" s="2"/>
      <c r="E1749" s="31" t="n">
        <v>17.6</v>
      </c>
      <c r="F1749" s="31" t="n">
        <v>60.1</v>
      </c>
      <c r="G1749" s="2"/>
      <c r="H1749" s="2" t="s">
        <v>822</v>
      </c>
    </row>
    <row r="1750" customFormat="false" ht="15" hidden="false" customHeight="false" outlineLevel="0" collapsed="false">
      <c r="A1750" s="2" t="s">
        <v>770</v>
      </c>
      <c r="B1750" s="2" t="s">
        <v>45</v>
      </c>
      <c r="C1750" s="2" t="s">
        <v>4274</v>
      </c>
      <c r="D1750" s="11" t="n">
        <v>34380</v>
      </c>
      <c r="E1750" s="31" t="n">
        <v>18.6</v>
      </c>
      <c r="F1750" s="31" t="n">
        <v>40.1</v>
      </c>
      <c r="G1750" s="2"/>
      <c r="H1750" s="2" t="s">
        <v>822</v>
      </c>
    </row>
    <row r="1751" customFormat="false" ht="15" hidden="false" customHeight="false" outlineLevel="0" collapsed="false">
      <c r="A1751" s="2" t="s">
        <v>770</v>
      </c>
      <c r="B1751" s="2" t="s">
        <v>45</v>
      </c>
      <c r="C1751" s="2" t="s">
        <v>4275</v>
      </c>
      <c r="D1751" s="11" t="n">
        <v>34920</v>
      </c>
      <c r="E1751" s="31" t="n">
        <v>17.6</v>
      </c>
      <c r="F1751" s="31" t="n">
        <v>60.1</v>
      </c>
      <c r="G1751" s="2"/>
      <c r="H1751" s="2" t="s">
        <v>822</v>
      </c>
    </row>
    <row r="1752" customFormat="false" ht="15" hidden="false" customHeight="false" outlineLevel="0" collapsed="false">
      <c r="A1752" s="2" t="s">
        <v>1929</v>
      </c>
      <c r="B1752" s="2" t="s">
        <v>4291</v>
      </c>
      <c r="C1752" s="2" t="s">
        <v>4274</v>
      </c>
      <c r="D1752" s="2"/>
      <c r="E1752" s="31" t="n">
        <v>22.2</v>
      </c>
      <c r="F1752" s="31" t="n">
        <v>80.7</v>
      </c>
      <c r="G1752" s="31" t="n">
        <v>44.7</v>
      </c>
      <c r="H1752" s="2" t="s">
        <v>832</v>
      </c>
    </row>
    <row r="1753" customFormat="false" ht="15" hidden="false" customHeight="false" outlineLevel="0" collapsed="false">
      <c r="A1753" s="2" t="s">
        <v>1929</v>
      </c>
      <c r="B1753" s="2" t="s">
        <v>4291</v>
      </c>
      <c r="C1753" s="2" t="s">
        <v>4275</v>
      </c>
      <c r="D1753" s="2"/>
      <c r="E1753" s="31" t="n">
        <v>44</v>
      </c>
      <c r="F1753" s="31" t="n">
        <v>81.1</v>
      </c>
      <c r="G1753" s="31" t="n">
        <v>66</v>
      </c>
      <c r="H1753" s="2" t="s">
        <v>832</v>
      </c>
    </row>
    <row r="1754" customFormat="false" ht="15" hidden="false" customHeight="false" outlineLevel="0" collapsed="false">
      <c r="A1754" s="2" t="s">
        <v>1929</v>
      </c>
      <c r="B1754" s="2" t="s">
        <v>45</v>
      </c>
      <c r="C1754" s="2" t="s">
        <v>4274</v>
      </c>
      <c r="D1754" s="11" t="n">
        <v>1620</v>
      </c>
      <c r="E1754" s="31" t="n">
        <v>21.2</v>
      </c>
      <c r="F1754" s="2"/>
      <c r="G1754" s="31" t="n">
        <v>0.9</v>
      </c>
      <c r="H1754" s="2" t="s">
        <v>832</v>
      </c>
    </row>
    <row r="1755" customFormat="false" ht="15" hidden="false" customHeight="false" outlineLevel="0" collapsed="false">
      <c r="A1755" s="2" t="s">
        <v>1929</v>
      </c>
      <c r="B1755" s="2" t="s">
        <v>45</v>
      </c>
      <c r="C1755" s="2" t="s">
        <v>4275</v>
      </c>
      <c r="D1755" s="11" t="n">
        <v>1690</v>
      </c>
      <c r="E1755" s="31" t="n">
        <v>43.1</v>
      </c>
      <c r="F1755" s="2"/>
      <c r="G1755" s="31" t="n">
        <v>54.9</v>
      </c>
      <c r="H1755" s="2" t="s">
        <v>832</v>
      </c>
    </row>
    <row r="1756" customFormat="false" ht="15" hidden="false" customHeight="false" outlineLevel="0" collapsed="false">
      <c r="A1756" s="2" t="s">
        <v>1929</v>
      </c>
      <c r="B1756" s="2" t="s">
        <v>46</v>
      </c>
      <c r="C1756" s="2" t="s">
        <v>4274</v>
      </c>
      <c r="D1756" s="11" t="n">
        <v>7352</v>
      </c>
      <c r="E1756" s="31" t="n">
        <v>23.3</v>
      </c>
      <c r="F1756" s="31" t="n">
        <v>80.7</v>
      </c>
      <c r="G1756" s="31" t="n">
        <v>88.4</v>
      </c>
      <c r="H1756" s="2" t="s">
        <v>822</v>
      </c>
    </row>
    <row r="1757" customFormat="false" ht="15" hidden="false" customHeight="false" outlineLevel="0" collapsed="false">
      <c r="A1757" s="2" t="s">
        <v>1929</v>
      </c>
      <c r="B1757" s="2" t="s">
        <v>46</v>
      </c>
      <c r="C1757" s="2" t="s">
        <v>4275</v>
      </c>
      <c r="D1757" s="11" t="n">
        <v>7690</v>
      </c>
      <c r="E1757" s="31" t="n">
        <v>44.8</v>
      </c>
      <c r="F1757" s="31" t="n">
        <v>81.1</v>
      </c>
      <c r="G1757" s="31" t="n">
        <v>77</v>
      </c>
      <c r="H1757" s="2" t="s">
        <v>822</v>
      </c>
    </row>
    <row r="1758" customFormat="false" ht="15" hidden="false" customHeight="false" outlineLevel="0" collapsed="false">
      <c r="A1758" s="2" t="s">
        <v>3046</v>
      </c>
      <c r="B1758" s="2" t="s">
        <v>4291</v>
      </c>
      <c r="C1758" s="2" t="s">
        <v>4274</v>
      </c>
      <c r="D1758" s="2"/>
      <c r="E1758" s="31" t="n">
        <v>45.8</v>
      </c>
      <c r="F1758" s="31" t="n">
        <v>55.8</v>
      </c>
      <c r="G1758" s="31" t="n">
        <v>53.6</v>
      </c>
      <c r="H1758" s="2" t="s">
        <v>822</v>
      </c>
    </row>
    <row r="1759" customFormat="false" ht="15" hidden="false" customHeight="false" outlineLevel="0" collapsed="false">
      <c r="A1759" s="2" t="s">
        <v>3046</v>
      </c>
      <c r="B1759" s="2" t="s">
        <v>4291</v>
      </c>
      <c r="C1759" s="2" t="s">
        <v>4275</v>
      </c>
      <c r="D1759" s="2"/>
      <c r="E1759" s="31" t="n">
        <v>54.1</v>
      </c>
      <c r="F1759" s="31" t="n">
        <v>54.1</v>
      </c>
      <c r="G1759" s="31" t="n">
        <v>52.3</v>
      </c>
      <c r="H1759" s="2" t="s">
        <v>832</v>
      </c>
    </row>
    <row r="1760" customFormat="false" ht="15" hidden="false" customHeight="false" outlineLevel="0" collapsed="false">
      <c r="A1760" s="2" t="s">
        <v>3046</v>
      </c>
      <c r="B1760" s="2" t="s">
        <v>45</v>
      </c>
      <c r="C1760" s="2" t="s">
        <v>4274</v>
      </c>
      <c r="D1760" s="11" t="n">
        <v>126310</v>
      </c>
      <c r="E1760" s="31" t="n">
        <v>32.8</v>
      </c>
      <c r="F1760" s="31" t="n">
        <v>100</v>
      </c>
      <c r="G1760" s="31" t="n">
        <v>63.2</v>
      </c>
      <c r="H1760" s="2" t="s">
        <v>822</v>
      </c>
    </row>
    <row r="1761" customFormat="false" ht="15" hidden="false" customHeight="false" outlineLevel="0" collapsed="false">
      <c r="A1761" s="2" t="s">
        <v>3046</v>
      </c>
      <c r="B1761" s="2" t="s">
        <v>45</v>
      </c>
      <c r="C1761" s="2" t="s">
        <v>4275</v>
      </c>
      <c r="D1761" s="11" t="n">
        <v>139044</v>
      </c>
      <c r="E1761" s="31" t="n">
        <v>35.7</v>
      </c>
      <c r="F1761" s="31" t="n">
        <v>99.3</v>
      </c>
      <c r="G1761" s="2"/>
      <c r="H1761" s="2" t="s">
        <v>832</v>
      </c>
    </row>
    <row r="1762" customFormat="false" ht="15" hidden="false" customHeight="false" outlineLevel="0" collapsed="false">
      <c r="A1762" s="2" t="s">
        <v>3046</v>
      </c>
      <c r="B1762" s="2" t="s">
        <v>46</v>
      </c>
      <c r="C1762" s="2" t="s">
        <v>4274</v>
      </c>
      <c r="D1762" s="11" t="n">
        <v>130259</v>
      </c>
      <c r="E1762" s="31" t="n">
        <v>63</v>
      </c>
      <c r="F1762" s="31" t="n">
        <v>17.3</v>
      </c>
      <c r="G1762" s="31" t="n">
        <v>50</v>
      </c>
      <c r="H1762" s="2" t="s">
        <v>822</v>
      </c>
    </row>
    <row r="1763" customFormat="false" ht="15" hidden="false" customHeight="false" outlineLevel="0" collapsed="false">
      <c r="A1763" s="2" t="s">
        <v>3046</v>
      </c>
      <c r="B1763" s="2" t="s">
        <v>46</v>
      </c>
      <c r="C1763" s="2" t="s">
        <v>4275</v>
      </c>
      <c r="D1763" s="11" t="n">
        <v>133940</v>
      </c>
      <c r="E1763" s="31" t="n">
        <v>72.5</v>
      </c>
      <c r="F1763" s="31" t="n">
        <v>22.9</v>
      </c>
      <c r="G1763" s="2"/>
      <c r="H1763" s="2" t="s">
        <v>832</v>
      </c>
    </row>
    <row r="1764" customFormat="false" ht="15" hidden="false" customHeight="false" outlineLevel="0" collapsed="false">
      <c r="A1764" s="2" t="s">
        <v>3046</v>
      </c>
      <c r="B1764" s="2" t="s">
        <v>47</v>
      </c>
      <c r="C1764" s="2" t="s">
        <v>4274</v>
      </c>
      <c r="D1764" s="11" t="n">
        <v>3812</v>
      </c>
      <c r="E1764" s="31" t="n">
        <v>41.5</v>
      </c>
      <c r="F1764" s="31" t="n">
        <v>50</v>
      </c>
      <c r="G1764" s="31" t="n">
        <v>47.6</v>
      </c>
      <c r="H1764" s="2" t="s">
        <v>822</v>
      </c>
    </row>
    <row r="1765" customFormat="false" ht="15" hidden="false" customHeight="false" outlineLevel="0" collapsed="false">
      <c r="A1765" s="2" t="s">
        <v>3046</v>
      </c>
      <c r="B1765" s="2" t="s">
        <v>47</v>
      </c>
      <c r="C1765" s="2" t="s">
        <v>4275</v>
      </c>
      <c r="D1765" s="11" t="n">
        <v>3911</v>
      </c>
      <c r="E1765" s="2"/>
      <c r="F1765" s="31" t="n">
        <v>40</v>
      </c>
      <c r="G1765" s="31" t="n">
        <v>52.3</v>
      </c>
      <c r="H1765" s="2" t="s">
        <v>832</v>
      </c>
    </row>
    <row r="1766" customFormat="false" ht="15" hidden="false" customHeight="false" outlineLevel="0" collapsed="false">
      <c r="A1766" s="2" t="s">
        <v>142</v>
      </c>
      <c r="B1766" s="2" t="s">
        <v>4291</v>
      </c>
      <c r="C1766" s="2" t="s">
        <v>4274</v>
      </c>
      <c r="D1766" s="2"/>
      <c r="E1766" s="31" t="n">
        <v>96.4</v>
      </c>
      <c r="F1766" s="31" t="n">
        <v>59.3</v>
      </c>
      <c r="G1766" s="31" t="n">
        <v>36.7</v>
      </c>
      <c r="H1766" s="2" t="s">
        <v>822</v>
      </c>
    </row>
    <row r="1767" customFormat="false" ht="15" hidden="false" customHeight="false" outlineLevel="0" collapsed="false">
      <c r="A1767" s="2" t="s">
        <v>142</v>
      </c>
      <c r="B1767" s="2" t="s">
        <v>4291</v>
      </c>
      <c r="C1767" s="2" t="s">
        <v>4275</v>
      </c>
      <c r="D1767" s="2"/>
      <c r="E1767" s="31" t="n">
        <v>84.1</v>
      </c>
      <c r="F1767" s="31" t="n">
        <v>78.3</v>
      </c>
      <c r="G1767" s="31" t="n">
        <v>30.1</v>
      </c>
      <c r="H1767" s="2" t="s">
        <v>822</v>
      </c>
    </row>
    <row r="1768" customFormat="false" ht="15" hidden="false" customHeight="false" outlineLevel="0" collapsed="false">
      <c r="A1768" s="2" t="s">
        <v>142</v>
      </c>
      <c r="B1768" s="2" t="s">
        <v>47</v>
      </c>
      <c r="C1768" s="2" t="s">
        <v>4274</v>
      </c>
      <c r="D1768" s="11" t="n">
        <v>649708</v>
      </c>
      <c r="E1768" s="31" t="n">
        <v>96.4</v>
      </c>
      <c r="F1768" s="31" t="n">
        <v>59.3</v>
      </c>
      <c r="G1768" s="31" t="n">
        <v>36.7</v>
      </c>
      <c r="H1768" s="2" t="s">
        <v>822</v>
      </c>
    </row>
    <row r="1769" customFormat="false" ht="15" hidden="false" customHeight="false" outlineLevel="0" collapsed="false">
      <c r="A1769" s="2" t="s">
        <v>142</v>
      </c>
      <c r="B1769" s="2" t="s">
        <v>47</v>
      </c>
      <c r="C1769" s="2" t="s">
        <v>4275</v>
      </c>
      <c r="D1769" s="11" t="n">
        <v>695720</v>
      </c>
      <c r="E1769" s="31" t="n">
        <v>84.1</v>
      </c>
      <c r="F1769" s="31" t="n">
        <v>78.3</v>
      </c>
      <c r="G1769" s="31" t="n">
        <v>30.1</v>
      </c>
      <c r="H1769" s="2" t="s">
        <v>822</v>
      </c>
    </row>
    <row r="1770" customFormat="false" ht="15" hidden="false" customHeight="false" outlineLevel="0" collapsed="false">
      <c r="A1770" s="2" t="s">
        <v>131</v>
      </c>
      <c r="B1770" s="2" t="s">
        <v>4291</v>
      </c>
      <c r="C1770" s="2" t="s">
        <v>4274</v>
      </c>
      <c r="D1770" s="2"/>
      <c r="E1770" s="31" t="n">
        <v>70.2</v>
      </c>
      <c r="F1770" s="31" t="n">
        <v>57.1</v>
      </c>
      <c r="G1770" s="31" t="n">
        <v>6.1</v>
      </c>
      <c r="H1770" s="2" t="s">
        <v>822</v>
      </c>
    </row>
    <row r="1771" customFormat="false" ht="15" hidden="false" customHeight="false" outlineLevel="0" collapsed="false">
      <c r="A1771" s="2" t="s">
        <v>131</v>
      </c>
      <c r="B1771" s="2" t="s">
        <v>4291</v>
      </c>
      <c r="C1771" s="2" t="s">
        <v>4275</v>
      </c>
      <c r="D1771" s="2"/>
      <c r="E1771" s="31" t="n">
        <v>86.8</v>
      </c>
      <c r="F1771" s="31" t="n">
        <v>5.9</v>
      </c>
      <c r="G1771" s="31" t="n">
        <v>6.5</v>
      </c>
      <c r="H1771" s="2" t="s">
        <v>822</v>
      </c>
    </row>
    <row r="1772" customFormat="false" ht="15" hidden="false" customHeight="false" outlineLevel="0" collapsed="false">
      <c r="A1772" s="2" t="s">
        <v>131</v>
      </c>
      <c r="B1772" s="2" t="s">
        <v>45</v>
      </c>
      <c r="C1772" s="2" t="s">
        <v>4274</v>
      </c>
      <c r="D1772" s="11" t="n">
        <v>1177410</v>
      </c>
      <c r="E1772" s="31" t="n">
        <v>70.2</v>
      </c>
      <c r="F1772" s="31" t="n">
        <v>57.1</v>
      </c>
      <c r="G1772" s="31" t="n">
        <v>6.1</v>
      </c>
      <c r="H1772" s="2" t="s">
        <v>822</v>
      </c>
    </row>
    <row r="1773" customFormat="false" ht="15" hidden="false" customHeight="false" outlineLevel="0" collapsed="false">
      <c r="A1773" s="2" t="s">
        <v>131</v>
      </c>
      <c r="B1773" s="2" t="s">
        <v>45</v>
      </c>
      <c r="C1773" s="2" t="s">
        <v>4275</v>
      </c>
      <c r="D1773" s="11" t="n">
        <v>1207050</v>
      </c>
      <c r="E1773" s="31" t="n">
        <v>86.8</v>
      </c>
      <c r="F1773" s="31" t="n">
        <v>5.9</v>
      </c>
      <c r="G1773" s="31" t="n">
        <v>6.5</v>
      </c>
      <c r="H1773" s="2" t="s">
        <v>822</v>
      </c>
    </row>
    <row r="1774" customFormat="false" ht="15" hidden="false" customHeight="false" outlineLevel="0" collapsed="false">
      <c r="A1774" s="2" t="s">
        <v>2255</v>
      </c>
      <c r="B1774" s="2" t="s">
        <v>4291</v>
      </c>
      <c r="C1774" s="2" t="s">
        <v>4274</v>
      </c>
      <c r="D1774" s="2"/>
      <c r="E1774" s="31" t="n">
        <v>75.2</v>
      </c>
      <c r="F1774" s="31" t="n">
        <v>51</v>
      </c>
      <c r="G1774" s="31" t="n">
        <v>44.9</v>
      </c>
      <c r="H1774" s="2" t="s">
        <v>822</v>
      </c>
    </row>
    <row r="1775" customFormat="false" ht="15" hidden="false" customHeight="false" outlineLevel="0" collapsed="false">
      <c r="A1775" s="2" t="s">
        <v>2255</v>
      </c>
      <c r="B1775" s="2" t="s">
        <v>4291</v>
      </c>
      <c r="C1775" s="2" t="s">
        <v>4275</v>
      </c>
      <c r="D1775" s="2"/>
      <c r="E1775" s="31" t="n">
        <v>74.9</v>
      </c>
      <c r="F1775" s="31" t="n">
        <v>45.9</v>
      </c>
      <c r="G1775" s="31" t="n">
        <v>67.7</v>
      </c>
      <c r="H1775" s="2" t="s">
        <v>832</v>
      </c>
    </row>
    <row r="1776" customFormat="false" ht="15" hidden="false" customHeight="false" outlineLevel="0" collapsed="false">
      <c r="A1776" s="2" t="s">
        <v>2255</v>
      </c>
      <c r="B1776" s="2" t="s">
        <v>46</v>
      </c>
      <c r="C1776" s="2" t="s">
        <v>4274</v>
      </c>
      <c r="D1776" s="11" t="n">
        <v>259778</v>
      </c>
      <c r="E1776" s="31" t="n">
        <v>52.1</v>
      </c>
      <c r="F1776" s="31" t="n">
        <v>78.8</v>
      </c>
      <c r="G1776" s="31" t="n">
        <v>12.6</v>
      </c>
      <c r="H1776" s="2" t="s">
        <v>822</v>
      </c>
    </row>
    <row r="1777" customFormat="false" ht="15" hidden="false" customHeight="false" outlineLevel="0" collapsed="false">
      <c r="A1777" s="2" t="s">
        <v>2255</v>
      </c>
      <c r="B1777" s="2" t="s">
        <v>46</v>
      </c>
      <c r="C1777" s="2" t="s">
        <v>4275</v>
      </c>
      <c r="D1777" s="11" t="n">
        <v>273950</v>
      </c>
      <c r="E1777" s="31" t="n">
        <v>55.8</v>
      </c>
      <c r="F1777" s="31" t="n">
        <v>87.9</v>
      </c>
      <c r="G1777" s="2"/>
      <c r="H1777" s="2" t="s">
        <v>832</v>
      </c>
    </row>
    <row r="1778" customFormat="false" ht="15" hidden="false" customHeight="false" outlineLevel="0" collapsed="false">
      <c r="A1778" s="2" t="s">
        <v>2255</v>
      </c>
      <c r="B1778" s="2" t="s">
        <v>47</v>
      </c>
      <c r="C1778" s="2" t="s">
        <v>4274</v>
      </c>
      <c r="D1778" s="11" t="n">
        <v>70500</v>
      </c>
      <c r="E1778" s="31" t="n">
        <v>98.3</v>
      </c>
      <c r="F1778" s="31" t="n">
        <v>23.2</v>
      </c>
      <c r="G1778" s="31" t="n">
        <v>77.2</v>
      </c>
      <c r="H1778" s="2" t="s">
        <v>822</v>
      </c>
    </row>
    <row r="1779" customFormat="false" ht="15" hidden="false" customHeight="false" outlineLevel="0" collapsed="false">
      <c r="A1779" s="2" t="s">
        <v>2255</v>
      </c>
      <c r="B1779" s="2" t="s">
        <v>47</v>
      </c>
      <c r="C1779" s="2" t="s">
        <v>4275</v>
      </c>
      <c r="D1779" s="11" t="n">
        <v>72746</v>
      </c>
      <c r="E1779" s="31" t="n">
        <v>94</v>
      </c>
      <c r="F1779" s="31" t="n">
        <v>3.9</v>
      </c>
      <c r="G1779" s="31" t="n">
        <v>67.7</v>
      </c>
      <c r="H1779" s="2" t="s">
        <v>822</v>
      </c>
    </row>
    <row r="1780" customFormat="false" ht="15" hidden="false" customHeight="false" outlineLevel="0" collapsed="false">
      <c r="A1780" s="2" t="s">
        <v>2013</v>
      </c>
      <c r="B1780" s="2" t="s">
        <v>4291</v>
      </c>
      <c r="C1780" s="2" t="s">
        <v>4274</v>
      </c>
      <c r="D1780" s="2"/>
      <c r="E1780" s="31" t="n">
        <v>39.6</v>
      </c>
      <c r="F1780" s="31" t="n">
        <v>55.4</v>
      </c>
      <c r="G1780" s="31" t="n">
        <v>64</v>
      </c>
      <c r="H1780" s="2" t="s">
        <v>822</v>
      </c>
    </row>
    <row r="1781" customFormat="false" ht="15" hidden="false" customHeight="false" outlineLevel="0" collapsed="false">
      <c r="A1781" s="2" t="s">
        <v>2013</v>
      </c>
      <c r="B1781" s="2" t="s">
        <v>4291</v>
      </c>
      <c r="C1781" s="2" t="s">
        <v>4275</v>
      </c>
      <c r="D1781" s="2"/>
      <c r="E1781" s="31" t="n">
        <v>58.4</v>
      </c>
      <c r="F1781" s="31" t="n">
        <v>42.3</v>
      </c>
      <c r="G1781" s="31" t="n">
        <v>49.5</v>
      </c>
      <c r="H1781" s="2" t="s">
        <v>832</v>
      </c>
    </row>
    <row r="1782" customFormat="false" ht="15" hidden="false" customHeight="false" outlineLevel="0" collapsed="false">
      <c r="A1782" s="2" t="s">
        <v>2013</v>
      </c>
      <c r="B1782" s="2" t="s">
        <v>45</v>
      </c>
      <c r="C1782" s="2" t="s">
        <v>4274</v>
      </c>
      <c r="D1782" s="11" t="n">
        <v>195912</v>
      </c>
      <c r="E1782" s="31" t="n">
        <v>23.3</v>
      </c>
      <c r="F1782" s="31" t="n">
        <v>81.5</v>
      </c>
      <c r="G1782" s="31" t="n">
        <v>92.4</v>
      </c>
      <c r="H1782" s="2" t="s">
        <v>822</v>
      </c>
    </row>
    <row r="1783" customFormat="false" ht="15" hidden="false" customHeight="false" outlineLevel="0" collapsed="false">
      <c r="A1783" s="2" t="s">
        <v>2013</v>
      </c>
      <c r="B1783" s="2" t="s">
        <v>45</v>
      </c>
      <c r="C1783" s="2" t="s">
        <v>4275</v>
      </c>
      <c r="D1783" s="2"/>
      <c r="E1783" s="2"/>
      <c r="F1783" s="2"/>
      <c r="G1783" s="31" t="n">
        <v>75.5</v>
      </c>
      <c r="H1783" s="2" t="s">
        <v>832</v>
      </c>
    </row>
    <row r="1784" customFormat="false" ht="15" hidden="false" customHeight="false" outlineLevel="0" collapsed="false">
      <c r="A1784" s="2" t="s">
        <v>2013</v>
      </c>
      <c r="B1784" s="2" t="s">
        <v>46</v>
      </c>
      <c r="C1784" s="2" t="s">
        <v>4274</v>
      </c>
      <c r="D1784" s="11" t="n">
        <v>243891</v>
      </c>
      <c r="E1784" s="31" t="n">
        <v>26.6</v>
      </c>
      <c r="F1784" s="31" t="n">
        <v>84</v>
      </c>
      <c r="G1784" s="31" t="n">
        <v>38.4</v>
      </c>
      <c r="H1784" s="2" t="s">
        <v>822</v>
      </c>
    </row>
    <row r="1785" customFormat="false" ht="15" hidden="false" customHeight="false" outlineLevel="0" collapsed="false">
      <c r="A1785" s="2" t="s">
        <v>2013</v>
      </c>
      <c r="B1785" s="2" t="s">
        <v>46</v>
      </c>
      <c r="C1785" s="2" t="s">
        <v>4275</v>
      </c>
      <c r="D1785" s="11" t="n">
        <v>253760</v>
      </c>
      <c r="E1785" s="31" t="n">
        <v>31.6</v>
      </c>
      <c r="F1785" s="31" t="n">
        <v>84.1</v>
      </c>
      <c r="G1785" s="31" t="n">
        <v>8.6</v>
      </c>
      <c r="H1785" s="2" t="s">
        <v>822</v>
      </c>
    </row>
    <row r="1786" customFormat="false" ht="15" hidden="false" customHeight="false" outlineLevel="0" collapsed="false">
      <c r="A1786" s="2" t="s">
        <v>2013</v>
      </c>
      <c r="B1786" s="2" t="s">
        <v>47</v>
      </c>
      <c r="C1786" s="2" t="s">
        <v>4274</v>
      </c>
      <c r="D1786" s="11" t="n">
        <v>874106</v>
      </c>
      <c r="E1786" s="31" t="n">
        <v>69</v>
      </c>
      <c r="F1786" s="31" t="n">
        <v>0.6</v>
      </c>
      <c r="G1786" s="31" t="n">
        <v>61.2</v>
      </c>
      <c r="H1786" s="2" t="s">
        <v>822</v>
      </c>
    </row>
    <row r="1787" customFormat="false" ht="15" hidden="false" customHeight="false" outlineLevel="0" collapsed="false">
      <c r="A1787" s="2" t="s">
        <v>2013</v>
      </c>
      <c r="B1787" s="2" t="s">
        <v>47</v>
      </c>
      <c r="C1787" s="2" t="s">
        <v>4275</v>
      </c>
      <c r="D1787" s="11" t="n">
        <v>812604</v>
      </c>
      <c r="E1787" s="31" t="n">
        <v>85.2</v>
      </c>
      <c r="F1787" s="31" t="n">
        <v>0.6</v>
      </c>
      <c r="G1787" s="31" t="n">
        <v>64.3</v>
      </c>
      <c r="H1787" s="2" t="s">
        <v>822</v>
      </c>
    </row>
    <row r="1788" customFormat="false" ht="15" hidden="false" customHeight="false" outlineLevel="0" collapsed="false">
      <c r="A1788" s="2" t="s">
        <v>3052</v>
      </c>
      <c r="B1788" s="2" t="s">
        <v>4291</v>
      </c>
      <c r="C1788" s="2" t="s">
        <v>4275</v>
      </c>
      <c r="D1788" s="2"/>
      <c r="E1788" s="2"/>
      <c r="F1788" s="2"/>
      <c r="G1788" s="2"/>
      <c r="H1788" s="2" t="s">
        <v>832</v>
      </c>
    </row>
    <row r="1789" customFormat="false" ht="15" hidden="false" customHeight="false" outlineLevel="0" collapsed="false">
      <c r="A1789" s="2" t="s">
        <v>3052</v>
      </c>
      <c r="B1789" s="2" t="s">
        <v>45</v>
      </c>
      <c r="C1789" s="2" t="s">
        <v>4275</v>
      </c>
      <c r="D1789" s="2"/>
      <c r="E1789" s="2"/>
      <c r="F1789" s="2"/>
      <c r="G1789" s="2"/>
      <c r="H1789" s="2" t="s">
        <v>832</v>
      </c>
    </row>
    <row r="1790" customFormat="false" ht="15" hidden="false" customHeight="false" outlineLevel="0" collapsed="false">
      <c r="A1790" s="2" t="s">
        <v>1061</v>
      </c>
      <c r="B1790" s="2" t="s">
        <v>4291</v>
      </c>
      <c r="C1790" s="2" t="s">
        <v>4274</v>
      </c>
      <c r="D1790" s="2"/>
      <c r="E1790" s="31" t="n">
        <v>68.7</v>
      </c>
      <c r="F1790" s="31" t="n">
        <v>42.5</v>
      </c>
      <c r="G1790" s="31" t="n">
        <v>30.1</v>
      </c>
      <c r="H1790" s="2" t="s">
        <v>822</v>
      </c>
    </row>
    <row r="1791" customFormat="false" ht="15" hidden="false" customHeight="false" outlineLevel="0" collapsed="false">
      <c r="A1791" s="2" t="s">
        <v>1061</v>
      </c>
      <c r="B1791" s="2" t="s">
        <v>4291</v>
      </c>
      <c r="C1791" s="2" t="s">
        <v>4275</v>
      </c>
      <c r="D1791" s="2"/>
      <c r="E1791" s="31" t="n">
        <v>73.9</v>
      </c>
      <c r="F1791" s="31" t="n">
        <v>71.4</v>
      </c>
      <c r="G1791" s="31" t="n">
        <v>12</v>
      </c>
      <c r="H1791" s="2" t="s">
        <v>832</v>
      </c>
    </row>
    <row r="1792" customFormat="false" ht="15" hidden="false" customHeight="false" outlineLevel="0" collapsed="false">
      <c r="A1792" s="2" t="s">
        <v>1061</v>
      </c>
      <c r="B1792" s="2" t="s">
        <v>45</v>
      </c>
      <c r="C1792" s="2" t="s">
        <v>4274</v>
      </c>
      <c r="D1792" s="11" t="n">
        <v>69280</v>
      </c>
      <c r="E1792" s="31" t="n">
        <v>68.2</v>
      </c>
      <c r="F1792" s="31" t="n">
        <v>96.4</v>
      </c>
      <c r="G1792" s="31" t="n">
        <v>5.6</v>
      </c>
      <c r="H1792" s="2" t="s">
        <v>822</v>
      </c>
    </row>
    <row r="1793" customFormat="false" ht="15" hidden="false" customHeight="false" outlineLevel="0" collapsed="false">
      <c r="A1793" s="2" t="s">
        <v>1061</v>
      </c>
      <c r="B1793" s="2" t="s">
        <v>45</v>
      </c>
      <c r="C1793" s="2" t="s">
        <v>4275</v>
      </c>
      <c r="D1793" s="11" t="n">
        <v>72280</v>
      </c>
      <c r="E1793" s="31" t="n">
        <v>71.8</v>
      </c>
      <c r="F1793" s="31" t="n">
        <v>92.4</v>
      </c>
      <c r="G1793" s="31" t="n">
        <v>11.7</v>
      </c>
      <c r="H1793" s="2" t="s">
        <v>822</v>
      </c>
    </row>
    <row r="1794" customFormat="false" ht="15" hidden="false" customHeight="false" outlineLevel="0" collapsed="false">
      <c r="A1794" s="2" t="s">
        <v>1061</v>
      </c>
      <c r="B1794" s="2" t="s">
        <v>46</v>
      </c>
      <c r="C1794" s="2" t="s">
        <v>4274</v>
      </c>
      <c r="D1794" s="11" t="n">
        <v>7180</v>
      </c>
      <c r="E1794" s="31" t="n">
        <v>96.1</v>
      </c>
      <c r="F1794" s="31" t="n">
        <v>1.8</v>
      </c>
      <c r="G1794" s="31" t="n">
        <v>75.6</v>
      </c>
      <c r="H1794" s="2" t="s">
        <v>822</v>
      </c>
    </row>
    <row r="1795" customFormat="false" ht="15" hidden="false" customHeight="false" outlineLevel="0" collapsed="false">
      <c r="A1795" s="2" t="s">
        <v>1061</v>
      </c>
      <c r="B1795" s="2" t="s">
        <v>46</v>
      </c>
      <c r="C1795" s="2" t="s">
        <v>4275</v>
      </c>
      <c r="D1795" s="11" t="n">
        <v>6800</v>
      </c>
      <c r="E1795" s="31" t="n">
        <v>88.6</v>
      </c>
      <c r="F1795" s="2"/>
      <c r="G1795" s="2"/>
      <c r="H1795" s="2" t="s">
        <v>832</v>
      </c>
    </row>
    <row r="1796" customFormat="false" ht="15" hidden="false" customHeight="false" outlineLevel="0" collapsed="false">
      <c r="A1796" s="2" t="s">
        <v>1061</v>
      </c>
      <c r="B1796" s="2" t="s">
        <v>47</v>
      </c>
      <c r="C1796" s="2" t="s">
        <v>4274</v>
      </c>
      <c r="D1796" s="11" t="n">
        <v>67308</v>
      </c>
      <c r="E1796" s="31" t="n">
        <v>41.9</v>
      </c>
      <c r="F1796" s="31" t="n">
        <v>29.4</v>
      </c>
      <c r="G1796" s="31" t="n">
        <v>9.2</v>
      </c>
      <c r="H1796" s="2" t="s">
        <v>822</v>
      </c>
    </row>
    <row r="1797" customFormat="false" ht="15" hidden="false" customHeight="false" outlineLevel="0" collapsed="false">
      <c r="A1797" s="2" t="s">
        <v>1061</v>
      </c>
      <c r="B1797" s="2" t="s">
        <v>47</v>
      </c>
      <c r="C1797" s="2" t="s">
        <v>4275</v>
      </c>
      <c r="D1797" s="11" t="n">
        <v>67780</v>
      </c>
      <c r="E1797" s="31" t="n">
        <v>61.2</v>
      </c>
      <c r="F1797" s="31" t="n">
        <v>50.3</v>
      </c>
      <c r="G1797" s="31" t="n">
        <v>12.4</v>
      </c>
      <c r="H1797" s="2" t="s">
        <v>822</v>
      </c>
    </row>
    <row r="1798" customFormat="false" ht="15" hidden="false" customHeight="false" outlineLevel="0" collapsed="false">
      <c r="A1798" s="2" t="s">
        <v>843</v>
      </c>
      <c r="B1798" s="2" t="s">
        <v>4291</v>
      </c>
      <c r="C1798" s="2" t="s">
        <v>4274</v>
      </c>
      <c r="D1798" s="2"/>
      <c r="E1798" s="31" t="n">
        <v>72.8</v>
      </c>
      <c r="F1798" s="31" t="n">
        <v>33.4</v>
      </c>
      <c r="G1798" s="31" t="n">
        <v>70.5</v>
      </c>
      <c r="H1798" s="2" t="s">
        <v>822</v>
      </c>
    </row>
    <row r="1799" customFormat="false" ht="15" hidden="false" customHeight="false" outlineLevel="0" collapsed="false">
      <c r="A1799" s="2" t="s">
        <v>843</v>
      </c>
      <c r="B1799" s="2" t="s">
        <v>4291</v>
      </c>
      <c r="C1799" s="2" t="s">
        <v>4275</v>
      </c>
      <c r="D1799" s="2"/>
      <c r="E1799" s="31" t="n">
        <v>80.2</v>
      </c>
      <c r="F1799" s="31" t="n">
        <v>43.6</v>
      </c>
      <c r="G1799" s="31" t="n">
        <v>91</v>
      </c>
      <c r="H1799" s="2" t="s">
        <v>832</v>
      </c>
    </row>
    <row r="1800" customFormat="false" ht="15" hidden="false" customHeight="false" outlineLevel="0" collapsed="false">
      <c r="A1800" s="2" t="s">
        <v>843</v>
      </c>
      <c r="B1800" s="2" t="s">
        <v>45</v>
      </c>
      <c r="C1800" s="2" t="s">
        <v>4274</v>
      </c>
      <c r="D1800" s="11" t="n">
        <v>164540</v>
      </c>
      <c r="E1800" s="31" t="n">
        <v>95.3</v>
      </c>
      <c r="F1800" s="31" t="n">
        <v>37</v>
      </c>
      <c r="G1800" s="31" t="n">
        <v>71</v>
      </c>
      <c r="H1800" s="2" t="s">
        <v>822</v>
      </c>
    </row>
    <row r="1801" customFormat="false" ht="15" hidden="false" customHeight="false" outlineLevel="0" collapsed="false">
      <c r="A1801" s="2" t="s">
        <v>843</v>
      </c>
      <c r="B1801" s="2" t="s">
        <v>45</v>
      </c>
      <c r="C1801" s="2" t="s">
        <v>4275</v>
      </c>
      <c r="D1801" s="11" t="n">
        <v>164740</v>
      </c>
      <c r="E1801" s="31" t="n">
        <v>97.7</v>
      </c>
      <c r="F1801" s="31" t="n">
        <v>55</v>
      </c>
      <c r="G1801" s="31" t="n">
        <v>91.8</v>
      </c>
      <c r="H1801" s="2" t="s">
        <v>822</v>
      </c>
    </row>
    <row r="1802" customFormat="false" ht="15" hidden="false" customHeight="false" outlineLevel="0" collapsed="false">
      <c r="A1802" s="2" t="s">
        <v>843</v>
      </c>
      <c r="B1802" s="2" t="s">
        <v>46</v>
      </c>
      <c r="C1802" s="2" t="s">
        <v>4274</v>
      </c>
      <c r="D1802" s="11" t="n">
        <v>22713</v>
      </c>
      <c r="E1802" s="31" t="n">
        <v>73</v>
      </c>
      <c r="F1802" s="31" t="n">
        <v>47.2</v>
      </c>
      <c r="G1802" s="31" t="n">
        <v>43.6</v>
      </c>
      <c r="H1802" s="2" t="s">
        <v>822</v>
      </c>
    </row>
    <row r="1803" customFormat="false" ht="15" hidden="false" customHeight="false" outlineLevel="0" collapsed="false">
      <c r="A1803" s="2" t="s">
        <v>843</v>
      </c>
      <c r="B1803" s="2" t="s">
        <v>46</v>
      </c>
      <c r="C1803" s="2" t="s">
        <v>4275</v>
      </c>
      <c r="D1803" s="11" t="n">
        <v>23650</v>
      </c>
      <c r="E1803" s="31" t="n">
        <v>79.8</v>
      </c>
      <c r="F1803" s="31" t="n">
        <v>61.5</v>
      </c>
      <c r="G1803" s="2"/>
      <c r="H1803" s="2" t="s">
        <v>832</v>
      </c>
    </row>
    <row r="1804" customFormat="false" ht="15" hidden="false" customHeight="false" outlineLevel="0" collapsed="false">
      <c r="A1804" s="2" t="s">
        <v>843</v>
      </c>
      <c r="B1804" s="2" t="s">
        <v>47</v>
      </c>
      <c r="C1804" s="2" t="s">
        <v>4274</v>
      </c>
      <c r="D1804" s="11" t="n">
        <v>92682</v>
      </c>
      <c r="E1804" s="31" t="n">
        <v>50</v>
      </c>
      <c r="F1804" s="31" t="n">
        <v>16</v>
      </c>
      <c r="G1804" s="31" t="n">
        <v>97</v>
      </c>
      <c r="H1804" s="2" t="s">
        <v>822</v>
      </c>
    </row>
    <row r="1805" customFormat="false" ht="15" hidden="false" customHeight="false" outlineLevel="0" collapsed="false">
      <c r="A1805" s="2" t="s">
        <v>843</v>
      </c>
      <c r="B1805" s="2" t="s">
        <v>47</v>
      </c>
      <c r="C1805" s="2" t="s">
        <v>4275</v>
      </c>
      <c r="D1805" s="11" t="n">
        <v>94677</v>
      </c>
      <c r="E1805" s="31" t="n">
        <v>63.1</v>
      </c>
      <c r="F1805" s="31" t="n">
        <v>14.3</v>
      </c>
      <c r="G1805" s="31" t="n">
        <v>90.3</v>
      </c>
      <c r="H1805" s="2" t="s">
        <v>822</v>
      </c>
    </row>
    <row r="1806" customFormat="false" ht="15" hidden="false" customHeight="false" outlineLevel="0" collapsed="false">
      <c r="A1806" s="2" t="s">
        <v>1767</v>
      </c>
      <c r="B1806" s="2" t="s">
        <v>4291</v>
      </c>
      <c r="C1806" s="2" t="s">
        <v>4274</v>
      </c>
      <c r="D1806" s="2"/>
      <c r="E1806" s="31" t="n">
        <v>38.4</v>
      </c>
      <c r="F1806" s="31" t="n">
        <v>81.4</v>
      </c>
      <c r="G1806" s="31" t="n">
        <v>3.7</v>
      </c>
      <c r="H1806" s="2" t="s">
        <v>832</v>
      </c>
    </row>
    <row r="1807" customFormat="false" ht="15" hidden="false" customHeight="false" outlineLevel="0" collapsed="false">
      <c r="A1807" s="2" t="s">
        <v>1767</v>
      </c>
      <c r="B1807" s="2" t="s">
        <v>4291</v>
      </c>
      <c r="C1807" s="2" t="s">
        <v>4275</v>
      </c>
      <c r="D1807" s="2"/>
      <c r="E1807" s="31" t="n">
        <v>59.8</v>
      </c>
      <c r="F1807" s="31" t="n">
        <v>71.6</v>
      </c>
      <c r="G1807" s="31" t="n">
        <v>42.3</v>
      </c>
      <c r="H1807" s="2" t="s">
        <v>832</v>
      </c>
    </row>
    <row r="1808" customFormat="false" ht="15" hidden="false" customHeight="false" outlineLevel="0" collapsed="false">
      <c r="A1808" s="2" t="s">
        <v>1767</v>
      </c>
      <c r="B1808" s="2" t="s">
        <v>45</v>
      </c>
      <c r="C1808" s="2" t="s">
        <v>4274</v>
      </c>
      <c r="D1808" s="2"/>
      <c r="E1808" s="2"/>
      <c r="F1808" s="2"/>
      <c r="G1808" s="2"/>
      <c r="H1808" s="2" t="s">
        <v>832</v>
      </c>
    </row>
    <row r="1809" customFormat="false" ht="15" hidden="false" customHeight="false" outlineLevel="0" collapsed="false">
      <c r="A1809" s="2" t="s">
        <v>1767</v>
      </c>
      <c r="B1809" s="2" t="s">
        <v>45</v>
      </c>
      <c r="C1809" s="2" t="s">
        <v>4275</v>
      </c>
      <c r="D1809" s="11" t="n">
        <v>2280</v>
      </c>
      <c r="E1809" s="2"/>
      <c r="F1809" s="2"/>
      <c r="G1809" s="2"/>
      <c r="H1809" s="2" t="s">
        <v>832</v>
      </c>
    </row>
    <row r="1810" customFormat="false" ht="15" hidden="false" customHeight="false" outlineLevel="0" collapsed="false">
      <c r="A1810" s="2" t="s">
        <v>1767</v>
      </c>
      <c r="B1810" s="2" t="s">
        <v>46</v>
      </c>
      <c r="C1810" s="2" t="s">
        <v>4274</v>
      </c>
      <c r="D1810" s="2"/>
      <c r="E1810" s="2"/>
      <c r="F1810" s="2"/>
      <c r="G1810" s="2"/>
      <c r="H1810" s="2" t="s">
        <v>832</v>
      </c>
    </row>
    <row r="1811" customFormat="false" ht="15" hidden="false" customHeight="false" outlineLevel="0" collapsed="false">
      <c r="A1811" s="2" t="s">
        <v>1767</v>
      </c>
      <c r="B1811" s="2" t="s">
        <v>46</v>
      </c>
      <c r="C1811" s="2" t="s">
        <v>4275</v>
      </c>
      <c r="D1811" s="11" t="n">
        <v>63210</v>
      </c>
      <c r="E1811" s="31" t="n">
        <v>71.7</v>
      </c>
      <c r="F1811" s="31" t="n">
        <v>61.1</v>
      </c>
      <c r="G1811" s="31" t="n">
        <v>74.4</v>
      </c>
      <c r="H1811" s="2" t="s">
        <v>822</v>
      </c>
    </row>
    <row r="1812" customFormat="false" ht="15" hidden="false" customHeight="false" outlineLevel="0" collapsed="false">
      <c r="A1812" s="2" t="s">
        <v>1767</v>
      </c>
      <c r="B1812" s="2" t="s">
        <v>47</v>
      </c>
      <c r="C1812" s="2" t="s">
        <v>4274</v>
      </c>
      <c r="D1812" s="11" t="n">
        <v>14115</v>
      </c>
      <c r="E1812" s="31" t="n">
        <v>38.4</v>
      </c>
      <c r="F1812" s="31" t="n">
        <v>81.4</v>
      </c>
      <c r="G1812" s="31" t="n">
        <v>3.7</v>
      </c>
      <c r="H1812" s="2" t="s">
        <v>822</v>
      </c>
    </row>
    <row r="1813" customFormat="false" ht="15" hidden="false" customHeight="false" outlineLevel="0" collapsed="false">
      <c r="A1813" s="2" t="s">
        <v>1767</v>
      </c>
      <c r="B1813" s="2" t="s">
        <v>47</v>
      </c>
      <c r="C1813" s="2" t="s">
        <v>4275</v>
      </c>
      <c r="D1813" s="11" t="n">
        <v>14424</v>
      </c>
      <c r="E1813" s="31" t="n">
        <v>48</v>
      </c>
      <c r="F1813" s="31" t="n">
        <v>82.1</v>
      </c>
      <c r="G1813" s="31" t="n">
        <v>10.2</v>
      </c>
      <c r="H1813" s="2" t="s">
        <v>822</v>
      </c>
    </row>
    <row r="1814" customFormat="false" ht="15" hidden="false" customHeight="false" outlineLevel="0" collapsed="false">
      <c r="A1814" s="2" t="s">
        <v>1720</v>
      </c>
      <c r="B1814" s="2" t="s">
        <v>4291</v>
      </c>
      <c r="C1814" s="2" t="s">
        <v>4274</v>
      </c>
      <c r="D1814" s="2"/>
      <c r="E1814" s="31" t="n">
        <v>54</v>
      </c>
      <c r="F1814" s="31" t="n">
        <v>63.5</v>
      </c>
      <c r="G1814" s="31" t="n">
        <v>53.4</v>
      </c>
      <c r="H1814" s="2" t="s">
        <v>832</v>
      </c>
    </row>
    <row r="1815" customFormat="false" ht="15" hidden="false" customHeight="false" outlineLevel="0" collapsed="false">
      <c r="A1815" s="2" t="s">
        <v>1720</v>
      </c>
      <c r="B1815" s="2" t="s">
        <v>4291</v>
      </c>
      <c r="C1815" s="2" t="s">
        <v>4275</v>
      </c>
      <c r="D1815" s="2"/>
      <c r="E1815" s="31" t="n">
        <v>56.2</v>
      </c>
      <c r="F1815" s="31" t="n">
        <v>61.6</v>
      </c>
      <c r="G1815" s="31" t="n">
        <v>65.4</v>
      </c>
      <c r="H1815" s="2" t="s">
        <v>832</v>
      </c>
    </row>
    <row r="1816" customFormat="false" ht="15" hidden="false" customHeight="false" outlineLevel="0" collapsed="false">
      <c r="A1816" s="2" t="s">
        <v>1720</v>
      </c>
      <c r="B1816" s="2" t="s">
        <v>45</v>
      </c>
      <c r="C1816" s="2" t="s">
        <v>4274</v>
      </c>
      <c r="D1816" s="11" t="n">
        <v>146780</v>
      </c>
      <c r="E1816" s="31" t="n">
        <v>30.2</v>
      </c>
      <c r="F1816" s="31" t="n">
        <v>48.6</v>
      </c>
      <c r="G1816" s="31" t="n">
        <v>78.3</v>
      </c>
      <c r="H1816" s="2" t="s">
        <v>822</v>
      </c>
    </row>
    <row r="1817" customFormat="false" ht="15" hidden="false" customHeight="false" outlineLevel="0" collapsed="false">
      <c r="A1817" s="2" t="s">
        <v>1720</v>
      </c>
      <c r="B1817" s="2" t="s">
        <v>45</v>
      </c>
      <c r="C1817" s="2" t="s">
        <v>4275</v>
      </c>
      <c r="D1817" s="11" t="n">
        <v>148540</v>
      </c>
      <c r="E1817" s="31" t="n">
        <v>38</v>
      </c>
      <c r="F1817" s="31" t="n">
        <v>61.4</v>
      </c>
      <c r="G1817" s="2"/>
      <c r="H1817" s="2" t="s">
        <v>832</v>
      </c>
    </row>
    <row r="1818" customFormat="false" ht="15" hidden="false" customHeight="false" outlineLevel="0" collapsed="false">
      <c r="A1818" s="2" t="s">
        <v>1720</v>
      </c>
      <c r="B1818" s="2" t="s">
        <v>46</v>
      </c>
      <c r="C1818" s="2" t="s">
        <v>4274</v>
      </c>
      <c r="D1818" s="11" t="n">
        <v>25270</v>
      </c>
      <c r="E1818" s="31" t="n">
        <v>58.7</v>
      </c>
      <c r="F1818" s="31" t="n">
        <v>47.6</v>
      </c>
      <c r="G1818" s="2"/>
      <c r="H1818" s="2" t="s">
        <v>832</v>
      </c>
    </row>
    <row r="1819" customFormat="false" ht="15" hidden="false" customHeight="false" outlineLevel="0" collapsed="false">
      <c r="A1819" s="2" t="s">
        <v>1720</v>
      </c>
      <c r="B1819" s="2" t="s">
        <v>46</v>
      </c>
      <c r="C1819" s="2" t="s">
        <v>4275</v>
      </c>
      <c r="D1819" s="11" t="n">
        <v>25475</v>
      </c>
      <c r="E1819" s="31" t="n">
        <v>78.8</v>
      </c>
      <c r="F1819" s="31" t="n">
        <v>37.1</v>
      </c>
      <c r="G1819" s="31" t="n">
        <v>88.7</v>
      </c>
      <c r="H1819" s="2" t="s">
        <v>822</v>
      </c>
    </row>
    <row r="1820" customFormat="false" ht="15" hidden="false" customHeight="false" outlineLevel="0" collapsed="false">
      <c r="A1820" s="2" t="s">
        <v>1720</v>
      </c>
      <c r="B1820" s="2" t="s">
        <v>47</v>
      </c>
      <c r="C1820" s="2" t="s">
        <v>4274</v>
      </c>
      <c r="D1820" s="11" t="n">
        <v>7345</v>
      </c>
      <c r="E1820" s="31" t="n">
        <v>73.2</v>
      </c>
      <c r="F1820" s="31" t="n">
        <v>94.4</v>
      </c>
      <c r="G1820" s="31" t="n">
        <v>28.6</v>
      </c>
      <c r="H1820" s="2" t="s">
        <v>822</v>
      </c>
    </row>
    <row r="1821" customFormat="false" ht="15" hidden="false" customHeight="false" outlineLevel="0" collapsed="false">
      <c r="A1821" s="2" t="s">
        <v>1720</v>
      </c>
      <c r="B1821" s="2" t="s">
        <v>47</v>
      </c>
      <c r="C1821" s="2" t="s">
        <v>4275</v>
      </c>
      <c r="D1821" s="11" t="n">
        <v>7700</v>
      </c>
      <c r="E1821" s="31" t="n">
        <v>51.9</v>
      </c>
      <c r="F1821" s="31" t="n">
        <v>86.2</v>
      </c>
      <c r="G1821" s="31" t="n">
        <v>42.1</v>
      </c>
      <c r="H1821" s="2" t="s">
        <v>822</v>
      </c>
    </row>
    <row r="1822" customFormat="false" ht="15" hidden="false" customHeight="false" outlineLevel="0" collapsed="false">
      <c r="A1822" s="2" t="s">
        <v>1432</v>
      </c>
      <c r="B1822" s="2" t="s">
        <v>4291</v>
      </c>
      <c r="C1822" s="2" t="s">
        <v>4274</v>
      </c>
      <c r="D1822" s="2"/>
      <c r="E1822" s="31" t="n">
        <v>45.4</v>
      </c>
      <c r="F1822" s="31" t="n">
        <v>42.4</v>
      </c>
      <c r="G1822" s="31" t="n">
        <v>9.8</v>
      </c>
      <c r="H1822" s="2" t="s">
        <v>832</v>
      </c>
    </row>
    <row r="1823" customFormat="false" ht="15" hidden="false" customHeight="false" outlineLevel="0" collapsed="false">
      <c r="A1823" s="2" t="s">
        <v>1432</v>
      </c>
      <c r="B1823" s="2" t="s">
        <v>4291</v>
      </c>
      <c r="C1823" s="2" t="s">
        <v>4275</v>
      </c>
      <c r="D1823" s="2"/>
      <c r="E1823" s="31" t="n">
        <v>32.8</v>
      </c>
      <c r="F1823" s="31" t="n">
        <v>80.4</v>
      </c>
      <c r="G1823" s="31" t="n">
        <v>17</v>
      </c>
      <c r="H1823" s="2" t="s">
        <v>832</v>
      </c>
    </row>
    <row r="1824" customFormat="false" ht="15" hidden="false" customHeight="false" outlineLevel="0" collapsed="false">
      <c r="A1824" s="2" t="s">
        <v>1432</v>
      </c>
      <c r="B1824" s="2" t="s">
        <v>45</v>
      </c>
      <c r="C1824" s="2" t="s">
        <v>4274</v>
      </c>
      <c r="D1824" s="11" t="n">
        <v>3965</v>
      </c>
      <c r="E1824" s="31" t="n">
        <v>33.9</v>
      </c>
      <c r="F1824" s="31" t="n">
        <v>37.1</v>
      </c>
      <c r="G1824" s="31" t="n">
        <v>3.2</v>
      </c>
      <c r="H1824" s="2" t="s">
        <v>822</v>
      </c>
    </row>
    <row r="1825" customFormat="false" ht="15" hidden="false" customHeight="false" outlineLevel="0" collapsed="false">
      <c r="A1825" s="2" t="s">
        <v>1432</v>
      </c>
      <c r="B1825" s="2" t="s">
        <v>45</v>
      </c>
      <c r="C1825" s="2" t="s">
        <v>4275</v>
      </c>
      <c r="D1825" s="11" t="n">
        <v>4160</v>
      </c>
      <c r="E1825" s="31" t="n">
        <v>23.3</v>
      </c>
      <c r="F1825" s="31" t="n">
        <v>76.1</v>
      </c>
      <c r="G1825" s="31" t="n">
        <v>17</v>
      </c>
      <c r="H1825" s="2" t="s">
        <v>822</v>
      </c>
    </row>
    <row r="1826" customFormat="false" ht="15" hidden="false" customHeight="false" outlineLevel="0" collapsed="false">
      <c r="A1826" s="2" t="s">
        <v>1432</v>
      </c>
      <c r="B1826" s="2" t="s">
        <v>46</v>
      </c>
      <c r="C1826" s="2" t="s">
        <v>4274</v>
      </c>
      <c r="D1826" s="11" t="n">
        <v>297950</v>
      </c>
      <c r="E1826" s="31" t="n">
        <v>29.7</v>
      </c>
      <c r="F1826" s="31" t="n">
        <v>84.6</v>
      </c>
      <c r="G1826" s="31" t="n">
        <v>16.4</v>
      </c>
      <c r="H1826" s="2" t="s">
        <v>822</v>
      </c>
    </row>
    <row r="1827" customFormat="false" ht="15" hidden="false" customHeight="false" outlineLevel="0" collapsed="false">
      <c r="A1827" s="2" t="s">
        <v>1432</v>
      </c>
      <c r="B1827" s="2" t="s">
        <v>46</v>
      </c>
      <c r="C1827" s="2" t="s">
        <v>4275</v>
      </c>
      <c r="D1827" s="11" t="n">
        <v>320870</v>
      </c>
      <c r="E1827" s="31" t="n">
        <v>42.4</v>
      </c>
      <c r="F1827" s="31" t="n">
        <v>84.7</v>
      </c>
      <c r="G1827" s="2"/>
      <c r="H1827" s="2" t="s">
        <v>832</v>
      </c>
    </row>
    <row r="1828" customFormat="false" ht="15" hidden="false" customHeight="false" outlineLevel="0" collapsed="false">
      <c r="A1828" s="2" t="s">
        <v>1432</v>
      </c>
      <c r="B1828" s="2" t="s">
        <v>47</v>
      </c>
      <c r="C1828" s="2" t="s">
        <v>4274</v>
      </c>
      <c r="D1828" s="11" t="n">
        <v>45787</v>
      </c>
      <c r="E1828" s="31" t="n">
        <v>72.7</v>
      </c>
      <c r="F1828" s="31" t="n">
        <v>5.6</v>
      </c>
      <c r="G1828" s="2"/>
      <c r="H1828" s="2" t="s">
        <v>832</v>
      </c>
    </row>
    <row r="1829" customFormat="false" ht="15" hidden="false" customHeight="false" outlineLevel="0" collapsed="false">
      <c r="A1829" s="2" t="s">
        <v>1432</v>
      </c>
      <c r="B1829" s="2" t="s">
        <v>47</v>
      </c>
      <c r="C1829" s="2" t="s">
        <v>4275</v>
      </c>
      <c r="D1829" s="2"/>
      <c r="E1829" s="2"/>
      <c r="F1829" s="2"/>
      <c r="G1829" s="2"/>
      <c r="H1829" s="2" t="s">
        <v>832</v>
      </c>
    </row>
    <row r="1830" customFormat="false" ht="15" hidden="false" customHeight="false" outlineLevel="0" collapsed="false">
      <c r="A1830" s="2" t="s">
        <v>117</v>
      </c>
      <c r="B1830" s="2" t="s">
        <v>4291</v>
      </c>
      <c r="C1830" s="2" t="s">
        <v>4274</v>
      </c>
      <c r="D1830" s="2"/>
      <c r="E1830" s="31" t="n">
        <v>92.6</v>
      </c>
      <c r="F1830" s="31" t="n">
        <v>43.8</v>
      </c>
      <c r="G1830" s="31" t="n">
        <v>2.7</v>
      </c>
      <c r="H1830" s="2" t="s">
        <v>822</v>
      </c>
    </row>
    <row r="1831" customFormat="false" ht="15" hidden="false" customHeight="false" outlineLevel="0" collapsed="false">
      <c r="A1831" s="2" t="s">
        <v>117</v>
      </c>
      <c r="B1831" s="2" t="s">
        <v>4291</v>
      </c>
      <c r="C1831" s="2" t="s">
        <v>4275</v>
      </c>
      <c r="D1831" s="2"/>
      <c r="E1831" s="31" t="n">
        <v>91.7</v>
      </c>
      <c r="F1831" s="31" t="n">
        <v>52.6</v>
      </c>
      <c r="G1831" s="31" t="n">
        <v>34</v>
      </c>
      <c r="H1831" s="2" t="s">
        <v>822</v>
      </c>
    </row>
    <row r="1832" customFormat="false" ht="15" hidden="false" customHeight="false" outlineLevel="0" collapsed="false">
      <c r="A1832" s="2" t="s">
        <v>117</v>
      </c>
      <c r="B1832" s="2" t="s">
        <v>45</v>
      </c>
      <c r="C1832" s="2" t="s">
        <v>4274</v>
      </c>
      <c r="D1832" s="11" t="n">
        <v>18826</v>
      </c>
      <c r="E1832" s="31" t="n">
        <v>92.6</v>
      </c>
      <c r="F1832" s="31" t="n">
        <v>43.8</v>
      </c>
      <c r="G1832" s="31" t="n">
        <v>2.7</v>
      </c>
      <c r="H1832" s="2" t="s">
        <v>822</v>
      </c>
    </row>
    <row r="1833" customFormat="false" ht="15" hidden="false" customHeight="false" outlineLevel="0" collapsed="false">
      <c r="A1833" s="2" t="s">
        <v>117</v>
      </c>
      <c r="B1833" s="2" t="s">
        <v>45</v>
      </c>
      <c r="C1833" s="2" t="s">
        <v>4275</v>
      </c>
      <c r="D1833" s="11" t="n">
        <v>19100</v>
      </c>
      <c r="E1833" s="31" t="n">
        <v>91.7</v>
      </c>
      <c r="F1833" s="31" t="n">
        <v>52.6</v>
      </c>
      <c r="G1833" s="31" t="n">
        <v>34</v>
      </c>
      <c r="H1833" s="2" t="s">
        <v>822</v>
      </c>
    </row>
    <row r="1834" customFormat="false" ht="15" hidden="false" customHeight="false" outlineLevel="0" collapsed="false">
      <c r="A1834" s="2" t="s">
        <v>1941</v>
      </c>
      <c r="B1834" s="2" t="s">
        <v>4291</v>
      </c>
      <c r="C1834" s="2" t="s">
        <v>4274</v>
      </c>
      <c r="D1834" s="2"/>
      <c r="E1834" s="31" t="n">
        <v>41</v>
      </c>
      <c r="F1834" s="31" t="n">
        <v>36.2</v>
      </c>
      <c r="G1834" s="31" t="n">
        <v>50.2</v>
      </c>
      <c r="H1834" s="2" t="s">
        <v>822</v>
      </c>
    </row>
    <row r="1835" customFormat="false" ht="15" hidden="false" customHeight="false" outlineLevel="0" collapsed="false">
      <c r="A1835" s="2" t="s">
        <v>1941</v>
      </c>
      <c r="B1835" s="2" t="s">
        <v>4291</v>
      </c>
      <c r="C1835" s="2" t="s">
        <v>4275</v>
      </c>
      <c r="D1835" s="2"/>
      <c r="E1835" s="31" t="n">
        <v>31.5</v>
      </c>
      <c r="F1835" s="31" t="n">
        <v>43</v>
      </c>
      <c r="G1835" s="31" t="n">
        <v>54.6</v>
      </c>
      <c r="H1835" s="2" t="s">
        <v>832</v>
      </c>
    </row>
    <row r="1836" customFormat="false" ht="15" hidden="false" customHeight="false" outlineLevel="0" collapsed="false">
      <c r="A1836" s="2" t="s">
        <v>1941</v>
      </c>
      <c r="B1836" s="2" t="s">
        <v>45</v>
      </c>
      <c r="C1836" s="2" t="s">
        <v>4274</v>
      </c>
      <c r="D1836" s="11" t="n">
        <v>116957</v>
      </c>
      <c r="E1836" s="31" t="n">
        <v>22.3</v>
      </c>
      <c r="F1836" s="31" t="n">
        <v>45.9</v>
      </c>
      <c r="G1836" s="31" t="n">
        <v>21.5</v>
      </c>
      <c r="H1836" s="2" t="s">
        <v>822</v>
      </c>
    </row>
    <row r="1837" customFormat="false" ht="15" hidden="false" customHeight="false" outlineLevel="0" collapsed="false">
      <c r="A1837" s="2" t="s">
        <v>1941</v>
      </c>
      <c r="B1837" s="2" t="s">
        <v>45</v>
      </c>
      <c r="C1837" s="2" t="s">
        <v>4275</v>
      </c>
      <c r="D1837" s="2"/>
      <c r="E1837" s="2"/>
      <c r="F1837" s="2"/>
      <c r="G1837" s="2"/>
      <c r="H1837" s="2" t="s">
        <v>832</v>
      </c>
    </row>
    <row r="1838" customFormat="false" ht="15" hidden="false" customHeight="false" outlineLevel="0" collapsed="false">
      <c r="A1838" s="2" t="s">
        <v>1941</v>
      </c>
      <c r="B1838" s="2" t="s">
        <v>46</v>
      </c>
      <c r="C1838" s="2" t="s">
        <v>4274</v>
      </c>
      <c r="D1838" s="11" t="n">
        <v>120820</v>
      </c>
      <c r="E1838" s="31" t="n">
        <v>44.6</v>
      </c>
      <c r="F1838" s="31" t="n">
        <v>42.9</v>
      </c>
      <c r="G1838" s="31" t="n">
        <v>83.3</v>
      </c>
      <c r="H1838" s="2" t="s">
        <v>822</v>
      </c>
    </row>
    <row r="1839" customFormat="false" ht="15" hidden="false" customHeight="false" outlineLevel="0" collapsed="false">
      <c r="A1839" s="2" t="s">
        <v>1941</v>
      </c>
      <c r="B1839" s="2" t="s">
        <v>46</v>
      </c>
      <c r="C1839" s="2" t="s">
        <v>4275</v>
      </c>
      <c r="D1839" s="11" t="n">
        <v>124880</v>
      </c>
      <c r="E1839" s="31" t="n">
        <v>43.8</v>
      </c>
      <c r="F1839" s="31" t="n">
        <v>43.9</v>
      </c>
      <c r="G1839" s="31" t="n">
        <v>48.3</v>
      </c>
      <c r="H1839" s="2" t="s">
        <v>822</v>
      </c>
    </row>
    <row r="1840" customFormat="false" ht="15" hidden="false" customHeight="false" outlineLevel="0" collapsed="false">
      <c r="A1840" s="2" t="s">
        <v>1941</v>
      </c>
      <c r="B1840" s="2" t="s">
        <v>47</v>
      </c>
      <c r="C1840" s="2" t="s">
        <v>4274</v>
      </c>
      <c r="D1840" s="11" t="n">
        <v>10560</v>
      </c>
      <c r="E1840" s="31" t="n">
        <v>56.1</v>
      </c>
      <c r="F1840" s="31" t="n">
        <v>19.9</v>
      </c>
      <c r="G1840" s="31" t="n">
        <v>45.7</v>
      </c>
      <c r="H1840" s="2" t="s">
        <v>822</v>
      </c>
    </row>
    <row r="1841" customFormat="false" ht="15" hidden="false" customHeight="false" outlineLevel="0" collapsed="false">
      <c r="A1841" s="2" t="s">
        <v>1941</v>
      </c>
      <c r="B1841" s="2" t="s">
        <v>47</v>
      </c>
      <c r="C1841" s="2" t="s">
        <v>4275</v>
      </c>
      <c r="D1841" s="11" t="n">
        <v>11000</v>
      </c>
      <c r="E1841" s="31" t="n">
        <v>19.2</v>
      </c>
      <c r="F1841" s="31" t="n">
        <v>42.2</v>
      </c>
      <c r="G1841" s="31" t="n">
        <v>60.9</v>
      </c>
      <c r="H1841" s="2" t="s">
        <v>822</v>
      </c>
    </row>
    <row r="1842" customFormat="false" ht="15" hidden="false" customHeight="false" outlineLevel="0" collapsed="false">
      <c r="A1842" s="2" t="s">
        <v>2862</v>
      </c>
      <c r="B1842" s="2" t="s">
        <v>4291</v>
      </c>
      <c r="C1842" s="2" t="s">
        <v>4274</v>
      </c>
      <c r="D1842" s="2"/>
      <c r="E1842" s="31" t="n">
        <v>55</v>
      </c>
      <c r="F1842" s="31" t="n">
        <v>38.6</v>
      </c>
      <c r="G1842" s="31" t="n">
        <v>93.4</v>
      </c>
      <c r="H1842" s="2" t="s">
        <v>832</v>
      </c>
    </row>
    <row r="1843" customFormat="false" ht="15" hidden="false" customHeight="false" outlineLevel="0" collapsed="false">
      <c r="A1843" s="2" t="s">
        <v>2862</v>
      </c>
      <c r="B1843" s="2" t="s">
        <v>4291</v>
      </c>
      <c r="C1843" s="2" t="s">
        <v>4275</v>
      </c>
      <c r="D1843" s="2"/>
      <c r="E1843" s="31" t="n">
        <v>26.9</v>
      </c>
      <c r="F1843" s="31" t="n">
        <v>67.4</v>
      </c>
      <c r="G1843" s="31" t="n">
        <v>67.6</v>
      </c>
      <c r="H1843" s="2" t="s">
        <v>832</v>
      </c>
    </row>
    <row r="1844" customFormat="false" ht="15" hidden="false" customHeight="false" outlineLevel="0" collapsed="false">
      <c r="A1844" s="2" t="s">
        <v>2862</v>
      </c>
      <c r="B1844" s="2" t="s">
        <v>46</v>
      </c>
      <c r="C1844" s="2" t="s">
        <v>4274</v>
      </c>
      <c r="D1844" s="11" t="n">
        <v>9591</v>
      </c>
      <c r="E1844" s="31" t="n">
        <v>55</v>
      </c>
      <c r="F1844" s="31" t="n">
        <v>38.6</v>
      </c>
      <c r="G1844" s="31" t="n">
        <v>93.4</v>
      </c>
      <c r="H1844" s="2" t="s">
        <v>822</v>
      </c>
    </row>
    <row r="1845" customFormat="false" ht="15" hidden="false" customHeight="false" outlineLevel="0" collapsed="false">
      <c r="A1845" s="2" t="s">
        <v>2862</v>
      </c>
      <c r="B1845" s="2" t="s">
        <v>46</v>
      </c>
      <c r="C1845" s="2" t="s">
        <v>4275</v>
      </c>
      <c r="D1845" s="11" t="n">
        <v>10090</v>
      </c>
      <c r="E1845" s="31" t="n">
        <v>51.7</v>
      </c>
      <c r="F1845" s="31" t="n">
        <v>80.7</v>
      </c>
      <c r="G1845" s="2"/>
      <c r="H1845" s="2" t="s">
        <v>832</v>
      </c>
    </row>
    <row r="1846" customFormat="false" ht="15" hidden="false" customHeight="false" outlineLevel="0" collapsed="false">
      <c r="A1846" s="2" t="s">
        <v>2862</v>
      </c>
      <c r="B1846" s="2" t="s">
        <v>47</v>
      </c>
      <c r="C1846" s="2" t="s">
        <v>4274</v>
      </c>
      <c r="D1846" s="2"/>
      <c r="E1846" s="2"/>
      <c r="F1846" s="2"/>
      <c r="G1846" s="2"/>
      <c r="H1846" s="2" t="s">
        <v>832</v>
      </c>
    </row>
    <row r="1847" customFormat="false" ht="15" hidden="false" customHeight="false" outlineLevel="0" collapsed="false">
      <c r="A1847" s="2" t="s">
        <v>2862</v>
      </c>
      <c r="B1847" s="2" t="s">
        <v>47</v>
      </c>
      <c r="C1847" s="2" t="s">
        <v>4275</v>
      </c>
      <c r="D1847" s="11" t="n">
        <v>71299</v>
      </c>
      <c r="E1847" s="31" t="n">
        <v>2.1</v>
      </c>
      <c r="F1847" s="31" t="n">
        <v>54.2</v>
      </c>
      <c r="G1847" s="31" t="n">
        <v>67.6</v>
      </c>
      <c r="H1847" s="2" t="s">
        <v>822</v>
      </c>
    </row>
    <row r="1848" customFormat="false" ht="15" hidden="false" customHeight="false" outlineLevel="0" collapsed="false">
      <c r="A1848" s="2" t="s">
        <v>1842</v>
      </c>
      <c r="B1848" s="2" t="s">
        <v>4291</v>
      </c>
      <c r="C1848" s="2" t="s">
        <v>4274</v>
      </c>
      <c r="D1848" s="2"/>
      <c r="E1848" s="31" t="n">
        <v>78.2</v>
      </c>
      <c r="F1848" s="31" t="n">
        <v>52.8</v>
      </c>
      <c r="G1848" s="31" t="n">
        <v>49.7</v>
      </c>
      <c r="H1848" s="2" t="s">
        <v>832</v>
      </c>
    </row>
    <row r="1849" customFormat="false" ht="15" hidden="false" customHeight="false" outlineLevel="0" collapsed="false">
      <c r="A1849" s="2" t="s">
        <v>1842</v>
      </c>
      <c r="B1849" s="2" t="s">
        <v>4291</v>
      </c>
      <c r="C1849" s="2" t="s">
        <v>4275</v>
      </c>
      <c r="D1849" s="2"/>
      <c r="E1849" s="31" t="n">
        <v>46.1</v>
      </c>
      <c r="F1849" s="31" t="n">
        <v>45</v>
      </c>
      <c r="G1849" s="31" t="n">
        <v>46.3</v>
      </c>
      <c r="H1849" s="2" t="s">
        <v>832</v>
      </c>
    </row>
    <row r="1850" customFormat="false" ht="15" hidden="false" customHeight="false" outlineLevel="0" collapsed="false">
      <c r="A1850" s="2" t="s">
        <v>1842</v>
      </c>
      <c r="B1850" s="2" t="s">
        <v>45</v>
      </c>
      <c r="C1850" s="2" t="s">
        <v>4274</v>
      </c>
      <c r="D1850" s="2"/>
      <c r="E1850" s="2"/>
      <c r="F1850" s="2"/>
      <c r="G1850" s="2"/>
      <c r="H1850" s="2" t="s">
        <v>832</v>
      </c>
    </row>
    <row r="1851" customFormat="false" ht="15" hidden="false" customHeight="false" outlineLevel="0" collapsed="false">
      <c r="A1851" s="2" t="s">
        <v>1842</v>
      </c>
      <c r="B1851" s="2" t="s">
        <v>45</v>
      </c>
      <c r="C1851" s="2" t="s">
        <v>4275</v>
      </c>
      <c r="D1851" s="11" t="n">
        <v>16550</v>
      </c>
      <c r="E1851" s="31" t="n">
        <v>35.9</v>
      </c>
      <c r="F1851" s="31" t="n">
        <v>46.4</v>
      </c>
      <c r="G1851" s="2"/>
      <c r="H1851" s="2" t="s">
        <v>832</v>
      </c>
    </row>
    <row r="1852" customFormat="false" ht="15" hidden="false" customHeight="false" outlineLevel="0" collapsed="false">
      <c r="A1852" s="2" t="s">
        <v>1842</v>
      </c>
      <c r="B1852" s="2" t="s">
        <v>46</v>
      </c>
      <c r="C1852" s="2" t="s">
        <v>4274</v>
      </c>
      <c r="D1852" s="11" t="n">
        <v>218820</v>
      </c>
      <c r="E1852" s="31" t="n">
        <v>77.7</v>
      </c>
      <c r="F1852" s="31" t="n">
        <v>92.9</v>
      </c>
      <c r="G1852" s="31" t="n">
        <v>82.4</v>
      </c>
      <c r="H1852" s="2" t="s">
        <v>822</v>
      </c>
    </row>
    <row r="1853" customFormat="false" ht="15" hidden="false" customHeight="false" outlineLevel="0" collapsed="false">
      <c r="A1853" s="2" t="s">
        <v>1842</v>
      </c>
      <c r="B1853" s="2" t="s">
        <v>46</v>
      </c>
      <c r="C1853" s="2" t="s">
        <v>4275</v>
      </c>
      <c r="D1853" s="11" t="n">
        <v>223020</v>
      </c>
      <c r="E1853" s="31" t="n">
        <v>58.3</v>
      </c>
      <c r="F1853" s="31" t="n">
        <v>71.3</v>
      </c>
      <c r="G1853" s="31" t="n">
        <v>64.5</v>
      </c>
      <c r="H1853" s="2" t="s">
        <v>822</v>
      </c>
    </row>
    <row r="1854" customFormat="false" ht="15" hidden="false" customHeight="false" outlineLevel="0" collapsed="false">
      <c r="A1854" s="2" t="s">
        <v>1842</v>
      </c>
      <c r="B1854" s="2" t="s">
        <v>47</v>
      </c>
      <c r="C1854" s="2" t="s">
        <v>4274</v>
      </c>
      <c r="D1854" s="11" t="n">
        <v>23017</v>
      </c>
      <c r="E1854" s="31" t="n">
        <v>78.7</v>
      </c>
      <c r="F1854" s="31" t="n">
        <v>12.7</v>
      </c>
      <c r="G1854" s="31" t="n">
        <v>16.9</v>
      </c>
      <c r="H1854" s="2" t="s">
        <v>822</v>
      </c>
    </row>
    <row r="1855" customFormat="false" ht="15" hidden="false" customHeight="false" outlineLevel="0" collapsed="false">
      <c r="A1855" s="2" t="s">
        <v>1842</v>
      </c>
      <c r="B1855" s="2" t="s">
        <v>47</v>
      </c>
      <c r="C1855" s="2" t="s">
        <v>4275</v>
      </c>
      <c r="D1855" s="11" t="n">
        <v>23393</v>
      </c>
      <c r="E1855" s="31" t="n">
        <v>44.1</v>
      </c>
      <c r="F1855" s="31" t="n">
        <v>17.2</v>
      </c>
      <c r="G1855" s="31" t="n">
        <v>28.1</v>
      </c>
      <c r="H1855" s="2" t="s">
        <v>822</v>
      </c>
    </row>
    <row r="1856" customFormat="false" ht="15" hidden="false" customHeight="false" outlineLevel="0" collapsed="false">
      <c r="A1856" s="2" t="s">
        <v>1946</v>
      </c>
      <c r="B1856" s="2" t="s">
        <v>4291</v>
      </c>
      <c r="C1856" s="2" t="s">
        <v>4274</v>
      </c>
      <c r="D1856" s="2"/>
      <c r="E1856" s="31" t="n">
        <v>58.2</v>
      </c>
      <c r="F1856" s="31" t="n">
        <v>41.7</v>
      </c>
      <c r="G1856" s="31" t="n">
        <v>71.4</v>
      </c>
      <c r="H1856" s="2" t="s">
        <v>822</v>
      </c>
    </row>
    <row r="1857" customFormat="false" ht="15" hidden="false" customHeight="false" outlineLevel="0" collapsed="false">
      <c r="A1857" s="2" t="s">
        <v>1946</v>
      </c>
      <c r="B1857" s="2" t="s">
        <v>4291</v>
      </c>
      <c r="C1857" s="2" t="s">
        <v>4275</v>
      </c>
      <c r="D1857" s="2"/>
      <c r="E1857" s="31" t="n">
        <v>24.5</v>
      </c>
      <c r="F1857" s="31" t="n">
        <v>42.6</v>
      </c>
      <c r="G1857" s="31" t="n">
        <v>40.6</v>
      </c>
      <c r="H1857" s="2" t="s">
        <v>832</v>
      </c>
    </row>
    <row r="1858" customFormat="false" ht="15" hidden="false" customHeight="false" outlineLevel="0" collapsed="false">
      <c r="A1858" s="2" t="s">
        <v>1946</v>
      </c>
      <c r="B1858" s="2" t="s">
        <v>45</v>
      </c>
      <c r="C1858" s="2" t="s">
        <v>4274</v>
      </c>
      <c r="D1858" s="11" t="n">
        <v>60106</v>
      </c>
      <c r="E1858" s="31" t="n">
        <v>92.7</v>
      </c>
      <c r="F1858" s="31" t="n">
        <v>39.8</v>
      </c>
      <c r="G1858" s="2"/>
      <c r="H1858" s="2" t="s">
        <v>822</v>
      </c>
    </row>
    <row r="1859" customFormat="false" ht="15" hidden="false" customHeight="false" outlineLevel="0" collapsed="false">
      <c r="A1859" s="2" t="s">
        <v>1946</v>
      </c>
      <c r="B1859" s="2" t="s">
        <v>45</v>
      </c>
      <c r="C1859" s="2" t="s">
        <v>4275</v>
      </c>
      <c r="D1859" s="2"/>
      <c r="E1859" s="2"/>
      <c r="F1859" s="2"/>
      <c r="G1859" s="2"/>
      <c r="H1859" s="2" t="s">
        <v>832</v>
      </c>
    </row>
    <row r="1860" customFormat="false" ht="15" hidden="false" customHeight="false" outlineLevel="0" collapsed="false">
      <c r="A1860" s="2" t="s">
        <v>1946</v>
      </c>
      <c r="B1860" s="2" t="s">
        <v>46</v>
      </c>
      <c r="C1860" s="2" t="s">
        <v>4274</v>
      </c>
      <c r="D1860" s="11" t="n">
        <v>5804</v>
      </c>
      <c r="E1860" s="31" t="n">
        <v>68.9</v>
      </c>
      <c r="F1860" s="31" t="n">
        <v>42.1</v>
      </c>
      <c r="G1860" s="31" t="n">
        <v>58.9</v>
      </c>
      <c r="H1860" s="2" t="s">
        <v>822</v>
      </c>
    </row>
    <row r="1861" customFormat="false" ht="15" hidden="false" customHeight="false" outlineLevel="0" collapsed="false">
      <c r="A1861" s="2" t="s">
        <v>1946</v>
      </c>
      <c r="B1861" s="2" t="s">
        <v>46</v>
      </c>
      <c r="C1861" s="2" t="s">
        <v>4275</v>
      </c>
      <c r="D1861" s="11" t="n">
        <v>5810</v>
      </c>
      <c r="E1861" s="31" t="n">
        <v>43.2</v>
      </c>
      <c r="F1861" s="31" t="n">
        <v>37.7</v>
      </c>
      <c r="G1861" s="31" t="n">
        <v>2.2</v>
      </c>
      <c r="H1861" s="2" t="s">
        <v>822</v>
      </c>
    </row>
    <row r="1862" customFormat="false" ht="15" hidden="false" customHeight="false" outlineLevel="0" collapsed="false">
      <c r="A1862" s="2" t="s">
        <v>1946</v>
      </c>
      <c r="B1862" s="2" t="s">
        <v>47</v>
      </c>
      <c r="C1862" s="2" t="s">
        <v>4274</v>
      </c>
      <c r="D1862" s="11" t="n">
        <v>9216</v>
      </c>
      <c r="E1862" s="31" t="n">
        <v>13</v>
      </c>
      <c r="F1862" s="31" t="n">
        <v>43.3</v>
      </c>
      <c r="G1862" s="31" t="n">
        <v>83.8</v>
      </c>
      <c r="H1862" s="2" t="s">
        <v>822</v>
      </c>
    </row>
    <row r="1863" customFormat="false" ht="15" hidden="false" customHeight="false" outlineLevel="0" collapsed="false">
      <c r="A1863" s="2" t="s">
        <v>1946</v>
      </c>
      <c r="B1863" s="2" t="s">
        <v>47</v>
      </c>
      <c r="C1863" s="2" t="s">
        <v>4275</v>
      </c>
      <c r="D1863" s="11" t="n">
        <v>9604</v>
      </c>
      <c r="E1863" s="31" t="n">
        <v>5.8</v>
      </c>
      <c r="F1863" s="31" t="n">
        <v>47.5</v>
      </c>
      <c r="G1863" s="31" t="n">
        <v>79</v>
      </c>
      <c r="H1863" s="2" t="s">
        <v>822</v>
      </c>
    </row>
    <row r="1864" customFormat="false" ht="15" hidden="false" customHeight="false" outlineLevel="0" collapsed="false">
      <c r="A1864" s="2" t="s">
        <v>2486</v>
      </c>
      <c r="B1864" s="2" t="s">
        <v>4291</v>
      </c>
      <c r="C1864" s="2" t="s">
        <v>4274</v>
      </c>
      <c r="D1864" s="2"/>
      <c r="E1864" s="31" t="n">
        <v>26.4</v>
      </c>
      <c r="F1864" s="31" t="n">
        <v>53</v>
      </c>
      <c r="G1864" s="31" t="n">
        <v>97.5</v>
      </c>
      <c r="H1864" s="2" t="s">
        <v>832</v>
      </c>
    </row>
    <row r="1865" customFormat="false" ht="15" hidden="false" customHeight="false" outlineLevel="0" collapsed="false">
      <c r="A1865" s="2" t="s">
        <v>2486</v>
      </c>
      <c r="B1865" s="2" t="s">
        <v>4291</v>
      </c>
      <c r="C1865" s="2" t="s">
        <v>4275</v>
      </c>
      <c r="D1865" s="2"/>
      <c r="E1865" s="31" t="n">
        <v>47.8</v>
      </c>
      <c r="F1865" s="31" t="n">
        <v>39.3</v>
      </c>
      <c r="G1865" s="31" t="n">
        <v>27.4</v>
      </c>
      <c r="H1865" s="2" t="s">
        <v>832</v>
      </c>
    </row>
    <row r="1866" customFormat="false" ht="15" hidden="false" customHeight="false" outlineLevel="0" collapsed="false">
      <c r="A1866" s="2" t="s">
        <v>2486</v>
      </c>
      <c r="B1866" s="2" t="s">
        <v>45</v>
      </c>
      <c r="C1866" s="2" t="s">
        <v>4274</v>
      </c>
      <c r="D1866" s="11" t="n">
        <v>81160</v>
      </c>
      <c r="E1866" s="31" t="n">
        <v>26.4</v>
      </c>
      <c r="F1866" s="31" t="n">
        <v>43.4</v>
      </c>
      <c r="G1866" s="2"/>
      <c r="H1866" s="2" t="s">
        <v>822</v>
      </c>
    </row>
    <row r="1867" customFormat="false" ht="15" hidden="false" customHeight="false" outlineLevel="0" collapsed="false">
      <c r="A1867" s="2" t="s">
        <v>2486</v>
      </c>
      <c r="B1867" s="2" t="s">
        <v>45</v>
      </c>
      <c r="C1867" s="2" t="s">
        <v>4275</v>
      </c>
      <c r="D1867" s="11" t="n">
        <v>84000</v>
      </c>
      <c r="E1867" s="31" t="n">
        <v>22.3</v>
      </c>
      <c r="F1867" s="31" t="n">
        <v>33.3</v>
      </c>
      <c r="G1867" s="2"/>
      <c r="H1867" s="2" t="s">
        <v>832</v>
      </c>
    </row>
    <row r="1868" customFormat="false" ht="15" hidden="false" customHeight="false" outlineLevel="0" collapsed="false">
      <c r="A1868" s="2" t="s">
        <v>2486</v>
      </c>
      <c r="B1868" s="2" t="s">
        <v>46</v>
      </c>
      <c r="C1868" s="2" t="s">
        <v>4274</v>
      </c>
      <c r="D1868" s="11" t="n">
        <v>11760</v>
      </c>
      <c r="E1868" s="2"/>
      <c r="F1868" s="31" t="n">
        <v>62.5</v>
      </c>
      <c r="G1868" s="31" t="n">
        <v>97.5</v>
      </c>
      <c r="H1868" s="2" t="s">
        <v>832</v>
      </c>
    </row>
    <row r="1869" customFormat="false" ht="15" hidden="false" customHeight="false" outlineLevel="0" collapsed="false">
      <c r="A1869" s="2" t="s">
        <v>2486</v>
      </c>
      <c r="B1869" s="2" t="s">
        <v>46</v>
      </c>
      <c r="C1869" s="2" t="s">
        <v>4275</v>
      </c>
      <c r="D1869" s="11" t="n">
        <v>11970</v>
      </c>
      <c r="E1869" s="31" t="n">
        <v>64</v>
      </c>
      <c r="F1869" s="31" t="n">
        <v>47.3</v>
      </c>
      <c r="G1869" s="2"/>
      <c r="H1869" s="2" t="s">
        <v>832</v>
      </c>
    </row>
    <row r="1870" customFormat="false" ht="15" hidden="false" customHeight="false" outlineLevel="0" collapsed="false">
      <c r="A1870" s="2" t="s">
        <v>2486</v>
      </c>
      <c r="B1870" s="2" t="s">
        <v>47</v>
      </c>
      <c r="C1870" s="2" t="s">
        <v>4274</v>
      </c>
      <c r="D1870" s="2"/>
      <c r="E1870" s="2"/>
      <c r="F1870" s="2"/>
      <c r="G1870" s="2"/>
      <c r="H1870" s="2" t="s">
        <v>832</v>
      </c>
    </row>
    <row r="1871" customFormat="false" ht="15" hidden="false" customHeight="false" outlineLevel="0" collapsed="false">
      <c r="A1871" s="2" t="s">
        <v>2486</v>
      </c>
      <c r="B1871" s="2" t="s">
        <v>47</v>
      </c>
      <c r="C1871" s="2" t="s">
        <v>4275</v>
      </c>
      <c r="D1871" s="11" t="n">
        <v>30890</v>
      </c>
      <c r="E1871" s="31" t="n">
        <v>57.1</v>
      </c>
      <c r="F1871" s="31" t="n">
        <v>37.3</v>
      </c>
      <c r="G1871" s="31" t="n">
        <v>27.4</v>
      </c>
      <c r="H1871" s="2" t="s">
        <v>822</v>
      </c>
    </row>
    <row r="1872" customFormat="false" ht="15" hidden="false" customHeight="false" outlineLevel="0" collapsed="false">
      <c r="A1872" s="2" t="s">
        <v>1161</v>
      </c>
      <c r="B1872" s="2" t="s">
        <v>4291</v>
      </c>
      <c r="C1872" s="2" t="s">
        <v>4274</v>
      </c>
      <c r="D1872" s="2"/>
      <c r="E1872" s="31" t="n">
        <v>47</v>
      </c>
      <c r="F1872" s="31" t="n">
        <v>41.7</v>
      </c>
      <c r="G1872" s="31" t="n">
        <v>59.3</v>
      </c>
      <c r="H1872" s="2" t="s">
        <v>822</v>
      </c>
    </row>
    <row r="1873" customFormat="false" ht="15" hidden="false" customHeight="false" outlineLevel="0" collapsed="false">
      <c r="A1873" s="2" t="s">
        <v>1161</v>
      </c>
      <c r="B1873" s="2" t="s">
        <v>4291</v>
      </c>
      <c r="C1873" s="2" t="s">
        <v>4275</v>
      </c>
      <c r="D1873" s="2"/>
      <c r="E1873" s="31" t="n">
        <v>71.3</v>
      </c>
      <c r="F1873" s="31" t="n">
        <v>46.9</v>
      </c>
      <c r="G1873" s="31" t="n">
        <v>65.1</v>
      </c>
      <c r="H1873" s="2" t="s">
        <v>832</v>
      </c>
    </row>
    <row r="1874" customFormat="false" ht="15" hidden="false" customHeight="false" outlineLevel="0" collapsed="false">
      <c r="A1874" s="2" t="s">
        <v>1161</v>
      </c>
      <c r="B1874" s="2" t="s">
        <v>45</v>
      </c>
      <c r="C1874" s="2" t="s">
        <v>4274</v>
      </c>
      <c r="D1874" s="11" t="n">
        <v>266630</v>
      </c>
      <c r="E1874" s="31" t="n">
        <v>51.8</v>
      </c>
      <c r="F1874" s="31" t="n">
        <v>23.3</v>
      </c>
      <c r="G1874" s="31" t="n">
        <v>33.9</v>
      </c>
      <c r="H1874" s="2" t="s">
        <v>822</v>
      </c>
    </row>
    <row r="1875" customFormat="false" ht="15" hidden="false" customHeight="false" outlineLevel="0" collapsed="false">
      <c r="A1875" s="2" t="s">
        <v>1161</v>
      </c>
      <c r="B1875" s="2" t="s">
        <v>45</v>
      </c>
      <c r="C1875" s="2" t="s">
        <v>4275</v>
      </c>
      <c r="D1875" s="11" t="n">
        <v>273400</v>
      </c>
      <c r="E1875" s="31" t="n">
        <v>59</v>
      </c>
      <c r="F1875" s="31" t="n">
        <v>27.9</v>
      </c>
      <c r="G1875" s="31" t="n">
        <v>49.9</v>
      </c>
      <c r="H1875" s="2" t="s">
        <v>822</v>
      </c>
    </row>
    <row r="1876" customFormat="false" ht="15" hidden="false" customHeight="false" outlineLevel="0" collapsed="false">
      <c r="A1876" s="2" t="s">
        <v>1161</v>
      </c>
      <c r="B1876" s="2" t="s">
        <v>46</v>
      </c>
      <c r="C1876" s="2" t="s">
        <v>4274</v>
      </c>
      <c r="D1876" s="11" t="n">
        <v>6890</v>
      </c>
      <c r="E1876" s="31" t="n">
        <v>8.2</v>
      </c>
      <c r="F1876" s="31" t="n">
        <v>26.3</v>
      </c>
      <c r="G1876" s="31" t="n">
        <v>97.9</v>
      </c>
      <c r="H1876" s="2" t="s">
        <v>822</v>
      </c>
    </row>
    <row r="1877" customFormat="false" ht="15" hidden="false" customHeight="false" outlineLevel="0" collapsed="false">
      <c r="A1877" s="2" t="s">
        <v>1161</v>
      </c>
      <c r="B1877" s="2" t="s">
        <v>46</v>
      </c>
      <c r="C1877" s="2" t="s">
        <v>4275</v>
      </c>
      <c r="D1877" s="11" t="n">
        <v>7380</v>
      </c>
      <c r="E1877" s="2"/>
      <c r="F1877" s="31" t="n">
        <v>39.6</v>
      </c>
      <c r="G1877" s="31" t="n">
        <v>90.5</v>
      </c>
      <c r="H1877" s="2" t="s">
        <v>832</v>
      </c>
    </row>
    <row r="1878" customFormat="false" ht="15" hidden="false" customHeight="false" outlineLevel="0" collapsed="false">
      <c r="A1878" s="2" t="s">
        <v>1161</v>
      </c>
      <c r="B1878" s="2" t="s">
        <v>47</v>
      </c>
      <c r="C1878" s="2" t="s">
        <v>4274</v>
      </c>
      <c r="D1878" s="11" t="n">
        <v>45481</v>
      </c>
      <c r="E1878" s="31" t="n">
        <v>81</v>
      </c>
      <c r="F1878" s="31" t="n">
        <v>75.5</v>
      </c>
      <c r="G1878" s="31" t="n">
        <v>46</v>
      </c>
      <c r="H1878" s="2" t="s">
        <v>822</v>
      </c>
    </row>
    <row r="1879" customFormat="false" ht="15" hidden="false" customHeight="false" outlineLevel="0" collapsed="false">
      <c r="A1879" s="2" t="s">
        <v>1161</v>
      </c>
      <c r="B1879" s="2" t="s">
        <v>47</v>
      </c>
      <c r="C1879" s="2" t="s">
        <v>4275</v>
      </c>
      <c r="D1879" s="11" t="n">
        <v>48268</v>
      </c>
      <c r="E1879" s="31" t="n">
        <v>83.6</v>
      </c>
      <c r="F1879" s="31" t="n">
        <v>73.1</v>
      </c>
      <c r="G1879" s="31" t="n">
        <v>54.8</v>
      </c>
      <c r="H1879" s="2" t="s">
        <v>822</v>
      </c>
    </row>
    <row r="1880" customFormat="false" ht="15" hidden="false" customHeight="false" outlineLevel="0" collapsed="false">
      <c r="A1880" s="2" t="s">
        <v>2566</v>
      </c>
      <c r="B1880" s="2" t="s">
        <v>4291</v>
      </c>
      <c r="C1880" s="2" t="s">
        <v>4274</v>
      </c>
      <c r="D1880" s="2"/>
      <c r="E1880" s="31" t="n">
        <v>26.3</v>
      </c>
      <c r="F1880" s="31" t="n">
        <v>98.6</v>
      </c>
      <c r="G1880" s="31" t="n">
        <v>30.7</v>
      </c>
      <c r="H1880" s="2" t="s">
        <v>832</v>
      </c>
    </row>
    <row r="1881" customFormat="false" ht="15" hidden="false" customHeight="false" outlineLevel="0" collapsed="false">
      <c r="A1881" s="2" t="s">
        <v>2566</v>
      </c>
      <c r="B1881" s="2" t="s">
        <v>4291</v>
      </c>
      <c r="C1881" s="2" t="s">
        <v>4275</v>
      </c>
      <c r="D1881" s="2"/>
      <c r="E1881" s="31" t="n">
        <v>22.9</v>
      </c>
      <c r="F1881" s="31" t="n">
        <v>95.3</v>
      </c>
      <c r="G1881" s="31" t="n">
        <v>47.9</v>
      </c>
      <c r="H1881" s="2" t="s">
        <v>832</v>
      </c>
    </row>
    <row r="1882" customFormat="false" ht="15" hidden="false" customHeight="false" outlineLevel="0" collapsed="false">
      <c r="A1882" s="2" t="s">
        <v>2566</v>
      </c>
      <c r="B1882" s="2" t="s">
        <v>45</v>
      </c>
      <c r="C1882" s="2" t="s">
        <v>4274</v>
      </c>
      <c r="D1882" s="11" t="n">
        <v>19394</v>
      </c>
      <c r="E1882" s="31" t="n">
        <v>15.5</v>
      </c>
      <c r="F1882" s="31" t="n">
        <v>99.6</v>
      </c>
      <c r="G1882" s="31" t="n">
        <v>7.6</v>
      </c>
      <c r="H1882" s="2" t="s">
        <v>822</v>
      </c>
    </row>
    <row r="1883" customFormat="false" ht="15" hidden="false" customHeight="false" outlineLevel="0" collapsed="false">
      <c r="A1883" s="2" t="s">
        <v>2566</v>
      </c>
      <c r="B1883" s="2" t="s">
        <v>45</v>
      </c>
      <c r="C1883" s="2" t="s">
        <v>4275</v>
      </c>
      <c r="D1883" s="11" t="n">
        <v>20980</v>
      </c>
      <c r="E1883" s="31" t="n">
        <v>18.1</v>
      </c>
      <c r="F1883" s="31" t="n">
        <v>93.1</v>
      </c>
      <c r="G1883" s="2"/>
      <c r="H1883" s="2" t="s">
        <v>832</v>
      </c>
    </row>
    <row r="1884" customFormat="false" ht="15" hidden="false" customHeight="false" outlineLevel="0" collapsed="false">
      <c r="A1884" s="2" t="s">
        <v>2566</v>
      </c>
      <c r="B1884" s="2" t="s">
        <v>46</v>
      </c>
      <c r="C1884" s="2" t="s">
        <v>4274</v>
      </c>
      <c r="D1884" s="11" t="n">
        <v>11280</v>
      </c>
      <c r="E1884" s="31" t="n">
        <v>4.7</v>
      </c>
      <c r="F1884" s="2"/>
      <c r="G1884" s="31" t="n">
        <v>17.4</v>
      </c>
      <c r="H1884" s="2" t="s">
        <v>832</v>
      </c>
    </row>
    <row r="1885" customFormat="false" ht="15" hidden="false" customHeight="false" outlineLevel="0" collapsed="false">
      <c r="A1885" s="2" t="s">
        <v>2566</v>
      </c>
      <c r="B1885" s="2" t="s">
        <v>46</v>
      </c>
      <c r="C1885" s="2" t="s">
        <v>4275</v>
      </c>
      <c r="D1885" s="11" t="n">
        <v>10980</v>
      </c>
      <c r="E1885" s="31" t="n">
        <v>3.7</v>
      </c>
      <c r="F1885" s="2"/>
      <c r="G1885" s="31" t="n">
        <v>22.3</v>
      </c>
      <c r="H1885" s="2" t="s">
        <v>832</v>
      </c>
    </row>
    <row r="1886" customFormat="false" ht="15" hidden="false" customHeight="false" outlineLevel="0" collapsed="false">
      <c r="A1886" s="2" t="s">
        <v>2566</v>
      </c>
      <c r="B1886" s="2" t="s">
        <v>47</v>
      </c>
      <c r="C1886" s="2" t="s">
        <v>4274</v>
      </c>
      <c r="D1886" s="11" t="n">
        <v>107460</v>
      </c>
      <c r="E1886" s="31" t="n">
        <v>58.7</v>
      </c>
      <c r="F1886" s="31" t="n">
        <v>97.5</v>
      </c>
      <c r="G1886" s="31" t="n">
        <v>67</v>
      </c>
      <c r="H1886" s="2" t="s">
        <v>822</v>
      </c>
    </row>
    <row r="1887" customFormat="false" ht="15" hidden="false" customHeight="false" outlineLevel="0" collapsed="false">
      <c r="A1887" s="2" t="s">
        <v>2566</v>
      </c>
      <c r="B1887" s="2" t="s">
        <v>47</v>
      </c>
      <c r="C1887" s="2" t="s">
        <v>4275</v>
      </c>
      <c r="D1887" s="11" t="n">
        <v>115475</v>
      </c>
      <c r="E1887" s="31" t="n">
        <v>46.9</v>
      </c>
      <c r="F1887" s="31" t="n">
        <v>97.5</v>
      </c>
      <c r="G1887" s="31" t="n">
        <v>73.5</v>
      </c>
      <c r="H1887" s="2" t="s">
        <v>822</v>
      </c>
    </row>
    <row r="1888" customFormat="false" ht="15" hidden="false" customHeight="false" outlineLevel="0" collapsed="false">
      <c r="A1888" s="2" t="s">
        <v>448</v>
      </c>
      <c r="B1888" s="2" t="s">
        <v>4291</v>
      </c>
      <c r="C1888" s="2" t="s">
        <v>4274</v>
      </c>
      <c r="D1888" s="2"/>
      <c r="E1888" s="31" t="n">
        <v>48.9</v>
      </c>
      <c r="F1888" s="31" t="n">
        <v>48.1</v>
      </c>
      <c r="G1888" s="31" t="n">
        <v>40.4</v>
      </c>
      <c r="H1888" s="2" t="s">
        <v>822</v>
      </c>
    </row>
    <row r="1889" customFormat="false" ht="15" hidden="false" customHeight="false" outlineLevel="0" collapsed="false">
      <c r="A1889" s="2" t="s">
        <v>448</v>
      </c>
      <c r="B1889" s="2" t="s">
        <v>4291</v>
      </c>
      <c r="C1889" s="2" t="s">
        <v>4275</v>
      </c>
      <c r="D1889" s="2"/>
      <c r="E1889" s="31" t="n">
        <v>52.1</v>
      </c>
      <c r="F1889" s="31" t="n">
        <v>51.8</v>
      </c>
      <c r="G1889" s="31" t="n">
        <v>31.8</v>
      </c>
      <c r="H1889" s="2" t="s">
        <v>822</v>
      </c>
    </row>
    <row r="1890" customFormat="false" ht="15" hidden="false" customHeight="false" outlineLevel="0" collapsed="false">
      <c r="A1890" s="2" t="s">
        <v>448</v>
      </c>
      <c r="B1890" s="2" t="s">
        <v>45</v>
      </c>
      <c r="C1890" s="2" t="s">
        <v>4274</v>
      </c>
      <c r="D1890" s="11" t="n">
        <v>20410</v>
      </c>
      <c r="E1890" s="31" t="n">
        <v>26.1</v>
      </c>
      <c r="F1890" s="31" t="n">
        <v>59.1</v>
      </c>
      <c r="G1890" s="31" t="n">
        <v>16.1</v>
      </c>
      <c r="H1890" s="2" t="s">
        <v>822</v>
      </c>
    </row>
    <row r="1891" customFormat="false" ht="15" hidden="false" customHeight="false" outlineLevel="0" collapsed="false">
      <c r="A1891" s="2" t="s">
        <v>448</v>
      </c>
      <c r="B1891" s="2" t="s">
        <v>45</v>
      </c>
      <c r="C1891" s="2" t="s">
        <v>4275</v>
      </c>
      <c r="D1891" s="11" t="n">
        <v>21060</v>
      </c>
      <c r="E1891" s="31" t="n">
        <v>54.8</v>
      </c>
      <c r="F1891" s="31" t="n">
        <v>76.6</v>
      </c>
      <c r="G1891" s="31" t="n">
        <v>5.8</v>
      </c>
      <c r="H1891" s="2" t="s">
        <v>822</v>
      </c>
    </row>
    <row r="1892" customFormat="false" ht="15" hidden="false" customHeight="false" outlineLevel="0" collapsed="false">
      <c r="A1892" s="2" t="s">
        <v>448</v>
      </c>
      <c r="B1892" s="2" t="s">
        <v>46</v>
      </c>
      <c r="C1892" s="2" t="s">
        <v>4274</v>
      </c>
      <c r="D1892" s="11" t="n">
        <v>55630</v>
      </c>
      <c r="E1892" s="31" t="n">
        <v>28.8</v>
      </c>
      <c r="F1892" s="31" t="n">
        <v>13.1</v>
      </c>
      <c r="G1892" s="31" t="n">
        <v>71.7</v>
      </c>
      <c r="H1892" s="2" t="s">
        <v>822</v>
      </c>
    </row>
    <row r="1893" customFormat="false" ht="15" hidden="false" customHeight="false" outlineLevel="0" collapsed="false">
      <c r="A1893" s="2" t="s">
        <v>448</v>
      </c>
      <c r="B1893" s="2" t="s">
        <v>46</v>
      </c>
      <c r="C1893" s="2" t="s">
        <v>4275</v>
      </c>
      <c r="D1893" s="11" t="n">
        <v>56480</v>
      </c>
      <c r="E1893" s="31" t="n">
        <v>11.8</v>
      </c>
      <c r="F1893" s="31" t="n">
        <v>20</v>
      </c>
      <c r="G1893" s="31" t="n">
        <v>46.8</v>
      </c>
      <c r="H1893" s="2" t="s">
        <v>822</v>
      </c>
    </row>
    <row r="1894" customFormat="false" ht="15" hidden="false" customHeight="false" outlineLevel="0" collapsed="false">
      <c r="A1894" s="2" t="s">
        <v>448</v>
      </c>
      <c r="B1894" s="2" t="s">
        <v>47</v>
      </c>
      <c r="C1894" s="2" t="s">
        <v>4274</v>
      </c>
      <c r="D1894" s="11" t="n">
        <v>8145</v>
      </c>
      <c r="E1894" s="31" t="n">
        <v>91.9</v>
      </c>
      <c r="F1894" s="31" t="n">
        <v>72.2</v>
      </c>
      <c r="G1894" s="31" t="n">
        <v>33.5</v>
      </c>
      <c r="H1894" s="2" t="s">
        <v>822</v>
      </c>
    </row>
    <row r="1895" customFormat="false" ht="15" hidden="false" customHeight="false" outlineLevel="0" collapsed="false">
      <c r="A1895" s="2" t="s">
        <v>448</v>
      </c>
      <c r="B1895" s="2" t="s">
        <v>47</v>
      </c>
      <c r="C1895" s="2" t="s">
        <v>4275</v>
      </c>
      <c r="D1895" s="11" t="n">
        <v>8390</v>
      </c>
      <c r="E1895" s="31" t="n">
        <v>89.6</v>
      </c>
      <c r="F1895" s="31" t="n">
        <v>58.8</v>
      </c>
      <c r="G1895" s="31" t="n">
        <v>42.7</v>
      </c>
      <c r="H1895" s="2" t="s">
        <v>822</v>
      </c>
    </row>
    <row r="1896" customFormat="false" ht="15" hidden="false" customHeight="false" outlineLevel="0" collapsed="false">
      <c r="A1896" s="2" t="s">
        <v>618</v>
      </c>
      <c r="B1896" s="2" t="s">
        <v>4291</v>
      </c>
      <c r="C1896" s="2" t="s">
        <v>4274</v>
      </c>
      <c r="D1896" s="2"/>
      <c r="E1896" s="31" t="n">
        <v>63.5</v>
      </c>
      <c r="F1896" s="31" t="n">
        <v>72.9</v>
      </c>
      <c r="G1896" s="31" t="n">
        <v>97.9</v>
      </c>
      <c r="H1896" s="2" t="s">
        <v>822</v>
      </c>
    </row>
    <row r="1897" customFormat="false" ht="15" hidden="false" customHeight="false" outlineLevel="0" collapsed="false">
      <c r="A1897" s="2" t="s">
        <v>618</v>
      </c>
      <c r="B1897" s="2" t="s">
        <v>4291</v>
      </c>
      <c r="C1897" s="2" t="s">
        <v>4275</v>
      </c>
      <c r="D1897" s="2"/>
      <c r="E1897" s="31" t="n">
        <v>37.9</v>
      </c>
      <c r="F1897" s="31" t="n">
        <v>33.4</v>
      </c>
      <c r="G1897" s="31" t="n">
        <v>98.4</v>
      </c>
      <c r="H1897" s="2" t="s">
        <v>822</v>
      </c>
    </row>
    <row r="1898" customFormat="false" ht="15" hidden="false" customHeight="false" outlineLevel="0" collapsed="false">
      <c r="A1898" s="2" t="s">
        <v>618</v>
      </c>
      <c r="B1898" s="2" t="s">
        <v>47</v>
      </c>
      <c r="C1898" s="2" t="s">
        <v>4274</v>
      </c>
      <c r="D1898" s="11" t="n">
        <v>60457</v>
      </c>
      <c r="E1898" s="31" t="n">
        <v>63.5</v>
      </c>
      <c r="F1898" s="31" t="n">
        <v>72.9</v>
      </c>
      <c r="G1898" s="31" t="n">
        <v>97.9</v>
      </c>
      <c r="H1898" s="2" t="s">
        <v>822</v>
      </c>
    </row>
    <row r="1899" customFormat="false" ht="15" hidden="false" customHeight="false" outlineLevel="0" collapsed="false">
      <c r="A1899" s="2" t="s">
        <v>618</v>
      </c>
      <c r="B1899" s="2" t="s">
        <v>47</v>
      </c>
      <c r="C1899" s="2" t="s">
        <v>4275</v>
      </c>
      <c r="D1899" s="11" t="n">
        <v>64629</v>
      </c>
      <c r="E1899" s="31" t="n">
        <v>37.9</v>
      </c>
      <c r="F1899" s="31" t="n">
        <v>33.4</v>
      </c>
      <c r="G1899" s="31" t="n">
        <v>98.4</v>
      </c>
      <c r="H1899" s="2" t="s">
        <v>822</v>
      </c>
    </row>
    <row r="1900" customFormat="false" ht="15" hidden="false" customHeight="false" outlineLevel="0" collapsed="false">
      <c r="A1900" s="2" t="s">
        <v>3061</v>
      </c>
      <c r="B1900" s="2" t="s">
        <v>4291</v>
      </c>
      <c r="C1900" s="2" t="s">
        <v>4274</v>
      </c>
      <c r="D1900" s="2"/>
      <c r="E1900" s="31" t="n">
        <v>49.8</v>
      </c>
      <c r="F1900" s="31" t="n">
        <v>65.2</v>
      </c>
      <c r="G1900" s="31" t="n">
        <v>33</v>
      </c>
      <c r="H1900" s="2" t="s">
        <v>822</v>
      </c>
    </row>
    <row r="1901" customFormat="false" ht="15" hidden="false" customHeight="false" outlineLevel="0" collapsed="false">
      <c r="A1901" s="2" t="s">
        <v>3061</v>
      </c>
      <c r="B1901" s="2" t="s">
        <v>4291</v>
      </c>
      <c r="C1901" s="2" t="s">
        <v>4275</v>
      </c>
      <c r="D1901" s="2"/>
      <c r="E1901" s="31" t="n">
        <v>49.6</v>
      </c>
      <c r="F1901" s="31" t="n">
        <v>21.7</v>
      </c>
      <c r="G1901" s="31" t="n">
        <v>22.6</v>
      </c>
      <c r="H1901" s="2" t="s">
        <v>832</v>
      </c>
    </row>
    <row r="1902" customFormat="false" ht="15" hidden="false" customHeight="false" outlineLevel="0" collapsed="false">
      <c r="A1902" s="2" t="s">
        <v>3061</v>
      </c>
      <c r="B1902" s="2" t="s">
        <v>45</v>
      </c>
      <c r="C1902" s="2" t="s">
        <v>4274</v>
      </c>
      <c r="D1902" s="11" t="n">
        <v>2870</v>
      </c>
      <c r="E1902" s="31" t="n">
        <v>21</v>
      </c>
      <c r="F1902" s="31" t="n">
        <v>98.4</v>
      </c>
      <c r="G1902" s="31" t="n">
        <v>47.1</v>
      </c>
      <c r="H1902" s="2" t="s">
        <v>822</v>
      </c>
    </row>
    <row r="1903" customFormat="false" ht="15" hidden="false" customHeight="false" outlineLevel="0" collapsed="false">
      <c r="A1903" s="2" t="s">
        <v>3061</v>
      </c>
      <c r="B1903" s="2" t="s">
        <v>45</v>
      </c>
      <c r="C1903" s="2" t="s">
        <v>4275</v>
      </c>
      <c r="D1903" s="11" t="n">
        <v>3060</v>
      </c>
      <c r="E1903" s="31" t="n">
        <v>16.8</v>
      </c>
      <c r="F1903" s="2"/>
      <c r="G1903" s="31" t="n">
        <v>22.6</v>
      </c>
      <c r="H1903" s="2" t="s">
        <v>832</v>
      </c>
    </row>
    <row r="1904" customFormat="false" ht="15" hidden="false" customHeight="false" outlineLevel="0" collapsed="false">
      <c r="A1904" s="2" t="s">
        <v>3061</v>
      </c>
      <c r="B1904" s="2" t="s">
        <v>46</v>
      </c>
      <c r="C1904" s="2" t="s">
        <v>4274</v>
      </c>
      <c r="D1904" s="11" t="n">
        <v>102286</v>
      </c>
      <c r="E1904" s="31" t="n">
        <v>78.7</v>
      </c>
      <c r="F1904" s="31" t="n">
        <v>32.1</v>
      </c>
      <c r="G1904" s="31" t="n">
        <v>18.9</v>
      </c>
      <c r="H1904" s="2" t="s">
        <v>822</v>
      </c>
    </row>
    <row r="1905" customFormat="false" ht="15" hidden="false" customHeight="false" outlineLevel="0" collapsed="false">
      <c r="A1905" s="2" t="s">
        <v>3061</v>
      </c>
      <c r="B1905" s="2" t="s">
        <v>46</v>
      </c>
      <c r="C1905" s="2" t="s">
        <v>4275</v>
      </c>
      <c r="D1905" s="11" t="n">
        <v>106269</v>
      </c>
      <c r="E1905" s="31" t="n">
        <v>82.3</v>
      </c>
      <c r="F1905" s="31" t="n">
        <v>21.7</v>
      </c>
      <c r="G1905" s="2"/>
      <c r="H1905" s="2" t="s">
        <v>832</v>
      </c>
    </row>
    <row r="1906" customFormat="false" ht="15" hidden="false" customHeight="false" outlineLevel="0" collapsed="false">
      <c r="A1906" s="2" t="s">
        <v>260</v>
      </c>
      <c r="B1906" s="2" t="s">
        <v>4291</v>
      </c>
      <c r="C1906" s="2" t="s">
        <v>4274</v>
      </c>
      <c r="D1906" s="2"/>
      <c r="E1906" s="31" t="n">
        <v>73</v>
      </c>
      <c r="F1906" s="31" t="n">
        <v>25.9</v>
      </c>
      <c r="G1906" s="31" t="n">
        <v>25.2</v>
      </c>
      <c r="H1906" s="2" t="s">
        <v>822</v>
      </c>
    </row>
    <row r="1907" customFormat="false" ht="15" hidden="false" customHeight="false" outlineLevel="0" collapsed="false">
      <c r="A1907" s="2" t="s">
        <v>260</v>
      </c>
      <c r="B1907" s="2" t="s">
        <v>4291</v>
      </c>
      <c r="C1907" s="2" t="s">
        <v>4275</v>
      </c>
      <c r="D1907" s="2"/>
      <c r="E1907" s="31" t="n">
        <v>66.8</v>
      </c>
      <c r="F1907" s="31" t="n">
        <v>7.5</v>
      </c>
      <c r="G1907" s="31" t="n">
        <v>46.6</v>
      </c>
      <c r="H1907" s="2" t="s">
        <v>822</v>
      </c>
    </row>
    <row r="1908" customFormat="false" ht="15" hidden="false" customHeight="false" outlineLevel="0" collapsed="false">
      <c r="A1908" s="2" t="s">
        <v>260</v>
      </c>
      <c r="B1908" s="2" t="s">
        <v>47</v>
      </c>
      <c r="C1908" s="2" t="s">
        <v>4274</v>
      </c>
      <c r="D1908" s="11" t="n">
        <v>642547</v>
      </c>
      <c r="E1908" s="31" t="n">
        <v>73</v>
      </c>
      <c r="F1908" s="31" t="n">
        <v>25.9</v>
      </c>
      <c r="G1908" s="31" t="n">
        <v>25.2</v>
      </c>
      <c r="H1908" s="2" t="s">
        <v>822</v>
      </c>
    </row>
    <row r="1909" customFormat="false" ht="15" hidden="false" customHeight="false" outlineLevel="0" collapsed="false">
      <c r="A1909" s="2" t="s">
        <v>260</v>
      </c>
      <c r="B1909" s="2" t="s">
        <v>47</v>
      </c>
      <c r="C1909" s="2" t="s">
        <v>4275</v>
      </c>
      <c r="D1909" s="11" t="n">
        <v>656872</v>
      </c>
      <c r="E1909" s="31" t="n">
        <v>66.8</v>
      </c>
      <c r="F1909" s="31" t="n">
        <v>7.5</v>
      </c>
      <c r="G1909" s="31" t="n">
        <v>46.6</v>
      </c>
      <c r="H1909" s="2" t="s">
        <v>822</v>
      </c>
    </row>
    <row r="1910" customFormat="false" ht="15" hidden="false" customHeight="false" outlineLevel="0" collapsed="false">
      <c r="A1910" s="2" t="s">
        <v>918</v>
      </c>
      <c r="B1910" s="2" t="s">
        <v>4291</v>
      </c>
      <c r="C1910" s="2" t="s">
        <v>4274</v>
      </c>
      <c r="D1910" s="2"/>
      <c r="E1910" s="31" t="n">
        <v>61.4</v>
      </c>
      <c r="F1910" s="31" t="n">
        <v>15.1</v>
      </c>
      <c r="G1910" s="31" t="n">
        <v>22.4</v>
      </c>
      <c r="H1910" s="2" t="s">
        <v>832</v>
      </c>
    </row>
    <row r="1911" customFormat="false" ht="15" hidden="false" customHeight="false" outlineLevel="0" collapsed="false">
      <c r="A1911" s="2" t="s">
        <v>918</v>
      </c>
      <c r="B1911" s="2" t="s">
        <v>4291</v>
      </c>
      <c r="C1911" s="2" t="s">
        <v>4275</v>
      </c>
      <c r="D1911" s="2"/>
      <c r="E1911" s="31" t="n">
        <v>47.6</v>
      </c>
      <c r="F1911" s="31" t="n">
        <v>46.6</v>
      </c>
      <c r="G1911" s="31" t="n">
        <v>9.6</v>
      </c>
      <c r="H1911" s="2" t="s">
        <v>832</v>
      </c>
    </row>
    <row r="1912" customFormat="false" ht="15" hidden="false" customHeight="false" outlineLevel="0" collapsed="false">
      <c r="A1912" s="2" t="s">
        <v>918</v>
      </c>
      <c r="B1912" s="2" t="s">
        <v>45</v>
      </c>
      <c r="C1912" s="2" t="s">
        <v>4274</v>
      </c>
      <c r="D1912" s="11" t="n">
        <v>74670</v>
      </c>
      <c r="E1912" s="31" t="n">
        <v>80.3</v>
      </c>
      <c r="F1912" s="31" t="n">
        <v>7.7</v>
      </c>
      <c r="G1912" s="31" t="n">
        <v>2</v>
      </c>
      <c r="H1912" s="2" t="s">
        <v>822</v>
      </c>
    </row>
    <row r="1913" customFormat="false" ht="15" hidden="false" customHeight="false" outlineLevel="0" collapsed="false">
      <c r="A1913" s="2" t="s">
        <v>918</v>
      </c>
      <c r="B1913" s="2" t="s">
        <v>45</v>
      </c>
      <c r="C1913" s="2" t="s">
        <v>4275</v>
      </c>
      <c r="D1913" s="11" t="n">
        <v>75760</v>
      </c>
      <c r="E1913" s="31" t="n">
        <v>89</v>
      </c>
      <c r="F1913" s="31" t="n">
        <v>59.1</v>
      </c>
      <c r="G1913" s="31" t="n">
        <v>15.4</v>
      </c>
      <c r="H1913" s="2" t="s">
        <v>822</v>
      </c>
    </row>
    <row r="1914" customFormat="false" ht="15" hidden="false" customHeight="false" outlineLevel="0" collapsed="false">
      <c r="A1914" s="2" t="s">
        <v>918</v>
      </c>
      <c r="B1914" s="2" t="s">
        <v>46</v>
      </c>
      <c r="C1914" s="2" t="s">
        <v>4274</v>
      </c>
      <c r="D1914" s="2"/>
      <c r="E1914" s="2"/>
      <c r="F1914" s="2"/>
      <c r="G1914" s="2"/>
      <c r="H1914" s="2" t="s">
        <v>832</v>
      </c>
    </row>
    <row r="1915" customFormat="false" ht="15" hidden="false" customHeight="false" outlineLevel="0" collapsed="false">
      <c r="A1915" s="2" t="s">
        <v>918</v>
      </c>
      <c r="B1915" s="2" t="s">
        <v>46</v>
      </c>
      <c r="C1915" s="2" t="s">
        <v>4275</v>
      </c>
      <c r="D1915" s="11" t="n">
        <v>47590</v>
      </c>
      <c r="E1915" s="31" t="n">
        <v>33.2</v>
      </c>
      <c r="F1915" s="31" t="n">
        <v>49.5</v>
      </c>
      <c r="G1915" s="31" t="n">
        <v>3.8</v>
      </c>
      <c r="H1915" s="2" t="s">
        <v>822</v>
      </c>
    </row>
    <row r="1916" customFormat="false" ht="15" hidden="false" customHeight="false" outlineLevel="0" collapsed="false">
      <c r="A1916" s="2" t="s">
        <v>918</v>
      </c>
      <c r="B1916" s="2" t="s">
        <v>47</v>
      </c>
      <c r="C1916" s="2" t="s">
        <v>4274</v>
      </c>
      <c r="D1916" s="11" t="n">
        <v>55268</v>
      </c>
      <c r="E1916" s="31" t="n">
        <v>42.6</v>
      </c>
      <c r="F1916" s="31" t="n">
        <v>22.5</v>
      </c>
      <c r="G1916" s="31" t="n">
        <v>42.7</v>
      </c>
      <c r="H1916" s="2" t="s">
        <v>822</v>
      </c>
    </row>
    <row r="1917" customFormat="false" ht="15" hidden="false" customHeight="false" outlineLevel="0" collapsed="false">
      <c r="A1917" s="2" t="s">
        <v>918</v>
      </c>
      <c r="B1917" s="2" t="s">
        <v>47</v>
      </c>
      <c r="C1917" s="2" t="s">
        <v>4275</v>
      </c>
      <c r="D1917" s="11" t="n">
        <v>57124</v>
      </c>
      <c r="E1917" s="31" t="n">
        <v>20.6</v>
      </c>
      <c r="F1917" s="31" t="n">
        <v>31.2</v>
      </c>
      <c r="G1917" s="2"/>
      <c r="H1917" s="2" t="s">
        <v>832</v>
      </c>
    </row>
    <row r="1918" customFormat="false" ht="15" hidden="false" customHeight="false" outlineLevel="0" collapsed="false">
      <c r="A1918" s="2" t="s">
        <v>778</v>
      </c>
      <c r="B1918" s="2" t="s">
        <v>4291</v>
      </c>
      <c r="C1918" s="2" t="s">
        <v>4274</v>
      </c>
      <c r="D1918" s="2"/>
      <c r="E1918" s="31" t="n">
        <v>15.2</v>
      </c>
      <c r="F1918" s="31" t="n">
        <v>9.5</v>
      </c>
      <c r="G1918" s="31" t="n">
        <v>24</v>
      </c>
      <c r="H1918" s="2" t="s">
        <v>822</v>
      </c>
    </row>
    <row r="1919" customFormat="false" ht="15" hidden="false" customHeight="false" outlineLevel="0" collapsed="false">
      <c r="A1919" s="2" t="s">
        <v>778</v>
      </c>
      <c r="B1919" s="2" t="s">
        <v>4291</v>
      </c>
      <c r="C1919" s="2" t="s">
        <v>4275</v>
      </c>
      <c r="D1919" s="2"/>
      <c r="E1919" s="31" t="n">
        <v>16.4</v>
      </c>
      <c r="F1919" s="31" t="n">
        <v>4.2</v>
      </c>
      <c r="G1919" s="31" t="n">
        <v>39.4</v>
      </c>
      <c r="H1919" s="2" t="s">
        <v>822</v>
      </c>
    </row>
    <row r="1920" customFormat="false" ht="15" hidden="false" customHeight="false" outlineLevel="0" collapsed="false">
      <c r="A1920" s="2" t="s">
        <v>778</v>
      </c>
      <c r="B1920" s="2" t="s">
        <v>47</v>
      </c>
      <c r="C1920" s="2" t="s">
        <v>4274</v>
      </c>
      <c r="D1920" s="11" t="n">
        <v>13384</v>
      </c>
      <c r="E1920" s="31" t="n">
        <v>15.2</v>
      </c>
      <c r="F1920" s="31" t="n">
        <v>9.5</v>
      </c>
      <c r="G1920" s="31" t="n">
        <v>24</v>
      </c>
      <c r="H1920" s="2" t="s">
        <v>822</v>
      </c>
    </row>
    <row r="1921" customFormat="false" ht="15" hidden="false" customHeight="false" outlineLevel="0" collapsed="false">
      <c r="A1921" s="2" t="s">
        <v>778</v>
      </c>
      <c r="B1921" s="2" t="s">
        <v>47</v>
      </c>
      <c r="C1921" s="2" t="s">
        <v>4275</v>
      </c>
      <c r="D1921" s="11" t="n">
        <v>13378</v>
      </c>
      <c r="E1921" s="31" t="n">
        <v>16.4</v>
      </c>
      <c r="F1921" s="31" t="n">
        <v>4.2</v>
      </c>
      <c r="G1921" s="31" t="n">
        <v>39.4</v>
      </c>
      <c r="H1921" s="2" t="s">
        <v>822</v>
      </c>
    </row>
    <row r="1922" customFormat="false" ht="15" hidden="false" customHeight="false" outlineLevel="0" collapsed="false">
      <c r="A1922" s="2" t="s">
        <v>274</v>
      </c>
      <c r="B1922" s="2" t="s">
        <v>4291</v>
      </c>
      <c r="C1922" s="2" t="s">
        <v>4274</v>
      </c>
      <c r="D1922" s="2"/>
      <c r="E1922" s="31" t="n">
        <v>60.8</v>
      </c>
      <c r="F1922" s="31" t="n">
        <v>57.8</v>
      </c>
      <c r="G1922" s="31" t="n">
        <v>46.8</v>
      </c>
      <c r="H1922" s="2" t="s">
        <v>822</v>
      </c>
    </row>
    <row r="1923" customFormat="false" ht="15" hidden="false" customHeight="false" outlineLevel="0" collapsed="false">
      <c r="A1923" s="2" t="s">
        <v>274</v>
      </c>
      <c r="B1923" s="2" t="s">
        <v>4291</v>
      </c>
      <c r="C1923" s="2" t="s">
        <v>4275</v>
      </c>
      <c r="D1923" s="2"/>
      <c r="E1923" s="31" t="n">
        <v>65.4</v>
      </c>
      <c r="F1923" s="31" t="n">
        <v>58.1</v>
      </c>
      <c r="G1923" s="31" t="n">
        <v>41.8</v>
      </c>
      <c r="H1923" s="2" t="s">
        <v>822</v>
      </c>
    </row>
    <row r="1924" customFormat="false" ht="15" hidden="false" customHeight="false" outlineLevel="0" collapsed="false">
      <c r="A1924" s="2" t="s">
        <v>274</v>
      </c>
      <c r="B1924" s="2" t="s">
        <v>45</v>
      </c>
      <c r="C1924" s="2" t="s">
        <v>4274</v>
      </c>
      <c r="D1924" s="11" t="n">
        <v>39877</v>
      </c>
      <c r="E1924" s="31" t="n">
        <v>37.4</v>
      </c>
      <c r="F1924" s="31" t="n">
        <v>85.8</v>
      </c>
      <c r="G1924" s="31" t="n">
        <v>36.8</v>
      </c>
      <c r="H1924" s="2" t="s">
        <v>822</v>
      </c>
    </row>
    <row r="1925" customFormat="false" ht="15" hidden="false" customHeight="false" outlineLevel="0" collapsed="false">
      <c r="A1925" s="2" t="s">
        <v>274</v>
      </c>
      <c r="B1925" s="2" t="s">
        <v>45</v>
      </c>
      <c r="C1925" s="2" t="s">
        <v>4275</v>
      </c>
      <c r="D1925" s="11" t="n">
        <v>42310</v>
      </c>
      <c r="E1925" s="31" t="n">
        <v>52.9</v>
      </c>
      <c r="F1925" s="31" t="n">
        <v>96.9</v>
      </c>
      <c r="G1925" s="31" t="n">
        <v>71.6</v>
      </c>
      <c r="H1925" s="2" t="s">
        <v>822</v>
      </c>
    </row>
    <row r="1926" customFormat="false" ht="15" hidden="false" customHeight="false" outlineLevel="0" collapsed="false">
      <c r="A1926" s="2" t="s">
        <v>274</v>
      </c>
      <c r="B1926" s="2" t="s">
        <v>46</v>
      </c>
      <c r="C1926" s="2" t="s">
        <v>4274</v>
      </c>
      <c r="D1926" s="11" t="n">
        <v>835251</v>
      </c>
      <c r="E1926" s="31" t="n">
        <v>97.7</v>
      </c>
      <c r="F1926" s="31" t="n">
        <v>46.8</v>
      </c>
      <c r="G1926" s="31" t="n">
        <v>35.2</v>
      </c>
      <c r="H1926" s="2" t="s">
        <v>822</v>
      </c>
    </row>
    <row r="1927" customFormat="false" ht="15" hidden="false" customHeight="false" outlineLevel="0" collapsed="false">
      <c r="A1927" s="2" t="s">
        <v>274</v>
      </c>
      <c r="B1927" s="2" t="s">
        <v>46</v>
      </c>
      <c r="C1927" s="2" t="s">
        <v>4275</v>
      </c>
      <c r="D1927" s="11" t="n">
        <v>844210</v>
      </c>
      <c r="E1927" s="31" t="n">
        <v>98.6</v>
      </c>
      <c r="F1927" s="31" t="n">
        <v>35.7</v>
      </c>
      <c r="G1927" s="31" t="n">
        <v>13.7</v>
      </c>
      <c r="H1927" s="2" t="s">
        <v>822</v>
      </c>
    </row>
    <row r="1928" customFormat="false" ht="15" hidden="false" customHeight="false" outlineLevel="0" collapsed="false">
      <c r="A1928" s="2" t="s">
        <v>274</v>
      </c>
      <c r="B1928" s="2" t="s">
        <v>47</v>
      </c>
      <c r="C1928" s="2" t="s">
        <v>4274</v>
      </c>
      <c r="D1928" s="11" t="n">
        <v>308206</v>
      </c>
      <c r="E1928" s="31" t="n">
        <v>47.4</v>
      </c>
      <c r="F1928" s="31" t="n">
        <v>40.7</v>
      </c>
      <c r="G1928" s="31" t="n">
        <v>68.4</v>
      </c>
      <c r="H1928" s="2" t="s">
        <v>822</v>
      </c>
    </row>
    <row r="1929" customFormat="false" ht="15" hidden="false" customHeight="false" outlineLevel="0" collapsed="false">
      <c r="A1929" s="2" t="s">
        <v>274</v>
      </c>
      <c r="B1929" s="2" t="s">
        <v>47</v>
      </c>
      <c r="C1929" s="2" t="s">
        <v>4275</v>
      </c>
      <c r="D1929" s="11" t="n">
        <v>313608</v>
      </c>
      <c r="E1929" s="31" t="n">
        <v>44.6</v>
      </c>
      <c r="F1929" s="31" t="n">
        <v>41.6</v>
      </c>
      <c r="G1929" s="31" t="n">
        <v>40</v>
      </c>
      <c r="H1929" s="2" t="s">
        <v>822</v>
      </c>
    </row>
    <row r="1930" customFormat="false" ht="15" hidden="false" customHeight="false" outlineLevel="0" collapsed="false">
      <c r="A1930" s="2" t="s">
        <v>522</v>
      </c>
      <c r="B1930" s="2" t="s">
        <v>4291</v>
      </c>
      <c r="C1930" s="2" t="s">
        <v>4274</v>
      </c>
      <c r="D1930" s="2"/>
      <c r="E1930" s="31" t="n">
        <v>60.6</v>
      </c>
      <c r="F1930" s="31" t="n">
        <v>32.4</v>
      </c>
      <c r="G1930" s="31" t="n">
        <v>49.1</v>
      </c>
      <c r="H1930" s="2" t="s">
        <v>832</v>
      </c>
    </row>
    <row r="1931" customFormat="false" ht="15" hidden="false" customHeight="false" outlineLevel="0" collapsed="false">
      <c r="A1931" s="2" t="s">
        <v>522</v>
      </c>
      <c r="B1931" s="2" t="s">
        <v>4291</v>
      </c>
      <c r="C1931" s="2" t="s">
        <v>4275</v>
      </c>
      <c r="D1931" s="2"/>
      <c r="E1931" s="31" t="n">
        <v>46.3</v>
      </c>
      <c r="F1931" s="31" t="n">
        <v>39.3</v>
      </c>
      <c r="G1931" s="31" t="n">
        <v>34</v>
      </c>
      <c r="H1931" s="2" t="s">
        <v>822</v>
      </c>
    </row>
    <row r="1932" customFormat="false" ht="15" hidden="false" customHeight="false" outlineLevel="0" collapsed="false">
      <c r="A1932" s="2" t="s">
        <v>522</v>
      </c>
      <c r="B1932" s="2" t="s">
        <v>45</v>
      </c>
      <c r="C1932" s="2" t="s">
        <v>4274</v>
      </c>
      <c r="D1932" s="11" t="n">
        <v>221420</v>
      </c>
      <c r="E1932" s="31" t="n">
        <v>46</v>
      </c>
      <c r="F1932" s="31" t="n">
        <v>64.4</v>
      </c>
      <c r="G1932" s="31" t="n">
        <v>8.3</v>
      </c>
      <c r="H1932" s="2" t="s">
        <v>822</v>
      </c>
    </row>
    <row r="1933" customFormat="false" ht="15" hidden="false" customHeight="false" outlineLevel="0" collapsed="false">
      <c r="A1933" s="2" t="s">
        <v>522</v>
      </c>
      <c r="B1933" s="2" t="s">
        <v>45</v>
      </c>
      <c r="C1933" s="2" t="s">
        <v>4275</v>
      </c>
      <c r="D1933" s="11" t="n">
        <v>240672</v>
      </c>
      <c r="E1933" s="31" t="n">
        <v>20.2</v>
      </c>
      <c r="F1933" s="31" t="n">
        <v>77.9</v>
      </c>
      <c r="G1933" s="31" t="n">
        <v>2.6</v>
      </c>
      <c r="H1933" s="2" t="s">
        <v>822</v>
      </c>
    </row>
    <row r="1934" customFormat="false" ht="15" hidden="false" customHeight="false" outlineLevel="0" collapsed="false">
      <c r="A1934" s="2" t="s">
        <v>522</v>
      </c>
      <c r="B1934" s="2" t="s">
        <v>46</v>
      </c>
      <c r="C1934" s="2" t="s">
        <v>4274</v>
      </c>
      <c r="D1934" s="2"/>
      <c r="E1934" s="2"/>
      <c r="F1934" s="2"/>
      <c r="G1934" s="2"/>
      <c r="H1934" s="2" t="s">
        <v>832</v>
      </c>
    </row>
    <row r="1935" customFormat="false" ht="15" hidden="false" customHeight="false" outlineLevel="0" collapsed="false">
      <c r="A1935" s="2" t="s">
        <v>522</v>
      </c>
      <c r="B1935" s="2" t="s">
        <v>46</v>
      </c>
      <c r="C1935" s="2" t="s">
        <v>4275</v>
      </c>
      <c r="D1935" s="11" t="n">
        <v>144788</v>
      </c>
      <c r="E1935" s="31" t="n">
        <v>58</v>
      </c>
      <c r="F1935" s="31" t="n">
        <v>39.5</v>
      </c>
      <c r="G1935" s="31" t="n">
        <v>24.7</v>
      </c>
      <c r="H1935" s="2" t="s">
        <v>822</v>
      </c>
    </row>
    <row r="1936" customFormat="false" ht="15" hidden="false" customHeight="false" outlineLevel="0" collapsed="false">
      <c r="A1936" s="2" t="s">
        <v>522</v>
      </c>
      <c r="B1936" s="2" t="s">
        <v>47</v>
      </c>
      <c r="C1936" s="2" t="s">
        <v>4274</v>
      </c>
      <c r="D1936" s="11" t="n">
        <v>33650</v>
      </c>
      <c r="E1936" s="31" t="n">
        <v>75.1</v>
      </c>
      <c r="F1936" s="31" t="n">
        <v>0.3</v>
      </c>
      <c r="G1936" s="31" t="n">
        <v>89.9</v>
      </c>
      <c r="H1936" s="2" t="s">
        <v>822</v>
      </c>
    </row>
    <row r="1937" customFormat="false" ht="15" hidden="false" customHeight="false" outlineLevel="0" collapsed="false">
      <c r="A1937" s="2" t="s">
        <v>522</v>
      </c>
      <c r="B1937" s="2" t="s">
        <v>47</v>
      </c>
      <c r="C1937" s="2" t="s">
        <v>4275</v>
      </c>
      <c r="D1937" s="11" t="n">
        <v>33630</v>
      </c>
      <c r="E1937" s="31" t="n">
        <v>60.8</v>
      </c>
      <c r="F1937" s="31" t="n">
        <v>0.6</v>
      </c>
      <c r="G1937" s="31" t="n">
        <v>74.7</v>
      </c>
      <c r="H1937" s="2" t="s">
        <v>822</v>
      </c>
    </row>
    <row r="1938" customFormat="false" ht="15" hidden="false" customHeight="false" outlineLevel="0" collapsed="false">
      <c r="A1938" s="2" t="s">
        <v>2313</v>
      </c>
      <c r="B1938" s="2" t="s">
        <v>4291</v>
      </c>
      <c r="C1938" s="2" t="s">
        <v>4274</v>
      </c>
      <c r="D1938" s="2"/>
      <c r="E1938" s="31" t="n">
        <v>61.2</v>
      </c>
      <c r="F1938" s="31" t="n">
        <v>38.1</v>
      </c>
      <c r="G1938" s="31" t="n">
        <v>77.2</v>
      </c>
      <c r="H1938" s="2" t="s">
        <v>832</v>
      </c>
    </row>
    <row r="1939" customFormat="false" ht="15" hidden="false" customHeight="false" outlineLevel="0" collapsed="false">
      <c r="A1939" s="2" t="s">
        <v>2313</v>
      </c>
      <c r="B1939" s="2" t="s">
        <v>4291</v>
      </c>
      <c r="C1939" s="2" t="s">
        <v>4275</v>
      </c>
      <c r="D1939" s="2"/>
      <c r="E1939" s="31" t="n">
        <v>60.1</v>
      </c>
      <c r="F1939" s="31" t="n">
        <v>43.4</v>
      </c>
      <c r="G1939" s="31" t="n">
        <v>48.2</v>
      </c>
      <c r="H1939" s="2" t="s">
        <v>832</v>
      </c>
    </row>
    <row r="1940" customFormat="false" ht="15" hidden="false" customHeight="false" outlineLevel="0" collapsed="false">
      <c r="A1940" s="2" t="s">
        <v>2313</v>
      </c>
      <c r="B1940" s="2" t="s">
        <v>45</v>
      </c>
      <c r="C1940" s="2" t="s">
        <v>4274</v>
      </c>
      <c r="D1940" s="11" t="n">
        <v>179630</v>
      </c>
      <c r="E1940" s="31" t="n">
        <v>57.4</v>
      </c>
      <c r="F1940" s="31" t="n">
        <v>4.1</v>
      </c>
      <c r="G1940" s="2"/>
      <c r="H1940" s="2" t="s">
        <v>822</v>
      </c>
    </row>
    <row r="1941" customFormat="false" ht="15" hidden="false" customHeight="false" outlineLevel="0" collapsed="false">
      <c r="A1941" s="2" t="s">
        <v>2313</v>
      </c>
      <c r="B1941" s="2" t="s">
        <v>45</v>
      </c>
      <c r="C1941" s="2" t="s">
        <v>4275</v>
      </c>
      <c r="D1941" s="2"/>
      <c r="E1941" s="2"/>
      <c r="F1941" s="2"/>
      <c r="G1941" s="2"/>
      <c r="H1941" s="2" t="s">
        <v>832</v>
      </c>
    </row>
    <row r="1942" customFormat="false" ht="15" hidden="false" customHeight="false" outlineLevel="0" collapsed="false">
      <c r="A1942" s="2" t="s">
        <v>2313</v>
      </c>
      <c r="B1942" s="2" t="s">
        <v>46</v>
      </c>
      <c r="C1942" s="2" t="s">
        <v>4274</v>
      </c>
      <c r="D1942" s="11" t="n">
        <v>21710</v>
      </c>
      <c r="E1942" s="2"/>
      <c r="F1942" s="31" t="n">
        <v>58.1</v>
      </c>
      <c r="G1942" s="31" t="n">
        <v>90.6</v>
      </c>
      <c r="H1942" s="2" t="s">
        <v>832</v>
      </c>
    </row>
    <row r="1943" customFormat="false" ht="15" hidden="false" customHeight="false" outlineLevel="0" collapsed="false">
      <c r="A1943" s="2" t="s">
        <v>2313</v>
      </c>
      <c r="B1943" s="2" t="s">
        <v>46</v>
      </c>
      <c r="C1943" s="2" t="s">
        <v>4275</v>
      </c>
      <c r="D1943" s="11" t="n">
        <v>21501</v>
      </c>
      <c r="E1943" s="31" t="n">
        <v>34.8</v>
      </c>
      <c r="F1943" s="31" t="n">
        <v>36.7</v>
      </c>
      <c r="G1943" s="2"/>
      <c r="H1943" s="2" t="s">
        <v>832</v>
      </c>
    </row>
    <row r="1944" customFormat="false" ht="15" hidden="false" customHeight="false" outlineLevel="0" collapsed="false">
      <c r="A1944" s="2" t="s">
        <v>2313</v>
      </c>
      <c r="B1944" s="2" t="s">
        <v>47</v>
      </c>
      <c r="C1944" s="2" t="s">
        <v>4274</v>
      </c>
      <c r="D1944" s="11" t="n">
        <v>9063</v>
      </c>
      <c r="E1944" s="31" t="n">
        <v>65.1</v>
      </c>
      <c r="F1944" s="31" t="n">
        <v>52.2</v>
      </c>
      <c r="G1944" s="31" t="n">
        <v>63.7</v>
      </c>
      <c r="H1944" s="2" t="s">
        <v>822</v>
      </c>
    </row>
    <row r="1945" customFormat="false" ht="15" hidden="false" customHeight="false" outlineLevel="0" collapsed="false">
      <c r="A1945" s="2" t="s">
        <v>2313</v>
      </c>
      <c r="B1945" s="2" t="s">
        <v>47</v>
      </c>
      <c r="C1945" s="2" t="s">
        <v>4275</v>
      </c>
      <c r="D1945" s="11" t="n">
        <v>9194</v>
      </c>
      <c r="E1945" s="31" t="n">
        <v>85.4</v>
      </c>
      <c r="F1945" s="31" t="n">
        <v>50</v>
      </c>
      <c r="G1945" s="31" t="n">
        <v>48.2</v>
      </c>
      <c r="H1945" s="2" t="s">
        <v>822</v>
      </c>
    </row>
    <row r="1946" customFormat="false" ht="15" hidden="false" customHeight="false" outlineLevel="0" collapsed="false">
      <c r="A1946" s="2" t="s">
        <v>1182</v>
      </c>
      <c r="B1946" s="2" t="s">
        <v>4291</v>
      </c>
      <c r="C1946" s="2" t="s">
        <v>4274</v>
      </c>
      <c r="D1946" s="2"/>
      <c r="E1946" s="31" t="n">
        <v>32.8</v>
      </c>
      <c r="F1946" s="31" t="n">
        <v>32.4</v>
      </c>
      <c r="G1946" s="31" t="n">
        <v>88.5</v>
      </c>
      <c r="H1946" s="2" t="s">
        <v>832</v>
      </c>
    </row>
    <row r="1947" customFormat="false" ht="15" hidden="false" customHeight="false" outlineLevel="0" collapsed="false">
      <c r="A1947" s="2" t="s">
        <v>1182</v>
      </c>
      <c r="B1947" s="2" t="s">
        <v>4291</v>
      </c>
      <c r="C1947" s="2" t="s">
        <v>4275</v>
      </c>
      <c r="D1947" s="2"/>
      <c r="E1947" s="31" t="n">
        <v>29</v>
      </c>
      <c r="F1947" s="31" t="n">
        <v>8.1</v>
      </c>
      <c r="G1947" s="31" t="n">
        <v>70.9</v>
      </c>
      <c r="H1947" s="2" t="s">
        <v>832</v>
      </c>
    </row>
    <row r="1948" customFormat="false" ht="15" hidden="false" customHeight="false" outlineLevel="0" collapsed="false">
      <c r="A1948" s="2" t="s">
        <v>1182</v>
      </c>
      <c r="B1948" s="2" t="s">
        <v>45</v>
      </c>
      <c r="C1948" s="2" t="s">
        <v>4274</v>
      </c>
      <c r="D1948" s="11" t="n">
        <v>52596</v>
      </c>
      <c r="E1948" s="31" t="n">
        <v>62.2</v>
      </c>
      <c r="F1948" s="2"/>
      <c r="G1948" s="2"/>
      <c r="H1948" s="2" t="s">
        <v>832</v>
      </c>
    </row>
    <row r="1949" customFormat="false" ht="15" hidden="false" customHeight="false" outlineLevel="0" collapsed="false">
      <c r="A1949" s="2" t="s">
        <v>1182</v>
      </c>
      <c r="B1949" s="2" t="s">
        <v>45</v>
      </c>
      <c r="C1949" s="2" t="s">
        <v>4275</v>
      </c>
      <c r="D1949" s="11" t="n">
        <v>51300</v>
      </c>
      <c r="E1949" s="31" t="n">
        <v>56.7</v>
      </c>
      <c r="F1949" s="31" t="n">
        <v>3.4</v>
      </c>
      <c r="G1949" s="31" t="n">
        <v>94.6</v>
      </c>
      <c r="H1949" s="2" t="s">
        <v>822</v>
      </c>
    </row>
    <row r="1950" customFormat="false" ht="15" hidden="false" customHeight="false" outlineLevel="0" collapsed="false">
      <c r="A1950" s="2" t="s">
        <v>1182</v>
      </c>
      <c r="B1950" s="2" t="s">
        <v>46</v>
      </c>
      <c r="C1950" s="2" t="s">
        <v>4274</v>
      </c>
      <c r="D1950" s="2"/>
      <c r="E1950" s="2"/>
      <c r="F1950" s="2"/>
      <c r="G1950" s="2"/>
      <c r="H1950" s="2" t="s">
        <v>832</v>
      </c>
    </row>
    <row r="1951" customFormat="false" ht="15" hidden="false" customHeight="false" outlineLevel="0" collapsed="false">
      <c r="A1951" s="2" t="s">
        <v>1182</v>
      </c>
      <c r="B1951" s="2" t="s">
        <v>46</v>
      </c>
      <c r="C1951" s="2" t="s">
        <v>4275</v>
      </c>
      <c r="D1951" s="11" t="n">
        <v>29100</v>
      </c>
      <c r="E1951" s="2"/>
      <c r="F1951" s="31" t="n">
        <v>0.4</v>
      </c>
      <c r="G1951" s="31" t="n">
        <v>24.3</v>
      </c>
      <c r="H1951" s="2" t="s">
        <v>832</v>
      </c>
    </row>
    <row r="1952" customFormat="false" ht="15" hidden="false" customHeight="false" outlineLevel="0" collapsed="false">
      <c r="A1952" s="2" t="s">
        <v>1182</v>
      </c>
      <c r="B1952" s="2" t="s">
        <v>47</v>
      </c>
      <c r="C1952" s="2" t="s">
        <v>4274</v>
      </c>
      <c r="D1952" s="11" t="n">
        <v>18840</v>
      </c>
      <c r="E1952" s="31" t="n">
        <v>3.5</v>
      </c>
      <c r="F1952" s="31" t="n">
        <v>32.4</v>
      </c>
      <c r="G1952" s="31" t="n">
        <v>88.5</v>
      </c>
      <c r="H1952" s="2" t="s">
        <v>822</v>
      </c>
    </row>
    <row r="1953" customFormat="false" ht="15" hidden="false" customHeight="false" outlineLevel="0" collapsed="false">
      <c r="A1953" s="2" t="s">
        <v>1182</v>
      </c>
      <c r="B1953" s="2" t="s">
        <v>47</v>
      </c>
      <c r="C1953" s="2" t="s">
        <v>4275</v>
      </c>
      <c r="D1953" s="11" t="n">
        <v>18800</v>
      </c>
      <c r="E1953" s="31" t="n">
        <v>1.2</v>
      </c>
      <c r="F1953" s="31" t="n">
        <v>20.5</v>
      </c>
      <c r="G1953" s="31" t="n">
        <v>93.7</v>
      </c>
      <c r="H1953" s="2" t="s">
        <v>822</v>
      </c>
    </row>
    <row r="1954" customFormat="false" ht="15" hidden="false" customHeight="false" outlineLevel="0" collapsed="false">
      <c r="A1954" s="2" t="s">
        <v>1458</v>
      </c>
      <c r="B1954" s="2" t="s">
        <v>4291</v>
      </c>
      <c r="C1954" s="2" t="s">
        <v>4274</v>
      </c>
      <c r="D1954" s="2"/>
      <c r="E1954" s="31" t="n">
        <v>27.9</v>
      </c>
      <c r="F1954" s="31" t="n">
        <v>51.6</v>
      </c>
      <c r="G1954" s="31" t="n">
        <v>60.4</v>
      </c>
      <c r="H1954" s="2" t="s">
        <v>822</v>
      </c>
    </row>
    <row r="1955" customFormat="false" ht="15" hidden="false" customHeight="false" outlineLevel="0" collapsed="false">
      <c r="A1955" s="2" t="s">
        <v>1458</v>
      </c>
      <c r="B1955" s="2" t="s">
        <v>4291</v>
      </c>
      <c r="C1955" s="2" t="s">
        <v>4275</v>
      </c>
      <c r="D1955" s="2"/>
      <c r="E1955" s="31" t="n">
        <v>34</v>
      </c>
      <c r="F1955" s="31" t="n">
        <v>47.7</v>
      </c>
      <c r="G1955" s="31" t="n">
        <v>62.6</v>
      </c>
      <c r="H1955" s="2" t="s">
        <v>832</v>
      </c>
    </row>
    <row r="1956" customFormat="false" ht="15" hidden="false" customHeight="false" outlineLevel="0" collapsed="false">
      <c r="A1956" s="2" t="s">
        <v>1458</v>
      </c>
      <c r="B1956" s="2" t="s">
        <v>45</v>
      </c>
      <c r="C1956" s="2" t="s">
        <v>4274</v>
      </c>
      <c r="D1956" s="11" t="n">
        <v>66260</v>
      </c>
      <c r="E1956" s="31" t="n">
        <v>12.8</v>
      </c>
      <c r="F1956" s="31" t="n">
        <v>42</v>
      </c>
      <c r="G1956" s="31" t="n">
        <v>44.6</v>
      </c>
      <c r="H1956" s="2" t="s">
        <v>822</v>
      </c>
    </row>
    <row r="1957" customFormat="false" ht="15" hidden="false" customHeight="false" outlineLevel="0" collapsed="false">
      <c r="A1957" s="2" t="s">
        <v>1458</v>
      </c>
      <c r="B1957" s="2" t="s">
        <v>45</v>
      </c>
      <c r="C1957" s="2" t="s">
        <v>4275</v>
      </c>
      <c r="D1957" s="11" t="n">
        <v>67150</v>
      </c>
      <c r="E1957" s="31" t="n">
        <v>19.1</v>
      </c>
      <c r="F1957" s="31" t="n">
        <v>28.9</v>
      </c>
      <c r="G1957" s="31" t="n">
        <v>44.8</v>
      </c>
      <c r="H1957" s="2" t="s">
        <v>822</v>
      </c>
    </row>
    <row r="1958" customFormat="false" ht="15" hidden="false" customHeight="false" outlineLevel="0" collapsed="false">
      <c r="A1958" s="2" t="s">
        <v>1458</v>
      </c>
      <c r="B1958" s="2" t="s">
        <v>46</v>
      </c>
      <c r="C1958" s="2" t="s">
        <v>4274</v>
      </c>
      <c r="D1958" s="11" t="n">
        <v>166743</v>
      </c>
      <c r="E1958" s="31" t="n">
        <v>51.1</v>
      </c>
      <c r="F1958" s="31" t="n">
        <v>29.5</v>
      </c>
      <c r="G1958" s="31" t="n">
        <v>40.4</v>
      </c>
      <c r="H1958" s="2" t="s">
        <v>822</v>
      </c>
    </row>
    <row r="1959" customFormat="false" ht="15" hidden="false" customHeight="false" outlineLevel="0" collapsed="false">
      <c r="A1959" s="2" t="s">
        <v>1458</v>
      </c>
      <c r="B1959" s="2" t="s">
        <v>46</v>
      </c>
      <c r="C1959" s="2" t="s">
        <v>4275</v>
      </c>
      <c r="D1959" s="11" t="n">
        <v>171000</v>
      </c>
      <c r="E1959" s="31" t="n">
        <v>74.3</v>
      </c>
      <c r="F1959" s="31" t="n">
        <v>25.5</v>
      </c>
      <c r="G1959" s="31" t="n">
        <v>80.4</v>
      </c>
      <c r="H1959" s="2" t="s">
        <v>822</v>
      </c>
    </row>
    <row r="1960" customFormat="false" ht="15" hidden="false" customHeight="false" outlineLevel="0" collapsed="false">
      <c r="A1960" s="2" t="s">
        <v>1458</v>
      </c>
      <c r="B1960" s="2" t="s">
        <v>47</v>
      </c>
      <c r="C1960" s="2" t="s">
        <v>4274</v>
      </c>
      <c r="D1960" s="11" t="n">
        <v>117877</v>
      </c>
      <c r="E1960" s="31" t="n">
        <v>19.7</v>
      </c>
      <c r="F1960" s="31" t="n">
        <v>83.3</v>
      </c>
      <c r="G1960" s="31" t="n">
        <v>96.3</v>
      </c>
      <c r="H1960" s="2" t="s">
        <v>822</v>
      </c>
    </row>
    <row r="1961" customFormat="false" ht="15" hidden="false" customHeight="false" outlineLevel="0" collapsed="false">
      <c r="A1961" s="2" t="s">
        <v>1458</v>
      </c>
      <c r="B1961" s="2" t="s">
        <v>47</v>
      </c>
      <c r="C1961" s="2" t="s">
        <v>4275</v>
      </c>
      <c r="D1961" s="11" t="n">
        <v>121293</v>
      </c>
      <c r="E1961" s="31" t="n">
        <v>8.6</v>
      </c>
      <c r="F1961" s="31" t="n">
        <v>88.8</v>
      </c>
      <c r="G1961" s="2"/>
      <c r="H1961" s="2" t="s">
        <v>832</v>
      </c>
    </row>
    <row r="1962" customFormat="false" ht="15" hidden="false" customHeight="false" outlineLevel="0" collapsed="false">
      <c r="A1962" s="2" t="s">
        <v>3067</v>
      </c>
      <c r="B1962" s="2" t="s">
        <v>4291</v>
      </c>
      <c r="C1962" s="2" t="s">
        <v>4274</v>
      </c>
      <c r="D1962" s="2"/>
      <c r="E1962" s="31" t="n">
        <v>77.1</v>
      </c>
      <c r="F1962" s="31" t="n">
        <v>58.4</v>
      </c>
      <c r="G1962" s="31" t="n">
        <v>23.9</v>
      </c>
      <c r="H1962" s="2" t="s">
        <v>822</v>
      </c>
    </row>
    <row r="1963" customFormat="false" ht="15" hidden="false" customHeight="false" outlineLevel="0" collapsed="false">
      <c r="A1963" s="2" t="s">
        <v>3067</v>
      </c>
      <c r="B1963" s="2" t="s">
        <v>4291</v>
      </c>
      <c r="C1963" s="2" t="s">
        <v>4275</v>
      </c>
      <c r="D1963" s="2"/>
      <c r="E1963" s="31" t="n">
        <v>81.9</v>
      </c>
      <c r="F1963" s="31" t="n">
        <v>57.7</v>
      </c>
      <c r="G1963" s="2"/>
      <c r="H1963" s="2" t="s">
        <v>832</v>
      </c>
    </row>
    <row r="1964" customFormat="false" ht="15" hidden="false" customHeight="false" outlineLevel="0" collapsed="false">
      <c r="A1964" s="2" t="s">
        <v>3067</v>
      </c>
      <c r="B1964" s="2" t="s">
        <v>45</v>
      </c>
      <c r="C1964" s="2" t="s">
        <v>4274</v>
      </c>
      <c r="D1964" s="11" t="n">
        <v>34987</v>
      </c>
      <c r="E1964" s="31" t="n">
        <v>77.1</v>
      </c>
      <c r="F1964" s="31" t="n">
        <v>58.4</v>
      </c>
      <c r="G1964" s="31" t="n">
        <v>23.9</v>
      </c>
      <c r="H1964" s="2" t="s">
        <v>822</v>
      </c>
    </row>
    <row r="1965" customFormat="false" ht="15" hidden="false" customHeight="false" outlineLevel="0" collapsed="false">
      <c r="A1965" s="2" t="s">
        <v>3067</v>
      </c>
      <c r="B1965" s="2" t="s">
        <v>45</v>
      </c>
      <c r="C1965" s="2" t="s">
        <v>4275</v>
      </c>
      <c r="D1965" s="11" t="n">
        <v>36420</v>
      </c>
      <c r="E1965" s="31" t="n">
        <v>81.9</v>
      </c>
      <c r="F1965" s="31" t="n">
        <v>57.7</v>
      </c>
      <c r="G1965" s="2"/>
      <c r="H1965" s="2" t="s">
        <v>832</v>
      </c>
    </row>
    <row r="1966" customFormat="false" ht="15" hidden="false" customHeight="false" outlineLevel="0" collapsed="false">
      <c r="A1966" s="2" t="s">
        <v>594</v>
      </c>
      <c r="B1966" s="2" t="s">
        <v>4291</v>
      </c>
      <c r="C1966" s="2" t="s">
        <v>4274</v>
      </c>
      <c r="D1966" s="2"/>
      <c r="E1966" s="31" t="n">
        <v>76.4</v>
      </c>
      <c r="F1966" s="31" t="n">
        <v>53.4</v>
      </c>
      <c r="G1966" s="31" t="n">
        <v>68</v>
      </c>
      <c r="H1966" s="2" t="s">
        <v>832</v>
      </c>
    </row>
    <row r="1967" customFormat="false" ht="15" hidden="false" customHeight="false" outlineLevel="0" collapsed="false">
      <c r="A1967" s="2" t="s">
        <v>594</v>
      </c>
      <c r="B1967" s="2" t="s">
        <v>4291</v>
      </c>
      <c r="C1967" s="2" t="s">
        <v>4275</v>
      </c>
      <c r="D1967" s="2"/>
      <c r="E1967" s="31" t="n">
        <v>39.2</v>
      </c>
      <c r="F1967" s="31" t="n">
        <v>69.1</v>
      </c>
      <c r="G1967" s="31" t="n">
        <v>58.8</v>
      </c>
      <c r="H1967" s="2" t="s">
        <v>822</v>
      </c>
    </row>
    <row r="1968" customFormat="false" ht="15" hidden="false" customHeight="false" outlineLevel="0" collapsed="false">
      <c r="A1968" s="2" t="s">
        <v>594</v>
      </c>
      <c r="B1968" s="2" t="s">
        <v>45</v>
      </c>
      <c r="C1968" s="2" t="s">
        <v>4274</v>
      </c>
      <c r="D1968" s="11" t="n">
        <v>125013</v>
      </c>
      <c r="E1968" s="31" t="n">
        <v>76.4</v>
      </c>
      <c r="F1968" s="31" t="n">
        <v>53.4</v>
      </c>
      <c r="G1968" s="31" t="n">
        <v>68</v>
      </c>
      <c r="H1968" s="2" t="s">
        <v>822</v>
      </c>
    </row>
    <row r="1969" customFormat="false" ht="15" hidden="false" customHeight="false" outlineLevel="0" collapsed="false">
      <c r="A1969" s="2" t="s">
        <v>594</v>
      </c>
      <c r="B1969" s="2" t="s">
        <v>45</v>
      </c>
      <c r="C1969" s="2" t="s">
        <v>4275</v>
      </c>
      <c r="D1969" s="11" t="n">
        <v>128678</v>
      </c>
      <c r="E1969" s="31" t="n">
        <v>40.6</v>
      </c>
      <c r="F1969" s="31" t="n">
        <v>54.3</v>
      </c>
      <c r="G1969" s="31" t="n">
        <v>69.5</v>
      </c>
      <c r="H1969" s="2" t="s">
        <v>822</v>
      </c>
    </row>
    <row r="1970" customFormat="false" ht="15" hidden="false" customHeight="false" outlineLevel="0" collapsed="false">
      <c r="A1970" s="2" t="s">
        <v>594</v>
      </c>
      <c r="B1970" s="2" t="s">
        <v>46</v>
      </c>
      <c r="C1970" s="2" t="s">
        <v>4274</v>
      </c>
      <c r="D1970" s="2"/>
      <c r="E1970" s="2"/>
      <c r="F1970" s="2"/>
      <c r="G1970" s="2"/>
      <c r="H1970" s="2" t="s">
        <v>832</v>
      </c>
    </row>
    <row r="1971" customFormat="false" ht="15" hidden="false" customHeight="false" outlineLevel="0" collapsed="false">
      <c r="A1971" s="2" t="s">
        <v>594</v>
      </c>
      <c r="B1971" s="2" t="s">
        <v>46</v>
      </c>
      <c r="C1971" s="2" t="s">
        <v>4275</v>
      </c>
      <c r="D1971" s="11" t="n">
        <v>87890</v>
      </c>
      <c r="E1971" s="31" t="n">
        <v>21.2</v>
      </c>
      <c r="F1971" s="31" t="n">
        <v>99.3</v>
      </c>
      <c r="G1971" s="31" t="n">
        <v>39.7</v>
      </c>
      <c r="H1971" s="2" t="s">
        <v>822</v>
      </c>
    </row>
    <row r="1972" customFormat="false" ht="15" hidden="false" customHeight="false" outlineLevel="0" collapsed="false">
      <c r="A1972" s="2" t="s">
        <v>594</v>
      </c>
      <c r="B1972" s="2" t="s">
        <v>47</v>
      </c>
      <c r="C1972" s="2" t="s">
        <v>4274</v>
      </c>
      <c r="D1972" s="2"/>
      <c r="E1972" s="2"/>
      <c r="F1972" s="2"/>
      <c r="G1972" s="2"/>
      <c r="H1972" s="2" t="s">
        <v>832</v>
      </c>
    </row>
    <row r="1973" customFormat="false" ht="15" hidden="false" customHeight="false" outlineLevel="0" collapsed="false">
      <c r="A1973" s="2" t="s">
        <v>594</v>
      </c>
      <c r="B1973" s="2" t="s">
        <v>47</v>
      </c>
      <c r="C1973" s="2" t="s">
        <v>4275</v>
      </c>
      <c r="D1973" s="11" t="n">
        <v>6250</v>
      </c>
      <c r="E1973" s="31" t="n">
        <v>55.9</v>
      </c>
      <c r="F1973" s="31" t="n">
        <v>53.8</v>
      </c>
      <c r="G1973" s="31" t="n">
        <v>67.2</v>
      </c>
      <c r="H1973" s="2" t="s">
        <v>822</v>
      </c>
    </row>
    <row r="1974" customFormat="false" ht="15" hidden="false" customHeight="false" outlineLevel="0" collapsed="false">
      <c r="A1974" s="2" t="s">
        <v>420</v>
      </c>
      <c r="B1974" s="2" t="s">
        <v>4291</v>
      </c>
      <c r="C1974" s="2" t="s">
        <v>4274</v>
      </c>
      <c r="D1974" s="2"/>
      <c r="E1974" s="31" t="n">
        <v>56.4</v>
      </c>
      <c r="F1974" s="31" t="n">
        <v>72.6</v>
      </c>
      <c r="G1974" s="31" t="n">
        <v>20.8</v>
      </c>
      <c r="H1974" s="2" t="s">
        <v>832</v>
      </c>
    </row>
    <row r="1975" customFormat="false" ht="15" hidden="false" customHeight="false" outlineLevel="0" collapsed="false">
      <c r="A1975" s="2" t="s">
        <v>420</v>
      </c>
      <c r="B1975" s="2" t="s">
        <v>4291</v>
      </c>
      <c r="C1975" s="2" t="s">
        <v>4275</v>
      </c>
      <c r="D1975" s="2"/>
      <c r="E1975" s="31" t="n">
        <v>53.7</v>
      </c>
      <c r="F1975" s="31" t="n">
        <v>56.2</v>
      </c>
      <c r="G1975" s="31" t="n">
        <v>10.2</v>
      </c>
      <c r="H1975" s="2" t="s">
        <v>822</v>
      </c>
    </row>
    <row r="1976" customFormat="false" ht="15" hidden="false" customHeight="false" outlineLevel="0" collapsed="false">
      <c r="A1976" s="2" t="s">
        <v>420</v>
      </c>
      <c r="B1976" s="2" t="s">
        <v>45</v>
      </c>
      <c r="C1976" s="2" t="s">
        <v>4274</v>
      </c>
      <c r="D1976" s="2"/>
      <c r="E1976" s="2"/>
      <c r="F1976" s="2"/>
      <c r="G1976" s="2"/>
      <c r="H1976" s="2" t="s">
        <v>832</v>
      </c>
    </row>
    <row r="1977" customFormat="false" ht="15" hidden="false" customHeight="false" outlineLevel="0" collapsed="false">
      <c r="A1977" s="2" t="s">
        <v>420</v>
      </c>
      <c r="B1977" s="2" t="s">
        <v>45</v>
      </c>
      <c r="C1977" s="2" t="s">
        <v>4275</v>
      </c>
      <c r="D1977" s="11" t="n">
        <v>17340</v>
      </c>
      <c r="E1977" s="31" t="n">
        <v>47.8</v>
      </c>
      <c r="F1977" s="31" t="n">
        <v>5.8</v>
      </c>
      <c r="G1977" s="2"/>
      <c r="H1977" s="2" t="s">
        <v>822</v>
      </c>
    </row>
    <row r="1978" customFormat="false" ht="15" hidden="false" customHeight="false" outlineLevel="0" collapsed="false">
      <c r="A1978" s="2" t="s">
        <v>420</v>
      </c>
      <c r="B1978" s="2" t="s">
        <v>46</v>
      </c>
      <c r="C1978" s="2" t="s">
        <v>4274</v>
      </c>
      <c r="D1978" s="11" t="n">
        <v>17950</v>
      </c>
      <c r="E1978" s="31" t="n">
        <v>38.7</v>
      </c>
      <c r="F1978" s="31" t="n">
        <v>59.6</v>
      </c>
      <c r="G1978" s="31" t="n">
        <v>6.6</v>
      </c>
      <c r="H1978" s="2" t="s">
        <v>822</v>
      </c>
    </row>
    <row r="1979" customFormat="false" ht="15" hidden="false" customHeight="false" outlineLevel="0" collapsed="false">
      <c r="A1979" s="2" t="s">
        <v>420</v>
      </c>
      <c r="B1979" s="2" t="s">
        <v>46</v>
      </c>
      <c r="C1979" s="2" t="s">
        <v>4275</v>
      </c>
      <c r="D1979" s="11" t="n">
        <v>18970</v>
      </c>
      <c r="E1979" s="31" t="n">
        <v>49.1</v>
      </c>
      <c r="F1979" s="31" t="n">
        <v>78.5</v>
      </c>
      <c r="G1979" s="31" t="n">
        <v>16.6</v>
      </c>
      <c r="H1979" s="2" t="s">
        <v>822</v>
      </c>
    </row>
    <row r="1980" customFormat="false" ht="15" hidden="false" customHeight="false" outlineLevel="0" collapsed="false">
      <c r="A1980" s="2" t="s">
        <v>420</v>
      </c>
      <c r="B1980" s="2" t="s">
        <v>47</v>
      </c>
      <c r="C1980" s="2" t="s">
        <v>4274</v>
      </c>
      <c r="D1980" s="11" t="n">
        <v>21377</v>
      </c>
      <c r="E1980" s="31" t="n">
        <v>74.2</v>
      </c>
      <c r="F1980" s="31" t="n">
        <v>85.6</v>
      </c>
      <c r="G1980" s="31" t="n">
        <v>35.1</v>
      </c>
      <c r="H1980" s="2" t="s">
        <v>822</v>
      </c>
    </row>
    <row r="1981" customFormat="false" ht="15" hidden="false" customHeight="false" outlineLevel="0" collapsed="false">
      <c r="A1981" s="2" t="s">
        <v>420</v>
      </c>
      <c r="B1981" s="2" t="s">
        <v>47</v>
      </c>
      <c r="C1981" s="2" t="s">
        <v>4275</v>
      </c>
      <c r="D1981" s="11" t="n">
        <v>22587</v>
      </c>
      <c r="E1981" s="31" t="n">
        <v>64.2</v>
      </c>
      <c r="F1981" s="31" t="n">
        <v>84.4</v>
      </c>
      <c r="G1981" s="31" t="n">
        <v>3.9</v>
      </c>
      <c r="H1981" s="2" t="s">
        <v>822</v>
      </c>
    </row>
    <row r="1982" customFormat="false" ht="15" hidden="false" customHeight="false" outlineLevel="0" collapsed="false">
      <c r="A1982" s="2" t="s">
        <v>608</v>
      </c>
      <c r="B1982" s="2" t="s">
        <v>4291</v>
      </c>
      <c r="C1982" s="2" t="s">
        <v>4274</v>
      </c>
      <c r="D1982" s="2"/>
      <c r="E1982" s="31" t="n">
        <v>57.8</v>
      </c>
      <c r="F1982" s="31" t="n">
        <v>54</v>
      </c>
      <c r="G1982" s="31" t="n">
        <v>21.9</v>
      </c>
      <c r="H1982" s="2" t="s">
        <v>822</v>
      </c>
    </row>
    <row r="1983" customFormat="false" ht="15" hidden="false" customHeight="false" outlineLevel="0" collapsed="false">
      <c r="A1983" s="2" t="s">
        <v>608</v>
      </c>
      <c r="B1983" s="2" t="s">
        <v>4291</v>
      </c>
      <c r="C1983" s="2" t="s">
        <v>4275</v>
      </c>
      <c r="D1983" s="2"/>
      <c r="E1983" s="31" t="n">
        <v>38.4</v>
      </c>
      <c r="F1983" s="31" t="n">
        <v>50.6</v>
      </c>
      <c r="G1983" s="31" t="n">
        <v>69.8</v>
      </c>
      <c r="H1983" s="2" t="s">
        <v>822</v>
      </c>
    </row>
    <row r="1984" customFormat="false" ht="15" hidden="false" customHeight="false" outlineLevel="0" collapsed="false">
      <c r="A1984" s="2" t="s">
        <v>608</v>
      </c>
      <c r="B1984" s="2" t="s">
        <v>45</v>
      </c>
      <c r="C1984" s="2" t="s">
        <v>4274</v>
      </c>
      <c r="D1984" s="11" t="n">
        <v>211331</v>
      </c>
      <c r="E1984" s="31" t="n">
        <v>71.9</v>
      </c>
      <c r="F1984" s="31" t="n">
        <v>54.1</v>
      </c>
      <c r="G1984" s="2"/>
      <c r="H1984" s="2" t="s">
        <v>822</v>
      </c>
    </row>
    <row r="1985" customFormat="false" ht="15" hidden="false" customHeight="false" outlineLevel="0" collapsed="false">
      <c r="A1985" s="2" t="s">
        <v>608</v>
      </c>
      <c r="B1985" s="2" t="s">
        <v>45</v>
      </c>
      <c r="C1985" s="2" t="s">
        <v>4275</v>
      </c>
      <c r="D1985" s="11" t="n">
        <v>215000</v>
      </c>
      <c r="E1985" s="31" t="n">
        <v>52.7</v>
      </c>
      <c r="F1985" s="31" t="n">
        <v>52.1</v>
      </c>
      <c r="G1985" s="2"/>
      <c r="H1985" s="2" t="s">
        <v>822</v>
      </c>
    </row>
    <row r="1986" customFormat="false" ht="15" hidden="false" customHeight="false" outlineLevel="0" collapsed="false">
      <c r="A1986" s="2" t="s">
        <v>608</v>
      </c>
      <c r="B1986" s="2" t="s">
        <v>46</v>
      </c>
      <c r="C1986" s="2" t="s">
        <v>4274</v>
      </c>
      <c r="D1986" s="11" t="n">
        <v>135200</v>
      </c>
      <c r="E1986" s="31" t="n">
        <v>43.6</v>
      </c>
      <c r="F1986" s="31" t="n">
        <v>53.8</v>
      </c>
      <c r="G1986" s="31" t="n">
        <v>21.9</v>
      </c>
      <c r="H1986" s="2" t="s">
        <v>822</v>
      </c>
    </row>
    <row r="1987" customFormat="false" ht="15" hidden="false" customHeight="false" outlineLevel="0" collapsed="false">
      <c r="A1987" s="2" t="s">
        <v>608</v>
      </c>
      <c r="B1987" s="2" t="s">
        <v>46</v>
      </c>
      <c r="C1987" s="2" t="s">
        <v>4275</v>
      </c>
      <c r="D1987" s="11" t="n">
        <v>141060</v>
      </c>
      <c r="E1987" s="31" t="n">
        <v>24.2</v>
      </c>
      <c r="F1987" s="31" t="n">
        <v>49</v>
      </c>
      <c r="G1987" s="31" t="n">
        <v>69.8</v>
      </c>
      <c r="H1987" s="2" t="s">
        <v>822</v>
      </c>
    </row>
    <row r="1988" customFormat="false" ht="15" hidden="false" customHeight="false" outlineLevel="0" collapsed="false">
      <c r="A1988" s="2" t="s">
        <v>346</v>
      </c>
      <c r="B1988" s="2" t="s">
        <v>4291</v>
      </c>
      <c r="C1988" s="2" t="s">
        <v>4274</v>
      </c>
      <c r="D1988" s="2"/>
      <c r="E1988" s="31" t="n">
        <v>56.7</v>
      </c>
      <c r="F1988" s="31" t="n">
        <v>71.1</v>
      </c>
      <c r="G1988" s="31" t="n">
        <v>29.8</v>
      </c>
      <c r="H1988" s="2" t="s">
        <v>832</v>
      </c>
    </row>
    <row r="1989" customFormat="false" ht="15" hidden="false" customHeight="false" outlineLevel="0" collapsed="false">
      <c r="A1989" s="2" t="s">
        <v>346</v>
      </c>
      <c r="B1989" s="2" t="s">
        <v>4291</v>
      </c>
      <c r="C1989" s="2" t="s">
        <v>4275</v>
      </c>
      <c r="D1989" s="2"/>
      <c r="E1989" s="31" t="n">
        <v>59.5</v>
      </c>
      <c r="F1989" s="31" t="n">
        <v>60.8</v>
      </c>
      <c r="G1989" s="31" t="n">
        <v>50.7</v>
      </c>
      <c r="H1989" s="2" t="s">
        <v>822</v>
      </c>
    </row>
    <row r="1990" customFormat="false" ht="15" hidden="false" customHeight="false" outlineLevel="0" collapsed="false">
      <c r="A1990" s="2" t="s">
        <v>346</v>
      </c>
      <c r="B1990" s="2" t="s">
        <v>45</v>
      </c>
      <c r="C1990" s="2" t="s">
        <v>4274</v>
      </c>
      <c r="D1990" s="11" t="n">
        <v>151206</v>
      </c>
      <c r="E1990" s="31" t="n">
        <v>52.9</v>
      </c>
      <c r="F1990" s="31" t="n">
        <v>65.1</v>
      </c>
      <c r="G1990" s="31" t="n">
        <v>37.1</v>
      </c>
      <c r="H1990" s="2" t="s">
        <v>822</v>
      </c>
    </row>
    <row r="1991" customFormat="false" ht="15" hidden="false" customHeight="false" outlineLevel="0" collapsed="false">
      <c r="A1991" s="2" t="s">
        <v>346</v>
      </c>
      <c r="B1991" s="2" t="s">
        <v>45</v>
      </c>
      <c r="C1991" s="2" t="s">
        <v>4275</v>
      </c>
      <c r="D1991" s="11" t="n">
        <v>155750</v>
      </c>
      <c r="E1991" s="31" t="n">
        <v>37.2</v>
      </c>
      <c r="F1991" s="31" t="n">
        <v>30.7</v>
      </c>
      <c r="G1991" s="31" t="n">
        <v>45.9</v>
      </c>
      <c r="H1991" s="2" t="s">
        <v>822</v>
      </c>
    </row>
    <row r="1992" customFormat="false" ht="15" hidden="false" customHeight="false" outlineLevel="0" collapsed="false">
      <c r="A1992" s="2" t="s">
        <v>346</v>
      </c>
      <c r="B1992" s="2" t="s">
        <v>46</v>
      </c>
      <c r="C1992" s="2" t="s">
        <v>4274</v>
      </c>
      <c r="D1992" s="11" t="n">
        <v>190030</v>
      </c>
      <c r="E1992" s="31" t="n">
        <v>56.6</v>
      </c>
      <c r="F1992" s="31" t="n">
        <v>49.4</v>
      </c>
      <c r="G1992" s="2"/>
      <c r="H1992" s="2" t="s">
        <v>832</v>
      </c>
    </row>
    <row r="1993" customFormat="false" ht="15" hidden="false" customHeight="false" outlineLevel="0" collapsed="false">
      <c r="A1993" s="2" t="s">
        <v>346</v>
      </c>
      <c r="B1993" s="2" t="s">
        <v>46</v>
      </c>
      <c r="C1993" s="2" t="s">
        <v>4275</v>
      </c>
      <c r="D1993" s="11" t="n">
        <v>202500</v>
      </c>
      <c r="E1993" s="31" t="n">
        <v>73.3</v>
      </c>
      <c r="F1993" s="31" t="n">
        <v>61.1</v>
      </c>
      <c r="G1993" s="31" t="n">
        <v>95.4</v>
      </c>
      <c r="H1993" s="2" t="s">
        <v>822</v>
      </c>
    </row>
    <row r="1994" customFormat="false" ht="15" hidden="false" customHeight="false" outlineLevel="0" collapsed="false">
      <c r="A1994" s="2" t="s">
        <v>346</v>
      </c>
      <c r="B1994" s="2" t="s">
        <v>47</v>
      </c>
      <c r="C1994" s="2" t="s">
        <v>4274</v>
      </c>
      <c r="D1994" s="11" t="n">
        <v>706370</v>
      </c>
      <c r="E1994" s="31" t="n">
        <v>60.6</v>
      </c>
      <c r="F1994" s="31" t="n">
        <v>98.8</v>
      </c>
      <c r="G1994" s="31" t="n">
        <v>22.6</v>
      </c>
      <c r="H1994" s="2" t="s">
        <v>822</v>
      </c>
    </row>
    <row r="1995" customFormat="false" ht="15" hidden="false" customHeight="false" outlineLevel="0" collapsed="false">
      <c r="A1995" s="2" t="s">
        <v>346</v>
      </c>
      <c r="B1995" s="2" t="s">
        <v>47</v>
      </c>
      <c r="C1995" s="2" t="s">
        <v>4275</v>
      </c>
      <c r="D1995" s="11" t="n">
        <v>771030</v>
      </c>
      <c r="E1995" s="31" t="n">
        <v>67.9</v>
      </c>
      <c r="F1995" s="31" t="n">
        <v>90.7</v>
      </c>
      <c r="G1995" s="31" t="n">
        <v>10.9</v>
      </c>
      <c r="H1995" s="2" t="s">
        <v>822</v>
      </c>
    </row>
    <row r="1996" customFormat="false" ht="15" hidden="false" customHeight="false" outlineLevel="0" collapsed="false">
      <c r="A1996" s="2" t="s">
        <v>3069</v>
      </c>
      <c r="B1996" s="2" t="s">
        <v>4291</v>
      </c>
      <c r="C1996" s="2" t="s">
        <v>4274</v>
      </c>
      <c r="D1996" s="2"/>
      <c r="E1996" s="31" t="n">
        <v>19.9</v>
      </c>
      <c r="F1996" s="31" t="n">
        <v>39.2</v>
      </c>
      <c r="G1996" s="31" t="n">
        <v>85.1</v>
      </c>
      <c r="H1996" s="2" t="s">
        <v>822</v>
      </c>
    </row>
    <row r="1997" customFormat="false" ht="15" hidden="false" customHeight="false" outlineLevel="0" collapsed="false">
      <c r="A1997" s="2" t="s">
        <v>3069</v>
      </c>
      <c r="B1997" s="2" t="s">
        <v>4291</v>
      </c>
      <c r="C1997" s="2" t="s">
        <v>4275</v>
      </c>
      <c r="D1997" s="2"/>
      <c r="E1997" s="2"/>
      <c r="F1997" s="31" t="n">
        <v>13.3</v>
      </c>
      <c r="G1997" s="31" t="n">
        <v>99.1</v>
      </c>
      <c r="H1997" s="2" t="s">
        <v>832</v>
      </c>
    </row>
    <row r="1998" customFormat="false" ht="15" hidden="false" customHeight="false" outlineLevel="0" collapsed="false">
      <c r="A1998" s="2" t="s">
        <v>3069</v>
      </c>
      <c r="B1998" s="2" t="s">
        <v>46</v>
      </c>
      <c r="C1998" s="2" t="s">
        <v>4274</v>
      </c>
      <c r="D1998" s="11" t="n">
        <v>397210</v>
      </c>
      <c r="E1998" s="31" t="n">
        <v>19</v>
      </c>
      <c r="F1998" s="31" t="n">
        <v>64.1</v>
      </c>
      <c r="G1998" s="31" t="n">
        <v>71.2</v>
      </c>
      <c r="H1998" s="2" t="s">
        <v>822</v>
      </c>
    </row>
    <row r="1999" customFormat="false" ht="15" hidden="false" customHeight="false" outlineLevel="0" collapsed="false">
      <c r="A1999" s="2" t="s">
        <v>3069</v>
      </c>
      <c r="B1999" s="2" t="s">
        <v>46</v>
      </c>
      <c r="C1999" s="2" t="s">
        <v>4275</v>
      </c>
      <c r="D1999" s="2"/>
      <c r="E1999" s="2"/>
      <c r="F1999" s="2"/>
      <c r="G1999" s="2"/>
      <c r="H1999" s="2" t="s">
        <v>832</v>
      </c>
    </row>
    <row r="2000" customFormat="false" ht="15" hidden="false" customHeight="false" outlineLevel="0" collapsed="false">
      <c r="A2000" s="2" t="s">
        <v>3069</v>
      </c>
      <c r="B2000" s="2" t="s">
        <v>47</v>
      </c>
      <c r="C2000" s="2" t="s">
        <v>4274</v>
      </c>
      <c r="D2000" s="11" t="n">
        <v>45260</v>
      </c>
      <c r="E2000" s="31" t="n">
        <v>20.8</v>
      </c>
      <c r="F2000" s="31" t="n">
        <v>14.4</v>
      </c>
      <c r="G2000" s="31" t="n">
        <v>98.9</v>
      </c>
      <c r="H2000" s="2" t="s">
        <v>822</v>
      </c>
    </row>
    <row r="2001" customFormat="false" ht="15" hidden="false" customHeight="false" outlineLevel="0" collapsed="false">
      <c r="A2001" s="2" t="s">
        <v>3069</v>
      </c>
      <c r="B2001" s="2" t="s">
        <v>47</v>
      </c>
      <c r="C2001" s="2" t="s">
        <v>4275</v>
      </c>
      <c r="D2001" s="11" t="n">
        <v>46767</v>
      </c>
      <c r="E2001" s="2"/>
      <c r="F2001" s="31" t="n">
        <v>13.3</v>
      </c>
      <c r="G2001" s="31" t="n">
        <v>99.1</v>
      </c>
      <c r="H2001" s="2" t="s">
        <v>832</v>
      </c>
    </row>
    <row r="2002" customFormat="false" ht="15" hidden="false" customHeight="false" outlineLevel="0" collapsed="false">
      <c r="A2002" s="2" t="s">
        <v>736</v>
      </c>
      <c r="B2002" s="2" t="s">
        <v>4291</v>
      </c>
      <c r="C2002" s="2" t="s">
        <v>4274</v>
      </c>
      <c r="D2002" s="2"/>
      <c r="E2002" s="31" t="n">
        <v>35</v>
      </c>
      <c r="F2002" s="31" t="n">
        <v>39.4</v>
      </c>
      <c r="G2002" s="2"/>
      <c r="H2002" s="2" t="s">
        <v>832</v>
      </c>
    </row>
    <row r="2003" customFormat="false" ht="15" hidden="false" customHeight="false" outlineLevel="0" collapsed="false">
      <c r="A2003" s="2" t="s">
        <v>736</v>
      </c>
      <c r="B2003" s="2" t="s">
        <v>4291</v>
      </c>
      <c r="C2003" s="2" t="s">
        <v>4275</v>
      </c>
      <c r="D2003" s="2"/>
      <c r="E2003" s="31" t="n">
        <v>23.4</v>
      </c>
      <c r="F2003" s="31" t="n">
        <v>32.4</v>
      </c>
      <c r="G2003" s="31" t="n">
        <v>22.3</v>
      </c>
      <c r="H2003" s="2" t="s">
        <v>822</v>
      </c>
    </row>
    <row r="2004" customFormat="false" ht="15" hidden="false" customHeight="false" outlineLevel="0" collapsed="false">
      <c r="A2004" s="2" t="s">
        <v>736</v>
      </c>
      <c r="B2004" s="2" t="s">
        <v>45</v>
      </c>
      <c r="C2004" s="2" t="s">
        <v>4274</v>
      </c>
      <c r="D2004" s="11" t="n">
        <v>33720</v>
      </c>
      <c r="E2004" s="31" t="n">
        <v>35</v>
      </c>
      <c r="F2004" s="31" t="n">
        <v>39.4</v>
      </c>
      <c r="G2004" s="2"/>
      <c r="H2004" s="2" t="s">
        <v>832</v>
      </c>
    </row>
    <row r="2005" customFormat="false" ht="15" hidden="false" customHeight="false" outlineLevel="0" collapsed="false">
      <c r="A2005" s="2" t="s">
        <v>736</v>
      </c>
      <c r="B2005" s="2" t="s">
        <v>45</v>
      </c>
      <c r="C2005" s="2" t="s">
        <v>4275</v>
      </c>
      <c r="D2005" s="11" t="n">
        <v>32866</v>
      </c>
      <c r="E2005" s="31" t="n">
        <v>42</v>
      </c>
      <c r="F2005" s="31" t="n">
        <v>42.6</v>
      </c>
      <c r="G2005" s="31" t="n">
        <v>41.7</v>
      </c>
      <c r="H2005" s="2" t="s">
        <v>822</v>
      </c>
    </row>
    <row r="2006" customFormat="false" ht="15" hidden="false" customHeight="false" outlineLevel="0" collapsed="false">
      <c r="A2006" s="2" t="s">
        <v>736</v>
      </c>
      <c r="B2006" s="2" t="s">
        <v>46</v>
      </c>
      <c r="C2006" s="2" t="s">
        <v>4274</v>
      </c>
      <c r="D2006" s="2"/>
      <c r="E2006" s="2"/>
      <c r="F2006" s="2"/>
      <c r="G2006" s="2"/>
      <c r="H2006" s="2" t="s">
        <v>832</v>
      </c>
    </row>
    <row r="2007" customFormat="false" ht="15" hidden="false" customHeight="false" outlineLevel="0" collapsed="false">
      <c r="A2007" s="2" t="s">
        <v>736</v>
      </c>
      <c r="B2007" s="2" t="s">
        <v>46</v>
      </c>
      <c r="C2007" s="2" t="s">
        <v>4275</v>
      </c>
      <c r="D2007" s="11" t="n">
        <v>137690</v>
      </c>
      <c r="E2007" s="31" t="n">
        <v>4.9</v>
      </c>
      <c r="F2007" s="31" t="n">
        <v>22.3</v>
      </c>
      <c r="G2007" s="31" t="n">
        <v>2.9</v>
      </c>
      <c r="H2007" s="2" t="s">
        <v>822</v>
      </c>
    </row>
    <row r="2008" customFormat="false" ht="15" hidden="false" customHeight="false" outlineLevel="0" collapsed="false">
      <c r="A2008" s="2" t="s">
        <v>2167</v>
      </c>
      <c r="B2008" s="2" t="s">
        <v>4291</v>
      </c>
      <c r="C2008" s="2" t="s">
        <v>4274</v>
      </c>
      <c r="D2008" s="2"/>
      <c r="E2008" s="31" t="n">
        <v>46.2</v>
      </c>
      <c r="F2008" s="31" t="n">
        <v>22.1</v>
      </c>
      <c r="G2008" s="31" t="n">
        <v>31.7</v>
      </c>
      <c r="H2008" s="2" t="s">
        <v>822</v>
      </c>
    </row>
    <row r="2009" customFormat="false" ht="15" hidden="false" customHeight="false" outlineLevel="0" collapsed="false">
      <c r="A2009" s="2" t="s">
        <v>2167</v>
      </c>
      <c r="B2009" s="2" t="s">
        <v>4291</v>
      </c>
      <c r="C2009" s="2" t="s">
        <v>4275</v>
      </c>
      <c r="D2009" s="2"/>
      <c r="E2009" s="31" t="n">
        <v>13.8</v>
      </c>
      <c r="F2009" s="31" t="n">
        <v>41.1</v>
      </c>
      <c r="G2009" s="31" t="n">
        <v>30.7</v>
      </c>
      <c r="H2009" s="2" t="s">
        <v>832</v>
      </c>
    </row>
    <row r="2010" customFormat="false" ht="15" hidden="false" customHeight="false" outlineLevel="0" collapsed="false">
      <c r="A2010" s="2" t="s">
        <v>2167</v>
      </c>
      <c r="B2010" s="2" t="s">
        <v>45</v>
      </c>
      <c r="C2010" s="2" t="s">
        <v>4274</v>
      </c>
      <c r="D2010" s="11" t="n">
        <v>26650</v>
      </c>
      <c r="E2010" s="31" t="n">
        <v>98</v>
      </c>
      <c r="F2010" s="31" t="n">
        <v>5.1</v>
      </c>
      <c r="G2010" s="31" t="n">
        <v>29.5</v>
      </c>
      <c r="H2010" s="2" t="s">
        <v>822</v>
      </c>
    </row>
    <row r="2011" customFormat="false" ht="15" hidden="false" customHeight="false" outlineLevel="0" collapsed="false">
      <c r="A2011" s="2" t="s">
        <v>2167</v>
      </c>
      <c r="B2011" s="2" t="s">
        <v>45</v>
      </c>
      <c r="C2011" s="2" t="s">
        <v>4275</v>
      </c>
      <c r="D2011" s="2"/>
      <c r="E2011" s="2"/>
      <c r="F2011" s="2"/>
      <c r="G2011" s="2"/>
      <c r="H2011" s="2" t="s">
        <v>832</v>
      </c>
    </row>
    <row r="2012" customFormat="false" ht="15" hidden="false" customHeight="false" outlineLevel="0" collapsed="false">
      <c r="A2012" s="2" t="s">
        <v>2167</v>
      </c>
      <c r="B2012" s="2" t="s">
        <v>46</v>
      </c>
      <c r="C2012" s="2" t="s">
        <v>4274</v>
      </c>
      <c r="D2012" s="11" t="n">
        <v>52995</v>
      </c>
      <c r="E2012" s="31" t="n">
        <v>4.5</v>
      </c>
      <c r="F2012" s="31" t="n">
        <v>52.1</v>
      </c>
      <c r="G2012" s="31" t="n">
        <v>42.2</v>
      </c>
      <c r="H2012" s="2" t="s">
        <v>822</v>
      </c>
    </row>
    <row r="2013" customFormat="false" ht="15" hidden="false" customHeight="false" outlineLevel="0" collapsed="false">
      <c r="A2013" s="2" t="s">
        <v>2167</v>
      </c>
      <c r="B2013" s="2" t="s">
        <v>46</v>
      </c>
      <c r="C2013" s="2" t="s">
        <v>4275</v>
      </c>
      <c r="D2013" s="11" t="n">
        <v>55410</v>
      </c>
      <c r="E2013" s="31" t="n">
        <v>5.7</v>
      </c>
      <c r="F2013" s="31" t="n">
        <v>72.4</v>
      </c>
      <c r="G2013" s="31" t="n">
        <v>21.6</v>
      </c>
      <c r="H2013" s="2" t="s">
        <v>822</v>
      </c>
    </row>
    <row r="2014" customFormat="false" ht="15" hidden="false" customHeight="false" outlineLevel="0" collapsed="false">
      <c r="A2014" s="2" t="s">
        <v>2167</v>
      </c>
      <c r="B2014" s="2" t="s">
        <v>47</v>
      </c>
      <c r="C2014" s="2" t="s">
        <v>4274</v>
      </c>
      <c r="D2014" s="11" t="n">
        <v>62016</v>
      </c>
      <c r="E2014" s="31" t="n">
        <v>36.2</v>
      </c>
      <c r="F2014" s="31" t="n">
        <v>9.2</v>
      </c>
      <c r="G2014" s="31" t="n">
        <v>23.5</v>
      </c>
      <c r="H2014" s="2" t="s">
        <v>822</v>
      </c>
    </row>
    <row r="2015" customFormat="false" ht="15" hidden="false" customHeight="false" outlineLevel="0" collapsed="false">
      <c r="A2015" s="2" t="s">
        <v>2167</v>
      </c>
      <c r="B2015" s="2" t="s">
        <v>47</v>
      </c>
      <c r="C2015" s="2" t="s">
        <v>4275</v>
      </c>
      <c r="D2015" s="11" t="n">
        <v>62329</v>
      </c>
      <c r="E2015" s="31" t="n">
        <v>21.9</v>
      </c>
      <c r="F2015" s="31" t="n">
        <v>9.7</v>
      </c>
      <c r="G2015" s="31" t="n">
        <v>39.8</v>
      </c>
      <c r="H2015" s="2" t="s">
        <v>822</v>
      </c>
    </row>
    <row r="2016" customFormat="false" ht="15" hidden="false" customHeight="false" outlineLevel="0" collapsed="false">
      <c r="A2016" s="2" t="s">
        <v>1643</v>
      </c>
      <c r="B2016" s="2" t="s">
        <v>4291</v>
      </c>
      <c r="C2016" s="2" t="s">
        <v>4274</v>
      </c>
      <c r="D2016" s="2"/>
      <c r="E2016" s="31" t="n">
        <v>94.3</v>
      </c>
      <c r="F2016" s="31" t="n">
        <v>70.2</v>
      </c>
      <c r="G2016" s="31" t="n">
        <v>94.5</v>
      </c>
      <c r="H2016" s="2" t="s">
        <v>832</v>
      </c>
    </row>
    <row r="2017" customFormat="false" ht="15" hidden="false" customHeight="false" outlineLevel="0" collapsed="false">
      <c r="A2017" s="2" t="s">
        <v>1643</v>
      </c>
      <c r="B2017" s="2" t="s">
        <v>4291</v>
      </c>
      <c r="C2017" s="2" t="s">
        <v>4275</v>
      </c>
      <c r="D2017" s="2"/>
      <c r="E2017" s="31" t="n">
        <v>59.2</v>
      </c>
      <c r="F2017" s="31" t="n">
        <v>72.1</v>
      </c>
      <c r="G2017" s="31" t="n">
        <v>83.2</v>
      </c>
      <c r="H2017" s="2" t="s">
        <v>832</v>
      </c>
    </row>
    <row r="2018" customFormat="false" ht="15" hidden="false" customHeight="false" outlineLevel="0" collapsed="false">
      <c r="A2018" s="2" t="s">
        <v>1643</v>
      </c>
      <c r="B2018" s="2" t="s">
        <v>45</v>
      </c>
      <c r="C2018" s="2" t="s">
        <v>4274</v>
      </c>
      <c r="D2018" s="11" t="n">
        <v>22920</v>
      </c>
      <c r="E2018" s="2"/>
      <c r="F2018" s="31" t="n">
        <v>41.6</v>
      </c>
      <c r="G2018" s="2"/>
      <c r="H2018" s="2" t="s">
        <v>832</v>
      </c>
    </row>
    <row r="2019" customFormat="false" ht="15" hidden="false" customHeight="false" outlineLevel="0" collapsed="false">
      <c r="A2019" s="2" t="s">
        <v>1643</v>
      </c>
      <c r="B2019" s="2" t="s">
        <v>45</v>
      </c>
      <c r="C2019" s="2" t="s">
        <v>4275</v>
      </c>
      <c r="D2019" s="11" t="n">
        <v>23897</v>
      </c>
      <c r="E2019" s="31" t="n">
        <v>25</v>
      </c>
      <c r="F2019" s="31" t="n">
        <v>47.8</v>
      </c>
      <c r="G2019" s="2"/>
      <c r="H2019" s="2" t="s">
        <v>832</v>
      </c>
    </row>
    <row r="2020" customFormat="false" ht="15" hidden="false" customHeight="false" outlineLevel="0" collapsed="false">
      <c r="A2020" s="2" t="s">
        <v>1643</v>
      </c>
      <c r="B2020" s="2" t="s">
        <v>46</v>
      </c>
      <c r="C2020" s="2" t="s">
        <v>4274</v>
      </c>
      <c r="D2020" s="11" t="n">
        <v>19200</v>
      </c>
      <c r="E2020" s="31" t="n">
        <v>94.3</v>
      </c>
      <c r="F2020" s="31" t="n">
        <v>98.9</v>
      </c>
      <c r="G2020" s="31" t="n">
        <v>94.5</v>
      </c>
      <c r="H2020" s="2" t="s">
        <v>822</v>
      </c>
    </row>
    <row r="2021" customFormat="false" ht="15" hidden="false" customHeight="false" outlineLevel="0" collapsed="false">
      <c r="A2021" s="2" t="s">
        <v>1643</v>
      </c>
      <c r="B2021" s="2" t="s">
        <v>46</v>
      </c>
      <c r="C2021" s="2" t="s">
        <v>4275</v>
      </c>
      <c r="D2021" s="11" t="n">
        <v>20880</v>
      </c>
      <c r="E2021" s="31" t="n">
        <v>93.5</v>
      </c>
      <c r="F2021" s="31" t="n">
        <v>96.4</v>
      </c>
      <c r="G2021" s="31" t="n">
        <v>83.2</v>
      </c>
      <c r="H2021" s="2" t="s">
        <v>822</v>
      </c>
    </row>
    <row r="2022" customFormat="false" ht="15" hidden="false" customHeight="false" outlineLevel="0" collapsed="false">
      <c r="A2022" s="2" t="s">
        <v>3072</v>
      </c>
      <c r="B2022" s="2" t="s">
        <v>4291</v>
      </c>
      <c r="C2022" s="2" t="s">
        <v>4274</v>
      </c>
      <c r="D2022" s="2"/>
      <c r="E2022" s="31" t="n">
        <v>64.1</v>
      </c>
      <c r="F2022" s="31" t="n">
        <v>21.6</v>
      </c>
      <c r="G2022" s="31" t="n">
        <v>31.6</v>
      </c>
      <c r="H2022" s="2" t="s">
        <v>832</v>
      </c>
    </row>
    <row r="2023" customFormat="false" ht="15" hidden="false" customHeight="false" outlineLevel="0" collapsed="false">
      <c r="A2023" s="2" t="s">
        <v>3072</v>
      </c>
      <c r="B2023" s="2" t="s">
        <v>4291</v>
      </c>
      <c r="C2023" s="2" t="s">
        <v>4275</v>
      </c>
      <c r="D2023" s="2"/>
      <c r="E2023" s="2"/>
      <c r="F2023" s="2"/>
      <c r="G2023" s="2"/>
      <c r="H2023" s="2" t="s">
        <v>832</v>
      </c>
    </row>
    <row r="2024" customFormat="false" ht="15" hidden="false" customHeight="false" outlineLevel="0" collapsed="false">
      <c r="A2024" s="2" t="s">
        <v>3072</v>
      </c>
      <c r="B2024" s="2" t="s">
        <v>45</v>
      </c>
      <c r="C2024" s="2" t="s">
        <v>4274</v>
      </c>
      <c r="D2024" s="11" t="n">
        <v>442622</v>
      </c>
      <c r="E2024" s="31" t="n">
        <v>88.3</v>
      </c>
      <c r="F2024" s="31" t="n">
        <v>8.2</v>
      </c>
      <c r="G2024" s="31" t="n">
        <v>60</v>
      </c>
      <c r="H2024" s="2" t="s">
        <v>822</v>
      </c>
    </row>
    <row r="2025" customFormat="false" ht="15" hidden="false" customHeight="false" outlineLevel="0" collapsed="false">
      <c r="A2025" s="2" t="s">
        <v>3072</v>
      </c>
      <c r="B2025" s="2" t="s">
        <v>45</v>
      </c>
      <c r="C2025" s="2" t="s">
        <v>4275</v>
      </c>
      <c r="D2025" s="2"/>
      <c r="E2025" s="2"/>
      <c r="F2025" s="2"/>
      <c r="G2025" s="2"/>
      <c r="H2025" s="2" t="s">
        <v>832</v>
      </c>
    </row>
    <row r="2026" customFormat="false" ht="15" hidden="false" customHeight="false" outlineLevel="0" collapsed="false">
      <c r="A2026" s="2" t="s">
        <v>3072</v>
      </c>
      <c r="B2026" s="2" t="s">
        <v>46</v>
      </c>
      <c r="C2026" s="2" t="s">
        <v>4274</v>
      </c>
      <c r="D2026" s="11" t="n">
        <v>2066060</v>
      </c>
      <c r="E2026" s="31" t="n">
        <v>74.6</v>
      </c>
      <c r="F2026" s="31" t="n">
        <v>11.1</v>
      </c>
      <c r="G2026" s="2"/>
      <c r="H2026" s="2" t="s">
        <v>832</v>
      </c>
    </row>
    <row r="2027" customFormat="false" ht="15" hidden="false" customHeight="false" outlineLevel="0" collapsed="false">
      <c r="A2027" s="2" t="s">
        <v>3072</v>
      </c>
      <c r="B2027" s="2" t="s">
        <v>46</v>
      </c>
      <c r="C2027" s="2" t="s">
        <v>4275</v>
      </c>
      <c r="D2027" s="2"/>
      <c r="E2027" s="2"/>
      <c r="F2027" s="2"/>
      <c r="G2027" s="2"/>
      <c r="H2027" s="2" t="s">
        <v>832</v>
      </c>
    </row>
    <row r="2028" customFormat="false" ht="15" hidden="false" customHeight="false" outlineLevel="0" collapsed="false">
      <c r="A2028" s="2" t="s">
        <v>3072</v>
      </c>
      <c r="B2028" s="2" t="s">
        <v>47</v>
      </c>
      <c r="C2028" s="2" t="s">
        <v>4274</v>
      </c>
      <c r="D2028" s="11" t="n">
        <v>8054</v>
      </c>
      <c r="E2028" s="31" t="n">
        <v>29.4</v>
      </c>
      <c r="F2028" s="31" t="n">
        <v>45.6</v>
      </c>
      <c r="G2028" s="31" t="n">
        <v>3.2</v>
      </c>
      <c r="H2028" s="2" t="s">
        <v>822</v>
      </c>
    </row>
    <row r="2029" customFormat="false" ht="15" hidden="false" customHeight="false" outlineLevel="0" collapsed="false">
      <c r="A2029" s="2" t="s">
        <v>3072</v>
      </c>
      <c r="B2029" s="2" t="s">
        <v>47</v>
      </c>
      <c r="C2029" s="2" t="s">
        <v>4275</v>
      </c>
      <c r="D2029" s="2"/>
      <c r="E2029" s="2"/>
      <c r="F2029" s="2"/>
      <c r="G2029" s="2"/>
      <c r="H2029" s="2" t="s">
        <v>832</v>
      </c>
    </row>
    <row r="2030" customFormat="false" ht="15" hidden="false" customHeight="false" outlineLevel="0" collapsed="false">
      <c r="A2030" s="2" t="s">
        <v>794</v>
      </c>
      <c r="B2030" s="2" t="s">
        <v>4291</v>
      </c>
      <c r="C2030" s="2" t="s">
        <v>4274</v>
      </c>
      <c r="D2030" s="2"/>
      <c r="E2030" s="31" t="n">
        <v>23.5</v>
      </c>
      <c r="F2030" s="31" t="n">
        <v>96.6</v>
      </c>
      <c r="G2030" s="31" t="n">
        <v>33.7</v>
      </c>
      <c r="H2030" s="2" t="s">
        <v>822</v>
      </c>
    </row>
    <row r="2031" customFormat="false" ht="15" hidden="false" customHeight="false" outlineLevel="0" collapsed="false">
      <c r="A2031" s="2" t="s">
        <v>794</v>
      </c>
      <c r="B2031" s="2" t="s">
        <v>4291</v>
      </c>
      <c r="C2031" s="2" t="s">
        <v>4275</v>
      </c>
      <c r="D2031" s="2"/>
      <c r="E2031" s="31" t="n">
        <v>12.5</v>
      </c>
      <c r="F2031" s="31" t="n">
        <v>85.7</v>
      </c>
      <c r="G2031" s="31" t="n">
        <v>14.5</v>
      </c>
      <c r="H2031" s="2" t="s">
        <v>822</v>
      </c>
    </row>
    <row r="2032" customFormat="false" ht="15" hidden="false" customHeight="false" outlineLevel="0" collapsed="false">
      <c r="A2032" s="2" t="s">
        <v>794</v>
      </c>
      <c r="B2032" s="2" t="s">
        <v>45</v>
      </c>
      <c r="C2032" s="2" t="s">
        <v>4274</v>
      </c>
      <c r="D2032" s="11" t="n">
        <v>142867</v>
      </c>
      <c r="E2032" s="31" t="n">
        <v>23.5</v>
      </c>
      <c r="F2032" s="31" t="n">
        <v>96.6</v>
      </c>
      <c r="G2032" s="31" t="n">
        <v>33.7</v>
      </c>
      <c r="H2032" s="2" t="s">
        <v>822</v>
      </c>
    </row>
    <row r="2033" customFormat="false" ht="15" hidden="false" customHeight="false" outlineLevel="0" collapsed="false">
      <c r="A2033" s="2" t="s">
        <v>794</v>
      </c>
      <c r="B2033" s="2" t="s">
        <v>45</v>
      </c>
      <c r="C2033" s="2" t="s">
        <v>4275</v>
      </c>
      <c r="D2033" s="11" t="n">
        <v>149030</v>
      </c>
      <c r="E2033" s="31" t="n">
        <v>12.5</v>
      </c>
      <c r="F2033" s="31" t="n">
        <v>85.7</v>
      </c>
      <c r="G2033" s="31" t="n">
        <v>14.5</v>
      </c>
      <c r="H2033" s="2" t="s">
        <v>822</v>
      </c>
    </row>
    <row r="2034" customFormat="false" ht="15" hidden="false" customHeight="false" outlineLevel="0" collapsed="false">
      <c r="A2034" s="2" t="s">
        <v>428</v>
      </c>
      <c r="B2034" s="2" t="s">
        <v>4291</v>
      </c>
      <c r="C2034" s="2" t="s">
        <v>4274</v>
      </c>
      <c r="D2034" s="2"/>
      <c r="E2034" s="31" t="n">
        <v>58.3</v>
      </c>
      <c r="F2034" s="31" t="n">
        <v>64.7</v>
      </c>
      <c r="G2034" s="31" t="n">
        <v>13.6</v>
      </c>
      <c r="H2034" s="2" t="s">
        <v>822</v>
      </c>
    </row>
    <row r="2035" customFormat="false" ht="15" hidden="false" customHeight="false" outlineLevel="0" collapsed="false">
      <c r="A2035" s="2" t="s">
        <v>428</v>
      </c>
      <c r="B2035" s="2" t="s">
        <v>4291</v>
      </c>
      <c r="C2035" s="2" t="s">
        <v>4275</v>
      </c>
      <c r="D2035" s="2"/>
      <c r="E2035" s="31" t="n">
        <v>53.6</v>
      </c>
      <c r="F2035" s="31" t="n">
        <v>58.2</v>
      </c>
      <c r="G2035" s="31" t="n">
        <v>14.1</v>
      </c>
      <c r="H2035" s="2" t="s">
        <v>822</v>
      </c>
    </row>
    <row r="2036" customFormat="false" ht="15" hidden="false" customHeight="false" outlineLevel="0" collapsed="false">
      <c r="A2036" s="2" t="s">
        <v>428</v>
      </c>
      <c r="B2036" s="2" t="s">
        <v>45</v>
      </c>
      <c r="C2036" s="2" t="s">
        <v>4274</v>
      </c>
      <c r="D2036" s="11" t="n">
        <v>81652</v>
      </c>
      <c r="E2036" s="31" t="n">
        <v>88.5</v>
      </c>
      <c r="F2036" s="31" t="n">
        <v>77.7</v>
      </c>
      <c r="G2036" s="31" t="n">
        <v>11</v>
      </c>
      <c r="H2036" s="2" t="s">
        <v>822</v>
      </c>
    </row>
    <row r="2037" customFormat="false" ht="15" hidden="false" customHeight="false" outlineLevel="0" collapsed="false">
      <c r="A2037" s="2" t="s">
        <v>428</v>
      </c>
      <c r="B2037" s="2" t="s">
        <v>45</v>
      </c>
      <c r="C2037" s="2" t="s">
        <v>4275</v>
      </c>
      <c r="D2037" s="11" t="n">
        <v>85530</v>
      </c>
      <c r="E2037" s="31" t="n">
        <v>95.5</v>
      </c>
      <c r="F2037" s="31" t="n">
        <v>47.4</v>
      </c>
      <c r="G2037" s="31" t="n">
        <v>25.9</v>
      </c>
      <c r="H2037" s="2" t="s">
        <v>822</v>
      </c>
    </row>
    <row r="2038" customFormat="false" ht="15" hidden="false" customHeight="false" outlineLevel="0" collapsed="false">
      <c r="A2038" s="2" t="s">
        <v>428</v>
      </c>
      <c r="B2038" s="2" t="s">
        <v>46</v>
      </c>
      <c r="C2038" s="2" t="s">
        <v>4274</v>
      </c>
      <c r="D2038" s="11" t="n">
        <v>126970</v>
      </c>
      <c r="E2038" s="31" t="n">
        <v>14.3</v>
      </c>
      <c r="F2038" s="31" t="n">
        <v>35.9</v>
      </c>
      <c r="G2038" s="31" t="n">
        <v>10</v>
      </c>
      <c r="H2038" s="2" t="s">
        <v>822</v>
      </c>
    </row>
    <row r="2039" customFormat="false" ht="15" hidden="false" customHeight="false" outlineLevel="0" collapsed="false">
      <c r="A2039" s="2" t="s">
        <v>428</v>
      </c>
      <c r="B2039" s="2" t="s">
        <v>46</v>
      </c>
      <c r="C2039" s="2" t="s">
        <v>4275</v>
      </c>
      <c r="D2039" s="11" t="n">
        <v>131140</v>
      </c>
      <c r="E2039" s="31" t="n">
        <v>13.9</v>
      </c>
      <c r="F2039" s="31" t="n">
        <v>58.6</v>
      </c>
      <c r="G2039" s="31" t="n">
        <v>6.6</v>
      </c>
      <c r="H2039" s="2" t="s">
        <v>822</v>
      </c>
    </row>
    <row r="2040" customFormat="false" ht="15" hidden="false" customHeight="false" outlineLevel="0" collapsed="false">
      <c r="A2040" s="2" t="s">
        <v>428</v>
      </c>
      <c r="B2040" s="2" t="s">
        <v>47</v>
      </c>
      <c r="C2040" s="2" t="s">
        <v>4274</v>
      </c>
      <c r="D2040" s="11" t="n">
        <v>56947</v>
      </c>
      <c r="E2040" s="31" t="n">
        <v>72</v>
      </c>
      <c r="F2040" s="31" t="n">
        <v>80.4</v>
      </c>
      <c r="G2040" s="31" t="n">
        <v>19.9</v>
      </c>
      <c r="H2040" s="2" t="s">
        <v>822</v>
      </c>
    </row>
    <row r="2041" customFormat="false" ht="15" hidden="false" customHeight="false" outlineLevel="0" collapsed="false">
      <c r="A2041" s="2" t="s">
        <v>428</v>
      </c>
      <c r="B2041" s="2" t="s">
        <v>47</v>
      </c>
      <c r="C2041" s="2" t="s">
        <v>4275</v>
      </c>
      <c r="D2041" s="11" t="n">
        <v>60094</v>
      </c>
      <c r="E2041" s="31" t="n">
        <v>51.3</v>
      </c>
      <c r="F2041" s="31" t="n">
        <v>68.5</v>
      </c>
      <c r="G2041" s="31" t="n">
        <v>9.9</v>
      </c>
      <c r="H2041" s="2" t="s">
        <v>822</v>
      </c>
    </row>
    <row r="2042" customFormat="false" ht="15" hidden="false" customHeight="false" outlineLevel="0" collapsed="false">
      <c r="A2042" s="2" t="s">
        <v>1857</v>
      </c>
      <c r="B2042" s="2" t="s">
        <v>4291</v>
      </c>
      <c r="C2042" s="2" t="s">
        <v>4274</v>
      </c>
      <c r="D2042" s="2"/>
      <c r="E2042" s="31" t="n">
        <v>65.9</v>
      </c>
      <c r="F2042" s="31" t="n">
        <v>55.2</v>
      </c>
      <c r="G2042" s="31" t="n">
        <v>21.9</v>
      </c>
      <c r="H2042" s="2" t="s">
        <v>832</v>
      </c>
    </row>
    <row r="2043" customFormat="false" ht="15" hidden="false" customHeight="false" outlineLevel="0" collapsed="false">
      <c r="A2043" s="2" t="s">
        <v>1857</v>
      </c>
      <c r="B2043" s="2" t="s">
        <v>4291</v>
      </c>
      <c r="C2043" s="2" t="s">
        <v>4275</v>
      </c>
      <c r="D2043" s="2"/>
      <c r="E2043" s="31" t="n">
        <v>63.6</v>
      </c>
      <c r="F2043" s="31" t="n">
        <v>42.7</v>
      </c>
      <c r="G2043" s="31" t="n">
        <v>35.8</v>
      </c>
      <c r="H2043" s="2" t="s">
        <v>832</v>
      </c>
    </row>
    <row r="2044" customFormat="false" ht="15" hidden="false" customHeight="false" outlineLevel="0" collapsed="false">
      <c r="A2044" s="2" t="s">
        <v>1857</v>
      </c>
      <c r="B2044" s="2" t="s">
        <v>45</v>
      </c>
      <c r="C2044" s="2" t="s">
        <v>4274</v>
      </c>
      <c r="D2044" s="11" t="n">
        <v>42490</v>
      </c>
      <c r="E2044" s="31" t="n">
        <v>65.4</v>
      </c>
      <c r="F2044" s="31" t="n">
        <v>16.1</v>
      </c>
      <c r="G2044" s="2"/>
      <c r="H2044" s="2" t="s">
        <v>832</v>
      </c>
    </row>
    <row r="2045" customFormat="false" ht="15" hidden="false" customHeight="false" outlineLevel="0" collapsed="false">
      <c r="A2045" s="2" t="s">
        <v>1857</v>
      </c>
      <c r="B2045" s="2" t="s">
        <v>45</v>
      </c>
      <c r="C2045" s="2" t="s">
        <v>4275</v>
      </c>
      <c r="D2045" s="11" t="n">
        <v>42836</v>
      </c>
      <c r="E2045" s="31" t="n">
        <v>65.2</v>
      </c>
      <c r="F2045" s="31" t="n">
        <v>5.2</v>
      </c>
      <c r="G2045" s="2"/>
      <c r="H2045" s="2" t="s">
        <v>832</v>
      </c>
    </row>
    <row r="2046" customFormat="false" ht="15" hidden="false" customHeight="false" outlineLevel="0" collapsed="false">
      <c r="A2046" s="2" t="s">
        <v>1857</v>
      </c>
      <c r="B2046" s="2" t="s">
        <v>46</v>
      </c>
      <c r="C2046" s="2" t="s">
        <v>4274</v>
      </c>
      <c r="D2046" s="2"/>
      <c r="E2046" s="2"/>
      <c r="F2046" s="2"/>
      <c r="G2046" s="2"/>
      <c r="H2046" s="2" t="s">
        <v>832</v>
      </c>
    </row>
    <row r="2047" customFormat="false" ht="15" hidden="false" customHeight="false" outlineLevel="0" collapsed="false">
      <c r="A2047" s="2" t="s">
        <v>1857</v>
      </c>
      <c r="B2047" s="2" t="s">
        <v>46</v>
      </c>
      <c r="C2047" s="2" t="s">
        <v>4275</v>
      </c>
      <c r="D2047" s="11" t="n">
        <v>142240</v>
      </c>
      <c r="E2047" s="31" t="n">
        <v>56.6</v>
      </c>
      <c r="F2047" s="31" t="n">
        <v>48.4</v>
      </c>
      <c r="G2047" s="31" t="n">
        <v>64.2</v>
      </c>
      <c r="H2047" s="2" t="s">
        <v>822</v>
      </c>
    </row>
    <row r="2048" customFormat="false" ht="15" hidden="false" customHeight="false" outlineLevel="0" collapsed="false">
      <c r="A2048" s="2" t="s">
        <v>1857</v>
      </c>
      <c r="B2048" s="2" t="s">
        <v>47</v>
      </c>
      <c r="C2048" s="2" t="s">
        <v>4274</v>
      </c>
      <c r="D2048" s="11" t="n">
        <v>158334</v>
      </c>
      <c r="E2048" s="31" t="n">
        <v>66.4</v>
      </c>
      <c r="F2048" s="31" t="n">
        <v>94.4</v>
      </c>
      <c r="G2048" s="31" t="n">
        <v>21.9</v>
      </c>
      <c r="H2048" s="2" t="s">
        <v>822</v>
      </c>
    </row>
    <row r="2049" customFormat="false" ht="15" hidden="false" customHeight="false" outlineLevel="0" collapsed="false">
      <c r="A2049" s="2" t="s">
        <v>1857</v>
      </c>
      <c r="B2049" s="2" t="s">
        <v>47</v>
      </c>
      <c r="C2049" s="2" t="s">
        <v>4275</v>
      </c>
      <c r="D2049" s="11" t="n">
        <v>170620</v>
      </c>
      <c r="E2049" s="31" t="n">
        <v>69.1</v>
      </c>
      <c r="F2049" s="31" t="n">
        <v>74.5</v>
      </c>
      <c r="G2049" s="31" t="n">
        <v>7.3</v>
      </c>
      <c r="H2049" s="2" t="s">
        <v>822</v>
      </c>
    </row>
    <row r="2050" customFormat="false" ht="15" hidden="false" customHeight="false" outlineLevel="0" collapsed="false">
      <c r="A2050" s="2" t="s">
        <v>426</v>
      </c>
      <c r="B2050" s="2" t="s">
        <v>4291</v>
      </c>
      <c r="C2050" s="2" t="s">
        <v>4274</v>
      </c>
      <c r="D2050" s="2"/>
      <c r="E2050" s="31" t="n">
        <v>44.1</v>
      </c>
      <c r="F2050" s="31" t="n">
        <v>47.7</v>
      </c>
      <c r="G2050" s="31" t="n">
        <v>52.1</v>
      </c>
      <c r="H2050" s="2" t="s">
        <v>832</v>
      </c>
    </row>
    <row r="2051" customFormat="false" ht="15" hidden="false" customHeight="false" outlineLevel="0" collapsed="false">
      <c r="A2051" s="2" t="s">
        <v>426</v>
      </c>
      <c r="B2051" s="2" t="s">
        <v>4291</v>
      </c>
      <c r="C2051" s="2" t="s">
        <v>4275</v>
      </c>
      <c r="D2051" s="2"/>
      <c r="E2051" s="31" t="n">
        <v>53.6</v>
      </c>
      <c r="F2051" s="31" t="n">
        <v>53.7</v>
      </c>
      <c r="G2051" s="31" t="n">
        <v>38.9</v>
      </c>
      <c r="H2051" s="2" t="s">
        <v>822</v>
      </c>
    </row>
    <row r="2052" customFormat="false" ht="15" hidden="false" customHeight="false" outlineLevel="0" collapsed="false">
      <c r="A2052" s="2" t="s">
        <v>426</v>
      </c>
      <c r="B2052" s="2" t="s">
        <v>45</v>
      </c>
      <c r="C2052" s="2" t="s">
        <v>4274</v>
      </c>
      <c r="D2052" s="11" t="n">
        <v>30140</v>
      </c>
      <c r="E2052" s="2"/>
      <c r="F2052" s="31" t="n">
        <v>95.3</v>
      </c>
      <c r="G2052" s="31" t="n">
        <v>65.4</v>
      </c>
      <c r="H2052" s="2" t="s">
        <v>832</v>
      </c>
    </row>
    <row r="2053" customFormat="false" ht="15" hidden="false" customHeight="false" outlineLevel="0" collapsed="false">
      <c r="A2053" s="2" t="s">
        <v>426</v>
      </c>
      <c r="B2053" s="2" t="s">
        <v>45</v>
      </c>
      <c r="C2053" s="2" t="s">
        <v>4275</v>
      </c>
      <c r="D2053" s="11" t="n">
        <v>33280</v>
      </c>
      <c r="E2053" s="31" t="n">
        <v>0.2</v>
      </c>
      <c r="F2053" s="31" t="n">
        <v>93.8</v>
      </c>
      <c r="G2053" s="31" t="n">
        <v>43.8</v>
      </c>
      <c r="H2053" s="2" t="s">
        <v>822</v>
      </c>
    </row>
    <row r="2054" customFormat="false" ht="15" hidden="false" customHeight="false" outlineLevel="0" collapsed="false">
      <c r="A2054" s="2" t="s">
        <v>426</v>
      </c>
      <c r="B2054" s="2" t="s">
        <v>46</v>
      </c>
      <c r="C2054" s="2" t="s">
        <v>4274</v>
      </c>
      <c r="D2054" s="11" t="n">
        <v>56525</v>
      </c>
      <c r="E2054" s="31" t="n">
        <v>37</v>
      </c>
      <c r="F2054" s="31" t="n">
        <v>44.6</v>
      </c>
      <c r="G2054" s="31" t="n">
        <v>7.8</v>
      </c>
      <c r="H2054" s="2" t="s">
        <v>822</v>
      </c>
    </row>
    <row r="2055" customFormat="false" ht="15" hidden="false" customHeight="false" outlineLevel="0" collapsed="false">
      <c r="A2055" s="2" t="s">
        <v>426</v>
      </c>
      <c r="B2055" s="2" t="s">
        <v>46</v>
      </c>
      <c r="C2055" s="2" t="s">
        <v>4275</v>
      </c>
      <c r="D2055" s="11" t="n">
        <v>56020</v>
      </c>
      <c r="E2055" s="31" t="n">
        <v>79</v>
      </c>
      <c r="F2055" s="31" t="n">
        <v>62.2</v>
      </c>
      <c r="G2055" s="31" t="n">
        <v>12.1</v>
      </c>
      <c r="H2055" s="2" t="s">
        <v>822</v>
      </c>
    </row>
    <row r="2056" customFormat="false" ht="15" hidden="false" customHeight="false" outlineLevel="0" collapsed="false">
      <c r="A2056" s="2" t="s">
        <v>426</v>
      </c>
      <c r="B2056" s="2" t="s">
        <v>47</v>
      </c>
      <c r="C2056" s="2" t="s">
        <v>4274</v>
      </c>
      <c r="D2056" s="11" t="n">
        <v>497816</v>
      </c>
      <c r="E2056" s="31" t="n">
        <v>51.2</v>
      </c>
      <c r="F2056" s="31" t="n">
        <v>3.1</v>
      </c>
      <c r="G2056" s="31" t="n">
        <v>83.1</v>
      </c>
      <c r="H2056" s="2" t="s">
        <v>822</v>
      </c>
    </row>
    <row r="2057" customFormat="false" ht="15" hidden="false" customHeight="false" outlineLevel="0" collapsed="false">
      <c r="A2057" s="2" t="s">
        <v>426</v>
      </c>
      <c r="B2057" s="2" t="s">
        <v>47</v>
      </c>
      <c r="C2057" s="2" t="s">
        <v>4275</v>
      </c>
      <c r="D2057" s="11" t="n">
        <v>497219</v>
      </c>
      <c r="E2057" s="31" t="n">
        <v>81.7</v>
      </c>
      <c r="F2057" s="31" t="n">
        <v>5</v>
      </c>
      <c r="G2057" s="31" t="n">
        <v>60.8</v>
      </c>
      <c r="H2057" s="2" t="s">
        <v>822</v>
      </c>
    </row>
    <row r="2058" customFormat="false" ht="15" hidden="false" customHeight="false" outlineLevel="0" collapsed="false">
      <c r="A2058" s="2" t="s">
        <v>330</v>
      </c>
      <c r="B2058" s="2" t="s">
        <v>4291</v>
      </c>
      <c r="C2058" s="2" t="s">
        <v>4274</v>
      </c>
      <c r="D2058" s="2"/>
      <c r="E2058" s="31" t="n">
        <v>51.7</v>
      </c>
      <c r="F2058" s="31" t="n">
        <v>47.2</v>
      </c>
      <c r="G2058" s="31" t="n">
        <v>82.4</v>
      </c>
      <c r="H2058" s="2" t="s">
        <v>832</v>
      </c>
    </row>
    <row r="2059" customFormat="false" ht="15" hidden="false" customHeight="false" outlineLevel="0" collapsed="false">
      <c r="A2059" s="2" t="s">
        <v>330</v>
      </c>
      <c r="B2059" s="2" t="s">
        <v>4291</v>
      </c>
      <c r="C2059" s="2" t="s">
        <v>4275</v>
      </c>
      <c r="D2059" s="2"/>
      <c r="E2059" s="31" t="n">
        <v>60.4</v>
      </c>
      <c r="F2059" s="31" t="n">
        <v>30.9</v>
      </c>
      <c r="G2059" s="31" t="n">
        <v>36.2</v>
      </c>
      <c r="H2059" s="2" t="s">
        <v>822</v>
      </c>
    </row>
    <row r="2060" customFormat="false" ht="15" hidden="false" customHeight="false" outlineLevel="0" collapsed="false">
      <c r="A2060" s="2" t="s">
        <v>330</v>
      </c>
      <c r="B2060" s="2" t="s">
        <v>45</v>
      </c>
      <c r="C2060" s="2" t="s">
        <v>4274</v>
      </c>
      <c r="D2060" s="2"/>
      <c r="E2060" s="2"/>
      <c r="F2060" s="2"/>
      <c r="G2060" s="2"/>
      <c r="H2060" s="2" t="s">
        <v>832</v>
      </c>
    </row>
    <row r="2061" customFormat="false" ht="15" hidden="false" customHeight="false" outlineLevel="0" collapsed="false">
      <c r="A2061" s="2" t="s">
        <v>330</v>
      </c>
      <c r="B2061" s="2" t="s">
        <v>45</v>
      </c>
      <c r="C2061" s="2" t="s">
        <v>4275</v>
      </c>
      <c r="D2061" s="11" t="n">
        <v>275285</v>
      </c>
      <c r="E2061" s="31" t="n">
        <v>57.1</v>
      </c>
      <c r="F2061" s="31" t="n">
        <v>10</v>
      </c>
      <c r="G2061" s="31" t="n">
        <v>39.4</v>
      </c>
      <c r="H2061" s="2" t="s">
        <v>822</v>
      </c>
    </row>
    <row r="2062" customFormat="false" ht="15" hidden="false" customHeight="false" outlineLevel="0" collapsed="false">
      <c r="A2062" s="2" t="s">
        <v>330</v>
      </c>
      <c r="B2062" s="2" t="s">
        <v>46</v>
      </c>
      <c r="C2062" s="2" t="s">
        <v>4274</v>
      </c>
      <c r="D2062" s="11" t="n">
        <v>19580</v>
      </c>
      <c r="E2062" s="2"/>
      <c r="F2062" s="31" t="n">
        <v>23.2</v>
      </c>
      <c r="G2062" s="31" t="n">
        <v>87.7</v>
      </c>
      <c r="H2062" s="2" t="s">
        <v>832</v>
      </c>
    </row>
    <row r="2063" customFormat="false" ht="15" hidden="false" customHeight="false" outlineLevel="0" collapsed="false">
      <c r="A2063" s="2" t="s">
        <v>330</v>
      </c>
      <c r="B2063" s="2" t="s">
        <v>46</v>
      </c>
      <c r="C2063" s="2" t="s">
        <v>4275</v>
      </c>
      <c r="D2063" s="11" t="n">
        <v>19676</v>
      </c>
      <c r="E2063" s="31" t="n">
        <v>91.2</v>
      </c>
      <c r="F2063" s="31" t="n">
        <v>11.6</v>
      </c>
      <c r="G2063" s="31" t="n">
        <v>55.8</v>
      </c>
      <c r="H2063" s="2" t="s">
        <v>822</v>
      </c>
    </row>
    <row r="2064" customFormat="false" ht="15" hidden="false" customHeight="false" outlineLevel="0" collapsed="false">
      <c r="A2064" s="2" t="s">
        <v>330</v>
      </c>
      <c r="B2064" s="2" t="s">
        <v>47</v>
      </c>
      <c r="C2064" s="2" t="s">
        <v>4274</v>
      </c>
      <c r="D2064" s="11" t="n">
        <v>726</v>
      </c>
      <c r="E2064" s="31" t="n">
        <v>51.7</v>
      </c>
      <c r="F2064" s="31" t="n">
        <v>71.1</v>
      </c>
      <c r="G2064" s="31" t="n">
        <v>77.1</v>
      </c>
      <c r="H2064" s="2" t="s">
        <v>822</v>
      </c>
    </row>
    <row r="2065" customFormat="false" ht="15" hidden="false" customHeight="false" outlineLevel="0" collapsed="false">
      <c r="A2065" s="2" t="s">
        <v>330</v>
      </c>
      <c r="B2065" s="2" t="s">
        <v>47</v>
      </c>
      <c r="C2065" s="2" t="s">
        <v>4275</v>
      </c>
      <c r="D2065" s="11" t="n">
        <v>752</v>
      </c>
      <c r="E2065" s="31" t="n">
        <v>33</v>
      </c>
      <c r="F2065" s="31" t="n">
        <v>71.2</v>
      </c>
      <c r="G2065" s="31" t="n">
        <v>13.4</v>
      </c>
      <c r="H2065" s="2" t="s">
        <v>822</v>
      </c>
    </row>
    <row r="2066" customFormat="false" ht="15" hidden="false" customHeight="false" outlineLevel="0" collapsed="false">
      <c r="A2066" s="2" t="s">
        <v>442</v>
      </c>
      <c r="B2066" s="2" t="s">
        <v>4291</v>
      </c>
      <c r="C2066" s="2" t="s">
        <v>4274</v>
      </c>
      <c r="D2066" s="2"/>
      <c r="E2066" s="31" t="n">
        <v>69.2</v>
      </c>
      <c r="F2066" s="31" t="n">
        <v>41.7</v>
      </c>
      <c r="G2066" s="31" t="n">
        <v>91.8</v>
      </c>
      <c r="H2066" s="2" t="s">
        <v>832</v>
      </c>
    </row>
    <row r="2067" customFormat="false" ht="15" hidden="false" customHeight="false" outlineLevel="0" collapsed="false">
      <c r="A2067" s="2" t="s">
        <v>442</v>
      </c>
      <c r="B2067" s="2" t="s">
        <v>4291</v>
      </c>
      <c r="C2067" s="2" t="s">
        <v>4275</v>
      </c>
      <c r="D2067" s="2"/>
      <c r="E2067" s="31" t="n">
        <v>52.6</v>
      </c>
      <c r="F2067" s="31" t="n">
        <v>36</v>
      </c>
      <c r="G2067" s="31" t="n">
        <v>68.9</v>
      </c>
      <c r="H2067" s="2" t="s">
        <v>822</v>
      </c>
    </row>
    <row r="2068" customFormat="false" ht="15" hidden="false" customHeight="false" outlineLevel="0" collapsed="false">
      <c r="A2068" s="2" t="s">
        <v>442</v>
      </c>
      <c r="B2068" s="2" t="s">
        <v>45</v>
      </c>
      <c r="C2068" s="2" t="s">
        <v>4274</v>
      </c>
      <c r="D2068" s="11" t="n">
        <v>1336600</v>
      </c>
      <c r="E2068" s="31" t="n">
        <v>56.1</v>
      </c>
      <c r="F2068" s="31" t="n">
        <v>42.9</v>
      </c>
      <c r="G2068" s="2"/>
      <c r="H2068" s="2" t="s">
        <v>832</v>
      </c>
    </row>
    <row r="2069" customFormat="false" ht="15" hidden="false" customHeight="false" outlineLevel="0" collapsed="false">
      <c r="A2069" s="2" t="s">
        <v>442</v>
      </c>
      <c r="B2069" s="2" t="s">
        <v>45</v>
      </c>
      <c r="C2069" s="2" t="s">
        <v>4275</v>
      </c>
      <c r="D2069" s="11" t="n">
        <v>1380272</v>
      </c>
      <c r="E2069" s="31" t="n">
        <v>19.5</v>
      </c>
      <c r="F2069" s="31" t="n">
        <v>70.6</v>
      </c>
      <c r="G2069" s="31" t="n">
        <v>100</v>
      </c>
      <c r="H2069" s="2" t="s">
        <v>822</v>
      </c>
    </row>
    <row r="2070" customFormat="false" ht="15" hidden="false" customHeight="false" outlineLevel="0" collapsed="false">
      <c r="A2070" s="2" t="s">
        <v>442</v>
      </c>
      <c r="B2070" s="2" t="s">
        <v>46</v>
      </c>
      <c r="C2070" s="2" t="s">
        <v>4274</v>
      </c>
      <c r="D2070" s="11" t="n">
        <v>84069</v>
      </c>
      <c r="E2070" s="31" t="n">
        <v>77.9</v>
      </c>
      <c r="F2070" s="31" t="n">
        <v>74.5</v>
      </c>
      <c r="G2070" s="31" t="n">
        <v>88.6</v>
      </c>
      <c r="H2070" s="2" t="s">
        <v>822</v>
      </c>
    </row>
    <row r="2071" customFormat="false" ht="15" hidden="false" customHeight="false" outlineLevel="0" collapsed="false">
      <c r="A2071" s="2" t="s">
        <v>442</v>
      </c>
      <c r="B2071" s="2" t="s">
        <v>46</v>
      </c>
      <c r="C2071" s="2" t="s">
        <v>4275</v>
      </c>
      <c r="D2071" s="11" t="n">
        <v>88771</v>
      </c>
      <c r="E2071" s="31" t="n">
        <v>80.2</v>
      </c>
      <c r="F2071" s="31" t="n">
        <v>30.9</v>
      </c>
      <c r="G2071" s="31" t="n">
        <v>76.4</v>
      </c>
      <c r="H2071" s="2" t="s">
        <v>822</v>
      </c>
    </row>
    <row r="2072" customFormat="false" ht="15" hidden="false" customHeight="false" outlineLevel="0" collapsed="false">
      <c r="A2072" s="2" t="s">
        <v>442</v>
      </c>
      <c r="B2072" s="2" t="s">
        <v>47</v>
      </c>
      <c r="C2072" s="2" t="s">
        <v>4274</v>
      </c>
      <c r="D2072" s="11" t="n">
        <v>27188</v>
      </c>
      <c r="E2072" s="31" t="n">
        <v>73.5</v>
      </c>
      <c r="F2072" s="31" t="n">
        <v>7.8</v>
      </c>
      <c r="G2072" s="31" t="n">
        <v>94.9</v>
      </c>
      <c r="H2072" s="2" t="s">
        <v>822</v>
      </c>
    </row>
    <row r="2073" customFormat="false" ht="15" hidden="false" customHeight="false" outlineLevel="0" collapsed="false">
      <c r="A2073" s="2" t="s">
        <v>442</v>
      </c>
      <c r="B2073" s="2" t="s">
        <v>47</v>
      </c>
      <c r="C2073" s="2" t="s">
        <v>4275</v>
      </c>
      <c r="D2073" s="11" t="n">
        <v>27800</v>
      </c>
      <c r="E2073" s="31" t="n">
        <v>58</v>
      </c>
      <c r="F2073" s="31" t="n">
        <v>6.5</v>
      </c>
      <c r="G2073" s="31" t="n">
        <v>30.3</v>
      </c>
      <c r="H2073" s="2" t="s">
        <v>822</v>
      </c>
    </row>
    <row r="2074" customFormat="false" ht="15" hidden="false" customHeight="false" outlineLevel="0" collapsed="false">
      <c r="A2074" s="2" t="s">
        <v>2594</v>
      </c>
      <c r="B2074" s="2" t="s">
        <v>4291</v>
      </c>
      <c r="C2074" s="2" t="s">
        <v>4275</v>
      </c>
      <c r="D2074" s="2"/>
      <c r="E2074" s="31" t="n">
        <v>24.2</v>
      </c>
      <c r="F2074" s="31" t="n">
        <v>51.6</v>
      </c>
      <c r="G2074" s="31" t="n">
        <v>57.3</v>
      </c>
      <c r="H2074" s="2" t="s">
        <v>832</v>
      </c>
    </row>
    <row r="2075" customFormat="false" ht="15" hidden="false" customHeight="false" outlineLevel="0" collapsed="false">
      <c r="A2075" s="2" t="s">
        <v>2594</v>
      </c>
      <c r="B2075" s="2" t="s">
        <v>46</v>
      </c>
      <c r="C2075" s="2" t="s">
        <v>4275</v>
      </c>
      <c r="D2075" s="11" t="n">
        <v>36980</v>
      </c>
      <c r="E2075" s="31" t="n">
        <v>6.7</v>
      </c>
      <c r="F2075" s="31" t="n">
        <v>22.5</v>
      </c>
      <c r="G2075" s="2"/>
      <c r="H2075" s="2" t="s">
        <v>832</v>
      </c>
    </row>
    <row r="2076" customFormat="false" ht="15" hidden="false" customHeight="false" outlineLevel="0" collapsed="false">
      <c r="A2076" s="2" t="s">
        <v>2594</v>
      </c>
      <c r="B2076" s="2" t="s">
        <v>47</v>
      </c>
      <c r="C2076" s="2" t="s">
        <v>4275</v>
      </c>
      <c r="D2076" s="11" t="n">
        <v>37113</v>
      </c>
      <c r="E2076" s="31" t="n">
        <v>41.8</v>
      </c>
      <c r="F2076" s="31" t="n">
        <v>80.8</v>
      </c>
      <c r="G2076" s="31" t="n">
        <v>57.3</v>
      </c>
      <c r="H2076" s="2" t="s">
        <v>822</v>
      </c>
    </row>
    <row r="2077" customFormat="false" ht="15" hidden="false" customHeight="false" outlineLevel="0" collapsed="false">
      <c r="A2077" s="2" t="s">
        <v>1899</v>
      </c>
      <c r="B2077" s="2" t="s">
        <v>4291</v>
      </c>
      <c r="C2077" s="2" t="s">
        <v>4274</v>
      </c>
      <c r="D2077" s="2"/>
      <c r="E2077" s="31" t="n">
        <v>45.3</v>
      </c>
      <c r="F2077" s="31" t="n">
        <v>43.2</v>
      </c>
      <c r="G2077" s="31" t="n">
        <v>61.7</v>
      </c>
      <c r="H2077" s="2" t="s">
        <v>832</v>
      </c>
    </row>
    <row r="2078" customFormat="false" ht="15" hidden="false" customHeight="false" outlineLevel="0" collapsed="false">
      <c r="A2078" s="2" t="s">
        <v>1899</v>
      </c>
      <c r="B2078" s="2" t="s">
        <v>4291</v>
      </c>
      <c r="C2078" s="2" t="s">
        <v>4275</v>
      </c>
      <c r="D2078" s="2"/>
      <c r="E2078" s="31" t="n">
        <v>49.6</v>
      </c>
      <c r="F2078" s="31" t="n">
        <v>43.7</v>
      </c>
      <c r="G2078" s="31" t="n">
        <v>63.4</v>
      </c>
      <c r="H2078" s="2" t="s">
        <v>832</v>
      </c>
    </row>
    <row r="2079" customFormat="false" ht="15" hidden="false" customHeight="false" outlineLevel="0" collapsed="false">
      <c r="A2079" s="2" t="s">
        <v>1899</v>
      </c>
      <c r="B2079" s="2" t="s">
        <v>45</v>
      </c>
      <c r="C2079" s="2" t="s">
        <v>4274</v>
      </c>
      <c r="D2079" s="11" t="n">
        <v>11490</v>
      </c>
      <c r="E2079" s="31" t="n">
        <v>17.9</v>
      </c>
      <c r="F2079" s="31" t="n">
        <v>36.1</v>
      </c>
      <c r="G2079" s="2"/>
      <c r="H2079" s="2" t="s">
        <v>832</v>
      </c>
    </row>
    <row r="2080" customFormat="false" ht="15" hidden="false" customHeight="false" outlineLevel="0" collapsed="false">
      <c r="A2080" s="2" t="s">
        <v>1899</v>
      </c>
      <c r="B2080" s="2" t="s">
        <v>45</v>
      </c>
      <c r="C2080" s="2" t="s">
        <v>4275</v>
      </c>
      <c r="D2080" s="11" t="n">
        <v>11950</v>
      </c>
      <c r="E2080" s="31" t="n">
        <v>15.5</v>
      </c>
      <c r="F2080" s="31" t="n">
        <v>30.2</v>
      </c>
      <c r="G2080" s="2"/>
      <c r="H2080" s="2" t="s">
        <v>832</v>
      </c>
    </row>
    <row r="2081" customFormat="false" ht="15" hidden="false" customHeight="false" outlineLevel="0" collapsed="false">
      <c r="A2081" s="2" t="s">
        <v>1899</v>
      </c>
      <c r="B2081" s="2" t="s">
        <v>46</v>
      </c>
      <c r="C2081" s="2" t="s">
        <v>4274</v>
      </c>
      <c r="D2081" s="11" t="n">
        <v>77820</v>
      </c>
      <c r="E2081" s="31" t="n">
        <v>47.6</v>
      </c>
      <c r="F2081" s="31" t="n">
        <v>73</v>
      </c>
      <c r="G2081" s="31" t="n">
        <v>50.2</v>
      </c>
      <c r="H2081" s="2" t="s">
        <v>822</v>
      </c>
    </row>
    <row r="2082" customFormat="false" ht="15" hidden="false" customHeight="false" outlineLevel="0" collapsed="false">
      <c r="A2082" s="2" t="s">
        <v>1899</v>
      </c>
      <c r="B2082" s="2" t="s">
        <v>46</v>
      </c>
      <c r="C2082" s="2" t="s">
        <v>4275</v>
      </c>
      <c r="D2082" s="11" t="n">
        <v>79300</v>
      </c>
      <c r="E2082" s="31" t="n">
        <v>49.9</v>
      </c>
      <c r="F2082" s="31" t="n">
        <v>77.8</v>
      </c>
      <c r="G2082" s="31" t="n">
        <v>38</v>
      </c>
      <c r="H2082" s="2" t="s">
        <v>822</v>
      </c>
    </row>
    <row r="2083" customFormat="false" ht="15" hidden="false" customHeight="false" outlineLevel="0" collapsed="false">
      <c r="A2083" s="2" t="s">
        <v>1899</v>
      </c>
      <c r="B2083" s="2" t="s">
        <v>47</v>
      </c>
      <c r="C2083" s="2" t="s">
        <v>4274</v>
      </c>
      <c r="D2083" s="11" t="n">
        <v>994844</v>
      </c>
      <c r="E2083" s="31" t="n">
        <v>70.4</v>
      </c>
      <c r="F2083" s="31" t="n">
        <v>20.4</v>
      </c>
      <c r="G2083" s="31" t="n">
        <v>73.2</v>
      </c>
      <c r="H2083" s="2" t="s">
        <v>822</v>
      </c>
    </row>
    <row r="2084" customFormat="false" ht="15" hidden="false" customHeight="false" outlineLevel="0" collapsed="false">
      <c r="A2084" s="2" t="s">
        <v>1899</v>
      </c>
      <c r="B2084" s="2" t="s">
        <v>47</v>
      </c>
      <c r="C2084" s="2" t="s">
        <v>4275</v>
      </c>
      <c r="D2084" s="11" t="n">
        <v>992400</v>
      </c>
      <c r="E2084" s="31" t="n">
        <v>83.4</v>
      </c>
      <c r="F2084" s="31" t="n">
        <v>23</v>
      </c>
      <c r="G2084" s="31" t="n">
        <v>88.9</v>
      </c>
      <c r="H2084" s="2" t="s">
        <v>822</v>
      </c>
    </row>
    <row r="2085" customFormat="false" ht="15" hidden="false" customHeight="false" outlineLevel="0" collapsed="false">
      <c r="A2085" s="2" t="s">
        <v>398</v>
      </c>
      <c r="B2085" s="2" t="s">
        <v>4291</v>
      </c>
      <c r="C2085" s="2" t="s">
        <v>4274</v>
      </c>
      <c r="D2085" s="2"/>
      <c r="E2085" s="31" t="n">
        <v>41.8</v>
      </c>
      <c r="F2085" s="31" t="n">
        <v>29.8</v>
      </c>
      <c r="G2085" s="31" t="n">
        <v>40.2</v>
      </c>
      <c r="H2085" s="2" t="s">
        <v>822</v>
      </c>
    </row>
    <row r="2086" customFormat="false" ht="15" hidden="false" customHeight="false" outlineLevel="0" collapsed="false">
      <c r="A2086" s="2" t="s">
        <v>398</v>
      </c>
      <c r="B2086" s="2" t="s">
        <v>4291</v>
      </c>
      <c r="C2086" s="2" t="s">
        <v>4275</v>
      </c>
      <c r="D2086" s="2"/>
      <c r="E2086" s="31" t="n">
        <v>55.4</v>
      </c>
      <c r="F2086" s="31" t="n">
        <v>45.7</v>
      </c>
      <c r="G2086" s="31" t="n">
        <v>30.4</v>
      </c>
      <c r="H2086" s="2" t="s">
        <v>822</v>
      </c>
    </row>
    <row r="2087" customFormat="false" ht="15" hidden="false" customHeight="false" outlineLevel="0" collapsed="false">
      <c r="A2087" s="2" t="s">
        <v>398</v>
      </c>
      <c r="B2087" s="2" t="s">
        <v>45</v>
      </c>
      <c r="C2087" s="2" t="s">
        <v>4274</v>
      </c>
      <c r="D2087" s="11" t="n">
        <v>7170</v>
      </c>
      <c r="E2087" s="31" t="n">
        <v>63.9</v>
      </c>
      <c r="F2087" s="31" t="n">
        <v>33.9</v>
      </c>
      <c r="G2087" s="31" t="n">
        <v>51</v>
      </c>
      <c r="H2087" s="2" t="s">
        <v>822</v>
      </c>
    </row>
    <row r="2088" customFormat="false" ht="15" hidden="false" customHeight="false" outlineLevel="0" collapsed="false">
      <c r="A2088" s="2" t="s">
        <v>398</v>
      </c>
      <c r="B2088" s="2" t="s">
        <v>45</v>
      </c>
      <c r="C2088" s="2" t="s">
        <v>4275</v>
      </c>
      <c r="D2088" s="11" t="n">
        <v>7313</v>
      </c>
      <c r="E2088" s="31" t="n">
        <v>86.2</v>
      </c>
      <c r="F2088" s="31" t="n">
        <v>9.9</v>
      </c>
      <c r="G2088" s="31" t="n">
        <v>40.8</v>
      </c>
      <c r="H2088" s="2" t="s">
        <v>822</v>
      </c>
    </row>
    <row r="2089" customFormat="false" ht="15" hidden="false" customHeight="false" outlineLevel="0" collapsed="false">
      <c r="A2089" s="2" t="s">
        <v>398</v>
      </c>
      <c r="B2089" s="2" t="s">
        <v>46</v>
      </c>
      <c r="C2089" s="2" t="s">
        <v>4274</v>
      </c>
      <c r="D2089" s="11" t="n">
        <v>11700</v>
      </c>
      <c r="E2089" s="31" t="n">
        <v>19.8</v>
      </c>
      <c r="F2089" s="31" t="n">
        <v>25.8</v>
      </c>
      <c r="G2089" s="31" t="n">
        <v>29.3</v>
      </c>
      <c r="H2089" s="2" t="s">
        <v>822</v>
      </c>
    </row>
    <row r="2090" customFormat="false" ht="15" hidden="false" customHeight="false" outlineLevel="0" collapsed="false">
      <c r="A2090" s="2" t="s">
        <v>398</v>
      </c>
      <c r="B2090" s="2" t="s">
        <v>46</v>
      </c>
      <c r="C2090" s="2" t="s">
        <v>4275</v>
      </c>
      <c r="D2090" s="11" t="n">
        <v>12200</v>
      </c>
      <c r="E2090" s="31" t="n">
        <v>24.6</v>
      </c>
      <c r="F2090" s="31" t="n">
        <v>81.5</v>
      </c>
      <c r="G2090" s="31" t="n">
        <v>20.1</v>
      </c>
      <c r="H2090" s="2" t="s">
        <v>822</v>
      </c>
    </row>
    <row r="2091" customFormat="false" ht="15" hidden="false" customHeight="false" outlineLevel="0" collapsed="false">
      <c r="A2091" s="2" t="s">
        <v>350</v>
      </c>
      <c r="B2091" s="2" t="s">
        <v>4291</v>
      </c>
      <c r="C2091" s="2" t="s">
        <v>4274</v>
      </c>
      <c r="D2091" s="2"/>
      <c r="E2091" s="31" t="n">
        <v>62.3</v>
      </c>
      <c r="F2091" s="31" t="n">
        <v>60.3</v>
      </c>
      <c r="G2091" s="31" t="n">
        <v>71.5</v>
      </c>
      <c r="H2091" s="2" t="s">
        <v>832</v>
      </c>
    </row>
    <row r="2092" customFormat="false" ht="15" hidden="false" customHeight="false" outlineLevel="0" collapsed="false">
      <c r="A2092" s="2" t="s">
        <v>350</v>
      </c>
      <c r="B2092" s="2" t="s">
        <v>4291</v>
      </c>
      <c r="C2092" s="2" t="s">
        <v>4275</v>
      </c>
      <c r="D2092" s="2"/>
      <c r="E2092" s="31" t="n">
        <v>59.2</v>
      </c>
      <c r="F2092" s="31" t="n">
        <v>67.6</v>
      </c>
      <c r="G2092" s="31" t="n">
        <v>49.8</v>
      </c>
      <c r="H2092" s="2" t="s">
        <v>822</v>
      </c>
    </row>
    <row r="2093" customFormat="false" ht="15" hidden="false" customHeight="false" outlineLevel="0" collapsed="false">
      <c r="A2093" s="2" t="s">
        <v>350</v>
      </c>
      <c r="B2093" s="2" t="s">
        <v>45</v>
      </c>
      <c r="C2093" s="2" t="s">
        <v>4274</v>
      </c>
      <c r="D2093" s="11" t="n">
        <v>9040</v>
      </c>
      <c r="E2093" s="2"/>
      <c r="F2093" s="31" t="n">
        <v>96.8</v>
      </c>
      <c r="G2093" s="31" t="n">
        <v>98.3</v>
      </c>
      <c r="H2093" s="2" t="s">
        <v>832</v>
      </c>
    </row>
    <row r="2094" customFormat="false" ht="15" hidden="false" customHeight="false" outlineLevel="0" collapsed="false">
      <c r="A2094" s="2" t="s">
        <v>350</v>
      </c>
      <c r="B2094" s="2" t="s">
        <v>45</v>
      </c>
      <c r="C2094" s="2" t="s">
        <v>4275</v>
      </c>
      <c r="D2094" s="11" t="n">
        <v>10271</v>
      </c>
      <c r="E2094" s="31" t="n">
        <v>18.3</v>
      </c>
      <c r="F2094" s="31" t="n">
        <v>97.9</v>
      </c>
      <c r="G2094" s="31" t="n">
        <v>56.4</v>
      </c>
      <c r="H2094" s="2" t="s">
        <v>822</v>
      </c>
    </row>
    <row r="2095" customFormat="false" ht="15" hidden="false" customHeight="false" outlineLevel="0" collapsed="false">
      <c r="A2095" s="2" t="s">
        <v>350</v>
      </c>
      <c r="B2095" s="2" t="s">
        <v>46</v>
      </c>
      <c r="C2095" s="2" t="s">
        <v>4274</v>
      </c>
      <c r="D2095" s="11" t="n">
        <v>835804</v>
      </c>
      <c r="E2095" s="31" t="n">
        <v>67.3</v>
      </c>
      <c r="F2095" s="31" t="n">
        <v>39.7</v>
      </c>
      <c r="G2095" s="31" t="n">
        <v>76.3</v>
      </c>
      <c r="H2095" s="2" t="s">
        <v>822</v>
      </c>
    </row>
    <row r="2096" customFormat="false" ht="15" hidden="false" customHeight="false" outlineLevel="0" collapsed="false">
      <c r="A2096" s="2" t="s">
        <v>350</v>
      </c>
      <c r="B2096" s="2" t="s">
        <v>46</v>
      </c>
      <c r="C2096" s="2" t="s">
        <v>4275</v>
      </c>
      <c r="D2096" s="11" t="n">
        <v>828970</v>
      </c>
      <c r="E2096" s="31" t="n">
        <v>79.2</v>
      </c>
      <c r="F2096" s="31" t="n">
        <v>42</v>
      </c>
      <c r="G2096" s="31" t="n">
        <v>75.3</v>
      </c>
      <c r="H2096" s="2" t="s">
        <v>822</v>
      </c>
    </row>
    <row r="2097" customFormat="false" ht="15" hidden="false" customHeight="false" outlineLevel="0" collapsed="false">
      <c r="A2097" s="2" t="s">
        <v>350</v>
      </c>
      <c r="B2097" s="2" t="s">
        <v>47</v>
      </c>
      <c r="C2097" s="2" t="s">
        <v>4274</v>
      </c>
      <c r="D2097" s="11" t="n">
        <v>26006</v>
      </c>
      <c r="E2097" s="31" t="n">
        <v>57.3</v>
      </c>
      <c r="F2097" s="31" t="n">
        <v>44.4</v>
      </c>
      <c r="G2097" s="31" t="n">
        <v>39.9</v>
      </c>
      <c r="H2097" s="2" t="s">
        <v>822</v>
      </c>
    </row>
    <row r="2098" customFormat="false" ht="15" hidden="false" customHeight="false" outlineLevel="0" collapsed="false">
      <c r="A2098" s="2" t="s">
        <v>350</v>
      </c>
      <c r="B2098" s="2" t="s">
        <v>47</v>
      </c>
      <c r="C2098" s="2" t="s">
        <v>4275</v>
      </c>
      <c r="D2098" s="11" t="n">
        <v>26220</v>
      </c>
      <c r="E2098" s="31" t="n">
        <v>80.2</v>
      </c>
      <c r="F2098" s="31" t="n">
        <v>63</v>
      </c>
      <c r="G2098" s="31" t="n">
        <v>17.7</v>
      </c>
      <c r="H2098" s="2" t="s">
        <v>822</v>
      </c>
    </row>
    <row r="2099" customFormat="false" ht="15" hidden="false" customHeight="false" outlineLevel="0" collapsed="false">
      <c r="A2099" s="2" t="s">
        <v>648</v>
      </c>
      <c r="B2099" s="2" t="s">
        <v>4291</v>
      </c>
      <c r="C2099" s="2" t="s">
        <v>4274</v>
      </c>
      <c r="D2099" s="2"/>
      <c r="E2099" s="31" t="n">
        <v>30.6</v>
      </c>
      <c r="F2099" s="31" t="n">
        <v>90.2</v>
      </c>
      <c r="G2099" s="31" t="n">
        <v>48.1</v>
      </c>
      <c r="H2099" s="2" t="s">
        <v>822</v>
      </c>
    </row>
    <row r="2100" customFormat="false" ht="15" hidden="false" customHeight="false" outlineLevel="0" collapsed="false">
      <c r="A2100" s="2" t="s">
        <v>648</v>
      </c>
      <c r="B2100" s="2" t="s">
        <v>4291</v>
      </c>
      <c r="C2100" s="2" t="s">
        <v>4275</v>
      </c>
      <c r="D2100" s="2"/>
      <c r="E2100" s="31" t="n">
        <v>34.6</v>
      </c>
      <c r="F2100" s="31" t="n">
        <v>90.3</v>
      </c>
      <c r="G2100" s="31" t="n">
        <v>7.5</v>
      </c>
      <c r="H2100" s="2" t="s">
        <v>822</v>
      </c>
    </row>
    <row r="2101" customFormat="false" ht="15" hidden="false" customHeight="false" outlineLevel="0" collapsed="false">
      <c r="A2101" s="2" t="s">
        <v>648</v>
      </c>
      <c r="B2101" s="2" t="s">
        <v>47</v>
      </c>
      <c r="C2101" s="2" t="s">
        <v>4274</v>
      </c>
      <c r="D2101" s="11" t="n">
        <v>46577</v>
      </c>
      <c r="E2101" s="31" t="n">
        <v>30.6</v>
      </c>
      <c r="F2101" s="31" t="n">
        <v>90.2</v>
      </c>
      <c r="G2101" s="31" t="n">
        <v>48.1</v>
      </c>
      <c r="H2101" s="2" t="s">
        <v>822</v>
      </c>
    </row>
    <row r="2102" customFormat="false" ht="15" hidden="false" customHeight="false" outlineLevel="0" collapsed="false">
      <c r="A2102" s="2" t="s">
        <v>648</v>
      </c>
      <c r="B2102" s="2" t="s">
        <v>47</v>
      </c>
      <c r="C2102" s="2" t="s">
        <v>4275</v>
      </c>
      <c r="D2102" s="11" t="n">
        <v>47604</v>
      </c>
      <c r="E2102" s="31" t="n">
        <v>34.6</v>
      </c>
      <c r="F2102" s="31" t="n">
        <v>90.3</v>
      </c>
      <c r="G2102" s="31" t="n">
        <v>7.5</v>
      </c>
      <c r="H2102" s="2" t="s">
        <v>822</v>
      </c>
    </row>
    <row r="2103" customFormat="false" ht="15" hidden="false" customHeight="false" outlineLevel="0" collapsed="false">
      <c r="A2103" s="2" t="s">
        <v>468</v>
      </c>
      <c r="B2103" s="2" t="s">
        <v>4291</v>
      </c>
      <c r="C2103" s="2" t="s">
        <v>4274</v>
      </c>
      <c r="D2103" s="2"/>
      <c r="E2103" s="31" t="n">
        <v>40.4</v>
      </c>
      <c r="F2103" s="31" t="n">
        <v>22.6</v>
      </c>
      <c r="G2103" s="31" t="n">
        <v>50.8</v>
      </c>
      <c r="H2103" s="2" t="s">
        <v>822</v>
      </c>
    </row>
    <row r="2104" customFormat="false" ht="15" hidden="false" customHeight="false" outlineLevel="0" collapsed="false">
      <c r="A2104" s="2" t="s">
        <v>468</v>
      </c>
      <c r="B2104" s="2" t="s">
        <v>4291</v>
      </c>
      <c r="C2104" s="2" t="s">
        <v>4275</v>
      </c>
      <c r="D2104" s="2"/>
      <c r="E2104" s="31" t="n">
        <v>51</v>
      </c>
      <c r="F2104" s="31" t="n">
        <v>30.8</v>
      </c>
      <c r="G2104" s="31" t="n">
        <v>40.9</v>
      </c>
      <c r="H2104" s="2" t="s">
        <v>822</v>
      </c>
    </row>
    <row r="2105" customFormat="false" ht="15" hidden="false" customHeight="false" outlineLevel="0" collapsed="false">
      <c r="A2105" s="2" t="s">
        <v>468</v>
      </c>
      <c r="B2105" s="2" t="s">
        <v>45</v>
      </c>
      <c r="C2105" s="2" t="s">
        <v>4274</v>
      </c>
      <c r="D2105" s="11" t="n">
        <v>63741</v>
      </c>
      <c r="E2105" s="31" t="n">
        <v>31.5</v>
      </c>
      <c r="F2105" s="31" t="n">
        <v>5.5</v>
      </c>
      <c r="G2105" s="31" t="n">
        <v>3.4</v>
      </c>
      <c r="H2105" s="2" t="s">
        <v>822</v>
      </c>
    </row>
    <row r="2106" customFormat="false" ht="15" hidden="false" customHeight="false" outlineLevel="0" collapsed="false">
      <c r="A2106" s="2" t="s">
        <v>468</v>
      </c>
      <c r="B2106" s="2" t="s">
        <v>45</v>
      </c>
      <c r="C2106" s="2" t="s">
        <v>4275</v>
      </c>
      <c r="D2106" s="11" t="n">
        <v>63840</v>
      </c>
      <c r="E2106" s="31" t="n">
        <v>51.8</v>
      </c>
      <c r="F2106" s="31" t="n">
        <v>16.5</v>
      </c>
      <c r="G2106" s="31" t="n">
        <v>11</v>
      </c>
      <c r="H2106" s="2" t="s">
        <v>822</v>
      </c>
    </row>
    <row r="2107" customFormat="false" ht="15" hidden="false" customHeight="false" outlineLevel="0" collapsed="false">
      <c r="A2107" s="2" t="s">
        <v>468</v>
      </c>
      <c r="B2107" s="2" t="s">
        <v>46</v>
      </c>
      <c r="C2107" s="2" t="s">
        <v>4274</v>
      </c>
      <c r="D2107" s="11" t="n">
        <v>21870</v>
      </c>
      <c r="E2107" s="31" t="n">
        <v>18.8</v>
      </c>
      <c r="F2107" s="31" t="n">
        <v>50.9</v>
      </c>
      <c r="G2107" s="31" t="n">
        <v>68.5</v>
      </c>
      <c r="H2107" s="2" t="s">
        <v>822</v>
      </c>
    </row>
    <row r="2108" customFormat="false" ht="15" hidden="false" customHeight="false" outlineLevel="0" collapsed="false">
      <c r="A2108" s="2" t="s">
        <v>468</v>
      </c>
      <c r="B2108" s="2" t="s">
        <v>46</v>
      </c>
      <c r="C2108" s="2" t="s">
        <v>4275</v>
      </c>
      <c r="D2108" s="11" t="n">
        <v>22390</v>
      </c>
      <c r="E2108" s="31" t="n">
        <v>18.9</v>
      </c>
      <c r="F2108" s="31" t="n">
        <v>38.9</v>
      </c>
      <c r="G2108" s="31" t="n">
        <v>41.9</v>
      </c>
      <c r="H2108" s="2" t="s">
        <v>822</v>
      </c>
    </row>
    <row r="2109" customFormat="false" ht="15" hidden="false" customHeight="false" outlineLevel="0" collapsed="false">
      <c r="A2109" s="2" t="s">
        <v>468</v>
      </c>
      <c r="B2109" s="2" t="s">
        <v>47</v>
      </c>
      <c r="C2109" s="2" t="s">
        <v>4274</v>
      </c>
      <c r="D2109" s="11" t="n">
        <v>76038</v>
      </c>
      <c r="E2109" s="31" t="n">
        <v>70.8</v>
      </c>
      <c r="F2109" s="31" t="n">
        <v>11.4</v>
      </c>
      <c r="G2109" s="31" t="n">
        <v>80.6</v>
      </c>
      <c r="H2109" s="2" t="s">
        <v>822</v>
      </c>
    </row>
    <row r="2110" customFormat="false" ht="15" hidden="false" customHeight="false" outlineLevel="0" collapsed="false">
      <c r="A2110" s="2" t="s">
        <v>468</v>
      </c>
      <c r="B2110" s="2" t="s">
        <v>47</v>
      </c>
      <c r="C2110" s="2" t="s">
        <v>4275</v>
      </c>
      <c r="D2110" s="11" t="n">
        <v>75210</v>
      </c>
      <c r="E2110" s="31" t="n">
        <v>82.2</v>
      </c>
      <c r="F2110" s="31" t="n">
        <v>37</v>
      </c>
      <c r="G2110" s="31" t="n">
        <v>69.7</v>
      </c>
      <c r="H2110" s="2" t="s">
        <v>822</v>
      </c>
    </row>
    <row r="2111" customFormat="false" ht="15" hidden="false" customHeight="false" outlineLevel="0" collapsed="false">
      <c r="A2111" s="2" t="s">
        <v>318</v>
      </c>
      <c r="B2111" s="2" t="s">
        <v>4291</v>
      </c>
      <c r="C2111" s="2" t="s">
        <v>4274</v>
      </c>
      <c r="D2111" s="2"/>
      <c r="E2111" s="31" t="n">
        <v>69.2</v>
      </c>
      <c r="F2111" s="31" t="n">
        <v>65.6</v>
      </c>
      <c r="G2111" s="31" t="n">
        <v>53.8</v>
      </c>
      <c r="H2111" s="2" t="s">
        <v>832</v>
      </c>
    </row>
    <row r="2112" customFormat="false" ht="15" hidden="false" customHeight="false" outlineLevel="0" collapsed="false">
      <c r="A2112" s="2" t="s">
        <v>318</v>
      </c>
      <c r="B2112" s="2" t="s">
        <v>4291</v>
      </c>
      <c r="C2112" s="2" t="s">
        <v>4275</v>
      </c>
      <c r="D2112" s="2"/>
      <c r="E2112" s="31" t="n">
        <v>61.2</v>
      </c>
      <c r="F2112" s="31" t="n">
        <v>70.9</v>
      </c>
      <c r="G2112" s="31" t="n">
        <v>20.5</v>
      </c>
      <c r="H2112" s="2" t="s">
        <v>822</v>
      </c>
    </row>
    <row r="2113" customFormat="false" ht="15" hidden="false" customHeight="false" outlineLevel="0" collapsed="false">
      <c r="A2113" s="2" t="s">
        <v>318</v>
      </c>
      <c r="B2113" s="2" t="s">
        <v>45</v>
      </c>
      <c r="C2113" s="2" t="s">
        <v>4274</v>
      </c>
      <c r="D2113" s="2"/>
      <c r="E2113" s="2"/>
      <c r="F2113" s="2"/>
      <c r="G2113" s="2"/>
      <c r="H2113" s="2" t="s">
        <v>832</v>
      </c>
    </row>
    <row r="2114" customFormat="false" ht="15" hidden="false" customHeight="false" outlineLevel="0" collapsed="false">
      <c r="A2114" s="2" t="s">
        <v>318</v>
      </c>
      <c r="B2114" s="2" t="s">
        <v>45</v>
      </c>
      <c r="C2114" s="2" t="s">
        <v>4275</v>
      </c>
      <c r="D2114" s="11" t="n">
        <v>52005</v>
      </c>
      <c r="E2114" s="31" t="n">
        <v>57.3</v>
      </c>
      <c r="F2114" s="31" t="n">
        <v>54.3</v>
      </c>
      <c r="G2114" s="31" t="n">
        <v>17.9</v>
      </c>
      <c r="H2114" s="2" t="s">
        <v>822</v>
      </c>
    </row>
    <row r="2115" customFormat="false" ht="15" hidden="false" customHeight="false" outlineLevel="0" collapsed="false">
      <c r="A2115" s="2" t="s">
        <v>318</v>
      </c>
      <c r="B2115" s="2" t="s">
        <v>46</v>
      </c>
      <c r="C2115" s="2" t="s">
        <v>4274</v>
      </c>
      <c r="D2115" s="11" t="n">
        <v>17550</v>
      </c>
      <c r="E2115" s="31" t="n">
        <v>93.3</v>
      </c>
      <c r="F2115" s="31" t="n">
        <v>41.2</v>
      </c>
      <c r="G2115" s="2"/>
      <c r="H2115" s="2" t="s">
        <v>832</v>
      </c>
    </row>
    <row r="2116" customFormat="false" ht="15" hidden="false" customHeight="false" outlineLevel="0" collapsed="false">
      <c r="A2116" s="2" t="s">
        <v>318</v>
      </c>
      <c r="B2116" s="2" t="s">
        <v>46</v>
      </c>
      <c r="C2116" s="2" t="s">
        <v>4275</v>
      </c>
      <c r="D2116" s="11" t="n">
        <v>9010</v>
      </c>
      <c r="E2116" s="31" t="n">
        <v>96.9</v>
      </c>
      <c r="F2116" s="31" t="n">
        <v>66</v>
      </c>
      <c r="G2116" s="31" t="n">
        <v>17.2</v>
      </c>
      <c r="H2116" s="2" t="s">
        <v>822</v>
      </c>
    </row>
    <row r="2117" customFormat="false" ht="15" hidden="false" customHeight="false" outlineLevel="0" collapsed="false">
      <c r="A2117" s="2" t="s">
        <v>318</v>
      </c>
      <c r="B2117" s="2" t="s">
        <v>47</v>
      </c>
      <c r="C2117" s="2" t="s">
        <v>4274</v>
      </c>
      <c r="D2117" s="11" t="n">
        <v>8788</v>
      </c>
      <c r="E2117" s="31" t="n">
        <v>45</v>
      </c>
      <c r="F2117" s="31" t="n">
        <v>90</v>
      </c>
      <c r="G2117" s="31" t="n">
        <v>53.8</v>
      </c>
      <c r="H2117" s="2" t="s">
        <v>822</v>
      </c>
    </row>
    <row r="2118" customFormat="false" ht="15" hidden="false" customHeight="false" outlineLevel="0" collapsed="false">
      <c r="A2118" s="2" t="s">
        <v>318</v>
      </c>
      <c r="B2118" s="2" t="s">
        <v>47</v>
      </c>
      <c r="C2118" s="2" t="s">
        <v>4275</v>
      </c>
      <c r="D2118" s="11" t="n">
        <v>9466</v>
      </c>
      <c r="E2118" s="31" t="n">
        <v>29.3</v>
      </c>
      <c r="F2118" s="31" t="n">
        <v>92.5</v>
      </c>
      <c r="G2118" s="31" t="n">
        <v>26.3</v>
      </c>
      <c r="H2118" s="2" t="s">
        <v>822</v>
      </c>
    </row>
    <row r="2119" customFormat="false" ht="15" hidden="false" customHeight="false" outlineLevel="0" collapsed="false">
      <c r="A2119" s="2" t="s">
        <v>2735</v>
      </c>
      <c r="B2119" s="2" t="s">
        <v>4291</v>
      </c>
      <c r="C2119" s="2" t="s">
        <v>4274</v>
      </c>
      <c r="D2119" s="2"/>
      <c r="E2119" s="31" t="n">
        <v>12.6</v>
      </c>
      <c r="F2119" s="31" t="n">
        <v>52.5</v>
      </c>
      <c r="G2119" s="31" t="n">
        <v>45</v>
      </c>
      <c r="H2119" s="2" t="s">
        <v>832</v>
      </c>
    </row>
    <row r="2120" customFormat="false" ht="15" hidden="false" customHeight="false" outlineLevel="0" collapsed="false">
      <c r="A2120" s="2" t="s">
        <v>2735</v>
      </c>
      <c r="B2120" s="2" t="s">
        <v>4291</v>
      </c>
      <c r="C2120" s="2" t="s">
        <v>4275</v>
      </c>
      <c r="D2120" s="2"/>
      <c r="E2120" s="31" t="n">
        <v>20.5</v>
      </c>
      <c r="F2120" s="31" t="n">
        <v>60.2</v>
      </c>
      <c r="G2120" s="31" t="n">
        <v>91</v>
      </c>
      <c r="H2120" s="2" t="s">
        <v>832</v>
      </c>
    </row>
    <row r="2121" customFormat="false" ht="15" hidden="false" customHeight="false" outlineLevel="0" collapsed="false">
      <c r="A2121" s="2" t="s">
        <v>2735</v>
      </c>
      <c r="B2121" s="2" t="s">
        <v>46</v>
      </c>
      <c r="C2121" s="2" t="s">
        <v>4274</v>
      </c>
      <c r="D2121" s="11" t="n">
        <v>1630</v>
      </c>
      <c r="E2121" s="2"/>
      <c r="F2121" s="2"/>
      <c r="G2121" s="31" t="n">
        <v>11.2</v>
      </c>
      <c r="H2121" s="2" t="s">
        <v>832</v>
      </c>
    </row>
    <row r="2122" customFormat="false" ht="15" hidden="false" customHeight="false" outlineLevel="0" collapsed="false">
      <c r="A2122" s="2" t="s">
        <v>2735</v>
      </c>
      <c r="B2122" s="2" t="s">
        <v>46</v>
      </c>
      <c r="C2122" s="2" t="s">
        <v>4275</v>
      </c>
      <c r="D2122" s="2"/>
      <c r="E2122" s="2"/>
      <c r="F2122" s="2"/>
      <c r="G2122" s="2"/>
      <c r="H2122" s="2" t="s">
        <v>832</v>
      </c>
    </row>
    <row r="2123" customFormat="false" ht="15" hidden="false" customHeight="false" outlineLevel="0" collapsed="false">
      <c r="A2123" s="2" t="s">
        <v>2735</v>
      </c>
      <c r="B2123" s="2" t="s">
        <v>47</v>
      </c>
      <c r="C2123" s="2" t="s">
        <v>4274</v>
      </c>
      <c r="D2123" s="11" t="n">
        <v>198680</v>
      </c>
      <c r="E2123" s="31" t="n">
        <v>12.6</v>
      </c>
      <c r="F2123" s="31" t="n">
        <v>52.5</v>
      </c>
      <c r="G2123" s="31" t="n">
        <v>78.8</v>
      </c>
      <c r="H2123" s="2" t="s">
        <v>822</v>
      </c>
    </row>
    <row r="2124" customFormat="false" ht="15" hidden="false" customHeight="false" outlineLevel="0" collapsed="false">
      <c r="A2124" s="2" t="s">
        <v>2735</v>
      </c>
      <c r="B2124" s="2" t="s">
        <v>47</v>
      </c>
      <c r="C2124" s="2" t="s">
        <v>4275</v>
      </c>
      <c r="D2124" s="11" t="n">
        <v>203530</v>
      </c>
      <c r="E2124" s="31" t="n">
        <v>20.5</v>
      </c>
      <c r="F2124" s="31" t="n">
        <v>60.2</v>
      </c>
      <c r="G2124" s="31" t="n">
        <v>91</v>
      </c>
      <c r="H2124" s="2" t="s">
        <v>822</v>
      </c>
    </row>
    <row r="2125" customFormat="false" ht="15" hidden="false" customHeight="false" outlineLevel="0" collapsed="false">
      <c r="A2125" s="2" t="s">
        <v>806</v>
      </c>
      <c r="B2125" s="2" t="s">
        <v>4291</v>
      </c>
      <c r="C2125" s="2" t="s">
        <v>4274</v>
      </c>
      <c r="D2125" s="2"/>
      <c r="E2125" s="2"/>
      <c r="F2125" s="2"/>
      <c r="G2125" s="2"/>
      <c r="H2125" s="2" t="s">
        <v>832</v>
      </c>
    </row>
    <row r="2126" customFormat="false" ht="15" hidden="false" customHeight="false" outlineLevel="0" collapsed="false">
      <c r="A2126" s="2" t="s">
        <v>806</v>
      </c>
      <c r="B2126" s="2" t="s">
        <v>4291</v>
      </c>
      <c r="C2126" s="2" t="s">
        <v>4275</v>
      </c>
      <c r="D2126" s="2"/>
      <c r="E2126" s="31" t="n">
        <v>2.2</v>
      </c>
      <c r="F2126" s="31" t="n">
        <v>15.3</v>
      </c>
      <c r="G2126" s="31" t="n">
        <v>74.6</v>
      </c>
      <c r="H2126" s="2" t="s">
        <v>822</v>
      </c>
    </row>
    <row r="2127" customFormat="false" ht="15" hidden="false" customHeight="false" outlineLevel="0" collapsed="false">
      <c r="A2127" s="2" t="s">
        <v>806</v>
      </c>
      <c r="B2127" s="2" t="s">
        <v>46</v>
      </c>
      <c r="C2127" s="2" t="s">
        <v>4274</v>
      </c>
      <c r="D2127" s="2"/>
      <c r="E2127" s="2"/>
      <c r="F2127" s="2"/>
      <c r="G2127" s="2"/>
      <c r="H2127" s="2" t="s">
        <v>832</v>
      </c>
    </row>
    <row r="2128" customFormat="false" ht="15" hidden="false" customHeight="false" outlineLevel="0" collapsed="false">
      <c r="A2128" s="2" t="s">
        <v>806</v>
      </c>
      <c r="B2128" s="2" t="s">
        <v>46</v>
      </c>
      <c r="C2128" s="2" t="s">
        <v>4275</v>
      </c>
      <c r="D2128" s="11" t="n">
        <v>95130</v>
      </c>
      <c r="E2128" s="31" t="n">
        <v>2.2</v>
      </c>
      <c r="F2128" s="31" t="n">
        <v>15.3</v>
      </c>
      <c r="G2128" s="31" t="n">
        <v>74.6</v>
      </c>
      <c r="H2128" s="2" t="s">
        <v>822</v>
      </c>
    </row>
    <row r="2129" customFormat="false" ht="15" hidden="false" customHeight="false" outlineLevel="0" collapsed="false">
      <c r="A2129" s="2" t="s">
        <v>1861</v>
      </c>
      <c r="B2129" s="2" t="s">
        <v>4291</v>
      </c>
      <c r="C2129" s="2" t="s">
        <v>4274</v>
      </c>
      <c r="D2129" s="2"/>
      <c r="E2129" s="31" t="n">
        <v>60</v>
      </c>
      <c r="F2129" s="31" t="n">
        <v>38.4</v>
      </c>
      <c r="G2129" s="31" t="n">
        <v>32.1</v>
      </c>
      <c r="H2129" s="2" t="s">
        <v>832</v>
      </c>
    </row>
    <row r="2130" customFormat="false" ht="15" hidden="false" customHeight="false" outlineLevel="0" collapsed="false">
      <c r="A2130" s="2" t="s">
        <v>1861</v>
      </c>
      <c r="B2130" s="2" t="s">
        <v>4291</v>
      </c>
      <c r="C2130" s="2" t="s">
        <v>4275</v>
      </c>
      <c r="D2130" s="2"/>
      <c r="E2130" s="31" t="n">
        <v>52.5</v>
      </c>
      <c r="F2130" s="31" t="n">
        <v>79.2</v>
      </c>
      <c r="G2130" s="31" t="n">
        <v>18.2</v>
      </c>
      <c r="H2130" s="2" t="s">
        <v>832</v>
      </c>
    </row>
    <row r="2131" customFormat="false" ht="15" hidden="false" customHeight="false" outlineLevel="0" collapsed="false">
      <c r="A2131" s="2" t="s">
        <v>1861</v>
      </c>
      <c r="B2131" s="2" t="s">
        <v>45</v>
      </c>
      <c r="C2131" s="2" t="s">
        <v>4274</v>
      </c>
      <c r="D2131" s="11" t="n">
        <v>6781</v>
      </c>
      <c r="E2131" s="31" t="n">
        <v>72.1</v>
      </c>
      <c r="F2131" s="31" t="n">
        <v>22.6</v>
      </c>
      <c r="G2131" s="31" t="n">
        <v>14.4</v>
      </c>
      <c r="H2131" s="2" t="s">
        <v>822</v>
      </c>
    </row>
    <row r="2132" customFormat="false" ht="15" hidden="false" customHeight="false" outlineLevel="0" collapsed="false">
      <c r="A2132" s="2" t="s">
        <v>1861</v>
      </c>
      <c r="B2132" s="2" t="s">
        <v>45</v>
      </c>
      <c r="C2132" s="2" t="s">
        <v>4275</v>
      </c>
      <c r="D2132" s="11" t="n">
        <v>7050</v>
      </c>
      <c r="E2132" s="2"/>
      <c r="F2132" s="31" t="n">
        <v>80.3</v>
      </c>
      <c r="G2132" s="31" t="n">
        <v>10.5</v>
      </c>
      <c r="H2132" s="2" t="s">
        <v>832</v>
      </c>
    </row>
    <row r="2133" customFormat="false" ht="15" hidden="false" customHeight="false" outlineLevel="0" collapsed="false">
      <c r="A2133" s="2" t="s">
        <v>1861</v>
      </c>
      <c r="B2133" s="2" t="s">
        <v>46</v>
      </c>
      <c r="C2133" s="2" t="s">
        <v>4274</v>
      </c>
      <c r="D2133" s="11" t="n">
        <v>102260</v>
      </c>
      <c r="E2133" s="31" t="n">
        <v>30.7</v>
      </c>
      <c r="F2133" s="2"/>
      <c r="G2133" s="31" t="n">
        <v>64.2</v>
      </c>
      <c r="H2133" s="2" t="s">
        <v>832</v>
      </c>
    </row>
    <row r="2134" customFormat="false" ht="15" hidden="false" customHeight="false" outlineLevel="0" collapsed="false">
      <c r="A2134" s="2" t="s">
        <v>1861</v>
      </c>
      <c r="B2134" s="2" t="s">
        <v>46</v>
      </c>
      <c r="C2134" s="2" t="s">
        <v>4275</v>
      </c>
      <c r="D2134" s="11" t="n">
        <v>106720</v>
      </c>
      <c r="E2134" s="31" t="n">
        <v>55.6</v>
      </c>
      <c r="F2134" s="31" t="n">
        <v>86.6</v>
      </c>
      <c r="G2134" s="31" t="n">
        <v>25.8</v>
      </c>
      <c r="H2134" s="2" t="s">
        <v>822</v>
      </c>
    </row>
    <row r="2135" customFormat="false" ht="15" hidden="false" customHeight="false" outlineLevel="0" collapsed="false">
      <c r="A2135" s="2" t="s">
        <v>1861</v>
      </c>
      <c r="B2135" s="2" t="s">
        <v>47</v>
      </c>
      <c r="C2135" s="2" t="s">
        <v>4274</v>
      </c>
      <c r="D2135" s="11" t="n">
        <v>137467</v>
      </c>
      <c r="E2135" s="31" t="n">
        <v>77.3</v>
      </c>
      <c r="F2135" s="31" t="n">
        <v>54.3</v>
      </c>
      <c r="G2135" s="31" t="n">
        <v>17.8</v>
      </c>
      <c r="H2135" s="2" t="s">
        <v>822</v>
      </c>
    </row>
    <row r="2136" customFormat="false" ht="15" hidden="false" customHeight="false" outlineLevel="0" collapsed="false">
      <c r="A2136" s="2" t="s">
        <v>1861</v>
      </c>
      <c r="B2136" s="2" t="s">
        <v>47</v>
      </c>
      <c r="C2136" s="2" t="s">
        <v>4275</v>
      </c>
      <c r="D2136" s="11" t="n">
        <v>143323</v>
      </c>
      <c r="E2136" s="31" t="n">
        <v>49.4</v>
      </c>
      <c r="F2136" s="31" t="n">
        <v>70.8</v>
      </c>
      <c r="G2136" s="2"/>
      <c r="H2136" s="2" t="s">
        <v>832</v>
      </c>
    </row>
    <row r="2137" customFormat="false" ht="15" hidden="false" customHeight="false" outlineLevel="0" collapsed="false">
      <c r="A2137" s="2" t="s">
        <v>850</v>
      </c>
      <c r="B2137" s="2" t="s">
        <v>4291</v>
      </c>
      <c r="C2137" s="2" t="s">
        <v>4274</v>
      </c>
      <c r="D2137" s="2"/>
      <c r="E2137" s="31" t="n">
        <v>69.2</v>
      </c>
      <c r="F2137" s="31" t="n">
        <v>45.5</v>
      </c>
      <c r="G2137" s="31" t="n">
        <v>27.2</v>
      </c>
      <c r="H2137" s="2" t="s">
        <v>832</v>
      </c>
    </row>
    <row r="2138" customFormat="false" ht="15" hidden="false" customHeight="false" outlineLevel="0" collapsed="false">
      <c r="A2138" s="2" t="s">
        <v>850</v>
      </c>
      <c r="B2138" s="2" t="s">
        <v>4291</v>
      </c>
      <c r="C2138" s="2" t="s">
        <v>4275</v>
      </c>
      <c r="D2138" s="2"/>
      <c r="E2138" s="31" t="n">
        <v>64.6</v>
      </c>
      <c r="F2138" s="31" t="n">
        <v>59.8</v>
      </c>
      <c r="G2138" s="31" t="n">
        <v>32.8</v>
      </c>
      <c r="H2138" s="2" t="s">
        <v>832</v>
      </c>
    </row>
    <row r="2139" customFormat="false" ht="15" hidden="false" customHeight="false" outlineLevel="0" collapsed="false">
      <c r="A2139" s="2" t="s">
        <v>850</v>
      </c>
      <c r="B2139" s="2" t="s">
        <v>45</v>
      </c>
      <c r="C2139" s="2" t="s">
        <v>4274</v>
      </c>
      <c r="D2139" s="11" t="n">
        <v>534563</v>
      </c>
      <c r="E2139" s="31" t="n">
        <v>97.2</v>
      </c>
      <c r="F2139" s="31" t="n">
        <v>46.6</v>
      </c>
      <c r="G2139" s="31" t="n">
        <v>37.6</v>
      </c>
      <c r="H2139" s="2" t="s">
        <v>822</v>
      </c>
    </row>
    <row r="2140" customFormat="false" ht="15" hidden="false" customHeight="false" outlineLevel="0" collapsed="false">
      <c r="A2140" s="2" t="s">
        <v>850</v>
      </c>
      <c r="B2140" s="2" t="s">
        <v>45</v>
      </c>
      <c r="C2140" s="2" t="s">
        <v>4275</v>
      </c>
      <c r="D2140" s="11" t="n">
        <v>542100</v>
      </c>
      <c r="E2140" s="31" t="n">
        <v>97.2</v>
      </c>
      <c r="F2140" s="31" t="n">
        <v>48.6</v>
      </c>
      <c r="G2140" s="31" t="n">
        <v>42.4</v>
      </c>
      <c r="H2140" s="2" t="s">
        <v>822</v>
      </c>
    </row>
    <row r="2141" customFormat="false" ht="15" hidden="false" customHeight="false" outlineLevel="0" collapsed="false">
      <c r="A2141" s="2" t="s">
        <v>850</v>
      </c>
      <c r="B2141" s="2" t="s">
        <v>46</v>
      </c>
      <c r="C2141" s="2" t="s">
        <v>4274</v>
      </c>
      <c r="D2141" s="11" t="n">
        <v>2143770</v>
      </c>
      <c r="E2141" s="31" t="n">
        <v>13.9</v>
      </c>
      <c r="F2141" s="2"/>
      <c r="G2141" s="31" t="n">
        <v>28.8</v>
      </c>
      <c r="H2141" s="2" t="s">
        <v>832</v>
      </c>
    </row>
    <row r="2142" customFormat="false" ht="15" hidden="false" customHeight="false" outlineLevel="0" collapsed="false">
      <c r="A2142" s="2" t="s">
        <v>850</v>
      </c>
      <c r="B2142" s="2" t="s">
        <v>46</v>
      </c>
      <c r="C2142" s="2" t="s">
        <v>4275</v>
      </c>
      <c r="D2142" s="11" t="n">
        <v>2308620</v>
      </c>
      <c r="E2142" s="31" t="n">
        <v>8.6</v>
      </c>
      <c r="F2142" s="31" t="n">
        <v>91.7</v>
      </c>
      <c r="G2142" s="2"/>
      <c r="H2142" s="2" t="s">
        <v>832</v>
      </c>
    </row>
    <row r="2143" customFormat="false" ht="15" hidden="false" customHeight="false" outlineLevel="0" collapsed="false">
      <c r="A2143" s="2" t="s">
        <v>850</v>
      </c>
      <c r="B2143" s="2" t="s">
        <v>47</v>
      </c>
      <c r="C2143" s="2" t="s">
        <v>4274</v>
      </c>
      <c r="D2143" s="11" t="n">
        <v>218628</v>
      </c>
      <c r="E2143" s="31" t="n">
        <v>96.5</v>
      </c>
      <c r="F2143" s="31" t="n">
        <v>44.4</v>
      </c>
      <c r="G2143" s="31" t="n">
        <v>15.2</v>
      </c>
      <c r="H2143" s="2" t="s">
        <v>822</v>
      </c>
    </row>
    <row r="2144" customFormat="false" ht="15" hidden="false" customHeight="false" outlineLevel="0" collapsed="false">
      <c r="A2144" s="2" t="s">
        <v>850</v>
      </c>
      <c r="B2144" s="2" t="s">
        <v>47</v>
      </c>
      <c r="C2144" s="2" t="s">
        <v>4275</v>
      </c>
      <c r="D2144" s="11" t="n">
        <v>223568</v>
      </c>
      <c r="E2144" s="31" t="n">
        <v>88</v>
      </c>
      <c r="F2144" s="31" t="n">
        <v>39.1</v>
      </c>
      <c r="G2144" s="31" t="n">
        <v>23.3</v>
      </c>
      <c r="H2144" s="2" t="s">
        <v>822</v>
      </c>
    </row>
    <row r="2145" customFormat="false" ht="15" hidden="false" customHeight="false" outlineLevel="0" collapsed="false">
      <c r="A2145" s="2" t="s">
        <v>2813</v>
      </c>
      <c r="B2145" s="2" t="s">
        <v>4291</v>
      </c>
      <c r="C2145" s="2" t="s">
        <v>4274</v>
      </c>
      <c r="D2145" s="2"/>
      <c r="E2145" s="31" t="n">
        <v>47.1</v>
      </c>
      <c r="F2145" s="31" t="n">
        <v>54.8</v>
      </c>
      <c r="G2145" s="2"/>
      <c r="H2145" s="2" t="s">
        <v>832</v>
      </c>
    </row>
    <row r="2146" customFormat="false" ht="15" hidden="false" customHeight="false" outlineLevel="0" collapsed="false">
      <c r="A2146" s="2" t="s">
        <v>2813</v>
      </c>
      <c r="B2146" s="2" t="s">
        <v>4291</v>
      </c>
      <c r="C2146" s="2" t="s">
        <v>4275</v>
      </c>
      <c r="D2146" s="2"/>
      <c r="E2146" s="31" t="n">
        <v>9.3</v>
      </c>
      <c r="F2146" s="31" t="n">
        <v>74.6</v>
      </c>
      <c r="G2146" s="31" t="n">
        <v>54.4</v>
      </c>
      <c r="H2146" s="2" t="s">
        <v>832</v>
      </c>
    </row>
    <row r="2147" customFormat="false" ht="15" hidden="false" customHeight="false" outlineLevel="0" collapsed="false">
      <c r="A2147" s="2" t="s">
        <v>2813</v>
      </c>
      <c r="B2147" s="2" t="s">
        <v>45</v>
      </c>
      <c r="C2147" s="2" t="s">
        <v>4274</v>
      </c>
      <c r="D2147" s="11" t="n">
        <v>258390</v>
      </c>
      <c r="E2147" s="31" t="n">
        <v>47.1</v>
      </c>
      <c r="F2147" s="31" t="n">
        <v>54.8</v>
      </c>
      <c r="G2147" s="2"/>
      <c r="H2147" s="2" t="s">
        <v>832</v>
      </c>
    </row>
    <row r="2148" customFormat="false" ht="15" hidden="false" customHeight="false" outlineLevel="0" collapsed="false">
      <c r="A2148" s="2" t="s">
        <v>2813</v>
      </c>
      <c r="B2148" s="2" t="s">
        <v>45</v>
      </c>
      <c r="C2148" s="2" t="s">
        <v>4275</v>
      </c>
      <c r="D2148" s="11" t="n">
        <v>270360</v>
      </c>
      <c r="E2148" s="2"/>
      <c r="F2148" s="31" t="n">
        <v>89.3</v>
      </c>
      <c r="G2148" s="31" t="n">
        <v>33.3</v>
      </c>
      <c r="H2148" s="2" t="s">
        <v>832</v>
      </c>
    </row>
    <row r="2149" customFormat="false" ht="15" hidden="false" customHeight="false" outlineLevel="0" collapsed="false">
      <c r="A2149" s="2" t="s">
        <v>2813</v>
      </c>
      <c r="B2149" s="2" t="s">
        <v>47</v>
      </c>
      <c r="C2149" s="2" t="s">
        <v>4274</v>
      </c>
      <c r="D2149" s="2"/>
      <c r="E2149" s="2"/>
      <c r="F2149" s="2"/>
      <c r="G2149" s="2"/>
      <c r="H2149" s="2" t="s">
        <v>832</v>
      </c>
    </row>
    <row r="2150" customFormat="false" ht="15" hidden="false" customHeight="false" outlineLevel="0" collapsed="false">
      <c r="A2150" s="2" t="s">
        <v>2813</v>
      </c>
      <c r="B2150" s="2" t="s">
        <v>47</v>
      </c>
      <c r="C2150" s="2" t="s">
        <v>4275</v>
      </c>
      <c r="D2150" s="11" t="n">
        <v>7504</v>
      </c>
      <c r="E2150" s="31" t="n">
        <v>9.3</v>
      </c>
      <c r="F2150" s="31" t="n">
        <v>60</v>
      </c>
      <c r="G2150" s="31" t="n">
        <v>75.4</v>
      </c>
      <c r="H2150" s="2" t="s">
        <v>822</v>
      </c>
    </row>
    <row r="2151" customFormat="false" ht="15" hidden="false" customHeight="false" outlineLevel="0" collapsed="false">
      <c r="A2151" s="2" t="s">
        <v>504</v>
      </c>
      <c r="B2151" s="2" t="s">
        <v>4291</v>
      </c>
      <c r="C2151" s="2" t="s">
        <v>4274</v>
      </c>
      <c r="D2151" s="2"/>
      <c r="E2151" s="31" t="n">
        <v>22.7</v>
      </c>
      <c r="F2151" s="31" t="n">
        <v>25.6</v>
      </c>
      <c r="G2151" s="2"/>
      <c r="H2151" s="2" t="s">
        <v>832</v>
      </c>
    </row>
    <row r="2152" customFormat="false" ht="15" hidden="false" customHeight="false" outlineLevel="0" collapsed="false">
      <c r="A2152" s="2" t="s">
        <v>504</v>
      </c>
      <c r="B2152" s="2" t="s">
        <v>4291</v>
      </c>
      <c r="C2152" s="2" t="s">
        <v>4275</v>
      </c>
      <c r="D2152" s="2"/>
      <c r="E2152" s="31" t="n">
        <v>48.4</v>
      </c>
      <c r="F2152" s="31" t="n">
        <v>50</v>
      </c>
      <c r="G2152" s="31" t="n">
        <v>57.2</v>
      </c>
      <c r="H2152" s="2" t="s">
        <v>822</v>
      </c>
    </row>
    <row r="2153" customFormat="false" ht="15" hidden="false" customHeight="false" outlineLevel="0" collapsed="false">
      <c r="A2153" s="2" t="s">
        <v>504</v>
      </c>
      <c r="B2153" s="2" t="s">
        <v>45</v>
      </c>
      <c r="C2153" s="2" t="s">
        <v>4274</v>
      </c>
      <c r="D2153" s="2"/>
      <c r="E2153" s="2"/>
      <c r="F2153" s="2"/>
      <c r="G2153" s="2"/>
      <c r="H2153" s="2" t="s">
        <v>832</v>
      </c>
    </row>
    <row r="2154" customFormat="false" ht="15" hidden="false" customHeight="false" outlineLevel="0" collapsed="false">
      <c r="A2154" s="2" t="s">
        <v>504</v>
      </c>
      <c r="B2154" s="2" t="s">
        <v>45</v>
      </c>
      <c r="C2154" s="2" t="s">
        <v>4275</v>
      </c>
      <c r="D2154" s="11" t="n">
        <v>9980</v>
      </c>
      <c r="E2154" s="31" t="n">
        <v>38.2</v>
      </c>
      <c r="F2154" s="31" t="n">
        <v>88.7</v>
      </c>
      <c r="G2154" s="31" t="n">
        <v>92.1</v>
      </c>
      <c r="H2154" s="2" t="s">
        <v>822</v>
      </c>
    </row>
    <row r="2155" customFormat="false" ht="15" hidden="false" customHeight="false" outlineLevel="0" collapsed="false">
      <c r="A2155" s="2" t="s">
        <v>504</v>
      </c>
      <c r="B2155" s="2" t="s">
        <v>47</v>
      </c>
      <c r="C2155" s="2" t="s">
        <v>4274</v>
      </c>
      <c r="D2155" s="11" t="n">
        <v>8204</v>
      </c>
      <c r="E2155" s="31" t="n">
        <v>22.7</v>
      </c>
      <c r="F2155" s="31" t="n">
        <v>25.6</v>
      </c>
      <c r="G2155" s="2"/>
      <c r="H2155" s="2" t="s">
        <v>832</v>
      </c>
    </row>
    <row r="2156" customFormat="false" ht="15" hidden="false" customHeight="false" outlineLevel="0" collapsed="false">
      <c r="A2156" s="2" t="s">
        <v>504</v>
      </c>
      <c r="B2156" s="2" t="s">
        <v>47</v>
      </c>
      <c r="C2156" s="2" t="s">
        <v>4275</v>
      </c>
      <c r="D2156" s="11" t="n">
        <v>8456</v>
      </c>
      <c r="E2156" s="31" t="n">
        <v>58.6</v>
      </c>
      <c r="F2156" s="31" t="n">
        <v>11.2</v>
      </c>
      <c r="G2156" s="31" t="n">
        <v>22.2</v>
      </c>
      <c r="H2156" s="2" t="s">
        <v>822</v>
      </c>
    </row>
    <row r="2157" customFormat="false" ht="15" hidden="false" customHeight="false" outlineLevel="0" collapsed="false">
      <c r="A2157" s="2" t="s">
        <v>234</v>
      </c>
      <c r="B2157" s="2" t="s">
        <v>4291</v>
      </c>
      <c r="C2157" s="2" t="s">
        <v>4274</v>
      </c>
      <c r="D2157" s="2"/>
      <c r="E2157" s="31" t="n">
        <v>61.2</v>
      </c>
      <c r="F2157" s="31" t="n">
        <v>22.3</v>
      </c>
      <c r="G2157" s="31" t="n">
        <v>62.3</v>
      </c>
      <c r="H2157" s="2" t="s">
        <v>832</v>
      </c>
    </row>
    <row r="2158" customFormat="false" ht="15" hidden="false" customHeight="false" outlineLevel="0" collapsed="false">
      <c r="A2158" s="2" t="s">
        <v>234</v>
      </c>
      <c r="B2158" s="2" t="s">
        <v>4291</v>
      </c>
      <c r="C2158" s="2" t="s">
        <v>4275</v>
      </c>
      <c r="D2158" s="2"/>
      <c r="E2158" s="31" t="n">
        <v>70</v>
      </c>
      <c r="F2158" s="31" t="n">
        <v>21</v>
      </c>
      <c r="G2158" s="31" t="n">
        <v>70.8</v>
      </c>
      <c r="H2158" s="2" t="s">
        <v>822</v>
      </c>
    </row>
    <row r="2159" customFormat="false" ht="15" hidden="false" customHeight="false" outlineLevel="0" collapsed="false">
      <c r="A2159" s="2" t="s">
        <v>234</v>
      </c>
      <c r="B2159" s="2" t="s">
        <v>45</v>
      </c>
      <c r="C2159" s="2" t="s">
        <v>4274</v>
      </c>
      <c r="D2159" s="2"/>
      <c r="E2159" s="2"/>
      <c r="F2159" s="2"/>
      <c r="G2159" s="2"/>
      <c r="H2159" s="2" t="s">
        <v>832</v>
      </c>
    </row>
    <row r="2160" customFormat="false" ht="15" hidden="false" customHeight="false" outlineLevel="0" collapsed="false">
      <c r="A2160" s="2" t="s">
        <v>234</v>
      </c>
      <c r="B2160" s="2" t="s">
        <v>45</v>
      </c>
      <c r="C2160" s="2" t="s">
        <v>4275</v>
      </c>
      <c r="D2160" s="11" t="n">
        <v>71860</v>
      </c>
      <c r="E2160" s="31" t="n">
        <v>97</v>
      </c>
      <c r="F2160" s="31" t="n">
        <v>26.5</v>
      </c>
      <c r="G2160" s="31" t="n">
        <v>96</v>
      </c>
      <c r="H2160" s="2" t="s">
        <v>822</v>
      </c>
    </row>
    <row r="2161" customFormat="false" ht="15" hidden="false" customHeight="false" outlineLevel="0" collapsed="false">
      <c r="A2161" s="2" t="s">
        <v>234</v>
      </c>
      <c r="B2161" s="2" t="s">
        <v>46</v>
      </c>
      <c r="C2161" s="2" t="s">
        <v>4274</v>
      </c>
      <c r="D2161" s="11" t="n">
        <v>250130</v>
      </c>
      <c r="E2161" s="31" t="n">
        <v>22.7</v>
      </c>
      <c r="F2161" s="31" t="n">
        <v>10.3</v>
      </c>
      <c r="G2161" s="2"/>
      <c r="H2161" s="2" t="s">
        <v>832</v>
      </c>
    </row>
    <row r="2162" customFormat="false" ht="15" hidden="false" customHeight="false" outlineLevel="0" collapsed="false">
      <c r="A2162" s="2" t="s">
        <v>234</v>
      </c>
      <c r="B2162" s="2" t="s">
        <v>46</v>
      </c>
      <c r="C2162" s="2" t="s">
        <v>4275</v>
      </c>
      <c r="D2162" s="11" t="n">
        <v>261820</v>
      </c>
      <c r="E2162" s="31" t="n">
        <v>13.6</v>
      </c>
      <c r="F2162" s="31" t="n">
        <v>10.2</v>
      </c>
      <c r="G2162" s="31" t="n">
        <v>49</v>
      </c>
      <c r="H2162" s="2" t="s">
        <v>822</v>
      </c>
    </row>
    <row r="2163" customFormat="false" ht="15" hidden="false" customHeight="false" outlineLevel="0" collapsed="false">
      <c r="A2163" s="2" t="s">
        <v>234</v>
      </c>
      <c r="B2163" s="2" t="s">
        <v>47</v>
      </c>
      <c r="C2163" s="2" t="s">
        <v>4274</v>
      </c>
      <c r="D2163" s="11" t="n">
        <v>83655</v>
      </c>
      <c r="E2163" s="31" t="n">
        <v>99.7</v>
      </c>
      <c r="F2163" s="31" t="n">
        <v>34.3</v>
      </c>
      <c r="G2163" s="31" t="n">
        <v>62.3</v>
      </c>
      <c r="H2163" s="2" t="s">
        <v>822</v>
      </c>
    </row>
    <row r="2164" customFormat="false" ht="15" hidden="false" customHeight="false" outlineLevel="0" collapsed="false">
      <c r="A2164" s="2" t="s">
        <v>234</v>
      </c>
      <c r="B2164" s="2" t="s">
        <v>47</v>
      </c>
      <c r="C2164" s="2" t="s">
        <v>4275</v>
      </c>
      <c r="D2164" s="11" t="n">
        <v>89220</v>
      </c>
      <c r="E2164" s="31" t="n">
        <v>99.3</v>
      </c>
      <c r="F2164" s="31" t="n">
        <v>26.3</v>
      </c>
      <c r="G2164" s="31" t="n">
        <v>67.4</v>
      </c>
      <c r="H2164" s="2" t="s">
        <v>822</v>
      </c>
    </row>
    <row r="2165" customFormat="false" ht="15" hidden="false" customHeight="false" outlineLevel="0" collapsed="false">
      <c r="A2165" s="2" t="s">
        <v>157</v>
      </c>
      <c r="B2165" s="2" t="s">
        <v>4291</v>
      </c>
      <c r="C2165" s="2" t="s">
        <v>4274</v>
      </c>
      <c r="D2165" s="2"/>
      <c r="E2165" s="31" t="n">
        <v>81.6</v>
      </c>
      <c r="F2165" s="2"/>
      <c r="G2165" s="2"/>
      <c r="H2165" s="2" t="s">
        <v>832</v>
      </c>
    </row>
    <row r="2166" customFormat="false" ht="15" hidden="false" customHeight="false" outlineLevel="0" collapsed="false">
      <c r="A2166" s="2" t="s">
        <v>157</v>
      </c>
      <c r="B2166" s="2" t="s">
        <v>4291</v>
      </c>
      <c r="C2166" s="2" t="s">
        <v>4275</v>
      </c>
      <c r="D2166" s="2"/>
      <c r="E2166" s="31" t="n">
        <v>81.3</v>
      </c>
      <c r="F2166" s="31" t="n">
        <v>97.5</v>
      </c>
      <c r="G2166" s="31" t="n">
        <v>89.8</v>
      </c>
      <c r="H2166" s="2" t="s">
        <v>822</v>
      </c>
    </row>
    <row r="2167" customFormat="false" ht="15" hidden="false" customHeight="false" outlineLevel="0" collapsed="false">
      <c r="A2167" s="2" t="s">
        <v>157</v>
      </c>
      <c r="B2167" s="2" t="s">
        <v>46</v>
      </c>
      <c r="C2167" s="2" t="s">
        <v>4274</v>
      </c>
      <c r="D2167" s="11" t="n">
        <v>17013</v>
      </c>
      <c r="E2167" s="31" t="n">
        <v>81.6</v>
      </c>
      <c r="F2167" s="2"/>
      <c r="G2167" s="2"/>
      <c r="H2167" s="2" t="s">
        <v>832</v>
      </c>
    </row>
    <row r="2168" customFormat="false" ht="15" hidden="false" customHeight="false" outlineLevel="0" collapsed="false">
      <c r="A2168" s="2" t="s">
        <v>157</v>
      </c>
      <c r="B2168" s="2" t="s">
        <v>46</v>
      </c>
      <c r="C2168" s="2" t="s">
        <v>4275</v>
      </c>
      <c r="D2168" s="11" t="n">
        <v>19368</v>
      </c>
      <c r="E2168" s="31" t="n">
        <v>81.3</v>
      </c>
      <c r="F2168" s="31" t="n">
        <v>97.5</v>
      </c>
      <c r="G2168" s="31" t="n">
        <v>89.8</v>
      </c>
      <c r="H2168" s="2" t="s">
        <v>822</v>
      </c>
    </row>
    <row r="2169" customFormat="false" ht="15" hidden="false" customHeight="false" outlineLevel="0" collapsed="false">
      <c r="A2169" s="2" t="s">
        <v>2119</v>
      </c>
      <c r="B2169" s="2" t="s">
        <v>4291</v>
      </c>
      <c r="C2169" s="2" t="s">
        <v>4274</v>
      </c>
      <c r="D2169" s="2"/>
      <c r="E2169" s="31" t="n">
        <v>57.5</v>
      </c>
      <c r="F2169" s="31" t="n">
        <v>51.6</v>
      </c>
      <c r="G2169" s="31" t="n">
        <v>38.8</v>
      </c>
      <c r="H2169" s="2" t="s">
        <v>832</v>
      </c>
    </row>
    <row r="2170" customFormat="false" ht="15" hidden="false" customHeight="false" outlineLevel="0" collapsed="false">
      <c r="A2170" s="2" t="s">
        <v>2119</v>
      </c>
      <c r="B2170" s="2" t="s">
        <v>4291</v>
      </c>
      <c r="C2170" s="2" t="s">
        <v>4275</v>
      </c>
      <c r="D2170" s="2"/>
      <c r="E2170" s="31" t="n">
        <v>41</v>
      </c>
      <c r="F2170" s="31" t="n">
        <v>52.6</v>
      </c>
      <c r="G2170" s="31" t="n">
        <v>30</v>
      </c>
      <c r="H2170" s="2" t="s">
        <v>832</v>
      </c>
    </row>
    <row r="2171" customFormat="false" ht="15" hidden="false" customHeight="false" outlineLevel="0" collapsed="false">
      <c r="A2171" s="2" t="s">
        <v>2119</v>
      </c>
      <c r="B2171" s="2" t="s">
        <v>45</v>
      </c>
      <c r="C2171" s="2" t="s">
        <v>4274</v>
      </c>
      <c r="D2171" s="11" t="n">
        <v>227796</v>
      </c>
      <c r="E2171" s="31" t="n">
        <v>55.3</v>
      </c>
      <c r="F2171" s="31" t="n">
        <v>47.9</v>
      </c>
      <c r="G2171" s="31" t="n">
        <v>46.6</v>
      </c>
      <c r="H2171" s="2" t="s">
        <v>822</v>
      </c>
    </row>
    <row r="2172" customFormat="false" ht="15" hidden="false" customHeight="false" outlineLevel="0" collapsed="false">
      <c r="A2172" s="2" t="s">
        <v>2119</v>
      </c>
      <c r="B2172" s="2" t="s">
        <v>45</v>
      </c>
      <c r="C2172" s="2" t="s">
        <v>4275</v>
      </c>
      <c r="D2172" s="2"/>
      <c r="E2172" s="2"/>
      <c r="F2172" s="2"/>
      <c r="G2172" s="2"/>
      <c r="H2172" s="2" t="s">
        <v>832</v>
      </c>
    </row>
    <row r="2173" customFormat="false" ht="15" hidden="false" customHeight="false" outlineLevel="0" collapsed="false">
      <c r="A2173" s="2" t="s">
        <v>2119</v>
      </c>
      <c r="B2173" s="2" t="s">
        <v>46</v>
      </c>
      <c r="C2173" s="2" t="s">
        <v>4274</v>
      </c>
      <c r="D2173" s="2"/>
      <c r="E2173" s="2"/>
      <c r="F2173" s="2"/>
      <c r="G2173" s="2"/>
      <c r="H2173" s="2" t="s">
        <v>832</v>
      </c>
    </row>
    <row r="2174" customFormat="false" ht="15" hidden="false" customHeight="false" outlineLevel="0" collapsed="false">
      <c r="A2174" s="2" t="s">
        <v>2119</v>
      </c>
      <c r="B2174" s="2" t="s">
        <v>46</v>
      </c>
      <c r="C2174" s="2" t="s">
        <v>4275</v>
      </c>
      <c r="D2174" s="11" t="n">
        <v>170433</v>
      </c>
      <c r="E2174" s="31" t="n">
        <v>14.5</v>
      </c>
      <c r="F2174" s="31" t="n">
        <v>61.8</v>
      </c>
      <c r="G2174" s="31" t="n">
        <v>41.3</v>
      </c>
      <c r="H2174" s="2" t="s">
        <v>822</v>
      </c>
    </row>
    <row r="2175" customFormat="false" ht="15" hidden="false" customHeight="false" outlineLevel="0" collapsed="false">
      <c r="A2175" s="2" t="s">
        <v>2119</v>
      </c>
      <c r="B2175" s="2" t="s">
        <v>47</v>
      </c>
      <c r="C2175" s="2" t="s">
        <v>4274</v>
      </c>
      <c r="D2175" s="11" t="n">
        <v>20505</v>
      </c>
      <c r="E2175" s="31" t="n">
        <v>59.7</v>
      </c>
      <c r="F2175" s="31" t="n">
        <v>55.2</v>
      </c>
      <c r="G2175" s="31" t="n">
        <v>31</v>
      </c>
      <c r="H2175" s="2" t="s">
        <v>832</v>
      </c>
    </row>
    <row r="2176" customFormat="false" ht="15" hidden="false" customHeight="false" outlineLevel="0" collapsed="false">
      <c r="A2176" s="2" t="s">
        <v>2119</v>
      </c>
      <c r="B2176" s="2" t="s">
        <v>47</v>
      </c>
      <c r="C2176" s="2" t="s">
        <v>4275</v>
      </c>
      <c r="D2176" s="11" t="n">
        <v>21390</v>
      </c>
      <c r="E2176" s="31" t="n">
        <v>67.5</v>
      </c>
      <c r="F2176" s="31" t="n">
        <v>43.5</v>
      </c>
      <c r="G2176" s="31" t="n">
        <v>18.6</v>
      </c>
      <c r="H2176" s="2" t="s">
        <v>822</v>
      </c>
    </row>
    <row r="2177" customFormat="false" ht="15" hidden="false" customHeight="false" outlineLevel="0" collapsed="false">
      <c r="A2177" s="2" t="s">
        <v>1348</v>
      </c>
      <c r="B2177" s="2" t="s">
        <v>4291</v>
      </c>
      <c r="C2177" s="2" t="s">
        <v>4274</v>
      </c>
      <c r="D2177" s="2"/>
      <c r="E2177" s="31" t="n">
        <v>23.4</v>
      </c>
      <c r="F2177" s="31" t="n">
        <v>64.6</v>
      </c>
      <c r="G2177" s="31" t="n">
        <v>42.6</v>
      </c>
      <c r="H2177" s="2" t="s">
        <v>832</v>
      </c>
    </row>
    <row r="2178" customFormat="false" ht="15" hidden="false" customHeight="false" outlineLevel="0" collapsed="false">
      <c r="A2178" s="2" t="s">
        <v>1348</v>
      </c>
      <c r="B2178" s="2" t="s">
        <v>4291</v>
      </c>
      <c r="C2178" s="2" t="s">
        <v>4275</v>
      </c>
      <c r="D2178" s="2"/>
      <c r="E2178" s="31" t="n">
        <v>28.6</v>
      </c>
      <c r="F2178" s="31" t="n">
        <v>80.4</v>
      </c>
      <c r="G2178" s="31" t="n">
        <v>39</v>
      </c>
      <c r="H2178" s="2" t="s">
        <v>832</v>
      </c>
    </row>
    <row r="2179" customFormat="false" ht="15" hidden="false" customHeight="false" outlineLevel="0" collapsed="false">
      <c r="A2179" s="2" t="s">
        <v>1348</v>
      </c>
      <c r="B2179" s="2" t="s">
        <v>45</v>
      </c>
      <c r="C2179" s="2" t="s">
        <v>4274</v>
      </c>
      <c r="D2179" s="2"/>
      <c r="E2179" s="2"/>
      <c r="F2179" s="2"/>
      <c r="G2179" s="2"/>
      <c r="H2179" s="2" t="s">
        <v>832</v>
      </c>
    </row>
    <row r="2180" customFormat="false" ht="15" hidden="false" customHeight="false" outlineLevel="0" collapsed="false">
      <c r="A2180" s="2" t="s">
        <v>1348</v>
      </c>
      <c r="B2180" s="2" t="s">
        <v>45</v>
      </c>
      <c r="C2180" s="2" t="s">
        <v>4275</v>
      </c>
      <c r="D2180" s="11" t="n">
        <v>3045</v>
      </c>
      <c r="E2180" s="31" t="n">
        <v>35</v>
      </c>
      <c r="F2180" s="31" t="n">
        <v>100</v>
      </c>
      <c r="G2180" s="31" t="n">
        <v>61.1</v>
      </c>
      <c r="H2180" s="2" t="s">
        <v>822</v>
      </c>
    </row>
    <row r="2181" customFormat="false" ht="15" hidden="false" customHeight="false" outlineLevel="0" collapsed="false">
      <c r="A2181" s="2" t="s">
        <v>1348</v>
      </c>
      <c r="B2181" s="2" t="s">
        <v>46</v>
      </c>
      <c r="C2181" s="2" t="s">
        <v>4274</v>
      </c>
      <c r="D2181" s="11" t="n">
        <v>276130</v>
      </c>
      <c r="E2181" s="31" t="n">
        <v>28.4</v>
      </c>
      <c r="F2181" s="31" t="n">
        <v>72.4</v>
      </c>
      <c r="G2181" s="31" t="n">
        <v>73.1</v>
      </c>
      <c r="H2181" s="2" t="s">
        <v>822</v>
      </c>
    </row>
    <row r="2182" customFormat="false" ht="15" hidden="false" customHeight="false" outlineLevel="0" collapsed="false">
      <c r="A2182" s="2" t="s">
        <v>1348</v>
      </c>
      <c r="B2182" s="2" t="s">
        <v>46</v>
      </c>
      <c r="C2182" s="2" t="s">
        <v>4275</v>
      </c>
      <c r="D2182" s="2"/>
      <c r="E2182" s="2"/>
      <c r="F2182" s="2"/>
      <c r="G2182" s="2"/>
      <c r="H2182" s="2" t="s">
        <v>832</v>
      </c>
    </row>
    <row r="2183" customFormat="false" ht="15" hidden="false" customHeight="false" outlineLevel="0" collapsed="false">
      <c r="A2183" s="2" t="s">
        <v>1348</v>
      </c>
      <c r="B2183" s="2" t="s">
        <v>47</v>
      </c>
      <c r="C2183" s="2" t="s">
        <v>4274</v>
      </c>
      <c r="D2183" s="11" t="n">
        <v>112010</v>
      </c>
      <c r="E2183" s="31" t="n">
        <v>18.5</v>
      </c>
      <c r="F2183" s="31" t="n">
        <v>56.8</v>
      </c>
      <c r="G2183" s="31" t="n">
        <v>12.2</v>
      </c>
      <c r="H2183" s="2" t="s">
        <v>822</v>
      </c>
    </row>
    <row r="2184" customFormat="false" ht="15" hidden="false" customHeight="false" outlineLevel="0" collapsed="false">
      <c r="A2184" s="2" t="s">
        <v>1348</v>
      </c>
      <c r="B2184" s="2" t="s">
        <v>47</v>
      </c>
      <c r="C2184" s="2" t="s">
        <v>4275</v>
      </c>
      <c r="D2184" s="11" t="n">
        <v>112866</v>
      </c>
      <c r="E2184" s="31" t="n">
        <v>22.2</v>
      </c>
      <c r="F2184" s="31" t="n">
        <v>60.9</v>
      </c>
      <c r="G2184" s="31" t="n">
        <v>17</v>
      </c>
      <c r="H2184" s="2" t="s">
        <v>822</v>
      </c>
    </row>
    <row r="2185" customFormat="false" ht="15" hidden="false" customHeight="false" outlineLevel="0" collapsed="false">
      <c r="A2185" s="2" t="s">
        <v>214</v>
      </c>
      <c r="B2185" s="2" t="s">
        <v>4291</v>
      </c>
      <c r="C2185" s="2" t="s">
        <v>4274</v>
      </c>
      <c r="D2185" s="2"/>
      <c r="E2185" s="31" t="n">
        <v>52.5</v>
      </c>
      <c r="F2185" s="31" t="n">
        <v>41.4</v>
      </c>
      <c r="G2185" s="31" t="n">
        <v>38.2</v>
      </c>
      <c r="H2185" s="2" t="s">
        <v>832</v>
      </c>
    </row>
    <row r="2186" customFormat="false" ht="15" hidden="false" customHeight="false" outlineLevel="0" collapsed="false">
      <c r="A2186" s="2" t="s">
        <v>214</v>
      </c>
      <c r="B2186" s="2" t="s">
        <v>4291</v>
      </c>
      <c r="C2186" s="2" t="s">
        <v>4275</v>
      </c>
      <c r="D2186" s="2"/>
      <c r="E2186" s="31" t="n">
        <v>73.8</v>
      </c>
      <c r="F2186" s="31" t="n">
        <v>62</v>
      </c>
      <c r="G2186" s="31" t="n">
        <v>49.7</v>
      </c>
      <c r="H2186" s="2" t="s">
        <v>822</v>
      </c>
    </row>
    <row r="2187" customFormat="false" ht="15" hidden="false" customHeight="false" outlineLevel="0" collapsed="false">
      <c r="A2187" s="2" t="s">
        <v>214</v>
      </c>
      <c r="B2187" s="2" t="s">
        <v>45</v>
      </c>
      <c r="C2187" s="2" t="s">
        <v>4274</v>
      </c>
      <c r="D2187" s="11" t="n">
        <v>7520</v>
      </c>
      <c r="E2187" s="31" t="n">
        <v>99.1</v>
      </c>
      <c r="F2187" s="2"/>
      <c r="G2187" s="2"/>
      <c r="H2187" s="2" t="s">
        <v>832</v>
      </c>
    </row>
    <row r="2188" customFormat="false" ht="15" hidden="false" customHeight="false" outlineLevel="0" collapsed="false">
      <c r="A2188" s="2" t="s">
        <v>214</v>
      </c>
      <c r="B2188" s="2" t="s">
        <v>45</v>
      </c>
      <c r="C2188" s="2" t="s">
        <v>4275</v>
      </c>
      <c r="D2188" s="11" t="n">
        <v>7490</v>
      </c>
      <c r="E2188" s="31" t="n">
        <v>99.6</v>
      </c>
      <c r="F2188" s="31" t="n">
        <v>53.5</v>
      </c>
      <c r="G2188" s="31" t="n">
        <v>39.9</v>
      </c>
      <c r="H2188" s="2" t="s">
        <v>822</v>
      </c>
    </row>
    <row r="2189" customFormat="false" ht="15" hidden="false" customHeight="false" outlineLevel="0" collapsed="false">
      <c r="A2189" s="2" t="s">
        <v>214</v>
      </c>
      <c r="B2189" s="2" t="s">
        <v>46</v>
      </c>
      <c r="C2189" s="2" t="s">
        <v>4274</v>
      </c>
      <c r="D2189" s="11" t="n">
        <v>37550</v>
      </c>
      <c r="E2189" s="31" t="n">
        <v>53.6</v>
      </c>
      <c r="F2189" s="2"/>
      <c r="G2189" s="31" t="n">
        <v>15.3</v>
      </c>
      <c r="H2189" s="2" t="s">
        <v>832</v>
      </c>
    </row>
    <row r="2190" customFormat="false" ht="15" hidden="false" customHeight="false" outlineLevel="0" collapsed="false">
      <c r="A2190" s="2" t="s">
        <v>214</v>
      </c>
      <c r="B2190" s="2" t="s">
        <v>46</v>
      </c>
      <c r="C2190" s="2" t="s">
        <v>4275</v>
      </c>
      <c r="D2190" s="11" t="n">
        <v>38510</v>
      </c>
      <c r="E2190" s="31" t="n">
        <v>91</v>
      </c>
      <c r="F2190" s="31" t="n">
        <v>84</v>
      </c>
      <c r="G2190" s="31" t="n">
        <v>26.5</v>
      </c>
      <c r="H2190" s="2" t="s">
        <v>822</v>
      </c>
    </row>
    <row r="2191" customFormat="false" ht="15" hidden="false" customHeight="false" outlineLevel="0" collapsed="false">
      <c r="A2191" s="2" t="s">
        <v>214</v>
      </c>
      <c r="B2191" s="2" t="s">
        <v>47</v>
      </c>
      <c r="C2191" s="2" t="s">
        <v>4274</v>
      </c>
      <c r="D2191" s="11" t="n">
        <v>116836</v>
      </c>
      <c r="E2191" s="31" t="n">
        <v>4.8</v>
      </c>
      <c r="F2191" s="31" t="n">
        <v>41.4</v>
      </c>
      <c r="G2191" s="31" t="n">
        <v>61</v>
      </c>
      <c r="H2191" s="2" t="s">
        <v>822</v>
      </c>
    </row>
    <row r="2192" customFormat="false" ht="15" hidden="false" customHeight="false" outlineLevel="0" collapsed="false">
      <c r="A2192" s="2" t="s">
        <v>214</v>
      </c>
      <c r="B2192" s="2" t="s">
        <v>47</v>
      </c>
      <c r="C2192" s="2" t="s">
        <v>4275</v>
      </c>
      <c r="D2192" s="11" t="n">
        <v>121080</v>
      </c>
      <c r="E2192" s="31" t="n">
        <v>30.9</v>
      </c>
      <c r="F2192" s="31" t="n">
        <v>48.4</v>
      </c>
      <c r="G2192" s="31" t="n">
        <v>82.6</v>
      </c>
      <c r="H2192" s="2" t="s">
        <v>822</v>
      </c>
    </row>
    <row r="2193" customFormat="false" ht="15" hidden="false" customHeight="false" outlineLevel="0" collapsed="false">
      <c r="A2193" s="2" t="s">
        <v>2459</v>
      </c>
      <c r="B2193" s="2" t="s">
        <v>4291</v>
      </c>
      <c r="C2193" s="2" t="s">
        <v>4274</v>
      </c>
      <c r="D2193" s="2"/>
      <c r="E2193" s="31" t="n">
        <v>79.7</v>
      </c>
      <c r="F2193" s="31" t="n">
        <v>37.3</v>
      </c>
      <c r="G2193" s="31" t="n">
        <v>38.8</v>
      </c>
      <c r="H2193" s="2" t="s">
        <v>832</v>
      </c>
    </row>
    <row r="2194" customFormat="false" ht="15" hidden="false" customHeight="false" outlineLevel="0" collapsed="false">
      <c r="A2194" s="2" t="s">
        <v>2459</v>
      </c>
      <c r="B2194" s="2" t="s">
        <v>4291</v>
      </c>
      <c r="C2194" s="2" t="s">
        <v>4275</v>
      </c>
      <c r="D2194" s="2"/>
      <c r="E2194" s="31" t="n">
        <v>62.3</v>
      </c>
      <c r="F2194" s="31" t="n">
        <v>77</v>
      </c>
      <c r="G2194" s="31" t="n">
        <v>63.8</v>
      </c>
      <c r="H2194" s="2" t="s">
        <v>832</v>
      </c>
    </row>
    <row r="2195" customFormat="false" ht="15" hidden="false" customHeight="false" outlineLevel="0" collapsed="false">
      <c r="A2195" s="2" t="s">
        <v>2459</v>
      </c>
      <c r="B2195" s="2" t="s">
        <v>46</v>
      </c>
      <c r="C2195" s="2" t="s">
        <v>4274</v>
      </c>
      <c r="D2195" s="11" t="n">
        <v>12220</v>
      </c>
      <c r="E2195" s="31" t="n">
        <v>88.5</v>
      </c>
      <c r="F2195" s="2"/>
      <c r="G2195" s="2"/>
      <c r="H2195" s="2" t="s">
        <v>832</v>
      </c>
    </row>
    <row r="2196" customFormat="false" ht="15" hidden="false" customHeight="false" outlineLevel="0" collapsed="false">
      <c r="A2196" s="2" t="s">
        <v>2459</v>
      </c>
      <c r="B2196" s="2" t="s">
        <v>46</v>
      </c>
      <c r="C2196" s="2" t="s">
        <v>4275</v>
      </c>
      <c r="D2196" s="2"/>
      <c r="E2196" s="2"/>
      <c r="F2196" s="2"/>
      <c r="G2196" s="2"/>
      <c r="H2196" s="2" t="s">
        <v>832</v>
      </c>
    </row>
    <row r="2197" customFormat="false" ht="15" hidden="false" customHeight="false" outlineLevel="0" collapsed="false">
      <c r="A2197" s="2" t="s">
        <v>2459</v>
      </c>
      <c r="B2197" s="2" t="s">
        <v>47</v>
      </c>
      <c r="C2197" s="2" t="s">
        <v>4274</v>
      </c>
      <c r="D2197" s="11" t="n">
        <v>97668</v>
      </c>
      <c r="E2197" s="31" t="n">
        <v>70.9</v>
      </c>
      <c r="F2197" s="31" t="n">
        <v>37.3</v>
      </c>
      <c r="G2197" s="31" t="n">
        <v>38.8</v>
      </c>
      <c r="H2197" s="2" t="s">
        <v>822</v>
      </c>
    </row>
    <row r="2198" customFormat="false" ht="15" hidden="false" customHeight="false" outlineLevel="0" collapsed="false">
      <c r="A2198" s="2" t="s">
        <v>2459</v>
      </c>
      <c r="B2198" s="2" t="s">
        <v>47</v>
      </c>
      <c r="C2198" s="2" t="s">
        <v>4275</v>
      </c>
      <c r="D2198" s="11" t="n">
        <v>103300</v>
      </c>
      <c r="E2198" s="31" t="n">
        <v>62.3</v>
      </c>
      <c r="F2198" s="31" t="n">
        <v>77</v>
      </c>
      <c r="G2198" s="31" t="n">
        <v>63.8</v>
      </c>
      <c r="H2198" s="2" t="s">
        <v>822</v>
      </c>
    </row>
    <row r="2199" customFormat="false" ht="15" hidden="false" customHeight="false" outlineLevel="0" collapsed="false">
      <c r="A2199" s="2" t="s">
        <v>899</v>
      </c>
      <c r="B2199" s="2" t="s">
        <v>4291</v>
      </c>
      <c r="C2199" s="2" t="s">
        <v>4274</v>
      </c>
      <c r="D2199" s="2"/>
      <c r="E2199" s="31" t="n">
        <v>52.1</v>
      </c>
      <c r="F2199" s="31" t="n">
        <v>47</v>
      </c>
      <c r="G2199" s="31" t="n">
        <v>39.5</v>
      </c>
      <c r="H2199" s="2" t="s">
        <v>832</v>
      </c>
    </row>
    <row r="2200" customFormat="false" ht="15" hidden="false" customHeight="false" outlineLevel="0" collapsed="false">
      <c r="A2200" s="2" t="s">
        <v>899</v>
      </c>
      <c r="B2200" s="2" t="s">
        <v>4291</v>
      </c>
      <c r="C2200" s="2" t="s">
        <v>4275</v>
      </c>
      <c r="D2200" s="2"/>
      <c r="E2200" s="31" t="n">
        <v>91.1</v>
      </c>
      <c r="F2200" s="31" t="n">
        <v>11</v>
      </c>
      <c r="G2200" s="31" t="n">
        <v>75.8</v>
      </c>
      <c r="H2200" s="2" t="s">
        <v>832</v>
      </c>
    </row>
    <row r="2201" customFormat="false" ht="15" hidden="false" customHeight="false" outlineLevel="0" collapsed="false">
      <c r="A2201" s="2" t="s">
        <v>899</v>
      </c>
      <c r="B2201" s="2" t="s">
        <v>45</v>
      </c>
      <c r="C2201" s="2" t="s">
        <v>4274</v>
      </c>
      <c r="D2201" s="11" t="n">
        <v>75720</v>
      </c>
      <c r="E2201" s="31" t="n">
        <v>94.8</v>
      </c>
      <c r="F2201" s="31" t="n">
        <v>16.4</v>
      </c>
      <c r="G2201" s="2"/>
      <c r="H2201" s="2" t="s">
        <v>832</v>
      </c>
    </row>
    <row r="2202" customFormat="false" ht="15" hidden="false" customHeight="false" outlineLevel="0" collapsed="false">
      <c r="A2202" s="2" t="s">
        <v>899</v>
      </c>
      <c r="B2202" s="2" t="s">
        <v>45</v>
      </c>
      <c r="C2202" s="2" t="s">
        <v>4275</v>
      </c>
      <c r="D2202" s="11" t="n">
        <v>76200</v>
      </c>
      <c r="E2202" s="31" t="n">
        <v>91.1</v>
      </c>
      <c r="F2202" s="31" t="n">
        <v>11</v>
      </c>
      <c r="G2202" s="31" t="n">
        <v>75.8</v>
      </c>
      <c r="H2202" s="2" t="s">
        <v>822</v>
      </c>
    </row>
    <row r="2203" customFormat="false" ht="15" hidden="false" customHeight="false" outlineLevel="0" collapsed="false">
      <c r="A2203" s="2" t="s">
        <v>899</v>
      </c>
      <c r="B2203" s="2" t="s">
        <v>46</v>
      </c>
      <c r="C2203" s="2" t="s">
        <v>4274</v>
      </c>
      <c r="D2203" s="11" t="n">
        <v>71140</v>
      </c>
      <c r="E2203" s="31" t="n">
        <v>9.4</v>
      </c>
      <c r="F2203" s="31" t="n">
        <v>77.5</v>
      </c>
      <c r="G2203" s="31" t="n">
        <v>39.5</v>
      </c>
      <c r="H2203" s="2" t="s">
        <v>822</v>
      </c>
    </row>
    <row r="2204" customFormat="false" ht="15" hidden="false" customHeight="false" outlineLevel="0" collapsed="false">
      <c r="A2204" s="2" t="s">
        <v>899</v>
      </c>
      <c r="B2204" s="2" t="s">
        <v>46</v>
      </c>
      <c r="C2204" s="2" t="s">
        <v>4275</v>
      </c>
      <c r="D2204" s="2"/>
      <c r="E2204" s="2"/>
      <c r="F2204" s="2"/>
      <c r="G2204" s="2"/>
      <c r="H2204" s="2" t="s">
        <v>832</v>
      </c>
    </row>
    <row r="2205" customFormat="false" ht="15" hidden="false" customHeight="false" outlineLevel="0" collapsed="false">
      <c r="A2205" s="2" t="s">
        <v>1669</v>
      </c>
      <c r="B2205" s="2" t="s">
        <v>4291</v>
      </c>
      <c r="C2205" s="2" t="s">
        <v>4274</v>
      </c>
      <c r="D2205" s="2"/>
      <c r="E2205" s="31" t="n">
        <v>94.3</v>
      </c>
      <c r="F2205" s="31" t="n">
        <v>61.9</v>
      </c>
      <c r="G2205" s="31" t="n">
        <v>31.7</v>
      </c>
      <c r="H2205" s="2" t="s">
        <v>832</v>
      </c>
    </row>
    <row r="2206" customFormat="false" ht="15" hidden="false" customHeight="false" outlineLevel="0" collapsed="false">
      <c r="A2206" s="2" t="s">
        <v>1669</v>
      </c>
      <c r="B2206" s="2" t="s">
        <v>4291</v>
      </c>
      <c r="C2206" s="2" t="s">
        <v>4275</v>
      </c>
      <c r="D2206" s="2"/>
      <c r="E2206" s="31" t="n">
        <v>93.6</v>
      </c>
      <c r="F2206" s="31" t="n">
        <v>59.6</v>
      </c>
      <c r="G2206" s="31" t="n">
        <v>34</v>
      </c>
      <c r="H2206" s="2" t="s">
        <v>832</v>
      </c>
    </row>
    <row r="2207" customFormat="false" ht="15" hidden="false" customHeight="false" outlineLevel="0" collapsed="false">
      <c r="A2207" s="2" t="s">
        <v>1669</v>
      </c>
      <c r="B2207" s="2" t="s">
        <v>45</v>
      </c>
      <c r="C2207" s="2" t="s">
        <v>4274</v>
      </c>
      <c r="D2207" s="11" t="n">
        <v>52603</v>
      </c>
      <c r="E2207" s="31" t="n">
        <v>90.5</v>
      </c>
      <c r="F2207" s="31" t="n">
        <v>74.5</v>
      </c>
      <c r="G2207" s="2"/>
      <c r="H2207" s="2" t="s">
        <v>832</v>
      </c>
    </row>
    <row r="2208" customFormat="false" ht="15" hidden="false" customHeight="false" outlineLevel="0" collapsed="false">
      <c r="A2208" s="2" t="s">
        <v>1669</v>
      </c>
      <c r="B2208" s="2" t="s">
        <v>45</v>
      </c>
      <c r="C2208" s="2" t="s">
        <v>4275</v>
      </c>
      <c r="D2208" s="2"/>
      <c r="E2208" s="2"/>
      <c r="F2208" s="2"/>
      <c r="G2208" s="2"/>
      <c r="H2208" s="2" t="s">
        <v>832</v>
      </c>
    </row>
    <row r="2209" customFormat="false" ht="15" hidden="false" customHeight="false" outlineLevel="0" collapsed="false">
      <c r="A2209" s="2" t="s">
        <v>1669</v>
      </c>
      <c r="B2209" s="2" t="s">
        <v>46</v>
      </c>
      <c r="C2209" s="2" t="s">
        <v>4274</v>
      </c>
      <c r="D2209" s="11" t="n">
        <v>207729</v>
      </c>
      <c r="E2209" s="31" t="n">
        <v>96.3</v>
      </c>
      <c r="F2209" s="31" t="n">
        <v>13.5</v>
      </c>
      <c r="G2209" s="31" t="n">
        <v>9.1</v>
      </c>
      <c r="H2209" s="2" t="s">
        <v>822</v>
      </c>
    </row>
    <row r="2210" customFormat="false" ht="15" hidden="false" customHeight="false" outlineLevel="0" collapsed="false">
      <c r="A2210" s="2" t="s">
        <v>1669</v>
      </c>
      <c r="B2210" s="2" t="s">
        <v>46</v>
      </c>
      <c r="C2210" s="2" t="s">
        <v>4275</v>
      </c>
      <c r="D2210" s="11" t="n">
        <v>216800</v>
      </c>
      <c r="E2210" s="31" t="n">
        <v>88.8</v>
      </c>
      <c r="F2210" s="31" t="n">
        <v>20.4</v>
      </c>
      <c r="G2210" s="31" t="n">
        <v>18.8</v>
      </c>
      <c r="H2210" s="2" t="s">
        <v>822</v>
      </c>
    </row>
    <row r="2211" customFormat="false" ht="15" hidden="false" customHeight="false" outlineLevel="0" collapsed="false">
      <c r="A2211" s="2" t="s">
        <v>1669</v>
      </c>
      <c r="B2211" s="2" t="s">
        <v>47</v>
      </c>
      <c r="C2211" s="2" t="s">
        <v>4274</v>
      </c>
      <c r="D2211" s="11" t="n">
        <v>7116</v>
      </c>
      <c r="E2211" s="31" t="n">
        <v>96.2</v>
      </c>
      <c r="F2211" s="31" t="n">
        <v>97.8</v>
      </c>
      <c r="G2211" s="31" t="n">
        <v>54.3</v>
      </c>
      <c r="H2211" s="2" t="s">
        <v>822</v>
      </c>
    </row>
    <row r="2212" customFormat="false" ht="15" hidden="false" customHeight="false" outlineLevel="0" collapsed="false">
      <c r="A2212" s="2" t="s">
        <v>1669</v>
      </c>
      <c r="B2212" s="2" t="s">
        <v>47</v>
      </c>
      <c r="C2212" s="2" t="s">
        <v>4275</v>
      </c>
      <c r="D2212" s="11" t="n">
        <v>7730</v>
      </c>
      <c r="E2212" s="31" t="n">
        <v>98.4</v>
      </c>
      <c r="F2212" s="31" t="n">
        <v>98.8</v>
      </c>
      <c r="G2212" s="31" t="n">
        <v>49.1</v>
      </c>
      <c r="H2212" s="2" t="s">
        <v>822</v>
      </c>
    </row>
    <row r="2213" customFormat="false" ht="15" hidden="false" customHeight="false" outlineLevel="0" collapsed="false">
      <c r="A2213" s="2" t="s">
        <v>3080</v>
      </c>
      <c r="B2213" s="2" t="s">
        <v>4291</v>
      </c>
      <c r="C2213" s="2" t="s">
        <v>4274</v>
      </c>
      <c r="D2213" s="2"/>
      <c r="E2213" s="31" t="n">
        <v>88.8</v>
      </c>
      <c r="F2213" s="31" t="n">
        <v>15.8</v>
      </c>
      <c r="G2213" s="31" t="n">
        <v>49.5</v>
      </c>
      <c r="H2213" s="2" t="s">
        <v>822</v>
      </c>
    </row>
    <row r="2214" customFormat="false" ht="15" hidden="false" customHeight="false" outlineLevel="0" collapsed="false">
      <c r="A2214" s="2" t="s">
        <v>3080</v>
      </c>
      <c r="B2214" s="2" t="s">
        <v>4291</v>
      </c>
      <c r="C2214" s="2" t="s">
        <v>4275</v>
      </c>
      <c r="D2214" s="2"/>
      <c r="E2214" s="31" t="n">
        <v>87.3</v>
      </c>
      <c r="F2214" s="31" t="n">
        <v>14.3</v>
      </c>
      <c r="G2214" s="2"/>
      <c r="H2214" s="2" t="s">
        <v>832</v>
      </c>
    </row>
    <row r="2215" customFormat="false" ht="15" hidden="false" customHeight="false" outlineLevel="0" collapsed="false">
      <c r="A2215" s="2" t="s">
        <v>3080</v>
      </c>
      <c r="B2215" s="2" t="s">
        <v>45</v>
      </c>
      <c r="C2215" s="2" t="s">
        <v>4274</v>
      </c>
      <c r="D2215" s="11" t="n">
        <v>138030</v>
      </c>
      <c r="E2215" s="31" t="n">
        <v>88.8</v>
      </c>
      <c r="F2215" s="31" t="n">
        <v>15.8</v>
      </c>
      <c r="G2215" s="31" t="n">
        <v>49.5</v>
      </c>
      <c r="H2215" s="2" t="s">
        <v>822</v>
      </c>
    </row>
    <row r="2216" customFormat="false" ht="15" hidden="false" customHeight="false" outlineLevel="0" collapsed="false">
      <c r="A2216" s="2" t="s">
        <v>3080</v>
      </c>
      <c r="B2216" s="2" t="s">
        <v>45</v>
      </c>
      <c r="C2216" s="2" t="s">
        <v>4275</v>
      </c>
      <c r="D2216" s="11" t="n">
        <v>143110</v>
      </c>
      <c r="E2216" s="31" t="n">
        <v>87.3</v>
      </c>
      <c r="F2216" s="31" t="n">
        <v>14.3</v>
      </c>
      <c r="G2216" s="2"/>
      <c r="H2216" s="2" t="s">
        <v>832</v>
      </c>
    </row>
    <row r="2217" customFormat="false" ht="15" hidden="false" customHeight="false" outlineLevel="0" collapsed="false">
      <c r="A2217" s="2" t="s">
        <v>444</v>
      </c>
      <c r="B2217" s="2" t="s">
        <v>4291</v>
      </c>
      <c r="C2217" s="2" t="s">
        <v>4274</v>
      </c>
      <c r="D2217" s="2"/>
      <c r="E2217" s="31" t="n">
        <v>49</v>
      </c>
      <c r="F2217" s="31" t="n">
        <v>80.7</v>
      </c>
      <c r="G2217" s="2"/>
      <c r="H2217" s="2" t="s">
        <v>822</v>
      </c>
    </row>
    <row r="2218" customFormat="false" ht="15" hidden="false" customHeight="false" outlineLevel="0" collapsed="false">
      <c r="A2218" s="2" t="s">
        <v>444</v>
      </c>
      <c r="B2218" s="2" t="s">
        <v>4291</v>
      </c>
      <c r="C2218" s="2" t="s">
        <v>4275</v>
      </c>
      <c r="D2218" s="2"/>
      <c r="E2218" s="31" t="n">
        <v>52.6</v>
      </c>
      <c r="F2218" s="31" t="n">
        <v>72.5</v>
      </c>
      <c r="G2218" s="2"/>
      <c r="H2218" s="2" t="s">
        <v>822</v>
      </c>
    </row>
    <row r="2219" customFormat="false" ht="15" hidden="false" customHeight="false" outlineLevel="0" collapsed="false">
      <c r="A2219" s="2" t="s">
        <v>444</v>
      </c>
      <c r="B2219" s="2" t="s">
        <v>45</v>
      </c>
      <c r="C2219" s="2" t="s">
        <v>4274</v>
      </c>
      <c r="D2219" s="11" t="n">
        <v>22760</v>
      </c>
      <c r="E2219" s="31" t="n">
        <v>49</v>
      </c>
      <c r="F2219" s="31" t="n">
        <v>80.7</v>
      </c>
      <c r="G2219" s="2"/>
      <c r="H2219" s="2" t="s">
        <v>822</v>
      </c>
    </row>
    <row r="2220" customFormat="false" ht="15" hidden="false" customHeight="false" outlineLevel="0" collapsed="false">
      <c r="A2220" s="2" t="s">
        <v>444</v>
      </c>
      <c r="B2220" s="2" t="s">
        <v>45</v>
      </c>
      <c r="C2220" s="2" t="s">
        <v>4275</v>
      </c>
      <c r="D2220" s="11" t="n">
        <v>24450</v>
      </c>
      <c r="E2220" s="31" t="n">
        <v>52.6</v>
      </c>
      <c r="F2220" s="31" t="n">
        <v>72.5</v>
      </c>
      <c r="G2220" s="2"/>
      <c r="H2220" s="2" t="s">
        <v>822</v>
      </c>
    </row>
    <row r="2221" customFormat="false" ht="15" hidden="false" customHeight="false" outlineLevel="0" collapsed="false">
      <c r="A2221" s="2" t="s">
        <v>792</v>
      </c>
      <c r="B2221" s="2" t="s">
        <v>4291</v>
      </c>
      <c r="C2221" s="2" t="s">
        <v>4274</v>
      </c>
      <c r="D2221" s="2"/>
      <c r="E2221" s="31" t="n">
        <v>34.4</v>
      </c>
      <c r="F2221" s="31" t="n">
        <v>89.5</v>
      </c>
      <c r="G2221" s="31" t="n">
        <v>68.3</v>
      </c>
      <c r="H2221" s="2" t="s">
        <v>822</v>
      </c>
    </row>
    <row r="2222" customFormat="false" ht="15" hidden="false" customHeight="false" outlineLevel="0" collapsed="false">
      <c r="A2222" s="2" t="s">
        <v>792</v>
      </c>
      <c r="B2222" s="2" t="s">
        <v>4291</v>
      </c>
      <c r="C2222" s="2" t="s">
        <v>4275</v>
      </c>
      <c r="D2222" s="2"/>
      <c r="E2222" s="31" t="n">
        <v>12.6</v>
      </c>
      <c r="F2222" s="31" t="n">
        <v>98.5</v>
      </c>
      <c r="G2222" s="31" t="n">
        <v>33.3</v>
      </c>
      <c r="H2222" s="2" t="s">
        <v>822</v>
      </c>
    </row>
    <row r="2223" customFormat="false" ht="15" hidden="false" customHeight="false" outlineLevel="0" collapsed="false">
      <c r="A2223" s="2" t="s">
        <v>792</v>
      </c>
      <c r="B2223" s="2" t="s">
        <v>46</v>
      </c>
      <c r="C2223" s="2" t="s">
        <v>4274</v>
      </c>
      <c r="D2223" s="11" t="n">
        <v>75130</v>
      </c>
      <c r="E2223" s="31" t="n">
        <v>34.4</v>
      </c>
      <c r="F2223" s="31" t="n">
        <v>89.5</v>
      </c>
      <c r="G2223" s="31" t="n">
        <v>68.3</v>
      </c>
      <c r="H2223" s="2" t="s">
        <v>822</v>
      </c>
    </row>
    <row r="2224" customFormat="false" ht="15" hidden="false" customHeight="false" outlineLevel="0" collapsed="false">
      <c r="A2224" s="2" t="s">
        <v>792</v>
      </c>
      <c r="B2224" s="2" t="s">
        <v>46</v>
      </c>
      <c r="C2224" s="2" t="s">
        <v>4275</v>
      </c>
      <c r="D2224" s="11" t="n">
        <v>82670</v>
      </c>
      <c r="E2224" s="31" t="n">
        <v>12.6</v>
      </c>
      <c r="F2224" s="31" t="n">
        <v>98.5</v>
      </c>
      <c r="G2224" s="31" t="n">
        <v>33.3</v>
      </c>
      <c r="H2224" s="2" t="s">
        <v>822</v>
      </c>
    </row>
    <row r="2225" customFormat="false" ht="15" hidden="false" customHeight="false" outlineLevel="0" collapsed="false">
      <c r="A2225" s="2" t="s">
        <v>2377</v>
      </c>
      <c r="B2225" s="2" t="s">
        <v>4291</v>
      </c>
      <c r="C2225" s="2" t="s">
        <v>4275</v>
      </c>
      <c r="D2225" s="2"/>
      <c r="E2225" s="31" t="n">
        <v>74.6</v>
      </c>
      <c r="F2225" s="31" t="n">
        <v>11.4</v>
      </c>
      <c r="G2225" s="31" t="n">
        <v>70.8</v>
      </c>
      <c r="H2225" s="2" t="s">
        <v>832</v>
      </c>
    </row>
    <row r="2226" customFormat="false" ht="15" hidden="false" customHeight="false" outlineLevel="0" collapsed="false">
      <c r="A2226" s="2" t="s">
        <v>2377</v>
      </c>
      <c r="B2226" s="2" t="s">
        <v>45</v>
      </c>
      <c r="C2226" s="2" t="s">
        <v>4275</v>
      </c>
      <c r="D2226" s="11" t="n">
        <v>57588</v>
      </c>
      <c r="E2226" s="2"/>
      <c r="F2226" s="2"/>
      <c r="G2226" s="2"/>
      <c r="H2226" s="2" t="s">
        <v>832</v>
      </c>
    </row>
    <row r="2227" customFormat="false" ht="15" hidden="false" customHeight="false" outlineLevel="0" collapsed="false">
      <c r="A2227" s="2" t="s">
        <v>2377</v>
      </c>
      <c r="B2227" s="2" t="s">
        <v>46</v>
      </c>
      <c r="C2227" s="2" t="s">
        <v>4275</v>
      </c>
      <c r="D2227" s="2"/>
      <c r="E2227" s="2"/>
      <c r="F2227" s="2"/>
      <c r="G2227" s="2"/>
      <c r="H2227" s="2" t="s">
        <v>832</v>
      </c>
    </row>
    <row r="2228" customFormat="false" ht="15" hidden="false" customHeight="false" outlineLevel="0" collapsed="false">
      <c r="A2228" s="2" t="s">
        <v>2377</v>
      </c>
      <c r="B2228" s="2" t="s">
        <v>47</v>
      </c>
      <c r="C2228" s="2" t="s">
        <v>4275</v>
      </c>
      <c r="D2228" s="11" t="n">
        <v>16998</v>
      </c>
      <c r="E2228" s="31" t="n">
        <v>74.6</v>
      </c>
      <c r="F2228" s="31" t="n">
        <v>11.4</v>
      </c>
      <c r="G2228" s="31" t="n">
        <v>70.8</v>
      </c>
      <c r="H2228" s="2" t="s">
        <v>822</v>
      </c>
    </row>
    <row r="2229" customFormat="false" ht="15" hidden="false" customHeight="false" outlineLevel="0" collapsed="false">
      <c r="A2229" s="2" t="s">
        <v>1989</v>
      </c>
      <c r="B2229" s="2" t="s">
        <v>4291</v>
      </c>
      <c r="C2229" s="2" t="s">
        <v>4274</v>
      </c>
      <c r="D2229" s="2"/>
      <c r="E2229" s="31" t="n">
        <v>57.5</v>
      </c>
      <c r="F2229" s="31" t="n">
        <v>39</v>
      </c>
      <c r="G2229" s="31" t="n">
        <v>51.8</v>
      </c>
      <c r="H2229" s="2" t="s">
        <v>832</v>
      </c>
    </row>
    <row r="2230" customFormat="false" ht="15" hidden="false" customHeight="false" outlineLevel="0" collapsed="false">
      <c r="A2230" s="2" t="s">
        <v>1989</v>
      </c>
      <c r="B2230" s="2" t="s">
        <v>4291</v>
      </c>
      <c r="C2230" s="2" t="s">
        <v>4275</v>
      </c>
      <c r="D2230" s="2"/>
      <c r="E2230" s="31" t="n">
        <v>36.1</v>
      </c>
      <c r="F2230" s="31" t="n">
        <v>39.6</v>
      </c>
      <c r="G2230" s="31" t="n">
        <v>33.9</v>
      </c>
      <c r="H2230" s="2" t="s">
        <v>832</v>
      </c>
    </row>
    <row r="2231" customFormat="false" ht="15" hidden="false" customHeight="false" outlineLevel="0" collapsed="false">
      <c r="A2231" s="2" t="s">
        <v>1989</v>
      </c>
      <c r="B2231" s="2" t="s">
        <v>45</v>
      </c>
      <c r="C2231" s="2" t="s">
        <v>4274</v>
      </c>
      <c r="D2231" s="2"/>
      <c r="E2231" s="2"/>
      <c r="F2231" s="2"/>
      <c r="G2231" s="2"/>
      <c r="H2231" s="2" t="s">
        <v>832</v>
      </c>
    </row>
    <row r="2232" customFormat="false" ht="15" hidden="false" customHeight="false" outlineLevel="0" collapsed="false">
      <c r="A2232" s="2" t="s">
        <v>1989</v>
      </c>
      <c r="B2232" s="2" t="s">
        <v>45</v>
      </c>
      <c r="C2232" s="2" t="s">
        <v>4275</v>
      </c>
      <c r="D2232" s="2"/>
      <c r="E2232" s="2"/>
      <c r="F2232" s="2"/>
      <c r="G2232" s="2"/>
      <c r="H2232" s="2" t="s">
        <v>832</v>
      </c>
    </row>
    <row r="2233" customFormat="false" ht="15" hidden="false" customHeight="false" outlineLevel="0" collapsed="false">
      <c r="A2233" s="2" t="s">
        <v>1989</v>
      </c>
      <c r="B2233" s="2" t="s">
        <v>46</v>
      </c>
      <c r="C2233" s="2" t="s">
        <v>4274</v>
      </c>
      <c r="D2233" s="11" t="n">
        <v>20763</v>
      </c>
      <c r="E2233" s="31" t="n">
        <v>29.9</v>
      </c>
      <c r="F2233" s="31" t="n">
        <v>53.9</v>
      </c>
      <c r="G2233" s="31" t="n">
        <v>65.8</v>
      </c>
      <c r="H2233" s="2" t="s">
        <v>822</v>
      </c>
    </row>
    <row r="2234" customFormat="false" ht="15" hidden="false" customHeight="false" outlineLevel="0" collapsed="false">
      <c r="A2234" s="2" t="s">
        <v>1989</v>
      </c>
      <c r="B2234" s="2" t="s">
        <v>46</v>
      </c>
      <c r="C2234" s="2" t="s">
        <v>4275</v>
      </c>
      <c r="D2234" s="11" t="n">
        <v>21990</v>
      </c>
      <c r="E2234" s="31" t="n">
        <v>36.1</v>
      </c>
      <c r="F2234" s="31" t="n">
        <v>53.1</v>
      </c>
      <c r="G2234" s="31" t="n">
        <v>21.9</v>
      </c>
      <c r="H2234" s="2" t="s">
        <v>822</v>
      </c>
    </row>
    <row r="2235" customFormat="false" ht="15" hidden="false" customHeight="false" outlineLevel="0" collapsed="false">
      <c r="A2235" s="2" t="s">
        <v>1989</v>
      </c>
      <c r="B2235" s="2" t="s">
        <v>47</v>
      </c>
      <c r="C2235" s="2" t="s">
        <v>4274</v>
      </c>
      <c r="D2235" s="11" t="n">
        <v>295437</v>
      </c>
      <c r="E2235" s="31" t="n">
        <v>85.1</v>
      </c>
      <c r="F2235" s="31" t="n">
        <v>24.1</v>
      </c>
      <c r="G2235" s="31" t="n">
        <v>37.7</v>
      </c>
      <c r="H2235" s="2" t="s">
        <v>822</v>
      </c>
    </row>
    <row r="2236" customFormat="false" ht="15" hidden="false" customHeight="false" outlineLevel="0" collapsed="false">
      <c r="A2236" s="2" t="s">
        <v>1989</v>
      </c>
      <c r="B2236" s="2" t="s">
        <v>47</v>
      </c>
      <c r="C2236" s="2" t="s">
        <v>4275</v>
      </c>
      <c r="D2236" s="11" t="n">
        <v>296660</v>
      </c>
      <c r="E2236" s="2"/>
      <c r="F2236" s="31" t="n">
        <v>26.1</v>
      </c>
      <c r="G2236" s="31" t="n">
        <v>45.9</v>
      </c>
      <c r="H2236" s="2" t="s">
        <v>832</v>
      </c>
    </row>
    <row r="2237" customFormat="false" ht="15" hidden="false" customHeight="false" outlineLevel="0" collapsed="false">
      <c r="A2237" s="2" t="s">
        <v>3084</v>
      </c>
      <c r="B2237" s="2" t="s">
        <v>4291</v>
      </c>
      <c r="C2237" s="2" t="s">
        <v>4274</v>
      </c>
      <c r="D2237" s="2"/>
      <c r="E2237" s="31" t="n">
        <v>3.1</v>
      </c>
      <c r="F2237" s="2"/>
      <c r="G2237" s="31" t="n">
        <v>39.3</v>
      </c>
      <c r="H2237" s="2" t="s">
        <v>832</v>
      </c>
    </row>
    <row r="2238" customFormat="false" ht="15" hidden="false" customHeight="false" outlineLevel="0" collapsed="false">
      <c r="A2238" s="2" t="s">
        <v>3084</v>
      </c>
      <c r="B2238" s="2" t="s">
        <v>4291</v>
      </c>
      <c r="C2238" s="2" t="s">
        <v>4275</v>
      </c>
      <c r="D2238" s="2"/>
      <c r="E2238" s="31" t="n">
        <v>6.9</v>
      </c>
      <c r="F2238" s="31" t="n">
        <v>73.6</v>
      </c>
      <c r="G2238" s="2"/>
      <c r="H2238" s="2" t="s">
        <v>832</v>
      </c>
    </row>
    <row r="2239" customFormat="false" ht="15" hidden="false" customHeight="false" outlineLevel="0" collapsed="false">
      <c r="A2239" s="2" t="s">
        <v>3084</v>
      </c>
      <c r="B2239" s="2" t="s">
        <v>46</v>
      </c>
      <c r="C2239" s="2" t="s">
        <v>4274</v>
      </c>
      <c r="D2239" s="11" t="n">
        <v>2370</v>
      </c>
      <c r="E2239" s="31" t="n">
        <v>3.1</v>
      </c>
      <c r="F2239" s="2"/>
      <c r="G2239" s="31" t="n">
        <v>39.3</v>
      </c>
      <c r="H2239" s="2" t="s">
        <v>832</v>
      </c>
    </row>
    <row r="2240" customFormat="false" ht="15" hidden="false" customHeight="false" outlineLevel="0" collapsed="false">
      <c r="A2240" s="2" t="s">
        <v>3084</v>
      </c>
      <c r="B2240" s="2" t="s">
        <v>46</v>
      </c>
      <c r="C2240" s="2" t="s">
        <v>4275</v>
      </c>
      <c r="D2240" s="11" t="n">
        <v>2421</v>
      </c>
      <c r="E2240" s="31" t="n">
        <v>6.9</v>
      </c>
      <c r="F2240" s="31" t="n">
        <v>73.6</v>
      </c>
      <c r="G2240" s="2"/>
      <c r="H2240" s="2" t="s">
        <v>832</v>
      </c>
    </row>
    <row r="2241" customFormat="false" ht="15" hidden="false" customHeight="false" outlineLevel="0" collapsed="false">
      <c r="A2241" s="2" t="s">
        <v>186</v>
      </c>
      <c r="B2241" s="2" t="s">
        <v>4291</v>
      </c>
      <c r="C2241" s="2" t="s">
        <v>4274</v>
      </c>
      <c r="D2241" s="2"/>
      <c r="E2241" s="31" t="n">
        <v>87.7</v>
      </c>
      <c r="F2241" s="2"/>
      <c r="G2241" s="31" t="n">
        <v>25.3</v>
      </c>
      <c r="H2241" s="2" t="s">
        <v>832</v>
      </c>
    </row>
    <row r="2242" customFormat="false" ht="15" hidden="false" customHeight="false" outlineLevel="0" collapsed="false">
      <c r="A2242" s="2" t="s">
        <v>186</v>
      </c>
      <c r="B2242" s="2" t="s">
        <v>4291</v>
      </c>
      <c r="C2242" s="2" t="s">
        <v>4275</v>
      </c>
      <c r="D2242" s="2"/>
      <c r="E2242" s="31" t="n">
        <v>76.6</v>
      </c>
      <c r="F2242" s="31" t="n">
        <v>19.6</v>
      </c>
      <c r="G2242" s="31" t="n">
        <v>33.7</v>
      </c>
      <c r="H2242" s="2" t="s">
        <v>822</v>
      </c>
    </row>
    <row r="2243" customFormat="false" ht="15" hidden="false" customHeight="false" outlineLevel="0" collapsed="false">
      <c r="A2243" s="2" t="s">
        <v>186</v>
      </c>
      <c r="B2243" s="2" t="s">
        <v>45</v>
      </c>
      <c r="C2243" s="2" t="s">
        <v>4274</v>
      </c>
      <c r="D2243" s="2"/>
      <c r="E2243" s="2"/>
      <c r="F2243" s="2"/>
      <c r="G2243" s="2"/>
      <c r="H2243" s="2" t="s">
        <v>832</v>
      </c>
    </row>
    <row r="2244" customFormat="false" ht="15" hidden="false" customHeight="false" outlineLevel="0" collapsed="false">
      <c r="A2244" s="2" t="s">
        <v>186</v>
      </c>
      <c r="B2244" s="2" t="s">
        <v>45</v>
      </c>
      <c r="C2244" s="2" t="s">
        <v>4275</v>
      </c>
      <c r="D2244" s="11" t="n">
        <v>33790</v>
      </c>
      <c r="E2244" s="31" t="n">
        <v>58.6</v>
      </c>
      <c r="F2244" s="31" t="n">
        <v>7.2</v>
      </c>
      <c r="G2244" s="31" t="n">
        <v>26.8</v>
      </c>
      <c r="H2244" s="2" t="s">
        <v>822</v>
      </c>
    </row>
    <row r="2245" customFormat="false" ht="15" hidden="false" customHeight="false" outlineLevel="0" collapsed="false">
      <c r="A2245" s="2" t="s">
        <v>186</v>
      </c>
      <c r="B2245" s="2" t="s">
        <v>46</v>
      </c>
      <c r="C2245" s="2" t="s">
        <v>4274</v>
      </c>
      <c r="D2245" s="11" t="n">
        <v>27620</v>
      </c>
      <c r="E2245" s="31" t="n">
        <v>87.7</v>
      </c>
      <c r="F2245" s="2"/>
      <c r="G2245" s="31" t="n">
        <v>25.3</v>
      </c>
      <c r="H2245" s="2" t="s">
        <v>832</v>
      </c>
    </row>
    <row r="2246" customFormat="false" ht="15" hidden="false" customHeight="false" outlineLevel="0" collapsed="false">
      <c r="A2246" s="2" t="s">
        <v>186</v>
      </c>
      <c r="B2246" s="2" t="s">
        <v>46</v>
      </c>
      <c r="C2246" s="2" t="s">
        <v>4275</v>
      </c>
      <c r="D2246" s="11" t="n">
        <v>28930</v>
      </c>
      <c r="E2246" s="31" t="n">
        <v>94.5</v>
      </c>
      <c r="F2246" s="31" t="n">
        <v>32</v>
      </c>
      <c r="G2246" s="31" t="n">
        <v>40.6</v>
      </c>
      <c r="H2246" s="2" t="s">
        <v>822</v>
      </c>
    </row>
    <row r="2247" customFormat="false" ht="15" hidden="false" customHeight="false" outlineLevel="0" collapsed="false">
      <c r="A2247" s="2" t="s">
        <v>1190</v>
      </c>
      <c r="B2247" s="2" t="s">
        <v>4291</v>
      </c>
      <c r="C2247" s="2" t="s">
        <v>4274</v>
      </c>
      <c r="D2247" s="2"/>
      <c r="E2247" s="31" t="n">
        <v>45.8</v>
      </c>
      <c r="F2247" s="31" t="n">
        <v>49.1</v>
      </c>
      <c r="G2247" s="31" t="n">
        <v>49</v>
      </c>
      <c r="H2247" s="2" t="s">
        <v>822</v>
      </c>
    </row>
    <row r="2248" customFormat="false" ht="15" hidden="false" customHeight="false" outlineLevel="0" collapsed="false">
      <c r="A2248" s="2" t="s">
        <v>1190</v>
      </c>
      <c r="B2248" s="2" t="s">
        <v>4291</v>
      </c>
      <c r="C2248" s="2" t="s">
        <v>4275</v>
      </c>
      <c r="D2248" s="2"/>
      <c r="E2248" s="31" t="n">
        <v>43.8</v>
      </c>
      <c r="F2248" s="31" t="n">
        <v>63</v>
      </c>
      <c r="G2248" s="31" t="n">
        <v>20.5</v>
      </c>
      <c r="H2248" s="2" t="s">
        <v>832</v>
      </c>
    </row>
    <row r="2249" customFormat="false" ht="15" hidden="false" customHeight="false" outlineLevel="0" collapsed="false">
      <c r="A2249" s="2" t="s">
        <v>1190</v>
      </c>
      <c r="B2249" s="2" t="s">
        <v>45</v>
      </c>
      <c r="C2249" s="2" t="s">
        <v>4274</v>
      </c>
      <c r="D2249" s="11" t="n">
        <v>38730</v>
      </c>
      <c r="E2249" s="31" t="n">
        <v>69.5</v>
      </c>
      <c r="F2249" s="31" t="n">
        <v>69</v>
      </c>
      <c r="G2249" s="31" t="n">
        <v>13.4</v>
      </c>
      <c r="H2249" s="2" t="s">
        <v>822</v>
      </c>
    </row>
    <row r="2250" customFormat="false" ht="15" hidden="false" customHeight="false" outlineLevel="0" collapsed="false">
      <c r="A2250" s="2" t="s">
        <v>1190</v>
      </c>
      <c r="B2250" s="2" t="s">
        <v>45</v>
      </c>
      <c r="C2250" s="2" t="s">
        <v>4275</v>
      </c>
      <c r="D2250" s="11" t="n">
        <v>39810</v>
      </c>
      <c r="E2250" s="31" t="n">
        <v>55.8</v>
      </c>
      <c r="F2250" s="31" t="n">
        <v>77</v>
      </c>
      <c r="G2250" s="31" t="n">
        <v>16.1</v>
      </c>
      <c r="H2250" s="2" t="s">
        <v>822</v>
      </c>
    </row>
    <row r="2251" customFormat="false" ht="15" hidden="false" customHeight="false" outlineLevel="0" collapsed="false">
      <c r="A2251" s="2" t="s">
        <v>1190</v>
      </c>
      <c r="B2251" s="2" t="s">
        <v>46</v>
      </c>
      <c r="C2251" s="2" t="s">
        <v>4274</v>
      </c>
      <c r="D2251" s="11" t="n">
        <v>109030</v>
      </c>
      <c r="E2251" s="31" t="n">
        <v>43.2</v>
      </c>
      <c r="F2251" s="31" t="n">
        <v>30.8</v>
      </c>
      <c r="G2251" s="31" t="n">
        <v>64.4</v>
      </c>
      <c r="H2251" s="2" t="s">
        <v>822</v>
      </c>
    </row>
    <row r="2252" customFormat="false" ht="15" hidden="false" customHeight="false" outlineLevel="0" collapsed="false">
      <c r="A2252" s="2" t="s">
        <v>1190</v>
      </c>
      <c r="B2252" s="2" t="s">
        <v>46</v>
      </c>
      <c r="C2252" s="2" t="s">
        <v>4275</v>
      </c>
      <c r="D2252" s="2"/>
      <c r="E2252" s="2"/>
      <c r="F2252" s="2"/>
      <c r="G2252" s="2"/>
      <c r="H2252" s="2" t="s">
        <v>832</v>
      </c>
    </row>
    <row r="2253" customFormat="false" ht="15" hidden="false" customHeight="false" outlineLevel="0" collapsed="false">
      <c r="A2253" s="2" t="s">
        <v>1190</v>
      </c>
      <c r="B2253" s="2" t="s">
        <v>47</v>
      </c>
      <c r="C2253" s="2" t="s">
        <v>4274</v>
      </c>
      <c r="D2253" s="11" t="n">
        <v>18449</v>
      </c>
      <c r="E2253" s="31" t="n">
        <v>24.6</v>
      </c>
      <c r="F2253" s="31" t="n">
        <v>47.4</v>
      </c>
      <c r="G2253" s="31" t="n">
        <v>69.3</v>
      </c>
      <c r="H2253" s="2" t="s">
        <v>822</v>
      </c>
    </row>
    <row r="2254" customFormat="false" ht="15" hidden="false" customHeight="false" outlineLevel="0" collapsed="false">
      <c r="A2254" s="2" t="s">
        <v>1190</v>
      </c>
      <c r="B2254" s="2" t="s">
        <v>47</v>
      </c>
      <c r="C2254" s="2" t="s">
        <v>4275</v>
      </c>
      <c r="D2254" s="11" t="n">
        <v>19355</v>
      </c>
      <c r="E2254" s="31" t="n">
        <v>31.9</v>
      </c>
      <c r="F2254" s="31" t="n">
        <v>49</v>
      </c>
      <c r="G2254" s="31" t="n">
        <v>24.9</v>
      </c>
      <c r="H2254" s="2" t="s">
        <v>822</v>
      </c>
    </row>
    <row r="2255" customFormat="false" ht="15" hidden="false" customHeight="false" outlineLevel="0" collapsed="false">
      <c r="A2255" s="2" t="s">
        <v>654</v>
      </c>
      <c r="B2255" s="2" t="s">
        <v>4291</v>
      </c>
      <c r="C2255" s="2" t="s">
        <v>4274</v>
      </c>
      <c r="D2255" s="2"/>
      <c r="E2255" s="31" t="n">
        <v>28.7</v>
      </c>
      <c r="F2255" s="31" t="n">
        <v>73.9</v>
      </c>
      <c r="G2255" s="31" t="n">
        <v>46.4</v>
      </c>
      <c r="H2255" s="2" t="s">
        <v>822</v>
      </c>
    </row>
    <row r="2256" customFormat="false" ht="15" hidden="false" customHeight="false" outlineLevel="0" collapsed="false">
      <c r="A2256" s="2" t="s">
        <v>654</v>
      </c>
      <c r="B2256" s="2" t="s">
        <v>4291</v>
      </c>
      <c r="C2256" s="2" t="s">
        <v>4275</v>
      </c>
      <c r="D2256" s="2"/>
      <c r="E2256" s="31" t="n">
        <v>34.3</v>
      </c>
      <c r="F2256" s="31" t="n">
        <v>47.8</v>
      </c>
      <c r="G2256" s="31" t="n">
        <v>57.8</v>
      </c>
      <c r="H2256" s="2" t="s">
        <v>822</v>
      </c>
    </row>
    <row r="2257" customFormat="false" ht="15" hidden="false" customHeight="false" outlineLevel="0" collapsed="false">
      <c r="A2257" s="2" t="s">
        <v>654</v>
      </c>
      <c r="B2257" s="2" t="s">
        <v>45</v>
      </c>
      <c r="C2257" s="2" t="s">
        <v>4274</v>
      </c>
      <c r="D2257" s="11" t="n">
        <v>789980</v>
      </c>
      <c r="E2257" s="31" t="n">
        <v>44.7</v>
      </c>
      <c r="F2257" s="31" t="n">
        <v>82.2</v>
      </c>
      <c r="G2257" s="31" t="n">
        <v>48.5</v>
      </c>
      <c r="H2257" s="2" t="s">
        <v>822</v>
      </c>
    </row>
    <row r="2258" customFormat="false" ht="15" hidden="false" customHeight="false" outlineLevel="0" collapsed="false">
      <c r="A2258" s="2" t="s">
        <v>654</v>
      </c>
      <c r="B2258" s="2" t="s">
        <v>45</v>
      </c>
      <c r="C2258" s="2" t="s">
        <v>4275</v>
      </c>
      <c r="D2258" s="11" t="n">
        <v>804080</v>
      </c>
      <c r="E2258" s="31" t="n">
        <v>24</v>
      </c>
      <c r="F2258" s="31" t="n">
        <v>33.6</v>
      </c>
      <c r="G2258" s="31" t="n">
        <v>54.1</v>
      </c>
      <c r="H2258" s="2" t="s">
        <v>822</v>
      </c>
    </row>
    <row r="2259" customFormat="false" ht="15" hidden="false" customHeight="false" outlineLevel="0" collapsed="false">
      <c r="A2259" s="2" t="s">
        <v>654</v>
      </c>
      <c r="B2259" s="2" t="s">
        <v>46</v>
      </c>
      <c r="C2259" s="2" t="s">
        <v>4274</v>
      </c>
      <c r="D2259" s="11" t="n">
        <v>121259</v>
      </c>
      <c r="E2259" s="31" t="n">
        <v>7.8</v>
      </c>
      <c r="F2259" s="31" t="n">
        <v>50</v>
      </c>
      <c r="G2259" s="31" t="n">
        <v>23.5</v>
      </c>
      <c r="H2259" s="2" t="s">
        <v>822</v>
      </c>
    </row>
    <row r="2260" customFormat="false" ht="15" hidden="false" customHeight="false" outlineLevel="0" collapsed="false">
      <c r="A2260" s="2" t="s">
        <v>654</v>
      </c>
      <c r="B2260" s="2" t="s">
        <v>46</v>
      </c>
      <c r="C2260" s="2" t="s">
        <v>4275</v>
      </c>
      <c r="D2260" s="11" t="n">
        <v>121984</v>
      </c>
      <c r="E2260" s="31" t="n">
        <v>4.5</v>
      </c>
      <c r="F2260" s="31" t="n">
        <v>33.1</v>
      </c>
      <c r="G2260" s="31" t="n">
        <v>39.1</v>
      </c>
      <c r="H2260" s="2" t="s">
        <v>822</v>
      </c>
    </row>
    <row r="2261" customFormat="false" ht="15" hidden="false" customHeight="false" outlineLevel="0" collapsed="false">
      <c r="A2261" s="2" t="s">
        <v>654</v>
      </c>
      <c r="B2261" s="2" t="s">
        <v>47</v>
      </c>
      <c r="C2261" s="2" t="s">
        <v>4274</v>
      </c>
      <c r="D2261" s="11" t="n">
        <v>29722</v>
      </c>
      <c r="E2261" s="31" t="n">
        <v>33.7</v>
      </c>
      <c r="F2261" s="31" t="n">
        <v>89.5</v>
      </c>
      <c r="G2261" s="31" t="n">
        <v>67.2</v>
      </c>
      <c r="H2261" s="2" t="s">
        <v>822</v>
      </c>
    </row>
    <row r="2262" customFormat="false" ht="15" hidden="false" customHeight="false" outlineLevel="0" collapsed="false">
      <c r="A2262" s="2" t="s">
        <v>654</v>
      </c>
      <c r="B2262" s="2" t="s">
        <v>47</v>
      </c>
      <c r="C2262" s="2" t="s">
        <v>4275</v>
      </c>
      <c r="D2262" s="11" t="n">
        <v>31396</v>
      </c>
      <c r="E2262" s="31" t="n">
        <v>74.3</v>
      </c>
      <c r="F2262" s="31" t="n">
        <v>76.6</v>
      </c>
      <c r="G2262" s="31" t="n">
        <v>80.3</v>
      </c>
      <c r="H2262" s="2" t="s">
        <v>822</v>
      </c>
    </row>
    <row r="2263" customFormat="false" ht="15" hidden="false" customHeight="false" outlineLevel="0" collapsed="false">
      <c r="A2263" s="2" t="s">
        <v>1303</v>
      </c>
      <c r="B2263" s="2" t="s">
        <v>4291</v>
      </c>
      <c r="C2263" s="2" t="s">
        <v>4274</v>
      </c>
      <c r="D2263" s="2"/>
      <c r="E2263" s="31" t="n">
        <v>45</v>
      </c>
      <c r="F2263" s="31" t="n">
        <v>74.8</v>
      </c>
      <c r="G2263" s="31" t="n">
        <v>59.6</v>
      </c>
      <c r="H2263" s="2" t="s">
        <v>832</v>
      </c>
    </row>
    <row r="2264" customFormat="false" ht="15" hidden="false" customHeight="false" outlineLevel="0" collapsed="false">
      <c r="A2264" s="2" t="s">
        <v>1303</v>
      </c>
      <c r="B2264" s="2" t="s">
        <v>4291</v>
      </c>
      <c r="C2264" s="2" t="s">
        <v>4275</v>
      </c>
      <c r="D2264" s="2"/>
      <c r="E2264" s="31" t="n">
        <v>37.7</v>
      </c>
      <c r="F2264" s="31" t="n">
        <v>56.9</v>
      </c>
      <c r="G2264" s="31" t="n">
        <v>25.6</v>
      </c>
      <c r="H2264" s="2" t="s">
        <v>832</v>
      </c>
    </row>
    <row r="2265" customFormat="false" ht="15" hidden="false" customHeight="false" outlineLevel="0" collapsed="false">
      <c r="A2265" s="2" t="s">
        <v>1303</v>
      </c>
      <c r="B2265" s="2" t="s">
        <v>45</v>
      </c>
      <c r="C2265" s="2" t="s">
        <v>4274</v>
      </c>
      <c r="D2265" s="11" t="n">
        <v>17176</v>
      </c>
      <c r="E2265" s="31" t="n">
        <v>66.9</v>
      </c>
      <c r="F2265" s="31" t="n">
        <v>65.7</v>
      </c>
      <c r="G2265" s="2"/>
      <c r="H2265" s="2" t="s">
        <v>832</v>
      </c>
    </row>
    <row r="2266" customFormat="false" ht="15" hidden="false" customHeight="false" outlineLevel="0" collapsed="false">
      <c r="A2266" s="2" t="s">
        <v>1303</v>
      </c>
      <c r="B2266" s="2" t="s">
        <v>45</v>
      </c>
      <c r="C2266" s="2" t="s">
        <v>4275</v>
      </c>
      <c r="D2266" s="11" t="n">
        <v>17390</v>
      </c>
      <c r="E2266" s="31" t="n">
        <v>40.8</v>
      </c>
      <c r="F2266" s="31" t="n">
        <v>32.6</v>
      </c>
      <c r="G2266" s="31" t="n">
        <v>14.2</v>
      </c>
      <c r="H2266" s="2" t="s">
        <v>822</v>
      </c>
    </row>
    <row r="2267" customFormat="false" ht="15" hidden="false" customHeight="false" outlineLevel="0" collapsed="false">
      <c r="A2267" s="2" t="s">
        <v>1303</v>
      </c>
      <c r="B2267" s="2" t="s">
        <v>46</v>
      </c>
      <c r="C2267" s="2" t="s">
        <v>4274</v>
      </c>
      <c r="D2267" s="2"/>
      <c r="E2267" s="2"/>
      <c r="F2267" s="2"/>
      <c r="G2267" s="2"/>
      <c r="H2267" s="2" t="s">
        <v>832</v>
      </c>
    </row>
    <row r="2268" customFormat="false" ht="15" hidden="false" customHeight="false" outlineLevel="0" collapsed="false">
      <c r="A2268" s="2" t="s">
        <v>1303</v>
      </c>
      <c r="B2268" s="2" t="s">
        <v>46</v>
      </c>
      <c r="C2268" s="2" t="s">
        <v>4275</v>
      </c>
      <c r="D2268" s="11" t="n">
        <v>3260</v>
      </c>
      <c r="E2268" s="31" t="n">
        <v>62.5</v>
      </c>
      <c r="F2268" s="2"/>
      <c r="G2268" s="31" t="n">
        <v>43.7</v>
      </c>
      <c r="H2268" s="2" t="s">
        <v>832</v>
      </c>
    </row>
    <row r="2269" customFormat="false" ht="15" hidden="false" customHeight="false" outlineLevel="0" collapsed="false">
      <c r="A2269" s="2" t="s">
        <v>1303</v>
      </c>
      <c r="B2269" s="2" t="s">
        <v>47</v>
      </c>
      <c r="C2269" s="2" t="s">
        <v>4274</v>
      </c>
      <c r="D2269" s="11" t="n">
        <v>44677</v>
      </c>
      <c r="E2269" s="31" t="n">
        <v>23</v>
      </c>
      <c r="F2269" s="31" t="n">
        <v>84</v>
      </c>
      <c r="G2269" s="31" t="n">
        <v>59.6</v>
      </c>
      <c r="H2269" s="2" t="s">
        <v>822</v>
      </c>
    </row>
    <row r="2270" customFormat="false" ht="15" hidden="false" customHeight="false" outlineLevel="0" collapsed="false">
      <c r="A2270" s="2" t="s">
        <v>1303</v>
      </c>
      <c r="B2270" s="2" t="s">
        <v>47</v>
      </c>
      <c r="C2270" s="2" t="s">
        <v>4275</v>
      </c>
      <c r="D2270" s="11" t="n">
        <v>47462</v>
      </c>
      <c r="E2270" s="31" t="n">
        <v>9.9</v>
      </c>
      <c r="F2270" s="31" t="n">
        <v>81.2</v>
      </c>
      <c r="G2270" s="31" t="n">
        <v>19</v>
      </c>
      <c r="H2270" s="2" t="s">
        <v>832</v>
      </c>
    </row>
    <row r="2271" customFormat="false" ht="15" hidden="false" customHeight="false" outlineLevel="0" collapsed="false">
      <c r="A2271" s="2" t="s">
        <v>2843</v>
      </c>
      <c r="B2271" s="2" t="s">
        <v>4291</v>
      </c>
      <c r="C2271" s="2" t="s">
        <v>4274</v>
      </c>
      <c r="D2271" s="2"/>
      <c r="E2271" s="31" t="n">
        <v>85.6</v>
      </c>
      <c r="F2271" s="31" t="n">
        <v>56.4</v>
      </c>
      <c r="G2271" s="31" t="n">
        <v>69.6</v>
      </c>
      <c r="H2271" s="2" t="s">
        <v>832</v>
      </c>
    </row>
    <row r="2272" customFormat="false" ht="15" hidden="false" customHeight="false" outlineLevel="0" collapsed="false">
      <c r="A2272" s="2" t="s">
        <v>2843</v>
      </c>
      <c r="B2272" s="2" t="s">
        <v>4291</v>
      </c>
      <c r="C2272" s="2" t="s">
        <v>4275</v>
      </c>
      <c r="D2272" s="2"/>
      <c r="E2272" s="31" t="n">
        <v>17.6</v>
      </c>
      <c r="F2272" s="31" t="n">
        <v>48.6</v>
      </c>
      <c r="G2272" s="31" t="n">
        <v>61.5</v>
      </c>
      <c r="H2272" s="2" t="s">
        <v>832</v>
      </c>
    </row>
    <row r="2273" customFormat="false" ht="15" hidden="false" customHeight="false" outlineLevel="0" collapsed="false">
      <c r="A2273" s="2" t="s">
        <v>2843</v>
      </c>
      <c r="B2273" s="2" t="s">
        <v>45</v>
      </c>
      <c r="C2273" s="2" t="s">
        <v>4274</v>
      </c>
      <c r="D2273" s="11" t="n">
        <v>10626</v>
      </c>
      <c r="E2273" s="31" t="n">
        <v>76.2</v>
      </c>
      <c r="F2273" s="31" t="n">
        <v>24.1</v>
      </c>
      <c r="G2273" s="2"/>
      <c r="H2273" s="2" t="s">
        <v>822</v>
      </c>
    </row>
    <row r="2274" customFormat="false" ht="15" hidden="false" customHeight="false" outlineLevel="0" collapsed="false">
      <c r="A2274" s="2" t="s">
        <v>2843</v>
      </c>
      <c r="B2274" s="2" t="s">
        <v>45</v>
      </c>
      <c r="C2274" s="2" t="s">
        <v>4275</v>
      </c>
      <c r="D2274" s="11" t="n">
        <v>10590</v>
      </c>
      <c r="E2274" s="31" t="n">
        <v>30.2</v>
      </c>
      <c r="F2274" s="2"/>
      <c r="G2274" s="2"/>
      <c r="H2274" s="2" t="s">
        <v>832</v>
      </c>
    </row>
    <row r="2275" customFormat="false" ht="15" hidden="false" customHeight="false" outlineLevel="0" collapsed="false">
      <c r="A2275" s="2" t="s">
        <v>2843</v>
      </c>
      <c r="B2275" s="2" t="s">
        <v>46</v>
      </c>
      <c r="C2275" s="2" t="s">
        <v>4274</v>
      </c>
      <c r="D2275" s="11" t="n">
        <v>71950</v>
      </c>
      <c r="E2275" s="31" t="n">
        <v>94.9</v>
      </c>
      <c r="F2275" s="31" t="n">
        <v>88.8</v>
      </c>
      <c r="G2275" s="31" t="n">
        <v>69.6</v>
      </c>
      <c r="H2275" s="2" t="s">
        <v>832</v>
      </c>
    </row>
    <row r="2276" customFormat="false" ht="15" hidden="false" customHeight="false" outlineLevel="0" collapsed="false">
      <c r="A2276" s="2" t="s">
        <v>2843</v>
      </c>
      <c r="B2276" s="2" t="s">
        <v>46</v>
      </c>
      <c r="C2276" s="2" t="s">
        <v>4275</v>
      </c>
      <c r="D2276" s="11" t="n">
        <v>76990</v>
      </c>
      <c r="E2276" s="2"/>
      <c r="F2276" s="31" t="n">
        <v>40</v>
      </c>
      <c r="G2276" s="2"/>
      <c r="H2276" s="2" t="s">
        <v>832</v>
      </c>
    </row>
    <row r="2277" customFormat="false" ht="15" hidden="false" customHeight="false" outlineLevel="0" collapsed="false">
      <c r="A2277" s="2" t="s">
        <v>2843</v>
      </c>
      <c r="B2277" s="2" t="s">
        <v>47</v>
      </c>
      <c r="C2277" s="2" t="s">
        <v>4274</v>
      </c>
      <c r="D2277" s="2"/>
      <c r="E2277" s="2"/>
      <c r="F2277" s="2"/>
      <c r="G2277" s="2"/>
      <c r="H2277" s="2" t="s">
        <v>832</v>
      </c>
    </row>
    <row r="2278" customFormat="false" ht="15" hidden="false" customHeight="false" outlineLevel="0" collapsed="false">
      <c r="A2278" s="2" t="s">
        <v>2843</v>
      </c>
      <c r="B2278" s="2" t="s">
        <v>47</v>
      </c>
      <c r="C2278" s="2" t="s">
        <v>4275</v>
      </c>
      <c r="D2278" s="11" t="n">
        <v>241641</v>
      </c>
      <c r="E2278" s="31" t="n">
        <v>4.9</v>
      </c>
      <c r="F2278" s="31" t="n">
        <v>57.1</v>
      </c>
      <c r="G2278" s="31" t="n">
        <v>61.5</v>
      </c>
      <c r="H2278" s="2" t="s">
        <v>822</v>
      </c>
    </row>
    <row r="2279" customFormat="false" ht="15" hidden="false" customHeight="false" outlineLevel="0" collapsed="false">
      <c r="A2279" s="2" t="s">
        <v>1583</v>
      </c>
      <c r="B2279" s="2" t="s">
        <v>4291</v>
      </c>
      <c r="C2279" s="2" t="s">
        <v>4274</v>
      </c>
      <c r="D2279" s="2"/>
      <c r="E2279" s="31" t="n">
        <v>60.8</v>
      </c>
      <c r="F2279" s="31" t="n">
        <v>40.3</v>
      </c>
      <c r="G2279" s="31" t="n">
        <v>32.6</v>
      </c>
      <c r="H2279" s="2" t="s">
        <v>832</v>
      </c>
    </row>
    <row r="2280" customFormat="false" ht="15" hidden="false" customHeight="false" outlineLevel="0" collapsed="false">
      <c r="A2280" s="2" t="s">
        <v>1583</v>
      </c>
      <c r="B2280" s="2" t="s">
        <v>4291</v>
      </c>
      <c r="C2280" s="2" t="s">
        <v>4275</v>
      </c>
      <c r="D2280" s="2"/>
      <c r="E2280" s="31" t="n">
        <v>37.6</v>
      </c>
      <c r="F2280" s="31" t="n">
        <v>81.4</v>
      </c>
      <c r="G2280" s="31" t="n">
        <v>43.5</v>
      </c>
      <c r="H2280" s="2" t="s">
        <v>832</v>
      </c>
    </row>
    <row r="2281" customFormat="false" ht="15" hidden="false" customHeight="false" outlineLevel="0" collapsed="false">
      <c r="A2281" s="2" t="s">
        <v>1583</v>
      </c>
      <c r="B2281" s="2" t="s">
        <v>45</v>
      </c>
      <c r="C2281" s="2" t="s">
        <v>4274</v>
      </c>
      <c r="D2281" s="2"/>
      <c r="E2281" s="2"/>
      <c r="F2281" s="2"/>
      <c r="G2281" s="2"/>
      <c r="H2281" s="2" t="s">
        <v>832</v>
      </c>
    </row>
    <row r="2282" customFormat="false" ht="15" hidden="false" customHeight="false" outlineLevel="0" collapsed="false">
      <c r="A2282" s="2" t="s">
        <v>1583</v>
      </c>
      <c r="B2282" s="2" t="s">
        <v>45</v>
      </c>
      <c r="C2282" s="2" t="s">
        <v>4275</v>
      </c>
      <c r="D2282" s="11" t="n">
        <v>52648</v>
      </c>
      <c r="E2282" s="31" t="n">
        <v>2.6</v>
      </c>
      <c r="F2282" s="31" t="n">
        <v>78.7</v>
      </c>
      <c r="G2282" s="31" t="n">
        <v>94.2</v>
      </c>
      <c r="H2282" s="2" t="s">
        <v>822</v>
      </c>
    </row>
    <row r="2283" customFormat="false" ht="15" hidden="false" customHeight="false" outlineLevel="0" collapsed="false">
      <c r="A2283" s="2" t="s">
        <v>1583</v>
      </c>
      <c r="B2283" s="2" t="s">
        <v>46</v>
      </c>
      <c r="C2283" s="2" t="s">
        <v>4274</v>
      </c>
      <c r="D2283" s="11" t="n">
        <v>67380</v>
      </c>
      <c r="E2283" s="31" t="n">
        <v>28.6</v>
      </c>
      <c r="F2283" s="31" t="n">
        <v>2.6</v>
      </c>
      <c r="G2283" s="31" t="n">
        <v>3.7</v>
      </c>
      <c r="H2283" s="2" t="s">
        <v>822</v>
      </c>
    </row>
    <row r="2284" customFormat="false" ht="15" hidden="false" customHeight="false" outlineLevel="0" collapsed="false">
      <c r="A2284" s="2" t="s">
        <v>1583</v>
      </c>
      <c r="B2284" s="2" t="s">
        <v>46</v>
      </c>
      <c r="C2284" s="2" t="s">
        <v>4275</v>
      </c>
      <c r="D2284" s="11" t="n">
        <v>65720</v>
      </c>
      <c r="E2284" s="31" t="n">
        <v>25.3</v>
      </c>
      <c r="F2284" s="2"/>
      <c r="G2284" s="31" t="n">
        <v>7.3</v>
      </c>
      <c r="H2284" s="2" t="s">
        <v>832</v>
      </c>
    </row>
    <row r="2285" customFormat="false" ht="15" hidden="false" customHeight="false" outlineLevel="0" collapsed="false">
      <c r="A2285" s="2" t="s">
        <v>1583</v>
      </c>
      <c r="B2285" s="2" t="s">
        <v>47</v>
      </c>
      <c r="C2285" s="2" t="s">
        <v>4274</v>
      </c>
      <c r="D2285" s="11" t="n">
        <v>10112</v>
      </c>
      <c r="E2285" s="31" t="n">
        <v>93.1</v>
      </c>
      <c r="F2285" s="31" t="n">
        <v>78.1</v>
      </c>
      <c r="G2285" s="31" t="n">
        <v>61.4</v>
      </c>
      <c r="H2285" s="2" t="s">
        <v>822</v>
      </c>
    </row>
    <row r="2286" customFormat="false" ht="15" hidden="false" customHeight="false" outlineLevel="0" collapsed="false">
      <c r="A2286" s="2" t="s">
        <v>1583</v>
      </c>
      <c r="B2286" s="2" t="s">
        <v>47</v>
      </c>
      <c r="C2286" s="2" t="s">
        <v>4275</v>
      </c>
      <c r="D2286" s="11" t="n">
        <v>10604</v>
      </c>
      <c r="E2286" s="31" t="n">
        <v>85</v>
      </c>
      <c r="F2286" s="31" t="n">
        <v>84.1</v>
      </c>
      <c r="G2286" s="31" t="n">
        <v>29</v>
      </c>
      <c r="H2286" s="2" t="s">
        <v>822</v>
      </c>
    </row>
    <row r="2287" customFormat="false" ht="15" hidden="false" customHeight="false" outlineLevel="0" collapsed="false">
      <c r="A2287" s="2" t="s">
        <v>159</v>
      </c>
      <c r="B2287" s="2" t="s">
        <v>4291</v>
      </c>
      <c r="C2287" s="2" t="s">
        <v>4274</v>
      </c>
      <c r="D2287" s="2"/>
      <c r="E2287" s="31" t="n">
        <v>85.1</v>
      </c>
      <c r="F2287" s="31" t="n">
        <v>66.7</v>
      </c>
      <c r="G2287" s="31" t="n">
        <v>55.2</v>
      </c>
      <c r="H2287" s="2" t="s">
        <v>832</v>
      </c>
    </row>
    <row r="2288" customFormat="false" ht="15" hidden="false" customHeight="false" outlineLevel="0" collapsed="false">
      <c r="A2288" s="2" t="s">
        <v>159</v>
      </c>
      <c r="B2288" s="2" t="s">
        <v>4291</v>
      </c>
      <c r="C2288" s="2" t="s">
        <v>4275</v>
      </c>
      <c r="D2288" s="2"/>
      <c r="E2288" s="31" t="n">
        <v>80.9</v>
      </c>
      <c r="F2288" s="31" t="n">
        <v>63.4</v>
      </c>
      <c r="G2288" s="31" t="n">
        <v>62.4</v>
      </c>
      <c r="H2288" s="2" t="s">
        <v>822</v>
      </c>
    </row>
    <row r="2289" customFormat="false" ht="15" hidden="false" customHeight="false" outlineLevel="0" collapsed="false">
      <c r="A2289" s="2" t="s">
        <v>159</v>
      </c>
      <c r="B2289" s="2" t="s">
        <v>45</v>
      </c>
      <c r="C2289" s="2" t="s">
        <v>4274</v>
      </c>
      <c r="D2289" s="11" t="n">
        <v>791855</v>
      </c>
      <c r="E2289" s="31" t="n">
        <v>96.5</v>
      </c>
      <c r="F2289" s="31" t="n">
        <v>74.7</v>
      </c>
      <c r="G2289" s="31" t="n">
        <v>74.1</v>
      </c>
      <c r="H2289" s="2" t="s">
        <v>822</v>
      </c>
    </row>
    <row r="2290" customFormat="false" ht="15" hidden="false" customHeight="false" outlineLevel="0" collapsed="false">
      <c r="A2290" s="2" t="s">
        <v>159</v>
      </c>
      <c r="B2290" s="2" t="s">
        <v>45</v>
      </c>
      <c r="C2290" s="2" t="s">
        <v>4275</v>
      </c>
      <c r="D2290" s="11" t="n">
        <v>852710</v>
      </c>
      <c r="E2290" s="31" t="n">
        <v>95.1</v>
      </c>
      <c r="F2290" s="31" t="n">
        <v>40.7</v>
      </c>
      <c r="G2290" s="31" t="n">
        <v>70.6</v>
      </c>
      <c r="H2290" s="2" t="s">
        <v>822</v>
      </c>
    </row>
    <row r="2291" customFormat="false" ht="15" hidden="false" customHeight="false" outlineLevel="0" collapsed="false">
      <c r="A2291" s="2" t="s">
        <v>159</v>
      </c>
      <c r="B2291" s="2" t="s">
        <v>46</v>
      </c>
      <c r="C2291" s="2" t="s">
        <v>4274</v>
      </c>
      <c r="D2291" s="11" t="n">
        <v>33880</v>
      </c>
      <c r="E2291" s="31" t="n">
        <v>88.6</v>
      </c>
      <c r="F2291" s="31" t="n">
        <v>33.3</v>
      </c>
      <c r="G2291" s="2"/>
      <c r="H2291" s="2" t="s">
        <v>832</v>
      </c>
    </row>
    <row r="2292" customFormat="false" ht="15" hidden="false" customHeight="false" outlineLevel="0" collapsed="false">
      <c r="A2292" s="2" t="s">
        <v>159</v>
      </c>
      <c r="B2292" s="2" t="s">
        <v>46</v>
      </c>
      <c r="C2292" s="2" t="s">
        <v>4275</v>
      </c>
      <c r="D2292" s="11" t="n">
        <v>60110</v>
      </c>
      <c r="E2292" s="31" t="n">
        <v>60.5</v>
      </c>
      <c r="F2292" s="31" t="n">
        <v>52</v>
      </c>
      <c r="G2292" s="31" t="n">
        <v>96.2</v>
      </c>
      <c r="H2292" s="2" t="s">
        <v>822</v>
      </c>
    </row>
    <row r="2293" customFormat="false" ht="15" hidden="false" customHeight="false" outlineLevel="0" collapsed="false">
      <c r="A2293" s="2" t="s">
        <v>159</v>
      </c>
      <c r="B2293" s="2" t="s">
        <v>47</v>
      </c>
      <c r="C2293" s="2" t="s">
        <v>4274</v>
      </c>
      <c r="D2293" s="11" t="n">
        <v>5437</v>
      </c>
      <c r="E2293" s="31" t="n">
        <v>70.1</v>
      </c>
      <c r="F2293" s="31" t="n">
        <v>92.2</v>
      </c>
      <c r="G2293" s="31" t="n">
        <v>36.3</v>
      </c>
      <c r="H2293" s="2" t="s">
        <v>822</v>
      </c>
    </row>
    <row r="2294" customFormat="false" ht="15" hidden="false" customHeight="false" outlineLevel="0" collapsed="false">
      <c r="A2294" s="2" t="s">
        <v>159</v>
      </c>
      <c r="B2294" s="2" t="s">
        <v>47</v>
      </c>
      <c r="C2294" s="2" t="s">
        <v>4275</v>
      </c>
      <c r="D2294" s="11" t="n">
        <v>5700</v>
      </c>
      <c r="E2294" s="31" t="n">
        <v>87.1</v>
      </c>
      <c r="F2294" s="31" t="n">
        <v>97.5</v>
      </c>
      <c r="G2294" s="31" t="n">
        <v>20.4</v>
      </c>
      <c r="H2294" s="2" t="s">
        <v>822</v>
      </c>
    </row>
    <row r="2295" customFormat="false" ht="15" hidden="false" customHeight="false" outlineLevel="0" collapsed="false">
      <c r="A2295" s="2" t="s">
        <v>1819</v>
      </c>
      <c r="B2295" s="2" t="s">
        <v>4291</v>
      </c>
      <c r="C2295" s="2" t="s">
        <v>4274</v>
      </c>
      <c r="D2295" s="2"/>
      <c r="E2295" s="31" t="n">
        <v>61.8</v>
      </c>
      <c r="F2295" s="31" t="n">
        <v>53.8</v>
      </c>
      <c r="G2295" s="31" t="n">
        <v>51.6</v>
      </c>
      <c r="H2295" s="2" t="s">
        <v>832</v>
      </c>
    </row>
    <row r="2296" customFormat="false" ht="15" hidden="false" customHeight="false" outlineLevel="0" collapsed="false">
      <c r="A2296" s="2" t="s">
        <v>1819</v>
      </c>
      <c r="B2296" s="2" t="s">
        <v>4291</v>
      </c>
      <c r="C2296" s="2" t="s">
        <v>4275</v>
      </c>
      <c r="D2296" s="2"/>
      <c r="E2296" s="31" t="n">
        <v>57.8</v>
      </c>
      <c r="F2296" s="31" t="n">
        <v>71.1</v>
      </c>
      <c r="G2296" s="31" t="n">
        <v>82.8</v>
      </c>
      <c r="H2296" s="2" t="s">
        <v>832</v>
      </c>
    </row>
    <row r="2297" customFormat="false" ht="15" hidden="false" customHeight="false" outlineLevel="0" collapsed="false">
      <c r="A2297" s="2" t="s">
        <v>1819</v>
      </c>
      <c r="B2297" s="2" t="s">
        <v>45</v>
      </c>
      <c r="C2297" s="2" t="s">
        <v>4274</v>
      </c>
      <c r="D2297" s="11" t="n">
        <v>3902</v>
      </c>
      <c r="E2297" s="31" t="n">
        <v>22.5</v>
      </c>
      <c r="F2297" s="31" t="n">
        <v>85.5</v>
      </c>
      <c r="G2297" s="31" t="n">
        <v>19</v>
      </c>
      <c r="H2297" s="2" t="s">
        <v>822</v>
      </c>
    </row>
    <row r="2298" customFormat="false" ht="15" hidden="false" customHeight="false" outlineLevel="0" collapsed="false">
      <c r="A2298" s="2" t="s">
        <v>1819</v>
      </c>
      <c r="B2298" s="2" t="s">
        <v>45</v>
      </c>
      <c r="C2298" s="2" t="s">
        <v>4275</v>
      </c>
      <c r="D2298" s="11" t="n">
        <v>4010</v>
      </c>
      <c r="E2298" s="31" t="n">
        <v>17.4</v>
      </c>
      <c r="F2298" s="31" t="n">
        <v>93</v>
      </c>
      <c r="G2298" s="2"/>
      <c r="H2298" s="2" t="s">
        <v>832</v>
      </c>
    </row>
    <row r="2299" customFormat="false" ht="15" hidden="false" customHeight="false" outlineLevel="0" collapsed="false">
      <c r="A2299" s="2" t="s">
        <v>1819</v>
      </c>
      <c r="B2299" s="2" t="s">
        <v>46</v>
      </c>
      <c r="C2299" s="2" t="s">
        <v>4274</v>
      </c>
      <c r="D2299" s="11" t="n">
        <v>14334</v>
      </c>
      <c r="E2299" s="31" t="n">
        <v>77.3</v>
      </c>
      <c r="F2299" s="2"/>
      <c r="G2299" s="2"/>
      <c r="H2299" s="2" t="s">
        <v>832</v>
      </c>
    </row>
    <row r="2300" customFormat="false" ht="15" hidden="false" customHeight="false" outlineLevel="0" collapsed="false">
      <c r="A2300" s="2" t="s">
        <v>1819</v>
      </c>
      <c r="B2300" s="2" t="s">
        <v>46</v>
      </c>
      <c r="C2300" s="2" t="s">
        <v>4275</v>
      </c>
      <c r="D2300" s="11" t="n">
        <v>14670</v>
      </c>
      <c r="E2300" s="31" t="n">
        <v>63.3</v>
      </c>
      <c r="F2300" s="31" t="n">
        <v>76.7</v>
      </c>
      <c r="G2300" s="31" t="n">
        <v>85.9</v>
      </c>
      <c r="H2300" s="2" t="s">
        <v>822</v>
      </c>
    </row>
    <row r="2301" customFormat="false" ht="15" hidden="false" customHeight="false" outlineLevel="0" collapsed="false">
      <c r="A2301" s="2" t="s">
        <v>1819</v>
      </c>
      <c r="B2301" s="2" t="s">
        <v>47</v>
      </c>
      <c r="C2301" s="2" t="s">
        <v>4274</v>
      </c>
      <c r="D2301" s="11" t="n">
        <v>101592</v>
      </c>
      <c r="E2301" s="31" t="n">
        <v>85.5</v>
      </c>
      <c r="F2301" s="31" t="n">
        <v>22.2</v>
      </c>
      <c r="G2301" s="31" t="n">
        <v>84.3</v>
      </c>
      <c r="H2301" s="2" t="s">
        <v>822</v>
      </c>
    </row>
    <row r="2302" customFormat="false" ht="15" hidden="false" customHeight="false" outlineLevel="0" collapsed="false">
      <c r="A2302" s="2" t="s">
        <v>1819</v>
      </c>
      <c r="B2302" s="2" t="s">
        <v>47</v>
      </c>
      <c r="C2302" s="2" t="s">
        <v>4275</v>
      </c>
      <c r="D2302" s="11" t="n">
        <v>102470</v>
      </c>
      <c r="E2302" s="31" t="n">
        <v>92.6</v>
      </c>
      <c r="F2302" s="31" t="n">
        <v>43.5</v>
      </c>
      <c r="G2302" s="31" t="n">
        <v>79.7</v>
      </c>
      <c r="H2302" s="2" t="s">
        <v>822</v>
      </c>
    </row>
    <row r="2303" customFormat="false" ht="15" hidden="false" customHeight="false" outlineLevel="0" collapsed="false">
      <c r="A2303" s="2" t="s">
        <v>1025</v>
      </c>
      <c r="B2303" s="2" t="s">
        <v>4291</v>
      </c>
      <c r="C2303" s="2" t="s">
        <v>4274</v>
      </c>
      <c r="D2303" s="2"/>
      <c r="E2303" s="31" t="n">
        <v>84.4</v>
      </c>
      <c r="F2303" s="31" t="n">
        <v>24.9</v>
      </c>
      <c r="G2303" s="31" t="n">
        <v>47.4</v>
      </c>
      <c r="H2303" s="2" t="s">
        <v>832</v>
      </c>
    </row>
    <row r="2304" customFormat="false" ht="15" hidden="false" customHeight="false" outlineLevel="0" collapsed="false">
      <c r="A2304" s="2" t="s">
        <v>1025</v>
      </c>
      <c r="B2304" s="2" t="s">
        <v>4291</v>
      </c>
      <c r="C2304" s="2" t="s">
        <v>4275</v>
      </c>
      <c r="D2304" s="2"/>
      <c r="E2304" s="31" t="n">
        <v>60</v>
      </c>
      <c r="F2304" s="31" t="n">
        <v>36.9</v>
      </c>
      <c r="G2304" s="31" t="n">
        <v>44.2</v>
      </c>
      <c r="H2304" s="2" t="s">
        <v>832</v>
      </c>
    </row>
    <row r="2305" customFormat="false" ht="15" hidden="false" customHeight="false" outlineLevel="0" collapsed="false">
      <c r="A2305" s="2" t="s">
        <v>1025</v>
      </c>
      <c r="B2305" s="2" t="s">
        <v>45</v>
      </c>
      <c r="C2305" s="2" t="s">
        <v>4274</v>
      </c>
      <c r="D2305" s="11" t="n">
        <v>191990</v>
      </c>
      <c r="E2305" s="31" t="n">
        <v>84.4</v>
      </c>
      <c r="F2305" s="31" t="n">
        <v>11.6</v>
      </c>
      <c r="G2305" s="31" t="n">
        <v>36.6</v>
      </c>
      <c r="H2305" s="2" t="s">
        <v>822</v>
      </c>
    </row>
    <row r="2306" customFormat="false" ht="15" hidden="false" customHeight="false" outlineLevel="0" collapsed="false">
      <c r="A2306" s="2" t="s">
        <v>1025</v>
      </c>
      <c r="B2306" s="2" t="s">
        <v>45</v>
      </c>
      <c r="C2306" s="2" t="s">
        <v>4275</v>
      </c>
      <c r="D2306" s="11" t="n">
        <v>191870</v>
      </c>
      <c r="E2306" s="31" t="n">
        <v>75.8</v>
      </c>
      <c r="F2306" s="31" t="n">
        <v>50.7</v>
      </c>
      <c r="G2306" s="31" t="n">
        <v>30.1</v>
      </c>
      <c r="H2306" s="2" t="s">
        <v>822</v>
      </c>
    </row>
    <row r="2307" customFormat="false" ht="15" hidden="false" customHeight="false" outlineLevel="0" collapsed="false">
      <c r="A2307" s="2" t="s">
        <v>1025</v>
      </c>
      <c r="B2307" s="2" t="s">
        <v>46</v>
      </c>
      <c r="C2307" s="2" t="s">
        <v>4274</v>
      </c>
      <c r="D2307" s="2"/>
      <c r="E2307" s="2"/>
      <c r="F2307" s="2"/>
      <c r="G2307" s="2"/>
      <c r="H2307" s="2" t="s">
        <v>832</v>
      </c>
    </row>
    <row r="2308" customFormat="false" ht="15" hidden="false" customHeight="false" outlineLevel="0" collapsed="false">
      <c r="A2308" s="2" t="s">
        <v>1025</v>
      </c>
      <c r="B2308" s="2" t="s">
        <v>46</v>
      </c>
      <c r="C2308" s="2" t="s">
        <v>4275</v>
      </c>
      <c r="D2308" s="2"/>
      <c r="E2308" s="2"/>
      <c r="F2308" s="2"/>
      <c r="G2308" s="2"/>
      <c r="H2308" s="2" t="s">
        <v>832</v>
      </c>
    </row>
    <row r="2309" customFormat="false" ht="15" hidden="false" customHeight="false" outlineLevel="0" collapsed="false">
      <c r="A2309" s="2" t="s">
        <v>1025</v>
      </c>
      <c r="B2309" s="2" t="s">
        <v>47</v>
      </c>
      <c r="C2309" s="2" t="s">
        <v>4274</v>
      </c>
      <c r="D2309" s="11" t="n">
        <v>84022</v>
      </c>
      <c r="E2309" s="2"/>
      <c r="F2309" s="31" t="n">
        <v>38.2</v>
      </c>
      <c r="G2309" s="31" t="n">
        <v>58.2</v>
      </c>
      <c r="H2309" s="2" t="s">
        <v>832</v>
      </c>
    </row>
    <row r="2310" customFormat="false" ht="15" hidden="false" customHeight="false" outlineLevel="0" collapsed="false">
      <c r="A2310" s="2" t="s">
        <v>1025</v>
      </c>
      <c r="B2310" s="2" t="s">
        <v>47</v>
      </c>
      <c r="C2310" s="2" t="s">
        <v>4275</v>
      </c>
      <c r="D2310" s="11" t="n">
        <v>81720</v>
      </c>
      <c r="E2310" s="31" t="n">
        <v>44.3</v>
      </c>
      <c r="F2310" s="31" t="n">
        <v>23.1</v>
      </c>
      <c r="G2310" s="31" t="n">
        <v>58.2</v>
      </c>
      <c r="H2310" s="2" t="s">
        <v>822</v>
      </c>
    </row>
    <row r="2311" customFormat="false" ht="15" hidden="false" customHeight="false" outlineLevel="0" collapsed="false">
      <c r="A2311" s="2" t="s">
        <v>236</v>
      </c>
      <c r="B2311" s="2" t="s">
        <v>4291</v>
      </c>
      <c r="C2311" s="2" t="s">
        <v>4274</v>
      </c>
      <c r="D2311" s="2"/>
      <c r="E2311" s="2"/>
      <c r="F2311" s="2"/>
      <c r="G2311" s="31" t="n">
        <v>83.2</v>
      </c>
      <c r="H2311" s="2" t="s">
        <v>832</v>
      </c>
    </row>
    <row r="2312" customFormat="false" ht="15" hidden="false" customHeight="false" outlineLevel="0" collapsed="false">
      <c r="A2312" s="2" t="s">
        <v>236</v>
      </c>
      <c r="B2312" s="2" t="s">
        <v>4291</v>
      </c>
      <c r="C2312" s="2" t="s">
        <v>4275</v>
      </c>
      <c r="D2312" s="2"/>
      <c r="E2312" s="31" t="n">
        <v>69.8</v>
      </c>
      <c r="F2312" s="31" t="n">
        <v>42.9</v>
      </c>
      <c r="G2312" s="31" t="n">
        <v>96.8</v>
      </c>
      <c r="H2312" s="2" t="s">
        <v>822</v>
      </c>
    </row>
    <row r="2313" customFormat="false" ht="15" hidden="false" customHeight="false" outlineLevel="0" collapsed="false">
      <c r="A2313" s="2" t="s">
        <v>236</v>
      </c>
      <c r="B2313" s="2" t="s">
        <v>47</v>
      </c>
      <c r="C2313" s="2" t="s">
        <v>4274</v>
      </c>
      <c r="D2313" s="2"/>
      <c r="E2313" s="2"/>
      <c r="F2313" s="2"/>
      <c r="G2313" s="31" t="n">
        <v>83.2</v>
      </c>
      <c r="H2313" s="2" t="s">
        <v>832</v>
      </c>
    </row>
    <row r="2314" customFormat="false" ht="15" hidden="false" customHeight="false" outlineLevel="0" collapsed="false">
      <c r="A2314" s="2" t="s">
        <v>236</v>
      </c>
      <c r="B2314" s="2" t="s">
        <v>47</v>
      </c>
      <c r="C2314" s="2" t="s">
        <v>4275</v>
      </c>
      <c r="D2314" s="11" t="n">
        <v>344440</v>
      </c>
      <c r="E2314" s="31" t="n">
        <v>69.8</v>
      </c>
      <c r="F2314" s="31" t="n">
        <v>42.9</v>
      </c>
      <c r="G2314" s="31" t="n">
        <v>96.8</v>
      </c>
      <c r="H2314" s="2" t="s">
        <v>822</v>
      </c>
    </row>
    <row r="2315" customFormat="false" ht="15" hidden="false" customHeight="false" outlineLevel="0" collapsed="false">
      <c r="A2315" s="2" t="s">
        <v>340</v>
      </c>
      <c r="B2315" s="2" t="s">
        <v>4291</v>
      </c>
      <c r="C2315" s="2" t="s">
        <v>4274</v>
      </c>
      <c r="D2315" s="2"/>
      <c r="E2315" s="31" t="n">
        <v>72.2</v>
      </c>
      <c r="F2315" s="31" t="n">
        <v>36.7</v>
      </c>
      <c r="G2315" s="31" t="n">
        <v>1.4</v>
      </c>
      <c r="H2315" s="2" t="s">
        <v>822</v>
      </c>
    </row>
    <row r="2316" customFormat="false" ht="15" hidden="false" customHeight="false" outlineLevel="0" collapsed="false">
      <c r="A2316" s="2" t="s">
        <v>340</v>
      </c>
      <c r="B2316" s="2" t="s">
        <v>4291</v>
      </c>
      <c r="C2316" s="2" t="s">
        <v>4275</v>
      </c>
      <c r="D2316" s="2"/>
      <c r="E2316" s="31" t="n">
        <v>59.9</v>
      </c>
      <c r="F2316" s="31" t="n">
        <v>46.5</v>
      </c>
      <c r="G2316" s="31" t="n">
        <v>5.1</v>
      </c>
      <c r="H2316" s="2" t="s">
        <v>822</v>
      </c>
    </row>
    <row r="2317" customFormat="false" ht="15" hidden="false" customHeight="false" outlineLevel="0" collapsed="false">
      <c r="A2317" s="2" t="s">
        <v>340</v>
      </c>
      <c r="B2317" s="2" t="s">
        <v>46</v>
      </c>
      <c r="C2317" s="2" t="s">
        <v>4274</v>
      </c>
      <c r="D2317" s="11" t="n">
        <v>11930</v>
      </c>
      <c r="E2317" s="31" t="n">
        <v>72.2</v>
      </c>
      <c r="F2317" s="31" t="n">
        <v>36.7</v>
      </c>
      <c r="G2317" s="31" t="n">
        <v>1.4</v>
      </c>
      <c r="H2317" s="2" t="s">
        <v>822</v>
      </c>
    </row>
    <row r="2318" customFormat="false" ht="15" hidden="false" customHeight="false" outlineLevel="0" collapsed="false">
      <c r="A2318" s="2" t="s">
        <v>340</v>
      </c>
      <c r="B2318" s="2" t="s">
        <v>46</v>
      </c>
      <c r="C2318" s="2" t="s">
        <v>4275</v>
      </c>
      <c r="D2318" s="11" t="n">
        <v>12740</v>
      </c>
      <c r="E2318" s="31" t="n">
        <v>59.9</v>
      </c>
      <c r="F2318" s="31" t="n">
        <v>46.5</v>
      </c>
      <c r="G2318" s="31" t="n">
        <v>5.1</v>
      </c>
      <c r="H2318" s="2" t="s">
        <v>822</v>
      </c>
    </row>
    <row r="2319" customFormat="false" ht="15" hidden="false" customHeight="false" outlineLevel="0" collapsed="false">
      <c r="A2319" s="2" t="s">
        <v>2279</v>
      </c>
      <c r="B2319" s="2" t="s">
        <v>4291</v>
      </c>
      <c r="C2319" s="2" t="s">
        <v>4274</v>
      </c>
      <c r="D2319" s="2"/>
      <c r="E2319" s="31" t="n">
        <v>52.8</v>
      </c>
      <c r="F2319" s="31" t="n">
        <v>37.3</v>
      </c>
      <c r="G2319" s="31" t="n">
        <v>7.5</v>
      </c>
      <c r="H2319" s="2" t="s">
        <v>832</v>
      </c>
    </row>
    <row r="2320" customFormat="false" ht="15" hidden="false" customHeight="false" outlineLevel="0" collapsed="false">
      <c r="A2320" s="2" t="s">
        <v>2279</v>
      </c>
      <c r="B2320" s="2" t="s">
        <v>4291</v>
      </c>
      <c r="C2320" s="2" t="s">
        <v>4275</v>
      </c>
      <c r="D2320" s="2"/>
      <c r="E2320" s="31" t="n">
        <v>74.4</v>
      </c>
      <c r="F2320" s="31" t="n">
        <v>54.7</v>
      </c>
      <c r="G2320" s="31" t="n">
        <v>10.4</v>
      </c>
      <c r="H2320" s="2" t="s">
        <v>832</v>
      </c>
    </row>
    <row r="2321" customFormat="false" ht="15" hidden="false" customHeight="false" outlineLevel="0" collapsed="false">
      <c r="A2321" s="2" t="s">
        <v>2279</v>
      </c>
      <c r="B2321" s="2" t="s">
        <v>45</v>
      </c>
      <c r="C2321" s="2" t="s">
        <v>4274</v>
      </c>
      <c r="D2321" s="11" t="n">
        <v>2071</v>
      </c>
      <c r="E2321" s="31" t="n">
        <v>9.1</v>
      </c>
      <c r="F2321" s="2"/>
      <c r="G2321" s="31" t="n">
        <v>0.9</v>
      </c>
      <c r="H2321" s="2" t="s">
        <v>832</v>
      </c>
    </row>
    <row r="2322" customFormat="false" ht="15" hidden="false" customHeight="false" outlineLevel="0" collapsed="false">
      <c r="A2322" s="2" t="s">
        <v>2279</v>
      </c>
      <c r="B2322" s="2" t="s">
        <v>45</v>
      </c>
      <c r="C2322" s="2" t="s">
        <v>4275</v>
      </c>
      <c r="D2322" s="2"/>
      <c r="E2322" s="2"/>
      <c r="F2322" s="2"/>
      <c r="G2322" s="2"/>
      <c r="H2322" s="2" t="s">
        <v>832</v>
      </c>
    </row>
    <row r="2323" customFormat="false" ht="15" hidden="false" customHeight="false" outlineLevel="0" collapsed="false">
      <c r="A2323" s="2" t="s">
        <v>2279</v>
      </c>
      <c r="B2323" s="2" t="s">
        <v>46</v>
      </c>
      <c r="C2323" s="2" t="s">
        <v>4274</v>
      </c>
      <c r="D2323" s="11" t="n">
        <v>101020</v>
      </c>
      <c r="E2323" s="31" t="n">
        <v>67.9</v>
      </c>
      <c r="F2323" s="31" t="n">
        <v>62.2</v>
      </c>
      <c r="G2323" s="2"/>
      <c r="H2323" s="2" t="s">
        <v>832</v>
      </c>
    </row>
    <row r="2324" customFormat="false" ht="15" hidden="false" customHeight="false" outlineLevel="0" collapsed="false">
      <c r="A2324" s="2" t="s">
        <v>2279</v>
      </c>
      <c r="B2324" s="2" t="s">
        <v>46</v>
      </c>
      <c r="C2324" s="2" t="s">
        <v>4275</v>
      </c>
      <c r="D2324" s="11" t="n">
        <v>106840</v>
      </c>
      <c r="E2324" s="31" t="n">
        <v>58.2</v>
      </c>
      <c r="F2324" s="31" t="n">
        <v>86</v>
      </c>
      <c r="G2324" s="2"/>
      <c r="H2324" s="2" t="s">
        <v>832</v>
      </c>
    </row>
    <row r="2325" customFormat="false" ht="15" hidden="false" customHeight="false" outlineLevel="0" collapsed="false">
      <c r="A2325" s="2" t="s">
        <v>2279</v>
      </c>
      <c r="B2325" s="2" t="s">
        <v>47</v>
      </c>
      <c r="C2325" s="2" t="s">
        <v>4274</v>
      </c>
      <c r="D2325" s="11" t="n">
        <v>38390</v>
      </c>
      <c r="E2325" s="31" t="n">
        <v>81.3</v>
      </c>
      <c r="F2325" s="31" t="n">
        <v>12.4</v>
      </c>
      <c r="G2325" s="31" t="n">
        <v>14.1</v>
      </c>
      <c r="H2325" s="2" t="s">
        <v>822</v>
      </c>
    </row>
    <row r="2326" customFormat="false" ht="15" hidden="false" customHeight="false" outlineLevel="0" collapsed="false">
      <c r="A2326" s="2" t="s">
        <v>2279</v>
      </c>
      <c r="B2326" s="2" t="s">
        <v>47</v>
      </c>
      <c r="C2326" s="2" t="s">
        <v>4275</v>
      </c>
      <c r="D2326" s="11" t="n">
        <v>37827</v>
      </c>
      <c r="E2326" s="31" t="n">
        <v>90.7</v>
      </c>
      <c r="F2326" s="31" t="n">
        <v>23.4</v>
      </c>
      <c r="G2326" s="31" t="n">
        <v>10.4</v>
      </c>
      <c r="H2326" s="2" t="s">
        <v>822</v>
      </c>
    </row>
    <row r="2327" customFormat="false" ht="15" hidden="false" customHeight="false" outlineLevel="0" collapsed="false">
      <c r="A2327" s="2" t="s">
        <v>146</v>
      </c>
      <c r="B2327" s="2" t="s">
        <v>4291</v>
      </c>
      <c r="C2327" s="2" t="s">
        <v>4274</v>
      </c>
      <c r="D2327" s="2"/>
      <c r="E2327" s="31" t="n">
        <v>73</v>
      </c>
      <c r="F2327" s="31" t="n">
        <v>28.4</v>
      </c>
      <c r="G2327" s="31" t="n">
        <v>44</v>
      </c>
      <c r="H2327" s="2" t="s">
        <v>832</v>
      </c>
    </row>
    <row r="2328" customFormat="false" ht="15" hidden="false" customHeight="false" outlineLevel="0" collapsed="false">
      <c r="A2328" s="2" t="s">
        <v>146</v>
      </c>
      <c r="B2328" s="2" t="s">
        <v>4291</v>
      </c>
      <c r="C2328" s="2" t="s">
        <v>4275</v>
      </c>
      <c r="D2328" s="2"/>
      <c r="E2328" s="31" t="n">
        <v>84</v>
      </c>
      <c r="F2328" s="31" t="n">
        <v>14.1</v>
      </c>
      <c r="G2328" s="31" t="n">
        <v>53.7</v>
      </c>
      <c r="H2328" s="2" t="s">
        <v>822</v>
      </c>
    </row>
    <row r="2329" customFormat="false" ht="15" hidden="false" customHeight="false" outlineLevel="0" collapsed="false">
      <c r="A2329" s="2" t="s">
        <v>146</v>
      </c>
      <c r="B2329" s="2" t="s">
        <v>45</v>
      </c>
      <c r="C2329" s="2" t="s">
        <v>4274</v>
      </c>
      <c r="D2329" s="11" t="n">
        <v>46520</v>
      </c>
      <c r="E2329" s="31" t="n">
        <v>49.7</v>
      </c>
      <c r="F2329" s="31" t="n">
        <v>33.9</v>
      </c>
      <c r="G2329" s="2"/>
      <c r="H2329" s="2" t="s">
        <v>832</v>
      </c>
    </row>
    <row r="2330" customFormat="false" ht="15" hidden="false" customHeight="false" outlineLevel="0" collapsed="false">
      <c r="A2330" s="2" t="s">
        <v>146</v>
      </c>
      <c r="B2330" s="2" t="s">
        <v>45</v>
      </c>
      <c r="C2330" s="2" t="s">
        <v>4275</v>
      </c>
      <c r="D2330" s="11" t="n">
        <v>46031</v>
      </c>
      <c r="E2330" s="31" t="n">
        <v>62.6</v>
      </c>
      <c r="F2330" s="31" t="n">
        <v>9.3</v>
      </c>
      <c r="G2330" s="31" t="n">
        <v>74.6</v>
      </c>
      <c r="H2330" s="2" t="s">
        <v>822</v>
      </c>
    </row>
    <row r="2331" customFormat="false" ht="15" hidden="false" customHeight="false" outlineLevel="0" collapsed="false">
      <c r="A2331" s="2" t="s">
        <v>146</v>
      </c>
      <c r="B2331" s="2" t="s">
        <v>46</v>
      </c>
      <c r="C2331" s="2" t="s">
        <v>4274</v>
      </c>
      <c r="D2331" s="11" t="n">
        <v>200582</v>
      </c>
      <c r="E2331" s="31" t="n">
        <v>99.4</v>
      </c>
      <c r="F2331" s="31" t="n">
        <v>20.5</v>
      </c>
      <c r="G2331" s="31" t="n">
        <v>86.5</v>
      </c>
      <c r="H2331" s="2" t="s">
        <v>822</v>
      </c>
    </row>
    <row r="2332" customFormat="false" ht="15" hidden="false" customHeight="false" outlineLevel="0" collapsed="false">
      <c r="A2332" s="2" t="s">
        <v>146</v>
      </c>
      <c r="B2332" s="2" t="s">
        <v>46</v>
      </c>
      <c r="C2332" s="2" t="s">
        <v>4275</v>
      </c>
      <c r="D2332" s="11" t="n">
        <v>201170</v>
      </c>
      <c r="E2332" s="31" t="n">
        <v>99.6</v>
      </c>
      <c r="F2332" s="31" t="n">
        <v>7.6</v>
      </c>
      <c r="G2332" s="31" t="n">
        <v>71.5</v>
      </c>
      <c r="H2332" s="2" t="s">
        <v>822</v>
      </c>
    </row>
    <row r="2333" customFormat="false" ht="15" hidden="false" customHeight="false" outlineLevel="0" collapsed="false">
      <c r="A2333" s="2" t="s">
        <v>146</v>
      </c>
      <c r="B2333" s="2" t="s">
        <v>47</v>
      </c>
      <c r="C2333" s="2" t="s">
        <v>4274</v>
      </c>
      <c r="D2333" s="11" t="n">
        <v>297270</v>
      </c>
      <c r="E2333" s="31" t="n">
        <v>69.9</v>
      </c>
      <c r="F2333" s="31" t="n">
        <v>30.9</v>
      </c>
      <c r="G2333" s="31" t="n">
        <v>1.6</v>
      </c>
      <c r="H2333" s="2" t="s">
        <v>822</v>
      </c>
    </row>
    <row r="2334" customFormat="false" ht="15" hidden="false" customHeight="false" outlineLevel="0" collapsed="false">
      <c r="A2334" s="2" t="s">
        <v>146</v>
      </c>
      <c r="B2334" s="2" t="s">
        <v>47</v>
      </c>
      <c r="C2334" s="2" t="s">
        <v>4275</v>
      </c>
      <c r="D2334" s="11" t="n">
        <v>300628</v>
      </c>
      <c r="E2334" s="31" t="n">
        <v>89.8</v>
      </c>
      <c r="F2334" s="31" t="n">
        <v>25.5</v>
      </c>
      <c r="G2334" s="31" t="n">
        <v>14.9</v>
      </c>
      <c r="H2334" s="2" t="s">
        <v>822</v>
      </c>
    </row>
    <row r="2335" customFormat="false" ht="15" hidden="false" customHeight="false" outlineLevel="0" collapsed="false">
      <c r="A2335" s="2" t="s">
        <v>3091</v>
      </c>
      <c r="B2335" s="2" t="s">
        <v>4291</v>
      </c>
      <c r="C2335" s="2" t="s">
        <v>4274</v>
      </c>
      <c r="D2335" s="2"/>
      <c r="E2335" s="31" t="n">
        <v>57.7</v>
      </c>
      <c r="F2335" s="31" t="n">
        <v>61.3</v>
      </c>
      <c r="G2335" s="31" t="n">
        <v>19.3</v>
      </c>
      <c r="H2335" s="2" t="s">
        <v>822</v>
      </c>
    </row>
    <row r="2336" customFormat="false" ht="15" hidden="false" customHeight="false" outlineLevel="0" collapsed="false">
      <c r="A2336" s="2" t="s">
        <v>3091</v>
      </c>
      <c r="B2336" s="2" t="s">
        <v>4291</v>
      </c>
      <c r="C2336" s="2" t="s">
        <v>4275</v>
      </c>
      <c r="D2336" s="2"/>
      <c r="E2336" s="2"/>
      <c r="F2336" s="2"/>
      <c r="G2336" s="2"/>
      <c r="H2336" s="2" t="s">
        <v>832</v>
      </c>
    </row>
    <row r="2337" customFormat="false" ht="15" hidden="false" customHeight="false" outlineLevel="0" collapsed="false">
      <c r="A2337" s="2" t="s">
        <v>3091</v>
      </c>
      <c r="B2337" s="2" t="s">
        <v>45</v>
      </c>
      <c r="C2337" s="2" t="s">
        <v>4274</v>
      </c>
      <c r="D2337" s="11" t="n">
        <v>3475</v>
      </c>
      <c r="E2337" s="31" t="n">
        <v>57.7</v>
      </c>
      <c r="F2337" s="31" t="n">
        <v>61.3</v>
      </c>
      <c r="G2337" s="31" t="n">
        <v>19.3</v>
      </c>
      <c r="H2337" s="2" t="s">
        <v>822</v>
      </c>
    </row>
    <row r="2338" customFormat="false" ht="15" hidden="false" customHeight="false" outlineLevel="0" collapsed="false">
      <c r="A2338" s="2" t="s">
        <v>3091</v>
      </c>
      <c r="B2338" s="2" t="s">
        <v>45</v>
      </c>
      <c r="C2338" s="2" t="s">
        <v>4275</v>
      </c>
      <c r="D2338" s="2"/>
      <c r="E2338" s="2"/>
      <c r="F2338" s="2"/>
      <c r="G2338" s="2"/>
      <c r="H2338" s="2" t="s">
        <v>832</v>
      </c>
    </row>
    <row r="2339" customFormat="false" ht="15" hidden="false" customHeight="false" outlineLevel="0" collapsed="false">
      <c r="A2339" s="2" t="s">
        <v>652</v>
      </c>
      <c r="B2339" s="2" t="s">
        <v>4291</v>
      </c>
      <c r="C2339" s="2" t="s">
        <v>4274</v>
      </c>
      <c r="D2339" s="2"/>
      <c r="E2339" s="31" t="n">
        <v>54.7</v>
      </c>
      <c r="F2339" s="31" t="n">
        <v>17.3</v>
      </c>
      <c r="G2339" s="31" t="n">
        <v>22</v>
      </c>
      <c r="H2339" s="2" t="s">
        <v>822</v>
      </c>
    </row>
    <row r="2340" customFormat="false" ht="15" hidden="false" customHeight="false" outlineLevel="0" collapsed="false">
      <c r="A2340" s="2" t="s">
        <v>652</v>
      </c>
      <c r="B2340" s="2" t="s">
        <v>4291</v>
      </c>
      <c r="C2340" s="2" t="s">
        <v>4275</v>
      </c>
      <c r="D2340" s="2"/>
      <c r="E2340" s="31" t="n">
        <v>34.4</v>
      </c>
      <c r="F2340" s="31" t="n">
        <v>29.2</v>
      </c>
      <c r="G2340" s="31" t="n">
        <v>8.6</v>
      </c>
      <c r="H2340" s="2" t="s">
        <v>822</v>
      </c>
    </row>
    <row r="2341" customFormat="false" ht="15" hidden="false" customHeight="false" outlineLevel="0" collapsed="false">
      <c r="A2341" s="2" t="s">
        <v>652</v>
      </c>
      <c r="B2341" s="2" t="s">
        <v>47</v>
      </c>
      <c r="C2341" s="2" t="s">
        <v>4274</v>
      </c>
      <c r="D2341" s="11" t="n">
        <v>542814</v>
      </c>
      <c r="E2341" s="31" t="n">
        <v>54.7</v>
      </c>
      <c r="F2341" s="31" t="n">
        <v>17.3</v>
      </c>
      <c r="G2341" s="31" t="n">
        <v>22</v>
      </c>
      <c r="H2341" s="2" t="s">
        <v>822</v>
      </c>
    </row>
    <row r="2342" customFormat="false" ht="15" hidden="false" customHeight="false" outlineLevel="0" collapsed="false">
      <c r="A2342" s="2" t="s">
        <v>652</v>
      </c>
      <c r="B2342" s="2" t="s">
        <v>47</v>
      </c>
      <c r="C2342" s="2" t="s">
        <v>4275</v>
      </c>
      <c r="D2342" s="11" t="n">
        <v>548234</v>
      </c>
      <c r="E2342" s="31" t="n">
        <v>34.4</v>
      </c>
      <c r="F2342" s="31" t="n">
        <v>29.2</v>
      </c>
      <c r="G2342" s="31" t="n">
        <v>8.6</v>
      </c>
      <c r="H2342" s="2" t="s">
        <v>822</v>
      </c>
    </row>
    <row r="2343" customFormat="false" ht="15" hidden="false" customHeight="false" outlineLevel="0" collapsed="false">
      <c r="A2343" s="2" t="s">
        <v>3092</v>
      </c>
      <c r="B2343" s="2" t="s">
        <v>4291</v>
      </c>
      <c r="C2343" s="2" t="s">
        <v>4274</v>
      </c>
      <c r="D2343" s="2"/>
      <c r="E2343" s="31" t="n">
        <v>42.5</v>
      </c>
      <c r="F2343" s="2"/>
      <c r="G2343" s="31" t="n">
        <v>31.5</v>
      </c>
      <c r="H2343" s="2" t="s">
        <v>832</v>
      </c>
    </row>
    <row r="2344" customFormat="false" ht="15" hidden="false" customHeight="false" outlineLevel="0" collapsed="false">
      <c r="A2344" s="2" t="s">
        <v>3092</v>
      </c>
      <c r="B2344" s="2" t="s">
        <v>4291</v>
      </c>
      <c r="C2344" s="2" t="s">
        <v>4275</v>
      </c>
      <c r="D2344" s="2"/>
      <c r="E2344" s="31" t="n">
        <v>27.7</v>
      </c>
      <c r="F2344" s="2"/>
      <c r="G2344" s="31" t="n">
        <v>43.3</v>
      </c>
      <c r="H2344" s="2" t="s">
        <v>832</v>
      </c>
    </row>
    <row r="2345" customFormat="false" ht="15" hidden="false" customHeight="false" outlineLevel="0" collapsed="false">
      <c r="A2345" s="2" t="s">
        <v>3092</v>
      </c>
      <c r="B2345" s="2" t="s">
        <v>46</v>
      </c>
      <c r="C2345" s="2" t="s">
        <v>4274</v>
      </c>
      <c r="D2345" s="11" t="n">
        <v>3090</v>
      </c>
      <c r="E2345" s="31" t="n">
        <v>42.5</v>
      </c>
      <c r="F2345" s="2"/>
      <c r="G2345" s="31" t="n">
        <v>31.5</v>
      </c>
      <c r="H2345" s="2" t="s">
        <v>832</v>
      </c>
    </row>
    <row r="2346" customFormat="false" ht="15" hidden="false" customHeight="false" outlineLevel="0" collapsed="false">
      <c r="A2346" s="2" t="s">
        <v>3092</v>
      </c>
      <c r="B2346" s="2" t="s">
        <v>46</v>
      </c>
      <c r="C2346" s="2" t="s">
        <v>4275</v>
      </c>
      <c r="D2346" s="11" t="n">
        <v>3270</v>
      </c>
      <c r="E2346" s="31" t="n">
        <v>27.7</v>
      </c>
      <c r="F2346" s="2"/>
      <c r="G2346" s="31" t="n">
        <v>43.3</v>
      </c>
      <c r="H2346" s="2" t="s">
        <v>832</v>
      </c>
    </row>
    <row r="2347" customFormat="false" ht="15" hidden="false" customHeight="false" outlineLevel="0" collapsed="false">
      <c r="A2347" s="2" t="s">
        <v>768</v>
      </c>
      <c r="B2347" s="2" t="s">
        <v>4291</v>
      </c>
      <c r="C2347" s="2" t="s">
        <v>4274</v>
      </c>
      <c r="D2347" s="2"/>
      <c r="E2347" s="31" t="n">
        <v>28</v>
      </c>
      <c r="F2347" s="31" t="n">
        <v>65.9</v>
      </c>
      <c r="G2347" s="31" t="n">
        <v>24.9</v>
      </c>
      <c r="H2347" s="2" t="s">
        <v>822</v>
      </c>
    </row>
    <row r="2348" customFormat="false" ht="15" hidden="false" customHeight="false" outlineLevel="0" collapsed="false">
      <c r="A2348" s="2" t="s">
        <v>768</v>
      </c>
      <c r="B2348" s="2" t="s">
        <v>4291</v>
      </c>
      <c r="C2348" s="2" t="s">
        <v>4275</v>
      </c>
      <c r="D2348" s="2"/>
      <c r="E2348" s="31" t="n">
        <v>18.5</v>
      </c>
      <c r="F2348" s="31" t="n">
        <v>33.5</v>
      </c>
      <c r="G2348" s="31" t="n">
        <v>67.5</v>
      </c>
      <c r="H2348" s="2" t="s">
        <v>822</v>
      </c>
    </row>
    <row r="2349" customFormat="false" ht="15" hidden="false" customHeight="false" outlineLevel="0" collapsed="false">
      <c r="A2349" s="2" t="s">
        <v>768</v>
      </c>
      <c r="B2349" s="2" t="s">
        <v>46</v>
      </c>
      <c r="C2349" s="2" t="s">
        <v>4274</v>
      </c>
      <c r="D2349" s="11" t="n">
        <v>81040</v>
      </c>
      <c r="E2349" s="31" t="n">
        <v>28</v>
      </c>
      <c r="F2349" s="31" t="n">
        <v>65.9</v>
      </c>
      <c r="G2349" s="31" t="n">
        <v>24.9</v>
      </c>
      <c r="H2349" s="2" t="s">
        <v>822</v>
      </c>
    </row>
    <row r="2350" customFormat="false" ht="15" hidden="false" customHeight="false" outlineLevel="0" collapsed="false">
      <c r="A2350" s="2" t="s">
        <v>768</v>
      </c>
      <c r="B2350" s="2" t="s">
        <v>46</v>
      </c>
      <c r="C2350" s="2" t="s">
        <v>4275</v>
      </c>
      <c r="D2350" s="11" t="n">
        <v>84160</v>
      </c>
      <c r="E2350" s="31" t="n">
        <v>18.5</v>
      </c>
      <c r="F2350" s="31" t="n">
        <v>33.5</v>
      </c>
      <c r="G2350" s="31" t="n">
        <v>67.5</v>
      </c>
      <c r="H2350" s="2" t="s">
        <v>822</v>
      </c>
    </row>
    <row r="2351" customFormat="false" ht="15" hidden="false" customHeight="false" outlineLevel="0" collapsed="false">
      <c r="A2351" s="2" t="s">
        <v>1312</v>
      </c>
      <c r="B2351" s="2" t="s">
        <v>4291</v>
      </c>
      <c r="C2351" s="2" t="s">
        <v>4275</v>
      </c>
      <c r="D2351" s="2"/>
      <c r="E2351" s="31" t="n">
        <v>39.9</v>
      </c>
      <c r="F2351" s="31" t="n">
        <v>81.4</v>
      </c>
      <c r="G2351" s="31" t="n">
        <v>31.6</v>
      </c>
      <c r="H2351" s="2" t="s">
        <v>832</v>
      </c>
    </row>
    <row r="2352" customFormat="false" ht="15" hidden="false" customHeight="false" outlineLevel="0" collapsed="false">
      <c r="A2352" s="2" t="s">
        <v>1312</v>
      </c>
      <c r="B2352" s="2" t="s">
        <v>45</v>
      </c>
      <c r="C2352" s="2" t="s">
        <v>4275</v>
      </c>
      <c r="D2352" s="11" t="n">
        <v>249400</v>
      </c>
      <c r="E2352" s="31" t="n">
        <v>39.9</v>
      </c>
      <c r="F2352" s="31" t="n">
        <v>79.3</v>
      </c>
      <c r="G2352" s="31" t="n">
        <v>59.7</v>
      </c>
      <c r="H2352" s="2" t="s">
        <v>822</v>
      </c>
    </row>
    <row r="2353" customFormat="false" ht="15" hidden="false" customHeight="false" outlineLevel="0" collapsed="false">
      <c r="A2353" s="2" t="s">
        <v>1312</v>
      </c>
      <c r="B2353" s="2" t="s">
        <v>46</v>
      </c>
      <c r="C2353" s="2" t="s">
        <v>4275</v>
      </c>
      <c r="D2353" s="11" t="n">
        <v>132500</v>
      </c>
      <c r="E2353" s="2"/>
      <c r="F2353" s="31" t="n">
        <v>83.4</v>
      </c>
      <c r="G2353" s="31" t="n">
        <v>3.5</v>
      </c>
      <c r="H2353" s="2" t="s">
        <v>832</v>
      </c>
    </row>
    <row r="2354" customFormat="false" ht="15" hidden="false" customHeight="false" outlineLevel="0" collapsed="false">
      <c r="A2354" s="2" t="s">
        <v>724</v>
      </c>
      <c r="B2354" s="2" t="s">
        <v>4291</v>
      </c>
      <c r="C2354" s="2" t="s">
        <v>4275</v>
      </c>
      <c r="D2354" s="2"/>
      <c r="E2354" s="31" t="n">
        <v>25.7</v>
      </c>
      <c r="F2354" s="31" t="n">
        <v>90</v>
      </c>
      <c r="G2354" s="31" t="n">
        <v>30.5</v>
      </c>
      <c r="H2354" s="2" t="s">
        <v>822</v>
      </c>
    </row>
    <row r="2355" customFormat="false" ht="15" hidden="false" customHeight="false" outlineLevel="0" collapsed="false">
      <c r="A2355" s="2" t="s">
        <v>724</v>
      </c>
      <c r="B2355" s="2" t="s">
        <v>45</v>
      </c>
      <c r="C2355" s="2" t="s">
        <v>4275</v>
      </c>
      <c r="D2355" s="11" t="n">
        <v>23430</v>
      </c>
      <c r="E2355" s="31" t="n">
        <v>25.7</v>
      </c>
      <c r="F2355" s="31" t="n">
        <v>90</v>
      </c>
      <c r="G2355" s="31" t="n">
        <v>30.5</v>
      </c>
      <c r="H2355" s="2" t="s">
        <v>822</v>
      </c>
    </row>
    <row r="2356" customFormat="false" ht="15" hidden="false" customHeight="false" outlineLevel="0" collapsed="false">
      <c r="A2356" s="2" t="s">
        <v>3095</v>
      </c>
      <c r="B2356" s="2" t="s">
        <v>4291</v>
      </c>
      <c r="C2356" s="2" t="s">
        <v>4274</v>
      </c>
      <c r="D2356" s="2"/>
      <c r="E2356" s="31" t="n">
        <v>33.3</v>
      </c>
      <c r="F2356" s="31" t="n">
        <v>40.4</v>
      </c>
      <c r="G2356" s="31" t="n">
        <v>49.3</v>
      </c>
      <c r="H2356" s="2" t="s">
        <v>822</v>
      </c>
    </row>
    <row r="2357" customFormat="false" ht="15" hidden="false" customHeight="false" outlineLevel="0" collapsed="false">
      <c r="A2357" s="2" t="s">
        <v>3095</v>
      </c>
      <c r="B2357" s="2" t="s">
        <v>4291</v>
      </c>
      <c r="C2357" s="2" t="s">
        <v>4275</v>
      </c>
      <c r="D2357" s="2"/>
      <c r="E2357" s="2"/>
      <c r="F2357" s="31" t="n">
        <v>27.6</v>
      </c>
      <c r="G2357" s="31" t="n">
        <v>52.8</v>
      </c>
      <c r="H2357" s="2" t="s">
        <v>832</v>
      </c>
    </row>
    <row r="2358" customFormat="false" ht="15" hidden="false" customHeight="false" outlineLevel="0" collapsed="false">
      <c r="A2358" s="2" t="s">
        <v>3095</v>
      </c>
      <c r="B2358" s="2" t="s">
        <v>46</v>
      </c>
      <c r="C2358" s="2" t="s">
        <v>4274</v>
      </c>
      <c r="D2358" s="11" t="n">
        <v>15950</v>
      </c>
      <c r="E2358" s="31" t="n">
        <v>33.3</v>
      </c>
      <c r="F2358" s="31" t="n">
        <v>40.4</v>
      </c>
      <c r="G2358" s="31" t="n">
        <v>49.3</v>
      </c>
      <c r="H2358" s="2" t="s">
        <v>822</v>
      </c>
    </row>
    <row r="2359" customFormat="false" ht="15" hidden="false" customHeight="false" outlineLevel="0" collapsed="false">
      <c r="A2359" s="2" t="s">
        <v>3095</v>
      </c>
      <c r="B2359" s="2" t="s">
        <v>46</v>
      </c>
      <c r="C2359" s="2" t="s">
        <v>4275</v>
      </c>
      <c r="D2359" s="11" t="n">
        <v>15800</v>
      </c>
      <c r="E2359" s="2"/>
      <c r="F2359" s="31" t="n">
        <v>27.6</v>
      </c>
      <c r="G2359" s="31" t="n">
        <v>52.8</v>
      </c>
      <c r="H2359" s="2" t="s">
        <v>832</v>
      </c>
    </row>
    <row r="2360" customFormat="false" ht="15" hidden="false" customHeight="false" outlineLevel="0" collapsed="false">
      <c r="A2360" s="2" t="s">
        <v>784</v>
      </c>
      <c r="B2360" s="2" t="s">
        <v>4291</v>
      </c>
      <c r="C2360" s="2" t="s">
        <v>4274</v>
      </c>
      <c r="D2360" s="2"/>
      <c r="E2360" s="31" t="n">
        <v>18.6</v>
      </c>
      <c r="F2360" s="31" t="n">
        <v>61.8</v>
      </c>
      <c r="G2360" s="31" t="n">
        <v>15.8</v>
      </c>
      <c r="H2360" s="2" t="s">
        <v>822</v>
      </c>
    </row>
    <row r="2361" customFormat="false" ht="15" hidden="false" customHeight="false" outlineLevel="0" collapsed="false">
      <c r="A2361" s="2" t="s">
        <v>784</v>
      </c>
      <c r="B2361" s="2" t="s">
        <v>4291</v>
      </c>
      <c r="C2361" s="2" t="s">
        <v>4275</v>
      </c>
      <c r="D2361" s="2"/>
      <c r="E2361" s="31" t="n">
        <v>15</v>
      </c>
      <c r="F2361" s="31" t="n">
        <v>71.8</v>
      </c>
      <c r="G2361" s="31" t="n">
        <v>25.6</v>
      </c>
      <c r="H2361" s="2" t="s">
        <v>822</v>
      </c>
    </row>
    <row r="2362" customFormat="false" ht="15" hidden="false" customHeight="false" outlineLevel="0" collapsed="false">
      <c r="A2362" s="2" t="s">
        <v>784</v>
      </c>
      <c r="B2362" s="2" t="s">
        <v>46</v>
      </c>
      <c r="C2362" s="2" t="s">
        <v>4274</v>
      </c>
      <c r="D2362" s="11" t="n">
        <v>44511</v>
      </c>
      <c r="E2362" s="31" t="n">
        <v>15.9</v>
      </c>
      <c r="F2362" s="31" t="n">
        <v>80.5</v>
      </c>
      <c r="G2362" s="31" t="n">
        <v>14.2</v>
      </c>
      <c r="H2362" s="2" t="s">
        <v>822</v>
      </c>
    </row>
    <row r="2363" customFormat="false" ht="15" hidden="false" customHeight="false" outlineLevel="0" collapsed="false">
      <c r="A2363" s="2" t="s">
        <v>784</v>
      </c>
      <c r="B2363" s="2" t="s">
        <v>46</v>
      </c>
      <c r="C2363" s="2" t="s">
        <v>4275</v>
      </c>
      <c r="D2363" s="11" t="n">
        <v>46110</v>
      </c>
      <c r="E2363" s="31" t="n">
        <v>17.3</v>
      </c>
      <c r="F2363" s="31" t="n">
        <v>83.6</v>
      </c>
      <c r="G2363" s="31" t="n">
        <v>26</v>
      </c>
      <c r="H2363" s="2" t="s">
        <v>822</v>
      </c>
    </row>
    <row r="2364" customFormat="false" ht="15" hidden="false" customHeight="false" outlineLevel="0" collapsed="false">
      <c r="A2364" s="2" t="s">
        <v>784</v>
      </c>
      <c r="B2364" s="2" t="s">
        <v>47</v>
      </c>
      <c r="C2364" s="2" t="s">
        <v>4274</v>
      </c>
      <c r="D2364" s="11" t="n">
        <v>41056</v>
      </c>
      <c r="E2364" s="31" t="n">
        <v>21.3</v>
      </c>
      <c r="F2364" s="31" t="n">
        <v>43.1</v>
      </c>
      <c r="G2364" s="31" t="n">
        <v>17.3</v>
      </c>
      <c r="H2364" s="2" t="s">
        <v>822</v>
      </c>
    </row>
    <row r="2365" customFormat="false" ht="15" hidden="false" customHeight="false" outlineLevel="0" collapsed="false">
      <c r="A2365" s="2" t="s">
        <v>784</v>
      </c>
      <c r="B2365" s="2" t="s">
        <v>47</v>
      </c>
      <c r="C2365" s="2" t="s">
        <v>4275</v>
      </c>
      <c r="D2365" s="11" t="n">
        <v>40657</v>
      </c>
      <c r="E2365" s="31" t="n">
        <v>12.7</v>
      </c>
      <c r="F2365" s="31" t="n">
        <v>60.1</v>
      </c>
      <c r="G2365" s="31" t="n">
        <v>25.1</v>
      </c>
      <c r="H2365" s="2" t="s">
        <v>822</v>
      </c>
    </row>
    <row r="2366" customFormat="false" ht="15" hidden="false" customHeight="false" outlineLevel="0" collapsed="false">
      <c r="A2366" s="2" t="s">
        <v>290</v>
      </c>
      <c r="B2366" s="2" t="s">
        <v>4291</v>
      </c>
      <c r="C2366" s="2" t="s">
        <v>4274</v>
      </c>
      <c r="D2366" s="2"/>
      <c r="E2366" s="31" t="n">
        <v>70.5</v>
      </c>
      <c r="F2366" s="31" t="n">
        <v>52.9</v>
      </c>
      <c r="G2366" s="31" t="n">
        <v>76.2</v>
      </c>
      <c r="H2366" s="2" t="s">
        <v>832</v>
      </c>
    </row>
    <row r="2367" customFormat="false" ht="15" hidden="false" customHeight="false" outlineLevel="0" collapsed="false">
      <c r="A2367" s="2" t="s">
        <v>290</v>
      </c>
      <c r="B2367" s="2" t="s">
        <v>4291</v>
      </c>
      <c r="C2367" s="2" t="s">
        <v>4275</v>
      </c>
      <c r="D2367" s="2"/>
      <c r="E2367" s="31" t="n">
        <v>64.2</v>
      </c>
      <c r="F2367" s="31" t="n">
        <v>62</v>
      </c>
      <c r="G2367" s="31" t="n">
        <v>65.7</v>
      </c>
      <c r="H2367" s="2" t="s">
        <v>822</v>
      </c>
    </row>
    <row r="2368" customFormat="false" ht="15" hidden="false" customHeight="false" outlineLevel="0" collapsed="false">
      <c r="A2368" s="2" t="s">
        <v>290</v>
      </c>
      <c r="B2368" s="2" t="s">
        <v>45</v>
      </c>
      <c r="C2368" s="2" t="s">
        <v>4274</v>
      </c>
      <c r="D2368" s="11" t="n">
        <v>18506</v>
      </c>
      <c r="E2368" s="31" t="n">
        <v>97.6</v>
      </c>
      <c r="F2368" s="31" t="n">
        <v>17.5</v>
      </c>
      <c r="G2368" s="2"/>
      <c r="H2368" s="2" t="s">
        <v>832</v>
      </c>
    </row>
    <row r="2369" customFormat="false" ht="15" hidden="false" customHeight="false" outlineLevel="0" collapsed="false">
      <c r="A2369" s="2" t="s">
        <v>290</v>
      </c>
      <c r="B2369" s="2" t="s">
        <v>45</v>
      </c>
      <c r="C2369" s="2" t="s">
        <v>4275</v>
      </c>
      <c r="D2369" s="11" t="n">
        <v>19690</v>
      </c>
      <c r="E2369" s="31" t="n">
        <v>88.8</v>
      </c>
      <c r="F2369" s="31" t="n">
        <v>27.5</v>
      </c>
      <c r="G2369" s="31" t="n">
        <v>49.4</v>
      </c>
      <c r="H2369" s="2" t="s">
        <v>822</v>
      </c>
    </row>
    <row r="2370" customFormat="false" ht="15" hidden="false" customHeight="false" outlineLevel="0" collapsed="false">
      <c r="A2370" s="2" t="s">
        <v>290</v>
      </c>
      <c r="B2370" s="2" t="s">
        <v>46</v>
      </c>
      <c r="C2370" s="2" t="s">
        <v>4274</v>
      </c>
      <c r="D2370" s="11" t="n">
        <v>95130</v>
      </c>
      <c r="E2370" s="31" t="n">
        <v>44.4</v>
      </c>
      <c r="F2370" s="31" t="n">
        <v>98.5</v>
      </c>
      <c r="G2370" s="31" t="n">
        <v>58.7</v>
      </c>
      <c r="H2370" s="2" t="s">
        <v>822</v>
      </c>
    </row>
    <row r="2371" customFormat="false" ht="15" hidden="false" customHeight="false" outlineLevel="0" collapsed="false">
      <c r="A2371" s="2" t="s">
        <v>290</v>
      </c>
      <c r="B2371" s="2" t="s">
        <v>46</v>
      </c>
      <c r="C2371" s="2" t="s">
        <v>4275</v>
      </c>
      <c r="D2371" s="11" t="n">
        <v>104700</v>
      </c>
      <c r="E2371" s="31" t="n">
        <v>20.6</v>
      </c>
      <c r="F2371" s="31" t="n">
        <v>100</v>
      </c>
      <c r="G2371" s="31" t="n">
        <v>88.3</v>
      </c>
      <c r="H2371" s="2" t="s">
        <v>822</v>
      </c>
    </row>
    <row r="2372" customFormat="false" ht="15" hidden="false" customHeight="false" outlineLevel="0" collapsed="false">
      <c r="A2372" s="2" t="s">
        <v>290</v>
      </c>
      <c r="B2372" s="2" t="s">
        <v>47</v>
      </c>
      <c r="C2372" s="2" t="s">
        <v>4274</v>
      </c>
      <c r="D2372" s="11" t="n">
        <v>290801</v>
      </c>
      <c r="E2372" s="31" t="n">
        <v>69.6</v>
      </c>
      <c r="F2372" s="31" t="n">
        <v>42.6</v>
      </c>
      <c r="G2372" s="31" t="n">
        <v>93.7</v>
      </c>
      <c r="H2372" s="2" t="s">
        <v>822</v>
      </c>
    </row>
    <row r="2373" customFormat="false" ht="15" hidden="false" customHeight="false" outlineLevel="0" collapsed="false">
      <c r="A2373" s="2" t="s">
        <v>290</v>
      </c>
      <c r="B2373" s="2" t="s">
        <v>47</v>
      </c>
      <c r="C2373" s="2" t="s">
        <v>4275</v>
      </c>
      <c r="D2373" s="11" t="n">
        <v>303997</v>
      </c>
      <c r="E2373" s="31" t="n">
        <v>83.1</v>
      </c>
      <c r="F2373" s="31" t="n">
        <v>58.4</v>
      </c>
      <c r="G2373" s="31" t="n">
        <v>59.5</v>
      </c>
      <c r="H2373" s="2" t="s">
        <v>822</v>
      </c>
    </row>
    <row r="2374" customFormat="false" ht="15" hidden="false" customHeight="false" outlineLevel="0" collapsed="false">
      <c r="A2374" s="2" t="s">
        <v>660</v>
      </c>
      <c r="B2374" s="2" t="s">
        <v>4291</v>
      </c>
      <c r="C2374" s="2" t="s">
        <v>4275</v>
      </c>
      <c r="D2374" s="2"/>
      <c r="E2374" s="31" t="n">
        <v>33.8</v>
      </c>
      <c r="F2374" s="31" t="n">
        <v>18.5</v>
      </c>
      <c r="G2374" s="31" t="n">
        <v>33.8</v>
      </c>
      <c r="H2374" s="2" t="s">
        <v>822</v>
      </c>
    </row>
    <row r="2375" customFormat="false" ht="15" hidden="false" customHeight="false" outlineLevel="0" collapsed="false">
      <c r="A2375" s="2" t="s">
        <v>660</v>
      </c>
      <c r="B2375" s="2" t="s">
        <v>46</v>
      </c>
      <c r="C2375" s="2" t="s">
        <v>4275</v>
      </c>
      <c r="D2375" s="11" t="n">
        <v>31340</v>
      </c>
      <c r="E2375" s="31" t="n">
        <v>33.8</v>
      </c>
      <c r="F2375" s="31" t="n">
        <v>18.5</v>
      </c>
      <c r="G2375" s="31" t="n">
        <v>33.8</v>
      </c>
      <c r="H2375" s="2" t="s">
        <v>822</v>
      </c>
    </row>
    <row r="2376" customFormat="false" ht="15" hidden="false" customHeight="false" outlineLevel="0" collapsed="false">
      <c r="A2376" s="2" t="s">
        <v>3098</v>
      </c>
      <c r="B2376" s="2" t="s">
        <v>4291</v>
      </c>
      <c r="C2376" s="2" t="s">
        <v>4274</v>
      </c>
      <c r="D2376" s="2"/>
      <c r="E2376" s="31" t="n">
        <v>45.8</v>
      </c>
      <c r="F2376" s="31" t="n">
        <v>29.5</v>
      </c>
      <c r="G2376" s="31" t="n">
        <v>44.1</v>
      </c>
      <c r="H2376" s="2" t="s">
        <v>832</v>
      </c>
    </row>
    <row r="2377" customFormat="false" ht="15" hidden="false" customHeight="false" outlineLevel="0" collapsed="false">
      <c r="A2377" s="2" t="s">
        <v>3098</v>
      </c>
      <c r="B2377" s="2" t="s">
        <v>4291</v>
      </c>
      <c r="C2377" s="2" t="s">
        <v>4275</v>
      </c>
      <c r="D2377" s="2"/>
      <c r="E2377" s="31" t="n">
        <v>44.4</v>
      </c>
      <c r="F2377" s="31" t="n">
        <v>1</v>
      </c>
      <c r="G2377" s="2"/>
      <c r="H2377" s="2" t="s">
        <v>832</v>
      </c>
    </row>
    <row r="2378" customFormat="false" ht="15" hidden="false" customHeight="false" outlineLevel="0" collapsed="false">
      <c r="A2378" s="2" t="s">
        <v>3098</v>
      </c>
      <c r="B2378" s="2" t="s">
        <v>45</v>
      </c>
      <c r="C2378" s="2" t="s">
        <v>4274</v>
      </c>
      <c r="D2378" s="11" t="n">
        <v>133650</v>
      </c>
      <c r="E2378" s="31" t="n">
        <v>20.1</v>
      </c>
      <c r="F2378" s="31" t="n">
        <v>29.5</v>
      </c>
      <c r="G2378" s="31" t="n">
        <v>15.4</v>
      </c>
      <c r="H2378" s="2" t="s">
        <v>822</v>
      </c>
    </row>
    <row r="2379" customFormat="false" ht="15" hidden="false" customHeight="false" outlineLevel="0" collapsed="false">
      <c r="A2379" s="2" t="s">
        <v>3098</v>
      </c>
      <c r="B2379" s="2" t="s">
        <v>45</v>
      </c>
      <c r="C2379" s="2" t="s">
        <v>4275</v>
      </c>
      <c r="D2379" s="2"/>
      <c r="E2379" s="2"/>
      <c r="F2379" s="2"/>
      <c r="G2379" s="2"/>
      <c r="H2379" s="2" t="s">
        <v>832</v>
      </c>
    </row>
    <row r="2380" customFormat="false" ht="15" hidden="false" customHeight="false" outlineLevel="0" collapsed="false">
      <c r="A2380" s="2" t="s">
        <v>3098</v>
      </c>
      <c r="B2380" s="2" t="s">
        <v>47</v>
      </c>
      <c r="C2380" s="2" t="s">
        <v>4274</v>
      </c>
      <c r="D2380" s="11" t="n">
        <v>29480</v>
      </c>
      <c r="E2380" s="31" t="n">
        <v>71.6</v>
      </c>
      <c r="F2380" s="2"/>
      <c r="G2380" s="31" t="n">
        <v>72.8</v>
      </c>
      <c r="H2380" s="2" t="s">
        <v>832</v>
      </c>
    </row>
    <row r="2381" customFormat="false" ht="15" hidden="false" customHeight="false" outlineLevel="0" collapsed="false">
      <c r="A2381" s="2" t="s">
        <v>3098</v>
      </c>
      <c r="B2381" s="2" t="s">
        <v>47</v>
      </c>
      <c r="C2381" s="2" t="s">
        <v>4275</v>
      </c>
      <c r="D2381" s="11" t="n">
        <v>28636</v>
      </c>
      <c r="E2381" s="31" t="n">
        <v>44.4</v>
      </c>
      <c r="F2381" s="31" t="n">
        <v>1</v>
      </c>
      <c r="G2381" s="2"/>
      <c r="H2381" s="2" t="s">
        <v>832</v>
      </c>
    </row>
    <row r="2382" customFormat="false" ht="15" hidden="false" customHeight="false" outlineLevel="0" collapsed="false">
      <c r="A2382" s="2" t="s">
        <v>3100</v>
      </c>
      <c r="B2382" s="2" t="s">
        <v>4291</v>
      </c>
      <c r="C2382" s="2" t="s">
        <v>4274</v>
      </c>
      <c r="D2382" s="2"/>
      <c r="E2382" s="31" t="n">
        <v>14.9</v>
      </c>
      <c r="F2382" s="31" t="n">
        <v>59</v>
      </c>
      <c r="G2382" s="31" t="n">
        <v>26.7</v>
      </c>
      <c r="H2382" s="2" t="s">
        <v>822</v>
      </c>
    </row>
    <row r="2383" customFormat="false" ht="15" hidden="false" customHeight="false" outlineLevel="0" collapsed="false">
      <c r="A2383" s="2" t="s">
        <v>3100</v>
      </c>
      <c r="B2383" s="2" t="s">
        <v>4291</v>
      </c>
      <c r="C2383" s="2" t="s">
        <v>4275</v>
      </c>
      <c r="D2383" s="2"/>
      <c r="E2383" s="2"/>
      <c r="F2383" s="2"/>
      <c r="G2383" s="2"/>
      <c r="H2383" s="2" t="s">
        <v>832</v>
      </c>
    </row>
    <row r="2384" customFormat="false" ht="15" hidden="false" customHeight="false" outlineLevel="0" collapsed="false">
      <c r="A2384" s="2" t="s">
        <v>3100</v>
      </c>
      <c r="B2384" s="2" t="s">
        <v>46</v>
      </c>
      <c r="C2384" s="2" t="s">
        <v>4274</v>
      </c>
      <c r="D2384" s="11" t="n">
        <v>462190</v>
      </c>
      <c r="E2384" s="31" t="n">
        <v>14.9</v>
      </c>
      <c r="F2384" s="31" t="n">
        <v>59</v>
      </c>
      <c r="G2384" s="31" t="n">
        <v>26.7</v>
      </c>
      <c r="H2384" s="2" t="s">
        <v>822</v>
      </c>
    </row>
    <row r="2385" customFormat="false" ht="15" hidden="false" customHeight="false" outlineLevel="0" collapsed="false">
      <c r="A2385" s="2" t="s">
        <v>3100</v>
      </c>
      <c r="B2385" s="2" t="s">
        <v>46</v>
      </c>
      <c r="C2385" s="2" t="s">
        <v>4275</v>
      </c>
      <c r="D2385" s="2"/>
      <c r="E2385" s="2"/>
      <c r="F2385" s="2"/>
      <c r="G2385" s="2"/>
      <c r="H2385" s="2" t="s">
        <v>832</v>
      </c>
    </row>
    <row r="2386" customFormat="false" ht="15" hidden="false" customHeight="false" outlineLevel="0" collapsed="false">
      <c r="A2386" s="2" t="s">
        <v>3101</v>
      </c>
      <c r="B2386" s="2" t="s">
        <v>4291</v>
      </c>
      <c r="C2386" s="2" t="s">
        <v>4274</v>
      </c>
      <c r="D2386" s="2"/>
      <c r="E2386" s="31" t="n">
        <v>81.2</v>
      </c>
      <c r="F2386" s="31" t="n">
        <v>94.7</v>
      </c>
      <c r="G2386" s="31" t="n">
        <v>22.8</v>
      </c>
      <c r="H2386" s="2" t="s">
        <v>822</v>
      </c>
    </row>
    <row r="2387" customFormat="false" ht="15" hidden="false" customHeight="false" outlineLevel="0" collapsed="false">
      <c r="A2387" s="2" t="s">
        <v>3101</v>
      </c>
      <c r="B2387" s="2" t="s">
        <v>4291</v>
      </c>
      <c r="C2387" s="2" t="s">
        <v>4275</v>
      </c>
      <c r="D2387" s="2"/>
      <c r="E2387" s="2"/>
      <c r="F2387" s="31" t="n">
        <v>84.9</v>
      </c>
      <c r="G2387" s="31" t="n">
        <v>25.6</v>
      </c>
      <c r="H2387" s="2" t="s">
        <v>832</v>
      </c>
    </row>
    <row r="2388" customFormat="false" ht="15" hidden="false" customHeight="false" outlineLevel="0" collapsed="false">
      <c r="A2388" s="2" t="s">
        <v>3101</v>
      </c>
      <c r="B2388" s="2" t="s">
        <v>46</v>
      </c>
      <c r="C2388" s="2" t="s">
        <v>4274</v>
      </c>
      <c r="D2388" s="11" t="n">
        <v>7890</v>
      </c>
      <c r="E2388" s="31" t="n">
        <v>81.2</v>
      </c>
      <c r="F2388" s="31" t="n">
        <v>94.7</v>
      </c>
      <c r="G2388" s="31" t="n">
        <v>22.8</v>
      </c>
      <c r="H2388" s="2" t="s">
        <v>822</v>
      </c>
    </row>
    <row r="2389" customFormat="false" ht="15" hidden="false" customHeight="false" outlineLevel="0" collapsed="false">
      <c r="A2389" s="2" t="s">
        <v>3101</v>
      </c>
      <c r="B2389" s="2" t="s">
        <v>46</v>
      </c>
      <c r="C2389" s="2" t="s">
        <v>4275</v>
      </c>
      <c r="D2389" s="11" t="n">
        <v>8620</v>
      </c>
      <c r="E2389" s="2"/>
      <c r="F2389" s="31" t="n">
        <v>84.9</v>
      </c>
      <c r="G2389" s="31" t="n">
        <v>25.6</v>
      </c>
      <c r="H2389" s="2" t="s">
        <v>832</v>
      </c>
    </row>
    <row r="2390" customFormat="false" ht="15" hidden="false" customHeight="false" outlineLevel="0" collapsed="false">
      <c r="A2390" s="2" t="s">
        <v>172</v>
      </c>
      <c r="B2390" s="2" t="s">
        <v>4291</v>
      </c>
      <c r="C2390" s="2" t="s">
        <v>4274</v>
      </c>
      <c r="D2390" s="2"/>
      <c r="E2390" s="31" t="n">
        <v>73.6</v>
      </c>
      <c r="F2390" s="31" t="n">
        <v>78.2</v>
      </c>
      <c r="G2390" s="31" t="n">
        <v>33.5</v>
      </c>
      <c r="H2390" s="2" t="s">
        <v>822</v>
      </c>
    </row>
    <row r="2391" customFormat="false" ht="15" hidden="false" customHeight="false" outlineLevel="0" collapsed="false">
      <c r="A2391" s="2" t="s">
        <v>172</v>
      </c>
      <c r="B2391" s="2" t="s">
        <v>4291</v>
      </c>
      <c r="C2391" s="2" t="s">
        <v>4275</v>
      </c>
      <c r="D2391" s="2"/>
      <c r="E2391" s="31" t="n">
        <v>79.5</v>
      </c>
      <c r="F2391" s="31" t="n">
        <v>78.8</v>
      </c>
      <c r="G2391" s="31" t="n">
        <v>44.6</v>
      </c>
      <c r="H2391" s="2" t="s">
        <v>822</v>
      </c>
    </row>
    <row r="2392" customFormat="false" ht="15" hidden="false" customHeight="false" outlineLevel="0" collapsed="false">
      <c r="A2392" s="2" t="s">
        <v>172</v>
      </c>
      <c r="B2392" s="2" t="s">
        <v>45</v>
      </c>
      <c r="C2392" s="2" t="s">
        <v>4274</v>
      </c>
      <c r="D2392" s="11" t="n">
        <v>43710</v>
      </c>
      <c r="E2392" s="31" t="n">
        <v>66.7</v>
      </c>
      <c r="F2392" s="31" t="n">
        <v>67.2</v>
      </c>
      <c r="G2392" s="31" t="n">
        <v>17.6</v>
      </c>
      <c r="H2392" s="2" t="s">
        <v>822</v>
      </c>
    </row>
    <row r="2393" customFormat="false" ht="15" hidden="false" customHeight="false" outlineLevel="0" collapsed="false">
      <c r="A2393" s="2" t="s">
        <v>172</v>
      </c>
      <c r="B2393" s="2" t="s">
        <v>45</v>
      </c>
      <c r="C2393" s="2" t="s">
        <v>4275</v>
      </c>
      <c r="D2393" s="11" t="n">
        <v>44780</v>
      </c>
      <c r="E2393" s="31" t="n">
        <v>60.9</v>
      </c>
      <c r="F2393" s="31" t="n">
        <v>61.2</v>
      </c>
      <c r="G2393" s="31" t="n">
        <v>42.9</v>
      </c>
      <c r="H2393" s="2" t="s">
        <v>822</v>
      </c>
    </row>
    <row r="2394" customFormat="false" ht="15" hidden="false" customHeight="false" outlineLevel="0" collapsed="false">
      <c r="A2394" s="2" t="s">
        <v>172</v>
      </c>
      <c r="B2394" s="2" t="s">
        <v>47</v>
      </c>
      <c r="C2394" s="2" t="s">
        <v>4274</v>
      </c>
      <c r="D2394" s="11" t="n">
        <v>98752</v>
      </c>
      <c r="E2394" s="31" t="n">
        <v>80.4</v>
      </c>
      <c r="F2394" s="31" t="n">
        <v>89.2</v>
      </c>
      <c r="G2394" s="31" t="n">
        <v>49.4</v>
      </c>
      <c r="H2394" s="2" t="s">
        <v>822</v>
      </c>
    </row>
    <row r="2395" customFormat="false" ht="15" hidden="false" customHeight="false" outlineLevel="0" collapsed="false">
      <c r="A2395" s="2" t="s">
        <v>172</v>
      </c>
      <c r="B2395" s="2" t="s">
        <v>47</v>
      </c>
      <c r="C2395" s="2" t="s">
        <v>4275</v>
      </c>
      <c r="D2395" s="11" t="n">
        <v>101840</v>
      </c>
      <c r="E2395" s="31" t="n">
        <v>98.1</v>
      </c>
      <c r="F2395" s="31" t="n">
        <v>96.3</v>
      </c>
      <c r="G2395" s="31" t="n">
        <v>46.2</v>
      </c>
      <c r="H2395" s="2" t="s">
        <v>822</v>
      </c>
    </row>
    <row r="2396" customFormat="false" ht="15" hidden="false" customHeight="false" outlineLevel="0" collapsed="false">
      <c r="A2396" s="2" t="s">
        <v>476</v>
      </c>
      <c r="B2396" s="2" t="s">
        <v>4291</v>
      </c>
      <c r="C2396" s="2" t="s">
        <v>4274</v>
      </c>
      <c r="D2396" s="2"/>
      <c r="E2396" s="31" t="n">
        <v>48.6</v>
      </c>
      <c r="F2396" s="31" t="n">
        <v>47.2</v>
      </c>
      <c r="G2396" s="31" t="n">
        <v>83.6</v>
      </c>
      <c r="H2396" s="2" t="s">
        <v>832</v>
      </c>
    </row>
    <row r="2397" customFormat="false" ht="15" hidden="false" customHeight="false" outlineLevel="0" collapsed="false">
      <c r="A2397" s="2" t="s">
        <v>476</v>
      </c>
      <c r="B2397" s="2" t="s">
        <v>4291</v>
      </c>
      <c r="C2397" s="2" t="s">
        <v>4275</v>
      </c>
      <c r="D2397" s="2"/>
      <c r="E2397" s="31" t="n">
        <v>50.4</v>
      </c>
      <c r="F2397" s="31" t="n">
        <v>74</v>
      </c>
      <c r="G2397" s="31" t="n">
        <v>74.1</v>
      </c>
      <c r="H2397" s="2" t="s">
        <v>822</v>
      </c>
    </row>
    <row r="2398" customFormat="false" ht="15" hidden="false" customHeight="false" outlineLevel="0" collapsed="false">
      <c r="A2398" s="2" t="s">
        <v>476</v>
      </c>
      <c r="B2398" s="2" t="s">
        <v>45</v>
      </c>
      <c r="C2398" s="2" t="s">
        <v>4274</v>
      </c>
      <c r="D2398" s="11" t="n">
        <v>329010</v>
      </c>
      <c r="E2398" s="31" t="n">
        <v>92.9</v>
      </c>
      <c r="F2398" s="31" t="n">
        <v>27.4</v>
      </c>
      <c r="G2398" s="2"/>
      <c r="H2398" s="2" t="s">
        <v>832</v>
      </c>
    </row>
    <row r="2399" customFormat="false" ht="15" hidden="false" customHeight="false" outlineLevel="0" collapsed="false">
      <c r="A2399" s="2" t="s">
        <v>476</v>
      </c>
      <c r="B2399" s="2" t="s">
        <v>45</v>
      </c>
      <c r="C2399" s="2" t="s">
        <v>4275</v>
      </c>
      <c r="D2399" s="11" t="n">
        <v>335870</v>
      </c>
      <c r="E2399" s="31" t="n">
        <v>95.7</v>
      </c>
      <c r="F2399" s="31" t="n">
        <v>87.1</v>
      </c>
      <c r="G2399" s="31" t="n">
        <v>63.9</v>
      </c>
      <c r="H2399" s="2" t="s">
        <v>822</v>
      </c>
    </row>
    <row r="2400" customFormat="false" ht="15" hidden="false" customHeight="false" outlineLevel="0" collapsed="false">
      <c r="A2400" s="2" t="s">
        <v>476</v>
      </c>
      <c r="B2400" s="2" t="s">
        <v>46</v>
      </c>
      <c r="C2400" s="2" t="s">
        <v>4274</v>
      </c>
      <c r="D2400" s="11" t="n">
        <v>20680</v>
      </c>
      <c r="E2400" s="31" t="n">
        <v>0.6</v>
      </c>
      <c r="F2400" s="31" t="n">
        <v>35.2</v>
      </c>
      <c r="G2400" s="31" t="n">
        <v>77.9</v>
      </c>
      <c r="H2400" s="2" t="s">
        <v>822</v>
      </c>
    </row>
    <row r="2401" customFormat="false" ht="15" hidden="false" customHeight="false" outlineLevel="0" collapsed="false">
      <c r="A2401" s="2" t="s">
        <v>476</v>
      </c>
      <c r="B2401" s="2" t="s">
        <v>46</v>
      </c>
      <c r="C2401" s="2" t="s">
        <v>4275</v>
      </c>
      <c r="D2401" s="11" t="n">
        <v>20780</v>
      </c>
      <c r="E2401" s="31" t="n">
        <v>0.4</v>
      </c>
      <c r="F2401" s="31" t="n">
        <v>54.9</v>
      </c>
      <c r="G2401" s="31" t="n">
        <v>62</v>
      </c>
      <c r="H2401" s="2" t="s">
        <v>822</v>
      </c>
    </row>
    <row r="2402" customFormat="false" ht="15" hidden="false" customHeight="false" outlineLevel="0" collapsed="false">
      <c r="A2402" s="2" t="s">
        <v>476</v>
      </c>
      <c r="B2402" s="2" t="s">
        <v>47</v>
      </c>
      <c r="C2402" s="2" t="s">
        <v>4274</v>
      </c>
      <c r="D2402" s="11" t="n">
        <v>718260</v>
      </c>
      <c r="E2402" s="31" t="n">
        <v>52.4</v>
      </c>
      <c r="F2402" s="31" t="n">
        <v>79</v>
      </c>
      <c r="G2402" s="31" t="n">
        <v>89.4</v>
      </c>
      <c r="H2402" s="2" t="s">
        <v>822</v>
      </c>
    </row>
    <row r="2403" customFormat="false" ht="15" hidden="false" customHeight="false" outlineLevel="0" collapsed="false">
      <c r="A2403" s="2" t="s">
        <v>476</v>
      </c>
      <c r="B2403" s="2" t="s">
        <v>47</v>
      </c>
      <c r="C2403" s="2" t="s">
        <v>4275</v>
      </c>
      <c r="D2403" s="11" t="n">
        <v>728588</v>
      </c>
      <c r="E2403" s="31" t="n">
        <v>55.2</v>
      </c>
      <c r="F2403" s="31" t="n">
        <v>80.1</v>
      </c>
      <c r="G2403" s="31" t="n">
        <v>96.4</v>
      </c>
      <c r="H2403" s="2" t="s">
        <v>822</v>
      </c>
    </row>
    <row r="2404" customFormat="false" ht="15" hidden="false" customHeight="false" outlineLevel="0" collapsed="false">
      <c r="A2404" s="2" t="s">
        <v>262</v>
      </c>
      <c r="B2404" s="2" t="s">
        <v>4291</v>
      </c>
      <c r="C2404" s="2" t="s">
        <v>4274</v>
      </c>
      <c r="D2404" s="2"/>
      <c r="E2404" s="31" t="n">
        <v>67.5</v>
      </c>
      <c r="F2404" s="31" t="n">
        <v>37.7</v>
      </c>
      <c r="G2404" s="31" t="n">
        <v>93.1</v>
      </c>
      <c r="H2404" s="2" t="s">
        <v>822</v>
      </c>
    </row>
    <row r="2405" customFormat="false" ht="15" hidden="false" customHeight="false" outlineLevel="0" collapsed="false">
      <c r="A2405" s="2" t="s">
        <v>262</v>
      </c>
      <c r="B2405" s="2" t="s">
        <v>4291</v>
      </c>
      <c r="C2405" s="2" t="s">
        <v>4275</v>
      </c>
      <c r="D2405" s="2"/>
      <c r="E2405" s="31" t="n">
        <v>66.3</v>
      </c>
      <c r="F2405" s="31" t="n">
        <v>21.1</v>
      </c>
      <c r="G2405" s="31" t="n">
        <v>87.1</v>
      </c>
      <c r="H2405" s="2" t="s">
        <v>822</v>
      </c>
    </row>
    <row r="2406" customFormat="false" ht="15" hidden="false" customHeight="false" outlineLevel="0" collapsed="false">
      <c r="A2406" s="2" t="s">
        <v>262</v>
      </c>
      <c r="B2406" s="2" t="s">
        <v>47</v>
      </c>
      <c r="C2406" s="2" t="s">
        <v>4274</v>
      </c>
      <c r="D2406" s="11" t="n">
        <v>124303</v>
      </c>
      <c r="E2406" s="31" t="n">
        <v>67.5</v>
      </c>
      <c r="F2406" s="31" t="n">
        <v>37.7</v>
      </c>
      <c r="G2406" s="31" t="n">
        <v>93.1</v>
      </c>
      <c r="H2406" s="2" t="s">
        <v>822</v>
      </c>
    </row>
    <row r="2407" customFormat="false" ht="15" hidden="false" customHeight="false" outlineLevel="0" collapsed="false">
      <c r="A2407" s="2" t="s">
        <v>262</v>
      </c>
      <c r="B2407" s="2" t="s">
        <v>47</v>
      </c>
      <c r="C2407" s="2" t="s">
        <v>4275</v>
      </c>
      <c r="D2407" s="11" t="n">
        <v>126080</v>
      </c>
      <c r="E2407" s="31" t="n">
        <v>66.3</v>
      </c>
      <c r="F2407" s="31" t="n">
        <v>21.1</v>
      </c>
      <c r="G2407" s="31" t="n">
        <v>87.1</v>
      </c>
      <c r="H2407" s="2" t="s">
        <v>822</v>
      </c>
    </row>
    <row r="2408" customFormat="false" ht="15" hidden="false" customHeight="false" outlineLevel="0" collapsed="false">
      <c r="A2408" s="2" t="s">
        <v>2136</v>
      </c>
      <c r="B2408" s="2" t="s">
        <v>4291</v>
      </c>
      <c r="C2408" s="2" t="s">
        <v>4274</v>
      </c>
      <c r="D2408" s="2"/>
      <c r="E2408" s="31" t="n">
        <v>24.1</v>
      </c>
      <c r="F2408" s="31" t="n">
        <v>60.4</v>
      </c>
      <c r="G2408" s="31" t="n">
        <v>33.8</v>
      </c>
      <c r="H2408" s="2" t="s">
        <v>832</v>
      </c>
    </row>
    <row r="2409" customFormat="false" ht="15" hidden="false" customHeight="false" outlineLevel="0" collapsed="false">
      <c r="A2409" s="2" t="s">
        <v>2136</v>
      </c>
      <c r="B2409" s="2" t="s">
        <v>4291</v>
      </c>
      <c r="C2409" s="2" t="s">
        <v>4275</v>
      </c>
      <c r="D2409" s="2"/>
      <c r="E2409" s="31" t="n">
        <v>11.4</v>
      </c>
      <c r="F2409" s="31" t="n">
        <v>56.4</v>
      </c>
      <c r="G2409" s="31" t="n">
        <v>57</v>
      </c>
      <c r="H2409" s="2" t="s">
        <v>832</v>
      </c>
    </row>
    <row r="2410" customFormat="false" ht="15" hidden="false" customHeight="false" outlineLevel="0" collapsed="false">
      <c r="A2410" s="2" t="s">
        <v>2136</v>
      </c>
      <c r="B2410" s="2" t="s">
        <v>45</v>
      </c>
      <c r="C2410" s="2" t="s">
        <v>4274</v>
      </c>
      <c r="D2410" s="11" t="n">
        <v>21215</v>
      </c>
      <c r="E2410" s="31" t="n">
        <v>44.5</v>
      </c>
      <c r="F2410" s="31" t="n">
        <v>88.7</v>
      </c>
      <c r="G2410" s="2"/>
      <c r="H2410" s="2" t="s">
        <v>832</v>
      </c>
    </row>
    <row r="2411" customFormat="false" ht="15" hidden="false" customHeight="false" outlineLevel="0" collapsed="false">
      <c r="A2411" s="2" t="s">
        <v>2136</v>
      </c>
      <c r="B2411" s="2" t="s">
        <v>45</v>
      </c>
      <c r="C2411" s="2" t="s">
        <v>4275</v>
      </c>
      <c r="D2411" s="2"/>
      <c r="E2411" s="2"/>
      <c r="F2411" s="2"/>
      <c r="G2411" s="31" t="n">
        <v>76.6</v>
      </c>
      <c r="H2411" s="2" t="s">
        <v>832</v>
      </c>
    </row>
    <row r="2412" customFormat="false" ht="15" hidden="false" customHeight="false" outlineLevel="0" collapsed="false">
      <c r="A2412" s="2" t="s">
        <v>2136</v>
      </c>
      <c r="B2412" s="2" t="s">
        <v>46</v>
      </c>
      <c r="C2412" s="2" t="s">
        <v>4274</v>
      </c>
      <c r="D2412" s="11" t="n">
        <v>44510</v>
      </c>
      <c r="E2412" s="31" t="n">
        <v>3.7</v>
      </c>
      <c r="F2412" s="31" t="n">
        <v>32.2</v>
      </c>
      <c r="G2412" s="31" t="n">
        <v>33.8</v>
      </c>
      <c r="H2412" s="2" t="s">
        <v>822</v>
      </c>
    </row>
    <row r="2413" customFormat="false" ht="15" hidden="false" customHeight="false" outlineLevel="0" collapsed="false">
      <c r="A2413" s="2" t="s">
        <v>2136</v>
      </c>
      <c r="B2413" s="2" t="s">
        <v>46</v>
      </c>
      <c r="C2413" s="2" t="s">
        <v>4275</v>
      </c>
      <c r="D2413" s="11" t="n">
        <v>45437</v>
      </c>
      <c r="E2413" s="31" t="n">
        <v>11.4</v>
      </c>
      <c r="F2413" s="31" t="n">
        <v>56.4</v>
      </c>
      <c r="G2413" s="31" t="n">
        <v>37.5</v>
      </c>
      <c r="H2413" s="2" t="s">
        <v>822</v>
      </c>
    </row>
    <row r="2414" customFormat="false" ht="15" hidden="false" customHeight="false" outlineLevel="0" collapsed="false">
      <c r="A2414" s="2" t="s">
        <v>1625</v>
      </c>
      <c r="B2414" s="2" t="s">
        <v>4291</v>
      </c>
      <c r="C2414" s="2" t="s">
        <v>4274</v>
      </c>
      <c r="D2414" s="2"/>
      <c r="E2414" s="31" t="n">
        <v>67.7</v>
      </c>
      <c r="F2414" s="31" t="n">
        <v>55.7</v>
      </c>
      <c r="G2414" s="31" t="n">
        <v>45.7</v>
      </c>
      <c r="H2414" s="2" t="s">
        <v>832</v>
      </c>
    </row>
    <row r="2415" customFormat="false" ht="15" hidden="false" customHeight="false" outlineLevel="0" collapsed="false">
      <c r="A2415" s="2" t="s">
        <v>1625</v>
      </c>
      <c r="B2415" s="2" t="s">
        <v>4291</v>
      </c>
      <c r="C2415" s="2" t="s">
        <v>4275</v>
      </c>
      <c r="D2415" s="2"/>
      <c r="E2415" s="31" t="n">
        <v>86.9</v>
      </c>
      <c r="F2415" s="31" t="n">
        <v>43.5</v>
      </c>
      <c r="G2415" s="31" t="n">
        <v>47.5</v>
      </c>
      <c r="H2415" s="2" t="s">
        <v>832</v>
      </c>
    </row>
    <row r="2416" customFormat="false" ht="15" hidden="false" customHeight="false" outlineLevel="0" collapsed="false">
      <c r="A2416" s="2" t="s">
        <v>1625</v>
      </c>
      <c r="B2416" s="2" t="s">
        <v>45</v>
      </c>
      <c r="C2416" s="2" t="s">
        <v>4274</v>
      </c>
      <c r="D2416" s="11" t="n">
        <v>5010</v>
      </c>
      <c r="E2416" s="31" t="n">
        <v>81.6</v>
      </c>
      <c r="F2416" s="2"/>
      <c r="G2416" s="31" t="n">
        <v>26.1</v>
      </c>
      <c r="H2416" s="2" t="s">
        <v>832</v>
      </c>
    </row>
    <row r="2417" customFormat="false" ht="15" hidden="false" customHeight="false" outlineLevel="0" collapsed="false">
      <c r="A2417" s="2" t="s">
        <v>1625</v>
      </c>
      <c r="B2417" s="2" t="s">
        <v>45</v>
      </c>
      <c r="C2417" s="2" t="s">
        <v>4275</v>
      </c>
      <c r="D2417" s="2"/>
      <c r="E2417" s="2"/>
      <c r="F2417" s="2"/>
      <c r="G2417" s="2"/>
      <c r="H2417" s="2" t="s">
        <v>832</v>
      </c>
    </row>
    <row r="2418" customFormat="false" ht="15" hidden="false" customHeight="false" outlineLevel="0" collapsed="false">
      <c r="A2418" s="2" t="s">
        <v>1625</v>
      </c>
      <c r="B2418" s="2" t="s">
        <v>46</v>
      </c>
      <c r="C2418" s="2" t="s">
        <v>4274</v>
      </c>
      <c r="D2418" s="11" t="n">
        <v>270480</v>
      </c>
      <c r="E2418" s="31" t="n">
        <v>81.8</v>
      </c>
      <c r="F2418" s="31" t="n">
        <v>71.2</v>
      </c>
      <c r="G2418" s="31" t="n">
        <v>51.6</v>
      </c>
      <c r="H2418" s="2" t="s">
        <v>822</v>
      </c>
    </row>
    <row r="2419" customFormat="false" ht="15" hidden="false" customHeight="false" outlineLevel="0" collapsed="false">
      <c r="A2419" s="2" t="s">
        <v>1625</v>
      </c>
      <c r="B2419" s="2" t="s">
        <v>46</v>
      </c>
      <c r="C2419" s="2" t="s">
        <v>4275</v>
      </c>
      <c r="D2419" s="11" t="n">
        <v>276960</v>
      </c>
      <c r="E2419" s="31" t="n">
        <v>96.3</v>
      </c>
      <c r="F2419" s="31" t="n">
        <v>65.6</v>
      </c>
      <c r="G2419" s="31" t="n">
        <v>64</v>
      </c>
      <c r="H2419" s="2" t="s">
        <v>822</v>
      </c>
    </row>
    <row r="2420" customFormat="false" ht="15" hidden="false" customHeight="false" outlineLevel="0" collapsed="false">
      <c r="A2420" s="2" t="s">
        <v>1625</v>
      </c>
      <c r="B2420" s="2" t="s">
        <v>47</v>
      </c>
      <c r="C2420" s="2" t="s">
        <v>4274</v>
      </c>
      <c r="D2420" s="11" t="n">
        <v>58581</v>
      </c>
      <c r="E2420" s="31" t="n">
        <v>39.8</v>
      </c>
      <c r="F2420" s="31" t="n">
        <v>40.2</v>
      </c>
      <c r="G2420" s="31" t="n">
        <v>59.3</v>
      </c>
      <c r="H2420" s="2" t="s">
        <v>822</v>
      </c>
    </row>
    <row r="2421" customFormat="false" ht="15" hidden="false" customHeight="false" outlineLevel="0" collapsed="false">
      <c r="A2421" s="2" t="s">
        <v>1625</v>
      </c>
      <c r="B2421" s="2" t="s">
        <v>47</v>
      </c>
      <c r="C2421" s="2" t="s">
        <v>4275</v>
      </c>
      <c r="D2421" s="11" t="n">
        <v>57595</v>
      </c>
      <c r="E2421" s="31" t="n">
        <v>77.6</v>
      </c>
      <c r="F2421" s="31" t="n">
        <v>21.4</v>
      </c>
      <c r="G2421" s="31" t="n">
        <v>31</v>
      </c>
      <c r="H2421" s="2" t="s">
        <v>822</v>
      </c>
    </row>
    <row r="2422" customFormat="false" ht="15" hidden="false" customHeight="false" outlineLevel="0" collapsed="false">
      <c r="A2422" s="2" t="s">
        <v>590</v>
      </c>
      <c r="B2422" s="2" t="s">
        <v>4291</v>
      </c>
      <c r="C2422" s="2" t="s">
        <v>4274</v>
      </c>
      <c r="D2422" s="2"/>
      <c r="E2422" s="31" t="n">
        <v>42.9</v>
      </c>
      <c r="F2422" s="31" t="n">
        <v>15.8</v>
      </c>
      <c r="G2422" s="31" t="n">
        <v>57.1</v>
      </c>
      <c r="H2422" s="2" t="s">
        <v>822</v>
      </c>
    </row>
    <row r="2423" customFormat="false" ht="15" hidden="false" customHeight="false" outlineLevel="0" collapsed="false">
      <c r="A2423" s="2" t="s">
        <v>590</v>
      </c>
      <c r="B2423" s="2" t="s">
        <v>4291</v>
      </c>
      <c r="C2423" s="2" t="s">
        <v>4275</v>
      </c>
      <c r="D2423" s="2"/>
      <c r="E2423" s="31" t="n">
        <v>39.9</v>
      </c>
      <c r="F2423" s="31" t="n">
        <v>15.1</v>
      </c>
      <c r="G2423" s="31" t="n">
        <v>70.5</v>
      </c>
      <c r="H2423" s="2" t="s">
        <v>822</v>
      </c>
    </row>
    <row r="2424" customFormat="false" ht="15" hidden="false" customHeight="false" outlineLevel="0" collapsed="false">
      <c r="A2424" s="2" t="s">
        <v>590</v>
      </c>
      <c r="B2424" s="2" t="s">
        <v>45</v>
      </c>
      <c r="C2424" s="2" t="s">
        <v>4274</v>
      </c>
      <c r="D2424" s="11" t="n">
        <v>8098</v>
      </c>
      <c r="E2424" s="31" t="n">
        <v>59.6</v>
      </c>
      <c r="F2424" s="31" t="n">
        <v>6.5</v>
      </c>
      <c r="G2424" s="31" t="n">
        <v>31</v>
      </c>
      <c r="H2424" s="2" t="s">
        <v>822</v>
      </c>
    </row>
    <row r="2425" customFormat="false" ht="15" hidden="false" customHeight="false" outlineLevel="0" collapsed="false">
      <c r="A2425" s="2" t="s">
        <v>590</v>
      </c>
      <c r="B2425" s="2" t="s">
        <v>45</v>
      </c>
      <c r="C2425" s="2" t="s">
        <v>4275</v>
      </c>
      <c r="D2425" s="11" t="n">
        <v>8104</v>
      </c>
      <c r="E2425" s="31" t="n">
        <v>67.9</v>
      </c>
      <c r="F2425" s="31" t="n">
        <v>7</v>
      </c>
      <c r="G2425" s="31" t="n">
        <v>87.4</v>
      </c>
      <c r="H2425" s="2" t="s">
        <v>822</v>
      </c>
    </row>
    <row r="2426" customFormat="false" ht="15" hidden="false" customHeight="false" outlineLevel="0" collapsed="false">
      <c r="A2426" s="2" t="s">
        <v>590</v>
      </c>
      <c r="B2426" s="2" t="s">
        <v>46</v>
      </c>
      <c r="C2426" s="2" t="s">
        <v>4274</v>
      </c>
      <c r="D2426" s="11" t="n">
        <v>407880</v>
      </c>
      <c r="E2426" s="31" t="n">
        <v>22.9</v>
      </c>
      <c r="F2426" s="31" t="n">
        <v>30.1</v>
      </c>
      <c r="G2426" s="31" t="n">
        <v>91.1</v>
      </c>
      <c r="H2426" s="2" t="s">
        <v>822</v>
      </c>
    </row>
    <row r="2427" customFormat="false" ht="15" hidden="false" customHeight="false" outlineLevel="0" collapsed="false">
      <c r="A2427" s="2" t="s">
        <v>590</v>
      </c>
      <c r="B2427" s="2" t="s">
        <v>46</v>
      </c>
      <c r="C2427" s="2" t="s">
        <v>4275</v>
      </c>
      <c r="D2427" s="11" t="n">
        <v>432750</v>
      </c>
      <c r="E2427" s="31" t="n">
        <v>23</v>
      </c>
      <c r="F2427" s="31" t="n">
        <v>29.9</v>
      </c>
      <c r="G2427" s="31" t="n">
        <v>72</v>
      </c>
      <c r="H2427" s="2" t="s">
        <v>822</v>
      </c>
    </row>
    <row r="2428" customFormat="false" ht="15" hidden="false" customHeight="false" outlineLevel="0" collapsed="false">
      <c r="A2428" s="2" t="s">
        <v>590</v>
      </c>
      <c r="B2428" s="2" t="s">
        <v>47</v>
      </c>
      <c r="C2428" s="2" t="s">
        <v>4274</v>
      </c>
      <c r="D2428" s="11" t="n">
        <v>82408</v>
      </c>
      <c r="E2428" s="31" t="n">
        <v>46.2</v>
      </c>
      <c r="F2428" s="31" t="n">
        <v>10.8</v>
      </c>
      <c r="G2428" s="31" t="n">
        <v>49.2</v>
      </c>
      <c r="H2428" s="2" t="s">
        <v>822</v>
      </c>
    </row>
    <row r="2429" customFormat="false" ht="15" hidden="false" customHeight="false" outlineLevel="0" collapsed="false">
      <c r="A2429" s="2" t="s">
        <v>590</v>
      </c>
      <c r="B2429" s="2" t="s">
        <v>47</v>
      </c>
      <c r="C2429" s="2" t="s">
        <v>4275</v>
      </c>
      <c r="D2429" s="11" t="n">
        <v>82989</v>
      </c>
      <c r="E2429" s="31" t="n">
        <v>28.9</v>
      </c>
      <c r="F2429" s="31" t="n">
        <v>8.4</v>
      </c>
      <c r="G2429" s="31" t="n">
        <v>52</v>
      </c>
      <c r="H2429" s="2" t="s">
        <v>822</v>
      </c>
    </row>
    <row r="2430" customFormat="false" ht="15" hidden="false" customHeight="false" outlineLevel="0" collapsed="false">
      <c r="A2430" s="2" t="s">
        <v>1207</v>
      </c>
      <c r="B2430" s="2" t="s">
        <v>4291</v>
      </c>
      <c r="C2430" s="2" t="s">
        <v>4274</v>
      </c>
      <c r="D2430" s="2"/>
      <c r="E2430" s="31" t="n">
        <v>66.6</v>
      </c>
      <c r="F2430" s="31" t="n">
        <v>27.1</v>
      </c>
      <c r="G2430" s="31" t="n">
        <v>26.2</v>
      </c>
      <c r="H2430" s="2" t="s">
        <v>832</v>
      </c>
    </row>
    <row r="2431" customFormat="false" ht="15" hidden="false" customHeight="false" outlineLevel="0" collapsed="false">
      <c r="A2431" s="2" t="s">
        <v>1207</v>
      </c>
      <c r="B2431" s="2" t="s">
        <v>4291</v>
      </c>
      <c r="C2431" s="2" t="s">
        <v>4275</v>
      </c>
      <c r="D2431" s="2"/>
      <c r="E2431" s="31" t="n">
        <v>57</v>
      </c>
      <c r="F2431" s="31" t="n">
        <v>42.6</v>
      </c>
      <c r="G2431" s="31" t="n">
        <v>58.5</v>
      </c>
      <c r="H2431" s="2" t="s">
        <v>832</v>
      </c>
    </row>
    <row r="2432" customFormat="false" ht="15" hidden="false" customHeight="false" outlineLevel="0" collapsed="false">
      <c r="A2432" s="2" t="s">
        <v>1207</v>
      </c>
      <c r="B2432" s="2" t="s">
        <v>45</v>
      </c>
      <c r="C2432" s="2" t="s">
        <v>4274</v>
      </c>
      <c r="D2432" s="11" t="n">
        <v>100250</v>
      </c>
      <c r="E2432" s="31" t="n">
        <v>75</v>
      </c>
      <c r="F2432" s="2"/>
      <c r="G2432" s="31" t="n">
        <v>29.3</v>
      </c>
      <c r="H2432" s="2" t="s">
        <v>832</v>
      </c>
    </row>
    <row r="2433" customFormat="false" ht="15" hidden="false" customHeight="false" outlineLevel="0" collapsed="false">
      <c r="A2433" s="2" t="s">
        <v>1207</v>
      </c>
      <c r="B2433" s="2" t="s">
        <v>45</v>
      </c>
      <c r="C2433" s="2" t="s">
        <v>4275</v>
      </c>
      <c r="D2433" s="11" t="n">
        <v>105190</v>
      </c>
      <c r="E2433" s="31" t="n">
        <v>53.3</v>
      </c>
      <c r="F2433" s="31" t="n">
        <v>27.1</v>
      </c>
      <c r="G2433" s="31" t="n">
        <v>69</v>
      </c>
      <c r="H2433" s="2" t="s">
        <v>822</v>
      </c>
    </row>
    <row r="2434" customFormat="false" ht="15" hidden="false" customHeight="false" outlineLevel="0" collapsed="false">
      <c r="A2434" s="2" t="s">
        <v>1207</v>
      </c>
      <c r="B2434" s="2" t="s">
        <v>46</v>
      </c>
      <c r="C2434" s="2" t="s">
        <v>4274</v>
      </c>
      <c r="D2434" s="11" t="n">
        <v>15360</v>
      </c>
      <c r="E2434" s="31" t="n">
        <v>52.3</v>
      </c>
      <c r="F2434" s="2"/>
      <c r="G2434" s="2"/>
      <c r="H2434" s="2" t="s">
        <v>832</v>
      </c>
    </row>
    <row r="2435" customFormat="false" ht="15" hidden="false" customHeight="false" outlineLevel="0" collapsed="false">
      <c r="A2435" s="2" t="s">
        <v>1207</v>
      </c>
      <c r="B2435" s="2" t="s">
        <v>46</v>
      </c>
      <c r="C2435" s="2" t="s">
        <v>4275</v>
      </c>
      <c r="D2435" s="2"/>
      <c r="E2435" s="2"/>
      <c r="F2435" s="2"/>
      <c r="G2435" s="2"/>
      <c r="H2435" s="2" t="s">
        <v>832</v>
      </c>
    </row>
    <row r="2436" customFormat="false" ht="15" hidden="false" customHeight="false" outlineLevel="0" collapsed="false">
      <c r="A2436" s="2" t="s">
        <v>1207</v>
      </c>
      <c r="B2436" s="2" t="s">
        <v>47</v>
      </c>
      <c r="C2436" s="2" t="s">
        <v>4274</v>
      </c>
      <c r="D2436" s="11" t="n">
        <v>58905</v>
      </c>
      <c r="E2436" s="31" t="n">
        <v>72.5</v>
      </c>
      <c r="F2436" s="31" t="n">
        <v>27.1</v>
      </c>
      <c r="G2436" s="31" t="n">
        <v>23.1</v>
      </c>
      <c r="H2436" s="2" t="s">
        <v>822</v>
      </c>
    </row>
    <row r="2437" customFormat="false" ht="15" hidden="false" customHeight="false" outlineLevel="0" collapsed="false">
      <c r="A2437" s="2" t="s">
        <v>1207</v>
      </c>
      <c r="B2437" s="2" t="s">
        <v>47</v>
      </c>
      <c r="C2437" s="2" t="s">
        <v>4275</v>
      </c>
      <c r="D2437" s="11" t="n">
        <v>61442</v>
      </c>
      <c r="E2437" s="31" t="n">
        <v>60.7</v>
      </c>
      <c r="F2437" s="31" t="n">
        <v>58.1</v>
      </c>
      <c r="G2437" s="31" t="n">
        <v>48</v>
      </c>
      <c r="H2437" s="2" t="s">
        <v>822</v>
      </c>
    </row>
    <row r="2438" customFormat="false" ht="15" hidden="false" customHeight="false" outlineLevel="0" collapsed="false">
      <c r="A2438" s="2" t="s">
        <v>332</v>
      </c>
      <c r="B2438" s="2" t="s">
        <v>4291</v>
      </c>
      <c r="C2438" s="2" t="s">
        <v>4274</v>
      </c>
      <c r="D2438" s="2"/>
      <c r="E2438" s="31" t="n">
        <v>48.9</v>
      </c>
      <c r="F2438" s="31" t="n">
        <v>90.6</v>
      </c>
      <c r="G2438" s="31" t="n">
        <v>60.7</v>
      </c>
      <c r="H2438" s="2" t="s">
        <v>822</v>
      </c>
    </row>
    <row r="2439" customFormat="false" ht="15" hidden="false" customHeight="false" outlineLevel="0" collapsed="false">
      <c r="A2439" s="2" t="s">
        <v>332</v>
      </c>
      <c r="B2439" s="2" t="s">
        <v>4291</v>
      </c>
      <c r="C2439" s="2" t="s">
        <v>4275</v>
      </c>
      <c r="D2439" s="2"/>
      <c r="E2439" s="31" t="n">
        <v>60.3</v>
      </c>
      <c r="F2439" s="31" t="n">
        <v>55.3</v>
      </c>
      <c r="G2439" s="31" t="n">
        <v>30.5</v>
      </c>
      <c r="H2439" s="2" t="s">
        <v>822</v>
      </c>
    </row>
    <row r="2440" customFormat="false" ht="15" hidden="false" customHeight="false" outlineLevel="0" collapsed="false">
      <c r="A2440" s="2" t="s">
        <v>332</v>
      </c>
      <c r="B2440" s="2" t="s">
        <v>46</v>
      </c>
      <c r="C2440" s="2" t="s">
        <v>4274</v>
      </c>
      <c r="D2440" s="11" t="n">
        <v>75120</v>
      </c>
      <c r="E2440" s="31" t="n">
        <v>48.9</v>
      </c>
      <c r="F2440" s="31" t="n">
        <v>90.6</v>
      </c>
      <c r="G2440" s="31" t="n">
        <v>60.7</v>
      </c>
      <c r="H2440" s="2" t="s">
        <v>822</v>
      </c>
    </row>
    <row r="2441" customFormat="false" ht="15" hidden="false" customHeight="false" outlineLevel="0" collapsed="false">
      <c r="A2441" s="2" t="s">
        <v>332</v>
      </c>
      <c r="B2441" s="2" t="s">
        <v>46</v>
      </c>
      <c r="C2441" s="2" t="s">
        <v>4275</v>
      </c>
      <c r="D2441" s="11" t="n">
        <v>76610</v>
      </c>
      <c r="E2441" s="31" t="n">
        <v>60.3</v>
      </c>
      <c r="F2441" s="31" t="n">
        <v>55.3</v>
      </c>
      <c r="G2441" s="31" t="n">
        <v>30.5</v>
      </c>
      <c r="H2441" s="2" t="s">
        <v>822</v>
      </c>
    </row>
    <row r="2442" customFormat="false" ht="15" hidden="false" customHeight="false" outlineLevel="0" collapsed="false">
      <c r="A2442" s="2" t="s">
        <v>1688</v>
      </c>
      <c r="B2442" s="2" t="s">
        <v>4291</v>
      </c>
      <c r="C2442" s="2" t="s">
        <v>4274</v>
      </c>
      <c r="D2442" s="2"/>
      <c r="E2442" s="31" t="n">
        <v>71.5</v>
      </c>
      <c r="F2442" s="31" t="n">
        <v>18</v>
      </c>
      <c r="G2442" s="31" t="n">
        <v>61.4</v>
      </c>
      <c r="H2442" s="2" t="s">
        <v>832</v>
      </c>
    </row>
    <row r="2443" customFormat="false" ht="15" hidden="false" customHeight="false" outlineLevel="0" collapsed="false">
      <c r="A2443" s="2" t="s">
        <v>1688</v>
      </c>
      <c r="B2443" s="2" t="s">
        <v>4291</v>
      </c>
      <c r="C2443" s="2" t="s">
        <v>4275</v>
      </c>
      <c r="D2443" s="2"/>
      <c r="E2443" s="31" t="n">
        <v>65.6</v>
      </c>
      <c r="F2443" s="31" t="n">
        <v>30.7</v>
      </c>
      <c r="G2443" s="31" t="n">
        <v>50.1</v>
      </c>
      <c r="H2443" s="2" t="s">
        <v>832</v>
      </c>
    </row>
    <row r="2444" customFormat="false" ht="15" hidden="false" customHeight="false" outlineLevel="0" collapsed="false">
      <c r="A2444" s="2" t="s">
        <v>1688</v>
      </c>
      <c r="B2444" s="2" t="s">
        <v>45</v>
      </c>
      <c r="C2444" s="2" t="s">
        <v>4274</v>
      </c>
      <c r="D2444" s="11" t="n">
        <v>2418250</v>
      </c>
      <c r="E2444" s="31" t="n">
        <v>88.1</v>
      </c>
      <c r="F2444" s="31" t="n">
        <v>14.3</v>
      </c>
      <c r="G2444" s="2"/>
      <c r="H2444" s="2" t="s">
        <v>832</v>
      </c>
    </row>
    <row r="2445" customFormat="false" ht="15" hidden="false" customHeight="false" outlineLevel="0" collapsed="false">
      <c r="A2445" s="2" t="s">
        <v>1688</v>
      </c>
      <c r="B2445" s="2" t="s">
        <v>45</v>
      </c>
      <c r="C2445" s="2" t="s">
        <v>4275</v>
      </c>
      <c r="D2445" s="11" t="n">
        <v>2471390</v>
      </c>
      <c r="E2445" s="2"/>
      <c r="F2445" s="31" t="n">
        <v>35.3</v>
      </c>
      <c r="G2445" s="31" t="n">
        <v>46.9</v>
      </c>
      <c r="H2445" s="2" t="s">
        <v>832</v>
      </c>
    </row>
    <row r="2446" customFormat="false" ht="15" hidden="false" customHeight="false" outlineLevel="0" collapsed="false">
      <c r="A2446" s="2" t="s">
        <v>1688</v>
      </c>
      <c r="B2446" s="2" t="s">
        <v>46</v>
      </c>
      <c r="C2446" s="2" t="s">
        <v>4274</v>
      </c>
      <c r="D2446" s="11" t="n">
        <v>39580</v>
      </c>
      <c r="E2446" s="31" t="n">
        <v>67.5</v>
      </c>
      <c r="F2446" s="31" t="n">
        <v>1.5</v>
      </c>
      <c r="G2446" s="31" t="n">
        <v>42.7</v>
      </c>
      <c r="H2446" s="2" t="s">
        <v>822</v>
      </c>
    </row>
    <row r="2447" customFormat="false" ht="15" hidden="false" customHeight="false" outlineLevel="0" collapsed="false">
      <c r="A2447" s="2" t="s">
        <v>1688</v>
      </c>
      <c r="B2447" s="2" t="s">
        <v>46</v>
      </c>
      <c r="C2447" s="2" t="s">
        <v>4275</v>
      </c>
      <c r="D2447" s="11" t="n">
        <v>38800</v>
      </c>
      <c r="E2447" s="31" t="n">
        <v>85.9</v>
      </c>
      <c r="F2447" s="31" t="n">
        <v>5.8</v>
      </c>
      <c r="G2447" s="31" t="n">
        <v>31.6</v>
      </c>
      <c r="H2447" s="2" t="s">
        <v>822</v>
      </c>
    </row>
    <row r="2448" customFormat="false" ht="15" hidden="false" customHeight="false" outlineLevel="0" collapsed="false">
      <c r="A2448" s="2" t="s">
        <v>1688</v>
      </c>
      <c r="B2448" s="2" t="s">
        <v>47</v>
      </c>
      <c r="C2448" s="2" t="s">
        <v>4274</v>
      </c>
      <c r="D2448" s="11" t="n">
        <v>272556</v>
      </c>
      <c r="E2448" s="31" t="n">
        <v>59</v>
      </c>
      <c r="F2448" s="31" t="n">
        <v>38.3</v>
      </c>
      <c r="G2448" s="31" t="n">
        <v>80.2</v>
      </c>
      <c r="H2448" s="2" t="s">
        <v>822</v>
      </c>
    </row>
    <row r="2449" customFormat="false" ht="15" hidden="false" customHeight="false" outlineLevel="0" collapsed="false">
      <c r="A2449" s="2" t="s">
        <v>1688</v>
      </c>
      <c r="B2449" s="2" t="s">
        <v>47</v>
      </c>
      <c r="C2449" s="2" t="s">
        <v>4275</v>
      </c>
      <c r="D2449" s="11" t="n">
        <v>281229</v>
      </c>
      <c r="E2449" s="31" t="n">
        <v>45.3</v>
      </c>
      <c r="F2449" s="31" t="n">
        <v>50.9</v>
      </c>
      <c r="G2449" s="31" t="n">
        <v>71.9</v>
      </c>
      <c r="H2449" s="2" t="s">
        <v>822</v>
      </c>
    </row>
    <row r="2450" customFormat="false" ht="15" hidden="false" customHeight="false" outlineLevel="0" collapsed="false">
      <c r="A2450" s="2" t="s">
        <v>1260</v>
      </c>
      <c r="B2450" s="2" t="s">
        <v>4291</v>
      </c>
      <c r="C2450" s="2" t="s">
        <v>4274</v>
      </c>
      <c r="D2450" s="2"/>
      <c r="E2450" s="31" t="n">
        <v>63.8</v>
      </c>
      <c r="F2450" s="31" t="n">
        <v>50.9</v>
      </c>
      <c r="G2450" s="31" t="n">
        <v>68.5</v>
      </c>
      <c r="H2450" s="2" t="s">
        <v>822</v>
      </c>
    </row>
    <row r="2451" customFormat="false" ht="15" hidden="false" customHeight="false" outlineLevel="0" collapsed="false">
      <c r="A2451" s="2" t="s">
        <v>1260</v>
      </c>
      <c r="B2451" s="2" t="s">
        <v>4291</v>
      </c>
      <c r="C2451" s="2" t="s">
        <v>4275</v>
      </c>
      <c r="D2451" s="2"/>
      <c r="E2451" s="31" t="n">
        <v>59.2</v>
      </c>
      <c r="F2451" s="31" t="n">
        <v>40.4</v>
      </c>
      <c r="G2451" s="31" t="n">
        <v>59</v>
      </c>
      <c r="H2451" s="2" t="s">
        <v>832</v>
      </c>
    </row>
    <row r="2452" customFormat="false" ht="15" hidden="false" customHeight="false" outlineLevel="0" collapsed="false">
      <c r="A2452" s="2" t="s">
        <v>1260</v>
      </c>
      <c r="B2452" s="2" t="s">
        <v>45</v>
      </c>
      <c r="C2452" s="2" t="s">
        <v>4274</v>
      </c>
      <c r="D2452" s="11" t="n">
        <v>101740</v>
      </c>
      <c r="E2452" s="31" t="n">
        <v>62.6</v>
      </c>
      <c r="F2452" s="31" t="n">
        <v>38.4</v>
      </c>
      <c r="G2452" s="31" t="n">
        <v>59.3</v>
      </c>
      <c r="H2452" s="2" t="s">
        <v>822</v>
      </c>
    </row>
    <row r="2453" customFormat="false" ht="15" hidden="false" customHeight="false" outlineLevel="0" collapsed="false">
      <c r="A2453" s="2" t="s">
        <v>1260</v>
      </c>
      <c r="B2453" s="2" t="s">
        <v>45</v>
      </c>
      <c r="C2453" s="2" t="s">
        <v>4275</v>
      </c>
      <c r="D2453" s="11" t="n">
        <v>104370</v>
      </c>
      <c r="E2453" s="31" t="n">
        <v>45.7</v>
      </c>
      <c r="F2453" s="31" t="n">
        <v>4.3</v>
      </c>
      <c r="G2453" s="31" t="n">
        <v>45.2</v>
      </c>
      <c r="H2453" s="2" t="s">
        <v>822</v>
      </c>
    </row>
    <row r="2454" customFormat="false" ht="15" hidden="false" customHeight="false" outlineLevel="0" collapsed="false">
      <c r="A2454" s="2" t="s">
        <v>1260</v>
      </c>
      <c r="B2454" s="2" t="s">
        <v>46</v>
      </c>
      <c r="C2454" s="2" t="s">
        <v>4274</v>
      </c>
      <c r="D2454" s="11" t="n">
        <v>199535</v>
      </c>
      <c r="E2454" s="31" t="n">
        <v>70.6</v>
      </c>
      <c r="F2454" s="31" t="n">
        <v>27.6</v>
      </c>
      <c r="G2454" s="31" t="n">
        <v>90</v>
      </c>
      <c r="H2454" s="2" t="s">
        <v>822</v>
      </c>
    </row>
    <row r="2455" customFormat="false" ht="15" hidden="false" customHeight="false" outlineLevel="0" collapsed="false">
      <c r="A2455" s="2" t="s">
        <v>1260</v>
      </c>
      <c r="B2455" s="2" t="s">
        <v>46</v>
      </c>
      <c r="C2455" s="2" t="s">
        <v>4275</v>
      </c>
      <c r="D2455" s="11" t="n">
        <v>196900</v>
      </c>
      <c r="E2455" s="31" t="n">
        <v>59.7</v>
      </c>
      <c r="F2455" s="31" t="n">
        <v>31.8</v>
      </c>
      <c r="G2455" s="2"/>
      <c r="H2455" s="2" t="s">
        <v>832</v>
      </c>
    </row>
    <row r="2456" customFormat="false" ht="15" hidden="false" customHeight="false" outlineLevel="0" collapsed="false">
      <c r="A2456" s="2" t="s">
        <v>1260</v>
      </c>
      <c r="B2456" s="2" t="s">
        <v>47</v>
      </c>
      <c r="C2456" s="2" t="s">
        <v>4274</v>
      </c>
      <c r="D2456" s="11" t="n">
        <v>11552</v>
      </c>
      <c r="E2456" s="31" t="n">
        <v>58.3</v>
      </c>
      <c r="F2456" s="31" t="n">
        <v>86.6</v>
      </c>
      <c r="G2456" s="31" t="n">
        <v>56.1</v>
      </c>
      <c r="H2456" s="2" t="s">
        <v>822</v>
      </c>
    </row>
    <row r="2457" customFormat="false" ht="15" hidden="false" customHeight="false" outlineLevel="0" collapsed="false">
      <c r="A2457" s="2" t="s">
        <v>1260</v>
      </c>
      <c r="B2457" s="2" t="s">
        <v>47</v>
      </c>
      <c r="C2457" s="2" t="s">
        <v>4275</v>
      </c>
      <c r="D2457" s="11" t="n">
        <v>12520</v>
      </c>
      <c r="E2457" s="31" t="n">
        <v>72.1</v>
      </c>
      <c r="F2457" s="31" t="n">
        <v>85.1</v>
      </c>
      <c r="G2457" s="31" t="n">
        <v>72.9</v>
      </c>
      <c r="H2457" s="2" t="s">
        <v>822</v>
      </c>
    </row>
    <row r="2458" customFormat="false" ht="15" hidden="false" customHeight="false" outlineLevel="0" collapsed="false">
      <c r="A2458" s="2" t="s">
        <v>718</v>
      </c>
      <c r="B2458" s="2" t="s">
        <v>4291</v>
      </c>
      <c r="C2458" s="2" t="s">
        <v>4274</v>
      </c>
      <c r="D2458" s="2"/>
      <c r="E2458" s="31" t="n">
        <v>31.6</v>
      </c>
      <c r="F2458" s="31" t="n">
        <v>45.8</v>
      </c>
      <c r="G2458" s="31" t="n">
        <v>38.7</v>
      </c>
      <c r="H2458" s="2" t="s">
        <v>822</v>
      </c>
    </row>
    <row r="2459" customFormat="false" ht="15" hidden="false" customHeight="false" outlineLevel="0" collapsed="false">
      <c r="A2459" s="2" t="s">
        <v>718</v>
      </c>
      <c r="B2459" s="2" t="s">
        <v>4291</v>
      </c>
      <c r="C2459" s="2" t="s">
        <v>4275</v>
      </c>
      <c r="D2459" s="2"/>
      <c r="E2459" s="31" t="n">
        <v>26.5</v>
      </c>
      <c r="F2459" s="31" t="n">
        <v>41.8</v>
      </c>
      <c r="G2459" s="31" t="n">
        <v>34.2</v>
      </c>
      <c r="H2459" s="2" t="s">
        <v>822</v>
      </c>
    </row>
    <row r="2460" customFormat="false" ht="15" hidden="false" customHeight="false" outlineLevel="0" collapsed="false">
      <c r="A2460" s="2" t="s">
        <v>718</v>
      </c>
      <c r="B2460" s="2" t="s">
        <v>45</v>
      </c>
      <c r="C2460" s="2" t="s">
        <v>4274</v>
      </c>
      <c r="D2460" s="11" t="n">
        <v>570300</v>
      </c>
      <c r="E2460" s="31" t="n">
        <v>58.1</v>
      </c>
      <c r="F2460" s="31" t="n">
        <v>66.4</v>
      </c>
      <c r="G2460" s="31" t="n">
        <v>55.4</v>
      </c>
      <c r="H2460" s="2" t="s">
        <v>822</v>
      </c>
    </row>
    <row r="2461" customFormat="false" ht="15" hidden="false" customHeight="false" outlineLevel="0" collapsed="false">
      <c r="A2461" s="2" t="s">
        <v>718</v>
      </c>
      <c r="B2461" s="2" t="s">
        <v>45</v>
      </c>
      <c r="C2461" s="2" t="s">
        <v>4275</v>
      </c>
      <c r="D2461" s="11" t="n">
        <v>605680</v>
      </c>
      <c r="E2461" s="31" t="n">
        <v>44.6</v>
      </c>
      <c r="F2461" s="31" t="n">
        <v>58.6</v>
      </c>
      <c r="G2461" s="31" t="n">
        <v>28.9</v>
      </c>
      <c r="H2461" s="2" t="s">
        <v>822</v>
      </c>
    </row>
    <row r="2462" customFormat="false" ht="15" hidden="false" customHeight="false" outlineLevel="0" collapsed="false">
      <c r="A2462" s="2" t="s">
        <v>718</v>
      </c>
      <c r="B2462" s="2" t="s">
        <v>46</v>
      </c>
      <c r="C2462" s="2" t="s">
        <v>4274</v>
      </c>
      <c r="D2462" s="11" t="n">
        <v>73661</v>
      </c>
      <c r="E2462" s="31" t="n">
        <v>4.3</v>
      </c>
      <c r="F2462" s="31" t="n">
        <v>6.7</v>
      </c>
      <c r="G2462" s="31" t="n">
        <v>8.4</v>
      </c>
      <c r="H2462" s="2" t="s">
        <v>822</v>
      </c>
    </row>
    <row r="2463" customFormat="false" ht="15" hidden="false" customHeight="false" outlineLevel="0" collapsed="false">
      <c r="A2463" s="2" t="s">
        <v>718</v>
      </c>
      <c r="B2463" s="2" t="s">
        <v>46</v>
      </c>
      <c r="C2463" s="2" t="s">
        <v>4275</v>
      </c>
      <c r="D2463" s="11" t="n">
        <v>71360</v>
      </c>
      <c r="E2463" s="31" t="n">
        <v>15.3</v>
      </c>
      <c r="F2463" s="31" t="n">
        <v>12</v>
      </c>
      <c r="G2463" s="31" t="n">
        <v>20.5</v>
      </c>
      <c r="H2463" s="2" t="s">
        <v>822</v>
      </c>
    </row>
    <row r="2464" customFormat="false" ht="15" hidden="false" customHeight="false" outlineLevel="0" collapsed="false">
      <c r="A2464" s="2" t="s">
        <v>718</v>
      </c>
      <c r="B2464" s="2" t="s">
        <v>47</v>
      </c>
      <c r="C2464" s="2" t="s">
        <v>4274</v>
      </c>
      <c r="D2464" s="11" t="n">
        <v>265652</v>
      </c>
      <c r="E2464" s="31" t="n">
        <v>32.4</v>
      </c>
      <c r="F2464" s="31" t="n">
        <v>64.2</v>
      </c>
      <c r="G2464" s="31" t="n">
        <v>52.2</v>
      </c>
      <c r="H2464" s="2" t="s">
        <v>822</v>
      </c>
    </row>
    <row r="2465" customFormat="false" ht="15" hidden="false" customHeight="false" outlineLevel="0" collapsed="false">
      <c r="A2465" s="2" t="s">
        <v>718</v>
      </c>
      <c r="B2465" s="2" t="s">
        <v>47</v>
      </c>
      <c r="C2465" s="2" t="s">
        <v>4275</v>
      </c>
      <c r="D2465" s="11" t="n">
        <v>272790</v>
      </c>
      <c r="E2465" s="31" t="n">
        <v>19.6</v>
      </c>
      <c r="F2465" s="31" t="n">
        <v>54.7</v>
      </c>
      <c r="G2465" s="31" t="n">
        <v>53.2</v>
      </c>
      <c r="H2465" s="2" t="s">
        <v>822</v>
      </c>
    </row>
    <row r="2466" customFormat="false" ht="15" hidden="false" customHeight="false" outlineLevel="0" collapsed="false">
      <c r="A2466" s="2" t="s">
        <v>1071</v>
      </c>
      <c r="B2466" s="2" t="s">
        <v>4291</v>
      </c>
      <c r="C2466" s="2" t="s">
        <v>4274</v>
      </c>
      <c r="D2466" s="2"/>
      <c r="E2466" s="31" t="n">
        <v>63.4</v>
      </c>
      <c r="F2466" s="31" t="n">
        <v>84.2</v>
      </c>
      <c r="G2466" s="31" t="n">
        <v>95.6</v>
      </c>
      <c r="H2466" s="2" t="s">
        <v>832</v>
      </c>
    </row>
    <row r="2467" customFormat="false" ht="15" hidden="false" customHeight="false" outlineLevel="0" collapsed="false">
      <c r="A2467" s="2" t="s">
        <v>1071</v>
      </c>
      <c r="B2467" s="2" t="s">
        <v>4291</v>
      </c>
      <c r="C2467" s="2" t="s">
        <v>4275</v>
      </c>
      <c r="D2467" s="2"/>
      <c r="E2467" s="31" t="n">
        <v>54.8</v>
      </c>
      <c r="F2467" s="31" t="n">
        <v>89</v>
      </c>
      <c r="G2467" s="31" t="n">
        <v>51.7</v>
      </c>
      <c r="H2467" s="2" t="s">
        <v>832</v>
      </c>
    </row>
    <row r="2468" customFormat="false" ht="15" hidden="false" customHeight="false" outlineLevel="0" collapsed="false">
      <c r="A2468" s="2" t="s">
        <v>1071</v>
      </c>
      <c r="B2468" s="2" t="s">
        <v>45</v>
      </c>
      <c r="C2468" s="2" t="s">
        <v>4274</v>
      </c>
      <c r="D2468" s="11" t="n">
        <v>186517</v>
      </c>
      <c r="E2468" s="31" t="n">
        <v>82.7</v>
      </c>
      <c r="F2468" s="31" t="n">
        <v>87</v>
      </c>
      <c r="G2468" s="31" t="n">
        <v>95.6</v>
      </c>
      <c r="H2468" s="2" t="s">
        <v>822</v>
      </c>
    </row>
    <row r="2469" customFormat="false" ht="15" hidden="false" customHeight="false" outlineLevel="0" collapsed="false">
      <c r="A2469" s="2" t="s">
        <v>1071</v>
      </c>
      <c r="B2469" s="2" t="s">
        <v>45</v>
      </c>
      <c r="C2469" s="2" t="s">
        <v>4275</v>
      </c>
      <c r="D2469" s="11" t="n">
        <v>197840</v>
      </c>
      <c r="E2469" s="31" t="n">
        <v>70.1</v>
      </c>
      <c r="F2469" s="31" t="n">
        <v>94.3</v>
      </c>
      <c r="G2469" s="31" t="n">
        <v>90.7</v>
      </c>
      <c r="H2469" s="2" t="s">
        <v>822</v>
      </c>
    </row>
    <row r="2470" customFormat="false" ht="15" hidden="false" customHeight="false" outlineLevel="0" collapsed="false">
      <c r="A2470" s="2" t="s">
        <v>1071</v>
      </c>
      <c r="B2470" s="2" t="s">
        <v>46</v>
      </c>
      <c r="C2470" s="2" t="s">
        <v>4274</v>
      </c>
      <c r="D2470" s="11" t="n">
        <v>105990</v>
      </c>
      <c r="E2470" s="31" t="n">
        <v>44</v>
      </c>
      <c r="F2470" s="31" t="n">
        <v>81.4</v>
      </c>
      <c r="G2470" s="2"/>
      <c r="H2470" s="2" t="s">
        <v>832</v>
      </c>
    </row>
    <row r="2471" customFormat="false" ht="15" hidden="false" customHeight="false" outlineLevel="0" collapsed="false">
      <c r="A2471" s="2" t="s">
        <v>1071</v>
      </c>
      <c r="B2471" s="2" t="s">
        <v>46</v>
      </c>
      <c r="C2471" s="2" t="s">
        <v>4275</v>
      </c>
      <c r="D2471" s="11" t="n">
        <v>107090</v>
      </c>
      <c r="E2471" s="31" t="n">
        <v>36.5</v>
      </c>
      <c r="F2471" s="2"/>
      <c r="G2471" s="31" t="n">
        <v>46.4</v>
      </c>
      <c r="H2471" s="2" t="s">
        <v>832</v>
      </c>
    </row>
    <row r="2472" customFormat="false" ht="15" hidden="false" customHeight="false" outlineLevel="0" collapsed="false">
      <c r="A2472" s="2" t="s">
        <v>1071</v>
      </c>
      <c r="B2472" s="2" t="s">
        <v>47</v>
      </c>
      <c r="C2472" s="2" t="s">
        <v>4274</v>
      </c>
      <c r="D2472" s="2"/>
      <c r="E2472" s="2"/>
      <c r="F2472" s="2"/>
      <c r="G2472" s="2"/>
      <c r="H2472" s="2" t="s">
        <v>832</v>
      </c>
    </row>
    <row r="2473" customFormat="false" ht="15" hidden="false" customHeight="false" outlineLevel="0" collapsed="false">
      <c r="A2473" s="2" t="s">
        <v>1071</v>
      </c>
      <c r="B2473" s="2" t="s">
        <v>47</v>
      </c>
      <c r="C2473" s="2" t="s">
        <v>4275</v>
      </c>
      <c r="D2473" s="11" t="n">
        <v>58586</v>
      </c>
      <c r="E2473" s="31" t="n">
        <v>57.8</v>
      </c>
      <c r="F2473" s="31" t="n">
        <v>83.8</v>
      </c>
      <c r="G2473" s="31" t="n">
        <v>18.1</v>
      </c>
      <c r="H2473" s="2" t="s">
        <v>822</v>
      </c>
    </row>
    <row r="2474" customFormat="false" ht="15" hidden="false" customHeight="false" outlineLevel="0" collapsed="false">
      <c r="A2474" s="2" t="s">
        <v>1499</v>
      </c>
      <c r="B2474" s="2" t="s">
        <v>4291</v>
      </c>
      <c r="C2474" s="2" t="s">
        <v>4274</v>
      </c>
      <c r="D2474" s="2"/>
      <c r="E2474" s="31" t="n">
        <v>56.9</v>
      </c>
      <c r="F2474" s="31" t="n">
        <v>56.4</v>
      </c>
      <c r="G2474" s="31" t="n">
        <v>50.6</v>
      </c>
      <c r="H2474" s="2" t="s">
        <v>822</v>
      </c>
    </row>
    <row r="2475" customFormat="false" ht="15" hidden="false" customHeight="false" outlineLevel="0" collapsed="false">
      <c r="A2475" s="2" t="s">
        <v>1499</v>
      </c>
      <c r="B2475" s="2" t="s">
        <v>4291</v>
      </c>
      <c r="C2475" s="2" t="s">
        <v>4275</v>
      </c>
      <c r="D2475" s="2"/>
      <c r="E2475" s="31" t="n">
        <v>51.7</v>
      </c>
      <c r="F2475" s="31" t="n">
        <v>80</v>
      </c>
      <c r="G2475" s="31" t="n">
        <v>53</v>
      </c>
      <c r="H2475" s="2" t="s">
        <v>832</v>
      </c>
    </row>
    <row r="2476" customFormat="false" ht="15" hidden="false" customHeight="false" outlineLevel="0" collapsed="false">
      <c r="A2476" s="2" t="s">
        <v>1499</v>
      </c>
      <c r="B2476" s="2" t="s">
        <v>45</v>
      </c>
      <c r="C2476" s="2" t="s">
        <v>4274</v>
      </c>
      <c r="D2476" s="11" t="n">
        <v>124040</v>
      </c>
      <c r="E2476" s="31" t="n">
        <v>39.9</v>
      </c>
      <c r="F2476" s="31" t="n">
        <v>90.4</v>
      </c>
      <c r="G2476" s="31" t="n">
        <v>54.1</v>
      </c>
      <c r="H2476" s="2" t="s">
        <v>822</v>
      </c>
    </row>
    <row r="2477" customFormat="false" ht="15" hidden="false" customHeight="false" outlineLevel="0" collapsed="false">
      <c r="A2477" s="2" t="s">
        <v>1499</v>
      </c>
      <c r="B2477" s="2" t="s">
        <v>45</v>
      </c>
      <c r="C2477" s="2" t="s">
        <v>4275</v>
      </c>
      <c r="D2477" s="11" t="n">
        <v>132460</v>
      </c>
      <c r="E2477" s="31" t="n">
        <v>13.4</v>
      </c>
      <c r="F2477" s="31" t="n">
        <v>78.6</v>
      </c>
      <c r="G2477" s="31" t="n">
        <v>34.7</v>
      </c>
      <c r="H2477" s="2" t="s">
        <v>822</v>
      </c>
    </row>
    <row r="2478" customFormat="false" ht="15" hidden="false" customHeight="false" outlineLevel="0" collapsed="false">
      <c r="A2478" s="2" t="s">
        <v>1499</v>
      </c>
      <c r="B2478" s="2" t="s">
        <v>46</v>
      </c>
      <c r="C2478" s="2" t="s">
        <v>4274</v>
      </c>
      <c r="D2478" s="11" t="n">
        <v>11841</v>
      </c>
      <c r="E2478" s="31" t="n">
        <v>80.4</v>
      </c>
      <c r="F2478" s="31" t="n">
        <v>26.2</v>
      </c>
      <c r="G2478" s="31" t="n">
        <v>85.8</v>
      </c>
      <c r="H2478" s="2" t="s">
        <v>822</v>
      </c>
    </row>
    <row r="2479" customFormat="false" ht="15" hidden="false" customHeight="false" outlineLevel="0" collapsed="false">
      <c r="A2479" s="2" t="s">
        <v>1499</v>
      </c>
      <c r="B2479" s="2" t="s">
        <v>46</v>
      </c>
      <c r="C2479" s="2" t="s">
        <v>4275</v>
      </c>
      <c r="D2479" s="11" t="n">
        <v>11660</v>
      </c>
      <c r="E2479" s="31" t="n">
        <v>77.2</v>
      </c>
      <c r="F2479" s="2"/>
      <c r="G2479" s="2"/>
      <c r="H2479" s="2" t="s">
        <v>832</v>
      </c>
    </row>
    <row r="2480" customFormat="false" ht="15" hidden="false" customHeight="false" outlineLevel="0" collapsed="false">
      <c r="A2480" s="2" t="s">
        <v>1499</v>
      </c>
      <c r="B2480" s="2" t="s">
        <v>47</v>
      </c>
      <c r="C2480" s="2" t="s">
        <v>4274</v>
      </c>
      <c r="D2480" s="11" t="n">
        <v>53303</v>
      </c>
      <c r="E2480" s="31" t="n">
        <v>50.5</v>
      </c>
      <c r="F2480" s="31" t="n">
        <v>52.6</v>
      </c>
      <c r="G2480" s="31" t="n">
        <v>11.8</v>
      </c>
      <c r="H2480" s="2" t="s">
        <v>822</v>
      </c>
    </row>
    <row r="2481" customFormat="false" ht="15" hidden="false" customHeight="false" outlineLevel="0" collapsed="false">
      <c r="A2481" s="2" t="s">
        <v>1499</v>
      </c>
      <c r="B2481" s="2" t="s">
        <v>47</v>
      </c>
      <c r="C2481" s="2" t="s">
        <v>4275</v>
      </c>
      <c r="D2481" s="11" t="n">
        <v>56529</v>
      </c>
      <c r="E2481" s="31" t="n">
        <v>64.6</v>
      </c>
      <c r="F2481" s="31" t="n">
        <v>81.5</v>
      </c>
      <c r="G2481" s="31" t="n">
        <v>71.3</v>
      </c>
      <c r="H2481" s="2" t="s">
        <v>822</v>
      </c>
    </row>
    <row r="2482" customFormat="false" ht="15" hidden="false" customHeight="false" outlineLevel="0" collapsed="false">
      <c r="A2482" s="2" t="s">
        <v>1034</v>
      </c>
      <c r="B2482" s="2" t="s">
        <v>4291</v>
      </c>
      <c r="C2482" s="2" t="s">
        <v>4274</v>
      </c>
      <c r="D2482" s="2"/>
      <c r="E2482" s="31" t="n">
        <v>77.3</v>
      </c>
      <c r="F2482" s="31" t="n">
        <v>61.4</v>
      </c>
      <c r="G2482" s="31" t="n">
        <v>38</v>
      </c>
      <c r="H2482" s="2" t="s">
        <v>822</v>
      </c>
    </row>
    <row r="2483" customFormat="false" ht="15" hidden="false" customHeight="false" outlineLevel="0" collapsed="false">
      <c r="A2483" s="2" t="s">
        <v>1034</v>
      </c>
      <c r="B2483" s="2" t="s">
        <v>4291</v>
      </c>
      <c r="C2483" s="2" t="s">
        <v>4275</v>
      </c>
      <c r="D2483" s="2"/>
      <c r="E2483" s="31" t="n">
        <v>72.4</v>
      </c>
      <c r="F2483" s="31" t="n">
        <v>75.8</v>
      </c>
      <c r="G2483" s="31" t="n">
        <v>44.8</v>
      </c>
      <c r="H2483" s="2" t="s">
        <v>832</v>
      </c>
    </row>
    <row r="2484" customFormat="false" ht="15" hidden="false" customHeight="false" outlineLevel="0" collapsed="false">
      <c r="A2484" s="2" t="s">
        <v>1034</v>
      </c>
      <c r="B2484" s="2" t="s">
        <v>45</v>
      </c>
      <c r="C2484" s="2" t="s">
        <v>4274</v>
      </c>
      <c r="D2484" s="11" t="n">
        <v>18117</v>
      </c>
      <c r="E2484" s="31" t="n">
        <v>87.5</v>
      </c>
      <c r="F2484" s="31" t="n">
        <v>35.4</v>
      </c>
      <c r="G2484" s="2"/>
      <c r="H2484" s="2" t="s">
        <v>822</v>
      </c>
    </row>
    <row r="2485" customFormat="false" ht="15" hidden="false" customHeight="false" outlineLevel="0" collapsed="false">
      <c r="A2485" s="2" t="s">
        <v>1034</v>
      </c>
      <c r="B2485" s="2" t="s">
        <v>45</v>
      </c>
      <c r="C2485" s="2" t="s">
        <v>4275</v>
      </c>
      <c r="D2485" s="11" t="n">
        <v>18440</v>
      </c>
      <c r="E2485" s="31" t="n">
        <v>75</v>
      </c>
      <c r="F2485" s="31" t="n">
        <v>58.8</v>
      </c>
      <c r="G2485" s="2"/>
      <c r="H2485" s="2" t="s">
        <v>822</v>
      </c>
    </row>
    <row r="2486" customFormat="false" ht="15" hidden="false" customHeight="false" outlineLevel="0" collapsed="false">
      <c r="A2486" s="2" t="s">
        <v>1034</v>
      </c>
      <c r="B2486" s="2" t="s">
        <v>46</v>
      </c>
      <c r="C2486" s="2" t="s">
        <v>4274</v>
      </c>
      <c r="D2486" s="11" t="n">
        <v>422550</v>
      </c>
      <c r="E2486" s="31" t="n">
        <v>49.5</v>
      </c>
      <c r="F2486" s="31" t="n">
        <v>48.7</v>
      </c>
      <c r="G2486" s="31" t="n">
        <v>41.3</v>
      </c>
      <c r="H2486" s="2" t="s">
        <v>822</v>
      </c>
    </row>
    <row r="2487" customFormat="false" ht="15" hidden="false" customHeight="false" outlineLevel="0" collapsed="false">
      <c r="A2487" s="2" t="s">
        <v>1034</v>
      </c>
      <c r="B2487" s="2" t="s">
        <v>46</v>
      </c>
      <c r="C2487" s="2" t="s">
        <v>4275</v>
      </c>
      <c r="D2487" s="2"/>
      <c r="E2487" s="2"/>
      <c r="F2487" s="2"/>
      <c r="G2487" s="2"/>
      <c r="H2487" s="2" t="s">
        <v>832</v>
      </c>
    </row>
    <row r="2488" customFormat="false" ht="15" hidden="false" customHeight="false" outlineLevel="0" collapsed="false">
      <c r="A2488" s="2" t="s">
        <v>1034</v>
      </c>
      <c r="B2488" s="2" t="s">
        <v>47</v>
      </c>
      <c r="C2488" s="2" t="s">
        <v>4274</v>
      </c>
      <c r="D2488" s="11" t="n">
        <v>46781</v>
      </c>
      <c r="E2488" s="31" t="n">
        <v>94.8</v>
      </c>
      <c r="F2488" s="31" t="n">
        <v>100</v>
      </c>
      <c r="G2488" s="31" t="n">
        <v>34.7</v>
      </c>
      <c r="H2488" s="2" t="s">
        <v>822</v>
      </c>
    </row>
    <row r="2489" customFormat="false" ht="15" hidden="false" customHeight="false" outlineLevel="0" collapsed="false">
      <c r="A2489" s="2" t="s">
        <v>1034</v>
      </c>
      <c r="B2489" s="2" t="s">
        <v>47</v>
      </c>
      <c r="C2489" s="2" t="s">
        <v>4275</v>
      </c>
      <c r="D2489" s="11" t="n">
        <v>93218</v>
      </c>
      <c r="E2489" s="31" t="n">
        <v>69.7</v>
      </c>
      <c r="F2489" s="31" t="n">
        <v>92.9</v>
      </c>
      <c r="G2489" s="31" t="n">
        <v>44.8</v>
      </c>
      <c r="H2489" s="2" t="s">
        <v>822</v>
      </c>
    </row>
    <row r="2490" customFormat="false" ht="15" hidden="false" customHeight="false" outlineLevel="0" collapsed="false">
      <c r="A2490" s="2" t="s">
        <v>2288</v>
      </c>
      <c r="B2490" s="2" t="s">
        <v>4291</v>
      </c>
      <c r="C2490" s="2" t="s">
        <v>4274</v>
      </c>
      <c r="D2490" s="2"/>
      <c r="E2490" s="31" t="n">
        <v>66</v>
      </c>
      <c r="F2490" s="31" t="n">
        <v>100</v>
      </c>
      <c r="G2490" s="31" t="n">
        <v>24.5</v>
      </c>
      <c r="H2490" s="2" t="s">
        <v>832</v>
      </c>
    </row>
    <row r="2491" customFormat="false" ht="15" hidden="false" customHeight="false" outlineLevel="0" collapsed="false">
      <c r="A2491" s="2" t="s">
        <v>2288</v>
      </c>
      <c r="B2491" s="2" t="s">
        <v>4291</v>
      </c>
      <c r="C2491" s="2" t="s">
        <v>4275</v>
      </c>
      <c r="D2491" s="2"/>
      <c r="E2491" s="31" t="n">
        <v>61</v>
      </c>
      <c r="F2491" s="31" t="n">
        <v>93</v>
      </c>
      <c r="G2491" s="31" t="n">
        <v>34.4</v>
      </c>
      <c r="H2491" s="2" t="s">
        <v>832</v>
      </c>
    </row>
    <row r="2492" customFormat="false" ht="15" hidden="false" customHeight="false" outlineLevel="0" collapsed="false">
      <c r="A2492" s="2" t="s">
        <v>2288</v>
      </c>
      <c r="B2492" s="2" t="s">
        <v>45</v>
      </c>
      <c r="C2492" s="2" t="s">
        <v>4274</v>
      </c>
      <c r="D2492" s="2"/>
      <c r="E2492" s="2"/>
      <c r="F2492" s="2"/>
      <c r="G2492" s="2"/>
      <c r="H2492" s="2" t="s">
        <v>832</v>
      </c>
    </row>
    <row r="2493" customFormat="false" ht="15" hidden="false" customHeight="false" outlineLevel="0" collapsed="false">
      <c r="A2493" s="2" t="s">
        <v>2288</v>
      </c>
      <c r="B2493" s="2" t="s">
        <v>45</v>
      </c>
      <c r="C2493" s="2" t="s">
        <v>4275</v>
      </c>
      <c r="D2493" s="11" t="n">
        <v>4890</v>
      </c>
      <c r="E2493" s="31" t="n">
        <v>47.3</v>
      </c>
      <c r="F2493" s="2"/>
      <c r="G2493" s="31" t="n">
        <v>56.2</v>
      </c>
      <c r="H2493" s="2" t="s">
        <v>832</v>
      </c>
    </row>
    <row r="2494" customFormat="false" ht="15" hidden="false" customHeight="false" outlineLevel="0" collapsed="false">
      <c r="A2494" s="2" t="s">
        <v>2288</v>
      </c>
      <c r="B2494" s="2" t="s">
        <v>46</v>
      </c>
      <c r="C2494" s="2" t="s">
        <v>4274</v>
      </c>
      <c r="D2494" s="11" t="n">
        <v>49093</v>
      </c>
      <c r="E2494" s="31" t="n">
        <v>59.3</v>
      </c>
      <c r="F2494" s="2"/>
      <c r="G2494" s="2"/>
      <c r="H2494" s="2" t="s">
        <v>832</v>
      </c>
    </row>
    <row r="2495" customFormat="false" ht="15" hidden="false" customHeight="false" outlineLevel="0" collapsed="false">
      <c r="A2495" s="2" t="s">
        <v>2288</v>
      </c>
      <c r="B2495" s="2" t="s">
        <v>46</v>
      </c>
      <c r="C2495" s="2" t="s">
        <v>4275</v>
      </c>
      <c r="D2495" s="11" t="n">
        <v>52700</v>
      </c>
      <c r="E2495" s="31" t="n">
        <v>46.6</v>
      </c>
      <c r="F2495" s="31" t="n">
        <v>88</v>
      </c>
      <c r="G2495" s="2"/>
      <c r="H2495" s="2" t="s">
        <v>832</v>
      </c>
    </row>
    <row r="2496" customFormat="false" ht="15" hidden="false" customHeight="false" outlineLevel="0" collapsed="false">
      <c r="A2496" s="2" t="s">
        <v>2288</v>
      </c>
      <c r="B2496" s="2" t="s">
        <v>47</v>
      </c>
      <c r="C2496" s="2" t="s">
        <v>4274</v>
      </c>
      <c r="D2496" s="11" t="n">
        <v>420846</v>
      </c>
      <c r="E2496" s="31" t="n">
        <v>72.8</v>
      </c>
      <c r="F2496" s="31" t="n">
        <v>100</v>
      </c>
      <c r="G2496" s="31" t="n">
        <v>24.5</v>
      </c>
      <c r="H2496" s="2" t="s">
        <v>822</v>
      </c>
    </row>
    <row r="2497" customFormat="false" ht="15" hidden="false" customHeight="false" outlineLevel="0" collapsed="false">
      <c r="A2497" s="2" t="s">
        <v>2288</v>
      </c>
      <c r="B2497" s="2" t="s">
        <v>47</v>
      </c>
      <c r="C2497" s="2" t="s">
        <v>4275</v>
      </c>
      <c r="D2497" s="11" t="n">
        <v>453180</v>
      </c>
      <c r="E2497" s="31" t="n">
        <v>89.2</v>
      </c>
      <c r="F2497" s="31" t="n">
        <v>98.1</v>
      </c>
      <c r="G2497" s="31" t="n">
        <v>12.5</v>
      </c>
      <c r="H2497" s="2" t="s">
        <v>822</v>
      </c>
    </row>
    <row r="2498" customFormat="false" ht="15" hidden="false" customHeight="false" outlineLevel="0" collapsed="false">
      <c r="A2498" s="2" t="s">
        <v>498</v>
      </c>
      <c r="B2498" s="2" t="s">
        <v>4291</v>
      </c>
      <c r="C2498" s="2" t="s">
        <v>4274</v>
      </c>
      <c r="D2498" s="2"/>
      <c r="E2498" s="31" t="n">
        <v>49.7</v>
      </c>
      <c r="F2498" s="31" t="n">
        <v>75.4</v>
      </c>
      <c r="G2498" s="31" t="n">
        <v>42.2</v>
      </c>
      <c r="H2498" s="2" t="s">
        <v>832</v>
      </c>
    </row>
    <row r="2499" customFormat="false" ht="15" hidden="false" customHeight="false" outlineLevel="0" collapsed="false">
      <c r="A2499" s="2" t="s">
        <v>498</v>
      </c>
      <c r="B2499" s="2" t="s">
        <v>4291</v>
      </c>
      <c r="C2499" s="2" t="s">
        <v>4275</v>
      </c>
      <c r="D2499" s="2"/>
      <c r="E2499" s="31" t="n">
        <v>48.7</v>
      </c>
      <c r="F2499" s="31" t="n">
        <v>69</v>
      </c>
      <c r="G2499" s="31" t="n">
        <v>40.7</v>
      </c>
      <c r="H2499" s="2" t="s">
        <v>822</v>
      </c>
    </row>
    <row r="2500" customFormat="false" ht="15" hidden="false" customHeight="false" outlineLevel="0" collapsed="false">
      <c r="A2500" s="2" t="s">
        <v>498</v>
      </c>
      <c r="B2500" s="2" t="s">
        <v>45</v>
      </c>
      <c r="C2500" s="2" t="s">
        <v>4274</v>
      </c>
      <c r="D2500" s="11" t="n">
        <v>8223</v>
      </c>
      <c r="E2500" s="31" t="n">
        <v>45.8</v>
      </c>
      <c r="F2500" s="31" t="n">
        <v>100</v>
      </c>
      <c r="G2500" s="2"/>
      <c r="H2500" s="2" t="s">
        <v>822</v>
      </c>
    </row>
    <row r="2501" customFormat="false" ht="15" hidden="false" customHeight="false" outlineLevel="0" collapsed="false">
      <c r="A2501" s="2" t="s">
        <v>498</v>
      </c>
      <c r="B2501" s="2" t="s">
        <v>45</v>
      </c>
      <c r="C2501" s="2" t="s">
        <v>4275</v>
      </c>
      <c r="D2501" s="11" t="n">
        <v>8910</v>
      </c>
      <c r="E2501" s="31" t="n">
        <v>37.6</v>
      </c>
      <c r="F2501" s="31" t="n">
        <v>91.5</v>
      </c>
      <c r="G2501" s="2"/>
      <c r="H2501" s="2" t="s">
        <v>822</v>
      </c>
    </row>
    <row r="2502" customFormat="false" ht="15" hidden="false" customHeight="false" outlineLevel="0" collapsed="false">
      <c r="A2502" s="2" t="s">
        <v>498</v>
      </c>
      <c r="B2502" s="2" t="s">
        <v>46</v>
      </c>
      <c r="C2502" s="2" t="s">
        <v>4274</v>
      </c>
      <c r="D2502" s="11" t="n">
        <v>4470</v>
      </c>
      <c r="E2502" s="31" t="n">
        <v>76.1</v>
      </c>
      <c r="F2502" s="31" t="n">
        <v>50.9</v>
      </c>
      <c r="G2502" s="31" t="n">
        <v>26.5</v>
      </c>
      <c r="H2502" s="2" t="s">
        <v>822</v>
      </c>
    </row>
    <row r="2503" customFormat="false" ht="15" hidden="false" customHeight="false" outlineLevel="0" collapsed="false">
      <c r="A2503" s="2" t="s">
        <v>498</v>
      </c>
      <c r="B2503" s="2" t="s">
        <v>46</v>
      </c>
      <c r="C2503" s="2" t="s">
        <v>4275</v>
      </c>
      <c r="D2503" s="11" t="n">
        <v>4580</v>
      </c>
      <c r="E2503" s="31" t="n">
        <v>89.8</v>
      </c>
      <c r="F2503" s="31" t="n">
        <v>94.3</v>
      </c>
      <c r="G2503" s="31" t="n">
        <v>51.7</v>
      </c>
      <c r="H2503" s="2" t="s">
        <v>822</v>
      </c>
    </row>
    <row r="2504" customFormat="false" ht="15" hidden="false" customHeight="false" outlineLevel="0" collapsed="false">
      <c r="A2504" s="2" t="s">
        <v>498</v>
      </c>
      <c r="B2504" s="2" t="s">
        <v>47</v>
      </c>
      <c r="C2504" s="2" t="s">
        <v>4274</v>
      </c>
      <c r="D2504" s="11" t="n">
        <v>5634</v>
      </c>
      <c r="E2504" s="31" t="n">
        <v>27.3</v>
      </c>
      <c r="F2504" s="2"/>
      <c r="G2504" s="31" t="n">
        <v>57.8</v>
      </c>
      <c r="H2504" s="2" t="s">
        <v>832</v>
      </c>
    </row>
    <row r="2505" customFormat="false" ht="15" hidden="false" customHeight="false" outlineLevel="0" collapsed="false">
      <c r="A2505" s="2" t="s">
        <v>498</v>
      </c>
      <c r="B2505" s="2" t="s">
        <v>47</v>
      </c>
      <c r="C2505" s="2" t="s">
        <v>4275</v>
      </c>
      <c r="D2505" s="11" t="n">
        <v>5617</v>
      </c>
      <c r="E2505" s="31" t="n">
        <v>18.7</v>
      </c>
      <c r="F2505" s="31" t="n">
        <v>21.2</v>
      </c>
      <c r="G2505" s="31" t="n">
        <v>29.6</v>
      </c>
      <c r="H2505" s="2" t="s">
        <v>822</v>
      </c>
    </row>
    <row r="2506" customFormat="false" ht="15" hidden="false" customHeight="false" outlineLevel="0" collapsed="false">
      <c r="A2506" s="2" t="s">
        <v>3110</v>
      </c>
      <c r="B2506" s="2" t="s">
        <v>4291</v>
      </c>
      <c r="C2506" s="2" t="s">
        <v>4274</v>
      </c>
      <c r="D2506" s="2"/>
      <c r="E2506" s="31" t="n">
        <v>32.6</v>
      </c>
      <c r="F2506" s="31" t="n">
        <v>93.4</v>
      </c>
      <c r="G2506" s="2"/>
      <c r="H2506" s="2" t="s">
        <v>822</v>
      </c>
    </row>
    <row r="2507" customFormat="false" ht="15" hidden="false" customHeight="false" outlineLevel="0" collapsed="false">
      <c r="A2507" s="2" t="s">
        <v>3110</v>
      </c>
      <c r="B2507" s="2" t="s">
        <v>4291</v>
      </c>
      <c r="C2507" s="2" t="s">
        <v>4275</v>
      </c>
      <c r="D2507" s="2"/>
      <c r="E2507" s="2"/>
      <c r="F2507" s="2"/>
      <c r="G2507" s="2"/>
      <c r="H2507" s="2" t="s">
        <v>832</v>
      </c>
    </row>
    <row r="2508" customFormat="false" ht="15" hidden="false" customHeight="false" outlineLevel="0" collapsed="false">
      <c r="A2508" s="2" t="s">
        <v>3110</v>
      </c>
      <c r="B2508" s="2" t="s">
        <v>45</v>
      </c>
      <c r="C2508" s="2" t="s">
        <v>4274</v>
      </c>
      <c r="D2508" s="11" t="n">
        <v>19050</v>
      </c>
      <c r="E2508" s="31" t="n">
        <v>32.6</v>
      </c>
      <c r="F2508" s="31" t="n">
        <v>93.4</v>
      </c>
      <c r="G2508" s="2"/>
      <c r="H2508" s="2" t="s">
        <v>822</v>
      </c>
    </row>
    <row r="2509" customFormat="false" ht="15" hidden="false" customHeight="false" outlineLevel="0" collapsed="false">
      <c r="A2509" s="2" t="s">
        <v>3110</v>
      </c>
      <c r="B2509" s="2" t="s">
        <v>45</v>
      </c>
      <c r="C2509" s="2" t="s">
        <v>4275</v>
      </c>
      <c r="D2509" s="11" t="n">
        <v>19730</v>
      </c>
      <c r="E2509" s="2"/>
      <c r="F2509" s="2"/>
      <c r="G2509" s="2"/>
      <c r="H2509" s="2" t="s">
        <v>832</v>
      </c>
    </row>
    <row r="2510" customFormat="false" ht="15" hidden="false" customHeight="false" outlineLevel="0" collapsed="false">
      <c r="A2510" s="2" t="s">
        <v>1021</v>
      </c>
      <c r="B2510" s="2" t="s">
        <v>4291</v>
      </c>
      <c r="C2510" s="2" t="s">
        <v>4274</v>
      </c>
      <c r="D2510" s="2"/>
      <c r="E2510" s="31" t="n">
        <v>25.8</v>
      </c>
      <c r="F2510" s="31" t="n">
        <v>19.9</v>
      </c>
      <c r="G2510" s="31" t="n">
        <v>66.7</v>
      </c>
      <c r="H2510" s="2" t="s">
        <v>832</v>
      </c>
    </row>
    <row r="2511" customFormat="false" ht="15" hidden="false" customHeight="false" outlineLevel="0" collapsed="false">
      <c r="A2511" s="2" t="s">
        <v>1021</v>
      </c>
      <c r="B2511" s="2" t="s">
        <v>4291</v>
      </c>
      <c r="C2511" s="2" t="s">
        <v>4275</v>
      </c>
      <c r="D2511" s="2"/>
      <c r="E2511" s="31" t="n">
        <v>39.3</v>
      </c>
      <c r="F2511" s="31" t="n">
        <v>42.7</v>
      </c>
      <c r="G2511" s="31" t="n">
        <v>78.3</v>
      </c>
      <c r="H2511" s="2" t="s">
        <v>832</v>
      </c>
    </row>
    <row r="2512" customFormat="false" ht="15" hidden="false" customHeight="false" outlineLevel="0" collapsed="false">
      <c r="A2512" s="2" t="s">
        <v>1021</v>
      </c>
      <c r="B2512" s="2" t="s">
        <v>45</v>
      </c>
      <c r="C2512" s="2" t="s">
        <v>4274</v>
      </c>
      <c r="D2512" s="2"/>
      <c r="E2512" s="2"/>
      <c r="F2512" s="2"/>
      <c r="G2512" s="31" t="n">
        <v>91</v>
      </c>
      <c r="H2512" s="2" t="s">
        <v>832</v>
      </c>
    </row>
    <row r="2513" customFormat="false" ht="15" hidden="false" customHeight="false" outlineLevel="0" collapsed="false">
      <c r="A2513" s="2" t="s">
        <v>1021</v>
      </c>
      <c r="B2513" s="2" t="s">
        <v>45</v>
      </c>
      <c r="C2513" s="2" t="s">
        <v>4275</v>
      </c>
      <c r="D2513" s="11" t="n">
        <v>28640</v>
      </c>
      <c r="E2513" s="31" t="n">
        <v>76.4</v>
      </c>
      <c r="F2513" s="31" t="n">
        <v>64.3</v>
      </c>
      <c r="G2513" s="31" t="n">
        <v>95.3</v>
      </c>
      <c r="H2513" s="2" t="s">
        <v>822</v>
      </c>
    </row>
    <row r="2514" customFormat="false" ht="15" hidden="false" customHeight="false" outlineLevel="0" collapsed="false">
      <c r="A2514" s="2" t="s">
        <v>1021</v>
      </c>
      <c r="B2514" s="2" t="s">
        <v>46</v>
      </c>
      <c r="C2514" s="2" t="s">
        <v>4274</v>
      </c>
      <c r="D2514" s="11" t="n">
        <v>88150</v>
      </c>
      <c r="E2514" s="31" t="n">
        <v>16.6</v>
      </c>
      <c r="F2514" s="31" t="n">
        <v>12</v>
      </c>
      <c r="G2514" s="31" t="n">
        <v>57.5</v>
      </c>
      <c r="H2514" s="2" t="s">
        <v>822</v>
      </c>
    </row>
    <row r="2515" customFormat="false" ht="15" hidden="false" customHeight="false" outlineLevel="0" collapsed="false">
      <c r="A2515" s="2" t="s">
        <v>1021</v>
      </c>
      <c r="B2515" s="2" t="s">
        <v>46</v>
      </c>
      <c r="C2515" s="2" t="s">
        <v>4275</v>
      </c>
      <c r="D2515" s="11" t="n">
        <v>88480</v>
      </c>
      <c r="E2515" s="31" t="n">
        <v>20</v>
      </c>
      <c r="F2515" s="31" t="n">
        <v>18.2</v>
      </c>
      <c r="G2515" s="2"/>
      <c r="H2515" s="2" t="s">
        <v>832</v>
      </c>
    </row>
    <row r="2516" customFormat="false" ht="15" hidden="false" customHeight="false" outlineLevel="0" collapsed="false">
      <c r="A2516" s="2" t="s">
        <v>1021</v>
      </c>
      <c r="B2516" s="2" t="s">
        <v>47</v>
      </c>
      <c r="C2516" s="2" t="s">
        <v>4274</v>
      </c>
      <c r="D2516" s="11" t="n">
        <v>13351</v>
      </c>
      <c r="E2516" s="31" t="n">
        <v>35.1</v>
      </c>
      <c r="F2516" s="31" t="n">
        <v>27.8</v>
      </c>
      <c r="G2516" s="31" t="n">
        <v>51.7</v>
      </c>
      <c r="H2516" s="2" t="s">
        <v>822</v>
      </c>
    </row>
    <row r="2517" customFormat="false" ht="15" hidden="false" customHeight="false" outlineLevel="0" collapsed="false">
      <c r="A2517" s="2" t="s">
        <v>1021</v>
      </c>
      <c r="B2517" s="2" t="s">
        <v>47</v>
      </c>
      <c r="C2517" s="2" t="s">
        <v>4275</v>
      </c>
      <c r="D2517" s="11" t="n">
        <v>13706</v>
      </c>
      <c r="E2517" s="31" t="n">
        <v>21.5</v>
      </c>
      <c r="F2517" s="31" t="n">
        <v>45.5</v>
      </c>
      <c r="G2517" s="31" t="n">
        <v>61.3</v>
      </c>
      <c r="H2517" s="2" t="s">
        <v>822</v>
      </c>
    </row>
    <row r="2518" customFormat="false" ht="15" hidden="false" customHeight="false" outlineLevel="0" collapsed="false">
      <c r="A2518" s="2" t="s">
        <v>875</v>
      </c>
      <c r="B2518" s="2" t="s">
        <v>4291</v>
      </c>
      <c r="C2518" s="2" t="s">
        <v>4274</v>
      </c>
      <c r="D2518" s="2"/>
      <c r="E2518" s="31" t="n">
        <v>86.2</v>
      </c>
      <c r="F2518" s="31" t="n">
        <v>82.2</v>
      </c>
      <c r="G2518" s="31" t="n">
        <v>49.8</v>
      </c>
      <c r="H2518" s="2" t="s">
        <v>832</v>
      </c>
    </row>
    <row r="2519" customFormat="false" ht="15" hidden="false" customHeight="false" outlineLevel="0" collapsed="false">
      <c r="A2519" s="2" t="s">
        <v>875</v>
      </c>
      <c r="B2519" s="2" t="s">
        <v>4291</v>
      </c>
      <c r="C2519" s="2" t="s">
        <v>4275</v>
      </c>
      <c r="D2519" s="2"/>
      <c r="E2519" s="31" t="n">
        <v>80.7</v>
      </c>
      <c r="F2519" s="31" t="n">
        <v>76</v>
      </c>
      <c r="G2519" s="31" t="n">
        <v>38.2</v>
      </c>
      <c r="H2519" s="2" t="s">
        <v>832</v>
      </c>
    </row>
    <row r="2520" customFormat="false" ht="15" hidden="false" customHeight="false" outlineLevel="0" collapsed="false">
      <c r="A2520" s="2" t="s">
        <v>875</v>
      </c>
      <c r="B2520" s="2" t="s">
        <v>45</v>
      </c>
      <c r="C2520" s="2" t="s">
        <v>4274</v>
      </c>
      <c r="D2520" s="11" t="n">
        <v>21130</v>
      </c>
      <c r="E2520" s="31" t="n">
        <v>83.2</v>
      </c>
      <c r="F2520" s="31" t="n">
        <v>66.4</v>
      </c>
      <c r="G2520" s="31" t="n">
        <v>21.2</v>
      </c>
      <c r="H2520" s="2" t="s">
        <v>832</v>
      </c>
    </row>
    <row r="2521" customFormat="false" ht="15" hidden="false" customHeight="false" outlineLevel="0" collapsed="false">
      <c r="A2521" s="2" t="s">
        <v>875</v>
      </c>
      <c r="B2521" s="2" t="s">
        <v>45</v>
      </c>
      <c r="C2521" s="2" t="s">
        <v>4275</v>
      </c>
      <c r="D2521" s="11" t="n">
        <v>21860</v>
      </c>
      <c r="E2521" s="31" t="n">
        <v>94.5</v>
      </c>
      <c r="F2521" s="31" t="n">
        <v>64.9</v>
      </c>
      <c r="G2521" s="31" t="n">
        <v>9.8</v>
      </c>
      <c r="H2521" s="2" t="s">
        <v>822</v>
      </c>
    </row>
    <row r="2522" customFormat="false" ht="15" hidden="false" customHeight="false" outlineLevel="0" collapsed="false">
      <c r="A2522" s="2" t="s">
        <v>875</v>
      </c>
      <c r="B2522" s="2" t="s">
        <v>46</v>
      </c>
      <c r="C2522" s="2" t="s">
        <v>4274</v>
      </c>
      <c r="D2522" s="11" t="n">
        <v>11380</v>
      </c>
      <c r="E2522" s="31" t="n">
        <v>82</v>
      </c>
      <c r="F2522" s="31" t="n">
        <v>86.9</v>
      </c>
      <c r="G2522" s="31" t="n">
        <v>75.3</v>
      </c>
      <c r="H2522" s="2" t="s">
        <v>822</v>
      </c>
    </row>
    <row r="2523" customFormat="false" ht="15" hidden="false" customHeight="false" outlineLevel="0" collapsed="false">
      <c r="A2523" s="2" t="s">
        <v>875</v>
      </c>
      <c r="B2523" s="2" t="s">
        <v>46</v>
      </c>
      <c r="C2523" s="2" t="s">
        <v>4275</v>
      </c>
      <c r="D2523" s="11" t="n">
        <v>12145</v>
      </c>
      <c r="E2523" s="31" t="n">
        <v>66.4</v>
      </c>
      <c r="F2523" s="31" t="n">
        <v>90.5</v>
      </c>
      <c r="G2523" s="2"/>
      <c r="H2523" s="2" t="s">
        <v>832</v>
      </c>
    </row>
    <row r="2524" customFormat="false" ht="15" hidden="false" customHeight="false" outlineLevel="0" collapsed="false">
      <c r="A2524" s="2" t="s">
        <v>875</v>
      </c>
      <c r="B2524" s="2" t="s">
        <v>47</v>
      </c>
      <c r="C2524" s="2" t="s">
        <v>4274</v>
      </c>
      <c r="D2524" s="11" t="n">
        <v>2279</v>
      </c>
      <c r="E2524" s="31" t="n">
        <v>93.3</v>
      </c>
      <c r="F2524" s="31" t="n">
        <v>93.3</v>
      </c>
      <c r="G2524" s="31" t="n">
        <v>52.9</v>
      </c>
      <c r="H2524" s="2" t="s">
        <v>822</v>
      </c>
    </row>
    <row r="2525" customFormat="false" ht="15" hidden="false" customHeight="false" outlineLevel="0" collapsed="false">
      <c r="A2525" s="2" t="s">
        <v>875</v>
      </c>
      <c r="B2525" s="2" t="s">
        <v>47</v>
      </c>
      <c r="C2525" s="2" t="s">
        <v>4275</v>
      </c>
      <c r="D2525" s="11" t="n">
        <v>2400</v>
      </c>
      <c r="E2525" s="31" t="n">
        <v>81.3</v>
      </c>
      <c r="F2525" s="31" t="n">
        <v>72.5</v>
      </c>
      <c r="G2525" s="31" t="n">
        <v>66.5</v>
      </c>
      <c r="H2525" s="2" t="s">
        <v>822</v>
      </c>
    </row>
    <row r="2526" customFormat="false" ht="15" hidden="false" customHeight="false" outlineLevel="0" collapsed="false">
      <c r="A2526" s="2" t="s">
        <v>2824</v>
      </c>
      <c r="B2526" s="2" t="s">
        <v>4291</v>
      </c>
      <c r="C2526" s="2" t="s">
        <v>4274</v>
      </c>
      <c r="D2526" s="2"/>
      <c r="E2526" s="31" t="n">
        <v>54</v>
      </c>
      <c r="F2526" s="31" t="n">
        <v>69.9</v>
      </c>
      <c r="G2526" s="31" t="n">
        <v>62.4</v>
      </c>
      <c r="H2526" s="2" t="s">
        <v>822</v>
      </c>
    </row>
    <row r="2527" customFormat="false" ht="15" hidden="false" customHeight="false" outlineLevel="0" collapsed="false">
      <c r="A2527" s="2" t="s">
        <v>2824</v>
      </c>
      <c r="B2527" s="2" t="s">
        <v>4291</v>
      </c>
      <c r="C2527" s="2" t="s">
        <v>4275</v>
      </c>
      <c r="D2527" s="2"/>
      <c r="E2527" s="31" t="n">
        <v>47.4</v>
      </c>
      <c r="F2527" s="31" t="n">
        <v>75.8</v>
      </c>
      <c r="G2527" s="31" t="n">
        <v>59.6</v>
      </c>
      <c r="H2527" s="2" t="s">
        <v>832</v>
      </c>
    </row>
    <row r="2528" customFormat="false" ht="15" hidden="false" customHeight="false" outlineLevel="0" collapsed="false">
      <c r="A2528" s="2" t="s">
        <v>2824</v>
      </c>
      <c r="B2528" s="2" t="s">
        <v>45</v>
      </c>
      <c r="C2528" s="2" t="s">
        <v>4274</v>
      </c>
      <c r="D2528" s="11" t="n">
        <v>35230</v>
      </c>
      <c r="E2528" s="31" t="n">
        <v>68.9</v>
      </c>
      <c r="F2528" s="31" t="n">
        <v>68.2</v>
      </c>
      <c r="G2528" s="31" t="n">
        <v>84.4</v>
      </c>
      <c r="H2528" s="2" t="s">
        <v>822</v>
      </c>
    </row>
    <row r="2529" customFormat="false" ht="15" hidden="false" customHeight="false" outlineLevel="0" collapsed="false">
      <c r="A2529" s="2" t="s">
        <v>2824</v>
      </c>
      <c r="B2529" s="2" t="s">
        <v>45</v>
      </c>
      <c r="C2529" s="2" t="s">
        <v>4275</v>
      </c>
      <c r="D2529" s="11" t="n">
        <v>37780</v>
      </c>
      <c r="E2529" s="31" t="n">
        <v>87.7</v>
      </c>
      <c r="F2529" s="31" t="n">
        <v>48.1</v>
      </c>
      <c r="G2529" s="2"/>
      <c r="H2529" s="2" t="s">
        <v>832</v>
      </c>
    </row>
    <row r="2530" customFormat="false" ht="15" hidden="false" customHeight="false" outlineLevel="0" collapsed="false">
      <c r="A2530" s="2" t="s">
        <v>2824</v>
      </c>
      <c r="B2530" s="2" t="s">
        <v>46</v>
      </c>
      <c r="C2530" s="2" t="s">
        <v>4274</v>
      </c>
      <c r="D2530" s="11" t="n">
        <v>50241</v>
      </c>
      <c r="E2530" s="31" t="n">
        <v>84</v>
      </c>
      <c r="F2530" s="31" t="n">
        <v>70</v>
      </c>
      <c r="G2530" s="31" t="n">
        <v>34.5</v>
      </c>
      <c r="H2530" s="2" t="s">
        <v>822</v>
      </c>
    </row>
    <row r="2531" customFormat="false" ht="15" hidden="false" customHeight="false" outlineLevel="0" collapsed="false">
      <c r="A2531" s="2" t="s">
        <v>2824</v>
      </c>
      <c r="B2531" s="2" t="s">
        <v>46</v>
      </c>
      <c r="C2531" s="2" t="s">
        <v>4275</v>
      </c>
      <c r="D2531" s="11" t="n">
        <v>52950</v>
      </c>
      <c r="E2531" s="2"/>
      <c r="F2531" s="31" t="n">
        <v>86.9</v>
      </c>
      <c r="G2531" s="31" t="n">
        <v>78.8</v>
      </c>
      <c r="H2531" s="2" t="s">
        <v>832</v>
      </c>
    </row>
    <row r="2532" customFormat="false" ht="15" hidden="false" customHeight="false" outlineLevel="0" collapsed="false">
      <c r="A2532" s="2" t="s">
        <v>2824</v>
      </c>
      <c r="B2532" s="2" t="s">
        <v>47</v>
      </c>
      <c r="C2532" s="2" t="s">
        <v>4274</v>
      </c>
      <c r="D2532" s="11" t="n">
        <v>165190</v>
      </c>
      <c r="E2532" s="31" t="n">
        <v>9.2</v>
      </c>
      <c r="F2532" s="31" t="n">
        <v>71.6</v>
      </c>
      <c r="G2532" s="31" t="n">
        <v>68.3</v>
      </c>
      <c r="H2532" s="2" t="s">
        <v>822</v>
      </c>
    </row>
    <row r="2533" customFormat="false" ht="15" hidden="false" customHeight="false" outlineLevel="0" collapsed="false">
      <c r="A2533" s="2" t="s">
        <v>2824</v>
      </c>
      <c r="B2533" s="2" t="s">
        <v>47</v>
      </c>
      <c r="C2533" s="2" t="s">
        <v>4275</v>
      </c>
      <c r="D2533" s="11" t="n">
        <v>170304</v>
      </c>
      <c r="E2533" s="31" t="n">
        <v>7.1</v>
      </c>
      <c r="F2533" s="31" t="n">
        <v>92.5</v>
      </c>
      <c r="G2533" s="31" t="n">
        <v>40.3</v>
      </c>
      <c r="H2533" s="2" t="s">
        <v>822</v>
      </c>
    </row>
    <row r="2534" customFormat="false" ht="15" hidden="false" customHeight="false" outlineLevel="0" collapsed="false">
      <c r="A2534" s="2" t="s">
        <v>788</v>
      </c>
      <c r="B2534" s="2" t="s">
        <v>4291</v>
      </c>
      <c r="C2534" s="2" t="s">
        <v>4274</v>
      </c>
      <c r="D2534" s="2"/>
      <c r="E2534" s="31" t="n">
        <v>7.7</v>
      </c>
      <c r="F2534" s="31" t="n">
        <v>42</v>
      </c>
      <c r="G2534" s="31" t="n">
        <v>31.5</v>
      </c>
      <c r="H2534" s="2" t="s">
        <v>822</v>
      </c>
    </row>
    <row r="2535" customFormat="false" ht="15" hidden="false" customHeight="false" outlineLevel="0" collapsed="false">
      <c r="A2535" s="2" t="s">
        <v>788</v>
      </c>
      <c r="B2535" s="2" t="s">
        <v>4291</v>
      </c>
      <c r="C2535" s="2" t="s">
        <v>4275</v>
      </c>
      <c r="D2535" s="2"/>
      <c r="E2535" s="31" t="n">
        <v>14</v>
      </c>
      <c r="F2535" s="31" t="n">
        <v>37.1</v>
      </c>
      <c r="G2535" s="31" t="n">
        <v>35.8</v>
      </c>
      <c r="H2535" s="2" t="s">
        <v>822</v>
      </c>
    </row>
    <row r="2536" customFormat="false" ht="15" hidden="false" customHeight="false" outlineLevel="0" collapsed="false">
      <c r="A2536" s="2" t="s">
        <v>788</v>
      </c>
      <c r="B2536" s="2" t="s">
        <v>45</v>
      </c>
      <c r="C2536" s="2" t="s">
        <v>4274</v>
      </c>
      <c r="D2536" s="11" t="n">
        <v>37500</v>
      </c>
      <c r="E2536" s="31" t="n">
        <v>5.6</v>
      </c>
      <c r="F2536" s="31" t="n">
        <v>74.1</v>
      </c>
      <c r="G2536" s="31" t="n">
        <v>52.7</v>
      </c>
      <c r="H2536" s="2" t="s">
        <v>822</v>
      </c>
    </row>
    <row r="2537" customFormat="false" ht="15" hidden="false" customHeight="false" outlineLevel="0" collapsed="false">
      <c r="A2537" s="2" t="s">
        <v>788</v>
      </c>
      <c r="B2537" s="2" t="s">
        <v>45</v>
      </c>
      <c r="C2537" s="2" t="s">
        <v>4275</v>
      </c>
      <c r="D2537" s="11" t="n">
        <v>40060</v>
      </c>
      <c r="E2537" s="31" t="n">
        <v>28.9</v>
      </c>
      <c r="F2537" s="31" t="n">
        <v>62.2</v>
      </c>
      <c r="G2537" s="31" t="n">
        <v>90.4</v>
      </c>
      <c r="H2537" s="2" t="s">
        <v>822</v>
      </c>
    </row>
    <row r="2538" customFormat="false" ht="15" hidden="false" customHeight="false" outlineLevel="0" collapsed="false">
      <c r="A2538" s="2" t="s">
        <v>788</v>
      </c>
      <c r="B2538" s="2" t="s">
        <v>46</v>
      </c>
      <c r="C2538" s="2" t="s">
        <v>4274</v>
      </c>
      <c r="D2538" s="11" t="n">
        <v>156440</v>
      </c>
      <c r="E2538" s="31" t="n">
        <v>15.7</v>
      </c>
      <c r="F2538" s="31" t="n">
        <v>36.5</v>
      </c>
      <c r="G2538" s="31" t="n">
        <v>30.8</v>
      </c>
      <c r="H2538" s="2" t="s">
        <v>822</v>
      </c>
    </row>
    <row r="2539" customFormat="false" ht="15" hidden="false" customHeight="false" outlineLevel="0" collapsed="false">
      <c r="A2539" s="2" t="s">
        <v>788</v>
      </c>
      <c r="B2539" s="2" t="s">
        <v>46</v>
      </c>
      <c r="C2539" s="2" t="s">
        <v>4275</v>
      </c>
      <c r="D2539" s="11" t="n">
        <v>159950</v>
      </c>
      <c r="E2539" s="31" t="n">
        <v>9.6</v>
      </c>
      <c r="F2539" s="31" t="n">
        <v>28.7</v>
      </c>
      <c r="G2539" s="31" t="n">
        <v>5.3</v>
      </c>
      <c r="H2539" s="2" t="s">
        <v>822</v>
      </c>
    </row>
    <row r="2540" customFormat="false" ht="15" hidden="false" customHeight="false" outlineLevel="0" collapsed="false">
      <c r="A2540" s="2" t="s">
        <v>788</v>
      </c>
      <c r="B2540" s="2" t="s">
        <v>47</v>
      </c>
      <c r="C2540" s="2" t="s">
        <v>4274</v>
      </c>
      <c r="D2540" s="11" t="n">
        <v>213218</v>
      </c>
      <c r="E2540" s="31" t="n">
        <v>1.9</v>
      </c>
      <c r="F2540" s="31" t="n">
        <v>15.4</v>
      </c>
      <c r="G2540" s="31" t="n">
        <v>11.1</v>
      </c>
      <c r="H2540" s="2" t="s">
        <v>822</v>
      </c>
    </row>
    <row r="2541" customFormat="false" ht="15" hidden="false" customHeight="false" outlineLevel="0" collapsed="false">
      <c r="A2541" s="2" t="s">
        <v>788</v>
      </c>
      <c r="B2541" s="2" t="s">
        <v>47</v>
      </c>
      <c r="C2541" s="2" t="s">
        <v>4275</v>
      </c>
      <c r="D2541" s="11" t="n">
        <v>206926</v>
      </c>
      <c r="E2541" s="31" t="n">
        <v>3.5</v>
      </c>
      <c r="F2541" s="31" t="n">
        <v>20.5</v>
      </c>
      <c r="G2541" s="31" t="n">
        <v>11.6</v>
      </c>
      <c r="H2541" s="2" t="s">
        <v>822</v>
      </c>
    </row>
    <row r="2542" customFormat="false" ht="15" hidden="false" customHeight="false" outlineLevel="0" collapsed="false">
      <c r="A2542" s="2" t="s">
        <v>610</v>
      </c>
      <c r="B2542" s="2" t="s">
        <v>4291</v>
      </c>
      <c r="C2542" s="2" t="s">
        <v>4274</v>
      </c>
      <c r="D2542" s="2"/>
      <c r="E2542" s="31" t="n">
        <v>25.3</v>
      </c>
      <c r="F2542" s="31" t="n">
        <v>44.8</v>
      </c>
      <c r="G2542" s="31" t="n">
        <v>45</v>
      </c>
      <c r="H2542" s="2" t="s">
        <v>822</v>
      </c>
    </row>
    <row r="2543" customFormat="false" ht="15" hidden="false" customHeight="false" outlineLevel="0" collapsed="false">
      <c r="A2543" s="2" t="s">
        <v>610</v>
      </c>
      <c r="B2543" s="2" t="s">
        <v>4291</v>
      </c>
      <c r="C2543" s="2" t="s">
        <v>4275</v>
      </c>
      <c r="D2543" s="2"/>
      <c r="E2543" s="31" t="n">
        <v>38.2</v>
      </c>
      <c r="F2543" s="31" t="n">
        <v>59.2</v>
      </c>
      <c r="G2543" s="31" t="n">
        <v>40.4</v>
      </c>
      <c r="H2543" s="2" t="s">
        <v>822</v>
      </c>
    </row>
    <row r="2544" customFormat="false" ht="15" hidden="false" customHeight="false" outlineLevel="0" collapsed="false">
      <c r="A2544" s="2" t="s">
        <v>610</v>
      </c>
      <c r="B2544" s="2" t="s">
        <v>45</v>
      </c>
      <c r="C2544" s="2" t="s">
        <v>4274</v>
      </c>
      <c r="D2544" s="11" t="n">
        <v>8300</v>
      </c>
      <c r="E2544" s="31" t="n">
        <v>43</v>
      </c>
      <c r="F2544" s="31" t="n">
        <v>49.2</v>
      </c>
      <c r="G2544" s="31" t="n">
        <v>59.8</v>
      </c>
      <c r="H2544" s="2" t="s">
        <v>822</v>
      </c>
    </row>
    <row r="2545" customFormat="false" ht="15" hidden="false" customHeight="false" outlineLevel="0" collapsed="false">
      <c r="A2545" s="2" t="s">
        <v>610</v>
      </c>
      <c r="B2545" s="2" t="s">
        <v>45</v>
      </c>
      <c r="C2545" s="2" t="s">
        <v>4275</v>
      </c>
      <c r="D2545" s="11" t="n">
        <v>8820</v>
      </c>
      <c r="E2545" s="31" t="n">
        <v>68.1</v>
      </c>
      <c r="F2545" s="31" t="n">
        <v>84.5</v>
      </c>
      <c r="G2545" s="31" t="n">
        <v>20.5</v>
      </c>
      <c r="H2545" s="2" t="s">
        <v>822</v>
      </c>
    </row>
    <row r="2546" customFormat="false" ht="15" hidden="false" customHeight="false" outlineLevel="0" collapsed="false">
      <c r="A2546" s="2" t="s">
        <v>610</v>
      </c>
      <c r="B2546" s="2" t="s">
        <v>46</v>
      </c>
      <c r="C2546" s="2" t="s">
        <v>4274</v>
      </c>
      <c r="D2546" s="11" t="n">
        <v>189697</v>
      </c>
      <c r="E2546" s="31" t="n">
        <v>7.6</v>
      </c>
      <c r="F2546" s="31" t="n">
        <v>40.4</v>
      </c>
      <c r="G2546" s="31" t="n">
        <v>30.1</v>
      </c>
      <c r="H2546" s="2" t="s">
        <v>822</v>
      </c>
    </row>
    <row r="2547" customFormat="false" ht="15" hidden="false" customHeight="false" outlineLevel="0" collapsed="false">
      <c r="A2547" s="2" t="s">
        <v>610</v>
      </c>
      <c r="B2547" s="2" t="s">
        <v>46</v>
      </c>
      <c r="C2547" s="2" t="s">
        <v>4275</v>
      </c>
      <c r="D2547" s="11" t="n">
        <v>190140</v>
      </c>
      <c r="E2547" s="31" t="n">
        <v>8.3</v>
      </c>
      <c r="F2547" s="31" t="n">
        <v>33.8</v>
      </c>
      <c r="G2547" s="31" t="n">
        <v>60.3</v>
      </c>
      <c r="H2547" s="2" t="s">
        <v>822</v>
      </c>
    </row>
    <row r="2548" customFormat="false" ht="15" hidden="false" customHeight="false" outlineLevel="0" collapsed="false">
      <c r="A2548" s="2" t="s">
        <v>112</v>
      </c>
      <c r="B2548" s="2" t="s">
        <v>4291</v>
      </c>
      <c r="C2548" s="2" t="s">
        <v>4274</v>
      </c>
      <c r="D2548" s="2"/>
      <c r="E2548" s="31" t="n">
        <v>98.8</v>
      </c>
      <c r="F2548" s="31" t="n">
        <v>16.9</v>
      </c>
      <c r="G2548" s="31" t="n">
        <v>71</v>
      </c>
      <c r="H2548" s="2" t="s">
        <v>822</v>
      </c>
    </row>
    <row r="2549" customFormat="false" ht="15" hidden="false" customHeight="false" outlineLevel="0" collapsed="false">
      <c r="A2549" s="2" t="s">
        <v>112</v>
      </c>
      <c r="B2549" s="2" t="s">
        <v>4291</v>
      </c>
      <c r="C2549" s="2" t="s">
        <v>4275</v>
      </c>
      <c r="D2549" s="2"/>
      <c r="E2549" s="31" t="n">
        <v>92.5</v>
      </c>
      <c r="F2549" s="31" t="n">
        <v>38.5</v>
      </c>
      <c r="G2549" s="31" t="n">
        <v>94.7</v>
      </c>
      <c r="H2549" s="2" t="s">
        <v>822</v>
      </c>
    </row>
    <row r="2550" customFormat="false" ht="15" hidden="false" customHeight="false" outlineLevel="0" collapsed="false">
      <c r="A2550" s="2" t="s">
        <v>112</v>
      </c>
      <c r="B2550" s="2" t="s">
        <v>46</v>
      </c>
      <c r="C2550" s="2" t="s">
        <v>4274</v>
      </c>
      <c r="D2550" s="11" t="n">
        <v>29106</v>
      </c>
      <c r="E2550" s="31" t="n">
        <v>98.8</v>
      </c>
      <c r="F2550" s="31" t="n">
        <v>16.9</v>
      </c>
      <c r="G2550" s="31" t="n">
        <v>71</v>
      </c>
      <c r="H2550" s="2" t="s">
        <v>822</v>
      </c>
    </row>
    <row r="2551" customFormat="false" ht="15" hidden="false" customHeight="false" outlineLevel="0" collapsed="false">
      <c r="A2551" s="2" t="s">
        <v>112</v>
      </c>
      <c r="B2551" s="2" t="s">
        <v>46</v>
      </c>
      <c r="C2551" s="2" t="s">
        <v>4275</v>
      </c>
      <c r="D2551" s="11" t="n">
        <v>30230</v>
      </c>
      <c r="E2551" s="31" t="n">
        <v>92.5</v>
      </c>
      <c r="F2551" s="31" t="n">
        <v>38.5</v>
      </c>
      <c r="G2551" s="31" t="n">
        <v>94.7</v>
      </c>
      <c r="H2551" s="2" t="s">
        <v>822</v>
      </c>
    </row>
    <row r="2552" customFormat="false" ht="15" hidden="false" customHeight="false" outlineLevel="0" collapsed="false">
      <c r="A2552" s="2" t="s">
        <v>2181</v>
      </c>
      <c r="B2552" s="2" t="s">
        <v>4291</v>
      </c>
      <c r="C2552" s="2" t="s">
        <v>4274</v>
      </c>
      <c r="D2552" s="2"/>
      <c r="E2552" s="31" t="n">
        <v>33.4</v>
      </c>
      <c r="F2552" s="31" t="n">
        <v>55</v>
      </c>
      <c r="G2552" s="31" t="n">
        <v>41.7</v>
      </c>
      <c r="H2552" s="2" t="s">
        <v>822</v>
      </c>
    </row>
    <row r="2553" customFormat="false" ht="15" hidden="false" customHeight="false" outlineLevel="0" collapsed="false">
      <c r="A2553" s="2" t="s">
        <v>2181</v>
      </c>
      <c r="B2553" s="2" t="s">
        <v>4291</v>
      </c>
      <c r="C2553" s="2" t="s">
        <v>4275</v>
      </c>
      <c r="D2553" s="2"/>
      <c r="E2553" s="31" t="n">
        <v>31.5</v>
      </c>
      <c r="F2553" s="31" t="n">
        <v>46.8</v>
      </c>
      <c r="G2553" s="31" t="n">
        <v>84.3</v>
      </c>
      <c r="H2553" s="2" t="s">
        <v>832</v>
      </c>
    </row>
    <row r="2554" customFormat="false" ht="15" hidden="false" customHeight="false" outlineLevel="0" collapsed="false">
      <c r="A2554" s="2" t="s">
        <v>2181</v>
      </c>
      <c r="B2554" s="2" t="s">
        <v>45</v>
      </c>
      <c r="C2554" s="2" t="s">
        <v>4274</v>
      </c>
      <c r="D2554" s="11" t="n">
        <v>95820</v>
      </c>
      <c r="E2554" s="31" t="n">
        <v>45.3</v>
      </c>
      <c r="F2554" s="31" t="n">
        <v>21.2</v>
      </c>
      <c r="G2554" s="31" t="n">
        <v>17.8</v>
      </c>
      <c r="H2554" s="2" t="s">
        <v>822</v>
      </c>
    </row>
    <row r="2555" customFormat="false" ht="15" hidden="false" customHeight="false" outlineLevel="0" collapsed="false">
      <c r="A2555" s="2" t="s">
        <v>2181</v>
      </c>
      <c r="B2555" s="2" t="s">
        <v>45</v>
      </c>
      <c r="C2555" s="2" t="s">
        <v>4275</v>
      </c>
      <c r="D2555" s="11" t="n">
        <v>95192</v>
      </c>
      <c r="E2555" s="2"/>
      <c r="F2555" s="31" t="n">
        <v>10</v>
      </c>
      <c r="G2555" s="2"/>
      <c r="H2555" s="2" t="s">
        <v>832</v>
      </c>
    </row>
    <row r="2556" customFormat="false" ht="15" hidden="false" customHeight="false" outlineLevel="0" collapsed="false">
      <c r="A2556" s="2" t="s">
        <v>2181</v>
      </c>
      <c r="B2556" s="2" t="s">
        <v>46</v>
      </c>
      <c r="C2556" s="2" t="s">
        <v>4274</v>
      </c>
      <c r="D2556" s="11" t="n">
        <v>62820</v>
      </c>
      <c r="E2556" s="31" t="n">
        <v>2</v>
      </c>
      <c r="F2556" s="31" t="n">
        <v>91.8</v>
      </c>
      <c r="G2556" s="31" t="n">
        <v>13.7</v>
      </c>
      <c r="H2556" s="2" t="s">
        <v>822</v>
      </c>
    </row>
    <row r="2557" customFormat="false" ht="15" hidden="false" customHeight="false" outlineLevel="0" collapsed="false">
      <c r="A2557" s="2" t="s">
        <v>2181</v>
      </c>
      <c r="B2557" s="2" t="s">
        <v>46</v>
      </c>
      <c r="C2557" s="2" t="s">
        <v>4275</v>
      </c>
      <c r="D2557" s="11" t="n">
        <v>67130</v>
      </c>
      <c r="E2557" s="31" t="n">
        <v>3.9</v>
      </c>
      <c r="F2557" s="31" t="n">
        <v>93.1</v>
      </c>
      <c r="G2557" s="31" t="n">
        <v>70</v>
      </c>
      <c r="H2557" s="2" t="s">
        <v>822</v>
      </c>
    </row>
    <row r="2558" customFormat="false" ht="15" hidden="false" customHeight="false" outlineLevel="0" collapsed="false">
      <c r="A2558" s="2" t="s">
        <v>2181</v>
      </c>
      <c r="B2558" s="2" t="s">
        <v>47</v>
      </c>
      <c r="C2558" s="2" t="s">
        <v>4274</v>
      </c>
      <c r="D2558" s="11" t="n">
        <v>114792</v>
      </c>
      <c r="E2558" s="31" t="n">
        <v>52.9</v>
      </c>
      <c r="F2558" s="31" t="n">
        <v>51.9</v>
      </c>
      <c r="G2558" s="31" t="n">
        <v>93.5</v>
      </c>
      <c r="H2558" s="2" t="s">
        <v>822</v>
      </c>
    </row>
    <row r="2559" customFormat="false" ht="15" hidden="false" customHeight="false" outlineLevel="0" collapsed="false">
      <c r="A2559" s="2" t="s">
        <v>2181</v>
      </c>
      <c r="B2559" s="2" t="s">
        <v>47</v>
      </c>
      <c r="C2559" s="2" t="s">
        <v>4275</v>
      </c>
      <c r="D2559" s="11" t="n">
        <v>119185</v>
      </c>
      <c r="E2559" s="31" t="n">
        <v>59.1</v>
      </c>
      <c r="F2559" s="31" t="n">
        <v>37.3</v>
      </c>
      <c r="G2559" s="31" t="n">
        <v>98.6</v>
      </c>
      <c r="H2559" s="2" t="s">
        <v>822</v>
      </c>
    </row>
    <row r="2560" customFormat="false" ht="15" hidden="false" customHeight="false" outlineLevel="0" collapsed="false">
      <c r="A2560" s="2" t="s">
        <v>1176</v>
      </c>
      <c r="B2560" s="2" t="s">
        <v>4291</v>
      </c>
      <c r="C2560" s="2" t="s">
        <v>4274</v>
      </c>
      <c r="D2560" s="2"/>
      <c r="E2560" s="31" t="n">
        <v>63.3</v>
      </c>
      <c r="F2560" s="31" t="n">
        <v>32</v>
      </c>
      <c r="G2560" s="31" t="n">
        <v>46.6</v>
      </c>
      <c r="H2560" s="2" t="s">
        <v>832</v>
      </c>
    </row>
    <row r="2561" customFormat="false" ht="15" hidden="false" customHeight="false" outlineLevel="0" collapsed="false">
      <c r="A2561" s="2" t="s">
        <v>1176</v>
      </c>
      <c r="B2561" s="2" t="s">
        <v>4291</v>
      </c>
      <c r="C2561" s="2" t="s">
        <v>4275</v>
      </c>
      <c r="D2561" s="2"/>
      <c r="E2561" s="31" t="n">
        <v>47.6</v>
      </c>
      <c r="F2561" s="31" t="n">
        <v>14.2</v>
      </c>
      <c r="G2561" s="31" t="n">
        <v>50.8</v>
      </c>
      <c r="H2561" s="2" t="s">
        <v>832</v>
      </c>
    </row>
    <row r="2562" customFormat="false" ht="15" hidden="false" customHeight="false" outlineLevel="0" collapsed="false">
      <c r="A2562" s="2" t="s">
        <v>1176</v>
      </c>
      <c r="B2562" s="2" t="s">
        <v>45</v>
      </c>
      <c r="C2562" s="2" t="s">
        <v>4274</v>
      </c>
      <c r="D2562" s="11" t="n">
        <v>23130</v>
      </c>
      <c r="E2562" s="31" t="n">
        <v>83.8</v>
      </c>
      <c r="F2562" s="31" t="n">
        <v>50</v>
      </c>
      <c r="G2562" s="31" t="n">
        <v>85.4</v>
      </c>
      <c r="H2562" s="2" t="s">
        <v>822</v>
      </c>
    </row>
    <row r="2563" customFormat="false" ht="15" hidden="false" customHeight="false" outlineLevel="0" collapsed="false">
      <c r="A2563" s="2" t="s">
        <v>1176</v>
      </c>
      <c r="B2563" s="2" t="s">
        <v>45</v>
      </c>
      <c r="C2563" s="2" t="s">
        <v>4275</v>
      </c>
      <c r="D2563" s="11" t="n">
        <v>23520</v>
      </c>
      <c r="E2563" s="31" t="n">
        <v>57.5</v>
      </c>
      <c r="F2563" s="31" t="n">
        <v>15.1</v>
      </c>
      <c r="G2563" s="31" t="n">
        <v>60.4</v>
      </c>
      <c r="H2563" s="2" t="s">
        <v>822</v>
      </c>
    </row>
    <row r="2564" customFormat="false" ht="15" hidden="false" customHeight="false" outlineLevel="0" collapsed="false">
      <c r="A2564" s="2" t="s">
        <v>1176</v>
      </c>
      <c r="B2564" s="2" t="s">
        <v>46</v>
      </c>
      <c r="C2564" s="2" t="s">
        <v>4274</v>
      </c>
      <c r="D2564" s="11" t="n">
        <v>2014</v>
      </c>
      <c r="E2564" s="31" t="n">
        <v>69.7</v>
      </c>
      <c r="F2564" s="31" t="n">
        <v>14</v>
      </c>
      <c r="G2564" s="31" t="n">
        <v>33.3</v>
      </c>
      <c r="H2564" s="2" t="s">
        <v>822</v>
      </c>
    </row>
    <row r="2565" customFormat="false" ht="15" hidden="false" customHeight="false" outlineLevel="0" collapsed="false">
      <c r="A2565" s="2" t="s">
        <v>1176</v>
      </c>
      <c r="B2565" s="2" t="s">
        <v>46</v>
      </c>
      <c r="C2565" s="2" t="s">
        <v>4275</v>
      </c>
      <c r="D2565" s="11" t="n">
        <v>2010</v>
      </c>
      <c r="E2565" s="31" t="n">
        <v>57</v>
      </c>
      <c r="F2565" s="31" t="n">
        <v>13.2</v>
      </c>
      <c r="G2565" s="31" t="n">
        <v>36.6</v>
      </c>
      <c r="H2565" s="2" t="s">
        <v>822</v>
      </c>
    </row>
    <row r="2566" customFormat="false" ht="15" hidden="false" customHeight="false" outlineLevel="0" collapsed="false">
      <c r="A2566" s="2" t="s">
        <v>1176</v>
      </c>
      <c r="B2566" s="2" t="s">
        <v>47</v>
      </c>
      <c r="C2566" s="2" t="s">
        <v>4274</v>
      </c>
      <c r="D2566" s="11" t="n">
        <v>8020</v>
      </c>
      <c r="E2566" s="31" t="n">
        <v>36.5</v>
      </c>
      <c r="F2566" s="2"/>
      <c r="G2566" s="31" t="n">
        <v>21</v>
      </c>
      <c r="H2566" s="2" t="s">
        <v>832</v>
      </c>
    </row>
    <row r="2567" customFormat="false" ht="15" hidden="false" customHeight="false" outlineLevel="0" collapsed="false">
      <c r="A2567" s="2" t="s">
        <v>1176</v>
      </c>
      <c r="B2567" s="2" t="s">
        <v>47</v>
      </c>
      <c r="C2567" s="2" t="s">
        <v>4275</v>
      </c>
      <c r="D2567" s="11" t="n">
        <v>7820</v>
      </c>
      <c r="E2567" s="31" t="n">
        <v>28.4</v>
      </c>
      <c r="F2567" s="2"/>
      <c r="G2567" s="31" t="n">
        <v>55.4</v>
      </c>
      <c r="H2567" s="2" t="s">
        <v>832</v>
      </c>
    </row>
    <row r="2568" customFormat="false" ht="15" hidden="false" customHeight="false" outlineLevel="0" collapsed="false">
      <c r="A2568" s="2" t="s">
        <v>634</v>
      </c>
      <c r="B2568" s="2" t="s">
        <v>4291</v>
      </c>
      <c r="C2568" s="2" t="s">
        <v>4274</v>
      </c>
      <c r="D2568" s="2"/>
      <c r="E2568" s="31" t="n">
        <v>43.3</v>
      </c>
      <c r="F2568" s="31" t="n">
        <v>62.2</v>
      </c>
      <c r="G2568" s="31" t="n">
        <v>26.7</v>
      </c>
      <c r="H2568" s="2" t="s">
        <v>822</v>
      </c>
    </row>
    <row r="2569" customFormat="false" ht="15" hidden="false" customHeight="false" outlineLevel="0" collapsed="false">
      <c r="A2569" s="2" t="s">
        <v>634</v>
      </c>
      <c r="B2569" s="2" t="s">
        <v>4291</v>
      </c>
      <c r="C2569" s="2" t="s">
        <v>4275</v>
      </c>
      <c r="D2569" s="2"/>
      <c r="E2569" s="31" t="n">
        <v>36.6</v>
      </c>
      <c r="F2569" s="31" t="n">
        <v>50.3</v>
      </c>
      <c r="G2569" s="31" t="n">
        <v>48.2</v>
      </c>
      <c r="H2569" s="2" t="s">
        <v>822</v>
      </c>
    </row>
    <row r="2570" customFormat="false" ht="15" hidden="false" customHeight="false" outlineLevel="0" collapsed="false">
      <c r="A2570" s="2" t="s">
        <v>634</v>
      </c>
      <c r="B2570" s="2" t="s">
        <v>45</v>
      </c>
      <c r="C2570" s="2" t="s">
        <v>4274</v>
      </c>
      <c r="D2570" s="11" t="n">
        <v>499050</v>
      </c>
      <c r="E2570" s="31" t="n">
        <v>44.9</v>
      </c>
      <c r="F2570" s="31" t="n">
        <v>97.9</v>
      </c>
      <c r="G2570" s="31" t="n">
        <v>10</v>
      </c>
      <c r="H2570" s="2" t="s">
        <v>822</v>
      </c>
    </row>
    <row r="2571" customFormat="false" ht="15" hidden="false" customHeight="false" outlineLevel="0" collapsed="false">
      <c r="A2571" s="2" t="s">
        <v>634</v>
      </c>
      <c r="B2571" s="2" t="s">
        <v>45</v>
      </c>
      <c r="C2571" s="2" t="s">
        <v>4275</v>
      </c>
      <c r="D2571" s="11" t="n">
        <v>522030</v>
      </c>
      <c r="E2571" s="31" t="n">
        <v>32.9</v>
      </c>
      <c r="F2571" s="31" t="n">
        <v>88.6</v>
      </c>
      <c r="G2571" s="31" t="n">
        <v>25.6</v>
      </c>
      <c r="H2571" s="2" t="s">
        <v>822</v>
      </c>
    </row>
    <row r="2572" customFormat="false" ht="15" hidden="false" customHeight="false" outlineLevel="0" collapsed="false">
      <c r="A2572" s="2" t="s">
        <v>634</v>
      </c>
      <c r="B2572" s="2" t="s">
        <v>46</v>
      </c>
      <c r="C2572" s="2" t="s">
        <v>4274</v>
      </c>
      <c r="D2572" s="11" t="n">
        <v>11655</v>
      </c>
      <c r="E2572" s="31" t="n">
        <v>74.2</v>
      </c>
      <c r="F2572" s="31" t="n">
        <v>11.6</v>
      </c>
      <c r="G2572" s="31" t="n">
        <v>28.5</v>
      </c>
      <c r="H2572" s="2" t="s">
        <v>822</v>
      </c>
    </row>
    <row r="2573" customFormat="false" ht="15" hidden="false" customHeight="false" outlineLevel="0" collapsed="false">
      <c r="A2573" s="2" t="s">
        <v>634</v>
      </c>
      <c r="B2573" s="2" t="s">
        <v>46</v>
      </c>
      <c r="C2573" s="2" t="s">
        <v>4275</v>
      </c>
      <c r="D2573" s="11" t="n">
        <v>11710</v>
      </c>
      <c r="E2573" s="31" t="n">
        <v>67.8</v>
      </c>
      <c r="F2573" s="31" t="n">
        <v>24.4</v>
      </c>
      <c r="G2573" s="31" t="n">
        <v>56.7</v>
      </c>
      <c r="H2573" s="2" t="s">
        <v>822</v>
      </c>
    </row>
    <row r="2574" customFormat="false" ht="15" hidden="false" customHeight="false" outlineLevel="0" collapsed="false">
      <c r="A2574" s="2" t="s">
        <v>634</v>
      </c>
      <c r="B2574" s="2" t="s">
        <v>47</v>
      </c>
      <c r="C2574" s="2" t="s">
        <v>4274</v>
      </c>
      <c r="D2574" s="11" t="n">
        <v>156339</v>
      </c>
      <c r="E2574" s="31" t="n">
        <v>10.9</v>
      </c>
      <c r="F2574" s="31" t="n">
        <v>77.2</v>
      </c>
      <c r="G2574" s="31" t="n">
        <v>41.6</v>
      </c>
      <c r="H2574" s="2" t="s">
        <v>822</v>
      </c>
    </row>
    <row r="2575" customFormat="false" ht="15" hidden="false" customHeight="false" outlineLevel="0" collapsed="false">
      <c r="A2575" s="2" t="s">
        <v>634</v>
      </c>
      <c r="B2575" s="2" t="s">
        <v>47</v>
      </c>
      <c r="C2575" s="2" t="s">
        <v>4275</v>
      </c>
      <c r="D2575" s="11" t="n">
        <v>157483</v>
      </c>
      <c r="E2575" s="31" t="n">
        <v>9</v>
      </c>
      <c r="F2575" s="31" t="n">
        <v>37.9</v>
      </c>
      <c r="G2575" s="31" t="n">
        <v>62.4</v>
      </c>
      <c r="H2575" s="2" t="s">
        <v>822</v>
      </c>
    </row>
    <row r="2576" customFormat="false" ht="15" hidden="false" customHeight="false" outlineLevel="0" collapsed="false">
      <c r="A2576" s="2" t="s">
        <v>808</v>
      </c>
      <c r="B2576" s="2" t="s">
        <v>4291</v>
      </c>
      <c r="C2576" s="2" t="s">
        <v>4274</v>
      </c>
      <c r="D2576" s="2"/>
      <c r="E2576" s="31" t="n">
        <v>2.6</v>
      </c>
      <c r="F2576" s="31" t="n">
        <v>81</v>
      </c>
      <c r="G2576" s="31" t="n">
        <v>79.5</v>
      </c>
      <c r="H2576" s="2" t="s">
        <v>822</v>
      </c>
    </row>
    <row r="2577" customFormat="false" ht="15" hidden="false" customHeight="false" outlineLevel="0" collapsed="false">
      <c r="A2577" s="2" t="s">
        <v>808</v>
      </c>
      <c r="B2577" s="2" t="s">
        <v>4291</v>
      </c>
      <c r="C2577" s="2" t="s">
        <v>4275</v>
      </c>
      <c r="D2577" s="2"/>
      <c r="E2577" s="31" t="n">
        <v>0.9</v>
      </c>
      <c r="F2577" s="31" t="n">
        <v>72.4</v>
      </c>
      <c r="G2577" s="31" t="n">
        <v>52.9</v>
      </c>
      <c r="H2577" s="2" t="s">
        <v>822</v>
      </c>
    </row>
    <row r="2578" customFormat="false" ht="15" hidden="false" customHeight="false" outlineLevel="0" collapsed="false">
      <c r="A2578" s="2" t="s">
        <v>808</v>
      </c>
      <c r="B2578" s="2" t="s">
        <v>47</v>
      </c>
      <c r="C2578" s="2" t="s">
        <v>4274</v>
      </c>
      <c r="D2578" s="11" t="n">
        <v>23106</v>
      </c>
      <c r="E2578" s="31" t="n">
        <v>2.6</v>
      </c>
      <c r="F2578" s="31" t="n">
        <v>81</v>
      </c>
      <c r="G2578" s="31" t="n">
        <v>79.5</v>
      </c>
      <c r="H2578" s="2" t="s">
        <v>822</v>
      </c>
    </row>
    <row r="2579" customFormat="false" ht="15" hidden="false" customHeight="false" outlineLevel="0" collapsed="false">
      <c r="A2579" s="2" t="s">
        <v>808</v>
      </c>
      <c r="B2579" s="2" t="s">
        <v>47</v>
      </c>
      <c r="C2579" s="2" t="s">
        <v>4275</v>
      </c>
      <c r="D2579" s="11" t="n">
        <v>23846</v>
      </c>
      <c r="E2579" s="31" t="n">
        <v>0.9</v>
      </c>
      <c r="F2579" s="31" t="n">
        <v>72.4</v>
      </c>
      <c r="G2579" s="31" t="n">
        <v>52.9</v>
      </c>
      <c r="H2579" s="2" t="s">
        <v>822</v>
      </c>
    </row>
    <row r="2580" customFormat="false" ht="15" hidden="false" customHeight="false" outlineLevel="0" collapsed="false">
      <c r="A2580" s="2" t="s">
        <v>2102</v>
      </c>
      <c r="B2580" s="2" t="s">
        <v>4291</v>
      </c>
      <c r="C2580" s="2" t="s">
        <v>4274</v>
      </c>
      <c r="D2580" s="2"/>
      <c r="E2580" s="31" t="n">
        <v>43.5</v>
      </c>
      <c r="F2580" s="31" t="n">
        <v>27.9</v>
      </c>
      <c r="G2580" s="31" t="n">
        <v>35.8</v>
      </c>
      <c r="H2580" s="2" t="s">
        <v>832</v>
      </c>
    </row>
    <row r="2581" customFormat="false" ht="15" hidden="false" customHeight="false" outlineLevel="0" collapsed="false">
      <c r="A2581" s="2" t="s">
        <v>2102</v>
      </c>
      <c r="B2581" s="2" t="s">
        <v>4291</v>
      </c>
      <c r="C2581" s="2" t="s">
        <v>4275</v>
      </c>
      <c r="D2581" s="2"/>
      <c r="E2581" s="31" t="n">
        <v>30.9</v>
      </c>
      <c r="F2581" s="31" t="n">
        <v>11.7</v>
      </c>
      <c r="G2581" s="31" t="n">
        <v>20.8</v>
      </c>
      <c r="H2581" s="2" t="s">
        <v>832</v>
      </c>
    </row>
    <row r="2582" customFormat="false" ht="15" hidden="false" customHeight="false" outlineLevel="0" collapsed="false">
      <c r="A2582" s="2" t="s">
        <v>2102</v>
      </c>
      <c r="B2582" s="2" t="s">
        <v>45</v>
      </c>
      <c r="C2582" s="2" t="s">
        <v>4274</v>
      </c>
      <c r="D2582" s="11" t="n">
        <v>22130</v>
      </c>
      <c r="E2582" s="31" t="n">
        <v>33.3</v>
      </c>
      <c r="F2582" s="31" t="n">
        <v>30.3</v>
      </c>
      <c r="G2582" s="2"/>
      <c r="H2582" s="2" t="s">
        <v>832</v>
      </c>
    </row>
    <row r="2583" customFormat="false" ht="15" hidden="false" customHeight="false" outlineLevel="0" collapsed="false">
      <c r="A2583" s="2" t="s">
        <v>2102</v>
      </c>
      <c r="B2583" s="2" t="s">
        <v>45</v>
      </c>
      <c r="C2583" s="2" t="s">
        <v>4275</v>
      </c>
      <c r="D2583" s="11" t="n">
        <v>22530</v>
      </c>
      <c r="E2583" s="31" t="n">
        <v>45.9</v>
      </c>
      <c r="F2583" s="31" t="n">
        <v>14.8</v>
      </c>
      <c r="G2583" s="2"/>
      <c r="H2583" s="2" t="s">
        <v>832</v>
      </c>
    </row>
    <row r="2584" customFormat="false" ht="15" hidden="false" customHeight="false" outlineLevel="0" collapsed="false">
      <c r="A2584" s="2" t="s">
        <v>2102</v>
      </c>
      <c r="B2584" s="2" t="s">
        <v>46</v>
      </c>
      <c r="C2584" s="2" t="s">
        <v>4274</v>
      </c>
      <c r="D2584" s="11" t="n">
        <v>30160</v>
      </c>
      <c r="E2584" s="31" t="n">
        <v>29</v>
      </c>
      <c r="F2584" s="31" t="n">
        <v>37.5</v>
      </c>
      <c r="G2584" s="31" t="n">
        <v>14.4</v>
      </c>
      <c r="H2584" s="2" t="s">
        <v>822</v>
      </c>
    </row>
    <row r="2585" customFormat="false" ht="15" hidden="false" customHeight="false" outlineLevel="0" collapsed="false">
      <c r="A2585" s="2" t="s">
        <v>2102</v>
      </c>
      <c r="B2585" s="2" t="s">
        <v>46</v>
      </c>
      <c r="C2585" s="2" t="s">
        <v>4275</v>
      </c>
      <c r="D2585" s="11" t="n">
        <v>29790</v>
      </c>
      <c r="E2585" s="31" t="n">
        <v>17.1</v>
      </c>
      <c r="F2585" s="31" t="n">
        <v>13.5</v>
      </c>
      <c r="G2585" s="31" t="n">
        <v>34.7</v>
      </c>
      <c r="H2585" s="2" t="s">
        <v>822</v>
      </c>
    </row>
    <row r="2586" customFormat="false" ht="15" hidden="false" customHeight="false" outlineLevel="0" collapsed="false">
      <c r="A2586" s="2" t="s">
        <v>2102</v>
      </c>
      <c r="B2586" s="2" t="s">
        <v>47</v>
      </c>
      <c r="C2586" s="2" t="s">
        <v>4274</v>
      </c>
      <c r="D2586" s="11" t="n">
        <v>419115</v>
      </c>
      <c r="E2586" s="31" t="n">
        <v>68.3</v>
      </c>
      <c r="F2586" s="31" t="n">
        <v>16</v>
      </c>
      <c r="G2586" s="31" t="n">
        <v>57.3</v>
      </c>
      <c r="H2586" s="2" t="s">
        <v>822</v>
      </c>
    </row>
    <row r="2587" customFormat="false" ht="15" hidden="false" customHeight="false" outlineLevel="0" collapsed="false">
      <c r="A2587" s="2" t="s">
        <v>2102</v>
      </c>
      <c r="B2587" s="2" t="s">
        <v>47</v>
      </c>
      <c r="C2587" s="2" t="s">
        <v>4275</v>
      </c>
      <c r="D2587" s="11" t="n">
        <v>422200</v>
      </c>
      <c r="E2587" s="31" t="n">
        <v>29.8</v>
      </c>
      <c r="F2587" s="31" t="n">
        <v>6.8</v>
      </c>
      <c r="G2587" s="31" t="n">
        <v>6.8</v>
      </c>
      <c r="H2587" s="2" t="s">
        <v>822</v>
      </c>
    </row>
    <row r="2588" customFormat="false" ht="15" hidden="false" customHeight="false" outlineLevel="0" collapsed="false">
      <c r="A2588" s="2" t="s">
        <v>328</v>
      </c>
      <c r="B2588" s="2" t="s">
        <v>4291</v>
      </c>
      <c r="C2588" s="2" t="s">
        <v>4274</v>
      </c>
      <c r="D2588" s="2"/>
      <c r="E2588" s="31" t="n">
        <v>32</v>
      </c>
      <c r="F2588" s="31" t="n">
        <v>55.6</v>
      </c>
      <c r="G2588" s="31" t="n">
        <v>79.4</v>
      </c>
      <c r="H2588" s="2" t="s">
        <v>832</v>
      </c>
    </row>
    <row r="2589" customFormat="false" ht="15" hidden="false" customHeight="false" outlineLevel="0" collapsed="false">
      <c r="A2589" s="2" t="s">
        <v>328</v>
      </c>
      <c r="B2589" s="2" t="s">
        <v>4291</v>
      </c>
      <c r="C2589" s="2" t="s">
        <v>4275</v>
      </c>
      <c r="D2589" s="2"/>
      <c r="E2589" s="31" t="n">
        <v>60.5</v>
      </c>
      <c r="F2589" s="31" t="n">
        <v>33.3</v>
      </c>
      <c r="G2589" s="31" t="n">
        <v>41.8</v>
      </c>
      <c r="H2589" s="2" t="s">
        <v>822</v>
      </c>
    </row>
    <row r="2590" customFormat="false" ht="15" hidden="false" customHeight="false" outlineLevel="0" collapsed="false">
      <c r="A2590" s="2" t="s">
        <v>328</v>
      </c>
      <c r="B2590" s="2" t="s">
        <v>45</v>
      </c>
      <c r="C2590" s="2" t="s">
        <v>4274</v>
      </c>
      <c r="D2590" s="11" t="n">
        <v>4488</v>
      </c>
      <c r="E2590" s="2"/>
      <c r="F2590" s="2"/>
      <c r="G2590" s="2"/>
      <c r="H2590" s="2" t="s">
        <v>832</v>
      </c>
    </row>
    <row r="2591" customFormat="false" ht="15" hidden="false" customHeight="false" outlineLevel="0" collapsed="false">
      <c r="A2591" s="2" t="s">
        <v>328</v>
      </c>
      <c r="B2591" s="2" t="s">
        <v>45</v>
      </c>
      <c r="C2591" s="2" t="s">
        <v>4275</v>
      </c>
      <c r="D2591" s="11" t="n">
        <v>4490</v>
      </c>
      <c r="E2591" s="31" t="n">
        <v>69.6</v>
      </c>
      <c r="F2591" s="31" t="n">
        <v>25.4</v>
      </c>
      <c r="G2591" s="31" t="n">
        <v>37.8</v>
      </c>
      <c r="H2591" s="2" t="s">
        <v>822</v>
      </c>
    </row>
    <row r="2592" customFormat="false" ht="15" hidden="false" customHeight="false" outlineLevel="0" collapsed="false">
      <c r="A2592" s="2" t="s">
        <v>328</v>
      </c>
      <c r="B2592" s="2" t="s">
        <v>46</v>
      </c>
      <c r="C2592" s="2" t="s">
        <v>4274</v>
      </c>
      <c r="D2592" s="2"/>
      <c r="E2592" s="2"/>
      <c r="F2592" s="2"/>
      <c r="G2592" s="2"/>
      <c r="H2592" s="2" t="s">
        <v>832</v>
      </c>
    </row>
    <row r="2593" customFormat="false" ht="15" hidden="false" customHeight="false" outlineLevel="0" collapsed="false">
      <c r="A2593" s="2" t="s">
        <v>328</v>
      </c>
      <c r="B2593" s="2" t="s">
        <v>46</v>
      </c>
      <c r="C2593" s="2" t="s">
        <v>4275</v>
      </c>
      <c r="D2593" s="11" t="n">
        <v>89980</v>
      </c>
      <c r="E2593" s="31" t="n">
        <v>77</v>
      </c>
      <c r="F2593" s="31" t="n">
        <v>34.2</v>
      </c>
      <c r="G2593" s="31" t="n">
        <v>3.1</v>
      </c>
      <c r="H2593" s="2" t="s">
        <v>822</v>
      </c>
    </row>
    <row r="2594" customFormat="false" ht="15" hidden="false" customHeight="false" outlineLevel="0" collapsed="false">
      <c r="A2594" s="2" t="s">
        <v>328</v>
      </c>
      <c r="B2594" s="2" t="s">
        <v>47</v>
      </c>
      <c r="C2594" s="2" t="s">
        <v>4274</v>
      </c>
      <c r="D2594" s="11" t="n">
        <v>830956</v>
      </c>
      <c r="E2594" s="31" t="n">
        <v>32</v>
      </c>
      <c r="F2594" s="31" t="n">
        <v>55.6</v>
      </c>
      <c r="G2594" s="31" t="n">
        <v>79.4</v>
      </c>
      <c r="H2594" s="2" t="s">
        <v>822</v>
      </c>
    </row>
    <row r="2595" customFormat="false" ht="15" hidden="false" customHeight="false" outlineLevel="0" collapsed="false">
      <c r="A2595" s="2" t="s">
        <v>328</v>
      </c>
      <c r="B2595" s="2" t="s">
        <v>47</v>
      </c>
      <c r="C2595" s="2" t="s">
        <v>4275</v>
      </c>
      <c r="D2595" s="11" t="n">
        <v>874964</v>
      </c>
      <c r="E2595" s="31" t="n">
        <v>34.9</v>
      </c>
      <c r="F2595" s="31" t="n">
        <v>40.4</v>
      </c>
      <c r="G2595" s="31" t="n">
        <v>84.6</v>
      </c>
      <c r="H2595" s="2" t="s">
        <v>822</v>
      </c>
    </row>
    <row r="2596" customFormat="false" ht="15" hidden="false" customHeight="false" outlineLevel="0" collapsed="false">
      <c r="A2596" s="2" t="s">
        <v>81</v>
      </c>
      <c r="B2596" s="2" t="s">
        <v>4291</v>
      </c>
      <c r="C2596" s="2" t="s">
        <v>4274</v>
      </c>
      <c r="D2596" s="2"/>
      <c r="E2596" s="31" t="n">
        <v>99.8</v>
      </c>
      <c r="F2596" s="31" t="n">
        <v>91.2</v>
      </c>
      <c r="G2596" s="31" t="n">
        <v>49.6</v>
      </c>
      <c r="H2596" s="2" t="s">
        <v>822</v>
      </c>
    </row>
    <row r="2597" customFormat="false" ht="15" hidden="false" customHeight="false" outlineLevel="0" collapsed="false">
      <c r="A2597" s="2" t="s">
        <v>81</v>
      </c>
      <c r="B2597" s="2" t="s">
        <v>4291</v>
      </c>
      <c r="C2597" s="2" t="s">
        <v>4275</v>
      </c>
      <c r="D2597" s="2"/>
      <c r="E2597" s="31" t="n">
        <v>97.5</v>
      </c>
      <c r="F2597" s="31" t="n">
        <v>78.2</v>
      </c>
      <c r="G2597" s="31" t="n">
        <v>57</v>
      </c>
      <c r="H2597" s="2" t="s">
        <v>822</v>
      </c>
    </row>
    <row r="2598" customFormat="false" ht="15" hidden="false" customHeight="false" outlineLevel="0" collapsed="false">
      <c r="A2598" s="2" t="s">
        <v>81</v>
      </c>
      <c r="B2598" s="2" t="s">
        <v>47</v>
      </c>
      <c r="C2598" s="2" t="s">
        <v>4274</v>
      </c>
      <c r="D2598" s="11" t="n">
        <v>29518</v>
      </c>
      <c r="E2598" s="31" t="n">
        <v>99.8</v>
      </c>
      <c r="F2598" s="31" t="n">
        <v>91.2</v>
      </c>
      <c r="G2598" s="31" t="n">
        <v>49.6</v>
      </c>
      <c r="H2598" s="2" t="s">
        <v>822</v>
      </c>
    </row>
    <row r="2599" customFormat="false" ht="15" hidden="false" customHeight="false" outlineLevel="0" collapsed="false">
      <c r="A2599" s="2" t="s">
        <v>81</v>
      </c>
      <c r="B2599" s="2" t="s">
        <v>47</v>
      </c>
      <c r="C2599" s="2" t="s">
        <v>4275</v>
      </c>
      <c r="D2599" s="11" t="n">
        <v>31387</v>
      </c>
      <c r="E2599" s="31" t="n">
        <v>97.5</v>
      </c>
      <c r="F2599" s="31" t="n">
        <v>78.2</v>
      </c>
      <c r="G2599" s="31" t="n">
        <v>57</v>
      </c>
      <c r="H2599" s="2" t="s">
        <v>822</v>
      </c>
    </row>
    <row r="2600" customFormat="false" ht="15" hidden="false" customHeight="false" outlineLevel="0" collapsed="false">
      <c r="A2600" s="2" t="s">
        <v>440</v>
      </c>
      <c r="B2600" s="2" t="s">
        <v>4291</v>
      </c>
      <c r="C2600" s="2" t="s">
        <v>4274</v>
      </c>
      <c r="D2600" s="2"/>
      <c r="E2600" s="31" t="n">
        <v>65.1</v>
      </c>
      <c r="F2600" s="31" t="n">
        <v>38.4</v>
      </c>
      <c r="G2600" s="31" t="n">
        <v>38.2</v>
      </c>
      <c r="H2600" s="2" t="s">
        <v>832</v>
      </c>
    </row>
    <row r="2601" customFormat="false" ht="15" hidden="false" customHeight="false" outlineLevel="0" collapsed="false">
      <c r="A2601" s="2" t="s">
        <v>440</v>
      </c>
      <c r="B2601" s="2" t="s">
        <v>4291</v>
      </c>
      <c r="C2601" s="2" t="s">
        <v>4275</v>
      </c>
      <c r="D2601" s="2"/>
      <c r="E2601" s="31" t="n">
        <v>52.7</v>
      </c>
      <c r="F2601" s="31" t="n">
        <v>40.6</v>
      </c>
      <c r="G2601" s="31" t="n">
        <v>81</v>
      </c>
      <c r="H2601" s="2" t="s">
        <v>822</v>
      </c>
    </row>
    <row r="2602" customFormat="false" ht="15" hidden="false" customHeight="false" outlineLevel="0" collapsed="false">
      <c r="A2602" s="2" t="s">
        <v>440</v>
      </c>
      <c r="B2602" s="2" t="s">
        <v>45</v>
      </c>
      <c r="C2602" s="2" t="s">
        <v>4274</v>
      </c>
      <c r="D2602" s="11" t="n">
        <v>76810</v>
      </c>
      <c r="E2602" s="31" t="n">
        <v>82.5</v>
      </c>
      <c r="F2602" s="31" t="n">
        <v>58.8</v>
      </c>
      <c r="G2602" s="31" t="n">
        <v>44.1</v>
      </c>
      <c r="H2602" s="2" t="s">
        <v>822</v>
      </c>
    </row>
    <row r="2603" customFormat="false" ht="15" hidden="false" customHeight="false" outlineLevel="0" collapsed="false">
      <c r="A2603" s="2" t="s">
        <v>440</v>
      </c>
      <c r="B2603" s="2" t="s">
        <v>45</v>
      </c>
      <c r="C2603" s="2" t="s">
        <v>4275</v>
      </c>
      <c r="D2603" s="11" t="n">
        <v>80060</v>
      </c>
      <c r="E2603" s="31" t="n">
        <v>53.5</v>
      </c>
      <c r="F2603" s="31" t="n">
        <v>35.1</v>
      </c>
      <c r="G2603" s="31" t="n">
        <v>91.1</v>
      </c>
      <c r="H2603" s="2" t="s">
        <v>822</v>
      </c>
    </row>
    <row r="2604" customFormat="false" ht="15" hidden="false" customHeight="false" outlineLevel="0" collapsed="false">
      <c r="A2604" s="2" t="s">
        <v>440</v>
      </c>
      <c r="B2604" s="2" t="s">
        <v>46</v>
      </c>
      <c r="C2604" s="2" t="s">
        <v>4274</v>
      </c>
      <c r="D2604" s="11" t="n">
        <v>76450</v>
      </c>
      <c r="E2604" s="31" t="n">
        <v>64.8</v>
      </c>
      <c r="F2604" s="31" t="n">
        <v>9</v>
      </c>
      <c r="G2604" s="2"/>
      <c r="H2604" s="2" t="s">
        <v>832</v>
      </c>
    </row>
    <row r="2605" customFormat="false" ht="15" hidden="false" customHeight="false" outlineLevel="0" collapsed="false">
      <c r="A2605" s="2" t="s">
        <v>440</v>
      </c>
      <c r="B2605" s="2" t="s">
        <v>46</v>
      </c>
      <c r="C2605" s="2" t="s">
        <v>4275</v>
      </c>
      <c r="D2605" s="11" t="n">
        <v>74760</v>
      </c>
      <c r="E2605" s="31" t="n">
        <v>37.7</v>
      </c>
      <c r="F2605" s="31" t="n">
        <v>18.9</v>
      </c>
      <c r="G2605" s="31" t="n">
        <v>79.7</v>
      </c>
      <c r="H2605" s="2" t="s">
        <v>822</v>
      </c>
    </row>
    <row r="2606" customFormat="false" ht="15" hidden="false" customHeight="false" outlineLevel="0" collapsed="false">
      <c r="A2606" s="2" t="s">
        <v>440</v>
      </c>
      <c r="B2606" s="2" t="s">
        <v>47</v>
      </c>
      <c r="C2606" s="2" t="s">
        <v>4274</v>
      </c>
      <c r="D2606" s="11" t="n">
        <v>740459</v>
      </c>
      <c r="E2606" s="31" t="n">
        <v>47.9</v>
      </c>
      <c r="F2606" s="31" t="n">
        <v>47.5</v>
      </c>
      <c r="G2606" s="31" t="n">
        <v>32.3</v>
      </c>
      <c r="H2606" s="2" t="s">
        <v>822</v>
      </c>
    </row>
    <row r="2607" customFormat="false" ht="15" hidden="false" customHeight="false" outlineLevel="0" collapsed="false">
      <c r="A2607" s="2" t="s">
        <v>440</v>
      </c>
      <c r="B2607" s="2" t="s">
        <v>47</v>
      </c>
      <c r="C2607" s="2" t="s">
        <v>4275</v>
      </c>
      <c r="D2607" s="11" t="n">
        <v>780760</v>
      </c>
      <c r="E2607" s="31" t="n">
        <v>67</v>
      </c>
      <c r="F2607" s="31" t="n">
        <v>67.7</v>
      </c>
      <c r="G2607" s="31" t="n">
        <v>72.2</v>
      </c>
      <c r="H2607" s="2" t="s">
        <v>822</v>
      </c>
    </row>
    <row r="2608" customFormat="false" ht="15" hidden="false" customHeight="false" outlineLevel="0" collapsed="false">
      <c r="A2608" s="2" t="s">
        <v>2160</v>
      </c>
      <c r="B2608" s="2" t="s">
        <v>4291</v>
      </c>
      <c r="C2608" s="2" t="s">
        <v>4274</v>
      </c>
      <c r="D2608" s="2"/>
      <c r="E2608" s="31" t="n">
        <v>34.2</v>
      </c>
      <c r="F2608" s="31" t="n">
        <v>88</v>
      </c>
      <c r="G2608" s="31" t="n">
        <v>43.7</v>
      </c>
      <c r="H2608" s="2" t="s">
        <v>832</v>
      </c>
    </row>
    <row r="2609" customFormat="false" ht="15" hidden="false" customHeight="false" outlineLevel="0" collapsed="false">
      <c r="A2609" s="2" t="s">
        <v>2160</v>
      </c>
      <c r="B2609" s="2" t="s">
        <v>4291</v>
      </c>
      <c r="C2609" s="2" t="s">
        <v>4275</v>
      </c>
      <c r="D2609" s="2"/>
      <c r="E2609" s="31" t="n">
        <v>18.8</v>
      </c>
      <c r="F2609" s="31" t="n">
        <v>53.8</v>
      </c>
      <c r="G2609" s="31" t="n">
        <v>37.6</v>
      </c>
      <c r="H2609" s="2" t="s">
        <v>832</v>
      </c>
    </row>
    <row r="2610" customFormat="false" ht="15" hidden="false" customHeight="false" outlineLevel="0" collapsed="false">
      <c r="A2610" s="2" t="s">
        <v>2160</v>
      </c>
      <c r="B2610" s="2" t="s">
        <v>45</v>
      </c>
      <c r="C2610" s="2" t="s">
        <v>4274</v>
      </c>
      <c r="D2610" s="11" t="n">
        <v>87218</v>
      </c>
      <c r="E2610" s="31" t="n">
        <v>11</v>
      </c>
      <c r="F2610" s="31" t="n">
        <v>80.3</v>
      </c>
      <c r="G2610" s="31" t="n">
        <v>42.2</v>
      </c>
      <c r="H2610" s="2" t="s">
        <v>822</v>
      </c>
    </row>
    <row r="2611" customFormat="false" ht="15" hidden="false" customHeight="false" outlineLevel="0" collapsed="false">
      <c r="A2611" s="2" t="s">
        <v>2160</v>
      </c>
      <c r="B2611" s="2" t="s">
        <v>45</v>
      </c>
      <c r="C2611" s="2" t="s">
        <v>4275</v>
      </c>
      <c r="D2611" s="11" t="n">
        <v>87790</v>
      </c>
      <c r="E2611" s="31" t="n">
        <v>24.6</v>
      </c>
      <c r="F2611" s="31" t="n">
        <v>68.4</v>
      </c>
      <c r="G2611" s="2"/>
      <c r="H2611" s="2" t="s">
        <v>832</v>
      </c>
    </row>
    <row r="2612" customFormat="false" ht="15" hidden="false" customHeight="false" outlineLevel="0" collapsed="false">
      <c r="A2612" s="2" t="s">
        <v>2160</v>
      </c>
      <c r="B2612" s="2" t="s">
        <v>46</v>
      </c>
      <c r="C2612" s="2" t="s">
        <v>4274</v>
      </c>
      <c r="D2612" s="2"/>
      <c r="E2612" s="2"/>
      <c r="F2612" s="2"/>
      <c r="G2612" s="31" t="n">
        <v>70.3</v>
      </c>
      <c r="H2612" s="2" t="s">
        <v>832</v>
      </c>
    </row>
    <row r="2613" customFormat="false" ht="15" hidden="false" customHeight="false" outlineLevel="0" collapsed="false">
      <c r="A2613" s="2" t="s">
        <v>2160</v>
      </c>
      <c r="B2613" s="2" t="s">
        <v>46</v>
      </c>
      <c r="C2613" s="2" t="s">
        <v>4275</v>
      </c>
      <c r="D2613" s="11" t="n">
        <v>109980</v>
      </c>
      <c r="E2613" s="31" t="n">
        <v>7.1</v>
      </c>
      <c r="F2613" s="31" t="n">
        <v>19.7</v>
      </c>
      <c r="G2613" s="31" t="n">
        <v>43.9</v>
      </c>
      <c r="H2613" s="2" t="s">
        <v>822</v>
      </c>
    </row>
    <row r="2614" customFormat="false" ht="15" hidden="false" customHeight="false" outlineLevel="0" collapsed="false">
      <c r="A2614" s="2" t="s">
        <v>2160</v>
      </c>
      <c r="B2614" s="2" t="s">
        <v>47</v>
      </c>
      <c r="C2614" s="2" t="s">
        <v>4274</v>
      </c>
      <c r="D2614" s="11" t="n">
        <v>172345</v>
      </c>
      <c r="E2614" s="31" t="n">
        <v>57.4</v>
      </c>
      <c r="F2614" s="31" t="n">
        <v>95.7</v>
      </c>
      <c r="G2614" s="31" t="n">
        <v>18.7</v>
      </c>
      <c r="H2614" s="2" t="s">
        <v>822</v>
      </c>
    </row>
    <row r="2615" customFormat="false" ht="15" hidden="false" customHeight="false" outlineLevel="0" collapsed="false">
      <c r="A2615" s="2" t="s">
        <v>2160</v>
      </c>
      <c r="B2615" s="2" t="s">
        <v>47</v>
      </c>
      <c r="C2615" s="2" t="s">
        <v>4275</v>
      </c>
      <c r="D2615" s="11" t="n">
        <v>191540</v>
      </c>
      <c r="E2615" s="31" t="n">
        <v>24.7</v>
      </c>
      <c r="F2615" s="31" t="n">
        <v>73.3</v>
      </c>
      <c r="G2615" s="31" t="n">
        <v>31.4</v>
      </c>
      <c r="H2615" s="2" t="s">
        <v>822</v>
      </c>
    </row>
    <row r="2616" customFormat="false" ht="15" hidden="false" customHeight="false" outlineLevel="0" collapsed="false">
      <c r="A2616" s="2" t="s">
        <v>904</v>
      </c>
      <c r="B2616" s="2" t="s">
        <v>4291</v>
      </c>
      <c r="C2616" s="2" t="s">
        <v>4274</v>
      </c>
      <c r="D2616" s="2"/>
      <c r="E2616" s="31" t="n">
        <v>64.4</v>
      </c>
      <c r="F2616" s="31" t="n">
        <v>23.4</v>
      </c>
      <c r="G2616" s="31" t="n">
        <v>63.5</v>
      </c>
      <c r="H2616" s="2" t="s">
        <v>832</v>
      </c>
    </row>
    <row r="2617" customFormat="false" ht="15" hidden="false" customHeight="false" outlineLevel="0" collapsed="false">
      <c r="A2617" s="2" t="s">
        <v>904</v>
      </c>
      <c r="B2617" s="2" t="s">
        <v>4291</v>
      </c>
      <c r="C2617" s="2" t="s">
        <v>4275</v>
      </c>
      <c r="D2617" s="2"/>
      <c r="E2617" s="31" t="n">
        <v>49.5</v>
      </c>
      <c r="F2617" s="31" t="n">
        <v>33</v>
      </c>
      <c r="G2617" s="31" t="n">
        <v>4.1</v>
      </c>
      <c r="H2617" s="2" t="s">
        <v>832</v>
      </c>
    </row>
    <row r="2618" customFormat="false" ht="15" hidden="false" customHeight="false" outlineLevel="0" collapsed="false">
      <c r="A2618" s="2" t="s">
        <v>904</v>
      </c>
      <c r="B2618" s="2" t="s">
        <v>45</v>
      </c>
      <c r="C2618" s="2" t="s">
        <v>4274</v>
      </c>
      <c r="D2618" s="11" t="n">
        <v>69760</v>
      </c>
      <c r="E2618" s="31" t="n">
        <v>84.7</v>
      </c>
      <c r="F2618" s="31" t="n">
        <v>43.1</v>
      </c>
      <c r="G2618" s="2"/>
      <c r="H2618" s="2" t="s">
        <v>822</v>
      </c>
    </row>
    <row r="2619" customFormat="false" ht="15" hidden="false" customHeight="false" outlineLevel="0" collapsed="false">
      <c r="A2619" s="2" t="s">
        <v>904</v>
      </c>
      <c r="B2619" s="2" t="s">
        <v>45</v>
      </c>
      <c r="C2619" s="2" t="s">
        <v>4275</v>
      </c>
      <c r="D2619" s="11" t="n">
        <v>70500</v>
      </c>
      <c r="E2619" s="31" t="n">
        <v>90.5</v>
      </c>
      <c r="F2619" s="31" t="n">
        <v>49.1</v>
      </c>
      <c r="G2619" s="2"/>
      <c r="H2619" s="2" t="s">
        <v>822</v>
      </c>
    </row>
    <row r="2620" customFormat="false" ht="15" hidden="false" customHeight="false" outlineLevel="0" collapsed="false">
      <c r="A2620" s="2" t="s">
        <v>904</v>
      </c>
      <c r="B2620" s="2" t="s">
        <v>46</v>
      </c>
      <c r="C2620" s="2" t="s">
        <v>4274</v>
      </c>
      <c r="D2620" s="11" t="n">
        <v>75000</v>
      </c>
      <c r="E2620" s="31" t="n">
        <v>44.2</v>
      </c>
      <c r="F2620" s="31" t="n">
        <v>3.7</v>
      </c>
      <c r="G2620" s="31" t="n">
        <v>63.5</v>
      </c>
      <c r="H2620" s="2" t="s">
        <v>822</v>
      </c>
    </row>
    <row r="2621" customFormat="false" ht="15" hidden="false" customHeight="false" outlineLevel="0" collapsed="false">
      <c r="A2621" s="2" t="s">
        <v>904</v>
      </c>
      <c r="B2621" s="2" t="s">
        <v>46</v>
      </c>
      <c r="C2621" s="2" t="s">
        <v>4275</v>
      </c>
      <c r="D2621" s="2"/>
      <c r="E2621" s="2"/>
      <c r="F2621" s="2"/>
      <c r="G2621" s="2"/>
      <c r="H2621" s="2" t="s">
        <v>832</v>
      </c>
    </row>
    <row r="2622" customFormat="false" ht="15" hidden="false" customHeight="false" outlineLevel="0" collapsed="false">
      <c r="A2622" s="2" t="s">
        <v>904</v>
      </c>
      <c r="B2622" s="2" t="s">
        <v>47</v>
      </c>
      <c r="C2622" s="2" t="s">
        <v>4274</v>
      </c>
      <c r="D2622" s="2"/>
      <c r="E2622" s="2"/>
      <c r="F2622" s="2"/>
      <c r="G2622" s="2"/>
      <c r="H2622" s="2" t="s">
        <v>832</v>
      </c>
    </row>
    <row r="2623" customFormat="false" ht="15" hidden="false" customHeight="false" outlineLevel="0" collapsed="false">
      <c r="A2623" s="2" t="s">
        <v>904</v>
      </c>
      <c r="B2623" s="2" t="s">
        <v>47</v>
      </c>
      <c r="C2623" s="2" t="s">
        <v>4275</v>
      </c>
      <c r="D2623" s="11" t="n">
        <v>443682</v>
      </c>
      <c r="E2623" s="31" t="n">
        <v>8.5</v>
      </c>
      <c r="F2623" s="31" t="n">
        <v>16.8</v>
      </c>
      <c r="G2623" s="31" t="n">
        <v>4.1</v>
      </c>
      <c r="H2623" s="2" t="s">
        <v>822</v>
      </c>
    </row>
    <row r="2624" customFormat="false" ht="15" hidden="false" customHeight="false" outlineLevel="0" collapsed="false">
      <c r="A2624" s="2" t="s">
        <v>2508</v>
      </c>
      <c r="B2624" s="2" t="s">
        <v>4291</v>
      </c>
      <c r="C2624" s="2" t="s">
        <v>4274</v>
      </c>
      <c r="D2624" s="2"/>
      <c r="E2624" s="31" t="n">
        <v>25.4</v>
      </c>
      <c r="F2624" s="31" t="n">
        <v>27.2</v>
      </c>
      <c r="G2624" s="31" t="n">
        <v>46.2</v>
      </c>
      <c r="H2624" s="2" t="s">
        <v>822</v>
      </c>
    </row>
    <row r="2625" customFormat="false" ht="15" hidden="false" customHeight="false" outlineLevel="0" collapsed="false">
      <c r="A2625" s="2" t="s">
        <v>2508</v>
      </c>
      <c r="B2625" s="2" t="s">
        <v>4291</v>
      </c>
      <c r="C2625" s="2" t="s">
        <v>4275</v>
      </c>
      <c r="D2625" s="2"/>
      <c r="E2625" s="31" t="n">
        <v>42.1</v>
      </c>
      <c r="F2625" s="31" t="n">
        <v>44.8</v>
      </c>
      <c r="G2625" s="31" t="n">
        <v>38.1</v>
      </c>
      <c r="H2625" s="2" t="s">
        <v>832</v>
      </c>
    </row>
    <row r="2626" customFormat="false" ht="15" hidden="false" customHeight="false" outlineLevel="0" collapsed="false">
      <c r="A2626" s="2" t="s">
        <v>2508</v>
      </c>
      <c r="B2626" s="2" t="s">
        <v>45</v>
      </c>
      <c r="C2626" s="2" t="s">
        <v>4274</v>
      </c>
      <c r="D2626" s="11" t="n">
        <v>304960</v>
      </c>
      <c r="E2626" s="31" t="n">
        <v>20.7</v>
      </c>
      <c r="F2626" s="31" t="n">
        <v>13.7</v>
      </c>
      <c r="G2626" s="31" t="n">
        <v>86.3</v>
      </c>
      <c r="H2626" s="2" t="s">
        <v>822</v>
      </c>
    </row>
    <row r="2627" customFormat="false" ht="15" hidden="false" customHeight="false" outlineLevel="0" collapsed="false">
      <c r="A2627" s="2" t="s">
        <v>2508</v>
      </c>
      <c r="B2627" s="2" t="s">
        <v>45</v>
      </c>
      <c r="C2627" s="2" t="s">
        <v>4275</v>
      </c>
      <c r="D2627" s="11" t="n">
        <v>320211</v>
      </c>
      <c r="E2627" s="31" t="n">
        <v>29.7</v>
      </c>
      <c r="F2627" s="31" t="n">
        <v>47.1</v>
      </c>
      <c r="G2627" s="2"/>
      <c r="H2627" s="2" t="s">
        <v>832</v>
      </c>
    </row>
    <row r="2628" customFormat="false" ht="15" hidden="false" customHeight="false" outlineLevel="0" collapsed="false">
      <c r="A2628" s="2" t="s">
        <v>2508</v>
      </c>
      <c r="B2628" s="2" t="s">
        <v>46</v>
      </c>
      <c r="C2628" s="2" t="s">
        <v>4274</v>
      </c>
      <c r="D2628" s="11" t="n">
        <v>11843</v>
      </c>
      <c r="E2628" s="31" t="n">
        <v>1.6</v>
      </c>
      <c r="F2628" s="31" t="n">
        <v>1.1</v>
      </c>
      <c r="G2628" s="31" t="n">
        <v>29</v>
      </c>
      <c r="H2628" s="2" t="s">
        <v>822</v>
      </c>
    </row>
    <row r="2629" customFormat="false" ht="15" hidden="false" customHeight="false" outlineLevel="0" collapsed="false">
      <c r="A2629" s="2" t="s">
        <v>2508</v>
      </c>
      <c r="B2629" s="2" t="s">
        <v>46</v>
      </c>
      <c r="C2629" s="2" t="s">
        <v>4275</v>
      </c>
      <c r="D2629" s="11" t="n">
        <v>11670</v>
      </c>
      <c r="E2629" s="2"/>
      <c r="F2629" s="2"/>
      <c r="G2629" s="31" t="n">
        <v>20.3</v>
      </c>
      <c r="H2629" s="2" t="s">
        <v>832</v>
      </c>
    </row>
    <row r="2630" customFormat="false" ht="15" hidden="false" customHeight="false" outlineLevel="0" collapsed="false">
      <c r="A2630" s="2" t="s">
        <v>2508</v>
      </c>
      <c r="B2630" s="2" t="s">
        <v>47</v>
      </c>
      <c r="C2630" s="2" t="s">
        <v>4274</v>
      </c>
      <c r="D2630" s="11" t="n">
        <v>16158</v>
      </c>
      <c r="E2630" s="31" t="n">
        <v>53.8</v>
      </c>
      <c r="F2630" s="31" t="n">
        <v>66.7</v>
      </c>
      <c r="G2630" s="31" t="n">
        <v>23.3</v>
      </c>
      <c r="H2630" s="2" t="s">
        <v>822</v>
      </c>
    </row>
    <row r="2631" customFormat="false" ht="15" hidden="false" customHeight="false" outlineLevel="0" collapsed="false">
      <c r="A2631" s="2" t="s">
        <v>2508</v>
      </c>
      <c r="B2631" s="2" t="s">
        <v>47</v>
      </c>
      <c r="C2631" s="2" t="s">
        <v>4275</v>
      </c>
      <c r="D2631" s="11" t="n">
        <v>17210</v>
      </c>
      <c r="E2631" s="31" t="n">
        <v>54.5</v>
      </c>
      <c r="F2631" s="31" t="n">
        <v>42.5</v>
      </c>
      <c r="G2631" s="31" t="n">
        <v>55.9</v>
      </c>
      <c r="H2631" s="2" t="s">
        <v>822</v>
      </c>
    </row>
    <row r="2632" customFormat="false" ht="15" hidden="false" customHeight="false" outlineLevel="0" collapsed="false">
      <c r="A2632" s="2" t="s">
        <v>1383</v>
      </c>
      <c r="B2632" s="2" t="s">
        <v>4291</v>
      </c>
      <c r="C2632" s="2" t="s">
        <v>4274</v>
      </c>
      <c r="D2632" s="2"/>
      <c r="E2632" s="31" t="n">
        <v>62.5</v>
      </c>
      <c r="F2632" s="31" t="n">
        <v>21.6</v>
      </c>
      <c r="G2632" s="31" t="n">
        <v>51.2</v>
      </c>
      <c r="H2632" s="2" t="s">
        <v>832</v>
      </c>
    </row>
    <row r="2633" customFormat="false" ht="15" hidden="false" customHeight="false" outlineLevel="0" collapsed="false">
      <c r="A2633" s="2" t="s">
        <v>1383</v>
      </c>
      <c r="B2633" s="2" t="s">
        <v>4291</v>
      </c>
      <c r="C2633" s="2" t="s">
        <v>4275</v>
      </c>
      <c r="D2633" s="2"/>
      <c r="E2633" s="31" t="n">
        <v>41.6</v>
      </c>
      <c r="F2633" s="31" t="n">
        <v>16.8</v>
      </c>
      <c r="G2633" s="31" t="n">
        <v>31.8</v>
      </c>
      <c r="H2633" s="2" t="s">
        <v>832</v>
      </c>
    </row>
    <row r="2634" customFormat="false" ht="15" hidden="false" customHeight="false" outlineLevel="0" collapsed="false">
      <c r="A2634" s="2" t="s">
        <v>1383</v>
      </c>
      <c r="B2634" s="2" t="s">
        <v>45</v>
      </c>
      <c r="C2634" s="2" t="s">
        <v>4274</v>
      </c>
      <c r="D2634" s="11" t="n">
        <v>92645</v>
      </c>
      <c r="E2634" s="31" t="n">
        <v>45.6</v>
      </c>
      <c r="F2634" s="2"/>
      <c r="G2634" s="2"/>
      <c r="H2634" s="2" t="s">
        <v>832</v>
      </c>
    </row>
    <row r="2635" customFormat="false" ht="15" hidden="false" customHeight="false" outlineLevel="0" collapsed="false">
      <c r="A2635" s="2" t="s">
        <v>1383</v>
      </c>
      <c r="B2635" s="2" t="s">
        <v>45</v>
      </c>
      <c r="C2635" s="2" t="s">
        <v>4275</v>
      </c>
      <c r="D2635" s="11" t="n">
        <v>92300</v>
      </c>
      <c r="E2635" s="31" t="n">
        <v>31</v>
      </c>
      <c r="F2635" s="31" t="n">
        <v>27.8</v>
      </c>
      <c r="G2635" s="31" t="n">
        <v>4.7</v>
      </c>
      <c r="H2635" s="2" t="s">
        <v>822</v>
      </c>
    </row>
    <row r="2636" customFormat="false" ht="15" hidden="false" customHeight="false" outlineLevel="0" collapsed="false">
      <c r="A2636" s="2" t="s">
        <v>1383</v>
      </c>
      <c r="B2636" s="2" t="s">
        <v>46</v>
      </c>
      <c r="C2636" s="2" t="s">
        <v>4274</v>
      </c>
      <c r="D2636" s="11" t="n">
        <v>55540</v>
      </c>
      <c r="E2636" s="31" t="n">
        <v>76.3</v>
      </c>
      <c r="F2636" s="31" t="n">
        <v>25.5</v>
      </c>
      <c r="G2636" s="31" t="n">
        <v>85.2</v>
      </c>
      <c r="H2636" s="2" t="s">
        <v>822</v>
      </c>
    </row>
    <row r="2637" customFormat="false" ht="15" hidden="false" customHeight="false" outlineLevel="0" collapsed="false">
      <c r="A2637" s="2" t="s">
        <v>1383</v>
      </c>
      <c r="B2637" s="2" t="s">
        <v>46</v>
      </c>
      <c r="C2637" s="2" t="s">
        <v>4275</v>
      </c>
      <c r="D2637" s="2"/>
      <c r="E2637" s="2"/>
      <c r="F2637" s="2"/>
      <c r="G2637" s="2"/>
      <c r="H2637" s="2" t="s">
        <v>832</v>
      </c>
    </row>
    <row r="2638" customFormat="false" ht="15" hidden="false" customHeight="false" outlineLevel="0" collapsed="false">
      <c r="A2638" s="2" t="s">
        <v>1383</v>
      </c>
      <c r="B2638" s="2" t="s">
        <v>47</v>
      </c>
      <c r="C2638" s="2" t="s">
        <v>4274</v>
      </c>
      <c r="D2638" s="11" t="n">
        <v>37640</v>
      </c>
      <c r="E2638" s="31" t="n">
        <v>65.6</v>
      </c>
      <c r="F2638" s="31" t="n">
        <v>17.6</v>
      </c>
      <c r="G2638" s="31" t="n">
        <v>17.1</v>
      </c>
      <c r="H2638" s="2" t="s">
        <v>822</v>
      </c>
    </row>
    <row r="2639" customFormat="false" ht="15" hidden="false" customHeight="false" outlineLevel="0" collapsed="false">
      <c r="A2639" s="2" t="s">
        <v>1383</v>
      </c>
      <c r="B2639" s="2" t="s">
        <v>47</v>
      </c>
      <c r="C2639" s="2" t="s">
        <v>4275</v>
      </c>
      <c r="D2639" s="11" t="n">
        <v>37466</v>
      </c>
      <c r="E2639" s="31" t="n">
        <v>52.2</v>
      </c>
      <c r="F2639" s="31" t="n">
        <v>5.8</v>
      </c>
      <c r="G2639" s="31" t="n">
        <v>59</v>
      </c>
      <c r="H2639" s="2" t="s">
        <v>822</v>
      </c>
    </row>
    <row r="2640" customFormat="false" ht="15" hidden="false" customHeight="false" outlineLevel="0" collapsed="false">
      <c r="A2640" s="2" t="s">
        <v>2546</v>
      </c>
      <c r="B2640" s="2" t="s">
        <v>4291</v>
      </c>
      <c r="C2640" s="2" t="s">
        <v>4274</v>
      </c>
      <c r="D2640" s="2"/>
      <c r="E2640" s="31" t="n">
        <v>64.2</v>
      </c>
      <c r="F2640" s="31" t="n">
        <v>76.8</v>
      </c>
      <c r="G2640" s="31" t="n">
        <v>91.2</v>
      </c>
      <c r="H2640" s="2" t="s">
        <v>832</v>
      </c>
    </row>
    <row r="2641" customFormat="false" ht="15" hidden="false" customHeight="false" outlineLevel="0" collapsed="false">
      <c r="A2641" s="2" t="s">
        <v>2546</v>
      </c>
      <c r="B2641" s="2" t="s">
        <v>4291</v>
      </c>
      <c r="C2641" s="2" t="s">
        <v>4275</v>
      </c>
      <c r="D2641" s="2"/>
      <c r="E2641" s="31" t="n">
        <v>49.6</v>
      </c>
      <c r="F2641" s="31" t="n">
        <v>87</v>
      </c>
      <c r="G2641" s="31" t="n">
        <v>36.6</v>
      </c>
      <c r="H2641" s="2" t="s">
        <v>832</v>
      </c>
    </row>
    <row r="2642" customFormat="false" ht="15" hidden="false" customHeight="false" outlineLevel="0" collapsed="false">
      <c r="A2642" s="2" t="s">
        <v>2546</v>
      </c>
      <c r="B2642" s="2" t="s">
        <v>45</v>
      </c>
      <c r="C2642" s="2" t="s">
        <v>4274</v>
      </c>
      <c r="D2642" s="11" t="n">
        <v>25394</v>
      </c>
      <c r="E2642" s="31" t="n">
        <v>95.7</v>
      </c>
      <c r="F2642" s="31" t="n">
        <v>92</v>
      </c>
      <c r="G2642" s="31" t="n">
        <v>92</v>
      </c>
      <c r="H2642" s="2" t="s">
        <v>822</v>
      </c>
    </row>
    <row r="2643" customFormat="false" ht="15" hidden="false" customHeight="false" outlineLevel="0" collapsed="false">
      <c r="A2643" s="2" t="s">
        <v>2546</v>
      </c>
      <c r="B2643" s="2" t="s">
        <v>45</v>
      </c>
      <c r="C2643" s="2" t="s">
        <v>4275</v>
      </c>
      <c r="D2643" s="2"/>
      <c r="E2643" s="2"/>
      <c r="F2643" s="2"/>
      <c r="G2643" s="2"/>
      <c r="H2643" s="2" t="s">
        <v>832</v>
      </c>
    </row>
    <row r="2644" customFormat="false" ht="15" hidden="false" customHeight="false" outlineLevel="0" collapsed="false">
      <c r="A2644" s="2" t="s">
        <v>2546</v>
      </c>
      <c r="B2644" s="2" t="s">
        <v>46</v>
      </c>
      <c r="C2644" s="2" t="s">
        <v>4274</v>
      </c>
      <c r="D2644" s="11" t="n">
        <v>129190</v>
      </c>
      <c r="E2644" s="31" t="n">
        <v>52.8</v>
      </c>
      <c r="F2644" s="31" t="n">
        <v>56.4</v>
      </c>
      <c r="G2644" s="2"/>
      <c r="H2644" s="2" t="s">
        <v>832</v>
      </c>
    </row>
    <row r="2645" customFormat="false" ht="15" hidden="false" customHeight="false" outlineLevel="0" collapsed="false">
      <c r="A2645" s="2" t="s">
        <v>2546</v>
      </c>
      <c r="B2645" s="2" t="s">
        <v>46</v>
      </c>
      <c r="C2645" s="2" t="s">
        <v>4275</v>
      </c>
      <c r="D2645" s="2"/>
      <c r="E2645" s="2"/>
      <c r="F2645" s="2"/>
      <c r="G2645" s="31" t="n">
        <v>8.4</v>
      </c>
      <c r="H2645" s="2" t="s">
        <v>832</v>
      </c>
    </row>
    <row r="2646" customFormat="false" ht="15" hidden="false" customHeight="false" outlineLevel="0" collapsed="false">
      <c r="A2646" s="2" t="s">
        <v>2546</v>
      </c>
      <c r="B2646" s="2" t="s">
        <v>47</v>
      </c>
      <c r="C2646" s="2" t="s">
        <v>4274</v>
      </c>
      <c r="D2646" s="11" t="n">
        <v>30955</v>
      </c>
      <c r="E2646" s="31" t="n">
        <v>44.1</v>
      </c>
      <c r="F2646" s="31" t="n">
        <v>82</v>
      </c>
      <c r="G2646" s="31" t="n">
        <v>90.5</v>
      </c>
      <c r="H2646" s="2" t="s">
        <v>822</v>
      </c>
    </row>
    <row r="2647" customFormat="false" ht="15" hidden="false" customHeight="false" outlineLevel="0" collapsed="false">
      <c r="A2647" s="2" t="s">
        <v>2546</v>
      </c>
      <c r="B2647" s="2" t="s">
        <v>47</v>
      </c>
      <c r="C2647" s="2" t="s">
        <v>4275</v>
      </c>
      <c r="D2647" s="11" t="n">
        <v>32895</v>
      </c>
      <c r="E2647" s="31" t="n">
        <v>49.6</v>
      </c>
      <c r="F2647" s="31" t="n">
        <v>87</v>
      </c>
      <c r="G2647" s="31" t="n">
        <v>64.7</v>
      </c>
      <c r="H2647" s="2" t="s">
        <v>822</v>
      </c>
    </row>
    <row r="2648" customFormat="false" ht="15" hidden="false" customHeight="false" outlineLevel="0" collapsed="false">
      <c r="A2648" s="2" t="s">
        <v>2833</v>
      </c>
      <c r="B2648" s="2" t="s">
        <v>4291</v>
      </c>
      <c r="C2648" s="2" t="s">
        <v>4274</v>
      </c>
      <c r="D2648" s="2"/>
      <c r="E2648" s="31" t="n">
        <v>18.5</v>
      </c>
      <c r="F2648" s="31" t="n">
        <v>68.7</v>
      </c>
      <c r="G2648" s="31" t="n">
        <v>45.9</v>
      </c>
      <c r="H2648" s="2" t="s">
        <v>832</v>
      </c>
    </row>
    <row r="2649" customFormat="false" ht="15" hidden="false" customHeight="false" outlineLevel="0" collapsed="false">
      <c r="A2649" s="2" t="s">
        <v>2833</v>
      </c>
      <c r="B2649" s="2" t="s">
        <v>4291</v>
      </c>
      <c r="C2649" s="2" t="s">
        <v>4275</v>
      </c>
      <c r="D2649" s="2"/>
      <c r="E2649" s="31" t="n">
        <v>6.2</v>
      </c>
      <c r="F2649" s="31" t="n">
        <v>82</v>
      </c>
      <c r="G2649" s="31" t="n">
        <v>94.1</v>
      </c>
      <c r="H2649" s="2" t="s">
        <v>832</v>
      </c>
    </row>
    <row r="2650" customFormat="false" ht="15" hidden="false" customHeight="false" outlineLevel="0" collapsed="false">
      <c r="A2650" s="2" t="s">
        <v>2833</v>
      </c>
      <c r="B2650" s="2" t="s">
        <v>45</v>
      </c>
      <c r="C2650" s="2" t="s">
        <v>4274</v>
      </c>
      <c r="D2650" s="11" t="n">
        <v>118010</v>
      </c>
      <c r="E2650" s="31" t="n">
        <v>18.2</v>
      </c>
      <c r="F2650" s="31" t="n">
        <v>41.8</v>
      </c>
      <c r="G2650" s="31" t="n">
        <v>43.9</v>
      </c>
      <c r="H2650" s="2" t="s">
        <v>822</v>
      </c>
    </row>
    <row r="2651" customFormat="false" ht="15" hidden="false" customHeight="false" outlineLevel="0" collapsed="false">
      <c r="A2651" s="2" t="s">
        <v>2833</v>
      </c>
      <c r="B2651" s="2" t="s">
        <v>45</v>
      </c>
      <c r="C2651" s="2" t="s">
        <v>4275</v>
      </c>
      <c r="D2651" s="2"/>
      <c r="E2651" s="2"/>
      <c r="F2651" s="2"/>
      <c r="G2651" s="2"/>
      <c r="H2651" s="2" t="s">
        <v>832</v>
      </c>
    </row>
    <row r="2652" customFormat="false" ht="15" hidden="false" customHeight="false" outlineLevel="0" collapsed="false">
      <c r="A2652" s="2" t="s">
        <v>2833</v>
      </c>
      <c r="B2652" s="2" t="s">
        <v>46</v>
      </c>
      <c r="C2652" s="2" t="s">
        <v>4274</v>
      </c>
      <c r="D2652" s="11" t="n">
        <v>56790</v>
      </c>
      <c r="E2652" s="31" t="n">
        <v>23.9</v>
      </c>
      <c r="F2652" s="31" t="n">
        <v>74.9</v>
      </c>
      <c r="G2652" s="31" t="n">
        <v>36.8</v>
      </c>
      <c r="H2652" s="2" t="s">
        <v>832</v>
      </c>
    </row>
    <row r="2653" customFormat="false" ht="15" hidden="false" customHeight="false" outlineLevel="0" collapsed="false">
      <c r="A2653" s="2" t="s">
        <v>2833</v>
      </c>
      <c r="B2653" s="2" t="s">
        <v>46</v>
      </c>
      <c r="C2653" s="2" t="s">
        <v>4275</v>
      </c>
      <c r="D2653" s="2"/>
      <c r="E2653" s="2"/>
      <c r="F2653" s="2"/>
      <c r="G2653" s="2"/>
      <c r="H2653" s="2" t="s">
        <v>832</v>
      </c>
    </row>
    <row r="2654" customFormat="false" ht="15" hidden="false" customHeight="false" outlineLevel="0" collapsed="false">
      <c r="A2654" s="2" t="s">
        <v>2833</v>
      </c>
      <c r="B2654" s="2" t="s">
        <v>47</v>
      </c>
      <c r="C2654" s="2" t="s">
        <v>4274</v>
      </c>
      <c r="D2654" s="11" t="n">
        <v>154580</v>
      </c>
      <c r="E2654" s="31" t="n">
        <v>13.3</v>
      </c>
      <c r="F2654" s="31" t="n">
        <v>89.5</v>
      </c>
      <c r="G2654" s="31" t="n">
        <v>57</v>
      </c>
      <c r="H2654" s="2" t="s">
        <v>822</v>
      </c>
    </row>
    <row r="2655" customFormat="false" ht="15" hidden="false" customHeight="false" outlineLevel="0" collapsed="false">
      <c r="A2655" s="2" t="s">
        <v>2833</v>
      </c>
      <c r="B2655" s="2" t="s">
        <v>47</v>
      </c>
      <c r="C2655" s="2" t="s">
        <v>4275</v>
      </c>
      <c r="D2655" s="11" t="n">
        <v>175095</v>
      </c>
      <c r="E2655" s="31" t="n">
        <v>6.2</v>
      </c>
      <c r="F2655" s="31" t="n">
        <v>82</v>
      </c>
      <c r="G2655" s="31" t="n">
        <v>94.1</v>
      </c>
      <c r="H2655" s="2" t="s">
        <v>822</v>
      </c>
    </row>
    <row r="2656" customFormat="false" ht="15" hidden="false" customHeight="false" outlineLevel="0" collapsed="false">
      <c r="A2656" s="2" t="s">
        <v>684</v>
      </c>
      <c r="B2656" s="2" t="s">
        <v>4291</v>
      </c>
      <c r="C2656" s="2" t="s">
        <v>4274</v>
      </c>
      <c r="D2656" s="2"/>
      <c r="E2656" s="31" t="n">
        <v>50.3</v>
      </c>
      <c r="F2656" s="31" t="n">
        <v>26.1</v>
      </c>
      <c r="G2656" s="31" t="n">
        <v>38</v>
      </c>
      <c r="H2656" s="2" t="s">
        <v>832</v>
      </c>
    </row>
    <row r="2657" customFormat="false" ht="15" hidden="false" customHeight="false" outlineLevel="0" collapsed="false">
      <c r="A2657" s="2" t="s">
        <v>684</v>
      </c>
      <c r="B2657" s="2" t="s">
        <v>4291</v>
      </c>
      <c r="C2657" s="2" t="s">
        <v>4275</v>
      </c>
      <c r="D2657" s="2"/>
      <c r="E2657" s="31" t="n">
        <v>30.1</v>
      </c>
      <c r="F2657" s="31" t="n">
        <v>28.3</v>
      </c>
      <c r="G2657" s="31" t="n">
        <v>23.6</v>
      </c>
      <c r="H2657" s="2" t="s">
        <v>822</v>
      </c>
    </row>
    <row r="2658" customFormat="false" ht="15" hidden="false" customHeight="false" outlineLevel="0" collapsed="false">
      <c r="A2658" s="2" t="s">
        <v>684</v>
      </c>
      <c r="B2658" s="2" t="s">
        <v>45</v>
      </c>
      <c r="C2658" s="2" t="s">
        <v>4274</v>
      </c>
      <c r="D2658" s="2"/>
      <c r="E2658" s="2"/>
      <c r="F2658" s="2"/>
      <c r="G2658" s="2"/>
      <c r="H2658" s="2" t="s">
        <v>832</v>
      </c>
    </row>
    <row r="2659" customFormat="false" ht="15" hidden="false" customHeight="false" outlineLevel="0" collapsed="false">
      <c r="A2659" s="2" t="s">
        <v>684</v>
      </c>
      <c r="B2659" s="2" t="s">
        <v>45</v>
      </c>
      <c r="C2659" s="2" t="s">
        <v>4275</v>
      </c>
      <c r="D2659" s="11" t="n">
        <v>19512</v>
      </c>
      <c r="E2659" s="31" t="n">
        <v>7.8</v>
      </c>
      <c r="F2659" s="31" t="n">
        <v>19.9</v>
      </c>
      <c r="G2659" s="31" t="n">
        <v>5.4</v>
      </c>
      <c r="H2659" s="2" t="s">
        <v>822</v>
      </c>
    </row>
    <row r="2660" customFormat="false" ht="15" hidden="false" customHeight="false" outlineLevel="0" collapsed="false">
      <c r="A2660" s="2" t="s">
        <v>684</v>
      </c>
      <c r="B2660" s="2" t="s">
        <v>46</v>
      </c>
      <c r="C2660" s="2" t="s">
        <v>4274</v>
      </c>
      <c r="D2660" s="11" t="n">
        <v>413239</v>
      </c>
      <c r="E2660" s="31" t="n">
        <v>84.5</v>
      </c>
      <c r="F2660" s="31" t="n">
        <v>24.4</v>
      </c>
      <c r="G2660" s="31" t="n">
        <v>42</v>
      </c>
      <c r="H2660" s="2" t="s">
        <v>822</v>
      </c>
    </row>
    <row r="2661" customFormat="false" ht="15" hidden="false" customHeight="false" outlineLevel="0" collapsed="false">
      <c r="A2661" s="2" t="s">
        <v>684</v>
      </c>
      <c r="B2661" s="2" t="s">
        <v>46</v>
      </c>
      <c r="C2661" s="2" t="s">
        <v>4275</v>
      </c>
      <c r="D2661" s="11" t="n">
        <v>426590</v>
      </c>
      <c r="E2661" s="31" t="n">
        <v>76</v>
      </c>
      <c r="F2661" s="31" t="n">
        <v>17.8</v>
      </c>
      <c r="G2661" s="31" t="n">
        <v>40.8</v>
      </c>
      <c r="H2661" s="2" t="s">
        <v>822</v>
      </c>
    </row>
    <row r="2662" customFormat="false" ht="15" hidden="false" customHeight="false" outlineLevel="0" collapsed="false">
      <c r="A2662" s="2" t="s">
        <v>684</v>
      </c>
      <c r="B2662" s="2" t="s">
        <v>47</v>
      </c>
      <c r="C2662" s="2" t="s">
        <v>4274</v>
      </c>
      <c r="D2662" s="11" t="n">
        <v>194640</v>
      </c>
      <c r="E2662" s="31" t="n">
        <v>16.1</v>
      </c>
      <c r="F2662" s="31" t="n">
        <v>27.8</v>
      </c>
      <c r="G2662" s="31" t="n">
        <v>33.9</v>
      </c>
      <c r="H2662" s="2" t="s">
        <v>822</v>
      </c>
    </row>
    <row r="2663" customFormat="false" ht="15" hidden="false" customHeight="false" outlineLevel="0" collapsed="false">
      <c r="A2663" s="2" t="s">
        <v>684</v>
      </c>
      <c r="B2663" s="2" t="s">
        <v>47</v>
      </c>
      <c r="C2663" s="2" t="s">
        <v>4275</v>
      </c>
      <c r="D2663" s="11" t="n">
        <v>195387</v>
      </c>
      <c r="E2663" s="31" t="n">
        <v>6.5</v>
      </c>
      <c r="F2663" s="31" t="n">
        <v>47.2</v>
      </c>
      <c r="G2663" s="31" t="n">
        <v>24.7</v>
      </c>
      <c r="H2663" s="2" t="s">
        <v>822</v>
      </c>
    </row>
    <row r="2664" customFormat="false" ht="15" hidden="false" customHeight="false" outlineLevel="0" collapsed="false">
      <c r="A2664" s="2" t="s">
        <v>1764</v>
      </c>
      <c r="B2664" s="2" t="s">
        <v>4291</v>
      </c>
      <c r="C2664" s="2" t="s">
        <v>4274</v>
      </c>
      <c r="D2664" s="2"/>
      <c r="E2664" s="31" t="n">
        <v>31.1</v>
      </c>
      <c r="F2664" s="31" t="n">
        <v>45.6</v>
      </c>
      <c r="G2664" s="31" t="n">
        <v>57.8</v>
      </c>
      <c r="H2664" s="2" t="s">
        <v>832</v>
      </c>
    </row>
    <row r="2665" customFormat="false" ht="15" hidden="false" customHeight="false" outlineLevel="0" collapsed="false">
      <c r="A2665" s="2" t="s">
        <v>1764</v>
      </c>
      <c r="B2665" s="2" t="s">
        <v>4291</v>
      </c>
      <c r="C2665" s="2" t="s">
        <v>4275</v>
      </c>
      <c r="D2665" s="2"/>
      <c r="E2665" s="31" t="n">
        <v>43.8</v>
      </c>
      <c r="F2665" s="31" t="n">
        <v>91.5</v>
      </c>
      <c r="G2665" s="31" t="n">
        <v>65.3</v>
      </c>
      <c r="H2665" s="2" t="s">
        <v>832</v>
      </c>
    </row>
    <row r="2666" customFormat="false" ht="15" hidden="false" customHeight="false" outlineLevel="0" collapsed="false">
      <c r="A2666" s="2" t="s">
        <v>1764</v>
      </c>
      <c r="B2666" s="2" t="s">
        <v>45</v>
      </c>
      <c r="C2666" s="2" t="s">
        <v>4274</v>
      </c>
      <c r="D2666" s="11" t="n">
        <v>4332</v>
      </c>
      <c r="E2666" s="31" t="n">
        <v>49.9</v>
      </c>
      <c r="F2666" s="31" t="n">
        <v>14.5</v>
      </c>
      <c r="G2666" s="31" t="n">
        <v>74.4</v>
      </c>
      <c r="H2666" s="2" t="s">
        <v>822</v>
      </c>
    </row>
    <row r="2667" customFormat="false" ht="15" hidden="false" customHeight="false" outlineLevel="0" collapsed="false">
      <c r="A2667" s="2" t="s">
        <v>1764</v>
      </c>
      <c r="B2667" s="2" t="s">
        <v>45</v>
      </c>
      <c r="C2667" s="2" t="s">
        <v>4275</v>
      </c>
      <c r="D2667" s="11" t="n">
        <v>4420</v>
      </c>
      <c r="E2667" s="31" t="n">
        <v>46.9</v>
      </c>
      <c r="F2667" s="2"/>
      <c r="G2667" s="31" t="n">
        <v>56.9</v>
      </c>
      <c r="H2667" s="2" t="s">
        <v>832</v>
      </c>
    </row>
    <row r="2668" customFormat="false" ht="15" hidden="false" customHeight="false" outlineLevel="0" collapsed="false">
      <c r="A2668" s="2" t="s">
        <v>1764</v>
      </c>
      <c r="B2668" s="2" t="s">
        <v>46</v>
      </c>
      <c r="C2668" s="2" t="s">
        <v>4274</v>
      </c>
      <c r="D2668" s="2"/>
      <c r="E2668" s="2"/>
      <c r="F2668" s="2"/>
      <c r="G2668" s="2"/>
      <c r="H2668" s="2" t="s">
        <v>832</v>
      </c>
    </row>
    <row r="2669" customFormat="false" ht="15" hidden="false" customHeight="false" outlineLevel="0" collapsed="false">
      <c r="A2669" s="2" t="s">
        <v>1764</v>
      </c>
      <c r="B2669" s="2" t="s">
        <v>46</v>
      </c>
      <c r="C2669" s="2" t="s">
        <v>4275</v>
      </c>
      <c r="D2669" s="11" t="n">
        <v>114460</v>
      </c>
      <c r="E2669" s="31" t="n">
        <v>71.9</v>
      </c>
      <c r="F2669" s="31" t="n">
        <v>87.3</v>
      </c>
      <c r="G2669" s="31" t="n">
        <v>70.6</v>
      </c>
      <c r="H2669" s="2" t="s">
        <v>822</v>
      </c>
    </row>
    <row r="2670" customFormat="false" ht="15" hidden="false" customHeight="false" outlineLevel="0" collapsed="false">
      <c r="A2670" s="2" t="s">
        <v>1764</v>
      </c>
      <c r="B2670" s="2" t="s">
        <v>47</v>
      </c>
      <c r="C2670" s="2" t="s">
        <v>4274</v>
      </c>
      <c r="D2670" s="11" t="n">
        <v>96352</v>
      </c>
      <c r="E2670" s="31" t="n">
        <v>12.3</v>
      </c>
      <c r="F2670" s="31" t="n">
        <v>76.8</v>
      </c>
      <c r="G2670" s="31" t="n">
        <v>41.1</v>
      </c>
      <c r="H2670" s="2" t="s">
        <v>822</v>
      </c>
    </row>
    <row r="2671" customFormat="false" ht="15" hidden="false" customHeight="false" outlineLevel="0" collapsed="false">
      <c r="A2671" s="2" t="s">
        <v>1764</v>
      </c>
      <c r="B2671" s="2" t="s">
        <v>47</v>
      </c>
      <c r="C2671" s="2" t="s">
        <v>4275</v>
      </c>
      <c r="D2671" s="11" t="n">
        <v>102160</v>
      </c>
      <c r="E2671" s="31" t="n">
        <v>12.5</v>
      </c>
      <c r="F2671" s="31" t="n">
        <v>95.7</v>
      </c>
      <c r="G2671" s="31" t="n">
        <v>68.3</v>
      </c>
      <c r="H2671" s="2" t="s">
        <v>822</v>
      </c>
    </row>
    <row r="2672" customFormat="false" ht="15" hidden="false" customHeight="false" outlineLevel="0" collapsed="false">
      <c r="A2672" s="2" t="s">
        <v>412</v>
      </c>
      <c r="B2672" s="2" t="s">
        <v>4291</v>
      </c>
      <c r="C2672" s="2" t="s">
        <v>4274</v>
      </c>
      <c r="D2672" s="2"/>
      <c r="E2672" s="31" t="n">
        <v>63.2</v>
      </c>
      <c r="F2672" s="31" t="n">
        <v>47.2</v>
      </c>
      <c r="G2672" s="31" t="n">
        <v>63.2</v>
      </c>
      <c r="H2672" s="2" t="s">
        <v>832</v>
      </c>
    </row>
    <row r="2673" customFormat="false" ht="15" hidden="false" customHeight="false" outlineLevel="0" collapsed="false">
      <c r="A2673" s="2" t="s">
        <v>412</v>
      </c>
      <c r="B2673" s="2" t="s">
        <v>4291</v>
      </c>
      <c r="C2673" s="2" t="s">
        <v>4275</v>
      </c>
      <c r="D2673" s="2"/>
      <c r="E2673" s="31" t="n">
        <v>54.4</v>
      </c>
      <c r="F2673" s="31" t="n">
        <v>44.9</v>
      </c>
      <c r="G2673" s="31" t="n">
        <v>40.9</v>
      </c>
      <c r="H2673" s="2" t="s">
        <v>822</v>
      </c>
    </row>
    <row r="2674" customFormat="false" ht="15" hidden="false" customHeight="false" outlineLevel="0" collapsed="false">
      <c r="A2674" s="2" t="s">
        <v>412</v>
      </c>
      <c r="B2674" s="2" t="s">
        <v>46</v>
      </c>
      <c r="C2674" s="2" t="s">
        <v>4274</v>
      </c>
      <c r="D2674" s="11" t="n">
        <v>68267</v>
      </c>
      <c r="E2674" s="31" t="n">
        <v>59.7</v>
      </c>
      <c r="F2674" s="31" t="n">
        <v>92.9</v>
      </c>
      <c r="G2674" s="31" t="n">
        <v>63.2</v>
      </c>
      <c r="H2674" s="2" t="s">
        <v>822</v>
      </c>
    </row>
    <row r="2675" customFormat="false" ht="15" hidden="false" customHeight="false" outlineLevel="0" collapsed="false">
      <c r="A2675" s="2" t="s">
        <v>412</v>
      </c>
      <c r="B2675" s="2" t="s">
        <v>46</v>
      </c>
      <c r="C2675" s="2" t="s">
        <v>4275</v>
      </c>
      <c r="D2675" s="11" t="n">
        <v>72250</v>
      </c>
      <c r="E2675" s="31" t="n">
        <v>35.4</v>
      </c>
      <c r="F2675" s="31" t="n">
        <v>89.5</v>
      </c>
      <c r="G2675" s="31" t="n">
        <v>67.1</v>
      </c>
      <c r="H2675" s="2" t="s">
        <v>822</v>
      </c>
    </row>
    <row r="2676" customFormat="false" ht="15" hidden="false" customHeight="false" outlineLevel="0" collapsed="false">
      <c r="A2676" s="2" t="s">
        <v>412</v>
      </c>
      <c r="B2676" s="2" t="s">
        <v>47</v>
      </c>
      <c r="C2676" s="2" t="s">
        <v>4274</v>
      </c>
      <c r="D2676" s="11" t="n">
        <v>69419</v>
      </c>
      <c r="E2676" s="31" t="n">
        <v>66.6</v>
      </c>
      <c r="F2676" s="31" t="n">
        <v>1.6</v>
      </c>
      <c r="G2676" s="2"/>
      <c r="H2676" s="2" t="s">
        <v>832</v>
      </c>
    </row>
    <row r="2677" customFormat="false" ht="15" hidden="false" customHeight="false" outlineLevel="0" collapsed="false">
      <c r="A2677" s="2" t="s">
        <v>412</v>
      </c>
      <c r="B2677" s="2" t="s">
        <v>47</v>
      </c>
      <c r="C2677" s="2" t="s">
        <v>4275</v>
      </c>
      <c r="D2677" s="11" t="n">
        <v>68098</v>
      </c>
      <c r="E2677" s="31" t="n">
        <v>73.5</v>
      </c>
      <c r="F2677" s="31" t="n">
        <v>0.3</v>
      </c>
      <c r="G2677" s="31" t="n">
        <v>14.7</v>
      </c>
      <c r="H2677" s="2" t="s">
        <v>822</v>
      </c>
    </row>
    <row r="2678" customFormat="false" ht="15" hidden="false" customHeight="false" outlineLevel="0" collapsed="false">
      <c r="A2678" s="2" t="s">
        <v>436</v>
      </c>
      <c r="B2678" s="2" t="s">
        <v>4291</v>
      </c>
      <c r="C2678" s="2" t="s">
        <v>4274</v>
      </c>
      <c r="D2678" s="2"/>
      <c r="E2678" s="31" t="n">
        <v>63.8</v>
      </c>
      <c r="F2678" s="31" t="n">
        <v>64</v>
      </c>
      <c r="G2678" s="2"/>
      <c r="H2678" s="2" t="s">
        <v>832</v>
      </c>
    </row>
    <row r="2679" customFormat="false" ht="15" hidden="false" customHeight="false" outlineLevel="0" collapsed="false">
      <c r="A2679" s="2" t="s">
        <v>436</v>
      </c>
      <c r="B2679" s="2" t="s">
        <v>4291</v>
      </c>
      <c r="C2679" s="2" t="s">
        <v>4275</v>
      </c>
      <c r="D2679" s="2"/>
      <c r="E2679" s="31" t="n">
        <v>53.2</v>
      </c>
      <c r="F2679" s="31" t="n">
        <v>77.5</v>
      </c>
      <c r="G2679" s="31" t="n">
        <v>84.5</v>
      </c>
      <c r="H2679" s="2" t="s">
        <v>822</v>
      </c>
    </row>
    <row r="2680" customFormat="false" ht="15" hidden="false" customHeight="false" outlineLevel="0" collapsed="false">
      <c r="A2680" s="2" t="s">
        <v>436</v>
      </c>
      <c r="B2680" s="2" t="s">
        <v>46</v>
      </c>
      <c r="C2680" s="2" t="s">
        <v>4274</v>
      </c>
      <c r="D2680" s="11" t="n">
        <v>59630</v>
      </c>
      <c r="E2680" s="31" t="n">
        <v>63.8</v>
      </c>
      <c r="F2680" s="31" t="n">
        <v>64</v>
      </c>
      <c r="G2680" s="2"/>
      <c r="H2680" s="2" t="s">
        <v>832</v>
      </c>
    </row>
    <row r="2681" customFormat="false" ht="15" hidden="false" customHeight="false" outlineLevel="0" collapsed="false">
      <c r="A2681" s="2" t="s">
        <v>436</v>
      </c>
      <c r="B2681" s="2" t="s">
        <v>46</v>
      </c>
      <c r="C2681" s="2" t="s">
        <v>4275</v>
      </c>
      <c r="D2681" s="11" t="n">
        <v>59959</v>
      </c>
      <c r="E2681" s="31" t="n">
        <v>53.2</v>
      </c>
      <c r="F2681" s="31" t="n">
        <v>77.5</v>
      </c>
      <c r="G2681" s="31" t="n">
        <v>84.5</v>
      </c>
      <c r="H2681" s="2" t="s">
        <v>822</v>
      </c>
    </row>
    <row r="2682" customFormat="false" ht="15" hidden="false" customHeight="false" outlineLevel="0" collapsed="false">
      <c r="A2682" s="2" t="s">
        <v>1966</v>
      </c>
      <c r="B2682" s="2" t="s">
        <v>4291</v>
      </c>
      <c r="C2682" s="2" t="s">
        <v>4274</v>
      </c>
      <c r="D2682" s="2"/>
      <c r="E2682" s="31" t="n">
        <v>59.2</v>
      </c>
      <c r="F2682" s="31" t="n">
        <v>60.6</v>
      </c>
      <c r="G2682" s="31" t="n">
        <v>51.3</v>
      </c>
      <c r="H2682" s="2" t="s">
        <v>832</v>
      </c>
    </row>
    <row r="2683" customFormat="false" ht="15" hidden="false" customHeight="false" outlineLevel="0" collapsed="false">
      <c r="A2683" s="2" t="s">
        <v>1966</v>
      </c>
      <c r="B2683" s="2" t="s">
        <v>4291</v>
      </c>
      <c r="C2683" s="2" t="s">
        <v>4275</v>
      </c>
      <c r="D2683" s="2"/>
      <c r="E2683" s="31" t="n">
        <v>42.7</v>
      </c>
      <c r="F2683" s="31" t="n">
        <v>44.8</v>
      </c>
      <c r="G2683" s="31" t="n">
        <v>53.9</v>
      </c>
      <c r="H2683" s="2" t="s">
        <v>832</v>
      </c>
    </row>
    <row r="2684" customFormat="false" ht="15" hidden="false" customHeight="false" outlineLevel="0" collapsed="false">
      <c r="A2684" s="2" t="s">
        <v>1966</v>
      </c>
      <c r="B2684" s="2" t="s">
        <v>45</v>
      </c>
      <c r="C2684" s="2" t="s">
        <v>4274</v>
      </c>
      <c r="D2684" s="2"/>
      <c r="E2684" s="2"/>
      <c r="F2684" s="2"/>
      <c r="G2684" s="2"/>
      <c r="H2684" s="2" t="s">
        <v>832</v>
      </c>
    </row>
    <row r="2685" customFormat="false" ht="15" hidden="false" customHeight="false" outlineLevel="0" collapsed="false">
      <c r="A2685" s="2" t="s">
        <v>1966</v>
      </c>
      <c r="B2685" s="2" t="s">
        <v>45</v>
      </c>
      <c r="C2685" s="2" t="s">
        <v>4275</v>
      </c>
      <c r="D2685" s="11" t="n">
        <v>77770</v>
      </c>
      <c r="E2685" s="31" t="n">
        <v>6.2</v>
      </c>
      <c r="F2685" s="31" t="n">
        <v>27.1</v>
      </c>
      <c r="G2685" s="2"/>
      <c r="H2685" s="2" t="s">
        <v>832</v>
      </c>
    </row>
    <row r="2686" customFormat="false" ht="15" hidden="false" customHeight="false" outlineLevel="0" collapsed="false">
      <c r="A2686" s="2" t="s">
        <v>1966</v>
      </c>
      <c r="B2686" s="2" t="s">
        <v>46</v>
      </c>
      <c r="C2686" s="2" t="s">
        <v>4274</v>
      </c>
      <c r="D2686" s="11" t="n">
        <v>67503</v>
      </c>
      <c r="E2686" s="31" t="n">
        <v>57.3</v>
      </c>
      <c r="F2686" s="31" t="n">
        <v>81.3</v>
      </c>
      <c r="G2686" s="2"/>
      <c r="H2686" s="2" t="s">
        <v>832</v>
      </c>
    </row>
    <row r="2687" customFormat="false" ht="15" hidden="false" customHeight="false" outlineLevel="0" collapsed="false">
      <c r="A2687" s="2" t="s">
        <v>1966</v>
      </c>
      <c r="B2687" s="2" t="s">
        <v>46</v>
      </c>
      <c r="C2687" s="2" t="s">
        <v>4275</v>
      </c>
      <c r="D2687" s="11" t="n">
        <v>69750</v>
      </c>
      <c r="E2687" s="31" t="n">
        <v>39.3</v>
      </c>
      <c r="F2687" s="31" t="n">
        <v>76</v>
      </c>
      <c r="G2687" s="31" t="n">
        <v>48.1</v>
      </c>
      <c r="H2687" s="2" t="s">
        <v>822</v>
      </c>
    </row>
    <row r="2688" customFormat="false" ht="15" hidden="false" customHeight="false" outlineLevel="0" collapsed="false">
      <c r="A2688" s="2" t="s">
        <v>1966</v>
      </c>
      <c r="B2688" s="2" t="s">
        <v>47</v>
      </c>
      <c r="C2688" s="2" t="s">
        <v>4274</v>
      </c>
      <c r="D2688" s="11" t="n">
        <v>8257</v>
      </c>
      <c r="E2688" s="31" t="n">
        <v>61.2</v>
      </c>
      <c r="F2688" s="31" t="n">
        <v>40</v>
      </c>
      <c r="G2688" s="31" t="n">
        <v>51.3</v>
      </c>
      <c r="H2688" s="2" t="s">
        <v>822</v>
      </c>
    </row>
    <row r="2689" customFormat="false" ht="15" hidden="false" customHeight="false" outlineLevel="0" collapsed="false">
      <c r="A2689" s="2" t="s">
        <v>1966</v>
      </c>
      <c r="B2689" s="2" t="s">
        <v>47</v>
      </c>
      <c r="C2689" s="2" t="s">
        <v>4275</v>
      </c>
      <c r="D2689" s="11" t="n">
        <v>8595</v>
      </c>
      <c r="E2689" s="31" t="n">
        <v>82.5</v>
      </c>
      <c r="F2689" s="31" t="n">
        <v>31.2</v>
      </c>
      <c r="G2689" s="31" t="n">
        <v>59.7</v>
      </c>
      <c r="H2689" s="2" t="s">
        <v>822</v>
      </c>
    </row>
    <row r="2690" customFormat="false" ht="15" hidden="false" customHeight="false" outlineLevel="0" collapsed="false">
      <c r="A2690" s="2" t="s">
        <v>292</v>
      </c>
      <c r="B2690" s="2" t="s">
        <v>4291</v>
      </c>
      <c r="C2690" s="2" t="s">
        <v>4274</v>
      </c>
      <c r="D2690" s="2"/>
      <c r="E2690" s="31" t="n">
        <v>47.1</v>
      </c>
      <c r="F2690" s="31" t="n">
        <v>41</v>
      </c>
      <c r="G2690" s="31" t="n">
        <v>99.5</v>
      </c>
      <c r="H2690" s="2" t="s">
        <v>832</v>
      </c>
    </row>
    <row r="2691" customFormat="false" ht="15" hidden="false" customHeight="false" outlineLevel="0" collapsed="false">
      <c r="A2691" s="2" t="s">
        <v>292</v>
      </c>
      <c r="B2691" s="2" t="s">
        <v>4291</v>
      </c>
      <c r="C2691" s="2" t="s">
        <v>4275</v>
      </c>
      <c r="D2691" s="2"/>
      <c r="E2691" s="31" t="n">
        <v>64</v>
      </c>
      <c r="F2691" s="31" t="n">
        <v>28.4</v>
      </c>
      <c r="G2691" s="31" t="n">
        <v>88.4</v>
      </c>
      <c r="H2691" s="2" t="s">
        <v>822</v>
      </c>
    </row>
    <row r="2692" customFormat="false" ht="15" hidden="false" customHeight="false" outlineLevel="0" collapsed="false">
      <c r="A2692" s="2" t="s">
        <v>292</v>
      </c>
      <c r="B2692" s="2" t="s">
        <v>45</v>
      </c>
      <c r="C2692" s="2" t="s">
        <v>4274</v>
      </c>
      <c r="D2692" s="11" t="n">
        <v>9850</v>
      </c>
      <c r="E2692" s="31" t="n">
        <v>8.2</v>
      </c>
      <c r="F2692" s="31" t="n">
        <v>25.8</v>
      </c>
      <c r="G2692" s="2"/>
      <c r="H2692" s="2" t="s">
        <v>832</v>
      </c>
    </row>
    <row r="2693" customFormat="false" ht="15" hidden="false" customHeight="false" outlineLevel="0" collapsed="false">
      <c r="A2693" s="2" t="s">
        <v>292</v>
      </c>
      <c r="B2693" s="2" t="s">
        <v>45</v>
      </c>
      <c r="C2693" s="2" t="s">
        <v>4275</v>
      </c>
      <c r="D2693" s="11" t="n">
        <v>9834</v>
      </c>
      <c r="E2693" s="31" t="n">
        <v>31.8</v>
      </c>
      <c r="F2693" s="31" t="n">
        <v>12.7</v>
      </c>
      <c r="G2693" s="31" t="n">
        <v>79.7</v>
      </c>
      <c r="H2693" s="2" t="s">
        <v>822</v>
      </c>
    </row>
    <row r="2694" customFormat="false" ht="15" hidden="false" customHeight="false" outlineLevel="0" collapsed="false">
      <c r="A2694" s="2" t="s">
        <v>292</v>
      </c>
      <c r="B2694" s="2" t="s">
        <v>47</v>
      </c>
      <c r="C2694" s="2" t="s">
        <v>4274</v>
      </c>
      <c r="D2694" s="11" t="n">
        <v>101478</v>
      </c>
      <c r="E2694" s="31" t="n">
        <v>86</v>
      </c>
      <c r="F2694" s="31" t="n">
        <v>56.2</v>
      </c>
      <c r="G2694" s="31" t="n">
        <v>99.5</v>
      </c>
      <c r="H2694" s="2" t="s">
        <v>822</v>
      </c>
    </row>
    <row r="2695" customFormat="false" ht="15" hidden="false" customHeight="false" outlineLevel="0" collapsed="false">
      <c r="A2695" s="2" t="s">
        <v>292</v>
      </c>
      <c r="B2695" s="2" t="s">
        <v>47</v>
      </c>
      <c r="C2695" s="2" t="s">
        <v>4275</v>
      </c>
      <c r="D2695" s="11" t="n">
        <v>105450</v>
      </c>
      <c r="E2695" s="31" t="n">
        <v>96.1</v>
      </c>
      <c r="F2695" s="31" t="n">
        <v>44.1</v>
      </c>
      <c r="G2695" s="31" t="n">
        <v>97.1</v>
      </c>
      <c r="H2695" s="2" t="s">
        <v>822</v>
      </c>
    </row>
    <row r="2696" customFormat="false" ht="15" hidden="false" customHeight="false" outlineLevel="0" collapsed="false">
      <c r="A2696" s="2" t="s">
        <v>396</v>
      </c>
      <c r="B2696" s="2" t="s">
        <v>4291</v>
      </c>
      <c r="C2696" s="2" t="s">
        <v>4274</v>
      </c>
      <c r="D2696" s="2"/>
      <c r="E2696" s="31" t="n">
        <v>54</v>
      </c>
      <c r="F2696" s="31" t="n">
        <v>32.2</v>
      </c>
      <c r="G2696" s="31" t="n">
        <v>55</v>
      </c>
      <c r="H2696" s="2" t="s">
        <v>832</v>
      </c>
    </row>
    <row r="2697" customFormat="false" ht="15" hidden="false" customHeight="false" outlineLevel="0" collapsed="false">
      <c r="A2697" s="2" t="s">
        <v>396</v>
      </c>
      <c r="B2697" s="2" t="s">
        <v>4291</v>
      </c>
      <c r="C2697" s="2" t="s">
        <v>4275</v>
      </c>
      <c r="D2697" s="2"/>
      <c r="E2697" s="31" t="n">
        <v>55.4</v>
      </c>
      <c r="F2697" s="31" t="n">
        <v>29.7</v>
      </c>
      <c r="G2697" s="31" t="n">
        <v>78.2</v>
      </c>
      <c r="H2697" s="2" t="s">
        <v>822</v>
      </c>
    </row>
    <row r="2698" customFormat="false" ht="15" hidden="false" customHeight="false" outlineLevel="0" collapsed="false">
      <c r="A2698" s="2" t="s">
        <v>396</v>
      </c>
      <c r="B2698" s="2" t="s">
        <v>45</v>
      </c>
      <c r="C2698" s="2" t="s">
        <v>4274</v>
      </c>
      <c r="D2698" s="11" t="n">
        <v>2840</v>
      </c>
      <c r="E2698" s="31" t="n">
        <v>80.1</v>
      </c>
      <c r="F2698" s="2"/>
      <c r="G2698" s="31" t="n">
        <v>14.1</v>
      </c>
      <c r="H2698" s="2" t="s">
        <v>832</v>
      </c>
    </row>
    <row r="2699" customFormat="false" ht="15" hidden="false" customHeight="false" outlineLevel="0" collapsed="false">
      <c r="A2699" s="2" t="s">
        <v>396</v>
      </c>
      <c r="B2699" s="2" t="s">
        <v>45</v>
      </c>
      <c r="C2699" s="2" t="s">
        <v>4275</v>
      </c>
      <c r="D2699" s="11" t="n">
        <v>2960</v>
      </c>
      <c r="E2699" s="31" t="n">
        <v>85.6</v>
      </c>
      <c r="F2699" s="31" t="n">
        <v>16.9</v>
      </c>
      <c r="G2699" s="31" t="n">
        <v>66.2</v>
      </c>
      <c r="H2699" s="2" t="s">
        <v>822</v>
      </c>
    </row>
    <row r="2700" customFormat="false" ht="15" hidden="false" customHeight="false" outlineLevel="0" collapsed="false">
      <c r="A2700" s="2" t="s">
        <v>396</v>
      </c>
      <c r="B2700" s="2" t="s">
        <v>47</v>
      </c>
      <c r="C2700" s="2" t="s">
        <v>4274</v>
      </c>
      <c r="D2700" s="11" t="n">
        <v>2942</v>
      </c>
      <c r="E2700" s="31" t="n">
        <v>28</v>
      </c>
      <c r="F2700" s="31" t="n">
        <v>32.2</v>
      </c>
      <c r="G2700" s="31" t="n">
        <v>95.9</v>
      </c>
      <c r="H2700" s="2" t="s">
        <v>822</v>
      </c>
    </row>
    <row r="2701" customFormat="false" ht="15" hidden="false" customHeight="false" outlineLevel="0" collapsed="false">
      <c r="A2701" s="2" t="s">
        <v>396</v>
      </c>
      <c r="B2701" s="2" t="s">
        <v>47</v>
      </c>
      <c r="C2701" s="2" t="s">
        <v>4275</v>
      </c>
      <c r="D2701" s="11" t="n">
        <v>3080</v>
      </c>
      <c r="E2701" s="31" t="n">
        <v>25.2</v>
      </c>
      <c r="F2701" s="31" t="n">
        <v>42.5</v>
      </c>
      <c r="G2701" s="31" t="n">
        <v>90.1</v>
      </c>
      <c r="H2701" s="2" t="s">
        <v>822</v>
      </c>
    </row>
    <row r="2702" customFormat="false" ht="15" hidden="false" customHeight="false" outlineLevel="0" collapsed="false">
      <c r="A2702" s="2" t="s">
        <v>2111</v>
      </c>
      <c r="B2702" s="2" t="s">
        <v>4291</v>
      </c>
      <c r="C2702" s="2" t="s">
        <v>4274</v>
      </c>
      <c r="D2702" s="2"/>
      <c r="E2702" s="31" t="n">
        <v>63.3</v>
      </c>
      <c r="F2702" s="31" t="n">
        <v>79.2</v>
      </c>
      <c r="G2702" s="31" t="n">
        <v>81.7</v>
      </c>
      <c r="H2702" s="2" t="s">
        <v>832</v>
      </c>
    </row>
    <row r="2703" customFormat="false" ht="15" hidden="false" customHeight="false" outlineLevel="0" collapsed="false">
      <c r="A2703" s="2" t="s">
        <v>2111</v>
      </c>
      <c r="B2703" s="2" t="s">
        <v>4291</v>
      </c>
      <c r="C2703" s="2" t="s">
        <v>4275</v>
      </c>
      <c r="D2703" s="2"/>
      <c r="E2703" s="31" t="n">
        <v>25.8</v>
      </c>
      <c r="F2703" s="31" t="n">
        <v>64.7</v>
      </c>
      <c r="G2703" s="31" t="n">
        <v>35.8</v>
      </c>
      <c r="H2703" s="2" t="s">
        <v>832</v>
      </c>
    </row>
    <row r="2704" customFormat="false" ht="15" hidden="false" customHeight="false" outlineLevel="0" collapsed="false">
      <c r="A2704" s="2" t="s">
        <v>2111</v>
      </c>
      <c r="B2704" s="2" t="s">
        <v>45</v>
      </c>
      <c r="C2704" s="2" t="s">
        <v>4274</v>
      </c>
      <c r="D2704" s="11" t="n">
        <v>1696830</v>
      </c>
      <c r="E2704" s="2"/>
      <c r="F2704" s="31" t="n">
        <v>71.4</v>
      </c>
      <c r="G2704" s="2"/>
      <c r="H2704" s="2" t="s">
        <v>832</v>
      </c>
    </row>
    <row r="2705" customFormat="false" ht="15" hidden="false" customHeight="false" outlineLevel="0" collapsed="false">
      <c r="A2705" s="2" t="s">
        <v>2111</v>
      </c>
      <c r="B2705" s="2" t="s">
        <v>45</v>
      </c>
      <c r="C2705" s="2" t="s">
        <v>4275</v>
      </c>
      <c r="D2705" s="11" t="n">
        <v>1780790</v>
      </c>
      <c r="E2705" s="31" t="n">
        <v>10.8</v>
      </c>
      <c r="F2705" s="31" t="n">
        <v>76.5</v>
      </c>
      <c r="G2705" s="2"/>
      <c r="H2705" s="2" t="s">
        <v>832</v>
      </c>
    </row>
    <row r="2706" customFormat="false" ht="15" hidden="false" customHeight="false" outlineLevel="0" collapsed="false">
      <c r="A2706" s="2" t="s">
        <v>2111</v>
      </c>
      <c r="B2706" s="2" t="s">
        <v>46</v>
      </c>
      <c r="C2706" s="2" t="s">
        <v>4274</v>
      </c>
      <c r="D2706" s="2"/>
      <c r="E2706" s="2"/>
      <c r="F2706" s="2"/>
      <c r="G2706" s="2"/>
      <c r="H2706" s="2" t="s">
        <v>832</v>
      </c>
    </row>
    <row r="2707" customFormat="false" ht="15" hidden="false" customHeight="false" outlineLevel="0" collapsed="false">
      <c r="A2707" s="2" t="s">
        <v>2111</v>
      </c>
      <c r="B2707" s="2" t="s">
        <v>46</v>
      </c>
      <c r="C2707" s="2" t="s">
        <v>4275</v>
      </c>
      <c r="D2707" s="11" t="n">
        <v>51150</v>
      </c>
      <c r="E2707" s="31" t="n">
        <v>15.5</v>
      </c>
      <c r="F2707" s="31" t="n">
        <v>81.1</v>
      </c>
      <c r="G2707" s="31" t="n">
        <v>48.8</v>
      </c>
      <c r="H2707" s="2" t="s">
        <v>822</v>
      </c>
    </row>
    <row r="2708" customFormat="false" ht="15" hidden="false" customHeight="false" outlineLevel="0" collapsed="false">
      <c r="A2708" s="2" t="s">
        <v>2111</v>
      </c>
      <c r="B2708" s="2" t="s">
        <v>47</v>
      </c>
      <c r="C2708" s="2" t="s">
        <v>4274</v>
      </c>
      <c r="D2708" s="11" t="n">
        <v>18362</v>
      </c>
      <c r="E2708" s="31" t="n">
        <v>63.3</v>
      </c>
      <c r="F2708" s="31" t="n">
        <v>86.9</v>
      </c>
      <c r="G2708" s="31" t="n">
        <v>81.7</v>
      </c>
      <c r="H2708" s="2" t="s">
        <v>822</v>
      </c>
    </row>
    <row r="2709" customFormat="false" ht="15" hidden="false" customHeight="false" outlineLevel="0" collapsed="false">
      <c r="A2709" s="2" t="s">
        <v>2111</v>
      </c>
      <c r="B2709" s="2" t="s">
        <v>47</v>
      </c>
      <c r="C2709" s="2" t="s">
        <v>4275</v>
      </c>
      <c r="D2709" s="11" t="n">
        <v>20091</v>
      </c>
      <c r="E2709" s="31" t="n">
        <v>51.1</v>
      </c>
      <c r="F2709" s="31" t="n">
        <v>36.4</v>
      </c>
      <c r="G2709" s="31" t="n">
        <v>22.9</v>
      </c>
      <c r="H2709" s="2" t="s">
        <v>822</v>
      </c>
    </row>
    <row r="2710" customFormat="false" ht="15" hidden="false" customHeight="false" outlineLevel="0" collapsed="false">
      <c r="A2710" s="2" t="s">
        <v>486</v>
      </c>
      <c r="B2710" s="2" t="s">
        <v>4291</v>
      </c>
      <c r="C2710" s="2" t="s">
        <v>4274</v>
      </c>
      <c r="D2710" s="2"/>
      <c r="E2710" s="31" t="n">
        <v>40.6</v>
      </c>
      <c r="F2710" s="31" t="n">
        <v>55</v>
      </c>
      <c r="G2710" s="31" t="n">
        <v>56</v>
      </c>
      <c r="H2710" s="2" t="s">
        <v>822</v>
      </c>
    </row>
    <row r="2711" customFormat="false" ht="15" hidden="false" customHeight="false" outlineLevel="0" collapsed="false">
      <c r="A2711" s="2" t="s">
        <v>486</v>
      </c>
      <c r="B2711" s="2" t="s">
        <v>4291</v>
      </c>
      <c r="C2711" s="2" t="s">
        <v>4275</v>
      </c>
      <c r="D2711" s="2"/>
      <c r="E2711" s="31" t="n">
        <v>49.8</v>
      </c>
      <c r="F2711" s="31" t="n">
        <v>49.3</v>
      </c>
      <c r="G2711" s="31" t="n">
        <v>38.9</v>
      </c>
      <c r="H2711" s="2" t="s">
        <v>822</v>
      </c>
    </row>
    <row r="2712" customFormat="false" ht="15" hidden="false" customHeight="false" outlineLevel="0" collapsed="false">
      <c r="A2712" s="2" t="s">
        <v>486</v>
      </c>
      <c r="B2712" s="2" t="s">
        <v>45</v>
      </c>
      <c r="C2712" s="2" t="s">
        <v>4274</v>
      </c>
      <c r="D2712" s="11" t="n">
        <v>22790</v>
      </c>
      <c r="E2712" s="31" t="n">
        <v>76.5</v>
      </c>
      <c r="F2712" s="31" t="n">
        <v>98.9</v>
      </c>
      <c r="G2712" s="31" t="n">
        <v>21.7</v>
      </c>
      <c r="H2712" s="2" t="s">
        <v>822</v>
      </c>
    </row>
    <row r="2713" customFormat="false" ht="15" hidden="false" customHeight="false" outlineLevel="0" collapsed="false">
      <c r="A2713" s="2" t="s">
        <v>486</v>
      </c>
      <c r="B2713" s="2" t="s">
        <v>45</v>
      </c>
      <c r="C2713" s="2" t="s">
        <v>4275</v>
      </c>
      <c r="D2713" s="11" t="n">
        <v>24050</v>
      </c>
      <c r="E2713" s="31" t="n">
        <v>94.3</v>
      </c>
      <c r="F2713" s="31" t="n">
        <v>95.5</v>
      </c>
      <c r="G2713" s="31" t="n">
        <v>27.3</v>
      </c>
      <c r="H2713" s="2" t="s">
        <v>822</v>
      </c>
    </row>
    <row r="2714" customFormat="false" ht="15" hidden="false" customHeight="false" outlineLevel="0" collapsed="false">
      <c r="A2714" s="2" t="s">
        <v>486</v>
      </c>
      <c r="B2714" s="2" t="s">
        <v>47</v>
      </c>
      <c r="C2714" s="2" t="s">
        <v>4274</v>
      </c>
      <c r="D2714" s="11" t="n">
        <v>320864</v>
      </c>
      <c r="E2714" s="31" t="n">
        <v>4.7</v>
      </c>
      <c r="F2714" s="31" t="n">
        <v>11.1</v>
      </c>
      <c r="G2714" s="31" t="n">
        <v>90.3</v>
      </c>
      <c r="H2714" s="2" t="s">
        <v>822</v>
      </c>
    </row>
    <row r="2715" customFormat="false" ht="15" hidden="false" customHeight="false" outlineLevel="0" collapsed="false">
      <c r="A2715" s="2" t="s">
        <v>486</v>
      </c>
      <c r="B2715" s="2" t="s">
        <v>47</v>
      </c>
      <c r="C2715" s="2" t="s">
        <v>4275</v>
      </c>
      <c r="D2715" s="11" t="n">
        <v>313060</v>
      </c>
      <c r="E2715" s="31" t="n">
        <v>5.3</v>
      </c>
      <c r="F2715" s="31" t="n">
        <v>3.1</v>
      </c>
      <c r="G2715" s="31" t="n">
        <v>50.5</v>
      </c>
      <c r="H2715" s="2" t="s">
        <v>822</v>
      </c>
    </row>
    <row r="2716" customFormat="false" ht="15" hidden="false" customHeight="false" outlineLevel="0" collapsed="false">
      <c r="A2716" s="2" t="s">
        <v>714</v>
      </c>
      <c r="B2716" s="2" t="s">
        <v>4291</v>
      </c>
      <c r="C2716" s="2" t="s">
        <v>4274</v>
      </c>
      <c r="D2716" s="2"/>
      <c r="E2716" s="31" t="n">
        <v>23.5</v>
      </c>
      <c r="F2716" s="31" t="n">
        <v>56.9</v>
      </c>
      <c r="G2716" s="31" t="n">
        <v>41.9</v>
      </c>
      <c r="H2716" s="2" t="s">
        <v>822</v>
      </c>
    </row>
    <row r="2717" customFormat="false" ht="15" hidden="false" customHeight="false" outlineLevel="0" collapsed="false">
      <c r="A2717" s="2" t="s">
        <v>714</v>
      </c>
      <c r="B2717" s="2" t="s">
        <v>4291</v>
      </c>
      <c r="C2717" s="2" t="s">
        <v>4275</v>
      </c>
      <c r="D2717" s="2"/>
      <c r="E2717" s="31" t="n">
        <v>26.8</v>
      </c>
      <c r="F2717" s="31" t="n">
        <v>52.6</v>
      </c>
      <c r="G2717" s="31" t="n">
        <v>46.4</v>
      </c>
      <c r="H2717" s="2" t="s">
        <v>822</v>
      </c>
    </row>
    <row r="2718" customFormat="false" ht="15" hidden="false" customHeight="false" outlineLevel="0" collapsed="false">
      <c r="A2718" s="2" t="s">
        <v>714</v>
      </c>
      <c r="B2718" s="2" t="s">
        <v>45</v>
      </c>
      <c r="C2718" s="2" t="s">
        <v>4274</v>
      </c>
      <c r="D2718" s="11" t="n">
        <v>19844</v>
      </c>
      <c r="E2718" s="31" t="n">
        <v>51</v>
      </c>
      <c r="F2718" s="31" t="n">
        <v>70.1</v>
      </c>
      <c r="G2718" s="31" t="n">
        <v>94.1</v>
      </c>
      <c r="H2718" s="2" t="s">
        <v>822</v>
      </c>
    </row>
    <row r="2719" customFormat="false" ht="15" hidden="false" customHeight="false" outlineLevel="0" collapsed="false">
      <c r="A2719" s="2" t="s">
        <v>714</v>
      </c>
      <c r="B2719" s="2" t="s">
        <v>45</v>
      </c>
      <c r="C2719" s="2" t="s">
        <v>4275</v>
      </c>
      <c r="D2719" s="11" t="n">
        <v>21140</v>
      </c>
      <c r="E2719" s="31" t="n">
        <v>54.1</v>
      </c>
      <c r="F2719" s="31" t="n">
        <v>86.6</v>
      </c>
      <c r="G2719" s="31" t="n">
        <v>97.9</v>
      </c>
      <c r="H2719" s="2" t="s">
        <v>822</v>
      </c>
    </row>
    <row r="2720" customFormat="false" ht="15" hidden="false" customHeight="false" outlineLevel="0" collapsed="false">
      <c r="A2720" s="2" t="s">
        <v>714</v>
      </c>
      <c r="B2720" s="2" t="s">
        <v>46</v>
      </c>
      <c r="C2720" s="2" t="s">
        <v>4274</v>
      </c>
      <c r="D2720" s="11" t="n">
        <v>31310</v>
      </c>
      <c r="E2720" s="31" t="n">
        <v>18.4</v>
      </c>
      <c r="F2720" s="31" t="n">
        <v>40.8</v>
      </c>
      <c r="G2720" s="31" t="n">
        <v>16.7</v>
      </c>
      <c r="H2720" s="2" t="s">
        <v>822</v>
      </c>
    </row>
    <row r="2721" customFormat="false" ht="15" hidden="false" customHeight="false" outlineLevel="0" collapsed="false">
      <c r="A2721" s="2" t="s">
        <v>714</v>
      </c>
      <c r="B2721" s="2" t="s">
        <v>46</v>
      </c>
      <c r="C2721" s="2" t="s">
        <v>4275</v>
      </c>
      <c r="D2721" s="11" t="n">
        <v>33640</v>
      </c>
      <c r="E2721" s="31" t="n">
        <v>17.9</v>
      </c>
      <c r="F2721" s="31" t="n">
        <v>31.3</v>
      </c>
      <c r="G2721" s="31" t="n">
        <v>28.3</v>
      </c>
      <c r="H2721" s="2" t="s">
        <v>822</v>
      </c>
    </row>
    <row r="2722" customFormat="false" ht="15" hidden="false" customHeight="false" outlineLevel="0" collapsed="false">
      <c r="A2722" s="2" t="s">
        <v>714</v>
      </c>
      <c r="B2722" s="2" t="s">
        <v>47</v>
      </c>
      <c r="C2722" s="2" t="s">
        <v>4274</v>
      </c>
      <c r="D2722" s="11" t="n">
        <v>287770</v>
      </c>
      <c r="E2722" s="31" t="n">
        <v>1</v>
      </c>
      <c r="F2722" s="31" t="n">
        <v>59.9</v>
      </c>
      <c r="G2722" s="31" t="n">
        <v>14.8</v>
      </c>
      <c r="H2722" s="2" t="s">
        <v>822</v>
      </c>
    </row>
    <row r="2723" customFormat="false" ht="15" hidden="false" customHeight="false" outlineLevel="0" collapsed="false">
      <c r="A2723" s="2" t="s">
        <v>714</v>
      </c>
      <c r="B2723" s="2" t="s">
        <v>47</v>
      </c>
      <c r="C2723" s="2" t="s">
        <v>4275</v>
      </c>
      <c r="D2723" s="11" t="n">
        <v>294279</v>
      </c>
      <c r="E2723" s="31" t="n">
        <v>8.3</v>
      </c>
      <c r="F2723" s="31" t="n">
        <v>39.8</v>
      </c>
      <c r="G2723" s="31" t="n">
        <v>12.9</v>
      </c>
      <c r="H2723" s="2" t="s">
        <v>822</v>
      </c>
    </row>
    <row r="2724" customFormat="false" ht="15" hidden="false" customHeight="false" outlineLevel="0" collapsed="false">
      <c r="A2724" s="2" t="s">
        <v>1423</v>
      </c>
      <c r="B2724" s="2" t="s">
        <v>4291</v>
      </c>
      <c r="C2724" s="2" t="s">
        <v>4274</v>
      </c>
      <c r="D2724" s="2"/>
      <c r="E2724" s="31" t="n">
        <v>47</v>
      </c>
      <c r="F2724" s="31" t="n">
        <v>14.1</v>
      </c>
      <c r="G2724" s="31" t="n">
        <v>57.2</v>
      </c>
      <c r="H2724" s="2" t="s">
        <v>832</v>
      </c>
    </row>
    <row r="2725" customFormat="false" ht="15" hidden="false" customHeight="false" outlineLevel="0" collapsed="false">
      <c r="A2725" s="2" t="s">
        <v>1423</v>
      </c>
      <c r="B2725" s="2" t="s">
        <v>4291</v>
      </c>
      <c r="C2725" s="2" t="s">
        <v>4275</v>
      </c>
      <c r="D2725" s="2"/>
      <c r="E2725" s="31" t="n">
        <v>35.7</v>
      </c>
      <c r="F2725" s="31" t="n">
        <v>17.7</v>
      </c>
      <c r="G2725" s="31" t="n">
        <v>67.3</v>
      </c>
      <c r="H2725" s="2" t="s">
        <v>832</v>
      </c>
    </row>
    <row r="2726" customFormat="false" ht="15" hidden="false" customHeight="false" outlineLevel="0" collapsed="false">
      <c r="A2726" s="2" t="s">
        <v>1423</v>
      </c>
      <c r="B2726" s="2" t="s">
        <v>45</v>
      </c>
      <c r="C2726" s="2" t="s">
        <v>4274</v>
      </c>
      <c r="D2726" s="11" t="n">
        <v>4580</v>
      </c>
      <c r="E2726" s="31" t="n">
        <v>21.8</v>
      </c>
      <c r="F2726" s="31" t="n">
        <v>16.1</v>
      </c>
      <c r="G2726" s="31" t="n">
        <v>27.6</v>
      </c>
      <c r="H2726" s="2" t="s">
        <v>822</v>
      </c>
    </row>
    <row r="2727" customFormat="false" ht="15" hidden="false" customHeight="false" outlineLevel="0" collapsed="false">
      <c r="A2727" s="2" t="s">
        <v>1423</v>
      </c>
      <c r="B2727" s="2" t="s">
        <v>45</v>
      </c>
      <c r="C2727" s="2" t="s">
        <v>4275</v>
      </c>
      <c r="D2727" s="11" t="n">
        <v>4720</v>
      </c>
      <c r="E2727" s="31" t="n">
        <v>24.4</v>
      </c>
      <c r="F2727" s="31" t="n">
        <v>8.5</v>
      </c>
      <c r="G2727" s="31" t="n">
        <v>68.5</v>
      </c>
      <c r="H2727" s="2" t="s">
        <v>822</v>
      </c>
    </row>
    <row r="2728" customFormat="false" ht="15" hidden="false" customHeight="false" outlineLevel="0" collapsed="false">
      <c r="A2728" s="2" t="s">
        <v>1423</v>
      </c>
      <c r="B2728" s="2" t="s">
        <v>46</v>
      </c>
      <c r="C2728" s="2" t="s">
        <v>4274</v>
      </c>
      <c r="D2728" s="2"/>
      <c r="E2728" s="2"/>
      <c r="F2728" s="2"/>
      <c r="G2728" s="2"/>
      <c r="H2728" s="2" t="s">
        <v>832</v>
      </c>
    </row>
    <row r="2729" customFormat="false" ht="15" hidden="false" customHeight="false" outlineLevel="0" collapsed="false">
      <c r="A2729" s="2" t="s">
        <v>1423</v>
      </c>
      <c r="B2729" s="2" t="s">
        <v>46</v>
      </c>
      <c r="C2729" s="2" t="s">
        <v>4275</v>
      </c>
      <c r="D2729" s="11" t="n">
        <v>47390</v>
      </c>
      <c r="E2729" s="31" t="n">
        <v>44.4</v>
      </c>
      <c r="F2729" s="31" t="n">
        <v>28.7</v>
      </c>
      <c r="G2729" s="2"/>
      <c r="H2729" s="2" t="s">
        <v>832</v>
      </c>
    </row>
    <row r="2730" customFormat="false" ht="15" hidden="false" customHeight="false" outlineLevel="0" collapsed="false">
      <c r="A2730" s="2" t="s">
        <v>1423</v>
      </c>
      <c r="B2730" s="2" t="s">
        <v>47</v>
      </c>
      <c r="C2730" s="2" t="s">
        <v>4274</v>
      </c>
      <c r="D2730" s="11" t="n">
        <v>62045</v>
      </c>
      <c r="E2730" s="31" t="n">
        <v>72.3</v>
      </c>
      <c r="F2730" s="31" t="n">
        <v>12.1</v>
      </c>
      <c r="G2730" s="31" t="n">
        <v>86.8</v>
      </c>
      <c r="H2730" s="2" t="s">
        <v>822</v>
      </c>
    </row>
    <row r="2731" customFormat="false" ht="15" hidden="false" customHeight="false" outlineLevel="0" collapsed="false">
      <c r="A2731" s="2" t="s">
        <v>1423</v>
      </c>
      <c r="B2731" s="2" t="s">
        <v>47</v>
      </c>
      <c r="C2731" s="2" t="s">
        <v>4275</v>
      </c>
      <c r="D2731" s="11" t="n">
        <v>64330</v>
      </c>
      <c r="E2731" s="31" t="n">
        <v>38.4</v>
      </c>
      <c r="F2731" s="31" t="n">
        <v>15.9</v>
      </c>
      <c r="G2731" s="31" t="n">
        <v>66.1</v>
      </c>
      <c r="H2731" s="2" t="s">
        <v>822</v>
      </c>
    </row>
    <row r="2732" customFormat="false" ht="15" hidden="false" customHeight="false" outlineLevel="0" collapsed="false">
      <c r="A2732" s="2" t="s">
        <v>1128</v>
      </c>
      <c r="B2732" s="2" t="s">
        <v>4291</v>
      </c>
      <c r="C2732" s="2" t="s">
        <v>4274</v>
      </c>
      <c r="D2732" s="2"/>
      <c r="E2732" s="31" t="n">
        <v>76</v>
      </c>
      <c r="F2732" s="31" t="n">
        <v>34.6</v>
      </c>
      <c r="G2732" s="31" t="n">
        <v>51.9</v>
      </c>
      <c r="H2732" s="2" t="s">
        <v>832</v>
      </c>
    </row>
    <row r="2733" customFormat="false" ht="15" hidden="false" customHeight="false" outlineLevel="0" collapsed="false">
      <c r="A2733" s="2" t="s">
        <v>1128</v>
      </c>
      <c r="B2733" s="2" t="s">
        <v>4291</v>
      </c>
      <c r="C2733" s="2" t="s">
        <v>4275</v>
      </c>
      <c r="D2733" s="2"/>
      <c r="E2733" s="31" t="n">
        <v>75.1</v>
      </c>
      <c r="F2733" s="31" t="n">
        <v>45</v>
      </c>
      <c r="G2733" s="31" t="n">
        <v>34.7</v>
      </c>
      <c r="H2733" s="2" t="s">
        <v>832</v>
      </c>
    </row>
    <row r="2734" customFormat="false" ht="15" hidden="false" customHeight="false" outlineLevel="0" collapsed="false">
      <c r="A2734" s="2" t="s">
        <v>1128</v>
      </c>
      <c r="B2734" s="2" t="s">
        <v>45</v>
      </c>
      <c r="C2734" s="2" t="s">
        <v>4274</v>
      </c>
      <c r="D2734" s="11" t="n">
        <v>611870</v>
      </c>
      <c r="E2734" s="31" t="n">
        <v>62</v>
      </c>
      <c r="F2734" s="31" t="n">
        <v>36.3</v>
      </c>
      <c r="G2734" s="31" t="n">
        <v>28</v>
      </c>
      <c r="H2734" s="2" t="s">
        <v>822</v>
      </c>
    </row>
    <row r="2735" customFormat="false" ht="15" hidden="false" customHeight="false" outlineLevel="0" collapsed="false">
      <c r="A2735" s="2" t="s">
        <v>1128</v>
      </c>
      <c r="B2735" s="2" t="s">
        <v>45</v>
      </c>
      <c r="C2735" s="2" t="s">
        <v>4275</v>
      </c>
      <c r="D2735" s="11" t="n">
        <v>614970</v>
      </c>
      <c r="E2735" s="31" t="n">
        <v>63.3</v>
      </c>
      <c r="F2735" s="31" t="n">
        <v>55.7</v>
      </c>
      <c r="G2735" s="31" t="n">
        <v>27.7</v>
      </c>
      <c r="H2735" s="2" t="s">
        <v>822</v>
      </c>
    </row>
    <row r="2736" customFormat="false" ht="15" hidden="false" customHeight="false" outlineLevel="0" collapsed="false">
      <c r="A2736" s="2" t="s">
        <v>1128</v>
      </c>
      <c r="B2736" s="2" t="s">
        <v>46</v>
      </c>
      <c r="C2736" s="2" t="s">
        <v>4274</v>
      </c>
      <c r="D2736" s="2"/>
      <c r="E2736" s="2"/>
      <c r="F2736" s="2"/>
      <c r="G2736" s="2"/>
      <c r="H2736" s="2" t="s">
        <v>832</v>
      </c>
    </row>
    <row r="2737" customFormat="false" ht="15" hidden="false" customHeight="false" outlineLevel="0" collapsed="false">
      <c r="A2737" s="2" t="s">
        <v>1128</v>
      </c>
      <c r="B2737" s="2" t="s">
        <v>46</v>
      </c>
      <c r="C2737" s="2" t="s">
        <v>4275</v>
      </c>
      <c r="D2737" s="11" t="n">
        <v>23130</v>
      </c>
      <c r="E2737" s="31" t="n">
        <v>75</v>
      </c>
      <c r="F2737" s="31" t="n">
        <v>60.4</v>
      </c>
      <c r="G2737" s="31" t="n">
        <v>41.7</v>
      </c>
      <c r="H2737" s="2" t="s">
        <v>822</v>
      </c>
    </row>
    <row r="2738" customFormat="false" ht="15" hidden="false" customHeight="false" outlineLevel="0" collapsed="false">
      <c r="A2738" s="2" t="s">
        <v>1128</v>
      </c>
      <c r="B2738" s="2" t="s">
        <v>47</v>
      </c>
      <c r="C2738" s="2" t="s">
        <v>4274</v>
      </c>
      <c r="D2738" s="11" t="n">
        <v>14460</v>
      </c>
      <c r="E2738" s="31" t="n">
        <v>90</v>
      </c>
      <c r="F2738" s="31" t="n">
        <v>33</v>
      </c>
      <c r="G2738" s="31" t="n">
        <v>75.8</v>
      </c>
      <c r="H2738" s="2" t="s">
        <v>822</v>
      </c>
    </row>
    <row r="2739" customFormat="false" ht="15" hidden="false" customHeight="false" outlineLevel="0" collapsed="false">
      <c r="A2739" s="2" t="s">
        <v>1128</v>
      </c>
      <c r="B2739" s="2" t="s">
        <v>47</v>
      </c>
      <c r="C2739" s="2" t="s">
        <v>4275</v>
      </c>
      <c r="D2739" s="11" t="n">
        <v>14213</v>
      </c>
      <c r="E2739" s="31" t="n">
        <v>86.9</v>
      </c>
      <c r="F2739" s="31" t="n">
        <v>18.8</v>
      </c>
      <c r="G2739" s="2"/>
      <c r="H2739" s="2" t="s">
        <v>832</v>
      </c>
    </row>
    <row r="2740" customFormat="false" ht="15" hidden="false" customHeight="false" outlineLevel="0" collapsed="false">
      <c r="A2740" s="2" t="s">
        <v>2853</v>
      </c>
      <c r="B2740" s="2" t="s">
        <v>4291</v>
      </c>
      <c r="C2740" s="2" t="s">
        <v>4274</v>
      </c>
      <c r="D2740" s="2"/>
      <c r="E2740" s="31" t="n">
        <v>10.2</v>
      </c>
      <c r="F2740" s="31" t="n">
        <v>25.2</v>
      </c>
      <c r="G2740" s="31" t="n">
        <v>56.4</v>
      </c>
      <c r="H2740" s="2" t="s">
        <v>832</v>
      </c>
    </row>
    <row r="2741" customFormat="false" ht="15" hidden="false" customHeight="false" outlineLevel="0" collapsed="false">
      <c r="A2741" s="2" t="s">
        <v>2853</v>
      </c>
      <c r="B2741" s="2" t="s">
        <v>4291</v>
      </c>
      <c r="C2741" s="2" t="s">
        <v>4275</v>
      </c>
      <c r="D2741" s="2"/>
      <c r="E2741" s="31" t="n">
        <v>39.6</v>
      </c>
      <c r="F2741" s="31" t="n">
        <v>25.4</v>
      </c>
      <c r="G2741" s="31" t="n">
        <v>64</v>
      </c>
      <c r="H2741" s="2" t="s">
        <v>832</v>
      </c>
    </row>
    <row r="2742" customFormat="false" ht="15" hidden="false" customHeight="false" outlineLevel="0" collapsed="false">
      <c r="A2742" s="2" t="s">
        <v>2853</v>
      </c>
      <c r="B2742" s="2" t="s">
        <v>46</v>
      </c>
      <c r="C2742" s="2" t="s">
        <v>4274</v>
      </c>
      <c r="D2742" s="2"/>
      <c r="E2742" s="2"/>
      <c r="F2742" s="2"/>
      <c r="G2742" s="2"/>
      <c r="H2742" s="2" t="s">
        <v>832</v>
      </c>
    </row>
    <row r="2743" customFormat="false" ht="15" hidden="false" customHeight="false" outlineLevel="0" collapsed="false">
      <c r="A2743" s="2" t="s">
        <v>2853</v>
      </c>
      <c r="B2743" s="2" t="s">
        <v>46</v>
      </c>
      <c r="C2743" s="2" t="s">
        <v>4275</v>
      </c>
      <c r="D2743" s="11" t="n">
        <v>183130</v>
      </c>
      <c r="E2743" s="31" t="n">
        <v>75.8</v>
      </c>
      <c r="F2743" s="31" t="n">
        <v>26.8</v>
      </c>
      <c r="G2743" s="2"/>
      <c r="H2743" s="2" t="s">
        <v>832</v>
      </c>
    </row>
    <row r="2744" customFormat="false" ht="15" hidden="false" customHeight="false" outlineLevel="0" collapsed="false">
      <c r="A2744" s="2" t="s">
        <v>2853</v>
      </c>
      <c r="B2744" s="2" t="s">
        <v>47</v>
      </c>
      <c r="C2744" s="2" t="s">
        <v>4274</v>
      </c>
      <c r="D2744" s="11" t="n">
        <v>41779</v>
      </c>
      <c r="E2744" s="31" t="n">
        <v>10.2</v>
      </c>
      <c r="F2744" s="31" t="n">
        <v>25.2</v>
      </c>
      <c r="G2744" s="31" t="n">
        <v>56.4</v>
      </c>
      <c r="H2744" s="2" t="s">
        <v>822</v>
      </c>
    </row>
    <row r="2745" customFormat="false" ht="15" hidden="false" customHeight="false" outlineLevel="0" collapsed="false">
      <c r="A2745" s="2" t="s">
        <v>2853</v>
      </c>
      <c r="B2745" s="2" t="s">
        <v>47</v>
      </c>
      <c r="C2745" s="2" t="s">
        <v>4275</v>
      </c>
      <c r="D2745" s="11" t="n">
        <v>42516</v>
      </c>
      <c r="E2745" s="31" t="n">
        <v>3.4</v>
      </c>
      <c r="F2745" s="31" t="n">
        <v>24</v>
      </c>
      <c r="G2745" s="31" t="n">
        <v>64</v>
      </c>
      <c r="H2745" s="2" t="s">
        <v>822</v>
      </c>
    </row>
    <row r="2746" customFormat="false" ht="15" hidden="false" customHeight="false" outlineLevel="0" collapsed="false">
      <c r="A2746" s="2" t="s">
        <v>1018</v>
      </c>
      <c r="B2746" s="2" t="s">
        <v>4291</v>
      </c>
      <c r="C2746" s="2" t="s">
        <v>4274</v>
      </c>
      <c r="D2746" s="2"/>
      <c r="E2746" s="31" t="n">
        <v>83.1</v>
      </c>
      <c r="F2746" s="31" t="n">
        <v>81.4</v>
      </c>
      <c r="G2746" s="31" t="n">
        <v>78.5</v>
      </c>
      <c r="H2746" s="2" t="s">
        <v>832</v>
      </c>
    </row>
    <row r="2747" customFormat="false" ht="15" hidden="false" customHeight="false" outlineLevel="0" collapsed="false">
      <c r="A2747" s="2" t="s">
        <v>1018</v>
      </c>
      <c r="B2747" s="2" t="s">
        <v>4291</v>
      </c>
      <c r="C2747" s="2" t="s">
        <v>4275</v>
      </c>
      <c r="D2747" s="2"/>
      <c r="E2747" s="31" t="n">
        <v>76.7</v>
      </c>
      <c r="F2747" s="31" t="n">
        <v>77.7</v>
      </c>
      <c r="G2747" s="31" t="n">
        <v>51.3</v>
      </c>
      <c r="H2747" s="2" t="s">
        <v>832</v>
      </c>
    </row>
    <row r="2748" customFormat="false" ht="15" hidden="false" customHeight="false" outlineLevel="0" collapsed="false">
      <c r="A2748" s="2" t="s">
        <v>1018</v>
      </c>
      <c r="B2748" s="2" t="s">
        <v>45</v>
      </c>
      <c r="C2748" s="2" t="s">
        <v>4274</v>
      </c>
      <c r="D2748" s="11" t="n">
        <v>13760</v>
      </c>
      <c r="E2748" s="31" t="n">
        <v>83.1</v>
      </c>
      <c r="F2748" s="31" t="n">
        <v>81.4</v>
      </c>
      <c r="G2748" s="31" t="n">
        <v>78.5</v>
      </c>
      <c r="H2748" s="2" t="s">
        <v>822</v>
      </c>
    </row>
    <row r="2749" customFormat="false" ht="15" hidden="false" customHeight="false" outlineLevel="0" collapsed="false">
      <c r="A2749" s="2" t="s">
        <v>1018</v>
      </c>
      <c r="B2749" s="2" t="s">
        <v>45</v>
      </c>
      <c r="C2749" s="2" t="s">
        <v>4275</v>
      </c>
      <c r="D2749" s="11" t="n">
        <v>14550</v>
      </c>
      <c r="E2749" s="31" t="n">
        <v>76.7</v>
      </c>
      <c r="F2749" s="31" t="n">
        <v>77.7</v>
      </c>
      <c r="G2749" s="31" t="n">
        <v>51.3</v>
      </c>
      <c r="H2749" s="2" t="s">
        <v>822</v>
      </c>
    </row>
    <row r="2750" customFormat="false" ht="15" hidden="false" customHeight="false" outlineLevel="0" collapsed="false">
      <c r="A2750" s="2" t="s">
        <v>1018</v>
      </c>
      <c r="B2750" s="2" t="s">
        <v>46</v>
      </c>
      <c r="C2750" s="2" t="s">
        <v>4274</v>
      </c>
      <c r="D2750" s="2"/>
      <c r="E2750" s="2"/>
      <c r="F2750" s="2"/>
      <c r="G2750" s="2"/>
      <c r="H2750" s="2" t="s">
        <v>832</v>
      </c>
    </row>
    <row r="2751" customFormat="false" ht="15" hidden="false" customHeight="false" outlineLevel="0" collapsed="false">
      <c r="A2751" s="2" t="s">
        <v>1018</v>
      </c>
      <c r="B2751" s="2" t="s">
        <v>46</v>
      </c>
      <c r="C2751" s="2" t="s">
        <v>4275</v>
      </c>
      <c r="D2751" s="2"/>
      <c r="E2751" s="2"/>
      <c r="F2751" s="2"/>
      <c r="G2751" s="2"/>
      <c r="H2751" s="2" t="s">
        <v>832</v>
      </c>
    </row>
    <row r="2752" customFormat="false" ht="15" hidden="false" customHeight="false" outlineLevel="0" collapsed="false">
      <c r="A2752" s="2" t="s">
        <v>360</v>
      </c>
      <c r="B2752" s="2" t="s">
        <v>4291</v>
      </c>
      <c r="C2752" s="2" t="s">
        <v>4274</v>
      </c>
      <c r="D2752" s="2"/>
      <c r="E2752" s="31" t="n">
        <v>65.9</v>
      </c>
      <c r="F2752" s="31" t="n">
        <v>51.2</v>
      </c>
      <c r="G2752" s="31" t="n">
        <v>21.5</v>
      </c>
      <c r="H2752" s="2" t="s">
        <v>832</v>
      </c>
    </row>
    <row r="2753" customFormat="false" ht="15" hidden="false" customHeight="false" outlineLevel="0" collapsed="false">
      <c r="A2753" s="2" t="s">
        <v>360</v>
      </c>
      <c r="B2753" s="2" t="s">
        <v>4291</v>
      </c>
      <c r="C2753" s="2" t="s">
        <v>4275</v>
      </c>
      <c r="D2753" s="2"/>
      <c r="E2753" s="31" t="n">
        <v>58.6</v>
      </c>
      <c r="F2753" s="31" t="n">
        <v>39.5</v>
      </c>
      <c r="G2753" s="31" t="n">
        <v>28.4</v>
      </c>
      <c r="H2753" s="2" t="s">
        <v>822</v>
      </c>
    </row>
    <row r="2754" customFormat="false" ht="15" hidden="false" customHeight="false" outlineLevel="0" collapsed="false">
      <c r="A2754" s="2" t="s">
        <v>360</v>
      </c>
      <c r="B2754" s="2" t="s">
        <v>45</v>
      </c>
      <c r="C2754" s="2" t="s">
        <v>4274</v>
      </c>
      <c r="D2754" s="11" t="n">
        <v>6160</v>
      </c>
      <c r="E2754" s="31" t="n">
        <v>50.3</v>
      </c>
      <c r="F2754" s="31" t="n">
        <v>38.7</v>
      </c>
      <c r="G2754" s="2"/>
      <c r="H2754" s="2" t="s">
        <v>832</v>
      </c>
    </row>
    <row r="2755" customFormat="false" ht="15" hidden="false" customHeight="false" outlineLevel="0" collapsed="false">
      <c r="A2755" s="2" t="s">
        <v>360</v>
      </c>
      <c r="B2755" s="2" t="s">
        <v>45</v>
      </c>
      <c r="C2755" s="2" t="s">
        <v>4275</v>
      </c>
      <c r="D2755" s="11" t="n">
        <v>6100</v>
      </c>
      <c r="E2755" s="31" t="n">
        <v>61.6</v>
      </c>
      <c r="F2755" s="31" t="n">
        <v>14.1</v>
      </c>
      <c r="G2755" s="31" t="n">
        <v>16.8</v>
      </c>
      <c r="H2755" s="2" t="s">
        <v>822</v>
      </c>
    </row>
    <row r="2756" customFormat="false" ht="15" hidden="false" customHeight="false" outlineLevel="0" collapsed="false">
      <c r="A2756" s="2" t="s">
        <v>360</v>
      </c>
      <c r="B2756" s="2" t="s">
        <v>46</v>
      </c>
      <c r="C2756" s="2" t="s">
        <v>4274</v>
      </c>
      <c r="D2756" s="2"/>
      <c r="E2756" s="2"/>
      <c r="F2756" s="2"/>
      <c r="G2756" s="2"/>
      <c r="H2756" s="2" t="s">
        <v>832</v>
      </c>
    </row>
    <row r="2757" customFormat="false" ht="15" hidden="false" customHeight="false" outlineLevel="0" collapsed="false">
      <c r="A2757" s="2" t="s">
        <v>360</v>
      </c>
      <c r="B2757" s="2" t="s">
        <v>46</v>
      </c>
      <c r="C2757" s="2" t="s">
        <v>4275</v>
      </c>
      <c r="D2757" s="11" t="n">
        <v>180980</v>
      </c>
      <c r="E2757" s="31" t="n">
        <v>22.4</v>
      </c>
      <c r="F2757" s="31" t="n">
        <v>29.3</v>
      </c>
      <c r="G2757" s="31" t="n">
        <v>47.2</v>
      </c>
      <c r="H2757" s="2" t="s">
        <v>822</v>
      </c>
    </row>
    <row r="2758" customFormat="false" ht="15" hidden="false" customHeight="false" outlineLevel="0" collapsed="false">
      <c r="A2758" s="2" t="s">
        <v>360</v>
      </c>
      <c r="B2758" s="2" t="s">
        <v>47</v>
      </c>
      <c r="C2758" s="2" t="s">
        <v>4274</v>
      </c>
      <c r="D2758" s="11" t="n">
        <v>403660</v>
      </c>
      <c r="E2758" s="31" t="n">
        <v>81.5</v>
      </c>
      <c r="F2758" s="31" t="n">
        <v>63.6</v>
      </c>
      <c r="G2758" s="31" t="n">
        <v>21.5</v>
      </c>
      <c r="H2758" s="2" t="s">
        <v>822</v>
      </c>
    </row>
    <row r="2759" customFormat="false" ht="15" hidden="false" customHeight="false" outlineLevel="0" collapsed="false">
      <c r="A2759" s="2" t="s">
        <v>360</v>
      </c>
      <c r="B2759" s="2" t="s">
        <v>47</v>
      </c>
      <c r="C2759" s="2" t="s">
        <v>4275</v>
      </c>
      <c r="D2759" s="11" t="n">
        <v>419156</v>
      </c>
      <c r="E2759" s="31" t="n">
        <v>91.7</v>
      </c>
      <c r="F2759" s="31" t="n">
        <v>75.2</v>
      </c>
      <c r="G2759" s="31" t="n">
        <v>21.3</v>
      </c>
      <c r="H2759" s="2" t="s">
        <v>822</v>
      </c>
    </row>
    <row r="2760" customFormat="false" ht="15" hidden="false" customHeight="false" outlineLevel="0" collapsed="false">
      <c r="A2760" s="2" t="s">
        <v>2251</v>
      </c>
      <c r="B2760" s="2" t="s">
        <v>4291</v>
      </c>
      <c r="C2760" s="2" t="s">
        <v>4274</v>
      </c>
      <c r="D2760" s="2"/>
      <c r="E2760" s="31" t="n">
        <v>64.8</v>
      </c>
      <c r="F2760" s="31" t="n">
        <v>41.3</v>
      </c>
      <c r="G2760" s="31" t="n">
        <v>13.2</v>
      </c>
      <c r="H2760" s="2" t="s">
        <v>832</v>
      </c>
    </row>
    <row r="2761" customFormat="false" ht="15" hidden="false" customHeight="false" outlineLevel="0" collapsed="false">
      <c r="A2761" s="2" t="s">
        <v>2251</v>
      </c>
      <c r="B2761" s="2" t="s">
        <v>4291</v>
      </c>
      <c r="C2761" s="2" t="s">
        <v>4275</v>
      </c>
      <c r="D2761" s="2"/>
      <c r="E2761" s="31" t="n">
        <v>94.5</v>
      </c>
      <c r="F2761" s="31" t="n">
        <v>55.4</v>
      </c>
      <c r="G2761" s="31" t="n">
        <v>36.2</v>
      </c>
      <c r="H2761" s="2" t="s">
        <v>832</v>
      </c>
    </row>
    <row r="2762" customFormat="false" ht="15" hidden="false" customHeight="false" outlineLevel="0" collapsed="false">
      <c r="A2762" s="2" t="s">
        <v>2251</v>
      </c>
      <c r="B2762" s="2" t="s">
        <v>45</v>
      </c>
      <c r="C2762" s="2" t="s">
        <v>4274</v>
      </c>
      <c r="D2762" s="11" t="n">
        <v>190240</v>
      </c>
      <c r="E2762" s="31" t="n">
        <v>20.3</v>
      </c>
      <c r="F2762" s="31" t="n">
        <v>42.5</v>
      </c>
      <c r="G2762" s="2"/>
      <c r="H2762" s="2" t="s">
        <v>822</v>
      </c>
    </row>
    <row r="2763" customFormat="false" ht="15" hidden="false" customHeight="false" outlineLevel="0" collapsed="false">
      <c r="A2763" s="2" t="s">
        <v>2251</v>
      </c>
      <c r="B2763" s="2" t="s">
        <v>45</v>
      </c>
      <c r="C2763" s="2" t="s">
        <v>4275</v>
      </c>
      <c r="D2763" s="2"/>
      <c r="E2763" s="2"/>
      <c r="F2763" s="2"/>
      <c r="G2763" s="2"/>
      <c r="H2763" s="2" t="s">
        <v>832</v>
      </c>
    </row>
    <row r="2764" customFormat="false" ht="15" hidden="false" customHeight="false" outlineLevel="0" collapsed="false">
      <c r="A2764" s="2" t="s">
        <v>2251</v>
      </c>
      <c r="B2764" s="2" t="s">
        <v>46</v>
      </c>
      <c r="C2764" s="2" t="s">
        <v>4274</v>
      </c>
      <c r="D2764" s="11" t="n">
        <v>26973</v>
      </c>
      <c r="E2764" s="31" t="n">
        <v>75.9</v>
      </c>
      <c r="F2764" s="31" t="n">
        <v>52.4</v>
      </c>
      <c r="G2764" s="2"/>
      <c r="H2764" s="2" t="s">
        <v>832</v>
      </c>
    </row>
    <row r="2765" customFormat="false" ht="15" hidden="false" customHeight="false" outlineLevel="0" collapsed="false">
      <c r="A2765" s="2" t="s">
        <v>2251</v>
      </c>
      <c r="B2765" s="2" t="s">
        <v>46</v>
      </c>
      <c r="C2765" s="2" t="s">
        <v>4275</v>
      </c>
      <c r="D2765" s="11" t="n">
        <v>27240</v>
      </c>
      <c r="E2765" s="2"/>
      <c r="F2765" s="31" t="n">
        <v>48.4</v>
      </c>
      <c r="G2765" s="31" t="n">
        <v>59.6</v>
      </c>
      <c r="H2765" s="2" t="s">
        <v>832</v>
      </c>
    </row>
    <row r="2766" customFormat="false" ht="15" hidden="false" customHeight="false" outlineLevel="0" collapsed="false">
      <c r="A2766" s="2" t="s">
        <v>2251</v>
      </c>
      <c r="B2766" s="2" t="s">
        <v>47</v>
      </c>
      <c r="C2766" s="2" t="s">
        <v>4274</v>
      </c>
      <c r="D2766" s="11" t="n">
        <v>18580</v>
      </c>
      <c r="E2766" s="31" t="n">
        <v>98.1</v>
      </c>
      <c r="F2766" s="31" t="n">
        <v>29.1</v>
      </c>
      <c r="G2766" s="31" t="n">
        <v>13.2</v>
      </c>
      <c r="H2766" s="2" t="s">
        <v>822</v>
      </c>
    </row>
    <row r="2767" customFormat="false" ht="15" hidden="false" customHeight="false" outlineLevel="0" collapsed="false">
      <c r="A2767" s="2" t="s">
        <v>2251</v>
      </c>
      <c r="B2767" s="2" t="s">
        <v>47</v>
      </c>
      <c r="C2767" s="2" t="s">
        <v>4275</v>
      </c>
      <c r="D2767" s="11" t="n">
        <v>19106</v>
      </c>
      <c r="E2767" s="31" t="n">
        <v>94.5</v>
      </c>
      <c r="F2767" s="31" t="n">
        <v>62.3</v>
      </c>
      <c r="G2767" s="31" t="n">
        <v>12.7</v>
      </c>
      <c r="H2767" s="2" t="s">
        <v>822</v>
      </c>
    </row>
    <row r="2768" customFormat="false" ht="15" hidden="false" customHeight="false" outlineLevel="0" collapsed="false">
      <c r="A2768" s="2" t="s">
        <v>2503</v>
      </c>
      <c r="B2768" s="2" t="s">
        <v>4291</v>
      </c>
      <c r="C2768" s="2" t="s">
        <v>4274</v>
      </c>
      <c r="D2768" s="2"/>
      <c r="E2768" s="31" t="n">
        <v>41.2</v>
      </c>
      <c r="F2768" s="31" t="n">
        <v>33.6</v>
      </c>
      <c r="G2768" s="31" t="n">
        <v>76.7</v>
      </c>
      <c r="H2768" s="2" t="s">
        <v>822</v>
      </c>
    </row>
    <row r="2769" customFormat="false" ht="15" hidden="false" customHeight="false" outlineLevel="0" collapsed="false">
      <c r="A2769" s="2" t="s">
        <v>2503</v>
      </c>
      <c r="B2769" s="2" t="s">
        <v>4291</v>
      </c>
      <c r="C2769" s="2" t="s">
        <v>4275</v>
      </c>
      <c r="D2769" s="2"/>
      <c r="E2769" s="31" t="n">
        <v>53.8</v>
      </c>
      <c r="F2769" s="31" t="n">
        <v>5.4</v>
      </c>
      <c r="G2769" s="31" t="n">
        <v>85.3</v>
      </c>
      <c r="H2769" s="2" t="s">
        <v>832</v>
      </c>
    </row>
    <row r="2770" customFormat="false" ht="15" hidden="false" customHeight="false" outlineLevel="0" collapsed="false">
      <c r="A2770" s="2" t="s">
        <v>2503</v>
      </c>
      <c r="B2770" s="2" t="s">
        <v>45</v>
      </c>
      <c r="C2770" s="2" t="s">
        <v>4274</v>
      </c>
      <c r="D2770" s="11" t="n">
        <v>214720</v>
      </c>
      <c r="E2770" s="31" t="n">
        <v>27.7</v>
      </c>
      <c r="F2770" s="31" t="n">
        <v>84.9</v>
      </c>
      <c r="G2770" s="31" t="n">
        <v>79.5</v>
      </c>
      <c r="H2770" s="2" t="s">
        <v>822</v>
      </c>
    </row>
    <row r="2771" customFormat="false" ht="15" hidden="false" customHeight="false" outlineLevel="0" collapsed="false">
      <c r="A2771" s="2" t="s">
        <v>2503</v>
      </c>
      <c r="B2771" s="2" t="s">
        <v>45</v>
      </c>
      <c r="C2771" s="2" t="s">
        <v>4275</v>
      </c>
      <c r="D2771" s="2"/>
      <c r="E2771" s="2"/>
      <c r="F2771" s="2"/>
      <c r="G2771" s="2"/>
      <c r="H2771" s="2" t="s">
        <v>832</v>
      </c>
    </row>
    <row r="2772" customFormat="false" ht="15" hidden="false" customHeight="false" outlineLevel="0" collapsed="false">
      <c r="A2772" s="2" t="s">
        <v>2503</v>
      </c>
      <c r="B2772" s="2" t="s">
        <v>46</v>
      </c>
      <c r="C2772" s="2" t="s">
        <v>4274</v>
      </c>
      <c r="D2772" s="11" t="n">
        <v>25119</v>
      </c>
      <c r="E2772" s="31" t="n">
        <v>56.2</v>
      </c>
      <c r="F2772" s="31" t="n">
        <v>13.9</v>
      </c>
      <c r="G2772" s="31" t="n">
        <v>70.5</v>
      </c>
      <c r="H2772" s="2" t="s">
        <v>822</v>
      </c>
    </row>
    <row r="2773" customFormat="false" ht="15" hidden="false" customHeight="false" outlineLevel="0" collapsed="false">
      <c r="A2773" s="2" t="s">
        <v>2503</v>
      </c>
      <c r="B2773" s="2" t="s">
        <v>46</v>
      </c>
      <c r="C2773" s="2" t="s">
        <v>4275</v>
      </c>
      <c r="D2773" s="11" t="n">
        <v>24472</v>
      </c>
      <c r="E2773" s="31" t="n">
        <v>52.5</v>
      </c>
      <c r="F2773" s="31" t="n">
        <v>6.5</v>
      </c>
      <c r="G2773" s="2"/>
      <c r="H2773" s="2" t="s">
        <v>832</v>
      </c>
    </row>
    <row r="2774" customFormat="false" ht="15" hidden="false" customHeight="false" outlineLevel="0" collapsed="false">
      <c r="A2774" s="2" t="s">
        <v>2503</v>
      </c>
      <c r="B2774" s="2" t="s">
        <v>47</v>
      </c>
      <c r="C2774" s="2" t="s">
        <v>4274</v>
      </c>
      <c r="D2774" s="11" t="n">
        <v>276390</v>
      </c>
      <c r="E2774" s="31" t="n">
        <v>39.6</v>
      </c>
      <c r="F2774" s="31" t="n">
        <v>1.9</v>
      </c>
      <c r="G2774" s="31" t="n">
        <v>80.1</v>
      </c>
      <c r="H2774" s="2" t="s">
        <v>822</v>
      </c>
    </row>
    <row r="2775" customFormat="false" ht="15" hidden="false" customHeight="false" outlineLevel="0" collapsed="false">
      <c r="A2775" s="2" t="s">
        <v>2503</v>
      </c>
      <c r="B2775" s="2" t="s">
        <v>47</v>
      </c>
      <c r="C2775" s="2" t="s">
        <v>4275</v>
      </c>
      <c r="D2775" s="11" t="n">
        <v>267914</v>
      </c>
      <c r="E2775" s="31" t="n">
        <v>55</v>
      </c>
      <c r="F2775" s="31" t="n">
        <v>4.3</v>
      </c>
      <c r="G2775" s="31" t="n">
        <v>85.3</v>
      </c>
      <c r="H2775" s="2" t="s">
        <v>822</v>
      </c>
    </row>
    <row r="2776" customFormat="false" ht="15" hidden="false" customHeight="false" outlineLevel="0" collapsed="false">
      <c r="A2776" s="2" t="s">
        <v>538</v>
      </c>
      <c r="B2776" s="2" t="s">
        <v>4291</v>
      </c>
      <c r="C2776" s="2" t="s">
        <v>4274</v>
      </c>
      <c r="D2776" s="2"/>
      <c r="E2776" s="31" t="n">
        <v>45.2</v>
      </c>
      <c r="F2776" s="31" t="n">
        <v>57.1</v>
      </c>
      <c r="G2776" s="31" t="n">
        <v>63.3</v>
      </c>
      <c r="H2776" s="2" t="s">
        <v>832</v>
      </c>
    </row>
    <row r="2777" customFormat="false" ht="15" hidden="false" customHeight="false" outlineLevel="0" collapsed="false">
      <c r="A2777" s="2" t="s">
        <v>538</v>
      </c>
      <c r="B2777" s="2" t="s">
        <v>4291</v>
      </c>
      <c r="C2777" s="2" t="s">
        <v>4275</v>
      </c>
      <c r="D2777" s="2"/>
      <c r="E2777" s="31" t="n">
        <v>45.2</v>
      </c>
      <c r="F2777" s="31" t="n">
        <v>74.3</v>
      </c>
      <c r="G2777" s="31" t="n">
        <v>5.6</v>
      </c>
      <c r="H2777" s="2" t="s">
        <v>822</v>
      </c>
    </row>
    <row r="2778" customFormat="false" ht="15" hidden="false" customHeight="false" outlineLevel="0" collapsed="false">
      <c r="A2778" s="2" t="s">
        <v>538</v>
      </c>
      <c r="B2778" s="2" t="s">
        <v>45</v>
      </c>
      <c r="C2778" s="2" t="s">
        <v>4274</v>
      </c>
      <c r="D2778" s="11" t="n">
        <v>14251</v>
      </c>
      <c r="E2778" s="31" t="n">
        <v>60.5</v>
      </c>
      <c r="F2778" s="31" t="n">
        <v>96</v>
      </c>
      <c r="G2778" s="2"/>
      <c r="H2778" s="2" t="s">
        <v>822</v>
      </c>
    </row>
    <row r="2779" customFormat="false" ht="15" hidden="false" customHeight="false" outlineLevel="0" collapsed="false">
      <c r="A2779" s="2" t="s">
        <v>538</v>
      </c>
      <c r="B2779" s="2" t="s">
        <v>45</v>
      </c>
      <c r="C2779" s="2" t="s">
        <v>4275</v>
      </c>
      <c r="D2779" s="11" t="n">
        <v>15370</v>
      </c>
      <c r="E2779" s="31" t="n">
        <v>89.2</v>
      </c>
      <c r="F2779" s="31" t="n">
        <v>99.3</v>
      </c>
      <c r="G2779" s="2"/>
      <c r="H2779" s="2" t="s">
        <v>822</v>
      </c>
    </row>
    <row r="2780" customFormat="false" ht="15" hidden="false" customHeight="false" outlineLevel="0" collapsed="false">
      <c r="A2780" s="2" t="s">
        <v>538</v>
      </c>
      <c r="B2780" s="2" t="s">
        <v>46</v>
      </c>
      <c r="C2780" s="2" t="s">
        <v>4274</v>
      </c>
      <c r="D2780" s="11" t="n">
        <v>2199016</v>
      </c>
      <c r="E2780" s="2"/>
      <c r="F2780" s="31" t="n">
        <v>55.6</v>
      </c>
      <c r="G2780" s="2"/>
      <c r="H2780" s="2" t="s">
        <v>832</v>
      </c>
    </row>
    <row r="2781" customFormat="false" ht="15" hidden="false" customHeight="false" outlineLevel="0" collapsed="false">
      <c r="A2781" s="2" t="s">
        <v>538</v>
      </c>
      <c r="B2781" s="2" t="s">
        <v>46</v>
      </c>
      <c r="C2781" s="2" t="s">
        <v>4275</v>
      </c>
      <c r="D2781" s="11" t="n">
        <v>2192560</v>
      </c>
      <c r="E2781" s="31" t="n">
        <v>8.1</v>
      </c>
      <c r="F2781" s="31" t="n">
        <v>58.3</v>
      </c>
      <c r="G2781" s="31" t="n">
        <v>1.8</v>
      </c>
      <c r="H2781" s="2" t="s">
        <v>822</v>
      </c>
    </row>
    <row r="2782" customFormat="false" ht="15" hidden="false" customHeight="false" outlineLevel="0" collapsed="false">
      <c r="A2782" s="2" t="s">
        <v>538</v>
      </c>
      <c r="B2782" s="2" t="s">
        <v>47</v>
      </c>
      <c r="C2782" s="2" t="s">
        <v>4274</v>
      </c>
      <c r="D2782" s="11" t="n">
        <v>23038</v>
      </c>
      <c r="E2782" s="31" t="n">
        <v>29.8</v>
      </c>
      <c r="F2782" s="31" t="n">
        <v>19.6</v>
      </c>
      <c r="G2782" s="31" t="n">
        <v>63.3</v>
      </c>
      <c r="H2782" s="2" t="s">
        <v>822</v>
      </c>
    </row>
    <row r="2783" customFormat="false" ht="15" hidden="false" customHeight="false" outlineLevel="0" collapsed="false">
      <c r="A2783" s="2" t="s">
        <v>538</v>
      </c>
      <c r="B2783" s="2" t="s">
        <v>47</v>
      </c>
      <c r="C2783" s="2" t="s">
        <v>4275</v>
      </c>
      <c r="D2783" s="11" t="n">
        <v>22708</v>
      </c>
      <c r="E2783" s="31" t="n">
        <v>38.3</v>
      </c>
      <c r="F2783" s="31" t="n">
        <v>65.3</v>
      </c>
      <c r="G2783" s="31" t="n">
        <v>9.3</v>
      </c>
      <c r="H2783" s="2" t="s">
        <v>822</v>
      </c>
    </row>
    <row r="2784" customFormat="false" ht="15" hidden="false" customHeight="false" outlineLevel="0" collapsed="false">
      <c r="A2784" s="2" t="s">
        <v>1101</v>
      </c>
      <c r="B2784" s="2" t="s">
        <v>4291</v>
      </c>
      <c r="C2784" s="2" t="s">
        <v>4274</v>
      </c>
      <c r="D2784" s="2"/>
      <c r="E2784" s="31" t="n">
        <v>69.6</v>
      </c>
      <c r="F2784" s="31" t="n">
        <v>56.1</v>
      </c>
      <c r="G2784" s="31" t="n">
        <v>68.9</v>
      </c>
      <c r="H2784" s="2" t="s">
        <v>832</v>
      </c>
    </row>
    <row r="2785" customFormat="false" ht="15" hidden="false" customHeight="false" outlineLevel="0" collapsed="false">
      <c r="A2785" s="2" t="s">
        <v>1101</v>
      </c>
      <c r="B2785" s="2" t="s">
        <v>4291</v>
      </c>
      <c r="C2785" s="2" t="s">
        <v>4275</v>
      </c>
      <c r="D2785" s="2"/>
      <c r="E2785" s="31" t="n">
        <v>39.8</v>
      </c>
      <c r="F2785" s="31" t="n">
        <v>46.2</v>
      </c>
      <c r="G2785" s="31" t="n">
        <v>40.9</v>
      </c>
      <c r="H2785" s="2" t="s">
        <v>832</v>
      </c>
    </row>
    <row r="2786" customFormat="false" ht="15" hidden="false" customHeight="false" outlineLevel="0" collapsed="false">
      <c r="A2786" s="2" t="s">
        <v>1101</v>
      </c>
      <c r="B2786" s="2" t="s">
        <v>45</v>
      </c>
      <c r="C2786" s="2" t="s">
        <v>4274</v>
      </c>
      <c r="D2786" s="11" t="n">
        <v>5300</v>
      </c>
      <c r="E2786" s="31" t="n">
        <v>39.1</v>
      </c>
      <c r="F2786" s="2"/>
      <c r="G2786" s="2"/>
      <c r="H2786" s="2" t="s">
        <v>832</v>
      </c>
    </row>
    <row r="2787" customFormat="false" ht="15" hidden="false" customHeight="false" outlineLevel="0" collapsed="false">
      <c r="A2787" s="2" t="s">
        <v>1101</v>
      </c>
      <c r="B2787" s="2" t="s">
        <v>45</v>
      </c>
      <c r="C2787" s="2" t="s">
        <v>4275</v>
      </c>
      <c r="D2787" s="11" t="n">
        <v>5580</v>
      </c>
      <c r="E2787" s="31" t="n">
        <v>66.7</v>
      </c>
      <c r="F2787" s="31" t="n">
        <v>15.5</v>
      </c>
      <c r="G2787" s="2"/>
      <c r="H2787" s="2" t="s">
        <v>822</v>
      </c>
    </row>
    <row r="2788" customFormat="false" ht="15" hidden="false" customHeight="false" outlineLevel="0" collapsed="false">
      <c r="A2788" s="2" t="s">
        <v>1101</v>
      </c>
      <c r="B2788" s="2" t="s">
        <v>46</v>
      </c>
      <c r="C2788" s="2" t="s">
        <v>4274</v>
      </c>
      <c r="D2788" s="11" t="n">
        <v>5881</v>
      </c>
      <c r="E2788" s="31" t="n">
        <v>100</v>
      </c>
      <c r="F2788" s="31" t="n">
        <v>56.1</v>
      </c>
      <c r="G2788" s="31" t="n">
        <v>68.9</v>
      </c>
      <c r="H2788" s="2" t="s">
        <v>822</v>
      </c>
    </row>
    <row r="2789" customFormat="false" ht="15" hidden="false" customHeight="false" outlineLevel="0" collapsed="false">
      <c r="A2789" s="2" t="s">
        <v>1101</v>
      </c>
      <c r="B2789" s="2" t="s">
        <v>46</v>
      </c>
      <c r="C2789" s="2" t="s">
        <v>4275</v>
      </c>
      <c r="D2789" s="2"/>
      <c r="E2789" s="2"/>
      <c r="F2789" s="2"/>
      <c r="G2789" s="2"/>
      <c r="H2789" s="2" t="s">
        <v>832</v>
      </c>
    </row>
    <row r="2790" customFormat="false" ht="15" hidden="false" customHeight="false" outlineLevel="0" collapsed="false">
      <c r="A2790" s="2" t="s">
        <v>1101</v>
      </c>
      <c r="B2790" s="2" t="s">
        <v>47</v>
      </c>
      <c r="C2790" s="2" t="s">
        <v>4274</v>
      </c>
      <c r="D2790" s="2"/>
      <c r="E2790" s="2"/>
      <c r="F2790" s="2"/>
      <c r="G2790" s="2"/>
      <c r="H2790" s="2" t="s">
        <v>832</v>
      </c>
    </row>
    <row r="2791" customFormat="false" ht="15" hidden="false" customHeight="false" outlineLevel="0" collapsed="false">
      <c r="A2791" s="2" t="s">
        <v>1101</v>
      </c>
      <c r="B2791" s="2" t="s">
        <v>47</v>
      </c>
      <c r="C2791" s="2" t="s">
        <v>4275</v>
      </c>
      <c r="D2791" s="11" t="n">
        <v>51250</v>
      </c>
      <c r="E2791" s="31" t="n">
        <v>12.9</v>
      </c>
      <c r="F2791" s="31" t="n">
        <v>76.9</v>
      </c>
      <c r="G2791" s="31" t="n">
        <v>40.9</v>
      </c>
      <c r="H2791" s="2" t="s">
        <v>822</v>
      </c>
    </row>
    <row r="2792" customFormat="false" ht="15" hidden="false" customHeight="false" outlineLevel="0" collapsed="false">
      <c r="A2792" s="2" t="s">
        <v>646</v>
      </c>
      <c r="B2792" s="2" t="s">
        <v>4291</v>
      </c>
      <c r="C2792" s="2" t="s">
        <v>4274</v>
      </c>
      <c r="D2792" s="2"/>
      <c r="E2792" s="31" t="n">
        <v>36.6</v>
      </c>
      <c r="F2792" s="31" t="n">
        <v>21.5</v>
      </c>
      <c r="G2792" s="31" t="n">
        <v>89</v>
      </c>
      <c r="H2792" s="2" t="s">
        <v>832</v>
      </c>
    </row>
    <row r="2793" customFormat="false" ht="15" hidden="false" customHeight="false" outlineLevel="0" collapsed="false">
      <c r="A2793" s="2" t="s">
        <v>646</v>
      </c>
      <c r="B2793" s="2" t="s">
        <v>4291</v>
      </c>
      <c r="C2793" s="2" t="s">
        <v>4275</v>
      </c>
      <c r="D2793" s="2"/>
      <c r="E2793" s="31" t="n">
        <v>34.7</v>
      </c>
      <c r="F2793" s="31" t="n">
        <v>27.6</v>
      </c>
      <c r="G2793" s="31" t="n">
        <v>88.8</v>
      </c>
      <c r="H2793" s="2" t="s">
        <v>822</v>
      </c>
    </row>
    <row r="2794" customFormat="false" ht="15" hidden="false" customHeight="false" outlineLevel="0" collapsed="false">
      <c r="A2794" s="2" t="s">
        <v>646</v>
      </c>
      <c r="B2794" s="2" t="s">
        <v>45</v>
      </c>
      <c r="C2794" s="2" t="s">
        <v>4274</v>
      </c>
      <c r="D2794" s="11" t="n">
        <v>172406</v>
      </c>
      <c r="E2794" s="31" t="n">
        <v>30</v>
      </c>
      <c r="F2794" s="31" t="n">
        <v>21.9</v>
      </c>
      <c r="G2794" s="31" t="n">
        <v>89</v>
      </c>
      <c r="H2794" s="2" t="s">
        <v>822</v>
      </c>
    </row>
    <row r="2795" customFormat="false" ht="15" hidden="false" customHeight="false" outlineLevel="0" collapsed="false">
      <c r="A2795" s="2" t="s">
        <v>646</v>
      </c>
      <c r="B2795" s="2" t="s">
        <v>45</v>
      </c>
      <c r="C2795" s="2" t="s">
        <v>4275</v>
      </c>
      <c r="D2795" s="11" t="n">
        <v>174530</v>
      </c>
      <c r="E2795" s="31" t="n">
        <v>41.4</v>
      </c>
      <c r="F2795" s="31" t="n">
        <v>41.4</v>
      </c>
      <c r="G2795" s="31" t="n">
        <v>78.3</v>
      </c>
      <c r="H2795" s="2" t="s">
        <v>822</v>
      </c>
    </row>
    <row r="2796" customFormat="false" ht="15" hidden="false" customHeight="false" outlineLevel="0" collapsed="false">
      <c r="A2796" s="2" t="s">
        <v>646</v>
      </c>
      <c r="B2796" s="2" t="s">
        <v>46</v>
      </c>
      <c r="C2796" s="2" t="s">
        <v>4274</v>
      </c>
      <c r="D2796" s="11" t="n">
        <v>4004</v>
      </c>
      <c r="E2796" s="31" t="n">
        <v>50.9</v>
      </c>
      <c r="F2796" s="2"/>
      <c r="G2796" s="2"/>
      <c r="H2796" s="2" t="s">
        <v>832</v>
      </c>
    </row>
    <row r="2797" customFormat="false" ht="15" hidden="false" customHeight="false" outlineLevel="0" collapsed="false">
      <c r="A2797" s="2" t="s">
        <v>646</v>
      </c>
      <c r="B2797" s="2" t="s">
        <v>46</v>
      </c>
      <c r="C2797" s="2" t="s">
        <v>4275</v>
      </c>
      <c r="D2797" s="11" t="n">
        <v>4031</v>
      </c>
      <c r="E2797" s="31" t="n">
        <v>37.1</v>
      </c>
      <c r="F2797" s="31" t="n">
        <v>18.9</v>
      </c>
      <c r="G2797" s="31" t="n">
        <v>88.5</v>
      </c>
      <c r="H2797" s="2" t="s">
        <v>822</v>
      </c>
    </row>
    <row r="2798" customFormat="false" ht="15" hidden="false" customHeight="false" outlineLevel="0" collapsed="false">
      <c r="A2798" s="2" t="s">
        <v>646</v>
      </c>
      <c r="B2798" s="2" t="s">
        <v>47</v>
      </c>
      <c r="C2798" s="2" t="s">
        <v>4274</v>
      </c>
      <c r="D2798" s="11" t="n">
        <v>5393</v>
      </c>
      <c r="E2798" s="31" t="n">
        <v>28.9</v>
      </c>
      <c r="F2798" s="31" t="n">
        <v>21.1</v>
      </c>
      <c r="G2798" s="2"/>
      <c r="H2798" s="2" t="s">
        <v>832</v>
      </c>
    </row>
    <row r="2799" customFormat="false" ht="15" hidden="false" customHeight="false" outlineLevel="0" collapsed="false">
      <c r="A2799" s="2" t="s">
        <v>646</v>
      </c>
      <c r="B2799" s="2" t="s">
        <v>47</v>
      </c>
      <c r="C2799" s="2" t="s">
        <v>4275</v>
      </c>
      <c r="D2799" s="11" t="n">
        <v>5510</v>
      </c>
      <c r="E2799" s="31" t="n">
        <v>25.7</v>
      </c>
      <c r="F2799" s="31" t="n">
        <v>22.5</v>
      </c>
      <c r="G2799" s="31" t="n">
        <v>99.5</v>
      </c>
      <c r="H2799" s="2" t="s">
        <v>822</v>
      </c>
    </row>
    <row r="2800" customFormat="false" ht="15" hidden="false" customHeight="false" outlineLevel="0" collapsed="false">
      <c r="A2800" s="2" t="s">
        <v>548</v>
      </c>
      <c r="B2800" s="2" t="s">
        <v>4291</v>
      </c>
      <c r="C2800" s="2" t="s">
        <v>4274</v>
      </c>
      <c r="D2800" s="2"/>
      <c r="E2800" s="31" t="n">
        <v>51.4</v>
      </c>
      <c r="F2800" s="31" t="n">
        <v>54.1</v>
      </c>
      <c r="G2800" s="31" t="n">
        <v>46.6</v>
      </c>
      <c r="H2800" s="2" t="s">
        <v>822</v>
      </c>
    </row>
    <row r="2801" customFormat="false" ht="15" hidden="false" customHeight="false" outlineLevel="0" collapsed="false">
      <c r="A2801" s="2" t="s">
        <v>548</v>
      </c>
      <c r="B2801" s="2" t="s">
        <v>4291</v>
      </c>
      <c r="C2801" s="2" t="s">
        <v>4275</v>
      </c>
      <c r="D2801" s="2"/>
      <c r="E2801" s="31" t="n">
        <v>44.4</v>
      </c>
      <c r="F2801" s="31" t="n">
        <v>61.7</v>
      </c>
      <c r="G2801" s="31" t="n">
        <v>45</v>
      </c>
      <c r="H2801" s="2" t="s">
        <v>822</v>
      </c>
    </row>
    <row r="2802" customFormat="false" ht="15" hidden="false" customHeight="false" outlineLevel="0" collapsed="false">
      <c r="A2802" s="2" t="s">
        <v>548</v>
      </c>
      <c r="B2802" s="2" t="s">
        <v>45</v>
      </c>
      <c r="C2802" s="2" t="s">
        <v>4274</v>
      </c>
      <c r="D2802" s="11" t="n">
        <v>20090</v>
      </c>
      <c r="E2802" s="31" t="n">
        <v>60</v>
      </c>
      <c r="F2802" s="31" t="n">
        <v>76.6</v>
      </c>
      <c r="G2802" s="2"/>
      <c r="H2802" s="2" t="s">
        <v>822</v>
      </c>
    </row>
    <row r="2803" customFormat="false" ht="15" hidden="false" customHeight="false" outlineLevel="0" collapsed="false">
      <c r="A2803" s="2" t="s">
        <v>548</v>
      </c>
      <c r="B2803" s="2" t="s">
        <v>45</v>
      </c>
      <c r="C2803" s="2" t="s">
        <v>4275</v>
      </c>
      <c r="D2803" s="11" t="n">
        <v>20230</v>
      </c>
      <c r="E2803" s="31" t="n">
        <v>51</v>
      </c>
      <c r="F2803" s="31" t="n">
        <v>80.8</v>
      </c>
      <c r="G2803" s="2"/>
      <c r="H2803" s="2" t="s">
        <v>822</v>
      </c>
    </row>
    <row r="2804" customFormat="false" ht="15" hidden="false" customHeight="false" outlineLevel="0" collapsed="false">
      <c r="A2804" s="2" t="s">
        <v>548</v>
      </c>
      <c r="B2804" s="2" t="s">
        <v>46</v>
      </c>
      <c r="C2804" s="2" t="s">
        <v>4274</v>
      </c>
      <c r="D2804" s="11" t="n">
        <v>81628</v>
      </c>
      <c r="E2804" s="31" t="n">
        <v>55.6</v>
      </c>
      <c r="F2804" s="31" t="n">
        <v>23.6</v>
      </c>
      <c r="G2804" s="31" t="n">
        <v>65.3</v>
      </c>
      <c r="H2804" s="2" t="s">
        <v>822</v>
      </c>
    </row>
    <row r="2805" customFormat="false" ht="15" hidden="false" customHeight="false" outlineLevel="0" collapsed="false">
      <c r="A2805" s="2" t="s">
        <v>548</v>
      </c>
      <c r="B2805" s="2" t="s">
        <v>46</v>
      </c>
      <c r="C2805" s="2" t="s">
        <v>4275</v>
      </c>
      <c r="D2805" s="11" t="n">
        <v>82700</v>
      </c>
      <c r="E2805" s="31" t="n">
        <v>16.5</v>
      </c>
      <c r="F2805" s="31" t="n">
        <v>66.9</v>
      </c>
      <c r="G2805" s="31" t="n">
        <v>41.1</v>
      </c>
      <c r="H2805" s="2" t="s">
        <v>822</v>
      </c>
    </row>
    <row r="2806" customFormat="false" ht="15" hidden="false" customHeight="false" outlineLevel="0" collapsed="false">
      <c r="A2806" s="2" t="s">
        <v>548</v>
      </c>
      <c r="B2806" s="2" t="s">
        <v>47</v>
      </c>
      <c r="C2806" s="2" t="s">
        <v>4274</v>
      </c>
      <c r="D2806" s="11" t="n">
        <v>7210</v>
      </c>
      <c r="E2806" s="31" t="n">
        <v>38.6</v>
      </c>
      <c r="F2806" s="31" t="n">
        <v>62.2</v>
      </c>
      <c r="G2806" s="31" t="n">
        <v>27.9</v>
      </c>
      <c r="H2806" s="2" t="s">
        <v>822</v>
      </c>
    </row>
    <row r="2807" customFormat="false" ht="15" hidden="false" customHeight="false" outlineLevel="0" collapsed="false">
      <c r="A2807" s="2" t="s">
        <v>548</v>
      </c>
      <c r="B2807" s="2" t="s">
        <v>47</v>
      </c>
      <c r="C2807" s="2" t="s">
        <v>4275</v>
      </c>
      <c r="D2807" s="11" t="n">
        <v>7800</v>
      </c>
      <c r="E2807" s="31" t="n">
        <v>65.8</v>
      </c>
      <c r="F2807" s="31" t="n">
        <v>37.5</v>
      </c>
      <c r="G2807" s="31" t="n">
        <v>48.9</v>
      </c>
      <c r="H2807" s="2" t="s">
        <v>822</v>
      </c>
    </row>
    <row r="2808" customFormat="false" ht="15" hidden="false" customHeight="false" outlineLevel="0" collapsed="false">
      <c r="A2808" s="2" t="s">
        <v>1402</v>
      </c>
      <c r="B2808" s="2" t="s">
        <v>4291</v>
      </c>
      <c r="C2808" s="2" t="s">
        <v>4274</v>
      </c>
      <c r="D2808" s="2"/>
      <c r="E2808" s="31" t="n">
        <v>64.2</v>
      </c>
      <c r="F2808" s="31" t="n">
        <v>64</v>
      </c>
      <c r="G2808" s="31" t="n">
        <v>15.9</v>
      </c>
      <c r="H2808" s="2" t="s">
        <v>832</v>
      </c>
    </row>
    <row r="2809" customFormat="false" ht="15" hidden="false" customHeight="false" outlineLevel="0" collapsed="false">
      <c r="A2809" s="2" t="s">
        <v>1402</v>
      </c>
      <c r="B2809" s="2" t="s">
        <v>4291</v>
      </c>
      <c r="C2809" s="2" t="s">
        <v>4275</v>
      </c>
      <c r="D2809" s="2"/>
      <c r="E2809" s="31" t="n">
        <v>56.6</v>
      </c>
      <c r="F2809" s="31" t="n">
        <v>72.2</v>
      </c>
      <c r="G2809" s="31" t="n">
        <v>20.8</v>
      </c>
      <c r="H2809" s="2" t="s">
        <v>832</v>
      </c>
    </row>
    <row r="2810" customFormat="false" ht="15" hidden="false" customHeight="false" outlineLevel="0" collapsed="false">
      <c r="A2810" s="2" t="s">
        <v>1402</v>
      </c>
      <c r="B2810" s="2" t="s">
        <v>45</v>
      </c>
      <c r="C2810" s="2" t="s">
        <v>4274</v>
      </c>
      <c r="D2810" s="11" t="n">
        <v>20960</v>
      </c>
      <c r="E2810" s="31" t="n">
        <v>42.5</v>
      </c>
      <c r="F2810" s="31" t="n">
        <v>82.8</v>
      </c>
      <c r="G2810" s="2"/>
      <c r="H2810" s="2" t="s">
        <v>832</v>
      </c>
    </row>
    <row r="2811" customFormat="false" ht="15" hidden="false" customHeight="false" outlineLevel="0" collapsed="false">
      <c r="A2811" s="2" t="s">
        <v>1402</v>
      </c>
      <c r="B2811" s="2" t="s">
        <v>45</v>
      </c>
      <c r="C2811" s="2" t="s">
        <v>4275</v>
      </c>
      <c r="D2811" s="11" t="n">
        <v>21250</v>
      </c>
      <c r="E2811" s="31" t="n">
        <v>27.6</v>
      </c>
      <c r="F2811" s="31" t="n">
        <v>72.2</v>
      </c>
      <c r="G2811" s="31" t="n">
        <v>8.6</v>
      </c>
      <c r="H2811" s="2" t="s">
        <v>822</v>
      </c>
    </row>
    <row r="2812" customFormat="false" ht="15" hidden="false" customHeight="false" outlineLevel="0" collapsed="false">
      <c r="A2812" s="2" t="s">
        <v>1402</v>
      </c>
      <c r="B2812" s="2" t="s">
        <v>47</v>
      </c>
      <c r="C2812" s="2" t="s">
        <v>4274</v>
      </c>
      <c r="D2812" s="11" t="n">
        <v>358113</v>
      </c>
      <c r="E2812" s="31" t="n">
        <v>85.8</v>
      </c>
      <c r="F2812" s="31" t="n">
        <v>45.1</v>
      </c>
      <c r="G2812" s="31" t="n">
        <v>15.9</v>
      </c>
      <c r="H2812" s="2" t="s">
        <v>822</v>
      </c>
    </row>
    <row r="2813" customFormat="false" ht="15" hidden="false" customHeight="false" outlineLevel="0" collapsed="false">
      <c r="A2813" s="2" t="s">
        <v>1402</v>
      </c>
      <c r="B2813" s="2" t="s">
        <v>47</v>
      </c>
      <c r="C2813" s="2" t="s">
        <v>4275</v>
      </c>
      <c r="D2813" s="11" t="n">
        <v>362008</v>
      </c>
      <c r="E2813" s="31" t="n">
        <v>85.7</v>
      </c>
      <c r="F2813" s="2"/>
      <c r="G2813" s="31" t="n">
        <v>33</v>
      </c>
      <c r="H2813" s="2" t="s">
        <v>832</v>
      </c>
    </row>
    <row r="2814" customFormat="false" ht="15" hidden="false" customHeight="false" outlineLevel="0" collapsed="false">
      <c r="A2814" s="2" t="s">
        <v>2730</v>
      </c>
      <c r="B2814" s="2" t="s">
        <v>4291</v>
      </c>
      <c r="C2814" s="2" t="s">
        <v>4274</v>
      </c>
      <c r="D2814" s="2"/>
      <c r="E2814" s="31" t="n">
        <v>8.1</v>
      </c>
      <c r="F2814" s="31" t="n">
        <v>56.6</v>
      </c>
      <c r="G2814" s="31" t="n">
        <v>57.2</v>
      </c>
      <c r="H2814" s="2" t="s">
        <v>822</v>
      </c>
    </row>
    <row r="2815" customFormat="false" ht="15" hidden="false" customHeight="false" outlineLevel="0" collapsed="false">
      <c r="A2815" s="2" t="s">
        <v>2730</v>
      </c>
      <c r="B2815" s="2" t="s">
        <v>4291</v>
      </c>
      <c r="C2815" s="2" t="s">
        <v>4275</v>
      </c>
      <c r="D2815" s="2"/>
      <c r="E2815" s="31" t="n">
        <v>10.9</v>
      </c>
      <c r="F2815" s="31" t="n">
        <v>69.4</v>
      </c>
      <c r="G2815" s="31" t="n">
        <v>28</v>
      </c>
      <c r="H2815" s="2" t="s">
        <v>832</v>
      </c>
    </row>
    <row r="2816" customFormat="false" ht="15" hidden="false" customHeight="false" outlineLevel="0" collapsed="false">
      <c r="A2816" s="2" t="s">
        <v>2730</v>
      </c>
      <c r="B2816" s="2" t="s">
        <v>45</v>
      </c>
      <c r="C2816" s="2" t="s">
        <v>4274</v>
      </c>
      <c r="D2816" s="11" t="n">
        <v>3230</v>
      </c>
      <c r="E2816" s="31" t="n">
        <v>2.4</v>
      </c>
      <c r="F2816" s="31" t="n">
        <v>41.9</v>
      </c>
      <c r="G2816" s="31" t="n">
        <v>93.9</v>
      </c>
      <c r="H2816" s="2" t="s">
        <v>822</v>
      </c>
    </row>
    <row r="2817" customFormat="false" ht="15" hidden="false" customHeight="false" outlineLevel="0" collapsed="false">
      <c r="A2817" s="2" t="s">
        <v>2730</v>
      </c>
      <c r="B2817" s="2" t="s">
        <v>45</v>
      </c>
      <c r="C2817" s="2" t="s">
        <v>4275</v>
      </c>
      <c r="D2817" s="11" t="n">
        <v>3287</v>
      </c>
      <c r="E2817" s="31" t="n">
        <v>0.6</v>
      </c>
      <c r="F2817" s="31" t="n">
        <v>69</v>
      </c>
      <c r="G2817" s="2"/>
      <c r="H2817" s="2" t="s">
        <v>832</v>
      </c>
    </row>
    <row r="2818" customFormat="false" ht="15" hidden="false" customHeight="false" outlineLevel="0" collapsed="false">
      <c r="A2818" s="2" t="s">
        <v>2730</v>
      </c>
      <c r="B2818" s="2" t="s">
        <v>47</v>
      </c>
      <c r="C2818" s="2" t="s">
        <v>4274</v>
      </c>
      <c r="D2818" s="11" t="n">
        <v>18560</v>
      </c>
      <c r="E2818" s="31" t="n">
        <v>13.8</v>
      </c>
      <c r="F2818" s="31" t="n">
        <v>71.2</v>
      </c>
      <c r="G2818" s="31" t="n">
        <v>20.6</v>
      </c>
      <c r="H2818" s="2" t="s">
        <v>822</v>
      </c>
    </row>
    <row r="2819" customFormat="false" ht="15" hidden="false" customHeight="false" outlineLevel="0" collapsed="false">
      <c r="A2819" s="2" t="s">
        <v>2730</v>
      </c>
      <c r="B2819" s="2" t="s">
        <v>47</v>
      </c>
      <c r="C2819" s="2" t="s">
        <v>4275</v>
      </c>
      <c r="D2819" s="11" t="n">
        <v>19610</v>
      </c>
      <c r="E2819" s="31" t="n">
        <v>21.2</v>
      </c>
      <c r="F2819" s="31" t="n">
        <v>69.8</v>
      </c>
      <c r="G2819" s="31" t="n">
        <v>28</v>
      </c>
      <c r="H2819" s="2" t="s">
        <v>822</v>
      </c>
    </row>
    <row r="2820" customFormat="false" ht="15" hidden="false" customHeight="false" outlineLevel="0" collapsed="false">
      <c r="A2820" s="2" t="s">
        <v>888</v>
      </c>
      <c r="B2820" s="2" t="s">
        <v>4291</v>
      </c>
      <c r="C2820" s="2" t="s">
        <v>4274</v>
      </c>
      <c r="D2820" s="2"/>
      <c r="E2820" s="31" t="n">
        <v>20</v>
      </c>
      <c r="F2820" s="31" t="n">
        <v>36.5</v>
      </c>
      <c r="G2820" s="31" t="n">
        <v>49.3</v>
      </c>
      <c r="H2820" s="2" t="s">
        <v>832</v>
      </c>
    </row>
    <row r="2821" customFormat="false" ht="15" hidden="false" customHeight="false" outlineLevel="0" collapsed="false">
      <c r="A2821" s="2" t="s">
        <v>888</v>
      </c>
      <c r="B2821" s="2" t="s">
        <v>4291</v>
      </c>
      <c r="C2821" s="2" t="s">
        <v>4275</v>
      </c>
      <c r="D2821" s="2"/>
      <c r="E2821" s="31" t="n">
        <v>42</v>
      </c>
      <c r="F2821" s="31" t="n">
        <v>15.9</v>
      </c>
      <c r="G2821" s="31" t="n">
        <v>63.1</v>
      </c>
      <c r="H2821" s="2" t="s">
        <v>832</v>
      </c>
    </row>
    <row r="2822" customFormat="false" ht="15" hidden="false" customHeight="false" outlineLevel="0" collapsed="false">
      <c r="A2822" s="2" t="s">
        <v>888</v>
      </c>
      <c r="B2822" s="2" t="s">
        <v>45</v>
      </c>
      <c r="C2822" s="2" t="s">
        <v>4274</v>
      </c>
      <c r="D2822" s="2"/>
      <c r="E2822" s="2"/>
      <c r="F2822" s="2"/>
      <c r="G2822" s="2"/>
      <c r="H2822" s="2" t="s">
        <v>832</v>
      </c>
    </row>
    <row r="2823" customFormat="false" ht="15" hidden="false" customHeight="false" outlineLevel="0" collapsed="false">
      <c r="A2823" s="2" t="s">
        <v>888</v>
      </c>
      <c r="B2823" s="2" t="s">
        <v>45</v>
      </c>
      <c r="C2823" s="2" t="s">
        <v>4275</v>
      </c>
      <c r="D2823" s="11" t="n">
        <v>35610</v>
      </c>
      <c r="E2823" s="31" t="n">
        <v>93.6</v>
      </c>
      <c r="F2823" s="31" t="n">
        <v>10.3</v>
      </c>
      <c r="G2823" s="2"/>
      <c r="H2823" s="2" t="s">
        <v>822</v>
      </c>
    </row>
    <row r="2824" customFormat="false" ht="15" hidden="false" customHeight="false" outlineLevel="0" collapsed="false">
      <c r="A2824" s="2" t="s">
        <v>888</v>
      </c>
      <c r="B2824" s="2" t="s">
        <v>46</v>
      </c>
      <c r="C2824" s="2" t="s">
        <v>4274</v>
      </c>
      <c r="D2824" s="11" t="n">
        <v>186595</v>
      </c>
      <c r="E2824" s="31" t="n">
        <v>7.4</v>
      </c>
      <c r="F2824" s="31" t="n">
        <v>53.2</v>
      </c>
      <c r="G2824" s="31" t="n">
        <v>25.1</v>
      </c>
      <c r="H2824" s="2" t="s">
        <v>822</v>
      </c>
    </row>
    <row r="2825" customFormat="false" ht="15" hidden="false" customHeight="false" outlineLevel="0" collapsed="false">
      <c r="A2825" s="2" t="s">
        <v>888</v>
      </c>
      <c r="B2825" s="2" t="s">
        <v>46</v>
      </c>
      <c r="C2825" s="2" t="s">
        <v>4275</v>
      </c>
      <c r="D2825" s="11" t="n">
        <v>197790</v>
      </c>
      <c r="E2825" s="31" t="n">
        <v>5.3</v>
      </c>
      <c r="F2825" s="31" t="n">
        <v>27.4</v>
      </c>
      <c r="G2825" s="2"/>
      <c r="H2825" s="2" t="s">
        <v>832</v>
      </c>
    </row>
    <row r="2826" customFormat="false" ht="15" hidden="false" customHeight="false" outlineLevel="0" collapsed="false">
      <c r="A2826" s="2" t="s">
        <v>888</v>
      </c>
      <c r="B2826" s="2" t="s">
        <v>47</v>
      </c>
      <c r="C2826" s="2" t="s">
        <v>4274</v>
      </c>
      <c r="D2826" s="11" t="n">
        <v>274540</v>
      </c>
      <c r="E2826" s="31" t="n">
        <v>32.5</v>
      </c>
      <c r="F2826" s="31" t="n">
        <v>19.8</v>
      </c>
      <c r="G2826" s="31" t="n">
        <v>73.5</v>
      </c>
      <c r="H2826" s="2" t="s">
        <v>822</v>
      </c>
    </row>
    <row r="2827" customFormat="false" ht="15" hidden="false" customHeight="false" outlineLevel="0" collapsed="false">
      <c r="A2827" s="2" t="s">
        <v>888</v>
      </c>
      <c r="B2827" s="2" t="s">
        <v>47</v>
      </c>
      <c r="C2827" s="2" t="s">
        <v>4275</v>
      </c>
      <c r="D2827" s="11" t="n">
        <v>265334</v>
      </c>
      <c r="E2827" s="31" t="n">
        <v>27</v>
      </c>
      <c r="F2827" s="31" t="n">
        <v>9.9</v>
      </c>
      <c r="G2827" s="31" t="n">
        <v>63.1</v>
      </c>
      <c r="H2827" s="2" t="s">
        <v>822</v>
      </c>
    </row>
    <row r="2828" customFormat="false" ht="15" hidden="false" customHeight="false" outlineLevel="0" collapsed="false">
      <c r="A2828" s="2" t="s">
        <v>282</v>
      </c>
      <c r="B2828" s="2" t="s">
        <v>4291</v>
      </c>
      <c r="C2828" s="2" t="s">
        <v>4274</v>
      </c>
      <c r="D2828" s="2"/>
      <c r="E2828" s="31" t="n">
        <v>62.1</v>
      </c>
      <c r="F2828" s="31" t="n">
        <v>66.8</v>
      </c>
      <c r="G2828" s="31" t="n">
        <v>75</v>
      </c>
      <c r="H2828" s="2" t="s">
        <v>822</v>
      </c>
    </row>
    <row r="2829" customFormat="false" ht="15" hidden="false" customHeight="false" outlineLevel="0" collapsed="false">
      <c r="A2829" s="2" t="s">
        <v>282</v>
      </c>
      <c r="B2829" s="2" t="s">
        <v>4291</v>
      </c>
      <c r="C2829" s="2" t="s">
        <v>4275</v>
      </c>
      <c r="D2829" s="2"/>
      <c r="E2829" s="31" t="n">
        <v>64.7</v>
      </c>
      <c r="F2829" s="31" t="n">
        <v>70.8</v>
      </c>
      <c r="G2829" s="31" t="n">
        <v>50</v>
      </c>
      <c r="H2829" s="2" t="s">
        <v>822</v>
      </c>
    </row>
    <row r="2830" customFormat="false" ht="15" hidden="false" customHeight="false" outlineLevel="0" collapsed="false">
      <c r="A2830" s="2" t="s">
        <v>282</v>
      </c>
      <c r="B2830" s="2" t="s">
        <v>45</v>
      </c>
      <c r="C2830" s="2" t="s">
        <v>4274</v>
      </c>
      <c r="D2830" s="11" t="n">
        <v>96070</v>
      </c>
      <c r="E2830" s="31" t="n">
        <v>79</v>
      </c>
      <c r="F2830" s="31" t="n">
        <v>46.7</v>
      </c>
      <c r="G2830" s="2"/>
      <c r="H2830" s="2" t="s">
        <v>822</v>
      </c>
    </row>
    <row r="2831" customFormat="false" ht="15" hidden="false" customHeight="false" outlineLevel="0" collapsed="false">
      <c r="A2831" s="2" t="s">
        <v>282</v>
      </c>
      <c r="B2831" s="2" t="s">
        <v>45</v>
      </c>
      <c r="C2831" s="2" t="s">
        <v>4275</v>
      </c>
      <c r="D2831" s="11" t="n">
        <v>100910</v>
      </c>
      <c r="E2831" s="31" t="n">
        <v>89.4</v>
      </c>
      <c r="F2831" s="31" t="n">
        <v>76.4</v>
      </c>
      <c r="G2831" s="2"/>
      <c r="H2831" s="2" t="s">
        <v>822</v>
      </c>
    </row>
    <row r="2832" customFormat="false" ht="15" hidden="false" customHeight="false" outlineLevel="0" collapsed="false">
      <c r="A2832" s="2" t="s">
        <v>282</v>
      </c>
      <c r="B2832" s="2" t="s">
        <v>46</v>
      </c>
      <c r="C2832" s="2" t="s">
        <v>4274</v>
      </c>
      <c r="D2832" s="11" t="n">
        <v>174450</v>
      </c>
      <c r="E2832" s="31" t="n">
        <v>43.4</v>
      </c>
      <c r="F2832" s="31" t="n">
        <v>66.7</v>
      </c>
      <c r="G2832" s="31" t="n">
        <v>94.3</v>
      </c>
      <c r="H2832" s="2" t="s">
        <v>822</v>
      </c>
    </row>
    <row r="2833" customFormat="false" ht="15" hidden="false" customHeight="false" outlineLevel="0" collapsed="false">
      <c r="A2833" s="2" t="s">
        <v>282</v>
      </c>
      <c r="B2833" s="2" t="s">
        <v>46</v>
      </c>
      <c r="C2833" s="2" t="s">
        <v>4275</v>
      </c>
      <c r="D2833" s="11" t="n">
        <v>174250</v>
      </c>
      <c r="E2833" s="31" t="n">
        <v>29.3</v>
      </c>
      <c r="F2833" s="31" t="n">
        <v>70.7</v>
      </c>
      <c r="G2833" s="31" t="n">
        <v>68</v>
      </c>
      <c r="H2833" s="2" t="s">
        <v>822</v>
      </c>
    </row>
    <row r="2834" customFormat="false" ht="15" hidden="false" customHeight="false" outlineLevel="0" collapsed="false">
      <c r="A2834" s="2" t="s">
        <v>282</v>
      </c>
      <c r="B2834" s="2" t="s">
        <v>47</v>
      </c>
      <c r="C2834" s="2" t="s">
        <v>4274</v>
      </c>
      <c r="D2834" s="11" t="n">
        <v>397278</v>
      </c>
      <c r="E2834" s="31" t="n">
        <v>63.8</v>
      </c>
      <c r="F2834" s="31" t="n">
        <v>87</v>
      </c>
      <c r="G2834" s="31" t="n">
        <v>55.6</v>
      </c>
      <c r="H2834" s="2" t="s">
        <v>822</v>
      </c>
    </row>
    <row r="2835" customFormat="false" ht="15" hidden="false" customHeight="false" outlineLevel="0" collapsed="false">
      <c r="A2835" s="2" t="s">
        <v>282</v>
      </c>
      <c r="B2835" s="2" t="s">
        <v>47</v>
      </c>
      <c r="C2835" s="2" t="s">
        <v>4275</v>
      </c>
      <c r="D2835" s="11" t="n">
        <v>403676</v>
      </c>
      <c r="E2835" s="31" t="n">
        <v>75.5</v>
      </c>
      <c r="F2835" s="31" t="n">
        <v>65.2</v>
      </c>
      <c r="G2835" s="31" t="n">
        <v>31.9</v>
      </c>
      <c r="H2835" s="2" t="s">
        <v>822</v>
      </c>
    </row>
    <row r="2836" customFormat="false" ht="15" hidden="false" customHeight="false" outlineLevel="0" collapsed="false">
      <c r="A2836" s="2" t="s">
        <v>1599</v>
      </c>
      <c r="B2836" s="2" t="s">
        <v>4291</v>
      </c>
      <c r="C2836" s="2" t="s">
        <v>4274</v>
      </c>
      <c r="D2836" s="2"/>
      <c r="E2836" s="31" t="n">
        <v>68.4</v>
      </c>
      <c r="F2836" s="31" t="n">
        <v>37</v>
      </c>
      <c r="G2836" s="31" t="n">
        <v>74.8</v>
      </c>
      <c r="H2836" s="2" t="s">
        <v>822</v>
      </c>
    </row>
    <row r="2837" customFormat="false" ht="15" hidden="false" customHeight="false" outlineLevel="0" collapsed="false">
      <c r="A2837" s="2" t="s">
        <v>1599</v>
      </c>
      <c r="B2837" s="2" t="s">
        <v>4291</v>
      </c>
      <c r="C2837" s="2" t="s">
        <v>4275</v>
      </c>
      <c r="D2837" s="2"/>
      <c r="E2837" s="31" t="n">
        <v>54.8</v>
      </c>
      <c r="F2837" s="31" t="n">
        <v>31.1</v>
      </c>
      <c r="G2837" s="31" t="n">
        <v>89.6</v>
      </c>
      <c r="H2837" s="2" t="s">
        <v>832</v>
      </c>
    </row>
    <row r="2838" customFormat="false" ht="15" hidden="false" customHeight="false" outlineLevel="0" collapsed="false">
      <c r="A2838" s="2" t="s">
        <v>1599</v>
      </c>
      <c r="B2838" s="2" t="s">
        <v>45</v>
      </c>
      <c r="C2838" s="2" t="s">
        <v>4274</v>
      </c>
      <c r="D2838" s="11" t="n">
        <v>22060</v>
      </c>
      <c r="E2838" s="31" t="n">
        <v>92.2</v>
      </c>
      <c r="F2838" s="31" t="n">
        <v>20.1</v>
      </c>
      <c r="G2838" s="31" t="n">
        <v>50.5</v>
      </c>
      <c r="H2838" s="2" t="s">
        <v>822</v>
      </c>
    </row>
    <row r="2839" customFormat="false" ht="15" hidden="false" customHeight="false" outlineLevel="0" collapsed="false">
      <c r="A2839" s="2" t="s">
        <v>1599</v>
      </c>
      <c r="B2839" s="2" t="s">
        <v>45</v>
      </c>
      <c r="C2839" s="2" t="s">
        <v>4275</v>
      </c>
      <c r="D2839" s="2"/>
      <c r="E2839" s="2"/>
      <c r="F2839" s="2"/>
      <c r="G2839" s="2"/>
      <c r="H2839" s="2" t="s">
        <v>832</v>
      </c>
    </row>
    <row r="2840" customFormat="false" ht="15" hidden="false" customHeight="false" outlineLevel="0" collapsed="false">
      <c r="A2840" s="2" t="s">
        <v>1599</v>
      </c>
      <c r="B2840" s="2" t="s">
        <v>46</v>
      </c>
      <c r="C2840" s="2" t="s">
        <v>4274</v>
      </c>
      <c r="D2840" s="11" t="n">
        <v>4708</v>
      </c>
      <c r="E2840" s="31" t="n">
        <v>99.8</v>
      </c>
      <c r="F2840" s="31" t="n">
        <v>86</v>
      </c>
      <c r="G2840" s="31" t="n">
        <v>79.2</v>
      </c>
      <c r="H2840" s="2" t="s">
        <v>822</v>
      </c>
    </row>
    <row r="2841" customFormat="false" ht="15" hidden="false" customHeight="false" outlineLevel="0" collapsed="false">
      <c r="A2841" s="2" t="s">
        <v>1599</v>
      </c>
      <c r="B2841" s="2" t="s">
        <v>46</v>
      </c>
      <c r="C2841" s="2" t="s">
        <v>4275</v>
      </c>
      <c r="D2841" s="11" t="n">
        <v>5020</v>
      </c>
      <c r="E2841" s="31" t="n">
        <v>100</v>
      </c>
      <c r="F2841" s="31" t="n">
        <v>56.6</v>
      </c>
      <c r="G2841" s="31" t="n">
        <v>83.9</v>
      </c>
      <c r="H2841" s="2" t="s">
        <v>822</v>
      </c>
    </row>
    <row r="2842" customFormat="false" ht="15" hidden="false" customHeight="false" outlineLevel="0" collapsed="false">
      <c r="A2842" s="2" t="s">
        <v>1599</v>
      </c>
      <c r="B2842" s="2" t="s">
        <v>47</v>
      </c>
      <c r="C2842" s="2" t="s">
        <v>4274</v>
      </c>
      <c r="D2842" s="11" t="n">
        <v>177430</v>
      </c>
      <c r="E2842" s="31" t="n">
        <v>13.1</v>
      </c>
      <c r="F2842" s="31" t="n">
        <v>4.9</v>
      </c>
      <c r="G2842" s="31" t="n">
        <v>94.7</v>
      </c>
      <c r="H2842" s="2" t="s">
        <v>822</v>
      </c>
    </row>
    <row r="2843" customFormat="false" ht="15" hidden="false" customHeight="false" outlineLevel="0" collapsed="false">
      <c r="A2843" s="2" t="s">
        <v>1599</v>
      </c>
      <c r="B2843" s="2" t="s">
        <v>47</v>
      </c>
      <c r="C2843" s="2" t="s">
        <v>4275</v>
      </c>
      <c r="D2843" s="11" t="n">
        <v>173660</v>
      </c>
      <c r="E2843" s="31" t="n">
        <v>9.7</v>
      </c>
      <c r="F2843" s="31" t="n">
        <v>5.6</v>
      </c>
      <c r="G2843" s="31" t="n">
        <v>95.2</v>
      </c>
      <c r="H2843" s="2" t="s">
        <v>822</v>
      </c>
    </row>
    <row r="2844" customFormat="false" ht="15" hidden="false" customHeight="false" outlineLevel="0" collapsed="false">
      <c r="A2844" s="2" t="s">
        <v>3134</v>
      </c>
      <c r="B2844" s="2" t="s">
        <v>4291</v>
      </c>
      <c r="C2844" s="2" t="s">
        <v>4274</v>
      </c>
      <c r="D2844" s="2"/>
      <c r="E2844" s="31" t="n">
        <v>91.5</v>
      </c>
      <c r="F2844" s="31" t="n">
        <v>9.9</v>
      </c>
      <c r="G2844" s="31" t="n">
        <v>57.1</v>
      </c>
      <c r="H2844" s="2" t="s">
        <v>822</v>
      </c>
    </row>
    <row r="2845" customFormat="false" ht="15" hidden="false" customHeight="false" outlineLevel="0" collapsed="false">
      <c r="A2845" s="2" t="s">
        <v>3134</v>
      </c>
      <c r="B2845" s="2" t="s">
        <v>4291</v>
      </c>
      <c r="C2845" s="2" t="s">
        <v>4275</v>
      </c>
      <c r="D2845" s="2"/>
      <c r="E2845" s="2"/>
      <c r="F2845" s="2"/>
      <c r="G2845" s="2"/>
      <c r="H2845" s="2" t="s">
        <v>832</v>
      </c>
    </row>
    <row r="2846" customFormat="false" ht="15" hidden="false" customHeight="false" outlineLevel="0" collapsed="false">
      <c r="A2846" s="2" t="s">
        <v>3134</v>
      </c>
      <c r="B2846" s="2" t="s">
        <v>47</v>
      </c>
      <c r="C2846" s="2" t="s">
        <v>4274</v>
      </c>
      <c r="D2846" s="11" t="n">
        <v>364970</v>
      </c>
      <c r="E2846" s="31" t="n">
        <v>91.5</v>
      </c>
      <c r="F2846" s="31" t="n">
        <v>9.9</v>
      </c>
      <c r="G2846" s="31" t="n">
        <v>57.1</v>
      </c>
      <c r="H2846" s="2" t="s">
        <v>822</v>
      </c>
    </row>
    <row r="2847" customFormat="false" ht="15" hidden="false" customHeight="false" outlineLevel="0" collapsed="false">
      <c r="A2847" s="2" t="s">
        <v>3134</v>
      </c>
      <c r="B2847" s="2" t="s">
        <v>47</v>
      </c>
      <c r="C2847" s="2" t="s">
        <v>4275</v>
      </c>
      <c r="D2847" s="2"/>
      <c r="E2847" s="2"/>
      <c r="F2847" s="2"/>
      <c r="G2847" s="2"/>
      <c r="H2847" s="2" t="s">
        <v>832</v>
      </c>
    </row>
    <row r="2848" customFormat="false" ht="15" hidden="false" customHeight="false" outlineLevel="0" collapsed="false">
      <c r="A2848" s="2" t="s">
        <v>1699</v>
      </c>
      <c r="B2848" s="2" t="s">
        <v>4291</v>
      </c>
      <c r="C2848" s="2" t="s">
        <v>4274</v>
      </c>
      <c r="D2848" s="2"/>
      <c r="E2848" s="31" t="n">
        <v>30.1</v>
      </c>
      <c r="F2848" s="31" t="n">
        <v>47.7</v>
      </c>
      <c r="G2848" s="2"/>
      <c r="H2848" s="2" t="s">
        <v>832</v>
      </c>
    </row>
    <row r="2849" customFormat="false" ht="15" hidden="false" customHeight="false" outlineLevel="0" collapsed="false">
      <c r="A2849" s="2" t="s">
        <v>1699</v>
      </c>
      <c r="B2849" s="2" t="s">
        <v>4291</v>
      </c>
      <c r="C2849" s="2" t="s">
        <v>4275</v>
      </c>
      <c r="D2849" s="2"/>
      <c r="E2849" s="31" t="n">
        <v>49.6</v>
      </c>
      <c r="F2849" s="31" t="n">
        <v>59.8</v>
      </c>
      <c r="G2849" s="31" t="n">
        <v>59.1</v>
      </c>
      <c r="H2849" s="2" t="s">
        <v>832</v>
      </c>
    </row>
    <row r="2850" customFormat="false" ht="15" hidden="false" customHeight="false" outlineLevel="0" collapsed="false">
      <c r="A2850" s="2" t="s">
        <v>1699</v>
      </c>
      <c r="B2850" s="2" t="s">
        <v>45</v>
      </c>
      <c r="C2850" s="2" t="s">
        <v>4274</v>
      </c>
      <c r="D2850" s="11" t="n">
        <v>97057</v>
      </c>
      <c r="E2850" s="31" t="n">
        <v>56.8</v>
      </c>
      <c r="F2850" s="31" t="n">
        <v>33.6</v>
      </c>
      <c r="G2850" s="2"/>
      <c r="H2850" s="2" t="s">
        <v>832</v>
      </c>
    </row>
    <row r="2851" customFormat="false" ht="15" hidden="false" customHeight="false" outlineLevel="0" collapsed="false">
      <c r="A2851" s="2" t="s">
        <v>1699</v>
      </c>
      <c r="B2851" s="2" t="s">
        <v>45</v>
      </c>
      <c r="C2851" s="2" t="s">
        <v>4275</v>
      </c>
      <c r="D2851" s="2"/>
      <c r="E2851" s="2"/>
      <c r="F2851" s="2"/>
      <c r="G2851" s="2"/>
      <c r="H2851" s="2" t="s">
        <v>832</v>
      </c>
    </row>
    <row r="2852" customFormat="false" ht="15" hidden="false" customHeight="false" outlineLevel="0" collapsed="false">
      <c r="A2852" s="2" t="s">
        <v>1699</v>
      </c>
      <c r="B2852" s="2" t="s">
        <v>46</v>
      </c>
      <c r="C2852" s="2" t="s">
        <v>4274</v>
      </c>
      <c r="D2852" s="11" t="n">
        <v>58693</v>
      </c>
      <c r="E2852" s="31" t="n">
        <v>27.6</v>
      </c>
      <c r="F2852" s="31" t="n">
        <v>36</v>
      </c>
      <c r="G2852" s="2"/>
      <c r="H2852" s="2" t="s">
        <v>832</v>
      </c>
    </row>
    <row r="2853" customFormat="false" ht="15" hidden="false" customHeight="false" outlineLevel="0" collapsed="false">
      <c r="A2853" s="2" t="s">
        <v>1699</v>
      </c>
      <c r="B2853" s="2" t="s">
        <v>46</v>
      </c>
      <c r="C2853" s="2" t="s">
        <v>4275</v>
      </c>
      <c r="D2853" s="11" t="n">
        <v>60670</v>
      </c>
      <c r="E2853" s="31" t="n">
        <v>83.5</v>
      </c>
      <c r="F2853" s="31" t="n">
        <v>64.4</v>
      </c>
      <c r="G2853" s="31" t="n">
        <v>39.5</v>
      </c>
      <c r="H2853" s="2" t="s">
        <v>822</v>
      </c>
    </row>
    <row r="2854" customFormat="false" ht="15" hidden="false" customHeight="false" outlineLevel="0" collapsed="false">
      <c r="A2854" s="2" t="s">
        <v>1699</v>
      </c>
      <c r="B2854" s="2" t="s">
        <v>47</v>
      </c>
      <c r="C2854" s="2" t="s">
        <v>4274</v>
      </c>
      <c r="D2854" s="11" t="n">
        <v>460129</v>
      </c>
      <c r="E2854" s="31" t="n">
        <v>5.9</v>
      </c>
      <c r="F2854" s="31" t="n">
        <v>73.5</v>
      </c>
      <c r="G2854" s="2"/>
      <c r="H2854" s="2" t="s">
        <v>832</v>
      </c>
    </row>
    <row r="2855" customFormat="false" ht="15" hidden="false" customHeight="false" outlineLevel="0" collapsed="false">
      <c r="A2855" s="2" t="s">
        <v>1699</v>
      </c>
      <c r="B2855" s="2" t="s">
        <v>47</v>
      </c>
      <c r="C2855" s="2" t="s">
        <v>4275</v>
      </c>
      <c r="D2855" s="11" t="n">
        <v>490110</v>
      </c>
      <c r="E2855" s="31" t="n">
        <v>15.7</v>
      </c>
      <c r="F2855" s="31" t="n">
        <v>55.3</v>
      </c>
      <c r="G2855" s="31" t="n">
        <v>78.7</v>
      </c>
      <c r="H2855" s="2" t="s">
        <v>822</v>
      </c>
    </row>
    <row r="2856" customFormat="false" ht="15" hidden="false" customHeight="false" outlineLevel="0" collapsed="false">
      <c r="A2856" s="2" t="s">
        <v>3135</v>
      </c>
      <c r="B2856" s="2" t="s">
        <v>4291</v>
      </c>
      <c r="C2856" s="2" t="s">
        <v>4274</v>
      </c>
      <c r="D2856" s="2"/>
      <c r="E2856" s="31" t="n">
        <v>37.6</v>
      </c>
      <c r="F2856" s="31" t="n">
        <v>58.4</v>
      </c>
      <c r="G2856" s="31" t="n">
        <v>47.7</v>
      </c>
      <c r="H2856" s="2" t="s">
        <v>822</v>
      </c>
    </row>
    <row r="2857" customFormat="false" ht="15" hidden="false" customHeight="false" outlineLevel="0" collapsed="false">
      <c r="A2857" s="2" t="s">
        <v>3135</v>
      </c>
      <c r="B2857" s="2" t="s">
        <v>4291</v>
      </c>
      <c r="C2857" s="2" t="s">
        <v>4275</v>
      </c>
      <c r="D2857" s="2"/>
      <c r="E2857" s="31" t="n">
        <v>21.6</v>
      </c>
      <c r="F2857" s="2"/>
      <c r="G2857" s="2"/>
      <c r="H2857" s="2" t="s">
        <v>832</v>
      </c>
    </row>
    <row r="2858" customFormat="false" ht="15" hidden="false" customHeight="false" outlineLevel="0" collapsed="false">
      <c r="A2858" s="2" t="s">
        <v>3135</v>
      </c>
      <c r="B2858" s="2" t="s">
        <v>46</v>
      </c>
      <c r="C2858" s="2" t="s">
        <v>4274</v>
      </c>
      <c r="D2858" s="11" t="n">
        <v>35070</v>
      </c>
      <c r="E2858" s="31" t="n">
        <v>37.6</v>
      </c>
      <c r="F2858" s="31" t="n">
        <v>58.4</v>
      </c>
      <c r="G2858" s="31" t="n">
        <v>47.7</v>
      </c>
      <c r="H2858" s="2" t="s">
        <v>822</v>
      </c>
    </row>
    <row r="2859" customFormat="false" ht="15" hidden="false" customHeight="false" outlineLevel="0" collapsed="false">
      <c r="A2859" s="2" t="s">
        <v>3135</v>
      </c>
      <c r="B2859" s="2" t="s">
        <v>46</v>
      </c>
      <c r="C2859" s="2" t="s">
        <v>4275</v>
      </c>
      <c r="D2859" s="11" t="n">
        <v>36080</v>
      </c>
      <c r="E2859" s="31" t="n">
        <v>21.6</v>
      </c>
      <c r="F2859" s="2"/>
      <c r="G2859" s="2"/>
      <c r="H2859" s="2" t="s">
        <v>832</v>
      </c>
    </row>
    <row r="2860" customFormat="false" ht="15" hidden="false" customHeight="false" outlineLevel="0" collapsed="false">
      <c r="A2860" s="2" t="s">
        <v>280</v>
      </c>
      <c r="B2860" s="2" t="s">
        <v>4291</v>
      </c>
      <c r="C2860" s="2" t="s">
        <v>4274</v>
      </c>
      <c r="D2860" s="2"/>
      <c r="E2860" s="31" t="n">
        <v>66</v>
      </c>
      <c r="F2860" s="31" t="n">
        <v>61.8</v>
      </c>
      <c r="G2860" s="31" t="n">
        <v>73.1</v>
      </c>
      <c r="H2860" s="2" t="s">
        <v>822</v>
      </c>
    </row>
    <row r="2861" customFormat="false" ht="15" hidden="false" customHeight="false" outlineLevel="0" collapsed="false">
      <c r="A2861" s="2" t="s">
        <v>280</v>
      </c>
      <c r="B2861" s="2" t="s">
        <v>4291</v>
      </c>
      <c r="C2861" s="2" t="s">
        <v>4275</v>
      </c>
      <c r="D2861" s="2"/>
      <c r="E2861" s="31" t="n">
        <v>64.7</v>
      </c>
      <c r="F2861" s="31" t="n">
        <v>67.3</v>
      </c>
      <c r="G2861" s="31" t="n">
        <v>88</v>
      </c>
      <c r="H2861" s="2" t="s">
        <v>822</v>
      </c>
    </row>
    <row r="2862" customFormat="false" ht="15" hidden="false" customHeight="false" outlineLevel="0" collapsed="false">
      <c r="A2862" s="2" t="s">
        <v>280</v>
      </c>
      <c r="B2862" s="2" t="s">
        <v>45</v>
      </c>
      <c r="C2862" s="2" t="s">
        <v>4274</v>
      </c>
      <c r="D2862" s="11" t="n">
        <v>171990</v>
      </c>
      <c r="E2862" s="31" t="n">
        <v>21.6</v>
      </c>
      <c r="F2862" s="31" t="n">
        <v>71.9</v>
      </c>
      <c r="G2862" s="31" t="n">
        <v>68.3</v>
      </c>
      <c r="H2862" s="2" t="s">
        <v>822</v>
      </c>
    </row>
    <row r="2863" customFormat="false" ht="15" hidden="false" customHeight="false" outlineLevel="0" collapsed="false">
      <c r="A2863" s="2" t="s">
        <v>280</v>
      </c>
      <c r="B2863" s="2" t="s">
        <v>45</v>
      </c>
      <c r="C2863" s="2" t="s">
        <v>4275</v>
      </c>
      <c r="D2863" s="11" t="n">
        <v>178040</v>
      </c>
      <c r="E2863" s="31" t="n">
        <v>8.3</v>
      </c>
      <c r="F2863" s="31" t="n">
        <v>50</v>
      </c>
      <c r="G2863" s="31" t="n">
        <v>80.7</v>
      </c>
      <c r="H2863" s="2" t="s">
        <v>822</v>
      </c>
    </row>
    <row r="2864" customFormat="false" ht="15" hidden="false" customHeight="false" outlineLevel="0" collapsed="false">
      <c r="A2864" s="2" t="s">
        <v>280</v>
      </c>
      <c r="B2864" s="2" t="s">
        <v>46</v>
      </c>
      <c r="C2864" s="2" t="s">
        <v>4274</v>
      </c>
      <c r="D2864" s="11" t="n">
        <v>30090</v>
      </c>
      <c r="E2864" s="31" t="n">
        <v>80.6</v>
      </c>
      <c r="F2864" s="31" t="n">
        <v>85.4</v>
      </c>
      <c r="G2864" s="31" t="n">
        <v>74.2</v>
      </c>
      <c r="H2864" s="2" t="s">
        <v>822</v>
      </c>
    </row>
    <row r="2865" customFormat="false" ht="15" hidden="false" customHeight="false" outlineLevel="0" collapsed="false">
      <c r="A2865" s="2" t="s">
        <v>280</v>
      </c>
      <c r="B2865" s="2" t="s">
        <v>46</v>
      </c>
      <c r="C2865" s="2" t="s">
        <v>4275</v>
      </c>
      <c r="D2865" s="11" t="n">
        <v>32370</v>
      </c>
      <c r="E2865" s="31" t="n">
        <v>86.8</v>
      </c>
      <c r="F2865" s="31" t="n">
        <v>94.9</v>
      </c>
      <c r="G2865" s="31" t="n">
        <v>90.9</v>
      </c>
      <c r="H2865" s="2" t="s">
        <v>822</v>
      </c>
    </row>
    <row r="2866" customFormat="false" ht="15" hidden="false" customHeight="false" outlineLevel="0" collapsed="false">
      <c r="A2866" s="2" t="s">
        <v>280</v>
      </c>
      <c r="B2866" s="2" t="s">
        <v>47</v>
      </c>
      <c r="C2866" s="2" t="s">
        <v>4274</v>
      </c>
      <c r="D2866" s="11" t="n">
        <v>28467</v>
      </c>
      <c r="E2866" s="31" t="n">
        <v>95.7</v>
      </c>
      <c r="F2866" s="31" t="n">
        <v>28.1</v>
      </c>
      <c r="G2866" s="31" t="n">
        <v>76.7</v>
      </c>
      <c r="H2866" s="2" t="s">
        <v>822</v>
      </c>
    </row>
    <row r="2867" customFormat="false" ht="15" hidden="false" customHeight="false" outlineLevel="0" collapsed="false">
      <c r="A2867" s="2" t="s">
        <v>280</v>
      </c>
      <c r="B2867" s="2" t="s">
        <v>47</v>
      </c>
      <c r="C2867" s="2" t="s">
        <v>4275</v>
      </c>
      <c r="D2867" s="11" t="n">
        <v>29100</v>
      </c>
      <c r="E2867" s="31" t="n">
        <v>98.9</v>
      </c>
      <c r="F2867" s="31" t="n">
        <v>57.1</v>
      </c>
      <c r="G2867" s="31" t="n">
        <v>92.5</v>
      </c>
      <c r="H2867" s="2" t="s">
        <v>822</v>
      </c>
    </row>
    <row r="2868" customFormat="false" ht="15" hidden="false" customHeight="false" outlineLevel="0" collapsed="false">
      <c r="A2868" s="2" t="s">
        <v>2636</v>
      </c>
      <c r="B2868" s="2" t="s">
        <v>4291</v>
      </c>
      <c r="C2868" s="2" t="s">
        <v>4274</v>
      </c>
      <c r="D2868" s="2"/>
      <c r="E2868" s="31" t="n">
        <v>60.3</v>
      </c>
      <c r="F2868" s="31" t="n">
        <v>52.1</v>
      </c>
      <c r="G2868" s="31" t="n">
        <v>26.5</v>
      </c>
      <c r="H2868" s="2" t="s">
        <v>822</v>
      </c>
    </row>
    <row r="2869" customFormat="false" ht="15" hidden="false" customHeight="false" outlineLevel="0" collapsed="false">
      <c r="A2869" s="2" t="s">
        <v>2636</v>
      </c>
      <c r="B2869" s="2" t="s">
        <v>4291</v>
      </c>
      <c r="C2869" s="2" t="s">
        <v>4275</v>
      </c>
      <c r="D2869" s="2"/>
      <c r="E2869" s="31" t="n">
        <v>46.5</v>
      </c>
      <c r="F2869" s="31" t="n">
        <v>50.2</v>
      </c>
      <c r="G2869" s="31" t="n">
        <v>65.8</v>
      </c>
      <c r="H2869" s="2" t="s">
        <v>832</v>
      </c>
    </row>
    <row r="2870" customFormat="false" ht="15" hidden="false" customHeight="false" outlineLevel="0" collapsed="false">
      <c r="A2870" s="2" t="s">
        <v>2636</v>
      </c>
      <c r="B2870" s="2" t="s">
        <v>45</v>
      </c>
      <c r="C2870" s="2" t="s">
        <v>4274</v>
      </c>
      <c r="D2870" s="11" t="n">
        <v>11860</v>
      </c>
      <c r="E2870" s="31" t="n">
        <v>47.9</v>
      </c>
      <c r="F2870" s="31" t="n">
        <v>36.5</v>
      </c>
      <c r="G2870" s="31" t="n">
        <v>3.7</v>
      </c>
      <c r="H2870" s="2" t="s">
        <v>822</v>
      </c>
    </row>
    <row r="2871" customFormat="false" ht="15" hidden="false" customHeight="false" outlineLevel="0" collapsed="false">
      <c r="A2871" s="2" t="s">
        <v>2636</v>
      </c>
      <c r="B2871" s="2" t="s">
        <v>45</v>
      </c>
      <c r="C2871" s="2" t="s">
        <v>4275</v>
      </c>
      <c r="D2871" s="11" t="n">
        <v>12110</v>
      </c>
      <c r="E2871" s="31" t="n">
        <v>31.2</v>
      </c>
      <c r="F2871" s="31" t="n">
        <v>37.8</v>
      </c>
      <c r="G2871" s="2"/>
      <c r="H2871" s="2" t="s">
        <v>832</v>
      </c>
    </row>
    <row r="2872" customFormat="false" ht="15" hidden="false" customHeight="false" outlineLevel="0" collapsed="false">
      <c r="A2872" s="2" t="s">
        <v>2636</v>
      </c>
      <c r="B2872" s="2" t="s">
        <v>46</v>
      </c>
      <c r="C2872" s="2" t="s">
        <v>4274</v>
      </c>
      <c r="D2872" s="11" t="n">
        <v>129810</v>
      </c>
      <c r="E2872" s="31" t="n">
        <v>77.5</v>
      </c>
      <c r="F2872" s="31" t="n">
        <v>45.5</v>
      </c>
      <c r="G2872" s="31" t="n">
        <v>71.5</v>
      </c>
      <c r="H2872" s="2" t="s">
        <v>822</v>
      </c>
    </row>
    <row r="2873" customFormat="false" ht="15" hidden="false" customHeight="false" outlineLevel="0" collapsed="false">
      <c r="A2873" s="2" t="s">
        <v>2636</v>
      </c>
      <c r="B2873" s="2" t="s">
        <v>46</v>
      </c>
      <c r="C2873" s="2" t="s">
        <v>4275</v>
      </c>
      <c r="D2873" s="11" t="n">
        <v>133430</v>
      </c>
      <c r="E2873" s="31" t="n">
        <v>72.7</v>
      </c>
      <c r="F2873" s="31" t="n">
        <v>45.2</v>
      </c>
      <c r="G2873" s="31" t="n">
        <v>94</v>
      </c>
      <c r="H2873" s="2" t="s">
        <v>832</v>
      </c>
    </row>
    <row r="2874" customFormat="false" ht="15" hidden="false" customHeight="false" outlineLevel="0" collapsed="false">
      <c r="A2874" s="2" t="s">
        <v>2636</v>
      </c>
      <c r="B2874" s="2" t="s">
        <v>47</v>
      </c>
      <c r="C2874" s="2" t="s">
        <v>4274</v>
      </c>
      <c r="D2874" s="11" t="n">
        <v>29114</v>
      </c>
      <c r="E2874" s="31" t="n">
        <v>55.5</v>
      </c>
      <c r="F2874" s="31" t="n">
        <v>74.2</v>
      </c>
      <c r="G2874" s="31" t="n">
        <v>4.4</v>
      </c>
      <c r="H2874" s="2" t="s">
        <v>822</v>
      </c>
    </row>
    <row r="2875" customFormat="false" ht="15" hidden="false" customHeight="false" outlineLevel="0" collapsed="false">
      <c r="A2875" s="2" t="s">
        <v>2636</v>
      </c>
      <c r="B2875" s="2" t="s">
        <v>47</v>
      </c>
      <c r="C2875" s="2" t="s">
        <v>4275</v>
      </c>
      <c r="D2875" s="11" t="n">
        <v>30190</v>
      </c>
      <c r="E2875" s="31" t="n">
        <v>35.6</v>
      </c>
      <c r="F2875" s="31" t="n">
        <v>67.5</v>
      </c>
      <c r="G2875" s="31" t="n">
        <v>37.6</v>
      </c>
      <c r="H2875" s="2" t="s">
        <v>822</v>
      </c>
    </row>
    <row r="2876" customFormat="false" ht="15" hidden="false" customHeight="false" outlineLevel="0" collapsed="false">
      <c r="A2876" s="2" t="s">
        <v>766</v>
      </c>
      <c r="B2876" s="2" t="s">
        <v>4291</v>
      </c>
      <c r="C2876" s="2" t="s">
        <v>4274</v>
      </c>
      <c r="D2876" s="2"/>
      <c r="E2876" s="2"/>
      <c r="F2876" s="2"/>
      <c r="G2876" s="31" t="n">
        <v>81</v>
      </c>
      <c r="H2876" s="2" t="s">
        <v>832</v>
      </c>
    </row>
    <row r="2877" customFormat="false" ht="15" hidden="false" customHeight="false" outlineLevel="0" collapsed="false">
      <c r="A2877" s="2" t="s">
        <v>766</v>
      </c>
      <c r="B2877" s="2" t="s">
        <v>4291</v>
      </c>
      <c r="C2877" s="2" t="s">
        <v>4275</v>
      </c>
      <c r="D2877" s="2"/>
      <c r="E2877" s="31" t="n">
        <v>18.9</v>
      </c>
      <c r="F2877" s="31" t="n">
        <v>98.6</v>
      </c>
      <c r="G2877" s="31" t="n">
        <v>17.7</v>
      </c>
      <c r="H2877" s="2" t="s">
        <v>822</v>
      </c>
    </row>
    <row r="2878" customFormat="false" ht="15" hidden="false" customHeight="false" outlineLevel="0" collapsed="false">
      <c r="A2878" s="2" t="s">
        <v>766</v>
      </c>
      <c r="B2878" s="2" t="s">
        <v>45</v>
      </c>
      <c r="C2878" s="2" t="s">
        <v>4274</v>
      </c>
      <c r="D2878" s="2"/>
      <c r="E2878" s="2"/>
      <c r="F2878" s="2"/>
      <c r="G2878" s="31" t="n">
        <v>81</v>
      </c>
      <c r="H2878" s="2" t="s">
        <v>832</v>
      </c>
    </row>
    <row r="2879" customFormat="false" ht="15" hidden="false" customHeight="false" outlineLevel="0" collapsed="false">
      <c r="A2879" s="2" t="s">
        <v>766</v>
      </c>
      <c r="B2879" s="2" t="s">
        <v>45</v>
      </c>
      <c r="C2879" s="2" t="s">
        <v>4275</v>
      </c>
      <c r="D2879" s="11" t="n">
        <v>29060</v>
      </c>
      <c r="E2879" s="31" t="n">
        <v>18.9</v>
      </c>
      <c r="F2879" s="31" t="n">
        <v>98.6</v>
      </c>
      <c r="G2879" s="31" t="n">
        <v>17.7</v>
      </c>
      <c r="H2879" s="2" t="s">
        <v>822</v>
      </c>
    </row>
    <row r="2880" customFormat="false" ht="15" hidden="false" customHeight="false" outlineLevel="0" collapsed="false">
      <c r="A2880" s="2" t="s">
        <v>1794</v>
      </c>
      <c r="B2880" s="2" t="s">
        <v>4291</v>
      </c>
      <c r="C2880" s="2" t="s">
        <v>4274</v>
      </c>
      <c r="D2880" s="2"/>
      <c r="E2880" s="31" t="n">
        <v>66.9</v>
      </c>
      <c r="F2880" s="31" t="n">
        <v>56.4</v>
      </c>
      <c r="G2880" s="31" t="n">
        <v>79.1</v>
      </c>
      <c r="H2880" s="2" t="s">
        <v>832</v>
      </c>
    </row>
    <row r="2881" customFormat="false" ht="15" hidden="false" customHeight="false" outlineLevel="0" collapsed="false">
      <c r="A2881" s="2" t="s">
        <v>1794</v>
      </c>
      <c r="B2881" s="2" t="s">
        <v>4291</v>
      </c>
      <c r="C2881" s="2" t="s">
        <v>4275</v>
      </c>
      <c r="D2881" s="2"/>
      <c r="E2881" s="31" t="n">
        <v>51.1</v>
      </c>
      <c r="F2881" s="31" t="n">
        <v>24</v>
      </c>
      <c r="G2881" s="31" t="n">
        <v>17.6</v>
      </c>
      <c r="H2881" s="2" t="s">
        <v>832</v>
      </c>
    </row>
    <row r="2882" customFormat="false" ht="15" hidden="false" customHeight="false" outlineLevel="0" collapsed="false">
      <c r="A2882" s="2" t="s">
        <v>1794</v>
      </c>
      <c r="B2882" s="2" t="s">
        <v>45</v>
      </c>
      <c r="C2882" s="2" t="s">
        <v>4274</v>
      </c>
      <c r="D2882" s="11" t="n">
        <v>45800</v>
      </c>
      <c r="E2882" s="31" t="n">
        <v>72.4</v>
      </c>
      <c r="F2882" s="31" t="n">
        <v>98.5</v>
      </c>
      <c r="G2882" s="31" t="n">
        <v>93.4</v>
      </c>
      <c r="H2882" s="2" t="s">
        <v>822</v>
      </c>
    </row>
    <row r="2883" customFormat="false" ht="15" hidden="false" customHeight="false" outlineLevel="0" collapsed="false">
      <c r="A2883" s="2" t="s">
        <v>1794</v>
      </c>
      <c r="B2883" s="2" t="s">
        <v>45</v>
      </c>
      <c r="C2883" s="2" t="s">
        <v>4275</v>
      </c>
      <c r="D2883" s="2"/>
      <c r="E2883" s="2"/>
      <c r="F2883" s="2"/>
      <c r="G2883" s="2"/>
      <c r="H2883" s="2" t="s">
        <v>832</v>
      </c>
    </row>
    <row r="2884" customFormat="false" ht="15" hidden="false" customHeight="false" outlineLevel="0" collapsed="false">
      <c r="A2884" s="2" t="s">
        <v>1794</v>
      </c>
      <c r="B2884" s="2" t="s">
        <v>46</v>
      </c>
      <c r="C2884" s="2" t="s">
        <v>4274</v>
      </c>
      <c r="D2884" s="11" t="n">
        <v>89080</v>
      </c>
      <c r="E2884" s="31" t="n">
        <v>67.1</v>
      </c>
      <c r="F2884" s="31" t="n">
        <v>7.5</v>
      </c>
      <c r="G2884" s="2"/>
      <c r="H2884" s="2" t="s">
        <v>832</v>
      </c>
    </row>
    <row r="2885" customFormat="false" ht="15" hidden="false" customHeight="false" outlineLevel="0" collapsed="false">
      <c r="A2885" s="2" t="s">
        <v>1794</v>
      </c>
      <c r="B2885" s="2" t="s">
        <v>46</v>
      </c>
      <c r="C2885" s="2" t="s">
        <v>4275</v>
      </c>
      <c r="D2885" s="11" t="n">
        <v>86490</v>
      </c>
      <c r="E2885" s="31" t="n">
        <v>66.8</v>
      </c>
      <c r="F2885" s="31" t="n">
        <v>2.9</v>
      </c>
      <c r="G2885" s="31" t="n">
        <v>23</v>
      </c>
      <c r="H2885" s="2" t="s">
        <v>822</v>
      </c>
    </row>
    <row r="2886" customFormat="false" ht="15" hidden="false" customHeight="false" outlineLevel="0" collapsed="false">
      <c r="A2886" s="2" t="s">
        <v>1794</v>
      </c>
      <c r="B2886" s="2" t="s">
        <v>47</v>
      </c>
      <c r="C2886" s="2" t="s">
        <v>4274</v>
      </c>
      <c r="D2886" s="11" t="n">
        <v>6282</v>
      </c>
      <c r="E2886" s="31" t="n">
        <v>61.1</v>
      </c>
      <c r="F2886" s="31" t="n">
        <v>63.3</v>
      </c>
      <c r="G2886" s="31" t="n">
        <v>64.7</v>
      </c>
      <c r="H2886" s="2" t="s">
        <v>822</v>
      </c>
    </row>
    <row r="2887" customFormat="false" ht="15" hidden="false" customHeight="false" outlineLevel="0" collapsed="false">
      <c r="A2887" s="2" t="s">
        <v>1794</v>
      </c>
      <c r="B2887" s="2" t="s">
        <v>47</v>
      </c>
      <c r="C2887" s="2" t="s">
        <v>4275</v>
      </c>
      <c r="D2887" s="11" t="n">
        <v>6615</v>
      </c>
      <c r="E2887" s="31" t="n">
        <v>35.4</v>
      </c>
      <c r="F2887" s="31" t="n">
        <v>45</v>
      </c>
      <c r="G2887" s="31" t="n">
        <v>12.2</v>
      </c>
      <c r="H2887" s="2" t="s">
        <v>822</v>
      </c>
    </row>
    <row r="2888" customFormat="false" ht="15" hidden="false" customHeight="false" outlineLevel="0" collapsed="false">
      <c r="A2888" s="2" t="s">
        <v>3139</v>
      </c>
      <c r="B2888" s="2" t="s">
        <v>4291</v>
      </c>
      <c r="C2888" s="2" t="s">
        <v>4274</v>
      </c>
      <c r="D2888" s="2"/>
      <c r="E2888" s="31" t="n">
        <v>51.6</v>
      </c>
      <c r="F2888" s="31" t="n">
        <v>7.4</v>
      </c>
      <c r="G2888" s="31" t="n">
        <v>73.6</v>
      </c>
      <c r="H2888" s="2" t="s">
        <v>822</v>
      </c>
    </row>
    <row r="2889" customFormat="false" ht="15" hidden="false" customHeight="false" outlineLevel="0" collapsed="false">
      <c r="A2889" s="2" t="s">
        <v>3139</v>
      </c>
      <c r="B2889" s="2" t="s">
        <v>4291</v>
      </c>
      <c r="C2889" s="2" t="s">
        <v>4275</v>
      </c>
      <c r="D2889" s="2"/>
      <c r="E2889" s="31" t="n">
        <v>9.8</v>
      </c>
      <c r="F2889" s="31" t="n">
        <v>13.4</v>
      </c>
      <c r="G2889" s="2"/>
      <c r="H2889" s="2" t="s">
        <v>832</v>
      </c>
    </row>
    <row r="2890" customFormat="false" ht="15" hidden="false" customHeight="false" outlineLevel="0" collapsed="false">
      <c r="A2890" s="2" t="s">
        <v>3139</v>
      </c>
      <c r="B2890" s="2" t="s">
        <v>46</v>
      </c>
      <c r="C2890" s="2" t="s">
        <v>4274</v>
      </c>
      <c r="D2890" s="11" t="n">
        <v>715570</v>
      </c>
      <c r="E2890" s="31" t="n">
        <v>23.7</v>
      </c>
      <c r="F2890" s="31" t="n">
        <v>10.9</v>
      </c>
      <c r="G2890" s="31" t="n">
        <v>82.6</v>
      </c>
      <c r="H2890" s="2" t="s">
        <v>822</v>
      </c>
    </row>
    <row r="2891" customFormat="false" ht="15" hidden="false" customHeight="false" outlineLevel="0" collapsed="false">
      <c r="A2891" s="2" t="s">
        <v>3139</v>
      </c>
      <c r="B2891" s="2" t="s">
        <v>46</v>
      </c>
      <c r="C2891" s="2" t="s">
        <v>4275</v>
      </c>
      <c r="D2891" s="11" t="n">
        <v>714866</v>
      </c>
      <c r="E2891" s="31" t="n">
        <v>9.8</v>
      </c>
      <c r="F2891" s="31" t="n">
        <v>13.4</v>
      </c>
      <c r="G2891" s="2"/>
      <c r="H2891" s="2" t="s">
        <v>832</v>
      </c>
    </row>
    <row r="2892" customFormat="false" ht="15" hidden="false" customHeight="false" outlineLevel="0" collapsed="false">
      <c r="A2892" s="2" t="s">
        <v>3139</v>
      </c>
      <c r="B2892" s="2" t="s">
        <v>47</v>
      </c>
      <c r="C2892" s="2" t="s">
        <v>4274</v>
      </c>
      <c r="D2892" s="11" t="n">
        <v>54131</v>
      </c>
      <c r="E2892" s="31" t="n">
        <v>79.6</v>
      </c>
      <c r="F2892" s="31" t="n">
        <v>3.9</v>
      </c>
      <c r="G2892" s="31" t="n">
        <v>64.6</v>
      </c>
      <c r="H2892" s="2" t="s">
        <v>822</v>
      </c>
    </row>
    <row r="2893" customFormat="false" ht="15" hidden="false" customHeight="false" outlineLevel="0" collapsed="false">
      <c r="A2893" s="2" t="s">
        <v>3139</v>
      </c>
      <c r="B2893" s="2" t="s">
        <v>47</v>
      </c>
      <c r="C2893" s="2" t="s">
        <v>4275</v>
      </c>
      <c r="D2893" s="2"/>
      <c r="E2893" s="2"/>
      <c r="F2893" s="2"/>
      <c r="G2893" s="2"/>
      <c r="H2893" s="2" t="s">
        <v>832</v>
      </c>
    </row>
    <row r="2894" customFormat="false" ht="15" hidden="false" customHeight="false" outlineLevel="0" collapsed="false">
      <c r="A2894" s="2" t="s">
        <v>133</v>
      </c>
      <c r="B2894" s="2" t="s">
        <v>4291</v>
      </c>
      <c r="C2894" s="2" t="s">
        <v>4274</v>
      </c>
      <c r="D2894" s="2"/>
      <c r="E2894" s="31" t="n">
        <v>59.9</v>
      </c>
      <c r="F2894" s="31" t="n">
        <v>63.2</v>
      </c>
      <c r="G2894" s="31" t="n">
        <v>83</v>
      </c>
      <c r="H2894" s="2" t="s">
        <v>832</v>
      </c>
    </row>
    <row r="2895" customFormat="false" ht="15" hidden="false" customHeight="false" outlineLevel="0" collapsed="false">
      <c r="A2895" s="2" t="s">
        <v>133</v>
      </c>
      <c r="B2895" s="2" t="s">
        <v>4291</v>
      </c>
      <c r="C2895" s="2" t="s">
        <v>4275</v>
      </c>
      <c r="D2895" s="2"/>
      <c r="E2895" s="31" t="n">
        <v>86.7</v>
      </c>
      <c r="F2895" s="31" t="n">
        <v>65.2</v>
      </c>
      <c r="G2895" s="31" t="n">
        <v>61.8</v>
      </c>
      <c r="H2895" s="2" t="s">
        <v>822</v>
      </c>
    </row>
    <row r="2896" customFormat="false" ht="15" hidden="false" customHeight="false" outlineLevel="0" collapsed="false">
      <c r="A2896" s="2" t="s">
        <v>133</v>
      </c>
      <c r="B2896" s="2" t="s">
        <v>45</v>
      </c>
      <c r="C2896" s="2" t="s">
        <v>4274</v>
      </c>
      <c r="D2896" s="11" t="n">
        <v>3060</v>
      </c>
      <c r="E2896" s="31" t="n">
        <v>94</v>
      </c>
      <c r="F2896" s="31" t="n">
        <v>71</v>
      </c>
      <c r="G2896" s="31" t="n">
        <v>70.5</v>
      </c>
      <c r="H2896" s="2" t="s">
        <v>822</v>
      </c>
    </row>
    <row r="2897" customFormat="false" ht="15" hidden="false" customHeight="false" outlineLevel="0" collapsed="false">
      <c r="A2897" s="2" t="s">
        <v>133</v>
      </c>
      <c r="B2897" s="2" t="s">
        <v>45</v>
      </c>
      <c r="C2897" s="2" t="s">
        <v>4275</v>
      </c>
      <c r="D2897" s="11" t="n">
        <v>3140</v>
      </c>
      <c r="E2897" s="31" t="n">
        <v>98.1</v>
      </c>
      <c r="F2897" s="31" t="n">
        <v>67.6</v>
      </c>
      <c r="G2897" s="31" t="n">
        <v>87.2</v>
      </c>
      <c r="H2897" s="2" t="s">
        <v>822</v>
      </c>
    </row>
    <row r="2898" customFormat="false" ht="15" hidden="false" customHeight="false" outlineLevel="0" collapsed="false">
      <c r="A2898" s="2" t="s">
        <v>133</v>
      </c>
      <c r="B2898" s="2" t="s">
        <v>46</v>
      </c>
      <c r="C2898" s="2" t="s">
        <v>4274</v>
      </c>
      <c r="D2898" s="11" t="n">
        <v>99580</v>
      </c>
      <c r="E2898" s="31" t="n">
        <v>25.8</v>
      </c>
      <c r="F2898" s="31" t="n">
        <v>55.4</v>
      </c>
      <c r="G2898" s="31" t="n">
        <v>95.4</v>
      </c>
      <c r="H2898" s="2" t="s">
        <v>822</v>
      </c>
    </row>
    <row r="2899" customFormat="false" ht="15" hidden="false" customHeight="false" outlineLevel="0" collapsed="false">
      <c r="A2899" s="2" t="s">
        <v>133</v>
      </c>
      <c r="B2899" s="2" t="s">
        <v>46</v>
      </c>
      <c r="C2899" s="2" t="s">
        <v>4275</v>
      </c>
      <c r="D2899" s="11" t="n">
        <v>96100</v>
      </c>
      <c r="E2899" s="31" t="n">
        <v>65.2</v>
      </c>
      <c r="F2899" s="31" t="n">
        <v>32.4</v>
      </c>
      <c r="G2899" s="31" t="n">
        <v>10.2</v>
      </c>
      <c r="H2899" s="2" t="s">
        <v>822</v>
      </c>
    </row>
    <row r="2900" customFormat="false" ht="15" hidden="false" customHeight="false" outlineLevel="0" collapsed="false">
      <c r="A2900" s="2" t="s">
        <v>133</v>
      </c>
      <c r="B2900" s="2" t="s">
        <v>47</v>
      </c>
      <c r="C2900" s="2" t="s">
        <v>4274</v>
      </c>
      <c r="D2900" s="2"/>
      <c r="E2900" s="2"/>
      <c r="F2900" s="2"/>
      <c r="G2900" s="2"/>
      <c r="H2900" s="2" t="s">
        <v>832</v>
      </c>
    </row>
    <row r="2901" customFormat="false" ht="15" hidden="false" customHeight="false" outlineLevel="0" collapsed="false">
      <c r="A2901" s="2" t="s">
        <v>133</v>
      </c>
      <c r="B2901" s="2" t="s">
        <v>47</v>
      </c>
      <c r="C2901" s="2" t="s">
        <v>4275</v>
      </c>
      <c r="D2901" s="11" t="n">
        <v>18043</v>
      </c>
      <c r="E2901" s="31" t="n">
        <v>96.8</v>
      </c>
      <c r="F2901" s="31" t="n">
        <v>95.5</v>
      </c>
      <c r="G2901" s="31" t="n">
        <v>88</v>
      </c>
      <c r="H2901" s="2" t="s">
        <v>822</v>
      </c>
    </row>
    <row r="2902" customFormat="false" ht="15" hidden="false" customHeight="false" outlineLevel="0" collapsed="false">
      <c r="A2902" s="2" t="s">
        <v>192</v>
      </c>
      <c r="B2902" s="2" t="s">
        <v>4291</v>
      </c>
      <c r="C2902" s="2" t="s">
        <v>4274</v>
      </c>
      <c r="D2902" s="2"/>
      <c r="E2902" s="31" t="n">
        <v>67.8</v>
      </c>
      <c r="F2902" s="31" t="n">
        <v>41.6</v>
      </c>
      <c r="G2902" s="31" t="n">
        <v>83.4</v>
      </c>
      <c r="H2902" s="2" t="s">
        <v>822</v>
      </c>
    </row>
    <row r="2903" customFormat="false" ht="15" hidden="false" customHeight="false" outlineLevel="0" collapsed="false">
      <c r="A2903" s="2" t="s">
        <v>192</v>
      </c>
      <c r="B2903" s="2" t="s">
        <v>4291</v>
      </c>
      <c r="C2903" s="2" t="s">
        <v>4275</v>
      </c>
      <c r="D2903" s="2"/>
      <c r="E2903" s="31" t="n">
        <v>76.3</v>
      </c>
      <c r="F2903" s="31" t="n">
        <v>39.8</v>
      </c>
      <c r="G2903" s="31" t="n">
        <v>82.7</v>
      </c>
      <c r="H2903" s="2" t="s">
        <v>822</v>
      </c>
    </row>
    <row r="2904" customFormat="false" ht="15" hidden="false" customHeight="false" outlineLevel="0" collapsed="false">
      <c r="A2904" s="2" t="s">
        <v>192</v>
      </c>
      <c r="B2904" s="2" t="s">
        <v>45</v>
      </c>
      <c r="C2904" s="2" t="s">
        <v>4274</v>
      </c>
      <c r="D2904" s="11" t="n">
        <v>19120</v>
      </c>
      <c r="E2904" s="31" t="n">
        <v>73.6</v>
      </c>
      <c r="F2904" s="31" t="n">
        <v>33.2</v>
      </c>
      <c r="G2904" s="31" t="n">
        <v>88.8</v>
      </c>
      <c r="H2904" s="2" t="s">
        <v>822</v>
      </c>
    </row>
    <row r="2905" customFormat="false" ht="15" hidden="false" customHeight="false" outlineLevel="0" collapsed="false">
      <c r="A2905" s="2" t="s">
        <v>192</v>
      </c>
      <c r="B2905" s="2" t="s">
        <v>45</v>
      </c>
      <c r="C2905" s="2" t="s">
        <v>4275</v>
      </c>
      <c r="D2905" s="11" t="n">
        <v>19750</v>
      </c>
      <c r="E2905" s="31" t="n">
        <v>86.4</v>
      </c>
      <c r="F2905" s="31" t="n">
        <v>33.7</v>
      </c>
      <c r="G2905" s="31" t="n">
        <v>67.8</v>
      </c>
      <c r="H2905" s="2" t="s">
        <v>822</v>
      </c>
    </row>
    <row r="2906" customFormat="false" ht="15" hidden="false" customHeight="false" outlineLevel="0" collapsed="false">
      <c r="A2906" s="2" t="s">
        <v>192</v>
      </c>
      <c r="B2906" s="2" t="s">
        <v>46</v>
      </c>
      <c r="C2906" s="2" t="s">
        <v>4274</v>
      </c>
      <c r="D2906" s="11" t="n">
        <v>14280</v>
      </c>
      <c r="E2906" s="31" t="n">
        <v>98.4</v>
      </c>
      <c r="F2906" s="31" t="n">
        <v>37.8</v>
      </c>
      <c r="G2906" s="31" t="n">
        <v>89.3</v>
      </c>
      <c r="H2906" s="2" t="s">
        <v>822</v>
      </c>
    </row>
    <row r="2907" customFormat="false" ht="15" hidden="false" customHeight="false" outlineLevel="0" collapsed="false">
      <c r="A2907" s="2" t="s">
        <v>192</v>
      </c>
      <c r="B2907" s="2" t="s">
        <v>46</v>
      </c>
      <c r="C2907" s="2" t="s">
        <v>4275</v>
      </c>
      <c r="D2907" s="11" t="n">
        <v>14820</v>
      </c>
      <c r="E2907" s="31" t="n">
        <v>95.3</v>
      </c>
      <c r="F2907" s="31" t="n">
        <v>58.2</v>
      </c>
      <c r="G2907" s="31" t="n">
        <v>87.4</v>
      </c>
      <c r="H2907" s="2" t="s">
        <v>822</v>
      </c>
    </row>
    <row r="2908" customFormat="false" ht="15" hidden="false" customHeight="false" outlineLevel="0" collapsed="false">
      <c r="A2908" s="2" t="s">
        <v>192</v>
      </c>
      <c r="B2908" s="2" t="s">
        <v>47</v>
      </c>
      <c r="C2908" s="2" t="s">
        <v>4274</v>
      </c>
      <c r="D2908" s="11" t="n">
        <v>12743</v>
      </c>
      <c r="E2908" s="31" t="n">
        <v>31.3</v>
      </c>
      <c r="F2908" s="31" t="n">
        <v>53.9</v>
      </c>
      <c r="G2908" s="31" t="n">
        <v>72.1</v>
      </c>
      <c r="H2908" s="2" t="s">
        <v>822</v>
      </c>
    </row>
    <row r="2909" customFormat="false" ht="15" hidden="false" customHeight="false" outlineLevel="0" collapsed="false">
      <c r="A2909" s="2" t="s">
        <v>192</v>
      </c>
      <c r="B2909" s="2" t="s">
        <v>47</v>
      </c>
      <c r="C2909" s="2" t="s">
        <v>4275</v>
      </c>
      <c r="D2909" s="11" t="n">
        <v>13534</v>
      </c>
      <c r="E2909" s="31" t="n">
        <v>47.1</v>
      </c>
      <c r="F2909" s="31" t="n">
        <v>27.6</v>
      </c>
      <c r="G2909" s="31" t="n">
        <v>92.8</v>
      </c>
      <c r="H2909" s="2" t="s">
        <v>822</v>
      </c>
    </row>
    <row r="2910" customFormat="false" ht="15" hidden="false" customHeight="false" outlineLevel="0" collapsed="false">
      <c r="A2910" s="2" t="s">
        <v>975</v>
      </c>
      <c r="B2910" s="2" t="s">
        <v>4291</v>
      </c>
      <c r="C2910" s="2" t="s">
        <v>4274</v>
      </c>
      <c r="D2910" s="2"/>
      <c r="E2910" s="31" t="n">
        <v>31.8</v>
      </c>
      <c r="F2910" s="31" t="n">
        <v>64.8</v>
      </c>
      <c r="G2910" s="31" t="n">
        <v>91.4</v>
      </c>
      <c r="H2910" s="2" t="s">
        <v>832</v>
      </c>
    </row>
    <row r="2911" customFormat="false" ht="15" hidden="false" customHeight="false" outlineLevel="0" collapsed="false">
      <c r="A2911" s="2" t="s">
        <v>975</v>
      </c>
      <c r="B2911" s="2" t="s">
        <v>4291</v>
      </c>
      <c r="C2911" s="2" t="s">
        <v>4275</v>
      </c>
      <c r="D2911" s="2"/>
      <c r="E2911" s="31" t="n">
        <v>49.8</v>
      </c>
      <c r="F2911" s="31" t="n">
        <v>42.4</v>
      </c>
      <c r="G2911" s="31" t="n">
        <v>68.8</v>
      </c>
      <c r="H2911" s="2" t="s">
        <v>832</v>
      </c>
    </row>
    <row r="2912" customFormat="false" ht="15" hidden="false" customHeight="false" outlineLevel="0" collapsed="false">
      <c r="A2912" s="2" t="s">
        <v>975</v>
      </c>
      <c r="B2912" s="2" t="s">
        <v>45</v>
      </c>
      <c r="C2912" s="2" t="s">
        <v>4274</v>
      </c>
      <c r="D2912" s="11" t="n">
        <v>75497</v>
      </c>
      <c r="E2912" s="31" t="n">
        <v>58.8</v>
      </c>
      <c r="F2912" s="31" t="n">
        <v>32.8</v>
      </c>
      <c r="G2912" s="2"/>
      <c r="H2912" s="2" t="s">
        <v>832</v>
      </c>
    </row>
    <row r="2913" customFormat="false" ht="15" hidden="false" customHeight="false" outlineLevel="0" collapsed="false">
      <c r="A2913" s="2" t="s">
        <v>975</v>
      </c>
      <c r="B2913" s="2" t="s">
        <v>45</v>
      </c>
      <c r="C2913" s="2" t="s">
        <v>4275</v>
      </c>
      <c r="D2913" s="11" t="n">
        <v>75250</v>
      </c>
      <c r="E2913" s="31" t="n">
        <v>82</v>
      </c>
      <c r="F2913" s="31" t="n">
        <v>35.7</v>
      </c>
      <c r="G2913" s="31" t="n">
        <v>63.2</v>
      </c>
      <c r="H2913" s="2" t="s">
        <v>822</v>
      </c>
    </row>
    <row r="2914" customFormat="false" ht="15" hidden="false" customHeight="false" outlineLevel="0" collapsed="false">
      <c r="A2914" s="2" t="s">
        <v>975</v>
      </c>
      <c r="B2914" s="2" t="s">
        <v>46</v>
      </c>
      <c r="C2914" s="2" t="s">
        <v>4274</v>
      </c>
      <c r="D2914" s="11" t="n">
        <v>140197</v>
      </c>
      <c r="E2914" s="31" t="n">
        <v>22.5</v>
      </c>
      <c r="F2914" s="31" t="n">
        <v>94.9</v>
      </c>
      <c r="G2914" s="31" t="n">
        <v>86.3</v>
      </c>
      <c r="H2914" s="2" t="s">
        <v>822</v>
      </c>
    </row>
    <row r="2915" customFormat="false" ht="15" hidden="false" customHeight="false" outlineLevel="0" collapsed="false">
      <c r="A2915" s="2" t="s">
        <v>975</v>
      </c>
      <c r="B2915" s="2" t="s">
        <v>46</v>
      </c>
      <c r="C2915" s="2" t="s">
        <v>4275</v>
      </c>
      <c r="D2915" s="2"/>
      <c r="E2915" s="2"/>
      <c r="F2915" s="2"/>
      <c r="G2915" s="2"/>
      <c r="H2915" s="2" t="s">
        <v>832</v>
      </c>
    </row>
    <row r="2916" customFormat="false" ht="15" hidden="false" customHeight="false" outlineLevel="0" collapsed="false">
      <c r="A2916" s="2" t="s">
        <v>975</v>
      </c>
      <c r="B2916" s="2" t="s">
        <v>47</v>
      </c>
      <c r="C2916" s="2" t="s">
        <v>4274</v>
      </c>
      <c r="D2916" s="11" t="n">
        <v>235861</v>
      </c>
      <c r="E2916" s="31" t="n">
        <v>14</v>
      </c>
      <c r="F2916" s="31" t="n">
        <v>66.7</v>
      </c>
      <c r="G2916" s="31" t="n">
        <v>96.5</v>
      </c>
      <c r="H2916" s="2" t="s">
        <v>832</v>
      </c>
    </row>
    <row r="2917" customFormat="false" ht="15" hidden="false" customHeight="false" outlineLevel="0" collapsed="false">
      <c r="A2917" s="2" t="s">
        <v>975</v>
      </c>
      <c r="B2917" s="2" t="s">
        <v>47</v>
      </c>
      <c r="C2917" s="2" t="s">
        <v>4275</v>
      </c>
      <c r="D2917" s="11" t="n">
        <v>243858</v>
      </c>
      <c r="E2917" s="31" t="n">
        <v>17.5</v>
      </c>
      <c r="F2917" s="31" t="n">
        <v>49.1</v>
      </c>
      <c r="G2917" s="31" t="n">
        <v>74.4</v>
      </c>
      <c r="H2917" s="2" t="s">
        <v>822</v>
      </c>
    </row>
    <row r="2918" customFormat="false" ht="15" hidden="false" customHeight="false" outlineLevel="0" collapsed="false">
      <c r="A2918" s="2" t="s">
        <v>3141</v>
      </c>
      <c r="B2918" s="2" t="s">
        <v>4291</v>
      </c>
      <c r="C2918" s="2" t="s">
        <v>4275</v>
      </c>
      <c r="D2918" s="2"/>
      <c r="E2918" s="31" t="n">
        <v>46</v>
      </c>
      <c r="F2918" s="31" t="n">
        <v>47.4</v>
      </c>
      <c r="G2918" s="2"/>
      <c r="H2918" s="2" t="s">
        <v>832</v>
      </c>
    </row>
    <row r="2919" customFormat="false" ht="15" hidden="false" customHeight="false" outlineLevel="0" collapsed="false">
      <c r="A2919" s="2" t="s">
        <v>3141</v>
      </c>
      <c r="B2919" s="2" t="s">
        <v>47</v>
      </c>
      <c r="C2919" s="2" t="s">
        <v>4275</v>
      </c>
      <c r="D2919" s="11" t="n">
        <v>91435</v>
      </c>
      <c r="E2919" s="31" t="n">
        <v>46</v>
      </c>
      <c r="F2919" s="31" t="n">
        <v>47.4</v>
      </c>
      <c r="G2919" s="2"/>
      <c r="H2919" s="2" t="s">
        <v>832</v>
      </c>
    </row>
    <row r="2920" customFormat="false" ht="15" hidden="false" customHeight="false" outlineLevel="0" collapsed="false">
      <c r="A2920" s="2" t="s">
        <v>1044</v>
      </c>
      <c r="B2920" s="2" t="s">
        <v>4291</v>
      </c>
      <c r="C2920" s="2" t="s">
        <v>4274</v>
      </c>
      <c r="D2920" s="2"/>
      <c r="E2920" s="31" t="n">
        <v>55.7</v>
      </c>
      <c r="F2920" s="31" t="n">
        <v>58.9</v>
      </c>
      <c r="G2920" s="31" t="n">
        <v>42.7</v>
      </c>
      <c r="H2920" s="2" t="s">
        <v>832</v>
      </c>
    </row>
    <row r="2921" customFormat="false" ht="15" hidden="false" customHeight="false" outlineLevel="0" collapsed="false">
      <c r="A2921" s="2" t="s">
        <v>1044</v>
      </c>
      <c r="B2921" s="2" t="s">
        <v>4291</v>
      </c>
      <c r="C2921" s="2" t="s">
        <v>4275</v>
      </c>
      <c r="D2921" s="2"/>
      <c r="E2921" s="31" t="n">
        <v>74</v>
      </c>
      <c r="F2921" s="31" t="n">
        <v>57.6</v>
      </c>
      <c r="G2921" s="31" t="n">
        <v>60.6</v>
      </c>
      <c r="H2921" s="2" t="s">
        <v>832</v>
      </c>
    </row>
    <row r="2922" customFormat="false" ht="15" hidden="false" customHeight="false" outlineLevel="0" collapsed="false">
      <c r="A2922" s="2" t="s">
        <v>1044</v>
      </c>
      <c r="B2922" s="2" t="s">
        <v>45</v>
      </c>
      <c r="C2922" s="2" t="s">
        <v>4274</v>
      </c>
      <c r="D2922" s="11" t="n">
        <v>267990</v>
      </c>
      <c r="E2922" s="31" t="n">
        <v>55.7</v>
      </c>
      <c r="F2922" s="31" t="n">
        <v>58.9</v>
      </c>
      <c r="G2922" s="31" t="n">
        <v>42.7</v>
      </c>
      <c r="H2922" s="2" t="s">
        <v>822</v>
      </c>
    </row>
    <row r="2923" customFormat="false" ht="15" hidden="false" customHeight="false" outlineLevel="0" collapsed="false">
      <c r="A2923" s="2" t="s">
        <v>1044</v>
      </c>
      <c r="B2923" s="2" t="s">
        <v>45</v>
      </c>
      <c r="C2923" s="2" t="s">
        <v>4275</v>
      </c>
      <c r="D2923" s="11" t="n">
        <v>277050</v>
      </c>
      <c r="E2923" s="31" t="n">
        <v>74.3</v>
      </c>
      <c r="F2923" s="31" t="n">
        <v>65</v>
      </c>
      <c r="G2923" s="31" t="n">
        <v>60.6</v>
      </c>
      <c r="H2923" s="2" t="s">
        <v>822</v>
      </c>
    </row>
    <row r="2924" customFormat="false" ht="15" hidden="false" customHeight="false" outlineLevel="0" collapsed="false">
      <c r="A2924" s="2" t="s">
        <v>1044</v>
      </c>
      <c r="B2924" s="2" t="s">
        <v>46</v>
      </c>
      <c r="C2924" s="2" t="s">
        <v>4274</v>
      </c>
      <c r="D2924" s="2"/>
      <c r="E2924" s="2"/>
      <c r="F2924" s="2"/>
      <c r="G2924" s="2"/>
      <c r="H2924" s="2" t="s">
        <v>832</v>
      </c>
    </row>
    <row r="2925" customFormat="false" ht="15" hidden="false" customHeight="false" outlineLevel="0" collapsed="false">
      <c r="A2925" s="2" t="s">
        <v>1044</v>
      </c>
      <c r="B2925" s="2" t="s">
        <v>46</v>
      </c>
      <c r="C2925" s="2" t="s">
        <v>4275</v>
      </c>
      <c r="D2925" s="2"/>
      <c r="E2925" s="2"/>
      <c r="F2925" s="2"/>
      <c r="G2925" s="2"/>
      <c r="H2925" s="2" t="s">
        <v>832</v>
      </c>
    </row>
    <row r="2926" customFormat="false" ht="15" hidden="false" customHeight="false" outlineLevel="0" collapsed="false">
      <c r="A2926" s="2" t="s">
        <v>1044</v>
      </c>
      <c r="B2926" s="2" t="s">
        <v>47</v>
      </c>
      <c r="C2926" s="2" t="s">
        <v>4274</v>
      </c>
      <c r="D2926" s="2"/>
      <c r="E2926" s="2"/>
      <c r="F2926" s="2"/>
      <c r="G2926" s="2"/>
      <c r="H2926" s="2" t="s">
        <v>832</v>
      </c>
    </row>
    <row r="2927" customFormat="false" ht="15" hidden="false" customHeight="false" outlineLevel="0" collapsed="false">
      <c r="A2927" s="2" t="s">
        <v>1044</v>
      </c>
      <c r="B2927" s="2" t="s">
        <v>47</v>
      </c>
      <c r="C2927" s="2" t="s">
        <v>4275</v>
      </c>
      <c r="D2927" s="11" t="n">
        <v>167680</v>
      </c>
      <c r="E2927" s="31" t="n">
        <v>73.7</v>
      </c>
      <c r="F2927" s="31" t="n">
        <v>50.3</v>
      </c>
      <c r="G2927" s="2"/>
      <c r="H2927" s="2" t="s">
        <v>832</v>
      </c>
    </row>
    <row r="2928" customFormat="false" ht="15" hidden="false" customHeight="false" outlineLevel="0" collapsed="false">
      <c r="A2928" s="2" t="s">
        <v>3144</v>
      </c>
      <c r="B2928" s="2" t="s">
        <v>4291</v>
      </c>
      <c r="C2928" s="2" t="s">
        <v>4274</v>
      </c>
      <c r="D2928" s="2"/>
      <c r="E2928" s="31" t="n">
        <v>71.8</v>
      </c>
      <c r="F2928" s="31" t="n">
        <v>88.4</v>
      </c>
      <c r="G2928" s="31" t="n">
        <v>56.4</v>
      </c>
      <c r="H2928" s="2" t="s">
        <v>822</v>
      </c>
    </row>
    <row r="2929" customFormat="false" ht="15" hidden="false" customHeight="false" outlineLevel="0" collapsed="false">
      <c r="A2929" s="2" t="s">
        <v>3144</v>
      </c>
      <c r="B2929" s="2" t="s">
        <v>4291</v>
      </c>
      <c r="C2929" s="2" t="s">
        <v>4275</v>
      </c>
      <c r="D2929" s="2"/>
      <c r="E2929" s="31" t="n">
        <v>50.1</v>
      </c>
      <c r="F2929" s="2"/>
      <c r="G2929" s="31" t="n">
        <v>86.8</v>
      </c>
      <c r="H2929" s="2" t="s">
        <v>832</v>
      </c>
    </row>
    <row r="2930" customFormat="false" ht="15" hidden="false" customHeight="false" outlineLevel="0" collapsed="false">
      <c r="A2930" s="2" t="s">
        <v>3144</v>
      </c>
      <c r="B2930" s="2" t="s">
        <v>46</v>
      </c>
      <c r="C2930" s="2" t="s">
        <v>4274</v>
      </c>
      <c r="D2930" s="11" t="n">
        <v>27410</v>
      </c>
      <c r="E2930" s="31" t="n">
        <v>71.8</v>
      </c>
      <c r="F2930" s="31" t="n">
        <v>88.4</v>
      </c>
      <c r="G2930" s="31" t="n">
        <v>56.4</v>
      </c>
      <c r="H2930" s="2" t="s">
        <v>822</v>
      </c>
    </row>
    <row r="2931" customFormat="false" ht="15" hidden="false" customHeight="false" outlineLevel="0" collapsed="false">
      <c r="A2931" s="2" t="s">
        <v>3144</v>
      </c>
      <c r="B2931" s="2" t="s">
        <v>46</v>
      </c>
      <c r="C2931" s="2" t="s">
        <v>4275</v>
      </c>
      <c r="D2931" s="11" t="n">
        <v>29660</v>
      </c>
      <c r="E2931" s="31" t="n">
        <v>50.1</v>
      </c>
      <c r="F2931" s="2"/>
      <c r="G2931" s="31" t="n">
        <v>86.8</v>
      </c>
      <c r="H2931" s="2" t="s">
        <v>832</v>
      </c>
    </row>
    <row r="2932" customFormat="false" ht="15" hidden="false" customHeight="false" outlineLevel="0" collapsed="false">
      <c r="A2932" s="2" t="s">
        <v>434</v>
      </c>
      <c r="B2932" s="2" t="s">
        <v>4291</v>
      </c>
      <c r="C2932" s="2" t="s">
        <v>4274</v>
      </c>
      <c r="D2932" s="2"/>
      <c r="E2932" s="31" t="n">
        <v>49</v>
      </c>
      <c r="F2932" s="31" t="n">
        <v>9.8</v>
      </c>
      <c r="G2932" s="31" t="n">
        <v>25</v>
      </c>
      <c r="H2932" s="2" t="s">
        <v>822</v>
      </c>
    </row>
    <row r="2933" customFormat="false" ht="15" hidden="false" customHeight="false" outlineLevel="0" collapsed="false">
      <c r="A2933" s="2" t="s">
        <v>434</v>
      </c>
      <c r="B2933" s="2" t="s">
        <v>4291</v>
      </c>
      <c r="C2933" s="2" t="s">
        <v>4275</v>
      </c>
      <c r="D2933" s="2"/>
      <c r="E2933" s="31" t="n">
        <v>53.4</v>
      </c>
      <c r="F2933" s="31" t="n">
        <v>15.6</v>
      </c>
      <c r="G2933" s="31" t="n">
        <v>17.2</v>
      </c>
      <c r="H2933" s="2" t="s">
        <v>822</v>
      </c>
    </row>
    <row r="2934" customFormat="false" ht="15" hidden="false" customHeight="false" outlineLevel="0" collapsed="false">
      <c r="A2934" s="2" t="s">
        <v>434</v>
      </c>
      <c r="B2934" s="2" t="s">
        <v>47</v>
      </c>
      <c r="C2934" s="2" t="s">
        <v>4274</v>
      </c>
      <c r="D2934" s="11" t="n">
        <v>65155</v>
      </c>
      <c r="E2934" s="31" t="n">
        <v>49</v>
      </c>
      <c r="F2934" s="31" t="n">
        <v>9.8</v>
      </c>
      <c r="G2934" s="31" t="n">
        <v>25</v>
      </c>
      <c r="H2934" s="2" t="s">
        <v>822</v>
      </c>
    </row>
    <row r="2935" customFormat="false" ht="15" hidden="false" customHeight="false" outlineLevel="0" collapsed="false">
      <c r="A2935" s="2" t="s">
        <v>434</v>
      </c>
      <c r="B2935" s="2" t="s">
        <v>47</v>
      </c>
      <c r="C2935" s="2" t="s">
        <v>4275</v>
      </c>
      <c r="D2935" s="11" t="n">
        <v>64305</v>
      </c>
      <c r="E2935" s="31" t="n">
        <v>53.4</v>
      </c>
      <c r="F2935" s="31" t="n">
        <v>15.6</v>
      </c>
      <c r="G2935" s="31" t="n">
        <v>17.2</v>
      </c>
      <c r="H2935" s="2" t="s">
        <v>822</v>
      </c>
    </row>
    <row r="2936" customFormat="false" ht="15" hidden="false" customHeight="false" outlineLevel="0" collapsed="false">
      <c r="A2936" s="2" t="s">
        <v>382</v>
      </c>
      <c r="B2936" s="2" t="s">
        <v>4291</v>
      </c>
      <c r="C2936" s="2" t="s">
        <v>4274</v>
      </c>
      <c r="D2936" s="2"/>
      <c r="E2936" s="31" t="n">
        <v>47</v>
      </c>
      <c r="F2936" s="31" t="n">
        <v>66.9</v>
      </c>
      <c r="G2936" s="31" t="n">
        <v>61.1</v>
      </c>
      <c r="H2936" s="2" t="s">
        <v>832</v>
      </c>
    </row>
    <row r="2937" customFormat="false" ht="15" hidden="false" customHeight="false" outlineLevel="0" collapsed="false">
      <c r="A2937" s="2" t="s">
        <v>382</v>
      </c>
      <c r="B2937" s="2" t="s">
        <v>4291</v>
      </c>
      <c r="C2937" s="2" t="s">
        <v>4275</v>
      </c>
      <c r="D2937" s="2"/>
      <c r="E2937" s="31" t="n">
        <v>56.2</v>
      </c>
      <c r="F2937" s="31" t="n">
        <v>44.1</v>
      </c>
      <c r="G2937" s="31" t="n">
        <v>48.2</v>
      </c>
      <c r="H2937" s="2" t="s">
        <v>822</v>
      </c>
    </row>
    <row r="2938" customFormat="false" ht="15" hidden="false" customHeight="false" outlineLevel="0" collapsed="false">
      <c r="A2938" s="2" t="s">
        <v>382</v>
      </c>
      <c r="B2938" s="2" t="s">
        <v>45</v>
      </c>
      <c r="C2938" s="2" t="s">
        <v>4274</v>
      </c>
      <c r="D2938" s="11" t="n">
        <v>193938</v>
      </c>
      <c r="E2938" s="31" t="n">
        <v>67</v>
      </c>
      <c r="F2938" s="31" t="n">
        <v>84.2</v>
      </c>
      <c r="G2938" s="2"/>
      <c r="H2938" s="2" t="s">
        <v>832</v>
      </c>
    </row>
    <row r="2939" customFormat="false" ht="15" hidden="false" customHeight="false" outlineLevel="0" collapsed="false">
      <c r="A2939" s="2" t="s">
        <v>382</v>
      </c>
      <c r="B2939" s="2" t="s">
        <v>45</v>
      </c>
      <c r="C2939" s="2" t="s">
        <v>4275</v>
      </c>
      <c r="D2939" s="11" t="n">
        <v>199990</v>
      </c>
      <c r="E2939" s="31" t="n">
        <v>82.6</v>
      </c>
      <c r="F2939" s="31" t="n">
        <v>84.3</v>
      </c>
      <c r="G2939" s="31" t="n">
        <v>77.2</v>
      </c>
      <c r="H2939" s="2" t="s">
        <v>822</v>
      </c>
    </row>
    <row r="2940" customFormat="false" ht="15" hidden="false" customHeight="false" outlineLevel="0" collapsed="false">
      <c r="A2940" s="2" t="s">
        <v>382</v>
      </c>
      <c r="B2940" s="2" t="s">
        <v>46</v>
      </c>
      <c r="C2940" s="2" t="s">
        <v>4274</v>
      </c>
      <c r="D2940" s="11" t="n">
        <v>190990</v>
      </c>
      <c r="E2940" s="31" t="n">
        <v>11.4</v>
      </c>
      <c r="F2940" s="31" t="n">
        <v>91.7</v>
      </c>
      <c r="G2940" s="31" t="n">
        <v>53.4</v>
      </c>
      <c r="H2940" s="2" t="s">
        <v>822</v>
      </c>
    </row>
    <row r="2941" customFormat="false" ht="15" hidden="false" customHeight="false" outlineLevel="0" collapsed="false">
      <c r="A2941" s="2" t="s">
        <v>382</v>
      </c>
      <c r="B2941" s="2" t="s">
        <v>46</v>
      </c>
      <c r="C2941" s="2" t="s">
        <v>4275</v>
      </c>
      <c r="D2941" s="11" t="n">
        <v>197590</v>
      </c>
      <c r="E2941" s="31" t="n">
        <v>13.2</v>
      </c>
      <c r="F2941" s="31" t="n">
        <v>36.3</v>
      </c>
      <c r="G2941" s="31" t="n">
        <v>59.4</v>
      </c>
      <c r="H2941" s="2" t="s">
        <v>822</v>
      </c>
    </row>
    <row r="2942" customFormat="false" ht="15" hidden="false" customHeight="false" outlineLevel="0" collapsed="false">
      <c r="A2942" s="2" t="s">
        <v>382</v>
      </c>
      <c r="B2942" s="2" t="s">
        <v>47</v>
      </c>
      <c r="C2942" s="2" t="s">
        <v>4274</v>
      </c>
      <c r="D2942" s="11" t="n">
        <v>159091</v>
      </c>
      <c r="E2942" s="31" t="n">
        <v>62.5</v>
      </c>
      <c r="F2942" s="31" t="n">
        <v>24.7</v>
      </c>
      <c r="G2942" s="31" t="n">
        <v>68.8</v>
      </c>
      <c r="H2942" s="2" t="s">
        <v>822</v>
      </c>
    </row>
    <row r="2943" customFormat="false" ht="15" hidden="false" customHeight="false" outlineLevel="0" collapsed="false">
      <c r="A2943" s="2" t="s">
        <v>382</v>
      </c>
      <c r="B2943" s="2" t="s">
        <v>47</v>
      </c>
      <c r="C2943" s="2" t="s">
        <v>4275</v>
      </c>
      <c r="D2943" s="11" t="n">
        <v>157206</v>
      </c>
      <c r="E2943" s="31" t="n">
        <v>72.7</v>
      </c>
      <c r="F2943" s="31" t="n">
        <v>11.8</v>
      </c>
      <c r="G2943" s="31" t="n">
        <v>8.1</v>
      </c>
      <c r="H2943" s="2" t="s">
        <v>822</v>
      </c>
    </row>
    <row r="2944" customFormat="false" ht="15" hidden="false" customHeight="false" outlineLevel="0" collapsed="false">
      <c r="A2944" s="2" t="s">
        <v>568</v>
      </c>
      <c r="B2944" s="2" t="s">
        <v>4291</v>
      </c>
      <c r="C2944" s="2" t="s">
        <v>4274</v>
      </c>
      <c r="D2944" s="2"/>
      <c r="E2944" s="31" t="n">
        <v>32.2</v>
      </c>
      <c r="F2944" s="31" t="n">
        <v>54.9</v>
      </c>
      <c r="G2944" s="31" t="n">
        <v>53.3</v>
      </c>
      <c r="H2944" s="2" t="s">
        <v>822</v>
      </c>
    </row>
    <row r="2945" customFormat="false" ht="15" hidden="false" customHeight="false" outlineLevel="0" collapsed="false">
      <c r="A2945" s="2" t="s">
        <v>568</v>
      </c>
      <c r="B2945" s="2" t="s">
        <v>4291</v>
      </c>
      <c r="C2945" s="2" t="s">
        <v>4275</v>
      </c>
      <c r="D2945" s="2"/>
      <c r="E2945" s="31" t="n">
        <v>42.4</v>
      </c>
      <c r="F2945" s="31" t="n">
        <v>73.3</v>
      </c>
      <c r="G2945" s="31" t="n">
        <v>71.7</v>
      </c>
      <c r="H2945" s="2" t="s">
        <v>822</v>
      </c>
    </row>
    <row r="2946" customFormat="false" ht="15" hidden="false" customHeight="false" outlineLevel="0" collapsed="false">
      <c r="A2946" s="2" t="s">
        <v>568</v>
      </c>
      <c r="B2946" s="2" t="s">
        <v>45</v>
      </c>
      <c r="C2946" s="2" t="s">
        <v>4274</v>
      </c>
      <c r="D2946" s="11" t="n">
        <v>49926</v>
      </c>
      <c r="E2946" s="31" t="n">
        <v>4.1</v>
      </c>
      <c r="F2946" s="31" t="n">
        <v>62.4</v>
      </c>
      <c r="G2946" s="31" t="n">
        <v>88</v>
      </c>
      <c r="H2946" s="2" t="s">
        <v>822</v>
      </c>
    </row>
    <row r="2947" customFormat="false" ht="15" hidden="false" customHeight="false" outlineLevel="0" collapsed="false">
      <c r="A2947" s="2" t="s">
        <v>568</v>
      </c>
      <c r="B2947" s="2" t="s">
        <v>45</v>
      </c>
      <c r="C2947" s="2" t="s">
        <v>4275</v>
      </c>
      <c r="D2947" s="11" t="n">
        <v>50870</v>
      </c>
      <c r="E2947" s="31" t="n">
        <v>11.2</v>
      </c>
      <c r="F2947" s="31" t="n">
        <v>87.6</v>
      </c>
      <c r="G2947" s="31" t="n">
        <v>89</v>
      </c>
      <c r="H2947" s="2" t="s">
        <v>822</v>
      </c>
    </row>
    <row r="2948" customFormat="false" ht="15" hidden="false" customHeight="false" outlineLevel="0" collapsed="false">
      <c r="A2948" s="2" t="s">
        <v>568</v>
      </c>
      <c r="B2948" s="2" t="s">
        <v>46</v>
      </c>
      <c r="C2948" s="2" t="s">
        <v>4274</v>
      </c>
      <c r="D2948" s="11" t="n">
        <v>19122</v>
      </c>
      <c r="E2948" s="31" t="n">
        <v>25</v>
      </c>
      <c r="F2948" s="31" t="n">
        <v>31.5</v>
      </c>
      <c r="G2948" s="31" t="n">
        <v>21.5</v>
      </c>
      <c r="H2948" s="2" t="s">
        <v>822</v>
      </c>
    </row>
    <row r="2949" customFormat="false" ht="15" hidden="false" customHeight="false" outlineLevel="0" collapsed="false">
      <c r="A2949" s="2" t="s">
        <v>568</v>
      </c>
      <c r="B2949" s="2" t="s">
        <v>46</v>
      </c>
      <c r="C2949" s="2" t="s">
        <v>4275</v>
      </c>
      <c r="D2949" s="11" t="n">
        <v>20010</v>
      </c>
      <c r="E2949" s="31" t="n">
        <v>41.1</v>
      </c>
      <c r="F2949" s="31" t="n">
        <v>40.4</v>
      </c>
      <c r="G2949" s="31" t="n">
        <v>40.4</v>
      </c>
      <c r="H2949" s="2" t="s">
        <v>822</v>
      </c>
    </row>
    <row r="2950" customFormat="false" ht="15" hidden="false" customHeight="false" outlineLevel="0" collapsed="false">
      <c r="A2950" s="2" t="s">
        <v>568</v>
      </c>
      <c r="B2950" s="2" t="s">
        <v>47</v>
      </c>
      <c r="C2950" s="2" t="s">
        <v>4274</v>
      </c>
      <c r="D2950" s="11" t="n">
        <v>19318</v>
      </c>
      <c r="E2950" s="31" t="n">
        <v>67.6</v>
      </c>
      <c r="F2950" s="31" t="n">
        <v>70.9</v>
      </c>
      <c r="G2950" s="31" t="n">
        <v>50.4</v>
      </c>
      <c r="H2950" s="2" t="s">
        <v>822</v>
      </c>
    </row>
    <row r="2951" customFormat="false" ht="15" hidden="false" customHeight="false" outlineLevel="0" collapsed="false">
      <c r="A2951" s="2" t="s">
        <v>568</v>
      </c>
      <c r="B2951" s="2" t="s">
        <v>47</v>
      </c>
      <c r="C2951" s="2" t="s">
        <v>4275</v>
      </c>
      <c r="D2951" s="11" t="n">
        <v>19980</v>
      </c>
      <c r="E2951" s="31" t="n">
        <v>74.8</v>
      </c>
      <c r="F2951" s="31" t="n">
        <v>91.9</v>
      </c>
      <c r="G2951" s="31" t="n">
        <v>85.7</v>
      </c>
      <c r="H2951" s="2" t="s">
        <v>822</v>
      </c>
    </row>
    <row r="2952" customFormat="false" ht="15" hidden="false" customHeight="false" outlineLevel="0" collapsed="false">
      <c r="A2952" s="2" t="s">
        <v>2561</v>
      </c>
      <c r="B2952" s="2" t="s">
        <v>4291</v>
      </c>
      <c r="C2952" s="2" t="s">
        <v>4274</v>
      </c>
      <c r="D2952" s="2"/>
      <c r="E2952" s="31" t="n">
        <v>61.2</v>
      </c>
      <c r="F2952" s="31" t="n">
        <v>6.4</v>
      </c>
      <c r="G2952" s="31" t="n">
        <v>67.2</v>
      </c>
      <c r="H2952" s="2" t="s">
        <v>822</v>
      </c>
    </row>
    <row r="2953" customFormat="false" ht="15" hidden="false" customHeight="false" outlineLevel="0" collapsed="false">
      <c r="A2953" s="2" t="s">
        <v>2561</v>
      </c>
      <c r="B2953" s="2" t="s">
        <v>4291</v>
      </c>
      <c r="C2953" s="2" t="s">
        <v>4275</v>
      </c>
      <c r="D2953" s="2"/>
      <c r="E2953" s="31" t="n">
        <v>47.4</v>
      </c>
      <c r="F2953" s="31" t="n">
        <v>10.6</v>
      </c>
      <c r="G2953" s="31" t="n">
        <v>27.2</v>
      </c>
      <c r="H2953" s="2" t="s">
        <v>832</v>
      </c>
    </row>
    <row r="2954" customFormat="false" ht="15" hidden="false" customHeight="false" outlineLevel="0" collapsed="false">
      <c r="A2954" s="2" t="s">
        <v>2561</v>
      </c>
      <c r="B2954" s="2" t="s">
        <v>46</v>
      </c>
      <c r="C2954" s="2" t="s">
        <v>4274</v>
      </c>
      <c r="D2954" s="11" t="n">
        <v>58872</v>
      </c>
      <c r="E2954" s="31" t="n">
        <v>90.8</v>
      </c>
      <c r="F2954" s="31" t="n">
        <v>8.2</v>
      </c>
      <c r="G2954" s="31" t="n">
        <v>84.7</v>
      </c>
      <c r="H2954" s="2" t="s">
        <v>822</v>
      </c>
    </row>
    <row r="2955" customFormat="false" ht="15" hidden="false" customHeight="false" outlineLevel="0" collapsed="false">
      <c r="A2955" s="2" t="s">
        <v>2561</v>
      </c>
      <c r="B2955" s="2" t="s">
        <v>46</v>
      </c>
      <c r="C2955" s="2" t="s">
        <v>4275</v>
      </c>
      <c r="D2955" s="11" t="n">
        <v>59705</v>
      </c>
      <c r="E2955" s="2"/>
      <c r="F2955" s="31" t="n">
        <v>19.6</v>
      </c>
      <c r="G2955" s="2"/>
      <c r="H2955" s="2" t="s">
        <v>832</v>
      </c>
    </row>
    <row r="2956" customFormat="false" ht="15" hidden="false" customHeight="false" outlineLevel="0" collapsed="false">
      <c r="A2956" s="2" t="s">
        <v>2561</v>
      </c>
      <c r="B2956" s="2" t="s">
        <v>47</v>
      </c>
      <c r="C2956" s="2" t="s">
        <v>4274</v>
      </c>
      <c r="D2956" s="11" t="n">
        <v>27168</v>
      </c>
      <c r="E2956" s="31" t="n">
        <v>31.7</v>
      </c>
      <c r="F2956" s="31" t="n">
        <v>4.6</v>
      </c>
      <c r="G2956" s="31" t="n">
        <v>49.7</v>
      </c>
      <c r="H2956" s="2" t="s">
        <v>822</v>
      </c>
    </row>
    <row r="2957" customFormat="false" ht="15" hidden="false" customHeight="false" outlineLevel="0" collapsed="false">
      <c r="A2957" s="2" t="s">
        <v>2561</v>
      </c>
      <c r="B2957" s="2" t="s">
        <v>47</v>
      </c>
      <c r="C2957" s="2" t="s">
        <v>4275</v>
      </c>
      <c r="D2957" s="11" t="n">
        <v>27960</v>
      </c>
      <c r="E2957" s="31" t="n">
        <v>47.4</v>
      </c>
      <c r="F2957" s="31" t="n">
        <v>1.6</v>
      </c>
      <c r="G2957" s="31" t="n">
        <v>27.2</v>
      </c>
      <c r="H2957" s="2" t="s">
        <v>822</v>
      </c>
    </row>
    <row r="2958" customFormat="false" ht="15" hidden="false" customHeight="false" outlineLevel="0" collapsed="false">
      <c r="A2958" s="2" t="s">
        <v>1619</v>
      </c>
      <c r="B2958" s="2" t="s">
        <v>4291</v>
      </c>
      <c r="C2958" s="2" t="s">
        <v>4274</v>
      </c>
      <c r="D2958" s="2"/>
      <c r="E2958" s="31" t="n">
        <v>93</v>
      </c>
      <c r="F2958" s="31" t="n">
        <v>13.4</v>
      </c>
      <c r="G2958" s="31" t="n">
        <v>66.8</v>
      </c>
      <c r="H2958" s="2" t="s">
        <v>832</v>
      </c>
    </row>
    <row r="2959" customFormat="false" ht="15" hidden="false" customHeight="false" outlineLevel="0" collapsed="false">
      <c r="A2959" s="2" t="s">
        <v>1619</v>
      </c>
      <c r="B2959" s="2" t="s">
        <v>4291</v>
      </c>
      <c r="C2959" s="2" t="s">
        <v>4275</v>
      </c>
      <c r="D2959" s="2"/>
      <c r="E2959" s="31" t="n">
        <v>88.5</v>
      </c>
      <c r="F2959" s="31" t="n">
        <v>41.1</v>
      </c>
      <c r="G2959" s="31" t="n">
        <v>34.7</v>
      </c>
      <c r="H2959" s="2" t="s">
        <v>832</v>
      </c>
    </row>
    <row r="2960" customFormat="false" ht="15" hidden="false" customHeight="false" outlineLevel="0" collapsed="false">
      <c r="A2960" s="2" t="s">
        <v>1619</v>
      </c>
      <c r="B2960" s="2" t="s">
        <v>45</v>
      </c>
      <c r="C2960" s="2" t="s">
        <v>4274</v>
      </c>
      <c r="D2960" s="2"/>
      <c r="E2960" s="2"/>
      <c r="F2960" s="2"/>
      <c r="G2960" s="2"/>
      <c r="H2960" s="2" t="s">
        <v>832</v>
      </c>
    </row>
    <row r="2961" customFormat="false" ht="15" hidden="false" customHeight="false" outlineLevel="0" collapsed="false">
      <c r="A2961" s="2" t="s">
        <v>1619</v>
      </c>
      <c r="B2961" s="2" t="s">
        <v>45</v>
      </c>
      <c r="C2961" s="2" t="s">
        <v>4275</v>
      </c>
      <c r="D2961" s="11" t="n">
        <v>140470</v>
      </c>
      <c r="E2961" s="31" t="n">
        <v>77.3</v>
      </c>
      <c r="F2961" s="31" t="n">
        <v>92.1</v>
      </c>
      <c r="G2961" s="2"/>
      <c r="H2961" s="2" t="s">
        <v>832</v>
      </c>
    </row>
    <row r="2962" customFormat="false" ht="15" hidden="false" customHeight="false" outlineLevel="0" collapsed="false">
      <c r="A2962" s="2" t="s">
        <v>1619</v>
      </c>
      <c r="B2962" s="2" t="s">
        <v>46</v>
      </c>
      <c r="C2962" s="2" t="s">
        <v>4274</v>
      </c>
      <c r="D2962" s="11" t="n">
        <v>33880</v>
      </c>
      <c r="E2962" s="31" t="n">
        <v>94.7</v>
      </c>
      <c r="F2962" s="31" t="n">
        <v>12.7</v>
      </c>
      <c r="G2962" s="31" t="n">
        <v>92.2</v>
      </c>
      <c r="H2962" s="2" t="s">
        <v>822</v>
      </c>
    </row>
    <row r="2963" customFormat="false" ht="15" hidden="false" customHeight="false" outlineLevel="0" collapsed="false">
      <c r="A2963" s="2" t="s">
        <v>1619</v>
      </c>
      <c r="B2963" s="2" t="s">
        <v>46</v>
      </c>
      <c r="C2963" s="2" t="s">
        <v>4275</v>
      </c>
      <c r="D2963" s="11" t="n">
        <v>34100</v>
      </c>
      <c r="E2963" s="31" t="n">
        <v>97.1</v>
      </c>
      <c r="F2963" s="31" t="n">
        <v>16.7</v>
      </c>
      <c r="G2963" s="31" t="n">
        <v>44.8</v>
      </c>
      <c r="H2963" s="2" t="s">
        <v>822</v>
      </c>
    </row>
    <row r="2964" customFormat="false" ht="15" hidden="false" customHeight="false" outlineLevel="0" collapsed="false">
      <c r="A2964" s="2" t="s">
        <v>1619</v>
      </c>
      <c r="B2964" s="2" t="s">
        <v>47</v>
      </c>
      <c r="C2964" s="2" t="s">
        <v>4274</v>
      </c>
      <c r="D2964" s="11" t="n">
        <v>28553</v>
      </c>
      <c r="E2964" s="31" t="n">
        <v>91.3</v>
      </c>
      <c r="F2964" s="31" t="n">
        <v>14.1</v>
      </c>
      <c r="G2964" s="31" t="n">
        <v>41.4</v>
      </c>
      <c r="H2964" s="2" t="s">
        <v>822</v>
      </c>
    </row>
    <row r="2965" customFormat="false" ht="15" hidden="false" customHeight="false" outlineLevel="0" collapsed="false">
      <c r="A2965" s="2" t="s">
        <v>1619</v>
      </c>
      <c r="B2965" s="2" t="s">
        <v>47</v>
      </c>
      <c r="C2965" s="2" t="s">
        <v>4275</v>
      </c>
      <c r="D2965" s="11" t="n">
        <v>29074</v>
      </c>
      <c r="E2965" s="31" t="n">
        <v>91.2</v>
      </c>
      <c r="F2965" s="31" t="n">
        <v>14.6</v>
      </c>
      <c r="G2965" s="31" t="n">
        <v>24.6</v>
      </c>
      <c r="H2965" s="2" t="s">
        <v>822</v>
      </c>
    </row>
    <row r="2966" customFormat="false" ht="15" hidden="false" customHeight="false" outlineLevel="0" collapsed="false">
      <c r="A2966" s="2" t="s">
        <v>3148</v>
      </c>
      <c r="B2966" s="2" t="s">
        <v>4291</v>
      </c>
      <c r="C2966" s="2" t="s">
        <v>4275</v>
      </c>
      <c r="D2966" s="2"/>
      <c r="E2966" s="31" t="n">
        <v>8.1</v>
      </c>
      <c r="F2966" s="31" t="n">
        <v>93.5</v>
      </c>
      <c r="G2966" s="31" t="n">
        <v>96.6</v>
      </c>
      <c r="H2966" s="2" t="s">
        <v>832</v>
      </c>
    </row>
    <row r="2967" customFormat="false" ht="15" hidden="false" customHeight="false" outlineLevel="0" collapsed="false">
      <c r="A2967" s="2" t="s">
        <v>3148</v>
      </c>
      <c r="B2967" s="2" t="s">
        <v>47</v>
      </c>
      <c r="C2967" s="2" t="s">
        <v>4275</v>
      </c>
      <c r="D2967" s="11" t="n">
        <v>15801</v>
      </c>
      <c r="E2967" s="31" t="n">
        <v>8.1</v>
      </c>
      <c r="F2967" s="31" t="n">
        <v>93.5</v>
      </c>
      <c r="G2967" s="31" t="n">
        <v>96.6</v>
      </c>
      <c r="H2967" s="2" t="s">
        <v>832</v>
      </c>
    </row>
    <row r="2968" customFormat="false" ht="15" hidden="false" customHeight="false" outlineLevel="0" collapsed="false">
      <c r="A2968" s="2" t="s">
        <v>588</v>
      </c>
      <c r="B2968" s="2" t="s">
        <v>4291</v>
      </c>
      <c r="C2968" s="2" t="s">
        <v>4274</v>
      </c>
      <c r="D2968" s="2"/>
      <c r="E2968" s="2"/>
      <c r="F2968" s="2"/>
      <c r="G2968" s="2"/>
      <c r="H2968" s="2" t="s">
        <v>832</v>
      </c>
    </row>
    <row r="2969" customFormat="false" ht="15" hidden="false" customHeight="false" outlineLevel="0" collapsed="false">
      <c r="A2969" s="2" t="s">
        <v>588</v>
      </c>
      <c r="B2969" s="2" t="s">
        <v>4291</v>
      </c>
      <c r="C2969" s="2" t="s">
        <v>4275</v>
      </c>
      <c r="D2969" s="2"/>
      <c r="E2969" s="31" t="n">
        <v>40.5</v>
      </c>
      <c r="F2969" s="31" t="n">
        <v>40</v>
      </c>
      <c r="G2969" s="31" t="n">
        <v>72.2</v>
      </c>
      <c r="H2969" s="2" t="s">
        <v>822</v>
      </c>
    </row>
    <row r="2970" customFormat="false" ht="15" hidden="false" customHeight="false" outlineLevel="0" collapsed="false">
      <c r="A2970" s="2" t="s">
        <v>588</v>
      </c>
      <c r="B2970" s="2" t="s">
        <v>45</v>
      </c>
      <c r="C2970" s="2" t="s">
        <v>4274</v>
      </c>
      <c r="D2970" s="2"/>
      <c r="E2970" s="2"/>
      <c r="F2970" s="2"/>
      <c r="G2970" s="2"/>
      <c r="H2970" s="2" t="s">
        <v>832</v>
      </c>
    </row>
    <row r="2971" customFormat="false" ht="15" hidden="false" customHeight="false" outlineLevel="0" collapsed="false">
      <c r="A2971" s="2" t="s">
        <v>588</v>
      </c>
      <c r="B2971" s="2" t="s">
        <v>45</v>
      </c>
      <c r="C2971" s="2" t="s">
        <v>4275</v>
      </c>
      <c r="D2971" s="11" t="n">
        <v>35070</v>
      </c>
      <c r="E2971" s="31" t="n">
        <v>14</v>
      </c>
      <c r="F2971" s="31" t="n">
        <v>73.5</v>
      </c>
      <c r="G2971" s="31" t="n">
        <v>32.6</v>
      </c>
      <c r="H2971" s="2" t="s">
        <v>822</v>
      </c>
    </row>
    <row r="2972" customFormat="false" ht="15" hidden="false" customHeight="false" outlineLevel="0" collapsed="false">
      <c r="A2972" s="2" t="s">
        <v>588</v>
      </c>
      <c r="B2972" s="2" t="s">
        <v>46</v>
      </c>
      <c r="C2972" s="2" t="s">
        <v>4274</v>
      </c>
      <c r="D2972" s="2"/>
      <c r="E2972" s="2"/>
      <c r="F2972" s="2"/>
      <c r="G2972" s="2"/>
      <c r="H2972" s="2" t="s">
        <v>832</v>
      </c>
    </row>
    <row r="2973" customFormat="false" ht="15" hidden="false" customHeight="false" outlineLevel="0" collapsed="false">
      <c r="A2973" s="2" t="s">
        <v>588</v>
      </c>
      <c r="B2973" s="2" t="s">
        <v>46</v>
      </c>
      <c r="C2973" s="2" t="s">
        <v>4275</v>
      </c>
      <c r="D2973" s="11" t="n">
        <v>367390</v>
      </c>
      <c r="E2973" s="31" t="n">
        <v>81.1</v>
      </c>
      <c r="F2973" s="31" t="n">
        <v>24.2</v>
      </c>
      <c r="G2973" s="31" t="n">
        <v>92.5</v>
      </c>
      <c r="H2973" s="2" t="s">
        <v>822</v>
      </c>
    </row>
    <row r="2974" customFormat="false" ht="15" hidden="false" customHeight="false" outlineLevel="0" collapsed="false">
      <c r="A2974" s="2" t="s">
        <v>588</v>
      </c>
      <c r="B2974" s="2" t="s">
        <v>47</v>
      </c>
      <c r="C2974" s="2" t="s">
        <v>4274</v>
      </c>
      <c r="D2974" s="2"/>
      <c r="E2974" s="2"/>
      <c r="F2974" s="2"/>
      <c r="G2974" s="2"/>
      <c r="H2974" s="2" t="s">
        <v>832</v>
      </c>
    </row>
    <row r="2975" customFormat="false" ht="15" hidden="false" customHeight="false" outlineLevel="0" collapsed="false">
      <c r="A2975" s="2" t="s">
        <v>588</v>
      </c>
      <c r="B2975" s="2" t="s">
        <v>47</v>
      </c>
      <c r="C2975" s="2" t="s">
        <v>4275</v>
      </c>
      <c r="D2975" s="11" t="n">
        <v>41470</v>
      </c>
      <c r="E2975" s="31" t="n">
        <v>26.5</v>
      </c>
      <c r="F2975" s="31" t="n">
        <v>22.4</v>
      </c>
      <c r="G2975" s="31" t="n">
        <v>91.4</v>
      </c>
      <c r="H2975" s="2" t="s">
        <v>822</v>
      </c>
    </row>
    <row r="2976" customFormat="false" ht="15" hidden="false" customHeight="false" outlineLevel="0" collapsed="false">
      <c r="A2976" s="2" t="s">
        <v>1405</v>
      </c>
      <c r="B2976" s="2" t="s">
        <v>4291</v>
      </c>
      <c r="C2976" s="2" t="s">
        <v>4274</v>
      </c>
      <c r="D2976" s="2"/>
      <c r="E2976" s="31" t="n">
        <v>36.2</v>
      </c>
      <c r="F2976" s="31" t="n">
        <v>54</v>
      </c>
      <c r="G2976" s="31" t="n">
        <v>14.4</v>
      </c>
      <c r="H2976" s="2" t="s">
        <v>822</v>
      </c>
    </row>
    <row r="2977" customFormat="false" ht="15" hidden="false" customHeight="false" outlineLevel="0" collapsed="false">
      <c r="A2977" s="2" t="s">
        <v>1405</v>
      </c>
      <c r="B2977" s="2" t="s">
        <v>4291</v>
      </c>
      <c r="C2977" s="2" t="s">
        <v>4275</v>
      </c>
      <c r="D2977" s="2"/>
      <c r="E2977" s="31" t="n">
        <v>26.5</v>
      </c>
      <c r="F2977" s="31" t="n">
        <v>35.7</v>
      </c>
      <c r="G2977" s="31" t="n">
        <v>3.1</v>
      </c>
      <c r="H2977" s="2" t="s">
        <v>832</v>
      </c>
    </row>
    <row r="2978" customFormat="false" ht="15" hidden="false" customHeight="false" outlineLevel="0" collapsed="false">
      <c r="A2978" s="2" t="s">
        <v>1405</v>
      </c>
      <c r="B2978" s="2" t="s">
        <v>45</v>
      </c>
      <c r="C2978" s="2" t="s">
        <v>4274</v>
      </c>
      <c r="D2978" s="11" t="n">
        <v>20040</v>
      </c>
      <c r="E2978" s="31" t="n">
        <v>34.1</v>
      </c>
      <c r="F2978" s="31" t="n">
        <v>47.8</v>
      </c>
      <c r="G2978" s="31" t="n">
        <v>12.7</v>
      </c>
      <c r="H2978" s="2" t="s">
        <v>822</v>
      </c>
    </row>
    <row r="2979" customFormat="false" ht="15" hidden="false" customHeight="false" outlineLevel="0" collapsed="false">
      <c r="A2979" s="2" t="s">
        <v>1405</v>
      </c>
      <c r="B2979" s="2" t="s">
        <v>45</v>
      </c>
      <c r="C2979" s="2" t="s">
        <v>4275</v>
      </c>
      <c r="D2979" s="11" t="n">
        <v>20690</v>
      </c>
      <c r="E2979" s="31" t="n">
        <v>27.4</v>
      </c>
      <c r="F2979" s="31" t="n">
        <v>23.4</v>
      </c>
      <c r="G2979" s="31" t="n">
        <v>2.8</v>
      </c>
      <c r="H2979" s="2" t="s">
        <v>822</v>
      </c>
    </row>
    <row r="2980" customFormat="false" ht="15" hidden="false" customHeight="false" outlineLevel="0" collapsed="false">
      <c r="A2980" s="2" t="s">
        <v>1405</v>
      </c>
      <c r="B2980" s="2" t="s">
        <v>46</v>
      </c>
      <c r="C2980" s="2" t="s">
        <v>4274</v>
      </c>
      <c r="D2980" s="11" t="n">
        <v>15816</v>
      </c>
      <c r="E2980" s="31" t="n">
        <v>37.2</v>
      </c>
      <c r="F2980" s="31" t="n">
        <v>41.9</v>
      </c>
      <c r="G2980" s="31" t="n">
        <v>18.3</v>
      </c>
      <c r="H2980" s="2" t="s">
        <v>822</v>
      </c>
    </row>
    <row r="2981" customFormat="false" ht="15" hidden="false" customHeight="false" outlineLevel="0" collapsed="false">
      <c r="A2981" s="2" t="s">
        <v>1405</v>
      </c>
      <c r="B2981" s="2" t="s">
        <v>46</v>
      </c>
      <c r="C2981" s="2" t="s">
        <v>4275</v>
      </c>
      <c r="D2981" s="11" t="n">
        <v>15885</v>
      </c>
      <c r="E2981" s="31" t="n">
        <v>22.6</v>
      </c>
      <c r="F2981" s="31" t="n">
        <v>17.1</v>
      </c>
      <c r="G2981" s="2"/>
      <c r="H2981" s="2" t="s">
        <v>832</v>
      </c>
    </row>
    <row r="2982" customFormat="false" ht="15" hidden="false" customHeight="false" outlineLevel="0" collapsed="false">
      <c r="A2982" s="2" t="s">
        <v>1405</v>
      </c>
      <c r="B2982" s="2" t="s">
        <v>47</v>
      </c>
      <c r="C2982" s="2" t="s">
        <v>4274</v>
      </c>
      <c r="D2982" s="11" t="n">
        <v>328010</v>
      </c>
      <c r="E2982" s="31" t="n">
        <v>37.4</v>
      </c>
      <c r="F2982" s="31" t="n">
        <v>72.2</v>
      </c>
      <c r="G2982" s="31" t="n">
        <v>12.3</v>
      </c>
      <c r="H2982" s="2" t="s">
        <v>822</v>
      </c>
    </row>
    <row r="2983" customFormat="false" ht="15" hidden="false" customHeight="false" outlineLevel="0" collapsed="false">
      <c r="A2983" s="2" t="s">
        <v>1405</v>
      </c>
      <c r="B2983" s="2" t="s">
        <v>47</v>
      </c>
      <c r="C2983" s="2" t="s">
        <v>4275</v>
      </c>
      <c r="D2983" s="11" t="n">
        <v>343470</v>
      </c>
      <c r="E2983" s="31" t="n">
        <v>29.6</v>
      </c>
      <c r="F2983" s="31" t="n">
        <v>66.5</v>
      </c>
      <c r="G2983" s="31" t="n">
        <v>3.4</v>
      </c>
      <c r="H2983" s="2" t="s">
        <v>822</v>
      </c>
    </row>
    <row r="2984" customFormat="false" ht="15" hidden="false" customHeight="false" outlineLevel="0" collapsed="false">
      <c r="A2984" s="2" t="s">
        <v>2597</v>
      </c>
      <c r="B2984" s="2" t="s">
        <v>4291</v>
      </c>
      <c r="C2984" s="2" t="s">
        <v>4274</v>
      </c>
      <c r="D2984" s="2"/>
      <c r="E2984" s="31" t="n">
        <v>15.3</v>
      </c>
      <c r="F2984" s="31" t="n">
        <v>52.2</v>
      </c>
      <c r="G2984" s="31" t="n">
        <v>52.1</v>
      </c>
      <c r="H2984" s="2" t="s">
        <v>822</v>
      </c>
    </row>
    <row r="2985" customFormat="false" ht="15" hidden="false" customHeight="false" outlineLevel="0" collapsed="false">
      <c r="A2985" s="2" t="s">
        <v>2597</v>
      </c>
      <c r="B2985" s="2" t="s">
        <v>4291</v>
      </c>
      <c r="C2985" s="2" t="s">
        <v>4275</v>
      </c>
      <c r="D2985" s="2"/>
      <c r="E2985" s="31" t="n">
        <v>24</v>
      </c>
      <c r="F2985" s="31" t="n">
        <v>34.1</v>
      </c>
      <c r="G2985" s="31" t="n">
        <v>58.2</v>
      </c>
      <c r="H2985" s="2" t="s">
        <v>832</v>
      </c>
    </row>
    <row r="2986" customFormat="false" ht="15" hidden="false" customHeight="false" outlineLevel="0" collapsed="false">
      <c r="A2986" s="2" t="s">
        <v>2597</v>
      </c>
      <c r="B2986" s="2" t="s">
        <v>45</v>
      </c>
      <c r="C2986" s="2" t="s">
        <v>4274</v>
      </c>
      <c r="D2986" s="11" t="n">
        <v>52697</v>
      </c>
      <c r="E2986" s="31" t="n">
        <v>10.4</v>
      </c>
      <c r="F2986" s="31" t="n">
        <v>73.7</v>
      </c>
      <c r="G2986" s="31" t="n">
        <v>4.6</v>
      </c>
      <c r="H2986" s="2" t="s">
        <v>822</v>
      </c>
    </row>
    <row r="2987" customFormat="false" ht="15" hidden="false" customHeight="false" outlineLevel="0" collapsed="false">
      <c r="A2987" s="2" t="s">
        <v>2597</v>
      </c>
      <c r="B2987" s="2" t="s">
        <v>45</v>
      </c>
      <c r="C2987" s="2" t="s">
        <v>4275</v>
      </c>
      <c r="D2987" s="11" t="n">
        <v>52750</v>
      </c>
      <c r="E2987" s="31" t="n">
        <v>6.8</v>
      </c>
      <c r="F2987" s="2"/>
      <c r="G2987" s="31" t="n">
        <v>20.3</v>
      </c>
      <c r="H2987" s="2" t="s">
        <v>832</v>
      </c>
    </row>
    <row r="2988" customFormat="false" ht="15" hidden="false" customHeight="false" outlineLevel="0" collapsed="false">
      <c r="A2988" s="2" t="s">
        <v>2597</v>
      </c>
      <c r="B2988" s="2" t="s">
        <v>47</v>
      </c>
      <c r="C2988" s="2" t="s">
        <v>4274</v>
      </c>
      <c r="D2988" s="11" t="n">
        <v>72040</v>
      </c>
      <c r="E2988" s="31" t="n">
        <v>20.2</v>
      </c>
      <c r="F2988" s="31" t="n">
        <v>30.7</v>
      </c>
      <c r="G2988" s="31" t="n">
        <v>99.6</v>
      </c>
      <c r="H2988" s="2" t="s">
        <v>822</v>
      </c>
    </row>
    <row r="2989" customFormat="false" ht="15" hidden="false" customHeight="false" outlineLevel="0" collapsed="false">
      <c r="A2989" s="2" t="s">
        <v>2597</v>
      </c>
      <c r="B2989" s="2" t="s">
        <v>47</v>
      </c>
      <c r="C2989" s="2" t="s">
        <v>4275</v>
      </c>
      <c r="D2989" s="11" t="n">
        <v>77380</v>
      </c>
      <c r="E2989" s="31" t="n">
        <v>41.3</v>
      </c>
      <c r="F2989" s="31" t="n">
        <v>34.1</v>
      </c>
      <c r="G2989" s="31" t="n">
        <v>96.2</v>
      </c>
      <c r="H2989" s="2" t="s">
        <v>822</v>
      </c>
    </row>
    <row r="2990" customFormat="false" ht="15" hidden="false" customHeight="false" outlineLevel="0" collapsed="false">
      <c r="A2990" s="2" t="s">
        <v>1322</v>
      </c>
      <c r="B2990" s="2" t="s">
        <v>4291</v>
      </c>
      <c r="C2990" s="2" t="s">
        <v>4274</v>
      </c>
      <c r="D2990" s="2"/>
      <c r="E2990" s="31" t="n">
        <v>31.4</v>
      </c>
      <c r="F2990" s="31" t="n">
        <v>76.2</v>
      </c>
      <c r="G2990" s="31" t="n">
        <v>41.6</v>
      </c>
      <c r="H2990" s="2" t="s">
        <v>832</v>
      </c>
    </row>
    <row r="2991" customFormat="false" ht="15" hidden="false" customHeight="false" outlineLevel="0" collapsed="false">
      <c r="A2991" s="2" t="s">
        <v>1322</v>
      </c>
      <c r="B2991" s="2" t="s">
        <v>4291</v>
      </c>
      <c r="C2991" s="2" t="s">
        <v>4275</v>
      </c>
      <c r="D2991" s="2"/>
      <c r="E2991" s="31" t="n">
        <v>60.6</v>
      </c>
      <c r="F2991" s="31" t="n">
        <v>67</v>
      </c>
      <c r="G2991" s="31" t="n">
        <v>34.6</v>
      </c>
      <c r="H2991" s="2" t="s">
        <v>832</v>
      </c>
    </row>
    <row r="2992" customFormat="false" ht="15" hidden="false" customHeight="false" outlineLevel="0" collapsed="false">
      <c r="A2992" s="2" t="s">
        <v>1322</v>
      </c>
      <c r="B2992" s="2" t="s">
        <v>45</v>
      </c>
      <c r="C2992" s="2" t="s">
        <v>4274</v>
      </c>
      <c r="D2992" s="11" t="n">
        <v>90511</v>
      </c>
      <c r="E2992" s="31" t="n">
        <v>15.8</v>
      </c>
      <c r="F2992" s="31" t="n">
        <v>73</v>
      </c>
      <c r="G2992" s="31" t="n">
        <v>42.4</v>
      </c>
      <c r="H2992" s="2" t="s">
        <v>822</v>
      </c>
    </row>
    <row r="2993" customFormat="false" ht="15" hidden="false" customHeight="false" outlineLevel="0" collapsed="false">
      <c r="A2993" s="2" t="s">
        <v>1322</v>
      </c>
      <c r="B2993" s="2" t="s">
        <v>45</v>
      </c>
      <c r="C2993" s="2" t="s">
        <v>4275</v>
      </c>
      <c r="D2993" s="11" t="n">
        <v>95960</v>
      </c>
      <c r="E2993" s="31" t="n">
        <v>38.8</v>
      </c>
      <c r="F2993" s="31" t="n">
        <v>67.7</v>
      </c>
      <c r="G2993" s="31" t="n">
        <v>30.8</v>
      </c>
      <c r="H2993" s="2" t="s">
        <v>822</v>
      </c>
    </row>
    <row r="2994" customFormat="false" ht="15" hidden="false" customHeight="false" outlineLevel="0" collapsed="false">
      <c r="A2994" s="2" t="s">
        <v>1322</v>
      </c>
      <c r="B2994" s="2" t="s">
        <v>46</v>
      </c>
      <c r="C2994" s="2" t="s">
        <v>4274</v>
      </c>
      <c r="D2994" s="11" t="n">
        <v>37751</v>
      </c>
      <c r="E2994" s="31" t="n">
        <v>47</v>
      </c>
      <c r="F2994" s="31" t="n">
        <v>68.9</v>
      </c>
      <c r="G2994" s="31" t="n">
        <v>20.1</v>
      </c>
      <c r="H2994" s="2" t="s">
        <v>822</v>
      </c>
    </row>
    <row r="2995" customFormat="false" ht="15" hidden="false" customHeight="false" outlineLevel="0" collapsed="false">
      <c r="A2995" s="2" t="s">
        <v>1322</v>
      </c>
      <c r="B2995" s="2" t="s">
        <v>46</v>
      </c>
      <c r="C2995" s="2" t="s">
        <v>4275</v>
      </c>
      <c r="D2995" s="2"/>
      <c r="E2995" s="2"/>
      <c r="F2995" s="2"/>
      <c r="G2995" s="2"/>
      <c r="H2995" s="2" t="s">
        <v>832</v>
      </c>
    </row>
    <row r="2996" customFormat="false" ht="15" hidden="false" customHeight="false" outlineLevel="0" collapsed="false">
      <c r="A2996" s="2" t="s">
        <v>1322</v>
      </c>
      <c r="B2996" s="2" t="s">
        <v>47</v>
      </c>
      <c r="C2996" s="2" t="s">
        <v>4274</v>
      </c>
      <c r="D2996" s="11" t="n">
        <v>747</v>
      </c>
      <c r="E2996" s="2"/>
      <c r="F2996" s="31" t="n">
        <v>86.7</v>
      </c>
      <c r="G2996" s="31" t="n">
        <v>62.4</v>
      </c>
      <c r="H2996" s="2" t="s">
        <v>832</v>
      </c>
    </row>
    <row r="2997" customFormat="false" ht="15" hidden="false" customHeight="false" outlineLevel="0" collapsed="false">
      <c r="A2997" s="2" t="s">
        <v>1322</v>
      </c>
      <c r="B2997" s="2" t="s">
        <v>47</v>
      </c>
      <c r="C2997" s="2" t="s">
        <v>4275</v>
      </c>
      <c r="D2997" s="11" t="n">
        <v>790</v>
      </c>
      <c r="E2997" s="31" t="n">
        <v>82.4</v>
      </c>
      <c r="F2997" s="31" t="n">
        <v>66.2</v>
      </c>
      <c r="G2997" s="31" t="n">
        <v>38.5</v>
      </c>
      <c r="H2997" s="2" t="s">
        <v>822</v>
      </c>
    </row>
    <row r="2998" customFormat="false" ht="15" hidden="false" customHeight="false" outlineLevel="0" collapsed="false">
      <c r="A2998" s="2" t="s">
        <v>1539</v>
      </c>
      <c r="B2998" s="2" t="s">
        <v>4291</v>
      </c>
      <c r="C2998" s="2" t="s">
        <v>4274</v>
      </c>
      <c r="D2998" s="2"/>
      <c r="E2998" s="31" t="n">
        <v>34.8</v>
      </c>
      <c r="F2998" s="31" t="n">
        <v>34.6</v>
      </c>
      <c r="G2998" s="31" t="n">
        <v>37.1</v>
      </c>
      <c r="H2998" s="2" t="s">
        <v>822</v>
      </c>
    </row>
    <row r="2999" customFormat="false" ht="15" hidden="false" customHeight="false" outlineLevel="0" collapsed="false">
      <c r="A2999" s="2" t="s">
        <v>1539</v>
      </c>
      <c r="B2999" s="2" t="s">
        <v>4291</v>
      </c>
      <c r="C2999" s="2" t="s">
        <v>4275</v>
      </c>
      <c r="D2999" s="2"/>
      <c r="E2999" s="31" t="n">
        <v>31</v>
      </c>
      <c r="F2999" s="31" t="n">
        <v>51.8</v>
      </c>
      <c r="G2999" s="31" t="n">
        <v>2.3</v>
      </c>
      <c r="H2999" s="2" t="s">
        <v>832</v>
      </c>
    </row>
    <row r="3000" customFormat="false" ht="15" hidden="false" customHeight="false" outlineLevel="0" collapsed="false">
      <c r="A3000" s="2" t="s">
        <v>1539</v>
      </c>
      <c r="B3000" s="2" t="s">
        <v>45</v>
      </c>
      <c r="C3000" s="2" t="s">
        <v>4274</v>
      </c>
      <c r="D3000" s="11" t="n">
        <v>48440</v>
      </c>
      <c r="E3000" s="31" t="n">
        <v>1.9</v>
      </c>
      <c r="F3000" s="31" t="n">
        <v>71.2</v>
      </c>
      <c r="G3000" s="2"/>
      <c r="H3000" s="2" t="s">
        <v>822</v>
      </c>
    </row>
    <row r="3001" customFormat="false" ht="15" hidden="false" customHeight="false" outlineLevel="0" collapsed="false">
      <c r="A3001" s="2" t="s">
        <v>1539</v>
      </c>
      <c r="B3001" s="2" t="s">
        <v>45</v>
      </c>
      <c r="C3001" s="2" t="s">
        <v>4275</v>
      </c>
      <c r="D3001" s="11" t="n">
        <v>49638</v>
      </c>
      <c r="E3001" s="31" t="n">
        <v>7.9</v>
      </c>
      <c r="F3001" s="31" t="n">
        <v>69.1</v>
      </c>
      <c r="G3001" s="2"/>
      <c r="H3001" s="2" t="s">
        <v>822</v>
      </c>
    </row>
    <row r="3002" customFormat="false" ht="15" hidden="false" customHeight="false" outlineLevel="0" collapsed="false">
      <c r="A3002" s="2" t="s">
        <v>1539</v>
      </c>
      <c r="B3002" s="2" t="s">
        <v>46</v>
      </c>
      <c r="C3002" s="2" t="s">
        <v>4274</v>
      </c>
      <c r="D3002" s="11" t="n">
        <v>123350</v>
      </c>
      <c r="E3002" s="31" t="n">
        <v>41.7</v>
      </c>
      <c r="F3002" s="31" t="n">
        <v>8.3</v>
      </c>
      <c r="G3002" s="31" t="n">
        <v>72.1</v>
      </c>
      <c r="H3002" s="2" t="s">
        <v>822</v>
      </c>
    </row>
    <row r="3003" customFormat="false" ht="15" hidden="false" customHeight="false" outlineLevel="0" collapsed="false">
      <c r="A3003" s="2" t="s">
        <v>1539</v>
      </c>
      <c r="B3003" s="2" t="s">
        <v>46</v>
      </c>
      <c r="C3003" s="2" t="s">
        <v>4275</v>
      </c>
      <c r="D3003" s="2"/>
      <c r="E3003" s="2"/>
      <c r="F3003" s="2"/>
      <c r="G3003" s="2"/>
      <c r="H3003" s="2" t="s">
        <v>832</v>
      </c>
    </row>
    <row r="3004" customFormat="false" ht="15" hidden="false" customHeight="false" outlineLevel="0" collapsed="false">
      <c r="A3004" s="2" t="s">
        <v>1539</v>
      </c>
      <c r="B3004" s="2" t="s">
        <v>47</v>
      </c>
      <c r="C3004" s="2" t="s">
        <v>4274</v>
      </c>
      <c r="D3004" s="11" t="n">
        <v>36526</v>
      </c>
      <c r="E3004" s="31" t="n">
        <v>60.9</v>
      </c>
      <c r="F3004" s="31" t="n">
        <v>24.2</v>
      </c>
      <c r="G3004" s="31" t="n">
        <v>2.1</v>
      </c>
      <c r="H3004" s="2" t="s">
        <v>822</v>
      </c>
    </row>
    <row r="3005" customFormat="false" ht="15" hidden="false" customHeight="false" outlineLevel="0" collapsed="false">
      <c r="A3005" s="2" t="s">
        <v>1539</v>
      </c>
      <c r="B3005" s="2" t="s">
        <v>47</v>
      </c>
      <c r="C3005" s="2" t="s">
        <v>4275</v>
      </c>
      <c r="D3005" s="11" t="n">
        <v>37490</v>
      </c>
      <c r="E3005" s="31" t="n">
        <v>54</v>
      </c>
      <c r="F3005" s="31" t="n">
        <v>34.4</v>
      </c>
      <c r="G3005" s="31" t="n">
        <v>2.3</v>
      </c>
      <c r="H3005" s="2" t="s">
        <v>822</v>
      </c>
    </row>
    <row r="3006" customFormat="false" ht="15" hidden="false" customHeight="false" outlineLevel="0" collapsed="false">
      <c r="A3006" s="2" t="s">
        <v>740</v>
      </c>
      <c r="B3006" s="2" t="s">
        <v>4291</v>
      </c>
      <c r="C3006" s="2" t="s">
        <v>4275</v>
      </c>
      <c r="D3006" s="2"/>
      <c r="E3006" s="31" t="n">
        <v>22.8</v>
      </c>
      <c r="F3006" s="31" t="n">
        <v>49.1</v>
      </c>
      <c r="G3006" s="31" t="n">
        <v>9.9</v>
      </c>
      <c r="H3006" s="2" t="s">
        <v>822</v>
      </c>
    </row>
    <row r="3007" customFormat="false" ht="15" hidden="false" customHeight="false" outlineLevel="0" collapsed="false">
      <c r="A3007" s="2" t="s">
        <v>740</v>
      </c>
      <c r="B3007" s="2" t="s">
        <v>46</v>
      </c>
      <c r="C3007" s="2" t="s">
        <v>4275</v>
      </c>
      <c r="D3007" s="11" t="n">
        <v>8950</v>
      </c>
      <c r="E3007" s="31" t="n">
        <v>22.8</v>
      </c>
      <c r="F3007" s="31" t="n">
        <v>49.1</v>
      </c>
      <c r="G3007" s="31" t="n">
        <v>9.9</v>
      </c>
      <c r="H3007" s="2" t="s">
        <v>822</v>
      </c>
    </row>
    <row r="3008" customFormat="false" ht="15" hidden="false" customHeight="false" outlineLevel="0" collapsed="false">
      <c r="A3008" s="2" t="s">
        <v>1475</v>
      </c>
      <c r="B3008" s="2" t="s">
        <v>4291</v>
      </c>
      <c r="C3008" s="2" t="s">
        <v>4274</v>
      </c>
      <c r="D3008" s="2"/>
      <c r="E3008" s="31" t="n">
        <v>56</v>
      </c>
      <c r="F3008" s="31" t="n">
        <v>66.1</v>
      </c>
      <c r="G3008" s="31" t="n">
        <v>46.6</v>
      </c>
      <c r="H3008" s="2" t="s">
        <v>832</v>
      </c>
    </row>
    <row r="3009" customFormat="false" ht="15" hidden="false" customHeight="false" outlineLevel="0" collapsed="false">
      <c r="A3009" s="2" t="s">
        <v>1475</v>
      </c>
      <c r="B3009" s="2" t="s">
        <v>4291</v>
      </c>
      <c r="C3009" s="2" t="s">
        <v>4275</v>
      </c>
      <c r="D3009" s="2"/>
      <c r="E3009" s="31" t="n">
        <v>31.4</v>
      </c>
      <c r="F3009" s="31" t="n">
        <v>53.7</v>
      </c>
      <c r="G3009" s="31" t="n">
        <v>77.1</v>
      </c>
      <c r="H3009" s="2" t="s">
        <v>832</v>
      </c>
    </row>
    <row r="3010" customFormat="false" ht="15" hidden="false" customHeight="false" outlineLevel="0" collapsed="false">
      <c r="A3010" s="2" t="s">
        <v>1475</v>
      </c>
      <c r="B3010" s="2" t="s">
        <v>45</v>
      </c>
      <c r="C3010" s="2" t="s">
        <v>4274</v>
      </c>
      <c r="D3010" s="2"/>
      <c r="E3010" s="2"/>
      <c r="F3010" s="2"/>
      <c r="G3010" s="2"/>
      <c r="H3010" s="2" t="s">
        <v>832</v>
      </c>
    </row>
    <row r="3011" customFormat="false" ht="15" hidden="false" customHeight="false" outlineLevel="0" collapsed="false">
      <c r="A3011" s="2" t="s">
        <v>1475</v>
      </c>
      <c r="B3011" s="2" t="s">
        <v>45</v>
      </c>
      <c r="C3011" s="2" t="s">
        <v>4275</v>
      </c>
      <c r="D3011" s="11" t="n">
        <v>47730</v>
      </c>
      <c r="E3011" s="31" t="n">
        <v>16.4</v>
      </c>
      <c r="F3011" s="31" t="n">
        <v>84.5</v>
      </c>
      <c r="G3011" s="31" t="n">
        <v>94.9</v>
      </c>
      <c r="H3011" s="2" t="s">
        <v>822</v>
      </c>
    </row>
    <row r="3012" customFormat="false" ht="15" hidden="false" customHeight="false" outlineLevel="0" collapsed="false">
      <c r="A3012" s="2" t="s">
        <v>1475</v>
      </c>
      <c r="B3012" s="2" t="s">
        <v>46</v>
      </c>
      <c r="C3012" s="2" t="s">
        <v>4274</v>
      </c>
      <c r="D3012" s="11" t="n">
        <v>11309</v>
      </c>
      <c r="E3012" s="31" t="n">
        <v>62.6</v>
      </c>
      <c r="F3012" s="31" t="n">
        <v>47.9</v>
      </c>
      <c r="G3012" s="31" t="n">
        <v>37.7</v>
      </c>
      <c r="H3012" s="2" t="s">
        <v>822</v>
      </c>
    </row>
    <row r="3013" customFormat="false" ht="15" hidden="false" customHeight="false" outlineLevel="0" collapsed="false">
      <c r="A3013" s="2" t="s">
        <v>1475</v>
      </c>
      <c r="B3013" s="2" t="s">
        <v>46</v>
      </c>
      <c r="C3013" s="2" t="s">
        <v>4275</v>
      </c>
      <c r="D3013" s="11" t="n">
        <v>11240</v>
      </c>
      <c r="E3013" s="31" t="n">
        <v>46.4</v>
      </c>
      <c r="F3013" s="31" t="n">
        <v>22.9</v>
      </c>
      <c r="G3013" s="31" t="n">
        <v>59.2</v>
      </c>
      <c r="H3013" s="2" t="s">
        <v>822</v>
      </c>
    </row>
    <row r="3014" customFormat="false" ht="15" hidden="false" customHeight="false" outlineLevel="0" collapsed="false">
      <c r="A3014" s="2" t="s">
        <v>1475</v>
      </c>
      <c r="B3014" s="2" t="s">
        <v>47</v>
      </c>
      <c r="C3014" s="2" t="s">
        <v>4274</v>
      </c>
      <c r="D3014" s="11" t="n">
        <v>37563</v>
      </c>
      <c r="E3014" s="31" t="n">
        <v>49.5</v>
      </c>
      <c r="F3014" s="31" t="n">
        <v>84.3</v>
      </c>
      <c r="G3014" s="31" t="n">
        <v>55.4</v>
      </c>
      <c r="H3014" s="2" t="s">
        <v>822</v>
      </c>
    </row>
    <row r="3015" customFormat="false" ht="15" hidden="false" customHeight="false" outlineLevel="0" collapsed="false">
      <c r="A3015" s="2" t="s">
        <v>1475</v>
      </c>
      <c r="B3015" s="2" t="s">
        <v>47</v>
      </c>
      <c r="C3015" s="2" t="s">
        <v>4275</v>
      </c>
      <c r="D3015" s="2"/>
      <c r="E3015" s="2"/>
      <c r="F3015" s="2"/>
      <c r="G3015" s="2"/>
      <c r="H3015" s="2" t="s">
        <v>832</v>
      </c>
    </row>
    <row r="3016" customFormat="false" ht="15" hidden="false" customHeight="false" outlineLevel="0" collapsed="false">
      <c r="A3016" s="2" t="s">
        <v>1015</v>
      </c>
      <c r="B3016" s="2" t="s">
        <v>4291</v>
      </c>
      <c r="C3016" s="2" t="s">
        <v>4274</v>
      </c>
      <c r="D3016" s="2"/>
      <c r="E3016" s="31" t="n">
        <v>70.1</v>
      </c>
      <c r="F3016" s="31" t="n">
        <v>50</v>
      </c>
      <c r="G3016" s="31" t="n">
        <v>26.6</v>
      </c>
      <c r="H3016" s="2" t="s">
        <v>832</v>
      </c>
    </row>
    <row r="3017" customFormat="false" ht="15" hidden="false" customHeight="false" outlineLevel="0" collapsed="false">
      <c r="A3017" s="2" t="s">
        <v>1015</v>
      </c>
      <c r="B3017" s="2" t="s">
        <v>4291</v>
      </c>
      <c r="C3017" s="2" t="s">
        <v>4275</v>
      </c>
      <c r="D3017" s="2"/>
      <c r="E3017" s="31" t="n">
        <v>62.4</v>
      </c>
      <c r="F3017" s="31" t="n">
        <v>48.2</v>
      </c>
      <c r="G3017" s="31" t="n">
        <v>45.2</v>
      </c>
      <c r="H3017" s="2" t="s">
        <v>832</v>
      </c>
    </row>
    <row r="3018" customFormat="false" ht="15" hidden="false" customHeight="false" outlineLevel="0" collapsed="false">
      <c r="A3018" s="2" t="s">
        <v>1015</v>
      </c>
      <c r="B3018" s="2" t="s">
        <v>45</v>
      </c>
      <c r="C3018" s="2" t="s">
        <v>4274</v>
      </c>
      <c r="D3018" s="11" t="n">
        <v>960</v>
      </c>
      <c r="E3018" s="31" t="n">
        <v>87.9</v>
      </c>
      <c r="F3018" s="2"/>
      <c r="G3018" s="31" t="n">
        <v>3.9</v>
      </c>
      <c r="H3018" s="2" t="s">
        <v>832</v>
      </c>
    </row>
    <row r="3019" customFormat="false" ht="15" hidden="false" customHeight="false" outlineLevel="0" collapsed="false">
      <c r="A3019" s="2" t="s">
        <v>1015</v>
      </c>
      <c r="B3019" s="2" t="s">
        <v>45</v>
      </c>
      <c r="C3019" s="2" t="s">
        <v>4275</v>
      </c>
      <c r="D3019" s="11" t="n">
        <v>970</v>
      </c>
      <c r="E3019" s="31" t="n">
        <v>77.1</v>
      </c>
      <c r="F3019" s="31" t="n">
        <v>11.3</v>
      </c>
      <c r="G3019" s="31" t="n">
        <v>1.3</v>
      </c>
      <c r="H3019" s="2" t="s">
        <v>822</v>
      </c>
    </row>
    <row r="3020" customFormat="false" ht="15" hidden="false" customHeight="false" outlineLevel="0" collapsed="false">
      <c r="A3020" s="2" t="s">
        <v>1015</v>
      </c>
      <c r="B3020" s="2" t="s">
        <v>46</v>
      </c>
      <c r="C3020" s="2" t="s">
        <v>4274</v>
      </c>
      <c r="D3020" s="11" t="n">
        <v>115046</v>
      </c>
      <c r="E3020" s="31" t="n">
        <v>85.5</v>
      </c>
      <c r="F3020" s="31" t="n">
        <v>19.9</v>
      </c>
      <c r="G3020" s="31" t="n">
        <v>40.9</v>
      </c>
      <c r="H3020" s="2" t="s">
        <v>822</v>
      </c>
    </row>
    <row r="3021" customFormat="false" ht="15" hidden="false" customHeight="false" outlineLevel="0" collapsed="false">
      <c r="A3021" s="2" t="s">
        <v>1015</v>
      </c>
      <c r="B3021" s="2" t="s">
        <v>46</v>
      </c>
      <c r="C3021" s="2" t="s">
        <v>4275</v>
      </c>
      <c r="D3021" s="2"/>
      <c r="E3021" s="2"/>
      <c r="F3021" s="2"/>
      <c r="G3021" s="2"/>
      <c r="H3021" s="2" t="s">
        <v>832</v>
      </c>
    </row>
    <row r="3022" customFormat="false" ht="15" hidden="false" customHeight="false" outlineLevel="0" collapsed="false">
      <c r="A3022" s="2" t="s">
        <v>1015</v>
      </c>
      <c r="B3022" s="2" t="s">
        <v>47</v>
      </c>
      <c r="C3022" s="2" t="s">
        <v>4274</v>
      </c>
      <c r="D3022" s="11" t="n">
        <v>2273</v>
      </c>
      <c r="E3022" s="31" t="n">
        <v>37</v>
      </c>
      <c r="F3022" s="31" t="n">
        <v>80</v>
      </c>
      <c r="G3022" s="31" t="n">
        <v>34.9</v>
      </c>
      <c r="H3022" s="2" t="s">
        <v>822</v>
      </c>
    </row>
    <row r="3023" customFormat="false" ht="15" hidden="false" customHeight="false" outlineLevel="0" collapsed="false">
      <c r="A3023" s="2" t="s">
        <v>1015</v>
      </c>
      <c r="B3023" s="2" t="s">
        <v>47</v>
      </c>
      <c r="C3023" s="2" t="s">
        <v>4275</v>
      </c>
      <c r="D3023" s="11" t="n">
        <v>2462</v>
      </c>
      <c r="E3023" s="31" t="n">
        <v>47.8</v>
      </c>
      <c r="F3023" s="31" t="n">
        <v>85</v>
      </c>
      <c r="G3023" s="31" t="n">
        <v>89.2</v>
      </c>
      <c r="H3023" s="2" t="s">
        <v>822</v>
      </c>
    </row>
    <row r="3024" customFormat="false" ht="15" hidden="false" customHeight="false" outlineLevel="0" collapsed="false">
      <c r="A3024" s="2" t="s">
        <v>430</v>
      </c>
      <c r="B3024" s="2" t="s">
        <v>4291</v>
      </c>
      <c r="C3024" s="2" t="s">
        <v>4274</v>
      </c>
      <c r="D3024" s="2"/>
      <c r="E3024" s="31" t="n">
        <v>62.2</v>
      </c>
      <c r="F3024" s="31" t="n">
        <v>34</v>
      </c>
      <c r="G3024" s="31" t="n">
        <v>68</v>
      </c>
      <c r="H3024" s="2" t="s">
        <v>822</v>
      </c>
    </row>
    <row r="3025" customFormat="false" ht="15" hidden="false" customHeight="false" outlineLevel="0" collapsed="false">
      <c r="A3025" s="2" t="s">
        <v>430</v>
      </c>
      <c r="B3025" s="2" t="s">
        <v>4291</v>
      </c>
      <c r="C3025" s="2" t="s">
        <v>4275</v>
      </c>
      <c r="D3025" s="2"/>
      <c r="E3025" s="31" t="n">
        <v>53.6</v>
      </c>
      <c r="F3025" s="31" t="n">
        <v>46.5</v>
      </c>
      <c r="G3025" s="31" t="n">
        <v>60.9</v>
      </c>
      <c r="H3025" s="2" t="s">
        <v>822</v>
      </c>
    </row>
    <row r="3026" customFormat="false" ht="15" hidden="false" customHeight="false" outlineLevel="0" collapsed="false">
      <c r="A3026" s="2" t="s">
        <v>430</v>
      </c>
      <c r="B3026" s="2" t="s">
        <v>46</v>
      </c>
      <c r="C3026" s="2" t="s">
        <v>4274</v>
      </c>
      <c r="D3026" s="11" t="n">
        <v>298150</v>
      </c>
      <c r="E3026" s="31" t="n">
        <v>62.2</v>
      </c>
      <c r="F3026" s="31" t="n">
        <v>34</v>
      </c>
      <c r="G3026" s="31" t="n">
        <v>68</v>
      </c>
      <c r="H3026" s="2" t="s">
        <v>822</v>
      </c>
    </row>
    <row r="3027" customFormat="false" ht="15" hidden="false" customHeight="false" outlineLevel="0" collapsed="false">
      <c r="A3027" s="2" t="s">
        <v>430</v>
      </c>
      <c r="B3027" s="2" t="s">
        <v>46</v>
      </c>
      <c r="C3027" s="2" t="s">
        <v>4275</v>
      </c>
      <c r="D3027" s="11" t="n">
        <v>302830</v>
      </c>
      <c r="E3027" s="31" t="n">
        <v>53.6</v>
      </c>
      <c r="F3027" s="31" t="n">
        <v>46.5</v>
      </c>
      <c r="G3027" s="31" t="n">
        <v>60.9</v>
      </c>
      <c r="H3027" s="2" t="s">
        <v>822</v>
      </c>
    </row>
    <row r="3028" customFormat="false" ht="15" hidden="false" customHeight="false" outlineLevel="0" collapsed="false">
      <c r="A3028" s="2" t="s">
        <v>1050</v>
      </c>
      <c r="B3028" s="2" t="s">
        <v>4291</v>
      </c>
      <c r="C3028" s="2" t="s">
        <v>4274</v>
      </c>
      <c r="D3028" s="2"/>
      <c r="E3028" s="31" t="n">
        <v>72.3</v>
      </c>
      <c r="F3028" s="31" t="n">
        <v>46.5</v>
      </c>
      <c r="G3028" s="31" t="n">
        <v>33.7</v>
      </c>
      <c r="H3028" s="2" t="s">
        <v>822</v>
      </c>
    </row>
    <row r="3029" customFormat="false" ht="15" hidden="false" customHeight="false" outlineLevel="0" collapsed="false">
      <c r="A3029" s="2" t="s">
        <v>1050</v>
      </c>
      <c r="B3029" s="2" t="s">
        <v>4291</v>
      </c>
      <c r="C3029" s="2" t="s">
        <v>4275</v>
      </c>
      <c r="D3029" s="2"/>
      <c r="E3029" s="31" t="n">
        <v>73</v>
      </c>
      <c r="F3029" s="31" t="n">
        <v>50</v>
      </c>
      <c r="G3029" s="31" t="n">
        <v>35.4</v>
      </c>
      <c r="H3029" s="2" t="s">
        <v>832</v>
      </c>
    </row>
    <row r="3030" customFormat="false" ht="15" hidden="false" customHeight="false" outlineLevel="0" collapsed="false">
      <c r="A3030" s="2" t="s">
        <v>1050</v>
      </c>
      <c r="B3030" s="2" t="s">
        <v>45</v>
      </c>
      <c r="C3030" s="2" t="s">
        <v>4274</v>
      </c>
      <c r="D3030" s="11" t="n">
        <v>86380</v>
      </c>
      <c r="E3030" s="31" t="n">
        <v>52.1</v>
      </c>
      <c r="F3030" s="31" t="n">
        <v>37.6</v>
      </c>
      <c r="G3030" s="31" t="n">
        <v>17.1</v>
      </c>
      <c r="H3030" s="2" t="s">
        <v>822</v>
      </c>
    </row>
    <row r="3031" customFormat="false" ht="15" hidden="false" customHeight="false" outlineLevel="0" collapsed="false">
      <c r="A3031" s="2" t="s">
        <v>1050</v>
      </c>
      <c r="B3031" s="2" t="s">
        <v>45</v>
      </c>
      <c r="C3031" s="2" t="s">
        <v>4275</v>
      </c>
      <c r="D3031" s="11" t="n">
        <v>86360</v>
      </c>
      <c r="E3031" s="31" t="n">
        <v>73</v>
      </c>
      <c r="F3031" s="31" t="n">
        <v>25.1</v>
      </c>
      <c r="G3031" s="31" t="n">
        <v>53.1</v>
      </c>
      <c r="H3031" s="2" t="s">
        <v>822</v>
      </c>
    </row>
    <row r="3032" customFormat="false" ht="15" hidden="false" customHeight="false" outlineLevel="0" collapsed="false">
      <c r="A3032" s="2" t="s">
        <v>1050</v>
      </c>
      <c r="B3032" s="2" t="s">
        <v>46</v>
      </c>
      <c r="C3032" s="2" t="s">
        <v>4274</v>
      </c>
      <c r="D3032" s="11" t="n">
        <v>151039</v>
      </c>
      <c r="E3032" s="31" t="n">
        <v>79.1</v>
      </c>
      <c r="F3032" s="31" t="n">
        <v>16</v>
      </c>
      <c r="G3032" s="31" t="n">
        <v>76.9</v>
      </c>
      <c r="H3032" s="2" t="s">
        <v>822</v>
      </c>
    </row>
    <row r="3033" customFormat="false" ht="15" hidden="false" customHeight="false" outlineLevel="0" collapsed="false">
      <c r="A3033" s="2" t="s">
        <v>1050</v>
      </c>
      <c r="B3033" s="2" t="s">
        <v>46</v>
      </c>
      <c r="C3033" s="2" t="s">
        <v>4275</v>
      </c>
      <c r="D3033" s="11" t="n">
        <v>152590</v>
      </c>
      <c r="E3033" s="31" t="n">
        <v>82.5</v>
      </c>
      <c r="F3033" s="31" t="n">
        <v>45.9</v>
      </c>
      <c r="G3033" s="2"/>
      <c r="H3033" s="2" t="s">
        <v>832</v>
      </c>
    </row>
    <row r="3034" customFormat="false" ht="15" hidden="false" customHeight="false" outlineLevel="0" collapsed="false">
      <c r="A3034" s="2" t="s">
        <v>1050</v>
      </c>
      <c r="B3034" s="2" t="s">
        <v>47</v>
      </c>
      <c r="C3034" s="2" t="s">
        <v>4274</v>
      </c>
      <c r="D3034" s="11" t="n">
        <v>25471</v>
      </c>
      <c r="E3034" s="31" t="n">
        <v>85.6</v>
      </c>
      <c r="F3034" s="31" t="n">
        <v>85.9</v>
      </c>
      <c r="G3034" s="31" t="n">
        <v>7.2</v>
      </c>
      <c r="H3034" s="2" t="s">
        <v>822</v>
      </c>
    </row>
    <row r="3035" customFormat="false" ht="15" hidden="false" customHeight="false" outlineLevel="0" collapsed="false">
      <c r="A3035" s="2" t="s">
        <v>1050</v>
      </c>
      <c r="B3035" s="2" t="s">
        <v>47</v>
      </c>
      <c r="C3035" s="2" t="s">
        <v>4275</v>
      </c>
      <c r="D3035" s="11" t="n">
        <v>27440</v>
      </c>
      <c r="E3035" s="31" t="n">
        <v>63.5</v>
      </c>
      <c r="F3035" s="31" t="n">
        <v>78.9</v>
      </c>
      <c r="G3035" s="31" t="n">
        <v>17.6</v>
      </c>
      <c r="H3035" s="2" t="s">
        <v>822</v>
      </c>
    </row>
    <row r="3036" customFormat="false" ht="15" hidden="false" customHeight="false" outlineLevel="0" collapsed="false">
      <c r="A3036" s="2" t="s">
        <v>992</v>
      </c>
      <c r="B3036" s="2" t="s">
        <v>4291</v>
      </c>
      <c r="C3036" s="2" t="s">
        <v>4274</v>
      </c>
      <c r="D3036" s="2"/>
      <c r="E3036" s="31" t="n">
        <v>11.8</v>
      </c>
      <c r="F3036" s="31" t="n">
        <v>57.2</v>
      </c>
      <c r="G3036" s="31" t="n">
        <v>44.6</v>
      </c>
      <c r="H3036" s="2" t="s">
        <v>832</v>
      </c>
    </row>
    <row r="3037" customFormat="false" ht="15" hidden="false" customHeight="false" outlineLevel="0" collapsed="false">
      <c r="A3037" s="2" t="s">
        <v>992</v>
      </c>
      <c r="B3037" s="2" t="s">
        <v>4291</v>
      </c>
      <c r="C3037" s="2" t="s">
        <v>4275</v>
      </c>
      <c r="D3037" s="2"/>
      <c r="E3037" s="31" t="n">
        <v>45.1</v>
      </c>
      <c r="F3037" s="31" t="n">
        <v>58.2</v>
      </c>
      <c r="G3037" s="31" t="n">
        <v>85.3</v>
      </c>
      <c r="H3037" s="2" t="s">
        <v>832</v>
      </c>
    </row>
    <row r="3038" customFormat="false" ht="15" hidden="false" customHeight="false" outlineLevel="0" collapsed="false">
      <c r="A3038" s="2" t="s">
        <v>992</v>
      </c>
      <c r="B3038" s="2" t="s">
        <v>45</v>
      </c>
      <c r="C3038" s="2" t="s">
        <v>4274</v>
      </c>
      <c r="D3038" s="2"/>
      <c r="E3038" s="2"/>
      <c r="F3038" s="2"/>
      <c r="G3038" s="2"/>
      <c r="H3038" s="2" t="s">
        <v>832</v>
      </c>
    </row>
    <row r="3039" customFormat="false" ht="15" hidden="false" customHeight="false" outlineLevel="0" collapsed="false">
      <c r="A3039" s="2" t="s">
        <v>992</v>
      </c>
      <c r="B3039" s="2" t="s">
        <v>45</v>
      </c>
      <c r="C3039" s="2" t="s">
        <v>4275</v>
      </c>
      <c r="D3039" s="11" t="n">
        <v>63860</v>
      </c>
      <c r="E3039" s="31" t="n">
        <v>79.8</v>
      </c>
      <c r="F3039" s="31" t="n">
        <v>85.2</v>
      </c>
      <c r="G3039" s="31" t="n">
        <v>83.7</v>
      </c>
      <c r="H3039" s="2" t="s">
        <v>822</v>
      </c>
    </row>
    <row r="3040" customFormat="false" ht="15" hidden="false" customHeight="false" outlineLevel="0" collapsed="false">
      <c r="A3040" s="2" t="s">
        <v>992</v>
      </c>
      <c r="B3040" s="2" t="s">
        <v>46</v>
      </c>
      <c r="C3040" s="2" t="s">
        <v>4274</v>
      </c>
      <c r="D3040" s="2"/>
      <c r="E3040" s="2"/>
      <c r="F3040" s="2"/>
      <c r="G3040" s="2"/>
      <c r="H3040" s="2" t="s">
        <v>832</v>
      </c>
    </row>
    <row r="3041" customFormat="false" ht="15" hidden="false" customHeight="false" outlineLevel="0" collapsed="false">
      <c r="A3041" s="2" t="s">
        <v>992</v>
      </c>
      <c r="B3041" s="2" t="s">
        <v>46</v>
      </c>
      <c r="C3041" s="2" t="s">
        <v>4275</v>
      </c>
      <c r="D3041" s="11" t="n">
        <v>60330</v>
      </c>
      <c r="E3041" s="31" t="n">
        <v>10.4</v>
      </c>
      <c r="F3041" s="31" t="n">
        <v>21.1</v>
      </c>
      <c r="G3041" s="31" t="n">
        <v>84.8</v>
      </c>
      <c r="H3041" s="2" t="s">
        <v>822</v>
      </c>
    </row>
    <row r="3042" customFormat="false" ht="15" hidden="false" customHeight="false" outlineLevel="0" collapsed="false">
      <c r="A3042" s="2" t="s">
        <v>992</v>
      </c>
      <c r="B3042" s="2" t="s">
        <v>47</v>
      </c>
      <c r="C3042" s="2" t="s">
        <v>4274</v>
      </c>
      <c r="D3042" s="11" t="n">
        <v>47089</v>
      </c>
      <c r="E3042" s="31" t="n">
        <v>11.8</v>
      </c>
      <c r="F3042" s="31" t="n">
        <v>57.2</v>
      </c>
      <c r="G3042" s="31" t="n">
        <v>44.6</v>
      </c>
      <c r="H3042" s="2" t="s">
        <v>822</v>
      </c>
    </row>
    <row r="3043" customFormat="false" ht="15" hidden="false" customHeight="false" outlineLevel="0" collapsed="false">
      <c r="A3043" s="2" t="s">
        <v>992</v>
      </c>
      <c r="B3043" s="2" t="s">
        <v>47</v>
      </c>
      <c r="C3043" s="2" t="s">
        <v>4275</v>
      </c>
      <c r="D3043" s="11" t="n">
        <v>47980</v>
      </c>
      <c r="E3043" s="2"/>
      <c r="F3043" s="31" t="n">
        <v>68.2</v>
      </c>
      <c r="G3043" s="31" t="n">
        <v>87.3</v>
      </c>
      <c r="H3043" s="2" t="s">
        <v>832</v>
      </c>
    </row>
    <row r="3044" customFormat="false" ht="15" hidden="false" customHeight="false" outlineLevel="0" collapsed="false">
      <c r="A3044" s="2" t="s">
        <v>1152</v>
      </c>
      <c r="B3044" s="2" t="s">
        <v>4291</v>
      </c>
      <c r="C3044" s="2" t="s">
        <v>4274</v>
      </c>
      <c r="D3044" s="2"/>
      <c r="E3044" s="31" t="n">
        <v>50.4</v>
      </c>
      <c r="F3044" s="31" t="n">
        <v>63.9</v>
      </c>
      <c r="G3044" s="31" t="n">
        <v>56.3</v>
      </c>
      <c r="H3044" s="2" t="s">
        <v>832</v>
      </c>
    </row>
    <row r="3045" customFormat="false" ht="15" hidden="false" customHeight="false" outlineLevel="0" collapsed="false">
      <c r="A3045" s="2" t="s">
        <v>1152</v>
      </c>
      <c r="B3045" s="2" t="s">
        <v>4291</v>
      </c>
      <c r="C3045" s="2" t="s">
        <v>4275</v>
      </c>
      <c r="D3045" s="2"/>
      <c r="E3045" s="31" t="n">
        <v>58.6</v>
      </c>
      <c r="F3045" s="31" t="n">
        <v>78.6</v>
      </c>
      <c r="G3045" s="31" t="n">
        <v>67</v>
      </c>
      <c r="H3045" s="2" t="s">
        <v>832</v>
      </c>
    </row>
    <row r="3046" customFormat="false" ht="15" hidden="false" customHeight="false" outlineLevel="0" collapsed="false">
      <c r="A3046" s="2" t="s">
        <v>1152</v>
      </c>
      <c r="B3046" s="2" t="s">
        <v>45</v>
      </c>
      <c r="C3046" s="2" t="s">
        <v>4274</v>
      </c>
      <c r="D3046" s="11" t="n">
        <v>119474</v>
      </c>
      <c r="E3046" s="31" t="n">
        <v>26.3</v>
      </c>
      <c r="F3046" s="31" t="n">
        <v>80.1</v>
      </c>
      <c r="G3046" s="31" t="n">
        <v>79.8</v>
      </c>
      <c r="H3046" s="2" t="s">
        <v>822</v>
      </c>
    </row>
    <row r="3047" customFormat="false" ht="15" hidden="false" customHeight="false" outlineLevel="0" collapsed="false">
      <c r="A3047" s="2" t="s">
        <v>1152</v>
      </c>
      <c r="B3047" s="2" t="s">
        <v>45</v>
      </c>
      <c r="C3047" s="2" t="s">
        <v>4275</v>
      </c>
      <c r="D3047" s="11" t="n">
        <v>127470</v>
      </c>
      <c r="E3047" s="31" t="n">
        <v>59.9</v>
      </c>
      <c r="F3047" s="31" t="n">
        <v>80</v>
      </c>
      <c r="G3047" s="31" t="n">
        <v>93.2</v>
      </c>
      <c r="H3047" s="2" t="s">
        <v>822</v>
      </c>
    </row>
    <row r="3048" customFormat="false" ht="15" hidden="false" customHeight="false" outlineLevel="0" collapsed="false">
      <c r="A3048" s="2" t="s">
        <v>1152</v>
      </c>
      <c r="B3048" s="2" t="s">
        <v>46</v>
      </c>
      <c r="C3048" s="2" t="s">
        <v>4274</v>
      </c>
      <c r="D3048" s="11" t="n">
        <v>45300</v>
      </c>
      <c r="E3048" s="31" t="n">
        <v>65.6</v>
      </c>
      <c r="F3048" s="31" t="n">
        <v>18</v>
      </c>
      <c r="G3048" s="31" t="n">
        <v>69.4</v>
      </c>
      <c r="H3048" s="2" t="s">
        <v>832</v>
      </c>
    </row>
    <row r="3049" customFormat="false" ht="15" hidden="false" customHeight="false" outlineLevel="0" collapsed="false">
      <c r="A3049" s="2" t="s">
        <v>1152</v>
      </c>
      <c r="B3049" s="2" t="s">
        <v>46</v>
      </c>
      <c r="C3049" s="2" t="s">
        <v>4275</v>
      </c>
      <c r="D3049" s="11" t="n">
        <v>44990</v>
      </c>
      <c r="E3049" s="31" t="n">
        <v>69.9</v>
      </c>
      <c r="F3049" s="2"/>
      <c r="G3049" s="31" t="n">
        <v>73.1</v>
      </c>
      <c r="H3049" s="2" t="s">
        <v>832</v>
      </c>
    </row>
    <row r="3050" customFormat="false" ht="15" hidden="false" customHeight="false" outlineLevel="0" collapsed="false">
      <c r="A3050" s="2" t="s">
        <v>1152</v>
      </c>
      <c r="B3050" s="2" t="s">
        <v>47</v>
      </c>
      <c r="C3050" s="2" t="s">
        <v>4274</v>
      </c>
      <c r="D3050" s="11" t="n">
        <v>14948</v>
      </c>
      <c r="E3050" s="31" t="n">
        <v>59.3</v>
      </c>
      <c r="F3050" s="31" t="n">
        <v>93.5</v>
      </c>
      <c r="G3050" s="31" t="n">
        <v>19.6</v>
      </c>
      <c r="H3050" s="2" t="s">
        <v>822</v>
      </c>
    </row>
    <row r="3051" customFormat="false" ht="15" hidden="false" customHeight="false" outlineLevel="0" collapsed="false">
      <c r="A3051" s="2" t="s">
        <v>1152</v>
      </c>
      <c r="B3051" s="2" t="s">
        <v>47</v>
      </c>
      <c r="C3051" s="2" t="s">
        <v>4275</v>
      </c>
      <c r="D3051" s="11" t="n">
        <v>15300</v>
      </c>
      <c r="E3051" s="31" t="n">
        <v>45.9</v>
      </c>
      <c r="F3051" s="31" t="n">
        <v>77.3</v>
      </c>
      <c r="G3051" s="31" t="n">
        <v>34.6</v>
      </c>
      <c r="H3051" s="2" t="s">
        <v>822</v>
      </c>
    </row>
    <row r="3052" customFormat="false" ht="15" hidden="false" customHeight="false" outlineLevel="0" collapsed="false">
      <c r="A3052" s="2" t="s">
        <v>1355</v>
      </c>
      <c r="B3052" s="2" t="s">
        <v>4291</v>
      </c>
      <c r="C3052" s="2" t="s">
        <v>4274</v>
      </c>
      <c r="D3052" s="2"/>
      <c r="E3052" s="31" t="n">
        <v>53.7</v>
      </c>
      <c r="F3052" s="31" t="n">
        <v>39.4</v>
      </c>
      <c r="G3052" s="31" t="n">
        <v>16.8</v>
      </c>
      <c r="H3052" s="2" t="s">
        <v>832</v>
      </c>
    </row>
    <row r="3053" customFormat="false" ht="15" hidden="false" customHeight="false" outlineLevel="0" collapsed="false">
      <c r="A3053" s="2" t="s">
        <v>1355</v>
      </c>
      <c r="B3053" s="2" t="s">
        <v>4291</v>
      </c>
      <c r="C3053" s="2" t="s">
        <v>4275</v>
      </c>
      <c r="D3053" s="2"/>
      <c r="E3053" s="31" t="n">
        <v>21.2</v>
      </c>
      <c r="F3053" s="31" t="n">
        <v>46.8</v>
      </c>
      <c r="G3053" s="31" t="n">
        <v>14.8</v>
      </c>
      <c r="H3053" s="2" t="s">
        <v>832</v>
      </c>
    </row>
    <row r="3054" customFormat="false" ht="15" hidden="false" customHeight="false" outlineLevel="0" collapsed="false">
      <c r="A3054" s="2" t="s">
        <v>1355</v>
      </c>
      <c r="B3054" s="2" t="s">
        <v>45</v>
      </c>
      <c r="C3054" s="2" t="s">
        <v>4274</v>
      </c>
      <c r="D3054" s="11" t="n">
        <v>852512</v>
      </c>
      <c r="E3054" s="31" t="n">
        <v>28.3</v>
      </c>
      <c r="F3054" s="31" t="n">
        <v>88.4</v>
      </c>
      <c r="G3054" s="31" t="n">
        <v>26.3</v>
      </c>
      <c r="H3054" s="2" t="s">
        <v>822</v>
      </c>
    </row>
    <row r="3055" customFormat="false" ht="15" hidden="false" customHeight="false" outlineLevel="0" collapsed="false">
      <c r="A3055" s="2" t="s">
        <v>1355</v>
      </c>
      <c r="B3055" s="2" t="s">
        <v>45</v>
      </c>
      <c r="C3055" s="2" t="s">
        <v>4275</v>
      </c>
      <c r="D3055" s="11" t="n">
        <v>930800</v>
      </c>
      <c r="E3055" s="31" t="n">
        <v>34.4</v>
      </c>
      <c r="F3055" s="31" t="n">
        <v>81.4</v>
      </c>
      <c r="G3055" s="31" t="n">
        <v>19.1</v>
      </c>
      <c r="H3055" s="2" t="s">
        <v>822</v>
      </c>
    </row>
    <row r="3056" customFormat="false" ht="15" hidden="false" customHeight="false" outlineLevel="0" collapsed="false">
      <c r="A3056" s="2" t="s">
        <v>1355</v>
      </c>
      <c r="B3056" s="2" t="s">
        <v>46</v>
      </c>
      <c r="C3056" s="2" t="s">
        <v>4274</v>
      </c>
      <c r="D3056" s="11" t="n">
        <v>63580</v>
      </c>
      <c r="E3056" s="31" t="n">
        <v>92.2</v>
      </c>
      <c r="F3056" s="31" t="n">
        <v>4.9</v>
      </c>
      <c r="G3056" s="2"/>
      <c r="H3056" s="2" t="s">
        <v>832</v>
      </c>
    </row>
    <row r="3057" customFormat="false" ht="15" hidden="false" customHeight="false" outlineLevel="0" collapsed="false">
      <c r="A3057" s="2" t="s">
        <v>1355</v>
      </c>
      <c r="B3057" s="2" t="s">
        <v>46</v>
      </c>
      <c r="C3057" s="2" t="s">
        <v>4275</v>
      </c>
      <c r="D3057" s="2"/>
      <c r="E3057" s="2"/>
      <c r="F3057" s="2"/>
      <c r="G3057" s="2"/>
      <c r="H3057" s="2" t="s">
        <v>832</v>
      </c>
    </row>
    <row r="3058" customFormat="false" ht="15" hidden="false" customHeight="false" outlineLevel="0" collapsed="false">
      <c r="A3058" s="2" t="s">
        <v>1355</v>
      </c>
      <c r="B3058" s="2" t="s">
        <v>47</v>
      </c>
      <c r="C3058" s="2" t="s">
        <v>4274</v>
      </c>
      <c r="D3058" s="11" t="n">
        <v>63877</v>
      </c>
      <c r="E3058" s="31" t="n">
        <v>40.5</v>
      </c>
      <c r="F3058" s="31" t="n">
        <v>24.8</v>
      </c>
      <c r="G3058" s="31" t="n">
        <v>7.4</v>
      </c>
      <c r="H3058" s="2" t="s">
        <v>822</v>
      </c>
    </row>
    <row r="3059" customFormat="false" ht="15" hidden="false" customHeight="false" outlineLevel="0" collapsed="false">
      <c r="A3059" s="2" t="s">
        <v>1355</v>
      </c>
      <c r="B3059" s="2" t="s">
        <v>47</v>
      </c>
      <c r="C3059" s="2" t="s">
        <v>4275</v>
      </c>
      <c r="D3059" s="11" t="n">
        <v>63743</v>
      </c>
      <c r="E3059" s="31" t="n">
        <v>7.9</v>
      </c>
      <c r="F3059" s="31" t="n">
        <v>12.3</v>
      </c>
      <c r="G3059" s="31" t="n">
        <v>10.6</v>
      </c>
      <c r="H3059" s="2" t="s">
        <v>822</v>
      </c>
    </row>
    <row r="3060" customFormat="false" ht="15" hidden="false" customHeight="false" outlineLevel="0" collapsed="false">
      <c r="A3060" s="2" t="s">
        <v>466</v>
      </c>
      <c r="B3060" s="2" t="s">
        <v>4291</v>
      </c>
      <c r="C3060" s="2" t="s">
        <v>4274</v>
      </c>
      <c r="D3060" s="2"/>
      <c r="E3060" s="31" t="n">
        <v>33.2</v>
      </c>
      <c r="F3060" s="31" t="n">
        <v>75.2</v>
      </c>
      <c r="G3060" s="31" t="n">
        <v>68.6</v>
      </c>
      <c r="H3060" s="2" t="s">
        <v>822</v>
      </c>
    </row>
    <row r="3061" customFormat="false" ht="15" hidden="false" customHeight="false" outlineLevel="0" collapsed="false">
      <c r="A3061" s="2" t="s">
        <v>466</v>
      </c>
      <c r="B3061" s="2" t="s">
        <v>4291</v>
      </c>
      <c r="C3061" s="2" t="s">
        <v>4275</v>
      </c>
      <c r="D3061" s="2"/>
      <c r="E3061" s="31" t="n">
        <v>51</v>
      </c>
      <c r="F3061" s="31" t="n">
        <v>57.5</v>
      </c>
      <c r="G3061" s="31" t="n">
        <v>30.8</v>
      </c>
      <c r="H3061" s="2" t="s">
        <v>822</v>
      </c>
    </row>
    <row r="3062" customFormat="false" ht="15" hidden="false" customHeight="false" outlineLevel="0" collapsed="false">
      <c r="A3062" s="2" t="s">
        <v>466</v>
      </c>
      <c r="B3062" s="2" t="s">
        <v>47</v>
      </c>
      <c r="C3062" s="2" t="s">
        <v>4274</v>
      </c>
      <c r="D3062" s="11" t="n">
        <v>36197</v>
      </c>
      <c r="E3062" s="31" t="n">
        <v>33.2</v>
      </c>
      <c r="F3062" s="31" t="n">
        <v>75.2</v>
      </c>
      <c r="G3062" s="31" t="n">
        <v>68.6</v>
      </c>
      <c r="H3062" s="2" t="s">
        <v>822</v>
      </c>
    </row>
    <row r="3063" customFormat="false" ht="15" hidden="false" customHeight="false" outlineLevel="0" collapsed="false">
      <c r="A3063" s="2" t="s">
        <v>466</v>
      </c>
      <c r="B3063" s="2" t="s">
        <v>47</v>
      </c>
      <c r="C3063" s="2" t="s">
        <v>4275</v>
      </c>
      <c r="D3063" s="11" t="n">
        <v>36571</v>
      </c>
      <c r="E3063" s="31" t="n">
        <v>51</v>
      </c>
      <c r="F3063" s="31" t="n">
        <v>57.5</v>
      </c>
      <c r="G3063" s="31" t="n">
        <v>30.8</v>
      </c>
      <c r="H3063" s="2" t="s">
        <v>822</v>
      </c>
    </row>
    <row r="3064" customFormat="false" ht="15" hidden="false" customHeight="false" outlineLevel="0" collapsed="false">
      <c r="A3064" s="2" t="s">
        <v>2449</v>
      </c>
      <c r="B3064" s="2" t="s">
        <v>4291</v>
      </c>
      <c r="C3064" s="2" t="s">
        <v>4274</v>
      </c>
      <c r="D3064" s="2"/>
      <c r="E3064" s="31" t="n">
        <v>57.8</v>
      </c>
      <c r="F3064" s="31" t="n">
        <v>38.8</v>
      </c>
      <c r="G3064" s="31" t="n">
        <v>54.4</v>
      </c>
      <c r="H3064" s="2" t="s">
        <v>832</v>
      </c>
    </row>
    <row r="3065" customFormat="false" ht="15" hidden="false" customHeight="false" outlineLevel="0" collapsed="false">
      <c r="A3065" s="2" t="s">
        <v>2449</v>
      </c>
      <c r="B3065" s="2" t="s">
        <v>4291</v>
      </c>
      <c r="C3065" s="2" t="s">
        <v>4275</v>
      </c>
      <c r="D3065" s="2"/>
      <c r="E3065" s="31" t="n">
        <v>63.7</v>
      </c>
      <c r="F3065" s="31" t="n">
        <v>51.5</v>
      </c>
      <c r="G3065" s="31" t="n">
        <v>55.1</v>
      </c>
      <c r="H3065" s="2" t="s">
        <v>832</v>
      </c>
    </row>
    <row r="3066" customFormat="false" ht="15" hidden="false" customHeight="false" outlineLevel="0" collapsed="false">
      <c r="A3066" s="2" t="s">
        <v>2449</v>
      </c>
      <c r="B3066" s="2" t="s">
        <v>45</v>
      </c>
      <c r="C3066" s="2" t="s">
        <v>4274</v>
      </c>
      <c r="D3066" s="11" t="n">
        <v>19280</v>
      </c>
      <c r="E3066" s="31" t="n">
        <v>42.1</v>
      </c>
      <c r="F3066" s="31" t="n">
        <v>14.6</v>
      </c>
      <c r="G3066" s="2"/>
      <c r="H3066" s="2" t="s">
        <v>832</v>
      </c>
    </row>
    <row r="3067" customFormat="false" ht="15" hidden="false" customHeight="false" outlineLevel="0" collapsed="false">
      <c r="A3067" s="2" t="s">
        <v>2449</v>
      </c>
      <c r="B3067" s="2" t="s">
        <v>45</v>
      </c>
      <c r="C3067" s="2" t="s">
        <v>4275</v>
      </c>
      <c r="D3067" s="2"/>
      <c r="E3067" s="2"/>
      <c r="F3067" s="2"/>
      <c r="G3067" s="2"/>
      <c r="H3067" s="2" t="s">
        <v>832</v>
      </c>
    </row>
    <row r="3068" customFormat="false" ht="15" hidden="false" customHeight="false" outlineLevel="0" collapsed="false">
      <c r="A3068" s="2" t="s">
        <v>2449</v>
      </c>
      <c r="B3068" s="2" t="s">
        <v>46</v>
      </c>
      <c r="C3068" s="2" t="s">
        <v>4274</v>
      </c>
      <c r="D3068" s="11" t="n">
        <v>5892</v>
      </c>
      <c r="E3068" s="31" t="n">
        <v>67.7</v>
      </c>
      <c r="F3068" s="31" t="n">
        <v>93</v>
      </c>
      <c r="G3068" s="31" t="n">
        <v>15.8</v>
      </c>
      <c r="H3068" s="2" t="s">
        <v>822</v>
      </c>
    </row>
    <row r="3069" customFormat="false" ht="15" hidden="false" customHeight="false" outlineLevel="0" collapsed="false">
      <c r="A3069" s="2" t="s">
        <v>2449</v>
      </c>
      <c r="B3069" s="2" t="s">
        <v>46</v>
      </c>
      <c r="C3069" s="2" t="s">
        <v>4275</v>
      </c>
      <c r="D3069" s="11" t="n">
        <v>6460</v>
      </c>
      <c r="E3069" s="2"/>
      <c r="F3069" s="31" t="n">
        <v>86.8</v>
      </c>
      <c r="G3069" s="31" t="n">
        <v>53.6</v>
      </c>
      <c r="H3069" s="2" t="s">
        <v>832</v>
      </c>
    </row>
    <row r="3070" customFormat="false" ht="15" hidden="false" customHeight="false" outlineLevel="0" collapsed="false">
      <c r="A3070" s="2" t="s">
        <v>2449</v>
      </c>
      <c r="B3070" s="2" t="s">
        <v>47</v>
      </c>
      <c r="C3070" s="2" t="s">
        <v>4274</v>
      </c>
      <c r="D3070" s="11" t="n">
        <v>4984</v>
      </c>
      <c r="E3070" s="31" t="n">
        <v>63.7</v>
      </c>
      <c r="F3070" s="31" t="n">
        <v>8.9</v>
      </c>
      <c r="G3070" s="31" t="n">
        <v>92.9</v>
      </c>
      <c r="H3070" s="2" t="s">
        <v>822</v>
      </c>
    </row>
    <row r="3071" customFormat="false" ht="15" hidden="false" customHeight="false" outlineLevel="0" collapsed="false">
      <c r="A3071" s="2" t="s">
        <v>2449</v>
      </c>
      <c r="B3071" s="2" t="s">
        <v>47</v>
      </c>
      <c r="C3071" s="2" t="s">
        <v>4275</v>
      </c>
      <c r="D3071" s="11" t="n">
        <v>5064</v>
      </c>
      <c r="E3071" s="31" t="n">
        <v>63.7</v>
      </c>
      <c r="F3071" s="31" t="n">
        <v>16.2</v>
      </c>
      <c r="G3071" s="31" t="n">
        <v>56.6</v>
      </c>
      <c r="H3071" s="2" t="s">
        <v>822</v>
      </c>
    </row>
    <row r="3072" customFormat="false" ht="15" hidden="false" customHeight="false" outlineLevel="0" collapsed="false">
      <c r="A3072" s="2" t="s">
        <v>1590</v>
      </c>
      <c r="B3072" s="2" t="s">
        <v>4291</v>
      </c>
      <c r="C3072" s="2" t="s">
        <v>4274</v>
      </c>
      <c r="D3072" s="2"/>
      <c r="E3072" s="31" t="n">
        <v>19.4</v>
      </c>
      <c r="F3072" s="31" t="n">
        <v>63.2</v>
      </c>
      <c r="G3072" s="31" t="n">
        <v>42.1</v>
      </c>
      <c r="H3072" s="2" t="s">
        <v>832</v>
      </c>
    </row>
    <row r="3073" customFormat="false" ht="15" hidden="false" customHeight="false" outlineLevel="0" collapsed="false">
      <c r="A3073" s="2" t="s">
        <v>1590</v>
      </c>
      <c r="B3073" s="2" t="s">
        <v>4291</v>
      </c>
      <c r="C3073" s="2" t="s">
        <v>4275</v>
      </c>
      <c r="D3073" s="2"/>
      <c r="E3073" s="31" t="n">
        <v>24.9</v>
      </c>
      <c r="F3073" s="31" t="n">
        <v>25</v>
      </c>
      <c r="G3073" s="31" t="n">
        <v>6</v>
      </c>
      <c r="H3073" s="2" t="s">
        <v>832</v>
      </c>
    </row>
    <row r="3074" customFormat="false" ht="15" hidden="false" customHeight="false" outlineLevel="0" collapsed="false">
      <c r="A3074" s="2" t="s">
        <v>1590</v>
      </c>
      <c r="B3074" s="2" t="s">
        <v>45</v>
      </c>
      <c r="C3074" s="2" t="s">
        <v>4274</v>
      </c>
      <c r="D3074" s="11" t="n">
        <v>135948</v>
      </c>
      <c r="E3074" s="31" t="n">
        <v>2.6</v>
      </c>
      <c r="F3074" s="31" t="n">
        <v>30.8</v>
      </c>
      <c r="G3074" s="31" t="n">
        <v>26.6</v>
      </c>
      <c r="H3074" s="2" t="s">
        <v>822</v>
      </c>
    </row>
    <row r="3075" customFormat="false" ht="15" hidden="false" customHeight="false" outlineLevel="0" collapsed="false">
      <c r="A3075" s="2" t="s">
        <v>1590</v>
      </c>
      <c r="B3075" s="2" t="s">
        <v>45</v>
      </c>
      <c r="C3075" s="2" t="s">
        <v>4275</v>
      </c>
      <c r="D3075" s="11" t="n">
        <v>141250</v>
      </c>
      <c r="E3075" s="31" t="n">
        <v>1.3</v>
      </c>
      <c r="F3075" s="31" t="n">
        <v>25.7</v>
      </c>
      <c r="G3075" s="31" t="n">
        <v>10</v>
      </c>
      <c r="H3075" s="2" t="s">
        <v>822</v>
      </c>
    </row>
    <row r="3076" customFormat="false" ht="15" hidden="false" customHeight="false" outlineLevel="0" collapsed="false">
      <c r="A3076" s="2" t="s">
        <v>1590</v>
      </c>
      <c r="B3076" s="2" t="s">
        <v>46</v>
      </c>
      <c r="C3076" s="2" t="s">
        <v>4274</v>
      </c>
      <c r="D3076" s="11" t="n">
        <v>137430</v>
      </c>
      <c r="E3076" s="31" t="n">
        <v>36.2</v>
      </c>
      <c r="F3076" s="31" t="n">
        <v>95.5</v>
      </c>
      <c r="G3076" s="31" t="n">
        <v>80.4</v>
      </c>
      <c r="H3076" s="2" t="s">
        <v>822</v>
      </c>
    </row>
    <row r="3077" customFormat="false" ht="15" hidden="false" customHeight="false" outlineLevel="0" collapsed="false">
      <c r="A3077" s="2" t="s">
        <v>1590</v>
      </c>
      <c r="B3077" s="2" t="s">
        <v>46</v>
      </c>
      <c r="C3077" s="2" t="s">
        <v>4275</v>
      </c>
      <c r="D3077" s="2"/>
      <c r="E3077" s="2"/>
      <c r="F3077" s="2"/>
      <c r="G3077" s="2"/>
      <c r="H3077" s="2" t="s">
        <v>832</v>
      </c>
    </row>
    <row r="3078" customFormat="false" ht="15" hidden="false" customHeight="false" outlineLevel="0" collapsed="false">
      <c r="A3078" s="2" t="s">
        <v>1590</v>
      </c>
      <c r="B3078" s="2" t="s">
        <v>47</v>
      </c>
      <c r="C3078" s="2" t="s">
        <v>4274</v>
      </c>
      <c r="D3078" s="2"/>
      <c r="E3078" s="2"/>
      <c r="F3078" s="2"/>
      <c r="G3078" s="31" t="n">
        <v>19.2</v>
      </c>
      <c r="H3078" s="2" t="s">
        <v>832</v>
      </c>
    </row>
    <row r="3079" customFormat="false" ht="15" hidden="false" customHeight="false" outlineLevel="0" collapsed="false">
      <c r="A3079" s="2" t="s">
        <v>1590</v>
      </c>
      <c r="B3079" s="2" t="s">
        <v>47</v>
      </c>
      <c r="C3079" s="2" t="s">
        <v>4275</v>
      </c>
      <c r="D3079" s="11" t="n">
        <v>269600</v>
      </c>
      <c r="E3079" s="31" t="n">
        <v>48.5</v>
      </c>
      <c r="F3079" s="31" t="n">
        <v>24.2</v>
      </c>
      <c r="G3079" s="31" t="n">
        <v>2</v>
      </c>
      <c r="H3079" s="2" t="s">
        <v>822</v>
      </c>
    </row>
    <row r="3080" customFormat="false" ht="15" hidden="false" customHeight="false" outlineLevel="0" collapsed="false">
      <c r="A3080" s="2" t="s">
        <v>694</v>
      </c>
      <c r="B3080" s="2" t="s">
        <v>4291</v>
      </c>
      <c r="C3080" s="2" t="s">
        <v>4274</v>
      </c>
      <c r="D3080" s="2"/>
      <c r="E3080" s="31" t="n">
        <v>17.4</v>
      </c>
      <c r="F3080" s="31" t="n">
        <v>68.6</v>
      </c>
      <c r="G3080" s="31" t="n">
        <v>48.4</v>
      </c>
      <c r="H3080" s="2" t="s">
        <v>832</v>
      </c>
    </row>
    <row r="3081" customFormat="false" ht="15" hidden="false" customHeight="false" outlineLevel="0" collapsed="false">
      <c r="A3081" s="2" t="s">
        <v>694</v>
      </c>
      <c r="B3081" s="2" t="s">
        <v>4291</v>
      </c>
      <c r="C3081" s="2" t="s">
        <v>4275</v>
      </c>
      <c r="D3081" s="2"/>
      <c r="E3081" s="31" t="n">
        <v>29.2</v>
      </c>
      <c r="F3081" s="31" t="n">
        <v>47.6</v>
      </c>
      <c r="G3081" s="31" t="n">
        <v>65.2</v>
      </c>
      <c r="H3081" s="2" t="s">
        <v>822</v>
      </c>
    </row>
    <row r="3082" customFormat="false" ht="15" hidden="false" customHeight="false" outlineLevel="0" collapsed="false">
      <c r="A3082" s="2" t="s">
        <v>694</v>
      </c>
      <c r="B3082" s="2" t="s">
        <v>45</v>
      </c>
      <c r="C3082" s="2" t="s">
        <v>4274</v>
      </c>
      <c r="D3082" s="2"/>
      <c r="E3082" s="2"/>
      <c r="F3082" s="2"/>
      <c r="G3082" s="31" t="n">
        <v>5.1</v>
      </c>
      <c r="H3082" s="2" t="s">
        <v>832</v>
      </c>
    </row>
    <row r="3083" customFormat="false" ht="15" hidden="false" customHeight="false" outlineLevel="0" collapsed="false">
      <c r="A3083" s="2" t="s">
        <v>694</v>
      </c>
      <c r="B3083" s="2" t="s">
        <v>45</v>
      </c>
      <c r="C3083" s="2" t="s">
        <v>4275</v>
      </c>
      <c r="D3083" s="11" t="n">
        <v>11810</v>
      </c>
      <c r="E3083" s="31" t="n">
        <v>19.8</v>
      </c>
      <c r="F3083" s="31" t="n">
        <v>50.5</v>
      </c>
      <c r="G3083" s="31" t="n">
        <v>39.2</v>
      </c>
      <c r="H3083" s="2" t="s">
        <v>822</v>
      </c>
    </row>
    <row r="3084" customFormat="false" ht="15" hidden="false" customHeight="false" outlineLevel="0" collapsed="false">
      <c r="A3084" s="2" t="s">
        <v>694</v>
      </c>
      <c r="B3084" s="2" t="s">
        <v>46</v>
      </c>
      <c r="C3084" s="2" t="s">
        <v>4274</v>
      </c>
      <c r="D3084" s="11" t="n">
        <v>111940</v>
      </c>
      <c r="E3084" s="31" t="n">
        <v>17.4</v>
      </c>
      <c r="F3084" s="31" t="n">
        <v>68.6</v>
      </c>
      <c r="G3084" s="31" t="n">
        <v>91.8</v>
      </c>
      <c r="H3084" s="2" t="s">
        <v>822</v>
      </c>
    </row>
    <row r="3085" customFormat="false" ht="15" hidden="false" customHeight="false" outlineLevel="0" collapsed="false">
      <c r="A3085" s="2" t="s">
        <v>694</v>
      </c>
      <c r="B3085" s="2" t="s">
        <v>46</v>
      </c>
      <c r="C3085" s="2" t="s">
        <v>4275</v>
      </c>
      <c r="D3085" s="11" t="n">
        <v>115320</v>
      </c>
      <c r="E3085" s="31" t="n">
        <v>38.7</v>
      </c>
      <c r="F3085" s="31" t="n">
        <v>44.6</v>
      </c>
      <c r="G3085" s="31" t="n">
        <v>91.2</v>
      </c>
      <c r="H3085" s="2" t="s">
        <v>822</v>
      </c>
    </row>
    <row r="3086" customFormat="false" ht="15" hidden="false" customHeight="false" outlineLevel="0" collapsed="false">
      <c r="A3086" s="2" t="s">
        <v>464</v>
      </c>
      <c r="B3086" s="2" t="s">
        <v>4291</v>
      </c>
      <c r="C3086" s="2" t="s">
        <v>4274</v>
      </c>
      <c r="D3086" s="2"/>
      <c r="E3086" s="31" t="n">
        <v>49.8</v>
      </c>
      <c r="F3086" s="31" t="n">
        <v>93.1</v>
      </c>
      <c r="G3086" s="31" t="n">
        <v>87.3</v>
      </c>
      <c r="H3086" s="2" t="s">
        <v>832</v>
      </c>
    </row>
    <row r="3087" customFormat="false" ht="15" hidden="false" customHeight="false" outlineLevel="0" collapsed="false">
      <c r="A3087" s="2" t="s">
        <v>464</v>
      </c>
      <c r="B3087" s="2" t="s">
        <v>4291</v>
      </c>
      <c r="C3087" s="2" t="s">
        <v>4275</v>
      </c>
      <c r="D3087" s="2"/>
      <c r="E3087" s="31" t="n">
        <v>51</v>
      </c>
      <c r="F3087" s="31" t="n">
        <v>55.9</v>
      </c>
      <c r="G3087" s="31" t="n">
        <v>53.8</v>
      </c>
      <c r="H3087" s="2" t="s">
        <v>822</v>
      </c>
    </row>
    <row r="3088" customFormat="false" ht="15" hidden="false" customHeight="false" outlineLevel="0" collapsed="false">
      <c r="A3088" s="2" t="s">
        <v>464</v>
      </c>
      <c r="B3088" s="2" t="s">
        <v>45</v>
      </c>
      <c r="C3088" s="2" t="s">
        <v>4274</v>
      </c>
      <c r="D3088" s="11" t="n">
        <v>64280</v>
      </c>
      <c r="E3088" s="31" t="n">
        <v>76.7</v>
      </c>
      <c r="F3088" s="31" t="n">
        <v>93.1</v>
      </c>
      <c r="G3088" s="2"/>
      <c r="H3088" s="2" t="s">
        <v>822</v>
      </c>
    </row>
    <row r="3089" customFormat="false" ht="15" hidden="false" customHeight="false" outlineLevel="0" collapsed="false">
      <c r="A3089" s="2" t="s">
        <v>464</v>
      </c>
      <c r="B3089" s="2" t="s">
        <v>45</v>
      </c>
      <c r="C3089" s="2" t="s">
        <v>4275</v>
      </c>
      <c r="D3089" s="11" t="n">
        <v>69470</v>
      </c>
      <c r="E3089" s="31" t="n">
        <v>35.3</v>
      </c>
      <c r="F3089" s="31" t="n">
        <v>72.9</v>
      </c>
      <c r="G3089" s="2"/>
      <c r="H3089" s="2" t="s">
        <v>822</v>
      </c>
    </row>
    <row r="3090" customFormat="false" ht="15" hidden="false" customHeight="false" outlineLevel="0" collapsed="false">
      <c r="A3090" s="2" t="s">
        <v>464</v>
      </c>
      <c r="B3090" s="2" t="s">
        <v>46</v>
      </c>
      <c r="C3090" s="2" t="s">
        <v>4274</v>
      </c>
      <c r="D3090" s="2"/>
      <c r="E3090" s="2"/>
      <c r="F3090" s="2"/>
      <c r="G3090" s="2"/>
      <c r="H3090" s="2" t="s">
        <v>832</v>
      </c>
    </row>
    <row r="3091" customFormat="false" ht="15" hidden="false" customHeight="false" outlineLevel="0" collapsed="false">
      <c r="A3091" s="2" t="s">
        <v>464</v>
      </c>
      <c r="B3091" s="2" t="s">
        <v>46</v>
      </c>
      <c r="C3091" s="2" t="s">
        <v>4275</v>
      </c>
      <c r="D3091" s="11" t="n">
        <v>11130</v>
      </c>
      <c r="E3091" s="31" t="n">
        <v>90.6</v>
      </c>
      <c r="F3091" s="31" t="n">
        <v>10.9</v>
      </c>
      <c r="G3091" s="31" t="n">
        <v>19</v>
      </c>
      <c r="H3091" s="2" t="s">
        <v>822</v>
      </c>
    </row>
    <row r="3092" customFormat="false" ht="15" hidden="false" customHeight="false" outlineLevel="0" collapsed="false">
      <c r="A3092" s="2" t="s">
        <v>464</v>
      </c>
      <c r="B3092" s="2" t="s">
        <v>47</v>
      </c>
      <c r="C3092" s="2" t="s">
        <v>4274</v>
      </c>
      <c r="D3092" s="11" t="n">
        <v>188440</v>
      </c>
      <c r="E3092" s="31" t="n">
        <v>22.8</v>
      </c>
      <c r="F3092" s="2"/>
      <c r="G3092" s="31" t="n">
        <v>87.3</v>
      </c>
      <c r="H3092" s="2" t="s">
        <v>832</v>
      </c>
    </row>
    <row r="3093" customFormat="false" ht="15" hidden="false" customHeight="false" outlineLevel="0" collapsed="false">
      <c r="A3093" s="2" t="s">
        <v>464</v>
      </c>
      <c r="B3093" s="2" t="s">
        <v>47</v>
      </c>
      <c r="C3093" s="2" t="s">
        <v>4275</v>
      </c>
      <c r="D3093" s="11" t="n">
        <v>204319</v>
      </c>
      <c r="E3093" s="31" t="n">
        <v>27.2</v>
      </c>
      <c r="F3093" s="31" t="n">
        <v>83.9</v>
      </c>
      <c r="G3093" s="31" t="n">
        <v>88.5</v>
      </c>
      <c r="H3093" s="2" t="s">
        <v>822</v>
      </c>
    </row>
    <row r="3094" customFormat="false" ht="15" hidden="false" customHeight="false" outlineLevel="0" collapsed="false">
      <c r="A3094" s="2" t="s">
        <v>388</v>
      </c>
      <c r="B3094" s="2" t="s">
        <v>4291</v>
      </c>
      <c r="C3094" s="2" t="s">
        <v>4274</v>
      </c>
      <c r="D3094" s="2"/>
      <c r="E3094" s="31" t="n">
        <v>39.4</v>
      </c>
      <c r="F3094" s="31" t="n">
        <v>41</v>
      </c>
      <c r="G3094" s="31" t="n">
        <v>2.8</v>
      </c>
      <c r="H3094" s="2" t="s">
        <v>832</v>
      </c>
    </row>
    <row r="3095" customFormat="false" ht="15" hidden="false" customHeight="false" outlineLevel="0" collapsed="false">
      <c r="A3095" s="2" t="s">
        <v>388</v>
      </c>
      <c r="B3095" s="2" t="s">
        <v>4291</v>
      </c>
      <c r="C3095" s="2" t="s">
        <v>4275</v>
      </c>
      <c r="D3095" s="2"/>
      <c r="E3095" s="31" t="n">
        <v>56</v>
      </c>
      <c r="F3095" s="31" t="n">
        <v>57.2</v>
      </c>
      <c r="G3095" s="31" t="n">
        <v>16.7</v>
      </c>
      <c r="H3095" s="2" t="s">
        <v>822</v>
      </c>
    </row>
    <row r="3096" customFormat="false" ht="15" hidden="false" customHeight="false" outlineLevel="0" collapsed="false">
      <c r="A3096" s="2" t="s">
        <v>388</v>
      </c>
      <c r="B3096" s="2" t="s">
        <v>45</v>
      </c>
      <c r="C3096" s="2" t="s">
        <v>4274</v>
      </c>
      <c r="D3096" s="11" t="n">
        <v>6600</v>
      </c>
      <c r="E3096" s="31" t="n">
        <v>38.2</v>
      </c>
      <c r="F3096" s="31" t="n">
        <v>49.2</v>
      </c>
      <c r="G3096" s="2"/>
      <c r="H3096" s="2" t="s">
        <v>832</v>
      </c>
    </row>
    <row r="3097" customFormat="false" ht="15" hidden="false" customHeight="false" outlineLevel="0" collapsed="false">
      <c r="A3097" s="2" t="s">
        <v>388</v>
      </c>
      <c r="B3097" s="2" t="s">
        <v>45</v>
      </c>
      <c r="C3097" s="2" t="s">
        <v>4275</v>
      </c>
      <c r="D3097" s="11" t="n">
        <v>6994</v>
      </c>
      <c r="E3097" s="31" t="n">
        <v>55</v>
      </c>
      <c r="F3097" s="31" t="n">
        <v>39.4</v>
      </c>
      <c r="G3097" s="31" t="n">
        <v>30.3</v>
      </c>
      <c r="H3097" s="2" t="s">
        <v>822</v>
      </c>
    </row>
    <row r="3098" customFormat="false" ht="15" hidden="false" customHeight="false" outlineLevel="0" collapsed="false">
      <c r="A3098" s="2" t="s">
        <v>388</v>
      </c>
      <c r="B3098" s="2" t="s">
        <v>46</v>
      </c>
      <c r="C3098" s="2" t="s">
        <v>4274</v>
      </c>
      <c r="D3098" s="2"/>
      <c r="E3098" s="2"/>
      <c r="F3098" s="2"/>
      <c r="G3098" s="2"/>
      <c r="H3098" s="2" t="s">
        <v>832</v>
      </c>
    </row>
    <row r="3099" customFormat="false" ht="15" hidden="false" customHeight="false" outlineLevel="0" collapsed="false">
      <c r="A3099" s="2" t="s">
        <v>388</v>
      </c>
      <c r="B3099" s="2" t="s">
        <v>46</v>
      </c>
      <c r="C3099" s="2" t="s">
        <v>4275</v>
      </c>
      <c r="D3099" s="11" t="n">
        <v>123720</v>
      </c>
      <c r="E3099" s="31" t="n">
        <v>82.1</v>
      </c>
      <c r="F3099" s="31" t="n">
        <v>97.5</v>
      </c>
      <c r="G3099" s="31" t="n">
        <v>16.1</v>
      </c>
      <c r="H3099" s="2" t="s">
        <v>822</v>
      </c>
    </row>
    <row r="3100" customFormat="false" ht="15" hidden="false" customHeight="false" outlineLevel="0" collapsed="false">
      <c r="A3100" s="2" t="s">
        <v>388</v>
      </c>
      <c r="B3100" s="2" t="s">
        <v>47</v>
      </c>
      <c r="C3100" s="2" t="s">
        <v>4274</v>
      </c>
      <c r="D3100" s="11" t="n">
        <v>206094</v>
      </c>
      <c r="E3100" s="31" t="n">
        <v>40.7</v>
      </c>
      <c r="F3100" s="31" t="n">
        <v>32.7</v>
      </c>
      <c r="G3100" s="31" t="n">
        <v>2.8</v>
      </c>
      <c r="H3100" s="2" t="s">
        <v>822</v>
      </c>
    </row>
    <row r="3101" customFormat="false" ht="15" hidden="false" customHeight="false" outlineLevel="0" collapsed="false">
      <c r="A3101" s="2" t="s">
        <v>388</v>
      </c>
      <c r="B3101" s="2" t="s">
        <v>47</v>
      </c>
      <c r="C3101" s="2" t="s">
        <v>4275</v>
      </c>
      <c r="D3101" s="11" t="n">
        <v>211050</v>
      </c>
      <c r="E3101" s="31" t="n">
        <v>31</v>
      </c>
      <c r="F3101" s="31" t="n">
        <v>34.8</v>
      </c>
      <c r="G3101" s="31" t="n">
        <v>3.8</v>
      </c>
      <c r="H3101" s="2" t="s">
        <v>822</v>
      </c>
    </row>
    <row r="3102" customFormat="false" ht="15" hidden="false" customHeight="false" outlineLevel="0" collapsed="false">
      <c r="A3102" s="2" t="s">
        <v>496</v>
      </c>
      <c r="B3102" s="2" t="s">
        <v>4291</v>
      </c>
      <c r="C3102" s="2" t="s">
        <v>4274</v>
      </c>
      <c r="D3102" s="2"/>
      <c r="E3102" s="31" t="n">
        <v>35.5</v>
      </c>
      <c r="F3102" s="31" t="n">
        <v>68.6</v>
      </c>
      <c r="G3102" s="31" t="n">
        <v>46.5</v>
      </c>
      <c r="H3102" s="2" t="s">
        <v>832</v>
      </c>
    </row>
    <row r="3103" customFormat="false" ht="15" hidden="false" customHeight="false" outlineLevel="0" collapsed="false">
      <c r="A3103" s="2" t="s">
        <v>496</v>
      </c>
      <c r="B3103" s="2" t="s">
        <v>4291</v>
      </c>
      <c r="C3103" s="2" t="s">
        <v>4275</v>
      </c>
      <c r="D3103" s="2"/>
      <c r="E3103" s="31" t="n">
        <v>48.7</v>
      </c>
      <c r="F3103" s="31" t="n">
        <v>66.8</v>
      </c>
      <c r="G3103" s="31" t="n">
        <v>46.2</v>
      </c>
      <c r="H3103" s="2" t="s">
        <v>822</v>
      </c>
    </row>
    <row r="3104" customFormat="false" ht="15" hidden="false" customHeight="false" outlineLevel="0" collapsed="false">
      <c r="A3104" s="2" t="s">
        <v>496</v>
      </c>
      <c r="B3104" s="2" t="s">
        <v>45</v>
      </c>
      <c r="C3104" s="2" t="s">
        <v>4274</v>
      </c>
      <c r="D3104" s="11" t="n">
        <v>6080</v>
      </c>
      <c r="E3104" s="31" t="n">
        <v>11.4</v>
      </c>
      <c r="F3104" s="2"/>
      <c r="G3104" s="31" t="n">
        <v>90.2</v>
      </c>
      <c r="H3104" s="2" t="s">
        <v>832</v>
      </c>
    </row>
    <row r="3105" customFormat="false" ht="15" hidden="false" customHeight="false" outlineLevel="0" collapsed="false">
      <c r="A3105" s="2" t="s">
        <v>496</v>
      </c>
      <c r="B3105" s="2" t="s">
        <v>45</v>
      </c>
      <c r="C3105" s="2" t="s">
        <v>4275</v>
      </c>
      <c r="D3105" s="11" t="n">
        <v>6040</v>
      </c>
      <c r="E3105" s="31" t="n">
        <v>23.1</v>
      </c>
      <c r="F3105" s="31" t="n">
        <v>28.2</v>
      </c>
      <c r="G3105" s="31" t="n">
        <v>93.9</v>
      </c>
      <c r="H3105" s="2" t="s">
        <v>822</v>
      </c>
    </row>
    <row r="3106" customFormat="false" ht="15" hidden="false" customHeight="false" outlineLevel="0" collapsed="false">
      <c r="A3106" s="2" t="s">
        <v>496</v>
      </c>
      <c r="B3106" s="2" t="s">
        <v>46</v>
      </c>
      <c r="C3106" s="2" t="s">
        <v>4274</v>
      </c>
      <c r="D3106" s="11" t="n">
        <v>406757</v>
      </c>
      <c r="E3106" s="31" t="n">
        <v>80.8</v>
      </c>
      <c r="F3106" s="31" t="n">
        <v>82.7</v>
      </c>
      <c r="G3106" s="31" t="n">
        <v>46.3</v>
      </c>
      <c r="H3106" s="2" t="s">
        <v>822</v>
      </c>
    </row>
    <row r="3107" customFormat="false" ht="15" hidden="false" customHeight="false" outlineLevel="0" collapsed="false">
      <c r="A3107" s="2" t="s">
        <v>496</v>
      </c>
      <c r="B3107" s="2" t="s">
        <v>46</v>
      </c>
      <c r="C3107" s="2" t="s">
        <v>4275</v>
      </c>
      <c r="D3107" s="11" t="n">
        <v>422370</v>
      </c>
      <c r="E3107" s="31" t="n">
        <v>91.4</v>
      </c>
      <c r="F3107" s="31" t="n">
        <v>92.4</v>
      </c>
      <c r="G3107" s="31" t="n">
        <v>35.3</v>
      </c>
      <c r="H3107" s="2" t="s">
        <v>822</v>
      </c>
    </row>
    <row r="3108" customFormat="false" ht="15" hidden="false" customHeight="false" outlineLevel="0" collapsed="false">
      <c r="A3108" s="2" t="s">
        <v>496</v>
      </c>
      <c r="B3108" s="2" t="s">
        <v>47</v>
      </c>
      <c r="C3108" s="2" t="s">
        <v>4274</v>
      </c>
      <c r="D3108" s="11" t="n">
        <v>22986</v>
      </c>
      <c r="E3108" s="31" t="n">
        <v>14.4</v>
      </c>
      <c r="F3108" s="31" t="n">
        <v>54.6</v>
      </c>
      <c r="G3108" s="31" t="n">
        <v>3</v>
      </c>
      <c r="H3108" s="2" t="s">
        <v>822</v>
      </c>
    </row>
    <row r="3109" customFormat="false" ht="15" hidden="false" customHeight="false" outlineLevel="0" collapsed="false">
      <c r="A3109" s="2" t="s">
        <v>496</v>
      </c>
      <c r="B3109" s="2" t="s">
        <v>47</v>
      </c>
      <c r="C3109" s="2" t="s">
        <v>4275</v>
      </c>
      <c r="D3109" s="11" t="n">
        <v>24139</v>
      </c>
      <c r="E3109" s="31" t="n">
        <v>31.6</v>
      </c>
      <c r="F3109" s="31" t="n">
        <v>79.9</v>
      </c>
      <c r="G3109" s="31" t="n">
        <v>9.5</v>
      </c>
      <c r="H3109" s="2" t="s">
        <v>822</v>
      </c>
    </row>
    <row r="3110" customFormat="false" ht="15" hidden="false" customHeight="false" outlineLevel="0" collapsed="false">
      <c r="A3110" s="2" t="s">
        <v>462</v>
      </c>
      <c r="B3110" s="2" t="s">
        <v>4291</v>
      </c>
      <c r="C3110" s="2" t="s">
        <v>4274</v>
      </c>
      <c r="D3110" s="2"/>
      <c r="E3110" s="31" t="n">
        <v>41.2</v>
      </c>
      <c r="F3110" s="31" t="n">
        <v>45.2</v>
      </c>
      <c r="G3110" s="31" t="n">
        <v>61.1</v>
      </c>
      <c r="H3110" s="2" t="s">
        <v>832</v>
      </c>
    </row>
    <row r="3111" customFormat="false" ht="15" hidden="false" customHeight="false" outlineLevel="0" collapsed="false">
      <c r="A3111" s="2" t="s">
        <v>462</v>
      </c>
      <c r="B3111" s="2" t="s">
        <v>4291</v>
      </c>
      <c r="C3111" s="2" t="s">
        <v>4275</v>
      </c>
      <c r="D3111" s="2"/>
      <c r="E3111" s="31" t="n">
        <v>51.1</v>
      </c>
      <c r="F3111" s="31" t="n">
        <v>48.3</v>
      </c>
      <c r="G3111" s="31" t="n">
        <v>45.6</v>
      </c>
      <c r="H3111" s="2" t="s">
        <v>822</v>
      </c>
    </row>
    <row r="3112" customFormat="false" ht="15" hidden="false" customHeight="false" outlineLevel="0" collapsed="false">
      <c r="A3112" s="2" t="s">
        <v>462</v>
      </c>
      <c r="B3112" s="2" t="s">
        <v>45</v>
      </c>
      <c r="C3112" s="2" t="s">
        <v>4274</v>
      </c>
      <c r="D3112" s="11" t="n">
        <v>156902</v>
      </c>
      <c r="E3112" s="31" t="n">
        <v>13.8</v>
      </c>
      <c r="F3112" s="31" t="n">
        <v>45.2</v>
      </c>
      <c r="G3112" s="31" t="n">
        <v>31.5</v>
      </c>
      <c r="H3112" s="2" t="s">
        <v>822</v>
      </c>
    </row>
    <row r="3113" customFormat="false" ht="15" hidden="false" customHeight="false" outlineLevel="0" collapsed="false">
      <c r="A3113" s="2" t="s">
        <v>462</v>
      </c>
      <c r="B3113" s="2" t="s">
        <v>45</v>
      </c>
      <c r="C3113" s="2" t="s">
        <v>4275</v>
      </c>
      <c r="D3113" s="11" t="n">
        <v>163950</v>
      </c>
      <c r="E3113" s="31" t="n">
        <v>15.7</v>
      </c>
      <c r="F3113" s="31" t="n">
        <v>32.1</v>
      </c>
      <c r="G3113" s="31" t="n">
        <v>17.5</v>
      </c>
      <c r="H3113" s="2" t="s">
        <v>822</v>
      </c>
    </row>
    <row r="3114" customFormat="false" ht="15" hidden="false" customHeight="false" outlineLevel="0" collapsed="false">
      <c r="A3114" s="2" t="s">
        <v>462</v>
      </c>
      <c r="B3114" s="2" t="s">
        <v>47</v>
      </c>
      <c r="C3114" s="2" t="s">
        <v>4274</v>
      </c>
      <c r="D3114" s="11" t="n">
        <v>184117</v>
      </c>
      <c r="E3114" s="31" t="n">
        <v>68.7</v>
      </c>
      <c r="F3114" s="2"/>
      <c r="G3114" s="31" t="n">
        <v>90.7</v>
      </c>
      <c r="H3114" s="2" t="s">
        <v>832</v>
      </c>
    </row>
    <row r="3115" customFormat="false" ht="15" hidden="false" customHeight="false" outlineLevel="0" collapsed="false">
      <c r="A3115" s="2" t="s">
        <v>462</v>
      </c>
      <c r="B3115" s="2" t="s">
        <v>47</v>
      </c>
      <c r="C3115" s="2" t="s">
        <v>4275</v>
      </c>
      <c r="D3115" s="11" t="n">
        <v>185270</v>
      </c>
      <c r="E3115" s="31" t="n">
        <v>86.4</v>
      </c>
      <c r="F3115" s="31" t="n">
        <v>64.6</v>
      </c>
      <c r="G3115" s="31" t="n">
        <v>73.7</v>
      </c>
      <c r="H3115" s="2" t="s">
        <v>822</v>
      </c>
    </row>
    <row r="3116" customFormat="false" ht="15" hidden="false" customHeight="false" outlineLevel="0" collapsed="false">
      <c r="A3116" s="2" t="s">
        <v>472</v>
      </c>
      <c r="B3116" s="2" t="s">
        <v>4291</v>
      </c>
      <c r="C3116" s="2" t="s">
        <v>4274</v>
      </c>
      <c r="D3116" s="2"/>
      <c r="E3116" s="31" t="n">
        <v>36</v>
      </c>
      <c r="F3116" s="31" t="n">
        <v>33.9</v>
      </c>
      <c r="G3116" s="31" t="n">
        <v>41.2</v>
      </c>
      <c r="H3116" s="2" t="s">
        <v>832</v>
      </c>
    </row>
    <row r="3117" customFormat="false" ht="15" hidden="false" customHeight="false" outlineLevel="0" collapsed="false">
      <c r="A3117" s="2" t="s">
        <v>472</v>
      </c>
      <c r="B3117" s="2" t="s">
        <v>4291</v>
      </c>
      <c r="C3117" s="2" t="s">
        <v>4275</v>
      </c>
      <c r="D3117" s="2"/>
      <c r="E3117" s="31" t="n">
        <v>50.8</v>
      </c>
      <c r="F3117" s="31" t="n">
        <v>35</v>
      </c>
      <c r="G3117" s="31" t="n">
        <v>40.8</v>
      </c>
      <c r="H3117" s="2" t="s">
        <v>822</v>
      </c>
    </row>
    <row r="3118" customFormat="false" ht="15" hidden="false" customHeight="false" outlineLevel="0" collapsed="false">
      <c r="A3118" s="2" t="s">
        <v>472</v>
      </c>
      <c r="B3118" s="2" t="s">
        <v>45</v>
      </c>
      <c r="C3118" s="2" t="s">
        <v>4274</v>
      </c>
      <c r="D3118" s="11" t="n">
        <v>23100</v>
      </c>
      <c r="E3118" s="31" t="n">
        <v>51.6</v>
      </c>
      <c r="F3118" s="31" t="n">
        <v>63.1</v>
      </c>
      <c r="G3118" s="31" t="n">
        <v>81.5</v>
      </c>
      <c r="H3118" s="2" t="s">
        <v>822</v>
      </c>
    </row>
    <row r="3119" customFormat="false" ht="15" hidden="false" customHeight="false" outlineLevel="0" collapsed="false">
      <c r="A3119" s="2" t="s">
        <v>472</v>
      </c>
      <c r="B3119" s="2" t="s">
        <v>45</v>
      </c>
      <c r="C3119" s="2" t="s">
        <v>4275</v>
      </c>
      <c r="D3119" s="11" t="n">
        <v>24410</v>
      </c>
      <c r="E3119" s="31" t="n">
        <v>79.6</v>
      </c>
      <c r="F3119" s="31" t="n">
        <v>62.9</v>
      </c>
      <c r="G3119" s="31" t="n">
        <v>65.3</v>
      </c>
      <c r="H3119" s="2" t="s">
        <v>822</v>
      </c>
    </row>
    <row r="3120" customFormat="false" ht="15" hidden="false" customHeight="false" outlineLevel="0" collapsed="false">
      <c r="A3120" s="2" t="s">
        <v>472</v>
      </c>
      <c r="B3120" s="2" t="s">
        <v>46</v>
      </c>
      <c r="C3120" s="2" t="s">
        <v>4274</v>
      </c>
      <c r="D3120" s="11" t="n">
        <v>43020</v>
      </c>
      <c r="E3120" s="31" t="n">
        <v>55.8</v>
      </c>
      <c r="F3120" s="31" t="n">
        <v>30.7</v>
      </c>
      <c r="G3120" s="2"/>
      <c r="H3120" s="2" t="s">
        <v>832</v>
      </c>
    </row>
    <row r="3121" customFormat="false" ht="15" hidden="false" customHeight="false" outlineLevel="0" collapsed="false">
      <c r="A3121" s="2" t="s">
        <v>472</v>
      </c>
      <c r="B3121" s="2" t="s">
        <v>46</v>
      </c>
      <c r="C3121" s="2" t="s">
        <v>4275</v>
      </c>
      <c r="D3121" s="11" t="n">
        <v>44900</v>
      </c>
      <c r="E3121" s="31" t="n">
        <v>69.2</v>
      </c>
      <c r="F3121" s="31" t="n">
        <v>39.6</v>
      </c>
      <c r="G3121" s="31" t="n">
        <v>56.1</v>
      </c>
      <c r="H3121" s="2" t="s">
        <v>822</v>
      </c>
    </row>
    <row r="3122" customFormat="false" ht="15" hidden="false" customHeight="false" outlineLevel="0" collapsed="false">
      <c r="A3122" s="2" t="s">
        <v>472</v>
      </c>
      <c r="B3122" s="2" t="s">
        <v>47</v>
      </c>
      <c r="C3122" s="2" t="s">
        <v>4274</v>
      </c>
      <c r="D3122" s="11" t="n">
        <v>632</v>
      </c>
      <c r="E3122" s="31" t="n">
        <v>0.7</v>
      </c>
      <c r="F3122" s="31" t="n">
        <v>7.8</v>
      </c>
      <c r="G3122" s="31" t="n">
        <v>0.8</v>
      </c>
      <c r="H3122" s="2" t="s">
        <v>822</v>
      </c>
    </row>
    <row r="3123" customFormat="false" ht="15" hidden="false" customHeight="false" outlineLevel="0" collapsed="false">
      <c r="A3123" s="2" t="s">
        <v>472</v>
      </c>
      <c r="B3123" s="2" t="s">
        <v>47</v>
      </c>
      <c r="C3123" s="2" t="s">
        <v>4275</v>
      </c>
      <c r="D3123" s="11" t="n">
        <v>640</v>
      </c>
      <c r="E3123" s="31" t="n">
        <v>3.7</v>
      </c>
      <c r="F3123" s="31" t="n">
        <v>2.5</v>
      </c>
      <c r="G3123" s="31" t="n">
        <v>0.9</v>
      </c>
      <c r="H3123" s="2" t="s">
        <v>822</v>
      </c>
    </row>
    <row r="3124" customFormat="false" ht="15" hidden="false" customHeight="false" outlineLevel="0" collapsed="false">
      <c r="A3124" s="2" t="s">
        <v>1012</v>
      </c>
      <c r="B3124" s="2" t="s">
        <v>4291</v>
      </c>
      <c r="C3124" s="2" t="s">
        <v>4274</v>
      </c>
      <c r="D3124" s="2"/>
      <c r="E3124" s="31" t="n">
        <v>51.1</v>
      </c>
      <c r="F3124" s="31" t="n">
        <v>70.5</v>
      </c>
      <c r="G3124" s="31" t="n">
        <v>45.2</v>
      </c>
      <c r="H3124" s="2" t="s">
        <v>832</v>
      </c>
    </row>
    <row r="3125" customFormat="false" ht="15" hidden="false" customHeight="false" outlineLevel="0" collapsed="false">
      <c r="A3125" s="2" t="s">
        <v>1012</v>
      </c>
      <c r="B3125" s="2" t="s">
        <v>4291</v>
      </c>
      <c r="C3125" s="2" t="s">
        <v>4275</v>
      </c>
      <c r="D3125" s="2"/>
      <c r="E3125" s="31" t="n">
        <v>77.5</v>
      </c>
      <c r="F3125" s="31" t="n">
        <v>88</v>
      </c>
      <c r="G3125" s="31" t="n">
        <v>10.3</v>
      </c>
      <c r="H3125" s="2" t="s">
        <v>832</v>
      </c>
    </row>
    <row r="3126" customFormat="false" ht="15" hidden="false" customHeight="false" outlineLevel="0" collapsed="false">
      <c r="A3126" s="2" t="s">
        <v>1012</v>
      </c>
      <c r="B3126" s="2" t="s">
        <v>45</v>
      </c>
      <c r="C3126" s="2" t="s">
        <v>4274</v>
      </c>
      <c r="D3126" s="11" t="n">
        <v>14460</v>
      </c>
      <c r="E3126" s="31" t="n">
        <v>76.9</v>
      </c>
      <c r="F3126" s="31" t="n">
        <v>82.5</v>
      </c>
      <c r="G3126" s="31" t="n">
        <v>8</v>
      </c>
      <c r="H3126" s="2" t="s">
        <v>822</v>
      </c>
    </row>
    <row r="3127" customFormat="false" ht="15" hidden="false" customHeight="false" outlineLevel="0" collapsed="false">
      <c r="A3127" s="2" t="s">
        <v>1012</v>
      </c>
      <c r="B3127" s="2" t="s">
        <v>45</v>
      </c>
      <c r="C3127" s="2" t="s">
        <v>4275</v>
      </c>
      <c r="D3127" s="11" t="n">
        <v>15690</v>
      </c>
      <c r="E3127" s="31" t="n">
        <v>77.5</v>
      </c>
      <c r="F3127" s="31" t="n">
        <v>88</v>
      </c>
      <c r="G3127" s="31" t="n">
        <v>10.3</v>
      </c>
      <c r="H3127" s="2" t="s">
        <v>822</v>
      </c>
    </row>
    <row r="3128" customFormat="false" ht="15" hidden="false" customHeight="false" outlineLevel="0" collapsed="false">
      <c r="A3128" s="2" t="s">
        <v>1012</v>
      </c>
      <c r="B3128" s="2" t="s">
        <v>46</v>
      </c>
      <c r="C3128" s="2" t="s">
        <v>4274</v>
      </c>
      <c r="D3128" s="2"/>
      <c r="E3128" s="2"/>
      <c r="F3128" s="2"/>
      <c r="G3128" s="2"/>
      <c r="H3128" s="2" t="s">
        <v>832</v>
      </c>
    </row>
    <row r="3129" customFormat="false" ht="15" hidden="false" customHeight="false" outlineLevel="0" collapsed="false">
      <c r="A3129" s="2" t="s">
        <v>1012</v>
      </c>
      <c r="B3129" s="2" t="s">
        <v>46</v>
      </c>
      <c r="C3129" s="2" t="s">
        <v>4275</v>
      </c>
      <c r="D3129" s="2"/>
      <c r="E3129" s="2"/>
      <c r="F3129" s="2"/>
      <c r="G3129" s="2"/>
      <c r="H3129" s="2" t="s">
        <v>832</v>
      </c>
    </row>
    <row r="3130" customFormat="false" ht="15" hidden="false" customHeight="false" outlineLevel="0" collapsed="false">
      <c r="A3130" s="2" t="s">
        <v>1012</v>
      </c>
      <c r="B3130" s="2" t="s">
        <v>47</v>
      </c>
      <c r="C3130" s="2" t="s">
        <v>4274</v>
      </c>
      <c r="D3130" s="11" t="n">
        <v>97745</v>
      </c>
      <c r="E3130" s="31" t="n">
        <v>25.3</v>
      </c>
      <c r="F3130" s="31" t="n">
        <v>58.5</v>
      </c>
      <c r="G3130" s="31" t="n">
        <v>82.4</v>
      </c>
      <c r="H3130" s="2" t="s">
        <v>822</v>
      </c>
    </row>
    <row r="3131" customFormat="false" ht="15" hidden="false" customHeight="false" outlineLevel="0" collapsed="false">
      <c r="A3131" s="2" t="s">
        <v>1012</v>
      </c>
      <c r="B3131" s="2" t="s">
        <v>47</v>
      </c>
      <c r="C3131" s="2" t="s">
        <v>4275</v>
      </c>
      <c r="D3131" s="2"/>
      <c r="E3131" s="2"/>
      <c r="F3131" s="2"/>
      <c r="G3131" s="2"/>
      <c r="H3131" s="2" t="s">
        <v>832</v>
      </c>
    </row>
    <row r="3132" customFormat="false" ht="15" hidden="false" customHeight="false" outlineLevel="0" collapsed="false">
      <c r="A3132" s="2" t="s">
        <v>244</v>
      </c>
      <c r="B3132" s="2" t="s">
        <v>4291</v>
      </c>
      <c r="C3132" s="2" t="s">
        <v>4274</v>
      </c>
      <c r="D3132" s="2"/>
      <c r="E3132" s="31" t="n">
        <v>60.1</v>
      </c>
      <c r="F3132" s="31" t="n">
        <v>69.7</v>
      </c>
      <c r="G3132" s="31" t="n">
        <v>56.4</v>
      </c>
      <c r="H3132" s="2" t="s">
        <v>832</v>
      </c>
    </row>
    <row r="3133" customFormat="false" ht="15" hidden="false" customHeight="false" outlineLevel="0" collapsed="false">
      <c r="A3133" s="2" t="s">
        <v>244</v>
      </c>
      <c r="B3133" s="2" t="s">
        <v>4291</v>
      </c>
      <c r="C3133" s="2" t="s">
        <v>4275</v>
      </c>
      <c r="D3133" s="2"/>
      <c r="E3133" s="31" t="n">
        <v>68.1</v>
      </c>
      <c r="F3133" s="31" t="n">
        <v>52.6</v>
      </c>
      <c r="G3133" s="31" t="n">
        <v>67.5</v>
      </c>
      <c r="H3133" s="2" t="s">
        <v>822</v>
      </c>
    </row>
    <row r="3134" customFormat="false" ht="15" hidden="false" customHeight="false" outlineLevel="0" collapsed="false">
      <c r="A3134" s="2" t="s">
        <v>244</v>
      </c>
      <c r="B3134" s="2" t="s">
        <v>45</v>
      </c>
      <c r="C3134" s="2" t="s">
        <v>4274</v>
      </c>
      <c r="D3134" s="11" t="n">
        <v>6208</v>
      </c>
      <c r="E3134" s="31" t="n">
        <v>41.7</v>
      </c>
      <c r="F3134" s="31" t="n">
        <v>59.7</v>
      </c>
      <c r="G3134" s="31" t="n">
        <v>66.3</v>
      </c>
      <c r="H3134" s="2" t="s">
        <v>822</v>
      </c>
    </row>
    <row r="3135" customFormat="false" ht="15" hidden="false" customHeight="false" outlineLevel="0" collapsed="false">
      <c r="A3135" s="2" t="s">
        <v>244</v>
      </c>
      <c r="B3135" s="2" t="s">
        <v>45</v>
      </c>
      <c r="C3135" s="2" t="s">
        <v>4275</v>
      </c>
      <c r="D3135" s="11" t="n">
        <v>6630</v>
      </c>
      <c r="E3135" s="31" t="n">
        <v>46.5</v>
      </c>
      <c r="F3135" s="31" t="n">
        <v>45.1</v>
      </c>
      <c r="G3135" s="31" t="n">
        <v>72</v>
      </c>
      <c r="H3135" s="2" t="s">
        <v>822</v>
      </c>
    </row>
    <row r="3136" customFormat="false" ht="15" hidden="false" customHeight="false" outlineLevel="0" collapsed="false">
      <c r="A3136" s="2" t="s">
        <v>244</v>
      </c>
      <c r="B3136" s="2" t="s">
        <v>46</v>
      </c>
      <c r="C3136" s="2" t="s">
        <v>4274</v>
      </c>
      <c r="D3136" s="11" t="n">
        <v>36000</v>
      </c>
      <c r="E3136" s="31" t="n">
        <v>70.3</v>
      </c>
      <c r="F3136" s="2"/>
      <c r="G3136" s="31" t="n">
        <v>55.7</v>
      </c>
      <c r="H3136" s="2" t="s">
        <v>832</v>
      </c>
    </row>
    <row r="3137" customFormat="false" ht="15" hidden="false" customHeight="false" outlineLevel="0" collapsed="false">
      <c r="A3137" s="2" t="s">
        <v>244</v>
      </c>
      <c r="B3137" s="2" t="s">
        <v>46</v>
      </c>
      <c r="C3137" s="2" t="s">
        <v>4275</v>
      </c>
      <c r="D3137" s="11" t="n">
        <v>36374</v>
      </c>
      <c r="E3137" s="31" t="n">
        <v>95.1</v>
      </c>
      <c r="F3137" s="31" t="n">
        <v>13.1</v>
      </c>
      <c r="G3137" s="31" t="n">
        <v>68.9</v>
      </c>
      <c r="H3137" s="2" t="s">
        <v>822</v>
      </c>
    </row>
    <row r="3138" customFormat="false" ht="15" hidden="false" customHeight="false" outlineLevel="0" collapsed="false">
      <c r="A3138" s="2" t="s">
        <v>244</v>
      </c>
      <c r="B3138" s="2" t="s">
        <v>47</v>
      </c>
      <c r="C3138" s="2" t="s">
        <v>4274</v>
      </c>
      <c r="D3138" s="11" t="n">
        <v>23348</v>
      </c>
      <c r="E3138" s="31" t="n">
        <v>68.2</v>
      </c>
      <c r="F3138" s="31" t="n">
        <v>79.7</v>
      </c>
      <c r="G3138" s="31" t="n">
        <v>47.3</v>
      </c>
      <c r="H3138" s="2" t="s">
        <v>822</v>
      </c>
    </row>
    <row r="3139" customFormat="false" ht="15" hidden="false" customHeight="false" outlineLevel="0" collapsed="false">
      <c r="A3139" s="2" t="s">
        <v>244</v>
      </c>
      <c r="B3139" s="2" t="s">
        <v>47</v>
      </c>
      <c r="C3139" s="2" t="s">
        <v>4275</v>
      </c>
      <c r="D3139" s="11" t="n">
        <v>24170</v>
      </c>
      <c r="E3139" s="31" t="n">
        <v>62.6</v>
      </c>
      <c r="F3139" s="31" t="n">
        <v>99.7</v>
      </c>
      <c r="G3139" s="31" t="n">
        <v>61.6</v>
      </c>
      <c r="H3139" s="2" t="s">
        <v>822</v>
      </c>
    </row>
    <row r="3140" customFormat="false" ht="15" hidden="false" customHeight="false" outlineLevel="0" collapsed="false">
      <c r="A3140" s="2" t="s">
        <v>228</v>
      </c>
      <c r="B3140" s="2" t="s">
        <v>4291</v>
      </c>
      <c r="C3140" s="2" t="s">
        <v>4275</v>
      </c>
      <c r="D3140" s="2"/>
      <c r="E3140" s="31" t="n">
        <v>71.2</v>
      </c>
      <c r="F3140" s="31" t="n">
        <v>88.2</v>
      </c>
      <c r="G3140" s="31" t="n">
        <v>19</v>
      </c>
      <c r="H3140" s="2" t="s">
        <v>822</v>
      </c>
    </row>
    <row r="3141" customFormat="false" ht="15" hidden="false" customHeight="false" outlineLevel="0" collapsed="false">
      <c r="A3141" s="2" t="s">
        <v>228</v>
      </c>
      <c r="B3141" s="2" t="s">
        <v>45</v>
      </c>
      <c r="C3141" s="2" t="s">
        <v>4275</v>
      </c>
      <c r="D3141" s="11" t="n">
        <v>261296</v>
      </c>
      <c r="E3141" s="31" t="n">
        <v>44.4</v>
      </c>
      <c r="F3141" s="31" t="n">
        <v>90.7</v>
      </c>
      <c r="G3141" s="31" t="n">
        <v>13.5</v>
      </c>
      <c r="H3141" s="2" t="s">
        <v>822</v>
      </c>
    </row>
    <row r="3142" customFormat="false" ht="15" hidden="false" customHeight="false" outlineLevel="0" collapsed="false">
      <c r="A3142" s="2" t="s">
        <v>228</v>
      </c>
      <c r="B3142" s="2" t="s">
        <v>46</v>
      </c>
      <c r="C3142" s="2" t="s">
        <v>4275</v>
      </c>
      <c r="D3142" s="11" t="n">
        <v>54360</v>
      </c>
      <c r="E3142" s="31" t="n">
        <v>98</v>
      </c>
      <c r="F3142" s="31" t="n">
        <v>85.8</v>
      </c>
      <c r="G3142" s="31" t="n">
        <v>24.5</v>
      </c>
      <c r="H3142" s="2" t="s">
        <v>822</v>
      </c>
    </row>
    <row r="3143" customFormat="false" ht="15" hidden="false" customHeight="false" outlineLevel="0" collapsed="false">
      <c r="A3143" s="2" t="s">
        <v>989</v>
      </c>
      <c r="B3143" s="2" t="s">
        <v>4291</v>
      </c>
      <c r="C3143" s="2" t="s">
        <v>4274</v>
      </c>
      <c r="D3143" s="2"/>
      <c r="E3143" s="31" t="n">
        <v>15.9</v>
      </c>
      <c r="F3143" s="31" t="n">
        <v>46</v>
      </c>
      <c r="G3143" s="31" t="n">
        <v>28.4</v>
      </c>
      <c r="H3143" s="2" t="s">
        <v>832</v>
      </c>
    </row>
    <row r="3144" customFormat="false" ht="15" hidden="false" customHeight="false" outlineLevel="0" collapsed="false">
      <c r="A3144" s="2" t="s">
        <v>989</v>
      </c>
      <c r="B3144" s="2" t="s">
        <v>4291</v>
      </c>
      <c r="C3144" s="2" t="s">
        <v>4275</v>
      </c>
      <c r="D3144" s="2"/>
      <c r="E3144" s="31" t="n">
        <v>36.4</v>
      </c>
      <c r="F3144" s="31" t="n">
        <v>56.5</v>
      </c>
      <c r="G3144" s="31" t="n">
        <v>78.3</v>
      </c>
      <c r="H3144" s="2" t="s">
        <v>832</v>
      </c>
    </row>
    <row r="3145" customFormat="false" ht="15" hidden="false" customHeight="false" outlineLevel="0" collapsed="false">
      <c r="A3145" s="2" t="s">
        <v>989</v>
      </c>
      <c r="B3145" s="2" t="s">
        <v>45</v>
      </c>
      <c r="C3145" s="2" t="s">
        <v>4274</v>
      </c>
      <c r="D3145" s="2"/>
      <c r="E3145" s="2"/>
      <c r="F3145" s="2"/>
      <c r="G3145" s="2"/>
      <c r="H3145" s="2" t="s">
        <v>832</v>
      </c>
    </row>
    <row r="3146" customFormat="false" ht="15" hidden="false" customHeight="false" outlineLevel="0" collapsed="false">
      <c r="A3146" s="2" t="s">
        <v>989</v>
      </c>
      <c r="B3146" s="2" t="s">
        <v>45</v>
      </c>
      <c r="C3146" s="2" t="s">
        <v>4275</v>
      </c>
      <c r="D3146" s="11" t="n">
        <v>160720</v>
      </c>
      <c r="E3146" s="31" t="n">
        <v>80.2</v>
      </c>
      <c r="F3146" s="31" t="n">
        <v>75.7</v>
      </c>
      <c r="G3146" s="31" t="n">
        <v>86.5</v>
      </c>
      <c r="H3146" s="2" t="s">
        <v>822</v>
      </c>
    </row>
    <row r="3147" customFormat="false" ht="15" hidden="false" customHeight="false" outlineLevel="0" collapsed="false">
      <c r="A3147" s="2" t="s">
        <v>989</v>
      </c>
      <c r="B3147" s="2" t="s">
        <v>46</v>
      </c>
      <c r="C3147" s="2" t="s">
        <v>4274</v>
      </c>
      <c r="D3147" s="11" t="n">
        <v>148862</v>
      </c>
      <c r="E3147" s="31" t="n">
        <v>24.7</v>
      </c>
      <c r="F3147" s="31" t="n">
        <v>37.2</v>
      </c>
      <c r="G3147" s="31" t="n">
        <v>41.1</v>
      </c>
      <c r="H3147" s="2" t="s">
        <v>822</v>
      </c>
    </row>
    <row r="3148" customFormat="false" ht="15" hidden="false" customHeight="false" outlineLevel="0" collapsed="false">
      <c r="A3148" s="2" t="s">
        <v>989</v>
      </c>
      <c r="B3148" s="2" t="s">
        <v>46</v>
      </c>
      <c r="C3148" s="2" t="s">
        <v>4275</v>
      </c>
      <c r="D3148" s="11" t="n">
        <v>155040</v>
      </c>
      <c r="E3148" s="31" t="n">
        <v>14.3</v>
      </c>
      <c r="F3148" s="31" t="n">
        <v>40.8</v>
      </c>
      <c r="G3148" s="2"/>
      <c r="H3148" s="2" t="s">
        <v>832</v>
      </c>
    </row>
    <row r="3149" customFormat="false" ht="15" hidden="false" customHeight="false" outlineLevel="0" collapsed="false">
      <c r="A3149" s="2" t="s">
        <v>989</v>
      </c>
      <c r="B3149" s="2" t="s">
        <v>47</v>
      </c>
      <c r="C3149" s="2" t="s">
        <v>4274</v>
      </c>
      <c r="D3149" s="11" t="n">
        <v>58624</v>
      </c>
      <c r="E3149" s="31" t="n">
        <v>7.1</v>
      </c>
      <c r="F3149" s="31" t="n">
        <v>54.9</v>
      </c>
      <c r="G3149" s="31" t="n">
        <v>15.7</v>
      </c>
      <c r="H3149" s="2" t="s">
        <v>822</v>
      </c>
    </row>
    <row r="3150" customFormat="false" ht="15" hidden="false" customHeight="false" outlineLevel="0" collapsed="false">
      <c r="A3150" s="2" t="s">
        <v>989</v>
      </c>
      <c r="B3150" s="2" t="s">
        <v>47</v>
      </c>
      <c r="C3150" s="2" t="s">
        <v>4275</v>
      </c>
      <c r="D3150" s="11" t="n">
        <v>62080</v>
      </c>
      <c r="E3150" s="31" t="n">
        <v>14.8</v>
      </c>
      <c r="F3150" s="31" t="n">
        <v>52.9</v>
      </c>
      <c r="G3150" s="31" t="n">
        <v>70.1</v>
      </c>
      <c r="H3150" s="2" t="s">
        <v>822</v>
      </c>
    </row>
    <row r="3151" customFormat="false" ht="15" hidden="false" customHeight="false" outlineLevel="0" collapsed="false">
      <c r="A3151" s="2" t="s">
        <v>1512</v>
      </c>
      <c r="B3151" s="2" t="s">
        <v>4291</v>
      </c>
      <c r="C3151" s="2" t="s">
        <v>4274</v>
      </c>
      <c r="D3151" s="2"/>
      <c r="E3151" s="31" t="n">
        <v>46.8</v>
      </c>
      <c r="F3151" s="31" t="n">
        <v>60</v>
      </c>
      <c r="G3151" s="31" t="n">
        <v>53</v>
      </c>
      <c r="H3151" s="2" t="s">
        <v>832</v>
      </c>
    </row>
    <row r="3152" customFormat="false" ht="15" hidden="false" customHeight="false" outlineLevel="0" collapsed="false">
      <c r="A3152" s="2" t="s">
        <v>1512</v>
      </c>
      <c r="B3152" s="2" t="s">
        <v>4291</v>
      </c>
      <c r="C3152" s="2" t="s">
        <v>4275</v>
      </c>
      <c r="D3152" s="2"/>
      <c r="E3152" s="31" t="n">
        <v>42</v>
      </c>
      <c r="F3152" s="31" t="n">
        <v>49.8</v>
      </c>
      <c r="G3152" s="31" t="n">
        <v>59.8</v>
      </c>
      <c r="H3152" s="2" t="s">
        <v>832</v>
      </c>
    </row>
    <row r="3153" customFormat="false" ht="15" hidden="false" customHeight="false" outlineLevel="0" collapsed="false">
      <c r="A3153" s="2" t="s">
        <v>1512</v>
      </c>
      <c r="B3153" s="2" t="s">
        <v>45</v>
      </c>
      <c r="C3153" s="2" t="s">
        <v>4274</v>
      </c>
      <c r="D3153" s="2"/>
      <c r="E3153" s="2"/>
      <c r="F3153" s="2"/>
      <c r="G3153" s="2"/>
      <c r="H3153" s="2" t="s">
        <v>832</v>
      </c>
    </row>
    <row r="3154" customFormat="false" ht="15" hidden="false" customHeight="false" outlineLevel="0" collapsed="false">
      <c r="A3154" s="2" t="s">
        <v>1512</v>
      </c>
      <c r="B3154" s="2" t="s">
        <v>45</v>
      </c>
      <c r="C3154" s="2" t="s">
        <v>4275</v>
      </c>
      <c r="D3154" s="11" t="n">
        <v>1281870</v>
      </c>
      <c r="E3154" s="31" t="n">
        <v>12.1</v>
      </c>
      <c r="F3154" s="31" t="n">
        <v>88.2</v>
      </c>
      <c r="G3154" s="31" t="n">
        <v>57.1</v>
      </c>
      <c r="H3154" s="2" t="s">
        <v>822</v>
      </c>
    </row>
    <row r="3155" customFormat="false" ht="15" hidden="false" customHeight="false" outlineLevel="0" collapsed="false">
      <c r="A3155" s="2" t="s">
        <v>1512</v>
      </c>
      <c r="B3155" s="2" t="s">
        <v>46</v>
      </c>
      <c r="C3155" s="2" t="s">
        <v>4274</v>
      </c>
      <c r="D3155" s="11" t="n">
        <v>1560</v>
      </c>
      <c r="E3155" s="31" t="n">
        <v>34.2</v>
      </c>
      <c r="F3155" s="2"/>
      <c r="G3155" s="31" t="n">
        <v>43.8</v>
      </c>
      <c r="H3155" s="2" t="s">
        <v>832</v>
      </c>
    </row>
    <row r="3156" customFormat="false" ht="15" hidden="false" customHeight="false" outlineLevel="0" collapsed="false">
      <c r="A3156" s="2" t="s">
        <v>1512</v>
      </c>
      <c r="B3156" s="2" t="s">
        <v>46</v>
      </c>
      <c r="C3156" s="2" t="s">
        <v>4275</v>
      </c>
      <c r="D3156" s="11" t="n">
        <v>1608</v>
      </c>
      <c r="E3156" s="31" t="n">
        <v>63.5</v>
      </c>
      <c r="F3156" s="31" t="n">
        <v>11.3</v>
      </c>
      <c r="G3156" s="31" t="n">
        <v>67.8</v>
      </c>
      <c r="H3156" s="2" t="s">
        <v>822</v>
      </c>
    </row>
    <row r="3157" customFormat="false" ht="15" hidden="false" customHeight="false" outlineLevel="0" collapsed="false">
      <c r="A3157" s="2" t="s">
        <v>1512</v>
      </c>
      <c r="B3157" s="2" t="s">
        <v>47</v>
      </c>
      <c r="C3157" s="2" t="s">
        <v>4274</v>
      </c>
      <c r="D3157" s="11" t="n">
        <v>3107</v>
      </c>
      <c r="E3157" s="31" t="n">
        <v>59.5</v>
      </c>
      <c r="F3157" s="31" t="n">
        <v>60</v>
      </c>
      <c r="G3157" s="31" t="n">
        <v>62.1</v>
      </c>
      <c r="H3157" s="2" t="s">
        <v>822</v>
      </c>
    </row>
    <row r="3158" customFormat="false" ht="15" hidden="false" customHeight="false" outlineLevel="0" collapsed="false">
      <c r="A3158" s="2" t="s">
        <v>1512</v>
      </c>
      <c r="B3158" s="2" t="s">
        <v>47</v>
      </c>
      <c r="C3158" s="2" t="s">
        <v>4275</v>
      </c>
      <c r="D3158" s="11" t="n">
        <v>3210</v>
      </c>
      <c r="E3158" s="31" t="n">
        <v>50.3</v>
      </c>
      <c r="F3158" s="2"/>
      <c r="G3158" s="31" t="n">
        <v>54.5</v>
      </c>
      <c r="H3158" s="2" t="s">
        <v>832</v>
      </c>
    </row>
    <row r="3159" customFormat="false" ht="15" hidden="false" customHeight="false" outlineLevel="0" collapsed="false">
      <c r="A3159" s="2" t="s">
        <v>702</v>
      </c>
      <c r="B3159" s="2" t="s">
        <v>4291</v>
      </c>
      <c r="C3159" s="2" t="s">
        <v>4274</v>
      </c>
      <c r="D3159" s="2"/>
      <c r="E3159" s="31" t="n">
        <v>15.7</v>
      </c>
      <c r="F3159" s="31" t="n">
        <v>48.9</v>
      </c>
      <c r="G3159" s="31" t="n">
        <v>80.4</v>
      </c>
      <c r="H3159" s="2" t="s">
        <v>822</v>
      </c>
    </row>
    <row r="3160" customFormat="false" ht="15" hidden="false" customHeight="false" outlineLevel="0" collapsed="false">
      <c r="A3160" s="2" t="s">
        <v>702</v>
      </c>
      <c r="B3160" s="2" t="s">
        <v>4291</v>
      </c>
      <c r="C3160" s="2" t="s">
        <v>4275</v>
      </c>
      <c r="D3160" s="2"/>
      <c r="E3160" s="31" t="n">
        <v>28.2</v>
      </c>
      <c r="F3160" s="31" t="n">
        <v>55</v>
      </c>
      <c r="G3160" s="31" t="n">
        <v>98.2</v>
      </c>
      <c r="H3160" s="2" t="s">
        <v>822</v>
      </c>
    </row>
    <row r="3161" customFormat="false" ht="15" hidden="false" customHeight="false" outlineLevel="0" collapsed="false">
      <c r="A3161" s="2" t="s">
        <v>702</v>
      </c>
      <c r="B3161" s="2" t="s">
        <v>47</v>
      </c>
      <c r="C3161" s="2" t="s">
        <v>4274</v>
      </c>
      <c r="D3161" s="11" t="n">
        <v>9660</v>
      </c>
      <c r="E3161" s="31" t="n">
        <v>15.7</v>
      </c>
      <c r="F3161" s="31" t="n">
        <v>48.9</v>
      </c>
      <c r="G3161" s="31" t="n">
        <v>80.4</v>
      </c>
      <c r="H3161" s="2" t="s">
        <v>822</v>
      </c>
    </row>
    <row r="3162" customFormat="false" ht="15" hidden="false" customHeight="false" outlineLevel="0" collapsed="false">
      <c r="A3162" s="2" t="s">
        <v>702</v>
      </c>
      <c r="B3162" s="2" t="s">
        <v>47</v>
      </c>
      <c r="C3162" s="2" t="s">
        <v>4275</v>
      </c>
      <c r="D3162" s="11" t="n">
        <v>9750</v>
      </c>
      <c r="E3162" s="31" t="n">
        <v>28.2</v>
      </c>
      <c r="F3162" s="31" t="n">
        <v>55</v>
      </c>
      <c r="G3162" s="31" t="n">
        <v>98.2</v>
      </c>
      <c r="H3162" s="2" t="s">
        <v>822</v>
      </c>
    </row>
    <row r="3163" customFormat="false" ht="15" hidden="false" customHeight="false" outlineLevel="0" collapsed="false">
      <c r="A3163" s="2" t="s">
        <v>2190</v>
      </c>
      <c r="B3163" s="2" t="s">
        <v>4291</v>
      </c>
      <c r="C3163" s="2" t="s">
        <v>4275</v>
      </c>
      <c r="D3163" s="2"/>
      <c r="E3163" s="31" t="n">
        <v>2.4</v>
      </c>
      <c r="F3163" s="31" t="n">
        <v>75.8</v>
      </c>
      <c r="G3163" s="31" t="n">
        <v>64.7</v>
      </c>
      <c r="H3163" s="2" t="s">
        <v>832</v>
      </c>
    </row>
    <row r="3164" customFormat="false" ht="15" hidden="false" customHeight="false" outlineLevel="0" collapsed="false">
      <c r="A3164" s="2" t="s">
        <v>2190</v>
      </c>
      <c r="B3164" s="2" t="s">
        <v>46</v>
      </c>
      <c r="C3164" s="2" t="s">
        <v>4275</v>
      </c>
      <c r="D3164" s="11" t="n">
        <v>178857</v>
      </c>
      <c r="E3164" s="31" t="n">
        <v>2.4</v>
      </c>
      <c r="F3164" s="31" t="n">
        <v>75.8</v>
      </c>
      <c r="G3164" s="31" t="n">
        <v>64.7</v>
      </c>
      <c r="H3164" s="2" t="s">
        <v>822</v>
      </c>
    </row>
    <row r="3165" customFormat="false" ht="15" hidden="false" customHeight="false" outlineLevel="0" collapsed="false">
      <c r="A3165" s="2" t="s">
        <v>3158</v>
      </c>
      <c r="B3165" s="2" t="s">
        <v>4291</v>
      </c>
      <c r="C3165" s="2" t="s">
        <v>4274</v>
      </c>
      <c r="D3165" s="2"/>
      <c r="E3165" s="31" t="n">
        <v>16.9</v>
      </c>
      <c r="F3165" s="31" t="n">
        <v>96.7</v>
      </c>
      <c r="G3165" s="31" t="n">
        <v>33.4</v>
      </c>
      <c r="H3165" s="2" t="s">
        <v>822</v>
      </c>
    </row>
    <row r="3166" customFormat="false" ht="15" hidden="false" customHeight="false" outlineLevel="0" collapsed="false">
      <c r="A3166" s="2" t="s">
        <v>3158</v>
      </c>
      <c r="B3166" s="2" t="s">
        <v>4291</v>
      </c>
      <c r="C3166" s="2" t="s">
        <v>4275</v>
      </c>
      <c r="D3166" s="2"/>
      <c r="E3166" s="31" t="n">
        <v>9.1</v>
      </c>
      <c r="F3166" s="31" t="n">
        <v>96.6</v>
      </c>
      <c r="G3166" s="2"/>
      <c r="H3166" s="2" t="s">
        <v>832</v>
      </c>
    </row>
    <row r="3167" customFormat="false" ht="15" hidden="false" customHeight="false" outlineLevel="0" collapsed="false">
      <c r="A3167" s="2" t="s">
        <v>3158</v>
      </c>
      <c r="B3167" s="2" t="s">
        <v>45</v>
      </c>
      <c r="C3167" s="2" t="s">
        <v>4274</v>
      </c>
      <c r="D3167" s="11" t="n">
        <v>46192</v>
      </c>
      <c r="E3167" s="31" t="n">
        <v>16.9</v>
      </c>
      <c r="F3167" s="31" t="n">
        <v>96.7</v>
      </c>
      <c r="G3167" s="31" t="n">
        <v>33.4</v>
      </c>
      <c r="H3167" s="2" t="s">
        <v>822</v>
      </c>
    </row>
    <row r="3168" customFormat="false" ht="15" hidden="false" customHeight="false" outlineLevel="0" collapsed="false">
      <c r="A3168" s="2" t="s">
        <v>3158</v>
      </c>
      <c r="B3168" s="2" t="s">
        <v>45</v>
      </c>
      <c r="C3168" s="2" t="s">
        <v>4275</v>
      </c>
      <c r="D3168" s="11" t="n">
        <v>47650</v>
      </c>
      <c r="E3168" s="31" t="n">
        <v>9.1</v>
      </c>
      <c r="F3168" s="31" t="n">
        <v>96.6</v>
      </c>
      <c r="G3168" s="2"/>
      <c r="H3168" s="2" t="s">
        <v>832</v>
      </c>
    </row>
    <row r="3169" customFormat="false" ht="15" hidden="false" customHeight="false" outlineLevel="0" collapsed="false">
      <c r="A3169" s="2" t="s">
        <v>1336</v>
      </c>
      <c r="B3169" s="2" t="s">
        <v>4291</v>
      </c>
      <c r="C3169" s="2" t="s">
        <v>4274</v>
      </c>
      <c r="D3169" s="2"/>
      <c r="E3169" s="31" t="n">
        <v>48.6</v>
      </c>
      <c r="F3169" s="31" t="n">
        <v>64.9</v>
      </c>
      <c r="G3169" s="31" t="n">
        <v>50</v>
      </c>
      <c r="H3169" s="2" t="s">
        <v>822</v>
      </c>
    </row>
    <row r="3170" customFormat="false" ht="15" hidden="false" customHeight="false" outlineLevel="0" collapsed="false">
      <c r="A3170" s="2" t="s">
        <v>1336</v>
      </c>
      <c r="B3170" s="2" t="s">
        <v>4291</v>
      </c>
      <c r="C3170" s="2" t="s">
        <v>4275</v>
      </c>
      <c r="D3170" s="2"/>
      <c r="E3170" s="31" t="n">
        <v>41.4</v>
      </c>
      <c r="F3170" s="31" t="n">
        <v>56.2</v>
      </c>
      <c r="G3170" s="31" t="n">
        <v>56.2</v>
      </c>
      <c r="H3170" s="2" t="s">
        <v>832</v>
      </c>
    </row>
    <row r="3171" customFormat="false" ht="15" hidden="false" customHeight="false" outlineLevel="0" collapsed="false">
      <c r="A3171" s="2" t="s">
        <v>1336</v>
      </c>
      <c r="B3171" s="2" t="s">
        <v>45</v>
      </c>
      <c r="C3171" s="2" t="s">
        <v>4274</v>
      </c>
      <c r="D3171" s="11" t="n">
        <v>79670</v>
      </c>
      <c r="E3171" s="31" t="n">
        <v>38.9</v>
      </c>
      <c r="F3171" s="31" t="n">
        <v>34.3</v>
      </c>
      <c r="G3171" s="31" t="n">
        <v>99.5</v>
      </c>
      <c r="H3171" s="2" t="s">
        <v>822</v>
      </c>
    </row>
    <row r="3172" customFormat="false" ht="15" hidden="false" customHeight="false" outlineLevel="0" collapsed="false">
      <c r="A3172" s="2" t="s">
        <v>1336</v>
      </c>
      <c r="B3172" s="2" t="s">
        <v>45</v>
      </c>
      <c r="C3172" s="2" t="s">
        <v>4275</v>
      </c>
      <c r="D3172" s="11" t="n">
        <v>81114</v>
      </c>
      <c r="E3172" s="31" t="n">
        <v>36.5</v>
      </c>
      <c r="F3172" s="31" t="n">
        <v>12.4</v>
      </c>
      <c r="G3172" s="31" t="n">
        <v>88.3</v>
      </c>
      <c r="H3172" s="2" t="s">
        <v>822</v>
      </c>
    </row>
    <row r="3173" customFormat="false" ht="15" hidden="false" customHeight="false" outlineLevel="0" collapsed="false">
      <c r="A3173" s="2" t="s">
        <v>1336</v>
      </c>
      <c r="B3173" s="2" t="s">
        <v>46</v>
      </c>
      <c r="C3173" s="2" t="s">
        <v>4274</v>
      </c>
      <c r="D3173" s="11" t="n">
        <v>431251</v>
      </c>
      <c r="E3173" s="31" t="n">
        <v>89.8</v>
      </c>
      <c r="F3173" s="31" t="n">
        <v>67.9</v>
      </c>
      <c r="G3173" s="31" t="n">
        <v>24.7</v>
      </c>
      <c r="H3173" s="2" t="s">
        <v>822</v>
      </c>
    </row>
    <row r="3174" customFormat="false" ht="15" hidden="false" customHeight="false" outlineLevel="0" collapsed="false">
      <c r="A3174" s="2" t="s">
        <v>1336</v>
      </c>
      <c r="B3174" s="2" t="s">
        <v>46</v>
      </c>
      <c r="C3174" s="2" t="s">
        <v>4275</v>
      </c>
      <c r="D3174" s="11" t="n">
        <v>446810</v>
      </c>
      <c r="E3174" s="31" t="n">
        <v>75.6</v>
      </c>
      <c r="F3174" s="31" t="n">
        <v>74.5</v>
      </c>
      <c r="G3174" s="2"/>
      <c r="H3174" s="2" t="s">
        <v>832</v>
      </c>
    </row>
    <row r="3175" customFormat="false" ht="15" hidden="false" customHeight="false" outlineLevel="0" collapsed="false">
      <c r="A3175" s="2" t="s">
        <v>1336</v>
      </c>
      <c r="B3175" s="2" t="s">
        <v>47</v>
      </c>
      <c r="C3175" s="2" t="s">
        <v>4274</v>
      </c>
      <c r="D3175" s="11" t="n">
        <v>11023</v>
      </c>
      <c r="E3175" s="31" t="n">
        <v>17.1</v>
      </c>
      <c r="F3175" s="31" t="n">
        <v>92.5</v>
      </c>
      <c r="G3175" s="31" t="n">
        <v>25.9</v>
      </c>
      <c r="H3175" s="2" t="s">
        <v>822</v>
      </c>
    </row>
    <row r="3176" customFormat="false" ht="15" hidden="false" customHeight="false" outlineLevel="0" collapsed="false">
      <c r="A3176" s="2" t="s">
        <v>1336</v>
      </c>
      <c r="B3176" s="2" t="s">
        <v>47</v>
      </c>
      <c r="C3176" s="2" t="s">
        <v>4275</v>
      </c>
      <c r="D3176" s="11" t="n">
        <v>12025</v>
      </c>
      <c r="E3176" s="31" t="n">
        <v>12.2</v>
      </c>
      <c r="F3176" s="31" t="n">
        <v>81.8</v>
      </c>
      <c r="G3176" s="31" t="n">
        <v>24.2</v>
      </c>
      <c r="H3176" s="2" t="s">
        <v>822</v>
      </c>
    </row>
    <row r="3177" customFormat="false" ht="15" hidden="false" customHeight="false" outlineLevel="0" collapsed="false">
      <c r="A3177" s="2" t="s">
        <v>2390</v>
      </c>
      <c r="B3177" s="2" t="s">
        <v>4291</v>
      </c>
      <c r="C3177" s="2" t="s">
        <v>4274</v>
      </c>
      <c r="D3177" s="2"/>
      <c r="E3177" s="31" t="n">
        <v>45.3</v>
      </c>
      <c r="F3177" s="31" t="n">
        <v>36.4</v>
      </c>
      <c r="G3177" s="31" t="n">
        <v>57.6</v>
      </c>
      <c r="H3177" s="2" t="s">
        <v>832</v>
      </c>
    </row>
    <row r="3178" customFormat="false" ht="15" hidden="false" customHeight="false" outlineLevel="0" collapsed="false">
      <c r="A3178" s="2" t="s">
        <v>2390</v>
      </c>
      <c r="B3178" s="2" t="s">
        <v>4291</v>
      </c>
      <c r="C3178" s="2" t="s">
        <v>4275</v>
      </c>
      <c r="D3178" s="2"/>
      <c r="E3178" s="31" t="n">
        <v>49.5</v>
      </c>
      <c r="F3178" s="31" t="n">
        <v>26</v>
      </c>
      <c r="G3178" s="31" t="n">
        <v>94.6</v>
      </c>
      <c r="H3178" s="2" t="s">
        <v>832</v>
      </c>
    </row>
    <row r="3179" customFormat="false" ht="15" hidden="false" customHeight="false" outlineLevel="0" collapsed="false">
      <c r="A3179" s="2" t="s">
        <v>2390</v>
      </c>
      <c r="B3179" s="2" t="s">
        <v>45</v>
      </c>
      <c r="C3179" s="2" t="s">
        <v>4274</v>
      </c>
      <c r="D3179" s="11" t="n">
        <v>93064</v>
      </c>
      <c r="E3179" s="31" t="n">
        <v>38.7</v>
      </c>
      <c r="F3179" s="31" t="n">
        <v>7.3</v>
      </c>
      <c r="G3179" s="31" t="n">
        <v>52.2</v>
      </c>
      <c r="H3179" s="2" t="s">
        <v>822</v>
      </c>
    </row>
    <row r="3180" customFormat="false" ht="15" hidden="false" customHeight="false" outlineLevel="0" collapsed="false">
      <c r="A3180" s="2" t="s">
        <v>2390</v>
      </c>
      <c r="B3180" s="2" t="s">
        <v>45</v>
      </c>
      <c r="C3180" s="2" t="s">
        <v>4275</v>
      </c>
      <c r="D3180" s="2"/>
      <c r="E3180" s="2"/>
      <c r="F3180" s="2"/>
      <c r="G3180" s="2"/>
      <c r="H3180" s="2" t="s">
        <v>832</v>
      </c>
    </row>
    <row r="3181" customFormat="false" ht="15" hidden="false" customHeight="false" outlineLevel="0" collapsed="false">
      <c r="A3181" s="2" t="s">
        <v>2390</v>
      </c>
      <c r="B3181" s="2" t="s">
        <v>46</v>
      </c>
      <c r="C3181" s="2" t="s">
        <v>4274</v>
      </c>
      <c r="D3181" s="11" t="n">
        <v>4110</v>
      </c>
      <c r="E3181" s="31" t="n">
        <v>47.9</v>
      </c>
      <c r="F3181" s="2"/>
      <c r="G3181" s="31" t="n">
        <v>30.6</v>
      </c>
      <c r="H3181" s="2" t="s">
        <v>832</v>
      </c>
    </row>
    <row r="3182" customFormat="false" ht="15" hidden="false" customHeight="false" outlineLevel="0" collapsed="false">
      <c r="A3182" s="2" t="s">
        <v>2390</v>
      </c>
      <c r="B3182" s="2" t="s">
        <v>46</v>
      </c>
      <c r="C3182" s="2" t="s">
        <v>4275</v>
      </c>
      <c r="D3182" s="11" t="n">
        <v>4301</v>
      </c>
      <c r="E3182" s="31" t="n">
        <v>26.7</v>
      </c>
      <c r="F3182" s="31" t="n">
        <v>5.7</v>
      </c>
      <c r="G3182" s="2"/>
      <c r="H3182" s="2" t="s">
        <v>832</v>
      </c>
    </row>
    <row r="3183" customFormat="false" ht="15" hidden="false" customHeight="false" outlineLevel="0" collapsed="false">
      <c r="A3183" s="2" t="s">
        <v>2390</v>
      </c>
      <c r="B3183" s="2" t="s">
        <v>47</v>
      </c>
      <c r="C3183" s="2" t="s">
        <v>4274</v>
      </c>
      <c r="D3183" s="11" t="n">
        <v>47216</v>
      </c>
      <c r="E3183" s="31" t="n">
        <v>49.3</v>
      </c>
      <c r="F3183" s="31" t="n">
        <v>65.4</v>
      </c>
      <c r="G3183" s="31" t="n">
        <v>90.1</v>
      </c>
      <c r="H3183" s="2" t="s">
        <v>822</v>
      </c>
    </row>
    <row r="3184" customFormat="false" ht="15" hidden="false" customHeight="false" outlineLevel="0" collapsed="false">
      <c r="A3184" s="2" t="s">
        <v>2390</v>
      </c>
      <c r="B3184" s="2" t="s">
        <v>47</v>
      </c>
      <c r="C3184" s="2" t="s">
        <v>4275</v>
      </c>
      <c r="D3184" s="11" t="n">
        <v>49720</v>
      </c>
      <c r="E3184" s="31" t="n">
        <v>72.3</v>
      </c>
      <c r="F3184" s="31" t="n">
        <v>46.4</v>
      </c>
      <c r="G3184" s="31" t="n">
        <v>94.6</v>
      </c>
      <c r="H3184" s="2" t="s">
        <v>822</v>
      </c>
    </row>
    <row r="3185" customFormat="false" ht="15" hidden="false" customHeight="false" outlineLevel="0" collapsed="false">
      <c r="A3185" s="2" t="s">
        <v>2830</v>
      </c>
      <c r="B3185" s="2" t="s">
        <v>4291</v>
      </c>
      <c r="C3185" s="2" t="s">
        <v>4274</v>
      </c>
      <c r="D3185" s="2"/>
      <c r="E3185" s="31" t="n">
        <v>17.2</v>
      </c>
      <c r="F3185" s="31" t="n">
        <v>66.4</v>
      </c>
      <c r="G3185" s="31" t="n">
        <v>41.9</v>
      </c>
      <c r="H3185" s="2" t="s">
        <v>822</v>
      </c>
    </row>
    <row r="3186" customFormat="false" ht="15" hidden="false" customHeight="false" outlineLevel="0" collapsed="false">
      <c r="A3186" s="2" t="s">
        <v>2830</v>
      </c>
      <c r="B3186" s="2" t="s">
        <v>4291</v>
      </c>
      <c r="C3186" s="2" t="s">
        <v>4275</v>
      </c>
      <c r="D3186" s="2"/>
      <c r="E3186" s="31" t="n">
        <v>18.3</v>
      </c>
      <c r="F3186" s="31" t="n">
        <v>62.4</v>
      </c>
      <c r="G3186" s="31" t="n">
        <v>90.7</v>
      </c>
      <c r="H3186" s="2" t="s">
        <v>832</v>
      </c>
    </row>
    <row r="3187" customFormat="false" ht="15" hidden="false" customHeight="false" outlineLevel="0" collapsed="false">
      <c r="A3187" s="2" t="s">
        <v>2830</v>
      </c>
      <c r="B3187" s="2" t="s">
        <v>45</v>
      </c>
      <c r="C3187" s="2" t="s">
        <v>4274</v>
      </c>
      <c r="D3187" s="11" t="n">
        <v>275847</v>
      </c>
      <c r="E3187" s="31" t="n">
        <v>24.4</v>
      </c>
      <c r="F3187" s="31" t="n">
        <v>65.8</v>
      </c>
      <c r="G3187" s="31" t="n">
        <v>22.7</v>
      </c>
      <c r="H3187" s="2" t="s">
        <v>822</v>
      </c>
    </row>
    <row r="3188" customFormat="false" ht="15" hidden="false" customHeight="false" outlineLevel="0" collapsed="false">
      <c r="A3188" s="2" t="s">
        <v>2830</v>
      </c>
      <c r="B3188" s="2" t="s">
        <v>45</v>
      </c>
      <c r="C3188" s="2" t="s">
        <v>4275</v>
      </c>
      <c r="D3188" s="11" t="n">
        <v>283730</v>
      </c>
      <c r="E3188" s="31" t="n">
        <v>16.1</v>
      </c>
      <c r="F3188" s="31" t="n">
        <v>46.4</v>
      </c>
      <c r="G3188" s="2"/>
      <c r="H3188" s="2" t="s">
        <v>832</v>
      </c>
    </row>
    <row r="3189" customFormat="false" ht="15" hidden="false" customHeight="false" outlineLevel="0" collapsed="false">
      <c r="A3189" s="2" t="s">
        <v>2830</v>
      </c>
      <c r="B3189" s="2" t="s">
        <v>46</v>
      </c>
      <c r="C3189" s="2" t="s">
        <v>4274</v>
      </c>
      <c r="D3189" s="11" t="n">
        <v>42904</v>
      </c>
      <c r="E3189" s="31" t="n">
        <v>23.5</v>
      </c>
      <c r="F3189" s="31" t="n">
        <v>67.4</v>
      </c>
      <c r="G3189" s="31" t="n">
        <v>21</v>
      </c>
      <c r="H3189" s="2" t="s">
        <v>822</v>
      </c>
    </row>
    <row r="3190" customFormat="false" ht="15" hidden="false" customHeight="false" outlineLevel="0" collapsed="false">
      <c r="A3190" s="2" t="s">
        <v>2830</v>
      </c>
      <c r="B3190" s="2" t="s">
        <v>46</v>
      </c>
      <c r="C3190" s="2" t="s">
        <v>4275</v>
      </c>
      <c r="D3190" s="11" t="n">
        <v>44107</v>
      </c>
      <c r="E3190" s="31" t="n">
        <v>32.4</v>
      </c>
      <c r="F3190" s="31" t="n">
        <v>69.1</v>
      </c>
      <c r="G3190" s="2"/>
      <c r="H3190" s="2" t="s">
        <v>832</v>
      </c>
    </row>
    <row r="3191" customFormat="false" ht="15" hidden="false" customHeight="false" outlineLevel="0" collapsed="false">
      <c r="A3191" s="2" t="s">
        <v>2830</v>
      </c>
      <c r="B3191" s="2" t="s">
        <v>47</v>
      </c>
      <c r="C3191" s="2" t="s">
        <v>4274</v>
      </c>
      <c r="D3191" s="11" t="n">
        <v>20395</v>
      </c>
      <c r="E3191" s="31" t="n">
        <v>3.8</v>
      </c>
      <c r="F3191" s="31" t="n">
        <v>66</v>
      </c>
      <c r="G3191" s="31" t="n">
        <v>82</v>
      </c>
      <c r="H3191" s="2" t="s">
        <v>822</v>
      </c>
    </row>
    <row r="3192" customFormat="false" ht="15" hidden="false" customHeight="false" outlineLevel="0" collapsed="false">
      <c r="A3192" s="2" t="s">
        <v>2830</v>
      </c>
      <c r="B3192" s="2" t="s">
        <v>47</v>
      </c>
      <c r="C3192" s="2" t="s">
        <v>4275</v>
      </c>
      <c r="D3192" s="11" t="n">
        <v>21368</v>
      </c>
      <c r="E3192" s="31" t="n">
        <v>6.3</v>
      </c>
      <c r="F3192" s="31" t="n">
        <v>71.8</v>
      </c>
      <c r="G3192" s="31" t="n">
        <v>90.7</v>
      </c>
      <c r="H3192" s="2" t="s">
        <v>822</v>
      </c>
    </row>
    <row r="3193" customFormat="false" ht="15" hidden="false" customHeight="false" outlineLevel="0" collapsed="false">
      <c r="A3193" s="2" t="s">
        <v>1417</v>
      </c>
      <c r="B3193" s="2" t="s">
        <v>4291</v>
      </c>
      <c r="C3193" s="2" t="s">
        <v>4274</v>
      </c>
      <c r="D3193" s="2"/>
      <c r="E3193" s="31" t="n">
        <v>45.6</v>
      </c>
      <c r="F3193" s="31" t="n">
        <v>54.7</v>
      </c>
      <c r="G3193" s="31" t="n">
        <v>27.5</v>
      </c>
      <c r="H3193" s="2" t="s">
        <v>822</v>
      </c>
    </row>
    <row r="3194" customFormat="false" ht="15" hidden="false" customHeight="false" outlineLevel="0" collapsed="false">
      <c r="A3194" s="2" t="s">
        <v>1417</v>
      </c>
      <c r="B3194" s="2" t="s">
        <v>4291</v>
      </c>
      <c r="C3194" s="2" t="s">
        <v>4275</v>
      </c>
      <c r="D3194" s="2"/>
      <c r="E3194" s="31" t="n">
        <v>47</v>
      </c>
      <c r="F3194" s="31" t="n">
        <v>53.9</v>
      </c>
      <c r="G3194" s="31" t="n">
        <v>49.6</v>
      </c>
      <c r="H3194" s="2" t="s">
        <v>832</v>
      </c>
    </row>
    <row r="3195" customFormat="false" ht="15" hidden="false" customHeight="false" outlineLevel="0" collapsed="false">
      <c r="A3195" s="2" t="s">
        <v>1417</v>
      </c>
      <c r="B3195" s="2" t="s">
        <v>45</v>
      </c>
      <c r="C3195" s="2" t="s">
        <v>4274</v>
      </c>
      <c r="D3195" s="11" t="n">
        <v>100533</v>
      </c>
      <c r="E3195" s="31" t="n">
        <v>54.7</v>
      </c>
      <c r="F3195" s="31" t="n">
        <v>50</v>
      </c>
      <c r="G3195" s="31" t="n">
        <v>73.4</v>
      </c>
      <c r="H3195" s="2" t="s">
        <v>822</v>
      </c>
    </row>
    <row r="3196" customFormat="false" ht="15" hidden="false" customHeight="false" outlineLevel="0" collapsed="false">
      <c r="A3196" s="2" t="s">
        <v>1417</v>
      </c>
      <c r="B3196" s="2" t="s">
        <v>45</v>
      </c>
      <c r="C3196" s="2" t="s">
        <v>4275</v>
      </c>
      <c r="D3196" s="11" t="n">
        <v>101460</v>
      </c>
      <c r="E3196" s="31" t="n">
        <v>25.3</v>
      </c>
      <c r="F3196" s="31" t="n">
        <v>53.6</v>
      </c>
      <c r="G3196" s="31" t="n">
        <v>85.3</v>
      </c>
      <c r="H3196" s="2" t="s">
        <v>822</v>
      </c>
    </row>
    <row r="3197" customFormat="false" ht="15" hidden="false" customHeight="false" outlineLevel="0" collapsed="false">
      <c r="A3197" s="2" t="s">
        <v>1417</v>
      </c>
      <c r="B3197" s="2" t="s">
        <v>46</v>
      </c>
      <c r="C3197" s="2" t="s">
        <v>4274</v>
      </c>
      <c r="D3197" s="11" t="n">
        <v>18170</v>
      </c>
      <c r="E3197" s="31" t="n">
        <v>54.4</v>
      </c>
      <c r="F3197" s="31" t="n">
        <v>77.2</v>
      </c>
      <c r="G3197" s="31" t="n">
        <v>0.2</v>
      </c>
      <c r="H3197" s="2" t="s">
        <v>822</v>
      </c>
    </row>
    <row r="3198" customFormat="false" ht="15" hidden="false" customHeight="false" outlineLevel="0" collapsed="false">
      <c r="A3198" s="2" t="s">
        <v>1417</v>
      </c>
      <c r="B3198" s="2" t="s">
        <v>46</v>
      </c>
      <c r="C3198" s="2" t="s">
        <v>4275</v>
      </c>
      <c r="D3198" s="11" t="n">
        <v>19320</v>
      </c>
      <c r="E3198" s="31" t="n">
        <v>60.9</v>
      </c>
      <c r="F3198" s="31" t="n">
        <v>82.2</v>
      </c>
      <c r="G3198" s="2"/>
      <c r="H3198" s="2" t="s">
        <v>832</v>
      </c>
    </row>
    <row r="3199" customFormat="false" ht="15" hidden="false" customHeight="false" outlineLevel="0" collapsed="false">
      <c r="A3199" s="2" t="s">
        <v>1417</v>
      </c>
      <c r="B3199" s="2" t="s">
        <v>47</v>
      </c>
      <c r="C3199" s="2" t="s">
        <v>4274</v>
      </c>
      <c r="D3199" s="11" t="n">
        <v>72634</v>
      </c>
      <c r="E3199" s="31" t="n">
        <v>27.7</v>
      </c>
      <c r="F3199" s="31" t="n">
        <v>36.9</v>
      </c>
      <c r="G3199" s="31" t="n">
        <v>9</v>
      </c>
      <c r="H3199" s="2" t="s">
        <v>822</v>
      </c>
    </row>
    <row r="3200" customFormat="false" ht="15" hidden="false" customHeight="false" outlineLevel="0" collapsed="false">
      <c r="A3200" s="2" t="s">
        <v>1417</v>
      </c>
      <c r="B3200" s="2" t="s">
        <v>47</v>
      </c>
      <c r="C3200" s="2" t="s">
        <v>4275</v>
      </c>
      <c r="D3200" s="11" t="n">
        <v>73570</v>
      </c>
      <c r="E3200" s="31" t="n">
        <v>54.7</v>
      </c>
      <c r="F3200" s="31" t="n">
        <v>26</v>
      </c>
      <c r="G3200" s="31" t="n">
        <v>14</v>
      </c>
      <c r="H3200" s="2" t="s">
        <v>822</v>
      </c>
    </row>
    <row r="3201" customFormat="false" ht="15" hidden="false" customHeight="false" outlineLevel="0" collapsed="false">
      <c r="A3201" s="2" t="s">
        <v>1482</v>
      </c>
      <c r="B3201" s="2" t="s">
        <v>4291</v>
      </c>
      <c r="C3201" s="2" t="s">
        <v>4274</v>
      </c>
      <c r="D3201" s="2"/>
      <c r="E3201" s="31" t="n">
        <v>21.6</v>
      </c>
      <c r="F3201" s="31" t="n">
        <v>14.8</v>
      </c>
      <c r="G3201" s="31" t="n">
        <v>20.6</v>
      </c>
      <c r="H3201" s="2" t="s">
        <v>832</v>
      </c>
    </row>
    <row r="3202" customFormat="false" ht="15" hidden="false" customHeight="false" outlineLevel="0" collapsed="false">
      <c r="A3202" s="2" t="s">
        <v>1482</v>
      </c>
      <c r="B3202" s="2" t="s">
        <v>4291</v>
      </c>
      <c r="C3202" s="2" t="s">
        <v>4275</v>
      </c>
      <c r="D3202" s="2"/>
      <c r="E3202" s="31" t="n">
        <v>37.4</v>
      </c>
      <c r="F3202" s="31" t="n">
        <v>30.8</v>
      </c>
      <c r="G3202" s="31" t="n">
        <v>30.9</v>
      </c>
      <c r="H3202" s="2" t="s">
        <v>832</v>
      </c>
    </row>
    <row r="3203" customFormat="false" ht="15" hidden="false" customHeight="false" outlineLevel="0" collapsed="false">
      <c r="A3203" s="2" t="s">
        <v>1482</v>
      </c>
      <c r="B3203" s="2" t="s">
        <v>45</v>
      </c>
      <c r="C3203" s="2" t="s">
        <v>4274</v>
      </c>
      <c r="D3203" s="11" t="n">
        <v>31868</v>
      </c>
      <c r="E3203" s="31" t="n">
        <v>8</v>
      </c>
      <c r="F3203" s="31" t="n">
        <v>12.8</v>
      </c>
      <c r="G3203" s="31" t="n">
        <v>12</v>
      </c>
      <c r="H3203" s="2" t="s">
        <v>822</v>
      </c>
    </row>
    <row r="3204" customFormat="false" ht="15" hidden="false" customHeight="false" outlineLevel="0" collapsed="false">
      <c r="A3204" s="2" t="s">
        <v>1482</v>
      </c>
      <c r="B3204" s="2" t="s">
        <v>45</v>
      </c>
      <c r="C3204" s="2" t="s">
        <v>4275</v>
      </c>
      <c r="D3204" s="11" t="n">
        <v>32110</v>
      </c>
      <c r="E3204" s="31" t="n">
        <v>14.7</v>
      </c>
      <c r="F3204" s="31" t="n">
        <v>43.6</v>
      </c>
      <c r="G3204" s="31" t="n">
        <v>23.1</v>
      </c>
      <c r="H3204" s="2" t="s">
        <v>822</v>
      </c>
    </row>
    <row r="3205" customFormat="false" ht="15" hidden="false" customHeight="false" outlineLevel="0" collapsed="false">
      <c r="A3205" s="2" t="s">
        <v>1482</v>
      </c>
      <c r="B3205" s="2" t="s">
        <v>46</v>
      </c>
      <c r="C3205" s="2" t="s">
        <v>4274</v>
      </c>
      <c r="D3205" s="2"/>
      <c r="E3205" s="2"/>
      <c r="F3205" s="2"/>
      <c r="G3205" s="2"/>
      <c r="H3205" s="2" t="s">
        <v>832</v>
      </c>
    </row>
    <row r="3206" customFormat="false" ht="15" hidden="false" customHeight="false" outlineLevel="0" collapsed="false">
      <c r="A3206" s="2" t="s">
        <v>1482</v>
      </c>
      <c r="B3206" s="2" t="s">
        <v>46</v>
      </c>
      <c r="C3206" s="2" t="s">
        <v>4275</v>
      </c>
      <c r="D3206" s="11" t="n">
        <v>2380</v>
      </c>
      <c r="E3206" s="31" t="n">
        <v>54</v>
      </c>
      <c r="F3206" s="2"/>
      <c r="G3206" s="31" t="n">
        <v>10.4</v>
      </c>
      <c r="H3206" s="2" t="s">
        <v>832</v>
      </c>
    </row>
    <row r="3207" customFormat="false" ht="15" hidden="false" customHeight="false" outlineLevel="0" collapsed="false">
      <c r="A3207" s="2" t="s">
        <v>1482</v>
      </c>
      <c r="B3207" s="2" t="s">
        <v>47</v>
      </c>
      <c r="C3207" s="2" t="s">
        <v>4274</v>
      </c>
      <c r="D3207" s="11" t="n">
        <v>10388</v>
      </c>
      <c r="E3207" s="31" t="n">
        <v>35.3</v>
      </c>
      <c r="F3207" s="31" t="n">
        <v>16.7</v>
      </c>
      <c r="G3207" s="31" t="n">
        <v>29.1</v>
      </c>
      <c r="H3207" s="2" t="s">
        <v>822</v>
      </c>
    </row>
    <row r="3208" customFormat="false" ht="15" hidden="false" customHeight="false" outlineLevel="0" collapsed="false">
      <c r="A3208" s="2" t="s">
        <v>1482</v>
      </c>
      <c r="B3208" s="2" t="s">
        <v>47</v>
      </c>
      <c r="C3208" s="2" t="s">
        <v>4275</v>
      </c>
      <c r="D3208" s="11" t="n">
        <v>10840</v>
      </c>
      <c r="E3208" s="31" t="n">
        <v>43.6</v>
      </c>
      <c r="F3208" s="31" t="n">
        <v>17.9</v>
      </c>
      <c r="G3208" s="31" t="n">
        <v>59.3</v>
      </c>
      <c r="H3208" s="2" t="s">
        <v>822</v>
      </c>
    </row>
    <row r="3209" customFormat="false" ht="15" hidden="false" customHeight="false" outlineLevel="0" collapsed="false">
      <c r="A3209" s="2" t="s">
        <v>596</v>
      </c>
      <c r="B3209" s="2" t="s">
        <v>4291</v>
      </c>
      <c r="C3209" s="2" t="s">
        <v>4274</v>
      </c>
      <c r="D3209" s="2"/>
      <c r="E3209" s="31" t="n">
        <v>37.6</v>
      </c>
      <c r="F3209" s="31" t="n">
        <v>27.1</v>
      </c>
      <c r="G3209" s="31" t="n">
        <v>58.1</v>
      </c>
      <c r="H3209" s="2" t="s">
        <v>822</v>
      </c>
    </row>
    <row r="3210" customFormat="false" ht="15" hidden="false" customHeight="false" outlineLevel="0" collapsed="false">
      <c r="A3210" s="2" t="s">
        <v>596</v>
      </c>
      <c r="B3210" s="2" t="s">
        <v>4291</v>
      </c>
      <c r="C3210" s="2" t="s">
        <v>4275</v>
      </c>
      <c r="D3210" s="2"/>
      <c r="E3210" s="31" t="n">
        <v>39.2</v>
      </c>
      <c r="F3210" s="31" t="n">
        <v>32.6</v>
      </c>
      <c r="G3210" s="31" t="n">
        <v>24.5</v>
      </c>
      <c r="H3210" s="2" t="s">
        <v>822</v>
      </c>
    </row>
    <row r="3211" customFormat="false" ht="15" hidden="false" customHeight="false" outlineLevel="0" collapsed="false">
      <c r="A3211" s="2" t="s">
        <v>596</v>
      </c>
      <c r="B3211" s="2" t="s">
        <v>45</v>
      </c>
      <c r="C3211" s="2" t="s">
        <v>4274</v>
      </c>
      <c r="D3211" s="11" t="n">
        <v>39120</v>
      </c>
      <c r="E3211" s="31" t="n">
        <v>86.6</v>
      </c>
      <c r="F3211" s="31" t="n">
        <v>53.3</v>
      </c>
      <c r="G3211" s="31" t="n">
        <v>86.6</v>
      </c>
      <c r="H3211" s="2" t="s">
        <v>822</v>
      </c>
    </row>
    <row r="3212" customFormat="false" ht="15" hidden="false" customHeight="false" outlineLevel="0" collapsed="false">
      <c r="A3212" s="2" t="s">
        <v>596</v>
      </c>
      <c r="B3212" s="2" t="s">
        <v>45</v>
      </c>
      <c r="C3212" s="2" t="s">
        <v>4275</v>
      </c>
      <c r="D3212" s="11" t="n">
        <v>41370</v>
      </c>
      <c r="E3212" s="31" t="n">
        <v>81.1</v>
      </c>
      <c r="F3212" s="31" t="n">
        <v>76.3</v>
      </c>
      <c r="G3212" s="31" t="n">
        <v>11.2</v>
      </c>
      <c r="H3212" s="2" t="s">
        <v>822</v>
      </c>
    </row>
    <row r="3213" customFormat="false" ht="15" hidden="false" customHeight="false" outlineLevel="0" collapsed="false">
      <c r="A3213" s="2" t="s">
        <v>596</v>
      </c>
      <c r="B3213" s="2" t="s">
        <v>46</v>
      </c>
      <c r="C3213" s="2" t="s">
        <v>4274</v>
      </c>
      <c r="D3213" s="11" t="n">
        <v>155610</v>
      </c>
      <c r="E3213" s="31" t="n">
        <v>14.7</v>
      </c>
      <c r="F3213" s="31" t="n">
        <v>21.2</v>
      </c>
      <c r="G3213" s="31" t="n">
        <v>75.8</v>
      </c>
      <c r="H3213" s="2" t="s">
        <v>822</v>
      </c>
    </row>
    <row r="3214" customFormat="false" ht="15" hidden="false" customHeight="false" outlineLevel="0" collapsed="false">
      <c r="A3214" s="2" t="s">
        <v>596</v>
      </c>
      <c r="B3214" s="2" t="s">
        <v>46</v>
      </c>
      <c r="C3214" s="2" t="s">
        <v>4275</v>
      </c>
      <c r="D3214" s="11" t="n">
        <v>155540</v>
      </c>
      <c r="E3214" s="31" t="n">
        <v>31.4</v>
      </c>
      <c r="F3214" s="31" t="n">
        <v>12.7</v>
      </c>
      <c r="G3214" s="31" t="n">
        <v>57.4</v>
      </c>
      <c r="H3214" s="2" t="s">
        <v>822</v>
      </c>
    </row>
    <row r="3215" customFormat="false" ht="15" hidden="false" customHeight="false" outlineLevel="0" collapsed="false">
      <c r="A3215" s="2" t="s">
        <v>596</v>
      </c>
      <c r="B3215" s="2" t="s">
        <v>47</v>
      </c>
      <c r="C3215" s="2" t="s">
        <v>4274</v>
      </c>
      <c r="D3215" s="11" t="n">
        <v>8323</v>
      </c>
      <c r="E3215" s="31" t="n">
        <v>11.4</v>
      </c>
      <c r="F3215" s="31" t="n">
        <v>6.7</v>
      </c>
      <c r="G3215" s="31" t="n">
        <v>12</v>
      </c>
      <c r="H3215" s="2" t="s">
        <v>822</v>
      </c>
    </row>
    <row r="3216" customFormat="false" ht="15" hidden="false" customHeight="false" outlineLevel="0" collapsed="false">
      <c r="A3216" s="2" t="s">
        <v>596</v>
      </c>
      <c r="B3216" s="2" t="s">
        <v>47</v>
      </c>
      <c r="C3216" s="2" t="s">
        <v>4275</v>
      </c>
      <c r="D3216" s="11" t="n">
        <v>8358</v>
      </c>
      <c r="E3216" s="31" t="n">
        <v>5.1</v>
      </c>
      <c r="F3216" s="31" t="n">
        <v>8.8</v>
      </c>
      <c r="G3216" s="31" t="n">
        <v>4.8</v>
      </c>
      <c r="H3216" s="2" t="s">
        <v>822</v>
      </c>
    </row>
    <row r="3217" customFormat="false" ht="15" hidden="false" customHeight="false" outlineLevel="0" collapsed="false">
      <c r="A3217" s="2" t="s">
        <v>1219</v>
      </c>
      <c r="B3217" s="2" t="s">
        <v>4291</v>
      </c>
      <c r="C3217" s="2" t="s">
        <v>4274</v>
      </c>
      <c r="D3217" s="2"/>
      <c r="E3217" s="31" t="n">
        <v>38.8</v>
      </c>
      <c r="F3217" s="31" t="n">
        <v>37.8</v>
      </c>
      <c r="G3217" s="31" t="n">
        <v>29.6</v>
      </c>
      <c r="H3217" s="2" t="s">
        <v>832</v>
      </c>
    </row>
    <row r="3218" customFormat="false" ht="15" hidden="false" customHeight="false" outlineLevel="0" collapsed="false">
      <c r="A3218" s="2" t="s">
        <v>1219</v>
      </c>
      <c r="B3218" s="2" t="s">
        <v>4291</v>
      </c>
      <c r="C3218" s="2" t="s">
        <v>4275</v>
      </c>
      <c r="D3218" s="2"/>
      <c r="E3218" s="31" t="n">
        <v>46.8</v>
      </c>
      <c r="F3218" s="31" t="n">
        <v>30.4</v>
      </c>
      <c r="G3218" s="31" t="n">
        <v>38</v>
      </c>
      <c r="H3218" s="2" t="s">
        <v>832</v>
      </c>
    </row>
    <row r="3219" customFormat="false" ht="15" hidden="false" customHeight="false" outlineLevel="0" collapsed="false">
      <c r="A3219" s="2" t="s">
        <v>1219</v>
      </c>
      <c r="B3219" s="2" t="s">
        <v>45</v>
      </c>
      <c r="C3219" s="2" t="s">
        <v>4274</v>
      </c>
      <c r="D3219" s="11" t="n">
        <v>41600</v>
      </c>
      <c r="E3219" s="31" t="n">
        <v>41.2</v>
      </c>
      <c r="F3219" s="31" t="n">
        <v>0.4</v>
      </c>
      <c r="G3219" s="31" t="n">
        <v>61.5</v>
      </c>
      <c r="H3219" s="2" t="s">
        <v>822</v>
      </c>
    </row>
    <row r="3220" customFormat="false" ht="15" hidden="false" customHeight="false" outlineLevel="0" collapsed="false">
      <c r="A3220" s="2" t="s">
        <v>1219</v>
      </c>
      <c r="B3220" s="2" t="s">
        <v>45</v>
      </c>
      <c r="C3220" s="2" t="s">
        <v>4275</v>
      </c>
      <c r="D3220" s="11" t="n">
        <v>39150</v>
      </c>
      <c r="E3220" s="31" t="n">
        <v>51.6</v>
      </c>
      <c r="F3220" s="31" t="n">
        <v>0.7</v>
      </c>
      <c r="G3220" s="31" t="n">
        <v>71.3</v>
      </c>
      <c r="H3220" s="2" t="s">
        <v>822</v>
      </c>
    </row>
    <row r="3221" customFormat="false" ht="15" hidden="false" customHeight="false" outlineLevel="0" collapsed="false">
      <c r="A3221" s="2" t="s">
        <v>1219</v>
      </c>
      <c r="B3221" s="2" t="s">
        <v>46</v>
      </c>
      <c r="C3221" s="2" t="s">
        <v>4274</v>
      </c>
      <c r="D3221" s="11" t="n">
        <v>6000</v>
      </c>
      <c r="E3221" s="31" t="n">
        <v>63.2</v>
      </c>
      <c r="F3221" s="2"/>
      <c r="G3221" s="31" t="n">
        <v>5.5</v>
      </c>
      <c r="H3221" s="2" t="s">
        <v>832</v>
      </c>
    </row>
    <row r="3222" customFormat="false" ht="15" hidden="false" customHeight="false" outlineLevel="0" collapsed="false">
      <c r="A3222" s="2" t="s">
        <v>1219</v>
      </c>
      <c r="B3222" s="2" t="s">
        <v>46</v>
      </c>
      <c r="C3222" s="2" t="s">
        <v>4275</v>
      </c>
      <c r="D3222" s="11" t="n">
        <v>6236</v>
      </c>
      <c r="E3222" s="31" t="n">
        <v>63.1</v>
      </c>
      <c r="F3222" s="31" t="n">
        <v>20.8</v>
      </c>
      <c r="G3222" s="2"/>
      <c r="H3222" s="2" t="s">
        <v>832</v>
      </c>
    </row>
    <row r="3223" customFormat="false" ht="15" hidden="false" customHeight="false" outlineLevel="0" collapsed="false">
      <c r="A3223" s="2" t="s">
        <v>1219</v>
      </c>
      <c r="B3223" s="2" t="s">
        <v>47</v>
      </c>
      <c r="C3223" s="2" t="s">
        <v>4274</v>
      </c>
      <c r="D3223" s="11" t="n">
        <v>509600</v>
      </c>
      <c r="E3223" s="31" t="n">
        <v>12.1</v>
      </c>
      <c r="F3223" s="31" t="n">
        <v>75.3</v>
      </c>
      <c r="G3223" s="31" t="n">
        <v>21.7</v>
      </c>
      <c r="H3223" s="2" t="s">
        <v>822</v>
      </c>
    </row>
    <row r="3224" customFormat="false" ht="15" hidden="false" customHeight="false" outlineLevel="0" collapsed="false">
      <c r="A3224" s="2" t="s">
        <v>1219</v>
      </c>
      <c r="B3224" s="2" t="s">
        <v>47</v>
      </c>
      <c r="C3224" s="2" t="s">
        <v>4275</v>
      </c>
      <c r="D3224" s="11" t="n">
        <v>521750</v>
      </c>
      <c r="E3224" s="31" t="n">
        <v>25.6</v>
      </c>
      <c r="F3224" s="31" t="n">
        <v>69.6</v>
      </c>
      <c r="G3224" s="31" t="n">
        <v>4.7</v>
      </c>
      <c r="H3224" s="2" t="s">
        <v>822</v>
      </c>
    </row>
    <row r="3225" customFormat="false" ht="15" hidden="false" customHeight="false" outlineLevel="0" collapsed="false">
      <c r="A3225" s="2" t="s">
        <v>402</v>
      </c>
      <c r="B3225" s="2" t="s">
        <v>4291</v>
      </c>
      <c r="C3225" s="2" t="s">
        <v>4274</v>
      </c>
      <c r="D3225" s="2"/>
      <c r="E3225" s="31" t="n">
        <v>19.4</v>
      </c>
      <c r="F3225" s="31" t="n">
        <v>70.8</v>
      </c>
      <c r="G3225" s="31" t="n">
        <v>24.3</v>
      </c>
      <c r="H3225" s="2" t="s">
        <v>832</v>
      </c>
    </row>
    <row r="3226" customFormat="false" ht="15" hidden="false" customHeight="false" outlineLevel="0" collapsed="false">
      <c r="A3226" s="2" t="s">
        <v>402</v>
      </c>
      <c r="B3226" s="2" t="s">
        <v>4291</v>
      </c>
      <c r="C3226" s="2" t="s">
        <v>4275</v>
      </c>
      <c r="D3226" s="2"/>
      <c r="E3226" s="31" t="n">
        <v>54.9</v>
      </c>
      <c r="F3226" s="31" t="n">
        <v>40.9</v>
      </c>
      <c r="G3226" s="31" t="n">
        <v>13.8</v>
      </c>
      <c r="H3226" s="2" t="s">
        <v>822</v>
      </c>
    </row>
    <row r="3227" customFormat="false" ht="15" hidden="false" customHeight="false" outlineLevel="0" collapsed="false">
      <c r="A3227" s="2" t="s">
        <v>402</v>
      </c>
      <c r="B3227" s="2" t="s">
        <v>45</v>
      </c>
      <c r="C3227" s="2" t="s">
        <v>4274</v>
      </c>
      <c r="D3227" s="2"/>
      <c r="E3227" s="2"/>
      <c r="F3227" s="2"/>
      <c r="G3227" s="2"/>
      <c r="H3227" s="2" t="s">
        <v>832</v>
      </c>
    </row>
    <row r="3228" customFormat="false" ht="15" hidden="false" customHeight="false" outlineLevel="0" collapsed="false">
      <c r="A3228" s="2" t="s">
        <v>402</v>
      </c>
      <c r="B3228" s="2" t="s">
        <v>45</v>
      </c>
      <c r="C3228" s="2" t="s">
        <v>4275</v>
      </c>
      <c r="D3228" s="11" t="n">
        <v>280270</v>
      </c>
      <c r="E3228" s="31" t="n">
        <v>98.3</v>
      </c>
      <c r="F3228" s="31" t="n">
        <v>1.4</v>
      </c>
      <c r="G3228" s="31" t="n">
        <v>17.2</v>
      </c>
      <c r="H3228" s="2" t="s">
        <v>822</v>
      </c>
    </row>
    <row r="3229" customFormat="false" ht="15" hidden="false" customHeight="false" outlineLevel="0" collapsed="false">
      <c r="A3229" s="2" t="s">
        <v>402</v>
      </c>
      <c r="B3229" s="2" t="s">
        <v>46</v>
      </c>
      <c r="C3229" s="2" t="s">
        <v>4274</v>
      </c>
      <c r="D3229" s="11" t="n">
        <v>105400</v>
      </c>
      <c r="E3229" s="31" t="n">
        <v>30.1</v>
      </c>
      <c r="F3229" s="31" t="n">
        <v>69.2</v>
      </c>
      <c r="G3229" s="31" t="n">
        <v>32.4</v>
      </c>
      <c r="H3229" s="2" t="s">
        <v>822</v>
      </c>
    </row>
    <row r="3230" customFormat="false" ht="15" hidden="false" customHeight="false" outlineLevel="0" collapsed="false">
      <c r="A3230" s="2" t="s">
        <v>402</v>
      </c>
      <c r="B3230" s="2" t="s">
        <v>46</v>
      </c>
      <c r="C3230" s="2" t="s">
        <v>4275</v>
      </c>
      <c r="D3230" s="11" t="n">
        <v>109220</v>
      </c>
      <c r="E3230" s="31" t="n">
        <v>43.4</v>
      </c>
      <c r="F3230" s="31" t="n">
        <v>68.8</v>
      </c>
      <c r="G3230" s="31" t="n">
        <v>21.2</v>
      </c>
      <c r="H3230" s="2" t="s">
        <v>822</v>
      </c>
    </row>
    <row r="3231" customFormat="false" ht="15" hidden="false" customHeight="false" outlineLevel="0" collapsed="false">
      <c r="A3231" s="2" t="s">
        <v>402</v>
      </c>
      <c r="B3231" s="2" t="s">
        <v>47</v>
      </c>
      <c r="C3231" s="2" t="s">
        <v>4274</v>
      </c>
      <c r="D3231" s="11" t="n">
        <v>74636</v>
      </c>
      <c r="E3231" s="31" t="n">
        <v>8.7</v>
      </c>
      <c r="F3231" s="31" t="n">
        <v>72.5</v>
      </c>
      <c r="G3231" s="31" t="n">
        <v>16.2</v>
      </c>
      <c r="H3231" s="2" t="s">
        <v>822</v>
      </c>
    </row>
    <row r="3232" customFormat="false" ht="15" hidden="false" customHeight="false" outlineLevel="0" collapsed="false">
      <c r="A3232" s="2" t="s">
        <v>402</v>
      </c>
      <c r="B3232" s="2" t="s">
        <v>47</v>
      </c>
      <c r="C3232" s="2" t="s">
        <v>4275</v>
      </c>
      <c r="D3232" s="11" t="n">
        <v>77823</v>
      </c>
      <c r="E3232" s="31" t="n">
        <v>22.9</v>
      </c>
      <c r="F3232" s="31" t="n">
        <v>52.6</v>
      </c>
      <c r="G3232" s="31" t="n">
        <v>3</v>
      </c>
      <c r="H3232" s="2" t="s">
        <v>822</v>
      </c>
    </row>
    <row r="3233" customFormat="false" ht="15" hidden="false" customHeight="false" outlineLevel="0" collapsed="false">
      <c r="A3233" s="2" t="s">
        <v>1680</v>
      </c>
      <c r="B3233" s="2" t="s">
        <v>4291</v>
      </c>
      <c r="C3233" s="2" t="s">
        <v>4274</v>
      </c>
      <c r="D3233" s="2"/>
      <c r="E3233" s="31" t="n">
        <v>45.7</v>
      </c>
      <c r="F3233" s="31" t="n">
        <v>39.1</v>
      </c>
      <c r="G3233" s="31" t="n">
        <v>41.4</v>
      </c>
      <c r="H3233" s="2" t="s">
        <v>832</v>
      </c>
    </row>
    <row r="3234" customFormat="false" ht="15" hidden="false" customHeight="false" outlineLevel="0" collapsed="false">
      <c r="A3234" s="2" t="s">
        <v>1680</v>
      </c>
      <c r="B3234" s="2" t="s">
        <v>4291</v>
      </c>
      <c r="C3234" s="2" t="s">
        <v>4275</v>
      </c>
      <c r="D3234" s="2"/>
      <c r="E3234" s="31" t="n">
        <v>31.9</v>
      </c>
      <c r="F3234" s="31" t="n">
        <v>28.9</v>
      </c>
      <c r="G3234" s="31" t="n">
        <v>77.2</v>
      </c>
      <c r="H3234" s="2" t="s">
        <v>832</v>
      </c>
    </row>
    <row r="3235" customFormat="false" ht="15" hidden="false" customHeight="false" outlineLevel="0" collapsed="false">
      <c r="A3235" s="2" t="s">
        <v>1680</v>
      </c>
      <c r="B3235" s="2" t="s">
        <v>45</v>
      </c>
      <c r="C3235" s="2" t="s">
        <v>4274</v>
      </c>
      <c r="D3235" s="11" t="n">
        <v>3478350</v>
      </c>
      <c r="E3235" s="31" t="n">
        <v>4.7</v>
      </c>
      <c r="F3235" s="31" t="n">
        <v>50</v>
      </c>
      <c r="G3235" s="31" t="n">
        <v>9.8</v>
      </c>
      <c r="H3235" s="2" t="s">
        <v>822</v>
      </c>
    </row>
    <row r="3236" customFormat="false" ht="15" hidden="false" customHeight="false" outlineLevel="0" collapsed="false">
      <c r="A3236" s="2" t="s">
        <v>1680</v>
      </c>
      <c r="B3236" s="2" t="s">
        <v>45</v>
      </c>
      <c r="C3236" s="2" t="s">
        <v>4275</v>
      </c>
      <c r="D3236" s="11" t="n">
        <v>3767980</v>
      </c>
      <c r="E3236" s="31" t="n">
        <v>0.9</v>
      </c>
      <c r="F3236" s="31" t="n">
        <v>47.1</v>
      </c>
      <c r="G3236" s="2"/>
      <c r="H3236" s="2" t="s">
        <v>832</v>
      </c>
    </row>
    <row r="3237" customFormat="false" ht="15" hidden="false" customHeight="false" outlineLevel="0" collapsed="false">
      <c r="A3237" s="2" t="s">
        <v>1680</v>
      </c>
      <c r="B3237" s="2" t="s">
        <v>46</v>
      </c>
      <c r="C3237" s="2" t="s">
        <v>4274</v>
      </c>
      <c r="D3237" s="11" t="n">
        <v>746735</v>
      </c>
      <c r="E3237" s="31" t="n">
        <v>86.7</v>
      </c>
      <c r="F3237" s="31" t="n">
        <v>19.2</v>
      </c>
      <c r="G3237" s="31" t="n">
        <v>99.5</v>
      </c>
      <c r="H3237" s="2" t="s">
        <v>822</v>
      </c>
    </row>
    <row r="3238" customFormat="false" ht="15" hidden="false" customHeight="false" outlineLevel="0" collapsed="false">
      <c r="A3238" s="2" t="s">
        <v>1680</v>
      </c>
      <c r="B3238" s="2" t="s">
        <v>46</v>
      </c>
      <c r="C3238" s="2" t="s">
        <v>4275</v>
      </c>
      <c r="D3238" s="11" t="n">
        <v>759270</v>
      </c>
      <c r="E3238" s="31" t="n">
        <v>87</v>
      </c>
      <c r="F3238" s="31" t="n">
        <v>15.9</v>
      </c>
      <c r="G3238" s="31" t="n">
        <v>98.7</v>
      </c>
      <c r="H3238" s="2" t="s">
        <v>822</v>
      </c>
    </row>
    <row r="3239" customFormat="false" ht="15" hidden="false" customHeight="false" outlineLevel="0" collapsed="false">
      <c r="A3239" s="2" t="s">
        <v>1680</v>
      </c>
      <c r="B3239" s="2" t="s">
        <v>47</v>
      </c>
      <c r="C3239" s="2" t="s">
        <v>4274</v>
      </c>
      <c r="D3239" s="11" t="n">
        <v>200620</v>
      </c>
      <c r="E3239" s="2"/>
      <c r="F3239" s="31" t="n">
        <v>48.1</v>
      </c>
      <c r="G3239" s="31" t="n">
        <v>15</v>
      </c>
      <c r="H3239" s="2" t="s">
        <v>832</v>
      </c>
    </row>
    <row r="3240" customFormat="false" ht="15" hidden="false" customHeight="false" outlineLevel="0" collapsed="false">
      <c r="A3240" s="2" t="s">
        <v>1680</v>
      </c>
      <c r="B3240" s="2" t="s">
        <v>47</v>
      </c>
      <c r="C3240" s="2" t="s">
        <v>4275</v>
      </c>
      <c r="D3240" s="11" t="n">
        <v>210846</v>
      </c>
      <c r="E3240" s="31" t="n">
        <v>7.8</v>
      </c>
      <c r="F3240" s="31" t="n">
        <v>23.6</v>
      </c>
      <c r="G3240" s="31" t="n">
        <v>55.7</v>
      </c>
      <c r="H3240" s="2" t="s">
        <v>822</v>
      </c>
    </row>
    <row r="3241" customFormat="false" ht="15" hidden="false" customHeight="false" outlineLevel="0" collapsed="false">
      <c r="A3241" s="2" t="s">
        <v>1364</v>
      </c>
      <c r="B3241" s="2" t="s">
        <v>4291</v>
      </c>
      <c r="C3241" s="2" t="s">
        <v>4274</v>
      </c>
      <c r="D3241" s="2"/>
      <c r="E3241" s="31" t="n">
        <v>40.7</v>
      </c>
      <c r="F3241" s="31" t="n">
        <v>52.2</v>
      </c>
      <c r="G3241" s="31" t="n">
        <v>40.7</v>
      </c>
      <c r="H3241" s="2" t="s">
        <v>832</v>
      </c>
    </row>
    <row r="3242" customFormat="false" ht="15" hidden="false" customHeight="false" outlineLevel="0" collapsed="false">
      <c r="A3242" s="2" t="s">
        <v>1364</v>
      </c>
      <c r="B3242" s="2" t="s">
        <v>4291</v>
      </c>
      <c r="C3242" s="2" t="s">
        <v>4275</v>
      </c>
      <c r="D3242" s="2"/>
      <c r="E3242" s="31" t="n">
        <v>53.4</v>
      </c>
      <c r="F3242" s="31" t="n">
        <v>51.4</v>
      </c>
      <c r="G3242" s="31" t="n">
        <v>28.8</v>
      </c>
      <c r="H3242" s="2" t="s">
        <v>832</v>
      </c>
    </row>
    <row r="3243" customFormat="false" ht="15" hidden="false" customHeight="false" outlineLevel="0" collapsed="false">
      <c r="A3243" s="2" t="s">
        <v>1364</v>
      </c>
      <c r="B3243" s="2" t="s">
        <v>45</v>
      </c>
      <c r="C3243" s="2" t="s">
        <v>4274</v>
      </c>
      <c r="D3243" s="11" t="n">
        <v>11725</v>
      </c>
      <c r="E3243" s="31" t="n">
        <v>46.6</v>
      </c>
      <c r="F3243" s="31" t="n">
        <v>84.3</v>
      </c>
      <c r="G3243" s="31" t="n">
        <v>28.8</v>
      </c>
      <c r="H3243" s="2" t="s">
        <v>822</v>
      </c>
    </row>
    <row r="3244" customFormat="false" ht="15" hidden="false" customHeight="false" outlineLevel="0" collapsed="false">
      <c r="A3244" s="2" t="s">
        <v>1364</v>
      </c>
      <c r="B3244" s="2" t="s">
        <v>45</v>
      </c>
      <c r="C3244" s="2" t="s">
        <v>4275</v>
      </c>
      <c r="D3244" s="11" t="n">
        <v>12610</v>
      </c>
      <c r="E3244" s="31" t="n">
        <v>33.3</v>
      </c>
      <c r="F3244" s="31" t="n">
        <v>70.4</v>
      </c>
      <c r="G3244" s="31" t="n">
        <v>4.4</v>
      </c>
      <c r="H3244" s="2" t="s">
        <v>822</v>
      </c>
    </row>
    <row r="3245" customFormat="false" ht="15" hidden="false" customHeight="false" outlineLevel="0" collapsed="false">
      <c r="A3245" s="2" t="s">
        <v>1364</v>
      </c>
      <c r="B3245" s="2" t="s">
        <v>46</v>
      </c>
      <c r="C3245" s="2" t="s">
        <v>4274</v>
      </c>
      <c r="D3245" s="11" t="n">
        <v>363221</v>
      </c>
      <c r="E3245" s="31" t="n">
        <v>57.1</v>
      </c>
      <c r="F3245" s="31" t="n">
        <v>31.4</v>
      </c>
      <c r="G3245" s="2"/>
      <c r="H3245" s="2" t="s">
        <v>832</v>
      </c>
    </row>
    <row r="3246" customFormat="false" ht="15" hidden="false" customHeight="false" outlineLevel="0" collapsed="false">
      <c r="A3246" s="2" t="s">
        <v>1364</v>
      </c>
      <c r="B3246" s="2" t="s">
        <v>46</v>
      </c>
      <c r="C3246" s="2" t="s">
        <v>4275</v>
      </c>
      <c r="D3246" s="11" t="n">
        <v>372250</v>
      </c>
      <c r="E3246" s="31" t="n">
        <v>73.5</v>
      </c>
      <c r="F3246" s="31" t="n">
        <v>32.5</v>
      </c>
      <c r="G3246" s="31" t="n">
        <v>53.2</v>
      </c>
      <c r="H3246" s="2" t="s">
        <v>822</v>
      </c>
    </row>
    <row r="3247" customFormat="false" ht="15" hidden="false" customHeight="false" outlineLevel="0" collapsed="false">
      <c r="A3247" s="2" t="s">
        <v>1364</v>
      </c>
      <c r="B3247" s="2" t="s">
        <v>47</v>
      </c>
      <c r="C3247" s="2" t="s">
        <v>4274</v>
      </c>
      <c r="D3247" s="11" t="n">
        <v>27262</v>
      </c>
      <c r="E3247" s="31" t="n">
        <v>18.3</v>
      </c>
      <c r="F3247" s="31" t="n">
        <v>40.8</v>
      </c>
      <c r="G3247" s="31" t="n">
        <v>52.6</v>
      </c>
      <c r="H3247" s="2" t="s">
        <v>822</v>
      </c>
    </row>
    <row r="3248" customFormat="false" ht="15" hidden="false" customHeight="false" outlineLevel="0" collapsed="false">
      <c r="A3248" s="2" t="s">
        <v>1364</v>
      </c>
      <c r="B3248" s="2" t="s">
        <v>47</v>
      </c>
      <c r="C3248" s="2" t="s">
        <v>4275</v>
      </c>
      <c r="D3248" s="2"/>
      <c r="E3248" s="2"/>
      <c r="F3248" s="2"/>
      <c r="G3248" s="2"/>
      <c r="H3248" s="2" t="s">
        <v>832</v>
      </c>
    </row>
    <row r="3249" customFormat="false" ht="15" hidden="false" customHeight="false" outlineLevel="0" collapsed="false">
      <c r="A3249" s="2" t="s">
        <v>1610</v>
      </c>
      <c r="B3249" s="2" t="s">
        <v>4291</v>
      </c>
      <c r="C3249" s="2" t="s">
        <v>4274</v>
      </c>
      <c r="D3249" s="2"/>
      <c r="E3249" s="31" t="n">
        <v>59.4</v>
      </c>
      <c r="F3249" s="31" t="n">
        <v>32.2</v>
      </c>
      <c r="G3249" s="31" t="n">
        <v>53</v>
      </c>
      <c r="H3249" s="2" t="s">
        <v>832</v>
      </c>
    </row>
    <row r="3250" customFormat="false" ht="15" hidden="false" customHeight="false" outlineLevel="0" collapsed="false">
      <c r="A3250" s="2" t="s">
        <v>1610</v>
      </c>
      <c r="B3250" s="2" t="s">
        <v>4291</v>
      </c>
      <c r="C3250" s="2" t="s">
        <v>4275</v>
      </c>
      <c r="D3250" s="2"/>
      <c r="E3250" s="31" t="n">
        <v>74.2</v>
      </c>
      <c r="F3250" s="31" t="n">
        <v>38.3</v>
      </c>
      <c r="G3250" s="31" t="n">
        <v>62.8</v>
      </c>
      <c r="H3250" s="2" t="s">
        <v>832</v>
      </c>
    </row>
    <row r="3251" customFormat="false" ht="15" hidden="false" customHeight="false" outlineLevel="0" collapsed="false">
      <c r="A3251" s="2" t="s">
        <v>1610</v>
      </c>
      <c r="B3251" s="2" t="s">
        <v>45</v>
      </c>
      <c r="C3251" s="2" t="s">
        <v>4274</v>
      </c>
      <c r="D3251" s="11" t="n">
        <v>8990</v>
      </c>
      <c r="E3251" s="31" t="n">
        <v>44.3</v>
      </c>
      <c r="F3251" s="31" t="n">
        <v>54.8</v>
      </c>
      <c r="G3251" s="2"/>
      <c r="H3251" s="2" t="s">
        <v>832</v>
      </c>
    </row>
    <row r="3252" customFormat="false" ht="15" hidden="false" customHeight="false" outlineLevel="0" collapsed="false">
      <c r="A3252" s="2" t="s">
        <v>1610</v>
      </c>
      <c r="B3252" s="2" t="s">
        <v>45</v>
      </c>
      <c r="C3252" s="2" t="s">
        <v>4275</v>
      </c>
      <c r="D3252" s="11" t="n">
        <v>9370</v>
      </c>
      <c r="E3252" s="31" t="n">
        <v>57.7</v>
      </c>
      <c r="F3252" s="31" t="n">
        <v>40.8</v>
      </c>
      <c r="G3252" s="2"/>
      <c r="H3252" s="2" t="s">
        <v>832</v>
      </c>
    </row>
    <row r="3253" customFormat="false" ht="15" hidden="false" customHeight="false" outlineLevel="0" collapsed="false">
      <c r="A3253" s="2" t="s">
        <v>1610</v>
      </c>
      <c r="B3253" s="2" t="s">
        <v>46</v>
      </c>
      <c r="C3253" s="2" t="s">
        <v>4274</v>
      </c>
      <c r="D3253" s="11" t="n">
        <v>64920</v>
      </c>
      <c r="E3253" s="31" t="n">
        <v>97.8</v>
      </c>
      <c r="F3253" s="31" t="n">
        <v>5.2</v>
      </c>
      <c r="G3253" s="31" t="n">
        <v>95.7</v>
      </c>
      <c r="H3253" s="2" t="s">
        <v>822</v>
      </c>
    </row>
    <row r="3254" customFormat="false" ht="15" hidden="false" customHeight="false" outlineLevel="0" collapsed="false">
      <c r="A3254" s="2" t="s">
        <v>1610</v>
      </c>
      <c r="B3254" s="2" t="s">
        <v>46</v>
      </c>
      <c r="C3254" s="2" t="s">
        <v>4275</v>
      </c>
      <c r="D3254" s="11" t="n">
        <v>64513</v>
      </c>
      <c r="E3254" s="31" t="n">
        <v>98.4</v>
      </c>
      <c r="F3254" s="31" t="n">
        <v>6.9</v>
      </c>
      <c r="G3254" s="31" t="n">
        <v>98.5</v>
      </c>
      <c r="H3254" s="2" t="s">
        <v>822</v>
      </c>
    </row>
    <row r="3255" customFormat="false" ht="15" hidden="false" customHeight="false" outlineLevel="0" collapsed="false">
      <c r="A3255" s="2" t="s">
        <v>1610</v>
      </c>
      <c r="B3255" s="2" t="s">
        <v>47</v>
      </c>
      <c r="C3255" s="2" t="s">
        <v>4274</v>
      </c>
      <c r="D3255" s="11" t="n">
        <v>39087</v>
      </c>
      <c r="E3255" s="31" t="n">
        <v>36</v>
      </c>
      <c r="F3255" s="31" t="n">
        <v>36.6</v>
      </c>
      <c r="G3255" s="31" t="n">
        <v>10.2</v>
      </c>
      <c r="H3255" s="2" t="s">
        <v>822</v>
      </c>
    </row>
    <row r="3256" customFormat="false" ht="15" hidden="false" customHeight="false" outlineLevel="0" collapsed="false">
      <c r="A3256" s="2" t="s">
        <v>1610</v>
      </c>
      <c r="B3256" s="2" t="s">
        <v>47</v>
      </c>
      <c r="C3256" s="2" t="s">
        <v>4275</v>
      </c>
      <c r="D3256" s="11" t="n">
        <v>40539</v>
      </c>
      <c r="E3256" s="31" t="n">
        <v>66.5</v>
      </c>
      <c r="F3256" s="31" t="n">
        <v>67.2</v>
      </c>
      <c r="G3256" s="31" t="n">
        <v>27.1</v>
      </c>
      <c r="H3256" s="2" t="s">
        <v>822</v>
      </c>
    </row>
    <row r="3257" customFormat="false" ht="15" hidden="false" customHeight="false" outlineLevel="0" collapsed="false">
      <c r="A3257" s="2" t="s">
        <v>552</v>
      </c>
      <c r="B3257" s="2" t="s">
        <v>4291</v>
      </c>
      <c r="C3257" s="2" t="s">
        <v>4274</v>
      </c>
      <c r="D3257" s="2"/>
      <c r="E3257" s="31" t="n">
        <v>45.6</v>
      </c>
      <c r="F3257" s="31" t="n">
        <v>45.5</v>
      </c>
      <c r="G3257" s="31" t="n">
        <v>67.9</v>
      </c>
      <c r="H3257" s="2" t="s">
        <v>822</v>
      </c>
    </row>
    <row r="3258" customFormat="false" ht="15" hidden="false" customHeight="false" outlineLevel="0" collapsed="false">
      <c r="A3258" s="2" t="s">
        <v>552</v>
      </c>
      <c r="B3258" s="2" t="s">
        <v>4291</v>
      </c>
      <c r="C3258" s="2" t="s">
        <v>4275</v>
      </c>
      <c r="D3258" s="2"/>
      <c r="E3258" s="31" t="n">
        <v>43.5</v>
      </c>
      <c r="F3258" s="31" t="n">
        <v>35</v>
      </c>
      <c r="G3258" s="31" t="n">
        <v>65.4</v>
      </c>
      <c r="H3258" s="2" t="s">
        <v>822</v>
      </c>
    </row>
    <row r="3259" customFormat="false" ht="15" hidden="false" customHeight="false" outlineLevel="0" collapsed="false">
      <c r="A3259" s="2" t="s">
        <v>552</v>
      </c>
      <c r="B3259" s="2" t="s">
        <v>45</v>
      </c>
      <c r="C3259" s="2" t="s">
        <v>4274</v>
      </c>
      <c r="D3259" s="11" t="n">
        <v>122130</v>
      </c>
      <c r="E3259" s="31" t="n">
        <v>37.1</v>
      </c>
      <c r="F3259" s="31" t="n">
        <v>63.7</v>
      </c>
      <c r="G3259" s="31" t="n">
        <v>35.9</v>
      </c>
      <c r="H3259" s="2" t="s">
        <v>822</v>
      </c>
    </row>
    <row r="3260" customFormat="false" ht="15" hidden="false" customHeight="false" outlineLevel="0" collapsed="false">
      <c r="A3260" s="2" t="s">
        <v>552</v>
      </c>
      <c r="B3260" s="2" t="s">
        <v>45</v>
      </c>
      <c r="C3260" s="2" t="s">
        <v>4275</v>
      </c>
      <c r="D3260" s="11" t="n">
        <v>125750</v>
      </c>
      <c r="E3260" s="31" t="n">
        <v>37.8</v>
      </c>
      <c r="F3260" s="31" t="n">
        <v>57.9</v>
      </c>
      <c r="G3260" s="31" t="n">
        <v>46.2</v>
      </c>
      <c r="H3260" s="2" t="s">
        <v>822</v>
      </c>
    </row>
    <row r="3261" customFormat="false" ht="15" hidden="false" customHeight="false" outlineLevel="0" collapsed="false">
      <c r="A3261" s="2" t="s">
        <v>552</v>
      </c>
      <c r="B3261" s="2" t="s">
        <v>46</v>
      </c>
      <c r="C3261" s="2" t="s">
        <v>4274</v>
      </c>
      <c r="D3261" s="11" t="n">
        <v>92920</v>
      </c>
      <c r="E3261" s="31" t="n">
        <v>17</v>
      </c>
      <c r="F3261" s="31" t="n">
        <v>44.9</v>
      </c>
      <c r="G3261" s="31" t="n">
        <v>78.8</v>
      </c>
      <c r="H3261" s="2" t="s">
        <v>822</v>
      </c>
    </row>
    <row r="3262" customFormat="false" ht="15" hidden="false" customHeight="false" outlineLevel="0" collapsed="false">
      <c r="A3262" s="2" t="s">
        <v>552</v>
      </c>
      <c r="B3262" s="2" t="s">
        <v>46</v>
      </c>
      <c r="C3262" s="2" t="s">
        <v>4275</v>
      </c>
      <c r="D3262" s="11" t="n">
        <v>92800</v>
      </c>
      <c r="E3262" s="31" t="n">
        <v>11.2</v>
      </c>
      <c r="F3262" s="31" t="n">
        <v>23.3</v>
      </c>
      <c r="G3262" s="31" t="n">
        <v>71.7</v>
      </c>
      <c r="H3262" s="2" t="s">
        <v>822</v>
      </c>
    </row>
    <row r="3263" customFormat="false" ht="15" hidden="false" customHeight="false" outlineLevel="0" collapsed="false">
      <c r="A3263" s="2" t="s">
        <v>552</v>
      </c>
      <c r="B3263" s="2" t="s">
        <v>47</v>
      </c>
      <c r="C3263" s="2" t="s">
        <v>4274</v>
      </c>
      <c r="D3263" s="11" t="n">
        <v>1784</v>
      </c>
      <c r="E3263" s="31" t="n">
        <v>82.7</v>
      </c>
      <c r="F3263" s="31" t="n">
        <v>27.8</v>
      </c>
      <c r="G3263" s="31" t="n">
        <v>89.1</v>
      </c>
      <c r="H3263" s="2" t="s">
        <v>822</v>
      </c>
    </row>
    <row r="3264" customFormat="false" ht="15" hidden="false" customHeight="false" outlineLevel="0" collapsed="false">
      <c r="A3264" s="2" t="s">
        <v>552</v>
      </c>
      <c r="B3264" s="2" t="s">
        <v>47</v>
      </c>
      <c r="C3264" s="2" t="s">
        <v>4275</v>
      </c>
      <c r="D3264" s="11" t="n">
        <v>1825</v>
      </c>
      <c r="E3264" s="31" t="n">
        <v>81.5</v>
      </c>
      <c r="F3264" s="31" t="n">
        <v>23.8</v>
      </c>
      <c r="G3264" s="31" t="n">
        <v>78.3</v>
      </c>
      <c r="H3264" s="2" t="s">
        <v>822</v>
      </c>
    </row>
    <row r="3265" customFormat="false" ht="15" hidden="false" customHeight="false" outlineLevel="0" collapsed="false">
      <c r="A3265" s="2" t="s">
        <v>2437</v>
      </c>
      <c r="B3265" s="2" t="s">
        <v>4291</v>
      </c>
      <c r="C3265" s="2" t="s">
        <v>4275</v>
      </c>
      <c r="D3265" s="2"/>
      <c r="E3265" s="31" t="n">
        <v>59.3</v>
      </c>
      <c r="F3265" s="31" t="n">
        <v>74.9</v>
      </c>
      <c r="G3265" s="31" t="n">
        <v>31.2</v>
      </c>
      <c r="H3265" s="2" t="s">
        <v>832</v>
      </c>
    </row>
    <row r="3266" customFormat="false" ht="15" hidden="false" customHeight="false" outlineLevel="0" collapsed="false">
      <c r="A3266" s="2" t="s">
        <v>2437</v>
      </c>
      <c r="B3266" s="2" t="s">
        <v>45</v>
      </c>
      <c r="C3266" s="2" t="s">
        <v>4275</v>
      </c>
      <c r="D3266" s="11" t="n">
        <v>9226</v>
      </c>
      <c r="E3266" s="31" t="n">
        <v>50.9</v>
      </c>
      <c r="F3266" s="31" t="n">
        <v>95.8</v>
      </c>
      <c r="G3266" s="2"/>
      <c r="H3266" s="2" t="s">
        <v>832</v>
      </c>
    </row>
    <row r="3267" customFormat="false" ht="15" hidden="false" customHeight="false" outlineLevel="0" collapsed="false">
      <c r="A3267" s="2" t="s">
        <v>2437</v>
      </c>
      <c r="B3267" s="2" t="s">
        <v>46</v>
      </c>
      <c r="C3267" s="2" t="s">
        <v>4275</v>
      </c>
      <c r="D3267" s="11" t="n">
        <v>285270</v>
      </c>
      <c r="E3267" s="31" t="n">
        <v>61.7</v>
      </c>
      <c r="F3267" s="31" t="n">
        <v>96.8</v>
      </c>
      <c r="G3267" s="2"/>
      <c r="H3267" s="2" t="s">
        <v>832</v>
      </c>
    </row>
    <row r="3268" customFormat="false" ht="15" hidden="false" customHeight="false" outlineLevel="0" collapsed="false">
      <c r="A3268" s="2" t="s">
        <v>2437</v>
      </c>
      <c r="B3268" s="2" t="s">
        <v>47</v>
      </c>
      <c r="C3268" s="2" t="s">
        <v>4275</v>
      </c>
      <c r="D3268" s="11" t="n">
        <v>23400</v>
      </c>
      <c r="E3268" s="31" t="n">
        <v>65.3</v>
      </c>
      <c r="F3268" s="31" t="n">
        <v>32.1</v>
      </c>
      <c r="G3268" s="31" t="n">
        <v>31.2</v>
      </c>
      <c r="H3268" s="2" t="s">
        <v>822</v>
      </c>
    </row>
    <row r="3269" customFormat="false" ht="15" hidden="false" customHeight="false" outlineLevel="0" collapsed="false">
      <c r="A3269" s="2" t="s">
        <v>666</v>
      </c>
      <c r="B3269" s="2" t="s">
        <v>4291</v>
      </c>
      <c r="C3269" s="2" t="s">
        <v>4275</v>
      </c>
      <c r="D3269" s="2"/>
      <c r="E3269" s="31" t="n">
        <v>33.4</v>
      </c>
      <c r="F3269" s="31" t="n">
        <v>28</v>
      </c>
      <c r="G3269" s="31" t="n">
        <v>11.9</v>
      </c>
      <c r="H3269" s="2" t="s">
        <v>822</v>
      </c>
    </row>
    <row r="3270" customFormat="false" ht="15" hidden="false" customHeight="false" outlineLevel="0" collapsed="false">
      <c r="A3270" s="2" t="s">
        <v>666</v>
      </c>
      <c r="B3270" s="2" t="s">
        <v>46</v>
      </c>
      <c r="C3270" s="2" t="s">
        <v>4275</v>
      </c>
      <c r="D3270" s="11" t="n">
        <v>285960</v>
      </c>
      <c r="E3270" s="31" t="n">
        <v>33.4</v>
      </c>
      <c r="F3270" s="31" t="n">
        <v>28</v>
      </c>
      <c r="G3270" s="31" t="n">
        <v>11.9</v>
      </c>
      <c r="H3270" s="2" t="s">
        <v>822</v>
      </c>
    </row>
    <row r="3271" customFormat="false" ht="15" hidden="false" customHeight="false" outlineLevel="0" collapsed="false">
      <c r="A3271" s="2" t="s">
        <v>2198</v>
      </c>
      <c r="B3271" s="2" t="s">
        <v>4291</v>
      </c>
      <c r="C3271" s="2" t="s">
        <v>4274</v>
      </c>
      <c r="D3271" s="2"/>
      <c r="E3271" s="31" t="n">
        <v>12</v>
      </c>
      <c r="F3271" s="31" t="n">
        <v>63.2</v>
      </c>
      <c r="G3271" s="31" t="n">
        <v>36.7</v>
      </c>
      <c r="H3271" s="2" t="s">
        <v>822</v>
      </c>
    </row>
    <row r="3272" customFormat="false" ht="15" hidden="false" customHeight="false" outlineLevel="0" collapsed="false">
      <c r="A3272" s="2" t="s">
        <v>2198</v>
      </c>
      <c r="B3272" s="2" t="s">
        <v>4291</v>
      </c>
      <c r="C3272" s="2" t="s">
        <v>4275</v>
      </c>
      <c r="D3272" s="2"/>
      <c r="E3272" s="31" t="n">
        <v>1.6</v>
      </c>
      <c r="F3272" s="31" t="n">
        <v>62.9</v>
      </c>
      <c r="G3272" s="31" t="n">
        <v>60.1</v>
      </c>
      <c r="H3272" s="2" t="s">
        <v>832</v>
      </c>
    </row>
    <row r="3273" customFormat="false" ht="15" hidden="false" customHeight="false" outlineLevel="0" collapsed="false">
      <c r="A3273" s="2" t="s">
        <v>2198</v>
      </c>
      <c r="B3273" s="2" t="s">
        <v>46</v>
      </c>
      <c r="C3273" s="2" t="s">
        <v>4274</v>
      </c>
      <c r="D3273" s="11" t="n">
        <v>51950</v>
      </c>
      <c r="E3273" s="31" t="n">
        <v>3.5</v>
      </c>
      <c r="F3273" s="31" t="n">
        <v>71.9</v>
      </c>
      <c r="G3273" s="31" t="n">
        <v>44.1</v>
      </c>
      <c r="H3273" s="2" t="s">
        <v>822</v>
      </c>
    </row>
    <row r="3274" customFormat="false" ht="15" hidden="false" customHeight="false" outlineLevel="0" collapsed="false">
      <c r="A3274" s="2" t="s">
        <v>2198</v>
      </c>
      <c r="B3274" s="2" t="s">
        <v>46</v>
      </c>
      <c r="C3274" s="2" t="s">
        <v>4275</v>
      </c>
      <c r="D3274" s="11" t="n">
        <v>53350</v>
      </c>
      <c r="E3274" s="31" t="n">
        <v>1.6</v>
      </c>
      <c r="F3274" s="31" t="n">
        <v>62.9</v>
      </c>
      <c r="G3274" s="31" t="n">
        <v>52.3</v>
      </c>
      <c r="H3274" s="2" t="s">
        <v>822</v>
      </c>
    </row>
    <row r="3275" customFormat="false" ht="15" hidden="false" customHeight="false" outlineLevel="0" collapsed="false">
      <c r="A3275" s="2" t="s">
        <v>2198</v>
      </c>
      <c r="B3275" s="2" t="s">
        <v>47</v>
      </c>
      <c r="C3275" s="2" t="s">
        <v>4274</v>
      </c>
      <c r="D3275" s="11" t="n">
        <v>1212</v>
      </c>
      <c r="E3275" s="31" t="n">
        <v>20.6</v>
      </c>
      <c r="F3275" s="31" t="n">
        <v>54.4</v>
      </c>
      <c r="G3275" s="31" t="n">
        <v>29.3</v>
      </c>
      <c r="H3275" s="2" t="s">
        <v>822</v>
      </c>
    </row>
    <row r="3276" customFormat="false" ht="15" hidden="false" customHeight="false" outlineLevel="0" collapsed="false">
      <c r="A3276" s="2" t="s">
        <v>2198</v>
      </c>
      <c r="B3276" s="2" t="s">
        <v>47</v>
      </c>
      <c r="C3276" s="2" t="s">
        <v>4275</v>
      </c>
      <c r="D3276" s="2"/>
      <c r="E3276" s="2"/>
      <c r="F3276" s="2"/>
      <c r="G3276" s="31" t="n">
        <v>67.9</v>
      </c>
      <c r="H3276" s="2" t="s">
        <v>832</v>
      </c>
    </row>
    <row r="3277" customFormat="false" ht="15" hidden="false" customHeight="false" outlineLevel="0" collapsed="false">
      <c r="A3277" s="2" t="s">
        <v>562</v>
      </c>
      <c r="B3277" s="2" t="s">
        <v>4291</v>
      </c>
      <c r="C3277" s="2" t="s">
        <v>4274</v>
      </c>
      <c r="D3277" s="2"/>
      <c r="E3277" s="31" t="n">
        <v>48.4</v>
      </c>
      <c r="F3277" s="31" t="n">
        <v>39</v>
      </c>
      <c r="G3277" s="31" t="n">
        <v>27.2</v>
      </c>
      <c r="H3277" s="2" t="s">
        <v>832</v>
      </c>
    </row>
    <row r="3278" customFormat="false" ht="15" hidden="false" customHeight="false" outlineLevel="0" collapsed="false">
      <c r="A3278" s="2" t="s">
        <v>562</v>
      </c>
      <c r="B3278" s="2" t="s">
        <v>4291</v>
      </c>
      <c r="C3278" s="2" t="s">
        <v>4275</v>
      </c>
      <c r="D3278" s="2"/>
      <c r="E3278" s="31" t="n">
        <v>43</v>
      </c>
      <c r="F3278" s="31" t="n">
        <v>22.9</v>
      </c>
      <c r="G3278" s="31" t="n">
        <v>39.4</v>
      </c>
      <c r="H3278" s="2" t="s">
        <v>822</v>
      </c>
    </row>
    <row r="3279" customFormat="false" ht="15" hidden="false" customHeight="false" outlineLevel="0" collapsed="false">
      <c r="A3279" s="2" t="s">
        <v>562</v>
      </c>
      <c r="B3279" s="2" t="s">
        <v>45</v>
      </c>
      <c r="C3279" s="2" t="s">
        <v>4274</v>
      </c>
      <c r="D3279" s="11" t="n">
        <v>5430</v>
      </c>
      <c r="E3279" s="31" t="n">
        <v>87</v>
      </c>
      <c r="F3279" s="31" t="n">
        <v>75.8</v>
      </c>
      <c r="G3279" s="2"/>
      <c r="H3279" s="2" t="s">
        <v>832</v>
      </c>
    </row>
    <row r="3280" customFormat="false" ht="15" hidden="false" customHeight="false" outlineLevel="0" collapsed="false">
      <c r="A3280" s="2" t="s">
        <v>562</v>
      </c>
      <c r="B3280" s="2" t="s">
        <v>45</v>
      </c>
      <c r="C3280" s="2" t="s">
        <v>4275</v>
      </c>
      <c r="D3280" s="11" t="n">
        <v>5590</v>
      </c>
      <c r="E3280" s="31" t="n">
        <v>79</v>
      </c>
      <c r="F3280" s="31" t="n">
        <v>59.2</v>
      </c>
      <c r="G3280" s="31" t="n">
        <v>51.5</v>
      </c>
      <c r="H3280" s="2" t="s">
        <v>822</v>
      </c>
    </row>
    <row r="3281" customFormat="false" ht="15" hidden="false" customHeight="false" outlineLevel="0" collapsed="false">
      <c r="A3281" s="2" t="s">
        <v>562</v>
      </c>
      <c r="B3281" s="2" t="s">
        <v>46</v>
      </c>
      <c r="C3281" s="2" t="s">
        <v>4274</v>
      </c>
      <c r="D3281" s="2"/>
      <c r="E3281" s="2"/>
      <c r="F3281" s="2"/>
      <c r="G3281" s="31" t="n">
        <v>2.5</v>
      </c>
      <c r="H3281" s="2" t="s">
        <v>832</v>
      </c>
    </row>
    <row r="3282" customFormat="false" ht="15" hidden="false" customHeight="false" outlineLevel="0" collapsed="false">
      <c r="A3282" s="2" t="s">
        <v>562</v>
      </c>
      <c r="B3282" s="2" t="s">
        <v>46</v>
      </c>
      <c r="C3282" s="2" t="s">
        <v>4275</v>
      </c>
      <c r="D3282" s="11" t="n">
        <v>137500</v>
      </c>
      <c r="E3282" s="31" t="n">
        <v>25.9</v>
      </c>
      <c r="F3282" s="31" t="n">
        <v>5.7</v>
      </c>
      <c r="G3282" s="31" t="n">
        <v>31.3</v>
      </c>
      <c r="H3282" s="2" t="s">
        <v>822</v>
      </c>
    </row>
    <row r="3283" customFormat="false" ht="15" hidden="false" customHeight="false" outlineLevel="0" collapsed="false">
      <c r="A3283" s="2" t="s">
        <v>562</v>
      </c>
      <c r="B3283" s="2" t="s">
        <v>47</v>
      </c>
      <c r="C3283" s="2" t="s">
        <v>4274</v>
      </c>
      <c r="D3283" s="11" t="n">
        <v>3893</v>
      </c>
      <c r="E3283" s="31" t="n">
        <v>9.9</v>
      </c>
      <c r="F3283" s="31" t="n">
        <v>2.2</v>
      </c>
      <c r="G3283" s="31" t="n">
        <v>52</v>
      </c>
      <c r="H3283" s="2" t="s">
        <v>822</v>
      </c>
    </row>
    <row r="3284" customFormat="false" ht="15" hidden="false" customHeight="false" outlineLevel="0" collapsed="false">
      <c r="A3284" s="2" t="s">
        <v>562</v>
      </c>
      <c r="B3284" s="2" t="s">
        <v>47</v>
      </c>
      <c r="C3284" s="2" t="s">
        <v>4275</v>
      </c>
      <c r="D3284" s="11" t="n">
        <v>4023</v>
      </c>
      <c r="E3284" s="31" t="n">
        <v>24.2</v>
      </c>
      <c r="F3284" s="31" t="n">
        <v>3.8</v>
      </c>
      <c r="G3284" s="31" t="n">
        <v>35.3</v>
      </c>
      <c r="H3284" s="2" t="s">
        <v>822</v>
      </c>
    </row>
    <row r="3285" customFormat="false" ht="15" hidden="false" customHeight="false" outlineLevel="0" collapsed="false">
      <c r="A3285" s="2" t="s">
        <v>1874</v>
      </c>
      <c r="B3285" s="2" t="s">
        <v>4291</v>
      </c>
      <c r="C3285" s="2" t="s">
        <v>4274</v>
      </c>
      <c r="D3285" s="2"/>
      <c r="E3285" s="31" t="n">
        <v>27.2</v>
      </c>
      <c r="F3285" s="31" t="n">
        <v>48.8</v>
      </c>
      <c r="G3285" s="31" t="n">
        <v>54.7</v>
      </c>
      <c r="H3285" s="2" t="s">
        <v>822</v>
      </c>
    </row>
    <row r="3286" customFormat="false" ht="15" hidden="false" customHeight="false" outlineLevel="0" collapsed="false">
      <c r="A3286" s="2" t="s">
        <v>1874</v>
      </c>
      <c r="B3286" s="2" t="s">
        <v>4291</v>
      </c>
      <c r="C3286" s="2" t="s">
        <v>4275</v>
      </c>
      <c r="D3286" s="2"/>
      <c r="E3286" s="31" t="n">
        <v>43.6</v>
      </c>
      <c r="F3286" s="31" t="n">
        <v>92.4</v>
      </c>
      <c r="G3286" s="31" t="n">
        <v>76</v>
      </c>
      <c r="H3286" s="2" t="s">
        <v>832</v>
      </c>
    </row>
    <row r="3287" customFormat="false" ht="15" hidden="false" customHeight="false" outlineLevel="0" collapsed="false">
      <c r="A3287" s="2" t="s">
        <v>1874</v>
      </c>
      <c r="B3287" s="2" t="s">
        <v>45</v>
      </c>
      <c r="C3287" s="2" t="s">
        <v>4274</v>
      </c>
      <c r="D3287" s="11" t="n">
        <v>246890</v>
      </c>
      <c r="E3287" s="31" t="n">
        <v>28.1</v>
      </c>
      <c r="F3287" s="31" t="n">
        <v>18.5</v>
      </c>
      <c r="G3287" s="31" t="n">
        <v>91.5</v>
      </c>
      <c r="H3287" s="2" t="s">
        <v>822</v>
      </c>
    </row>
    <row r="3288" customFormat="false" ht="15" hidden="false" customHeight="false" outlineLevel="0" collapsed="false">
      <c r="A3288" s="2" t="s">
        <v>1874</v>
      </c>
      <c r="B3288" s="2" t="s">
        <v>45</v>
      </c>
      <c r="C3288" s="2" t="s">
        <v>4275</v>
      </c>
      <c r="D3288" s="11" t="n">
        <v>247435</v>
      </c>
      <c r="E3288" s="31" t="n">
        <v>33.5</v>
      </c>
      <c r="F3288" s="2"/>
      <c r="G3288" s="31" t="n">
        <v>98.6</v>
      </c>
      <c r="H3288" s="2" t="s">
        <v>832</v>
      </c>
    </row>
    <row r="3289" customFormat="false" ht="15" hidden="false" customHeight="false" outlineLevel="0" collapsed="false">
      <c r="A3289" s="2" t="s">
        <v>1874</v>
      </c>
      <c r="B3289" s="2" t="s">
        <v>46</v>
      </c>
      <c r="C3289" s="2" t="s">
        <v>4274</v>
      </c>
      <c r="D3289" s="11" t="n">
        <v>30680</v>
      </c>
      <c r="E3289" s="31" t="n">
        <v>45.8</v>
      </c>
      <c r="F3289" s="31" t="n">
        <v>81.6</v>
      </c>
      <c r="G3289" s="31" t="n">
        <v>51.4</v>
      </c>
      <c r="H3289" s="2" t="s">
        <v>822</v>
      </c>
    </row>
    <row r="3290" customFormat="false" ht="15" hidden="false" customHeight="false" outlineLevel="0" collapsed="false">
      <c r="A3290" s="2" t="s">
        <v>1874</v>
      </c>
      <c r="B3290" s="2" t="s">
        <v>46</v>
      </c>
      <c r="C3290" s="2" t="s">
        <v>4275</v>
      </c>
      <c r="D3290" s="11" t="n">
        <v>20320</v>
      </c>
      <c r="E3290" s="31" t="n">
        <v>53.8</v>
      </c>
      <c r="F3290" s="31" t="n">
        <v>92.4</v>
      </c>
      <c r="G3290" s="31" t="n">
        <v>53.4</v>
      </c>
      <c r="H3290" s="2" t="s">
        <v>822</v>
      </c>
    </row>
    <row r="3291" customFormat="false" ht="15" hidden="false" customHeight="false" outlineLevel="0" collapsed="false">
      <c r="A3291" s="2" t="s">
        <v>1874</v>
      </c>
      <c r="B3291" s="2" t="s">
        <v>47</v>
      </c>
      <c r="C3291" s="2" t="s">
        <v>4274</v>
      </c>
      <c r="D3291" s="11" t="n">
        <v>195833</v>
      </c>
      <c r="E3291" s="31" t="n">
        <v>7.6</v>
      </c>
      <c r="F3291" s="31" t="n">
        <v>46.3</v>
      </c>
      <c r="G3291" s="31" t="n">
        <v>21.2</v>
      </c>
      <c r="H3291" s="2" t="s">
        <v>822</v>
      </c>
    </row>
    <row r="3292" customFormat="false" ht="15" hidden="false" customHeight="false" outlineLevel="0" collapsed="false">
      <c r="A3292" s="2" t="s">
        <v>1874</v>
      </c>
      <c r="B3292" s="2" t="s">
        <v>47</v>
      </c>
      <c r="C3292" s="2" t="s">
        <v>4275</v>
      </c>
      <c r="D3292" s="2"/>
      <c r="E3292" s="2"/>
      <c r="F3292" s="2"/>
      <c r="G3292" s="2"/>
      <c r="H3292" s="2" t="s">
        <v>832</v>
      </c>
    </row>
    <row r="3293" customFormat="false" ht="15" hidden="false" customHeight="false" outlineLevel="0" collapsed="false">
      <c r="A3293" s="2" t="s">
        <v>1568</v>
      </c>
      <c r="B3293" s="2" t="s">
        <v>4291</v>
      </c>
      <c r="C3293" s="2" t="s">
        <v>4274</v>
      </c>
      <c r="D3293" s="2"/>
      <c r="E3293" s="31" t="n">
        <v>62.6</v>
      </c>
      <c r="F3293" s="31" t="n">
        <v>22.8</v>
      </c>
      <c r="G3293" s="31" t="n">
        <v>71.8</v>
      </c>
      <c r="H3293" s="2" t="s">
        <v>832</v>
      </c>
    </row>
    <row r="3294" customFormat="false" ht="15" hidden="false" customHeight="false" outlineLevel="0" collapsed="false">
      <c r="A3294" s="2" t="s">
        <v>1568</v>
      </c>
      <c r="B3294" s="2" t="s">
        <v>4291</v>
      </c>
      <c r="C3294" s="2" t="s">
        <v>4275</v>
      </c>
      <c r="D3294" s="2"/>
      <c r="E3294" s="31" t="n">
        <v>23.6</v>
      </c>
      <c r="F3294" s="31" t="n">
        <v>61.7</v>
      </c>
      <c r="G3294" s="31" t="n">
        <v>53</v>
      </c>
      <c r="H3294" s="2" t="s">
        <v>832</v>
      </c>
    </row>
    <row r="3295" customFormat="false" ht="15" hidden="false" customHeight="false" outlineLevel="0" collapsed="false">
      <c r="A3295" s="2" t="s">
        <v>1568</v>
      </c>
      <c r="B3295" s="2" t="s">
        <v>45</v>
      </c>
      <c r="C3295" s="2" t="s">
        <v>4274</v>
      </c>
      <c r="D3295" s="2"/>
      <c r="E3295" s="2"/>
      <c r="F3295" s="2"/>
      <c r="G3295" s="2"/>
      <c r="H3295" s="2" t="s">
        <v>832</v>
      </c>
    </row>
    <row r="3296" customFormat="false" ht="15" hidden="false" customHeight="false" outlineLevel="0" collapsed="false">
      <c r="A3296" s="2" t="s">
        <v>1568</v>
      </c>
      <c r="B3296" s="2" t="s">
        <v>45</v>
      </c>
      <c r="C3296" s="2" t="s">
        <v>4275</v>
      </c>
      <c r="D3296" s="11" t="n">
        <v>112627</v>
      </c>
      <c r="E3296" s="31" t="n">
        <v>4.5</v>
      </c>
      <c r="F3296" s="31" t="n">
        <v>37.9</v>
      </c>
      <c r="G3296" s="31" t="n">
        <v>23.8</v>
      </c>
      <c r="H3296" s="2" t="s">
        <v>822</v>
      </c>
    </row>
    <row r="3297" customFormat="false" ht="15" hidden="false" customHeight="false" outlineLevel="0" collapsed="false">
      <c r="A3297" s="2" t="s">
        <v>1568</v>
      </c>
      <c r="B3297" s="2" t="s">
        <v>46</v>
      </c>
      <c r="C3297" s="2" t="s">
        <v>4274</v>
      </c>
      <c r="D3297" s="11" t="n">
        <v>610</v>
      </c>
      <c r="E3297" s="2"/>
      <c r="F3297" s="2"/>
      <c r="G3297" s="31" t="n">
        <v>65.5</v>
      </c>
      <c r="H3297" s="2" t="s">
        <v>832</v>
      </c>
    </row>
    <row r="3298" customFormat="false" ht="15" hidden="false" customHeight="false" outlineLevel="0" collapsed="false">
      <c r="A3298" s="2" t="s">
        <v>1568</v>
      </c>
      <c r="B3298" s="2" t="s">
        <v>46</v>
      </c>
      <c r="C3298" s="2" t="s">
        <v>4275</v>
      </c>
      <c r="D3298" s="11" t="n">
        <v>650</v>
      </c>
      <c r="E3298" s="31" t="n">
        <v>4.1</v>
      </c>
      <c r="F3298" s="31" t="n">
        <v>83</v>
      </c>
      <c r="G3298" s="31" t="n">
        <v>51.9</v>
      </c>
      <c r="H3298" s="2" t="s">
        <v>822</v>
      </c>
    </row>
    <row r="3299" customFormat="false" ht="15" hidden="false" customHeight="false" outlineLevel="0" collapsed="false">
      <c r="A3299" s="2" t="s">
        <v>1568</v>
      </c>
      <c r="B3299" s="2" t="s">
        <v>47</v>
      </c>
      <c r="C3299" s="2" t="s">
        <v>4274</v>
      </c>
      <c r="D3299" s="11" t="n">
        <v>981480</v>
      </c>
      <c r="E3299" s="31" t="n">
        <v>62.6</v>
      </c>
      <c r="F3299" s="31" t="n">
        <v>22.8</v>
      </c>
      <c r="G3299" s="31" t="n">
        <v>78</v>
      </c>
      <c r="H3299" s="2" t="s">
        <v>822</v>
      </c>
    </row>
    <row r="3300" customFormat="false" ht="15" hidden="false" customHeight="false" outlineLevel="0" collapsed="false">
      <c r="A3300" s="2" t="s">
        <v>1568</v>
      </c>
      <c r="B3300" s="2" t="s">
        <v>47</v>
      </c>
      <c r="C3300" s="2" t="s">
        <v>4275</v>
      </c>
      <c r="D3300" s="11" t="n">
        <v>1026774</v>
      </c>
      <c r="E3300" s="31" t="n">
        <v>62.1</v>
      </c>
      <c r="F3300" s="31" t="n">
        <v>64.3</v>
      </c>
      <c r="G3300" s="31" t="n">
        <v>83.2</v>
      </c>
      <c r="H3300" s="2" t="s">
        <v>832</v>
      </c>
    </row>
    <row r="3301" customFormat="false" ht="15" hidden="false" customHeight="false" outlineLevel="0" collapsed="false">
      <c r="A3301" s="2" t="s">
        <v>1276</v>
      </c>
      <c r="B3301" s="2" t="s">
        <v>4291</v>
      </c>
      <c r="C3301" s="2" t="s">
        <v>4274</v>
      </c>
      <c r="D3301" s="2"/>
      <c r="E3301" s="31" t="n">
        <v>77.7</v>
      </c>
      <c r="F3301" s="31" t="n">
        <v>26.2</v>
      </c>
      <c r="G3301" s="31" t="n">
        <v>28.2</v>
      </c>
      <c r="H3301" s="2" t="s">
        <v>832</v>
      </c>
    </row>
    <row r="3302" customFormat="false" ht="15" hidden="false" customHeight="false" outlineLevel="0" collapsed="false">
      <c r="A3302" s="2" t="s">
        <v>1276</v>
      </c>
      <c r="B3302" s="2" t="s">
        <v>4291</v>
      </c>
      <c r="C3302" s="2" t="s">
        <v>4275</v>
      </c>
      <c r="D3302" s="2"/>
      <c r="E3302" s="31" t="n">
        <v>43.9</v>
      </c>
      <c r="F3302" s="31" t="n">
        <v>39.7</v>
      </c>
      <c r="G3302" s="31" t="n">
        <v>57.6</v>
      </c>
      <c r="H3302" s="2" t="s">
        <v>832</v>
      </c>
    </row>
    <row r="3303" customFormat="false" ht="15" hidden="false" customHeight="false" outlineLevel="0" collapsed="false">
      <c r="A3303" s="2" t="s">
        <v>1276</v>
      </c>
      <c r="B3303" s="2" t="s">
        <v>45</v>
      </c>
      <c r="C3303" s="2" t="s">
        <v>4274</v>
      </c>
      <c r="D3303" s="11" t="n">
        <v>892</v>
      </c>
      <c r="E3303" s="31" t="n">
        <v>74.3</v>
      </c>
      <c r="F3303" s="31" t="n">
        <v>30.6</v>
      </c>
      <c r="G3303" s="2"/>
      <c r="H3303" s="2" t="s">
        <v>832</v>
      </c>
    </row>
    <row r="3304" customFormat="false" ht="15" hidden="false" customHeight="false" outlineLevel="0" collapsed="false">
      <c r="A3304" s="2" t="s">
        <v>1276</v>
      </c>
      <c r="B3304" s="2" t="s">
        <v>45</v>
      </c>
      <c r="C3304" s="2" t="s">
        <v>4275</v>
      </c>
      <c r="D3304" s="11" t="n">
        <v>960</v>
      </c>
      <c r="E3304" s="31" t="n">
        <v>43.9</v>
      </c>
      <c r="F3304" s="31" t="n">
        <v>52.1</v>
      </c>
      <c r="G3304" s="31" t="n">
        <v>99.5</v>
      </c>
      <c r="H3304" s="2" t="s">
        <v>822</v>
      </c>
    </row>
    <row r="3305" customFormat="false" ht="15" hidden="false" customHeight="false" outlineLevel="0" collapsed="false">
      <c r="A3305" s="2" t="s">
        <v>1276</v>
      </c>
      <c r="B3305" s="2" t="s">
        <v>47</v>
      </c>
      <c r="C3305" s="2" t="s">
        <v>4274</v>
      </c>
      <c r="D3305" s="11" t="n">
        <v>50020</v>
      </c>
      <c r="E3305" s="31" t="n">
        <v>81.1</v>
      </c>
      <c r="F3305" s="31" t="n">
        <v>21.9</v>
      </c>
      <c r="G3305" s="31" t="n">
        <v>28.2</v>
      </c>
      <c r="H3305" s="2" t="s">
        <v>822</v>
      </c>
    </row>
    <row r="3306" customFormat="false" ht="15" hidden="false" customHeight="false" outlineLevel="0" collapsed="false">
      <c r="A3306" s="2" t="s">
        <v>1276</v>
      </c>
      <c r="B3306" s="2" t="s">
        <v>47</v>
      </c>
      <c r="C3306" s="2" t="s">
        <v>4275</v>
      </c>
      <c r="D3306" s="11" t="n">
        <v>50170</v>
      </c>
      <c r="E3306" s="2"/>
      <c r="F3306" s="31" t="n">
        <v>27.3</v>
      </c>
      <c r="G3306" s="31" t="n">
        <v>15.6</v>
      </c>
      <c r="H3306" s="2" t="s">
        <v>832</v>
      </c>
    </row>
    <row r="3307" customFormat="false" ht="15" hidden="false" customHeight="false" outlineLevel="0" collapsed="false">
      <c r="A3307" s="2" t="s">
        <v>3172</v>
      </c>
      <c r="B3307" s="2" t="s">
        <v>4291</v>
      </c>
      <c r="C3307" s="2" t="s">
        <v>4275</v>
      </c>
      <c r="D3307" s="2"/>
      <c r="E3307" s="31" t="n">
        <v>19.8</v>
      </c>
      <c r="F3307" s="31" t="n">
        <v>3.2</v>
      </c>
      <c r="G3307" s="2"/>
      <c r="H3307" s="2" t="s">
        <v>832</v>
      </c>
    </row>
    <row r="3308" customFormat="false" ht="15" hidden="false" customHeight="false" outlineLevel="0" collapsed="false">
      <c r="A3308" s="2" t="s">
        <v>3172</v>
      </c>
      <c r="B3308" s="2" t="s">
        <v>46</v>
      </c>
      <c r="C3308" s="2" t="s">
        <v>4275</v>
      </c>
      <c r="D3308" s="11" t="n">
        <v>216350</v>
      </c>
      <c r="E3308" s="31" t="n">
        <v>19.8</v>
      </c>
      <c r="F3308" s="31" t="n">
        <v>3.2</v>
      </c>
      <c r="G3308" s="2"/>
      <c r="H3308" s="2" t="s">
        <v>832</v>
      </c>
    </row>
    <row r="3309" customFormat="false" ht="15" hidden="false" customHeight="false" outlineLevel="0" collapsed="false">
      <c r="A3309" s="2" t="s">
        <v>226</v>
      </c>
      <c r="B3309" s="2" t="s">
        <v>4291</v>
      </c>
      <c r="C3309" s="2" t="s">
        <v>4275</v>
      </c>
      <c r="D3309" s="2"/>
      <c r="E3309" s="31" t="n">
        <v>71.4</v>
      </c>
      <c r="F3309" s="31" t="n">
        <v>61.4</v>
      </c>
      <c r="G3309" s="31" t="n">
        <v>58.4</v>
      </c>
      <c r="H3309" s="2" t="s">
        <v>822</v>
      </c>
    </row>
    <row r="3310" customFormat="false" ht="15" hidden="false" customHeight="false" outlineLevel="0" collapsed="false">
      <c r="A3310" s="2" t="s">
        <v>226</v>
      </c>
      <c r="B3310" s="2" t="s">
        <v>47</v>
      </c>
      <c r="C3310" s="2" t="s">
        <v>4275</v>
      </c>
      <c r="D3310" s="11" t="n">
        <v>99650</v>
      </c>
      <c r="E3310" s="31" t="n">
        <v>71.4</v>
      </c>
      <c r="F3310" s="31" t="n">
        <v>61.4</v>
      </c>
      <c r="G3310" s="31" t="n">
        <v>58.4</v>
      </c>
      <c r="H3310" s="2" t="s">
        <v>822</v>
      </c>
    </row>
    <row r="3311" customFormat="false" ht="15" hidden="false" customHeight="false" outlineLevel="0" collapsed="false">
      <c r="A3311" s="2" t="s">
        <v>3174</v>
      </c>
      <c r="B3311" s="2" t="s">
        <v>4291</v>
      </c>
      <c r="C3311" s="2" t="s">
        <v>4275</v>
      </c>
      <c r="D3311" s="2"/>
      <c r="E3311" s="31" t="n">
        <v>1.7</v>
      </c>
      <c r="F3311" s="31" t="n">
        <v>43.7</v>
      </c>
      <c r="G3311" s="2"/>
      <c r="H3311" s="2" t="s">
        <v>832</v>
      </c>
    </row>
    <row r="3312" customFormat="false" ht="15" hidden="false" customHeight="false" outlineLevel="0" collapsed="false">
      <c r="A3312" s="2" t="s">
        <v>3174</v>
      </c>
      <c r="B3312" s="2" t="s">
        <v>45</v>
      </c>
      <c r="C3312" s="2" t="s">
        <v>4275</v>
      </c>
      <c r="D3312" s="11" t="n">
        <v>670</v>
      </c>
      <c r="E3312" s="31" t="n">
        <v>1.7</v>
      </c>
      <c r="F3312" s="31" t="n">
        <v>43.7</v>
      </c>
      <c r="G3312" s="2"/>
      <c r="H3312" s="2" t="s">
        <v>832</v>
      </c>
    </row>
    <row r="3313" customFormat="false" ht="15" hidden="false" customHeight="false" outlineLevel="0" collapsed="false">
      <c r="A3313" s="2" t="s">
        <v>570</v>
      </c>
      <c r="B3313" s="2" t="s">
        <v>4291</v>
      </c>
      <c r="C3313" s="2" t="s">
        <v>4274</v>
      </c>
      <c r="D3313" s="2"/>
      <c r="E3313" s="31" t="n">
        <v>30.9</v>
      </c>
      <c r="F3313" s="31" t="n">
        <v>61</v>
      </c>
      <c r="G3313" s="31" t="n">
        <v>32.5</v>
      </c>
      <c r="H3313" s="2" t="s">
        <v>832</v>
      </c>
    </row>
    <row r="3314" customFormat="false" ht="15" hidden="false" customHeight="false" outlineLevel="0" collapsed="false">
      <c r="A3314" s="2" t="s">
        <v>570</v>
      </c>
      <c r="B3314" s="2" t="s">
        <v>4291</v>
      </c>
      <c r="C3314" s="2" t="s">
        <v>4275</v>
      </c>
      <c r="D3314" s="2"/>
      <c r="E3314" s="31" t="n">
        <v>42.4</v>
      </c>
      <c r="F3314" s="31" t="n">
        <v>56.9</v>
      </c>
      <c r="G3314" s="31" t="n">
        <v>34.2</v>
      </c>
      <c r="H3314" s="2" t="s">
        <v>822</v>
      </c>
    </row>
    <row r="3315" customFormat="false" ht="15" hidden="false" customHeight="false" outlineLevel="0" collapsed="false">
      <c r="A3315" s="2" t="s">
        <v>570</v>
      </c>
      <c r="B3315" s="2" t="s">
        <v>45</v>
      </c>
      <c r="C3315" s="2" t="s">
        <v>4274</v>
      </c>
      <c r="D3315" s="11" t="n">
        <v>115702</v>
      </c>
      <c r="E3315" s="31" t="n">
        <v>14.2</v>
      </c>
      <c r="F3315" s="31" t="n">
        <v>24</v>
      </c>
      <c r="G3315" s="31" t="n">
        <v>29.8</v>
      </c>
      <c r="H3315" s="2" t="s">
        <v>822</v>
      </c>
    </row>
    <row r="3316" customFormat="false" ht="15" hidden="false" customHeight="false" outlineLevel="0" collapsed="false">
      <c r="A3316" s="2" t="s">
        <v>570</v>
      </c>
      <c r="B3316" s="2" t="s">
        <v>45</v>
      </c>
      <c r="C3316" s="2" t="s">
        <v>4275</v>
      </c>
      <c r="D3316" s="11" t="n">
        <v>117080</v>
      </c>
      <c r="E3316" s="31" t="n">
        <v>29.1</v>
      </c>
      <c r="F3316" s="31" t="n">
        <v>23.6</v>
      </c>
      <c r="G3316" s="31" t="n">
        <v>40.3</v>
      </c>
      <c r="H3316" s="2" t="s">
        <v>822</v>
      </c>
    </row>
    <row r="3317" customFormat="false" ht="15" hidden="false" customHeight="false" outlineLevel="0" collapsed="false">
      <c r="A3317" s="2" t="s">
        <v>570</v>
      </c>
      <c r="B3317" s="2" t="s">
        <v>46</v>
      </c>
      <c r="C3317" s="2" t="s">
        <v>4274</v>
      </c>
      <c r="D3317" s="11" t="n">
        <v>7226</v>
      </c>
      <c r="E3317" s="31" t="n">
        <v>31.9</v>
      </c>
      <c r="F3317" s="31" t="n">
        <v>59.6</v>
      </c>
      <c r="G3317" s="31" t="n">
        <v>21.2</v>
      </c>
      <c r="H3317" s="2" t="s">
        <v>822</v>
      </c>
    </row>
    <row r="3318" customFormat="false" ht="15" hidden="false" customHeight="false" outlineLevel="0" collapsed="false">
      <c r="A3318" s="2" t="s">
        <v>570</v>
      </c>
      <c r="B3318" s="2" t="s">
        <v>46</v>
      </c>
      <c r="C3318" s="2" t="s">
        <v>4275</v>
      </c>
      <c r="D3318" s="11" t="n">
        <v>7340</v>
      </c>
      <c r="E3318" s="31" t="n">
        <v>63.9</v>
      </c>
      <c r="F3318" s="31" t="n">
        <v>47.2</v>
      </c>
      <c r="G3318" s="31" t="n">
        <v>45</v>
      </c>
      <c r="H3318" s="2" t="s">
        <v>822</v>
      </c>
    </row>
    <row r="3319" customFormat="false" ht="15" hidden="false" customHeight="false" outlineLevel="0" collapsed="false">
      <c r="A3319" s="2" t="s">
        <v>570</v>
      </c>
      <c r="B3319" s="2" t="s">
        <v>47</v>
      </c>
      <c r="C3319" s="2" t="s">
        <v>4274</v>
      </c>
      <c r="D3319" s="11" t="n">
        <v>71014</v>
      </c>
      <c r="E3319" s="31" t="n">
        <v>46.5</v>
      </c>
      <c r="F3319" s="31" t="n">
        <v>99.3</v>
      </c>
      <c r="G3319" s="31" t="n">
        <v>46.6</v>
      </c>
      <c r="H3319" s="2" t="s">
        <v>832</v>
      </c>
    </row>
    <row r="3320" customFormat="false" ht="15" hidden="false" customHeight="false" outlineLevel="0" collapsed="false">
      <c r="A3320" s="2" t="s">
        <v>570</v>
      </c>
      <c r="B3320" s="2" t="s">
        <v>47</v>
      </c>
      <c r="C3320" s="2" t="s">
        <v>4275</v>
      </c>
      <c r="D3320" s="11" t="n">
        <v>76933</v>
      </c>
      <c r="E3320" s="31" t="n">
        <v>34.2</v>
      </c>
      <c r="F3320" s="31" t="n">
        <v>100</v>
      </c>
      <c r="G3320" s="31" t="n">
        <v>17.4</v>
      </c>
      <c r="H3320" s="2" t="s">
        <v>822</v>
      </c>
    </row>
    <row r="3321" customFormat="false" ht="15" hidden="false" customHeight="false" outlineLevel="0" collapsed="false">
      <c r="A3321" s="2" t="s">
        <v>488</v>
      </c>
      <c r="B3321" s="2" t="s">
        <v>4291</v>
      </c>
      <c r="C3321" s="2" t="s">
        <v>4274</v>
      </c>
      <c r="D3321" s="2"/>
      <c r="E3321" s="31" t="n">
        <v>46.5</v>
      </c>
      <c r="F3321" s="31" t="n">
        <v>68.4</v>
      </c>
      <c r="G3321" s="31" t="n">
        <v>70.3</v>
      </c>
      <c r="H3321" s="2" t="s">
        <v>832</v>
      </c>
    </row>
    <row r="3322" customFormat="false" ht="15" hidden="false" customHeight="false" outlineLevel="0" collapsed="false">
      <c r="A3322" s="2" t="s">
        <v>488</v>
      </c>
      <c r="B3322" s="2" t="s">
        <v>4291</v>
      </c>
      <c r="C3322" s="2" t="s">
        <v>4275</v>
      </c>
      <c r="D3322" s="2"/>
      <c r="E3322" s="31" t="n">
        <v>49.6</v>
      </c>
      <c r="F3322" s="31" t="n">
        <v>63.2</v>
      </c>
      <c r="G3322" s="31" t="n">
        <v>79.5</v>
      </c>
      <c r="H3322" s="2" t="s">
        <v>822</v>
      </c>
    </row>
    <row r="3323" customFormat="false" ht="15" hidden="false" customHeight="false" outlineLevel="0" collapsed="false">
      <c r="A3323" s="2" t="s">
        <v>488</v>
      </c>
      <c r="B3323" s="2" t="s">
        <v>45</v>
      </c>
      <c r="C3323" s="2" t="s">
        <v>4274</v>
      </c>
      <c r="D3323" s="11" t="n">
        <v>57740</v>
      </c>
      <c r="E3323" s="31" t="n">
        <v>50.8</v>
      </c>
      <c r="F3323" s="31" t="n">
        <v>58</v>
      </c>
      <c r="G3323" s="31" t="n">
        <v>65.1</v>
      </c>
      <c r="H3323" s="2" t="s">
        <v>822</v>
      </c>
    </row>
    <row r="3324" customFormat="false" ht="15" hidden="false" customHeight="false" outlineLevel="0" collapsed="false">
      <c r="A3324" s="2" t="s">
        <v>488</v>
      </c>
      <c r="B3324" s="2" t="s">
        <v>45</v>
      </c>
      <c r="C3324" s="2" t="s">
        <v>4275</v>
      </c>
      <c r="D3324" s="11" t="n">
        <v>59393</v>
      </c>
      <c r="E3324" s="31" t="n">
        <v>27</v>
      </c>
      <c r="F3324" s="31" t="n">
        <v>47.1</v>
      </c>
      <c r="G3324" s="31" t="n">
        <v>73</v>
      </c>
      <c r="H3324" s="2" t="s">
        <v>822</v>
      </c>
    </row>
    <row r="3325" customFormat="false" ht="15" hidden="false" customHeight="false" outlineLevel="0" collapsed="false">
      <c r="A3325" s="2" t="s">
        <v>488</v>
      </c>
      <c r="B3325" s="2" t="s">
        <v>46</v>
      </c>
      <c r="C3325" s="2" t="s">
        <v>4274</v>
      </c>
      <c r="D3325" s="2"/>
      <c r="E3325" s="2"/>
      <c r="F3325" s="2"/>
      <c r="G3325" s="2"/>
      <c r="H3325" s="2" t="s">
        <v>832</v>
      </c>
    </row>
    <row r="3326" customFormat="false" ht="15" hidden="false" customHeight="false" outlineLevel="0" collapsed="false">
      <c r="A3326" s="2" t="s">
        <v>488</v>
      </c>
      <c r="B3326" s="2" t="s">
        <v>46</v>
      </c>
      <c r="C3326" s="2" t="s">
        <v>4275</v>
      </c>
      <c r="D3326" s="11" t="n">
        <v>303830</v>
      </c>
      <c r="E3326" s="31" t="n">
        <v>81.7</v>
      </c>
      <c r="F3326" s="31" t="n">
        <v>68.2</v>
      </c>
      <c r="G3326" s="31" t="n">
        <v>99.6</v>
      </c>
      <c r="H3326" s="2" t="s">
        <v>822</v>
      </c>
    </row>
    <row r="3327" customFormat="false" ht="15" hidden="false" customHeight="false" outlineLevel="0" collapsed="false">
      <c r="A3327" s="2" t="s">
        <v>488</v>
      </c>
      <c r="B3327" s="2" t="s">
        <v>47</v>
      </c>
      <c r="C3327" s="2" t="s">
        <v>4274</v>
      </c>
      <c r="D3327" s="11" t="n">
        <v>19318</v>
      </c>
      <c r="E3327" s="31" t="n">
        <v>42.2</v>
      </c>
      <c r="F3327" s="31" t="n">
        <v>78.8</v>
      </c>
      <c r="G3327" s="31" t="n">
        <v>75.5</v>
      </c>
      <c r="H3327" s="2" t="s">
        <v>822</v>
      </c>
    </row>
    <row r="3328" customFormat="false" ht="15" hidden="false" customHeight="false" outlineLevel="0" collapsed="false">
      <c r="A3328" s="2" t="s">
        <v>488</v>
      </c>
      <c r="B3328" s="2" t="s">
        <v>47</v>
      </c>
      <c r="C3328" s="2" t="s">
        <v>4275</v>
      </c>
      <c r="D3328" s="11" t="n">
        <v>19549</v>
      </c>
      <c r="E3328" s="31" t="n">
        <v>40.2</v>
      </c>
      <c r="F3328" s="31" t="n">
        <v>74.4</v>
      </c>
      <c r="G3328" s="31" t="n">
        <v>65.8</v>
      </c>
      <c r="H3328" s="2" t="s">
        <v>822</v>
      </c>
    </row>
    <row r="3329" customFormat="false" ht="15" hidden="false" customHeight="false" outlineLevel="0" collapsed="false">
      <c r="A3329" s="2" t="s">
        <v>3176</v>
      </c>
      <c r="B3329" s="2" t="s">
        <v>4291</v>
      </c>
      <c r="C3329" s="2" t="s">
        <v>4274</v>
      </c>
      <c r="D3329" s="2"/>
      <c r="E3329" s="31" t="n">
        <v>61.1</v>
      </c>
      <c r="F3329" s="31" t="n">
        <v>69.4</v>
      </c>
      <c r="G3329" s="31" t="n">
        <v>13.2</v>
      </c>
      <c r="H3329" s="2" t="s">
        <v>822</v>
      </c>
    </row>
    <row r="3330" customFormat="false" ht="15" hidden="false" customHeight="false" outlineLevel="0" collapsed="false">
      <c r="A3330" s="2" t="s">
        <v>3176</v>
      </c>
      <c r="B3330" s="2" t="s">
        <v>4291</v>
      </c>
      <c r="C3330" s="2" t="s">
        <v>4275</v>
      </c>
      <c r="D3330" s="2"/>
      <c r="E3330" s="31" t="n">
        <v>72.4</v>
      </c>
      <c r="F3330" s="2"/>
      <c r="G3330" s="31" t="n">
        <v>84.6</v>
      </c>
      <c r="H3330" s="2" t="s">
        <v>832</v>
      </c>
    </row>
    <row r="3331" customFormat="false" ht="15" hidden="false" customHeight="false" outlineLevel="0" collapsed="false">
      <c r="A3331" s="2" t="s">
        <v>3176</v>
      </c>
      <c r="B3331" s="2" t="s">
        <v>45</v>
      </c>
      <c r="C3331" s="2" t="s">
        <v>4274</v>
      </c>
      <c r="D3331" s="11" t="n">
        <v>2154</v>
      </c>
      <c r="E3331" s="31" t="n">
        <v>61.1</v>
      </c>
      <c r="F3331" s="31" t="n">
        <v>69.4</v>
      </c>
      <c r="G3331" s="31" t="n">
        <v>13.2</v>
      </c>
      <c r="H3331" s="2" t="s">
        <v>822</v>
      </c>
    </row>
    <row r="3332" customFormat="false" ht="15" hidden="false" customHeight="false" outlineLevel="0" collapsed="false">
      <c r="A3332" s="2" t="s">
        <v>3176</v>
      </c>
      <c r="B3332" s="2" t="s">
        <v>45</v>
      </c>
      <c r="C3332" s="2" t="s">
        <v>4275</v>
      </c>
      <c r="D3332" s="11" t="n">
        <v>2320</v>
      </c>
      <c r="E3332" s="31" t="n">
        <v>72.4</v>
      </c>
      <c r="F3332" s="2"/>
      <c r="G3332" s="31" t="n">
        <v>84.6</v>
      </c>
      <c r="H3332" s="2" t="s">
        <v>832</v>
      </c>
    </row>
    <row r="3333" customFormat="false" ht="15" hidden="false" customHeight="false" outlineLevel="0" collapsed="false">
      <c r="A3333" s="2" t="s">
        <v>1998</v>
      </c>
      <c r="B3333" s="2" t="s">
        <v>4291</v>
      </c>
      <c r="C3333" s="2" t="s">
        <v>4274</v>
      </c>
      <c r="D3333" s="2"/>
      <c r="E3333" s="31" t="n">
        <v>57.8</v>
      </c>
      <c r="F3333" s="31" t="n">
        <v>69.3</v>
      </c>
      <c r="G3333" s="31" t="n">
        <v>85.6</v>
      </c>
      <c r="H3333" s="2" t="s">
        <v>832</v>
      </c>
    </row>
    <row r="3334" customFormat="false" ht="15" hidden="false" customHeight="false" outlineLevel="0" collapsed="false">
      <c r="A3334" s="2" t="s">
        <v>1998</v>
      </c>
      <c r="B3334" s="2" t="s">
        <v>4291</v>
      </c>
      <c r="C3334" s="2" t="s">
        <v>4275</v>
      </c>
      <c r="D3334" s="2"/>
      <c r="E3334" s="31" t="n">
        <v>42.2</v>
      </c>
      <c r="F3334" s="31" t="n">
        <v>53.5</v>
      </c>
      <c r="G3334" s="31" t="n">
        <v>59.5</v>
      </c>
      <c r="H3334" s="2" t="s">
        <v>832</v>
      </c>
    </row>
    <row r="3335" customFormat="false" ht="15" hidden="false" customHeight="false" outlineLevel="0" collapsed="false">
      <c r="A3335" s="2" t="s">
        <v>1998</v>
      </c>
      <c r="B3335" s="2" t="s">
        <v>45</v>
      </c>
      <c r="C3335" s="2" t="s">
        <v>4274</v>
      </c>
      <c r="D3335" s="11" t="n">
        <v>2750</v>
      </c>
      <c r="E3335" s="31" t="n">
        <v>53.4</v>
      </c>
      <c r="F3335" s="2"/>
      <c r="G3335" s="31" t="n">
        <v>76.8</v>
      </c>
      <c r="H3335" s="2" t="s">
        <v>832</v>
      </c>
    </row>
    <row r="3336" customFormat="false" ht="15" hidden="false" customHeight="false" outlineLevel="0" collapsed="false">
      <c r="A3336" s="2" t="s">
        <v>1998</v>
      </c>
      <c r="B3336" s="2" t="s">
        <v>45</v>
      </c>
      <c r="C3336" s="2" t="s">
        <v>4275</v>
      </c>
      <c r="D3336" s="11" t="n">
        <v>2890</v>
      </c>
      <c r="E3336" s="31" t="n">
        <v>32.5</v>
      </c>
      <c r="F3336" s="2"/>
      <c r="G3336" s="2"/>
      <c r="H3336" s="2" t="s">
        <v>832</v>
      </c>
    </row>
    <row r="3337" customFormat="false" ht="15" hidden="false" customHeight="false" outlineLevel="0" collapsed="false">
      <c r="A3337" s="2" t="s">
        <v>1998</v>
      </c>
      <c r="B3337" s="2" t="s">
        <v>46</v>
      </c>
      <c r="C3337" s="2" t="s">
        <v>4274</v>
      </c>
      <c r="D3337" s="2"/>
      <c r="E3337" s="2"/>
      <c r="F3337" s="2"/>
      <c r="G3337" s="2"/>
      <c r="H3337" s="2" t="s">
        <v>832</v>
      </c>
    </row>
    <row r="3338" customFormat="false" ht="15" hidden="false" customHeight="false" outlineLevel="0" collapsed="false">
      <c r="A3338" s="2" t="s">
        <v>1998</v>
      </c>
      <c r="B3338" s="2" t="s">
        <v>46</v>
      </c>
      <c r="C3338" s="2" t="s">
        <v>4275</v>
      </c>
      <c r="D3338" s="11" t="n">
        <v>36880</v>
      </c>
      <c r="E3338" s="31" t="n">
        <v>34.4</v>
      </c>
      <c r="F3338" s="31" t="n">
        <v>56</v>
      </c>
      <c r="G3338" s="31" t="n">
        <v>42.8</v>
      </c>
      <c r="H3338" s="2" t="s">
        <v>822</v>
      </c>
    </row>
    <row r="3339" customFormat="false" ht="15" hidden="false" customHeight="false" outlineLevel="0" collapsed="false">
      <c r="A3339" s="2" t="s">
        <v>1998</v>
      </c>
      <c r="B3339" s="2" t="s">
        <v>47</v>
      </c>
      <c r="C3339" s="2" t="s">
        <v>4274</v>
      </c>
      <c r="D3339" s="11" t="n">
        <v>31943</v>
      </c>
      <c r="E3339" s="31" t="n">
        <v>62.1</v>
      </c>
      <c r="F3339" s="31" t="n">
        <v>69.3</v>
      </c>
      <c r="G3339" s="31" t="n">
        <v>94.4</v>
      </c>
      <c r="H3339" s="2" t="s">
        <v>822</v>
      </c>
    </row>
    <row r="3340" customFormat="false" ht="15" hidden="false" customHeight="false" outlineLevel="0" collapsed="false">
      <c r="A3340" s="2" t="s">
        <v>1998</v>
      </c>
      <c r="B3340" s="2" t="s">
        <v>47</v>
      </c>
      <c r="C3340" s="2" t="s">
        <v>4275</v>
      </c>
      <c r="D3340" s="11" t="n">
        <v>33830</v>
      </c>
      <c r="E3340" s="31" t="n">
        <v>59.8</v>
      </c>
      <c r="F3340" s="31" t="n">
        <v>51</v>
      </c>
      <c r="G3340" s="31" t="n">
        <v>76.2</v>
      </c>
      <c r="H3340" s="2" t="s">
        <v>822</v>
      </c>
    </row>
    <row r="3341" customFormat="false" ht="15" hidden="false" customHeight="false" outlineLevel="0" collapsed="false">
      <c r="A3341" s="2" t="s">
        <v>344</v>
      </c>
      <c r="B3341" s="2" t="s">
        <v>4291</v>
      </c>
      <c r="C3341" s="2" t="s">
        <v>4274</v>
      </c>
      <c r="D3341" s="2"/>
      <c r="E3341" s="31" t="n">
        <v>59</v>
      </c>
      <c r="F3341" s="31" t="n">
        <v>51.8</v>
      </c>
      <c r="G3341" s="31" t="n">
        <v>82.2</v>
      </c>
      <c r="H3341" s="2" t="s">
        <v>832</v>
      </c>
    </row>
    <row r="3342" customFormat="false" ht="15" hidden="false" customHeight="false" outlineLevel="0" collapsed="false">
      <c r="A3342" s="2" t="s">
        <v>344</v>
      </c>
      <c r="B3342" s="2" t="s">
        <v>4291</v>
      </c>
      <c r="C3342" s="2" t="s">
        <v>4275</v>
      </c>
      <c r="D3342" s="2"/>
      <c r="E3342" s="31" t="n">
        <v>59.6</v>
      </c>
      <c r="F3342" s="31" t="n">
        <v>37.1</v>
      </c>
      <c r="G3342" s="31" t="n">
        <v>43.6</v>
      </c>
      <c r="H3342" s="2" t="s">
        <v>822</v>
      </c>
    </row>
    <row r="3343" customFormat="false" ht="15" hidden="false" customHeight="false" outlineLevel="0" collapsed="false">
      <c r="A3343" s="2" t="s">
        <v>344</v>
      </c>
      <c r="B3343" s="2" t="s">
        <v>45</v>
      </c>
      <c r="C3343" s="2" t="s">
        <v>4274</v>
      </c>
      <c r="D3343" s="2"/>
      <c r="E3343" s="2"/>
      <c r="F3343" s="2"/>
      <c r="G3343" s="2"/>
      <c r="H3343" s="2" t="s">
        <v>832</v>
      </c>
    </row>
    <row r="3344" customFormat="false" ht="15" hidden="false" customHeight="false" outlineLevel="0" collapsed="false">
      <c r="A3344" s="2" t="s">
        <v>344</v>
      </c>
      <c r="B3344" s="2" t="s">
        <v>45</v>
      </c>
      <c r="C3344" s="2" t="s">
        <v>4275</v>
      </c>
      <c r="D3344" s="11" t="n">
        <v>8720</v>
      </c>
      <c r="E3344" s="31" t="n">
        <v>79.4</v>
      </c>
      <c r="F3344" s="31" t="n">
        <v>5.6</v>
      </c>
      <c r="G3344" s="31" t="n">
        <v>53.4</v>
      </c>
      <c r="H3344" s="2" t="s">
        <v>822</v>
      </c>
    </row>
    <row r="3345" customFormat="false" ht="15" hidden="false" customHeight="false" outlineLevel="0" collapsed="false">
      <c r="A3345" s="2" t="s">
        <v>344</v>
      </c>
      <c r="B3345" s="2" t="s">
        <v>46</v>
      </c>
      <c r="C3345" s="2" t="s">
        <v>4274</v>
      </c>
      <c r="D3345" s="11" t="n">
        <v>107810</v>
      </c>
      <c r="E3345" s="31" t="n">
        <v>79.8</v>
      </c>
      <c r="F3345" s="31" t="n">
        <v>55.1</v>
      </c>
      <c r="G3345" s="2"/>
      <c r="H3345" s="2" t="s">
        <v>832</v>
      </c>
    </row>
    <row r="3346" customFormat="false" ht="15" hidden="false" customHeight="false" outlineLevel="0" collapsed="false">
      <c r="A3346" s="2" t="s">
        <v>344</v>
      </c>
      <c r="B3346" s="2" t="s">
        <v>46</v>
      </c>
      <c r="C3346" s="2" t="s">
        <v>4275</v>
      </c>
      <c r="D3346" s="11" t="n">
        <v>109790</v>
      </c>
      <c r="E3346" s="31" t="n">
        <v>62.3</v>
      </c>
      <c r="F3346" s="31" t="n">
        <v>67.5</v>
      </c>
      <c r="G3346" s="31" t="n">
        <v>14.6</v>
      </c>
      <c r="H3346" s="2" t="s">
        <v>822</v>
      </c>
    </row>
    <row r="3347" customFormat="false" ht="15" hidden="false" customHeight="false" outlineLevel="0" collapsed="false">
      <c r="A3347" s="2" t="s">
        <v>344</v>
      </c>
      <c r="B3347" s="2" t="s">
        <v>47</v>
      </c>
      <c r="C3347" s="2" t="s">
        <v>4274</v>
      </c>
      <c r="D3347" s="11" t="n">
        <v>28888</v>
      </c>
      <c r="E3347" s="31" t="n">
        <v>38.1</v>
      </c>
      <c r="F3347" s="31" t="n">
        <v>48.4</v>
      </c>
      <c r="G3347" s="31" t="n">
        <v>82.2</v>
      </c>
      <c r="H3347" s="2" t="s">
        <v>822</v>
      </c>
    </row>
    <row r="3348" customFormat="false" ht="15" hidden="false" customHeight="false" outlineLevel="0" collapsed="false">
      <c r="A3348" s="2" t="s">
        <v>344</v>
      </c>
      <c r="B3348" s="2" t="s">
        <v>47</v>
      </c>
      <c r="C3348" s="2" t="s">
        <v>4275</v>
      </c>
      <c r="D3348" s="11" t="n">
        <v>28908</v>
      </c>
      <c r="E3348" s="31" t="n">
        <v>37</v>
      </c>
      <c r="F3348" s="31" t="n">
        <v>38.3</v>
      </c>
      <c r="G3348" s="31" t="n">
        <v>62.9</v>
      </c>
      <c r="H3348" s="2" t="s">
        <v>822</v>
      </c>
    </row>
    <row r="3349" customFormat="false" ht="15" hidden="false" customHeight="false" outlineLevel="0" collapsed="false">
      <c r="A3349" s="2" t="s">
        <v>1268</v>
      </c>
      <c r="B3349" s="2" t="s">
        <v>4291</v>
      </c>
      <c r="C3349" s="2" t="s">
        <v>4274</v>
      </c>
      <c r="D3349" s="2"/>
      <c r="E3349" s="31" t="n">
        <v>55.8</v>
      </c>
      <c r="F3349" s="31" t="n">
        <v>66.8</v>
      </c>
      <c r="G3349" s="31" t="n">
        <v>32.1</v>
      </c>
      <c r="H3349" s="2" t="s">
        <v>832</v>
      </c>
    </row>
    <row r="3350" customFormat="false" ht="15" hidden="false" customHeight="false" outlineLevel="0" collapsed="false">
      <c r="A3350" s="2" t="s">
        <v>1268</v>
      </c>
      <c r="B3350" s="2" t="s">
        <v>4291</v>
      </c>
      <c r="C3350" s="2" t="s">
        <v>4275</v>
      </c>
      <c r="D3350" s="2"/>
      <c r="E3350" s="31" t="n">
        <v>52</v>
      </c>
      <c r="F3350" s="31" t="n">
        <v>58.9</v>
      </c>
      <c r="G3350" s="31" t="n">
        <v>62.2</v>
      </c>
      <c r="H3350" s="2" t="s">
        <v>832</v>
      </c>
    </row>
    <row r="3351" customFormat="false" ht="15" hidden="false" customHeight="false" outlineLevel="0" collapsed="false">
      <c r="A3351" s="2" t="s">
        <v>1268</v>
      </c>
      <c r="B3351" s="2" t="s">
        <v>45</v>
      </c>
      <c r="C3351" s="2" t="s">
        <v>4274</v>
      </c>
      <c r="D3351" s="11" t="n">
        <v>82960</v>
      </c>
      <c r="E3351" s="31" t="n">
        <v>41</v>
      </c>
      <c r="F3351" s="31" t="n">
        <v>81</v>
      </c>
      <c r="G3351" s="2"/>
      <c r="H3351" s="2" t="s">
        <v>822</v>
      </c>
    </row>
    <row r="3352" customFormat="false" ht="15" hidden="false" customHeight="false" outlineLevel="0" collapsed="false">
      <c r="A3352" s="2" t="s">
        <v>1268</v>
      </c>
      <c r="B3352" s="2" t="s">
        <v>45</v>
      </c>
      <c r="C3352" s="2" t="s">
        <v>4275</v>
      </c>
      <c r="D3352" s="11" t="n">
        <v>86250</v>
      </c>
      <c r="E3352" s="31" t="n">
        <v>45</v>
      </c>
      <c r="F3352" s="31" t="n">
        <v>63.9</v>
      </c>
      <c r="G3352" s="2"/>
      <c r="H3352" s="2" t="s">
        <v>822</v>
      </c>
    </row>
    <row r="3353" customFormat="false" ht="15" hidden="false" customHeight="false" outlineLevel="0" collapsed="false">
      <c r="A3353" s="2" t="s">
        <v>1268</v>
      </c>
      <c r="B3353" s="2" t="s">
        <v>46</v>
      </c>
      <c r="C3353" s="2" t="s">
        <v>4274</v>
      </c>
      <c r="D3353" s="11" t="n">
        <v>24460</v>
      </c>
      <c r="E3353" s="31" t="n">
        <v>75.1</v>
      </c>
      <c r="F3353" s="31" t="n">
        <v>87.3</v>
      </c>
      <c r="G3353" s="2"/>
      <c r="H3353" s="2" t="s">
        <v>832</v>
      </c>
    </row>
    <row r="3354" customFormat="false" ht="15" hidden="false" customHeight="false" outlineLevel="0" collapsed="false">
      <c r="A3354" s="2" t="s">
        <v>1268</v>
      </c>
      <c r="B3354" s="2" t="s">
        <v>46</v>
      </c>
      <c r="C3354" s="2" t="s">
        <v>4275</v>
      </c>
      <c r="D3354" s="11" t="n">
        <v>24980</v>
      </c>
      <c r="E3354" s="31" t="n">
        <v>84.3</v>
      </c>
      <c r="F3354" s="31" t="n">
        <v>73.1</v>
      </c>
      <c r="G3354" s="2"/>
      <c r="H3354" s="2" t="s">
        <v>832</v>
      </c>
    </row>
    <row r="3355" customFormat="false" ht="15" hidden="false" customHeight="false" outlineLevel="0" collapsed="false">
      <c r="A3355" s="2" t="s">
        <v>1268</v>
      </c>
      <c r="B3355" s="2" t="s">
        <v>47</v>
      </c>
      <c r="C3355" s="2" t="s">
        <v>4274</v>
      </c>
      <c r="D3355" s="11" t="n">
        <v>23680</v>
      </c>
      <c r="E3355" s="31" t="n">
        <v>51.4</v>
      </c>
      <c r="F3355" s="31" t="n">
        <v>32</v>
      </c>
      <c r="G3355" s="31" t="n">
        <v>32.1</v>
      </c>
      <c r="H3355" s="2" t="s">
        <v>822</v>
      </c>
    </row>
    <row r="3356" customFormat="false" ht="15" hidden="false" customHeight="false" outlineLevel="0" collapsed="false">
      <c r="A3356" s="2" t="s">
        <v>1268</v>
      </c>
      <c r="B3356" s="2" t="s">
        <v>47</v>
      </c>
      <c r="C3356" s="2" t="s">
        <v>4275</v>
      </c>
      <c r="D3356" s="11" t="n">
        <v>24350</v>
      </c>
      <c r="E3356" s="31" t="n">
        <v>26.6</v>
      </c>
      <c r="F3356" s="31" t="n">
        <v>39.6</v>
      </c>
      <c r="G3356" s="31" t="n">
        <v>62.2</v>
      </c>
      <c r="H3356" s="2" t="s">
        <v>822</v>
      </c>
    </row>
    <row r="3357" customFormat="false" ht="15" hidden="false" customHeight="false" outlineLevel="0" collapsed="false">
      <c r="A3357" s="2" t="s">
        <v>3180</v>
      </c>
      <c r="B3357" s="2" t="s">
        <v>4291</v>
      </c>
      <c r="C3357" s="2" t="s">
        <v>4274</v>
      </c>
      <c r="D3357" s="2"/>
      <c r="E3357" s="31" t="n">
        <v>4.6</v>
      </c>
      <c r="F3357" s="31" t="n">
        <v>46.4</v>
      </c>
      <c r="G3357" s="31" t="n">
        <v>50.8</v>
      </c>
      <c r="H3357" s="2" t="s">
        <v>822</v>
      </c>
    </row>
    <row r="3358" customFormat="false" ht="15" hidden="false" customHeight="false" outlineLevel="0" collapsed="false">
      <c r="A3358" s="2" t="s">
        <v>3180</v>
      </c>
      <c r="B3358" s="2" t="s">
        <v>4291</v>
      </c>
      <c r="C3358" s="2" t="s">
        <v>4275</v>
      </c>
      <c r="D3358" s="2"/>
      <c r="E3358" s="31" t="n">
        <v>7.9</v>
      </c>
      <c r="F3358" s="31" t="n">
        <v>83.3</v>
      </c>
      <c r="G3358" s="2"/>
      <c r="H3358" s="2" t="s">
        <v>832</v>
      </c>
    </row>
    <row r="3359" customFormat="false" ht="15" hidden="false" customHeight="false" outlineLevel="0" collapsed="false">
      <c r="A3359" s="2" t="s">
        <v>3180</v>
      </c>
      <c r="B3359" s="2" t="s">
        <v>45</v>
      </c>
      <c r="C3359" s="2" t="s">
        <v>4274</v>
      </c>
      <c r="D3359" s="11" t="n">
        <v>96290</v>
      </c>
      <c r="E3359" s="31" t="n">
        <v>1.1</v>
      </c>
      <c r="F3359" s="31" t="n">
        <v>13.5</v>
      </c>
      <c r="G3359" s="31" t="n">
        <v>52.9</v>
      </c>
      <c r="H3359" s="2" t="s">
        <v>822</v>
      </c>
    </row>
    <row r="3360" customFormat="false" ht="15" hidden="false" customHeight="false" outlineLevel="0" collapsed="false">
      <c r="A3360" s="2" t="s">
        <v>3180</v>
      </c>
      <c r="B3360" s="2" t="s">
        <v>45</v>
      </c>
      <c r="C3360" s="2" t="s">
        <v>4275</v>
      </c>
      <c r="D3360" s="2"/>
      <c r="E3360" s="2"/>
      <c r="F3360" s="2"/>
      <c r="G3360" s="2"/>
      <c r="H3360" s="2" t="s">
        <v>832</v>
      </c>
    </row>
    <row r="3361" customFormat="false" ht="15" hidden="false" customHeight="false" outlineLevel="0" collapsed="false">
      <c r="A3361" s="2" t="s">
        <v>3180</v>
      </c>
      <c r="B3361" s="2" t="s">
        <v>46</v>
      </c>
      <c r="C3361" s="2" t="s">
        <v>4274</v>
      </c>
      <c r="D3361" s="11" t="n">
        <v>56980</v>
      </c>
      <c r="E3361" s="31" t="n">
        <v>8</v>
      </c>
      <c r="F3361" s="31" t="n">
        <v>79.4</v>
      </c>
      <c r="G3361" s="31" t="n">
        <v>48.6</v>
      </c>
      <c r="H3361" s="2" t="s">
        <v>822</v>
      </c>
    </row>
    <row r="3362" customFormat="false" ht="15" hidden="false" customHeight="false" outlineLevel="0" collapsed="false">
      <c r="A3362" s="2" t="s">
        <v>3180</v>
      </c>
      <c r="B3362" s="2" t="s">
        <v>46</v>
      </c>
      <c r="C3362" s="2" t="s">
        <v>4275</v>
      </c>
      <c r="D3362" s="11" t="n">
        <v>60310</v>
      </c>
      <c r="E3362" s="31" t="n">
        <v>7.9</v>
      </c>
      <c r="F3362" s="31" t="n">
        <v>83.3</v>
      </c>
      <c r="G3362" s="2"/>
      <c r="H3362" s="2" t="s">
        <v>832</v>
      </c>
    </row>
    <row r="3363" customFormat="false" ht="15" hidden="false" customHeight="false" outlineLevel="0" collapsed="false">
      <c r="A3363" s="2" t="s">
        <v>3182</v>
      </c>
      <c r="B3363" s="2" t="s">
        <v>4291</v>
      </c>
      <c r="C3363" s="2" t="s">
        <v>4274</v>
      </c>
      <c r="D3363" s="2"/>
      <c r="E3363" s="31" t="n">
        <v>62.8</v>
      </c>
      <c r="F3363" s="2"/>
      <c r="G3363" s="31" t="n">
        <v>4.9</v>
      </c>
      <c r="H3363" s="2" t="s">
        <v>832</v>
      </c>
    </row>
    <row r="3364" customFormat="false" ht="15" hidden="false" customHeight="false" outlineLevel="0" collapsed="false">
      <c r="A3364" s="2" t="s">
        <v>3182</v>
      </c>
      <c r="B3364" s="2" t="s">
        <v>4291</v>
      </c>
      <c r="C3364" s="2" t="s">
        <v>4275</v>
      </c>
      <c r="D3364" s="2"/>
      <c r="E3364" s="2"/>
      <c r="F3364" s="2"/>
      <c r="G3364" s="2"/>
      <c r="H3364" s="2" t="s">
        <v>832</v>
      </c>
    </row>
    <row r="3365" customFormat="false" ht="15" hidden="false" customHeight="false" outlineLevel="0" collapsed="false">
      <c r="A3365" s="2" t="s">
        <v>3182</v>
      </c>
      <c r="B3365" s="2" t="s">
        <v>45</v>
      </c>
      <c r="C3365" s="2" t="s">
        <v>4274</v>
      </c>
      <c r="D3365" s="11" t="n">
        <v>42830</v>
      </c>
      <c r="E3365" s="31" t="n">
        <v>62.8</v>
      </c>
      <c r="F3365" s="2"/>
      <c r="G3365" s="31" t="n">
        <v>4.9</v>
      </c>
      <c r="H3365" s="2" t="s">
        <v>832</v>
      </c>
    </row>
    <row r="3366" customFormat="false" ht="15" hidden="false" customHeight="false" outlineLevel="0" collapsed="false">
      <c r="A3366" s="2" t="s">
        <v>3182</v>
      </c>
      <c r="B3366" s="2" t="s">
        <v>45</v>
      </c>
      <c r="C3366" s="2" t="s">
        <v>4275</v>
      </c>
      <c r="D3366" s="2"/>
      <c r="E3366" s="2"/>
      <c r="F3366" s="2"/>
      <c r="G3366" s="2"/>
      <c r="H3366" s="2" t="s">
        <v>832</v>
      </c>
    </row>
    <row r="3367" customFormat="false" ht="15" hidden="false" customHeight="false" outlineLevel="0" collapsed="false">
      <c r="A3367" s="2" t="s">
        <v>2090</v>
      </c>
      <c r="B3367" s="2" t="s">
        <v>4291</v>
      </c>
      <c r="C3367" s="2" t="s">
        <v>4274</v>
      </c>
      <c r="D3367" s="2"/>
      <c r="E3367" s="31" t="n">
        <v>19</v>
      </c>
      <c r="F3367" s="31" t="n">
        <v>53.9</v>
      </c>
      <c r="G3367" s="31" t="n">
        <v>80.2</v>
      </c>
      <c r="H3367" s="2" t="s">
        <v>832</v>
      </c>
    </row>
    <row r="3368" customFormat="false" ht="15" hidden="false" customHeight="false" outlineLevel="0" collapsed="false">
      <c r="A3368" s="2" t="s">
        <v>2090</v>
      </c>
      <c r="B3368" s="2" t="s">
        <v>4291</v>
      </c>
      <c r="C3368" s="2" t="s">
        <v>4275</v>
      </c>
      <c r="D3368" s="2"/>
      <c r="E3368" s="31" t="n">
        <v>35.2</v>
      </c>
      <c r="F3368" s="31" t="n">
        <v>51.8</v>
      </c>
      <c r="G3368" s="31" t="n">
        <v>51.9</v>
      </c>
      <c r="H3368" s="2" t="s">
        <v>832</v>
      </c>
    </row>
    <row r="3369" customFormat="false" ht="15" hidden="false" customHeight="false" outlineLevel="0" collapsed="false">
      <c r="A3369" s="2" t="s">
        <v>2090</v>
      </c>
      <c r="B3369" s="2" t="s">
        <v>45</v>
      </c>
      <c r="C3369" s="2" t="s">
        <v>4274</v>
      </c>
      <c r="D3369" s="2"/>
      <c r="E3369" s="2"/>
      <c r="F3369" s="2"/>
      <c r="G3369" s="2"/>
      <c r="H3369" s="2" t="s">
        <v>832</v>
      </c>
    </row>
    <row r="3370" customFormat="false" ht="15" hidden="false" customHeight="false" outlineLevel="0" collapsed="false">
      <c r="A3370" s="2" t="s">
        <v>2090</v>
      </c>
      <c r="B3370" s="2" t="s">
        <v>45</v>
      </c>
      <c r="C3370" s="2" t="s">
        <v>4275</v>
      </c>
      <c r="D3370" s="11" t="n">
        <v>4130</v>
      </c>
      <c r="E3370" s="31" t="n">
        <v>86.6</v>
      </c>
      <c r="F3370" s="2"/>
      <c r="G3370" s="31" t="n">
        <v>3.3</v>
      </c>
      <c r="H3370" s="2" t="s">
        <v>832</v>
      </c>
    </row>
    <row r="3371" customFormat="false" ht="15" hidden="false" customHeight="false" outlineLevel="0" collapsed="false">
      <c r="A3371" s="2" t="s">
        <v>2090</v>
      </c>
      <c r="B3371" s="2" t="s">
        <v>46</v>
      </c>
      <c r="C3371" s="2" t="s">
        <v>4274</v>
      </c>
      <c r="D3371" s="11" t="n">
        <v>1065950</v>
      </c>
      <c r="E3371" s="31" t="n">
        <v>35.2</v>
      </c>
      <c r="F3371" s="31" t="n">
        <v>88.9</v>
      </c>
      <c r="G3371" s="31" t="n">
        <v>67.8</v>
      </c>
      <c r="H3371" s="2" t="s">
        <v>822</v>
      </c>
    </row>
    <row r="3372" customFormat="false" ht="15" hidden="false" customHeight="false" outlineLevel="0" collapsed="false">
      <c r="A3372" s="2" t="s">
        <v>2090</v>
      </c>
      <c r="B3372" s="2" t="s">
        <v>46</v>
      </c>
      <c r="C3372" s="2" t="s">
        <v>4275</v>
      </c>
      <c r="D3372" s="11" t="n">
        <v>1109910</v>
      </c>
      <c r="E3372" s="31" t="n">
        <v>18.7</v>
      </c>
      <c r="F3372" s="31" t="n">
        <v>75</v>
      </c>
      <c r="G3372" s="31" t="n">
        <v>74.8</v>
      </c>
      <c r="H3372" s="2" t="s">
        <v>822</v>
      </c>
    </row>
    <row r="3373" customFormat="false" ht="15" hidden="false" customHeight="false" outlineLevel="0" collapsed="false">
      <c r="A3373" s="2" t="s">
        <v>2090</v>
      </c>
      <c r="B3373" s="2" t="s">
        <v>47</v>
      </c>
      <c r="C3373" s="2" t="s">
        <v>4274</v>
      </c>
      <c r="D3373" s="11" t="n">
        <v>9719</v>
      </c>
      <c r="E3373" s="31" t="n">
        <v>2.9</v>
      </c>
      <c r="F3373" s="31" t="n">
        <v>18.9</v>
      </c>
      <c r="G3373" s="31" t="n">
        <v>92.6</v>
      </c>
      <c r="H3373" s="2" t="s">
        <v>822</v>
      </c>
    </row>
    <row r="3374" customFormat="false" ht="15" hidden="false" customHeight="false" outlineLevel="0" collapsed="false">
      <c r="A3374" s="2" t="s">
        <v>2090</v>
      </c>
      <c r="B3374" s="2" t="s">
        <v>47</v>
      </c>
      <c r="C3374" s="2" t="s">
        <v>4275</v>
      </c>
      <c r="D3374" s="11" t="n">
        <v>9980</v>
      </c>
      <c r="E3374" s="31" t="n">
        <v>0.2</v>
      </c>
      <c r="F3374" s="31" t="n">
        <v>28.7</v>
      </c>
      <c r="G3374" s="31" t="n">
        <v>77.6</v>
      </c>
      <c r="H3374" s="2" t="s">
        <v>822</v>
      </c>
    </row>
    <row r="3375" customFormat="false" ht="15" hidden="false" customHeight="false" outlineLevel="0" collapsed="false">
      <c r="A3375" s="2" t="s">
        <v>224</v>
      </c>
      <c r="B3375" s="2" t="s">
        <v>4291</v>
      </c>
      <c r="C3375" s="2" t="s">
        <v>4274</v>
      </c>
      <c r="D3375" s="2"/>
      <c r="E3375" s="31" t="n">
        <v>56.6</v>
      </c>
      <c r="F3375" s="31" t="n">
        <v>44.1</v>
      </c>
      <c r="G3375" s="31" t="n">
        <v>28.5</v>
      </c>
      <c r="H3375" s="2" t="s">
        <v>822</v>
      </c>
    </row>
    <row r="3376" customFormat="false" ht="15" hidden="false" customHeight="false" outlineLevel="0" collapsed="false">
      <c r="A3376" s="2" t="s">
        <v>224</v>
      </c>
      <c r="B3376" s="2" t="s">
        <v>4291</v>
      </c>
      <c r="C3376" s="2" t="s">
        <v>4275</v>
      </c>
      <c r="D3376" s="2"/>
      <c r="E3376" s="31" t="n">
        <v>71.4</v>
      </c>
      <c r="F3376" s="31" t="n">
        <v>39.1</v>
      </c>
      <c r="G3376" s="31" t="n">
        <v>45.3</v>
      </c>
      <c r="H3376" s="2" t="s">
        <v>822</v>
      </c>
    </row>
    <row r="3377" customFormat="false" ht="15" hidden="false" customHeight="false" outlineLevel="0" collapsed="false">
      <c r="A3377" s="2" t="s">
        <v>224</v>
      </c>
      <c r="B3377" s="2" t="s">
        <v>45</v>
      </c>
      <c r="C3377" s="2" t="s">
        <v>4274</v>
      </c>
      <c r="D3377" s="11" t="n">
        <v>307440</v>
      </c>
      <c r="E3377" s="31" t="n">
        <v>40.8</v>
      </c>
      <c r="F3377" s="31" t="n">
        <v>32.9</v>
      </c>
      <c r="G3377" s="31" t="n">
        <v>30</v>
      </c>
      <c r="H3377" s="2" t="s">
        <v>822</v>
      </c>
    </row>
    <row r="3378" customFormat="false" ht="15" hidden="false" customHeight="false" outlineLevel="0" collapsed="false">
      <c r="A3378" s="2" t="s">
        <v>224</v>
      </c>
      <c r="B3378" s="2" t="s">
        <v>45</v>
      </c>
      <c r="C3378" s="2" t="s">
        <v>4275</v>
      </c>
      <c r="D3378" s="11" t="n">
        <v>311390</v>
      </c>
      <c r="E3378" s="31" t="n">
        <v>66</v>
      </c>
      <c r="F3378" s="31" t="n">
        <v>24.3</v>
      </c>
      <c r="G3378" s="31" t="n">
        <v>24</v>
      </c>
      <c r="H3378" s="2" t="s">
        <v>822</v>
      </c>
    </row>
    <row r="3379" customFormat="false" ht="15" hidden="false" customHeight="false" outlineLevel="0" collapsed="false">
      <c r="A3379" s="2" t="s">
        <v>224</v>
      </c>
      <c r="B3379" s="2" t="s">
        <v>46</v>
      </c>
      <c r="C3379" s="2" t="s">
        <v>4274</v>
      </c>
      <c r="D3379" s="11" t="n">
        <v>208992</v>
      </c>
      <c r="E3379" s="31" t="n">
        <v>86.9</v>
      </c>
      <c r="F3379" s="31" t="n">
        <v>1.3</v>
      </c>
      <c r="G3379" s="31" t="n">
        <v>7.1</v>
      </c>
      <c r="H3379" s="2" t="s">
        <v>822</v>
      </c>
    </row>
    <row r="3380" customFormat="false" ht="15" hidden="false" customHeight="false" outlineLevel="0" collapsed="false">
      <c r="A3380" s="2" t="s">
        <v>224</v>
      </c>
      <c r="B3380" s="2" t="s">
        <v>46</v>
      </c>
      <c r="C3380" s="2" t="s">
        <v>4275</v>
      </c>
      <c r="D3380" s="11" t="n">
        <v>194560</v>
      </c>
      <c r="E3380" s="31" t="n">
        <v>76.6</v>
      </c>
      <c r="F3380" s="31" t="n">
        <v>0.6</v>
      </c>
      <c r="G3380" s="31" t="n">
        <v>61.8</v>
      </c>
      <c r="H3380" s="2" t="s">
        <v>822</v>
      </c>
    </row>
    <row r="3381" customFormat="false" ht="15" hidden="false" customHeight="false" outlineLevel="0" collapsed="false">
      <c r="A3381" s="2" t="s">
        <v>224</v>
      </c>
      <c r="B3381" s="2" t="s">
        <v>47</v>
      </c>
      <c r="C3381" s="2" t="s">
        <v>4274</v>
      </c>
      <c r="D3381" s="11" t="n">
        <v>17780</v>
      </c>
      <c r="E3381" s="31" t="n">
        <v>42</v>
      </c>
      <c r="F3381" s="31" t="n">
        <v>98</v>
      </c>
      <c r="G3381" s="31" t="n">
        <v>48.5</v>
      </c>
      <c r="H3381" s="2" t="s">
        <v>822</v>
      </c>
    </row>
    <row r="3382" customFormat="false" ht="15" hidden="false" customHeight="false" outlineLevel="0" collapsed="false">
      <c r="A3382" s="2" t="s">
        <v>224</v>
      </c>
      <c r="B3382" s="2" t="s">
        <v>47</v>
      </c>
      <c r="C3382" s="2" t="s">
        <v>4275</v>
      </c>
      <c r="D3382" s="11" t="n">
        <v>19000</v>
      </c>
      <c r="E3382" s="31" t="n">
        <v>71.6</v>
      </c>
      <c r="F3382" s="31" t="n">
        <v>92.5</v>
      </c>
      <c r="G3382" s="31" t="n">
        <v>50.2</v>
      </c>
      <c r="H3382" s="2" t="s">
        <v>822</v>
      </c>
    </row>
    <row r="3383" customFormat="false" ht="15" hidden="false" customHeight="false" outlineLevel="0" collapsed="false">
      <c r="A3383" s="2" t="s">
        <v>3184</v>
      </c>
      <c r="B3383" s="2" t="s">
        <v>4291</v>
      </c>
      <c r="C3383" s="2" t="s">
        <v>4274</v>
      </c>
      <c r="D3383" s="2"/>
      <c r="E3383" s="31" t="n">
        <v>58.5</v>
      </c>
      <c r="F3383" s="31" t="n">
        <v>38.9</v>
      </c>
      <c r="G3383" s="31" t="n">
        <v>64.9</v>
      </c>
      <c r="H3383" s="2" t="s">
        <v>822</v>
      </c>
    </row>
    <row r="3384" customFormat="false" ht="15" hidden="false" customHeight="false" outlineLevel="0" collapsed="false">
      <c r="A3384" s="2" t="s">
        <v>3184</v>
      </c>
      <c r="B3384" s="2" t="s">
        <v>4291</v>
      </c>
      <c r="C3384" s="2" t="s">
        <v>4275</v>
      </c>
      <c r="D3384" s="2"/>
      <c r="E3384" s="31" t="n">
        <v>53.6</v>
      </c>
      <c r="F3384" s="31" t="n">
        <v>35</v>
      </c>
      <c r="G3384" s="2"/>
      <c r="H3384" s="2" t="s">
        <v>832</v>
      </c>
    </row>
    <row r="3385" customFormat="false" ht="15" hidden="false" customHeight="false" outlineLevel="0" collapsed="false">
      <c r="A3385" s="2" t="s">
        <v>3184</v>
      </c>
      <c r="B3385" s="2" t="s">
        <v>47</v>
      </c>
      <c r="C3385" s="2" t="s">
        <v>4274</v>
      </c>
      <c r="D3385" s="11" t="n">
        <v>7959</v>
      </c>
      <c r="E3385" s="31" t="n">
        <v>58.5</v>
      </c>
      <c r="F3385" s="31" t="n">
        <v>38.9</v>
      </c>
      <c r="G3385" s="31" t="n">
        <v>64.9</v>
      </c>
      <c r="H3385" s="2" t="s">
        <v>822</v>
      </c>
    </row>
    <row r="3386" customFormat="false" ht="15" hidden="false" customHeight="false" outlineLevel="0" collapsed="false">
      <c r="A3386" s="2" t="s">
        <v>3184</v>
      </c>
      <c r="B3386" s="2" t="s">
        <v>47</v>
      </c>
      <c r="C3386" s="2" t="s">
        <v>4275</v>
      </c>
      <c r="D3386" s="11" t="n">
        <v>8250</v>
      </c>
      <c r="E3386" s="31" t="n">
        <v>53.6</v>
      </c>
      <c r="F3386" s="31" t="n">
        <v>35</v>
      </c>
      <c r="G3386" s="2"/>
      <c r="H3386" s="2" t="s">
        <v>832</v>
      </c>
    </row>
    <row r="3387" customFormat="false" ht="15" hidden="false" customHeight="false" outlineLevel="0" collapsed="false">
      <c r="A3387" s="2" t="s">
        <v>2682</v>
      </c>
      <c r="B3387" s="2" t="s">
        <v>4291</v>
      </c>
      <c r="C3387" s="2" t="s">
        <v>4274</v>
      </c>
      <c r="D3387" s="2"/>
      <c r="E3387" s="31" t="n">
        <v>54.8</v>
      </c>
      <c r="F3387" s="31" t="n">
        <v>83</v>
      </c>
      <c r="G3387" s="31" t="n">
        <v>26.2</v>
      </c>
      <c r="H3387" s="2" t="s">
        <v>822</v>
      </c>
    </row>
    <row r="3388" customFormat="false" ht="15" hidden="false" customHeight="false" outlineLevel="0" collapsed="false">
      <c r="A3388" s="2" t="s">
        <v>2682</v>
      </c>
      <c r="B3388" s="2" t="s">
        <v>4291</v>
      </c>
      <c r="C3388" s="2" t="s">
        <v>4275</v>
      </c>
      <c r="D3388" s="2"/>
      <c r="E3388" s="31" t="n">
        <v>28.6</v>
      </c>
      <c r="F3388" s="31" t="n">
        <v>90.9</v>
      </c>
      <c r="G3388" s="31" t="n">
        <v>20.5</v>
      </c>
      <c r="H3388" s="2" t="s">
        <v>832</v>
      </c>
    </row>
    <row r="3389" customFormat="false" ht="15" hidden="false" customHeight="false" outlineLevel="0" collapsed="false">
      <c r="A3389" s="2" t="s">
        <v>2682</v>
      </c>
      <c r="B3389" s="2" t="s">
        <v>46</v>
      </c>
      <c r="C3389" s="2" t="s">
        <v>4274</v>
      </c>
      <c r="D3389" s="11" t="n">
        <v>132490</v>
      </c>
      <c r="E3389" s="31" t="n">
        <v>85.3</v>
      </c>
      <c r="F3389" s="31" t="n">
        <v>85.9</v>
      </c>
      <c r="G3389" s="31" t="n">
        <v>17.1</v>
      </c>
      <c r="H3389" s="2" t="s">
        <v>822</v>
      </c>
    </row>
    <row r="3390" customFormat="false" ht="15" hidden="false" customHeight="false" outlineLevel="0" collapsed="false">
      <c r="A3390" s="2" t="s">
        <v>2682</v>
      </c>
      <c r="B3390" s="2" t="s">
        <v>46</v>
      </c>
      <c r="C3390" s="2" t="s">
        <v>4275</v>
      </c>
      <c r="D3390" s="2"/>
      <c r="E3390" s="2"/>
      <c r="F3390" s="2"/>
      <c r="G3390" s="31" t="n">
        <v>15.7</v>
      </c>
      <c r="H3390" s="2" t="s">
        <v>832</v>
      </c>
    </row>
    <row r="3391" customFormat="false" ht="15" hidden="false" customHeight="false" outlineLevel="0" collapsed="false">
      <c r="A3391" s="2" t="s">
        <v>2682</v>
      </c>
      <c r="B3391" s="2" t="s">
        <v>47</v>
      </c>
      <c r="C3391" s="2" t="s">
        <v>4274</v>
      </c>
      <c r="D3391" s="11" t="n">
        <v>25311</v>
      </c>
      <c r="E3391" s="31" t="n">
        <v>24.4</v>
      </c>
      <c r="F3391" s="31" t="n">
        <v>80.1</v>
      </c>
      <c r="G3391" s="31" t="n">
        <v>35.4</v>
      </c>
      <c r="H3391" s="2" t="s">
        <v>822</v>
      </c>
    </row>
    <row r="3392" customFormat="false" ht="15" hidden="false" customHeight="false" outlineLevel="0" collapsed="false">
      <c r="A3392" s="2" t="s">
        <v>2682</v>
      </c>
      <c r="B3392" s="2" t="s">
        <v>47</v>
      </c>
      <c r="C3392" s="2" t="s">
        <v>4275</v>
      </c>
      <c r="D3392" s="11" t="n">
        <v>26909</v>
      </c>
      <c r="E3392" s="31" t="n">
        <v>28.6</v>
      </c>
      <c r="F3392" s="31" t="n">
        <v>90.9</v>
      </c>
      <c r="G3392" s="31" t="n">
        <v>25.4</v>
      </c>
      <c r="H3392" s="2" t="s">
        <v>822</v>
      </c>
    </row>
    <row r="3393" customFormat="false" ht="15" hidden="false" customHeight="false" outlineLevel="0" collapsed="false">
      <c r="A3393" s="2" t="s">
        <v>2078</v>
      </c>
      <c r="B3393" s="2" t="s">
        <v>4291</v>
      </c>
      <c r="C3393" s="2" t="s">
        <v>4274</v>
      </c>
      <c r="D3393" s="2"/>
      <c r="E3393" s="31" t="n">
        <v>42.3</v>
      </c>
      <c r="F3393" s="31" t="n">
        <v>33.4</v>
      </c>
      <c r="G3393" s="31" t="n">
        <v>52.6</v>
      </c>
      <c r="H3393" s="2" t="s">
        <v>832</v>
      </c>
    </row>
    <row r="3394" customFormat="false" ht="15" hidden="false" customHeight="false" outlineLevel="0" collapsed="false">
      <c r="A3394" s="2" t="s">
        <v>2078</v>
      </c>
      <c r="B3394" s="2" t="s">
        <v>4291</v>
      </c>
      <c r="C3394" s="2" t="s">
        <v>4275</v>
      </c>
      <c r="D3394" s="2"/>
      <c r="E3394" s="31" t="n">
        <v>36.4</v>
      </c>
      <c r="F3394" s="31" t="n">
        <v>39.1</v>
      </c>
      <c r="G3394" s="31" t="n">
        <v>64.4</v>
      </c>
      <c r="H3394" s="2" t="s">
        <v>832</v>
      </c>
    </row>
    <row r="3395" customFormat="false" ht="15" hidden="false" customHeight="false" outlineLevel="0" collapsed="false">
      <c r="A3395" s="2" t="s">
        <v>2078</v>
      </c>
      <c r="B3395" s="2" t="s">
        <v>45</v>
      </c>
      <c r="C3395" s="2" t="s">
        <v>4274</v>
      </c>
      <c r="D3395" s="11" t="n">
        <v>145735</v>
      </c>
      <c r="E3395" s="31" t="n">
        <v>64.8</v>
      </c>
      <c r="F3395" s="31" t="n">
        <v>11</v>
      </c>
      <c r="G3395" s="31" t="n">
        <v>5.4</v>
      </c>
      <c r="H3395" s="2" t="s">
        <v>822</v>
      </c>
    </row>
    <row r="3396" customFormat="false" ht="15" hidden="false" customHeight="false" outlineLevel="0" collapsed="false">
      <c r="A3396" s="2" t="s">
        <v>2078</v>
      </c>
      <c r="B3396" s="2" t="s">
        <v>45</v>
      </c>
      <c r="C3396" s="2" t="s">
        <v>4275</v>
      </c>
      <c r="D3396" s="11" t="n">
        <v>143990</v>
      </c>
      <c r="E3396" s="31" t="n">
        <v>73.7</v>
      </c>
      <c r="F3396" s="31" t="n">
        <v>16.4</v>
      </c>
      <c r="G3396" s="2"/>
      <c r="H3396" s="2" t="s">
        <v>832</v>
      </c>
    </row>
    <row r="3397" customFormat="false" ht="15" hidden="false" customHeight="false" outlineLevel="0" collapsed="false">
      <c r="A3397" s="2" t="s">
        <v>2078</v>
      </c>
      <c r="B3397" s="2" t="s">
        <v>46</v>
      </c>
      <c r="C3397" s="2" t="s">
        <v>4274</v>
      </c>
      <c r="D3397" s="2"/>
      <c r="E3397" s="2"/>
      <c r="F3397" s="2"/>
      <c r="G3397" s="2"/>
      <c r="H3397" s="2" t="s">
        <v>832</v>
      </c>
    </row>
    <row r="3398" customFormat="false" ht="15" hidden="false" customHeight="false" outlineLevel="0" collapsed="false">
      <c r="A3398" s="2" t="s">
        <v>2078</v>
      </c>
      <c r="B3398" s="2" t="s">
        <v>46</v>
      </c>
      <c r="C3398" s="2" t="s">
        <v>4275</v>
      </c>
      <c r="D3398" s="11" t="n">
        <v>12540</v>
      </c>
      <c r="E3398" s="31" t="n">
        <v>21</v>
      </c>
      <c r="F3398" s="31" t="n">
        <v>59.3</v>
      </c>
      <c r="G3398" s="31" t="n">
        <v>28.9</v>
      </c>
      <c r="H3398" s="2" t="s">
        <v>822</v>
      </c>
    </row>
    <row r="3399" customFormat="false" ht="15" hidden="false" customHeight="false" outlineLevel="0" collapsed="false">
      <c r="A3399" s="2" t="s">
        <v>2078</v>
      </c>
      <c r="B3399" s="2" t="s">
        <v>47</v>
      </c>
      <c r="C3399" s="2" t="s">
        <v>4274</v>
      </c>
      <c r="D3399" s="11" t="n">
        <v>71687</v>
      </c>
      <c r="E3399" s="31" t="n">
        <v>19.9</v>
      </c>
      <c r="F3399" s="31" t="n">
        <v>55.9</v>
      </c>
      <c r="G3399" s="31" t="n">
        <v>99.8</v>
      </c>
      <c r="H3399" s="2" t="s">
        <v>822</v>
      </c>
    </row>
    <row r="3400" customFormat="false" ht="15" hidden="false" customHeight="false" outlineLevel="0" collapsed="false">
      <c r="A3400" s="2" t="s">
        <v>2078</v>
      </c>
      <c r="B3400" s="2" t="s">
        <v>47</v>
      </c>
      <c r="C3400" s="2" t="s">
        <v>4275</v>
      </c>
      <c r="D3400" s="11" t="n">
        <v>72737</v>
      </c>
      <c r="E3400" s="31" t="n">
        <v>14.6</v>
      </c>
      <c r="F3400" s="31" t="n">
        <v>41.6</v>
      </c>
      <c r="G3400" s="31" t="n">
        <v>99.8</v>
      </c>
      <c r="H3400" s="2" t="s">
        <v>822</v>
      </c>
    </row>
    <row r="3401" customFormat="false" ht="15" hidden="false" customHeight="false" outlineLevel="0" collapsed="false">
      <c r="A3401" s="2" t="s">
        <v>526</v>
      </c>
      <c r="B3401" s="2" t="s">
        <v>4291</v>
      </c>
      <c r="C3401" s="2" t="s">
        <v>4274</v>
      </c>
      <c r="D3401" s="2"/>
      <c r="E3401" s="31" t="n">
        <v>45</v>
      </c>
      <c r="F3401" s="31" t="n">
        <v>77.6</v>
      </c>
      <c r="G3401" s="31" t="n">
        <v>44.5</v>
      </c>
      <c r="H3401" s="2" t="s">
        <v>822</v>
      </c>
    </row>
    <row r="3402" customFormat="false" ht="15" hidden="false" customHeight="false" outlineLevel="0" collapsed="false">
      <c r="A3402" s="2" t="s">
        <v>526</v>
      </c>
      <c r="B3402" s="2" t="s">
        <v>4291</v>
      </c>
      <c r="C3402" s="2" t="s">
        <v>4275</v>
      </c>
      <c r="D3402" s="2"/>
      <c r="E3402" s="31" t="n">
        <v>45.8</v>
      </c>
      <c r="F3402" s="31" t="n">
        <v>64.3</v>
      </c>
      <c r="G3402" s="31" t="n">
        <v>78.6</v>
      </c>
      <c r="H3402" s="2" t="s">
        <v>822</v>
      </c>
    </row>
    <row r="3403" customFormat="false" ht="15" hidden="false" customHeight="false" outlineLevel="0" collapsed="false">
      <c r="A3403" s="2" t="s">
        <v>526</v>
      </c>
      <c r="B3403" s="2" t="s">
        <v>46</v>
      </c>
      <c r="C3403" s="2" t="s">
        <v>4274</v>
      </c>
      <c r="D3403" s="11" t="n">
        <v>815663</v>
      </c>
      <c r="E3403" s="31" t="n">
        <v>45</v>
      </c>
      <c r="F3403" s="31" t="n">
        <v>77.6</v>
      </c>
      <c r="G3403" s="31" t="n">
        <v>44.5</v>
      </c>
      <c r="H3403" s="2" t="s">
        <v>822</v>
      </c>
    </row>
    <row r="3404" customFormat="false" ht="15" hidden="false" customHeight="false" outlineLevel="0" collapsed="false">
      <c r="A3404" s="2" t="s">
        <v>526</v>
      </c>
      <c r="B3404" s="2" t="s">
        <v>46</v>
      </c>
      <c r="C3404" s="2" t="s">
        <v>4275</v>
      </c>
      <c r="D3404" s="11" t="n">
        <v>831600</v>
      </c>
      <c r="E3404" s="31" t="n">
        <v>45.8</v>
      </c>
      <c r="F3404" s="31" t="n">
        <v>64.3</v>
      </c>
      <c r="G3404" s="31" t="n">
        <v>78.6</v>
      </c>
      <c r="H3404" s="2" t="s">
        <v>822</v>
      </c>
    </row>
    <row r="3405" customFormat="false" ht="15" hidden="false" customHeight="false" outlineLevel="0" collapsed="false">
      <c r="A3405" s="2" t="s">
        <v>1226</v>
      </c>
      <c r="B3405" s="2" t="s">
        <v>4291</v>
      </c>
      <c r="C3405" s="2" t="s">
        <v>4274</v>
      </c>
      <c r="D3405" s="2"/>
      <c r="E3405" s="31" t="n">
        <v>62.3</v>
      </c>
      <c r="F3405" s="31" t="n">
        <v>87.9</v>
      </c>
      <c r="G3405" s="31" t="n">
        <v>44</v>
      </c>
      <c r="H3405" s="2" t="s">
        <v>832</v>
      </c>
    </row>
    <row r="3406" customFormat="false" ht="15" hidden="false" customHeight="false" outlineLevel="0" collapsed="false">
      <c r="A3406" s="2" t="s">
        <v>1226</v>
      </c>
      <c r="B3406" s="2" t="s">
        <v>4291</v>
      </c>
      <c r="C3406" s="2" t="s">
        <v>4275</v>
      </c>
      <c r="D3406" s="2"/>
      <c r="E3406" s="31" t="n">
        <v>54.4</v>
      </c>
      <c r="F3406" s="31" t="n">
        <v>66.4</v>
      </c>
      <c r="G3406" s="31" t="n">
        <v>70</v>
      </c>
      <c r="H3406" s="2" t="s">
        <v>832</v>
      </c>
    </row>
    <row r="3407" customFormat="false" ht="15" hidden="false" customHeight="false" outlineLevel="0" collapsed="false">
      <c r="A3407" s="2" t="s">
        <v>1226</v>
      </c>
      <c r="B3407" s="2" t="s">
        <v>45</v>
      </c>
      <c r="C3407" s="2" t="s">
        <v>4274</v>
      </c>
      <c r="D3407" s="11" t="n">
        <v>192160</v>
      </c>
      <c r="E3407" s="31" t="n">
        <v>81</v>
      </c>
      <c r="F3407" s="31" t="n">
        <v>98.6</v>
      </c>
      <c r="G3407" s="31" t="n">
        <v>10.5</v>
      </c>
      <c r="H3407" s="2" t="s">
        <v>822</v>
      </c>
    </row>
    <row r="3408" customFormat="false" ht="15" hidden="false" customHeight="false" outlineLevel="0" collapsed="false">
      <c r="A3408" s="2" t="s">
        <v>1226</v>
      </c>
      <c r="B3408" s="2" t="s">
        <v>45</v>
      </c>
      <c r="C3408" s="2" t="s">
        <v>4275</v>
      </c>
      <c r="D3408" s="11" t="n">
        <v>200360</v>
      </c>
      <c r="E3408" s="31" t="n">
        <v>50.5</v>
      </c>
      <c r="F3408" s="31" t="n">
        <v>69.3</v>
      </c>
      <c r="G3408" s="31" t="n">
        <v>52.2</v>
      </c>
      <c r="H3408" s="2" t="s">
        <v>822</v>
      </c>
    </row>
    <row r="3409" customFormat="false" ht="15" hidden="false" customHeight="false" outlineLevel="0" collapsed="false">
      <c r="A3409" s="2" t="s">
        <v>1226</v>
      </c>
      <c r="B3409" s="2" t="s">
        <v>46</v>
      </c>
      <c r="C3409" s="2" t="s">
        <v>4274</v>
      </c>
      <c r="D3409" s="11" t="n">
        <v>16473</v>
      </c>
      <c r="E3409" s="31" t="n">
        <v>26.8</v>
      </c>
      <c r="F3409" s="31" t="n">
        <v>99.6</v>
      </c>
      <c r="G3409" s="31" t="n">
        <v>77.4</v>
      </c>
      <c r="H3409" s="2" t="s">
        <v>822</v>
      </c>
    </row>
    <row r="3410" customFormat="false" ht="15" hidden="false" customHeight="false" outlineLevel="0" collapsed="false">
      <c r="A3410" s="2" t="s">
        <v>1226</v>
      </c>
      <c r="B3410" s="2" t="s">
        <v>46</v>
      </c>
      <c r="C3410" s="2" t="s">
        <v>4275</v>
      </c>
      <c r="D3410" s="2"/>
      <c r="E3410" s="2"/>
      <c r="F3410" s="2"/>
      <c r="G3410" s="2"/>
      <c r="H3410" s="2" t="s">
        <v>832</v>
      </c>
    </row>
    <row r="3411" customFormat="false" ht="15" hidden="false" customHeight="false" outlineLevel="0" collapsed="false">
      <c r="A3411" s="2" t="s">
        <v>1226</v>
      </c>
      <c r="B3411" s="2" t="s">
        <v>47</v>
      </c>
      <c r="C3411" s="2" t="s">
        <v>4274</v>
      </c>
      <c r="D3411" s="11" t="n">
        <v>126110</v>
      </c>
      <c r="E3411" s="31" t="n">
        <v>79.1</v>
      </c>
      <c r="F3411" s="31" t="n">
        <v>65.4</v>
      </c>
      <c r="G3411" s="2"/>
      <c r="H3411" s="2" t="s">
        <v>832</v>
      </c>
    </row>
    <row r="3412" customFormat="false" ht="15" hidden="false" customHeight="false" outlineLevel="0" collapsed="false">
      <c r="A3412" s="2" t="s">
        <v>1226</v>
      </c>
      <c r="B3412" s="2" t="s">
        <v>47</v>
      </c>
      <c r="C3412" s="2" t="s">
        <v>4275</v>
      </c>
      <c r="D3412" s="11" t="n">
        <v>134468</v>
      </c>
      <c r="E3412" s="31" t="n">
        <v>58.4</v>
      </c>
      <c r="F3412" s="31" t="n">
        <v>63.4</v>
      </c>
      <c r="G3412" s="31" t="n">
        <v>87.8</v>
      </c>
      <c r="H3412" s="2" t="s">
        <v>822</v>
      </c>
    </row>
    <row r="3413" customFormat="false" ht="15" hidden="false" customHeight="false" outlineLevel="0" collapsed="false">
      <c r="A3413" s="2" t="s">
        <v>258</v>
      </c>
      <c r="B3413" s="2" t="s">
        <v>4291</v>
      </c>
      <c r="C3413" s="2" t="s">
        <v>4275</v>
      </c>
      <c r="D3413" s="2"/>
      <c r="E3413" s="31" t="n">
        <v>67.2</v>
      </c>
      <c r="F3413" s="31" t="n">
        <v>8.4</v>
      </c>
      <c r="G3413" s="31" t="n">
        <v>32.2</v>
      </c>
      <c r="H3413" s="2" t="s">
        <v>822</v>
      </c>
    </row>
    <row r="3414" customFormat="false" ht="15" hidden="false" customHeight="false" outlineLevel="0" collapsed="false">
      <c r="A3414" s="2" t="s">
        <v>258</v>
      </c>
      <c r="B3414" s="2" t="s">
        <v>46</v>
      </c>
      <c r="C3414" s="2" t="s">
        <v>4275</v>
      </c>
      <c r="D3414" s="11" t="n">
        <v>66740</v>
      </c>
      <c r="E3414" s="31" t="n">
        <v>67.2</v>
      </c>
      <c r="F3414" s="31" t="n">
        <v>8.4</v>
      </c>
      <c r="G3414" s="31" t="n">
        <v>32.2</v>
      </c>
      <c r="H3414" s="2" t="s">
        <v>822</v>
      </c>
    </row>
    <row r="3415" customFormat="false" ht="15" hidden="false" customHeight="false" outlineLevel="0" collapsed="false">
      <c r="A3415" s="2" t="s">
        <v>242</v>
      </c>
      <c r="B3415" s="2" t="s">
        <v>4291</v>
      </c>
      <c r="C3415" s="2" t="s">
        <v>4274</v>
      </c>
      <c r="D3415" s="2"/>
      <c r="E3415" s="31" t="n">
        <v>83.4</v>
      </c>
      <c r="F3415" s="31" t="n">
        <v>15.4</v>
      </c>
      <c r="G3415" s="31" t="n">
        <v>32.2</v>
      </c>
      <c r="H3415" s="2" t="s">
        <v>822</v>
      </c>
    </row>
    <row r="3416" customFormat="false" ht="15" hidden="false" customHeight="false" outlineLevel="0" collapsed="false">
      <c r="A3416" s="2" t="s">
        <v>242</v>
      </c>
      <c r="B3416" s="2" t="s">
        <v>4291</v>
      </c>
      <c r="C3416" s="2" t="s">
        <v>4275</v>
      </c>
      <c r="D3416" s="2"/>
      <c r="E3416" s="31" t="n">
        <v>68.2</v>
      </c>
      <c r="F3416" s="31" t="n">
        <v>6.4</v>
      </c>
      <c r="G3416" s="31" t="n">
        <v>59.8</v>
      </c>
      <c r="H3416" s="2" t="s">
        <v>822</v>
      </c>
    </row>
    <row r="3417" customFormat="false" ht="15" hidden="false" customHeight="false" outlineLevel="0" collapsed="false">
      <c r="A3417" s="2" t="s">
        <v>242</v>
      </c>
      <c r="B3417" s="2" t="s">
        <v>46</v>
      </c>
      <c r="C3417" s="2" t="s">
        <v>4274</v>
      </c>
      <c r="D3417" s="11" t="n">
        <v>484130</v>
      </c>
      <c r="E3417" s="31" t="n">
        <v>83.4</v>
      </c>
      <c r="F3417" s="31" t="n">
        <v>15.4</v>
      </c>
      <c r="G3417" s="31" t="n">
        <v>32.2</v>
      </c>
      <c r="H3417" s="2" t="s">
        <v>822</v>
      </c>
    </row>
    <row r="3418" customFormat="false" ht="15" hidden="false" customHeight="false" outlineLevel="0" collapsed="false">
      <c r="A3418" s="2" t="s">
        <v>242</v>
      </c>
      <c r="B3418" s="2" t="s">
        <v>46</v>
      </c>
      <c r="C3418" s="2" t="s">
        <v>4275</v>
      </c>
      <c r="D3418" s="11" t="n">
        <v>498970</v>
      </c>
      <c r="E3418" s="31" t="n">
        <v>68.2</v>
      </c>
      <c r="F3418" s="31" t="n">
        <v>6.4</v>
      </c>
      <c r="G3418" s="31" t="n">
        <v>59.8</v>
      </c>
      <c r="H3418" s="2" t="s">
        <v>822</v>
      </c>
    </row>
    <row r="3419" customFormat="false" ht="15" hidden="false" customHeight="false" outlineLevel="0" collapsed="false">
      <c r="A3419" s="2" t="s">
        <v>560</v>
      </c>
      <c r="B3419" s="2" t="s">
        <v>4291</v>
      </c>
      <c r="C3419" s="2" t="s">
        <v>4274</v>
      </c>
      <c r="D3419" s="2"/>
      <c r="E3419" s="31" t="n">
        <v>23.7</v>
      </c>
      <c r="F3419" s="31" t="n">
        <v>49.7</v>
      </c>
      <c r="G3419" s="31" t="n">
        <v>51</v>
      </c>
      <c r="H3419" s="2" t="s">
        <v>822</v>
      </c>
    </row>
    <row r="3420" customFormat="false" ht="15" hidden="false" customHeight="false" outlineLevel="0" collapsed="false">
      <c r="A3420" s="2" t="s">
        <v>560</v>
      </c>
      <c r="B3420" s="2" t="s">
        <v>4291</v>
      </c>
      <c r="C3420" s="2" t="s">
        <v>4275</v>
      </c>
      <c r="D3420" s="2"/>
      <c r="E3420" s="31" t="n">
        <v>43</v>
      </c>
      <c r="F3420" s="31" t="n">
        <v>56.8</v>
      </c>
      <c r="G3420" s="31" t="n">
        <v>58.1</v>
      </c>
      <c r="H3420" s="2" t="s">
        <v>822</v>
      </c>
    </row>
    <row r="3421" customFormat="false" ht="15" hidden="false" customHeight="false" outlineLevel="0" collapsed="false">
      <c r="A3421" s="2" t="s">
        <v>560</v>
      </c>
      <c r="B3421" s="2" t="s">
        <v>47</v>
      </c>
      <c r="C3421" s="2" t="s">
        <v>4274</v>
      </c>
      <c r="D3421" s="11" t="n">
        <v>20989</v>
      </c>
      <c r="E3421" s="31" t="n">
        <v>23.7</v>
      </c>
      <c r="F3421" s="31" t="n">
        <v>49.7</v>
      </c>
      <c r="G3421" s="31" t="n">
        <v>51</v>
      </c>
      <c r="H3421" s="2" t="s">
        <v>822</v>
      </c>
    </row>
    <row r="3422" customFormat="false" ht="15" hidden="false" customHeight="false" outlineLevel="0" collapsed="false">
      <c r="A3422" s="2" t="s">
        <v>560</v>
      </c>
      <c r="B3422" s="2" t="s">
        <v>47</v>
      </c>
      <c r="C3422" s="2" t="s">
        <v>4275</v>
      </c>
      <c r="D3422" s="11" t="n">
        <v>21170</v>
      </c>
      <c r="E3422" s="31" t="n">
        <v>43</v>
      </c>
      <c r="F3422" s="31" t="n">
        <v>56.8</v>
      </c>
      <c r="G3422" s="31" t="n">
        <v>58.1</v>
      </c>
      <c r="H3422" s="2" t="s">
        <v>822</v>
      </c>
    </row>
    <row r="3423" customFormat="false" ht="15" hidden="false" customHeight="false" outlineLevel="0" collapsed="false">
      <c r="A3423" s="2" t="s">
        <v>1884</v>
      </c>
      <c r="B3423" s="2" t="s">
        <v>4291</v>
      </c>
      <c r="C3423" s="2" t="s">
        <v>4274</v>
      </c>
      <c r="D3423" s="2"/>
      <c r="E3423" s="31" t="n">
        <v>47.4</v>
      </c>
      <c r="F3423" s="31" t="n">
        <v>44.8</v>
      </c>
      <c r="G3423" s="31" t="n">
        <v>49.6</v>
      </c>
      <c r="H3423" s="2" t="s">
        <v>832</v>
      </c>
    </row>
    <row r="3424" customFormat="false" ht="15" hidden="false" customHeight="false" outlineLevel="0" collapsed="false">
      <c r="A3424" s="2" t="s">
        <v>1884</v>
      </c>
      <c r="B3424" s="2" t="s">
        <v>4291</v>
      </c>
      <c r="C3424" s="2" t="s">
        <v>4275</v>
      </c>
      <c r="D3424" s="2"/>
      <c r="E3424" s="31" t="n">
        <v>68.5</v>
      </c>
      <c r="F3424" s="31" t="n">
        <v>79.6</v>
      </c>
      <c r="G3424" s="31" t="n">
        <v>25.7</v>
      </c>
      <c r="H3424" s="2" t="s">
        <v>832</v>
      </c>
    </row>
    <row r="3425" customFormat="false" ht="15" hidden="false" customHeight="false" outlineLevel="0" collapsed="false">
      <c r="A3425" s="2" t="s">
        <v>1884</v>
      </c>
      <c r="B3425" s="2" t="s">
        <v>45</v>
      </c>
      <c r="C3425" s="2" t="s">
        <v>4274</v>
      </c>
      <c r="D3425" s="11" t="n">
        <v>81381</v>
      </c>
      <c r="E3425" s="31" t="n">
        <v>8.9</v>
      </c>
      <c r="F3425" s="31" t="n">
        <v>2.9</v>
      </c>
      <c r="G3425" s="31" t="n">
        <v>69.5</v>
      </c>
      <c r="H3425" s="2" t="s">
        <v>822</v>
      </c>
    </row>
    <row r="3426" customFormat="false" ht="15" hidden="false" customHeight="false" outlineLevel="0" collapsed="false">
      <c r="A3426" s="2" t="s">
        <v>1884</v>
      </c>
      <c r="B3426" s="2" t="s">
        <v>45</v>
      </c>
      <c r="C3426" s="2" t="s">
        <v>4275</v>
      </c>
      <c r="D3426" s="2"/>
      <c r="E3426" s="2"/>
      <c r="F3426" s="2"/>
      <c r="G3426" s="2"/>
      <c r="H3426" s="2" t="s">
        <v>832</v>
      </c>
    </row>
    <row r="3427" customFormat="false" ht="15" hidden="false" customHeight="false" outlineLevel="0" collapsed="false">
      <c r="A3427" s="2" t="s">
        <v>1884</v>
      </c>
      <c r="B3427" s="2" t="s">
        <v>46</v>
      </c>
      <c r="C3427" s="2" t="s">
        <v>4274</v>
      </c>
      <c r="D3427" s="11" t="n">
        <v>158860</v>
      </c>
      <c r="E3427" s="31" t="n">
        <v>57.5</v>
      </c>
      <c r="F3427" s="31" t="n">
        <v>98.1</v>
      </c>
      <c r="G3427" s="2"/>
      <c r="H3427" s="2" t="s">
        <v>832</v>
      </c>
    </row>
    <row r="3428" customFormat="false" ht="15" hidden="false" customHeight="false" outlineLevel="0" collapsed="false">
      <c r="A3428" s="2" t="s">
        <v>1884</v>
      </c>
      <c r="B3428" s="2" t="s">
        <v>46</v>
      </c>
      <c r="C3428" s="2" t="s">
        <v>4275</v>
      </c>
      <c r="D3428" s="11" t="n">
        <v>168540</v>
      </c>
      <c r="E3428" s="31" t="n">
        <v>52.7</v>
      </c>
      <c r="F3428" s="31" t="n">
        <v>94.9</v>
      </c>
      <c r="G3428" s="31" t="n">
        <v>13</v>
      </c>
      <c r="H3428" s="2" t="s">
        <v>822</v>
      </c>
    </row>
    <row r="3429" customFormat="false" ht="15" hidden="false" customHeight="false" outlineLevel="0" collapsed="false">
      <c r="A3429" s="2" t="s">
        <v>1884</v>
      </c>
      <c r="B3429" s="2" t="s">
        <v>47</v>
      </c>
      <c r="C3429" s="2" t="s">
        <v>4274</v>
      </c>
      <c r="D3429" s="11" t="n">
        <v>40743</v>
      </c>
      <c r="E3429" s="31" t="n">
        <v>75.8</v>
      </c>
      <c r="F3429" s="31" t="n">
        <v>33.3</v>
      </c>
      <c r="G3429" s="31" t="n">
        <v>29.8</v>
      </c>
      <c r="H3429" s="2" t="s">
        <v>822</v>
      </c>
    </row>
    <row r="3430" customFormat="false" ht="15" hidden="false" customHeight="false" outlineLevel="0" collapsed="false">
      <c r="A3430" s="2" t="s">
        <v>1884</v>
      </c>
      <c r="B3430" s="2" t="s">
        <v>47</v>
      </c>
      <c r="C3430" s="2" t="s">
        <v>4275</v>
      </c>
      <c r="D3430" s="11" t="n">
        <v>44004</v>
      </c>
      <c r="E3430" s="31" t="n">
        <v>84.3</v>
      </c>
      <c r="F3430" s="31" t="n">
        <v>64.3</v>
      </c>
      <c r="G3430" s="31" t="n">
        <v>38.4</v>
      </c>
      <c r="H3430" s="2" t="s">
        <v>822</v>
      </c>
    </row>
    <row r="3431" customFormat="false" ht="15" hidden="false" customHeight="false" outlineLevel="0" collapsed="false">
      <c r="A3431" s="2" t="s">
        <v>3188</v>
      </c>
      <c r="B3431" s="2" t="s">
        <v>4291</v>
      </c>
      <c r="C3431" s="2" t="s">
        <v>4274</v>
      </c>
      <c r="D3431" s="2"/>
      <c r="E3431" s="31" t="n">
        <v>93.4</v>
      </c>
      <c r="F3431" s="31" t="n">
        <v>74.8</v>
      </c>
      <c r="G3431" s="31" t="n">
        <v>71.1</v>
      </c>
      <c r="H3431" s="2" t="s">
        <v>822</v>
      </c>
    </row>
    <row r="3432" customFormat="false" ht="15" hidden="false" customHeight="false" outlineLevel="0" collapsed="false">
      <c r="A3432" s="2" t="s">
        <v>3188</v>
      </c>
      <c r="B3432" s="2" t="s">
        <v>4291</v>
      </c>
      <c r="C3432" s="2" t="s">
        <v>4275</v>
      </c>
      <c r="D3432" s="2"/>
      <c r="E3432" s="2"/>
      <c r="F3432" s="2"/>
      <c r="G3432" s="2"/>
      <c r="H3432" s="2" t="s">
        <v>832</v>
      </c>
    </row>
    <row r="3433" customFormat="false" ht="15" hidden="false" customHeight="false" outlineLevel="0" collapsed="false">
      <c r="A3433" s="2" t="s">
        <v>3188</v>
      </c>
      <c r="B3433" s="2" t="s">
        <v>47</v>
      </c>
      <c r="C3433" s="2" t="s">
        <v>4274</v>
      </c>
      <c r="D3433" s="11" t="n">
        <v>21991</v>
      </c>
      <c r="E3433" s="31" t="n">
        <v>93.4</v>
      </c>
      <c r="F3433" s="31" t="n">
        <v>74.8</v>
      </c>
      <c r="G3433" s="31" t="n">
        <v>71.1</v>
      </c>
      <c r="H3433" s="2" t="s">
        <v>822</v>
      </c>
    </row>
    <row r="3434" customFormat="false" ht="15" hidden="false" customHeight="false" outlineLevel="0" collapsed="false">
      <c r="A3434" s="2" t="s">
        <v>3188</v>
      </c>
      <c r="B3434" s="2" t="s">
        <v>47</v>
      </c>
      <c r="C3434" s="2" t="s">
        <v>4275</v>
      </c>
      <c r="D3434" s="2"/>
      <c r="E3434" s="2"/>
      <c r="F3434" s="2"/>
      <c r="G3434" s="2"/>
      <c r="H3434" s="2" t="s">
        <v>832</v>
      </c>
    </row>
    <row r="3435" customFormat="false" ht="15" hidden="false" customHeight="false" outlineLevel="0" collapsed="false">
      <c r="A3435" s="2" t="s">
        <v>1705</v>
      </c>
      <c r="B3435" s="2" t="s">
        <v>4291</v>
      </c>
      <c r="C3435" s="2" t="s">
        <v>4274</v>
      </c>
      <c r="D3435" s="2"/>
      <c r="E3435" s="31" t="n">
        <v>79.9</v>
      </c>
      <c r="F3435" s="31" t="n">
        <v>46.6</v>
      </c>
      <c r="G3435" s="31" t="n">
        <v>85.9</v>
      </c>
      <c r="H3435" s="2" t="s">
        <v>832</v>
      </c>
    </row>
    <row r="3436" customFormat="false" ht="15" hidden="false" customHeight="false" outlineLevel="0" collapsed="false">
      <c r="A3436" s="2" t="s">
        <v>1705</v>
      </c>
      <c r="B3436" s="2" t="s">
        <v>4291</v>
      </c>
      <c r="C3436" s="2" t="s">
        <v>4275</v>
      </c>
      <c r="D3436" s="2"/>
      <c r="E3436" s="31" t="n">
        <v>79</v>
      </c>
      <c r="F3436" s="31" t="n">
        <v>38.8</v>
      </c>
      <c r="G3436" s="31" t="n">
        <v>97.4</v>
      </c>
      <c r="H3436" s="2" t="s">
        <v>832</v>
      </c>
    </row>
    <row r="3437" customFormat="false" ht="15" hidden="false" customHeight="false" outlineLevel="0" collapsed="false">
      <c r="A3437" s="2" t="s">
        <v>1705</v>
      </c>
      <c r="B3437" s="2" t="s">
        <v>45</v>
      </c>
      <c r="C3437" s="2" t="s">
        <v>4274</v>
      </c>
      <c r="D3437" s="11" t="n">
        <v>37770</v>
      </c>
      <c r="E3437" s="31" t="n">
        <v>72.8</v>
      </c>
      <c r="F3437" s="31" t="n">
        <v>65</v>
      </c>
      <c r="G3437" s="31" t="n">
        <v>85.9</v>
      </c>
      <c r="H3437" s="2" t="s">
        <v>822</v>
      </c>
    </row>
    <row r="3438" customFormat="false" ht="15" hidden="false" customHeight="false" outlineLevel="0" collapsed="false">
      <c r="A3438" s="2" t="s">
        <v>1705</v>
      </c>
      <c r="B3438" s="2" t="s">
        <v>45</v>
      </c>
      <c r="C3438" s="2" t="s">
        <v>4275</v>
      </c>
      <c r="D3438" s="11" t="n">
        <v>38976</v>
      </c>
      <c r="E3438" s="31" t="n">
        <v>76.6</v>
      </c>
      <c r="F3438" s="31" t="n">
        <v>63.6</v>
      </c>
      <c r="G3438" s="2"/>
      <c r="H3438" s="2" t="s">
        <v>832</v>
      </c>
    </row>
    <row r="3439" customFormat="false" ht="15" hidden="false" customHeight="false" outlineLevel="0" collapsed="false">
      <c r="A3439" s="2" t="s">
        <v>1705</v>
      </c>
      <c r="B3439" s="2" t="s">
        <v>46</v>
      </c>
      <c r="C3439" s="2" t="s">
        <v>4274</v>
      </c>
      <c r="D3439" s="11" t="n">
        <v>390997</v>
      </c>
      <c r="E3439" s="31" t="n">
        <v>87.1</v>
      </c>
      <c r="F3439" s="31" t="n">
        <v>28.2</v>
      </c>
      <c r="G3439" s="2"/>
      <c r="H3439" s="2" t="s">
        <v>832</v>
      </c>
    </row>
    <row r="3440" customFormat="false" ht="15" hidden="false" customHeight="false" outlineLevel="0" collapsed="false">
      <c r="A3440" s="2" t="s">
        <v>1705</v>
      </c>
      <c r="B3440" s="2" t="s">
        <v>46</v>
      </c>
      <c r="C3440" s="2" t="s">
        <v>4275</v>
      </c>
      <c r="D3440" s="11" t="n">
        <v>402170</v>
      </c>
      <c r="E3440" s="31" t="n">
        <v>81.5</v>
      </c>
      <c r="F3440" s="31" t="n">
        <v>14</v>
      </c>
      <c r="G3440" s="31" t="n">
        <v>97.4</v>
      </c>
      <c r="H3440" s="2" t="s">
        <v>822</v>
      </c>
    </row>
    <row r="3441" customFormat="false" ht="15" hidden="false" customHeight="false" outlineLevel="0" collapsed="false">
      <c r="A3441" s="2" t="s">
        <v>802</v>
      </c>
      <c r="B3441" s="2" t="s">
        <v>4291</v>
      </c>
      <c r="C3441" s="2" t="s">
        <v>4275</v>
      </c>
      <c r="D3441" s="2"/>
      <c r="E3441" s="31" t="n">
        <v>2.8</v>
      </c>
      <c r="F3441" s="31" t="n">
        <v>33.1</v>
      </c>
      <c r="G3441" s="31" t="n">
        <v>13.3</v>
      </c>
      <c r="H3441" s="2" t="s">
        <v>822</v>
      </c>
    </row>
    <row r="3442" customFormat="false" ht="15" hidden="false" customHeight="false" outlineLevel="0" collapsed="false">
      <c r="A3442" s="2" t="s">
        <v>802</v>
      </c>
      <c r="B3442" s="2" t="s">
        <v>47</v>
      </c>
      <c r="C3442" s="2" t="s">
        <v>4275</v>
      </c>
      <c r="D3442" s="11" t="n">
        <v>73905</v>
      </c>
      <c r="E3442" s="31" t="n">
        <v>2.8</v>
      </c>
      <c r="F3442" s="31" t="n">
        <v>33.1</v>
      </c>
      <c r="G3442" s="31" t="n">
        <v>13.3</v>
      </c>
      <c r="H3442" s="2" t="s">
        <v>822</v>
      </c>
    </row>
    <row r="3443" customFormat="false" ht="15" hidden="false" customHeight="false" outlineLevel="0" collapsed="false">
      <c r="A3443" s="2" t="s">
        <v>2489</v>
      </c>
      <c r="B3443" s="2" t="s">
        <v>4291</v>
      </c>
      <c r="C3443" s="2" t="s">
        <v>4274</v>
      </c>
      <c r="D3443" s="2"/>
      <c r="E3443" s="31" t="n">
        <v>51.5</v>
      </c>
      <c r="F3443" s="31" t="n">
        <v>97.1</v>
      </c>
      <c r="G3443" s="31" t="n">
        <v>39.1</v>
      </c>
      <c r="H3443" s="2" t="s">
        <v>822</v>
      </c>
    </row>
    <row r="3444" customFormat="false" ht="15" hidden="false" customHeight="false" outlineLevel="0" collapsed="false">
      <c r="A3444" s="2" t="s">
        <v>2489</v>
      </c>
      <c r="B3444" s="2" t="s">
        <v>4291</v>
      </c>
      <c r="C3444" s="2" t="s">
        <v>4275</v>
      </c>
      <c r="D3444" s="2"/>
      <c r="E3444" s="31" t="n">
        <v>66.6</v>
      </c>
      <c r="F3444" s="31" t="n">
        <v>93.2</v>
      </c>
      <c r="G3444" s="31" t="n">
        <v>81</v>
      </c>
      <c r="H3444" s="2" t="s">
        <v>832</v>
      </c>
    </row>
    <row r="3445" customFormat="false" ht="15" hidden="false" customHeight="false" outlineLevel="0" collapsed="false">
      <c r="A3445" s="2" t="s">
        <v>2489</v>
      </c>
      <c r="B3445" s="2" t="s">
        <v>45</v>
      </c>
      <c r="C3445" s="2" t="s">
        <v>4274</v>
      </c>
      <c r="D3445" s="11" t="n">
        <v>6980</v>
      </c>
      <c r="E3445" s="31" t="n">
        <v>81.9</v>
      </c>
      <c r="F3445" s="31" t="n">
        <v>95.2</v>
      </c>
      <c r="G3445" s="31" t="n">
        <v>37.3</v>
      </c>
      <c r="H3445" s="2" t="s">
        <v>822</v>
      </c>
    </row>
    <row r="3446" customFormat="false" ht="15" hidden="false" customHeight="false" outlineLevel="0" collapsed="false">
      <c r="A3446" s="2" t="s">
        <v>2489</v>
      </c>
      <c r="B3446" s="2" t="s">
        <v>45</v>
      </c>
      <c r="C3446" s="2" t="s">
        <v>4275</v>
      </c>
      <c r="D3446" s="11" t="n">
        <v>7429</v>
      </c>
      <c r="E3446" s="31" t="n">
        <v>76.2</v>
      </c>
      <c r="F3446" s="31" t="n">
        <v>90.1</v>
      </c>
      <c r="G3446" s="2"/>
      <c r="H3446" s="2" t="s">
        <v>832</v>
      </c>
    </row>
    <row r="3447" customFormat="false" ht="15" hidden="false" customHeight="false" outlineLevel="0" collapsed="false">
      <c r="A3447" s="2" t="s">
        <v>2489</v>
      </c>
      <c r="B3447" s="2" t="s">
        <v>47</v>
      </c>
      <c r="C3447" s="2" t="s">
        <v>4274</v>
      </c>
      <c r="D3447" s="11" t="n">
        <v>2093</v>
      </c>
      <c r="E3447" s="31" t="n">
        <v>21.1</v>
      </c>
      <c r="F3447" s="31" t="n">
        <v>98.9</v>
      </c>
      <c r="G3447" s="31" t="n">
        <v>40.9</v>
      </c>
      <c r="H3447" s="2" t="s">
        <v>822</v>
      </c>
    </row>
    <row r="3448" customFormat="false" ht="15" hidden="false" customHeight="false" outlineLevel="0" collapsed="false">
      <c r="A3448" s="2" t="s">
        <v>2489</v>
      </c>
      <c r="B3448" s="2" t="s">
        <v>47</v>
      </c>
      <c r="C3448" s="2" t="s">
        <v>4275</v>
      </c>
      <c r="D3448" s="11" t="n">
        <v>2310</v>
      </c>
      <c r="E3448" s="31" t="n">
        <v>57</v>
      </c>
      <c r="F3448" s="31" t="n">
        <v>96.2</v>
      </c>
      <c r="G3448" s="31" t="n">
        <v>81</v>
      </c>
      <c r="H3448" s="2" t="s">
        <v>822</v>
      </c>
    </row>
    <row r="3449" customFormat="false" ht="15" hidden="false" customHeight="false" outlineLevel="0" collapsed="false">
      <c r="A3449" s="2" t="s">
        <v>1120</v>
      </c>
      <c r="B3449" s="2" t="s">
        <v>4291</v>
      </c>
      <c r="C3449" s="2" t="s">
        <v>4274</v>
      </c>
      <c r="D3449" s="2"/>
      <c r="E3449" s="31" t="n">
        <v>34.9</v>
      </c>
      <c r="F3449" s="31" t="n">
        <v>16.6</v>
      </c>
      <c r="G3449" s="31" t="n">
        <v>48.2</v>
      </c>
      <c r="H3449" s="2" t="s">
        <v>822</v>
      </c>
    </row>
    <row r="3450" customFormat="false" ht="15" hidden="false" customHeight="false" outlineLevel="0" collapsed="false">
      <c r="A3450" s="2" t="s">
        <v>1120</v>
      </c>
      <c r="B3450" s="2" t="s">
        <v>4291</v>
      </c>
      <c r="C3450" s="2" t="s">
        <v>4275</v>
      </c>
      <c r="D3450" s="2"/>
      <c r="E3450" s="31" t="n">
        <v>47.9</v>
      </c>
      <c r="F3450" s="31" t="n">
        <v>19.6</v>
      </c>
      <c r="G3450" s="31" t="n">
        <v>70.2</v>
      </c>
      <c r="H3450" s="2" t="s">
        <v>832</v>
      </c>
    </row>
    <row r="3451" customFormat="false" ht="15" hidden="false" customHeight="false" outlineLevel="0" collapsed="false">
      <c r="A3451" s="2" t="s">
        <v>1120</v>
      </c>
      <c r="B3451" s="2" t="s">
        <v>45</v>
      </c>
      <c r="C3451" s="2" t="s">
        <v>4274</v>
      </c>
      <c r="D3451" s="11" t="n">
        <v>83307</v>
      </c>
      <c r="E3451" s="31" t="n">
        <v>36.7</v>
      </c>
      <c r="F3451" s="31" t="n">
        <v>23.7</v>
      </c>
      <c r="G3451" s="31" t="n">
        <v>47.6</v>
      </c>
      <c r="H3451" s="2" t="s">
        <v>822</v>
      </c>
    </row>
    <row r="3452" customFormat="false" ht="15" hidden="false" customHeight="false" outlineLevel="0" collapsed="false">
      <c r="A3452" s="2" t="s">
        <v>1120</v>
      </c>
      <c r="B3452" s="2" t="s">
        <v>45</v>
      </c>
      <c r="C3452" s="2" t="s">
        <v>4275</v>
      </c>
      <c r="D3452" s="11" t="n">
        <v>85200</v>
      </c>
      <c r="E3452" s="31" t="n">
        <v>64.1</v>
      </c>
      <c r="F3452" s="31" t="n">
        <v>19.6</v>
      </c>
      <c r="G3452" s="31" t="n">
        <v>73.2</v>
      </c>
      <c r="H3452" s="2" t="s">
        <v>822</v>
      </c>
    </row>
    <row r="3453" customFormat="false" ht="15" hidden="false" customHeight="false" outlineLevel="0" collapsed="false">
      <c r="A3453" s="2" t="s">
        <v>1120</v>
      </c>
      <c r="B3453" s="2" t="s">
        <v>46</v>
      </c>
      <c r="C3453" s="2" t="s">
        <v>4274</v>
      </c>
      <c r="D3453" s="11" t="n">
        <v>65331</v>
      </c>
      <c r="E3453" s="31" t="n">
        <v>33.1</v>
      </c>
      <c r="F3453" s="31" t="n">
        <v>9.4</v>
      </c>
      <c r="G3453" s="31" t="n">
        <v>48.9</v>
      </c>
      <c r="H3453" s="2" t="s">
        <v>822</v>
      </c>
    </row>
    <row r="3454" customFormat="false" ht="15" hidden="false" customHeight="false" outlineLevel="0" collapsed="false">
      <c r="A3454" s="2" t="s">
        <v>1120</v>
      </c>
      <c r="B3454" s="2" t="s">
        <v>46</v>
      </c>
      <c r="C3454" s="2" t="s">
        <v>4275</v>
      </c>
      <c r="D3454" s="11" t="n">
        <v>64060</v>
      </c>
      <c r="E3454" s="31" t="n">
        <v>31.8</v>
      </c>
      <c r="F3454" s="2"/>
      <c r="G3454" s="31" t="n">
        <v>67.3</v>
      </c>
      <c r="H3454" s="2" t="s">
        <v>832</v>
      </c>
    </row>
    <row r="3455" customFormat="false" ht="15" hidden="false" customHeight="false" outlineLevel="0" collapsed="false">
      <c r="A3455" s="2" t="s">
        <v>510</v>
      </c>
      <c r="B3455" s="2" t="s">
        <v>4291</v>
      </c>
      <c r="C3455" s="2" t="s">
        <v>4274</v>
      </c>
      <c r="D3455" s="2"/>
      <c r="E3455" s="31" t="n">
        <v>61.8</v>
      </c>
      <c r="F3455" s="31" t="n">
        <v>44</v>
      </c>
      <c r="G3455" s="31" t="n">
        <v>64.4</v>
      </c>
      <c r="H3455" s="2" t="s">
        <v>832</v>
      </c>
    </row>
    <row r="3456" customFormat="false" ht="15" hidden="false" customHeight="false" outlineLevel="0" collapsed="false">
      <c r="A3456" s="2" t="s">
        <v>510</v>
      </c>
      <c r="B3456" s="2" t="s">
        <v>4291</v>
      </c>
      <c r="C3456" s="2" t="s">
        <v>4275</v>
      </c>
      <c r="D3456" s="2"/>
      <c r="E3456" s="31" t="n">
        <v>47.8</v>
      </c>
      <c r="F3456" s="31" t="n">
        <v>40.8</v>
      </c>
      <c r="G3456" s="31" t="n">
        <v>40.7</v>
      </c>
      <c r="H3456" s="2" t="s">
        <v>822</v>
      </c>
    </row>
    <row r="3457" customFormat="false" ht="15" hidden="false" customHeight="false" outlineLevel="0" collapsed="false">
      <c r="A3457" s="2" t="s">
        <v>510</v>
      </c>
      <c r="B3457" s="2" t="s">
        <v>45</v>
      </c>
      <c r="C3457" s="2" t="s">
        <v>4274</v>
      </c>
      <c r="D3457" s="11" t="n">
        <v>82258</v>
      </c>
      <c r="E3457" s="31" t="n">
        <v>39.3</v>
      </c>
      <c r="F3457" s="31" t="n">
        <v>3.6</v>
      </c>
      <c r="G3457" s="2"/>
      <c r="H3457" s="2" t="s">
        <v>832</v>
      </c>
    </row>
    <row r="3458" customFormat="false" ht="15" hidden="false" customHeight="false" outlineLevel="0" collapsed="false">
      <c r="A3458" s="2" t="s">
        <v>510</v>
      </c>
      <c r="B3458" s="2" t="s">
        <v>45</v>
      </c>
      <c r="C3458" s="2" t="s">
        <v>4275</v>
      </c>
      <c r="D3458" s="11" t="n">
        <v>81360</v>
      </c>
      <c r="E3458" s="31" t="n">
        <v>22.7</v>
      </c>
      <c r="F3458" s="31" t="n">
        <v>3.1</v>
      </c>
      <c r="G3458" s="31" t="n">
        <v>77.4</v>
      </c>
      <c r="H3458" s="2" t="s">
        <v>822</v>
      </c>
    </row>
    <row r="3459" customFormat="false" ht="15" hidden="false" customHeight="false" outlineLevel="0" collapsed="false">
      <c r="A3459" s="2" t="s">
        <v>510</v>
      </c>
      <c r="B3459" s="2" t="s">
        <v>46</v>
      </c>
      <c r="C3459" s="2" t="s">
        <v>4274</v>
      </c>
      <c r="D3459" s="2"/>
      <c r="E3459" s="2"/>
      <c r="F3459" s="2"/>
      <c r="G3459" s="2"/>
      <c r="H3459" s="2" t="s">
        <v>832</v>
      </c>
    </row>
    <row r="3460" customFormat="false" ht="15" hidden="false" customHeight="false" outlineLevel="0" collapsed="false">
      <c r="A3460" s="2" t="s">
        <v>510</v>
      </c>
      <c r="B3460" s="2" t="s">
        <v>46</v>
      </c>
      <c r="C3460" s="2" t="s">
        <v>4275</v>
      </c>
      <c r="D3460" s="11" t="n">
        <v>72840</v>
      </c>
      <c r="E3460" s="31" t="n">
        <v>55.4</v>
      </c>
      <c r="F3460" s="31" t="n">
        <v>25.5</v>
      </c>
      <c r="G3460" s="31" t="n">
        <v>8.2</v>
      </c>
      <c r="H3460" s="2" t="s">
        <v>822</v>
      </c>
    </row>
    <row r="3461" customFormat="false" ht="15" hidden="false" customHeight="false" outlineLevel="0" collapsed="false">
      <c r="A3461" s="2" t="s">
        <v>510</v>
      </c>
      <c r="B3461" s="2" t="s">
        <v>47</v>
      </c>
      <c r="C3461" s="2" t="s">
        <v>4274</v>
      </c>
      <c r="D3461" s="11" t="n">
        <v>5142</v>
      </c>
      <c r="E3461" s="31" t="n">
        <v>84.4</v>
      </c>
      <c r="F3461" s="31" t="n">
        <v>84.4</v>
      </c>
      <c r="G3461" s="31" t="n">
        <v>64.4</v>
      </c>
      <c r="H3461" s="2" t="s">
        <v>822</v>
      </c>
    </row>
    <row r="3462" customFormat="false" ht="15" hidden="false" customHeight="false" outlineLevel="0" collapsed="false">
      <c r="A3462" s="2" t="s">
        <v>510</v>
      </c>
      <c r="B3462" s="2" t="s">
        <v>47</v>
      </c>
      <c r="C3462" s="2" t="s">
        <v>4275</v>
      </c>
      <c r="D3462" s="11" t="n">
        <v>5630</v>
      </c>
      <c r="E3462" s="31" t="n">
        <v>65.4</v>
      </c>
      <c r="F3462" s="31" t="n">
        <v>93.8</v>
      </c>
      <c r="G3462" s="31" t="n">
        <v>36.5</v>
      </c>
      <c r="H3462" s="2" t="s">
        <v>822</v>
      </c>
    </row>
    <row r="3463" customFormat="false" ht="15" hidden="false" customHeight="false" outlineLevel="0" collapsed="false">
      <c r="A3463" s="2" t="s">
        <v>544</v>
      </c>
      <c r="B3463" s="2" t="s">
        <v>4291</v>
      </c>
      <c r="C3463" s="2" t="s">
        <v>4274</v>
      </c>
      <c r="D3463" s="2"/>
      <c r="E3463" s="31" t="n">
        <v>50.8</v>
      </c>
      <c r="F3463" s="31" t="n">
        <v>73</v>
      </c>
      <c r="G3463" s="31" t="n">
        <v>84.6</v>
      </c>
      <c r="H3463" s="2" t="s">
        <v>832</v>
      </c>
    </row>
    <row r="3464" customFormat="false" ht="15" hidden="false" customHeight="false" outlineLevel="0" collapsed="false">
      <c r="A3464" s="2" t="s">
        <v>544</v>
      </c>
      <c r="B3464" s="2" t="s">
        <v>4291</v>
      </c>
      <c r="C3464" s="2" t="s">
        <v>4275</v>
      </c>
      <c r="D3464" s="2"/>
      <c r="E3464" s="31" t="n">
        <v>44.8</v>
      </c>
      <c r="F3464" s="31" t="n">
        <v>56.2</v>
      </c>
      <c r="G3464" s="31" t="n">
        <v>54</v>
      </c>
      <c r="H3464" s="2" t="s">
        <v>822</v>
      </c>
    </row>
    <row r="3465" customFormat="false" ht="15" hidden="false" customHeight="false" outlineLevel="0" collapsed="false">
      <c r="A3465" s="2" t="s">
        <v>544</v>
      </c>
      <c r="B3465" s="2" t="s">
        <v>45</v>
      </c>
      <c r="C3465" s="2" t="s">
        <v>4274</v>
      </c>
      <c r="D3465" s="11" t="n">
        <v>71400</v>
      </c>
      <c r="E3465" s="31" t="n">
        <v>0.7</v>
      </c>
      <c r="F3465" s="31" t="n">
        <v>59.5</v>
      </c>
      <c r="G3465" s="31" t="n">
        <v>70.7</v>
      </c>
      <c r="H3465" s="2" t="s">
        <v>822</v>
      </c>
    </row>
    <row r="3466" customFormat="false" ht="15" hidden="false" customHeight="false" outlineLevel="0" collapsed="false">
      <c r="A3466" s="2" t="s">
        <v>544</v>
      </c>
      <c r="B3466" s="2" t="s">
        <v>45</v>
      </c>
      <c r="C3466" s="2" t="s">
        <v>4275</v>
      </c>
      <c r="D3466" s="11" t="n">
        <v>74270</v>
      </c>
      <c r="E3466" s="31" t="n">
        <v>2.3</v>
      </c>
      <c r="F3466" s="31" t="n">
        <v>69.4</v>
      </c>
      <c r="G3466" s="31" t="n">
        <v>72.7</v>
      </c>
      <c r="H3466" s="2" t="s">
        <v>822</v>
      </c>
    </row>
    <row r="3467" customFormat="false" ht="15" hidden="false" customHeight="false" outlineLevel="0" collapsed="false">
      <c r="A3467" s="2" t="s">
        <v>544</v>
      </c>
      <c r="B3467" s="2" t="s">
        <v>46</v>
      </c>
      <c r="C3467" s="2" t="s">
        <v>4274</v>
      </c>
      <c r="D3467" s="11" t="n">
        <v>517680</v>
      </c>
      <c r="E3467" s="31" t="n">
        <v>99.6</v>
      </c>
      <c r="F3467" s="31" t="n">
        <v>100</v>
      </c>
      <c r="G3467" s="2"/>
      <c r="H3467" s="2" t="s">
        <v>832</v>
      </c>
    </row>
    <row r="3468" customFormat="false" ht="15" hidden="false" customHeight="false" outlineLevel="0" collapsed="false">
      <c r="A3468" s="2" t="s">
        <v>544</v>
      </c>
      <c r="B3468" s="2" t="s">
        <v>46</v>
      </c>
      <c r="C3468" s="2" t="s">
        <v>4275</v>
      </c>
      <c r="D3468" s="11" t="n">
        <v>952460</v>
      </c>
      <c r="E3468" s="31" t="n">
        <v>88.4</v>
      </c>
      <c r="F3468" s="31" t="n">
        <v>42.7</v>
      </c>
      <c r="G3468" s="31" t="n">
        <v>9.5</v>
      </c>
      <c r="H3468" s="2" t="s">
        <v>822</v>
      </c>
    </row>
    <row r="3469" customFormat="false" ht="15" hidden="false" customHeight="false" outlineLevel="0" collapsed="false">
      <c r="A3469" s="2" t="s">
        <v>544</v>
      </c>
      <c r="B3469" s="2" t="s">
        <v>47</v>
      </c>
      <c r="C3469" s="2" t="s">
        <v>4274</v>
      </c>
      <c r="D3469" s="11" t="n">
        <v>10166</v>
      </c>
      <c r="E3469" s="31" t="n">
        <v>52.2</v>
      </c>
      <c r="F3469" s="31" t="n">
        <v>59.5</v>
      </c>
      <c r="G3469" s="31" t="n">
        <v>98.4</v>
      </c>
      <c r="H3469" s="2" t="s">
        <v>822</v>
      </c>
    </row>
    <row r="3470" customFormat="false" ht="15" hidden="false" customHeight="false" outlineLevel="0" collapsed="false">
      <c r="A3470" s="2" t="s">
        <v>544</v>
      </c>
      <c r="B3470" s="2" t="s">
        <v>47</v>
      </c>
      <c r="C3470" s="2" t="s">
        <v>4275</v>
      </c>
      <c r="D3470" s="11" t="n">
        <v>10548</v>
      </c>
      <c r="E3470" s="31" t="n">
        <v>43.7</v>
      </c>
      <c r="F3470" s="31" t="n">
        <v>56.5</v>
      </c>
      <c r="G3470" s="31" t="n">
        <v>79.9</v>
      </c>
      <c r="H3470" s="2" t="s">
        <v>822</v>
      </c>
    </row>
    <row r="3471" customFormat="false" ht="15" hidden="false" customHeight="false" outlineLevel="0" collapsed="false">
      <c r="A3471" s="2" t="s">
        <v>692</v>
      </c>
      <c r="B3471" s="2" t="s">
        <v>4291</v>
      </c>
      <c r="C3471" s="2" t="s">
        <v>4274</v>
      </c>
      <c r="D3471" s="2"/>
      <c r="E3471" s="31" t="n">
        <v>20.9</v>
      </c>
      <c r="F3471" s="31" t="n">
        <v>64.7</v>
      </c>
      <c r="G3471" s="31" t="n">
        <v>55.2</v>
      </c>
      <c r="H3471" s="2" t="s">
        <v>832</v>
      </c>
    </row>
    <row r="3472" customFormat="false" ht="15" hidden="false" customHeight="false" outlineLevel="0" collapsed="false">
      <c r="A3472" s="2" t="s">
        <v>692</v>
      </c>
      <c r="B3472" s="2" t="s">
        <v>4291</v>
      </c>
      <c r="C3472" s="2" t="s">
        <v>4275</v>
      </c>
      <c r="D3472" s="2"/>
      <c r="E3472" s="31" t="n">
        <v>29.2</v>
      </c>
      <c r="F3472" s="31" t="n">
        <v>46.7</v>
      </c>
      <c r="G3472" s="31" t="n">
        <v>60.2</v>
      </c>
      <c r="H3472" s="2" t="s">
        <v>822</v>
      </c>
    </row>
    <row r="3473" customFormat="false" ht="15" hidden="false" customHeight="false" outlineLevel="0" collapsed="false">
      <c r="A3473" s="2" t="s">
        <v>692</v>
      </c>
      <c r="B3473" s="2" t="s">
        <v>45</v>
      </c>
      <c r="C3473" s="2" t="s">
        <v>4274</v>
      </c>
      <c r="D3473" s="11" t="n">
        <v>1003810</v>
      </c>
      <c r="E3473" s="31" t="n">
        <v>3.4</v>
      </c>
      <c r="F3473" s="2"/>
      <c r="G3473" s="31" t="n">
        <v>92.7</v>
      </c>
      <c r="H3473" s="2" t="s">
        <v>832</v>
      </c>
    </row>
    <row r="3474" customFormat="false" ht="15" hidden="false" customHeight="false" outlineLevel="0" collapsed="false">
      <c r="A3474" s="2" t="s">
        <v>692</v>
      </c>
      <c r="B3474" s="2" t="s">
        <v>45</v>
      </c>
      <c r="C3474" s="2" t="s">
        <v>4275</v>
      </c>
      <c r="D3474" s="11" t="n">
        <v>1085367</v>
      </c>
      <c r="E3474" s="31" t="n">
        <v>3.4</v>
      </c>
      <c r="F3474" s="31" t="n">
        <v>41.2</v>
      </c>
      <c r="G3474" s="31" t="n">
        <v>80.4</v>
      </c>
      <c r="H3474" s="2" t="s">
        <v>822</v>
      </c>
    </row>
    <row r="3475" customFormat="false" ht="15" hidden="false" customHeight="false" outlineLevel="0" collapsed="false">
      <c r="A3475" s="2" t="s">
        <v>692</v>
      </c>
      <c r="B3475" s="2" t="s">
        <v>46</v>
      </c>
      <c r="C3475" s="2" t="s">
        <v>4274</v>
      </c>
      <c r="D3475" s="11" t="n">
        <v>498887</v>
      </c>
      <c r="E3475" s="31" t="n">
        <v>38.4</v>
      </c>
      <c r="F3475" s="31" t="n">
        <v>64.7</v>
      </c>
      <c r="G3475" s="31" t="n">
        <v>17.6</v>
      </c>
      <c r="H3475" s="2" t="s">
        <v>822</v>
      </c>
    </row>
    <row r="3476" customFormat="false" ht="15" hidden="false" customHeight="false" outlineLevel="0" collapsed="false">
      <c r="A3476" s="2" t="s">
        <v>692</v>
      </c>
      <c r="B3476" s="2" t="s">
        <v>46</v>
      </c>
      <c r="C3476" s="2" t="s">
        <v>4275</v>
      </c>
      <c r="D3476" s="11" t="n">
        <v>516360</v>
      </c>
      <c r="E3476" s="31" t="n">
        <v>55</v>
      </c>
      <c r="F3476" s="31" t="n">
        <v>52.2</v>
      </c>
      <c r="G3476" s="31" t="n">
        <v>40</v>
      </c>
      <c r="H3476" s="2" t="s">
        <v>822</v>
      </c>
    </row>
    <row r="3477" customFormat="false" ht="15" hidden="false" customHeight="false" outlineLevel="0" collapsed="false">
      <c r="A3477" s="2" t="s">
        <v>682</v>
      </c>
      <c r="B3477" s="2" t="s">
        <v>4291</v>
      </c>
      <c r="C3477" s="2" t="s">
        <v>4274</v>
      </c>
      <c r="D3477" s="2"/>
      <c r="E3477" s="31" t="n">
        <v>26.1</v>
      </c>
      <c r="F3477" s="31" t="n">
        <v>21.1</v>
      </c>
      <c r="G3477" s="31" t="n">
        <v>33.6</v>
      </c>
      <c r="H3477" s="2" t="s">
        <v>832</v>
      </c>
    </row>
    <row r="3478" customFormat="false" ht="15" hidden="false" customHeight="false" outlineLevel="0" collapsed="false">
      <c r="A3478" s="2" t="s">
        <v>682</v>
      </c>
      <c r="B3478" s="2" t="s">
        <v>4291</v>
      </c>
      <c r="C3478" s="2" t="s">
        <v>4275</v>
      </c>
      <c r="D3478" s="2"/>
      <c r="E3478" s="31" t="n">
        <v>30.3</v>
      </c>
      <c r="F3478" s="31" t="n">
        <v>26.7</v>
      </c>
      <c r="G3478" s="31" t="n">
        <v>51.2</v>
      </c>
      <c r="H3478" s="2" t="s">
        <v>822</v>
      </c>
    </row>
    <row r="3479" customFormat="false" ht="15" hidden="false" customHeight="false" outlineLevel="0" collapsed="false">
      <c r="A3479" s="2" t="s">
        <v>682</v>
      </c>
      <c r="B3479" s="2" t="s">
        <v>45</v>
      </c>
      <c r="C3479" s="2" t="s">
        <v>4274</v>
      </c>
      <c r="D3479" s="11" t="n">
        <v>45050</v>
      </c>
      <c r="E3479" s="31" t="n">
        <v>5.4</v>
      </c>
      <c r="F3479" s="31" t="n">
        <v>10.9</v>
      </c>
      <c r="G3479" s="31" t="n">
        <v>41.7</v>
      </c>
      <c r="H3479" s="2" t="s">
        <v>822</v>
      </c>
    </row>
    <row r="3480" customFormat="false" ht="15" hidden="false" customHeight="false" outlineLevel="0" collapsed="false">
      <c r="A3480" s="2" t="s">
        <v>682</v>
      </c>
      <c r="B3480" s="2" t="s">
        <v>45</v>
      </c>
      <c r="C3480" s="2" t="s">
        <v>4275</v>
      </c>
      <c r="D3480" s="11" t="n">
        <v>44360</v>
      </c>
      <c r="E3480" s="31" t="n">
        <v>9.5</v>
      </c>
      <c r="F3480" s="31" t="n">
        <v>34.4</v>
      </c>
      <c r="G3480" s="31" t="n">
        <v>55.5</v>
      </c>
      <c r="H3480" s="2" t="s">
        <v>822</v>
      </c>
    </row>
    <row r="3481" customFormat="false" ht="15" hidden="false" customHeight="false" outlineLevel="0" collapsed="false">
      <c r="A3481" s="2" t="s">
        <v>682</v>
      </c>
      <c r="B3481" s="2" t="s">
        <v>46</v>
      </c>
      <c r="C3481" s="2" t="s">
        <v>4274</v>
      </c>
      <c r="D3481" s="11" t="n">
        <v>20280</v>
      </c>
      <c r="E3481" s="31" t="n">
        <v>41.3</v>
      </c>
      <c r="F3481" s="31" t="n">
        <v>22.1</v>
      </c>
      <c r="G3481" s="2"/>
      <c r="H3481" s="2" t="s">
        <v>832</v>
      </c>
    </row>
    <row r="3482" customFormat="false" ht="15" hidden="false" customHeight="false" outlineLevel="0" collapsed="false">
      <c r="A3482" s="2" t="s">
        <v>682</v>
      </c>
      <c r="B3482" s="2" t="s">
        <v>46</v>
      </c>
      <c r="C3482" s="2" t="s">
        <v>4275</v>
      </c>
      <c r="D3482" s="11" t="n">
        <v>20600</v>
      </c>
      <c r="E3482" s="31" t="n">
        <v>32.2</v>
      </c>
      <c r="F3482" s="31" t="n">
        <v>32.7</v>
      </c>
      <c r="G3482" s="31" t="n">
        <v>82.8</v>
      </c>
      <c r="H3482" s="2" t="s">
        <v>822</v>
      </c>
    </row>
    <row r="3483" customFormat="false" ht="15" hidden="false" customHeight="false" outlineLevel="0" collapsed="false">
      <c r="A3483" s="2" t="s">
        <v>682</v>
      </c>
      <c r="B3483" s="2" t="s">
        <v>47</v>
      </c>
      <c r="C3483" s="2" t="s">
        <v>4274</v>
      </c>
      <c r="D3483" s="11" t="n">
        <v>27975</v>
      </c>
      <c r="E3483" s="31" t="n">
        <v>31.5</v>
      </c>
      <c r="F3483" s="31" t="n">
        <v>30.4</v>
      </c>
      <c r="G3483" s="31" t="n">
        <v>25.4</v>
      </c>
      <c r="H3483" s="2" t="s">
        <v>822</v>
      </c>
    </row>
    <row r="3484" customFormat="false" ht="15" hidden="false" customHeight="false" outlineLevel="0" collapsed="false">
      <c r="A3484" s="2" t="s">
        <v>682</v>
      </c>
      <c r="B3484" s="2" t="s">
        <v>47</v>
      </c>
      <c r="C3484" s="2" t="s">
        <v>4275</v>
      </c>
      <c r="D3484" s="11" t="n">
        <v>27902</v>
      </c>
      <c r="E3484" s="31" t="n">
        <v>49.2</v>
      </c>
      <c r="F3484" s="31" t="n">
        <v>13</v>
      </c>
      <c r="G3484" s="31" t="n">
        <v>15.2</v>
      </c>
      <c r="H3484" s="2" t="s">
        <v>822</v>
      </c>
    </row>
    <row r="3485" customFormat="false" ht="15" hidden="false" customHeight="false" outlineLevel="0" collapsed="false">
      <c r="A3485" s="2" t="s">
        <v>750</v>
      </c>
      <c r="B3485" s="2" t="s">
        <v>4291</v>
      </c>
      <c r="C3485" s="2" t="s">
        <v>4274</v>
      </c>
      <c r="D3485" s="2"/>
      <c r="E3485" s="2"/>
      <c r="F3485" s="2"/>
      <c r="G3485" s="2"/>
      <c r="H3485" s="2" t="s">
        <v>832</v>
      </c>
    </row>
    <row r="3486" customFormat="false" ht="15" hidden="false" customHeight="false" outlineLevel="0" collapsed="false">
      <c r="A3486" s="2" t="s">
        <v>750</v>
      </c>
      <c r="B3486" s="2" t="s">
        <v>4291</v>
      </c>
      <c r="C3486" s="2" t="s">
        <v>4275</v>
      </c>
      <c r="D3486" s="2"/>
      <c r="E3486" s="31" t="n">
        <v>21.2</v>
      </c>
      <c r="F3486" s="31" t="n">
        <v>63.6</v>
      </c>
      <c r="G3486" s="31" t="n">
        <v>25.4</v>
      </c>
      <c r="H3486" s="2" t="s">
        <v>822</v>
      </c>
    </row>
    <row r="3487" customFormat="false" ht="15" hidden="false" customHeight="false" outlineLevel="0" collapsed="false">
      <c r="A3487" s="2" t="s">
        <v>750</v>
      </c>
      <c r="B3487" s="2" t="s">
        <v>45</v>
      </c>
      <c r="C3487" s="2" t="s">
        <v>4274</v>
      </c>
      <c r="D3487" s="2"/>
      <c r="E3487" s="2"/>
      <c r="F3487" s="2"/>
      <c r="G3487" s="2"/>
      <c r="H3487" s="2" t="s">
        <v>832</v>
      </c>
    </row>
    <row r="3488" customFormat="false" ht="15" hidden="false" customHeight="false" outlineLevel="0" collapsed="false">
      <c r="A3488" s="2" t="s">
        <v>750</v>
      </c>
      <c r="B3488" s="2" t="s">
        <v>45</v>
      </c>
      <c r="C3488" s="2" t="s">
        <v>4275</v>
      </c>
      <c r="D3488" s="11" t="n">
        <v>306450</v>
      </c>
      <c r="E3488" s="31" t="n">
        <v>21.2</v>
      </c>
      <c r="F3488" s="31" t="n">
        <v>63.6</v>
      </c>
      <c r="G3488" s="31" t="n">
        <v>25.4</v>
      </c>
      <c r="H3488" s="2" t="s">
        <v>822</v>
      </c>
    </row>
    <row r="3489" customFormat="false" ht="15" hidden="false" customHeight="false" outlineLevel="0" collapsed="false">
      <c r="A3489" s="2" t="s">
        <v>604</v>
      </c>
      <c r="B3489" s="2" t="s">
        <v>4291</v>
      </c>
      <c r="C3489" s="2" t="s">
        <v>4274</v>
      </c>
      <c r="D3489" s="2"/>
      <c r="E3489" s="31" t="n">
        <v>41</v>
      </c>
      <c r="F3489" s="31" t="n">
        <v>92.8</v>
      </c>
      <c r="G3489" s="31" t="n">
        <v>86.2</v>
      </c>
      <c r="H3489" s="2" t="s">
        <v>832</v>
      </c>
    </row>
    <row r="3490" customFormat="false" ht="15" hidden="false" customHeight="false" outlineLevel="0" collapsed="false">
      <c r="A3490" s="2" t="s">
        <v>604</v>
      </c>
      <c r="B3490" s="2" t="s">
        <v>4291</v>
      </c>
      <c r="C3490" s="2" t="s">
        <v>4275</v>
      </c>
      <c r="D3490" s="2"/>
      <c r="E3490" s="31" t="n">
        <v>38.7</v>
      </c>
      <c r="F3490" s="31" t="n">
        <v>84.8</v>
      </c>
      <c r="G3490" s="31" t="n">
        <v>56.6</v>
      </c>
      <c r="H3490" s="2" t="s">
        <v>822</v>
      </c>
    </row>
    <row r="3491" customFormat="false" ht="15" hidden="false" customHeight="false" outlineLevel="0" collapsed="false">
      <c r="A3491" s="2" t="s">
        <v>604</v>
      </c>
      <c r="B3491" s="2" t="s">
        <v>45</v>
      </c>
      <c r="C3491" s="2" t="s">
        <v>4274</v>
      </c>
      <c r="D3491" s="11" t="n">
        <v>16151</v>
      </c>
      <c r="E3491" s="31" t="n">
        <v>58.5</v>
      </c>
      <c r="F3491" s="31" t="n">
        <v>94.9</v>
      </c>
      <c r="G3491" s="2"/>
      <c r="H3491" s="2" t="s">
        <v>832</v>
      </c>
    </row>
    <row r="3492" customFormat="false" ht="15" hidden="false" customHeight="false" outlineLevel="0" collapsed="false">
      <c r="A3492" s="2" t="s">
        <v>604</v>
      </c>
      <c r="B3492" s="2" t="s">
        <v>45</v>
      </c>
      <c r="C3492" s="2" t="s">
        <v>4275</v>
      </c>
      <c r="D3492" s="11" t="n">
        <v>17410</v>
      </c>
      <c r="E3492" s="31" t="n">
        <v>62.2</v>
      </c>
      <c r="F3492" s="31" t="n">
        <v>79</v>
      </c>
      <c r="G3492" s="31" t="n">
        <v>21.9</v>
      </c>
      <c r="H3492" s="2" t="s">
        <v>822</v>
      </c>
    </row>
    <row r="3493" customFormat="false" ht="15" hidden="false" customHeight="false" outlineLevel="0" collapsed="false">
      <c r="A3493" s="2" t="s">
        <v>604</v>
      </c>
      <c r="B3493" s="2" t="s">
        <v>47</v>
      </c>
      <c r="C3493" s="2" t="s">
        <v>4274</v>
      </c>
      <c r="D3493" s="11" t="n">
        <v>11930</v>
      </c>
      <c r="E3493" s="31" t="n">
        <v>23.4</v>
      </c>
      <c r="F3493" s="31" t="n">
        <v>90.8</v>
      </c>
      <c r="G3493" s="31" t="n">
        <v>86.2</v>
      </c>
      <c r="H3493" s="2" t="s">
        <v>822</v>
      </c>
    </row>
    <row r="3494" customFormat="false" ht="15" hidden="false" customHeight="false" outlineLevel="0" collapsed="false">
      <c r="A3494" s="2" t="s">
        <v>604</v>
      </c>
      <c r="B3494" s="2" t="s">
        <v>47</v>
      </c>
      <c r="C3494" s="2" t="s">
        <v>4275</v>
      </c>
      <c r="D3494" s="11" t="n">
        <v>12540</v>
      </c>
      <c r="E3494" s="31" t="n">
        <v>15.2</v>
      </c>
      <c r="F3494" s="31" t="n">
        <v>90.6</v>
      </c>
      <c r="G3494" s="31" t="n">
        <v>91.2</v>
      </c>
      <c r="H3494" s="2" t="s">
        <v>822</v>
      </c>
    </row>
    <row r="3495" customFormat="false" ht="15" hidden="false" customHeight="false" outlineLevel="0" collapsed="false">
      <c r="A3495" s="2" t="s">
        <v>1846</v>
      </c>
      <c r="B3495" s="2" t="s">
        <v>4291</v>
      </c>
      <c r="C3495" s="2" t="s">
        <v>4274</v>
      </c>
      <c r="D3495" s="2"/>
      <c r="E3495" s="31" t="n">
        <v>65.7</v>
      </c>
      <c r="F3495" s="31" t="n">
        <v>64.1</v>
      </c>
      <c r="G3495" s="31" t="n">
        <v>99.1</v>
      </c>
      <c r="H3495" s="2" t="s">
        <v>832</v>
      </c>
    </row>
    <row r="3496" customFormat="false" ht="15" hidden="false" customHeight="false" outlineLevel="0" collapsed="false">
      <c r="A3496" s="2" t="s">
        <v>1846</v>
      </c>
      <c r="B3496" s="2" t="s">
        <v>4291</v>
      </c>
      <c r="C3496" s="2" t="s">
        <v>4275</v>
      </c>
      <c r="D3496" s="2"/>
      <c r="E3496" s="31" t="n">
        <v>74.8</v>
      </c>
      <c r="F3496" s="31" t="n">
        <v>56.2</v>
      </c>
      <c r="G3496" s="31" t="n">
        <v>98.2</v>
      </c>
      <c r="H3496" s="2" t="s">
        <v>832</v>
      </c>
    </row>
    <row r="3497" customFormat="false" ht="15" hidden="false" customHeight="false" outlineLevel="0" collapsed="false">
      <c r="A3497" s="2" t="s">
        <v>1846</v>
      </c>
      <c r="B3497" s="2" t="s">
        <v>46</v>
      </c>
      <c r="C3497" s="2" t="s">
        <v>4274</v>
      </c>
      <c r="D3497" s="11" t="n">
        <v>29890</v>
      </c>
      <c r="E3497" s="31" t="n">
        <v>46.8</v>
      </c>
      <c r="F3497" s="31" t="n">
        <v>51.3</v>
      </c>
      <c r="G3497" s="31" t="n">
        <v>99.1</v>
      </c>
      <c r="H3497" s="2" t="s">
        <v>822</v>
      </c>
    </row>
    <row r="3498" customFormat="false" ht="15" hidden="false" customHeight="false" outlineLevel="0" collapsed="false">
      <c r="A3498" s="2" t="s">
        <v>1846</v>
      </c>
      <c r="B3498" s="2" t="s">
        <v>46</v>
      </c>
      <c r="C3498" s="2" t="s">
        <v>4275</v>
      </c>
      <c r="D3498" s="11" t="n">
        <v>30405</v>
      </c>
      <c r="E3498" s="31" t="n">
        <v>57.8</v>
      </c>
      <c r="F3498" s="31" t="n">
        <v>33.8</v>
      </c>
      <c r="G3498" s="31" t="n">
        <v>98.2</v>
      </c>
      <c r="H3498" s="2" t="s">
        <v>822</v>
      </c>
    </row>
    <row r="3499" customFormat="false" ht="15" hidden="false" customHeight="false" outlineLevel="0" collapsed="false">
      <c r="A3499" s="2" t="s">
        <v>1846</v>
      </c>
      <c r="B3499" s="2" t="s">
        <v>47</v>
      </c>
      <c r="C3499" s="2" t="s">
        <v>4274</v>
      </c>
      <c r="D3499" s="11" t="n">
        <v>1182209</v>
      </c>
      <c r="E3499" s="31" t="n">
        <v>84.6</v>
      </c>
      <c r="F3499" s="31" t="n">
        <v>76.9</v>
      </c>
      <c r="G3499" s="2"/>
      <c r="H3499" s="2" t="s">
        <v>832</v>
      </c>
    </row>
    <row r="3500" customFormat="false" ht="15" hidden="false" customHeight="false" outlineLevel="0" collapsed="false">
      <c r="A3500" s="2" t="s">
        <v>1846</v>
      </c>
      <c r="B3500" s="2" t="s">
        <v>47</v>
      </c>
      <c r="C3500" s="2" t="s">
        <v>4275</v>
      </c>
      <c r="D3500" s="11" t="n">
        <v>1209853</v>
      </c>
      <c r="E3500" s="31" t="n">
        <v>91.9</v>
      </c>
      <c r="F3500" s="31" t="n">
        <v>78.6</v>
      </c>
      <c r="G3500" s="2"/>
      <c r="H3500" s="2" t="s">
        <v>832</v>
      </c>
    </row>
    <row r="3501" customFormat="false" ht="15" hidden="false" customHeight="false" outlineLevel="0" collapsed="false">
      <c r="A3501" s="2" t="s">
        <v>452</v>
      </c>
      <c r="B3501" s="2" t="s">
        <v>4291</v>
      </c>
      <c r="C3501" s="2" t="s">
        <v>4274</v>
      </c>
      <c r="D3501" s="2"/>
      <c r="E3501" s="31" t="n">
        <v>65</v>
      </c>
      <c r="F3501" s="31" t="n">
        <v>4.4</v>
      </c>
      <c r="G3501" s="31" t="n">
        <v>62.9</v>
      </c>
      <c r="H3501" s="2" t="s">
        <v>822</v>
      </c>
    </row>
    <row r="3502" customFormat="false" ht="15" hidden="false" customHeight="false" outlineLevel="0" collapsed="false">
      <c r="A3502" s="2" t="s">
        <v>452</v>
      </c>
      <c r="B3502" s="2" t="s">
        <v>4291</v>
      </c>
      <c r="C3502" s="2" t="s">
        <v>4275</v>
      </c>
      <c r="D3502" s="2"/>
      <c r="E3502" s="31" t="n">
        <v>52</v>
      </c>
      <c r="F3502" s="31" t="n">
        <v>21.3</v>
      </c>
      <c r="G3502" s="31" t="n">
        <v>95.6</v>
      </c>
      <c r="H3502" s="2" t="s">
        <v>822</v>
      </c>
    </row>
    <row r="3503" customFormat="false" ht="15" hidden="false" customHeight="false" outlineLevel="0" collapsed="false">
      <c r="A3503" s="2" t="s">
        <v>452</v>
      </c>
      <c r="B3503" s="2" t="s">
        <v>45</v>
      </c>
      <c r="C3503" s="2" t="s">
        <v>4274</v>
      </c>
      <c r="D3503" s="11" t="n">
        <v>66600</v>
      </c>
      <c r="E3503" s="31" t="n">
        <v>65</v>
      </c>
      <c r="F3503" s="31" t="n">
        <v>4.4</v>
      </c>
      <c r="G3503" s="31" t="n">
        <v>62.9</v>
      </c>
      <c r="H3503" s="2" t="s">
        <v>822</v>
      </c>
    </row>
    <row r="3504" customFormat="false" ht="15" hidden="false" customHeight="false" outlineLevel="0" collapsed="false">
      <c r="A3504" s="2" t="s">
        <v>452</v>
      </c>
      <c r="B3504" s="2" t="s">
        <v>45</v>
      </c>
      <c r="C3504" s="2" t="s">
        <v>4275</v>
      </c>
      <c r="D3504" s="11" t="n">
        <v>66750</v>
      </c>
      <c r="E3504" s="31" t="n">
        <v>52</v>
      </c>
      <c r="F3504" s="31" t="n">
        <v>21.3</v>
      </c>
      <c r="G3504" s="31" t="n">
        <v>95.6</v>
      </c>
      <c r="H3504" s="2" t="s">
        <v>822</v>
      </c>
    </row>
    <row r="3505" customFormat="false" ht="15" hidden="false" customHeight="false" outlineLevel="0" collapsed="false">
      <c r="A3505" s="2" t="s">
        <v>690</v>
      </c>
      <c r="B3505" s="2" t="s">
        <v>4291</v>
      </c>
      <c r="C3505" s="2" t="s">
        <v>4274</v>
      </c>
      <c r="D3505" s="2"/>
      <c r="E3505" s="31" t="n">
        <v>46.2</v>
      </c>
      <c r="F3505" s="31" t="n">
        <v>49.2</v>
      </c>
      <c r="G3505" s="31" t="n">
        <v>80.8</v>
      </c>
      <c r="H3505" s="2" t="s">
        <v>822</v>
      </c>
    </row>
    <row r="3506" customFormat="false" ht="15" hidden="false" customHeight="false" outlineLevel="0" collapsed="false">
      <c r="A3506" s="2" t="s">
        <v>690</v>
      </c>
      <c r="B3506" s="2" t="s">
        <v>4291</v>
      </c>
      <c r="C3506" s="2" t="s">
        <v>4275</v>
      </c>
      <c r="D3506" s="2"/>
      <c r="E3506" s="31" t="n">
        <v>29.4</v>
      </c>
      <c r="F3506" s="31" t="n">
        <v>54.6</v>
      </c>
      <c r="G3506" s="31" t="n">
        <v>81.3</v>
      </c>
      <c r="H3506" s="2" t="s">
        <v>822</v>
      </c>
    </row>
    <row r="3507" customFormat="false" ht="15" hidden="false" customHeight="false" outlineLevel="0" collapsed="false">
      <c r="A3507" s="2" t="s">
        <v>690</v>
      </c>
      <c r="B3507" s="2" t="s">
        <v>46</v>
      </c>
      <c r="C3507" s="2" t="s">
        <v>4274</v>
      </c>
      <c r="D3507" s="11" t="n">
        <v>36240</v>
      </c>
      <c r="E3507" s="31" t="n">
        <v>1.4</v>
      </c>
      <c r="F3507" s="31" t="n">
        <v>84.3</v>
      </c>
      <c r="G3507" s="31" t="n">
        <v>67.6</v>
      </c>
      <c r="H3507" s="2" t="s">
        <v>822</v>
      </c>
    </row>
    <row r="3508" customFormat="false" ht="15" hidden="false" customHeight="false" outlineLevel="0" collapsed="false">
      <c r="A3508" s="2" t="s">
        <v>690</v>
      </c>
      <c r="B3508" s="2" t="s">
        <v>46</v>
      </c>
      <c r="C3508" s="2" t="s">
        <v>4275</v>
      </c>
      <c r="D3508" s="11" t="n">
        <v>37910</v>
      </c>
      <c r="E3508" s="31" t="n">
        <v>6.5</v>
      </c>
      <c r="F3508" s="31" t="n">
        <v>79.3</v>
      </c>
      <c r="G3508" s="31" t="n">
        <v>66.9</v>
      </c>
      <c r="H3508" s="2" t="s">
        <v>822</v>
      </c>
    </row>
    <row r="3509" customFormat="false" ht="15" hidden="false" customHeight="false" outlineLevel="0" collapsed="false">
      <c r="A3509" s="2" t="s">
        <v>690</v>
      </c>
      <c r="B3509" s="2" t="s">
        <v>47</v>
      </c>
      <c r="C3509" s="2" t="s">
        <v>4274</v>
      </c>
      <c r="D3509" s="11" t="n">
        <v>201964</v>
      </c>
      <c r="E3509" s="31" t="n">
        <v>91</v>
      </c>
      <c r="F3509" s="31" t="n">
        <v>14.2</v>
      </c>
      <c r="G3509" s="31" t="n">
        <v>94</v>
      </c>
      <c r="H3509" s="2" t="s">
        <v>822</v>
      </c>
    </row>
    <row r="3510" customFormat="false" ht="15" hidden="false" customHeight="false" outlineLevel="0" collapsed="false">
      <c r="A3510" s="2" t="s">
        <v>690</v>
      </c>
      <c r="B3510" s="2" t="s">
        <v>47</v>
      </c>
      <c r="C3510" s="2" t="s">
        <v>4275</v>
      </c>
      <c r="D3510" s="11" t="n">
        <v>216530</v>
      </c>
      <c r="E3510" s="31" t="n">
        <v>52.4</v>
      </c>
      <c r="F3510" s="31" t="n">
        <v>29.8</v>
      </c>
      <c r="G3510" s="31" t="n">
        <v>95.7</v>
      </c>
      <c r="H3510" s="2" t="s">
        <v>822</v>
      </c>
    </row>
    <row r="3511" customFormat="false" ht="15" hidden="false" customHeight="false" outlineLevel="0" collapsed="false">
      <c r="A3511" s="2" t="s">
        <v>1684</v>
      </c>
      <c r="B3511" s="2" t="s">
        <v>4291</v>
      </c>
      <c r="C3511" s="2" t="s">
        <v>4274</v>
      </c>
      <c r="D3511" s="2"/>
      <c r="E3511" s="31" t="n">
        <v>34</v>
      </c>
      <c r="F3511" s="31" t="n">
        <v>73</v>
      </c>
      <c r="G3511" s="31" t="n">
        <v>13.3</v>
      </c>
      <c r="H3511" s="2" t="s">
        <v>832</v>
      </c>
    </row>
    <row r="3512" customFormat="false" ht="15" hidden="false" customHeight="false" outlineLevel="0" collapsed="false">
      <c r="A3512" s="2" t="s">
        <v>1684</v>
      </c>
      <c r="B3512" s="2" t="s">
        <v>4291</v>
      </c>
      <c r="C3512" s="2" t="s">
        <v>4275</v>
      </c>
      <c r="D3512" s="2"/>
      <c r="E3512" s="31" t="n">
        <v>48.4</v>
      </c>
      <c r="F3512" s="31" t="n">
        <v>54.1</v>
      </c>
      <c r="G3512" s="31" t="n">
        <v>41.2</v>
      </c>
      <c r="H3512" s="2" t="s">
        <v>832</v>
      </c>
    </row>
    <row r="3513" customFormat="false" ht="15" hidden="false" customHeight="false" outlineLevel="0" collapsed="false">
      <c r="A3513" s="2" t="s">
        <v>1684</v>
      </c>
      <c r="B3513" s="2" t="s">
        <v>45</v>
      </c>
      <c r="C3513" s="2" t="s">
        <v>4274</v>
      </c>
      <c r="D3513" s="11" t="n">
        <v>88050</v>
      </c>
      <c r="E3513" s="31" t="n">
        <v>6.7</v>
      </c>
      <c r="F3513" s="31" t="n">
        <v>54.4</v>
      </c>
      <c r="G3513" s="31" t="n">
        <v>23.2</v>
      </c>
      <c r="H3513" s="2" t="s">
        <v>822</v>
      </c>
    </row>
    <row r="3514" customFormat="false" ht="15" hidden="false" customHeight="false" outlineLevel="0" collapsed="false">
      <c r="A3514" s="2" t="s">
        <v>1684</v>
      </c>
      <c r="B3514" s="2" t="s">
        <v>45</v>
      </c>
      <c r="C3514" s="2" t="s">
        <v>4275</v>
      </c>
      <c r="D3514" s="11" t="n">
        <v>92940</v>
      </c>
      <c r="E3514" s="31" t="n">
        <v>3.8</v>
      </c>
      <c r="F3514" s="31" t="n">
        <v>36.8</v>
      </c>
      <c r="G3514" s="2"/>
      <c r="H3514" s="2" t="s">
        <v>832</v>
      </c>
    </row>
    <row r="3515" customFormat="false" ht="15" hidden="false" customHeight="false" outlineLevel="0" collapsed="false">
      <c r="A3515" s="2" t="s">
        <v>1684</v>
      </c>
      <c r="B3515" s="2" t="s">
        <v>46</v>
      </c>
      <c r="C3515" s="2" t="s">
        <v>4274</v>
      </c>
      <c r="D3515" s="2"/>
      <c r="E3515" s="2"/>
      <c r="F3515" s="2"/>
      <c r="G3515" s="2"/>
      <c r="H3515" s="2" t="s">
        <v>832</v>
      </c>
    </row>
    <row r="3516" customFormat="false" ht="15" hidden="false" customHeight="false" outlineLevel="0" collapsed="false">
      <c r="A3516" s="2" t="s">
        <v>1684</v>
      </c>
      <c r="B3516" s="2" t="s">
        <v>46</v>
      </c>
      <c r="C3516" s="2" t="s">
        <v>4275</v>
      </c>
      <c r="D3516" s="11" t="n">
        <v>70660</v>
      </c>
      <c r="E3516" s="31" t="n">
        <v>86.4</v>
      </c>
      <c r="F3516" s="31" t="n">
        <v>57.5</v>
      </c>
      <c r="G3516" s="31" t="n">
        <v>36</v>
      </c>
      <c r="H3516" s="2" t="s">
        <v>822</v>
      </c>
    </row>
    <row r="3517" customFormat="false" ht="15" hidden="false" customHeight="false" outlineLevel="0" collapsed="false">
      <c r="A3517" s="2" t="s">
        <v>1684</v>
      </c>
      <c r="B3517" s="2" t="s">
        <v>47</v>
      </c>
      <c r="C3517" s="2" t="s">
        <v>4274</v>
      </c>
      <c r="D3517" s="11" t="n">
        <v>19464</v>
      </c>
      <c r="E3517" s="31" t="n">
        <v>61.4</v>
      </c>
      <c r="F3517" s="31" t="n">
        <v>91.5</v>
      </c>
      <c r="G3517" s="31" t="n">
        <v>3.4</v>
      </c>
      <c r="H3517" s="2" t="s">
        <v>822</v>
      </c>
    </row>
    <row r="3518" customFormat="false" ht="15" hidden="false" customHeight="false" outlineLevel="0" collapsed="false">
      <c r="A3518" s="2" t="s">
        <v>1684</v>
      </c>
      <c r="B3518" s="2" t="s">
        <v>47</v>
      </c>
      <c r="C3518" s="2" t="s">
        <v>4275</v>
      </c>
      <c r="D3518" s="11" t="n">
        <v>20752</v>
      </c>
      <c r="E3518" s="31" t="n">
        <v>54.9</v>
      </c>
      <c r="F3518" s="31" t="n">
        <v>67.9</v>
      </c>
      <c r="G3518" s="31" t="n">
        <v>46.4</v>
      </c>
      <c r="H3518" s="2" t="s">
        <v>822</v>
      </c>
    </row>
    <row r="3519" customFormat="false" ht="15" hidden="false" customHeight="false" outlineLevel="0" collapsed="false">
      <c r="A3519" s="2" t="s">
        <v>948</v>
      </c>
      <c r="B3519" s="2" t="s">
        <v>4291</v>
      </c>
      <c r="C3519" s="2" t="s">
        <v>4274</v>
      </c>
      <c r="D3519" s="2"/>
      <c r="E3519" s="31" t="n">
        <v>41.6</v>
      </c>
      <c r="F3519" s="31" t="n">
        <v>64.1</v>
      </c>
      <c r="G3519" s="31" t="n">
        <v>64</v>
      </c>
      <c r="H3519" s="2" t="s">
        <v>822</v>
      </c>
    </row>
    <row r="3520" customFormat="false" ht="15" hidden="false" customHeight="false" outlineLevel="0" collapsed="false">
      <c r="A3520" s="2" t="s">
        <v>948</v>
      </c>
      <c r="B3520" s="2" t="s">
        <v>4291</v>
      </c>
      <c r="C3520" s="2" t="s">
        <v>4275</v>
      </c>
      <c r="D3520" s="2"/>
      <c r="E3520" s="31" t="n">
        <v>44.9</v>
      </c>
      <c r="F3520" s="31" t="n">
        <v>48.9</v>
      </c>
      <c r="G3520" s="31" t="n">
        <v>94.5</v>
      </c>
      <c r="H3520" s="2" t="s">
        <v>832</v>
      </c>
    </row>
    <row r="3521" customFormat="false" ht="15" hidden="false" customHeight="false" outlineLevel="0" collapsed="false">
      <c r="A3521" s="2" t="s">
        <v>948</v>
      </c>
      <c r="B3521" s="2" t="s">
        <v>45</v>
      </c>
      <c r="C3521" s="2" t="s">
        <v>4274</v>
      </c>
      <c r="D3521" s="11" t="n">
        <v>17770</v>
      </c>
      <c r="E3521" s="31" t="n">
        <v>69.8</v>
      </c>
      <c r="F3521" s="31" t="n">
        <v>83.2</v>
      </c>
      <c r="G3521" s="31" t="n">
        <v>50</v>
      </c>
      <c r="H3521" s="2" t="s">
        <v>822</v>
      </c>
    </row>
    <row r="3522" customFormat="false" ht="15" hidden="false" customHeight="false" outlineLevel="0" collapsed="false">
      <c r="A3522" s="2" t="s">
        <v>948</v>
      </c>
      <c r="B3522" s="2" t="s">
        <v>45</v>
      </c>
      <c r="C3522" s="2" t="s">
        <v>4275</v>
      </c>
      <c r="D3522" s="11" t="n">
        <v>18970</v>
      </c>
      <c r="E3522" s="31" t="n">
        <v>85.1</v>
      </c>
      <c r="F3522" s="31" t="n">
        <v>90.4</v>
      </c>
      <c r="G3522" s="31" t="n">
        <v>93.5</v>
      </c>
      <c r="H3522" s="2" t="s">
        <v>822</v>
      </c>
    </row>
    <row r="3523" customFormat="false" ht="15" hidden="false" customHeight="false" outlineLevel="0" collapsed="false">
      <c r="A3523" s="2" t="s">
        <v>948</v>
      </c>
      <c r="B3523" s="2" t="s">
        <v>46</v>
      </c>
      <c r="C3523" s="2" t="s">
        <v>4274</v>
      </c>
      <c r="D3523" s="11" t="n">
        <v>4310</v>
      </c>
      <c r="E3523" s="31" t="n">
        <v>20.7</v>
      </c>
      <c r="F3523" s="31" t="n">
        <v>49.1</v>
      </c>
      <c r="G3523" s="31" t="n">
        <v>50.9</v>
      </c>
      <c r="H3523" s="2" t="s">
        <v>822</v>
      </c>
    </row>
    <row r="3524" customFormat="false" ht="15" hidden="false" customHeight="false" outlineLevel="0" collapsed="false">
      <c r="A3524" s="2" t="s">
        <v>948</v>
      </c>
      <c r="B3524" s="2" t="s">
        <v>46</v>
      </c>
      <c r="C3524" s="2" t="s">
        <v>4275</v>
      </c>
      <c r="D3524" s="11" t="n">
        <v>4350</v>
      </c>
      <c r="E3524" s="31" t="n">
        <v>11</v>
      </c>
      <c r="F3524" s="31" t="n">
        <v>26.4</v>
      </c>
      <c r="G3524" s="2"/>
      <c r="H3524" s="2" t="s">
        <v>832</v>
      </c>
    </row>
    <row r="3525" customFormat="false" ht="15" hidden="false" customHeight="false" outlineLevel="0" collapsed="false">
      <c r="A3525" s="2" t="s">
        <v>948</v>
      </c>
      <c r="B3525" s="2" t="s">
        <v>47</v>
      </c>
      <c r="C3525" s="2" t="s">
        <v>4274</v>
      </c>
      <c r="D3525" s="11" t="n">
        <v>47325</v>
      </c>
      <c r="E3525" s="31" t="n">
        <v>34.4</v>
      </c>
      <c r="F3525" s="31" t="n">
        <v>60.1</v>
      </c>
      <c r="G3525" s="31" t="n">
        <v>91</v>
      </c>
      <c r="H3525" s="2" t="s">
        <v>822</v>
      </c>
    </row>
    <row r="3526" customFormat="false" ht="15" hidden="false" customHeight="false" outlineLevel="0" collapsed="false">
      <c r="A3526" s="2" t="s">
        <v>948</v>
      </c>
      <c r="B3526" s="2" t="s">
        <v>47</v>
      </c>
      <c r="C3526" s="2" t="s">
        <v>4275</v>
      </c>
      <c r="D3526" s="11" t="n">
        <v>45980</v>
      </c>
      <c r="E3526" s="31" t="n">
        <v>38.6</v>
      </c>
      <c r="F3526" s="31" t="n">
        <v>29.9</v>
      </c>
      <c r="G3526" s="31" t="n">
        <v>95.5</v>
      </c>
      <c r="H3526" s="2" t="s">
        <v>822</v>
      </c>
    </row>
    <row r="3527" customFormat="false" ht="15" hidden="false" customHeight="false" outlineLevel="0" collapsed="false">
      <c r="A3527" s="2" t="s">
        <v>406</v>
      </c>
      <c r="B3527" s="2" t="s">
        <v>4291</v>
      </c>
      <c r="C3527" s="2" t="s">
        <v>4274</v>
      </c>
      <c r="D3527" s="2"/>
      <c r="E3527" s="31" t="n">
        <v>62.2</v>
      </c>
      <c r="F3527" s="31" t="n">
        <v>50.2</v>
      </c>
      <c r="G3527" s="31" t="n">
        <v>48.8</v>
      </c>
      <c r="H3527" s="2" t="s">
        <v>822</v>
      </c>
    </row>
    <row r="3528" customFormat="false" ht="15" hidden="false" customHeight="false" outlineLevel="0" collapsed="false">
      <c r="A3528" s="2" t="s">
        <v>406</v>
      </c>
      <c r="B3528" s="2" t="s">
        <v>4291</v>
      </c>
      <c r="C3528" s="2" t="s">
        <v>4275</v>
      </c>
      <c r="D3528" s="2"/>
      <c r="E3528" s="31" t="n">
        <v>54.8</v>
      </c>
      <c r="F3528" s="31" t="n">
        <v>41.3</v>
      </c>
      <c r="G3528" s="31" t="n">
        <v>40.8</v>
      </c>
      <c r="H3528" s="2" t="s">
        <v>822</v>
      </c>
    </row>
    <row r="3529" customFormat="false" ht="15" hidden="false" customHeight="false" outlineLevel="0" collapsed="false">
      <c r="A3529" s="2" t="s">
        <v>406</v>
      </c>
      <c r="B3529" s="2" t="s">
        <v>45</v>
      </c>
      <c r="C3529" s="2" t="s">
        <v>4274</v>
      </c>
      <c r="D3529" s="11" t="n">
        <v>2926</v>
      </c>
      <c r="E3529" s="31" t="n">
        <v>42.3</v>
      </c>
      <c r="F3529" s="31" t="n">
        <v>32.3</v>
      </c>
      <c r="G3529" s="31" t="n">
        <v>20</v>
      </c>
      <c r="H3529" s="2" t="s">
        <v>822</v>
      </c>
    </row>
    <row r="3530" customFormat="false" ht="15" hidden="false" customHeight="false" outlineLevel="0" collapsed="false">
      <c r="A3530" s="2" t="s">
        <v>406</v>
      </c>
      <c r="B3530" s="2" t="s">
        <v>45</v>
      </c>
      <c r="C3530" s="2" t="s">
        <v>4275</v>
      </c>
      <c r="D3530" s="11" t="n">
        <v>3050</v>
      </c>
      <c r="E3530" s="31" t="n">
        <v>34.8</v>
      </c>
      <c r="F3530" s="31" t="n">
        <v>62</v>
      </c>
      <c r="G3530" s="31" t="n">
        <v>12.4</v>
      </c>
      <c r="H3530" s="2" t="s">
        <v>822</v>
      </c>
    </row>
    <row r="3531" customFormat="false" ht="15" hidden="false" customHeight="false" outlineLevel="0" collapsed="false">
      <c r="A3531" s="2" t="s">
        <v>406</v>
      </c>
      <c r="B3531" s="2" t="s">
        <v>46</v>
      </c>
      <c r="C3531" s="2" t="s">
        <v>4274</v>
      </c>
      <c r="D3531" s="11" t="n">
        <v>28230</v>
      </c>
      <c r="E3531" s="31" t="n">
        <v>95.3</v>
      </c>
      <c r="F3531" s="31" t="n">
        <v>78.7</v>
      </c>
      <c r="G3531" s="31" t="n">
        <v>88.8</v>
      </c>
      <c r="H3531" s="2" t="s">
        <v>822</v>
      </c>
    </row>
    <row r="3532" customFormat="false" ht="15" hidden="false" customHeight="false" outlineLevel="0" collapsed="false">
      <c r="A3532" s="2" t="s">
        <v>406</v>
      </c>
      <c r="B3532" s="2" t="s">
        <v>46</v>
      </c>
      <c r="C3532" s="2" t="s">
        <v>4275</v>
      </c>
      <c r="D3532" s="11" t="n">
        <v>29390</v>
      </c>
      <c r="E3532" s="31" t="n">
        <v>89</v>
      </c>
      <c r="F3532" s="31" t="n">
        <v>39.3</v>
      </c>
      <c r="G3532" s="31" t="n">
        <v>58.5</v>
      </c>
      <c r="H3532" s="2" t="s">
        <v>822</v>
      </c>
    </row>
    <row r="3533" customFormat="false" ht="15" hidden="false" customHeight="false" outlineLevel="0" collapsed="false">
      <c r="A3533" s="2" t="s">
        <v>406</v>
      </c>
      <c r="B3533" s="2" t="s">
        <v>47</v>
      </c>
      <c r="C3533" s="2" t="s">
        <v>4274</v>
      </c>
      <c r="D3533" s="11" t="n">
        <v>19655</v>
      </c>
      <c r="E3533" s="31" t="n">
        <v>49.1</v>
      </c>
      <c r="F3533" s="31" t="n">
        <v>39.5</v>
      </c>
      <c r="G3533" s="31" t="n">
        <v>37.6</v>
      </c>
      <c r="H3533" s="2" t="s">
        <v>822</v>
      </c>
    </row>
    <row r="3534" customFormat="false" ht="15" hidden="false" customHeight="false" outlineLevel="0" collapsed="false">
      <c r="A3534" s="2" t="s">
        <v>406</v>
      </c>
      <c r="B3534" s="2" t="s">
        <v>47</v>
      </c>
      <c r="C3534" s="2" t="s">
        <v>4275</v>
      </c>
      <c r="D3534" s="11" t="n">
        <v>19839</v>
      </c>
      <c r="E3534" s="31" t="n">
        <v>40.6</v>
      </c>
      <c r="F3534" s="31" t="n">
        <v>22.7</v>
      </c>
      <c r="G3534" s="31" t="n">
        <v>51.6</v>
      </c>
      <c r="H3534" s="2" t="s">
        <v>822</v>
      </c>
    </row>
    <row r="3535" customFormat="false" ht="15" hidden="false" customHeight="false" outlineLevel="0" collapsed="false">
      <c r="A3535" s="2" t="s">
        <v>3195</v>
      </c>
      <c r="B3535" s="2" t="s">
        <v>4291</v>
      </c>
      <c r="C3535" s="2" t="s">
        <v>4274</v>
      </c>
      <c r="D3535" s="2"/>
      <c r="E3535" s="31" t="n">
        <v>11.9</v>
      </c>
      <c r="F3535" s="31" t="n">
        <v>94</v>
      </c>
      <c r="G3535" s="31" t="n">
        <v>5</v>
      </c>
      <c r="H3535" s="2" t="s">
        <v>822</v>
      </c>
    </row>
    <row r="3536" customFormat="false" ht="15" hidden="false" customHeight="false" outlineLevel="0" collapsed="false">
      <c r="A3536" s="2" t="s">
        <v>3195</v>
      </c>
      <c r="B3536" s="2" t="s">
        <v>4291</v>
      </c>
      <c r="C3536" s="2" t="s">
        <v>4275</v>
      </c>
      <c r="D3536" s="2"/>
      <c r="E3536" s="2"/>
      <c r="F3536" s="31" t="n">
        <v>94.2</v>
      </c>
      <c r="G3536" s="31" t="n">
        <v>17.9</v>
      </c>
      <c r="H3536" s="2" t="s">
        <v>832</v>
      </c>
    </row>
    <row r="3537" customFormat="false" ht="15" hidden="false" customHeight="false" outlineLevel="0" collapsed="false">
      <c r="A3537" s="2" t="s">
        <v>3195</v>
      </c>
      <c r="B3537" s="2" t="s">
        <v>46</v>
      </c>
      <c r="C3537" s="2" t="s">
        <v>4274</v>
      </c>
      <c r="D3537" s="11" t="n">
        <v>39167</v>
      </c>
      <c r="E3537" s="31" t="n">
        <v>11.9</v>
      </c>
      <c r="F3537" s="31" t="n">
        <v>94</v>
      </c>
      <c r="G3537" s="31" t="n">
        <v>5</v>
      </c>
      <c r="H3537" s="2" t="s">
        <v>822</v>
      </c>
    </row>
    <row r="3538" customFormat="false" ht="15" hidden="false" customHeight="false" outlineLevel="0" collapsed="false">
      <c r="A3538" s="2" t="s">
        <v>3195</v>
      </c>
      <c r="B3538" s="2" t="s">
        <v>46</v>
      </c>
      <c r="C3538" s="2" t="s">
        <v>4275</v>
      </c>
      <c r="D3538" s="11" t="n">
        <v>41700</v>
      </c>
      <c r="E3538" s="2"/>
      <c r="F3538" s="31" t="n">
        <v>94.2</v>
      </c>
      <c r="G3538" s="31" t="n">
        <v>17.9</v>
      </c>
      <c r="H3538" s="2" t="s">
        <v>832</v>
      </c>
    </row>
    <row r="3539" customFormat="false" ht="15" hidden="false" customHeight="false" outlineLevel="0" collapsed="false">
      <c r="A3539" s="2" t="s">
        <v>288</v>
      </c>
      <c r="B3539" s="2" t="s">
        <v>4291</v>
      </c>
      <c r="C3539" s="2" t="s">
        <v>4274</v>
      </c>
      <c r="D3539" s="2"/>
      <c r="E3539" s="31" t="n">
        <v>51.7</v>
      </c>
      <c r="F3539" s="31" t="n">
        <v>44.8</v>
      </c>
      <c r="G3539" s="31" t="n">
        <v>30.7</v>
      </c>
      <c r="H3539" s="2" t="s">
        <v>822</v>
      </c>
    </row>
    <row r="3540" customFormat="false" ht="15" hidden="false" customHeight="false" outlineLevel="0" collapsed="false">
      <c r="A3540" s="2" t="s">
        <v>288</v>
      </c>
      <c r="B3540" s="2" t="s">
        <v>4291</v>
      </c>
      <c r="C3540" s="2" t="s">
        <v>4275</v>
      </c>
      <c r="D3540" s="2"/>
      <c r="E3540" s="31" t="n">
        <v>64.3</v>
      </c>
      <c r="F3540" s="31" t="n">
        <v>61.9</v>
      </c>
      <c r="G3540" s="31" t="n">
        <v>41.4</v>
      </c>
      <c r="H3540" s="2" t="s">
        <v>822</v>
      </c>
    </row>
    <row r="3541" customFormat="false" ht="15" hidden="false" customHeight="false" outlineLevel="0" collapsed="false">
      <c r="A3541" s="2" t="s">
        <v>288</v>
      </c>
      <c r="B3541" s="2" t="s">
        <v>45</v>
      </c>
      <c r="C3541" s="2" t="s">
        <v>4274</v>
      </c>
      <c r="D3541" s="11" t="n">
        <v>12380</v>
      </c>
      <c r="E3541" s="31" t="n">
        <v>95.2</v>
      </c>
      <c r="F3541" s="31" t="n">
        <v>25.5</v>
      </c>
      <c r="G3541" s="31" t="n">
        <v>25.4</v>
      </c>
      <c r="H3541" s="2" t="s">
        <v>822</v>
      </c>
    </row>
    <row r="3542" customFormat="false" ht="15" hidden="false" customHeight="false" outlineLevel="0" collapsed="false">
      <c r="A3542" s="2" t="s">
        <v>288</v>
      </c>
      <c r="B3542" s="2" t="s">
        <v>45</v>
      </c>
      <c r="C3542" s="2" t="s">
        <v>4275</v>
      </c>
      <c r="D3542" s="11" t="n">
        <v>12720</v>
      </c>
      <c r="E3542" s="31" t="n">
        <v>91.3</v>
      </c>
      <c r="F3542" s="31" t="n">
        <v>57.4</v>
      </c>
      <c r="G3542" s="31" t="n">
        <v>74.8</v>
      </c>
      <c r="H3542" s="2" t="s">
        <v>822</v>
      </c>
    </row>
    <row r="3543" customFormat="false" ht="15" hidden="false" customHeight="false" outlineLevel="0" collapsed="false">
      <c r="A3543" s="2" t="s">
        <v>288</v>
      </c>
      <c r="B3543" s="2" t="s">
        <v>46</v>
      </c>
      <c r="C3543" s="2" t="s">
        <v>4274</v>
      </c>
      <c r="D3543" s="11" t="n">
        <v>4624</v>
      </c>
      <c r="E3543" s="31" t="n">
        <v>45.2</v>
      </c>
      <c r="F3543" s="31" t="n">
        <v>40.4</v>
      </c>
      <c r="G3543" s="31" t="n">
        <v>38.1</v>
      </c>
      <c r="H3543" s="2" t="s">
        <v>822</v>
      </c>
    </row>
    <row r="3544" customFormat="false" ht="15" hidden="false" customHeight="false" outlineLevel="0" collapsed="false">
      <c r="A3544" s="2" t="s">
        <v>288</v>
      </c>
      <c r="B3544" s="2" t="s">
        <v>46</v>
      </c>
      <c r="C3544" s="2" t="s">
        <v>4275</v>
      </c>
      <c r="D3544" s="11" t="n">
        <v>4770</v>
      </c>
      <c r="E3544" s="31" t="n">
        <v>65</v>
      </c>
      <c r="F3544" s="31" t="n">
        <v>71.7</v>
      </c>
      <c r="G3544" s="31" t="n">
        <v>0.2</v>
      </c>
      <c r="H3544" s="2" t="s">
        <v>822</v>
      </c>
    </row>
    <row r="3545" customFormat="false" ht="15" hidden="false" customHeight="false" outlineLevel="0" collapsed="false">
      <c r="A3545" s="2" t="s">
        <v>288</v>
      </c>
      <c r="B3545" s="2" t="s">
        <v>47</v>
      </c>
      <c r="C3545" s="2" t="s">
        <v>4274</v>
      </c>
      <c r="D3545" s="11" t="n">
        <v>372726</v>
      </c>
      <c r="E3545" s="31" t="n">
        <v>14.7</v>
      </c>
      <c r="F3545" s="31" t="n">
        <v>68.5</v>
      </c>
      <c r="G3545" s="31" t="n">
        <v>28.7</v>
      </c>
      <c r="H3545" s="2" t="s">
        <v>822</v>
      </c>
    </row>
    <row r="3546" customFormat="false" ht="15" hidden="false" customHeight="false" outlineLevel="0" collapsed="false">
      <c r="A3546" s="2" t="s">
        <v>288</v>
      </c>
      <c r="B3546" s="2" t="s">
        <v>47</v>
      </c>
      <c r="C3546" s="2" t="s">
        <v>4275</v>
      </c>
      <c r="D3546" s="11" t="n">
        <v>386168</v>
      </c>
      <c r="E3546" s="31" t="n">
        <v>36.7</v>
      </c>
      <c r="F3546" s="31" t="n">
        <v>56.5</v>
      </c>
      <c r="G3546" s="31" t="n">
        <v>49.3</v>
      </c>
      <c r="H3546" s="2" t="s">
        <v>822</v>
      </c>
    </row>
    <row r="3547" customFormat="false" ht="15" hidden="false" customHeight="false" outlineLevel="0" collapsed="false">
      <c r="A3547" s="2" t="s">
        <v>1367</v>
      </c>
      <c r="B3547" s="2" t="s">
        <v>4291</v>
      </c>
      <c r="C3547" s="2" t="s">
        <v>4274</v>
      </c>
      <c r="D3547" s="2"/>
      <c r="E3547" s="31" t="n">
        <v>26.6</v>
      </c>
      <c r="F3547" s="31" t="n">
        <v>54.8</v>
      </c>
      <c r="G3547" s="31" t="n">
        <v>26.8</v>
      </c>
      <c r="H3547" s="2" t="s">
        <v>832</v>
      </c>
    </row>
    <row r="3548" customFormat="false" ht="15" hidden="false" customHeight="false" outlineLevel="0" collapsed="false">
      <c r="A3548" s="2" t="s">
        <v>1367</v>
      </c>
      <c r="B3548" s="2" t="s">
        <v>4291</v>
      </c>
      <c r="C3548" s="2" t="s">
        <v>4275</v>
      </c>
      <c r="D3548" s="2"/>
      <c r="E3548" s="31" t="n">
        <v>26</v>
      </c>
      <c r="F3548" s="31" t="n">
        <v>41.4</v>
      </c>
      <c r="G3548" s="31" t="n">
        <v>67.2</v>
      </c>
      <c r="H3548" s="2" t="s">
        <v>832</v>
      </c>
    </row>
    <row r="3549" customFormat="false" ht="15" hidden="false" customHeight="false" outlineLevel="0" collapsed="false">
      <c r="A3549" s="2" t="s">
        <v>1367</v>
      </c>
      <c r="B3549" s="2" t="s">
        <v>45</v>
      </c>
      <c r="C3549" s="2" t="s">
        <v>4274</v>
      </c>
      <c r="D3549" s="11" t="n">
        <v>29960</v>
      </c>
      <c r="E3549" s="31" t="n">
        <v>21.4</v>
      </c>
      <c r="F3549" s="31" t="n">
        <v>57.7</v>
      </c>
      <c r="G3549" s="2"/>
      <c r="H3549" s="2" t="s">
        <v>832</v>
      </c>
    </row>
    <row r="3550" customFormat="false" ht="15" hidden="false" customHeight="false" outlineLevel="0" collapsed="false">
      <c r="A3550" s="2" t="s">
        <v>1367</v>
      </c>
      <c r="B3550" s="2" t="s">
        <v>45</v>
      </c>
      <c r="C3550" s="2" t="s">
        <v>4275</v>
      </c>
      <c r="D3550" s="11" t="n">
        <v>32180</v>
      </c>
      <c r="E3550" s="31" t="n">
        <v>33.1</v>
      </c>
      <c r="F3550" s="31" t="n">
        <v>60.5</v>
      </c>
      <c r="G3550" s="31" t="n">
        <v>78.6</v>
      </c>
      <c r="H3550" s="2" t="s">
        <v>822</v>
      </c>
    </row>
    <row r="3551" customFormat="false" ht="15" hidden="false" customHeight="false" outlineLevel="0" collapsed="false">
      <c r="A3551" s="2" t="s">
        <v>1367</v>
      </c>
      <c r="B3551" s="2" t="s">
        <v>46</v>
      </c>
      <c r="C3551" s="2" t="s">
        <v>4274</v>
      </c>
      <c r="D3551" s="11" t="n">
        <v>15140</v>
      </c>
      <c r="E3551" s="31" t="n">
        <v>31.7</v>
      </c>
      <c r="F3551" s="31" t="n">
        <v>97.4</v>
      </c>
      <c r="G3551" s="31" t="n">
        <v>11.6</v>
      </c>
      <c r="H3551" s="2" t="s">
        <v>822</v>
      </c>
    </row>
    <row r="3552" customFormat="false" ht="15" hidden="false" customHeight="false" outlineLevel="0" collapsed="false">
      <c r="A3552" s="2" t="s">
        <v>1367</v>
      </c>
      <c r="B3552" s="2" t="s">
        <v>46</v>
      </c>
      <c r="C3552" s="2" t="s">
        <v>4275</v>
      </c>
      <c r="D3552" s="2"/>
      <c r="E3552" s="2"/>
      <c r="F3552" s="2"/>
      <c r="G3552" s="31" t="n">
        <v>36.4</v>
      </c>
      <c r="H3552" s="2" t="s">
        <v>832</v>
      </c>
    </row>
    <row r="3553" customFormat="false" ht="15" hidden="false" customHeight="false" outlineLevel="0" collapsed="false">
      <c r="A3553" s="2" t="s">
        <v>1367</v>
      </c>
      <c r="B3553" s="2" t="s">
        <v>47</v>
      </c>
      <c r="C3553" s="2" t="s">
        <v>4274</v>
      </c>
      <c r="D3553" s="11" t="n">
        <v>421308</v>
      </c>
      <c r="E3553" s="2"/>
      <c r="F3553" s="31" t="n">
        <v>9.3</v>
      </c>
      <c r="G3553" s="31" t="n">
        <v>42</v>
      </c>
      <c r="H3553" s="2" t="s">
        <v>832</v>
      </c>
    </row>
    <row r="3554" customFormat="false" ht="15" hidden="false" customHeight="false" outlineLevel="0" collapsed="false">
      <c r="A3554" s="2" t="s">
        <v>1367</v>
      </c>
      <c r="B3554" s="2" t="s">
        <v>47</v>
      </c>
      <c r="C3554" s="2" t="s">
        <v>4275</v>
      </c>
      <c r="D3554" s="11" t="n">
        <v>416856</v>
      </c>
      <c r="E3554" s="31" t="n">
        <v>18.9</v>
      </c>
      <c r="F3554" s="31" t="n">
        <v>22.4</v>
      </c>
      <c r="G3554" s="31" t="n">
        <v>86.7</v>
      </c>
      <c r="H3554" s="2" t="s">
        <v>822</v>
      </c>
    </row>
    <row r="3555" customFormat="false" ht="15" hidden="false" customHeight="false" outlineLevel="0" collapsed="false">
      <c r="A3555" s="2" t="s">
        <v>410</v>
      </c>
      <c r="B3555" s="2" t="s">
        <v>4291</v>
      </c>
      <c r="C3555" s="2" t="s">
        <v>4274</v>
      </c>
      <c r="D3555" s="2"/>
      <c r="E3555" s="31" t="n">
        <v>24.9</v>
      </c>
      <c r="F3555" s="2"/>
      <c r="G3555" s="31" t="n">
        <v>66.3</v>
      </c>
      <c r="H3555" s="2" t="s">
        <v>832</v>
      </c>
    </row>
    <row r="3556" customFormat="false" ht="15" hidden="false" customHeight="false" outlineLevel="0" collapsed="false">
      <c r="A3556" s="2" t="s">
        <v>410</v>
      </c>
      <c r="B3556" s="2" t="s">
        <v>4291</v>
      </c>
      <c r="C3556" s="2" t="s">
        <v>4275</v>
      </c>
      <c r="D3556" s="2"/>
      <c r="E3556" s="31" t="n">
        <v>54.5</v>
      </c>
      <c r="F3556" s="31" t="n">
        <v>67.3</v>
      </c>
      <c r="G3556" s="31" t="n">
        <v>83.5</v>
      </c>
      <c r="H3556" s="2" t="s">
        <v>822</v>
      </c>
    </row>
    <row r="3557" customFormat="false" ht="15" hidden="false" customHeight="false" outlineLevel="0" collapsed="false">
      <c r="A3557" s="2" t="s">
        <v>410</v>
      </c>
      <c r="B3557" s="2" t="s">
        <v>46</v>
      </c>
      <c r="C3557" s="2" t="s">
        <v>4274</v>
      </c>
      <c r="D3557" s="2"/>
      <c r="E3557" s="2"/>
      <c r="F3557" s="2"/>
      <c r="G3557" s="2"/>
      <c r="H3557" s="2" t="s">
        <v>832</v>
      </c>
    </row>
    <row r="3558" customFormat="false" ht="15" hidden="false" customHeight="false" outlineLevel="0" collapsed="false">
      <c r="A3558" s="2" t="s">
        <v>410</v>
      </c>
      <c r="B3558" s="2" t="s">
        <v>46</v>
      </c>
      <c r="C3558" s="2" t="s">
        <v>4275</v>
      </c>
      <c r="D3558" s="11" t="n">
        <v>337180</v>
      </c>
      <c r="E3558" s="31" t="n">
        <v>97.4</v>
      </c>
      <c r="F3558" s="31" t="n">
        <v>93.6</v>
      </c>
      <c r="G3558" s="31" t="n">
        <v>70.9</v>
      </c>
      <c r="H3558" s="2" t="s">
        <v>822</v>
      </c>
    </row>
    <row r="3559" customFormat="false" ht="15" hidden="false" customHeight="false" outlineLevel="0" collapsed="false">
      <c r="A3559" s="2" t="s">
        <v>410</v>
      </c>
      <c r="B3559" s="2" t="s">
        <v>47</v>
      </c>
      <c r="C3559" s="2" t="s">
        <v>4274</v>
      </c>
      <c r="D3559" s="11" t="n">
        <v>127305</v>
      </c>
      <c r="E3559" s="31" t="n">
        <v>24.9</v>
      </c>
      <c r="F3559" s="2"/>
      <c r="G3559" s="31" t="n">
        <v>66.3</v>
      </c>
      <c r="H3559" s="2" t="s">
        <v>832</v>
      </c>
    </row>
    <row r="3560" customFormat="false" ht="15" hidden="false" customHeight="false" outlineLevel="0" collapsed="false">
      <c r="A3560" s="2" t="s">
        <v>410</v>
      </c>
      <c r="B3560" s="2" t="s">
        <v>47</v>
      </c>
      <c r="C3560" s="2" t="s">
        <v>4275</v>
      </c>
      <c r="D3560" s="11" t="n">
        <v>129680</v>
      </c>
      <c r="E3560" s="31" t="n">
        <v>11.6</v>
      </c>
      <c r="F3560" s="31" t="n">
        <v>41</v>
      </c>
      <c r="G3560" s="31" t="n">
        <v>96.1</v>
      </c>
      <c r="H3560" s="2" t="s">
        <v>822</v>
      </c>
    </row>
    <row r="3561" customFormat="false" ht="15" hidden="false" customHeight="false" outlineLevel="0" collapsed="false">
      <c r="A3561" s="2" t="s">
        <v>3198</v>
      </c>
      <c r="B3561" s="2" t="s">
        <v>4291</v>
      </c>
      <c r="C3561" s="2" t="s">
        <v>4274</v>
      </c>
      <c r="D3561" s="2"/>
      <c r="E3561" s="31" t="n">
        <v>34</v>
      </c>
      <c r="F3561" s="31" t="n">
        <v>25.2</v>
      </c>
      <c r="G3561" s="31" t="n">
        <v>55.8</v>
      </c>
      <c r="H3561" s="2" t="s">
        <v>822</v>
      </c>
    </row>
    <row r="3562" customFormat="false" ht="15" hidden="false" customHeight="false" outlineLevel="0" collapsed="false">
      <c r="A3562" s="2" t="s">
        <v>3198</v>
      </c>
      <c r="B3562" s="2" t="s">
        <v>4291</v>
      </c>
      <c r="C3562" s="2" t="s">
        <v>4275</v>
      </c>
      <c r="D3562" s="2"/>
      <c r="E3562" s="31" t="n">
        <v>5.6</v>
      </c>
      <c r="F3562" s="31" t="n">
        <v>10</v>
      </c>
      <c r="G3562" s="2"/>
      <c r="H3562" s="2" t="s">
        <v>832</v>
      </c>
    </row>
    <row r="3563" customFormat="false" ht="15" hidden="false" customHeight="false" outlineLevel="0" collapsed="false">
      <c r="A3563" s="2" t="s">
        <v>3198</v>
      </c>
      <c r="B3563" s="2" t="s">
        <v>45</v>
      </c>
      <c r="C3563" s="2" t="s">
        <v>4274</v>
      </c>
      <c r="D3563" s="11" t="n">
        <v>751000</v>
      </c>
      <c r="E3563" s="31" t="n">
        <v>50.1</v>
      </c>
      <c r="F3563" s="31" t="n">
        <v>40.4</v>
      </c>
      <c r="G3563" s="31" t="n">
        <v>38</v>
      </c>
      <c r="H3563" s="2" t="s">
        <v>822</v>
      </c>
    </row>
    <row r="3564" customFormat="false" ht="15" hidden="false" customHeight="false" outlineLevel="0" collapsed="false">
      <c r="A3564" s="2" t="s">
        <v>3198</v>
      </c>
      <c r="B3564" s="2" t="s">
        <v>45</v>
      </c>
      <c r="C3564" s="2" t="s">
        <v>4275</v>
      </c>
      <c r="D3564" s="2"/>
      <c r="E3564" s="2"/>
      <c r="F3564" s="2"/>
      <c r="G3564" s="2"/>
      <c r="H3564" s="2" t="s">
        <v>832</v>
      </c>
    </row>
    <row r="3565" customFormat="false" ht="15" hidden="false" customHeight="false" outlineLevel="0" collapsed="false">
      <c r="A3565" s="2" t="s">
        <v>3198</v>
      </c>
      <c r="B3565" s="2" t="s">
        <v>47</v>
      </c>
      <c r="C3565" s="2" t="s">
        <v>4274</v>
      </c>
      <c r="D3565" s="11" t="n">
        <v>1996</v>
      </c>
      <c r="E3565" s="31" t="n">
        <v>18</v>
      </c>
      <c r="F3565" s="31" t="n">
        <v>10</v>
      </c>
      <c r="G3565" s="31" t="n">
        <v>73.7</v>
      </c>
      <c r="H3565" s="2" t="s">
        <v>822</v>
      </c>
    </row>
    <row r="3566" customFormat="false" ht="15" hidden="false" customHeight="false" outlineLevel="0" collapsed="false">
      <c r="A3566" s="2" t="s">
        <v>3198</v>
      </c>
      <c r="B3566" s="2" t="s">
        <v>47</v>
      </c>
      <c r="C3566" s="2" t="s">
        <v>4275</v>
      </c>
      <c r="D3566" s="11" t="n">
        <v>2034</v>
      </c>
      <c r="E3566" s="31" t="n">
        <v>5.6</v>
      </c>
      <c r="F3566" s="31" t="n">
        <v>10</v>
      </c>
      <c r="G3566" s="2"/>
      <c r="H3566" s="2" t="s">
        <v>832</v>
      </c>
    </row>
    <row r="3567" customFormat="false" ht="15" hidden="false" customHeight="false" outlineLevel="0" collapsed="false">
      <c r="A3567" s="2" t="s">
        <v>276</v>
      </c>
      <c r="B3567" s="2" t="s">
        <v>4291</v>
      </c>
      <c r="C3567" s="2" t="s">
        <v>4274</v>
      </c>
      <c r="D3567" s="2"/>
      <c r="E3567" s="31" t="n">
        <v>62.8</v>
      </c>
      <c r="F3567" s="31" t="n">
        <v>83.6</v>
      </c>
      <c r="G3567" s="31" t="n">
        <v>29.6</v>
      </c>
      <c r="H3567" s="2" t="s">
        <v>832</v>
      </c>
    </row>
    <row r="3568" customFormat="false" ht="15" hidden="false" customHeight="false" outlineLevel="0" collapsed="false">
      <c r="A3568" s="2" t="s">
        <v>276</v>
      </c>
      <c r="B3568" s="2" t="s">
        <v>4291</v>
      </c>
      <c r="C3568" s="2" t="s">
        <v>4275</v>
      </c>
      <c r="D3568" s="2"/>
      <c r="E3568" s="31" t="n">
        <v>65.1</v>
      </c>
      <c r="F3568" s="31" t="n">
        <v>60.8</v>
      </c>
      <c r="G3568" s="31" t="n">
        <v>37.8</v>
      </c>
      <c r="H3568" s="2" t="s">
        <v>822</v>
      </c>
    </row>
    <row r="3569" customFormat="false" ht="15" hidden="false" customHeight="false" outlineLevel="0" collapsed="false">
      <c r="A3569" s="2" t="s">
        <v>276</v>
      </c>
      <c r="B3569" s="2" t="s">
        <v>45</v>
      </c>
      <c r="C3569" s="2" t="s">
        <v>4274</v>
      </c>
      <c r="D3569" s="11" t="n">
        <v>14014</v>
      </c>
      <c r="E3569" s="31" t="n">
        <v>71.5</v>
      </c>
      <c r="F3569" s="31" t="n">
        <v>71.5</v>
      </c>
      <c r="G3569" s="31" t="n">
        <v>22.2</v>
      </c>
      <c r="H3569" s="2" t="s">
        <v>822</v>
      </c>
    </row>
    <row r="3570" customFormat="false" ht="15" hidden="false" customHeight="false" outlineLevel="0" collapsed="false">
      <c r="A3570" s="2" t="s">
        <v>276</v>
      </c>
      <c r="B3570" s="2" t="s">
        <v>45</v>
      </c>
      <c r="C3570" s="2" t="s">
        <v>4275</v>
      </c>
      <c r="D3570" s="11" t="n">
        <v>14327</v>
      </c>
      <c r="E3570" s="31" t="n">
        <v>73.9</v>
      </c>
      <c r="F3570" s="31" t="n">
        <v>56</v>
      </c>
      <c r="G3570" s="31" t="n">
        <v>20.7</v>
      </c>
      <c r="H3570" s="2" t="s">
        <v>822</v>
      </c>
    </row>
    <row r="3571" customFormat="false" ht="15" hidden="false" customHeight="false" outlineLevel="0" collapsed="false">
      <c r="A3571" s="2" t="s">
        <v>276</v>
      </c>
      <c r="B3571" s="2" t="s">
        <v>46</v>
      </c>
      <c r="C3571" s="2" t="s">
        <v>4274</v>
      </c>
      <c r="D3571" s="2"/>
      <c r="E3571" s="2"/>
      <c r="F3571" s="2"/>
      <c r="G3571" s="2"/>
      <c r="H3571" s="2" t="s">
        <v>832</v>
      </c>
    </row>
    <row r="3572" customFormat="false" ht="15" hidden="false" customHeight="false" outlineLevel="0" collapsed="false">
      <c r="A3572" s="2" t="s">
        <v>276</v>
      </c>
      <c r="B3572" s="2" t="s">
        <v>46</v>
      </c>
      <c r="C3572" s="2" t="s">
        <v>4275</v>
      </c>
      <c r="D3572" s="11" t="n">
        <v>192590</v>
      </c>
      <c r="E3572" s="31" t="n">
        <v>71.1</v>
      </c>
      <c r="F3572" s="31" t="n">
        <v>38.9</v>
      </c>
      <c r="G3572" s="31" t="n">
        <v>75.9</v>
      </c>
      <c r="H3572" s="2" t="s">
        <v>822</v>
      </c>
    </row>
    <row r="3573" customFormat="false" ht="15" hidden="false" customHeight="false" outlineLevel="0" collapsed="false">
      <c r="A3573" s="2" t="s">
        <v>276</v>
      </c>
      <c r="B3573" s="2" t="s">
        <v>47</v>
      </c>
      <c r="C3573" s="2" t="s">
        <v>4274</v>
      </c>
      <c r="D3573" s="11" t="n">
        <v>7343</v>
      </c>
      <c r="E3573" s="31" t="n">
        <v>54.2</v>
      </c>
      <c r="F3573" s="31" t="n">
        <v>95.6</v>
      </c>
      <c r="G3573" s="31" t="n">
        <v>36.9</v>
      </c>
      <c r="H3573" s="2" t="s">
        <v>822</v>
      </c>
    </row>
    <row r="3574" customFormat="false" ht="15" hidden="false" customHeight="false" outlineLevel="0" collapsed="false">
      <c r="A3574" s="2" t="s">
        <v>276</v>
      </c>
      <c r="B3574" s="2" t="s">
        <v>47</v>
      </c>
      <c r="C3574" s="2" t="s">
        <v>4275</v>
      </c>
      <c r="D3574" s="11" t="n">
        <v>7674</v>
      </c>
      <c r="E3574" s="31" t="n">
        <v>50.4</v>
      </c>
      <c r="F3574" s="31" t="n">
        <v>87.5</v>
      </c>
      <c r="G3574" s="31" t="n">
        <v>16.7</v>
      </c>
      <c r="H3574" s="2" t="s">
        <v>822</v>
      </c>
    </row>
    <row r="3575" customFormat="false" ht="15" hidden="false" customHeight="false" outlineLevel="0" collapsed="false">
      <c r="A3575" s="2" t="s">
        <v>2323</v>
      </c>
      <c r="B3575" s="2" t="s">
        <v>4291</v>
      </c>
      <c r="C3575" s="2" t="s">
        <v>4274</v>
      </c>
      <c r="D3575" s="2"/>
      <c r="E3575" s="31" t="n">
        <v>45.7</v>
      </c>
      <c r="F3575" s="31" t="n">
        <v>44.9</v>
      </c>
      <c r="G3575" s="31" t="n">
        <v>74.2</v>
      </c>
      <c r="H3575" s="2" t="s">
        <v>832</v>
      </c>
    </row>
    <row r="3576" customFormat="false" ht="15" hidden="false" customHeight="false" outlineLevel="0" collapsed="false">
      <c r="A3576" s="2" t="s">
        <v>2323</v>
      </c>
      <c r="B3576" s="2" t="s">
        <v>4291</v>
      </c>
      <c r="C3576" s="2" t="s">
        <v>4275</v>
      </c>
      <c r="D3576" s="2"/>
      <c r="E3576" s="31" t="n">
        <v>64.1</v>
      </c>
      <c r="F3576" s="31" t="n">
        <v>36.7</v>
      </c>
      <c r="G3576" s="31" t="n">
        <v>26.2</v>
      </c>
      <c r="H3576" s="2" t="s">
        <v>832</v>
      </c>
    </row>
    <row r="3577" customFormat="false" ht="15" hidden="false" customHeight="false" outlineLevel="0" collapsed="false">
      <c r="A3577" s="2" t="s">
        <v>2323</v>
      </c>
      <c r="B3577" s="2" t="s">
        <v>45</v>
      </c>
      <c r="C3577" s="2" t="s">
        <v>4274</v>
      </c>
      <c r="D3577" s="11" t="n">
        <v>35913</v>
      </c>
      <c r="E3577" s="31" t="n">
        <v>24.6</v>
      </c>
      <c r="F3577" s="31" t="n">
        <v>52.6</v>
      </c>
      <c r="G3577" s="2"/>
      <c r="H3577" s="2" t="s">
        <v>832</v>
      </c>
    </row>
    <row r="3578" customFormat="false" ht="15" hidden="false" customHeight="false" outlineLevel="0" collapsed="false">
      <c r="A3578" s="2" t="s">
        <v>2323</v>
      </c>
      <c r="B3578" s="2" t="s">
        <v>45</v>
      </c>
      <c r="C3578" s="2" t="s">
        <v>4275</v>
      </c>
      <c r="D3578" s="11" t="n">
        <v>36580</v>
      </c>
      <c r="E3578" s="31" t="n">
        <v>44.2</v>
      </c>
      <c r="F3578" s="31" t="n">
        <v>44.7</v>
      </c>
      <c r="G3578" s="2"/>
      <c r="H3578" s="2" t="s">
        <v>832</v>
      </c>
    </row>
    <row r="3579" customFormat="false" ht="15" hidden="false" customHeight="false" outlineLevel="0" collapsed="false">
      <c r="A3579" s="2" t="s">
        <v>2323</v>
      </c>
      <c r="B3579" s="2" t="s">
        <v>46</v>
      </c>
      <c r="C3579" s="2" t="s">
        <v>4274</v>
      </c>
      <c r="D3579" s="11" t="n">
        <v>950</v>
      </c>
      <c r="E3579" s="31" t="n">
        <v>20</v>
      </c>
      <c r="F3579" s="31" t="n">
        <v>66.7</v>
      </c>
      <c r="G3579" s="31" t="n">
        <v>97</v>
      </c>
      <c r="H3579" s="2" t="s">
        <v>822</v>
      </c>
    </row>
    <row r="3580" customFormat="false" ht="15" hidden="false" customHeight="false" outlineLevel="0" collapsed="false">
      <c r="A3580" s="2" t="s">
        <v>2323</v>
      </c>
      <c r="B3580" s="2" t="s">
        <v>46</v>
      </c>
      <c r="C3580" s="2" t="s">
        <v>4275</v>
      </c>
      <c r="D3580" s="2"/>
      <c r="E3580" s="2"/>
      <c r="F3580" s="2"/>
      <c r="G3580" s="2"/>
      <c r="H3580" s="2" t="s">
        <v>832</v>
      </c>
    </row>
    <row r="3581" customFormat="false" ht="15" hidden="false" customHeight="false" outlineLevel="0" collapsed="false">
      <c r="A3581" s="2" t="s">
        <v>2323</v>
      </c>
      <c r="B3581" s="2" t="s">
        <v>47</v>
      </c>
      <c r="C3581" s="2" t="s">
        <v>4274</v>
      </c>
      <c r="D3581" s="11" t="n">
        <v>1012231</v>
      </c>
      <c r="E3581" s="31" t="n">
        <v>92.4</v>
      </c>
      <c r="F3581" s="31" t="n">
        <v>15.4</v>
      </c>
      <c r="G3581" s="31" t="n">
        <v>51.5</v>
      </c>
      <c r="H3581" s="2" t="s">
        <v>822</v>
      </c>
    </row>
    <row r="3582" customFormat="false" ht="15" hidden="false" customHeight="false" outlineLevel="0" collapsed="false">
      <c r="A3582" s="2" t="s">
        <v>2323</v>
      </c>
      <c r="B3582" s="2" t="s">
        <v>47</v>
      </c>
      <c r="C3582" s="2" t="s">
        <v>4275</v>
      </c>
      <c r="D3582" s="11" t="n">
        <v>1016380</v>
      </c>
      <c r="E3582" s="31" t="n">
        <v>84</v>
      </c>
      <c r="F3582" s="31" t="n">
        <v>28.6</v>
      </c>
      <c r="G3582" s="31" t="n">
        <v>26.2</v>
      </c>
      <c r="H3582" s="2" t="s">
        <v>822</v>
      </c>
    </row>
    <row r="3583" customFormat="false" ht="15" hidden="false" customHeight="false" outlineLevel="0" collapsed="false">
      <c r="A3583" s="2" t="s">
        <v>1890</v>
      </c>
      <c r="B3583" s="2" t="s">
        <v>4291</v>
      </c>
      <c r="C3583" s="2" t="s">
        <v>4274</v>
      </c>
      <c r="D3583" s="2"/>
      <c r="E3583" s="31" t="n">
        <v>69.8</v>
      </c>
      <c r="F3583" s="31" t="n">
        <v>35.1</v>
      </c>
      <c r="G3583" s="31" t="n">
        <v>26.3</v>
      </c>
      <c r="H3583" s="2" t="s">
        <v>832</v>
      </c>
    </row>
    <row r="3584" customFormat="false" ht="15" hidden="false" customHeight="false" outlineLevel="0" collapsed="false">
      <c r="A3584" s="2" t="s">
        <v>1890</v>
      </c>
      <c r="B3584" s="2" t="s">
        <v>4291</v>
      </c>
      <c r="C3584" s="2" t="s">
        <v>4275</v>
      </c>
      <c r="D3584" s="2"/>
      <c r="E3584" s="31" t="n">
        <v>51.3</v>
      </c>
      <c r="F3584" s="31" t="n">
        <v>50.9</v>
      </c>
      <c r="G3584" s="31" t="n">
        <v>27.2</v>
      </c>
      <c r="H3584" s="2" t="s">
        <v>832</v>
      </c>
    </row>
    <row r="3585" customFormat="false" ht="15" hidden="false" customHeight="false" outlineLevel="0" collapsed="false">
      <c r="A3585" s="2" t="s">
        <v>1890</v>
      </c>
      <c r="B3585" s="2" t="s">
        <v>45</v>
      </c>
      <c r="C3585" s="2" t="s">
        <v>4274</v>
      </c>
      <c r="D3585" s="11" t="n">
        <v>61935</v>
      </c>
      <c r="E3585" s="31" t="n">
        <v>89.9</v>
      </c>
      <c r="F3585" s="2"/>
      <c r="G3585" s="2"/>
      <c r="H3585" s="2" t="s">
        <v>832</v>
      </c>
    </row>
    <row r="3586" customFormat="false" ht="15" hidden="false" customHeight="false" outlineLevel="0" collapsed="false">
      <c r="A3586" s="2" t="s">
        <v>1890</v>
      </c>
      <c r="B3586" s="2" t="s">
        <v>45</v>
      </c>
      <c r="C3586" s="2" t="s">
        <v>4275</v>
      </c>
      <c r="D3586" s="2"/>
      <c r="E3586" s="2"/>
      <c r="F3586" s="2"/>
      <c r="G3586" s="2"/>
      <c r="H3586" s="2" t="s">
        <v>832</v>
      </c>
    </row>
    <row r="3587" customFormat="false" ht="15" hidden="false" customHeight="false" outlineLevel="0" collapsed="false">
      <c r="A3587" s="2" t="s">
        <v>1890</v>
      </c>
      <c r="B3587" s="2" t="s">
        <v>46</v>
      </c>
      <c r="C3587" s="2" t="s">
        <v>4274</v>
      </c>
      <c r="D3587" s="11" t="n">
        <v>7251</v>
      </c>
      <c r="E3587" s="31" t="n">
        <v>49.7</v>
      </c>
      <c r="F3587" s="31" t="n">
        <v>35.1</v>
      </c>
      <c r="G3587" s="31" t="n">
        <v>26.3</v>
      </c>
      <c r="H3587" s="2" t="s">
        <v>822</v>
      </c>
    </row>
    <row r="3588" customFormat="false" ht="15" hidden="false" customHeight="false" outlineLevel="0" collapsed="false">
      <c r="A3588" s="2" t="s">
        <v>1890</v>
      </c>
      <c r="B3588" s="2" t="s">
        <v>46</v>
      </c>
      <c r="C3588" s="2" t="s">
        <v>4275</v>
      </c>
      <c r="D3588" s="11" t="n">
        <v>7660</v>
      </c>
      <c r="E3588" s="31" t="n">
        <v>51.3</v>
      </c>
      <c r="F3588" s="31" t="n">
        <v>50.9</v>
      </c>
      <c r="G3588" s="31" t="n">
        <v>27.2</v>
      </c>
      <c r="H3588" s="2" t="s">
        <v>822</v>
      </c>
    </row>
    <row r="3589" customFormat="false" ht="15" hidden="false" customHeight="false" outlineLevel="0" collapsed="false">
      <c r="A3589" s="2" t="s">
        <v>356</v>
      </c>
      <c r="B3589" s="2" t="s">
        <v>4291</v>
      </c>
      <c r="C3589" s="2" t="s">
        <v>4274</v>
      </c>
      <c r="D3589" s="2"/>
      <c r="E3589" s="31" t="n">
        <v>67.9</v>
      </c>
      <c r="F3589" s="31" t="n">
        <v>81.8</v>
      </c>
      <c r="G3589" s="31" t="n">
        <v>51.6</v>
      </c>
      <c r="H3589" s="2" t="s">
        <v>822</v>
      </c>
    </row>
    <row r="3590" customFormat="false" ht="15" hidden="false" customHeight="false" outlineLevel="0" collapsed="false">
      <c r="A3590" s="2" t="s">
        <v>356</v>
      </c>
      <c r="B3590" s="2" t="s">
        <v>4291</v>
      </c>
      <c r="C3590" s="2" t="s">
        <v>4275</v>
      </c>
      <c r="D3590" s="2"/>
      <c r="E3590" s="31" t="n">
        <v>59</v>
      </c>
      <c r="F3590" s="31" t="n">
        <v>76.5</v>
      </c>
      <c r="G3590" s="31" t="n">
        <v>56.3</v>
      </c>
      <c r="H3590" s="2" t="s">
        <v>822</v>
      </c>
    </row>
    <row r="3591" customFormat="false" ht="15" hidden="false" customHeight="false" outlineLevel="0" collapsed="false">
      <c r="A3591" s="2" t="s">
        <v>356</v>
      </c>
      <c r="B3591" s="2" t="s">
        <v>45</v>
      </c>
      <c r="C3591" s="2" t="s">
        <v>4274</v>
      </c>
      <c r="D3591" s="11" t="n">
        <v>11970</v>
      </c>
      <c r="E3591" s="31" t="n">
        <v>87.7</v>
      </c>
      <c r="F3591" s="31" t="n">
        <v>90.1</v>
      </c>
      <c r="G3591" s="31" t="n">
        <v>2.4</v>
      </c>
      <c r="H3591" s="2" t="s">
        <v>822</v>
      </c>
    </row>
    <row r="3592" customFormat="false" ht="15" hidden="false" customHeight="false" outlineLevel="0" collapsed="false">
      <c r="A3592" s="2" t="s">
        <v>356</v>
      </c>
      <c r="B3592" s="2" t="s">
        <v>45</v>
      </c>
      <c r="C3592" s="2" t="s">
        <v>4275</v>
      </c>
      <c r="D3592" s="11" t="n">
        <v>12726</v>
      </c>
      <c r="E3592" s="31" t="n">
        <v>82.4</v>
      </c>
      <c r="F3592" s="31" t="n">
        <v>92.1</v>
      </c>
      <c r="G3592" s="31" t="n">
        <v>7.9</v>
      </c>
      <c r="H3592" s="2" t="s">
        <v>822</v>
      </c>
    </row>
    <row r="3593" customFormat="false" ht="15" hidden="false" customHeight="false" outlineLevel="0" collapsed="false">
      <c r="A3593" s="2" t="s">
        <v>356</v>
      </c>
      <c r="B3593" s="2" t="s">
        <v>46</v>
      </c>
      <c r="C3593" s="2" t="s">
        <v>4274</v>
      </c>
      <c r="D3593" s="11" t="n">
        <v>31940</v>
      </c>
      <c r="E3593" s="31" t="n">
        <v>40.3</v>
      </c>
      <c r="F3593" s="31" t="n">
        <v>91</v>
      </c>
      <c r="G3593" s="31" t="n">
        <v>80.6</v>
      </c>
      <c r="H3593" s="2" t="s">
        <v>822</v>
      </c>
    </row>
    <row r="3594" customFormat="false" ht="15" hidden="false" customHeight="false" outlineLevel="0" collapsed="false">
      <c r="A3594" s="2" t="s">
        <v>356</v>
      </c>
      <c r="B3594" s="2" t="s">
        <v>46</v>
      </c>
      <c r="C3594" s="2" t="s">
        <v>4275</v>
      </c>
      <c r="D3594" s="11" t="n">
        <v>34730</v>
      </c>
      <c r="E3594" s="31" t="n">
        <v>34.2</v>
      </c>
      <c r="F3594" s="31" t="n">
        <v>91.3</v>
      </c>
      <c r="G3594" s="31" t="n">
        <v>85.7</v>
      </c>
      <c r="H3594" s="2" t="s">
        <v>822</v>
      </c>
    </row>
    <row r="3595" customFormat="false" ht="15" hidden="false" customHeight="false" outlineLevel="0" collapsed="false">
      <c r="A3595" s="2" t="s">
        <v>356</v>
      </c>
      <c r="B3595" s="2" t="s">
        <v>47</v>
      </c>
      <c r="C3595" s="2" t="s">
        <v>4274</v>
      </c>
      <c r="D3595" s="11" t="n">
        <v>7527</v>
      </c>
      <c r="E3595" s="31" t="n">
        <v>75.6</v>
      </c>
      <c r="F3595" s="31" t="n">
        <v>64.4</v>
      </c>
      <c r="G3595" s="31" t="n">
        <v>71.8</v>
      </c>
      <c r="H3595" s="2" t="s">
        <v>822</v>
      </c>
    </row>
    <row r="3596" customFormat="false" ht="15" hidden="false" customHeight="false" outlineLevel="0" collapsed="false">
      <c r="A3596" s="2" t="s">
        <v>356</v>
      </c>
      <c r="B3596" s="2" t="s">
        <v>47</v>
      </c>
      <c r="C3596" s="2" t="s">
        <v>4275</v>
      </c>
      <c r="D3596" s="11" t="n">
        <v>7854</v>
      </c>
      <c r="E3596" s="31" t="n">
        <v>60.5</v>
      </c>
      <c r="F3596" s="31" t="n">
        <v>46.2</v>
      </c>
      <c r="G3596" s="31" t="n">
        <v>75.3</v>
      </c>
      <c r="H3596" s="2" t="s">
        <v>822</v>
      </c>
    </row>
    <row r="3597" customFormat="false" ht="15" hidden="false" customHeight="false" outlineLevel="0" collapsed="false">
      <c r="A3597" s="2" t="s">
        <v>3201</v>
      </c>
      <c r="B3597" s="2" t="s">
        <v>4291</v>
      </c>
      <c r="C3597" s="2" t="s">
        <v>4274</v>
      </c>
      <c r="D3597" s="2"/>
      <c r="E3597" s="2"/>
      <c r="F3597" s="2"/>
      <c r="G3597" s="2"/>
      <c r="H3597" s="2" t="s">
        <v>832</v>
      </c>
    </row>
    <row r="3598" customFormat="false" ht="15" hidden="false" customHeight="false" outlineLevel="0" collapsed="false">
      <c r="A3598" s="2" t="s">
        <v>3201</v>
      </c>
      <c r="B3598" s="2" t="s">
        <v>4291</v>
      </c>
      <c r="C3598" s="2" t="s">
        <v>4275</v>
      </c>
      <c r="D3598" s="2"/>
      <c r="E3598" s="31" t="n">
        <v>88.7</v>
      </c>
      <c r="F3598" s="31" t="n">
        <v>56.3</v>
      </c>
      <c r="G3598" s="31" t="n">
        <v>76.2</v>
      </c>
      <c r="H3598" s="2" t="s">
        <v>832</v>
      </c>
    </row>
    <row r="3599" customFormat="false" ht="15" hidden="false" customHeight="false" outlineLevel="0" collapsed="false">
      <c r="A3599" s="2" t="s">
        <v>3201</v>
      </c>
      <c r="B3599" s="2" t="s">
        <v>45</v>
      </c>
      <c r="C3599" s="2" t="s">
        <v>4274</v>
      </c>
      <c r="D3599" s="2"/>
      <c r="E3599" s="2"/>
      <c r="F3599" s="2"/>
      <c r="G3599" s="2"/>
      <c r="H3599" s="2" t="s">
        <v>832</v>
      </c>
    </row>
    <row r="3600" customFormat="false" ht="15" hidden="false" customHeight="false" outlineLevel="0" collapsed="false">
      <c r="A3600" s="2" t="s">
        <v>3201</v>
      </c>
      <c r="B3600" s="2" t="s">
        <v>45</v>
      </c>
      <c r="C3600" s="2" t="s">
        <v>4275</v>
      </c>
      <c r="D3600" s="11" t="n">
        <v>8857</v>
      </c>
      <c r="E3600" s="31" t="n">
        <v>88.7</v>
      </c>
      <c r="F3600" s="31" t="n">
        <v>56.3</v>
      </c>
      <c r="G3600" s="2"/>
      <c r="H3600" s="2" t="s">
        <v>832</v>
      </c>
    </row>
    <row r="3601" customFormat="false" ht="15" hidden="false" customHeight="false" outlineLevel="0" collapsed="false">
      <c r="A3601" s="2" t="s">
        <v>3201</v>
      </c>
      <c r="B3601" s="2" t="s">
        <v>46</v>
      </c>
      <c r="C3601" s="2" t="s">
        <v>4274</v>
      </c>
      <c r="D3601" s="2"/>
      <c r="E3601" s="2"/>
      <c r="F3601" s="2"/>
      <c r="G3601" s="2"/>
      <c r="H3601" s="2" t="s">
        <v>832</v>
      </c>
    </row>
    <row r="3602" customFormat="false" ht="15" hidden="false" customHeight="false" outlineLevel="0" collapsed="false">
      <c r="A3602" s="2" t="s">
        <v>3201</v>
      </c>
      <c r="B3602" s="2" t="s">
        <v>46</v>
      </c>
      <c r="C3602" s="2" t="s">
        <v>4275</v>
      </c>
      <c r="D3602" s="11" t="n">
        <v>4920</v>
      </c>
      <c r="E3602" s="2"/>
      <c r="F3602" s="2"/>
      <c r="G3602" s="31" t="n">
        <v>76.2</v>
      </c>
      <c r="H3602" s="2" t="s">
        <v>832</v>
      </c>
    </row>
    <row r="3603" customFormat="false" ht="15" hidden="false" customHeight="false" outlineLevel="0" collapsed="false">
      <c r="A3603" s="2" t="s">
        <v>512</v>
      </c>
      <c r="B3603" s="2" t="s">
        <v>4291</v>
      </c>
      <c r="C3603" s="2" t="s">
        <v>4274</v>
      </c>
      <c r="D3603" s="2"/>
      <c r="E3603" s="31" t="n">
        <v>35.2</v>
      </c>
      <c r="F3603" s="2"/>
      <c r="G3603" s="31" t="n">
        <v>52.4</v>
      </c>
      <c r="H3603" s="2" t="s">
        <v>832</v>
      </c>
    </row>
    <row r="3604" customFormat="false" ht="15" hidden="false" customHeight="false" outlineLevel="0" collapsed="false">
      <c r="A3604" s="2" t="s">
        <v>512</v>
      </c>
      <c r="B3604" s="2" t="s">
        <v>4291</v>
      </c>
      <c r="C3604" s="2" t="s">
        <v>4275</v>
      </c>
      <c r="D3604" s="2"/>
      <c r="E3604" s="31" t="n">
        <v>47.6</v>
      </c>
      <c r="F3604" s="31" t="n">
        <v>66.2</v>
      </c>
      <c r="G3604" s="31" t="n">
        <v>42</v>
      </c>
      <c r="H3604" s="2" t="s">
        <v>822</v>
      </c>
    </row>
    <row r="3605" customFormat="false" ht="15" hidden="false" customHeight="false" outlineLevel="0" collapsed="false">
      <c r="A3605" s="2" t="s">
        <v>512</v>
      </c>
      <c r="B3605" s="2" t="s">
        <v>45</v>
      </c>
      <c r="C3605" s="2" t="s">
        <v>4274</v>
      </c>
      <c r="D3605" s="11" t="n">
        <v>2040</v>
      </c>
      <c r="E3605" s="31" t="n">
        <v>35.2</v>
      </c>
      <c r="F3605" s="2"/>
      <c r="G3605" s="31" t="n">
        <v>52.4</v>
      </c>
      <c r="H3605" s="2" t="s">
        <v>832</v>
      </c>
    </row>
    <row r="3606" customFormat="false" ht="15" hidden="false" customHeight="false" outlineLevel="0" collapsed="false">
      <c r="A3606" s="2" t="s">
        <v>512</v>
      </c>
      <c r="B3606" s="2" t="s">
        <v>45</v>
      </c>
      <c r="C3606" s="2" t="s">
        <v>4275</v>
      </c>
      <c r="D3606" s="11" t="n">
        <v>1998</v>
      </c>
      <c r="E3606" s="31" t="n">
        <v>47.6</v>
      </c>
      <c r="F3606" s="31" t="n">
        <v>66.2</v>
      </c>
      <c r="G3606" s="31" t="n">
        <v>42</v>
      </c>
      <c r="H3606" s="2" t="s">
        <v>822</v>
      </c>
    </row>
    <row r="3607" customFormat="false" ht="15" hidden="false" customHeight="false" outlineLevel="0" collapsed="false">
      <c r="A3607" s="2" t="s">
        <v>2779</v>
      </c>
      <c r="B3607" s="2" t="s">
        <v>4291</v>
      </c>
      <c r="C3607" s="2" t="s">
        <v>4274</v>
      </c>
      <c r="D3607" s="2"/>
      <c r="E3607" s="31" t="n">
        <v>86.3</v>
      </c>
      <c r="F3607" s="31" t="n">
        <v>8.6</v>
      </c>
      <c r="G3607" s="31" t="n">
        <v>93.6</v>
      </c>
      <c r="H3607" s="2" t="s">
        <v>832</v>
      </c>
    </row>
    <row r="3608" customFormat="false" ht="15" hidden="false" customHeight="false" outlineLevel="0" collapsed="false">
      <c r="A3608" s="2" t="s">
        <v>2779</v>
      </c>
      <c r="B3608" s="2" t="s">
        <v>4291</v>
      </c>
      <c r="C3608" s="2" t="s">
        <v>4275</v>
      </c>
      <c r="D3608" s="2"/>
      <c r="E3608" s="31" t="n">
        <v>51.3</v>
      </c>
      <c r="F3608" s="31" t="n">
        <v>37</v>
      </c>
      <c r="G3608" s="31" t="n">
        <v>6.5</v>
      </c>
      <c r="H3608" s="2" t="s">
        <v>832</v>
      </c>
    </row>
    <row r="3609" customFormat="false" ht="15" hidden="false" customHeight="false" outlineLevel="0" collapsed="false">
      <c r="A3609" s="2" t="s">
        <v>2779</v>
      </c>
      <c r="B3609" s="2" t="s">
        <v>46</v>
      </c>
      <c r="C3609" s="2" t="s">
        <v>4274</v>
      </c>
      <c r="D3609" s="11" t="n">
        <v>76290</v>
      </c>
      <c r="E3609" s="31" t="n">
        <v>86.3</v>
      </c>
      <c r="F3609" s="31" t="n">
        <v>8.6</v>
      </c>
      <c r="G3609" s="31" t="n">
        <v>93.6</v>
      </c>
      <c r="H3609" s="2" t="s">
        <v>822</v>
      </c>
    </row>
    <row r="3610" customFormat="false" ht="15" hidden="false" customHeight="false" outlineLevel="0" collapsed="false">
      <c r="A3610" s="2" t="s">
        <v>2779</v>
      </c>
      <c r="B3610" s="2" t="s">
        <v>46</v>
      </c>
      <c r="C3610" s="2" t="s">
        <v>4275</v>
      </c>
      <c r="D3610" s="11" t="n">
        <v>73270</v>
      </c>
      <c r="E3610" s="31" t="n">
        <v>87.6</v>
      </c>
      <c r="F3610" s="31" t="n">
        <v>26.2</v>
      </c>
      <c r="G3610" s="2"/>
      <c r="H3610" s="2" t="s">
        <v>832</v>
      </c>
    </row>
    <row r="3611" customFormat="false" ht="15" hidden="false" customHeight="false" outlineLevel="0" collapsed="false">
      <c r="A3611" s="2" t="s">
        <v>2779</v>
      </c>
      <c r="B3611" s="2" t="s">
        <v>47</v>
      </c>
      <c r="C3611" s="2" t="s">
        <v>4274</v>
      </c>
      <c r="D3611" s="2"/>
      <c r="E3611" s="2"/>
      <c r="F3611" s="2"/>
      <c r="G3611" s="2"/>
      <c r="H3611" s="2" t="s">
        <v>832</v>
      </c>
    </row>
    <row r="3612" customFormat="false" ht="15" hidden="false" customHeight="false" outlineLevel="0" collapsed="false">
      <c r="A3612" s="2" t="s">
        <v>2779</v>
      </c>
      <c r="B3612" s="2" t="s">
        <v>47</v>
      </c>
      <c r="C3612" s="2" t="s">
        <v>4275</v>
      </c>
      <c r="D3612" s="11" t="n">
        <v>83787</v>
      </c>
      <c r="E3612" s="31" t="n">
        <v>15</v>
      </c>
      <c r="F3612" s="31" t="n">
        <v>47.7</v>
      </c>
      <c r="G3612" s="31" t="n">
        <v>6.5</v>
      </c>
      <c r="H3612" s="2" t="s">
        <v>822</v>
      </c>
    </row>
    <row r="3613" customFormat="false" ht="15" hidden="false" customHeight="false" outlineLevel="0" collapsed="false">
      <c r="A3613" s="2" t="s">
        <v>3205</v>
      </c>
      <c r="B3613" s="2" t="s">
        <v>4291</v>
      </c>
      <c r="C3613" s="2" t="s">
        <v>4274</v>
      </c>
      <c r="D3613" s="2"/>
      <c r="E3613" s="31" t="n">
        <v>15</v>
      </c>
      <c r="F3613" s="31" t="n">
        <v>51.4</v>
      </c>
      <c r="G3613" s="31" t="n">
        <v>61.3</v>
      </c>
      <c r="H3613" s="2" t="s">
        <v>832</v>
      </c>
    </row>
    <row r="3614" customFormat="false" ht="15" hidden="false" customHeight="false" outlineLevel="0" collapsed="false">
      <c r="A3614" s="2" t="s">
        <v>3205</v>
      </c>
      <c r="B3614" s="2" t="s">
        <v>4291</v>
      </c>
      <c r="C3614" s="2" t="s">
        <v>4275</v>
      </c>
      <c r="D3614" s="2"/>
      <c r="E3614" s="31" t="n">
        <v>49</v>
      </c>
      <c r="F3614" s="31" t="n">
        <v>67.6</v>
      </c>
      <c r="G3614" s="31" t="n">
        <v>91.4</v>
      </c>
      <c r="H3614" s="2" t="s">
        <v>832</v>
      </c>
    </row>
    <row r="3615" customFormat="false" ht="15" hidden="false" customHeight="false" outlineLevel="0" collapsed="false">
      <c r="A3615" s="2" t="s">
        <v>3205</v>
      </c>
      <c r="B3615" s="2" t="s">
        <v>45</v>
      </c>
      <c r="C3615" s="2" t="s">
        <v>4274</v>
      </c>
      <c r="D3615" s="2"/>
      <c r="E3615" s="2"/>
      <c r="F3615" s="2"/>
      <c r="G3615" s="2"/>
      <c r="H3615" s="2" t="s">
        <v>832</v>
      </c>
    </row>
    <row r="3616" customFormat="false" ht="15" hidden="false" customHeight="false" outlineLevel="0" collapsed="false">
      <c r="A3616" s="2" t="s">
        <v>3205</v>
      </c>
      <c r="B3616" s="2" t="s">
        <v>45</v>
      </c>
      <c r="C3616" s="2" t="s">
        <v>4275</v>
      </c>
      <c r="D3616" s="11" t="n">
        <v>78510</v>
      </c>
      <c r="E3616" s="31" t="n">
        <v>49</v>
      </c>
      <c r="F3616" s="31" t="n">
        <v>78</v>
      </c>
      <c r="G3616" s="2"/>
      <c r="H3616" s="2" t="s">
        <v>832</v>
      </c>
    </row>
    <row r="3617" customFormat="false" ht="15" hidden="false" customHeight="false" outlineLevel="0" collapsed="false">
      <c r="A3617" s="2" t="s">
        <v>3205</v>
      </c>
      <c r="B3617" s="2" t="s">
        <v>46</v>
      </c>
      <c r="C3617" s="2" t="s">
        <v>4274</v>
      </c>
      <c r="D3617" s="11" t="n">
        <v>468240</v>
      </c>
      <c r="E3617" s="31" t="n">
        <v>20.4</v>
      </c>
      <c r="F3617" s="31" t="n">
        <v>58.3</v>
      </c>
      <c r="G3617" s="31" t="n">
        <v>48.2</v>
      </c>
      <c r="H3617" s="2" t="s">
        <v>822</v>
      </c>
    </row>
    <row r="3618" customFormat="false" ht="15" hidden="false" customHeight="false" outlineLevel="0" collapsed="false">
      <c r="A3618" s="2" t="s">
        <v>3205</v>
      </c>
      <c r="B3618" s="2" t="s">
        <v>46</v>
      </c>
      <c r="C3618" s="2" t="s">
        <v>4275</v>
      </c>
      <c r="D3618" s="11" t="n">
        <v>489650</v>
      </c>
      <c r="E3618" s="2"/>
      <c r="F3618" s="31" t="n">
        <v>57.3</v>
      </c>
      <c r="G3618" s="31" t="n">
        <v>91.4</v>
      </c>
      <c r="H3618" s="2" t="s">
        <v>832</v>
      </c>
    </row>
    <row r="3619" customFormat="false" ht="15" hidden="false" customHeight="false" outlineLevel="0" collapsed="false">
      <c r="A3619" s="2" t="s">
        <v>3205</v>
      </c>
      <c r="B3619" s="2" t="s">
        <v>47</v>
      </c>
      <c r="C3619" s="2" t="s">
        <v>4274</v>
      </c>
      <c r="D3619" s="11" t="n">
        <v>9034</v>
      </c>
      <c r="E3619" s="31" t="n">
        <v>9.7</v>
      </c>
      <c r="F3619" s="31" t="n">
        <v>44.4</v>
      </c>
      <c r="G3619" s="31" t="n">
        <v>74.4</v>
      </c>
      <c r="H3619" s="2" t="s">
        <v>822</v>
      </c>
    </row>
    <row r="3620" customFormat="false" ht="15" hidden="false" customHeight="false" outlineLevel="0" collapsed="false">
      <c r="A3620" s="2" t="s">
        <v>3205</v>
      </c>
      <c r="B3620" s="2" t="s">
        <v>47</v>
      </c>
      <c r="C3620" s="2" t="s">
        <v>4275</v>
      </c>
      <c r="D3620" s="2"/>
      <c r="E3620" s="2"/>
      <c r="F3620" s="2"/>
      <c r="G3620" s="2"/>
      <c r="H3620" s="2" t="s">
        <v>832</v>
      </c>
    </row>
    <row r="3621" customFormat="false" ht="15" hidden="false" customHeight="false" outlineLevel="0" collapsed="false">
      <c r="A3621" s="2" t="s">
        <v>606</v>
      </c>
      <c r="B3621" s="2" t="s">
        <v>4291</v>
      </c>
      <c r="C3621" s="2" t="s">
        <v>4275</v>
      </c>
      <c r="D3621" s="2"/>
      <c r="E3621" s="31" t="n">
        <v>38.4</v>
      </c>
      <c r="F3621" s="31" t="n">
        <v>41.4</v>
      </c>
      <c r="G3621" s="31" t="n">
        <v>31.4</v>
      </c>
      <c r="H3621" s="2" t="s">
        <v>822</v>
      </c>
    </row>
    <row r="3622" customFormat="false" ht="15" hidden="false" customHeight="false" outlineLevel="0" collapsed="false">
      <c r="A3622" s="2" t="s">
        <v>606</v>
      </c>
      <c r="B3622" s="2" t="s">
        <v>45</v>
      </c>
      <c r="C3622" s="2" t="s">
        <v>4275</v>
      </c>
      <c r="D3622" s="11" t="n">
        <v>414550</v>
      </c>
      <c r="E3622" s="31" t="n">
        <v>46.1</v>
      </c>
      <c r="F3622" s="31" t="n">
        <v>40</v>
      </c>
      <c r="G3622" s="2"/>
      <c r="H3622" s="2" t="s">
        <v>822</v>
      </c>
    </row>
    <row r="3623" customFormat="false" ht="15" hidden="false" customHeight="false" outlineLevel="0" collapsed="false">
      <c r="A3623" s="2" t="s">
        <v>606</v>
      </c>
      <c r="B3623" s="2" t="s">
        <v>46</v>
      </c>
      <c r="C3623" s="2" t="s">
        <v>4275</v>
      </c>
      <c r="D3623" s="11" t="n">
        <v>155440</v>
      </c>
      <c r="E3623" s="31" t="n">
        <v>43.6</v>
      </c>
      <c r="F3623" s="31" t="n">
        <v>30.6</v>
      </c>
      <c r="G3623" s="31" t="n">
        <v>29.6</v>
      </c>
      <c r="H3623" s="2" t="s">
        <v>822</v>
      </c>
    </row>
    <row r="3624" customFormat="false" ht="15" hidden="false" customHeight="false" outlineLevel="0" collapsed="false">
      <c r="A3624" s="2" t="s">
        <v>606</v>
      </c>
      <c r="B3624" s="2" t="s">
        <v>47</v>
      </c>
      <c r="C3624" s="2" t="s">
        <v>4275</v>
      </c>
      <c r="D3624" s="11" t="n">
        <v>63750</v>
      </c>
      <c r="E3624" s="31" t="n">
        <v>25.4</v>
      </c>
      <c r="F3624" s="31" t="n">
        <v>53.6</v>
      </c>
      <c r="G3624" s="31" t="n">
        <v>33.3</v>
      </c>
      <c r="H3624" s="2" t="s">
        <v>822</v>
      </c>
    </row>
    <row r="3625" customFormat="false" ht="15" hidden="false" customHeight="false" outlineLevel="0" collapsed="false">
      <c r="A3625" s="2" t="s">
        <v>1352</v>
      </c>
      <c r="B3625" s="2" t="s">
        <v>4291</v>
      </c>
      <c r="C3625" s="2" t="s">
        <v>4274</v>
      </c>
      <c r="D3625" s="2"/>
      <c r="E3625" s="31" t="n">
        <v>40.4</v>
      </c>
      <c r="F3625" s="31" t="n">
        <v>72.6</v>
      </c>
      <c r="G3625" s="31" t="n">
        <v>58.2</v>
      </c>
      <c r="H3625" s="2" t="s">
        <v>832</v>
      </c>
    </row>
    <row r="3626" customFormat="false" ht="15" hidden="false" customHeight="false" outlineLevel="0" collapsed="false">
      <c r="A3626" s="2" t="s">
        <v>1352</v>
      </c>
      <c r="B3626" s="2" t="s">
        <v>4291</v>
      </c>
      <c r="C3626" s="2" t="s">
        <v>4275</v>
      </c>
      <c r="D3626" s="2"/>
      <c r="E3626" s="31" t="n">
        <v>34.6</v>
      </c>
      <c r="F3626" s="31" t="n">
        <v>86.9</v>
      </c>
      <c r="G3626" s="31" t="n">
        <v>58.5</v>
      </c>
      <c r="H3626" s="2" t="s">
        <v>832</v>
      </c>
    </row>
    <row r="3627" customFormat="false" ht="15" hidden="false" customHeight="false" outlineLevel="0" collapsed="false">
      <c r="A3627" s="2" t="s">
        <v>1352</v>
      </c>
      <c r="B3627" s="2" t="s">
        <v>45</v>
      </c>
      <c r="C3627" s="2" t="s">
        <v>4274</v>
      </c>
      <c r="D3627" s="2"/>
      <c r="E3627" s="2"/>
      <c r="F3627" s="2"/>
      <c r="G3627" s="2"/>
      <c r="H3627" s="2" t="s">
        <v>832</v>
      </c>
    </row>
    <row r="3628" customFormat="false" ht="15" hidden="false" customHeight="false" outlineLevel="0" collapsed="false">
      <c r="A3628" s="2" t="s">
        <v>1352</v>
      </c>
      <c r="B3628" s="2" t="s">
        <v>45</v>
      </c>
      <c r="C3628" s="2" t="s">
        <v>4275</v>
      </c>
      <c r="D3628" s="11" t="n">
        <v>10010</v>
      </c>
      <c r="E3628" s="31" t="n">
        <v>34.6</v>
      </c>
      <c r="F3628" s="31" t="n">
        <v>86.9</v>
      </c>
      <c r="G3628" s="31" t="n">
        <v>58.5</v>
      </c>
      <c r="H3628" s="2" t="s">
        <v>822</v>
      </c>
    </row>
    <row r="3629" customFormat="false" ht="15" hidden="false" customHeight="false" outlineLevel="0" collapsed="false">
      <c r="A3629" s="2" t="s">
        <v>1352</v>
      </c>
      <c r="B3629" s="2" t="s">
        <v>46</v>
      </c>
      <c r="C3629" s="2" t="s">
        <v>4274</v>
      </c>
      <c r="D3629" s="11" t="n">
        <v>61913</v>
      </c>
      <c r="E3629" s="31" t="n">
        <v>68.3</v>
      </c>
      <c r="F3629" s="31" t="n">
        <v>61.8</v>
      </c>
      <c r="G3629" s="31" t="n">
        <v>70.1</v>
      </c>
      <c r="H3629" s="2" t="s">
        <v>822</v>
      </c>
    </row>
    <row r="3630" customFormat="false" ht="15" hidden="false" customHeight="false" outlineLevel="0" collapsed="false">
      <c r="A3630" s="2" t="s">
        <v>1352</v>
      </c>
      <c r="B3630" s="2" t="s">
        <v>46</v>
      </c>
      <c r="C3630" s="2" t="s">
        <v>4275</v>
      </c>
      <c r="D3630" s="2"/>
      <c r="E3630" s="2"/>
      <c r="F3630" s="2"/>
      <c r="G3630" s="2"/>
      <c r="H3630" s="2" t="s">
        <v>832</v>
      </c>
    </row>
    <row r="3631" customFormat="false" ht="15" hidden="false" customHeight="false" outlineLevel="0" collapsed="false">
      <c r="A3631" s="2" t="s">
        <v>1352</v>
      </c>
      <c r="B3631" s="2" t="s">
        <v>47</v>
      </c>
      <c r="C3631" s="2" t="s">
        <v>4274</v>
      </c>
      <c r="D3631" s="11" t="n">
        <v>9201</v>
      </c>
      <c r="E3631" s="31" t="n">
        <v>12.5</v>
      </c>
      <c r="F3631" s="31" t="n">
        <v>83.3</v>
      </c>
      <c r="G3631" s="31" t="n">
        <v>46.2</v>
      </c>
      <c r="H3631" s="2" t="s">
        <v>832</v>
      </c>
    </row>
    <row r="3632" customFormat="false" ht="15" hidden="false" customHeight="false" outlineLevel="0" collapsed="false">
      <c r="A3632" s="2" t="s">
        <v>1352</v>
      </c>
      <c r="B3632" s="2" t="s">
        <v>47</v>
      </c>
      <c r="C3632" s="2" t="s">
        <v>4275</v>
      </c>
      <c r="D3632" s="2"/>
      <c r="E3632" s="2"/>
      <c r="F3632" s="2"/>
      <c r="G3632" s="2"/>
      <c r="H3632" s="2" t="s">
        <v>832</v>
      </c>
    </row>
    <row r="3633" customFormat="false" ht="15" hidden="false" customHeight="false" outlineLevel="0" collapsed="false">
      <c r="A3633" s="2" t="s">
        <v>284</v>
      </c>
      <c r="B3633" s="2" t="s">
        <v>4291</v>
      </c>
      <c r="C3633" s="2" t="s">
        <v>4274</v>
      </c>
      <c r="D3633" s="2"/>
      <c r="E3633" s="31" t="n">
        <v>35.8</v>
      </c>
      <c r="F3633" s="31" t="n">
        <v>21.5</v>
      </c>
      <c r="G3633" s="31" t="n">
        <v>61.4</v>
      </c>
      <c r="H3633" s="2" t="s">
        <v>832</v>
      </c>
    </row>
    <row r="3634" customFormat="false" ht="15" hidden="false" customHeight="false" outlineLevel="0" collapsed="false">
      <c r="A3634" s="2" t="s">
        <v>284</v>
      </c>
      <c r="B3634" s="2" t="s">
        <v>4291</v>
      </c>
      <c r="C3634" s="2" t="s">
        <v>4275</v>
      </c>
      <c r="D3634" s="2"/>
      <c r="E3634" s="31" t="n">
        <v>64.5</v>
      </c>
      <c r="F3634" s="31" t="n">
        <v>18.6</v>
      </c>
      <c r="G3634" s="31" t="n">
        <v>58.9</v>
      </c>
      <c r="H3634" s="2" t="s">
        <v>822</v>
      </c>
    </row>
    <row r="3635" customFormat="false" ht="15" hidden="false" customHeight="false" outlineLevel="0" collapsed="false">
      <c r="A3635" s="2" t="s">
        <v>284</v>
      </c>
      <c r="B3635" s="2" t="s">
        <v>45</v>
      </c>
      <c r="C3635" s="2" t="s">
        <v>4274</v>
      </c>
      <c r="D3635" s="11" t="n">
        <v>171998</v>
      </c>
      <c r="E3635" s="31" t="n">
        <v>16</v>
      </c>
      <c r="F3635" s="31" t="n">
        <v>19.2</v>
      </c>
      <c r="G3635" s="31" t="n">
        <v>92.2</v>
      </c>
      <c r="H3635" s="2" t="s">
        <v>822</v>
      </c>
    </row>
    <row r="3636" customFormat="false" ht="15" hidden="false" customHeight="false" outlineLevel="0" collapsed="false">
      <c r="A3636" s="2" t="s">
        <v>284</v>
      </c>
      <c r="B3636" s="2" t="s">
        <v>45</v>
      </c>
      <c r="C3636" s="2" t="s">
        <v>4275</v>
      </c>
      <c r="D3636" s="11" t="n">
        <v>173520</v>
      </c>
      <c r="E3636" s="31" t="n">
        <v>29.3</v>
      </c>
      <c r="F3636" s="31" t="n">
        <v>35</v>
      </c>
      <c r="G3636" s="31" t="n">
        <v>92.5</v>
      </c>
      <c r="H3636" s="2" t="s">
        <v>822</v>
      </c>
    </row>
    <row r="3637" customFormat="false" ht="15" hidden="false" customHeight="false" outlineLevel="0" collapsed="false">
      <c r="A3637" s="2" t="s">
        <v>284</v>
      </c>
      <c r="B3637" s="2" t="s">
        <v>46</v>
      </c>
      <c r="C3637" s="2" t="s">
        <v>4274</v>
      </c>
      <c r="D3637" s="2"/>
      <c r="E3637" s="2"/>
      <c r="F3637" s="2"/>
      <c r="G3637" s="2"/>
      <c r="H3637" s="2" t="s">
        <v>832</v>
      </c>
    </row>
    <row r="3638" customFormat="false" ht="15" hidden="false" customHeight="false" outlineLevel="0" collapsed="false">
      <c r="A3638" s="2" t="s">
        <v>284</v>
      </c>
      <c r="B3638" s="2" t="s">
        <v>46</v>
      </c>
      <c r="C3638" s="2" t="s">
        <v>4275</v>
      </c>
      <c r="D3638" s="11" t="n">
        <v>5959</v>
      </c>
      <c r="E3638" s="31" t="n">
        <v>78.6</v>
      </c>
      <c r="F3638" s="31" t="n">
        <v>3.8</v>
      </c>
      <c r="G3638" s="31" t="n">
        <v>42.2</v>
      </c>
      <c r="H3638" s="2" t="s">
        <v>822</v>
      </c>
    </row>
    <row r="3639" customFormat="false" ht="15" hidden="false" customHeight="false" outlineLevel="0" collapsed="false">
      <c r="A3639" s="2" t="s">
        <v>284</v>
      </c>
      <c r="B3639" s="2" t="s">
        <v>47</v>
      </c>
      <c r="C3639" s="2" t="s">
        <v>4274</v>
      </c>
      <c r="D3639" s="11" t="n">
        <v>20814</v>
      </c>
      <c r="E3639" s="31" t="n">
        <v>55.7</v>
      </c>
      <c r="F3639" s="31" t="n">
        <v>23.9</v>
      </c>
      <c r="G3639" s="31" t="n">
        <v>30.7</v>
      </c>
      <c r="H3639" s="2" t="s">
        <v>822</v>
      </c>
    </row>
    <row r="3640" customFormat="false" ht="15" hidden="false" customHeight="false" outlineLevel="0" collapsed="false">
      <c r="A3640" s="2" t="s">
        <v>284</v>
      </c>
      <c r="B3640" s="2" t="s">
        <v>47</v>
      </c>
      <c r="C3640" s="2" t="s">
        <v>4275</v>
      </c>
      <c r="D3640" s="11" t="n">
        <v>20660</v>
      </c>
      <c r="E3640" s="31" t="n">
        <v>85.5</v>
      </c>
      <c r="F3640" s="31" t="n">
        <v>16.9</v>
      </c>
      <c r="G3640" s="31" t="n">
        <v>41.9</v>
      </c>
      <c r="H3640" s="2" t="s">
        <v>822</v>
      </c>
    </row>
    <row r="3641" customFormat="false" ht="15" hidden="false" customHeight="false" outlineLevel="0" collapsed="false">
      <c r="A3641" s="2" t="s">
        <v>1131</v>
      </c>
      <c r="B3641" s="2" t="s">
        <v>4291</v>
      </c>
      <c r="C3641" s="2" t="s">
        <v>4274</v>
      </c>
      <c r="D3641" s="2"/>
      <c r="E3641" s="31" t="n">
        <v>10.1</v>
      </c>
      <c r="F3641" s="31" t="n">
        <v>54.4</v>
      </c>
      <c r="G3641" s="31" t="n">
        <v>28.5</v>
      </c>
      <c r="H3641" s="2" t="s">
        <v>832</v>
      </c>
    </row>
    <row r="3642" customFormat="false" ht="15" hidden="false" customHeight="false" outlineLevel="0" collapsed="false">
      <c r="A3642" s="2" t="s">
        <v>1131</v>
      </c>
      <c r="B3642" s="2" t="s">
        <v>4291</v>
      </c>
      <c r="C3642" s="2" t="s">
        <v>4275</v>
      </c>
      <c r="D3642" s="2"/>
      <c r="E3642" s="31" t="n">
        <v>32.5</v>
      </c>
      <c r="F3642" s="31" t="n">
        <v>43.4</v>
      </c>
      <c r="G3642" s="31" t="n">
        <v>29.6</v>
      </c>
      <c r="H3642" s="2" t="s">
        <v>832</v>
      </c>
    </row>
    <row r="3643" customFormat="false" ht="15" hidden="false" customHeight="false" outlineLevel="0" collapsed="false">
      <c r="A3643" s="2" t="s">
        <v>1131</v>
      </c>
      <c r="B3643" s="2" t="s">
        <v>45</v>
      </c>
      <c r="C3643" s="2" t="s">
        <v>4274</v>
      </c>
      <c r="D3643" s="11" t="n">
        <v>66730</v>
      </c>
      <c r="E3643" s="2"/>
      <c r="F3643" s="31" t="n">
        <v>62</v>
      </c>
      <c r="G3643" s="31" t="n">
        <v>15.9</v>
      </c>
      <c r="H3643" s="2" t="s">
        <v>832</v>
      </c>
    </row>
    <row r="3644" customFormat="false" ht="15" hidden="false" customHeight="false" outlineLevel="0" collapsed="false">
      <c r="A3644" s="2" t="s">
        <v>1131</v>
      </c>
      <c r="B3644" s="2" t="s">
        <v>45</v>
      </c>
      <c r="C3644" s="2" t="s">
        <v>4275</v>
      </c>
      <c r="D3644" s="11" t="n">
        <v>71130</v>
      </c>
      <c r="E3644" s="31" t="n">
        <v>63.1</v>
      </c>
      <c r="F3644" s="31" t="n">
        <v>24.1</v>
      </c>
      <c r="G3644" s="31" t="n">
        <v>32.2</v>
      </c>
      <c r="H3644" s="2" t="s">
        <v>822</v>
      </c>
    </row>
    <row r="3645" customFormat="false" ht="15" hidden="false" customHeight="false" outlineLevel="0" collapsed="false">
      <c r="A3645" s="2" t="s">
        <v>1131</v>
      </c>
      <c r="B3645" s="2" t="s">
        <v>46</v>
      </c>
      <c r="C3645" s="2" t="s">
        <v>4274</v>
      </c>
      <c r="D3645" s="11" t="n">
        <v>10420</v>
      </c>
      <c r="E3645" s="31" t="n">
        <v>17.8</v>
      </c>
      <c r="F3645" s="31" t="n">
        <v>53.6</v>
      </c>
      <c r="G3645" s="31" t="n">
        <v>47.3</v>
      </c>
      <c r="H3645" s="2" t="s">
        <v>822</v>
      </c>
    </row>
    <row r="3646" customFormat="false" ht="15" hidden="false" customHeight="false" outlineLevel="0" collapsed="false">
      <c r="A3646" s="2" t="s">
        <v>1131</v>
      </c>
      <c r="B3646" s="2" t="s">
        <v>46</v>
      </c>
      <c r="C3646" s="2" t="s">
        <v>4275</v>
      </c>
      <c r="D3646" s="2"/>
      <c r="E3646" s="2"/>
      <c r="F3646" s="2"/>
      <c r="G3646" s="2"/>
      <c r="H3646" s="2" t="s">
        <v>832</v>
      </c>
    </row>
    <row r="3647" customFormat="false" ht="15" hidden="false" customHeight="false" outlineLevel="0" collapsed="false">
      <c r="A3647" s="2" t="s">
        <v>1131</v>
      </c>
      <c r="B3647" s="2" t="s">
        <v>47</v>
      </c>
      <c r="C3647" s="2" t="s">
        <v>4274</v>
      </c>
      <c r="D3647" s="11" t="n">
        <v>31463</v>
      </c>
      <c r="E3647" s="31" t="n">
        <v>2.4</v>
      </c>
      <c r="F3647" s="31" t="n">
        <v>47.7</v>
      </c>
      <c r="G3647" s="31" t="n">
        <v>22.2</v>
      </c>
      <c r="H3647" s="2" t="s">
        <v>822</v>
      </c>
    </row>
    <row r="3648" customFormat="false" ht="15" hidden="false" customHeight="false" outlineLevel="0" collapsed="false">
      <c r="A3648" s="2" t="s">
        <v>1131</v>
      </c>
      <c r="B3648" s="2" t="s">
        <v>47</v>
      </c>
      <c r="C3648" s="2" t="s">
        <v>4275</v>
      </c>
      <c r="D3648" s="11" t="n">
        <v>32580</v>
      </c>
      <c r="E3648" s="31" t="n">
        <v>1.9</v>
      </c>
      <c r="F3648" s="31" t="n">
        <v>62.7</v>
      </c>
      <c r="G3648" s="31" t="n">
        <v>26.9</v>
      </c>
      <c r="H3648" s="2" t="s">
        <v>822</v>
      </c>
    </row>
    <row r="3649" customFormat="false" ht="15" hidden="false" customHeight="false" outlineLevel="0" collapsed="false">
      <c r="A3649" s="2" t="s">
        <v>3208</v>
      </c>
      <c r="B3649" s="2" t="s">
        <v>4291</v>
      </c>
      <c r="C3649" s="2" t="s">
        <v>4274</v>
      </c>
      <c r="D3649" s="2"/>
      <c r="E3649" s="31" t="n">
        <v>72.8</v>
      </c>
      <c r="F3649" s="31" t="n">
        <v>99.4</v>
      </c>
      <c r="G3649" s="31" t="n">
        <v>3.2</v>
      </c>
      <c r="H3649" s="2" t="s">
        <v>822</v>
      </c>
    </row>
    <row r="3650" customFormat="false" ht="15" hidden="false" customHeight="false" outlineLevel="0" collapsed="false">
      <c r="A3650" s="2" t="s">
        <v>3208</v>
      </c>
      <c r="B3650" s="2" t="s">
        <v>4291</v>
      </c>
      <c r="C3650" s="2" t="s">
        <v>4275</v>
      </c>
      <c r="D3650" s="2"/>
      <c r="E3650" s="2"/>
      <c r="F3650" s="2"/>
      <c r="G3650" s="2"/>
      <c r="H3650" s="2" t="s">
        <v>832</v>
      </c>
    </row>
    <row r="3651" customFormat="false" ht="15" hidden="false" customHeight="false" outlineLevel="0" collapsed="false">
      <c r="A3651" s="2" t="s">
        <v>3208</v>
      </c>
      <c r="B3651" s="2" t="s">
        <v>46</v>
      </c>
      <c r="C3651" s="2" t="s">
        <v>4274</v>
      </c>
      <c r="D3651" s="11" t="n">
        <v>331720</v>
      </c>
      <c r="E3651" s="31" t="n">
        <v>72.8</v>
      </c>
      <c r="F3651" s="31" t="n">
        <v>99.4</v>
      </c>
      <c r="G3651" s="31" t="n">
        <v>3.2</v>
      </c>
      <c r="H3651" s="2" t="s">
        <v>822</v>
      </c>
    </row>
    <row r="3652" customFormat="false" ht="15" hidden="false" customHeight="false" outlineLevel="0" collapsed="false">
      <c r="A3652" s="2" t="s">
        <v>3208</v>
      </c>
      <c r="B3652" s="2" t="s">
        <v>46</v>
      </c>
      <c r="C3652" s="2" t="s">
        <v>4275</v>
      </c>
      <c r="D3652" s="2"/>
      <c r="E3652" s="2"/>
      <c r="F3652" s="2"/>
      <c r="G3652" s="2"/>
      <c r="H3652" s="2" t="s">
        <v>832</v>
      </c>
    </row>
    <row r="3653" customFormat="false" ht="15" hidden="false" customHeight="false" outlineLevel="0" collapsed="false">
      <c r="A3653" s="2" t="s">
        <v>1233</v>
      </c>
      <c r="B3653" s="2" t="s">
        <v>4291</v>
      </c>
      <c r="C3653" s="2" t="s">
        <v>4274</v>
      </c>
      <c r="D3653" s="2"/>
      <c r="E3653" s="31" t="n">
        <v>71.1</v>
      </c>
      <c r="F3653" s="31" t="n">
        <v>36.2</v>
      </c>
      <c r="G3653" s="31" t="n">
        <v>37.4</v>
      </c>
      <c r="H3653" s="2" t="s">
        <v>832</v>
      </c>
    </row>
    <row r="3654" customFormat="false" ht="15" hidden="false" customHeight="false" outlineLevel="0" collapsed="false">
      <c r="A3654" s="2" t="s">
        <v>1233</v>
      </c>
      <c r="B3654" s="2" t="s">
        <v>4291</v>
      </c>
      <c r="C3654" s="2" t="s">
        <v>4275</v>
      </c>
      <c r="D3654" s="2"/>
      <c r="E3654" s="31" t="n">
        <v>69.3</v>
      </c>
      <c r="F3654" s="31" t="n">
        <v>59.3</v>
      </c>
      <c r="G3654" s="31" t="n">
        <v>78.6</v>
      </c>
      <c r="H3654" s="2" t="s">
        <v>832</v>
      </c>
    </row>
    <row r="3655" customFormat="false" ht="15" hidden="false" customHeight="false" outlineLevel="0" collapsed="false">
      <c r="A3655" s="2" t="s">
        <v>1233</v>
      </c>
      <c r="B3655" s="2" t="s">
        <v>45</v>
      </c>
      <c r="C3655" s="2" t="s">
        <v>4274</v>
      </c>
      <c r="D3655" s="11" t="n">
        <v>61814</v>
      </c>
      <c r="E3655" s="31" t="n">
        <v>77.8</v>
      </c>
      <c r="F3655" s="31" t="n">
        <v>27.4</v>
      </c>
      <c r="G3655" s="31" t="n">
        <v>38.8</v>
      </c>
      <c r="H3655" s="2" t="s">
        <v>822</v>
      </c>
    </row>
    <row r="3656" customFormat="false" ht="15" hidden="false" customHeight="false" outlineLevel="0" collapsed="false">
      <c r="A3656" s="2" t="s">
        <v>1233</v>
      </c>
      <c r="B3656" s="2" t="s">
        <v>45</v>
      </c>
      <c r="C3656" s="2" t="s">
        <v>4275</v>
      </c>
      <c r="D3656" s="11" t="n">
        <v>62945</v>
      </c>
      <c r="E3656" s="31" t="n">
        <v>49.9</v>
      </c>
      <c r="F3656" s="31" t="n">
        <v>18.6</v>
      </c>
      <c r="G3656" s="31" t="n">
        <v>62.5</v>
      </c>
      <c r="H3656" s="2" t="s">
        <v>822</v>
      </c>
    </row>
    <row r="3657" customFormat="false" ht="15" hidden="false" customHeight="false" outlineLevel="0" collapsed="false">
      <c r="A3657" s="2" t="s">
        <v>1233</v>
      </c>
      <c r="B3657" s="2" t="s">
        <v>46</v>
      </c>
      <c r="C3657" s="2" t="s">
        <v>4274</v>
      </c>
      <c r="D3657" s="11" t="n">
        <v>200703</v>
      </c>
      <c r="E3657" s="31" t="n">
        <v>64.4</v>
      </c>
      <c r="F3657" s="31" t="n">
        <v>44.9</v>
      </c>
      <c r="G3657" s="31" t="n">
        <v>36.1</v>
      </c>
      <c r="H3657" s="2" t="s">
        <v>822</v>
      </c>
    </row>
    <row r="3658" customFormat="false" ht="15" hidden="false" customHeight="false" outlineLevel="0" collapsed="false">
      <c r="A3658" s="2" t="s">
        <v>1233</v>
      </c>
      <c r="B3658" s="2" t="s">
        <v>46</v>
      </c>
      <c r="C3658" s="2" t="s">
        <v>4275</v>
      </c>
      <c r="D3658" s="11" t="n">
        <v>194640</v>
      </c>
      <c r="E3658" s="31" t="n">
        <v>80.9</v>
      </c>
      <c r="F3658" s="2"/>
      <c r="G3658" s="31" t="n">
        <v>81.2</v>
      </c>
      <c r="H3658" s="2" t="s">
        <v>832</v>
      </c>
    </row>
    <row r="3659" customFormat="false" ht="15" hidden="false" customHeight="false" outlineLevel="0" collapsed="false">
      <c r="A3659" s="2" t="s">
        <v>1233</v>
      </c>
      <c r="B3659" s="2" t="s">
        <v>47</v>
      </c>
      <c r="C3659" s="2" t="s">
        <v>4274</v>
      </c>
      <c r="D3659" s="2"/>
      <c r="E3659" s="2"/>
      <c r="F3659" s="2"/>
      <c r="G3659" s="2"/>
      <c r="H3659" s="2" t="s">
        <v>832</v>
      </c>
    </row>
    <row r="3660" customFormat="false" ht="15" hidden="false" customHeight="false" outlineLevel="0" collapsed="false">
      <c r="A3660" s="2" t="s">
        <v>1233</v>
      </c>
      <c r="B3660" s="2" t="s">
        <v>47</v>
      </c>
      <c r="C3660" s="2" t="s">
        <v>4275</v>
      </c>
      <c r="D3660" s="11" t="n">
        <v>101033</v>
      </c>
      <c r="E3660" s="31" t="n">
        <v>77.2</v>
      </c>
      <c r="F3660" s="31" t="n">
        <v>100</v>
      </c>
      <c r="G3660" s="31" t="n">
        <v>92.1</v>
      </c>
      <c r="H3660" s="2" t="s">
        <v>822</v>
      </c>
    </row>
    <row r="3661" customFormat="false" ht="15" hidden="false" customHeight="false" outlineLevel="0" collapsed="false">
      <c r="A3661" s="2" t="s">
        <v>3210</v>
      </c>
      <c r="B3661" s="2" t="s">
        <v>4291</v>
      </c>
      <c r="C3661" s="2" t="s">
        <v>4274</v>
      </c>
      <c r="D3661" s="2"/>
      <c r="E3661" s="31" t="n">
        <v>57</v>
      </c>
      <c r="F3661" s="31" t="n">
        <v>49.6</v>
      </c>
      <c r="G3661" s="31" t="n">
        <v>58.8</v>
      </c>
      <c r="H3661" s="2" t="s">
        <v>822</v>
      </c>
    </row>
    <row r="3662" customFormat="false" ht="15" hidden="false" customHeight="false" outlineLevel="0" collapsed="false">
      <c r="A3662" s="2" t="s">
        <v>3210</v>
      </c>
      <c r="B3662" s="2" t="s">
        <v>4291</v>
      </c>
      <c r="C3662" s="2" t="s">
        <v>4275</v>
      </c>
      <c r="D3662" s="2"/>
      <c r="E3662" s="2"/>
      <c r="F3662" s="2"/>
      <c r="G3662" s="2"/>
      <c r="H3662" s="2" t="s">
        <v>832</v>
      </c>
    </row>
    <row r="3663" customFormat="false" ht="15" hidden="false" customHeight="false" outlineLevel="0" collapsed="false">
      <c r="A3663" s="2" t="s">
        <v>3210</v>
      </c>
      <c r="B3663" s="2" t="s">
        <v>45</v>
      </c>
      <c r="C3663" s="2" t="s">
        <v>4274</v>
      </c>
      <c r="D3663" s="11" t="n">
        <v>367880</v>
      </c>
      <c r="E3663" s="31" t="n">
        <v>53.3</v>
      </c>
      <c r="F3663" s="31" t="n">
        <v>68.5</v>
      </c>
      <c r="G3663" s="31" t="n">
        <v>51.2</v>
      </c>
      <c r="H3663" s="2" t="s">
        <v>822</v>
      </c>
    </row>
    <row r="3664" customFormat="false" ht="15" hidden="false" customHeight="false" outlineLevel="0" collapsed="false">
      <c r="A3664" s="2" t="s">
        <v>3210</v>
      </c>
      <c r="B3664" s="2" t="s">
        <v>45</v>
      </c>
      <c r="C3664" s="2" t="s">
        <v>4275</v>
      </c>
      <c r="D3664" s="2"/>
      <c r="E3664" s="2"/>
      <c r="F3664" s="2"/>
      <c r="G3664" s="2"/>
      <c r="H3664" s="2" t="s">
        <v>832</v>
      </c>
    </row>
    <row r="3665" customFormat="false" ht="15" hidden="false" customHeight="false" outlineLevel="0" collapsed="false">
      <c r="A3665" s="2" t="s">
        <v>3210</v>
      </c>
      <c r="B3665" s="2" t="s">
        <v>47</v>
      </c>
      <c r="C3665" s="2" t="s">
        <v>4274</v>
      </c>
      <c r="D3665" s="11" t="n">
        <v>1455954</v>
      </c>
      <c r="E3665" s="31" t="n">
        <v>60.7</v>
      </c>
      <c r="F3665" s="31" t="n">
        <v>30.8</v>
      </c>
      <c r="G3665" s="31" t="n">
        <v>66.5</v>
      </c>
      <c r="H3665" s="2" t="s">
        <v>822</v>
      </c>
    </row>
    <row r="3666" customFormat="false" ht="15" hidden="false" customHeight="false" outlineLevel="0" collapsed="false">
      <c r="A3666" s="2" t="s">
        <v>3210</v>
      </c>
      <c r="B3666" s="2" t="s">
        <v>47</v>
      </c>
      <c r="C3666" s="2" t="s">
        <v>4275</v>
      </c>
      <c r="D3666" s="2"/>
      <c r="E3666" s="2"/>
      <c r="F3666" s="2"/>
      <c r="G3666" s="2"/>
      <c r="H3666" s="2" t="s">
        <v>832</v>
      </c>
    </row>
    <row r="3667" customFormat="false" ht="15" hidden="false" customHeight="false" outlineLevel="0" collapsed="false">
      <c r="A3667" s="2" t="s">
        <v>308</v>
      </c>
      <c r="B3667" s="2" t="s">
        <v>4291</v>
      </c>
      <c r="C3667" s="2" t="s">
        <v>4274</v>
      </c>
      <c r="D3667" s="2"/>
      <c r="E3667" s="31" t="n">
        <v>51.6</v>
      </c>
      <c r="F3667" s="31" t="n">
        <v>67.4</v>
      </c>
      <c r="G3667" s="31" t="n">
        <v>41.6</v>
      </c>
      <c r="H3667" s="2" t="s">
        <v>832</v>
      </c>
    </row>
    <row r="3668" customFormat="false" ht="15" hidden="false" customHeight="false" outlineLevel="0" collapsed="false">
      <c r="A3668" s="2" t="s">
        <v>308</v>
      </c>
      <c r="B3668" s="2" t="s">
        <v>4291</v>
      </c>
      <c r="C3668" s="2" t="s">
        <v>4275</v>
      </c>
      <c r="D3668" s="2"/>
      <c r="E3668" s="31" t="n">
        <v>63</v>
      </c>
      <c r="F3668" s="31" t="n">
        <v>85.3</v>
      </c>
      <c r="G3668" s="31" t="n">
        <v>48.6</v>
      </c>
      <c r="H3668" s="2" t="s">
        <v>822</v>
      </c>
    </row>
    <row r="3669" customFormat="false" ht="15" hidden="false" customHeight="false" outlineLevel="0" collapsed="false">
      <c r="A3669" s="2" t="s">
        <v>308</v>
      </c>
      <c r="B3669" s="2" t="s">
        <v>45</v>
      </c>
      <c r="C3669" s="2" t="s">
        <v>4274</v>
      </c>
      <c r="D3669" s="11" t="n">
        <v>5810</v>
      </c>
      <c r="E3669" s="31" t="n">
        <v>59.4</v>
      </c>
      <c r="F3669" s="31" t="n">
        <v>35.5</v>
      </c>
      <c r="G3669" s="31" t="n">
        <v>32.2</v>
      </c>
      <c r="H3669" s="2" t="s">
        <v>832</v>
      </c>
    </row>
    <row r="3670" customFormat="false" ht="15" hidden="false" customHeight="false" outlineLevel="0" collapsed="false">
      <c r="A3670" s="2" t="s">
        <v>308</v>
      </c>
      <c r="B3670" s="2" t="s">
        <v>45</v>
      </c>
      <c r="C3670" s="2" t="s">
        <v>4275</v>
      </c>
      <c r="D3670" s="11" t="n">
        <v>6010</v>
      </c>
      <c r="E3670" s="31" t="n">
        <v>81.7</v>
      </c>
      <c r="F3670" s="31" t="n">
        <v>78.9</v>
      </c>
      <c r="G3670" s="31" t="n">
        <v>21.4</v>
      </c>
      <c r="H3670" s="2" t="s">
        <v>822</v>
      </c>
    </row>
    <row r="3671" customFormat="false" ht="15" hidden="false" customHeight="false" outlineLevel="0" collapsed="false">
      <c r="A3671" s="2" t="s">
        <v>308</v>
      </c>
      <c r="B3671" s="2" t="s">
        <v>46</v>
      </c>
      <c r="C3671" s="2" t="s">
        <v>4274</v>
      </c>
      <c r="D3671" s="11" t="n">
        <v>2740</v>
      </c>
      <c r="E3671" s="31" t="n">
        <v>8.6</v>
      </c>
      <c r="F3671" s="31" t="n">
        <v>73.7</v>
      </c>
      <c r="G3671" s="31" t="n">
        <v>58.4</v>
      </c>
      <c r="H3671" s="2" t="s">
        <v>822</v>
      </c>
    </row>
    <row r="3672" customFormat="false" ht="15" hidden="false" customHeight="false" outlineLevel="0" collapsed="false">
      <c r="A3672" s="2" t="s">
        <v>308</v>
      </c>
      <c r="B3672" s="2" t="s">
        <v>46</v>
      </c>
      <c r="C3672" s="2" t="s">
        <v>4275</v>
      </c>
      <c r="D3672" s="11" t="n">
        <v>2940</v>
      </c>
      <c r="E3672" s="31" t="n">
        <v>30.3</v>
      </c>
      <c r="F3672" s="31" t="n">
        <v>88.7</v>
      </c>
      <c r="G3672" s="31" t="n">
        <v>81.9</v>
      </c>
      <c r="H3672" s="2" t="s">
        <v>822</v>
      </c>
    </row>
    <row r="3673" customFormat="false" ht="15" hidden="false" customHeight="false" outlineLevel="0" collapsed="false">
      <c r="A3673" s="2" t="s">
        <v>308</v>
      </c>
      <c r="B3673" s="2" t="s">
        <v>47</v>
      </c>
      <c r="C3673" s="2" t="s">
        <v>4274</v>
      </c>
      <c r="D3673" s="11" t="n">
        <v>23808</v>
      </c>
      <c r="E3673" s="31" t="n">
        <v>86.7</v>
      </c>
      <c r="F3673" s="31" t="n">
        <v>93.1</v>
      </c>
      <c r="G3673" s="31" t="n">
        <v>34.2</v>
      </c>
      <c r="H3673" s="2" t="s">
        <v>822</v>
      </c>
    </row>
    <row r="3674" customFormat="false" ht="15" hidden="false" customHeight="false" outlineLevel="0" collapsed="false">
      <c r="A3674" s="2" t="s">
        <v>308</v>
      </c>
      <c r="B3674" s="2" t="s">
        <v>47</v>
      </c>
      <c r="C3674" s="2" t="s">
        <v>4275</v>
      </c>
      <c r="D3674" s="11" t="n">
        <v>24770</v>
      </c>
      <c r="E3674" s="31" t="n">
        <v>77.1</v>
      </c>
      <c r="F3674" s="31" t="n">
        <v>88.3</v>
      </c>
      <c r="G3674" s="31" t="n">
        <v>42.5</v>
      </c>
      <c r="H3674" s="2" t="s">
        <v>822</v>
      </c>
    </row>
    <row r="3675" customFormat="false" ht="15" hidden="false" customHeight="false" outlineLevel="0" collapsed="false">
      <c r="A3675" s="2" t="s">
        <v>722</v>
      </c>
      <c r="B3675" s="2" t="s">
        <v>4291</v>
      </c>
      <c r="C3675" s="2" t="s">
        <v>4274</v>
      </c>
      <c r="D3675" s="2"/>
      <c r="E3675" s="31" t="n">
        <v>52.3</v>
      </c>
      <c r="F3675" s="31" t="n">
        <v>69.2</v>
      </c>
      <c r="G3675" s="31" t="n">
        <v>47</v>
      </c>
      <c r="H3675" s="2" t="s">
        <v>832</v>
      </c>
    </row>
    <row r="3676" customFormat="false" ht="15" hidden="false" customHeight="false" outlineLevel="0" collapsed="false">
      <c r="A3676" s="2" t="s">
        <v>722</v>
      </c>
      <c r="B3676" s="2" t="s">
        <v>4291</v>
      </c>
      <c r="C3676" s="2" t="s">
        <v>4275</v>
      </c>
      <c r="D3676" s="2"/>
      <c r="E3676" s="31" t="n">
        <v>25.8</v>
      </c>
      <c r="F3676" s="31" t="n">
        <v>61.2</v>
      </c>
      <c r="G3676" s="31" t="n">
        <v>52.2</v>
      </c>
      <c r="H3676" s="2" t="s">
        <v>822</v>
      </c>
    </row>
    <row r="3677" customFormat="false" ht="15" hidden="false" customHeight="false" outlineLevel="0" collapsed="false">
      <c r="A3677" s="2" t="s">
        <v>722</v>
      </c>
      <c r="B3677" s="2" t="s">
        <v>45</v>
      </c>
      <c r="C3677" s="2" t="s">
        <v>4274</v>
      </c>
      <c r="D3677" s="11" t="n">
        <v>21491</v>
      </c>
      <c r="E3677" s="31" t="n">
        <v>52.3</v>
      </c>
      <c r="F3677" s="31" t="n">
        <v>44.9</v>
      </c>
      <c r="G3677" s="2"/>
      <c r="H3677" s="2" t="s">
        <v>832</v>
      </c>
    </row>
    <row r="3678" customFormat="false" ht="15" hidden="false" customHeight="false" outlineLevel="0" collapsed="false">
      <c r="A3678" s="2" t="s">
        <v>722</v>
      </c>
      <c r="B3678" s="2" t="s">
        <v>45</v>
      </c>
      <c r="C3678" s="2" t="s">
        <v>4275</v>
      </c>
      <c r="D3678" s="11" t="n">
        <v>22200</v>
      </c>
      <c r="E3678" s="31" t="n">
        <v>45.2</v>
      </c>
      <c r="F3678" s="31" t="n">
        <v>29.6</v>
      </c>
      <c r="G3678" s="31" t="n">
        <v>83.4</v>
      </c>
      <c r="H3678" s="2" t="s">
        <v>822</v>
      </c>
    </row>
    <row r="3679" customFormat="false" ht="15" hidden="false" customHeight="false" outlineLevel="0" collapsed="false">
      <c r="A3679" s="2" t="s">
        <v>722</v>
      </c>
      <c r="B3679" s="2" t="s">
        <v>46</v>
      </c>
      <c r="C3679" s="2" t="s">
        <v>4274</v>
      </c>
      <c r="D3679" s="11" t="n">
        <v>17000</v>
      </c>
      <c r="E3679" s="2"/>
      <c r="F3679" s="31" t="n">
        <v>93.6</v>
      </c>
      <c r="G3679" s="31" t="n">
        <v>47</v>
      </c>
      <c r="H3679" s="2" t="s">
        <v>832</v>
      </c>
    </row>
    <row r="3680" customFormat="false" ht="15" hidden="false" customHeight="false" outlineLevel="0" collapsed="false">
      <c r="A3680" s="2" t="s">
        <v>722</v>
      </c>
      <c r="B3680" s="2" t="s">
        <v>46</v>
      </c>
      <c r="C3680" s="2" t="s">
        <v>4275</v>
      </c>
      <c r="D3680" s="11" t="n">
        <v>17290</v>
      </c>
      <c r="E3680" s="31" t="n">
        <v>6.3</v>
      </c>
      <c r="F3680" s="31" t="n">
        <v>92.7</v>
      </c>
      <c r="G3680" s="31" t="n">
        <v>21</v>
      </c>
      <c r="H3680" s="2" t="s">
        <v>822</v>
      </c>
    </row>
    <row r="3681" customFormat="false" ht="15" hidden="false" customHeight="false" outlineLevel="0" collapsed="false">
      <c r="A3681" s="2" t="s">
        <v>592</v>
      </c>
      <c r="B3681" s="2" t="s">
        <v>4291</v>
      </c>
      <c r="C3681" s="2" t="s">
        <v>4274</v>
      </c>
      <c r="D3681" s="2"/>
      <c r="E3681" s="31" t="n">
        <v>50.2</v>
      </c>
      <c r="F3681" s="31" t="n">
        <v>40.2</v>
      </c>
      <c r="G3681" s="31" t="n">
        <v>21.9</v>
      </c>
      <c r="H3681" s="2" t="s">
        <v>832</v>
      </c>
    </row>
    <row r="3682" customFormat="false" ht="15" hidden="false" customHeight="false" outlineLevel="0" collapsed="false">
      <c r="A3682" s="2" t="s">
        <v>592</v>
      </c>
      <c r="B3682" s="2" t="s">
        <v>4291</v>
      </c>
      <c r="C3682" s="2" t="s">
        <v>4275</v>
      </c>
      <c r="D3682" s="2"/>
      <c r="E3682" s="31" t="n">
        <v>39.2</v>
      </c>
      <c r="F3682" s="31" t="n">
        <v>54.9</v>
      </c>
      <c r="G3682" s="31" t="n">
        <v>20.2</v>
      </c>
      <c r="H3682" s="2" t="s">
        <v>822</v>
      </c>
    </row>
    <row r="3683" customFormat="false" ht="15" hidden="false" customHeight="false" outlineLevel="0" collapsed="false">
      <c r="A3683" s="2" t="s">
        <v>592</v>
      </c>
      <c r="B3683" s="2" t="s">
        <v>45</v>
      </c>
      <c r="C3683" s="2" t="s">
        <v>4274</v>
      </c>
      <c r="D3683" s="11" t="n">
        <v>820</v>
      </c>
      <c r="E3683" s="31" t="n">
        <v>86</v>
      </c>
      <c r="F3683" s="2"/>
      <c r="G3683" s="31" t="n">
        <v>38.5</v>
      </c>
      <c r="H3683" s="2" t="s">
        <v>832</v>
      </c>
    </row>
    <row r="3684" customFormat="false" ht="15" hidden="false" customHeight="false" outlineLevel="0" collapsed="false">
      <c r="A3684" s="2" t="s">
        <v>592</v>
      </c>
      <c r="B3684" s="2" t="s">
        <v>45</v>
      </c>
      <c r="C3684" s="2" t="s">
        <v>4275</v>
      </c>
      <c r="D3684" s="11" t="n">
        <v>910</v>
      </c>
      <c r="E3684" s="31" t="n">
        <v>64.7</v>
      </c>
      <c r="F3684" s="31" t="n">
        <v>97.2</v>
      </c>
      <c r="G3684" s="31" t="n">
        <v>1.3</v>
      </c>
      <c r="H3684" s="2" t="s">
        <v>822</v>
      </c>
    </row>
    <row r="3685" customFormat="false" ht="15" hidden="false" customHeight="false" outlineLevel="0" collapsed="false">
      <c r="A3685" s="2" t="s">
        <v>592</v>
      </c>
      <c r="B3685" s="2" t="s">
        <v>46</v>
      </c>
      <c r="C3685" s="2" t="s">
        <v>4274</v>
      </c>
      <c r="D3685" s="11" t="n">
        <v>147770</v>
      </c>
      <c r="E3685" s="31" t="n">
        <v>60.3</v>
      </c>
      <c r="F3685" s="31" t="n">
        <v>51.3</v>
      </c>
      <c r="G3685" s="2"/>
      <c r="H3685" s="2" t="s">
        <v>832</v>
      </c>
    </row>
    <row r="3686" customFormat="false" ht="15" hidden="false" customHeight="false" outlineLevel="0" collapsed="false">
      <c r="A3686" s="2" t="s">
        <v>592</v>
      </c>
      <c r="B3686" s="2" t="s">
        <v>46</v>
      </c>
      <c r="C3686" s="2" t="s">
        <v>4275</v>
      </c>
      <c r="D3686" s="11" t="n">
        <v>148240</v>
      </c>
      <c r="E3686" s="31" t="n">
        <v>51.9</v>
      </c>
      <c r="F3686" s="31" t="n">
        <v>63.7</v>
      </c>
      <c r="G3686" s="31" t="n">
        <v>44.2</v>
      </c>
      <c r="H3686" s="2" t="s">
        <v>822</v>
      </c>
    </row>
    <row r="3687" customFormat="false" ht="15" hidden="false" customHeight="false" outlineLevel="0" collapsed="false">
      <c r="A3687" s="2" t="s">
        <v>592</v>
      </c>
      <c r="B3687" s="2" t="s">
        <v>47</v>
      </c>
      <c r="C3687" s="2" t="s">
        <v>4274</v>
      </c>
      <c r="D3687" s="11" t="n">
        <v>117712</v>
      </c>
      <c r="E3687" s="31" t="n">
        <v>4.2</v>
      </c>
      <c r="F3687" s="31" t="n">
        <v>29</v>
      </c>
      <c r="G3687" s="31" t="n">
        <v>5.3</v>
      </c>
      <c r="H3687" s="2" t="s">
        <v>822</v>
      </c>
    </row>
    <row r="3688" customFormat="false" ht="15" hidden="false" customHeight="false" outlineLevel="0" collapsed="false">
      <c r="A3688" s="2" t="s">
        <v>592</v>
      </c>
      <c r="B3688" s="2" t="s">
        <v>47</v>
      </c>
      <c r="C3688" s="2" t="s">
        <v>4275</v>
      </c>
      <c r="D3688" s="11" t="n">
        <v>113703</v>
      </c>
      <c r="E3688" s="31" t="n">
        <v>1.1</v>
      </c>
      <c r="F3688" s="31" t="n">
        <v>3.7</v>
      </c>
      <c r="G3688" s="31" t="n">
        <v>15.1</v>
      </c>
      <c r="H3688" s="2" t="s">
        <v>822</v>
      </c>
    </row>
    <row r="3689" customFormat="false" ht="15" hidden="false" customHeight="false" outlineLevel="0" collapsed="false">
      <c r="A3689" s="2" t="s">
        <v>542</v>
      </c>
      <c r="B3689" s="2" t="s">
        <v>4291</v>
      </c>
      <c r="C3689" s="2" t="s">
        <v>4274</v>
      </c>
      <c r="D3689" s="2"/>
      <c r="E3689" s="31" t="n">
        <v>52.3</v>
      </c>
      <c r="F3689" s="31" t="n">
        <v>83</v>
      </c>
      <c r="G3689" s="31" t="n">
        <v>24.2</v>
      </c>
      <c r="H3689" s="2" t="s">
        <v>832</v>
      </c>
    </row>
    <row r="3690" customFormat="false" ht="15" hidden="false" customHeight="false" outlineLevel="0" collapsed="false">
      <c r="A3690" s="2" t="s">
        <v>542</v>
      </c>
      <c r="B3690" s="2" t="s">
        <v>4291</v>
      </c>
      <c r="C3690" s="2" t="s">
        <v>4275</v>
      </c>
      <c r="D3690" s="2"/>
      <c r="E3690" s="31" t="n">
        <v>45</v>
      </c>
      <c r="F3690" s="31" t="n">
        <v>89</v>
      </c>
      <c r="G3690" s="31" t="n">
        <v>36.8</v>
      </c>
      <c r="H3690" s="2" t="s">
        <v>822</v>
      </c>
    </row>
    <row r="3691" customFormat="false" ht="15" hidden="false" customHeight="false" outlineLevel="0" collapsed="false">
      <c r="A3691" s="2" t="s">
        <v>542</v>
      </c>
      <c r="B3691" s="2" t="s">
        <v>45</v>
      </c>
      <c r="C3691" s="2" t="s">
        <v>4274</v>
      </c>
      <c r="D3691" s="11" t="n">
        <v>27380</v>
      </c>
      <c r="E3691" s="31" t="n">
        <v>70.8</v>
      </c>
      <c r="F3691" s="31" t="n">
        <v>77</v>
      </c>
      <c r="G3691" s="31" t="n">
        <v>9.5</v>
      </c>
      <c r="H3691" s="2" t="s">
        <v>822</v>
      </c>
    </row>
    <row r="3692" customFormat="false" ht="15" hidden="false" customHeight="false" outlineLevel="0" collapsed="false">
      <c r="A3692" s="2" t="s">
        <v>542</v>
      </c>
      <c r="B3692" s="2" t="s">
        <v>45</v>
      </c>
      <c r="C3692" s="2" t="s">
        <v>4275</v>
      </c>
      <c r="D3692" s="11" t="n">
        <v>29210</v>
      </c>
      <c r="E3692" s="31" t="n">
        <v>43.5</v>
      </c>
      <c r="F3692" s="31" t="n">
        <v>79.4</v>
      </c>
      <c r="G3692" s="31" t="n">
        <v>66.9</v>
      </c>
      <c r="H3692" s="2" t="s">
        <v>822</v>
      </c>
    </row>
    <row r="3693" customFormat="false" ht="15" hidden="false" customHeight="false" outlineLevel="0" collapsed="false">
      <c r="A3693" s="2" t="s">
        <v>542</v>
      </c>
      <c r="B3693" s="2" t="s">
        <v>46</v>
      </c>
      <c r="C3693" s="2" t="s">
        <v>4274</v>
      </c>
      <c r="D3693" s="11" t="n">
        <v>365652</v>
      </c>
      <c r="E3693" s="31" t="n">
        <v>80</v>
      </c>
      <c r="F3693" s="31" t="n">
        <v>74.4</v>
      </c>
      <c r="G3693" s="31" t="n">
        <v>38.8</v>
      </c>
      <c r="H3693" s="2" t="s">
        <v>822</v>
      </c>
    </row>
    <row r="3694" customFormat="false" ht="15" hidden="false" customHeight="false" outlineLevel="0" collapsed="false">
      <c r="A3694" s="2" t="s">
        <v>542</v>
      </c>
      <c r="B3694" s="2" t="s">
        <v>46</v>
      </c>
      <c r="C3694" s="2" t="s">
        <v>4275</v>
      </c>
      <c r="D3694" s="11" t="n">
        <v>381600</v>
      </c>
      <c r="E3694" s="31" t="n">
        <v>80.4</v>
      </c>
      <c r="F3694" s="31" t="n">
        <v>89.8</v>
      </c>
      <c r="G3694" s="31" t="n">
        <v>9.7</v>
      </c>
      <c r="H3694" s="2" t="s">
        <v>822</v>
      </c>
    </row>
    <row r="3695" customFormat="false" ht="15" hidden="false" customHeight="false" outlineLevel="0" collapsed="false">
      <c r="A3695" s="2" t="s">
        <v>542</v>
      </c>
      <c r="B3695" s="2" t="s">
        <v>47</v>
      </c>
      <c r="C3695" s="2" t="s">
        <v>4274</v>
      </c>
      <c r="D3695" s="11" t="n">
        <v>24733</v>
      </c>
      <c r="E3695" s="31" t="n">
        <v>6.2</v>
      </c>
      <c r="F3695" s="31" t="n">
        <v>97.7</v>
      </c>
      <c r="G3695" s="2"/>
      <c r="H3695" s="2" t="s">
        <v>832</v>
      </c>
    </row>
    <row r="3696" customFormat="false" ht="15" hidden="false" customHeight="false" outlineLevel="0" collapsed="false">
      <c r="A3696" s="2" t="s">
        <v>542</v>
      </c>
      <c r="B3696" s="2" t="s">
        <v>47</v>
      </c>
      <c r="C3696" s="2" t="s">
        <v>4275</v>
      </c>
      <c r="D3696" s="11" t="n">
        <v>27576</v>
      </c>
      <c r="E3696" s="31" t="n">
        <v>11.1</v>
      </c>
      <c r="F3696" s="31" t="n">
        <v>97.7</v>
      </c>
      <c r="G3696" s="31" t="n">
        <v>33.9</v>
      </c>
      <c r="H3696" s="2" t="s">
        <v>822</v>
      </c>
    </row>
    <row r="3697" customFormat="false" ht="15" hidden="false" customHeight="false" outlineLevel="0" collapsed="false">
      <c r="A3697" s="2" t="s">
        <v>961</v>
      </c>
      <c r="B3697" s="2" t="s">
        <v>4291</v>
      </c>
      <c r="C3697" s="2" t="s">
        <v>4274</v>
      </c>
      <c r="D3697" s="2"/>
      <c r="E3697" s="31" t="n">
        <v>34.3</v>
      </c>
      <c r="F3697" s="31" t="n">
        <v>40.1</v>
      </c>
      <c r="G3697" s="31" t="n">
        <v>69.8</v>
      </c>
      <c r="H3697" s="2" t="s">
        <v>832</v>
      </c>
    </row>
    <row r="3698" customFormat="false" ht="15" hidden="false" customHeight="false" outlineLevel="0" collapsed="false">
      <c r="A3698" s="2" t="s">
        <v>961</v>
      </c>
      <c r="B3698" s="2" t="s">
        <v>4291</v>
      </c>
      <c r="C3698" s="2" t="s">
        <v>4275</v>
      </c>
      <c r="D3698" s="2"/>
      <c r="E3698" s="31" t="n">
        <v>65.6</v>
      </c>
      <c r="F3698" s="31" t="n">
        <v>68.2</v>
      </c>
      <c r="G3698" s="31" t="n">
        <v>33.8</v>
      </c>
      <c r="H3698" s="2" t="s">
        <v>832</v>
      </c>
    </row>
    <row r="3699" customFormat="false" ht="15" hidden="false" customHeight="false" outlineLevel="0" collapsed="false">
      <c r="A3699" s="2" t="s">
        <v>961</v>
      </c>
      <c r="B3699" s="2" t="s">
        <v>45</v>
      </c>
      <c r="C3699" s="2" t="s">
        <v>4274</v>
      </c>
      <c r="D3699" s="2"/>
      <c r="E3699" s="2"/>
      <c r="F3699" s="2"/>
      <c r="G3699" s="2"/>
      <c r="H3699" s="2" t="s">
        <v>832</v>
      </c>
    </row>
    <row r="3700" customFormat="false" ht="15" hidden="false" customHeight="false" outlineLevel="0" collapsed="false">
      <c r="A3700" s="2" t="s">
        <v>961</v>
      </c>
      <c r="B3700" s="2" t="s">
        <v>45</v>
      </c>
      <c r="C3700" s="2" t="s">
        <v>4275</v>
      </c>
      <c r="D3700" s="11" t="n">
        <v>29750</v>
      </c>
      <c r="E3700" s="31" t="n">
        <v>84.1</v>
      </c>
      <c r="F3700" s="31" t="n">
        <v>83.8</v>
      </c>
      <c r="G3700" s="31" t="n">
        <v>20</v>
      </c>
      <c r="H3700" s="2" t="s">
        <v>822</v>
      </c>
    </row>
    <row r="3701" customFormat="false" ht="15" hidden="false" customHeight="false" outlineLevel="0" collapsed="false">
      <c r="A3701" s="2" t="s">
        <v>961</v>
      </c>
      <c r="B3701" s="2" t="s">
        <v>46</v>
      </c>
      <c r="C3701" s="2" t="s">
        <v>4274</v>
      </c>
      <c r="D3701" s="11" t="n">
        <v>49860</v>
      </c>
      <c r="E3701" s="31" t="n">
        <v>46.6</v>
      </c>
      <c r="F3701" s="31" t="n">
        <v>79</v>
      </c>
      <c r="G3701" s="2"/>
      <c r="H3701" s="2" t="s">
        <v>832</v>
      </c>
    </row>
    <row r="3702" customFormat="false" ht="15" hidden="false" customHeight="false" outlineLevel="0" collapsed="false">
      <c r="A3702" s="2" t="s">
        <v>961</v>
      </c>
      <c r="B3702" s="2" t="s">
        <v>46</v>
      </c>
      <c r="C3702" s="2" t="s">
        <v>4275</v>
      </c>
      <c r="D3702" s="11" t="n">
        <v>51140</v>
      </c>
      <c r="E3702" s="31" t="n">
        <v>47.2</v>
      </c>
      <c r="F3702" s="31" t="n">
        <v>52.7</v>
      </c>
      <c r="G3702" s="31" t="n">
        <v>47.7</v>
      </c>
      <c r="H3702" s="2" t="s">
        <v>822</v>
      </c>
    </row>
    <row r="3703" customFormat="false" ht="15" hidden="false" customHeight="false" outlineLevel="0" collapsed="false">
      <c r="A3703" s="2" t="s">
        <v>961</v>
      </c>
      <c r="B3703" s="2" t="s">
        <v>47</v>
      </c>
      <c r="C3703" s="2" t="s">
        <v>4274</v>
      </c>
      <c r="D3703" s="11" t="n">
        <v>206291</v>
      </c>
      <c r="E3703" s="31" t="n">
        <v>22</v>
      </c>
      <c r="F3703" s="31" t="n">
        <v>1.2</v>
      </c>
      <c r="G3703" s="31" t="n">
        <v>69.8</v>
      </c>
      <c r="H3703" s="2" t="s">
        <v>822</v>
      </c>
    </row>
    <row r="3704" customFormat="false" ht="15" hidden="false" customHeight="false" outlineLevel="0" collapsed="false">
      <c r="A3704" s="2" t="s">
        <v>961</v>
      </c>
      <c r="B3704" s="2" t="s">
        <v>47</v>
      </c>
      <c r="C3704" s="2" t="s">
        <v>4275</v>
      </c>
      <c r="D3704" s="2"/>
      <c r="E3704" s="2"/>
      <c r="F3704" s="2"/>
      <c r="G3704" s="2"/>
      <c r="H3704" s="2" t="s">
        <v>832</v>
      </c>
    </row>
    <row r="3705" customFormat="false" ht="15" hidden="false" customHeight="false" outlineLevel="0" collapsed="false">
      <c r="A3705" s="2" t="s">
        <v>911</v>
      </c>
      <c r="B3705" s="2" t="s">
        <v>4291</v>
      </c>
      <c r="C3705" s="2" t="s">
        <v>4274</v>
      </c>
      <c r="D3705" s="2"/>
      <c r="E3705" s="31" t="n">
        <v>84.5</v>
      </c>
      <c r="F3705" s="31" t="n">
        <v>55.5</v>
      </c>
      <c r="G3705" s="31" t="n">
        <v>70.9</v>
      </c>
      <c r="H3705" s="2" t="s">
        <v>832</v>
      </c>
    </row>
    <row r="3706" customFormat="false" ht="15" hidden="false" customHeight="false" outlineLevel="0" collapsed="false">
      <c r="A3706" s="2" t="s">
        <v>911</v>
      </c>
      <c r="B3706" s="2" t="s">
        <v>4291</v>
      </c>
      <c r="C3706" s="2" t="s">
        <v>4275</v>
      </c>
      <c r="D3706" s="2"/>
      <c r="E3706" s="31" t="n">
        <v>93</v>
      </c>
      <c r="F3706" s="31" t="n">
        <v>63</v>
      </c>
      <c r="G3706" s="31" t="n">
        <v>49.5</v>
      </c>
      <c r="H3706" s="2" t="s">
        <v>832</v>
      </c>
    </row>
    <row r="3707" customFormat="false" ht="15" hidden="false" customHeight="false" outlineLevel="0" collapsed="false">
      <c r="A3707" s="2" t="s">
        <v>911</v>
      </c>
      <c r="B3707" s="2" t="s">
        <v>45</v>
      </c>
      <c r="C3707" s="2" t="s">
        <v>4274</v>
      </c>
      <c r="D3707" s="11" t="n">
        <v>342270</v>
      </c>
      <c r="E3707" s="31" t="n">
        <v>70.4</v>
      </c>
      <c r="F3707" s="31" t="n">
        <v>97.3</v>
      </c>
      <c r="G3707" s="2"/>
      <c r="H3707" s="2" t="s">
        <v>832</v>
      </c>
    </row>
    <row r="3708" customFormat="false" ht="15" hidden="false" customHeight="false" outlineLevel="0" collapsed="false">
      <c r="A3708" s="2" t="s">
        <v>911</v>
      </c>
      <c r="B3708" s="2" t="s">
        <v>45</v>
      </c>
      <c r="C3708" s="2" t="s">
        <v>4275</v>
      </c>
      <c r="D3708" s="11" t="n">
        <v>363560</v>
      </c>
      <c r="E3708" s="31" t="n">
        <v>90</v>
      </c>
      <c r="F3708" s="31" t="n">
        <v>96.4</v>
      </c>
      <c r="G3708" s="31" t="n">
        <v>19.8</v>
      </c>
      <c r="H3708" s="2" t="s">
        <v>822</v>
      </c>
    </row>
    <row r="3709" customFormat="false" ht="15" hidden="false" customHeight="false" outlineLevel="0" collapsed="false">
      <c r="A3709" s="2" t="s">
        <v>911</v>
      </c>
      <c r="B3709" s="2" t="s">
        <v>46</v>
      </c>
      <c r="C3709" s="2" t="s">
        <v>4274</v>
      </c>
      <c r="D3709" s="2"/>
      <c r="E3709" s="2"/>
      <c r="F3709" s="2"/>
      <c r="G3709" s="2"/>
      <c r="H3709" s="2" t="s">
        <v>832</v>
      </c>
    </row>
    <row r="3710" customFormat="false" ht="15" hidden="false" customHeight="false" outlineLevel="0" collapsed="false">
      <c r="A3710" s="2" t="s">
        <v>911</v>
      </c>
      <c r="B3710" s="2" t="s">
        <v>46</v>
      </c>
      <c r="C3710" s="2" t="s">
        <v>4275</v>
      </c>
      <c r="D3710" s="2"/>
      <c r="E3710" s="2"/>
      <c r="F3710" s="2"/>
      <c r="G3710" s="2"/>
      <c r="H3710" s="2" t="s">
        <v>832</v>
      </c>
    </row>
    <row r="3711" customFormat="false" ht="15" hidden="false" customHeight="false" outlineLevel="0" collapsed="false">
      <c r="A3711" s="2" t="s">
        <v>911</v>
      </c>
      <c r="B3711" s="2" t="s">
        <v>47</v>
      </c>
      <c r="C3711" s="2" t="s">
        <v>4274</v>
      </c>
      <c r="D3711" s="11" t="n">
        <v>88382</v>
      </c>
      <c r="E3711" s="31" t="n">
        <v>98.6</v>
      </c>
      <c r="F3711" s="31" t="n">
        <v>13.7</v>
      </c>
      <c r="G3711" s="31" t="n">
        <v>70.9</v>
      </c>
      <c r="H3711" s="2" t="s">
        <v>822</v>
      </c>
    </row>
    <row r="3712" customFormat="false" ht="15" hidden="false" customHeight="false" outlineLevel="0" collapsed="false">
      <c r="A3712" s="2" t="s">
        <v>911</v>
      </c>
      <c r="B3712" s="2" t="s">
        <v>47</v>
      </c>
      <c r="C3712" s="2" t="s">
        <v>4275</v>
      </c>
      <c r="D3712" s="11" t="n">
        <v>91550</v>
      </c>
      <c r="E3712" s="31" t="n">
        <v>95.9</v>
      </c>
      <c r="F3712" s="31" t="n">
        <v>29.5</v>
      </c>
      <c r="G3712" s="31" t="n">
        <v>79.2</v>
      </c>
      <c r="H3712" s="2" t="s">
        <v>822</v>
      </c>
    </row>
    <row r="3713" customFormat="false" ht="15" hidden="false" customHeight="false" outlineLevel="0" collapsed="false">
      <c r="A3713" s="2" t="s">
        <v>3211</v>
      </c>
      <c r="B3713" s="2" t="s">
        <v>4291</v>
      </c>
      <c r="C3713" s="2" t="s">
        <v>4274</v>
      </c>
      <c r="D3713" s="2"/>
      <c r="E3713" s="31" t="n">
        <v>86.8</v>
      </c>
      <c r="F3713" s="31" t="n">
        <v>56.5</v>
      </c>
      <c r="G3713" s="31" t="n">
        <v>97.8</v>
      </c>
      <c r="H3713" s="2" t="s">
        <v>822</v>
      </c>
    </row>
    <row r="3714" customFormat="false" ht="15" hidden="false" customHeight="false" outlineLevel="0" collapsed="false">
      <c r="A3714" s="2" t="s">
        <v>3211</v>
      </c>
      <c r="B3714" s="2" t="s">
        <v>4291</v>
      </c>
      <c r="C3714" s="2" t="s">
        <v>4275</v>
      </c>
      <c r="D3714" s="2"/>
      <c r="E3714" s="31" t="n">
        <v>67.1</v>
      </c>
      <c r="F3714" s="31" t="n">
        <v>31</v>
      </c>
      <c r="G3714" s="2"/>
      <c r="H3714" s="2" t="s">
        <v>832</v>
      </c>
    </row>
    <row r="3715" customFormat="false" ht="15" hidden="false" customHeight="false" outlineLevel="0" collapsed="false">
      <c r="A3715" s="2" t="s">
        <v>3211</v>
      </c>
      <c r="B3715" s="2" t="s">
        <v>45</v>
      </c>
      <c r="C3715" s="2" t="s">
        <v>4274</v>
      </c>
      <c r="D3715" s="11" t="n">
        <v>8460</v>
      </c>
      <c r="E3715" s="31" t="n">
        <v>86.8</v>
      </c>
      <c r="F3715" s="31" t="n">
        <v>56.5</v>
      </c>
      <c r="G3715" s="31" t="n">
        <v>97.8</v>
      </c>
      <c r="H3715" s="2" t="s">
        <v>822</v>
      </c>
    </row>
    <row r="3716" customFormat="false" ht="15" hidden="false" customHeight="false" outlineLevel="0" collapsed="false">
      <c r="A3716" s="2" t="s">
        <v>3211</v>
      </c>
      <c r="B3716" s="2" t="s">
        <v>45</v>
      </c>
      <c r="C3716" s="2" t="s">
        <v>4275</v>
      </c>
      <c r="D3716" s="11" t="n">
        <v>8590</v>
      </c>
      <c r="E3716" s="31" t="n">
        <v>67.1</v>
      </c>
      <c r="F3716" s="31" t="n">
        <v>31</v>
      </c>
      <c r="G3716" s="2"/>
      <c r="H3716" s="2" t="s">
        <v>832</v>
      </c>
    </row>
    <row r="3717" customFormat="false" ht="15" hidden="false" customHeight="false" outlineLevel="0" collapsed="false">
      <c r="A3717" s="2" t="s">
        <v>550</v>
      </c>
      <c r="B3717" s="2" t="s">
        <v>4291</v>
      </c>
      <c r="C3717" s="2" t="s">
        <v>4274</v>
      </c>
      <c r="D3717" s="2"/>
      <c r="E3717" s="31" t="n">
        <v>48.7</v>
      </c>
      <c r="F3717" s="31" t="n">
        <v>49.9</v>
      </c>
      <c r="G3717" s="31" t="n">
        <v>58.4</v>
      </c>
      <c r="H3717" s="2" t="s">
        <v>822</v>
      </c>
    </row>
    <row r="3718" customFormat="false" ht="15" hidden="false" customHeight="false" outlineLevel="0" collapsed="false">
      <c r="A3718" s="2" t="s">
        <v>550</v>
      </c>
      <c r="B3718" s="2" t="s">
        <v>4291</v>
      </c>
      <c r="C3718" s="2" t="s">
        <v>4275</v>
      </c>
      <c r="D3718" s="2"/>
      <c r="E3718" s="31" t="n">
        <v>44.1</v>
      </c>
      <c r="F3718" s="31" t="n">
        <v>49.9</v>
      </c>
      <c r="G3718" s="31" t="n">
        <v>50.3</v>
      </c>
      <c r="H3718" s="2" t="s">
        <v>822</v>
      </c>
    </row>
    <row r="3719" customFormat="false" ht="15" hidden="false" customHeight="false" outlineLevel="0" collapsed="false">
      <c r="A3719" s="2" t="s">
        <v>550</v>
      </c>
      <c r="B3719" s="2" t="s">
        <v>46</v>
      </c>
      <c r="C3719" s="2" t="s">
        <v>4274</v>
      </c>
      <c r="D3719" s="11" t="n">
        <v>41890</v>
      </c>
      <c r="E3719" s="31" t="n">
        <v>90.4</v>
      </c>
      <c r="F3719" s="31" t="n">
        <v>39</v>
      </c>
      <c r="G3719" s="31" t="n">
        <v>90.4</v>
      </c>
      <c r="H3719" s="2" t="s">
        <v>822</v>
      </c>
    </row>
    <row r="3720" customFormat="false" ht="15" hidden="false" customHeight="false" outlineLevel="0" collapsed="false">
      <c r="A3720" s="2" t="s">
        <v>550</v>
      </c>
      <c r="B3720" s="2" t="s">
        <v>46</v>
      </c>
      <c r="C3720" s="2" t="s">
        <v>4275</v>
      </c>
      <c r="D3720" s="11" t="n">
        <v>43420</v>
      </c>
      <c r="E3720" s="31" t="n">
        <v>80.6</v>
      </c>
      <c r="F3720" s="31" t="n">
        <v>34.9</v>
      </c>
      <c r="G3720" s="31" t="n">
        <v>92.9</v>
      </c>
      <c r="H3720" s="2" t="s">
        <v>822</v>
      </c>
    </row>
    <row r="3721" customFormat="false" ht="15" hidden="false" customHeight="false" outlineLevel="0" collapsed="false">
      <c r="A3721" s="2" t="s">
        <v>550</v>
      </c>
      <c r="B3721" s="2" t="s">
        <v>47</v>
      </c>
      <c r="C3721" s="2" t="s">
        <v>4274</v>
      </c>
      <c r="D3721" s="11" t="n">
        <v>18455</v>
      </c>
      <c r="E3721" s="31" t="n">
        <v>6.9</v>
      </c>
      <c r="F3721" s="31" t="n">
        <v>60.8</v>
      </c>
      <c r="G3721" s="31" t="n">
        <v>26.5</v>
      </c>
      <c r="H3721" s="2" t="s">
        <v>822</v>
      </c>
    </row>
    <row r="3722" customFormat="false" ht="15" hidden="false" customHeight="false" outlineLevel="0" collapsed="false">
      <c r="A3722" s="2" t="s">
        <v>550</v>
      </c>
      <c r="B3722" s="2" t="s">
        <v>47</v>
      </c>
      <c r="C3722" s="2" t="s">
        <v>4275</v>
      </c>
      <c r="D3722" s="11" t="n">
        <v>18968</v>
      </c>
      <c r="E3722" s="31" t="n">
        <v>7.6</v>
      </c>
      <c r="F3722" s="31" t="n">
        <v>64.9</v>
      </c>
      <c r="G3722" s="31" t="n">
        <v>7.7</v>
      </c>
      <c r="H3722" s="2" t="s">
        <v>822</v>
      </c>
    </row>
    <row r="3723" customFormat="false" ht="15" hidden="false" customHeight="false" outlineLevel="0" collapsed="false">
      <c r="A3723" s="2" t="s">
        <v>348</v>
      </c>
      <c r="B3723" s="2" t="s">
        <v>4291</v>
      </c>
      <c r="C3723" s="2" t="s">
        <v>4274</v>
      </c>
      <c r="D3723" s="2"/>
      <c r="E3723" s="31" t="n">
        <v>67.1</v>
      </c>
      <c r="F3723" s="31" t="n">
        <v>58.2</v>
      </c>
      <c r="G3723" s="31" t="n">
        <v>6.7</v>
      </c>
      <c r="H3723" s="2" t="s">
        <v>832</v>
      </c>
    </row>
    <row r="3724" customFormat="false" ht="15" hidden="false" customHeight="false" outlineLevel="0" collapsed="false">
      <c r="A3724" s="2" t="s">
        <v>348</v>
      </c>
      <c r="B3724" s="2" t="s">
        <v>4291</v>
      </c>
      <c r="C3724" s="2" t="s">
        <v>4275</v>
      </c>
      <c r="D3724" s="2"/>
      <c r="E3724" s="31" t="n">
        <v>59.2</v>
      </c>
      <c r="F3724" s="31" t="n">
        <v>64.1</v>
      </c>
      <c r="G3724" s="31" t="n">
        <v>37.7</v>
      </c>
      <c r="H3724" s="2" t="s">
        <v>822</v>
      </c>
    </row>
    <row r="3725" customFormat="false" ht="15" hidden="false" customHeight="false" outlineLevel="0" collapsed="false">
      <c r="A3725" s="2" t="s">
        <v>348</v>
      </c>
      <c r="B3725" s="2" t="s">
        <v>45</v>
      </c>
      <c r="C3725" s="2" t="s">
        <v>4274</v>
      </c>
      <c r="D3725" s="11" t="n">
        <v>206680</v>
      </c>
      <c r="E3725" s="31" t="n">
        <v>29.2</v>
      </c>
      <c r="F3725" s="31" t="n">
        <v>63</v>
      </c>
      <c r="G3725" s="2"/>
      <c r="H3725" s="2" t="s">
        <v>832</v>
      </c>
    </row>
    <row r="3726" customFormat="false" ht="15" hidden="false" customHeight="false" outlineLevel="0" collapsed="false">
      <c r="A3726" s="2" t="s">
        <v>348</v>
      </c>
      <c r="B3726" s="2" t="s">
        <v>45</v>
      </c>
      <c r="C3726" s="2" t="s">
        <v>4275</v>
      </c>
      <c r="D3726" s="11" t="n">
        <v>214370</v>
      </c>
      <c r="E3726" s="31" t="n">
        <v>26.5</v>
      </c>
      <c r="F3726" s="31" t="n">
        <v>72.9</v>
      </c>
      <c r="G3726" s="31" t="n">
        <v>56.6</v>
      </c>
      <c r="H3726" s="2" t="s">
        <v>822</v>
      </c>
    </row>
    <row r="3727" customFormat="false" ht="15" hidden="false" customHeight="false" outlineLevel="0" collapsed="false">
      <c r="A3727" s="2" t="s">
        <v>348</v>
      </c>
      <c r="B3727" s="2" t="s">
        <v>46</v>
      </c>
      <c r="C3727" s="2" t="s">
        <v>4274</v>
      </c>
      <c r="D3727" s="11" t="n">
        <v>1013450</v>
      </c>
      <c r="E3727" s="31" t="n">
        <v>79.3</v>
      </c>
      <c r="F3727" s="31" t="n">
        <v>44.4</v>
      </c>
      <c r="G3727" s="2"/>
      <c r="H3727" s="2" t="s">
        <v>832</v>
      </c>
    </row>
    <row r="3728" customFormat="false" ht="15" hidden="false" customHeight="false" outlineLevel="0" collapsed="false">
      <c r="A3728" s="2" t="s">
        <v>348</v>
      </c>
      <c r="B3728" s="2" t="s">
        <v>46</v>
      </c>
      <c r="C3728" s="2" t="s">
        <v>4275</v>
      </c>
      <c r="D3728" s="11" t="n">
        <v>1018140</v>
      </c>
      <c r="E3728" s="31" t="n">
        <v>71.3</v>
      </c>
      <c r="F3728" s="31" t="n">
        <v>41.7</v>
      </c>
      <c r="G3728" s="31" t="n">
        <v>51.4</v>
      </c>
      <c r="H3728" s="2" t="s">
        <v>822</v>
      </c>
    </row>
    <row r="3729" customFormat="false" ht="15" hidden="false" customHeight="false" outlineLevel="0" collapsed="false">
      <c r="A3729" s="2" t="s">
        <v>348</v>
      </c>
      <c r="B3729" s="2" t="s">
        <v>47</v>
      </c>
      <c r="C3729" s="2" t="s">
        <v>4274</v>
      </c>
      <c r="D3729" s="11" t="n">
        <v>36396</v>
      </c>
      <c r="E3729" s="31" t="n">
        <v>92.9</v>
      </c>
      <c r="F3729" s="31" t="n">
        <v>67.3</v>
      </c>
      <c r="G3729" s="31" t="n">
        <v>6.7</v>
      </c>
      <c r="H3729" s="2" t="s">
        <v>822</v>
      </c>
    </row>
    <row r="3730" customFormat="false" ht="15" hidden="false" customHeight="false" outlineLevel="0" collapsed="false">
      <c r="A3730" s="2" t="s">
        <v>348</v>
      </c>
      <c r="B3730" s="2" t="s">
        <v>47</v>
      </c>
      <c r="C3730" s="2" t="s">
        <v>4275</v>
      </c>
      <c r="D3730" s="11" t="n">
        <v>37140</v>
      </c>
      <c r="E3730" s="31" t="n">
        <v>79.9</v>
      </c>
      <c r="F3730" s="31" t="n">
        <v>77.6</v>
      </c>
      <c r="G3730" s="31" t="n">
        <v>5</v>
      </c>
      <c r="H3730" s="2" t="s">
        <v>822</v>
      </c>
    </row>
    <row r="3731" customFormat="false" ht="15" hidden="false" customHeight="false" outlineLevel="0" collapsed="false">
      <c r="A3731" s="2" t="s">
        <v>1911</v>
      </c>
      <c r="B3731" s="2" t="s">
        <v>4291</v>
      </c>
      <c r="C3731" s="2" t="s">
        <v>4274</v>
      </c>
      <c r="D3731" s="2"/>
      <c r="E3731" s="31" t="n">
        <v>41.6</v>
      </c>
      <c r="F3731" s="31" t="n">
        <v>69.5</v>
      </c>
      <c r="G3731" s="31" t="n">
        <v>56.6</v>
      </c>
      <c r="H3731" s="2" t="s">
        <v>832</v>
      </c>
    </row>
    <row r="3732" customFormat="false" ht="15" hidden="false" customHeight="false" outlineLevel="0" collapsed="false">
      <c r="A3732" s="2" t="s">
        <v>1911</v>
      </c>
      <c r="B3732" s="2" t="s">
        <v>4291</v>
      </c>
      <c r="C3732" s="2" t="s">
        <v>4275</v>
      </c>
      <c r="D3732" s="2"/>
      <c r="E3732" s="31" t="n">
        <v>25.6</v>
      </c>
      <c r="F3732" s="31" t="n">
        <v>45</v>
      </c>
      <c r="G3732" s="31" t="n">
        <v>35.5</v>
      </c>
      <c r="H3732" s="2" t="s">
        <v>832</v>
      </c>
    </row>
    <row r="3733" customFormat="false" ht="15" hidden="false" customHeight="false" outlineLevel="0" collapsed="false">
      <c r="A3733" s="2" t="s">
        <v>1911</v>
      </c>
      <c r="B3733" s="2" t="s">
        <v>45</v>
      </c>
      <c r="C3733" s="2" t="s">
        <v>4274</v>
      </c>
      <c r="D3733" s="11" t="n">
        <v>643</v>
      </c>
      <c r="E3733" s="31" t="n">
        <v>0.6</v>
      </c>
      <c r="F3733" s="31" t="n">
        <v>87.1</v>
      </c>
      <c r="G3733" s="2"/>
      <c r="H3733" s="2" t="s">
        <v>832</v>
      </c>
    </row>
    <row r="3734" customFormat="false" ht="15" hidden="false" customHeight="false" outlineLevel="0" collapsed="false">
      <c r="A3734" s="2" t="s">
        <v>1911</v>
      </c>
      <c r="B3734" s="2" t="s">
        <v>45</v>
      </c>
      <c r="C3734" s="2" t="s">
        <v>4275</v>
      </c>
      <c r="D3734" s="11" t="n">
        <v>650</v>
      </c>
      <c r="E3734" s="31" t="n">
        <v>4</v>
      </c>
      <c r="F3734" s="31" t="n">
        <v>35.2</v>
      </c>
      <c r="G3734" s="2"/>
      <c r="H3734" s="2" t="s">
        <v>832</v>
      </c>
    </row>
    <row r="3735" customFormat="false" ht="15" hidden="false" customHeight="false" outlineLevel="0" collapsed="false">
      <c r="A3735" s="2" t="s">
        <v>1911</v>
      </c>
      <c r="B3735" s="2" t="s">
        <v>46</v>
      </c>
      <c r="C3735" s="2" t="s">
        <v>4274</v>
      </c>
      <c r="D3735" s="11" t="n">
        <v>925883</v>
      </c>
      <c r="E3735" s="31" t="n">
        <v>82.6</v>
      </c>
      <c r="F3735" s="31" t="n">
        <v>51.9</v>
      </c>
      <c r="G3735" s="31" t="n">
        <v>56.6</v>
      </c>
      <c r="H3735" s="2" t="s">
        <v>822</v>
      </c>
    </row>
    <row r="3736" customFormat="false" ht="15" hidden="false" customHeight="false" outlineLevel="0" collapsed="false">
      <c r="A3736" s="2" t="s">
        <v>1911</v>
      </c>
      <c r="B3736" s="2" t="s">
        <v>46</v>
      </c>
      <c r="C3736" s="2" t="s">
        <v>4275</v>
      </c>
      <c r="D3736" s="11" t="n">
        <v>986040</v>
      </c>
      <c r="E3736" s="31" t="n">
        <v>47.3</v>
      </c>
      <c r="F3736" s="31" t="n">
        <v>54.8</v>
      </c>
      <c r="G3736" s="31" t="n">
        <v>35.5</v>
      </c>
      <c r="H3736" s="2" t="s">
        <v>822</v>
      </c>
    </row>
    <row r="3737" customFormat="false" ht="15" hidden="false" customHeight="false" outlineLevel="0" collapsed="false">
      <c r="A3737" s="2" t="s">
        <v>528</v>
      </c>
      <c r="B3737" s="2" t="s">
        <v>4291</v>
      </c>
      <c r="C3737" s="2" t="s">
        <v>4274</v>
      </c>
      <c r="D3737" s="2"/>
      <c r="E3737" s="31" t="n">
        <v>39.6</v>
      </c>
      <c r="F3737" s="31" t="n">
        <v>50.3</v>
      </c>
      <c r="G3737" s="31" t="n">
        <v>55.6</v>
      </c>
      <c r="H3737" s="2" t="s">
        <v>832</v>
      </c>
    </row>
    <row r="3738" customFormat="false" ht="15" hidden="false" customHeight="false" outlineLevel="0" collapsed="false">
      <c r="A3738" s="2" t="s">
        <v>528</v>
      </c>
      <c r="B3738" s="2" t="s">
        <v>4291</v>
      </c>
      <c r="C3738" s="2" t="s">
        <v>4275</v>
      </c>
      <c r="D3738" s="2"/>
      <c r="E3738" s="31" t="n">
        <v>45.8</v>
      </c>
      <c r="F3738" s="31" t="n">
        <v>36.3</v>
      </c>
      <c r="G3738" s="31" t="n">
        <v>40.7</v>
      </c>
      <c r="H3738" s="2" t="s">
        <v>822</v>
      </c>
    </row>
    <row r="3739" customFormat="false" ht="15" hidden="false" customHeight="false" outlineLevel="0" collapsed="false">
      <c r="A3739" s="2" t="s">
        <v>528</v>
      </c>
      <c r="B3739" s="2" t="s">
        <v>45</v>
      </c>
      <c r="C3739" s="2" t="s">
        <v>4274</v>
      </c>
      <c r="D3739" s="11" t="n">
        <v>94870</v>
      </c>
      <c r="E3739" s="31" t="n">
        <v>15.1</v>
      </c>
      <c r="F3739" s="2"/>
      <c r="G3739" s="31" t="n">
        <v>64.4</v>
      </c>
      <c r="H3739" s="2" t="s">
        <v>832</v>
      </c>
    </row>
    <row r="3740" customFormat="false" ht="15" hidden="false" customHeight="false" outlineLevel="0" collapsed="false">
      <c r="A3740" s="2" t="s">
        <v>528</v>
      </c>
      <c r="B3740" s="2" t="s">
        <v>45</v>
      </c>
      <c r="C3740" s="2" t="s">
        <v>4275</v>
      </c>
      <c r="D3740" s="11" t="n">
        <v>99730</v>
      </c>
      <c r="E3740" s="31" t="n">
        <v>15.1</v>
      </c>
      <c r="F3740" s="31" t="n">
        <v>29.9</v>
      </c>
      <c r="G3740" s="31" t="n">
        <v>35</v>
      </c>
      <c r="H3740" s="2" t="s">
        <v>822</v>
      </c>
    </row>
    <row r="3741" customFormat="false" ht="15" hidden="false" customHeight="false" outlineLevel="0" collapsed="false">
      <c r="A3741" s="2" t="s">
        <v>528</v>
      </c>
      <c r="B3741" s="2" t="s">
        <v>46</v>
      </c>
      <c r="C3741" s="2" t="s">
        <v>4274</v>
      </c>
      <c r="D3741" s="2"/>
      <c r="E3741" s="2"/>
      <c r="F3741" s="2"/>
      <c r="G3741" s="2"/>
      <c r="H3741" s="2" t="s">
        <v>832</v>
      </c>
    </row>
    <row r="3742" customFormat="false" ht="15" hidden="false" customHeight="false" outlineLevel="0" collapsed="false">
      <c r="A3742" s="2" t="s">
        <v>528</v>
      </c>
      <c r="B3742" s="2" t="s">
        <v>46</v>
      </c>
      <c r="C3742" s="2" t="s">
        <v>4275</v>
      </c>
      <c r="D3742" s="11" t="n">
        <v>36008</v>
      </c>
      <c r="E3742" s="31" t="n">
        <v>54.2</v>
      </c>
      <c r="F3742" s="31" t="n">
        <v>23.6</v>
      </c>
      <c r="G3742" s="31" t="n">
        <v>40.2</v>
      </c>
      <c r="H3742" s="2" t="s">
        <v>822</v>
      </c>
    </row>
    <row r="3743" customFormat="false" ht="15" hidden="false" customHeight="false" outlineLevel="0" collapsed="false">
      <c r="A3743" s="2" t="s">
        <v>528</v>
      </c>
      <c r="B3743" s="2" t="s">
        <v>47</v>
      </c>
      <c r="C3743" s="2" t="s">
        <v>4274</v>
      </c>
      <c r="D3743" s="11" t="n">
        <v>10656</v>
      </c>
      <c r="E3743" s="31" t="n">
        <v>64.2</v>
      </c>
      <c r="F3743" s="31" t="n">
        <v>50.3</v>
      </c>
      <c r="G3743" s="31" t="n">
        <v>46.9</v>
      </c>
      <c r="H3743" s="2" t="s">
        <v>822</v>
      </c>
    </row>
    <row r="3744" customFormat="false" ht="15" hidden="false" customHeight="false" outlineLevel="0" collapsed="false">
      <c r="A3744" s="2" t="s">
        <v>528</v>
      </c>
      <c r="B3744" s="2" t="s">
        <v>47</v>
      </c>
      <c r="C3744" s="2" t="s">
        <v>4275</v>
      </c>
      <c r="D3744" s="11" t="n">
        <v>11335</v>
      </c>
      <c r="E3744" s="31" t="n">
        <v>68.1</v>
      </c>
      <c r="F3744" s="31" t="n">
        <v>55.5</v>
      </c>
      <c r="G3744" s="31" t="n">
        <v>47</v>
      </c>
      <c r="H3744" s="2" t="s">
        <v>822</v>
      </c>
    </row>
    <row r="3745" customFormat="false" ht="15" hidden="false" customHeight="false" outlineLevel="0" collapsed="false">
      <c r="A3745" s="2" t="s">
        <v>1279</v>
      </c>
      <c r="B3745" s="2" t="s">
        <v>4291</v>
      </c>
      <c r="C3745" s="2" t="s">
        <v>4274</v>
      </c>
      <c r="D3745" s="2"/>
      <c r="E3745" s="31" t="n">
        <v>65.6</v>
      </c>
      <c r="F3745" s="31" t="n">
        <v>39.9</v>
      </c>
      <c r="G3745" s="31" t="n">
        <v>38.9</v>
      </c>
      <c r="H3745" s="2" t="s">
        <v>822</v>
      </c>
    </row>
    <row r="3746" customFormat="false" ht="15" hidden="false" customHeight="false" outlineLevel="0" collapsed="false">
      <c r="A3746" s="2" t="s">
        <v>1279</v>
      </c>
      <c r="B3746" s="2" t="s">
        <v>4291</v>
      </c>
      <c r="C3746" s="2" t="s">
        <v>4275</v>
      </c>
      <c r="D3746" s="2"/>
      <c r="E3746" s="31" t="n">
        <v>38.2</v>
      </c>
      <c r="F3746" s="31" t="n">
        <v>31.7</v>
      </c>
      <c r="G3746" s="31" t="n">
        <v>30.4</v>
      </c>
      <c r="H3746" s="2" t="s">
        <v>832</v>
      </c>
    </row>
    <row r="3747" customFormat="false" ht="15" hidden="false" customHeight="false" outlineLevel="0" collapsed="false">
      <c r="A3747" s="2" t="s">
        <v>1279</v>
      </c>
      <c r="B3747" s="2" t="s">
        <v>45</v>
      </c>
      <c r="C3747" s="2" t="s">
        <v>4274</v>
      </c>
      <c r="D3747" s="11" t="n">
        <v>131530</v>
      </c>
      <c r="E3747" s="31" t="n">
        <v>64.4</v>
      </c>
      <c r="F3747" s="31" t="n">
        <v>7.5</v>
      </c>
      <c r="G3747" s="31" t="n">
        <v>36.3</v>
      </c>
      <c r="H3747" s="2" t="s">
        <v>822</v>
      </c>
    </row>
    <row r="3748" customFormat="false" ht="15" hidden="false" customHeight="false" outlineLevel="0" collapsed="false">
      <c r="A3748" s="2" t="s">
        <v>1279</v>
      </c>
      <c r="B3748" s="2" t="s">
        <v>45</v>
      </c>
      <c r="C3748" s="2" t="s">
        <v>4275</v>
      </c>
      <c r="D3748" s="11" t="n">
        <v>136210</v>
      </c>
      <c r="E3748" s="31" t="n">
        <v>43.7</v>
      </c>
      <c r="F3748" s="31" t="n">
        <v>12.1</v>
      </c>
      <c r="G3748" s="31" t="n">
        <v>22.1</v>
      </c>
      <c r="H3748" s="2" t="s">
        <v>822</v>
      </c>
    </row>
    <row r="3749" customFormat="false" ht="15" hidden="false" customHeight="false" outlineLevel="0" collapsed="false">
      <c r="A3749" s="2" t="s">
        <v>1279</v>
      </c>
      <c r="B3749" s="2" t="s">
        <v>46</v>
      </c>
      <c r="C3749" s="2" t="s">
        <v>4274</v>
      </c>
      <c r="D3749" s="11" t="n">
        <v>50714</v>
      </c>
      <c r="E3749" s="31" t="n">
        <v>78.5</v>
      </c>
      <c r="F3749" s="31" t="n">
        <v>36.3</v>
      </c>
      <c r="G3749" s="31" t="n">
        <v>45.7</v>
      </c>
      <c r="H3749" s="2" t="s">
        <v>822</v>
      </c>
    </row>
    <row r="3750" customFormat="false" ht="15" hidden="false" customHeight="false" outlineLevel="0" collapsed="false">
      <c r="A3750" s="2" t="s">
        <v>1279</v>
      </c>
      <c r="B3750" s="2" t="s">
        <v>46</v>
      </c>
      <c r="C3750" s="2" t="s">
        <v>4275</v>
      </c>
      <c r="D3750" s="11" t="n">
        <v>53490</v>
      </c>
      <c r="E3750" s="2"/>
      <c r="F3750" s="31" t="n">
        <v>44.4</v>
      </c>
      <c r="G3750" s="2"/>
      <c r="H3750" s="2" t="s">
        <v>832</v>
      </c>
    </row>
    <row r="3751" customFormat="false" ht="15" hidden="false" customHeight="false" outlineLevel="0" collapsed="false">
      <c r="A3751" s="2" t="s">
        <v>1279</v>
      </c>
      <c r="B3751" s="2" t="s">
        <v>47</v>
      </c>
      <c r="C3751" s="2" t="s">
        <v>4274</v>
      </c>
      <c r="D3751" s="11" t="n">
        <v>147376</v>
      </c>
      <c r="E3751" s="31" t="n">
        <v>54</v>
      </c>
      <c r="F3751" s="31" t="n">
        <v>75.9</v>
      </c>
      <c r="G3751" s="31" t="n">
        <v>34.6</v>
      </c>
      <c r="H3751" s="2" t="s">
        <v>822</v>
      </c>
    </row>
    <row r="3752" customFormat="false" ht="15" hidden="false" customHeight="false" outlineLevel="0" collapsed="false">
      <c r="A3752" s="2" t="s">
        <v>1279</v>
      </c>
      <c r="B3752" s="2" t="s">
        <v>47</v>
      </c>
      <c r="C3752" s="2" t="s">
        <v>4275</v>
      </c>
      <c r="D3752" s="11" t="n">
        <v>154099</v>
      </c>
      <c r="E3752" s="31" t="n">
        <v>32.6</v>
      </c>
      <c r="F3752" s="31" t="n">
        <v>38.5</v>
      </c>
      <c r="G3752" s="31" t="n">
        <v>38.7</v>
      </c>
      <c r="H3752" s="2" t="s">
        <v>822</v>
      </c>
    </row>
    <row r="3753" customFormat="false" ht="15" hidden="false" customHeight="false" outlineLevel="0" collapsed="false">
      <c r="A3753" s="2" t="s">
        <v>1087</v>
      </c>
      <c r="B3753" s="2" t="s">
        <v>4291</v>
      </c>
      <c r="C3753" s="2" t="s">
        <v>4274</v>
      </c>
      <c r="D3753" s="2"/>
      <c r="E3753" s="31" t="n">
        <v>62.1</v>
      </c>
      <c r="F3753" s="31" t="n">
        <v>62</v>
      </c>
      <c r="G3753" s="31" t="n">
        <v>47</v>
      </c>
      <c r="H3753" s="2" t="s">
        <v>822</v>
      </c>
    </row>
    <row r="3754" customFormat="false" ht="15" hidden="false" customHeight="false" outlineLevel="0" collapsed="false">
      <c r="A3754" s="2" t="s">
        <v>1087</v>
      </c>
      <c r="B3754" s="2" t="s">
        <v>4291</v>
      </c>
      <c r="C3754" s="2" t="s">
        <v>4275</v>
      </c>
      <c r="D3754" s="2"/>
      <c r="E3754" s="31" t="n">
        <v>76</v>
      </c>
      <c r="F3754" s="31" t="n">
        <v>50.3</v>
      </c>
      <c r="G3754" s="31" t="n">
        <v>46.6</v>
      </c>
      <c r="H3754" s="2" t="s">
        <v>832</v>
      </c>
    </row>
    <row r="3755" customFormat="false" ht="15" hidden="false" customHeight="false" outlineLevel="0" collapsed="false">
      <c r="A3755" s="2" t="s">
        <v>1087</v>
      </c>
      <c r="B3755" s="2" t="s">
        <v>45</v>
      </c>
      <c r="C3755" s="2" t="s">
        <v>4274</v>
      </c>
      <c r="D3755" s="11" t="n">
        <v>20500</v>
      </c>
      <c r="E3755" s="31" t="n">
        <v>68</v>
      </c>
      <c r="F3755" s="31" t="n">
        <v>38</v>
      </c>
      <c r="G3755" s="31" t="n">
        <v>49.8</v>
      </c>
      <c r="H3755" s="2" t="s">
        <v>822</v>
      </c>
    </row>
    <row r="3756" customFormat="false" ht="15" hidden="false" customHeight="false" outlineLevel="0" collapsed="false">
      <c r="A3756" s="2" t="s">
        <v>1087</v>
      </c>
      <c r="B3756" s="2" t="s">
        <v>45</v>
      </c>
      <c r="C3756" s="2" t="s">
        <v>4275</v>
      </c>
      <c r="D3756" s="11" t="n">
        <v>21530</v>
      </c>
      <c r="E3756" s="31" t="n">
        <v>68.6</v>
      </c>
      <c r="F3756" s="31" t="n">
        <v>16.8</v>
      </c>
      <c r="G3756" s="31" t="n">
        <v>97.4</v>
      </c>
      <c r="H3756" s="2" t="s">
        <v>822</v>
      </c>
    </row>
    <row r="3757" customFormat="false" ht="15" hidden="false" customHeight="false" outlineLevel="0" collapsed="false">
      <c r="A3757" s="2" t="s">
        <v>1087</v>
      </c>
      <c r="B3757" s="2" t="s">
        <v>46</v>
      </c>
      <c r="C3757" s="2" t="s">
        <v>4274</v>
      </c>
      <c r="D3757" s="11" t="n">
        <v>2890</v>
      </c>
      <c r="E3757" s="31" t="n">
        <v>19.4</v>
      </c>
      <c r="F3757" s="31" t="n">
        <v>70.2</v>
      </c>
      <c r="G3757" s="31" t="n">
        <v>27.4</v>
      </c>
      <c r="H3757" s="2" t="s">
        <v>822</v>
      </c>
    </row>
    <row r="3758" customFormat="false" ht="15" hidden="false" customHeight="false" outlineLevel="0" collapsed="false">
      <c r="A3758" s="2" t="s">
        <v>1087</v>
      </c>
      <c r="B3758" s="2" t="s">
        <v>46</v>
      </c>
      <c r="C3758" s="2" t="s">
        <v>4275</v>
      </c>
      <c r="D3758" s="11" t="n">
        <v>2990</v>
      </c>
      <c r="E3758" s="31" t="n">
        <v>62.9</v>
      </c>
      <c r="F3758" s="2"/>
      <c r="G3758" s="31" t="n">
        <v>19.6</v>
      </c>
      <c r="H3758" s="2" t="s">
        <v>832</v>
      </c>
    </row>
    <row r="3759" customFormat="false" ht="15" hidden="false" customHeight="false" outlineLevel="0" collapsed="false">
      <c r="A3759" s="2" t="s">
        <v>1087</v>
      </c>
      <c r="B3759" s="2" t="s">
        <v>47</v>
      </c>
      <c r="C3759" s="2" t="s">
        <v>4274</v>
      </c>
      <c r="D3759" s="11" t="n">
        <v>3152</v>
      </c>
      <c r="E3759" s="31" t="n">
        <v>99</v>
      </c>
      <c r="F3759" s="31" t="n">
        <v>77.8</v>
      </c>
      <c r="G3759" s="31" t="n">
        <v>63.8</v>
      </c>
      <c r="H3759" s="2" t="s">
        <v>822</v>
      </c>
    </row>
    <row r="3760" customFormat="false" ht="15" hidden="false" customHeight="false" outlineLevel="0" collapsed="false">
      <c r="A3760" s="2" t="s">
        <v>1087</v>
      </c>
      <c r="B3760" s="2" t="s">
        <v>47</v>
      </c>
      <c r="C3760" s="2" t="s">
        <v>4275</v>
      </c>
      <c r="D3760" s="11" t="n">
        <v>3382</v>
      </c>
      <c r="E3760" s="31" t="n">
        <v>96.6</v>
      </c>
      <c r="F3760" s="31" t="n">
        <v>83.8</v>
      </c>
      <c r="G3760" s="31" t="n">
        <v>22.8</v>
      </c>
      <c r="H3760" s="2" t="s">
        <v>822</v>
      </c>
    </row>
    <row r="3761" customFormat="false" ht="15" hidden="false" customHeight="false" outlineLevel="0" collapsed="false">
      <c r="A3761" s="2" t="s">
        <v>3216</v>
      </c>
      <c r="B3761" s="2" t="s">
        <v>4291</v>
      </c>
      <c r="C3761" s="2" t="s">
        <v>4274</v>
      </c>
      <c r="D3761" s="2"/>
      <c r="E3761" s="31" t="n">
        <v>52.6</v>
      </c>
      <c r="F3761" s="31" t="n">
        <v>52.4</v>
      </c>
      <c r="G3761" s="31" t="n">
        <v>67.4</v>
      </c>
      <c r="H3761" s="2" t="s">
        <v>822</v>
      </c>
    </row>
    <row r="3762" customFormat="false" ht="15" hidden="false" customHeight="false" outlineLevel="0" collapsed="false">
      <c r="A3762" s="2" t="s">
        <v>3216</v>
      </c>
      <c r="B3762" s="2" t="s">
        <v>4291</v>
      </c>
      <c r="C3762" s="2" t="s">
        <v>4275</v>
      </c>
      <c r="D3762" s="2"/>
      <c r="E3762" s="2"/>
      <c r="F3762" s="2"/>
      <c r="G3762" s="2"/>
      <c r="H3762" s="2" t="s">
        <v>832</v>
      </c>
    </row>
    <row r="3763" customFormat="false" ht="15" hidden="false" customHeight="false" outlineLevel="0" collapsed="false">
      <c r="A3763" s="2" t="s">
        <v>3216</v>
      </c>
      <c r="B3763" s="2" t="s">
        <v>45</v>
      </c>
      <c r="C3763" s="2" t="s">
        <v>4274</v>
      </c>
      <c r="D3763" s="11" t="n">
        <v>11720</v>
      </c>
      <c r="E3763" s="31" t="n">
        <v>57.9</v>
      </c>
      <c r="F3763" s="31" t="n">
        <v>69.7</v>
      </c>
      <c r="G3763" s="31" t="n">
        <v>75.4</v>
      </c>
      <c r="H3763" s="2" t="s">
        <v>822</v>
      </c>
    </row>
    <row r="3764" customFormat="false" ht="15" hidden="false" customHeight="false" outlineLevel="0" collapsed="false">
      <c r="A3764" s="2" t="s">
        <v>3216</v>
      </c>
      <c r="B3764" s="2" t="s">
        <v>45</v>
      </c>
      <c r="C3764" s="2" t="s">
        <v>4275</v>
      </c>
      <c r="D3764" s="2"/>
      <c r="E3764" s="2"/>
      <c r="F3764" s="2"/>
      <c r="G3764" s="2"/>
      <c r="H3764" s="2" t="s">
        <v>832</v>
      </c>
    </row>
    <row r="3765" customFormat="false" ht="15" hidden="false" customHeight="false" outlineLevel="0" collapsed="false">
      <c r="A3765" s="2" t="s">
        <v>3216</v>
      </c>
      <c r="B3765" s="2" t="s">
        <v>46</v>
      </c>
      <c r="C3765" s="2" t="s">
        <v>4274</v>
      </c>
      <c r="D3765" s="11" t="n">
        <v>21005</v>
      </c>
      <c r="E3765" s="31" t="n">
        <v>14.5</v>
      </c>
      <c r="F3765" s="31" t="n">
        <v>27.7</v>
      </c>
      <c r="G3765" s="31" t="n">
        <v>39.7</v>
      </c>
      <c r="H3765" s="2" t="s">
        <v>822</v>
      </c>
    </row>
    <row r="3766" customFormat="false" ht="15" hidden="false" customHeight="false" outlineLevel="0" collapsed="false">
      <c r="A3766" s="2" t="s">
        <v>3216</v>
      </c>
      <c r="B3766" s="2" t="s">
        <v>46</v>
      </c>
      <c r="C3766" s="2" t="s">
        <v>4275</v>
      </c>
      <c r="D3766" s="2"/>
      <c r="E3766" s="2"/>
      <c r="F3766" s="2"/>
      <c r="G3766" s="2"/>
      <c r="H3766" s="2" t="s">
        <v>832</v>
      </c>
    </row>
    <row r="3767" customFormat="false" ht="15" hidden="false" customHeight="false" outlineLevel="0" collapsed="false">
      <c r="A3767" s="2" t="s">
        <v>3216</v>
      </c>
      <c r="B3767" s="2" t="s">
        <v>47</v>
      </c>
      <c r="C3767" s="2" t="s">
        <v>4274</v>
      </c>
      <c r="D3767" s="11" t="n">
        <v>31778</v>
      </c>
      <c r="E3767" s="31" t="n">
        <v>85.3</v>
      </c>
      <c r="F3767" s="31" t="n">
        <v>59.8</v>
      </c>
      <c r="G3767" s="31" t="n">
        <v>87.1</v>
      </c>
      <c r="H3767" s="2" t="s">
        <v>822</v>
      </c>
    </row>
    <row r="3768" customFormat="false" ht="15" hidden="false" customHeight="false" outlineLevel="0" collapsed="false">
      <c r="A3768" s="2" t="s">
        <v>3216</v>
      </c>
      <c r="B3768" s="2" t="s">
        <v>47</v>
      </c>
      <c r="C3768" s="2" t="s">
        <v>4275</v>
      </c>
      <c r="D3768" s="2"/>
      <c r="E3768" s="2"/>
      <c r="F3768" s="2"/>
      <c r="G3768" s="2"/>
      <c r="H3768" s="2" t="s">
        <v>832</v>
      </c>
    </row>
    <row r="3769" customFormat="false" ht="15" hidden="false" customHeight="false" outlineLevel="0" collapsed="false">
      <c r="A3769" s="2" t="s">
        <v>1553</v>
      </c>
      <c r="B3769" s="2" t="s">
        <v>4291</v>
      </c>
      <c r="C3769" s="2" t="s">
        <v>4274</v>
      </c>
      <c r="D3769" s="2"/>
      <c r="E3769" s="31" t="n">
        <v>16.2</v>
      </c>
      <c r="F3769" s="31" t="n">
        <v>76</v>
      </c>
      <c r="G3769" s="31" t="n">
        <v>80.6</v>
      </c>
      <c r="H3769" s="2" t="s">
        <v>832</v>
      </c>
    </row>
    <row r="3770" customFormat="false" ht="15" hidden="false" customHeight="false" outlineLevel="0" collapsed="false">
      <c r="A3770" s="2" t="s">
        <v>1553</v>
      </c>
      <c r="B3770" s="2" t="s">
        <v>4291</v>
      </c>
      <c r="C3770" s="2" t="s">
        <v>4275</v>
      </c>
      <c r="D3770" s="2"/>
      <c r="E3770" s="31" t="n">
        <v>31.7</v>
      </c>
      <c r="F3770" s="31" t="n">
        <v>75.2</v>
      </c>
      <c r="G3770" s="31" t="n">
        <v>91.2</v>
      </c>
      <c r="H3770" s="2" t="s">
        <v>832</v>
      </c>
    </row>
    <row r="3771" customFormat="false" ht="15" hidden="false" customHeight="false" outlineLevel="0" collapsed="false">
      <c r="A3771" s="2" t="s">
        <v>1553</v>
      </c>
      <c r="B3771" s="2" t="s">
        <v>45</v>
      </c>
      <c r="C3771" s="2" t="s">
        <v>4274</v>
      </c>
      <c r="D3771" s="11" t="n">
        <v>13260</v>
      </c>
      <c r="E3771" s="31" t="n">
        <v>16.2</v>
      </c>
      <c r="F3771" s="31" t="n">
        <v>97.8</v>
      </c>
      <c r="G3771" s="31" t="n">
        <v>99.3</v>
      </c>
      <c r="H3771" s="2" t="s">
        <v>822</v>
      </c>
    </row>
    <row r="3772" customFormat="false" ht="15" hidden="false" customHeight="false" outlineLevel="0" collapsed="false">
      <c r="A3772" s="2" t="s">
        <v>1553</v>
      </c>
      <c r="B3772" s="2" t="s">
        <v>45</v>
      </c>
      <c r="C3772" s="2" t="s">
        <v>4275</v>
      </c>
      <c r="D3772" s="11" t="n">
        <v>14700</v>
      </c>
      <c r="E3772" s="31" t="n">
        <v>6.4</v>
      </c>
      <c r="F3772" s="31" t="n">
        <v>94.5</v>
      </c>
      <c r="G3772" s="31" t="n">
        <v>98.1</v>
      </c>
      <c r="H3772" s="2" t="s">
        <v>822</v>
      </c>
    </row>
    <row r="3773" customFormat="false" ht="15" hidden="false" customHeight="false" outlineLevel="0" collapsed="false">
      <c r="A3773" s="2" t="s">
        <v>1553</v>
      </c>
      <c r="B3773" s="2" t="s">
        <v>46</v>
      </c>
      <c r="C3773" s="2" t="s">
        <v>4274</v>
      </c>
      <c r="D3773" s="11" t="n">
        <v>26000</v>
      </c>
      <c r="E3773" s="2"/>
      <c r="F3773" s="31" t="n">
        <v>54.3</v>
      </c>
      <c r="G3773" s="31" t="n">
        <v>61.9</v>
      </c>
      <c r="H3773" s="2" t="s">
        <v>832</v>
      </c>
    </row>
    <row r="3774" customFormat="false" ht="15" hidden="false" customHeight="false" outlineLevel="0" collapsed="false">
      <c r="A3774" s="2" t="s">
        <v>1553</v>
      </c>
      <c r="B3774" s="2" t="s">
        <v>46</v>
      </c>
      <c r="C3774" s="2" t="s">
        <v>4275</v>
      </c>
      <c r="D3774" s="11" t="n">
        <v>26730</v>
      </c>
      <c r="E3774" s="31" t="n">
        <v>54.8</v>
      </c>
      <c r="F3774" s="31" t="n">
        <v>75.3</v>
      </c>
      <c r="G3774" s="2"/>
      <c r="H3774" s="2" t="s">
        <v>832</v>
      </c>
    </row>
    <row r="3775" customFormat="false" ht="15" hidden="false" customHeight="false" outlineLevel="0" collapsed="false">
      <c r="A3775" s="2" t="s">
        <v>1553</v>
      </c>
      <c r="B3775" s="2" t="s">
        <v>47</v>
      </c>
      <c r="C3775" s="2" t="s">
        <v>4274</v>
      </c>
      <c r="D3775" s="2"/>
      <c r="E3775" s="2"/>
      <c r="F3775" s="2"/>
      <c r="G3775" s="2"/>
      <c r="H3775" s="2" t="s">
        <v>832</v>
      </c>
    </row>
    <row r="3776" customFormat="false" ht="15" hidden="false" customHeight="false" outlineLevel="0" collapsed="false">
      <c r="A3776" s="2" t="s">
        <v>1553</v>
      </c>
      <c r="B3776" s="2" t="s">
        <v>47</v>
      </c>
      <c r="C3776" s="2" t="s">
        <v>4275</v>
      </c>
      <c r="D3776" s="11" t="n">
        <v>206050</v>
      </c>
      <c r="E3776" s="31" t="n">
        <v>34</v>
      </c>
      <c r="F3776" s="31" t="n">
        <v>55.9</v>
      </c>
      <c r="G3776" s="31" t="n">
        <v>84.2</v>
      </c>
      <c r="H3776" s="2" t="s">
        <v>822</v>
      </c>
    </row>
    <row r="3777" customFormat="false" ht="15" hidden="false" customHeight="false" outlineLevel="0" collapsed="false">
      <c r="A3777" s="2" t="s">
        <v>1561</v>
      </c>
      <c r="B3777" s="2" t="s">
        <v>4291</v>
      </c>
      <c r="C3777" s="2" t="s">
        <v>4274</v>
      </c>
      <c r="D3777" s="2"/>
      <c r="E3777" s="31" t="n">
        <v>44</v>
      </c>
      <c r="F3777" s="31" t="n">
        <v>81</v>
      </c>
      <c r="G3777" s="31" t="n">
        <v>70.9</v>
      </c>
      <c r="H3777" s="2" t="s">
        <v>822</v>
      </c>
    </row>
    <row r="3778" customFormat="false" ht="15" hidden="false" customHeight="false" outlineLevel="0" collapsed="false">
      <c r="A3778" s="2" t="s">
        <v>1561</v>
      </c>
      <c r="B3778" s="2" t="s">
        <v>4291</v>
      </c>
      <c r="C3778" s="2" t="s">
        <v>4275</v>
      </c>
      <c r="D3778" s="2"/>
      <c r="E3778" s="31" t="n">
        <v>53.1</v>
      </c>
      <c r="F3778" s="31" t="n">
        <v>84</v>
      </c>
      <c r="G3778" s="31" t="n">
        <v>55.4</v>
      </c>
      <c r="H3778" s="2" t="s">
        <v>832</v>
      </c>
    </row>
    <row r="3779" customFormat="false" ht="15" hidden="false" customHeight="false" outlineLevel="0" collapsed="false">
      <c r="A3779" s="2" t="s">
        <v>1561</v>
      </c>
      <c r="B3779" s="2" t="s">
        <v>45</v>
      </c>
      <c r="C3779" s="2" t="s">
        <v>4274</v>
      </c>
      <c r="D3779" s="11" t="n">
        <v>23478</v>
      </c>
      <c r="E3779" s="31" t="n">
        <v>3.7</v>
      </c>
      <c r="F3779" s="31" t="n">
        <v>79.6</v>
      </c>
      <c r="G3779" s="31" t="n">
        <v>57.1</v>
      </c>
      <c r="H3779" s="2" t="s">
        <v>822</v>
      </c>
    </row>
    <row r="3780" customFormat="false" ht="15" hidden="false" customHeight="false" outlineLevel="0" collapsed="false">
      <c r="A3780" s="2" t="s">
        <v>1561</v>
      </c>
      <c r="B3780" s="2" t="s">
        <v>45</v>
      </c>
      <c r="C3780" s="2" t="s">
        <v>4275</v>
      </c>
      <c r="D3780" s="11" t="n">
        <v>23850</v>
      </c>
      <c r="E3780" s="31" t="n">
        <v>5.5</v>
      </c>
      <c r="F3780" s="31" t="n">
        <v>68</v>
      </c>
      <c r="G3780" s="31" t="n">
        <v>50.8</v>
      </c>
      <c r="H3780" s="2" t="s">
        <v>822</v>
      </c>
    </row>
    <row r="3781" customFormat="false" ht="15" hidden="false" customHeight="false" outlineLevel="0" collapsed="false">
      <c r="A3781" s="2" t="s">
        <v>1561</v>
      </c>
      <c r="B3781" s="2" t="s">
        <v>46</v>
      </c>
      <c r="C3781" s="2" t="s">
        <v>4274</v>
      </c>
      <c r="D3781" s="11" t="n">
        <v>301</v>
      </c>
      <c r="E3781" s="31" t="n">
        <v>93.5</v>
      </c>
      <c r="F3781" s="31" t="n">
        <v>78.9</v>
      </c>
      <c r="G3781" s="31" t="n">
        <v>87.4</v>
      </c>
      <c r="H3781" s="2" t="s">
        <v>822</v>
      </c>
    </row>
    <row r="3782" customFormat="false" ht="15" hidden="false" customHeight="false" outlineLevel="0" collapsed="false">
      <c r="A3782" s="2" t="s">
        <v>1561</v>
      </c>
      <c r="B3782" s="2" t="s">
        <v>46</v>
      </c>
      <c r="C3782" s="2" t="s">
        <v>4275</v>
      </c>
      <c r="D3782" s="11" t="n">
        <v>320</v>
      </c>
      <c r="E3782" s="31" t="n">
        <v>81.9</v>
      </c>
      <c r="F3782" s="2"/>
      <c r="G3782" s="31" t="n">
        <v>27.8</v>
      </c>
      <c r="H3782" s="2" t="s">
        <v>832</v>
      </c>
    </row>
    <row r="3783" customFormat="false" ht="15" hidden="false" customHeight="false" outlineLevel="0" collapsed="false">
      <c r="A3783" s="2" t="s">
        <v>1561</v>
      </c>
      <c r="B3783" s="2" t="s">
        <v>47</v>
      </c>
      <c r="C3783" s="2" t="s">
        <v>4274</v>
      </c>
      <c r="D3783" s="11" t="n">
        <v>1050659</v>
      </c>
      <c r="E3783" s="31" t="n">
        <v>34.8</v>
      </c>
      <c r="F3783" s="31" t="n">
        <v>84.6</v>
      </c>
      <c r="G3783" s="31" t="n">
        <v>68.1</v>
      </c>
      <c r="H3783" s="2" t="s">
        <v>822</v>
      </c>
    </row>
    <row r="3784" customFormat="false" ht="15" hidden="false" customHeight="false" outlineLevel="0" collapsed="false">
      <c r="A3784" s="2" t="s">
        <v>1561</v>
      </c>
      <c r="B3784" s="2" t="s">
        <v>47</v>
      </c>
      <c r="C3784" s="2" t="s">
        <v>4275</v>
      </c>
      <c r="D3784" s="11" t="n">
        <v>1023240</v>
      </c>
      <c r="E3784" s="31" t="n">
        <v>71.8</v>
      </c>
      <c r="F3784" s="31" t="n">
        <v>100</v>
      </c>
      <c r="G3784" s="31" t="n">
        <v>87.6</v>
      </c>
      <c r="H3784" s="2" t="s">
        <v>822</v>
      </c>
    </row>
    <row r="3785" customFormat="false" ht="15" hidden="false" customHeight="false" outlineLevel="0" collapsed="false">
      <c r="A3785" s="2" t="s">
        <v>1673</v>
      </c>
      <c r="B3785" s="2" t="s">
        <v>4291</v>
      </c>
      <c r="C3785" s="2" t="s">
        <v>4274</v>
      </c>
      <c r="D3785" s="2"/>
      <c r="E3785" s="31" t="n">
        <v>42.1</v>
      </c>
      <c r="F3785" s="31" t="n">
        <v>45.6</v>
      </c>
      <c r="G3785" s="31" t="n">
        <v>54.4</v>
      </c>
      <c r="H3785" s="2" t="s">
        <v>822</v>
      </c>
    </row>
    <row r="3786" customFormat="false" ht="15" hidden="false" customHeight="false" outlineLevel="0" collapsed="false">
      <c r="A3786" s="2" t="s">
        <v>1673</v>
      </c>
      <c r="B3786" s="2" t="s">
        <v>4291</v>
      </c>
      <c r="C3786" s="2" t="s">
        <v>4275</v>
      </c>
      <c r="D3786" s="2"/>
      <c r="E3786" s="31" t="n">
        <v>55.6</v>
      </c>
      <c r="F3786" s="31" t="n">
        <v>36.9</v>
      </c>
      <c r="G3786" s="31" t="n">
        <v>39.7</v>
      </c>
      <c r="H3786" s="2" t="s">
        <v>832</v>
      </c>
    </row>
    <row r="3787" customFormat="false" ht="15" hidden="false" customHeight="false" outlineLevel="0" collapsed="false">
      <c r="A3787" s="2" t="s">
        <v>1673</v>
      </c>
      <c r="B3787" s="2" t="s">
        <v>45</v>
      </c>
      <c r="C3787" s="2" t="s">
        <v>4274</v>
      </c>
      <c r="D3787" s="11" t="n">
        <v>136138</v>
      </c>
      <c r="E3787" s="31" t="n">
        <v>4.5</v>
      </c>
      <c r="F3787" s="31" t="n">
        <v>77.4</v>
      </c>
      <c r="G3787" s="31" t="n">
        <v>4.1</v>
      </c>
      <c r="H3787" s="2" t="s">
        <v>822</v>
      </c>
    </row>
    <row r="3788" customFormat="false" ht="15" hidden="false" customHeight="false" outlineLevel="0" collapsed="false">
      <c r="A3788" s="2" t="s">
        <v>1673</v>
      </c>
      <c r="B3788" s="2" t="s">
        <v>45</v>
      </c>
      <c r="C3788" s="2" t="s">
        <v>4275</v>
      </c>
      <c r="D3788" s="11" t="n">
        <v>140570</v>
      </c>
      <c r="E3788" s="2"/>
      <c r="F3788" s="31" t="n">
        <v>57.1</v>
      </c>
      <c r="G3788" s="31" t="n">
        <v>12.6</v>
      </c>
      <c r="H3788" s="2" t="s">
        <v>832</v>
      </c>
    </row>
    <row r="3789" customFormat="false" ht="15" hidden="false" customHeight="false" outlineLevel="0" collapsed="false">
      <c r="A3789" s="2" t="s">
        <v>1673</v>
      </c>
      <c r="B3789" s="2" t="s">
        <v>46</v>
      </c>
      <c r="C3789" s="2" t="s">
        <v>4274</v>
      </c>
      <c r="D3789" s="11" t="n">
        <v>74470</v>
      </c>
      <c r="E3789" s="31" t="n">
        <v>88.3</v>
      </c>
      <c r="F3789" s="31" t="n">
        <v>22.8</v>
      </c>
      <c r="G3789" s="31" t="n">
        <v>93.8</v>
      </c>
      <c r="H3789" s="2" t="s">
        <v>822</v>
      </c>
    </row>
    <row r="3790" customFormat="false" ht="15" hidden="false" customHeight="false" outlineLevel="0" collapsed="false">
      <c r="A3790" s="2" t="s">
        <v>1673</v>
      </c>
      <c r="B3790" s="2" t="s">
        <v>46</v>
      </c>
      <c r="C3790" s="2" t="s">
        <v>4275</v>
      </c>
      <c r="D3790" s="11" t="n">
        <v>75520</v>
      </c>
      <c r="E3790" s="31" t="n">
        <v>88.2</v>
      </c>
      <c r="F3790" s="31" t="n">
        <v>12.4</v>
      </c>
      <c r="G3790" s="31" t="n">
        <v>95.1</v>
      </c>
      <c r="H3790" s="2" t="s">
        <v>822</v>
      </c>
    </row>
    <row r="3791" customFormat="false" ht="15" hidden="false" customHeight="false" outlineLevel="0" collapsed="false">
      <c r="A3791" s="2" t="s">
        <v>1673</v>
      </c>
      <c r="B3791" s="2" t="s">
        <v>47</v>
      </c>
      <c r="C3791" s="2" t="s">
        <v>4274</v>
      </c>
      <c r="D3791" s="11" t="n">
        <v>7203</v>
      </c>
      <c r="E3791" s="31" t="n">
        <v>33.4</v>
      </c>
      <c r="F3791" s="31" t="n">
        <v>36.7</v>
      </c>
      <c r="G3791" s="31" t="n">
        <v>65.3</v>
      </c>
      <c r="H3791" s="2" t="s">
        <v>822</v>
      </c>
    </row>
    <row r="3792" customFormat="false" ht="15" hidden="false" customHeight="false" outlineLevel="0" collapsed="false">
      <c r="A3792" s="2" t="s">
        <v>1673</v>
      </c>
      <c r="B3792" s="2" t="s">
        <v>47</v>
      </c>
      <c r="C3792" s="2" t="s">
        <v>4275</v>
      </c>
      <c r="D3792" s="11" t="n">
        <v>7460</v>
      </c>
      <c r="E3792" s="31" t="n">
        <v>23.1</v>
      </c>
      <c r="F3792" s="31" t="n">
        <v>41.2</v>
      </c>
      <c r="G3792" s="31" t="n">
        <v>11.3</v>
      </c>
      <c r="H3792" s="2" t="s">
        <v>822</v>
      </c>
    </row>
    <row r="3793" customFormat="false" ht="15" hidden="false" customHeight="false" outlineLevel="0" collapsed="false">
      <c r="A3793" s="2" t="s">
        <v>800</v>
      </c>
      <c r="B3793" s="2" t="s">
        <v>4291</v>
      </c>
      <c r="C3793" s="2" t="s">
        <v>4274</v>
      </c>
      <c r="D3793" s="2"/>
      <c r="E3793" s="31" t="n">
        <v>3.3</v>
      </c>
      <c r="F3793" s="31" t="n">
        <v>23.1</v>
      </c>
      <c r="G3793" s="31" t="n">
        <v>77.2</v>
      </c>
      <c r="H3793" s="2" t="s">
        <v>822</v>
      </c>
    </row>
    <row r="3794" customFormat="false" ht="15" hidden="false" customHeight="false" outlineLevel="0" collapsed="false">
      <c r="A3794" s="2" t="s">
        <v>800</v>
      </c>
      <c r="B3794" s="2" t="s">
        <v>4291</v>
      </c>
      <c r="C3794" s="2" t="s">
        <v>4275</v>
      </c>
      <c r="D3794" s="2"/>
      <c r="E3794" s="31" t="n">
        <v>3.5</v>
      </c>
      <c r="F3794" s="31" t="n">
        <v>15.3</v>
      </c>
      <c r="G3794" s="31" t="n">
        <v>32</v>
      </c>
      <c r="H3794" s="2" t="s">
        <v>822</v>
      </c>
    </row>
    <row r="3795" customFormat="false" ht="15" hidden="false" customHeight="false" outlineLevel="0" collapsed="false">
      <c r="A3795" s="2" t="s">
        <v>800</v>
      </c>
      <c r="B3795" s="2" t="s">
        <v>46</v>
      </c>
      <c r="C3795" s="2" t="s">
        <v>4274</v>
      </c>
      <c r="D3795" s="11" t="n">
        <v>549391</v>
      </c>
      <c r="E3795" s="31" t="n">
        <v>3.3</v>
      </c>
      <c r="F3795" s="31" t="n">
        <v>23.1</v>
      </c>
      <c r="G3795" s="31" t="n">
        <v>77.2</v>
      </c>
      <c r="H3795" s="2" t="s">
        <v>822</v>
      </c>
    </row>
    <row r="3796" customFormat="false" ht="15" hidden="false" customHeight="false" outlineLevel="0" collapsed="false">
      <c r="A3796" s="2" t="s">
        <v>800</v>
      </c>
      <c r="B3796" s="2" t="s">
        <v>46</v>
      </c>
      <c r="C3796" s="2" t="s">
        <v>4275</v>
      </c>
      <c r="D3796" s="11" t="n">
        <v>546080</v>
      </c>
      <c r="E3796" s="31" t="n">
        <v>3.5</v>
      </c>
      <c r="F3796" s="31" t="n">
        <v>15.3</v>
      </c>
      <c r="G3796" s="31" t="n">
        <v>32</v>
      </c>
      <c r="H3796" s="2" t="s">
        <v>822</v>
      </c>
    </row>
    <row r="3797" customFormat="false" ht="15" hidden="false" customHeight="false" outlineLevel="0" collapsed="false">
      <c r="A3797" s="2" t="s">
        <v>879</v>
      </c>
      <c r="B3797" s="2" t="s">
        <v>4291</v>
      </c>
      <c r="C3797" s="2" t="s">
        <v>4274</v>
      </c>
      <c r="D3797" s="2"/>
      <c r="E3797" s="31" t="n">
        <v>75.8</v>
      </c>
      <c r="F3797" s="31" t="n">
        <v>82.1</v>
      </c>
      <c r="G3797" s="2"/>
      <c r="H3797" s="2" t="s">
        <v>832</v>
      </c>
    </row>
    <row r="3798" customFormat="false" ht="15" hidden="false" customHeight="false" outlineLevel="0" collapsed="false">
      <c r="A3798" s="2" t="s">
        <v>879</v>
      </c>
      <c r="B3798" s="2" t="s">
        <v>4291</v>
      </c>
      <c r="C3798" s="2" t="s">
        <v>4275</v>
      </c>
      <c r="D3798" s="2"/>
      <c r="E3798" s="31" t="n">
        <v>61.8</v>
      </c>
      <c r="F3798" s="31" t="n">
        <v>54.5</v>
      </c>
      <c r="G3798" s="31" t="n">
        <v>44.8</v>
      </c>
      <c r="H3798" s="2" t="s">
        <v>832</v>
      </c>
    </row>
    <row r="3799" customFormat="false" ht="15" hidden="false" customHeight="false" outlineLevel="0" collapsed="false">
      <c r="A3799" s="2" t="s">
        <v>879</v>
      </c>
      <c r="B3799" s="2" t="s">
        <v>45</v>
      </c>
      <c r="C3799" s="2" t="s">
        <v>4274</v>
      </c>
      <c r="D3799" s="11" t="n">
        <v>37258</v>
      </c>
      <c r="E3799" s="31" t="n">
        <v>75.8</v>
      </c>
      <c r="F3799" s="31" t="n">
        <v>82.1</v>
      </c>
      <c r="G3799" s="2"/>
      <c r="H3799" s="2" t="s">
        <v>832</v>
      </c>
    </row>
    <row r="3800" customFormat="false" ht="15" hidden="false" customHeight="false" outlineLevel="0" collapsed="false">
      <c r="A3800" s="2" t="s">
        <v>879</v>
      </c>
      <c r="B3800" s="2" t="s">
        <v>45</v>
      </c>
      <c r="C3800" s="2" t="s">
        <v>4275</v>
      </c>
      <c r="D3800" s="11" t="n">
        <v>39277</v>
      </c>
      <c r="E3800" s="31" t="n">
        <v>94.1</v>
      </c>
      <c r="F3800" s="31" t="n">
        <v>54.6</v>
      </c>
      <c r="G3800" s="31" t="n">
        <v>83.9</v>
      </c>
      <c r="H3800" s="2" t="s">
        <v>822</v>
      </c>
    </row>
    <row r="3801" customFormat="false" ht="15" hidden="false" customHeight="false" outlineLevel="0" collapsed="false">
      <c r="A3801" s="2" t="s">
        <v>879</v>
      </c>
      <c r="B3801" s="2" t="s">
        <v>46</v>
      </c>
      <c r="C3801" s="2" t="s">
        <v>4274</v>
      </c>
      <c r="D3801" s="2"/>
      <c r="E3801" s="2"/>
      <c r="F3801" s="2"/>
      <c r="G3801" s="2"/>
      <c r="H3801" s="2" t="s">
        <v>832</v>
      </c>
    </row>
    <row r="3802" customFormat="false" ht="15" hidden="false" customHeight="false" outlineLevel="0" collapsed="false">
      <c r="A3802" s="2" t="s">
        <v>879</v>
      </c>
      <c r="B3802" s="2" t="s">
        <v>46</v>
      </c>
      <c r="C3802" s="2" t="s">
        <v>4275</v>
      </c>
      <c r="D3802" s="11" t="n">
        <v>13990</v>
      </c>
      <c r="E3802" s="31" t="n">
        <v>67.6</v>
      </c>
      <c r="F3802" s="31" t="n">
        <v>33.1</v>
      </c>
      <c r="G3802" s="2"/>
      <c r="H3802" s="2" t="s">
        <v>832</v>
      </c>
    </row>
    <row r="3803" customFormat="false" ht="15" hidden="false" customHeight="false" outlineLevel="0" collapsed="false">
      <c r="A3803" s="2" t="s">
        <v>879</v>
      </c>
      <c r="B3803" s="2" t="s">
        <v>47</v>
      </c>
      <c r="C3803" s="2" t="s">
        <v>4274</v>
      </c>
      <c r="D3803" s="2"/>
      <c r="E3803" s="2"/>
      <c r="F3803" s="2"/>
      <c r="G3803" s="2"/>
      <c r="H3803" s="2" t="s">
        <v>832</v>
      </c>
    </row>
    <row r="3804" customFormat="false" ht="15" hidden="false" customHeight="false" outlineLevel="0" collapsed="false">
      <c r="A3804" s="2" t="s">
        <v>879</v>
      </c>
      <c r="B3804" s="2" t="s">
        <v>47</v>
      </c>
      <c r="C3804" s="2" t="s">
        <v>4275</v>
      </c>
      <c r="D3804" s="11" t="n">
        <v>995565</v>
      </c>
      <c r="E3804" s="31" t="n">
        <v>23.8</v>
      </c>
      <c r="F3804" s="31" t="n">
        <v>75.8</v>
      </c>
      <c r="G3804" s="31" t="n">
        <v>5.6</v>
      </c>
      <c r="H3804" s="2" t="s">
        <v>822</v>
      </c>
    </row>
    <row r="3805" customFormat="false" ht="15" hidden="false" customHeight="false" outlineLevel="0" collapsed="false">
      <c r="A3805" s="2" t="s">
        <v>748</v>
      </c>
      <c r="B3805" s="2" t="s">
        <v>4291</v>
      </c>
      <c r="C3805" s="2" t="s">
        <v>4274</v>
      </c>
      <c r="D3805" s="2"/>
      <c r="E3805" s="31" t="n">
        <v>47.6</v>
      </c>
      <c r="F3805" s="31" t="n">
        <v>96.7</v>
      </c>
      <c r="G3805" s="31" t="n">
        <v>42.2</v>
      </c>
      <c r="H3805" s="2" t="s">
        <v>822</v>
      </c>
    </row>
    <row r="3806" customFormat="false" ht="15" hidden="false" customHeight="false" outlineLevel="0" collapsed="false">
      <c r="A3806" s="2" t="s">
        <v>748</v>
      </c>
      <c r="B3806" s="2" t="s">
        <v>4291</v>
      </c>
      <c r="C3806" s="2" t="s">
        <v>4275</v>
      </c>
      <c r="D3806" s="2"/>
      <c r="E3806" s="31" t="n">
        <v>21.7</v>
      </c>
      <c r="F3806" s="31" t="n">
        <v>78.8</v>
      </c>
      <c r="G3806" s="31" t="n">
        <v>46.1</v>
      </c>
      <c r="H3806" s="2" t="s">
        <v>822</v>
      </c>
    </row>
    <row r="3807" customFormat="false" ht="15" hidden="false" customHeight="false" outlineLevel="0" collapsed="false">
      <c r="A3807" s="2" t="s">
        <v>748</v>
      </c>
      <c r="B3807" s="2" t="s">
        <v>47</v>
      </c>
      <c r="C3807" s="2" t="s">
        <v>4274</v>
      </c>
      <c r="D3807" s="11" t="n">
        <v>7511</v>
      </c>
      <c r="E3807" s="31" t="n">
        <v>47.6</v>
      </c>
      <c r="F3807" s="31" t="n">
        <v>96.7</v>
      </c>
      <c r="G3807" s="31" t="n">
        <v>42.2</v>
      </c>
      <c r="H3807" s="2" t="s">
        <v>822</v>
      </c>
    </row>
    <row r="3808" customFormat="false" ht="15" hidden="false" customHeight="false" outlineLevel="0" collapsed="false">
      <c r="A3808" s="2" t="s">
        <v>748</v>
      </c>
      <c r="B3808" s="2" t="s">
        <v>47</v>
      </c>
      <c r="C3808" s="2" t="s">
        <v>4275</v>
      </c>
      <c r="D3808" s="11" t="n">
        <v>8014</v>
      </c>
      <c r="E3808" s="31" t="n">
        <v>21.7</v>
      </c>
      <c r="F3808" s="31" t="n">
        <v>78.8</v>
      </c>
      <c r="G3808" s="31" t="n">
        <v>46.1</v>
      </c>
      <c r="H3808" s="2" t="s">
        <v>822</v>
      </c>
    </row>
    <row r="3809" customFormat="false" ht="15" hidden="false" customHeight="false" outlineLevel="0" collapsed="false">
      <c r="A3809" s="2" t="s">
        <v>1659</v>
      </c>
      <c r="B3809" s="2" t="s">
        <v>4291</v>
      </c>
      <c r="C3809" s="2" t="s">
        <v>4274</v>
      </c>
      <c r="D3809" s="2"/>
      <c r="E3809" s="31" t="n">
        <v>51.4</v>
      </c>
      <c r="F3809" s="31" t="n">
        <v>91.1</v>
      </c>
      <c r="G3809" s="31" t="n">
        <v>85.3</v>
      </c>
      <c r="H3809" s="2" t="s">
        <v>822</v>
      </c>
    </row>
    <row r="3810" customFormat="false" ht="15" hidden="false" customHeight="false" outlineLevel="0" collapsed="false">
      <c r="A3810" s="2" t="s">
        <v>1659</v>
      </c>
      <c r="B3810" s="2" t="s">
        <v>4291</v>
      </c>
      <c r="C3810" s="2" t="s">
        <v>4275</v>
      </c>
      <c r="D3810" s="2"/>
      <c r="E3810" s="31" t="n">
        <v>45.8</v>
      </c>
      <c r="F3810" s="31" t="n">
        <v>83</v>
      </c>
      <c r="G3810" s="31" t="n">
        <v>88.1</v>
      </c>
      <c r="H3810" s="2" t="s">
        <v>832</v>
      </c>
    </row>
    <row r="3811" customFormat="false" ht="15" hidden="false" customHeight="false" outlineLevel="0" collapsed="false">
      <c r="A3811" s="2" t="s">
        <v>1659</v>
      </c>
      <c r="B3811" s="2" t="s">
        <v>46</v>
      </c>
      <c r="C3811" s="2" t="s">
        <v>4274</v>
      </c>
      <c r="D3811" s="11" t="n">
        <v>11013</v>
      </c>
      <c r="E3811" s="31" t="n">
        <v>95.1</v>
      </c>
      <c r="F3811" s="31" t="n">
        <v>82.4</v>
      </c>
      <c r="G3811" s="31" t="n">
        <v>89.5</v>
      </c>
      <c r="H3811" s="2" t="s">
        <v>822</v>
      </c>
    </row>
    <row r="3812" customFormat="false" ht="15" hidden="false" customHeight="false" outlineLevel="0" collapsed="false">
      <c r="A3812" s="2" t="s">
        <v>1659</v>
      </c>
      <c r="B3812" s="2" t="s">
        <v>46</v>
      </c>
      <c r="C3812" s="2" t="s">
        <v>4275</v>
      </c>
      <c r="D3812" s="11" t="n">
        <v>11610</v>
      </c>
      <c r="E3812" s="31" t="n">
        <v>90.8</v>
      </c>
      <c r="F3812" s="31" t="n">
        <v>86.5</v>
      </c>
      <c r="G3812" s="31" t="n">
        <v>88.1</v>
      </c>
      <c r="H3812" s="2" t="s">
        <v>822</v>
      </c>
    </row>
    <row r="3813" customFormat="false" ht="15" hidden="false" customHeight="false" outlineLevel="0" collapsed="false">
      <c r="A3813" s="2" t="s">
        <v>1659</v>
      </c>
      <c r="B3813" s="2" t="s">
        <v>47</v>
      </c>
      <c r="C3813" s="2" t="s">
        <v>4274</v>
      </c>
      <c r="D3813" s="11" t="n">
        <v>53147</v>
      </c>
      <c r="E3813" s="31" t="n">
        <v>7.8</v>
      </c>
      <c r="F3813" s="31" t="n">
        <v>99.7</v>
      </c>
      <c r="G3813" s="31" t="n">
        <v>81.1</v>
      </c>
      <c r="H3813" s="2" t="s">
        <v>822</v>
      </c>
    </row>
    <row r="3814" customFormat="false" ht="15" hidden="false" customHeight="false" outlineLevel="0" collapsed="false">
      <c r="A3814" s="2" t="s">
        <v>1659</v>
      </c>
      <c r="B3814" s="2" t="s">
        <v>47</v>
      </c>
      <c r="C3814" s="2" t="s">
        <v>4275</v>
      </c>
      <c r="D3814" s="11" t="n">
        <v>91536</v>
      </c>
      <c r="E3814" s="31" t="n">
        <v>0.7</v>
      </c>
      <c r="F3814" s="31" t="n">
        <v>79.5</v>
      </c>
      <c r="G3814" s="2"/>
      <c r="H3814" s="2" t="s">
        <v>832</v>
      </c>
    </row>
    <row r="3815" customFormat="false" ht="15" hidden="false" customHeight="false" outlineLevel="0" collapsed="false">
      <c r="A3815" s="2" t="s">
        <v>742</v>
      </c>
      <c r="B3815" s="2" t="s">
        <v>4291</v>
      </c>
      <c r="C3815" s="2" t="s">
        <v>4274</v>
      </c>
      <c r="D3815" s="2"/>
      <c r="E3815" s="31" t="n">
        <v>19.8</v>
      </c>
      <c r="F3815" s="31" t="n">
        <v>66.7</v>
      </c>
      <c r="G3815" s="31" t="n">
        <v>79.4</v>
      </c>
      <c r="H3815" s="2" t="s">
        <v>832</v>
      </c>
    </row>
    <row r="3816" customFormat="false" ht="15" hidden="false" customHeight="false" outlineLevel="0" collapsed="false">
      <c r="A3816" s="2" t="s">
        <v>742</v>
      </c>
      <c r="B3816" s="2" t="s">
        <v>4291</v>
      </c>
      <c r="C3816" s="2" t="s">
        <v>4275</v>
      </c>
      <c r="D3816" s="2"/>
      <c r="E3816" s="31" t="n">
        <v>22.7</v>
      </c>
      <c r="F3816" s="31" t="n">
        <v>35.9</v>
      </c>
      <c r="G3816" s="31" t="n">
        <v>63.8</v>
      </c>
      <c r="H3816" s="2" t="s">
        <v>822</v>
      </c>
    </row>
    <row r="3817" customFormat="false" ht="15" hidden="false" customHeight="false" outlineLevel="0" collapsed="false">
      <c r="A3817" s="2" t="s">
        <v>742</v>
      </c>
      <c r="B3817" s="2" t="s">
        <v>45</v>
      </c>
      <c r="C3817" s="2" t="s">
        <v>4274</v>
      </c>
      <c r="D3817" s="11" t="n">
        <v>21760</v>
      </c>
      <c r="E3817" s="31" t="n">
        <v>0.4</v>
      </c>
      <c r="F3817" s="31" t="n">
        <v>94.2</v>
      </c>
      <c r="G3817" s="31" t="n">
        <v>73.9</v>
      </c>
      <c r="H3817" s="2" t="s">
        <v>822</v>
      </c>
    </row>
    <row r="3818" customFormat="false" ht="15" hidden="false" customHeight="false" outlineLevel="0" collapsed="false">
      <c r="A3818" s="2" t="s">
        <v>742</v>
      </c>
      <c r="B3818" s="2" t="s">
        <v>45</v>
      </c>
      <c r="C3818" s="2" t="s">
        <v>4275</v>
      </c>
      <c r="D3818" s="11" t="n">
        <v>23430</v>
      </c>
      <c r="E3818" s="31" t="n">
        <v>2.5</v>
      </c>
      <c r="F3818" s="31" t="n">
        <v>82.8</v>
      </c>
      <c r="G3818" s="31" t="n">
        <v>38</v>
      </c>
      <c r="H3818" s="2" t="s">
        <v>822</v>
      </c>
    </row>
    <row r="3819" customFormat="false" ht="15" hidden="false" customHeight="false" outlineLevel="0" collapsed="false">
      <c r="A3819" s="2" t="s">
        <v>742</v>
      </c>
      <c r="B3819" s="2" t="s">
        <v>46</v>
      </c>
      <c r="C3819" s="2" t="s">
        <v>4274</v>
      </c>
      <c r="D3819" s="2"/>
      <c r="E3819" s="2"/>
      <c r="F3819" s="2"/>
      <c r="G3819" s="2"/>
      <c r="H3819" s="2" t="s">
        <v>832</v>
      </c>
    </row>
    <row r="3820" customFormat="false" ht="15" hidden="false" customHeight="false" outlineLevel="0" collapsed="false">
      <c r="A3820" s="2" t="s">
        <v>742</v>
      </c>
      <c r="B3820" s="2" t="s">
        <v>46</v>
      </c>
      <c r="C3820" s="2" t="s">
        <v>4275</v>
      </c>
      <c r="D3820" s="11" t="n">
        <v>79150</v>
      </c>
      <c r="E3820" s="31" t="n">
        <v>26.1</v>
      </c>
      <c r="F3820" s="31" t="n">
        <v>14.9</v>
      </c>
      <c r="G3820" s="31" t="n">
        <v>54.7</v>
      </c>
      <c r="H3820" s="2" t="s">
        <v>822</v>
      </c>
    </row>
    <row r="3821" customFormat="false" ht="15" hidden="false" customHeight="false" outlineLevel="0" collapsed="false">
      <c r="A3821" s="2" t="s">
        <v>742</v>
      </c>
      <c r="B3821" s="2" t="s">
        <v>47</v>
      </c>
      <c r="C3821" s="2" t="s">
        <v>4274</v>
      </c>
      <c r="D3821" s="11" t="n">
        <v>15702</v>
      </c>
      <c r="E3821" s="31" t="n">
        <v>39.1</v>
      </c>
      <c r="F3821" s="31" t="n">
        <v>39.2</v>
      </c>
      <c r="G3821" s="31" t="n">
        <v>85</v>
      </c>
      <c r="H3821" s="2" t="s">
        <v>822</v>
      </c>
    </row>
    <row r="3822" customFormat="false" ht="15" hidden="false" customHeight="false" outlineLevel="0" collapsed="false">
      <c r="A3822" s="2" t="s">
        <v>742</v>
      </c>
      <c r="B3822" s="2" t="s">
        <v>47</v>
      </c>
      <c r="C3822" s="2" t="s">
        <v>4275</v>
      </c>
      <c r="D3822" s="11" t="n">
        <v>15350</v>
      </c>
      <c r="E3822" s="31" t="n">
        <v>39.5</v>
      </c>
      <c r="F3822" s="31" t="n">
        <v>10.1</v>
      </c>
      <c r="G3822" s="31" t="n">
        <v>98.7</v>
      </c>
      <c r="H3822" s="2" t="s">
        <v>822</v>
      </c>
    </row>
    <row r="3823" customFormat="false" ht="15" hidden="false" customHeight="false" outlineLevel="0" collapsed="false">
      <c r="A3823" s="2" t="s">
        <v>1075</v>
      </c>
      <c r="B3823" s="2" t="s">
        <v>4291</v>
      </c>
      <c r="C3823" s="2" t="s">
        <v>4274</v>
      </c>
      <c r="D3823" s="2"/>
      <c r="E3823" s="31" t="n">
        <v>79.3</v>
      </c>
      <c r="F3823" s="31" t="n">
        <v>26.9</v>
      </c>
      <c r="G3823" s="31" t="n">
        <v>54</v>
      </c>
      <c r="H3823" s="2" t="s">
        <v>822</v>
      </c>
    </row>
    <row r="3824" customFormat="false" ht="15" hidden="false" customHeight="false" outlineLevel="0" collapsed="false">
      <c r="A3824" s="2" t="s">
        <v>1075</v>
      </c>
      <c r="B3824" s="2" t="s">
        <v>4291</v>
      </c>
      <c r="C3824" s="2" t="s">
        <v>4275</v>
      </c>
      <c r="D3824" s="2"/>
      <c r="E3824" s="31" t="n">
        <v>64.7</v>
      </c>
      <c r="F3824" s="31" t="n">
        <v>29.8</v>
      </c>
      <c r="G3824" s="31" t="n">
        <v>38.3</v>
      </c>
      <c r="H3824" s="2" t="s">
        <v>832</v>
      </c>
    </row>
    <row r="3825" customFormat="false" ht="15" hidden="false" customHeight="false" outlineLevel="0" collapsed="false">
      <c r="A3825" s="2" t="s">
        <v>1075</v>
      </c>
      <c r="B3825" s="2" t="s">
        <v>45</v>
      </c>
      <c r="C3825" s="2" t="s">
        <v>4274</v>
      </c>
      <c r="D3825" s="11" t="n">
        <v>848476</v>
      </c>
      <c r="E3825" s="31" t="n">
        <v>79.1</v>
      </c>
      <c r="F3825" s="31" t="n">
        <v>13</v>
      </c>
      <c r="G3825" s="31" t="n">
        <v>40.2</v>
      </c>
      <c r="H3825" s="2" t="s">
        <v>822</v>
      </c>
    </row>
    <row r="3826" customFormat="false" ht="15" hidden="false" customHeight="false" outlineLevel="0" collapsed="false">
      <c r="A3826" s="2" t="s">
        <v>1075</v>
      </c>
      <c r="B3826" s="2" t="s">
        <v>45</v>
      </c>
      <c r="C3826" s="2" t="s">
        <v>4275</v>
      </c>
      <c r="D3826" s="11" t="n">
        <v>872228</v>
      </c>
      <c r="E3826" s="31" t="n">
        <v>69.8</v>
      </c>
      <c r="F3826" s="31" t="n">
        <v>5.7</v>
      </c>
      <c r="G3826" s="31" t="n">
        <v>36.1</v>
      </c>
      <c r="H3826" s="2" t="s">
        <v>822</v>
      </c>
    </row>
    <row r="3827" customFormat="false" ht="15" hidden="false" customHeight="false" outlineLevel="0" collapsed="false">
      <c r="A3827" s="2" t="s">
        <v>1075</v>
      </c>
      <c r="B3827" s="2" t="s">
        <v>46</v>
      </c>
      <c r="C3827" s="2" t="s">
        <v>4274</v>
      </c>
      <c r="D3827" s="11" t="n">
        <v>902225</v>
      </c>
      <c r="E3827" s="31" t="n">
        <v>81</v>
      </c>
      <c r="F3827" s="31" t="n">
        <v>5.1</v>
      </c>
      <c r="G3827" s="31" t="n">
        <v>34.2</v>
      </c>
      <c r="H3827" s="2" t="s">
        <v>822</v>
      </c>
    </row>
    <row r="3828" customFormat="false" ht="15" hidden="false" customHeight="false" outlineLevel="0" collapsed="false">
      <c r="A3828" s="2" t="s">
        <v>1075</v>
      </c>
      <c r="B3828" s="2" t="s">
        <v>46</v>
      </c>
      <c r="C3828" s="2" t="s">
        <v>4275</v>
      </c>
      <c r="D3828" s="2"/>
      <c r="E3828" s="2"/>
      <c r="F3828" s="2"/>
      <c r="G3828" s="31" t="n">
        <v>30.2</v>
      </c>
      <c r="H3828" s="2" t="s">
        <v>832</v>
      </c>
    </row>
    <row r="3829" customFormat="false" ht="15" hidden="false" customHeight="false" outlineLevel="0" collapsed="false">
      <c r="A3829" s="2" t="s">
        <v>1075</v>
      </c>
      <c r="B3829" s="2" t="s">
        <v>47</v>
      </c>
      <c r="C3829" s="2" t="s">
        <v>4274</v>
      </c>
      <c r="D3829" s="11" t="n">
        <v>37836</v>
      </c>
      <c r="E3829" s="31" t="n">
        <v>77.9</v>
      </c>
      <c r="F3829" s="31" t="n">
        <v>62.7</v>
      </c>
      <c r="G3829" s="31" t="n">
        <v>87.7</v>
      </c>
      <c r="H3829" s="2" t="s">
        <v>822</v>
      </c>
    </row>
    <row r="3830" customFormat="false" ht="15" hidden="false" customHeight="false" outlineLevel="0" collapsed="false">
      <c r="A3830" s="2" t="s">
        <v>1075</v>
      </c>
      <c r="B3830" s="2" t="s">
        <v>47</v>
      </c>
      <c r="C3830" s="2" t="s">
        <v>4275</v>
      </c>
      <c r="D3830" s="11" t="n">
        <v>38170</v>
      </c>
      <c r="E3830" s="31" t="n">
        <v>59.6</v>
      </c>
      <c r="F3830" s="31" t="n">
        <v>53.9</v>
      </c>
      <c r="G3830" s="31" t="n">
        <v>48.7</v>
      </c>
      <c r="H3830" s="2" t="s">
        <v>822</v>
      </c>
    </row>
    <row r="3831" customFormat="false" ht="15" hidden="false" customHeight="false" outlineLevel="0" collapsed="false">
      <c r="A3831" s="2" t="s">
        <v>640</v>
      </c>
      <c r="B3831" s="2" t="s">
        <v>4291</v>
      </c>
      <c r="C3831" s="2" t="s">
        <v>4274</v>
      </c>
      <c r="D3831" s="2"/>
      <c r="E3831" s="31" t="n">
        <v>72.6</v>
      </c>
      <c r="F3831" s="31" t="n">
        <v>34.6</v>
      </c>
      <c r="G3831" s="31" t="n">
        <v>54.1</v>
      </c>
      <c r="H3831" s="2" t="s">
        <v>822</v>
      </c>
    </row>
    <row r="3832" customFormat="false" ht="15" hidden="false" customHeight="false" outlineLevel="0" collapsed="false">
      <c r="A3832" s="2" t="s">
        <v>640</v>
      </c>
      <c r="B3832" s="2" t="s">
        <v>4291</v>
      </c>
      <c r="C3832" s="2" t="s">
        <v>4275</v>
      </c>
      <c r="D3832" s="2"/>
      <c r="E3832" s="31" t="n">
        <v>36</v>
      </c>
      <c r="F3832" s="31" t="n">
        <v>16.6</v>
      </c>
      <c r="G3832" s="31" t="n">
        <v>77.5</v>
      </c>
      <c r="H3832" s="2" t="s">
        <v>822</v>
      </c>
    </row>
    <row r="3833" customFormat="false" ht="15" hidden="false" customHeight="false" outlineLevel="0" collapsed="false">
      <c r="A3833" s="2" t="s">
        <v>640</v>
      </c>
      <c r="B3833" s="2" t="s">
        <v>46</v>
      </c>
      <c r="C3833" s="2" t="s">
        <v>4274</v>
      </c>
      <c r="D3833" s="11" t="n">
        <v>118320</v>
      </c>
      <c r="E3833" s="31" t="n">
        <v>72.6</v>
      </c>
      <c r="F3833" s="31" t="n">
        <v>34.6</v>
      </c>
      <c r="G3833" s="31" t="n">
        <v>54.1</v>
      </c>
      <c r="H3833" s="2" t="s">
        <v>822</v>
      </c>
    </row>
    <row r="3834" customFormat="false" ht="15" hidden="false" customHeight="false" outlineLevel="0" collapsed="false">
      <c r="A3834" s="2" t="s">
        <v>640</v>
      </c>
      <c r="B3834" s="2" t="s">
        <v>46</v>
      </c>
      <c r="C3834" s="2" t="s">
        <v>4275</v>
      </c>
      <c r="D3834" s="11" t="n">
        <v>119110</v>
      </c>
      <c r="E3834" s="31" t="n">
        <v>36</v>
      </c>
      <c r="F3834" s="31" t="n">
        <v>16.6</v>
      </c>
      <c r="G3834" s="31" t="n">
        <v>77.5</v>
      </c>
      <c r="H3834" s="2" t="s">
        <v>822</v>
      </c>
    </row>
    <row r="3835" customFormat="false" ht="15" hidden="false" customHeight="false" outlineLevel="0" collapsed="false">
      <c r="A3835" s="2" t="s">
        <v>2529</v>
      </c>
      <c r="B3835" s="2" t="s">
        <v>4291</v>
      </c>
      <c r="C3835" s="2" t="s">
        <v>4274</v>
      </c>
      <c r="D3835" s="2"/>
      <c r="E3835" s="31" t="n">
        <v>65.3</v>
      </c>
      <c r="F3835" s="31" t="n">
        <v>79.8</v>
      </c>
      <c r="G3835" s="31" t="n">
        <v>40.7</v>
      </c>
      <c r="H3835" s="2" t="s">
        <v>832</v>
      </c>
    </row>
    <row r="3836" customFormat="false" ht="15" hidden="false" customHeight="false" outlineLevel="0" collapsed="false">
      <c r="A3836" s="2" t="s">
        <v>2529</v>
      </c>
      <c r="B3836" s="2" t="s">
        <v>4291</v>
      </c>
      <c r="C3836" s="2" t="s">
        <v>4275</v>
      </c>
      <c r="D3836" s="2"/>
      <c r="E3836" s="31" t="n">
        <v>51.7</v>
      </c>
      <c r="F3836" s="31" t="n">
        <v>94.2</v>
      </c>
      <c r="G3836" s="31" t="n">
        <v>24</v>
      </c>
      <c r="H3836" s="2" t="s">
        <v>832</v>
      </c>
    </row>
    <row r="3837" customFormat="false" ht="15" hidden="false" customHeight="false" outlineLevel="0" collapsed="false">
      <c r="A3837" s="2" t="s">
        <v>2529</v>
      </c>
      <c r="B3837" s="2" t="s">
        <v>45</v>
      </c>
      <c r="C3837" s="2" t="s">
        <v>4274</v>
      </c>
      <c r="D3837" s="11" t="n">
        <v>153156</v>
      </c>
      <c r="E3837" s="31" t="n">
        <v>58.3</v>
      </c>
      <c r="F3837" s="31" t="n">
        <v>61</v>
      </c>
      <c r="G3837" s="2"/>
      <c r="H3837" s="2" t="s">
        <v>822</v>
      </c>
    </row>
    <row r="3838" customFormat="false" ht="15" hidden="false" customHeight="false" outlineLevel="0" collapsed="false">
      <c r="A3838" s="2" t="s">
        <v>2529</v>
      </c>
      <c r="B3838" s="2" t="s">
        <v>45</v>
      </c>
      <c r="C3838" s="2" t="s">
        <v>4275</v>
      </c>
      <c r="D3838" s="2"/>
      <c r="E3838" s="2"/>
      <c r="F3838" s="2"/>
      <c r="G3838" s="2"/>
      <c r="H3838" s="2" t="s">
        <v>832</v>
      </c>
    </row>
    <row r="3839" customFormat="false" ht="15" hidden="false" customHeight="false" outlineLevel="0" collapsed="false">
      <c r="A3839" s="2" t="s">
        <v>2529</v>
      </c>
      <c r="B3839" s="2" t="s">
        <v>46</v>
      </c>
      <c r="C3839" s="2" t="s">
        <v>4274</v>
      </c>
      <c r="D3839" s="11" t="n">
        <v>4670</v>
      </c>
      <c r="E3839" s="31" t="n">
        <v>85.7</v>
      </c>
      <c r="F3839" s="2"/>
      <c r="G3839" s="31" t="n">
        <v>67.4</v>
      </c>
      <c r="H3839" s="2" t="s">
        <v>832</v>
      </c>
    </row>
    <row r="3840" customFormat="false" ht="15" hidden="false" customHeight="false" outlineLevel="0" collapsed="false">
      <c r="A3840" s="2" t="s">
        <v>2529</v>
      </c>
      <c r="B3840" s="2" t="s">
        <v>46</v>
      </c>
      <c r="C3840" s="2" t="s">
        <v>4275</v>
      </c>
      <c r="D3840" s="2"/>
      <c r="E3840" s="2"/>
      <c r="F3840" s="2"/>
      <c r="G3840" s="2"/>
      <c r="H3840" s="2" t="s">
        <v>832</v>
      </c>
    </row>
    <row r="3841" customFormat="false" ht="15" hidden="false" customHeight="false" outlineLevel="0" collapsed="false">
      <c r="A3841" s="2" t="s">
        <v>2529</v>
      </c>
      <c r="B3841" s="2" t="s">
        <v>47</v>
      </c>
      <c r="C3841" s="2" t="s">
        <v>4274</v>
      </c>
      <c r="D3841" s="11" t="n">
        <v>36069</v>
      </c>
      <c r="E3841" s="31" t="n">
        <v>51.9</v>
      </c>
      <c r="F3841" s="31" t="n">
        <v>98.7</v>
      </c>
      <c r="G3841" s="31" t="n">
        <v>13.9</v>
      </c>
      <c r="H3841" s="2" t="s">
        <v>822</v>
      </c>
    </row>
    <row r="3842" customFormat="false" ht="15" hidden="false" customHeight="false" outlineLevel="0" collapsed="false">
      <c r="A3842" s="2" t="s">
        <v>2529</v>
      </c>
      <c r="B3842" s="2" t="s">
        <v>47</v>
      </c>
      <c r="C3842" s="2" t="s">
        <v>4275</v>
      </c>
      <c r="D3842" s="11" t="n">
        <v>39990</v>
      </c>
      <c r="E3842" s="31" t="n">
        <v>51.7</v>
      </c>
      <c r="F3842" s="31" t="n">
        <v>94.2</v>
      </c>
      <c r="G3842" s="31" t="n">
        <v>24</v>
      </c>
      <c r="H3842" s="2" t="s">
        <v>822</v>
      </c>
    </row>
    <row r="3843" customFormat="false" ht="15" hidden="false" customHeight="false" outlineLevel="0" collapsed="false">
      <c r="A3843" s="2" t="s">
        <v>3223</v>
      </c>
      <c r="B3843" s="2" t="s">
        <v>4291</v>
      </c>
      <c r="C3843" s="2" t="s">
        <v>4275</v>
      </c>
      <c r="D3843" s="2"/>
      <c r="E3843" s="31" t="n">
        <v>59.4</v>
      </c>
      <c r="F3843" s="31" t="n">
        <v>55.3</v>
      </c>
      <c r="G3843" s="2"/>
      <c r="H3843" s="2" t="s">
        <v>832</v>
      </c>
    </row>
    <row r="3844" customFormat="false" ht="15" hidden="false" customHeight="false" outlineLevel="0" collapsed="false">
      <c r="A3844" s="2" t="s">
        <v>3223</v>
      </c>
      <c r="B3844" s="2" t="s">
        <v>45</v>
      </c>
      <c r="C3844" s="2" t="s">
        <v>4275</v>
      </c>
      <c r="D3844" s="11" t="n">
        <v>20750</v>
      </c>
      <c r="E3844" s="31" t="n">
        <v>59.4</v>
      </c>
      <c r="F3844" s="31" t="n">
        <v>55.3</v>
      </c>
      <c r="G3844" s="2"/>
      <c r="H3844" s="2" t="s">
        <v>832</v>
      </c>
    </row>
    <row r="3845" customFormat="false" ht="15" hidden="false" customHeight="false" outlineLevel="0" collapsed="false">
      <c r="A3845" s="2" t="s">
        <v>1975</v>
      </c>
      <c r="B3845" s="2" t="s">
        <v>4291</v>
      </c>
      <c r="C3845" s="2" t="s">
        <v>4274</v>
      </c>
      <c r="D3845" s="2"/>
      <c r="E3845" s="31" t="n">
        <v>60.6</v>
      </c>
      <c r="F3845" s="31" t="n">
        <v>72.1</v>
      </c>
      <c r="G3845" s="31" t="n">
        <v>27.1</v>
      </c>
      <c r="H3845" s="2" t="s">
        <v>822</v>
      </c>
    </row>
    <row r="3846" customFormat="false" ht="15" hidden="false" customHeight="false" outlineLevel="0" collapsed="false">
      <c r="A3846" s="2" t="s">
        <v>1975</v>
      </c>
      <c r="B3846" s="2" t="s">
        <v>4291</v>
      </c>
      <c r="C3846" s="2" t="s">
        <v>4275</v>
      </c>
      <c r="D3846" s="2"/>
      <c r="E3846" s="31" t="n">
        <v>44.9</v>
      </c>
      <c r="F3846" s="31" t="n">
        <v>65.2</v>
      </c>
      <c r="G3846" s="31" t="n">
        <v>36.2</v>
      </c>
      <c r="H3846" s="2" t="s">
        <v>832</v>
      </c>
    </row>
    <row r="3847" customFormat="false" ht="15" hidden="false" customHeight="false" outlineLevel="0" collapsed="false">
      <c r="A3847" s="2" t="s">
        <v>1975</v>
      </c>
      <c r="B3847" s="2" t="s">
        <v>45</v>
      </c>
      <c r="C3847" s="2" t="s">
        <v>4274</v>
      </c>
      <c r="D3847" s="11" t="n">
        <v>24240</v>
      </c>
      <c r="E3847" s="31" t="n">
        <v>48</v>
      </c>
      <c r="F3847" s="31" t="n">
        <v>68.6</v>
      </c>
      <c r="G3847" s="2"/>
      <c r="H3847" s="2" t="s">
        <v>822</v>
      </c>
    </row>
    <row r="3848" customFormat="false" ht="15" hidden="false" customHeight="false" outlineLevel="0" collapsed="false">
      <c r="A3848" s="2" t="s">
        <v>1975</v>
      </c>
      <c r="B3848" s="2" t="s">
        <v>45</v>
      </c>
      <c r="C3848" s="2" t="s">
        <v>4275</v>
      </c>
      <c r="D3848" s="11" t="n">
        <v>24060</v>
      </c>
      <c r="E3848" s="2"/>
      <c r="F3848" s="31" t="n">
        <v>29.2</v>
      </c>
      <c r="G3848" s="2"/>
      <c r="H3848" s="2" t="s">
        <v>832</v>
      </c>
    </row>
    <row r="3849" customFormat="false" ht="15" hidden="false" customHeight="false" outlineLevel="0" collapsed="false">
      <c r="A3849" s="2" t="s">
        <v>1975</v>
      </c>
      <c r="B3849" s="2" t="s">
        <v>46</v>
      </c>
      <c r="C3849" s="2" t="s">
        <v>4274</v>
      </c>
      <c r="D3849" s="11" t="n">
        <v>7570</v>
      </c>
      <c r="E3849" s="31" t="n">
        <v>73.4</v>
      </c>
      <c r="F3849" s="31" t="n">
        <v>61.4</v>
      </c>
      <c r="G3849" s="31" t="n">
        <v>25.8</v>
      </c>
      <c r="H3849" s="2" t="s">
        <v>822</v>
      </c>
    </row>
    <row r="3850" customFormat="false" ht="15" hidden="false" customHeight="false" outlineLevel="0" collapsed="false">
      <c r="A3850" s="2" t="s">
        <v>1975</v>
      </c>
      <c r="B3850" s="2" t="s">
        <v>46</v>
      </c>
      <c r="C3850" s="2" t="s">
        <v>4275</v>
      </c>
      <c r="D3850" s="11" t="n">
        <v>8030</v>
      </c>
      <c r="E3850" s="31" t="n">
        <v>38.3</v>
      </c>
      <c r="F3850" s="31" t="n">
        <v>67.9</v>
      </c>
      <c r="G3850" s="31" t="n">
        <v>5.5</v>
      </c>
      <c r="H3850" s="2" t="s">
        <v>822</v>
      </c>
    </row>
    <row r="3851" customFormat="false" ht="15" hidden="false" customHeight="false" outlineLevel="0" collapsed="false">
      <c r="A3851" s="2" t="s">
        <v>1975</v>
      </c>
      <c r="B3851" s="2" t="s">
        <v>47</v>
      </c>
      <c r="C3851" s="2" t="s">
        <v>4274</v>
      </c>
      <c r="D3851" s="11" t="n">
        <v>14165</v>
      </c>
      <c r="E3851" s="31" t="n">
        <v>60.4</v>
      </c>
      <c r="F3851" s="31" t="n">
        <v>86.3</v>
      </c>
      <c r="G3851" s="31" t="n">
        <v>28.4</v>
      </c>
      <c r="H3851" s="2" t="s">
        <v>822</v>
      </c>
    </row>
    <row r="3852" customFormat="false" ht="15" hidden="false" customHeight="false" outlineLevel="0" collapsed="false">
      <c r="A3852" s="2" t="s">
        <v>1975</v>
      </c>
      <c r="B3852" s="2" t="s">
        <v>47</v>
      </c>
      <c r="C3852" s="2" t="s">
        <v>4275</v>
      </c>
      <c r="D3852" s="11" t="n">
        <v>14870</v>
      </c>
      <c r="E3852" s="31" t="n">
        <v>51.5</v>
      </c>
      <c r="F3852" s="31" t="n">
        <v>98.4</v>
      </c>
      <c r="G3852" s="31" t="n">
        <v>66.8</v>
      </c>
      <c r="H3852" s="2" t="s">
        <v>822</v>
      </c>
    </row>
    <row r="3853" customFormat="false" ht="15" hidden="false" customHeight="false" outlineLevel="0" collapsed="false">
      <c r="A3853" s="2" t="s">
        <v>392</v>
      </c>
      <c r="B3853" s="2" t="s">
        <v>4291</v>
      </c>
      <c r="C3853" s="2" t="s">
        <v>4274</v>
      </c>
      <c r="D3853" s="2"/>
      <c r="E3853" s="31" t="n">
        <v>88.3</v>
      </c>
      <c r="F3853" s="2"/>
      <c r="G3853" s="2"/>
      <c r="H3853" s="2" t="s">
        <v>832</v>
      </c>
    </row>
    <row r="3854" customFormat="false" ht="15" hidden="false" customHeight="false" outlineLevel="0" collapsed="false">
      <c r="A3854" s="2" t="s">
        <v>392</v>
      </c>
      <c r="B3854" s="2" t="s">
        <v>4291</v>
      </c>
      <c r="C3854" s="2" t="s">
        <v>4275</v>
      </c>
      <c r="D3854" s="2"/>
      <c r="E3854" s="31" t="n">
        <v>55.7</v>
      </c>
      <c r="F3854" s="31" t="n">
        <v>82.9</v>
      </c>
      <c r="G3854" s="31" t="n">
        <v>46.4</v>
      </c>
      <c r="H3854" s="2" t="s">
        <v>822</v>
      </c>
    </row>
    <row r="3855" customFormat="false" ht="15" hidden="false" customHeight="false" outlineLevel="0" collapsed="false">
      <c r="A3855" s="2" t="s">
        <v>392</v>
      </c>
      <c r="B3855" s="2" t="s">
        <v>45</v>
      </c>
      <c r="C3855" s="2" t="s">
        <v>4274</v>
      </c>
      <c r="D3855" s="11" t="n">
        <v>4320</v>
      </c>
      <c r="E3855" s="31" t="n">
        <v>90.7</v>
      </c>
      <c r="F3855" s="2"/>
      <c r="G3855" s="2"/>
      <c r="H3855" s="2" t="s">
        <v>832</v>
      </c>
    </row>
    <row r="3856" customFormat="false" ht="15" hidden="false" customHeight="false" outlineLevel="0" collapsed="false">
      <c r="A3856" s="2" t="s">
        <v>392</v>
      </c>
      <c r="B3856" s="2" t="s">
        <v>45</v>
      </c>
      <c r="C3856" s="2" t="s">
        <v>4275</v>
      </c>
      <c r="D3856" s="11" t="n">
        <v>4457</v>
      </c>
      <c r="E3856" s="31" t="n">
        <v>67.5</v>
      </c>
      <c r="F3856" s="31" t="n">
        <v>70.4</v>
      </c>
      <c r="G3856" s="2"/>
      <c r="H3856" s="2" t="s">
        <v>822</v>
      </c>
    </row>
    <row r="3857" customFormat="false" ht="15" hidden="false" customHeight="false" outlineLevel="0" collapsed="false">
      <c r="A3857" s="2" t="s">
        <v>392</v>
      </c>
      <c r="B3857" s="2" t="s">
        <v>46</v>
      </c>
      <c r="C3857" s="2" t="s">
        <v>4274</v>
      </c>
      <c r="D3857" s="11" t="n">
        <v>2030</v>
      </c>
      <c r="E3857" s="31" t="n">
        <v>85.9</v>
      </c>
      <c r="F3857" s="2"/>
      <c r="G3857" s="2"/>
      <c r="H3857" s="2" t="s">
        <v>832</v>
      </c>
    </row>
    <row r="3858" customFormat="false" ht="15" hidden="false" customHeight="false" outlineLevel="0" collapsed="false">
      <c r="A3858" s="2" t="s">
        <v>392</v>
      </c>
      <c r="B3858" s="2" t="s">
        <v>46</v>
      </c>
      <c r="C3858" s="2" t="s">
        <v>4275</v>
      </c>
      <c r="D3858" s="11" t="n">
        <v>2200</v>
      </c>
      <c r="E3858" s="31" t="n">
        <v>95.5</v>
      </c>
      <c r="F3858" s="31" t="n">
        <v>92.5</v>
      </c>
      <c r="G3858" s="31" t="n">
        <v>81</v>
      </c>
      <c r="H3858" s="2" t="s">
        <v>822</v>
      </c>
    </row>
    <row r="3859" customFormat="false" ht="15" hidden="false" customHeight="false" outlineLevel="0" collapsed="false">
      <c r="A3859" s="2" t="s">
        <v>392</v>
      </c>
      <c r="B3859" s="2" t="s">
        <v>47</v>
      </c>
      <c r="C3859" s="2" t="s">
        <v>4274</v>
      </c>
      <c r="D3859" s="2"/>
      <c r="E3859" s="2"/>
      <c r="F3859" s="2"/>
      <c r="G3859" s="2"/>
      <c r="H3859" s="2" t="s">
        <v>832</v>
      </c>
    </row>
    <row r="3860" customFormat="false" ht="15" hidden="false" customHeight="false" outlineLevel="0" collapsed="false">
      <c r="A3860" s="2" t="s">
        <v>392</v>
      </c>
      <c r="B3860" s="2" t="s">
        <v>47</v>
      </c>
      <c r="C3860" s="2" t="s">
        <v>4275</v>
      </c>
      <c r="D3860" s="11" t="n">
        <v>28479</v>
      </c>
      <c r="E3860" s="31" t="n">
        <v>4.1</v>
      </c>
      <c r="F3860" s="31" t="n">
        <v>85.7</v>
      </c>
      <c r="G3860" s="31" t="n">
        <v>11.8</v>
      </c>
      <c r="H3860" s="2" t="s">
        <v>822</v>
      </c>
    </row>
    <row r="3861" customFormat="false" ht="15" hidden="false" customHeight="false" outlineLevel="0" collapsed="false">
      <c r="A3861" s="2" t="s">
        <v>1579</v>
      </c>
      <c r="B3861" s="2" t="s">
        <v>4291</v>
      </c>
      <c r="C3861" s="2" t="s">
        <v>4274</v>
      </c>
      <c r="D3861" s="2"/>
      <c r="E3861" s="31" t="n">
        <v>12.6</v>
      </c>
      <c r="F3861" s="31" t="n">
        <v>28.8</v>
      </c>
      <c r="G3861" s="31" t="n">
        <v>39.6</v>
      </c>
      <c r="H3861" s="2" t="s">
        <v>832</v>
      </c>
    </row>
    <row r="3862" customFormat="false" ht="15" hidden="false" customHeight="false" outlineLevel="0" collapsed="false">
      <c r="A3862" s="2" t="s">
        <v>1579</v>
      </c>
      <c r="B3862" s="2" t="s">
        <v>4291</v>
      </c>
      <c r="C3862" s="2" t="s">
        <v>4275</v>
      </c>
      <c r="D3862" s="2"/>
      <c r="E3862" s="31" t="n">
        <v>35.5</v>
      </c>
      <c r="F3862" s="31" t="n">
        <v>38.5</v>
      </c>
      <c r="G3862" s="31" t="n">
        <v>26.7</v>
      </c>
      <c r="H3862" s="2" t="s">
        <v>832</v>
      </c>
    </row>
    <row r="3863" customFormat="false" ht="15" hidden="false" customHeight="false" outlineLevel="0" collapsed="false">
      <c r="A3863" s="2" t="s">
        <v>1579</v>
      </c>
      <c r="B3863" s="2" t="s">
        <v>45</v>
      </c>
      <c r="C3863" s="2" t="s">
        <v>4274</v>
      </c>
      <c r="D3863" s="11" t="n">
        <v>57760</v>
      </c>
      <c r="E3863" s="31" t="n">
        <v>2</v>
      </c>
      <c r="F3863" s="31" t="n">
        <v>18.6</v>
      </c>
      <c r="G3863" s="31" t="n">
        <v>77.3</v>
      </c>
      <c r="H3863" s="2" t="s">
        <v>822</v>
      </c>
    </row>
    <row r="3864" customFormat="false" ht="15" hidden="false" customHeight="false" outlineLevel="0" collapsed="false">
      <c r="A3864" s="2" t="s">
        <v>1579</v>
      </c>
      <c r="B3864" s="2" t="s">
        <v>45</v>
      </c>
      <c r="C3864" s="2" t="s">
        <v>4275</v>
      </c>
      <c r="D3864" s="11" t="n">
        <v>58970</v>
      </c>
      <c r="E3864" s="31" t="n">
        <v>3.2</v>
      </c>
      <c r="F3864" s="31" t="n">
        <v>7.9</v>
      </c>
      <c r="G3864" s="31" t="n">
        <v>35.7</v>
      </c>
      <c r="H3864" s="2" t="s">
        <v>822</v>
      </c>
    </row>
    <row r="3865" customFormat="false" ht="15" hidden="false" customHeight="false" outlineLevel="0" collapsed="false">
      <c r="A3865" s="2" t="s">
        <v>1579</v>
      </c>
      <c r="B3865" s="2" t="s">
        <v>46</v>
      </c>
      <c r="C3865" s="2" t="s">
        <v>4274</v>
      </c>
      <c r="D3865" s="2"/>
      <c r="E3865" s="2"/>
      <c r="F3865" s="2"/>
      <c r="G3865" s="2"/>
      <c r="H3865" s="2" t="s">
        <v>832</v>
      </c>
    </row>
    <row r="3866" customFormat="false" ht="15" hidden="false" customHeight="false" outlineLevel="0" collapsed="false">
      <c r="A3866" s="2" t="s">
        <v>1579</v>
      </c>
      <c r="B3866" s="2" t="s">
        <v>46</v>
      </c>
      <c r="C3866" s="2" t="s">
        <v>4275</v>
      </c>
      <c r="D3866" s="11" t="n">
        <v>71595</v>
      </c>
      <c r="E3866" s="31" t="n">
        <v>86.1</v>
      </c>
      <c r="F3866" s="31" t="n">
        <v>54.2</v>
      </c>
      <c r="G3866" s="31" t="n">
        <v>17.7</v>
      </c>
      <c r="H3866" s="2" t="s">
        <v>822</v>
      </c>
    </row>
    <row r="3867" customFormat="false" ht="15" hidden="false" customHeight="false" outlineLevel="0" collapsed="false">
      <c r="A3867" s="2" t="s">
        <v>1579</v>
      </c>
      <c r="B3867" s="2" t="s">
        <v>47</v>
      </c>
      <c r="C3867" s="2" t="s">
        <v>4274</v>
      </c>
      <c r="D3867" s="11" t="n">
        <v>782349</v>
      </c>
      <c r="E3867" s="31" t="n">
        <v>23.2</v>
      </c>
      <c r="F3867" s="31" t="n">
        <v>38.9</v>
      </c>
      <c r="G3867" s="31" t="n">
        <v>1.9</v>
      </c>
      <c r="H3867" s="2" t="s">
        <v>822</v>
      </c>
    </row>
    <row r="3868" customFormat="false" ht="15" hidden="false" customHeight="false" outlineLevel="0" collapsed="false">
      <c r="A3868" s="2" t="s">
        <v>1579</v>
      </c>
      <c r="B3868" s="2" t="s">
        <v>47</v>
      </c>
      <c r="C3868" s="2" t="s">
        <v>4275</v>
      </c>
      <c r="D3868" s="11" t="n">
        <v>806898</v>
      </c>
      <c r="E3868" s="31" t="n">
        <v>17.1</v>
      </c>
      <c r="F3868" s="31" t="n">
        <v>53.4</v>
      </c>
      <c r="G3868" s="2"/>
      <c r="H3868" s="2" t="s">
        <v>832</v>
      </c>
    </row>
    <row r="3869" customFormat="false" ht="15" hidden="false" customHeight="false" outlineLevel="0" collapsed="false">
      <c r="A3869" s="2" t="s">
        <v>2721</v>
      </c>
      <c r="B3869" s="2" t="s">
        <v>4291</v>
      </c>
      <c r="C3869" s="2" t="s">
        <v>4274</v>
      </c>
      <c r="D3869" s="2"/>
      <c r="E3869" s="31" t="n">
        <v>78.7</v>
      </c>
      <c r="F3869" s="31" t="n">
        <v>86</v>
      </c>
      <c r="G3869" s="31" t="n">
        <v>29.7</v>
      </c>
      <c r="H3869" s="2" t="s">
        <v>832</v>
      </c>
    </row>
    <row r="3870" customFormat="false" ht="15" hidden="false" customHeight="false" outlineLevel="0" collapsed="false">
      <c r="A3870" s="2" t="s">
        <v>2721</v>
      </c>
      <c r="B3870" s="2" t="s">
        <v>4291</v>
      </c>
      <c r="C3870" s="2" t="s">
        <v>4275</v>
      </c>
      <c r="D3870" s="2"/>
      <c r="E3870" s="31" t="n">
        <v>54.3</v>
      </c>
      <c r="F3870" s="31" t="n">
        <v>82.7</v>
      </c>
      <c r="G3870" s="31" t="n">
        <v>0.9</v>
      </c>
      <c r="H3870" s="2" t="s">
        <v>832</v>
      </c>
    </row>
    <row r="3871" customFormat="false" ht="15" hidden="false" customHeight="false" outlineLevel="0" collapsed="false">
      <c r="A3871" s="2" t="s">
        <v>2721</v>
      </c>
      <c r="B3871" s="2" t="s">
        <v>45</v>
      </c>
      <c r="C3871" s="2" t="s">
        <v>4274</v>
      </c>
      <c r="D3871" s="11" t="n">
        <v>3370</v>
      </c>
      <c r="E3871" s="31" t="n">
        <v>96.6</v>
      </c>
      <c r="F3871" s="2"/>
      <c r="G3871" s="31" t="n">
        <v>48</v>
      </c>
      <c r="H3871" s="2" t="s">
        <v>832</v>
      </c>
    </row>
    <row r="3872" customFormat="false" ht="15" hidden="false" customHeight="false" outlineLevel="0" collapsed="false">
      <c r="A3872" s="2" t="s">
        <v>2721</v>
      </c>
      <c r="B3872" s="2" t="s">
        <v>45</v>
      </c>
      <c r="C3872" s="2" t="s">
        <v>4275</v>
      </c>
      <c r="D3872" s="11" t="n">
        <v>3660</v>
      </c>
      <c r="E3872" s="31" t="n">
        <v>92.4</v>
      </c>
      <c r="F3872" s="31" t="n">
        <v>83.1</v>
      </c>
      <c r="G3872" s="2"/>
      <c r="H3872" s="2" t="s">
        <v>832</v>
      </c>
    </row>
    <row r="3873" customFormat="false" ht="15" hidden="false" customHeight="false" outlineLevel="0" collapsed="false">
      <c r="A3873" s="2" t="s">
        <v>2721</v>
      </c>
      <c r="B3873" s="2" t="s">
        <v>46</v>
      </c>
      <c r="C3873" s="2" t="s">
        <v>4274</v>
      </c>
      <c r="D3873" s="11" t="n">
        <v>65508</v>
      </c>
      <c r="E3873" s="31" t="n">
        <v>73.2</v>
      </c>
      <c r="F3873" s="31" t="n">
        <v>86.5</v>
      </c>
      <c r="G3873" s="31" t="n">
        <v>40.2</v>
      </c>
      <c r="H3873" s="2" t="s">
        <v>822</v>
      </c>
    </row>
    <row r="3874" customFormat="false" ht="15" hidden="false" customHeight="false" outlineLevel="0" collapsed="false">
      <c r="A3874" s="2" t="s">
        <v>2721</v>
      </c>
      <c r="B3874" s="2" t="s">
        <v>46</v>
      </c>
      <c r="C3874" s="2" t="s">
        <v>4275</v>
      </c>
      <c r="D3874" s="11" t="n">
        <v>68280</v>
      </c>
      <c r="E3874" s="31" t="n">
        <v>48.1</v>
      </c>
      <c r="F3874" s="31" t="n">
        <v>73.8</v>
      </c>
      <c r="G3874" s="2"/>
      <c r="H3874" s="2" t="s">
        <v>832</v>
      </c>
    </row>
    <row r="3875" customFormat="false" ht="15" hidden="false" customHeight="false" outlineLevel="0" collapsed="false">
      <c r="A3875" s="2" t="s">
        <v>2721</v>
      </c>
      <c r="B3875" s="2" t="s">
        <v>47</v>
      </c>
      <c r="C3875" s="2" t="s">
        <v>4274</v>
      </c>
      <c r="D3875" s="11" t="n">
        <v>8619</v>
      </c>
      <c r="E3875" s="31" t="n">
        <v>66.3</v>
      </c>
      <c r="F3875" s="31" t="n">
        <v>85.6</v>
      </c>
      <c r="G3875" s="31" t="n">
        <v>0.8</v>
      </c>
      <c r="H3875" s="2" t="s">
        <v>822</v>
      </c>
    </row>
    <row r="3876" customFormat="false" ht="15" hidden="false" customHeight="false" outlineLevel="0" collapsed="false">
      <c r="A3876" s="2" t="s">
        <v>2721</v>
      </c>
      <c r="B3876" s="2" t="s">
        <v>47</v>
      </c>
      <c r="C3876" s="2" t="s">
        <v>4275</v>
      </c>
      <c r="D3876" s="11" t="n">
        <v>9130</v>
      </c>
      <c r="E3876" s="31" t="n">
        <v>22.4</v>
      </c>
      <c r="F3876" s="31" t="n">
        <v>91.2</v>
      </c>
      <c r="G3876" s="31" t="n">
        <v>0.9</v>
      </c>
      <c r="H3876" s="2" t="s">
        <v>822</v>
      </c>
    </row>
    <row r="3877" customFormat="false" ht="15" hidden="false" customHeight="false" outlineLevel="0" collapsed="false">
      <c r="A3877" s="2" t="s">
        <v>1138</v>
      </c>
      <c r="B3877" s="2" t="s">
        <v>4291</v>
      </c>
      <c r="C3877" s="2" t="s">
        <v>4274</v>
      </c>
      <c r="D3877" s="2"/>
      <c r="E3877" s="31" t="n">
        <v>61.4</v>
      </c>
      <c r="F3877" s="31" t="n">
        <v>53.8</v>
      </c>
      <c r="G3877" s="31" t="n">
        <v>59.7</v>
      </c>
      <c r="H3877" s="2" t="s">
        <v>822</v>
      </c>
    </row>
    <row r="3878" customFormat="false" ht="15" hidden="false" customHeight="false" outlineLevel="0" collapsed="false">
      <c r="A3878" s="2" t="s">
        <v>1138</v>
      </c>
      <c r="B3878" s="2" t="s">
        <v>4291</v>
      </c>
      <c r="C3878" s="2" t="s">
        <v>4275</v>
      </c>
      <c r="D3878" s="2"/>
      <c r="E3878" s="31" t="n">
        <v>53.2</v>
      </c>
      <c r="F3878" s="31" t="n">
        <v>76.2</v>
      </c>
      <c r="G3878" s="31" t="n">
        <v>41.6</v>
      </c>
      <c r="H3878" s="2" t="s">
        <v>832</v>
      </c>
    </row>
    <row r="3879" customFormat="false" ht="15" hidden="false" customHeight="false" outlineLevel="0" collapsed="false">
      <c r="A3879" s="2" t="s">
        <v>1138</v>
      </c>
      <c r="B3879" s="2" t="s">
        <v>45</v>
      </c>
      <c r="C3879" s="2" t="s">
        <v>4274</v>
      </c>
      <c r="D3879" s="11" t="n">
        <v>9690</v>
      </c>
      <c r="E3879" s="31" t="n">
        <v>83.6</v>
      </c>
      <c r="F3879" s="31" t="n">
        <v>90.3</v>
      </c>
      <c r="G3879" s="31" t="n">
        <v>70</v>
      </c>
      <c r="H3879" s="2" t="s">
        <v>822</v>
      </c>
    </row>
    <row r="3880" customFormat="false" ht="15" hidden="false" customHeight="false" outlineLevel="0" collapsed="false">
      <c r="A3880" s="2" t="s">
        <v>1138</v>
      </c>
      <c r="B3880" s="2" t="s">
        <v>45</v>
      </c>
      <c r="C3880" s="2" t="s">
        <v>4275</v>
      </c>
      <c r="D3880" s="11" t="n">
        <v>10440</v>
      </c>
      <c r="E3880" s="31" t="n">
        <v>62</v>
      </c>
      <c r="F3880" s="31" t="n">
        <v>73.2</v>
      </c>
      <c r="G3880" s="31" t="n">
        <v>39.6</v>
      </c>
      <c r="H3880" s="2" t="s">
        <v>822</v>
      </c>
    </row>
    <row r="3881" customFormat="false" ht="15" hidden="false" customHeight="false" outlineLevel="0" collapsed="false">
      <c r="A3881" s="2" t="s">
        <v>1138</v>
      </c>
      <c r="B3881" s="2" t="s">
        <v>46</v>
      </c>
      <c r="C3881" s="2" t="s">
        <v>4274</v>
      </c>
      <c r="D3881" s="11" t="n">
        <v>4660</v>
      </c>
      <c r="E3881" s="31" t="n">
        <v>76.5</v>
      </c>
      <c r="F3881" s="31" t="n">
        <v>64.9</v>
      </c>
      <c r="G3881" s="31" t="n">
        <v>61.6</v>
      </c>
      <c r="H3881" s="2" t="s">
        <v>822</v>
      </c>
    </row>
    <row r="3882" customFormat="false" ht="15" hidden="false" customHeight="false" outlineLevel="0" collapsed="false">
      <c r="A3882" s="2" t="s">
        <v>1138</v>
      </c>
      <c r="B3882" s="2" t="s">
        <v>46</v>
      </c>
      <c r="C3882" s="2" t="s">
        <v>4275</v>
      </c>
      <c r="D3882" s="11" t="n">
        <v>5020</v>
      </c>
      <c r="E3882" s="31" t="n">
        <v>56.2</v>
      </c>
      <c r="F3882" s="31" t="n">
        <v>79.2</v>
      </c>
      <c r="G3882" s="31" t="n">
        <v>43.5</v>
      </c>
      <c r="H3882" s="2" t="s">
        <v>832</v>
      </c>
    </row>
    <row r="3883" customFormat="false" ht="15" hidden="false" customHeight="false" outlineLevel="0" collapsed="false">
      <c r="A3883" s="2" t="s">
        <v>1138</v>
      </c>
      <c r="B3883" s="2" t="s">
        <v>47</v>
      </c>
      <c r="C3883" s="2" t="s">
        <v>4274</v>
      </c>
      <c r="D3883" s="11" t="n">
        <v>324391</v>
      </c>
      <c r="E3883" s="31" t="n">
        <v>24.2</v>
      </c>
      <c r="F3883" s="31" t="n">
        <v>6.2</v>
      </c>
      <c r="G3883" s="31" t="n">
        <v>47.4</v>
      </c>
      <c r="H3883" s="2" t="s">
        <v>822</v>
      </c>
    </row>
    <row r="3884" customFormat="false" ht="15" hidden="false" customHeight="false" outlineLevel="0" collapsed="false">
      <c r="A3884" s="2" t="s">
        <v>1138</v>
      </c>
      <c r="B3884" s="2" t="s">
        <v>47</v>
      </c>
      <c r="C3884" s="2" t="s">
        <v>4275</v>
      </c>
      <c r="D3884" s="11" t="n">
        <v>176433</v>
      </c>
      <c r="E3884" s="31" t="n">
        <v>41.4</v>
      </c>
      <c r="F3884" s="2"/>
      <c r="G3884" s="2"/>
      <c r="H3884" s="2" t="s">
        <v>832</v>
      </c>
    </row>
    <row r="3885" customFormat="false" ht="15" hidden="false" customHeight="false" outlineLevel="0" collapsed="false">
      <c r="A3885" s="2" t="s">
        <v>1164</v>
      </c>
      <c r="B3885" s="2" t="s">
        <v>4291</v>
      </c>
      <c r="C3885" s="2" t="s">
        <v>4274</v>
      </c>
      <c r="D3885" s="2"/>
      <c r="E3885" s="31" t="n">
        <v>63.8</v>
      </c>
      <c r="F3885" s="31" t="n">
        <v>65.6</v>
      </c>
      <c r="G3885" s="31" t="n">
        <v>65.4</v>
      </c>
      <c r="H3885" s="2" t="s">
        <v>832</v>
      </c>
    </row>
    <row r="3886" customFormat="false" ht="15" hidden="false" customHeight="false" outlineLevel="0" collapsed="false">
      <c r="A3886" s="2" t="s">
        <v>1164</v>
      </c>
      <c r="B3886" s="2" t="s">
        <v>4291</v>
      </c>
      <c r="C3886" s="2" t="s">
        <v>4275</v>
      </c>
      <c r="D3886" s="2"/>
      <c r="E3886" s="31" t="n">
        <v>50.6</v>
      </c>
      <c r="F3886" s="31" t="n">
        <v>73.2</v>
      </c>
      <c r="G3886" s="31" t="n">
        <v>60.5</v>
      </c>
      <c r="H3886" s="2" t="s">
        <v>832</v>
      </c>
    </row>
    <row r="3887" customFormat="false" ht="15" hidden="false" customHeight="false" outlineLevel="0" collapsed="false">
      <c r="A3887" s="2" t="s">
        <v>1164</v>
      </c>
      <c r="B3887" s="2" t="s">
        <v>45</v>
      </c>
      <c r="C3887" s="2" t="s">
        <v>4274</v>
      </c>
      <c r="D3887" s="11" t="n">
        <v>249170</v>
      </c>
      <c r="E3887" s="31" t="n">
        <v>66.1</v>
      </c>
      <c r="F3887" s="31" t="n">
        <v>93.8</v>
      </c>
      <c r="G3887" s="31" t="n">
        <v>66.8</v>
      </c>
      <c r="H3887" s="2" t="s">
        <v>822</v>
      </c>
    </row>
    <row r="3888" customFormat="false" ht="15" hidden="false" customHeight="false" outlineLevel="0" collapsed="false">
      <c r="A3888" s="2" t="s">
        <v>1164</v>
      </c>
      <c r="B3888" s="2" t="s">
        <v>45</v>
      </c>
      <c r="C3888" s="2" t="s">
        <v>4275</v>
      </c>
      <c r="D3888" s="11" t="n">
        <v>262020</v>
      </c>
      <c r="E3888" s="31" t="n">
        <v>58.8</v>
      </c>
      <c r="F3888" s="31" t="n">
        <v>82.9</v>
      </c>
      <c r="G3888" s="31" t="n">
        <v>44.3</v>
      </c>
      <c r="H3888" s="2" t="s">
        <v>822</v>
      </c>
    </row>
    <row r="3889" customFormat="false" ht="15" hidden="false" customHeight="false" outlineLevel="0" collapsed="false">
      <c r="A3889" s="2" t="s">
        <v>1164</v>
      </c>
      <c r="B3889" s="2" t="s">
        <v>46</v>
      </c>
      <c r="C3889" s="2" t="s">
        <v>4274</v>
      </c>
      <c r="D3889" s="11" t="n">
        <v>4033</v>
      </c>
      <c r="E3889" s="31" t="n">
        <v>54</v>
      </c>
      <c r="F3889" s="31" t="n">
        <v>33.3</v>
      </c>
      <c r="G3889" s="2"/>
      <c r="H3889" s="2" t="s">
        <v>832</v>
      </c>
    </row>
    <row r="3890" customFormat="false" ht="15" hidden="false" customHeight="false" outlineLevel="0" collapsed="false">
      <c r="A3890" s="2" t="s">
        <v>1164</v>
      </c>
      <c r="B3890" s="2" t="s">
        <v>46</v>
      </c>
      <c r="C3890" s="2" t="s">
        <v>4275</v>
      </c>
      <c r="D3890" s="11" t="n">
        <v>4140</v>
      </c>
      <c r="E3890" s="2"/>
      <c r="F3890" s="2"/>
      <c r="G3890" s="31" t="n">
        <v>64.9</v>
      </c>
      <c r="H3890" s="2" t="s">
        <v>832</v>
      </c>
    </row>
    <row r="3891" customFormat="false" ht="15" hidden="false" customHeight="false" outlineLevel="0" collapsed="false">
      <c r="A3891" s="2" t="s">
        <v>1164</v>
      </c>
      <c r="B3891" s="2" t="s">
        <v>47</v>
      </c>
      <c r="C3891" s="2" t="s">
        <v>4274</v>
      </c>
      <c r="D3891" s="11" t="n">
        <v>37697</v>
      </c>
      <c r="E3891" s="31" t="n">
        <v>71.3</v>
      </c>
      <c r="F3891" s="31" t="n">
        <v>69.6</v>
      </c>
      <c r="G3891" s="31" t="n">
        <v>64</v>
      </c>
      <c r="H3891" s="2" t="s">
        <v>822</v>
      </c>
    </row>
    <row r="3892" customFormat="false" ht="15" hidden="false" customHeight="false" outlineLevel="0" collapsed="false">
      <c r="A3892" s="2" t="s">
        <v>1164</v>
      </c>
      <c r="B3892" s="2" t="s">
        <v>47</v>
      </c>
      <c r="C3892" s="2" t="s">
        <v>4275</v>
      </c>
      <c r="D3892" s="11" t="n">
        <v>38272</v>
      </c>
      <c r="E3892" s="31" t="n">
        <v>42.3</v>
      </c>
      <c r="F3892" s="31" t="n">
        <v>63.6</v>
      </c>
      <c r="G3892" s="31" t="n">
        <v>72.4</v>
      </c>
      <c r="H3892" s="2" t="s">
        <v>822</v>
      </c>
    </row>
    <row r="3893" customFormat="false" ht="15" hidden="false" customHeight="false" outlineLevel="0" collapsed="false">
      <c r="A3893" s="2" t="s">
        <v>202</v>
      </c>
      <c r="B3893" s="2" t="s">
        <v>4291</v>
      </c>
      <c r="C3893" s="2" t="s">
        <v>4274</v>
      </c>
      <c r="D3893" s="2"/>
      <c r="E3893" s="31" t="n">
        <v>84.9</v>
      </c>
      <c r="F3893" s="31" t="n">
        <v>49.4</v>
      </c>
      <c r="G3893" s="31" t="n">
        <v>80.8</v>
      </c>
      <c r="H3893" s="2" t="s">
        <v>822</v>
      </c>
    </row>
    <row r="3894" customFormat="false" ht="15" hidden="false" customHeight="false" outlineLevel="0" collapsed="false">
      <c r="A3894" s="2" t="s">
        <v>202</v>
      </c>
      <c r="B3894" s="2" t="s">
        <v>4291</v>
      </c>
      <c r="C3894" s="2" t="s">
        <v>4275</v>
      </c>
      <c r="D3894" s="2"/>
      <c r="E3894" s="31" t="n">
        <v>74.9</v>
      </c>
      <c r="F3894" s="31" t="n">
        <v>60.7</v>
      </c>
      <c r="G3894" s="31" t="n">
        <v>84.3</v>
      </c>
      <c r="H3894" s="2" t="s">
        <v>822</v>
      </c>
    </row>
    <row r="3895" customFormat="false" ht="15" hidden="false" customHeight="false" outlineLevel="0" collapsed="false">
      <c r="A3895" s="2" t="s">
        <v>202</v>
      </c>
      <c r="B3895" s="2" t="s">
        <v>46</v>
      </c>
      <c r="C3895" s="2" t="s">
        <v>4274</v>
      </c>
      <c r="D3895" s="11" t="n">
        <v>37530</v>
      </c>
      <c r="E3895" s="31" t="n">
        <v>84.9</v>
      </c>
      <c r="F3895" s="31" t="n">
        <v>49.4</v>
      </c>
      <c r="G3895" s="31" t="n">
        <v>80.8</v>
      </c>
      <c r="H3895" s="2" t="s">
        <v>822</v>
      </c>
    </row>
    <row r="3896" customFormat="false" ht="15" hidden="false" customHeight="false" outlineLevel="0" collapsed="false">
      <c r="A3896" s="2" t="s">
        <v>202</v>
      </c>
      <c r="B3896" s="2" t="s">
        <v>46</v>
      </c>
      <c r="C3896" s="2" t="s">
        <v>4275</v>
      </c>
      <c r="D3896" s="11" t="n">
        <v>39400</v>
      </c>
      <c r="E3896" s="31" t="n">
        <v>74.9</v>
      </c>
      <c r="F3896" s="31" t="n">
        <v>60.7</v>
      </c>
      <c r="G3896" s="31" t="n">
        <v>84.3</v>
      </c>
      <c r="H3896" s="2" t="s">
        <v>822</v>
      </c>
    </row>
    <row r="3897" customFormat="false" ht="15" hidden="false" customHeight="false" outlineLevel="0" collapsed="false">
      <c r="A3897" s="2" t="s">
        <v>2741</v>
      </c>
      <c r="B3897" s="2" t="s">
        <v>4291</v>
      </c>
      <c r="C3897" s="2" t="s">
        <v>4274</v>
      </c>
      <c r="D3897" s="2"/>
      <c r="E3897" s="31" t="n">
        <v>57.4</v>
      </c>
      <c r="F3897" s="31" t="n">
        <v>65.5</v>
      </c>
      <c r="G3897" s="31" t="n">
        <v>35</v>
      </c>
      <c r="H3897" s="2" t="s">
        <v>822</v>
      </c>
    </row>
    <row r="3898" customFormat="false" ht="15" hidden="false" customHeight="false" outlineLevel="0" collapsed="false">
      <c r="A3898" s="2" t="s">
        <v>2741</v>
      </c>
      <c r="B3898" s="2" t="s">
        <v>4291</v>
      </c>
      <c r="C3898" s="2" t="s">
        <v>4275</v>
      </c>
      <c r="D3898" s="2"/>
      <c r="E3898" s="31" t="n">
        <v>19.8</v>
      </c>
      <c r="F3898" s="31" t="n">
        <v>56.2</v>
      </c>
      <c r="G3898" s="31" t="n">
        <v>14.9</v>
      </c>
      <c r="H3898" s="2" t="s">
        <v>832</v>
      </c>
    </row>
    <row r="3899" customFormat="false" ht="15" hidden="false" customHeight="false" outlineLevel="0" collapsed="false">
      <c r="A3899" s="2" t="s">
        <v>2741</v>
      </c>
      <c r="B3899" s="2" t="s">
        <v>45</v>
      </c>
      <c r="C3899" s="2" t="s">
        <v>4274</v>
      </c>
      <c r="D3899" s="11" t="n">
        <v>97021</v>
      </c>
      <c r="E3899" s="31" t="n">
        <v>89.2</v>
      </c>
      <c r="F3899" s="31" t="n">
        <v>84.7</v>
      </c>
      <c r="G3899" s="31" t="n">
        <v>18.5</v>
      </c>
      <c r="H3899" s="2" t="s">
        <v>822</v>
      </c>
    </row>
    <row r="3900" customFormat="false" ht="15" hidden="false" customHeight="false" outlineLevel="0" collapsed="false">
      <c r="A3900" s="2" t="s">
        <v>2741</v>
      </c>
      <c r="B3900" s="2" t="s">
        <v>45</v>
      </c>
      <c r="C3900" s="2" t="s">
        <v>4275</v>
      </c>
      <c r="D3900" s="2"/>
      <c r="E3900" s="2"/>
      <c r="F3900" s="2"/>
      <c r="G3900" s="31" t="n">
        <v>3.7</v>
      </c>
      <c r="H3900" s="2" t="s">
        <v>832</v>
      </c>
    </row>
    <row r="3901" customFormat="false" ht="15" hidden="false" customHeight="false" outlineLevel="0" collapsed="false">
      <c r="A3901" s="2" t="s">
        <v>2741</v>
      </c>
      <c r="B3901" s="2" t="s">
        <v>46</v>
      </c>
      <c r="C3901" s="2" t="s">
        <v>4274</v>
      </c>
      <c r="D3901" s="11" t="n">
        <v>11690</v>
      </c>
      <c r="E3901" s="31" t="n">
        <v>56.9</v>
      </c>
      <c r="F3901" s="31" t="n">
        <v>52.8</v>
      </c>
      <c r="G3901" s="31" t="n">
        <v>11.9</v>
      </c>
      <c r="H3901" s="2" t="s">
        <v>822</v>
      </c>
    </row>
    <row r="3902" customFormat="false" ht="15" hidden="false" customHeight="false" outlineLevel="0" collapsed="false">
      <c r="A3902" s="2" t="s">
        <v>2741</v>
      </c>
      <c r="B3902" s="2" t="s">
        <v>46</v>
      </c>
      <c r="C3902" s="2" t="s">
        <v>4275</v>
      </c>
      <c r="D3902" s="2"/>
      <c r="E3902" s="2"/>
      <c r="F3902" s="2"/>
      <c r="G3902" s="31" t="n">
        <v>4.4</v>
      </c>
      <c r="H3902" s="2" t="s">
        <v>832</v>
      </c>
    </row>
    <row r="3903" customFormat="false" ht="15" hidden="false" customHeight="false" outlineLevel="0" collapsed="false">
      <c r="A3903" s="2" t="s">
        <v>2741</v>
      </c>
      <c r="B3903" s="2" t="s">
        <v>47</v>
      </c>
      <c r="C3903" s="2" t="s">
        <v>4274</v>
      </c>
      <c r="D3903" s="11" t="n">
        <v>9104</v>
      </c>
      <c r="E3903" s="31" t="n">
        <v>26.1</v>
      </c>
      <c r="F3903" s="31" t="n">
        <v>58.9</v>
      </c>
      <c r="G3903" s="31" t="n">
        <v>74.6</v>
      </c>
      <c r="H3903" s="2" t="s">
        <v>822</v>
      </c>
    </row>
    <row r="3904" customFormat="false" ht="15" hidden="false" customHeight="false" outlineLevel="0" collapsed="false">
      <c r="A3904" s="2" t="s">
        <v>2741</v>
      </c>
      <c r="B3904" s="2" t="s">
        <v>47</v>
      </c>
      <c r="C3904" s="2" t="s">
        <v>4275</v>
      </c>
      <c r="D3904" s="11" t="n">
        <v>9440</v>
      </c>
      <c r="E3904" s="31" t="n">
        <v>19.8</v>
      </c>
      <c r="F3904" s="31" t="n">
        <v>56.2</v>
      </c>
      <c r="G3904" s="31" t="n">
        <v>36.5</v>
      </c>
      <c r="H3904" s="2" t="s">
        <v>822</v>
      </c>
    </row>
    <row r="3905" customFormat="false" ht="15" hidden="false" customHeight="false" outlineLevel="0" collapsed="false">
      <c r="A3905" s="2" t="s">
        <v>256</v>
      </c>
      <c r="B3905" s="2" t="s">
        <v>4291</v>
      </c>
      <c r="C3905" s="2" t="s">
        <v>4274</v>
      </c>
      <c r="D3905" s="2"/>
      <c r="E3905" s="31" t="n">
        <v>86.5</v>
      </c>
      <c r="F3905" s="31" t="n">
        <v>19.1</v>
      </c>
      <c r="G3905" s="31" t="n">
        <v>37</v>
      </c>
      <c r="H3905" s="2" t="s">
        <v>822</v>
      </c>
    </row>
    <row r="3906" customFormat="false" ht="15" hidden="false" customHeight="false" outlineLevel="0" collapsed="false">
      <c r="A3906" s="2" t="s">
        <v>256</v>
      </c>
      <c r="B3906" s="2" t="s">
        <v>4291</v>
      </c>
      <c r="C3906" s="2" t="s">
        <v>4275</v>
      </c>
      <c r="D3906" s="2"/>
      <c r="E3906" s="31" t="n">
        <v>67.2</v>
      </c>
      <c r="F3906" s="31" t="n">
        <v>14.9</v>
      </c>
      <c r="G3906" s="31" t="n">
        <v>88.2</v>
      </c>
      <c r="H3906" s="2" t="s">
        <v>822</v>
      </c>
    </row>
    <row r="3907" customFormat="false" ht="15" hidden="false" customHeight="false" outlineLevel="0" collapsed="false">
      <c r="A3907" s="2" t="s">
        <v>256</v>
      </c>
      <c r="B3907" s="2" t="s">
        <v>47</v>
      </c>
      <c r="C3907" s="2" t="s">
        <v>4274</v>
      </c>
      <c r="D3907" s="11" t="n">
        <v>197451</v>
      </c>
      <c r="E3907" s="31" t="n">
        <v>86.5</v>
      </c>
      <c r="F3907" s="31" t="n">
        <v>19.1</v>
      </c>
      <c r="G3907" s="31" t="n">
        <v>37</v>
      </c>
      <c r="H3907" s="2" t="s">
        <v>822</v>
      </c>
    </row>
    <row r="3908" customFormat="false" ht="15" hidden="false" customHeight="false" outlineLevel="0" collapsed="false">
      <c r="A3908" s="2" t="s">
        <v>256</v>
      </c>
      <c r="B3908" s="2" t="s">
        <v>47</v>
      </c>
      <c r="C3908" s="2" t="s">
        <v>4275</v>
      </c>
      <c r="D3908" s="11" t="n">
        <v>198002</v>
      </c>
      <c r="E3908" s="31" t="n">
        <v>67.2</v>
      </c>
      <c r="F3908" s="31" t="n">
        <v>14.9</v>
      </c>
      <c r="G3908" s="31" t="n">
        <v>88.2</v>
      </c>
      <c r="H3908" s="2" t="s">
        <v>822</v>
      </c>
    </row>
    <row r="3909" customFormat="false" ht="15" hidden="false" customHeight="false" outlineLevel="0" collapsed="false">
      <c r="A3909" s="2" t="s">
        <v>184</v>
      </c>
      <c r="B3909" s="2" t="s">
        <v>4291</v>
      </c>
      <c r="C3909" s="2" t="s">
        <v>4274</v>
      </c>
      <c r="D3909" s="2"/>
      <c r="E3909" s="31" t="n">
        <v>82.9</v>
      </c>
      <c r="F3909" s="31" t="n">
        <v>33.9</v>
      </c>
      <c r="G3909" s="31" t="n">
        <v>17.2</v>
      </c>
      <c r="H3909" s="2" t="s">
        <v>832</v>
      </c>
    </row>
    <row r="3910" customFormat="false" ht="15" hidden="false" customHeight="false" outlineLevel="0" collapsed="false">
      <c r="A3910" s="2" t="s">
        <v>184</v>
      </c>
      <c r="B3910" s="2" t="s">
        <v>4291</v>
      </c>
      <c r="C3910" s="2" t="s">
        <v>4275</v>
      </c>
      <c r="D3910" s="2"/>
      <c r="E3910" s="31" t="n">
        <v>77.3</v>
      </c>
      <c r="F3910" s="31" t="n">
        <v>22</v>
      </c>
      <c r="G3910" s="31" t="n">
        <v>12.4</v>
      </c>
      <c r="H3910" s="2" t="s">
        <v>822</v>
      </c>
    </row>
    <row r="3911" customFormat="false" ht="15" hidden="false" customHeight="false" outlineLevel="0" collapsed="false">
      <c r="A3911" s="2" t="s">
        <v>184</v>
      </c>
      <c r="B3911" s="2" t="s">
        <v>45</v>
      </c>
      <c r="C3911" s="2" t="s">
        <v>4274</v>
      </c>
      <c r="D3911" s="2"/>
      <c r="E3911" s="2"/>
      <c r="F3911" s="2"/>
      <c r="G3911" s="2"/>
      <c r="H3911" s="2" t="s">
        <v>832</v>
      </c>
    </row>
    <row r="3912" customFormat="false" ht="15" hidden="false" customHeight="false" outlineLevel="0" collapsed="false">
      <c r="A3912" s="2" t="s">
        <v>184</v>
      </c>
      <c r="B3912" s="2" t="s">
        <v>45</v>
      </c>
      <c r="C3912" s="2" t="s">
        <v>4275</v>
      </c>
      <c r="D3912" s="11" t="n">
        <v>13090</v>
      </c>
      <c r="E3912" s="31" t="n">
        <v>84.5</v>
      </c>
      <c r="F3912" s="31" t="n">
        <v>14.1</v>
      </c>
      <c r="G3912" s="31" t="n">
        <v>6.8</v>
      </c>
      <c r="H3912" s="2" t="s">
        <v>822</v>
      </c>
    </row>
    <row r="3913" customFormat="false" ht="15" hidden="false" customHeight="false" outlineLevel="0" collapsed="false">
      <c r="A3913" s="2" t="s">
        <v>184</v>
      </c>
      <c r="B3913" s="2" t="s">
        <v>46</v>
      </c>
      <c r="C3913" s="2" t="s">
        <v>4274</v>
      </c>
      <c r="D3913" s="11" t="n">
        <v>103500</v>
      </c>
      <c r="E3913" s="31" t="n">
        <v>99</v>
      </c>
      <c r="F3913" s="31" t="n">
        <v>42.3</v>
      </c>
      <c r="G3913" s="31" t="n">
        <v>16.2</v>
      </c>
      <c r="H3913" s="2" t="s">
        <v>822</v>
      </c>
    </row>
    <row r="3914" customFormat="false" ht="15" hidden="false" customHeight="false" outlineLevel="0" collapsed="false">
      <c r="A3914" s="2" t="s">
        <v>184</v>
      </c>
      <c r="B3914" s="2" t="s">
        <v>46</v>
      </c>
      <c r="C3914" s="2" t="s">
        <v>4275</v>
      </c>
      <c r="D3914" s="11" t="n">
        <v>106120</v>
      </c>
      <c r="E3914" s="31" t="n">
        <v>96.7</v>
      </c>
      <c r="F3914" s="31" t="n">
        <v>19.1</v>
      </c>
      <c r="G3914" s="31" t="n">
        <v>11.5</v>
      </c>
      <c r="H3914" s="2" t="s">
        <v>822</v>
      </c>
    </row>
    <row r="3915" customFormat="false" ht="15" hidden="false" customHeight="false" outlineLevel="0" collapsed="false">
      <c r="A3915" s="2" t="s">
        <v>184</v>
      </c>
      <c r="B3915" s="2" t="s">
        <v>47</v>
      </c>
      <c r="C3915" s="2" t="s">
        <v>4274</v>
      </c>
      <c r="D3915" s="11" t="n">
        <v>88523</v>
      </c>
      <c r="E3915" s="31" t="n">
        <v>66.8</v>
      </c>
      <c r="F3915" s="31" t="n">
        <v>25.5</v>
      </c>
      <c r="G3915" s="31" t="n">
        <v>18.2</v>
      </c>
      <c r="H3915" s="2" t="s">
        <v>822</v>
      </c>
    </row>
    <row r="3916" customFormat="false" ht="15" hidden="false" customHeight="false" outlineLevel="0" collapsed="false">
      <c r="A3916" s="2" t="s">
        <v>184</v>
      </c>
      <c r="B3916" s="2" t="s">
        <v>47</v>
      </c>
      <c r="C3916" s="2" t="s">
        <v>4275</v>
      </c>
      <c r="D3916" s="11" t="n">
        <v>90099</v>
      </c>
      <c r="E3916" s="31" t="n">
        <v>50.6</v>
      </c>
      <c r="F3916" s="31" t="n">
        <v>32.8</v>
      </c>
      <c r="G3916" s="31" t="n">
        <v>18.8</v>
      </c>
      <c r="H3916" s="2" t="s">
        <v>822</v>
      </c>
    </row>
    <row r="3917" customFormat="false" ht="15" hidden="false" customHeight="false" outlineLevel="0" collapsed="false">
      <c r="A3917" s="2" t="s">
        <v>774</v>
      </c>
      <c r="B3917" s="2" t="s">
        <v>4291</v>
      </c>
      <c r="C3917" s="2" t="s">
        <v>4275</v>
      </c>
      <c r="D3917" s="2"/>
      <c r="E3917" s="31" t="n">
        <v>17.2</v>
      </c>
      <c r="F3917" s="31" t="n">
        <v>85.9</v>
      </c>
      <c r="G3917" s="31" t="n">
        <v>14.9</v>
      </c>
      <c r="H3917" s="2" t="s">
        <v>822</v>
      </c>
    </row>
    <row r="3918" customFormat="false" ht="15" hidden="false" customHeight="false" outlineLevel="0" collapsed="false">
      <c r="A3918" s="2" t="s">
        <v>774</v>
      </c>
      <c r="B3918" s="2" t="s">
        <v>45</v>
      </c>
      <c r="C3918" s="2" t="s">
        <v>4275</v>
      </c>
      <c r="D3918" s="11" t="n">
        <v>2750</v>
      </c>
      <c r="E3918" s="31" t="n">
        <v>17.2</v>
      </c>
      <c r="F3918" s="31" t="n">
        <v>85.9</v>
      </c>
      <c r="G3918" s="31" t="n">
        <v>14.9</v>
      </c>
      <c r="H3918" s="2" t="s">
        <v>822</v>
      </c>
    </row>
    <row r="3919" customFormat="false" ht="15" hidden="false" customHeight="false" outlineLevel="0" collapsed="false">
      <c r="A3919" s="2" t="s">
        <v>1692</v>
      </c>
      <c r="B3919" s="2" t="s">
        <v>4291</v>
      </c>
      <c r="C3919" s="2" t="s">
        <v>4274</v>
      </c>
      <c r="D3919" s="2"/>
      <c r="E3919" s="31" t="n">
        <v>88.1</v>
      </c>
      <c r="F3919" s="31" t="n">
        <v>10.1</v>
      </c>
      <c r="G3919" s="2"/>
      <c r="H3919" s="2" t="s">
        <v>832</v>
      </c>
    </row>
    <row r="3920" customFormat="false" ht="15" hidden="false" customHeight="false" outlineLevel="0" collapsed="false">
      <c r="A3920" s="2" t="s">
        <v>1692</v>
      </c>
      <c r="B3920" s="2" t="s">
        <v>4291</v>
      </c>
      <c r="C3920" s="2" t="s">
        <v>4275</v>
      </c>
      <c r="D3920" s="2"/>
      <c r="E3920" s="31" t="n">
        <v>63.2</v>
      </c>
      <c r="F3920" s="31" t="n">
        <v>16.4</v>
      </c>
      <c r="G3920" s="31" t="n">
        <v>25.2</v>
      </c>
      <c r="H3920" s="2" t="s">
        <v>832</v>
      </c>
    </row>
    <row r="3921" customFormat="false" ht="15" hidden="false" customHeight="false" outlineLevel="0" collapsed="false">
      <c r="A3921" s="2" t="s">
        <v>1692</v>
      </c>
      <c r="B3921" s="2" t="s">
        <v>45</v>
      </c>
      <c r="C3921" s="2" t="s">
        <v>4274</v>
      </c>
      <c r="D3921" s="2"/>
      <c r="E3921" s="2"/>
      <c r="F3921" s="2"/>
      <c r="G3921" s="2"/>
      <c r="H3921" s="2" t="s">
        <v>832</v>
      </c>
    </row>
    <row r="3922" customFormat="false" ht="15" hidden="false" customHeight="false" outlineLevel="0" collapsed="false">
      <c r="A3922" s="2" t="s">
        <v>1692</v>
      </c>
      <c r="B3922" s="2" t="s">
        <v>45</v>
      </c>
      <c r="C3922" s="2" t="s">
        <v>4275</v>
      </c>
      <c r="D3922" s="11" t="n">
        <v>29080</v>
      </c>
      <c r="E3922" s="31" t="n">
        <v>41.2</v>
      </c>
      <c r="F3922" s="2"/>
      <c r="G3922" s="31" t="n">
        <v>22.4</v>
      </c>
      <c r="H3922" s="2" t="s">
        <v>832</v>
      </c>
    </row>
    <row r="3923" customFormat="false" ht="15" hidden="false" customHeight="false" outlineLevel="0" collapsed="false">
      <c r="A3923" s="2" t="s">
        <v>1692</v>
      </c>
      <c r="B3923" s="2" t="s">
        <v>46</v>
      </c>
      <c r="C3923" s="2" t="s">
        <v>4274</v>
      </c>
      <c r="D3923" s="11" t="n">
        <v>48310</v>
      </c>
      <c r="E3923" s="31" t="n">
        <v>88.1</v>
      </c>
      <c r="F3923" s="31" t="n">
        <v>10.1</v>
      </c>
      <c r="G3923" s="2"/>
      <c r="H3923" s="2" t="s">
        <v>832</v>
      </c>
    </row>
    <row r="3924" customFormat="false" ht="15" hidden="false" customHeight="false" outlineLevel="0" collapsed="false">
      <c r="A3924" s="2" t="s">
        <v>1692</v>
      </c>
      <c r="B3924" s="2" t="s">
        <v>46</v>
      </c>
      <c r="C3924" s="2" t="s">
        <v>4275</v>
      </c>
      <c r="D3924" s="11" t="n">
        <v>48150</v>
      </c>
      <c r="E3924" s="31" t="n">
        <v>85.1</v>
      </c>
      <c r="F3924" s="31" t="n">
        <v>16.4</v>
      </c>
      <c r="G3924" s="31" t="n">
        <v>28</v>
      </c>
      <c r="H3924" s="2" t="s">
        <v>822</v>
      </c>
    </row>
    <row r="3925" customFormat="false" ht="15" hidden="false" customHeight="false" outlineLevel="0" collapsed="false">
      <c r="A3925" s="2" t="s">
        <v>2220</v>
      </c>
      <c r="B3925" s="2" t="s">
        <v>4291</v>
      </c>
      <c r="C3925" s="2" t="s">
        <v>4274</v>
      </c>
      <c r="D3925" s="2"/>
      <c r="E3925" s="31" t="n">
        <v>95.5</v>
      </c>
      <c r="F3925" s="31" t="n">
        <v>41.9</v>
      </c>
      <c r="G3925" s="31" t="n">
        <v>26.6</v>
      </c>
      <c r="H3925" s="2" t="s">
        <v>832</v>
      </c>
    </row>
    <row r="3926" customFormat="false" ht="15" hidden="false" customHeight="false" outlineLevel="0" collapsed="false">
      <c r="A3926" s="2" t="s">
        <v>2220</v>
      </c>
      <c r="B3926" s="2" t="s">
        <v>4291</v>
      </c>
      <c r="C3926" s="2" t="s">
        <v>4275</v>
      </c>
      <c r="D3926" s="2"/>
      <c r="E3926" s="31" t="n">
        <v>98.8</v>
      </c>
      <c r="F3926" s="31" t="n">
        <v>30.8</v>
      </c>
      <c r="G3926" s="31" t="n">
        <v>51.4</v>
      </c>
      <c r="H3926" s="2" t="s">
        <v>832</v>
      </c>
    </row>
    <row r="3927" customFormat="false" ht="15" hidden="false" customHeight="false" outlineLevel="0" collapsed="false">
      <c r="A3927" s="2" t="s">
        <v>2220</v>
      </c>
      <c r="B3927" s="2" t="s">
        <v>46</v>
      </c>
      <c r="C3927" s="2" t="s">
        <v>4274</v>
      </c>
      <c r="D3927" s="11" t="n">
        <v>43183</v>
      </c>
      <c r="E3927" s="2"/>
      <c r="F3927" s="31" t="n">
        <v>49.8</v>
      </c>
      <c r="G3927" s="2"/>
      <c r="H3927" s="2" t="s">
        <v>832</v>
      </c>
    </row>
    <row r="3928" customFormat="false" ht="15" hidden="false" customHeight="false" outlineLevel="0" collapsed="false">
      <c r="A3928" s="2" t="s">
        <v>2220</v>
      </c>
      <c r="B3928" s="2" t="s">
        <v>46</v>
      </c>
      <c r="C3928" s="2" t="s">
        <v>4275</v>
      </c>
      <c r="D3928" s="2"/>
      <c r="E3928" s="2"/>
      <c r="F3928" s="2"/>
      <c r="G3928" s="2"/>
      <c r="H3928" s="2" t="s">
        <v>832</v>
      </c>
    </row>
    <row r="3929" customFormat="false" ht="15" hidden="false" customHeight="false" outlineLevel="0" collapsed="false">
      <c r="A3929" s="2" t="s">
        <v>2220</v>
      </c>
      <c r="B3929" s="2" t="s">
        <v>47</v>
      </c>
      <c r="C3929" s="2" t="s">
        <v>4274</v>
      </c>
      <c r="D3929" s="11" t="n">
        <v>35951</v>
      </c>
      <c r="E3929" s="31" t="n">
        <v>95.5</v>
      </c>
      <c r="F3929" s="31" t="n">
        <v>34</v>
      </c>
      <c r="G3929" s="31" t="n">
        <v>26.6</v>
      </c>
      <c r="H3929" s="2" t="s">
        <v>822</v>
      </c>
    </row>
    <row r="3930" customFormat="false" ht="15" hidden="false" customHeight="false" outlineLevel="0" collapsed="false">
      <c r="A3930" s="2" t="s">
        <v>2220</v>
      </c>
      <c r="B3930" s="2" t="s">
        <v>47</v>
      </c>
      <c r="C3930" s="2" t="s">
        <v>4275</v>
      </c>
      <c r="D3930" s="11" t="n">
        <v>36469</v>
      </c>
      <c r="E3930" s="31" t="n">
        <v>98.8</v>
      </c>
      <c r="F3930" s="31" t="n">
        <v>30.8</v>
      </c>
      <c r="G3930" s="31" t="n">
        <v>51.4</v>
      </c>
      <c r="H3930" s="2" t="s">
        <v>822</v>
      </c>
    </row>
    <row r="3931" customFormat="false" ht="15" hidden="false" customHeight="false" outlineLevel="0" collapsed="false">
      <c r="A3931" s="2" t="s">
        <v>1449</v>
      </c>
      <c r="B3931" s="2" t="s">
        <v>4291</v>
      </c>
      <c r="C3931" s="2" t="s">
        <v>4274</v>
      </c>
      <c r="D3931" s="2"/>
      <c r="E3931" s="31" t="n">
        <v>28.7</v>
      </c>
      <c r="F3931" s="31" t="n">
        <v>36.4</v>
      </c>
      <c r="G3931" s="31" t="n">
        <v>31.7</v>
      </c>
      <c r="H3931" s="2" t="s">
        <v>832</v>
      </c>
    </row>
    <row r="3932" customFormat="false" ht="15" hidden="false" customHeight="false" outlineLevel="0" collapsed="false">
      <c r="A3932" s="2" t="s">
        <v>1449</v>
      </c>
      <c r="B3932" s="2" t="s">
        <v>4291</v>
      </c>
      <c r="C3932" s="2" t="s">
        <v>4275</v>
      </c>
      <c r="D3932" s="2"/>
      <c r="E3932" s="31" t="n">
        <v>26.7</v>
      </c>
      <c r="F3932" s="31" t="n">
        <v>38.5</v>
      </c>
      <c r="G3932" s="31" t="n">
        <v>60.6</v>
      </c>
      <c r="H3932" s="2" t="s">
        <v>832</v>
      </c>
    </row>
    <row r="3933" customFormat="false" ht="15" hidden="false" customHeight="false" outlineLevel="0" collapsed="false">
      <c r="A3933" s="2" t="s">
        <v>1449</v>
      </c>
      <c r="B3933" s="2" t="s">
        <v>45</v>
      </c>
      <c r="C3933" s="2" t="s">
        <v>4274</v>
      </c>
      <c r="D3933" s="11" t="n">
        <v>54860</v>
      </c>
      <c r="E3933" s="31" t="n">
        <v>12.7</v>
      </c>
      <c r="F3933" s="2"/>
      <c r="G3933" s="31" t="n">
        <v>66.1</v>
      </c>
      <c r="H3933" s="2" t="s">
        <v>832</v>
      </c>
    </row>
    <row r="3934" customFormat="false" ht="15" hidden="false" customHeight="false" outlineLevel="0" collapsed="false">
      <c r="A3934" s="2" t="s">
        <v>1449</v>
      </c>
      <c r="B3934" s="2" t="s">
        <v>45</v>
      </c>
      <c r="C3934" s="2" t="s">
        <v>4275</v>
      </c>
      <c r="D3934" s="11" t="n">
        <v>55030</v>
      </c>
      <c r="E3934" s="31" t="n">
        <v>20.6</v>
      </c>
      <c r="F3934" s="31" t="n">
        <v>18.9</v>
      </c>
      <c r="G3934" s="31" t="n">
        <v>82.3</v>
      </c>
      <c r="H3934" s="2" t="s">
        <v>822</v>
      </c>
    </row>
    <row r="3935" customFormat="false" ht="15" hidden="false" customHeight="false" outlineLevel="0" collapsed="false">
      <c r="A3935" s="2" t="s">
        <v>1449</v>
      </c>
      <c r="B3935" s="2" t="s">
        <v>46</v>
      </c>
      <c r="C3935" s="2" t="s">
        <v>4274</v>
      </c>
      <c r="D3935" s="11" t="n">
        <v>172765</v>
      </c>
      <c r="E3935" s="31" t="n">
        <v>62.8</v>
      </c>
      <c r="F3935" s="31" t="n">
        <v>1.9</v>
      </c>
      <c r="G3935" s="31" t="n">
        <v>2.3</v>
      </c>
      <c r="H3935" s="2" t="s">
        <v>822</v>
      </c>
    </row>
    <row r="3936" customFormat="false" ht="15" hidden="false" customHeight="false" outlineLevel="0" collapsed="false">
      <c r="A3936" s="2" t="s">
        <v>1449</v>
      </c>
      <c r="B3936" s="2" t="s">
        <v>46</v>
      </c>
      <c r="C3936" s="2" t="s">
        <v>4275</v>
      </c>
      <c r="D3936" s="11" t="n">
        <v>168470</v>
      </c>
      <c r="E3936" s="31" t="n">
        <v>48.7</v>
      </c>
      <c r="F3936" s="31" t="n">
        <v>8.9</v>
      </c>
      <c r="G3936" s="2"/>
      <c r="H3936" s="2" t="s">
        <v>832</v>
      </c>
    </row>
    <row r="3937" customFormat="false" ht="15" hidden="false" customHeight="false" outlineLevel="0" collapsed="false">
      <c r="A3937" s="2" t="s">
        <v>1449</v>
      </c>
      <c r="B3937" s="2" t="s">
        <v>47</v>
      </c>
      <c r="C3937" s="2" t="s">
        <v>4274</v>
      </c>
      <c r="D3937" s="11" t="n">
        <v>204269</v>
      </c>
      <c r="E3937" s="31" t="n">
        <v>10.7</v>
      </c>
      <c r="F3937" s="31" t="n">
        <v>71</v>
      </c>
      <c r="G3937" s="31" t="n">
        <v>26.8</v>
      </c>
      <c r="H3937" s="2" t="s">
        <v>822</v>
      </c>
    </row>
    <row r="3938" customFormat="false" ht="15" hidden="false" customHeight="false" outlineLevel="0" collapsed="false">
      <c r="A3938" s="2" t="s">
        <v>1449</v>
      </c>
      <c r="B3938" s="2" t="s">
        <v>47</v>
      </c>
      <c r="C3938" s="2" t="s">
        <v>4275</v>
      </c>
      <c r="D3938" s="11" t="n">
        <v>218124</v>
      </c>
      <c r="E3938" s="31" t="n">
        <v>10.9</v>
      </c>
      <c r="F3938" s="31" t="n">
        <v>87.6</v>
      </c>
      <c r="G3938" s="31" t="n">
        <v>38.9</v>
      </c>
      <c r="H3938" s="2" t="s">
        <v>822</v>
      </c>
    </row>
    <row r="3939" customFormat="false" ht="15" hidden="false" customHeight="false" outlineLevel="0" collapsed="false">
      <c r="A3939" s="2" t="s">
        <v>1123</v>
      </c>
      <c r="B3939" s="2" t="s">
        <v>4291</v>
      </c>
      <c r="C3939" s="2" t="s">
        <v>4274</v>
      </c>
      <c r="D3939" s="2"/>
      <c r="E3939" s="31" t="n">
        <v>27.4</v>
      </c>
      <c r="F3939" s="31" t="n">
        <v>31.6</v>
      </c>
      <c r="G3939" s="31" t="n">
        <v>79.2</v>
      </c>
      <c r="H3939" s="2" t="s">
        <v>822</v>
      </c>
    </row>
    <row r="3940" customFormat="false" ht="15" hidden="false" customHeight="false" outlineLevel="0" collapsed="false">
      <c r="A3940" s="2" t="s">
        <v>1123</v>
      </c>
      <c r="B3940" s="2" t="s">
        <v>4291</v>
      </c>
      <c r="C3940" s="2" t="s">
        <v>4275</v>
      </c>
      <c r="D3940" s="2"/>
      <c r="E3940" s="31" t="n">
        <v>42.4</v>
      </c>
      <c r="F3940" s="31" t="n">
        <v>48.5</v>
      </c>
      <c r="G3940" s="31" t="n">
        <v>88.4</v>
      </c>
      <c r="H3940" s="2" t="s">
        <v>832</v>
      </c>
    </row>
    <row r="3941" customFormat="false" ht="15" hidden="false" customHeight="false" outlineLevel="0" collapsed="false">
      <c r="A3941" s="2" t="s">
        <v>1123</v>
      </c>
      <c r="B3941" s="2" t="s">
        <v>45</v>
      </c>
      <c r="C3941" s="2" t="s">
        <v>4274</v>
      </c>
      <c r="D3941" s="11" t="n">
        <v>16580</v>
      </c>
      <c r="E3941" s="31" t="n">
        <v>36.3</v>
      </c>
      <c r="F3941" s="31" t="n">
        <v>22.3</v>
      </c>
      <c r="G3941" s="31" t="n">
        <v>98.5</v>
      </c>
      <c r="H3941" s="2" t="s">
        <v>822</v>
      </c>
    </row>
    <row r="3942" customFormat="false" ht="15" hidden="false" customHeight="false" outlineLevel="0" collapsed="false">
      <c r="A3942" s="2" t="s">
        <v>1123</v>
      </c>
      <c r="B3942" s="2" t="s">
        <v>45</v>
      </c>
      <c r="C3942" s="2" t="s">
        <v>4275</v>
      </c>
      <c r="D3942" s="11" t="n">
        <v>17500</v>
      </c>
      <c r="E3942" s="31" t="n">
        <v>63.9</v>
      </c>
      <c r="F3942" s="31" t="n">
        <v>28.2</v>
      </c>
      <c r="G3942" s="31" t="n">
        <v>99.8</v>
      </c>
      <c r="H3942" s="2" t="s">
        <v>822</v>
      </c>
    </row>
    <row r="3943" customFormat="false" ht="15" hidden="false" customHeight="false" outlineLevel="0" collapsed="false">
      <c r="A3943" s="2" t="s">
        <v>1123</v>
      </c>
      <c r="B3943" s="2" t="s">
        <v>46</v>
      </c>
      <c r="C3943" s="2" t="s">
        <v>4274</v>
      </c>
      <c r="D3943" s="11" t="n">
        <v>8430</v>
      </c>
      <c r="E3943" s="31" t="n">
        <v>11.7</v>
      </c>
      <c r="F3943" s="31" t="n">
        <v>10.5</v>
      </c>
      <c r="G3943" s="31" t="n">
        <v>62.3</v>
      </c>
      <c r="H3943" s="2" t="s">
        <v>822</v>
      </c>
    </row>
    <row r="3944" customFormat="false" ht="15" hidden="false" customHeight="false" outlineLevel="0" collapsed="false">
      <c r="A3944" s="2" t="s">
        <v>1123</v>
      </c>
      <c r="B3944" s="2" t="s">
        <v>46</v>
      </c>
      <c r="C3944" s="2" t="s">
        <v>4275</v>
      </c>
      <c r="D3944" s="2"/>
      <c r="E3944" s="2"/>
      <c r="F3944" s="2"/>
      <c r="G3944" s="2"/>
      <c r="H3944" s="2" t="s">
        <v>832</v>
      </c>
    </row>
    <row r="3945" customFormat="false" ht="15" hidden="false" customHeight="false" outlineLevel="0" collapsed="false">
      <c r="A3945" s="2" t="s">
        <v>1123</v>
      </c>
      <c r="B3945" s="2" t="s">
        <v>47</v>
      </c>
      <c r="C3945" s="2" t="s">
        <v>4274</v>
      </c>
      <c r="D3945" s="11" t="n">
        <v>53588</v>
      </c>
      <c r="E3945" s="31" t="n">
        <v>34.3</v>
      </c>
      <c r="F3945" s="31" t="n">
        <v>62.1</v>
      </c>
      <c r="G3945" s="31" t="n">
        <v>76.9</v>
      </c>
      <c r="H3945" s="2" t="s">
        <v>822</v>
      </c>
    </row>
    <row r="3946" customFormat="false" ht="15" hidden="false" customHeight="false" outlineLevel="0" collapsed="false">
      <c r="A3946" s="2" t="s">
        <v>1123</v>
      </c>
      <c r="B3946" s="2" t="s">
        <v>47</v>
      </c>
      <c r="C3946" s="2" t="s">
        <v>4275</v>
      </c>
      <c r="D3946" s="11" t="n">
        <v>56690</v>
      </c>
      <c r="E3946" s="31" t="n">
        <v>20.8</v>
      </c>
      <c r="F3946" s="31" t="n">
        <v>68.8</v>
      </c>
      <c r="G3946" s="31" t="n">
        <v>77.1</v>
      </c>
      <c r="H3946" s="2" t="s">
        <v>822</v>
      </c>
    </row>
    <row r="3947" customFormat="false" ht="15" hidden="false" customHeight="false" outlineLevel="0" collapsed="false">
      <c r="A3947" s="2" t="s">
        <v>378</v>
      </c>
      <c r="B3947" s="2" t="s">
        <v>4291</v>
      </c>
      <c r="C3947" s="2" t="s">
        <v>4274</v>
      </c>
      <c r="D3947" s="2"/>
      <c r="E3947" s="31" t="n">
        <v>60.4</v>
      </c>
      <c r="F3947" s="31" t="n">
        <v>61.8</v>
      </c>
      <c r="G3947" s="31" t="n">
        <v>11</v>
      </c>
      <c r="H3947" s="2" t="s">
        <v>822</v>
      </c>
    </row>
    <row r="3948" customFormat="false" ht="15" hidden="false" customHeight="false" outlineLevel="0" collapsed="false">
      <c r="A3948" s="2" t="s">
        <v>378</v>
      </c>
      <c r="B3948" s="2" t="s">
        <v>4291</v>
      </c>
      <c r="C3948" s="2" t="s">
        <v>4275</v>
      </c>
      <c r="D3948" s="2"/>
      <c r="E3948" s="31" t="n">
        <v>56.6</v>
      </c>
      <c r="F3948" s="31" t="n">
        <v>74.6</v>
      </c>
      <c r="G3948" s="31" t="n">
        <v>25</v>
      </c>
      <c r="H3948" s="2" t="s">
        <v>822</v>
      </c>
    </row>
    <row r="3949" customFormat="false" ht="15" hidden="false" customHeight="false" outlineLevel="0" collapsed="false">
      <c r="A3949" s="2" t="s">
        <v>378</v>
      </c>
      <c r="B3949" s="2" t="s">
        <v>46</v>
      </c>
      <c r="C3949" s="2" t="s">
        <v>4274</v>
      </c>
      <c r="D3949" s="11" t="n">
        <v>254060</v>
      </c>
      <c r="E3949" s="31" t="n">
        <v>77.1</v>
      </c>
      <c r="F3949" s="31" t="n">
        <v>35.3</v>
      </c>
      <c r="G3949" s="31" t="n">
        <v>5.3</v>
      </c>
      <c r="H3949" s="2" t="s">
        <v>822</v>
      </c>
    </row>
    <row r="3950" customFormat="false" ht="15" hidden="false" customHeight="false" outlineLevel="0" collapsed="false">
      <c r="A3950" s="2" t="s">
        <v>378</v>
      </c>
      <c r="B3950" s="2" t="s">
        <v>46</v>
      </c>
      <c r="C3950" s="2" t="s">
        <v>4275</v>
      </c>
      <c r="D3950" s="11" t="n">
        <v>268570</v>
      </c>
      <c r="E3950" s="31" t="n">
        <v>67</v>
      </c>
      <c r="F3950" s="31" t="n">
        <v>54.1</v>
      </c>
      <c r="G3950" s="31" t="n">
        <v>0.4</v>
      </c>
      <c r="H3950" s="2" t="s">
        <v>822</v>
      </c>
    </row>
    <row r="3951" customFormat="false" ht="15" hidden="false" customHeight="false" outlineLevel="0" collapsed="false">
      <c r="A3951" s="2" t="s">
        <v>378</v>
      </c>
      <c r="B3951" s="2" t="s">
        <v>47</v>
      </c>
      <c r="C3951" s="2" t="s">
        <v>4274</v>
      </c>
      <c r="D3951" s="11" t="n">
        <v>102107</v>
      </c>
      <c r="E3951" s="31" t="n">
        <v>43.8</v>
      </c>
      <c r="F3951" s="31" t="n">
        <v>88.3</v>
      </c>
      <c r="G3951" s="31" t="n">
        <v>16.8</v>
      </c>
      <c r="H3951" s="2" t="s">
        <v>822</v>
      </c>
    </row>
    <row r="3952" customFormat="false" ht="15" hidden="false" customHeight="false" outlineLevel="0" collapsed="false">
      <c r="A3952" s="2" t="s">
        <v>378</v>
      </c>
      <c r="B3952" s="2" t="s">
        <v>47</v>
      </c>
      <c r="C3952" s="2" t="s">
        <v>4275</v>
      </c>
      <c r="D3952" s="11" t="n">
        <v>106247</v>
      </c>
      <c r="E3952" s="31" t="n">
        <v>46.2</v>
      </c>
      <c r="F3952" s="31" t="n">
        <v>95</v>
      </c>
      <c r="G3952" s="31" t="n">
        <v>49.6</v>
      </c>
      <c r="H3952" s="2" t="s">
        <v>822</v>
      </c>
    </row>
    <row r="3953" customFormat="false" ht="15" hidden="false" customHeight="false" outlineLevel="0" collapsed="false">
      <c r="A3953" s="2" t="s">
        <v>206</v>
      </c>
      <c r="B3953" s="2" t="s">
        <v>4291</v>
      </c>
      <c r="C3953" s="2" t="s">
        <v>4274</v>
      </c>
      <c r="D3953" s="2"/>
      <c r="E3953" s="31" t="n">
        <v>50.3</v>
      </c>
      <c r="F3953" s="31" t="n">
        <v>89.1</v>
      </c>
      <c r="G3953" s="2"/>
      <c r="H3953" s="2" t="s">
        <v>832</v>
      </c>
    </row>
    <row r="3954" customFormat="false" ht="15" hidden="false" customHeight="false" outlineLevel="0" collapsed="false">
      <c r="A3954" s="2" t="s">
        <v>206</v>
      </c>
      <c r="B3954" s="2" t="s">
        <v>4291</v>
      </c>
      <c r="C3954" s="2" t="s">
        <v>4275</v>
      </c>
      <c r="D3954" s="2"/>
      <c r="E3954" s="31" t="n">
        <v>74.5</v>
      </c>
      <c r="F3954" s="31" t="n">
        <v>90.2</v>
      </c>
      <c r="G3954" s="31" t="n">
        <v>23.6</v>
      </c>
      <c r="H3954" s="2" t="s">
        <v>822</v>
      </c>
    </row>
    <row r="3955" customFormat="false" ht="15" hidden="false" customHeight="false" outlineLevel="0" collapsed="false">
      <c r="A3955" s="2" t="s">
        <v>206</v>
      </c>
      <c r="B3955" s="2" t="s">
        <v>46</v>
      </c>
      <c r="C3955" s="2" t="s">
        <v>4274</v>
      </c>
      <c r="D3955" s="11" t="n">
        <v>33210</v>
      </c>
      <c r="E3955" s="31" t="n">
        <v>50.3</v>
      </c>
      <c r="F3955" s="31" t="n">
        <v>89.1</v>
      </c>
      <c r="G3955" s="2"/>
      <c r="H3955" s="2" t="s">
        <v>832</v>
      </c>
    </row>
    <row r="3956" customFormat="false" ht="15" hidden="false" customHeight="false" outlineLevel="0" collapsed="false">
      <c r="A3956" s="2" t="s">
        <v>206</v>
      </c>
      <c r="B3956" s="2" t="s">
        <v>46</v>
      </c>
      <c r="C3956" s="2" t="s">
        <v>4275</v>
      </c>
      <c r="D3956" s="11" t="n">
        <v>35302</v>
      </c>
      <c r="E3956" s="31" t="n">
        <v>74.5</v>
      </c>
      <c r="F3956" s="31" t="n">
        <v>90.2</v>
      </c>
      <c r="G3956" s="31" t="n">
        <v>23.6</v>
      </c>
      <c r="H3956" s="2" t="s">
        <v>822</v>
      </c>
    </row>
    <row r="3957" customFormat="false" ht="15" hidden="false" customHeight="false" outlineLevel="0" collapsed="false">
      <c r="A3957" s="2" t="s">
        <v>556</v>
      </c>
      <c r="B3957" s="2" t="s">
        <v>4291</v>
      </c>
      <c r="C3957" s="2" t="s">
        <v>4274</v>
      </c>
      <c r="D3957" s="2"/>
      <c r="E3957" s="31" t="n">
        <v>41.6</v>
      </c>
      <c r="F3957" s="31" t="n">
        <v>88.6</v>
      </c>
      <c r="G3957" s="31" t="n">
        <v>61.4</v>
      </c>
      <c r="H3957" s="2" t="s">
        <v>822</v>
      </c>
    </row>
    <row r="3958" customFormat="false" ht="15" hidden="false" customHeight="false" outlineLevel="0" collapsed="false">
      <c r="A3958" s="2" t="s">
        <v>556</v>
      </c>
      <c r="B3958" s="2" t="s">
        <v>4291</v>
      </c>
      <c r="C3958" s="2" t="s">
        <v>4275</v>
      </c>
      <c r="D3958" s="2"/>
      <c r="E3958" s="31" t="n">
        <v>43.4</v>
      </c>
      <c r="F3958" s="31" t="n">
        <v>74.6</v>
      </c>
      <c r="G3958" s="31" t="n">
        <v>67.1</v>
      </c>
      <c r="H3958" s="2" t="s">
        <v>822</v>
      </c>
    </row>
    <row r="3959" customFormat="false" ht="15" hidden="false" customHeight="false" outlineLevel="0" collapsed="false">
      <c r="A3959" s="2" t="s">
        <v>556</v>
      </c>
      <c r="B3959" s="2" t="s">
        <v>45</v>
      </c>
      <c r="C3959" s="2" t="s">
        <v>4274</v>
      </c>
      <c r="D3959" s="11" t="n">
        <v>3501704</v>
      </c>
      <c r="E3959" s="31" t="n">
        <v>71.1</v>
      </c>
      <c r="F3959" s="31" t="n">
        <v>78.6</v>
      </c>
      <c r="G3959" s="31" t="n">
        <v>25.9</v>
      </c>
      <c r="H3959" s="2" t="s">
        <v>822</v>
      </c>
    </row>
    <row r="3960" customFormat="false" ht="15" hidden="false" customHeight="false" outlineLevel="0" collapsed="false">
      <c r="A3960" s="2" t="s">
        <v>556</v>
      </c>
      <c r="B3960" s="2" t="s">
        <v>45</v>
      </c>
      <c r="C3960" s="2" t="s">
        <v>4275</v>
      </c>
      <c r="D3960" s="11" t="n">
        <v>3604745</v>
      </c>
      <c r="E3960" s="31" t="n">
        <v>68.8</v>
      </c>
      <c r="F3960" s="31" t="n">
        <v>52.9</v>
      </c>
      <c r="G3960" s="31" t="n">
        <v>37.5</v>
      </c>
      <c r="H3960" s="2" t="s">
        <v>822</v>
      </c>
    </row>
    <row r="3961" customFormat="false" ht="15" hidden="false" customHeight="false" outlineLevel="0" collapsed="false">
      <c r="A3961" s="2" t="s">
        <v>556</v>
      </c>
      <c r="B3961" s="2" t="s">
        <v>46</v>
      </c>
      <c r="C3961" s="2" t="s">
        <v>4274</v>
      </c>
      <c r="D3961" s="11" t="n">
        <v>101552</v>
      </c>
      <c r="E3961" s="31" t="n">
        <v>12.1</v>
      </c>
      <c r="F3961" s="31" t="n">
        <v>98.7</v>
      </c>
      <c r="G3961" s="31" t="n">
        <v>96.8</v>
      </c>
      <c r="H3961" s="2" t="s">
        <v>822</v>
      </c>
    </row>
    <row r="3962" customFormat="false" ht="15" hidden="false" customHeight="false" outlineLevel="0" collapsed="false">
      <c r="A3962" s="2" t="s">
        <v>556</v>
      </c>
      <c r="B3962" s="2" t="s">
        <v>46</v>
      </c>
      <c r="C3962" s="2" t="s">
        <v>4275</v>
      </c>
      <c r="D3962" s="11" t="n">
        <v>116250</v>
      </c>
      <c r="E3962" s="31" t="n">
        <v>18.1</v>
      </c>
      <c r="F3962" s="31" t="n">
        <v>96.2</v>
      </c>
      <c r="G3962" s="31" t="n">
        <v>96.7</v>
      </c>
      <c r="H3962" s="2" t="s">
        <v>822</v>
      </c>
    </row>
    <row r="3963" customFormat="false" ht="15" hidden="false" customHeight="false" outlineLevel="0" collapsed="false">
      <c r="A3963" s="2" t="s">
        <v>1750</v>
      </c>
      <c r="B3963" s="2" t="s">
        <v>4291</v>
      </c>
      <c r="C3963" s="2" t="s">
        <v>4274</v>
      </c>
      <c r="D3963" s="2"/>
      <c r="E3963" s="31" t="n">
        <v>55.8</v>
      </c>
      <c r="F3963" s="31" t="n">
        <v>36.5</v>
      </c>
      <c r="G3963" s="31" t="n">
        <v>79.6</v>
      </c>
      <c r="H3963" s="2" t="s">
        <v>822</v>
      </c>
    </row>
    <row r="3964" customFormat="false" ht="15" hidden="false" customHeight="false" outlineLevel="0" collapsed="false">
      <c r="A3964" s="2" t="s">
        <v>1750</v>
      </c>
      <c r="B3964" s="2" t="s">
        <v>4291</v>
      </c>
      <c r="C3964" s="2" t="s">
        <v>4275</v>
      </c>
      <c r="D3964" s="2"/>
      <c r="E3964" s="31" t="n">
        <v>48.2</v>
      </c>
      <c r="F3964" s="31" t="n">
        <v>40.2</v>
      </c>
      <c r="G3964" s="31" t="n">
        <v>87.8</v>
      </c>
      <c r="H3964" s="2" t="s">
        <v>832</v>
      </c>
    </row>
    <row r="3965" customFormat="false" ht="15" hidden="false" customHeight="false" outlineLevel="0" collapsed="false">
      <c r="A3965" s="2" t="s">
        <v>1750</v>
      </c>
      <c r="B3965" s="2" t="s">
        <v>45</v>
      </c>
      <c r="C3965" s="2" t="s">
        <v>4274</v>
      </c>
      <c r="D3965" s="11" t="n">
        <v>9280</v>
      </c>
      <c r="E3965" s="31" t="n">
        <v>92.4</v>
      </c>
      <c r="F3965" s="31" t="n">
        <v>21</v>
      </c>
      <c r="G3965" s="31" t="n">
        <v>96.3</v>
      </c>
      <c r="H3965" s="2" t="s">
        <v>822</v>
      </c>
    </row>
    <row r="3966" customFormat="false" ht="15" hidden="false" customHeight="false" outlineLevel="0" collapsed="false">
      <c r="A3966" s="2" t="s">
        <v>1750</v>
      </c>
      <c r="B3966" s="2" t="s">
        <v>45</v>
      </c>
      <c r="C3966" s="2" t="s">
        <v>4275</v>
      </c>
      <c r="D3966" s="2"/>
      <c r="E3966" s="2"/>
      <c r="F3966" s="2"/>
      <c r="G3966" s="31" t="n">
        <v>91.6</v>
      </c>
      <c r="H3966" s="2" t="s">
        <v>832</v>
      </c>
    </row>
    <row r="3967" customFormat="false" ht="15" hidden="false" customHeight="false" outlineLevel="0" collapsed="false">
      <c r="A3967" s="2" t="s">
        <v>1750</v>
      </c>
      <c r="B3967" s="2" t="s">
        <v>46</v>
      </c>
      <c r="C3967" s="2" t="s">
        <v>4274</v>
      </c>
      <c r="D3967" s="11" t="n">
        <v>62370</v>
      </c>
      <c r="E3967" s="31" t="n">
        <v>58.3</v>
      </c>
      <c r="F3967" s="31" t="n">
        <v>73.4</v>
      </c>
      <c r="G3967" s="31" t="n">
        <v>64.6</v>
      </c>
      <c r="H3967" s="2" t="s">
        <v>822</v>
      </c>
    </row>
    <row r="3968" customFormat="false" ht="15" hidden="false" customHeight="false" outlineLevel="0" collapsed="false">
      <c r="A3968" s="2" t="s">
        <v>1750</v>
      </c>
      <c r="B3968" s="2" t="s">
        <v>46</v>
      </c>
      <c r="C3968" s="2" t="s">
        <v>4275</v>
      </c>
      <c r="D3968" s="11" t="n">
        <v>66550</v>
      </c>
      <c r="E3968" s="31" t="n">
        <v>73.7</v>
      </c>
      <c r="F3968" s="31" t="n">
        <v>65.1</v>
      </c>
      <c r="G3968" s="31" t="n">
        <v>79</v>
      </c>
      <c r="H3968" s="2" t="s">
        <v>822</v>
      </c>
    </row>
    <row r="3969" customFormat="false" ht="15" hidden="false" customHeight="false" outlineLevel="0" collapsed="false">
      <c r="A3969" s="2" t="s">
        <v>1750</v>
      </c>
      <c r="B3969" s="2" t="s">
        <v>47</v>
      </c>
      <c r="C3969" s="2" t="s">
        <v>4274</v>
      </c>
      <c r="D3969" s="11" t="n">
        <v>13147</v>
      </c>
      <c r="E3969" s="31" t="n">
        <v>16.6</v>
      </c>
      <c r="F3969" s="31" t="n">
        <v>15</v>
      </c>
      <c r="G3969" s="31" t="n">
        <v>77.8</v>
      </c>
      <c r="H3969" s="2" t="s">
        <v>822</v>
      </c>
    </row>
    <row r="3970" customFormat="false" ht="15" hidden="false" customHeight="false" outlineLevel="0" collapsed="false">
      <c r="A3970" s="2" t="s">
        <v>1750</v>
      </c>
      <c r="B3970" s="2" t="s">
        <v>47</v>
      </c>
      <c r="C3970" s="2" t="s">
        <v>4275</v>
      </c>
      <c r="D3970" s="11" t="n">
        <v>13412</v>
      </c>
      <c r="E3970" s="31" t="n">
        <v>22.8</v>
      </c>
      <c r="F3970" s="31" t="n">
        <v>15.3</v>
      </c>
      <c r="G3970" s="31" t="n">
        <v>92.7</v>
      </c>
      <c r="H3970" s="2" t="s">
        <v>822</v>
      </c>
    </row>
    <row r="3971" customFormat="false" ht="15" hidden="false" customHeight="false" outlineLevel="0" collapsed="false">
      <c r="A3971" s="2" t="s">
        <v>210</v>
      </c>
      <c r="B3971" s="2" t="s">
        <v>4291</v>
      </c>
      <c r="C3971" s="2" t="s">
        <v>4274</v>
      </c>
      <c r="D3971" s="2"/>
      <c r="E3971" s="31" t="n">
        <v>66.1</v>
      </c>
      <c r="F3971" s="31" t="n">
        <v>36</v>
      </c>
      <c r="G3971" s="31" t="n">
        <v>52.1</v>
      </c>
      <c r="H3971" s="2" t="s">
        <v>832</v>
      </c>
    </row>
    <row r="3972" customFormat="false" ht="15" hidden="false" customHeight="false" outlineLevel="0" collapsed="false">
      <c r="A3972" s="2" t="s">
        <v>210</v>
      </c>
      <c r="B3972" s="2" t="s">
        <v>4291</v>
      </c>
      <c r="C3972" s="2" t="s">
        <v>4275</v>
      </c>
      <c r="D3972" s="2"/>
      <c r="E3972" s="31" t="n">
        <v>74.2</v>
      </c>
      <c r="F3972" s="31" t="n">
        <v>20.7</v>
      </c>
      <c r="G3972" s="31" t="n">
        <v>54.9</v>
      </c>
      <c r="H3972" s="2" t="s">
        <v>822</v>
      </c>
    </row>
    <row r="3973" customFormat="false" ht="15" hidden="false" customHeight="false" outlineLevel="0" collapsed="false">
      <c r="A3973" s="2" t="s">
        <v>210</v>
      </c>
      <c r="B3973" s="2" t="s">
        <v>45</v>
      </c>
      <c r="C3973" s="2" t="s">
        <v>4274</v>
      </c>
      <c r="D3973" s="11" t="n">
        <v>627970</v>
      </c>
      <c r="E3973" s="31" t="n">
        <v>36.1</v>
      </c>
      <c r="F3973" s="31" t="n">
        <v>3.4</v>
      </c>
      <c r="G3973" s="31" t="n">
        <v>35.1</v>
      </c>
      <c r="H3973" s="2" t="s">
        <v>822</v>
      </c>
    </row>
    <row r="3974" customFormat="false" ht="15" hidden="false" customHeight="false" outlineLevel="0" collapsed="false">
      <c r="A3974" s="2" t="s">
        <v>210</v>
      </c>
      <c r="B3974" s="2" t="s">
        <v>45</v>
      </c>
      <c r="C3974" s="2" t="s">
        <v>4275</v>
      </c>
      <c r="D3974" s="11" t="n">
        <v>624180</v>
      </c>
      <c r="E3974" s="31" t="n">
        <v>39.1</v>
      </c>
      <c r="F3974" s="31" t="n">
        <v>7.1</v>
      </c>
      <c r="G3974" s="31" t="n">
        <v>76.2</v>
      </c>
      <c r="H3974" s="2" t="s">
        <v>822</v>
      </c>
    </row>
    <row r="3975" customFormat="false" ht="15" hidden="false" customHeight="false" outlineLevel="0" collapsed="false">
      <c r="A3975" s="2" t="s">
        <v>210</v>
      </c>
      <c r="B3975" s="2" t="s">
        <v>46</v>
      </c>
      <c r="C3975" s="2" t="s">
        <v>4274</v>
      </c>
      <c r="D3975" s="11" t="n">
        <v>21478</v>
      </c>
      <c r="E3975" s="31" t="n">
        <v>66.9</v>
      </c>
      <c r="F3975" s="31" t="n">
        <v>68.5</v>
      </c>
      <c r="G3975" s="31" t="n">
        <v>36.5</v>
      </c>
      <c r="H3975" s="2" t="s">
        <v>822</v>
      </c>
    </row>
    <row r="3976" customFormat="false" ht="15" hidden="false" customHeight="false" outlineLevel="0" collapsed="false">
      <c r="A3976" s="2" t="s">
        <v>210</v>
      </c>
      <c r="B3976" s="2" t="s">
        <v>46</v>
      </c>
      <c r="C3976" s="2" t="s">
        <v>4275</v>
      </c>
      <c r="D3976" s="11" t="n">
        <v>22330</v>
      </c>
      <c r="E3976" s="31" t="n">
        <v>92.7</v>
      </c>
      <c r="F3976" s="31" t="n">
        <v>48</v>
      </c>
      <c r="G3976" s="31" t="n">
        <v>25.2</v>
      </c>
      <c r="H3976" s="2" t="s">
        <v>822</v>
      </c>
    </row>
    <row r="3977" customFormat="false" ht="15" hidden="false" customHeight="false" outlineLevel="0" collapsed="false">
      <c r="A3977" s="2" t="s">
        <v>210</v>
      </c>
      <c r="B3977" s="2" t="s">
        <v>47</v>
      </c>
      <c r="C3977" s="2" t="s">
        <v>4274</v>
      </c>
      <c r="D3977" s="11" t="n">
        <v>49995</v>
      </c>
      <c r="E3977" s="31" t="n">
        <v>95.2</v>
      </c>
      <c r="F3977" s="2"/>
      <c r="G3977" s="31" t="n">
        <v>84.7</v>
      </c>
      <c r="H3977" s="2" t="s">
        <v>832</v>
      </c>
    </row>
    <row r="3978" customFormat="false" ht="15" hidden="false" customHeight="false" outlineLevel="0" collapsed="false">
      <c r="A3978" s="2" t="s">
        <v>210</v>
      </c>
      <c r="B3978" s="2" t="s">
        <v>47</v>
      </c>
      <c r="C3978" s="2" t="s">
        <v>4275</v>
      </c>
      <c r="D3978" s="11" t="n">
        <v>49970</v>
      </c>
      <c r="E3978" s="31" t="n">
        <v>90.8</v>
      </c>
      <c r="F3978" s="31" t="n">
        <v>7.1</v>
      </c>
      <c r="G3978" s="31" t="n">
        <v>63.4</v>
      </c>
      <c r="H3978" s="2" t="s">
        <v>822</v>
      </c>
    </row>
    <row r="3979" customFormat="false" ht="15" hidden="false" customHeight="false" outlineLevel="0" collapsed="false">
      <c r="A3979" s="2" t="s">
        <v>636</v>
      </c>
      <c r="B3979" s="2" t="s">
        <v>4291</v>
      </c>
      <c r="C3979" s="2" t="s">
        <v>4274</v>
      </c>
      <c r="D3979" s="2"/>
      <c r="E3979" s="31" t="n">
        <v>32.2</v>
      </c>
      <c r="F3979" s="31" t="n">
        <v>71.6</v>
      </c>
      <c r="G3979" s="31" t="n">
        <v>64.2</v>
      </c>
      <c r="H3979" s="2" t="s">
        <v>832</v>
      </c>
    </row>
    <row r="3980" customFormat="false" ht="15" hidden="false" customHeight="false" outlineLevel="0" collapsed="false">
      <c r="A3980" s="2" t="s">
        <v>636</v>
      </c>
      <c r="B3980" s="2" t="s">
        <v>4291</v>
      </c>
      <c r="C3980" s="2" t="s">
        <v>4275</v>
      </c>
      <c r="D3980" s="2"/>
      <c r="E3980" s="31" t="n">
        <v>36.2</v>
      </c>
      <c r="F3980" s="31" t="n">
        <v>61.7</v>
      </c>
      <c r="G3980" s="31" t="n">
        <v>52.6</v>
      </c>
      <c r="H3980" s="2" t="s">
        <v>822</v>
      </c>
    </row>
    <row r="3981" customFormat="false" ht="15" hidden="false" customHeight="false" outlineLevel="0" collapsed="false">
      <c r="A3981" s="2" t="s">
        <v>636</v>
      </c>
      <c r="B3981" s="2" t="s">
        <v>45</v>
      </c>
      <c r="C3981" s="2" t="s">
        <v>4274</v>
      </c>
      <c r="D3981" s="11" t="n">
        <v>8590</v>
      </c>
      <c r="E3981" s="31" t="n">
        <v>2.8</v>
      </c>
      <c r="F3981" s="31" t="n">
        <v>67.7</v>
      </c>
      <c r="G3981" s="2"/>
      <c r="H3981" s="2" t="s">
        <v>832</v>
      </c>
    </row>
    <row r="3982" customFormat="false" ht="15" hidden="false" customHeight="false" outlineLevel="0" collapsed="false">
      <c r="A3982" s="2" t="s">
        <v>636</v>
      </c>
      <c r="B3982" s="2" t="s">
        <v>45</v>
      </c>
      <c r="C3982" s="2" t="s">
        <v>4275</v>
      </c>
      <c r="D3982" s="11" t="n">
        <v>9240</v>
      </c>
      <c r="E3982" s="31" t="n">
        <v>7</v>
      </c>
      <c r="F3982" s="31" t="n">
        <v>71.8</v>
      </c>
      <c r="G3982" s="31" t="n">
        <v>1.3</v>
      </c>
      <c r="H3982" s="2" t="s">
        <v>822</v>
      </c>
    </row>
    <row r="3983" customFormat="false" ht="15" hidden="false" customHeight="false" outlineLevel="0" collapsed="false">
      <c r="A3983" s="2" t="s">
        <v>636</v>
      </c>
      <c r="B3983" s="2" t="s">
        <v>46</v>
      </c>
      <c r="C3983" s="2" t="s">
        <v>4274</v>
      </c>
      <c r="D3983" s="11" t="n">
        <v>168733</v>
      </c>
      <c r="E3983" s="31" t="n">
        <v>13.3</v>
      </c>
      <c r="F3983" s="31" t="n">
        <v>75.6</v>
      </c>
      <c r="G3983" s="2"/>
      <c r="H3983" s="2" t="s">
        <v>832</v>
      </c>
    </row>
    <row r="3984" customFormat="false" ht="15" hidden="false" customHeight="false" outlineLevel="0" collapsed="false">
      <c r="A3984" s="2" t="s">
        <v>636</v>
      </c>
      <c r="B3984" s="2" t="s">
        <v>46</v>
      </c>
      <c r="C3984" s="2" t="s">
        <v>4275</v>
      </c>
      <c r="D3984" s="11" t="n">
        <v>178430</v>
      </c>
      <c r="E3984" s="31" t="n">
        <v>24.8</v>
      </c>
      <c r="F3984" s="31" t="n">
        <v>47.1</v>
      </c>
      <c r="G3984" s="31" t="n">
        <v>82.6</v>
      </c>
      <c r="H3984" s="2" t="s">
        <v>822</v>
      </c>
    </row>
    <row r="3985" customFormat="false" ht="15" hidden="false" customHeight="false" outlineLevel="0" collapsed="false">
      <c r="A3985" s="2" t="s">
        <v>636</v>
      </c>
      <c r="B3985" s="2" t="s">
        <v>47</v>
      </c>
      <c r="C3985" s="2" t="s">
        <v>4274</v>
      </c>
      <c r="D3985" s="11" t="n">
        <v>62651</v>
      </c>
      <c r="E3985" s="31" t="n">
        <v>80.6</v>
      </c>
      <c r="F3985" s="31" t="n">
        <v>71.6</v>
      </c>
      <c r="G3985" s="31" t="n">
        <v>64.2</v>
      </c>
      <c r="H3985" s="2" t="s">
        <v>822</v>
      </c>
    </row>
    <row r="3986" customFormat="false" ht="15" hidden="false" customHeight="false" outlineLevel="0" collapsed="false">
      <c r="A3986" s="2" t="s">
        <v>636</v>
      </c>
      <c r="B3986" s="2" t="s">
        <v>47</v>
      </c>
      <c r="C3986" s="2" t="s">
        <v>4275</v>
      </c>
      <c r="D3986" s="11" t="n">
        <v>65222</v>
      </c>
      <c r="E3986" s="31" t="n">
        <v>76.7</v>
      </c>
      <c r="F3986" s="31" t="n">
        <v>66.2</v>
      </c>
      <c r="G3986" s="31" t="n">
        <v>74</v>
      </c>
      <c r="H3986" s="2" t="s">
        <v>822</v>
      </c>
    </row>
    <row r="3987" customFormat="false" ht="15" hidden="false" customHeight="false" outlineLevel="0" collapsed="false">
      <c r="A3987" s="2" t="s">
        <v>454</v>
      </c>
      <c r="B3987" s="2" t="s">
        <v>4291</v>
      </c>
      <c r="C3987" s="2" t="s">
        <v>4274</v>
      </c>
      <c r="D3987" s="2"/>
      <c r="E3987" s="31" t="n">
        <v>90.3</v>
      </c>
      <c r="F3987" s="31" t="n">
        <v>9.5</v>
      </c>
      <c r="G3987" s="31" t="n">
        <v>94.4</v>
      </c>
      <c r="H3987" s="2" t="s">
        <v>832</v>
      </c>
    </row>
    <row r="3988" customFormat="false" ht="15" hidden="false" customHeight="false" outlineLevel="0" collapsed="false">
      <c r="A3988" s="2" t="s">
        <v>454</v>
      </c>
      <c r="B3988" s="2" t="s">
        <v>4291</v>
      </c>
      <c r="C3988" s="2" t="s">
        <v>4275</v>
      </c>
      <c r="D3988" s="2"/>
      <c r="E3988" s="31" t="n">
        <v>51.8</v>
      </c>
      <c r="F3988" s="31" t="n">
        <v>18.2</v>
      </c>
      <c r="G3988" s="31" t="n">
        <v>37.8</v>
      </c>
      <c r="H3988" s="2" t="s">
        <v>822</v>
      </c>
    </row>
    <row r="3989" customFormat="false" ht="15" hidden="false" customHeight="false" outlineLevel="0" collapsed="false">
      <c r="A3989" s="2" t="s">
        <v>454</v>
      </c>
      <c r="B3989" s="2" t="s">
        <v>45</v>
      </c>
      <c r="C3989" s="2" t="s">
        <v>4274</v>
      </c>
      <c r="D3989" s="11" t="n">
        <v>42028</v>
      </c>
      <c r="E3989" s="31" t="n">
        <v>90.3</v>
      </c>
      <c r="F3989" s="31" t="n">
        <v>9.5</v>
      </c>
      <c r="G3989" s="31" t="n">
        <v>94.4</v>
      </c>
      <c r="H3989" s="2" t="s">
        <v>822</v>
      </c>
    </row>
    <row r="3990" customFormat="false" ht="15" hidden="false" customHeight="false" outlineLevel="0" collapsed="false">
      <c r="A3990" s="2" t="s">
        <v>454</v>
      </c>
      <c r="B3990" s="2" t="s">
        <v>45</v>
      </c>
      <c r="C3990" s="2" t="s">
        <v>4275</v>
      </c>
      <c r="D3990" s="11" t="n">
        <v>41140</v>
      </c>
      <c r="E3990" s="31" t="n">
        <v>92.2</v>
      </c>
      <c r="F3990" s="31" t="n">
        <v>4.5</v>
      </c>
      <c r="G3990" s="31" t="n">
        <v>50.3</v>
      </c>
      <c r="H3990" s="2" t="s">
        <v>822</v>
      </c>
    </row>
    <row r="3991" customFormat="false" ht="15" hidden="false" customHeight="false" outlineLevel="0" collapsed="false">
      <c r="A3991" s="2" t="s">
        <v>454</v>
      </c>
      <c r="B3991" s="2" t="s">
        <v>47</v>
      </c>
      <c r="C3991" s="2" t="s">
        <v>4274</v>
      </c>
      <c r="D3991" s="2"/>
      <c r="E3991" s="2"/>
      <c r="F3991" s="2"/>
      <c r="G3991" s="2"/>
      <c r="H3991" s="2" t="s">
        <v>832</v>
      </c>
    </row>
    <row r="3992" customFormat="false" ht="15" hidden="false" customHeight="false" outlineLevel="0" collapsed="false">
      <c r="A3992" s="2" t="s">
        <v>454</v>
      </c>
      <c r="B3992" s="2" t="s">
        <v>47</v>
      </c>
      <c r="C3992" s="2" t="s">
        <v>4275</v>
      </c>
      <c r="D3992" s="11" t="n">
        <v>29179</v>
      </c>
      <c r="E3992" s="31" t="n">
        <v>11.5</v>
      </c>
      <c r="F3992" s="31" t="n">
        <v>31.8</v>
      </c>
      <c r="G3992" s="31" t="n">
        <v>25.3</v>
      </c>
      <c r="H3992" s="2" t="s">
        <v>822</v>
      </c>
    </row>
    <row r="3993" customFormat="false" ht="15" hidden="false" customHeight="false" outlineLevel="0" collapsed="false">
      <c r="A3993" s="2" t="s">
        <v>746</v>
      </c>
      <c r="B3993" s="2" t="s">
        <v>4291</v>
      </c>
      <c r="C3993" s="2" t="s">
        <v>4274</v>
      </c>
      <c r="D3993" s="2"/>
      <c r="E3993" s="31" t="n">
        <v>11.2</v>
      </c>
      <c r="F3993" s="31" t="n">
        <v>41.2</v>
      </c>
      <c r="G3993" s="31" t="n">
        <v>45</v>
      </c>
      <c r="H3993" s="2" t="s">
        <v>822</v>
      </c>
    </row>
    <row r="3994" customFormat="false" ht="15" hidden="false" customHeight="false" outlineLevel="0" collapsed="false">
      <c r="A3994" s="2" t="s">
        <v>746</v>
      </c>
      <c r="B3994" s="2" t="s">
        <v>4291</v>
      </c>
      <c r="C3994" s="2" t="s">
        <v>4275</v>
      </c>
      <c r="D3994" s="2"/>
      <c r="E3994" s="31" t="n">
        <v>22</v>
      </c>
      <c r="F3994" s="31" t="n">
        <v>62</v>
      </c>
      <c r="G3994" s="31" t="n">
        <v>34.2</v>
      </c>
      <c r="H3994" s="2" t="s">
        <v>822</v>
      </c>
    </row>
    <row r="3995" customFormat="false" ht="15" hidden="false" customHeight="false" outlineLevel="0" collapsed="false">
      <c r="A3995" s="2" t="s">
        <v>746</v>
      </c>
      <c r="B3995" s="2" t="s">
        <v>47</v>
      </c>
      <c r="C3995" s="2" t="s">
        <v>4274</v>
      </c>
      <c r="D3995" s="11" t="n">
        <v>55605</v>
      </c>
      <c r="E3995" s="31" t="n">
        <v>11.2</v>
      </c>
      <c r="F3995" s="31" t="n">
        <v>41.2</v>
      </c>
      <c r="G3995" s="31" t="n">
        <v>45</v>
      </c>
      <c r="H3995" s="2" t="s">
        <v>822</v>
      </c>
    </row>
    <row r="3996" customFormat="false" ht="15" hidden="false" customHeight="false" outlineLevel="0" collapsed="false">
      <c r="A3996" s="2" t="s">
        <v>746</v>
      </c>
      <c r="B3996" s="2" t="s">
        <v>47</v>
      </c>
      <c r="C3996" s="2" t="s">
        <v>4275</v>
      </c>
      <c r="D3996" s="11" t="n">
        <v>56771</v>
      </c>
      <c r="E3996" s="31" t="n">
        <v>22</v>
      </c>
      <c r="F3996" s="31" t="n">
        <v>62</v>
      </c>
      <c r="G3996" s="31" t="n">
        <v>34.2</v>
      </c>
      <c r="H3996" s="2" t="s">
        <v>822</v>
      </c>
    </row>
    <row r="3997" customFormat="false" ht="15" hidden="false" customHeight="false" outlineLevel="0" collapsed="false">
      <c r="A3997" s="2" t="s">
        <v>696</v>
      </c>
      <c r="B3997" s="2" t="s">
        <v>4291</v>
      </c>
      <c r="C3997" s="2" t="s">
        <v>4274</v>
      </c>
      <c r="D3997" s="2"/>
      <c r="E3997" s="31" t="n">
        <v>33.9</v>
      </c>
      <c r="F3997" s="31" t="n">
        <v>4.5</v>
      </c>
      <c r="G3997" s="31" t="n">
        <v>41.8</v>
      </c>
      <c r="H3997" s="2" t="s">
        <v>822</v>
      </c>
    </row>
    <row r="3998" customFormat="false" ht="15" hidden="false" customHeight="false" outlineLevel="0" collapsed="false">
      <c r="A3998" s="2" t="s">
        <v>696</v>
      </c>
      <c r="B3998" s="2" t="s">
        <v>4291</v>
      </c>
      <c r="C3998" s="2" t="s">
        <v>4275</v>
      </c>
      <c r="D3998" s="2"/>
      <c r="E3998" s="31" t="n">
        <v>28.9</v>
      </c>
      <c r="F3998" s="31" t="n">
        <v>3.8</v>
      </c>
      <c r="G3998" s="31" t="n">
        <v>68.2</v>
      </c>
      <c r="H3998" s="2" t="s">
        <v>822</v>
      </c>
    </row>
    <row r="3999" customFormat="false" ht="15" hidden="false" customHeight="false" outlineLevel="0" collapsed="false">
      <c r="A3999" s="2" t="s">
        <v>696</v>
      </c>
      <c r="B3999" s="2" t="s">
        <v>46</v>
      </c>
      <c r="C3999" s="2" t="s">
        <v>4274</v>
      </c>
      <c r="D3999" s="11" t="n">
        <v>389596</v>
      </c>
      <c r="E3999" s="31" t="n">
        <v>33.9</v>
      </c>
      <c r="F3999" s="31" t="n">
        <v>4.5</v>
      </c>
      <c r="G3999" s="31" t="n">
        <v>41.8</v>
      </c>
      <c r="H3999" s="2" t="s">
        <v>822</v>
      </c>
    </row>
    <row r="4000" customFormat="false" ht="15" hidden="false" customHeight="false" outlineLevel="0" collapsed="false">
      <c r="A4000" s="2" t="s">
        <v>696</v>
      </c>
      <c r="B4000" s="2" t="s">
        <v>46</v>
      </c>
      <c r="C4000" s="2" t="s">
        <v>4275</v>
      </c>
      <c r="D4000" s="11" t="n">
        <v>387410</v>
      </c>
      <c r="E4000" s="31" t="n">
        <v>28.9</v>
      </c>
      <c r="F4000" s="31" t="n">
        <v>3.8</v>
      </c>
      <c r="G4000" s="31" t="n">
        <v>68.2</v>
      </c>
      <c r="H4000" s="2" t="s">
        <v>822</v>
      </c>
    </row>
    <row r="4001" customFormat="false" ht="15" hidden="false" customHeight="false" outlineLevel="0" collapsed="false">
      <c r="A4001" s="2" t="s">
        <v>2621</v>
      </c>
      <c r="B4001" s="2" t="s">
        <v>4291</v>
      </c>
      <c r="C4001" s="2" t="s">
        <v>4274</v>
      </c>
      <c r="D4001" s="2"/>
      <c r="E4001" s="31" t="n">
        <v>63</v>
      </c>
      <c r="F4001" s="31" t="n">
        <v>82.7</v>
      </c>
      <c r="G4001" s="31" t="n">
        <v>37.4</v>
      </c>
      <c r="H4001" s="2" t="s">
        <v>832</v>
      </c>
    </row>
    <row r="4002" customFormat="false" ht="15" hidden="false" customHeight="false" outlineLevel="0" collapsed="false">
      <c r="A4002" s="2" t="s">
        <v>2621</v>
      </c>
      <c r="B4002" s="2" t="s">
        <v>4291</v>
      </c>
      <c r="C4002" s="2" t="s">
        <v>4275</v>
      </c>
      <c r="D4002" s="2"/>
      <c r="E4002" s="31" t="n">
        <v>32.2</v>
      </c>
      <c r="F4002" s="31" t="n">
        <v>49.8</v>
      </c>
      <c r="G4002" s="31" t="n">
        <v>60</v>
      </c>
      <c r="H4002" s="2" t="s">
        <v>832</v>
      </c>
    </row>
    <row r="4003" customFormat="false" ht="15" hidden="false" customHeight="false" outlineLevel="0" collapsed="false">
      <c r="A4003" s="2" t="s">
        <v>2621</v>
      </c>
      <c r="B4003" s="2" t="s">
        <v>46</v>
      </c>
      <c r="C4003" s="2" t="s">
        <v>4274</v>
      </c>
      <c r="D4003" s="2"/>
      <c r="E4003" s="2"/>
      <c r="F4003" s="2"/>
      <c r="G4003" s="2"/>
      <c r="H4003" s="2" t="s">
        <v>832</v>
      </c>
    </row>
    <row r="4004" customFormat="false" ht="15" hidden="false" customHeight="false" outlineLevel="0" collapsed="false">
      <c r="A4004" s="2" t="s">
        <v>2621</v>
      </c>
      <c r="B4004" s="2" t="s">
        <v>46</v>
      </c>
      <c r="C4004" s="2" t="s">
        <v>4275</v>
      </c>
      <c r="D4004" s="11" t="n">
        <v>170760</v>
      </c>
      <c r="E4004" s="31" t="n">
        <v>27.1</v>
      </c>
      <c r="F4004" s="31" t="n">
        <v>66.2</v>
      </c>
      <c r="G4004" s="2"/>
      <c r="H4004" s="2" t="s">
        <v>832</v>
      </c>
    </row>
    <row r="4005" customFormat="false" ht="15" hidden="false" customHeight="false" outlineLevel="0" collapsed="false">
      <c r="A4005" s="2" t="s">
        <v>2621</v>
      </c>
      <c r="B4005" s="2" t="s">
        <v>47</v>
      </c>
      <c r="C4005" s="2" t="s">
        <v>4274</v>
      </c>
      <c r="D4005" s="11" t="n">
        <v>108785</v>
      </c>
      <c r="E4005" s="31" t="n">
        <v>63</v>
      </c>
      <c r="F4005" s="31" t="n">
        <v>82.7</v>
      </c>
      <c r="G4005" s="31" t="n">
        <v>37.4</v>
      </c>
      <c r="H4005" s="2" t="s">
        <v>822</v>
      </c>
    </row>
    <row r="4006" customFormat="false" ht="15" hidden="false" customHeight="false" outlineLevel="0" collapsed="false">
      <c r="A4006" s="2" t="s">
        <v>2621</v>
      </c>
      <c r="B4006" s="2" t="s">
        <v>47</v>
      </c>
      <c r="C4006" s="2" t="s">
        <v>4275</v>
      </c>
      <c r="D4006" s="11" t="n">
        <v>113361</v>
      </c>
      <c r="E4006" s="31" t="n">
        <v>37.4</v>
      </c>
      <c r="F4006" s="31" t="n">
        <v>33.5</v>
      </c>
      <c r="G4006" s="31" t="n">
        <v>60</v>
      </c>
      <c r="H4006" s="2" t="s">
        <v>822</v>
      </c>
    </row>
    <row r="4007" customFormat="false" ht="15" hidden="false" customHeight="false" outlineLevel="0" collapsed="false">
      <c r="A4007" s="2" t="s">
        <v>782</v>
      </c>
      <c r="B4007" s="2" t="s">
        <v>4291</v>
      </c>
      <c r="C4007" s="2" t="s">
        <v>4274</v>
      </c>
      <c r="D4007" s="2"/>
      <c r="E4007" s="31" t="n">
        <v>33</v>
      </c>
      <c r="F4007" s="31" t="n">
        <v>19.3</v>
      </c>
      <c r="G4007" s="31" t="n">
        <v>44.1</v>
      </c>
      <c r="H4007" s="2" t="s">
        <v>822</v>
      </c>
    </row>
    <row r="4008" customFormat="false" ht="15" hidden="false" customHeight="false" outlineLevel="0" collapsed="false">
      <c r="A4008" s="2" t="s">
        <v>782</v>
      </c>
      <c r="B4008" s="2" t="s">
        <v>4291</v>
      </c>
      <c r="C4008" s="2" t="s">
        <v>4275</v>
      </c>
      <c r="D4008" s="2"/>
      <c r="E4008" s="31" t="n">
        <v>15.3</v>
      </c>
      <c r="F4008" s="31" t="n">
        <v>26.9</v>
      </c>
      <c r="G4008" s="31" t="n">
        <v>50</v>
      </c>
      <c r="H4008" s="2" t="s">
        <v>822</v>
      </c>
    </row>
    <row r="4009" customFormat="false" ht="15" hidden="false" customHeight="false" outlineLevel="0" collapsed="false">
      <c r="A4009" s="2" t="s">
        <v>782</v>
      </c>
      <c r="B4009" s="2" t="s">
        <v>47</v>
      </c>
      <c r="C4009" s="2" t="s">
        <v>4274</v>
      </c>
      <c r="D4009" s="11" t="n">
        <v>79410</v>
      </c>
      <c r="E4009" s="31" t="n">
        <v>33</v>
      </c>
      <c r="F4009" s="31" t="n">
        <v>19.3</v>
      </c>
      <c r="G4009" s="31" t="n">
        <v>44.1</v>
      </c>
      <c r="H4009" s="2" t="s">
        <v>822</v>
      </c>
    </row>
    <row r="4010" customFormat="false" ht="15" hidden="false" customHeight="false" outlineLevel="0" collapsed="false">
      <c r="A4010" s="2" t="s">
        <v>782</v>
      </c>
      <c r="B4010" s="2" t="s">
        <v>47</v>
      </c>
      <c r="C4010" s="2" t="s">
        <v>4275</v>
      </c>
      <c r="D4010" s="11" t="n">
        <v>81607</v>
      </c>
      <c r="E4010" s="31" t="n">
        <v>15.3</v>
      </c>
      <c r="F4010" s="31" t="n">
        <v>26.9</v>
      </c>
      <c r="G4010" s="31" t="n">
        <v>50</v>
      </c>
      <c r="H4010" s="2" t="s">
        <v>822</v>
      </c>
    </row>
    <row r="4011" customFormat="false" ht="15" hidden="false" customHeight="false" outlineLevel="0" collapsed="false">
      <c r="A4011" s="2" t="s">
        <v>126</v>
      </c>
      <c r="B4011" s="2" t="s">
        <v>4291</v>
      </c>
      <c r="C4011" s="2" t="s">
        <v>4274</v>
      </c>
      <c r="D4011" s="2"/>
      <c r="E4011" s="31" t="n">
        <v>93.5</v>
      </c>
      <c r="F4011" s="31" t="n">
        <v>55.1</v>
      </c>
      <c r="G4011" s="2"/>
      <c r="H4011" s="2" t="s">
        <v>822</v>
      </c>
    </row>
    <row r="4012" customFormat="false" ht="15" hidden="false" customHeight="false" outlineLevel="0" collapsed="false">
      <c r="A4012" s="2" t="s">
        <v>126</v>
      </c>
      <c r="B4012" s="2" t="s">
        <v>4291</v>
      </c>
      <c r="C4012" s="2" t="s">
        <v>4275</v>
      </c>
      <c r="D4012" s="2"/>
      <c r="E4012" s="31" t="n">
        <v>87.9</v>
      </c>
      <c r="F4012" s="31" t="n">
        <v>17.9</v>
      </c>
      <c r="G4012" s="2"/>
      <c r="H4012" s="2" t="s">
        <v>822</v>
      </c>
    </row>
    <row r="4013" customFormat="false" ht="15" hidden="false" customHeight="false" outlineLevel="0" collapsed="false">
      <c r="A4013" s="2" t="s">
        <v>126</v>
      </c>
      <c r="B4013" s="2" t="s">
        <v>45</v>
      </c>
      <c r="C4013" s="2" t="s">
        <v>4274</v>
      </c>
      <c r="D4013" s="11" t="n">
        <v>14380</v>
      </c>
      <c r="E4013" s="31" t="n">
        <v>93.5</v>
      </c>
      <c r="F4013" s="31" t="n">
        <v>55.1</v>
      </c>
      <c r="G4013" s="2"/>
      <c r="H4013" s="2" t="s">
        <v>822</v>
      </c>
    </row>
    <row r="4014" customFormat="false" ht="15" hidden="false" customHeight="false" outlineLevel="0" collapsed="false">
      <c r="A4014" s="2" t="s">
        <v>126</v>
      </c>
      <c r="B4014" s="2" t="s">
        <v>45</v>
      </c>
      <c r="C4014" s="2" t="s">
        <v>4275</v>
      </c>
      <c r="D4014" s="11" t="n">
        <v>14960</v>
      </c>
      <c r="E4014" s="31" t="n">
        <v>87.9</v>
      </c>
      <c r="F4014" s="31" t="n">
        <v>17.9</v>
      </c>
      <c r="G4014" s="2"/>
      <c r="H4014" s="2" t="s">
        <v>822</v>
      </c>
    </row>
    <row r="4015" customFormat="false" ht="15" hidden="false" customHeight="false" outlineLevel="0" collapsed="false">
      <c r="A4015" s="2" t="s">
        <v>1252</v>
      </c>
      <c r="B4015" s="2" t="s">
        <v>4291</v>
      </c>
      <c r="C4015" s="2" t="s">
        <v>4274</v>
      </c>
      <c r="D4015" s="2"/>
      <c r="E4015" s="31" t="n">
        <v>26.8</v>
      </c>
      <c r="F4015" s="31" t="n">
        <v>55.2</v>
      </c>
      <c r="G4015" s="31" t="n">
        <v>78</v>
      </c>
      <c r="H4015" s="2" t="s">
        <v>822</v>
      </c>
    </row>
    <row r="4016" customFormat="false" ht="15" hidden="false" customHeight="false" outlineLevel="0" collapsed="false">
      <c r="A4016" s="2" t="s">
        <v>1252</v>
      </c>
      <c r="B4016" s="2" t="s">
        <v>4291</v>
      </c>
      <c r="C4016" s="2" t="s">
        <v>4275</v>
      </c>
      <c r="D4016" s="2"/>
      <c r="E4016" s="31" t="n">
        <v>32.8</v>
      </c>
      <c r="F4016" s="31" t="n">
        <v>23.7</v>
      </c>
      <c r="G4016" s="31" t="n">
        <v>66.2</v>
      </c>
      <c r="H4016" s="2" t="s">
        <v>832</v>
      </c>
    </row>
    <row r="4017" customFormat="false" ht="15" hidden="false" customHeight="false" outlineLevel="0" collapsed="false">
      <c r="A4017" s="2" t="s">
        <v>1252</v>
      </c>
      <c r="B4017" s="2" t="s">
        <v>45</v>
      </c>
      <c r="C4017" s="2" t="s">
        <v>4274</v>
      </c>
      <c r="D4017" s="11" t="n">
        <v>320440</v>
      </c>
      <c r="E4017" s="31" t="n">
        <v>50.7</v>
      </c>
      <c r="F4017" s="31" t="n">
        <v>49.3</v>
      </c>
      <c r="G4017" s="31" t="n">
        <v>69.8</v>
      </c>
      <c r="H4017" s="2" t="s">
        <v>822</v>
      </c>
    </row>
    <row r="4018" customFormat="false" ht="15" hidden="false" customHeight="false" outlineLevel="0" collapsed="false">
      <c r="A4018" s="2" t="s">
        <v>1252</v>
      </c>
      <c r="B4018" s="2" t="s">
        <v>45</v>
      </c>
      <c r="C4018" s="2" t="s">
        <v>4275</v>
      </c>
      <c r="D4018" s="11" t="n">
        <v>339130</v>
      </c>
      <c r="E4018" s="31" t="n">
        <v>47.4</v>
      </c>
      <c r="F4018" s="31" t="n">
        <v>28.6</v>
      </c>
      <c r="G4018" s="31" t="n">
        <v>58.3</v>
      </c>
      <c r="H4018" s="2" t="s">
        <v>822</v>
      </c>
    </row>
    <row r="4019" customFormat="false" ht="15" hidden="false" customHeight="false" outlineLevel="0" collapsed="false">
      <c r="A4019" s="2" t="s">
        <v>1252</v>
      </c>
      <c r="B4019" s="2" t="s">
        <v>46</v>
      </c>
      <c r="C4019" s="2" t="s">
        <v>4274</v>
      </c>
      <c r="D4019" s="11" t="n">
        <v>242250</v>
      </c>
      <c r="E4019" s="31" t="n">
        <v>16.8</v>
      </c>
      <c r="F4019" s="31" t="n">
        <v>80.8</v>
      </c>
      <c r="G4019" s="31" t="n">
        <v>76.7</v>
      </c>
      <c r="H4019" s="2" t="s">
        <v>822</v>
      </c>
    </row>
    <row r="4020" customFormat="false" ht="15" hidden="false" customHeight="false" outlineLevel="0" collapsed="false">
      <c r="A4020" s="2" t="s">
        <v>1252</v>
      </c>
      <c r="B4020" s="2" t="s">
        <v>46</v>
      </c>
      <c r="C4020" s="2" t="s">
        <v>4275</v>
      </c>
      <c r="D4020" s="2"/>
      <c r="E4020" s="2"/>
      <c r="F4020" s="2"/>
      <c r="G4020" s="2"/>
      <c r="H4020" s="2" t="s">
        <v>832</v>
      </c>
    </row>
    <row r="4021" customFormat="false" ht="15" hidden="false" customHeight="false" outlineLevel="0" collapsed="false">
      <c r="A4021" s="2" t="s">
        <v>1252</v>
      </c>
      <c r="B4021" s="2" t="s">
        <v>47</v>
      </c>
      <c r="C4021" s="2" t="s">
        <v>4274</v>
      </c>
      <c r="D4021" s="11" t="n">
        <v>9659</v>
      </c>
      <c r="E4021" s="31" t="n">
        <v>12.8</v>
      </c>
      <c r="F4021" s="31" t="n">
        <v>35.6</v>
      </c>
      <c r="G4021" s="31" t="n">
        <v>87.5</v>
      </c>
      <c r="H4021" s="2" t="s">
        <v>822</v>
      </c>
    </row>
    <row r="4022" customFormat="false" ht="15" hidden="false" customHeight="false" outlineLevel="0" collapsed="false">
      <c r="A4022" s="2" t="s">
        <v>1252</v>
      </c>
      <c r="B4022" s="2" t="s">
        <v>47</v>
      </c>
      <c r="C4022" s="2" t="s">
        <v>4275</v>
      </c>
      <c r="D4022" s="11" t="n">
        <v>9713</v>
      </c>
      <c r="E4022" s="31" t="n">
        <v>18.2</v>
      </c>
      <c r="F4022" s="31" t="n">
        <v>18.8</v>
      </c>
      <c r="G4022" s="31" t="n">
        <v>74.2</v>
      </c>
      <c r="H4022" s="2" t="s">
        <v>822</v>
      </c>
    </row>
    <row r="4023" customFormat="false" ht="15" hidden="false" customHeight="false" outlineLevel="0" collapsed="false">
      <c r="A4023" s="2" t="s">
        <v>1735</v>
      </c>
      <c r="B4023" s="2" t="s">
        <v>4291</v>
      </c>
      <c r="C4023" s="2" t="s">
        <v>4274</v>
      </c>
      <c r="D4023" s="2"/>
      <c r="E4023" s="31" t="n">
        <v>82.4</v>
      </c>
      <c r="F4023" s="31" t="n">
        <v>46.5</v>
      </c>
      <c r="G4023" s="31" t="n">
        <v>26.4</v>
      </c>
      <c r="H4023" s="2" t="s">
        <v>832</v>
      </c>
    </row>
    <row r="4024" customFormat="false" ht="15" hidden="false" customHeight="false" outlineLevel="0" collapsed="false">
      <c r="A4024" s="2" t="s">
        <v>1735</v>
      </c>
      <c r="B4024" s="2" t="s">
        <v>4291</v>
      </c>
      <c r="C4024" s="2" t="s">
        <v>4275</v>
      </c>
      <c r="D4024" s="2"/>
      <c r="E4024" s="31" t="n">
        <v>84.2</v>
      </c>
      <c r="F4024" s="31" t="n">
        <v>79.4</v>
      </c>
      <c r="G4024" s="31" t="n">
        <v>40.8</v>
      </c>
      <c r="H4024" s="2" t="s">
        <v>832</v>
      </c>
    </row>
    <row r="4025" customFormat="false" ht="15" hidden="false" customHeight="false" outlineLevel="0" collapsed="false">
      <c r="A4025" s="2" t="s">
        <v>1735</v>
      </c>
      <c r="B4025" s="2" t="s">
        <v>45</v>
      </c>
      <c r="C4025" s="2" t="s">
        <v>4274</v>
      </c>
      <c r="D4025" s="11" t="n">
        <v>115520</v>
      </c>
      <c r="E4025" s="31" t="n">
        <v>77.3</v>
      </c>
      <c r="F4025" s="31" t="n">
        <v>31.5</v>
      </c>
      <c r="G4025" s="2"/>
      <c r="H4025" s="2" t="s">
        <v>832</v>
      </c>
    </row>
    <row r="4026" customFormat="false" ht="15" hidden="false" customHeight="false" outlineLevel="0" collapsed="false">
      <c r="A4026" s="2" t="s">
        <v>1735</v>
      </c>
      <c r="B4026" s="2" t="s">
        <v>45</v>
      </c>
      <c r="C4026" s="2" t="s">
        <v>4275</v>
      </c>
      <c r="D4026" s="2"/>
      <c r="E4026" s="2"/>
      <c r="F4026" s="2"/>
      <c r="G4026" s="2"/>
      <c r="H4026" s="2" t="s">
        <v>832</v>
      </c>
    </row>
    <row r="4027" customFormat="false" ht="15" hidden="false" customHeight="false" outlineLevel="0" collapsed="false">
      <c r="A4027" s="2" t="s">
        <v>1735</v>
      </c>
      <c r="B4027" s="2" t="s">
        <v>46</v>
      </c>
      <c r="C4027" s="2" t="s">
        <v>4274</v>
      </c>
      <c r="D4027" s="11" t="n">
        <v>43414</v>
      </c>
      <c r="E4027" s="31" t="n">
        <v>82.8</v>
      </c>
      <c r="F4027" s="31" t="n">
        <v>24.7</v>
      </c>
      <c r="G4027" s="31" t="n">
        <v>8.9</v>
      </c>
      <c r="H4027" s="2" t="s">
        <v>822</v>
      </c>
    </row>
    <row r="4028" customFormat="false" ht="15" hidden="false" customHeight="false" outlineLevel="0" collapsed="false">
      <c r="A4028" s="2" t="s">
        <v>1735</v>
      </c>
      <c r="B4028" s="2" t="s">
        <v>46</v>
      </c>
      <c r="C4028" s="2" t="s">
        <v>4275</v>
      </c>
      <c r="D4028" s="11" t="n">
        <v>43870</v>
      </c>
      <c r="E4028" s="31" t="n">
        <v>75.4</v>
      </c>
      <c r="F4028" s="31" t="n">
        <v>72</v>
      </c>
      <c r="G4028" s="31" t="n">
        <v>27.4</v>
      </c>
      <c r="H4028" s="2" t="s">
        <v>822</v>
      </c>
    </row>
    <row r="4029" customFormat="false" ht="15" hidden="false" customHeight="false" outlineLevel="0" collapsed="false">
      <c r="A4029" s="2" t="s">
        <v>1735</v>
      </c>
      <c r="B4029" s="2" t="s">
        <v>47</v>
      </c>
      <c r="C4029" s="2" t="s">
        <v>4274</v>
      </c>
      <c r="D4029" s="11" t="n">
        <v>13989</v>
      </c>
      <c r="E4029" s="31" t="n">
        <v>87</v>
      </c>
      <c r="F4029" s="31" t="n">
        <v>83.3</v>
      </c>
      <c r="G4029" s="31" t="n">
        <v>43.9</v>
      </c>
      <c r="H4029" s="2" t="s">
        <v>822</v>
      </c>
    </row>
    <row r="4030" customFormat="false" ht="15" hidden="false" customHeight="false" outlineLevel="0" collapsed="false">
      <c r="A4030" s="2" t="s">
        <v>1735</v>
      </c>
      <c r="B4030" s="2" t="s">
        <v>47</v>
      </c>
      <c r="C4030" s="2" t="s">
        <v>4275</v>
      </c>
      <c r="D4030" s="11" t="n">
        <v>15198</v>
      </c>
      <c r="E4030" s="31" t="n">
        <v>92.9</v>
      </c>
      <c r="F4030" s="31" t="n">
        <v>86.7</v>
      </c>
      <c r="G4030" s="31" t="n">
        <v>54.1</v>
      </c>
      <c r="H4030" s="2" t="s">
        <v>822</v>
      </c>
    </row>
    <row r="4031" customFormat="false" ht="15" hidden="false" customHeight="false" outlineLevel="0" collapsed="false">
      <c r="A4031" s="2" t="s">
        <v>680</v>
      </c>
      <c r="B4031" s="2" t="s">
        <v>4291</v>
      </c>
      <c r="C4031" s="2" t="s">
        <v>4275</v>
      </c>
      <c r="D4031" s="2"/>
      <c r="E4031" s="31" t="n">
        <v>30.8</v>
      </c>
      <c r="F4031" s="31" t="n">
        <v>58.8</v>
      </c>
      <c r="G4031" s="31" t="n">
        <v>32.9</v>
      </c>
      <c r="H4031" s="2" t="s">
        <v>822</v>
      </c>
    </row>
    <row r="4032" customFormat="false" ht="15" hidden="false" customHeight="false" outlineLevel="0" collapsed="false">
      <c r="A4032" s="2" t="s">
        <v>680</v>
      </c>
      <c r="B4032" s="2" t="s">
        <v>45</v>
      </c>
      <c r="C4032" s="2" t="s">
        <v>4275</v>
      </c>
      <c r="D4032" s="11" t="n">
        <v>1336470</v>
      </c>
      <c r="E4032" s="31" t="n">
        <v>30.8</v>
      </c>
      <c r="F4032" s="31" t="n">
        <v>58.8</v>
      </c>
      <c r="G4032" s="31" t="n">
        <v>32.9</v>
      </c>
      <c r="H4032" s="2" t="s">
        <v>822</v>
      </c>
    </row>
    <row r="4033" customFormat="false" ht="15" hidden="false" customHeight="false" outlineLevel="0" collapsed="false">
      <c r="A4033" s="2" t="s">
        <v>3237</v>
      </c>
      <c r="B4033" s="2" t="s">
        <v>4291</v>
      </c>
      <c r="C4033" s="2" t="s">
        <v>4274</v>
      </c>
      <c r="D4033" s="2"/>
      <c r="E4033" s="31" t="n">
        <v>65.2</v>
      </c>
      <c r="F4033" s="31" t="n">
        <v>36.8</v>
      </c>
      <c r="G4033" s="31" t="n">
        <v>59.2</v>
      </c>
      <c r="H4033" s="2" t="s">
        <v>822</v>
      </c>
    </row>
    <row r="4034" customFormat="false" ht="15" hidden="false" customHeight="false" outlineLevel="0" collapsed="false">
      <c r="A4034" s="2" t="s">
        <v>3237</v>
      </c>
      <c r="B4034" s="2" t="s">
        <v>4291</v>
      </c>
      <c r="C4034" s="2" t="s">
        <v>4275</v>
      </c>
      <c r="D4034" s="2"/>
      <c r="E4034" s="2"/>
      <c r="F4034" s="2"/>
      <c r="G4034" s="31" t="n">
        <v>21.9</v>
      </c>
      <c r="H4034" s="2" t="s">
        <v>832</v>
      </c>
    </row>
    <row r="4035" customFormat="false" ht="15" hidden="false" customHeight="false" outlineLevel="0" collapsed="false">
      <c r="A4035" s="2" t="s">
        <v>3237</v>
      </c>
      <c r="B4035" s="2" t="s">
        <v>46</v>
      </c>
      <c r="C4035" s="2" t="s">
        <v>4274</v>
      </c>
      <c r="D4035" s="11" t="n">
        <v>21860</v>
      </c>
      <c r="E4035" s="31" t="n">
        <v>61.8</v>
      </c>
      <c r="F4035" s="31" t="n">
        <v>53.2</v>
      </c>
      <c r="G4035" s="31" t="n">
        <v>99.8</v>
      </c>
      <c r="H4035" s="2" t="s">
        <v>822</v>
      </c>
    </row>
    <row r="4036" customFormat="false" ht="15" hidden="false" customHeight="false" outlineLevel="0" collapsed="false">
      <c r="A4036" s="2" t="s">
        <v>3237</v>
      </c>
      <c r="B4036" s="2" t="s">
        <v>46</v>
      </c>
      <c r="C4036" s="2" t="s">
        <v>4275</v>
      </c>
      <c r="D4036" s="2"/>
      <c r="E4036" s="2"/>
      <c r="F4036" s="2"/>
      <c r="G4036" s="2"/>
      <c r="H4036" s="2" t="s">
        <v>832</v>
      </c>
    </row>
    <row r="4037" customFormat="false" ht="15" hidden="false" customHeight="false" outlineLevel="0" collapsed="false">
      <c r="A4037" s="2" t="s">
        <v>3237</v>
      </c>
      <c r="B4037" s="2" t="s">
        <v>47</v>
      </c>
      <c r="C4037" s="2" t="s">
        <v>4274</v>
      </c>
      <c r="D4037" s="11" t="n">
        <v>52502</v>
      </c>
      <c r="E4037" s="31" t="n">
        <v>68.5</v>
      </c>
      <c r="F4037" s="31" t="n">
        <v>20.3</v>
      </c>
      <c r="G4037" s="31" t="n">
        <v>18.5</v>
      </c>
      <c r="H4037" s="2" t="s">
        <v>822</v>
      </c>
    </row>
    <row r="4038" customFormat="false" ht="15" hidden="false" customHeight="false" outlineLevel="0" collapsed="false">
      <c r="A4038" s="2" t="s">
        <v>3237</v>
      </c>
      <c r="B4038" s="2" t="s">
        <v>47</v>
      </c>
      <c r="C4038" s="2" t="s">
        <v>4275</v>
      </c>
      <c r="D4038" s="2"/>
      <c r="E4038" s="2"/>
      <c r="F4038" s="2"/>
      <c r="G4038" s="31" t="n">
        <v>21.9</v>
      </c>
      <c r="H4038" s="2" t="s">
        <v>832</v>
      </c>
    </row>
    <row r="4039" customFormat="false" ht="15" hidden="false" customHeight="false" outlineLevel="0" collapsed="false">
      <c r="A4039" s="2" t="s">
        <v>198</v>
      </c>
      <c r="B4039" s="2" t="s">
        <v>4291</v>
      </c>
      <c r="C4039" s="2" t="s">
        <v>4274</v>
      </c>
      <c r="D4039" s="2"/>
      <c r="E4039" s="31" t="n">
        <v>90</v>
      </c>
      <c r="F4039" s="31" t="n">
        <v>76.6</v>
      </c>
      <c r="G4039" s="31" t="n">
        <v>18</v>
      </c>
      <c r="H4039" s="2" t="s">
        <v>832</v>
      </c>
    </row>
    <row r="4040" customFormat="false" ht="15" hidden="false" customHeight="false" outlineLevel="0" collapsed="false">
      <c r="A4040" s="2" t="s">
        <v>198</v>
      </c>
      <c r="B4040" s="2" t="s">
        <v>4291</v>
      </c>
      <c r="C4040" s="2" t="s">
        <v>4275</v>
      </c>
      <c r="D4040" s="2"/>
      <c r="E4040" s="31" t="n">
        <v>75.8</v>
      </c>
      <c r="F4040" s="31" t="n">
        <v>82.2</v>
      </c>
      <c r="G4040" s="31" t="n">
        <v>20.1</v>
      </c>
      <c r="H4040" s="2" t="s">
        <v>822</v>
      </c>
    </row>
    <row r="4041" customFormat="false" ht="15" hidden="false" customHeight="false" outlineLevel="0" collapsed="false">
      <c r="A4041" s="2" t="s">
        <v>198</v>
      </c>
      <c r="B4041" s="2" t="s">
        <v>45</v>
      </c>
      <c r="C4041" s="2" t="s">
        <v>4274</v>
      </c>
      <c r="D4041" s="11" t="n">
        <v>15026</v>
      </c>
      <c r="E4041" s="2"/>
      <c r="F4041" s="31" t="n">
        <v>60.6</v>
      </c>
      <c r="G4041" s="2"/>
      <c r="H4041" s="2" t="s">
        <v>832</v>
      </c>
    </row>
    <row r="4042" customFormat="false" ht="15" hidden="false" customHeight="false" outlineLevel="0" collapsed="false">
      <c r="A4042" s="2" t="s">
        <v>198</v>
      </c>
      <c r="B4042" s="2" t="s">
        <v>45</v>
      </c>
      <c r="C4042" s="2" t="s">
        <v>4275</v>
      </c>
      <c r="D4042" s="11" t="n">
        <v>15810</v>
      </c>
      <c r="E4042" s="31" t="n">
        <v>57.8</v>
      </c>
      <c r="F4042" s="31" t="n">
        <v>75.9</v>
      </c>
      <c r="G4042" s="31" t="n">
        <v>5.1</v>
      </c>
      <c r="H4042" s="2" t="s">
        <v>822</v>
      </c>
    </row>
    <row r="4043" customFormat="false" ht="15" hidden="false" customHeight="false" outlineLevel="0" collapsed="false">
      <c r="A4043" s="2" t="s">
        <v>198</v>
      </c>
      <c r="B4043" s="2" t="s">
        <v>46</v>
      </c>
      <c r="C4043" s="2" t="s">
        <v>4274</v>
      </c>
      <c r="D4043" s="11" t="n">
        <v>69076</v>
      </c>
      <c r="E4043" s="31" t="n">
        <v>90</v>
      </c>
      <c r="F4043" s="31" t="n">
        <v>92.5</v>
      </c>
      <c r="G4043" s="31" t="n">
        <v>18</v>
      </c>
      <c r="H4043" s="2" t="s">
        <v>822</v>
      </c>
    </row>
    <row r="4044" customFormat="false" ht="15" hidden="false" customHeight="false" outlineLevel="0" collapsed="false">
      <c r="A4044" s="2" t="s">
        <v>198</v>
      </c>
      <c r="B4044" s="2" t="s">
        <v>46</v>
      </c>
      <c r="C4044" s="2" t="s">
        <v>4275</v>
      </c>
      <c r="D4044" s="11" t="n">
        <v>70360</v>
      </c>
      <c r="E4044" s="31" t="n">
        <v>93.9</v>
      </c>
      <c r="F4044" s="31" t="n">
        <v>88.4</v>
      </c>
      <c r="G4044" s="31" t="n">
        <v>35.1</v>
      </c>
      <c r="H4044" s="2" t="s">
        <v>822</v>
      </c>
    </row>
    <row r="4045" customFormat="false" ht="15" hidden="false" customHeight="false" outlineLevel="0" collapsed="false">
      <c r="A4045" s="2" t="s">
        <v>2398</v>
      </c>
      <c r="B4045" s="2" t="s">
        <v>4291</v>
      </c>
      <c r="C4045" s="2" t="s">
        <v>4274</v>
      </c>
      <c r="D4045" s="2"/>
      <c r="E4045" s="31" t="n">
        <v>73.9</v>
      </c>
      <c r="F4045" s="31" t="n">
        <v>51.1</v>
      </c>
      <c r="G4045" s="31" t="n">
        <v>48</v>
      </c>
      <c r="H4045" s="2" t="s">
        <v>822</v>
      </c>
    </row>
    <row r="4046" customFormat="false" ht="15" hidden="false" customHeight="false" outlineLevel="0" collapsed="false">
      <c r="A4046" s="2" t="s">
        <v>2398</v>
      </c>
      <c r="B4046" s="2" t="s">
        <v>4291</v>
      </c>
      <c r="C4046" s="2" t="s">
        <v>4275</v>
      </c>
      <c r="D4046" s="2"/>
      <c r="E4046" s="31" t="n">
        <v>71.3</v>
      </c>
      <c r="F4046" s="31" t="n">
        <v>10.7</v>
      </c>
      <c r="G4046" s="31" t="n">
        <v>52.8</v>
      </c>
      <c r="H4046" s="2" t="s">
        <v>832</v>
      </c>
    </row>
    <row r="4047" customFormat="false" ht="15" hidden="false" customHeight="false" outlineLevel="0" collapsed="false">
      <c r="A4047" s="2" t="s">
        <v>2398</v>
      </c>
      <c r="B4047" s="2" t="s">
        <v>46</v>
      </c>
      <c r="C4047" s="2" t="s">
        <v>4274</v>
      </c>
      <c r="D4047" s="11" t="n">
        <v>236300</v>
      </c>
      <c r="E4047" s="31" t="n">
        <v>97.5</v>
      </c>
      <c r="F4047" s="31" t="n">
        <v>50.6</v>
      </c>
      <c r="G4047" s="31" t="n">
        <v>57.8</v>
      </c>
      <c r="H4047" s="2" t="s">
        <v>822</v>
      </c>
    </row>
    <row r="4048" customFormat="false" ht="15" hidden="false" customHeight="false" outlineLevel="0" collapsed="false">
      <c r="A4048" s="2" t="s">
        <v>2398</v>
      </c>
      <c r="B4048" s="2" t="s">
        <v>46</v>
      </c>
      <c r="C4048" s="2" t="s">
        <v>4275</v>
      </c>
      <c r="D4048" s="2"/>
      <c r="E4048" s="2"/>
      <c r="F4048" s="2"/>
      <c r="G4048" s="31" t="n">
        <v>76.8</v>
      </c>
      <c r="H4048" s="2" t="s">
        <v>832</v>
      </c>
    </row>
    <row r="4049" customFormat="false" ht="15" hidden="false" customHeight="false" outlineLevel="0" collapsed="false">
      <c r="A4049" s="2" t="s">
        <v>2398</v>
      </c>
      <c r="B4049" s="2" t="s">
        <v>47</v>
      </c>
      <c r="C4049" s="2" t="s">
        <v>4274</v>
      </c>
      <c r="D4049" s="11" t="n">
        <v>78457</v>
      </c>
      <c r="E4049" s="31" t="n">
        <v>50.3</v>
      </c>
      <c r="F4049" s="31" t="n">
        <v>51.6</v>
      </c>
      <c r="G4049" s="31" t="n">
        <v>38.1</v>
      </c>
      <c r="H4049" s="2" t="s">
        <v>822</v>
      </c>
    </row>
    <row r="4050" customFormat="false" ht="15" hidden="false" customHeight="false" outlineLevel="0" collapsed="false">
      <c r="A4050" s="2" t="s">
        <v>2398</v>
      </c>
      <c r="B4050" s="2" t="s">
        <v>47</v>
      </c>
      <c r="C4050" s="2" t="s">
        <v>4275</v>
      </c>
      <c r="D4050" s="11" t="n">
        <v>78212</v>
      </c>
      <c r="E4050" s="31" t="n">
        <v>71.3</v>
      </c>
      <c r="F4050" s="31" t="n">
        <v>10.7</v>
      </c>
      <c r="G4050" s="31" t="n">
        <v>28.7</v>
      </c>
      <c r="H4050" s="2" t="s">
        <v>822</v>
      </c>
    </row>
    <row r="4051" customFormat="false" ht="15" hidden="false" customHeight="false" outlineLevel="0" collapsed="false">
      <c r="A4051" s="2" t="s">
        <v>148</v>
      </c>
      <c r="B4051" s="2" t="s">
        <v>4291</v>
      </c>
      <c r="C4051" s="2" t="s">
        <v>4274</v>
      </c>
      <c r="D4051" s="2"/>
      <c r="E4051" s="31" t="n">
        <v>63.4</v>
      </c>
      <c r="F4051" s="31" t="n">
        <v>26.4</v>
      </c>
      <c r="G4051" s="31" t="n">
        <v>9.8</v>
      </c>
      <c r="H4051" s="2" t="s">
        <v>822</v>
      </c>
    </row>
    <row r="4052" customFormat="false" ht="15" hidden="false" customHeight="false" outlineLevel="0" collapsed="false">
      <c r="A4052" s="2" t="s">
        <v>148</v>
      </c>
      <c r="B4052" s="2" t="s">
        <v>4291</v>
      </c>
      <c r="C4052" s="2" t="s">
        <v>4275</v>
      </c>
      <c r="D4052" s="2"/>
      <c r="E4052" s="31" t="n">
        <v>83.2</v>
      </c>
      <c r="F4052" s="31" t="n">
        <v>16.2</v>
      </c>
      <c r="G4052" s="31" t="n">
        <v>43.8</v>
      </c>
      <c r="H4052" s="2" t="s">
        <v>822</v>
      </c>
    </row>
    <row r="4053" customFormat="false" ht="15" hidden="false" customHeight="false" outlineLevel="0" collapsed="false">
      <c r="A4053" s="2" t="s">
        <v>148</v>
      </c>
      <c r="B4053" s="2" t="s">
        <v>45</v>
      </c>
      <c r="C4053" s="2" t="s">
        <v>4274</v>
      </c>
      <c r="D4053" s="11" t="n">
        <v>50600</v>
      </c>
      <c r="E4053" s="31" t="n">
        <v>93.3</v>
      </c>
      <c r="F4053" s="31" t="n">
        <v>50.7</v>
      </c>
      <c r="G4053" s="31" t="n">
        <v>15.1</v>
      </c>
      <c r="H4053" s="2" t="s">
        <v>822</v>
      </c>
    </row>
    <row r="4054" customFormat="false" ht="15" hidden="false" customHeight="false" outlineLevel="0" collapsed="false">
      <c r="A4054" s="2" t="s">
        <v>148</v>
      </c>
      <c r="B4054" s="2" t="s">
        <v>45</v>
      </c>
      <c r="C4054" s="2" t="s">
        <v>4275</v>
      </c>
      <c r="D4054" s="11" t="n">
        <v>51170</v>
      </c>
      <c r="E4054" s="31" t="n">
        <v>96.6</v>
      </c>
      <c r="F4054" s="31" t="n">
        <v>30.6</v>
      </c>
      <c r="G4054" s="31" t="n">
        <v>38.9</v>
      </c>
      <c r="H4054" s="2" t="s">
        <v>822</v>
      </c>
    </row>
    <row r="4055" customFormat="false" ht="15" hidden="false" customHeight="false" outlineLevel="0" collapsed="false">
      <c r="A4055" s="2" t="s">
        <v>148</v>
      </c>
      <c r="B4055" s="2" t="s">
        <v>46</v>
      </c>
      <c r="C4055" s="2" t="s">
        <v>4274</v>
      </c>
      <c r="D4055" s="11" t="n">
        <v>65760</v>
      </c>
      <c r="E4055" s="31" t="n">
        <v>33.5</v>
      </c>
      <c r="F4055" s="31" t="n">
        <v>2.2</v>
      </c>
      <c r="G4055" s="31" t="n">
        <v>4.6</v>
      </c>
      <c r="H4055" s="2" t="s">
        <v>822</v>
      </c>
    </row>
    <row r="4056" customFormat="false" ht="15" hidden="false" customHeight="false" outlineLevel="0" collapsed="false">
      <c r="A4056" s="2" t="s">
        <v>148</v>
      </c>
      <c r="B4056" s="2" t="s">
        <v>46</v>
      </c>
      <c r="C4056" s="2" t="s">
        <v>4275</v>
      </c>
      <c r="D4056" s="11" t="n">
        <v>63110</v>
      </c>
      <c r="E4056" s="31" t="n">
        <v>69.7</v>
      </c>
      <c r="F4056" s="31" t="n">
        <v>1.8</v>
      </c>
      <c r="G4056" s="31" t="n">
        <v>48.6</v>
      </c>
      <c r="H4056" s="2" t="s">
        <v>822</v>
      </c>
    </row>
    <row r="4057" customFormat="false" ht="15" hidden="false" customHeight="false" outlineLevel="0" collapsed="false">
      <c r="A4057" s="2" t="s">
        <v>71</v>
      </c>
      <c r="B4057" s="2" t="s">
        <v>4291</v>
      </c>
      <c r="C4057" s="2" t="s">
        <v>4274</v>
      </c>
      <c r="D4057" s="2"/>
      <c r="E4057" s="31" t="n">
        <v>95</v>
      </c>
      <c r="F4057" s="31" t="n">
        <v>10.3</v>
      </c>
      <c r="G4057" s="31" t="n">
        <v>84.9</v>
      </c>
      <c r="H4057" s="2" t="s">
        <v>822</v>
      </c>
    </row>
    <row r="4058" customFormat="false" ht="15" hidden="false" customHeight="false" outlineLevel="0" collapsed="false">
      <c r="A4058" s="2" t="s">
        <v>71</v>
      </c>
      <c r="B4058" s="2" t="s">
        <v>4291</v>
      </c>
      <c r="C4058" s="2" t="s">
        <v>4275</v>
      </c>
      <c r="D4058" s="2"/>
      <c r="E4058" s="31" t="n">
        <v>99.2</v>
      </c>
      <c r="F4058" s="31" t="n">
        <v>5</v>
      </c>
      <c r="G4058" s="31" t="n">
        <v>97.7</v>
      </c>
      <c r="H4058" s="2" t="s">
        <v>822</v>
      </c>
    </row>
    <row r="4059" customFormat="false" ht="15" hidden="false" customHeight="false" outlineLevel="0" collapsed="false">
      <c r="A4059" s="2" t="s">
        <v>71</v>
      </c>
      <c r="B4059" s="2" t="s">
        <v>45</v>
      </c>
      <c r="C4059" s="2" t="s">
        <v>4274</v>
      </c>
      <c r="D4059" s="11" t="n">
        <v>663060</v>
      </c>
      <c r="E4059" s="31" t="n">
        <v>95</v>
      </c>
      <c r="F4059" s="31" t="n">
        <v>10.3</v>
      </c>
      <c r="G4059" s="31" t="n">
        <v>84.9</v>
      </c>
      <c r="H4059" s="2" t="s">
        <v>822</v>
      </c>
    </row>
    <row r="4060" customFormat="false" ht="15" hidden="false" customHeight="false" outlineLevel="0" collapsed="false">
      <c r="A4060" s="2" t="s">
        <v>71</v>
      </c>
      <c r="B4060" s="2" t="s">
        <v>45</v>
      </c>
      <c r="C4060" s="2" t="s">
        <v>4275</v>
      </c>
      <c r="D4060" s="11" t="n">
        <v>655880</v>
      </c>
      <c r="E4060" s="31" t="n">
        <v>99.2</v>
      </c>
      <c r="F4060" s="31" t="n">
        <v>5</v>
      </c>
      <c r="G4060" s="31" t="n">
        <v>97.7</v>
      </c>
      <c r="H4060" s="2" t="s">
        <v>822</v>
      </c>
    </row>
    <row r="4061" customFormat="false" ht="15" hidden="false" customHeight="false" outlineLevel="0" collapsed="false">
      <c r="A4061" s="2" t="s">
        <v>1761</v>
      </c>
      <c r="B4061" s="2" t="s">
        <v>4291</v>
      </c>
      <c r="C4061" s="2" t="s">
        <v>4274</v>
      </c>
      <c r="D4061" s="2"/>
      <c r="E4061" s="31" t="n">
        <v>68.7</v>
      </c>
      <c r="F4061" s="31" t="n">
        <v>67.1</v>
      </c>
      <c r="G4061" s="31" t="n">
        <v>38.6</v>
      </c>
      <c r="H4061" s="2" t="s">
        <v>822</v>
      </c>
    </row>
    <row r="4062" customFormat="false" ht="15" hidden="false" customHeight="false" outlineLevel="0" collapsed="false">
      <c r="A4062" s="2" t="s">
        <v>1761</v>
      </c>
      <c r="B4062" s="2" t="s">
        <v>4291</v>
      </c>
      <c r="C4062" s="2" t="s">
        <v>4275</v>
      </c>
      <c r="D4062" s="2"/>
      <c r="E4062" s="31" t="n">
        <v>63</v>
      </c>
      <c r="F4062" s="31" t="n">
        <v>53.3</v>
      </c>
      <c r="G4062" s="31" t="n">
        <v>68.6</v>
      </c>
      <c r="H4062" s="2" t="s">
        <v>832</v>
      </c>
    </row>
    <row r="4063" customFormat="false" ht="15" hidden="false" customHeight="false" outlineLevel="0" collapsed="false">
      <c r="A4063" s="2" t="s">
        <v>1761</v>
      </c>
      <c r="B4063" s="2" t="s">
        <v>45</v>
      </c>
      <c r="C4063" s="2" t="s">
        <v>4274</v>
      </c>
      <c r="D4063" s="11" t="n">
        <v>79760</v>
      </c>
      <c r="E4063" s="31" t="n">
        <v>97</v>
      </c>
      <c r="F4063" s="31" t="n">
        <v>74.8</v>
      </c>
      <c r="G4063" s="31" t="n">
        <v>6.8</v>
      </c>
      <c r="H4063" s="2" t="s">
        <v>822</v>
      </c>
    </row>
    <row r="4064" customFormat="false" ht="15" hidden="false" customHeight="false" outlineLevel="0" collapsed="false">
      <c r="A4064" s="2" t="s">
        <v>1761</v>
      </c>
      <c r="B4064" s="2" t="s">
        <v>45</v>
      </c>
      <c r="C4064" s="2" t="s">
        <v>4275</v>
      </c>
      <c r="D4064" s="11" t="n">
        <v>82830</v>
      </c>
      <c r="E4064" s="31" t="n">
        <v>77.7</v>
      </c>
      <c r="F4064" s="31" t="n">
        <v>62.5</v>
      </c>
      <c r="G4064" s="2"/>
      <c r="H4064" s="2" t="s">
        <v>832</v>
      </c>
    </row>
    <row r="4065" customFormat="false" ht="15" hidden="false" customHeight="false" outlineLevel="0" collapsed="false">
      <c r="A4065" s="2" t="s">
        <v>1761</v>
      </c>
      <c r="B4065" s="2" t="s">
        <v>46</v>
      </c>
      <c r="C4065" s="2" t="s">
        <v>4274</v>
      </c>
      <c r="D4065" s="11" t="n">
        <v>399130</v>
      </c>
      <c r="E4065" s="31" t="n">
        <v>64.6</v>
      </c>
      <c r="F4065" s="31" t="n">
        <v>67.3</v>
      </c>
      <c r="G4065" s="31" t="n">
        <v>23.7</v>
      </c>
      <c r="H4065" s="2" t="s">
        <v>822</v>
      </c>
    </row>
    <row r="4066" customFormat="false" ht="15" hidden="false" customHeight="false" outlineLevel="0" collapsed="false">
      <c r="A4066" s="2" t="s">
        <v>1761</v>
      </c>
      <c r="B4066" s="2" t="s">
        <v>46</v>
      </c>
      <c r="C4066" s="2" t="s">
        <v>4275</v>
      </c>
      <c r="D4066" s="11" t="n">
        <v>418030</v>
      </c>
      <c r="E4066" s="31" t="n">
        <v>72.1</v>
      </c>
      <c r="F4066" s="31" t="n">
        <v>66.9</v>
      </c>
      <c r="G4066" s="31" t="n">
        <v>51</v>
      </c>
      <c r="H4066" s="2" t="s">
        <v>822</v>
      </c>
    </row>
    <row r="4067" customFormat="false" ht="15" hidden="false" customHeight="false" outlineLevel="0" collapsed="false">
      <c r="A4067" s="2" t="s">
        <v>1761</v>
      </c>
      <c r="B4067" s="2" t="s">
        <v>47</v>
      </c>
      <c r="C4067" s="2" t="s">
        <v>4274</v>
      </c>
      <c r="D4067" s="11" t="n">
        <v>15990</v>
      </c>
      <c r="E4067" s="31" t="n">
        <v>44.6</v>
      </c>
      <c r="F4067" s="31" t="n">
        <v>59.2</v>
      </c>
      <c r="G4067" s="31" t="n">
        <v>85.4</v>
      </c>
      <c r="H4067" s="2" t="s">
        <v>822</v>
      </c>
    </row>
    <row r="4068" customFormat="false" ht="15" hidden="false" customHeight="false" outlineLevel="0" collapsed="false">
      <c r="A4068" s="2" t="s">
        <v>1761</v>
      </c>
      <c r="B4068" s="2" t="s">
        <v>47</v>
      </c>
      <c r="C4068" s="2" t="s">
        <v>4275</v>
      </c>
      <c r="D4068" s="11" t="n">
        <v>16350</v>
      </c>
      <c r="E4068" s="31" t="n">
        <v>39.2</v>
      </c>
      <c r="F4068" s="31" t="n">
        <v>30.5</v>
      </c>
      <c r="G4068" s="31" t="n">
        <v>86.2</v>
      </c>
      <c r="H4068" s="2" t="s">
        <v>822</v>
      </c>
    </row>
    <row r="4069" customFormat="false" ht="15" hidden="false" customHeight="false" outlineLevel="0" collapsed="false">
      <c r="A4069" s="2" t="s">
        <v>1229</v>
      </c>
      <c r="B4069" s="2" t="s">
        <v>4291</v>
      </c>
      <c r="C4069" s="2" t="s">
        <v>4274</v>
      </c>
      <c r="D4069" s="2"/>
      <c r="E4069" s="31" t="n">
        <v>38.2</v>
      </c>
      <c r="F4069" s="31" t="n">
        <v>30.3</v>
      </c>
      <c r="G4069" s="31" t="n">
        <v>66.2</v>
      </c>
      <c r="H4069" s="2" t="s">
        <v>832</v>
      </c>
    </row>
    <row r="4070" customFormat="false" ht="15" hidden="false" customHeight="false" outlineLevel="0" collapsed="false">
      <c r="A4070" s="2" t="s">
        <v>1229</v>
      </c>
      <c r="B4070" s="2" t="s">
        <v>4291</v>
      </c>
      <c r="C4070" s="2" t="s">
        <v>4275</v>
      </c>
      <c r="D4070" s="2"/>
      <c r="E4070" s="31" t="n">
        <v>51.4</v>
      </c>
      <c r="F4070" s="31" t="n">
        <v>48.9</v>
      </c>
      <c r="G4070" s="31" t="n">
        <v>68.4</v>
      </c>
      <c r="H4070" s="2" t="s">
        <v>832</v>
      </c>
    </row>
    <row r="4071" customFormat="false" ht="15" hidden="false" customHeight="false" outlineLevel="0" collapsed="false">
      <c r="A4071" s="2" t="s">
        <v>1229</v>
      </c>
      <c r="B4071" s="2" t="s">
        <v>45</v>
      </c>
      <c r="C4071" s="2" t="s">
        <v>4274</v>
      </c>
      <c r="D4071" s="11" t="n">
        <v>129510</v>
      </c>
      <c r="E4071" s="31" t="n">
        <v>33</v>
      </c>
      <c r="F4071" s="31" t="n">
        <v>15.1</v>
      </c>
      <c r="G4071" s="31" t="n">
        <v>80.2</v>
      </c>
      <c r="H4071" s="2" t="s">
        <v>822</v>
      </c>
    </row>
    <row r="4072" customFormat="false" ht="15" hidden="false" customHeight="false" outlineLevel="0" collapsed="false">
      <c r="A4072" s="2" t="s">
        <v>1229</v>
      </c>
      <c r="B4072" s="2" t="s">
        <v>45</v>
      </c>
      <c r="C4072" s="2" t="s">
        <v>4275</v>
      </c>
      <c r="D4072" s="11" t="n">
        <v>127280</v>
      </c>
      <c r="E4072" s="31" t="n">
        <v>50.3</v>
      </c>
      <c r="F4072" s="31" t="n">
        <v>60</v>
      </c>
      <c r="G4072" s="31" t="n">
        <v>66.4</v>
      </c>
      <c r="H4072" s="2" t="s">
        <v>822</v>
      </c>
    </row>
    <row r="4073" customFormat="false" ht="15" hidden="false" customHeight="false" outlineLevel="0" collapsed="false">
      <c r="A4073" s="2" t="s">
        <v>1229</v>
      </c>
      <c r="B4073" s="2" t="s">
        <v>46</v>
      </c>
      <c r="C4073" s="2" t="s">
        <v>4274</v>
      </c>
      <c r="D4073" s="11" t="n">
        <v>43860</v>
      </c>
      <c r="E4073" s="31" t="n">
        <v>39.3</v>
      </c>
      <c r="F4073" s="31" t="n">
        <v>32.6</v>
      </c>
      <c r="G4073" s="31" t="n">
        <v>52.3</v>
      </c>
      <c r="H4073" s="2" t="s">
        <v>822</v>
      </c>
    </row>
    <row r="4074" customFormat="false" ht="15" hidden="false" customHeight="false" outlineLevel="0" collapsed="false">
      <c r="A4074" s="2" t="s">
        <v>1229</v>
      </c>
      <c r="B4074" s="2" t="s">
        <v>46</v>
      </c>
      <c r="C4074" s="2" t="s">
        <v>4275</v>
      </c>
      <c r="D4074" s="11" t="n">
        <v>44570</v>
      </c>
      <c r="E4074" s="31" t="n">
        <v>57.4</v>
      </c>
      <c r="F4074" s="31" t="n">
        <v>25.1</v>
      </c>
      <c r="G4074" s="2"/>
      <c r="H4074" s="2" t="s">
        <v>832</v>
      </c>
    </row>
    <row r="4075" customFormat="false" ht="15" hidden="false" customHeight="false" outlineLevel="0" collapsed="false">
      <c r="A4075" s="2" t="s">
        <v>1229</v>
      </c>
      <c r="B4075" s="2" t="s">
        <v>47</v>
      </c>
      <c r="C4075" s="2" t="s">
        <v>4274</v>
      </c>
      <c r="D4075" s="11" t="n">
        <v>639810</v>
      </c>
      <c r="E4075" s="31" t="n">
        <v>42.4</v>
      </c>
      <c r="F4075" s="31" t="n">
        <v>43.2</v>
      </c>
      <c r="G4075" s="2"/>
      <c r="H4075" s="2" t="s">
        <v>832</v>
      </c>
    </row>
    <row r="4076" customFormat="false" ht="15" hidden="false" customHeight="false" outlineLevel="0" collapsed="false">
      <c r="A4076" s="2" t="s">
        <v>1229</v>
      </c>
      <c r="B4076" s="2" t="s">
        <v>47</v>
      </c>
      <c r="C4076" s="2" t="s">
        <v>4275</v>
      </c>
      <c r="D4076" s="11" t="n">
        <v>671365</v>
      </c>
      <c r="E4076" s="31" t="n">
        <v>46.4</v>
      </c>
      <c r="F4076" s="31" t="n">
        <v>61.5</v>
      </c>
      <c r="G4076" s="31" t="n">
        <v>70.3</v>
      </c>
      <c r="H4076" s="2" t="s">
        <v>822</v>
      </c>
    </row>
    <row r="4077" customFormat="false" ht="15" hidden="false" customHeight="false" outlineLevel="0" collapsed="false">
      <c r="A4077" s="2" t="s">
        <v>2757</v>
      </c>
      <c r="B4077" s="2" t="s">
        <v>4291</v>
      </c>
      <c r="C4077" s="2" t="s">
        <v>4274</v>
      </c>
      <c r="D4077" s="2"/>
      <c r="E4077" s="31" t="n">
        <v>12.5</v>
      </c>
      <c r="F4077" s="31" t="n">
        <v>15.4</v>
      </c>
      <c r="G4077" s="31" t="n">
        <v>48</v>
      </c>
      <c r="H4077" s="2" t="s">
        <v>832</v>
      </c>
    </row>
    <row r="4078" customFormat="false" ht="15" hidden="false" customHeight="false" outlineLevel="0" collapsed="false">
      <c r="A4078" s="2" t="s">
        <v>2757</v>
      </c>
      <c r="B4078" s="2" t="s">
        <v>4291</v>
      </c>
      <c r="C4078" s="2" t="s">
        <v>4275</v>
      </c>
      <c r="D4078" s="2"/>
      <c r="E4078" s="31" t="n">
        <v>9.3</v>
      </c>
      <c r="F4078" s="31" t="n">
        <v>57.8</v>
      </c>
      <c r="G4078" s="31" t="n">
        <v>81.4</v>
      </c>
      <c r="H4078" s="2" t="s">
        <v>832</v>
      </c>
    </row>
    <row r="4079" customFormat="false" ht="15" hidden="false" customHeight="false" outlineLevel="0" collapsed="false">
      <c r="A4079" s="2" t="s">
        <v>2757</v>
      </c>
      <c r="B4079" s="2" t="s">
        <v>45</v>
      </c>
      <c r="C4079" s="2" t="s">
        <v>4274</v>
      </c>
      <c r="D4079" s="2"/>
      <c r="E4079" s="2"/>
      <c r="F4079" s="2"/>
      <c r="G4079" s="2"/>
      <c r="H4079" s="2" t="s">
        <v>832</v>
      </c>
    </row>
    <row r="4080" customFormat="false" ht="15" hidden="false" customHeight="false" outlineLevel="0" collapsed="false">
      <c r="A4080" s="2" t="s">
        <v>2757</v>
      </c>
      <c r="B4080" s="2" t="s">
        <v>45</v>
      </c>
      <c r="C4080" s="2" t="s">
        <v>4275</v>
      </c>
      <c r="D4080" s="2"/>
      <c r="E4080" s="2"/>
      <c r="F4080" s="2"/>
      <c r="G4080" s="2"/>
      <c r="H4080" s="2" t="s">
        <v>832</v>
      </c>
    </row>
    <row r="4081" customFormat="false" ht="15" hidden="false" customHeight="false" outlineLevel="0" collapsed="false">
      <c r="A4081" s="2" t="s">
        <v>2757</v>
      </c>
      <c r="B4081" s="2" t="s">
        <v>46</v>
      </c>
      <c r="C4081" s="2" t="s">
        <v>4274</v>
      </c>
      <c r="D4081" s="11" t="n">
        <v>2450</v>
      </c>
      <c r="E4081" s="31" t="n">
        <v>6.1</v>
      </c>
      <c r="F4081" s="31" t="n">
        <v>3.5</v>
      </c>
      <c r="G4081" s="2"/>
      <c r="H4081" s="2" t="s">
        <v>832</v>
      </c>
    </row>
    <row r="4082" customFormat="false" ht="15" hidden="false" customHeight="false" outlineLevel="0" collapsed="false">
      <c r="A4082" s="2" t="s">
        <v>2757</v>
      </c>
      <c r="B4082" s="2" t="s">
        <v>46</v>
      </c>
      <c r="C4082" s="2" t="s">
        <v>4275</v>
      </c>
      <c r="D4082" s="11" t="n">
        <v>2440</v>
      </c>
      <c r="E4082" s="31" t="n">
        <v>1</v>
      </c>
      <c r="F4082" s="2"/>
      <c r="G4082" s="31" t="n">
        <v>89.4</v>
      </c>
      <c r="H4082" s="2" t="s">
        <v>832</v>
      </c>
    </row>
    <row r="4083" customFormat="false" ht="15" hidden="false" customHeight="false" outlineLevel="0" collapsed="false">
      <c r="A4083" s="2" t="s">
        <v>2757</v>
      </c>
      <c r="B4083" s="2" t="s">
        <v>47</v>
      </c>
      <c r="C4083" s="2" t="s">
        <v>4274</v>
      </c>
      <c r="D4083" s="11" t="n">
        <v>141809</v>
      </c>
      <c r="E4083" s="31" t="n">
        <v>18.9</v>
      </c>
      <c r="F4083" s="31" t="n">
        <v>27.2</v>
      </c>
      <c r="G4083" s="31" t="n">
        <v>48</v>
      </c>
      <c r="H4083" s="2" t="s">
        <v>822</v>
      </c>
    </row>
    <row r="4084" customFormat="false" ht="15" hidden="false" customHeight="false" outlineLevel="0" collapsed="false">
      <c r="A4084" s="2" t="s">
        <v>2757</v>
      </c>
      <c r="B4084" s="2" t="s">
        <v>47</v>
      </c>
      <c r="C4084" s="2" t="s">
        <v>4275</v>
      </c>
      <c r="D4084" s="11" t="n">
        <v>147996</v>
      </c>
      <c r="E4084" s="31" t="n">
        <v>17.6</v>
      </c>
      <c r="F4084" s="31" t="n">
        <v>57.8</v>
      </c>
      <c r="G4084" s="31" t="n">
        <v>73.3</v>
      </c>
      <c r="H4084" s="2" t="s">
        <v>822</v>
      </c>
    </row>
    <row r="4085" customFormat="false" ht="15" hidden="false" customHeight="false" outlineLevel="0" collapsed="false">
      <c r="A4085" s="2" t="s">
        <v>730</v>
      </c>
      <c r="B4085" s="2" t="s">
        <v>4291</v>
      </c>
      <c r="C4085" s="2" t="s">
        <v>4274</v>
      </c>
      <c r="D4085" s="2"/>
      <c r="E4085" s="31" t="n">
        <v>55.2</v>
      </c>
      <c r="F4085" s="31" t="n">
        <v>80.1</v>
      </c>
      <c r="G4085" s="2"/>
      <c r="H4085" s="2" t="s">
        <v>832</v>
      </c>
    </row>
    <row r="4086" customFormat="false" ht="15" hidden="false" customHeight="false" outlineLevel="0" collapsed="false">
      <c r="A4086" s="2" t="s">
        <v>730</v>
      </c>
      <c r="B4086" s="2" t="s">
        <v>4291</v>
      </c>
      <c r="C4086" s="2" t="s">
        <v>4275</v>
      </c>
      <c r="D4086" s="2"/>
      <c r="E4086" s="31" t="n">
        <v>24.4</v>
      </c>
      <c r="F4086" s="31" t="n">
        <v>91.7</v>
      </c>
      <c r="G4086" s="31" t="n">
        <v>26.3</v>
      </c>
      <c r="H4086" s="2" t="s">
        <v>822</v>
      </c>
    </row>
    <row r="4087" customFormat="false" ht="15" hidden="false" customHeight="false" outlineLevel="0" collapsed="false">
      <c r="A4087" s="2" t="s">
        <v>730</v>
      </c>
      <c r="B4087" s="2" t="s">
        <v>46</v>
      </c>
      <c r="C4087" s="2" t="s">
        <v>4274</v>
      </c>
      <c r="D4087" s="11" t="n">
        <v>114800</v>
      </c>
      <c r="E4087" s="31" t="n">
        <v>55.2</v>
      </c>
      <c r="F4087" s="31" t="n">
        <v>80.1</v>
      </c>
      <c r="G4087" s="2"/>
      <c r="H4087" s="2" t="s">
        <v>832</v>
      </c>
    </row>
    <row r="4088" customFormat="false" ht="15" hidden="false" customHeight="false" outlineLevel="0" collapsed="false">
      <c r="A4088" s="2" t="s">
        <v>730</v>
      </c>
      <c r="B4088" s="2" t="s">
        <v>46</v>
      </c>
      <c r="C4088" s="2" t="s">
        <v>4275</v>
      </c>
      <c r="D4088" s="11" t="n">
        <v>116900</v>
      </c>
      <c r="E4088" s="31" t="n">
        <v>24.4</v>
      </c>
      <c r="F4088" s="31" t="n">
        <v>91.7</v>
      </c>
      <c r="G4088" s="31" t="n">
        <v>26.3</v>
      </c>
      <c r="H4088" s="2" t="s">
        <v>822</v>
      </c>
    </row>
    <row r="4089" customFormat="false" ht="15" hidden="false" customHeight="false" outlineLevel="0" collapsed="false">
      <c r="A4089" s="2" t="s">
        <v>2762</v>
      </c>
      <c r="B4089" s="2" t="s">
        <v>4291</v>
      </c>
      <c r="C4089" s="2" t="s">
        <v>4274</v>
      </c>
      <c r="D4089" s="2"/>
      <c r="E4089" s="31" t="n">
        <v>25.1</v>
      </c>
      <c r="F4089" s="31" t="n">
        <v>37.9</v>
      </c>
      <c r="G4089" s="31" t="n">
        <v>27.3</v>
      </c>
      <c r="H4089" s="2" t="s">
        <v>832</v>
      </c>
    </row>
    <row r="4090" customFormat="false" ht="15" hidden="false" customHeight="false" outlineLevel="0" collapsed="false">
      <c r="A4090" s="2" t="s">
        <v>2762</v>
      </c>
      <c r="B4090" s="2" t="s">
        <v>4291</v>
      </c>
      <c r="C4090" s="2" t="s">
        <v>4275</v>
      </c>
      <c r="D4090" s="2"/>
      <c r="E4090" s="31" t="n">
        <v>16.9</v>
      </c>
      <c r="F4090" s="31" t="n">
        <v>33.8</v>
      </c>
      <c r="G4090" s="31" t="n">
        <v>35.6</v>
      </c>
      <c r="H4090" s="2" t="s">
        <v>832</v>
      </c>
    </row>
    <row r="4091" customFormat="false" ht="15" hidden="false" customHeight="false" outlineLevel="0" collapsed="false">
      <c r="A4091" s="2" t="s">
        <v>2762</v>
      </c>
      <c r="B4091" s="2" t="s">
        <v>45</v>
      </c>
      <c r="C4091" s="2" t="s">
        <v>4274</v>
      </c>
      <c r="D4091" s="2"/>
      <c r="E4091" s="2"/>
      <c r="F4091" s="2"/>
      <c r="G4091" s="2"/>
      <c r="H4091" s="2" t="s">
        <v>832</v>
      </c>
    </row>
    <row r="4092" customFormat="false" ht="15" hidden="false" customHeight="false" outlineLevel="0" collapsed="false">
      <c r="A4092" s="2" t="s">
        <v>2762</v>
      </c>
      <c r="B4092" s="2" t="s">
        <v>45</v>
      </c>
      <c r="C4092" s="2" t="s">
        <v>4275</v>
      </c>
      <c r="D4092" s="11" t="n">
        <v>2350</v>
      </c>
      <c r="E4092" s="2"/>
      <c r="F4092" s="2"/>
      <c r="G4092" s="31" t="n">
        <v>18.2</v>
      </c>
      <c r="H4092" s="2" t="s">
        <v>832</v>
      </c>
    </row>
    <row r="4093" customFormat="false" ht="15" hidden="false" customHeight="false" outlineLevel="0" collapsed="false">
      <c r="A4093" s="2" t="s">
        <v>2762</v>
      </c>
      <c r="B4093" s="2" t="s">
        <v>47</v>
      </c>
      <c r="C4093" s="2" t="s">
        <v>4274</v>
      </c>
      <c r="D4093" s="11" t="n">
        <v>55484</v>
      </c>
      <c r="E4093" s="31" t="n">
        <v>25.1</v>
      </c>
      <c r="F4093" s="31" t="n">
        <v>37.9</v>
      </c>
      <c r="G4093" s="31" t="n">
        <v>27.3</v>
      </c>
      <c r="H4093" s="2" t="s">
        <v>822</v>
      </c>
    </row>
    <row r="4094" customFormat="false" ht="15" hidden="false" customHeight="false" outlineLevel="0" collapsed="false">
      <c r="A4094" s="2" t="s">
        <v>2762</v>
      </c>
      <c r="B4094" s="2" t="s">
        <v>47</v>
      </c>
      <c r="C4094" s="2" t="s">
        <v>4275</v>
      </c>
      <c r="D4094" s="11" t="n">
        <v>57230</v>
      </c>
      <c r="E4094" s="31" t="n">
        <v>16.9</v>
      </c>
      <c r="F4094" s="31" t="n">
        <v>33.8</v>
      </c>
      <c r="G4094" s="31" t="n">
        <v>53</v>
      </c>
      <c r="H4094" s="2" t="s">
        <v>822</v>
      </c>
    </row>
    <row r="4095" customFormat="false" ht="15" hidden="false" customHeight="false" outlineLevel="0" collapsed="false">
      <c r="A4095" s="2" t="s">
        <v>270</v>
      </c>
      <c r="B4095" s="2" t="s">
        <v>4291</v>
      </c>
      <c r="C4095" s="2" t="s">
        <v>4274</v>
      </c>
      <c r="D4095" s="2"/>
      <c r="E4095" s="31" t="n">
        <v>57.3</v>
      </c>
      <c r="F4095" s="31" t="n">
        <v>39.2</v>
      </c>
      <c r="G4095" s="31" t="n">
        <v>28.5</v>
      </c>
      <c r="H4095" s="2" t="s">
        <v>822</v>
      </c>
    </row>
    <row r="4096" customFormat="false" ht="15" hidden="false" customHeight="false" outlineLevel="0" collapsed="false">
      <c r="A4096" s="2" t="s">
        <v>270</v>
      </c>
      <c r="B4096" s="2" t="s">
        <v>4291</v>
      </c>
      <c r="C4096" s="2" t="s">
        <v>4275</v>
      </c>
      <c r="D4096" s="2"/>
      <c r="E4096" s="31" t="n">
        <v>65.8</v>
      </c>
      <c r="F4096" s="31" t="n">
        <v>56.5</v>
      </c>
      <c r="G4096" s="31" t="n">
        <v>56.2</v>
      </c>
      <c r="H4096" s="2" t="s">
        <v>822</v>
      </c>
    </row>
    <row r="4097" customFormat="false" ht="15" hidden="false" customHeight="false" outlineLevel="0" collapsed="false">
      <c r="A4097" s="2" t="s">
        <v>270</v>
      </c>
      <c r="B4097" s="2" t="s">
        <v>45</v>
      </c>
      <c r="C4097" s="2" t="s">
        <v>4274</v>
      </c>
      <c r="D4097" s="11" t="n">
        <v>71172</v>
      </c>
      <c r="E4097" s="31" t="n">
        <v>81.4</v>
      </c>
      <c r="F4097" s="31" t="n">
        <v>51.8</v>
      </c>
      <c r="G4097" s="2"/>
      <c r="H4097" s="2" t="s">
        <v>822</v>
      </c>
    </row>
    <row r="4098" customFormat="false" ht="15" hidden="false" customHeight="false" outlineLevel="0" collapsed="false">
      <c r="A4098" s="2" t="s">
        <v>270</v>
      </c>
      <c r="B4098" s="2" t="s">
        <v>45</v>
      </c>
      <c r="C4098" s="2" t="s">
        <v>4275</v>
      </c>
      <c r="D4098" s="11" t="n">
        <v>74040</v>
      </c>
      <c r="E4098" s="31" t="n">
        <v>74.5</v>
      </c>
      <c r="F4098" s="31" t="n">
        <v>84.9</v>
      </c>
      <c r="G4098" s="2"/>
      <c r="H4098" s="2" t="s">
        <v>822</v>
      </c>
    </row>
    <row r="4099" customFormat="false" ht="15" hidden="false" customHeight="false" outlineLevel="0" collapsed="false">
      <c r="A4099" s="2" t="s">
        <v>270</v>
      </c>
      <c r="B4099" s="2" t="s">
        <v>46</v>
      </c>
      <c r="C4099" s="2" t="s">
        <v>4274</v>
      </c>
      <c r="D4099" s="11" t="n">
        <v>226483</v>
      </c>
      <c r="E4099" s="31" t="n">
        <v>68.5</v>
      </c>
      <c r="F4099" s="31" t="n">
        <v>57.7</v>
      </c>
      <c r="G4099" s="31" t="n">
        <v>23.3</v>
      </c>
      <c r="H4099" s="2" t="s">
        <v>822</v>
      </c>
    </row>
    <row r="4100" customFormat="false" ht="15" hidden="false" customHeight="false" outlineLevel="0" collapsed="false">
      <c r="A4100" s="2" t="s">
        <v>270</v>
      </c>
      <c r="B4100" s="2" t="s">
        <v>46</v>
      </c>
      <c r="C4100" s="2" t="s">
        <v>4275</v>
      </c>
      <c r="D4100" s="11" t="n">
        <v>233135</v>
      </c>
      <c r="E4100" s="31" t="n">
        <v>89.6</v>
      </c>
      <c r="F4100" s="31" t="n">
        <v>82.2</v>
      </c>
      <c r="G4100" s="31" t="n">
        <v>32.9</v>
      </c>
      <c r="H4100" s="2" t="s">
        <v>822</v>
      </c>
    </row>
    <row r="4101" customFormat="false" ht="15" hidden="false" customHeight="false" outlineLevel="0" collapsed="false">
      <c r="A4101" s="2" t="s">
        <v>270</v>
      </c>
      <c r="B4101" s="2" t="s">
        <v>47</v>
      </c>
      <c r="C4101" s="2" t="s">
        <v>4274</v>
      </c>
      <c r="D4101" s="11" t="n">
        <v>897130</v>
      </c>
      <c r="E4101" s="31" t="n">
        <v>22.1</v>
      </c>
      <c r="F4101" s="31" t="n">
        <v>8</v>
      </c>
      <c r="G4101" s="31" t="n">
        <v>33.7</v>
      </c>
      <c r="H4101" s="2" t="s">
        <v>822</v>
      </c>
    </row>
    <row r="4102" customFormat="false" ht="15" hidden="false" customHeight="false" outlineLevel="0" collapsed="false">
      <c r="A4102" s="2" t="s">
        <v>270</v>
      </c>
      <c r="B4102" s="2" t="s">
        <v>47</v>
      </c>
      <c r="C4102" s="2" t="s">
        <v>4275</v>
      </c>
      <c r="D4102" s="11" t="n">
        <v>880980</v>
      </c>
      <c r="E4102" s="31" t="n">
        <v>33.3</v>
      </c>
      <c r="F4102" s="31" t="n">
        <v>2.5</v>
      </c>
      <c r="G4102" s="31" t="n">
        <v>79.4</v>
      </c>
      <c r="H4102" s="2" t="s">
        <v>822</v>
      </c>
    </row>
    <row r="4103" customFormat="false" ht="15" hidden="false" customHeight="false" outlineLevel="0" collapsed="false">
      <c r="A4103" s="2" t="s">
        <v>1410</v>
      </c>
      <c r="B4103" s="2" t="s">
        <v>4291</v>
      </c>
      <c r="C4103" s="2" t="s">
        <v>4274</v>
      </c>
      <c r="D4103" s="2"/>
      <c r="E4103" s="31" t="n">
        <v>46.7</v>
      </c>
      <c r="F4103" s="31" t="n">
        <v>41.8</v>
      </c>
      <c r="G4103" s="31" t="n">
        <v>46.1</v>
      </c>
      <c r="H4103" s="2" t="s">
        <v>822</v>
      </c>
    </row>
    <row r="4104" customFormat="false" ht="15" hidden="false" customHeight="false" outlineLevel="0" collapsed="false">
      <c r="A4104" s="2" t="s">
        <v>1410</v>
      </c>
      <c r="B4104" s="2" t="s">
        <v>4291</v>
      </c>
      <c r="C4104" s="2" t="s">
        <v>4275</v>
      </c>
      <c r="D4104" s="2"/>
      <c r="E4104" s="31" t="n">
        <v>49.4</v>
      </c>
      <c r="F4104" s="31" t="n">
        <v>42</v>
      </c>
      <c r="G4104" s="31" t="n">
        <v>72.8</v>
      </c>
      <c r="H4104" s="2" t="s">
        <v>832</v>
      </c>
    </row>
    <row r="4105" customFormat="false" ht="15" hidden="false" customHeight="false" outlineLevel="0" collapsed="false">
      <c r="A4105" s="2" t="s">
        <v>1410</v>
      </c>
      <c r="B4105" s="2" t="s">
        <v>45</v>
      </c>
      <c r="C4105" s="2" t="s">
        <v>4274</v>
      </c>
      <c r="D4105" s="11" t="n">
        <v>5325</v>
      </c>
      <c r="E4105" s="31" t="n">
        <v>16.4</v>
      </c>
      <c r="F4105" s="31" t="n">
        <v>66.1</v>
      </c>
      <c r="G4105" s="31" t="n">
        <v>20.2</v>
      </c>
      <c r="H4105" s="2" t="s">
        <v>822</v>
      </c>
    </row>
    <row r="4106" customFormat="false" ht="15" hidden="false" customHeight="false" outlineLevel="0" collapsed="false">
      <c r="A4106" s="2" t="s">
        <v>1410</v>
      </c>
      <c r="B4106" s="2" t="s">
        <v>45</v>
      </c>
      <c r="C4106" s="2" t="s">
        <v>4275</v>
      </c>
      <c r="D4106" s="11" t="n">
        <v>5541</v>
      </c>
      <c r="E4106" s="31" t="n">
        <v>26.7</v>
      </c>
      <c r="F4106" s="31" t="n">
        <v>42.3</v>
      </c>
      <c r="G4106" s="31" t="n">
        <v>70.4</v>
      </c>
      <c r="H4106" s="2" t="s">
        <v>822</v>
      </c>
    </row>
    <row r="4107" customFormat="false" ht="15" hidden="false" customHeight="false" outlineLevel="0" collapsed="false">
      <c r="A4107" s="2" t="s">
        <v>1410</v>
      </c>
      <c r="B4107" s="2" t="s">
        <v>46</v>
      </c>
      <c r="C4107" s="2" t="s">
        <v>4274</v>
      </c>
      <c r="D4107" s="11" t="n">
        <v>39159</v>
      </c>
      <c r="E4107" s="31" t="n">
        <v>63.4</v>
      </c>
      <c r="F4107" s="31" t="n">
        <v>56.6</v>
      </c>
      <c r="G4107" s="31" t="n">
        <v>22.4</v>
      </c>
      <c r="H4107" s="2" t="s">
        <v>822</v>
      </c>
    </row>
    <row r="4108" customFormat="false" ht="15" hidden="false" customHeight="false" outlineLevel="0" collapsed="false">
      <c r="A4108" s="2" t="s">
        <v>1410</v>
      </c>
      <c r="B4108" s="2" t="s">
        <v>46</v>
      </c>
      <c r="C4108" s="2" t="s">
        <v>4275</v>
      </c>
      <c r="D4108" s="11" t="n">
        <v>39990</v>
      </c>
      <c r="E4108" s="31" t="n">
        <v>42.6</v>
      </c>
      <c r="F4108" s="31" t="n">
        <v>80</v>
      </c>
      <c r="G4108" s="2"/>
      <c r="H4108" s="2" t="s">
        <v>832</v>
      </c>
    </row>
    <row r="4109" customFormat="false" ht="15" hidden="false" customHeight="false" outlineLevel="0" collapsed="false">
      <c r="A4109" s="2" t="s">
        <v>1410</v>
      </c>
      <c r="B4109" s="2" t="s">
        <v>47</v>
      </c>
      <c r="C4109" s="2" t="s">
        <v>4274</v>
      </c>
      <c r="D4109" s="11" t="n">
        <v>17455</v>
      </c>
      <c r="E4109" s="31" t="n">
        <v>60.2</v>
      </c>
      <c r="F4109" s="31" t="n">
        <v>2.6</v>
      </c>
      <c r="G4109" s="31" t="n">
        <v>95.8</v>
      </c>
      <c r="H4109" s="2" t="s">
        <v>822</v>
      </c>
    </row>
    <row r="4110" customFormat="false" ht="15" hidden="false" customHeight="false" outlineLevel="0" collapsed="false">
      <c r="A4110" s="2" t="s">
        <v>1410</v>
      </c>
      <c r="B4110" s="2" t="s">
        <v>47</v>
      </c>
      <c r="C4110" s="2" t="s">
        <v>4275</v>
      </c>
      <c r="D4110" s="11" t="n">
        <v>16850</v>
      </c>
      <c r="E4110" s="31" t="n">
        <v>78.8</v>
      </c>
      <c r="F4110" s="31" t="n">
        <v>3.6</v>
      </c>
      <c r="G4110" s="31" t="n">
        <v>75.1</v>
      </c>
      <c r="H4110" s="2" t="s">
        <v>822</v>
      </c>
    </row>
    <row r="4111" customFormat="false" ht="15" hidden="false" customHeight="false" outlineLevel="0" collapsed="false">
      <c r="A4111" s="2" t="s">
        <v>1399</v>
      </c>
      <c r="B4111" s="2" t="s">
        <v>4291</v>
      </c>
      <c r="C4111" s="2" t="s">
        <v>4274</v>
      </c>
      <c r="D4111" s="2"/>
      <c r="E4111" s="31" t="n">
        <v>19.1</v>
      </c>
      <c r="F4111" s="31" t="n">
        <v>48.2</v>
      </c>
      <c r="G4111" s="31" t="n">
        <v>65.2</v>
      </c>
      <c r="H4111" s="2" t="s">
        <v>822</v>
      </c>
    </row>
    <row r="4112" customFormat="false" ht="15" hidden="false" customHeight="false" outlineLevel="0" collapsed="false">
      <c r="A4112" s="2" t="s">
        <v>1399</v>
      </c>
      <c r="B4112" s="2" t="s">
        <v>4291</v>
      </c>
      <c r="C4112" s="2" t="s">
        <v>4275</v>
      </c>
      <c r="D4112" s="2"/>
      <c r="E4112" s="31" t="n">
        <v>26.5</v>
      </c>
      <c r="F4112" s="31" t="n">
        <v>92.9</v>
      </c>
      <c r="G4112" s="31" t="n">
        <v>80.3</v>
      </c>
      <c r="H4112" s="2" t="s">
        <v>832</v>
      </c>
    </row>
    <row r="4113" customFormat="false" ht="15" hidden="false" customHeight="false" outlineLevel="0" collapsed="false">
      <c r="A4113" s="2" t="s">
        <v>1399</v>
      </c>
      <c r="B4113" s="2" t="s">
        <v>45</v>
      </c>
      <c r="C4113" s="2" t="s">
        <v>4274</v>
      </c>
      <c r="D4113" s="11" t="n">
        <v>314410</v>
      </c>
      <c r="E4113" s="31" t="n">
        <v>25.9</v>
      </c>
      <c r="F4113" s="31" t="n">
        <v>78.8</v>
      </c>
      <c r="G4113" s="31" t="n">
        <v>83.9</v>
      </c>
      <c r="H4113" s="2" t="s">
        <v>822</v>
      </c>
    </row>
    <row r="4114" customFormat="false" ht="15" hidden="false" customHeight="false" outlineLevel="0" collapsed="false">
      <c r="A4114" s="2" t="s">
        <v>1399</v>
      </c>
      <c r="B4114" s="2" t="s">
        <v>45</v>
      </c>
      <c r="C4114" s="2" t="s">
        <v>4275</v>
      </c>
      <c r="D4114" s="11" t="n">
        <v>344680</v>
      </c>
      <c r="E4114" s="31" t="n">
        <v>28</v>
      </c>
      <c r="F4114" s="31" t="n">
        <v>92.9</v>
      </c>
      <c r="G4114" s="31" t="n">
        <v>73.4</v>
      </c>
      <c r="H4114" s="2" t="s">
        <v>822</v>
      </c>
    </row>
    <row r="4115" customFormat="false" ht="15" hidden="false" customHeight="false" outlineLevel="0" collapsed="false">
      <c r="A4115" s="2" t="s">
        <v>1399</v>
      </c>
      <c r="B4115" s="2" t="s">
        <v>46</v>
      </c>
      <c r="C4115" s="2" t="s">
        <v>4274</v>
      </c>
      <c r="D4115" s="11" t="n">
        <v>30605</v>
      </c>
      <c r="E4115" s="31" t="n">
        <v>12.3</v>
      </c>
      <c r="F4115" s="31" t="n">
        <v>17.6</v>
      </c>
      <c r="G4115" s="31" t="n">
        <v>46.6</v>
      </c>
      <c r="H4115" s="2" t="s">
        <v>822</v>
      </c>
    </row>
    <row r="4116" customFormat="false" ht="15" hidden="false" customHeight="false" outlineLevel="0" collapsed="false">
      <c r="A4116" s="2" t="s">
        <v>1399</v>
      </c>
      <c r="B4116" s="2" t="s">
        <v>46</v>
      </c>
      <c r="C4116" s="2" t="s">
        <v>4275</v>
      </c>
      <c r="D4116" s="11" t="n">
        <v>30250</v>
      </c>
      <c r="E4116" s="31" t="n">
        <v>25</v>
      </c>
      <c r="F4116" s="2"/>
      <c r="G4116" s="31" t="n">
        <v>87.2</v>
      </c>
      <c r="H4116" s="2" t="s">
        <v>832</v>
      </c>
    </row>
    <row r="4117" customFormat="false" ht="15" hidden="false" customHeight="false" outlineLevel="0" collapsed="false">
      <c r="A4117" s="2" t="s">
        <v>656</v>
      </c>
      <c r="B4117" s="2" t="s">
        <v>4291</v>
      </c>
      <c r="C4117" s="2" t="s">
        <v>4274</v>
      </c>
      <c r="D4117" s="2"/>
      <c r="E4117" s="31" t="n">
        <v>12.1</v>
      </c>
      <c r="F4117" s="31" t="n">
        <v>45.9</v>
      </c>
      <c r="G4117" s="31" t="n">
        <v>47.4</v>
      </c>
      <c r="H4117" s="2" t="s">
        <v>832</v>
      </c>
    </row>
    <row r="4118" customFormat="false" ht="15" hidden="false" customHeight="false" outlineLevel="0" collapsed="false">
      <c r="A4118" s="2" t="s">
        <v>656</v>
      </c>
      <c r="B4118" s="2" t="s">
        <v>4291</v>
      </c>
      <c r="C4118" s="2" t="s">
        <v>4275</v>
      </c>
      <c r="D4118" s="2"/>
      <c r="E4118" s="31" t="n">
        <v>34.3</v>
      </c>
      <c r="F4118" s="31" t="n">
        <v>44.5</v>
      </c>
      <c r="G4118" s="31" t="n">
        <v>57</v>
      </c>
      <c r="H4118" s="2" t="s">
        <v>822</v>
      </c>
    </row>
    <row r="4119" customFormat="false" ht="15" hidden="false" customHeight="false" outlineLevel="0" collapsed="false">
      <c r="A4119" s="2" t="s">
        <v>656</v>
      </c>
      <c r="B4119" s="2" t="s">
        <v>45</v>
      </c>
      <c r="C4119" s="2" t="s">
        <v>4274</v>
      </c>
      <c r="D4119" s="11" t="n">
        <v>141360</v>
      </c>
      <c r="E4119" s="31" t="n">
        <v>12.1</v>
      </c>
      <c r="F4119" s="31" t="n">
        <v>28.8</v>
      </c>
      <c r="G4119" s="31" t="n">
        <v>90.7</v>
      </c>
      <c r="H4119" s="2" t="s">
        <v>822</v>
      </c>
    </row>
    <row r="4120" customFormat="false" ht="15" hidden="false" customHeight="false" outlineLevel="0" collapsed="false">
      <c r="A4120" s="2" t="s">
        <v>656</v>
      </c>
      <c r="B4120" s="2" t="s">
        <v>45</v>
      </c>
      <c r="C4120" s="2" t="s">
        <v>4275</v>
      </c>
      <c r="D4120" s="11" t="n">
        <v>140009</v>
      </c>
      <c r="E4120" s="31" t="n">
        <v>30.1</v>
      </c>
      <c r="F4120" s="31" t="n">
        <v>51.4</v>
      </c>
      <c r="G4120" s="31" t="n">
        <v>93.7</v>
      </c>
      <c r="H4120" s="2" t="s">
        <v>822</v>
      </c>
    </row>
    <row r="4121" customFormat="false" ht="15" hidden="false" customHeight="false" outlineLevel="0" collapsed="false">
      <c r="A4121" s="2" t="s">
        <v>656</v>
      </c>
      <c r="B4121" s="2" t="s">
        <v>46</v>
      </c>
      <c r="C4121" s="2" t="s">
        <v>4274</v>
      </c>
      <c r="D4121" s="11" t="n">
        <v>3410</v>
      </c>
      <c r="E4121" s="31" t="n">
        <v>13.7</v>
      </c>
      <c r="F4121" s="31" t="n">
        <v>82.5</v>
      </c>
      <c r="G4121" s="2"/>
      <c r="H4121" s="2" t="s">
        <v>832</v>
      </c>
    </row>
    <row r="4122" customFormat="false" ht="15" hidden="false" customHeight="false" outlineLevel="0" collapsed="false">
      <c r="A4122" s="2" t="s">
        <v>656</v>
      </c>
      <c r="B4122" s="2" t="s">
        <v>46</v>
      </c>
      <c r="C4122" s="2" t="s">
        <v>4275</v>
      </c>
      <c r="D4122" s="11" t="n">
        <v>3680</v>
      </c>
      <c r="E4122" s="31" t="n">
        <v>29.5</v>
      </c>
      <c r="F4122" s="31" t="n">
        <v>60.4</v>
      </c>
      <c r="G4122" s="31" t="n">
        <v>17.4</v>
      </c>
      <c r="H4122" s="2" t="s">
        <v>822</v>
      </c>
    </row>
    <row r="4123" customFormat="false" ht="15" hidden="false" customHeight="false" outlineLevel="0" collapsed="false">
      <c r="A4123" s="2" t="s">
        <v>656</v>
      </c>
      <c r="B4123" s="2" t="s">
        <v>47</v>
      </c>
      <c r="C4123" s="2" t="s">
        <v>4274</v>
      </c>
      <c r="D4123" s="11" t="n">
        <v>227036</v>
      </c>
      <c r="E4123" s="31" t="n">
        <v>10.4</v>
      </c>
      <c r="F4123" s="31" t="n">
        <v>26.5</v>
      </c>
      <c r="G4123" s="31" t="n">
        <v>4.1</v>
      </c>
      <c r="H4123" s="2" t="s">
        <v>822</v>
      </c>
    </row>
    <row r="4124" customFormat="false" ht="15" hidden="false" customHeight="false" outlineLevel="0" collapsed="false">
      <c r="A4124" s="2" t="s">
        <v>656</v>
      </c>
      <c r="B4124" s="2" t="s">
        <v>47</v>
      </c>
      <c r="C4124" s="2" t="s">
        <v>4275</v>
      </c>
      <c r="D4124" s="11" t="n">
        <v>230133</v>
      </c>
      <c r="E4124" s="31" t="n">
        <v>43.4</v>
      </c>
      <c r="F4124" s="31" t="n">
        <v>21.7</v>
      </c>
      <c r="G4124" s="31" t="n">
        <v>59.9</v>
      </c>
      <c r="H4124" s="2" t="s">
        <v>822</v>
      </c>
    </row>
    <row r="4125" customFormat="false" ht="15" hidden="false" customHeight="false" outlineLevel="0" collapsed="false">
      <c r="A4125" s="2" t="s">
        <v>2050</v>
      </c>
      <c r="B4125" s="2" t="s">
        <v>4291</v>
      </c>
      <c r="C4125" s="2" t="s">
        <v>4274</v>
      </c>
      <c r="D4125" s="2"/>
      <c r="E4125" s="31" t="n">
        <v>31</v>
      </c>
      <c r="F4125" s="31" t="n">
        <v>27.5</v>
      </c>
      <c r="G4125" s="31" t="n">
        <v>100</v>
      </c>
      <c r="H4125" s="2" t="s">
        <v>832</v>
      </c>
    </row>
    <row r="4126" customFormat="false" ht="15" hidden="false" customHeight="false" outlineLevel="0" collapsed="false">
      <c r="A4126" s="2" t="s">
        <v>2050</v>
      </c>
      <c r="B4126" s="2" t="s">
        <v>4291</v>
      </c>
      <c r="C4126" s="2" t="s">
        <v>4275</v>
      </c>
      <c r="D4126" s="2"/>
      <c r="E4126" s="31" t="n">
        <v>16.6</v>
      </c>
      <c r="F4126" s="31" t="n">
        <v>17.5</v>
      </c>
      <c r="G4126" s="31" t="n">
        <v>89.2</v>
      </c>
      <c r="H4126" s="2" t="s">
        <v>832</v>
      </c>
    </row>
    <row r="4127" customFormat="false" ht="15" hidden="false" customHeight="false" outlineLevel="0" collapsed="false">
      <c r="A4127" s="2" t="s">
        <v>2050</v>
      </c>
      <c r="B4127" s="2" t="s">
        <v>45</v>
      </c>
      <c r="C4127" s="2" t="s">
        <v>4274</v>
      </c>
      <c r="D4127" s="11" t="n">
        <v>108030</v>
      </c>
      <c r="E4127" s="31" t="n">
        <v>74.1</v>
      </c>
      <c r="F4127" s="2"/>
      <c r="G4127" s="2"/>
      <c r="H4127" s="2" t="s">
        <v>832</v>
      </c>
    </row>
    <row r="4128" customFormat="false" ht="15" hidden="false" customHeight="false" outlineLevel="0" collapsed="false">
      <c r="A4128" s="2" t="s">
        <v>2050</v>
      </c>
      <c r="B4128" s="2" t="s">
        <v>45</v>
      </c>
      <c r="C4128" s="2" t="s">
        <v>4275</v>
      </c>
      <c r="D4128" s="11" t="n">
        <v>113540</v>
      </c>
      <c r="E4128" s="31" t="n">
        <v>24.2</v>
      </c>
      <c r="F4128" s="31" t="n">
        <v>31.4</v>
      </c>
      <c r="G4128" s="2"/>
      <c r="H4128" s="2" t="s">
        <v>832</v>
      </c>
    </row>
    <row r="4129" customFormat="false" ht="15" hidden="false" customHeight="false" outlineLevel="0" collapsed="false">
      <c r="A4129" s="2" t="s">
        <v>2050</v>
      </c>
      <c r="B4129" s="2" t="s">
        <v>46</v>
      </c>
      <c r="C4129" s="2" t="s">
        <v>4274</v>
      </c>
      <c r="D4129" s="11" t="n">
        <v>58596</v>
      </c>
      <c r="E4129" s="31" t="n">
        <v>17.2</v>
      </c>
      <c r="F4129" s="31" t="n">
        <v>1.9</v>
      </c>
      <c r="G4129" s="2"/>
      <c r="H4129" s="2" t="s">
        <v>832</v>
      </c>
    </row>
    <row r="4130" customFormat="false" ht="15" hidden="false" customHeight="false" outlineLevel="0" collapsed="false">
      <c r="A4130" s="2" t="s">
        <v>2050</v>
      </c>
      <c r="B4130" s="2" t="s">
        <v>46</v>
      </c>
      <c r="C4130" s="2" t="s">
        <v>4275</v>
      </c>
      <c r="D4130" s="11" t="n">
        <v>59920</v>
      </c>
      <c r="E4130" s="31" t="n">
        <v>25.1</v>
      </c>
      <c r="F4130" s="31" t="n">
        <v>2.5</v>
      </c>
      <c r="G4130" s="31" t="n">
        <v>78.4</v>
      </c>
      <c r="H4130" s="2" t="s">
        <v>822</v>
      </c>
    </row>
    <row r="4131" customFormat="false" ht="15" hidden="false" customHeight="false" outlineLevel="0" collapsed="false">
      <c r="A4131" s="2" t="s">
        <v>2050</v>
      </c>
      <c r="B4131" s="2" t="s">
        <v>47</v>
      </c>
      <c r="C4131" s="2" t="s">
        <v>4274</v>
      </c>
      <c r="D4131" s="11" t="n">
        <v>153441</v>
      </c>
      <c r="E4131" s="31" t="n">
        <v>1.7</v>
      </c>
      <c r="F4131" s="31" t="n">
        <v>53.1</v>
      </c>
      <c r="G4131" s="31" t="n">
        <v>100</v>
      </c>
      <c r="H4131" s="2" t="s">
        <v>822</v>
      </c>
    </row>
    <row r="4132" customFormat="false" ht="15" hidden="false" customHeight="false" outlineLevel="0" collapsed="false">
      <c r="A4132" s="2" t="s">
        <v>2050</v>
      </c>
      <c r="B4132" s="2" t="s">
        <v>47</v>
      </c>
      <c r="C4132" s="2" t="s">
        <v>4275</v>
      </c>
      <c r="D4132" s="11" t="n">
        <v>156480</v>
      </c>
      <c r="E4132" s="31" t="n">
        <v>0.5</v>
      </c>
      <c r="F4132" s="31" t="n">
        <v>18.6</v>
      </c>
      <c r="G4132" s="31" t="n">
        <v>100</v>
      </c>
      <c r="H4132" s="2" t="s">
        <v>822</v>
      </c>
    </row>
    <row r="4133" customFormat="false" ht="15" hidden="false" customHeight="false" outlineLevel="0" collapsed="false">
      <c r="A4133" s="2" t="s">
        <v>3247</v>
      </c>
      <c r="B4133" s="2" t="s">
        <v>4291</v>
      </c>
      <c r="C4133" s="2" t="s">
        <v>4275</v>
      </c>
      <c r="D4133" s="2"/>
      <c r="E4133" s="2"/>
      <c r="F4133" s="2"/>
      <c r="G4133" s="31" t="n">
        <v>99.1</v>
      </c>
      <c r="H4133" s="2" t="s">
        <v>832</v>
      </c>
    </row>
    <row r="4134" customFormat="false" ht="15" hidden="false" customHeight="false" outlineLevel="0" collapsed="false">
      <c r="A4134" s="2" t="s">
        <v>3247</v>
      </c>
      <c r="B4134" s="2" t="s">
        <v>46</v>
      </c>
      <c r="C4134" s="2" t="s">
        <v>4275</v>
      </c>
      <c r="D4134" s="2"/>
      <c r="E4134" s="2"/>
      <c r="F4134" s="2"/>
      <c r="G4134" s="31" t="n">
        <v>99.1</v>
      </c>
      <c r="H4134" s="2" t="s">
        <v>832</v>
      </c>
    </row>
    <row r="4135" customFormat="false" ht="15" hidden="false" customHeight="false" outlineLevel="0" collapsed="false">
      <c r="A4135" s="2" t="s">
        <v>3249</v>
      </c>
      <c r="B4135" s="2" t="s">
        <v>4291</v>
      </c>
      <c r="C4135" s="2" t="s">
        <v>4274</v>
      </c>
      <c r="D4135" s="2"/>
      <c r="E4135" s="31" t="n">
        <v>83.9</v>
      </c>
      <c r="F4135" s="31" t="n">
        <v>66.2</v>
      </c>
      <c r="G4135" s="31" t="n">
        <v>46.4</v>
      </c>
      <c r="H4135" s="2" t="s">
        <v>822</v>
      </c>
    </row>
    <row r="4136" customFormat="false" ht="15" hidden="false" customHeight="false" outlineLevel="0" collapsed="false">
      <c r="A4136" s="2" t="s">
        <v>3249</v>
      </c>
      <c r="B4136" s="2" t="s">
        <v>4291</v>
      </c>
      <c r="C4136" s="2" t="s">
        <v>4275</v>
      </c>
      <c r="D4136" s="2"/>
      <c r="E4136" s="31" t="n">
        <v>71.6</v>
      </c>
      <c r="F4136" s="31" t="n">
        <v>79.7</v>
      </c>
      <c r="G4136" s="2"/>
      <c r="H4136" s="2" t="s">
        <v>832</v>
      </c>
    </row>
    <row r="4137" customFormat="false" ht="15" hidden="false" customHeight="false" outlineLevel="0" collapsed="false">
      <c r="A4137" s="2" t="s">
        <v>3249</v>
      </c>
      <c r="B4137" s="2" t="s">
        <v>45</v>
      </c>
      <c r="C4137" s="2" t="s">
        <v>4274</v>
      </c>
      <c r="D4137" s="11" t="n">
        <v>68740</v>
      </c>
      <c r="E4137" s="31" t="n">
        <v>80.6</v>
      </c>
      <c r="F4137" s="31" t="n">
        <v>70.8</v>
      </c>
      <c r="G4137" s="31" t="n">
        <v>32</v>
      </c>
      <c r="H4137" s="2" t="s">
        <v>822</v>
      </c>
    </row>
    <row r="4138" customFormat="false" ht="15" hidden="false" customHeight="false" outlineLevel="0" collapsed="false">
      <c r="A4138" s="2" t="s">
        <v>3249</v>
      </c>
      <c r="B4138" s="2" t="s">
        <v>45</v>
      </c>
      <c r="C4138" s="2" t="s">
        <v>4275</v>
      </c>
      <c r="D4138" s="11" t="n">
        <v>73175</v>
      </c>
      <c r="E4138" s="31" t="n">
        <v>71.6</v>
      </c>
      <c r="F4138" s="31" t="n">
        <v>79.7</v>
      </c>
      <c r="G4138" s="2"/>
      <c r="H4138" s="2" t="s">
        <v>832</v>
      </c>
    </row>
    <row r="4139" customFormat="false" ht="15" hidden="false" customHeight="false" outlineLevel="0" collapsed="false">
      <c r="A4139" s="2" t="s">
        <v>3249</v>
      </c>
      <c r="B4139" s="2" t="s">
        <v>47</v>
      </c>
      <c r="C4139" s="2" t="s">
        <v>4274</v>
      </c>
      <c r="D4139" s="11" t="n">
        <v>1122966</v>
      </c>
      <c r="E4139" s="31" t="n">
        <v>87.2</v>
      </c>
      <c r="F4139" s="31" t="n">
        <v>61.5</v>
      </c>
      <c r="G4139" s="31" t="n">
        <v>60.7</v>
      </c>
      <c r="H4139" s="2" t="s">
        <v>822</v>
      </c>
    </row>
    <row r="4140" customFormat="false" ht="15" hidden="false" customHeight="false" outlineLevel="0" collapsed="false">
      <c r="A4140" s="2" t="s">
        <v>3249</v>
      </c>
      <c r="B4140" s="2" t="s">
        <v>47</v>
      </c>
      <c r="C4140" s="2" t="s">
        <v>4275</v>
      </c>
      <c r="D4140" s="2"/>
      <c r="E4140" s="2"/>
      <c r="F4140" s="2"/>
      <c r="G4140" s="2"/>
      <c r="H4140" s="2" t="s">
        <v>832</v>
      </c>
    </row>
    <row r="4141" customFormat="false" ht="15" hidden="false" customHeight="false" outlineLevel="0" collapsed="false">
      <c r="A4141" s="2" t="s">
        <v>3251</v>
      </c>
      <c r="B4141" s="2" t="s">
        <v>4291</v>
      </c>
      <c r="C4141" s="2" t="s">
        <v>4274</v>
      </c>
      <c r="D4141" s="2"/>
      <c r="E4141" s="31" t="n">
        <v>58.1</v>
      </c>
      <c r="F4141" s="2"/>
      <c r="G4141" s="2"/>
      <c r="H4141" s="2" t="s">
        <v>832</v>
      </c>
    </row>
    <row r="4142" customFormat="false" ht="15" hidden="false" customHeight="false" outlineLevel="0" collapsed="false">
      <c r="A4142" s="2" t="s">
        <v>3251</v>
      </c>
      <c r="B4142" s="2" t="s">
        <v>4291</v>
      </c>
      <c r="C4142" s="2" t="s">
        <v>4275</v>
      </c>
      <c r="D4142" s="2"/>
      <c r="E4142" s="31" t="n">
        <v>61.3</v>
      </c>
      <c r="F4142" s="31" t="n">
        <v>10.5</v>
      </c>
      <c r="G4142" s="2"/>
      <c r="H4142" s="2" t="s">
        <v>832</v>
      </c>
    </row>
    <row r="4143" customFormat="false" ht="15" hidden="false" customHeight="false" outlineLevel="0" collapsed="false">
      <c r="A4143" s="2" t="s">
        <v>3251</v>
      </c>
      <c r="B4143" s="2" t="s">
        <v>46</v>
      </c>
      <c r="C4143" s="2" t="s">
        <v>4274</v>
      </c>
      <c r="D4143" s="11" t="n">
        <v>37180</v>
      </c>
      <c r="E4143" s="31" t="n">
        <v>58.1</v>
      </c>
      <c r="F4143" s="2"/>
      <c r="G4143" s="2"/>
      <c r="H4143" s="2" t="s">
        <v>832</v>
      </c>
    </row>
    <row r="4144" customFormat="false" ht="15" hidden="false" customHeight="false" outlineLevel="0" collapsed="false">
      <c r="A4144" s="2" t="s">
        <v>3251</v>
      </c>
      <c r="B4144" s="2" t="s">
        <v>46</v>
      </c>
      <c r="C4144" s="2" t="s">
        <v>4275</v>
      </c>
      <c r="D4144" s="11" t="n">
        <v>37478</v>
      </c>
      <c r="E4144" s="31" t="n">
        <v>61.3</v>
      </c>
      <c r="F4144" s="31" t="n">
        <v>10.5</v>
      </c>
      <c r="G4144" s="2"/>
      <c r="H4144" s="2" t="s">
        <v>832</v>
      </c>
    </row>
    <row r="4145" customFormat="false" ht="15" hidden="false" customHeight="false" outlineLevel="0" collapsed="false">
      <c r="A4145" s="2" t="s">
        <v>600</v>
      </c>
      <c r="B4145" s="2" t="s">
        <v>4291</v>
      </c>
      <c r="C4145" s="2" t="s">
        <v>4274</v>
      </c>
      <c r="D4145" s="2"/>
      <c r="E4145" s="31" t="n">
        <v>50.2</v>
      </c>
      <c r="F4145" s="31" t="n">
        <v>77.8</v>
      </c>
      <c r="G4145" s="31" t="n">
        <v>43.3</v>
      </c>
      <c r="H4145" s="2" t="s">
        <v>832</v>
      </c>
    </row>
    <row r="4146" customFormat="false" ht="15" hidden="false" customHeight="false" outlineLevel="0" collapsed="false">
      <c r="A4146" s="2" t="s">
        <v>600</v>
      </c>
      <c r="B4146" s="2" t="s">
        <v>4291</v>
      </c>
      <c r="C4146" s="2" t="s">
        <v>4275</v>
      </c>
      <c r="D4146" s="2"/>
      <c r="E4146" s="31" t="n">
        <v>38.8</v>
      </c>
      <c r="F4146" s="31" t="n">
        <v>63.4</v>
      </c>
      <c r="G4146" s="31" t="n">
        <v>40.1</v>
      </c>
      <c r="H4146" s="2" t="s">
        <v>822</v>
      </c>
    </row>
    <row r="4147" customFormat="false" ht="15" hidden="false" customHeight="false" outlineLevel="0" collapsed="false">
      <c r="A4147" s="2" t="s">
        <v>600</v>
      </c>
      <c r="B4147" s="2" t="s">
        <v>45</v>
      </c>
      <c r="C4147" s="2" t="s">
        <v>4274</v>
      </c>
      <c r="D4147" s="11" t="n">
        <v>1220030</v>
      </c>
      <c r="E4147" s="31" t="n">
        <v>31.1</v>
      </c>
      <c r="F4147" s="31" t="n">
        <v>100</v>
      </c>
      <c r="G4147" s="31" t="n">
        <v>69</v>
      </c>
      <c r="H4147" s="2" t="s">
        <v>822</v>
      </c>
    </row>
    <row r="4148" customFormat="false" ht="15" hidden="false" customHeight="false" outlineLevel="0" collapsed="false">
      <c r="A4148" s="2" t="s">
        <v>600</v>
      </c>
      <c r="B4148" s="2" t="s">
        <v>45</v>
      </c>
      <c r="C4148" s="2" t="s">
        <v>4275</v>
      </c>
      <c r="D4148" s="11" t="n">
        <v>1330960</v>
      </c>
      <c r="E4148" s="31" t="n">
        <v>33.6</v>
      </c>
      <c r="F4148" s="31" t="n">
        <v>94.1</v>
      </c>
      <c r="G4148" s="31" t="n">
        <v>82.5</v>
      </c>
      <c r="H4148" s="2" t="s">
        <v>822</v>
      </c>
    </row>
    <row r="4149" customFormat="false" ht="15" hidden="false" customHeight="false" outlineLevel="0" collapsed="false">
      <c r="A4149" s="2" t="s">
        <v>600</v>
      </c>
      <c r="B4149" s="2" t="s">
        <v>46</v>
      </c>
      <c r="C4149" s="2" t="s">
        <v>4274</v>
      </c>
      <c r="D4149" s="2"/>
      <c r="E4149" s="2"/>
      <c r="F4149" s="2"/>
      <c r="G4149" s="2"/>
      <c r="H4149" s="2" t="s">
        <v>832</v>
      </c>
    </row>
    <row r="4150" customFormat="false" ht="15" hidden="false" customHeight="false" outlineLevel="0" collapsed="false">
      <c r="A4150" s="2" t="s">
        <v>600</v>
      </c>
      <c r="B4150" s="2" t="s">
        <v>46</v>
      </c>
      <c r="C4150" s="2" t="s">
        <v>4275</v>
      </c>
      <c r="D4150" s="11" t="n">
        <v>24010</v>
      </c>
      <c r="E4150" s="31" t="n">
        <v>32.8</v>
      </c>
      <c r="F4150" s="31" t="n">
        <v>74.9</v>
      </c>
      <c r="G4150" s="31" t="n">
        <v>22.5</v>
      </c>
      <c r="H4150" s="2" t="s">
        <v>822</v>
      </c>
    </row>
    <row r="4151" customFormat="false" ht="15" hidden="false" customHeight="false" outlineLevel="0" collapsed="false">
      <c r="A4151" s="2" t="s">
        <v>600</v>
      </c>
      <c r="B4151" s="2" t="s">
        <v>47</v>
      </c>
      <c r="C4151" s="2" t="s">
        <v>4274</v>
      </c>
      <c r="D4151" s="11" t="n">
        <v>19912</v>
      </c>
      <c r="E4151" s="31" t="n">
        <v>69.4</v>
      </c>
      <c r="F4151" s="31" t="n">
        <v>55.6</v>
      </c>
      <c r="G4151" s="31" t="n">
        <v>17.6</v>
      </c>
      <c r="H4151" s="2" t="s">
        <v>822</v>
      </c>
    </row>
    <row r="4152" customFormat="false" ht="15" hidden="false" customHeight="false" outlineLevel="0" collapsed="false">
      <c r="A4152" s="2" t="s">
        <v>600</v>
      </c>
      <c r="B4152" s="2" t="s">
        <v>47</v>
      </c>
      <c r="C4152" s="2" t="s">
        <v>4275</v>
      </c>
      <c r="D4152" s="11" t="n">
        <v>38513</v>
      </c>
      <c r="E4152" s="31" t="n">
        <v>50.1</v>
      </c>
      <c r="F4152" s="31" t="n">
        <v>21.1</v>
      </c>
      <c r="G4152" s="31" t="n">
        <v>15.4</v>
      </c>
      <c r="H4152" s="2" t="s">
        <v>822</v>
      </c>
    </row>
    <row r="4153" customFormat="false" ht="15" hidden="false" customHeight="false" outlineLevel="0" collapsed="false">
      <c r="A4153" s="2" t="s">
        <v>3253</v>
      </c>
      <c r="B4153" s="2" t="s">
        <v>4291</v>
      </c>
      <c r="C4153" s="2" t="s">
        <v>4274</v>
      </c>
      <c r="D4153" s="2"/>
      <c r="E4153" s="31" t="n">
        <v>87.2</v>
      </c>
      <c r="F4153" s="31" t="n">
        <v>32.9</v>
      </c>
      <c r="G4153" s="31" t="n">
        <v>35</v>
      </c>
      <c r="H4153" s="2" t="s">
        <v>832</v>
      </c>
    </row>
    <row r="4154" customFormat="false" ht="15" hidden="false" customHeight="false" outlineLevel="0" collapsed="false">
      <c r="A4154" s="2" t="s">
        <v>3253</v>
      </c>
      <c r="B4154" s="2" t="s">
        <v>4291</v>
      </c>
      <c r="C4154" s="2" t="s">
        <v>4275</v>
      </c>
      <c r="D4154" s="2"/>
      <c r="E4154" s="2"/>
      <c r="F4154" s="2"/>
      <c r="G4154" s="31" t="n">
        <v>15.9</v>
      </c>
      <c r="H4154" s="2" t="s">
        <v>832</v>
      </c>
    </row>
    <row r="4155" customFormat="false" ht="15" hidden="false" customHeight="false" outlineLevel="0" collapsed="false">
      <c r="A4155" s="2" t="s">
        <v>3253</v>
      </c>
      <c r="B4155" s="2" t="s">
        <v>45</v>
      </c>
      <c r="C4155" s="2" t="s">
        <v>4274</v>
      </c>
      <c r="D4155" s="11" t="n">
        <v>671200</v>
      </c>
      <c r="E4155" s="2"/>
      <c r="F4155" s="31" t="n">
        <v>1.4</v>
      </c>
      <c r="G4155" s="31" t="n">
        <v>39.5</v>
      </c>
      <c r="H4155" s="2" t="s">
        <v>832</v>
      </c>
    </row>
    <row r="4156" customFormat="false" ht="15" hidden="false" customHeight="false" outlineLevel="0" collapsed="false">
      <c r="A4156" s="2" t="s">
        <v>3253</v>
      </c>
      <c r="B4156" s="2" t="s">
        <v>45</v>
      </c>
      <c r="C4156" s="2" t="s">
        <v>4275</v>
      </c>
      <c r="D4156" s="2"/>
      <c r="E4156" s="2"/>
      <c r="F4156" s="2"/>
      <c r="G4156" s="2"/>
      <c r="H4156" s="2" t="s">
        <v>832</v>
      </c>
    </row>
    <row r="4157" customFormat="false" ht="15" hidden="false" customHeight="false" outlineLevel="0" collapsed="false">
      <c r="A4157" s="2" t="s">
        <v>3253</v>
      </c>
      <c r="B4157" s="2" t="s">
        <v>46</v>
      </c>
      <c r="C4157" s="2" t="s">
        <v>4274</v>
      </c>
      <c r="D4157" s="11" t="n">
        <v>31790</v>
      </c>
      <c r="E4157" s="31" t="n">
        <v>89.6</v>
      </c>
      <c r="F4157" s="31" t="n">
        <v>29.6</v>
      </c>
      <c r="G4157" s="31" t="n">
        <v>44.7</v>
      </c>
      <c r="H4157" s="2" t="s">
        <v>832</v>
      </c>
    </row>
    <row r="4158" customFormat="false" ht="15" hidden="false" customHeight="false" outlineLevel="0" collapsed="false">
      <c r="A4158" s="2" t="s">
        <v>3253</v>
      </c>
      <c r="B4158" s="2" t="s">
        <v>46</v>
      </c>
      <c r="C4158" s="2" t="s">
        <v>4275</v>
      </c>
      <c r="D4158" s="2"/>
      <c r="E4158" s="2"/>
      <c r="F4158" s="2"/>
      <c r="G4158" s="2"/>
      <c r="H4158" s="2" t="s">
        <v>832</v>
      </c>
    </row>
    <row r="4159" customFormat="false" ht="15" hidden="false" customHeight="false" outlineLevel="0" collapsed="false">
      <c r="A4159" s="2" t="s">
        <v>3253</v>
      </c>
      <c r="B4159" s="2" t="s">
        <v>47</v>
      </c>
      <c r="C4159" s="2" t="s">
        <v>4274</v>
      </c>
      <c r="D4159" s="11" t="n">
        <v>5812</v>
      </c>
      <c r="E4159" s="31" t="n">
        <v>84.9</v>
      </c>
      <c r="F4159" s="31" t="n">
        <v>67.8</v>
      </c>
      <c r="G4159" s="31" t="n">
        <v>20.8</v>
      </c>
      <c r="H4159" s="2" t="s">
        <v>822</v>
      </c>
    </row>
    <row r="4160" customFormat="false" ht="15" hidden="false" customHeight="false" outlineLevel="0" collapsed="false">
      <c r="A4160" s="2" t="s">
        <v>3253</v>
      </c>
      <c r="B4160" s="2" t="s">
        <v>47</v>
      </c>
      <c r="C4160" s="2" t="s">
        <v>4275</v>
      </c>
      <c r="D4160" s="2"/>
      <c r="E4160" s="2"/>
      <c r="F4160" s="2"/>
      <c r="G4160" s="31" t="n">
        <v>15.9</v>
      </c>
      <c r="H4160" s="2" t="s">
        <v>832</v>
      </c>
    </row>
    <row r="4161" customFormat="false" ht="15" hidden="false" customHeight="false" outlineLevel="0" collapsed="false">
      <c r="A4161" s="2" t="s">
        <v>166</v>
      </c>
      <c r="B4161" s="2" t="s">
        <v>4291</v>
      </c>
      <c r="C4161" s="2" t="s">
        <v>4274</v>
      </c>
      <c r="D4161" s="2"/>
      <c r="E4161" s="31" t="n">
        <v>83.2</v>
      </c>
      <c r="F4161" s="31" t="n">
        <v>79.1</v>
      </c>
      <c r="G4161" s="2"/>
      <c r="H4161" s="2" t="s">
        <v>832</v>
      </c>
    </row>
    <row r="4162" customFormat="false" ht="15" hidden="false" customHeight="false" outlineLevel="0" collapsed="false">
      <c r="A4162" s="2" t="s">
        <v>166</v>
      </c>
      <c r="B4162" s="2" t="s">
        <v>4291</v>
      </c>
      <c r="C4162" s="2" t="s">
        <v>4275</v>
      </c>
      <c r="D4162" s="2"/>
      <c r="E4162" s="31" t="n">
        <v>80.1</v>
      </c>
      <c r="F4162" s="31" t="n">
        <v>74</v>
      </c>
      <c r="G4162" s="31" t="n">
        <v>84.8</v>
      </c>
      <c r="H4162" s="2" t="s">
        <v>822</v>
      </c>
    </row>
    <row r="4163" customFormat="false" ht="15" hidden="false" customHeight="false" outlineLevel="0" collapsed="false">
      <c r="A4163" s="2" t="s">
        <v>166</v>
      </c>
      <c r="B4163" s="2" t="s">
        <v>47</v>
      </c>
      <c r="C4163" s="2" t="s">
        <v>4274</v>
      </c>
      <c r="D4163" s="11" t="n">
        <v>30640</v>
      </c>
      <c r="E4163" s="31" t="n">
        <v>83.2</v>
      </c>
      <c r="F4163" s="31" t="n">
        <v>79.1</v>
      </c>
      <c r="G4163" s="2"/>
      <c r="H4163" s="2" t="s">
        <v>832</v>
      </c>
    </row>
    <row r="4164" customFormat="false" ht="15" hidden="false" customHeight="false" outlineLevel="0" collapsed="false">
      <c r="A4164" s="2" t="s">
        <v>166</v>
      </c>
      <c r="B4164" s="2" t="s">
        <v>47</v>
      </c>
      <c r="C4164" s="2" t="s">
        <v>4275</v>
      </c>
      <c r="D4164" s="11" t="n">
        <v>33001</v>
      </c>
      <c r="E4164" s="31" t="n">
        <v>80.1</v>
      </c>
      <c r="F4164" s="31" t="n">
        <v>74</v>
      </c>
      <c r="G4164" s="31" t="n">
        <v>84.8</v>
      </c>
      <c r="H4164" s="2" t="s">
        <v>822</v>
      </c>
    </row>
    <row r="4165" customFormat="false" ht="15" hidden="false" customHeight="false" outlineLevel="0" collapsed="false">
      <c r="A4165" s="2" t="s">
        <v>492</v>
      </c>
      <c r="B4165" s="2" t="s">
        <v>4291</v>
      </c>
      <c r="C4165" s="2" t="s">
        <v>4274</v>
      </c>
      <c r="D4165" s="2"/>
      <c r="E4165" s="31" t="n">
        <v>84.1</v>
      </c>
      <c r="F4165" s="31" t="n">
        <v>82.4</v>
      </c>
      <c r="G4165" s="31" t="n">
        <v>69.5</v>
      </c>
      <c r="H4165" s="2" t="s">
        <v>832</v>
      </c>
    </row>
    <row r="4166" customFormat="false" ht="15" hidden="false" customHeight="false" outlineLevel="0" collapsed="false">
      <c r="A4166" s="2" t="s">
        <v>492</v>
      </c>
      <c r="B4166" s="2" t="s">
        <v>4291</v>
      </c>
      <c r="C4166" s="2" t="s">
        <v>4275</v>
      </c>
      <c r="D4166" s="2"/>
      <c r="E4166" s="31" t="n">
        <v>49.3</v>
      </c>
      <c r="F4166" s="31" t="n">
        <v>43.8</v>
      </c>
      <c r="G4166" s="31" t="n">
        <v>59.1</v>
      </c>
      <c r="H4166" s="2" t="s">
        <v>822</v>
      </c>
    </row>
    <row r="4167" customFormat="false" ht="15" hidden="false" customHeight="false" outlineLevel="0" collapsed="false">
      <c r="A4167" s="2" t="s">
        <v>492</v>
      </c>
      <c r="B4167" s="2" t="s">
        <v>45</v>
      </c>
      <c r="C4167" s="2" t="s">
        <v>4274</v>
      </c>
      <c r="D4167" s="2"/>
      <c r="E4167" s="2"/>
      <c r="F4167" s="2"/>
      <c r="G4167" s="2"/>
      <c r="H4167" s="2" t="s">
        <v>832</v>
      </c>
    </row>
    <row r="4168" customFormat="false" ht="15" hidden="false" customHeight="false" outlineLevel="0" collapsed="false">
      <c r="A4168" s="2" t="s">
        <v>492</v>
      </c>
      <c r="B4168" s="2" t="s">
        <v>45</v>
      </c>
      <c r="C4168" s="2" t="s">
        <v>4275</v>
      </c>
      <c r="D4168" s="11" t="n">
        <v>24490</v>
      </c>
      <c r="E4168" s="31" t="n">
        <v>8.1</v>
      </c>
      <c r="F4168" s="31" t="n">
        <v>52.9</v>
      </c>
      <c r="G4168" s="31" t="n">
        <v>47.8</v>
      </c>
      <c r="H4168" s="2" t="s">
        <v>822</v>
      </c>
    </row>
    <row r="4169" customFormat="false" ht="15" hidden="false" customHeight="false" outlineLevel="0" collapsed="false">
      <c r="A4169" s="2" t="s">
        <v>492</v>
      </c>
      <c r="B4169" s="2" t="s">
        <v>47</v>
      </c>
      <c r="C4169" s="2" t="s">
        <v>4274</v>
      </c>
      <c r="D4169" s="11" t="n">
        <v>11451</v>
      </c>
      <c r="E4169" s="31" t="n">
        <v>84.1</v>
      </c>
      <c r="F4169" s="31" t="n">
        <v>82.4</v>
      </c>
      <c r="G4169" s="31" t="n">
        <v>69.5</v>
      </c>
      <c r="H4169" s="2" t="s">
        <v>822</v>
      </c>
    </row>
    <row r="4170" customFormat="false" ht="15" hidden="false" customHeight="false" outlineLevel="0" collapsed="false">
      <c r="A4170" s="2" t="s">
        <v>492</v>
      </c>
      <c r="B4170" s="2" t="s">
        <v>47</v>
      </c>
      <c r="C4170" s="2" t="s">
        <v>4275</v>
      </c>
      <c r="D4170" s="11" t="n">
        <v>11749</v>
      </c>
      <c r="E4170" s="31" t="n">
        <v>90.5</v>
      </c>
      <c r="F4170" s="31" t="n">
        <v>34.7</v>
      </c>
      <c r="G4170" s="31" t="n">
        <v>70.4</v>
      </c>
      <c r="H4170" s="2" t="s">
        <v>822</v>
      </c>
    </row>
    <row r="4171" customFormat="false" ht="15" hidden="false" customHeight="false" outlineLevel="0" collapsed="false">
      <c r="A4171" s="2" t="s">
        <v>470</v>
      </c>
      <c r="B4171" s="2" t="s">
        <v>4291</v>
      </c>
      <c r="C4171" s="2" t="s">
        <v>4274</v>
      </c>
      <c r="D4171" s="2"/>
      <c r="E4171" s="31" t="n">
        <v>55</v>
      </c>
      <c r="F4171" s="31" t="n">
        <v>63</v>
      </c>
      <c r="G4171" s="31" t="n">
        <v>36.4</v>
      </c>
      <c r="H4171" s="2" t="s">
        <v>822</v>
      </c>
    </row>
    <row r="4172" customFormat="false" ht="15" hidden="false" customHeight="false" outlineLevel="0" collapsed="false">
      <c r="A4172" s="2" t="s">
        <v>470</v>
      </c>
      <c r="B4172" s="2" t="s">
        <v>4291</v>
      </c>
      <c r="C4172" s="2" t="s">
        <v>4275</v>
      </c>
      <c r="D4172" s="2"/>
      <c r="E4172" s="31" t="n">
        <v>50.9</v>
      </c>
      <c r="F4172" s="31" t="n">
        <v>66.4</v>
      </c>
      <c r="G4172" s="31" t="n">
        <v>43.5</v>
      </c>
      <c r="H4172" s="2" t="s">
        <v>822</v>
      </c>
    </row>
    <row r="4173" customFormat="false" ht="15" hidden="false" customHeight="false" outlineLevel="0" collapsed="false">
      <c r="A4173" s="2" t="s">
        <v>470</v>
      </c>
      <c r="B4173" s="2" t="s">
        <v>45</v>
      </c>
      <c r="C4173" s="2" t="s">
        <v>4274</v>
      </c>
      <c r="D4173" s="11" t="n">
        <v>17788</v>
      </c>
      <c r="E4173" s="31" t="n">
        <v>95.9</v>
      </c>
      <c r="F4173" s="31" t="n">
        <v>59.9</v>
      </c>
      <c r="G4173" s="31" t="n">
        <v>74.6</v>
      </c>
      <c r="H4173" s="2" t="s">
        <v>822</v>
      </c>
    </row>
    <row r="4174" customFormat="false" ht="15" hidden="false" customHeight="false" outlineLevel="0" collapsed="false">
      <c r="A4174" s="2" t="s">
        <v>470</v>
      </c>
      <c r="B4174" s="2" t="s">
        <v>45</v>
      </c>
      <c r="C4174" s="2" t="s">
        <v>4275</v>
      </c>
      <c r="D4174" s="11" t="n">
        <v>18230</v>
      </c>
      <c r="E4174" s="31" t="n">
        <v>91.9</v>
      </c>
      <c r="F4174" s="31" t="n">
        <v>80.1</v>
      </c>
      <c r="G4174" s="31" t="n">
        <v>95.8</v>
      </c>
      <c r="H4174" s="2" t="s">
        <v>822</v>
      </c>
    </row>
    <row r="4175" customFormat="false" ht="15" hidden="false" customHeight="false" outlineLevel="0" collapsed="false">
      <c r="A4175" s="2" t="s">
        <v>470</v>
      </c>
      <c r="B4175" s="2" t="s">
        <v>46</v>
      </c>
      <c r="C4175" s="2" t="s">
        <v>4274</v>
      </c>
      <c r="D4175" s="11" t="n">
        <v>47202</v>
      </c>
      <c r="E4175" s="31" t="n">
        <v>11.5</v>
      </c>
      <c r="F4175" s="31" t="n">
        <v>77.9</v>
      </c>
      <c r="G4175" s="31" t="n">
        <v>13.2</v>
      </c>
      <c r="H4175" s="2" t="s">
        <v>822</v>
      </c>
    </row>
    <row r="4176" customFormat="false" ht="15" hidden="false" customHeight="false" outlineLevel="0" collapsed="false">
      <c r="A4176" s="2" t="s">
        <v>470</v>
      </c>
      <c r="B4176" s="2" t="s">
        <v>46</v>
      </c>
      <c r="C4176" s="2" t="s">
        <v>4275</v>
      </c>
      <c r="D4176" s="11" t="n">
        <v>50490</v>
      </c>
      <c r="E4176" s="31" t="n">
        <v>12.2</v>
      </c>
      <c r="F4176" s="31" t="n">
        <v>46.9</v>
      </c>
      <c r="G4176" s="31" t="n">
        <v>15.2</v>
      </c>
      <c r="H4176" s="2" t="s">
        <v>822</v>
      </c>
    </row>
    <row r="4177" customFormat="false" ht="15" hidden="false" customHeight="false" outlineLevel="0" collapsed="false">
      <c r="A4177" s="2" t="s">
        <v>470</v>
      </c>
      <c r="B4177" s="2" t="s">
        <v>47</v>
      </c>
      <c r="C4177" s="2" t="s">
        <v>4274</v>
      </c>
      <c r="D4177" s="11" t="n">
        <v>15698</v>
      </c>
      <c r="E4177" s="31" t="n">
        <v>57.6</v>
      </c>
      <c r="F4177" s="31" t="n">
        <v>51.3</v>
      </c>
      <c r="G4177" s="31" t="n">
        <v>21.3</v>
      </c>
      <c r="H4177" s="2" t="s">
        <v>822</v>
      </c>
    </row>
    <row r="4178" customFormat="false" ht="15" hidden="false" customHeight="false" outlineLevel="0" collapsed="false">
      <c r="A4178" s="2" t="s">
        <v>470</v>
      </c>
      <c r="B4178" s="2" t="s">
        <v>47</v>
      </c>
      <c r="C4178" s="2" t="s">
        <v>4275</v>
      </c>
      <c r="D4178" s="11" t="n">
        <v>16070</v>
      </c>
      <c r="E4178" s="31" t="n">
        <v>48.7</v>
      </c>
      <c r="F4178" s="31" t="n">
        <v>72.1</v>
      </c>
      <c r="G4178" s="31" t="n">
        <v>19.4</v>
      </c>
      <c r="H4178" s="2" t="s">
        <v>822</v>
      </c>
    </row>
    <row r="4179" customFormat="false" ht="15" hidden="false" customHeight="false" outlineLevel="0" collapsed="false">
      <c r="A4179" s="2" t="s">
        <v>2149</v>
      </c>
      <c r="B4179" s="2" t="s">
        <v>4291</v>
      </c>
      <c r="C4179" s="2" t="s">
        <v>4274</v>
      </c>
      <c r="D4179" s="2"/>
      <c r="E4179" s="31" t="n">
        <v>38.8</v>
      </c>
      <c r="F4179" s="31" t="n">
        <v>33.8</v>
      </c>
      <c r="G4179" s="31" t="n">
        <v>93.2</v>
      </c>
      <c r="H4179" s="2" t="s">
        <v>832</v>
      </c>
    </row>
    <row r="4180" customFormat="false" ht="15" hidden="false" customHeight="false" outlineLevel="0" collapsed="false">
      <c r="A4180" s="2" t="s">
        <v>2149</v>
      </c>
      <c r="B4180" s="2" t="s">
        <v>4291</v>
      </c>
      <c r="C4180" s="2" t="s">
        <v>4275</v>
      </c>
      <c r="D4180" s="2"/>
      <c r="E4180" s="31" t="n">
        <v>31.8</v>
      </c>
      <c r="F4180" s="31" t="n">
        <v>41.5</v>
      </c>
      <c r="G4180" s="31" t="n">
        <v>67.7</v>
      </c>
      <c r="H4180" s="2" t="s">
        <v>832</v>
      </c>
    </row>
    <row r="4181" customFormat="false" ht="15" hidden="false" customHeight="false" outlineLevel="0" collapsed="false">
      <c r="A4181" s="2" t="s">
        <v>2149</v>
      </c>
      <c r="B4181" s="2" t="s">
        <v>45</v>
      </c>
      <c r="C4181" s="2" t="s">
        <v>4274</v>
      </c>
      <c r="D4181" s="11" t="n">
        <v>5302</v>
      </c>
      <c r="E4181" s="31" t="n">
        <v>84.2</v>
      </c>
      <c r="F4181" s="31" t="n">
        <v>58.1</v>
      </c>
      <c r="G4181" s="31" t="n">
        <v>87.8</v>
      </c>
      <c r="H4181" s="2" t="s">
        <v>822</v>
      </c>
    </row>
    <row r="4182" customFormat="false" ht="15" hidden="false" customHeight="false" outlineLevel="0" collapsed="false">
      <c r="A4182" s="2" t="s">
        <v>2149</v>
      </c>
      <c r="B4182" s="2" t="s">
        <v>45</v>
      </c>
      <c r="C4182" s="2" t="s">
        <v>4275</v>
      </c>
      <c r="D4182" s="11" t="n">
        <v>5620</v>
      </c>
      <c r="E4182" s="31" t="n">
        <v>76.9</v>
      </c>
      <c r="F4182" s="2"/>
      <c r="G4182" s="31" t="n">
        <v>68.1</v>
      </c>
      <c r="H4182" s="2" t="s">
        <v>832</v>
      </c>
    </row>
    <row r="4183" customFormat="false" ht="15" hidden="false" customHeight="false" outlineLevel="0" collapsed="false">
      <c r="A4183" s="2" t="s">
        <v>2149</v>
      </c>
      <c r="B4183" s="2" t="s">
        <v>46</v>
      </c>
      <c r="C4183" s="2" t="s">
        <v>4274</v>
      </c>
      <c r="D4183" s="11" t="n">
        <v>7490</v>
      </c>
      <c r="E4183" s="31" t="n">
        <v>5.5</v>
      </c>
      <c r="F4183" s="31" t="n">
        <v>8.8</v>
      </c>
      <c r="G4183" s="2"/>
      <c r="H4183" s="2" t="s">
        <v>832</v>
      </c>
    </row>
    <row r="4184" customFormat="false" ht="15" hidden="false" customHeight="false" outlineLevel="0" collapsed="false">
      <c r="A4184" s="2" t="s">
        <v>2149</v>
      </c>
      <c r="B4184" s="2" t="s">
        <v>46</v>
      </c>
      <c r="C4184" s="2" t="s">
        <v>4275</v>
      </c>
      <c r="D4184" s="11" t="n">
        <v>7460</v>
      </c>
      <c r="E4184" s="31" t="n">
        <v>9</v>
      </c>
      <c r="F4184" s="31" t="n">
        <v>22.6</v>
      </c>
      <c r="G4184" s="31" t="n">
        <v>36.2</v>
      </c>
      <c r="H4184" s="2" t="s">
        <v>822</v>
      </c>
    </row>
    <row r="4185" customFormat="false" ht="15" hidden="false" customHeight="false" outlineLevel="0" collapsed="false">
      <c r="A4185" s="2" t="s">
        <v>2149</v>
      </c>
      <c r="B4185" s="2" t="s">
        <v>47</v>
      </c>
      <c r="C4185" s="2" t="s">
        <v>4274</v>
      </c>
      <c r="D4185" s="11" t="n">
        <v>9839</v>
      </c>
      <c r="E4185" s="31" t="n">
        <v>26.8</v>
      </c>
      <c r="F4185" s="31" t="n">
        <v>34.4</v>
      </c>
      <c r="G4185" s="31" t="n">
        <v>98.6</v>
      </c>
      <c r="H4185" s="2" t="s">
        <v>822</v>
      </c>
    </row>
    <row r="4186" customFormat="false" ht="15" hidden="false" customHeight="false" outlineLevel="0" collapsed="false">
      <c r="A4186" s="2" t="s">
        <v>2149</v>
      </c>
      <c r="B4186" s="2" t="s">
        <v>47</v>
      </c>
      <c r="C4186" s="2" t="s">
        <v>4275</v>
      </c>
      <c r="D4186" s="11" t="n">
        <v>10074</v>
      </c>
      <c r="E4186" s="31" t="n">
        <v>9.5</v>
      </c>
      <c r="F4186" s="31" t="n">
        <v>60.4</v>
      </c>
      <c r="G4186" s="31" t="n">
        <v>98.9</v>
      </c>
      <c r="H4186" s="2" t="s">
        <v>822</v>
      </c>
    </row>
    <row r="4187" customFormat="false" ht="15" hidden="false" customHeight="false" outlineLevel="0" collapsed="false">
      <c r="A4187" s="2" t="s">
        <v>576</v>
      </c>
      <c r="B4187" s="2" t="s">
        <v>4291</v>
      </c>
      <c r="C4187" s="2" t="s">
        <v>4274</v>
      </c>
      <c r="D4187" s="2"/>
      <c r="E4187" s="31" t="n">
        <v>43</v>
      </c>
      <c r="F4187" s="31" t="n">
        <v>42.8</v>
      </c>
      <c r="G4187" s="31" t="n">
        <v>2.5</v>
      </c>
      <c r="H4187" s="2" t="s">
        <v>832</v>
      </c>
    </row>
    <row r="4188" customFormat="false" ht="15" hidden="false" customHeight="false" outlineLevel="0" collapsed="false">
      <c r="A4188" s="2" t="s">
        <v>576</v>
      </c>
      <c r="B4188" s="2" t="s">
        <v>4291</v>
      </c>
      <c r="C4188" s="2" t="s">
        <v>4275</v>
      </c>
      <c r="D4188" s="2"/>
      <c r="E4188" s="31" t="n">
        <v>41.7</v>
      </c>
      <c r="F4188" s="31" t="n">
        <v>48.8</v>
      </c>
      <c r="G4188" s="31" t="n">
        <v>54.5</v>
      </c>
      <c r="H4188" s="2" t="s">
        <v>822</v>
      </c>
    </row>
    <row r="4189" customFormat="false" ht="15" hidden="false" customHeight="false" outlineLevel="0" collapsed="false">
      <c r="A4189" s="2" t="s">
        <v>576</v>
      </c>
      <c r="B4189" s="2" t="s">
        <v>46</v>
      </c>
      <c r="C4189" s="2" t="s">
        <v>4274</v>
      </c>
      <c r="D4189" s="11" t="n">
        <v>13560</v>
      </c>
      <c r="E4189" s="31" t="n">
        <v>59.1</v>
      </c>
      <c r="F4189" s="31" t="n">
        <v>34.5</v>
      </c>
      <c r="G4189" s="2"/>
      <c r="H4189" s="2" t="s">
        <v>832</v>
      </c>
    </row>
    <row r="4190" customFormat="false" ht="15" hidden="false" customHeight="false" outlineLevel="0" collapsed="false">
      <c r="A4190" s="2" t="s">
        <v>576</v>
      </c>
      <c r="B4190" s="2" t="s">
        <v>46</v>
      </c>
      <c r="C4190" s="2" t="s">
        <v>4275</v>
      </c>
      <c r="D4190" s="11" t="n">
        <v>14480</v>
      </c>
      <c r="E4190" s="31" t="n">
        <v>35.8</v>
      </c>
      <c r="F4190" s="31" t="n">
        <v>45.5</v>
      </c>
      <c r="G4190" s="31" t="n">
        <v>82.3</v>
      </c>
      <c r="H4190" s="2" t="s">
        <v>822</v>
      </c>
    </row>
    <row r="4191" customFormat="false" ht="15" hidden="false" customHeight="false" outlineLevel="0" collapsed="false">
      <c r="A4191" s="2" t="s">
        <v>576</v>
      </c>
      <c r="B4191" s="2" t="s">
        <v>47</v>
      </c>
      <c r="C4191" s="2" t="s">
        <v>4274</v>
      </c>
      <c r="D4191" s="11" t="n">
        <v>103307</v>
      </c>
      <c r="E4191" s="31" t="n">
        <v>27</v>
      </c>
      <c r="F4191" s="31" t="n">
        <v>51.2</v>
      </c>
      <c r="G4191" s="31" t="n">
        <v>2.5</v>
      </c>
      <c r="H4191" s="2" t="s">
        <v>822</v>
      </c>
    </row>
    <row r="4192" customFormat="false" ht="15" hidden="false" customHeight="false" outlineLevel="0" collapsed="false">
      <c r="A4192" s="2" t="s">
        <v>576</v>
      </c>
      <c r="B4192" s="2" t="s">
        <v>47</v>
      </c>
      <c r="C4192" s="2" t="s">
        <v>4275</v>
      </c>
      <c r="D4192" s="11" t="n">
        <v>103920</v>
      </c>
      <c r="E4192" s="31" t="n">
        <v>47.6</v>
      </c>
      <c r="F4192" s="31" t="n">
        <v>52.2</v>
      </c>
      <c r="G4192" s="31" t="n">
        <v>26.7</v>
      </c>
      <c r="H4192" s="2" t="s">
        <v>822</v>
      </c>
    </row>
    <row r="4193" customFormat="false" ht="15" hidden="false" customHeight="false" outlineLevel="0" collapsed="false">
      <c r="A4193" s="2" t="s">
        <v>638</v>
      </c>
      <c r="B4193" s="2" t="s">
        <v>4291</v>
      </c>
      <c r="C4193" s="2" t="s">
        <v>4274</v>
      </c>
      <c r="D4193" s="2"/>
      <c r="E4193" s="31" t="n">
        <v>39.8</v>
      </c>
      <c r="F4193" s="31" t="n">
        <v>53</v>
      </c>
      <c r="G4193" s="31" t="n">
        <v>59.8</v>
      </c>
      <c r="H4193" s="2" t="s">
        <v>832</v>
      </c>
    </row>
    <row r="4194" customFormat="false" ht="15" hidden="false" customHeight="false" outlineLevel="0" collapsed="false">
      <c r="A4194" s="2" t="s">
        <v>638</v>
      </c>
      <c r="B4194" s="2" t="s">
        <v>4291</v>
      </c>
      <c r="C4194" s="2" t="s">
        <v>4275</v>
      </c>
      <c r="D4194" s="2"/>
      <c r="E4194" s="31" t="n">
        <v>36.1</v>
      </c>
      <c r="F4194" s="31" t="n">
        <v>55.3</v>
      </c>
      <c r="G4194" s="31" t="n">
        <v>43.9</v>
      </c>
      <c r="H4194" s="2" t="s">
        <v>822</v>
      </c>
    </row>
    <row r="4195" customFormat="false" ht="15" hidden="false" customHeight="false" outlineLevel="0" collapsed="false">
      <c r="A4195" s="2" t="s">
        <v>638</v>
      </c>
      <c r="B4195" s="2" t="s">
        <v>45</v>
      </c>
      <c r="C4195" s="2" t="s">
        <v>4274</v>
      </c>
      <c r="D4195" s="11" t="n">
        <v>17414</v>
      </c>
      <c r="E4195" s="2"/>
      <c r="F4195" s="31" t="n">
        <v>26.3</v>
      </c>
      <c r="G4195" s="2"/>
      <c r="H4195" s="2" t="s">
        <v>832</v>
      </c>
    </row>
    <row r="4196" customFormat="false" ht="15" hidden="false" customHeight="false" outlineLevel="0" collapsed="false">
      <c r="A4196" s="2" t="s">
        <v>638</v>
      </c>
      <c r="B4196" s="2" t="s">
        <v>45</v>
      </c>
      <c r="C4196" s="2" t="s">
        <v>4275</v>
      </c>
      <c r="D4196" s="11" t="n">
        <v>17498</v>
      </c>
      <c r="E4196" s="31" t="n">
        <v>61.4</v>
      </c>
      <c r="F4196" s="31" t="n">
        <v>56.7</v>
      </c>
      <c r="G4196" s="31" t="n">
        <v>33.1</v>
      </c>
      <c r="H4196" s="2" t="s">
        <v>822</v>
      </c>
    </row>
    <row r="4197" customFormat="false" ht="15" hidden="false" customHeight="false" outlineLevel="0" collapsed="false">
      <c r="A4197" s="2" t="s">
        <v>638</v>
      </c>
      <c r="B4197" s="2" t="s">
        <v>46</v>
      </c>
      <c r="C4197" s="2" t="s">
        <v>4274</v>
      </c>
      <c r="D4197" s="11" t="n">
        <v>15950</v>
      </c>
      <c r="E4197" s="31" t="n">
        <v>75</v>
      </c>
      <c r="F4197" s="31" t="n">
        <v>99.3</v>
      </c>
      <c r="G4197" s="31" t="n">
        <v>20.5</v>
      </c>
      <c r="H4197" s="2" t="s">
        <v>822</v>
      </c>
    </row>
    <row r="4198" customFormat="false" ht="15" hidden="false" customHeight="false" outlineLevel="0" collapsed="false">
      <c r="A4198" s="2" t="s">
        <v>638</v>
      </c>
      <c r="B4198" s="2" t="s">
        <v>46</v>
      </c>
      <c r="C4198" s="2" t="s">
        <v>4275</v>
      </c>
      <c r="D4198" s="11" t="n">
        <v>17080</v>
      </c>
      <c r="E4198" s="31" t="n">
        <v>45.2</v>
      </c>
      <c r="F4198" s="31" t="n">
        <v>93.8</v>
      </c>
      <c r="G4198" s="31" t="n">
        <v>1.3</v>
      </c>
      <c r="H4198" s="2" t="s">
        <v>822</v>
      </c>
    </row>
    <row r="4199" customFormat="false" ht="15" hidden="false" customHeight="false" outlineLevel="0" collapsed="false">
      <c r="A4199" s="2" t="s">
        <v>638</v>
      </c>
      <c r="B4199" s="2" t="s">
        <v>47</v>
      </c>
      <c r="C4199" s="2" t="s">
        <v>4274</v>
      </c>
      <c r="D4199" s="11" t="n">
        <v>185865</v>
      </c>
      <c r="E4199" s="31" t="n">
        <v>4.5</v>
      </c>
      <c r="F4199" s="31" t="n">
        <v>33.3</v>
      </c>
      <c r="G4199" s="31" t="n">
        <v>99.1</v>
      </c>
      <c r="H4199" s="2" t="s">
        <v>822</v>
      </c>
    </row>
    <row r="4200" customFormat="false" ht="15" hidden="false" customHeight="false" outlineLevel="0" collapsed="false">
      <c r="A4200" s="2" t="s">
        <v>638</v>
      </c>
      <c r="B4200" s="2" t="s">
        <v>47</v>
      </c>
      <c r="C4200" s="2" t="s">
        <v>4275</v>
      </c>
      <c r="D4200" s="11" t="n">
        <v>190350</v>
      </c>
      <c r="E4200" s="31" t="n">
        <v>1.6</v>
      </c>
      <c r="F4200" s="31" t="n">
        <v>15.5</v>
      </c>
      <c r="G4200" s="31" t="n">
        <v>97.3</v>
      </c>
      <c r="H4200" s="2" t="s">
        <v>822</v>
      </c>
    </row>
    <row r="4201" customFormat="false" ht="15" hidden="false" customHeight="false" outlineLevel="0" collapsed="false">
      <c r="A4201" s="2" t="s">
        <v>3258</v>
      </c>
      <c r="B4201" s="2" t="s">
        <v>4291</v>
      </c>
      <c r="C4201" s="2" t="s">
        <v>4274</v>
      </c>
      <c r="D4201" s="2"/>
      <c r="E4201" s="31" t="n">
        <v>10.2</v>
      </c>
      <c r="F4201" s="31" t="n">
        <v>45.7</v>
      </c>
      <c r="G4201" s="31" t="n">
        <v>57.3</v>
      </c>
      <c r="H4201" s="2" t="s">
        <v>822</v>
      </c>
    </row>
    <row r="4202" customFormat="false" ht="15" hidden="false" customHeight="false" outlineLevel="0" collapsed="false">
      <c r="A4202" s="2" t="s">
        <v>3258</v>
      </c>
      <c r="B4202" s="2" t="s">
        <v>4291</v>
      </c>
      <c r="C4202" s="2" t="s">
        <v>4275</v>
      </c>
      <c r="D4202" s="2"/>
      <c r="E4202" s="31" t="n">
        <v>16.1</v>
      </c>
      <c r="F4202" s="31" t="n">
        <v>21.8</v>
      </c>
      <c r="G4202" s="2"/>
      <c r="H4202" s="2" t="s">
        <v>832</v>
      </c>
    </row>
    <row r="4203" customFormat="false" ht="15" hidden="false" customHeight="false" outlineLevel="0" collapsed="false">
      <c r="A4203" s="2" t="s">
        <v>3258</v>
      </c>
      <c r="B4203" s="2" t="s">
        <v>46</v>
      </c>
      <c r="C4203" s="2" t="s">
        <v>4274</v>
      </c>
      <c r="D4203" s="11" t="n">
        <v>16130</v>
      </c>
      <c r="E4203" s="31" t="n">
        <v>10.2</v>
      </c>
      <c r="F4203" s="31" t="n">
        <v>45.7</v>
      </c>
      <c r="G4203" s="31" t="n">
        <v>57.3</v>
      </c>
      <c r="H4203" s="2" t="s">
        <v>822</v>
      </c>
    </row>
    <row r="4204" customFormat="false" ht="15" hidden="false" customHeight="false" outlineLevel="0" collapsed="false">
      <c r="A4204" s="2" t="s">
        <v>3258</v>
      </c>
      <c r="B4204" s="2" t="s">
        <v>46</v>
      </c>
      <c r="C4204" s="2" t="s">
        <v>4275</v>
      </c>
      <c r="D4204" s="11" t="n">
        <v>16630</v>
      </c>
      <c r="E4204" s="31" t="n">
        <v>16.1</v>
      </c>
      <c r="F4204" s="31" t="n">
        <v>21.8</v>
      </c>
      <c r="G4204" s="2"/>
      <c r="H4204" s="2" t="s">
        <v>832</v>
      </c>
    </row>
    <row r="4205" customFormat="false" ht="15" hidden="false" customHeight="false" outlineLevel="0" collapsed="false">
      <c r="A4205" s="2" t="s">
        <v>3259</v>
      </c>
      <c r="B4205" s="2" t="s">
        <v>4291</v>
      </c>
      <c r="C4205" s="2" t="s">
        <v>4274</v>
      </c>
      <c r="D4205" s="2"/>
      <c r="E4205" s="31" t="n">
        <v>9.5</v>
      </c>
      <c r="F4205" s="31" t="n">
        <v>56.5</v>
      </c>
      <c r="G4205" s="31" t="n">
        <v>44.8</v>
      </c>
      <c r="H4205" s="2" t="s">
        <v>832</v>
      </c>
    </row>
    <row r="4206" customFormat="false" ht="15" hidden="false" customHeight="false" outlineLevel="0" collapsed="false">
      <c r="A4206" s="2" t="s">
        <v>3259</v>
      </c>
      <c r="B4206" s="2" t="s">
        <v>4291</v>
      </c>
      <c r="C4206" s="2" t="s">
        <v>4275</v>
      </c>
      <c r="D4206" s="2"/>
      <c r="E4206" s="31" t="n">
        <v>44.8</v>
      </c>
      <c r="F4206" s="31" t="n">
        <v>71.5</v>
      </c>
      <c r="G4206" s="31" t="n">
        <v>12</v>
      </c>
      <c r="H4206" s="2" t="s">
        <v>832</v>
      </c>
    </row>
    <row r="4207" customFormat="false" ht="15" hidden="false" customHeight="false" outlineLevel="0" collapsed="false">
      <c r="A4207" s="2" t="s">
        <v>3259</v>
      </c>
      <c r="B4207" s="2" t="s">
        <v>45</v>
      </c>
      <c r="C4207" s="2" t="s">
        <v>4274</v>
      </c>
      <c r="D4207" s="2"/>
      <c r="E4207" s="2"/>
      <c r="F4207" s="2"/>
      <c r="G4207" s="2"/>
      <c r="H4207" s="2" t="s">
        <v>832</v>
      </c>
    </row>
    <row r="4208" customFormat="false" ht="15" hidden="false" customHeight="false" outlineLevel="0" collapsed="false">
      <c r="A4208" s="2" t="s">
        <v>3259</v>
      </c>
      <c r="B4208" s="2" t="s">
        <v>45</v>
      </c>
      <c r="C4208" s="2" t="s">
        <v>4275</v>
      </c>
      <c r="D4208" s="11" t="n">
        <v>98760</v>
      </c>
      <c r="E4208" s="31" t="n">
        <v>44.8</v>
      </c>
      <c r="F4208" s="31" t="n">
        <v>71.5</v>
      </c>
      <c r="G4208" s="2"/>
      <c r="H4208" s="2" t="s">
        <v>832</v>
      </c>
    </row>
    <row r="4209" customFormat="false" ht="15" hidden="false" customHeight="false" outlineLevel="0" collapsed="false">
      <c r="A4209" s="2" t="s">
        <v>3259</v>
      </c>
      <c r="B4209" s="2" t="s">
        <v>47</v>
      </c>
      <c r="C4209" s="2" t="s">
        <v>4274</v>
      </c>
      <c r="D4209" s="11" t="n">
        <v>25085</v>
      </c>
      <c r="E4209" s="31" t="n">
        <v>9.5</v>
      </c>
      <c r="F4209" s="31" t="n">
        <v>56.5</v>
      </c>
      <c r="G4209" s="31" t="n">
        <v>44.8</v>
      </c>
      <c r="H4209" s="2" t="s">
        <v>822</v>
      </c>
    </row>
    <row r="4210" customFormat="false" ht="15" hidden="false" customHeight="false" outlineLevel="0" collapsed="false">
      <c r="A4210" s="2" t="s">
        <v>3259</v>
      </c>
      <c r="B4210" s="2" t="s">
        <v>47</v>
      </c>
      <c r="C4210" s="2" t="s">
        <v>4275</v>
      </c>
      <c r="D4210" s="2"/>
      <c r="E4210" s="2"/>
      <c r="F4210" s="2"/>
      <c r="G4210" s="31" t="n">
        <v>12</v>
      </c>
      <c r="H4210" s="2" t="s">
        <v>832</v>
      </c>
    </row>
    <row r="4211" customFormat="false" ht="15" hidden="false" customHeight="false" outlineLevel="0" collapsed="false">
      <c r="A4211" s="2" t="s">
        <v>316</v>
      </c>
      <c r="B4211" s="2" t="s">
        <v>4291</v>
      </c>
      <c r="C4211" s="2" t="s">
        <v>4274</v>
      </c>
      <c r="D4211" s="2"/>
      <c r="E4211" s="31" t="n">
        <v>18.2</v>
      </c>
      <c r="F4211" s="31" t="n">
        <v>87.6</v>
      </c>
      <c r="G4211" s="31" t="n">
        <v>87.8</v>
      </c>
      <c r="H4211" s="2" t="s">
        <v>832</v>
      </c>
    </row>
    <row r="4212" customFormat="false" ht="15" hidden="false" customHeight="false" outlineLevel="0" collapsed="false">
      <c r="A4212" s="2" t="s">
        <v>316</v>
      </c>
      <c r="B4212" s="2" t="s">
        <v>4291</v>
      </c>
      <c r="C4212" s="2" t="s">
        <v>4275</v>
      </c>
      <c r="D4212" s="2"/>
      <c r="E4212" s="31" t="n">
        <v>61.4</v>
      </c>
      <c r="F4212" s="31" t="n">
        <v>56.9</v>
      </c>
      <c r="G4212" s="31" t="n">
        <v>68.4</v>
      </c>
      <c r="H4212" s="2" t="s">
        <v>822</v>
      </c>
    </row>
    <row r="4213" customFormat="false" ht="15" hidden="false" customHeight="false" outlineLevel="0" collapsed="false">
      <c r="A4213" s="2" t="s">
        <v>316</v>
      </c>
      <c r="B4213" s="2" t="s">
        <v>45</v>
      </c>
      <c r="C4213" s="2" t="s">
        <v>4274</v>
      </c>
      <c r="D4213" s="2"/>
      <c r="E4213" s="2"/>
      <c r="F4213" s="2"/>
      <c r="G4213" s="2"/>
      <c r="H4213" s="2" t="s">
        <v>832</v>
      </c>
    </row>
    <row r="4214" customFormat="false" ht="15" hidden="false" customHeight="false" outlineLevel="0" collapsed="false">
      <c r="A4214" s="2" t="s">
        <v>316</v>
      </c>
      <c r="B4214" s="2" t="s">
        <v>45</v>
      </c>
      <c r="C4214" s="2" t="s">
        <v>4275</v>
      </c>
      <c r="D4214" s="11" t="n">
        <v>24264</v>
      </c>
      <c r="E4214" s="31" t="n">
        <v>64.8</v>
      </c>
      <c r="F4214" s="31" t="n">
        <v>93.5</v>
      </c>
      <c r="G4214" s="31" t="n">
        <v>28.7</v>
      </c>
      <c r="H4214" s="2" t="s">
        <v>822</v>
      </c>
    </row>
    <row r="4215" customFormat="false" ht="15" hidden="false" customHeight="false" outlineLevel="0" collapsed="false">
      <c r="A4215" s="2" t="s">
        <v>316</v>
      </c>
      <c r="B4215" s="2" t="s">
        <v>46</v>
      </c>
      <c r="C4215" s="2" t="s">
        <v>4274</v>
      </c>
      <c r="D4215" s="2"/>
      <c r="E4215" s="2"/>
      <c r="F4215" s="2"/>
      <c r="G4215" s="2"/>
      <c r="H4215" s="2" t="s">
        <v>832</v>
      </c>
    </row>
    <row r="4216" customFormat="false" ht="15" hidden="false" customHeight="false" outlineLevel="0" collapsed="false">
      <c r="A4216" s="2" t="s">
        <v>316</v>
      </c>
      <c r="B4216" s="2" t="s">
        <v>46</v>
      </c>
      <c r="C4216" s="2" t="s">
        <v>4275</v>
      </c>
      <c r="D4216" s="11" t="n">
        <v>125700</v>
      </c>
      <c r="E4216" s="31" t="n">
        <v>90.4</v>
      </c>
      <c r="F4216" s="31" t="n">
        <v>18.5</v>
      </c>
      <c r="G4216" s="31" t="n">
        <v>82.1</v>
      </c>
      <c r="H4216" s="2" t="s">
        <v>822</v>
      </c>
    </row>
    <row r="4217" customFormat="false" ht="15" hidden="false" customHeight="false" outlineLevel="0" collapsed="false">
      <c r="A4217" s="2" t="s">
        <v>316</v>
      </c>
      <c r="B4217" s="2" t="s">
        <v>47</v>
      </c>
      <c r="C4217" s="2" t="s">
        <v>4274</v>
      </c>
      <c r="D4217" s="11" t="n">
        <v>43734</v>
      </c>
      <c r="E4217" s="31" t="n">
        <v>18.2</v>
      </c>
      <c r="F4217" s="31" t="n">
        <v>87.6</v>
      </c>
      <c r="G4217" s="31" t="n">
        <v>87.8</v>
      </c>
      <c r="H4217" s="2" t="s">
        <v>822</v>
      </c>
    </row>
    <row r="4218" customFormat="false" ht="15" hidden="false" customHeight="false" outlineLevel="0" collapsed="false">
      <c r="A4218" s="2" t="s">
        <v>316</v>
      </c>
      <c r="B4218" s="2" t="s">
        <v>47</v>
      </c>
      <c r="C4218" s="2" t="s">
        <v>4275</v>
      </c>
      <c r="D4218" s="11" t="n">
        <v>45940</v>
      </c>
      <c r="E4218" s="31" t="n">
        <v>29.1</v>
      </c>
      <c r="F4218" s="31" t="n">
        <v>58.8</v>
      </c>
      <c r="G4218" s="31" t="n">
        <v>94.4</v>
      </c>
      <c r="H4218" s="2" t="s">
        <v>822</v>
      </c>
    </row>
    <row r="4219" customFormat="false" ht="15" hidden="false" customHeight="false" outlineLevel="0" collapsed="false">
      <c r="A4219" s="2" t="s">
        <v>1543</v>
      </c>
      <c r="B4219" s="2" t="s">
        <v>4291</v>
      </c>
      <c r="C4219" s="2" t="s">
        <v>4274</v>
      </c>
      <c r="D4219" s="2"/>
      <c r="E4219" s="31" t="n">
        <v>94.6</v>
      </c>
      <c r="F4219" s="31" t="n">
        <v>25</v>
      </c>
      <c r="G4219" s="31" t="n">
        <v>20</v>
      </c>
      <c r="H4219" s="2" t="s">
        <v>832</v>
      </c>
    </row>
    <row r="4220" customFormat="false" ht="15" hidden="false" customHeight="false" outlineLevel="0" collapsed="false">
      <c r="A4220" s="2" t="s">
        <v>1543</v>
      </c>
      <c r="B4220" s="2" t="s">
        <v>4291</v>
      </c>
      <c r="C4220" s="2" t="s">
        <v>4275</v>
      </c>
      <c r="D4220" s="2"/>
      <c r="E4220" s="31" t="n">
        <v>63.9</v>
      </c>
      <c r="F4220" s="31" t="n">
        <v>41</v>
      </c>
      <c r="G4220" s="31" t="n">
        <v>24.5</v>
      </c>
      <c r="H4220" s="2" t="s">
        <v>832</v>
      </c>
    </row>
    <row r="4221" customFormat="false" ht="15" hidden="false" customHeight="false" outlineLevel="0" collapsed="false">
      <c r="A4221" s="2" t="s">
        <v>1543</v>
      </c>
      <c r="B4221" s="2" t="s">
        <v>45</v>
      </c>
      <c r="C4221" s="2" t="s">
        <v>4274</v>
      </c>
      <c r="D4221" s="2"/>
      <c r="E4221" s="2"/>
      <c r="F4221" s="2"/>
      <c r="G4221" s="2"/>
      <c r="H4221" s="2" t="s">
        <v>832</v>
      </c>
    </row>
    <row r="4222" customFormat="false" ht="15" hidden="false" customHeight="false" outlineLevel="0" collapsed="false">
      <c r="A4222" s="2" t="s">
        <v>1543</v>
      </c>
      <c r="B4222" s="2" t="s">
        <v>45</v>
      </c>
      <c r="C4222" s="2" t="s">
        <v>4275</v>
      </c>
      <c r="D4222" s="11" t="n">
        <v>78770</v>
      </c>
      <c r="E4222" s="31" t="n">
        <v>7.4</v>
      </c>
      <c r="F4222" s="31" t="n">
        <v>49.8</v>
      </c>
      <c r="G4222" s="2"/>
      <c r="H4222" s="2" t="s">
        <v>822</v>
      </c>
    </row>
    <row r="4223" customFormat="false" ht="15" hidden="false" customHeight="false" outlineLevel="0" collapsed="false">
      <c r="A4223" s="2" t="s">
        <v>1543</v>
      </c>
      <c r="B4223" s="2" t="s">
        <v>46</v>
      </c>
      <c r="C4223" s="2" t="s">
        <v>4274</v>
      </c>
      <c r="D4223" s="11" t="n">
        <v>161006</v>
      </c>
      <c r="E4223" s="31" t="n">
        <v>91.2</v>
      </c>
      <c r="F4223" s="31" t="n">
        <v>47.4</v>
      </c>
      <c r="G4223" s="31" t="n">
        <v>1.6</v>
      </c>
      <c r="H4223" s="2" t="s">
        <v>822</v>
      </c>
    </row>
    <row r="4224" customFormat="false" ht="15" hidden="false" customHeight="false" outlineLevel="0" collapsed="false">
      <c r="A4224" s="2" t="s">
        <v>1543</v>
      </c>
      <c r="B4224" s="2" t="s">
        <v>46</v>
      </c>
      <c r="C4224" s="2" t="s">
        <v>4275</v>
      </c>
      <c r="D4224" s="11" t="n">
        <v>169140</v>
      </c>
      <c r="E4224" s="31" t="n">
        <v>87.4</v>
      </c>
      <c r="F4224" s="31" t="n">
        <v>72</v>
      </c>
      <c r="G4224" s="31" t="n">
        <v>23.4</v>
      </c>
      <c r="H4224" s="2" t="s">
        <v>832</v>
      </c>
    </row>
    <row r="4225" customFormat="false" ht="15" hidden="false" customHeight="false" outlineLevel="0" collapsed="false">
      <c r="A4225" s="2" t="s">
        <v>1543</v>
      </c>
      <c r="B4225" s="2" t="s">
        <v>47</v>
      </c>
      <c r="C4225" s="2" t="s">
        <v>4274</v>
      </c>
      <c r="D4225" s="11" t="n">
        <v>159991</v>
      </c>
      <c r="E4225" s="31" t="n">
        <v>97.9</v>
      </c>
      <c r="F4225" s="31" t="n">
        <v>2.5</v>
      </c>
      <c r="G4225" s="31" t="n">
        <v>38.3</v>
      </c>
      <c r="H4225" s="2" t="s">
        <v>822</v>
      </c>
    </row>
    <row r="4226" customFormat="false" ht="15" hidden="false" customHeight="false" outlineLevel="0" collapsed="false">
      <c r="A4226" s="2" t="s">
        <v>1543</v>
      </c>
      <c r="B4226" s="2" t="s">
        <v>47</v>
      </c>
      <c r="C4226" s="2" t="s">
        <v>4275</v>
      </c>
      <c r="D4226" s="11" t="n">
        <v>152454</v>
      </c>
      <c r="E4226" s="31" t="n">
        <v>97</v>
      </c>
      <c r="F4226" s="31" t="n">
        <v>1.2</v>
      </c>
      <c r="G4226" s="31" t="n">
        <v>25.6</v>
      </c>
      <c r="H4226" s="2" t="s">
        <v>822</v>
      </c>
    </row>
    <row r="4227" customFormat="false" ht="15" hidden="false" customHeight="false" outlineLevel="0" collapsed="false">
      <c r="A4227" s="2" t="s">
        <v>1950</v>
      </c>
      <c r="B4227" s="2" t="s">
        <v>4291</v>
      </c>
      <c r="C4227" s="2" t="s">
        <v>4274</v>
      </c>
      <c r="D4227" s="2"/>
      <c r="E4227" s="31" t="n">
        <v>46.8</v>
      </c>
      <c r="F4227" s="31" t="n">
        <v>25.9</v>
      </c>
      <c r="G4227" s="31" t="n">
        <v>77.8</v>
      </c>
      <c r="H4227" s="2" t="s">
        <v>832</v>
      </c>
    </row>
    <row r="4228" customFormat="false" ht="15" hidden="false" customHeight="false" outlineLevel="0" collapsed="false">
      <c r="A4228" s="2" t="s">
        <v>1950</v>
      </c>
      <c r="B4228" s="2" t="s">
        <v>4291</v>
      </c>
      <c r="C4228" s="2" t="s">
        <v>4275</v>
      </c>
      <c r="D4228" s="2"/>
      <c r="E4228" s="31" t="n">
        <v>45.4</v>
      </c>
      <c r="F4228" s="31" t="n">
        <v>43.2</v>
      </c>
      <c r="G4228" s="31" t="n">
        <v>44.6</v>
      </c>
      <c r="H4228" s="2" t="s">
        <v>832</v>
      </c>
    </row>
    <row r="4229" customFormat="false" ht="15" hidden="false" customHeight="false" outlineLevel="0" collapsed="false">
      <c r="A4229" s="2" t="s">
        <v>1950</v>
      </c>
      <c r="B4229" s="2" t="s">
        <v>45</v>
      </c>
      <c r="C4229" s="2" t="s">
        <v>4274</v>
      </c>
      <c r="D4229" s="11" t="n">
        <v>10517</v>
      </c>
      <c r="E4229" s="31" t="n">
        <v>79.5</v>
      </c>
      <c r="F4229" s="31" t="n">
        <v>31.8</v>
      </c>
      <c r="G4229" s="31" t="n">
        <v>85.1</v>
      </c>
      <c r="H4229" s="2" t="s">
        <v>822</v>
      </c>
    </row>
    <row r="4230" customFormat="false" ht="15" hidden="false" customHeight="false" outlineLevel="0" collapsed="false">
      <c r="A4230" s="2" t="s">
        <v>1950</v>
      </c>
      <c r="B4230" s="2" t="s">
        <v>45</v>
      </c>
      <c r="C4230" s="2" t="s">
        <v>4275</v>
      </c>
      <c r="D4230" s="11" t="n">
        <v>10563</v>
      </c>
      <c r="E4230" s="31" t="n">
        <v>80.3</v>
      </c>
      <c r="F4230" s="2"/>
      <c r="G4230" s="31" t="n">
        <v>35.2</v>
      </c>
      <c r="H4230" s="2" t="s">
        <v>832</v>
      </c>
    </row>
    <row r="4231" customFormat="false" ht="15" hidden="false" customHeight="false" outlineLevel="0" collapsed="false">
      <c r="A4231" s="2" t="s">
        <v>1950</v>
      </c>
      <c r="B4231" s="2" t="s">
        <v>46</v>
      </c>
      <c r="C4231" s="2" t="s">
        <v>4274</v>
      </c>
      <c r="D4231" s="11" t="n">
        <v>28790</v>
      </c>
      <c r="E4231" s="31" t="n">
        <v>43.8</v>
      </c>
      <c r="F4231" s="31" t="n">
        <v>11.2</v>
      </c>
      <c r="G4231" s="2"/>
      <c r="H4231" s="2" t="s">
        <v>832</v>
      </c>
    </row>
    <row r="4232" customFormat="false" ht="15" hidden="false" customHeight="false" outlineLevel="0" collapsed="false">
      <c r="A4232" s="2" t="s">
        <v>1950</v>
      </c>
      <c r="B4232" s="2" t="s">
        <v>46</v>
      </c>
      <c r="C4232" s="2" t="s">
        <v>4275</v>
      </c>
      <c r="D4232" s="11" t="n">
        <v>28430</v>
      </c>
      <c r="E4232" s="31" t="n">
        <v>42.2</v>
      </c>
      <c r="F4232" s="31" t="n">
        <v>26.9</v>
      </c>
      <c r="G4232" s="31" t="n">
        <v>8.8</v>
      </c>
      <c r="H4232" s="2" t="s">
        <v>822</v>
      </c>
    </row>
    <row r="4233" customFormat="false" ht="15" hidden="false" customHeight="false" outlineLevel="0" collapsed="false">
      <c r="A4233" s="2" t="s">
        <v>1950</v>
      </c>
      <c r="B4233" s="2" t="s">
        <v>47</v>
      </c>
      <c r="C4233" s="2" t="s">
        <v>4274</v>
      </c>
      <c r="D4233" s="11" t="n">
        <v>44142</v>
      </c>
      <c r="E4233" s="31" t="n">
        <v>17</v>
      </c>
      <c r="F4233" s="31" t="n">
        <v>34.6</v>
      </c>
      <c r="G4233" s="31" t="n">
        <v>70.4</v>
      </c>
      <c r="H4233" s="2" t="s">
        <v>822</v>
      </c>
    </row>
    <row r="4234" customFormat="false" ht="15" hidden="false" customHeight="false" outlineLevel="0" collapsed="false">
      <c r="A4234" s="2" t="s">
        <v>1950</v>
      </c>
      <c r="B4234" s="2" t="s">
        <v>47</v>
      </c>
      <c r="C4234" s="2" t="s">
        <v>4275</v>
      </c>
      <c r="D4234" s="11" t="n">
        <v>44651</v>
      </c>
      <c r="E4234" s="31" t="n">
        <v>13.8</v>
      </c>
      <c r="F4234" s="31" t="n">
        <v>59.4</v>
      </c>
      <c r="G4234" s="31" t="n">
        <v>89.8</v>
      </c>
      <c r="H4234" s="2" t="s">
        <v>822</v>
      </c>
    </row>
    <row r="4235" customFormat="false" ht="15" hidden="false" customHeight="false" outlineLevel="0" collapsed="false">
      <c r="A4235" s="2" t="s">
        <v>546</v>
      </c>
      <c r="B4235" s="2" t="s">
        <v>4291</v>
      </c>
      <c r="C4235" s="2" t="s">
        <v>4274</v>
      </c>
      <c r="D4235" s="2"/>
      <c r="E4235" s="31" t="n">
        <v>33.3</v>
      </c>
      <c r="F4235" s="31" t="n">
        <v>20.8</v>
      </c>
      <c r="G4235" s="31" t="n">
        <v>40.3</v>
      </c>
      <c r="H4235" s="2" t="s">
        <v>822</v>
      </c>
    </row>
    <row r="4236" customFormat="false" ht="15" hidden="false" customHeight="false" outlineLevel="0" collapsed="false">
      <c r="A4236" s="2" t="s">
        <v>546</v>
      </c>
      <c r="B4236" s="2" t="s">
        <v>4291</v>
      </c>
      <c r="C4236" s="2" t="s">
        <v>4275</v>
      </c>
      <c r="D4236" s="2"/>
      <c r="E4236" s="31" t="n">
        <v>44.7</v>
      </c>
      <c r="F4236" s="31" t="n">
        <v>32.5</v>
      </c>
      <c r="G4236" s="31" t="n">
        <v>18.1</v>
      </c>
      <c r="H4236" s="2" t="s">
        <v>822</v>
      </c>
    </row>
    <row r="4237" customFormat="false" ht="15" hidden="false" customHeight="false" outlineLevel="0" collapsed="false">
      <c r="A4237" s="2" t="s">
        <v>546</v>
      </c>
      <c r="B4237" s="2" t="s">
        <v>45</v>
      </c>
      <c r="C4237" s="2" t="s">
        <v>4274</v>
      </c>
      <c r="D4237" s="11" t="n">
        <v>1140</v>
      </c>
      <c r="E4237" s="31" t="n">
        <v>4.3</v>
      </c>
      <c r="F4237" s="31" t="n">
        <v>1.6</v>
      </c>
      <c r="G4237" s="31" t="n">
        <v>0.9</v>
      </c>
      <c r="H4237" s="2" t="s">
        <v>822</v>
      </c>
    </row>
    <row r="4238" customFormat="false" ht="15" hidden="false" customHeight="false" outlineLevel="0" collapsed="false">
      <c r="A4238" s="2" t="s">
        <v>546</v>
      </c>
      <c r="B4238" s="2" t="s">
        <v>45</v>
      </c>
      <c r="C4238" s="2" t="s">
        <v>4275</v>
      </c>
      <c r="D4238" s="11" t="n">
        <v>1100</v>
      </c>
      <c r="E4238" s="31" t="n">
        <v>11.3</v>
      </c>
      <c r="F4238" s="31" t="n">
        <v>29.6</v>
      </c>
      <c r="G4238" s="31" t="n">
        <v>1.3</v>
      </c>
      <c r="H4238" s="2" t="s">
        <v>822</v>
      </c>
    </row>
    <row r="4239" customFormat="false" ht="15" hidden="false" customHeight="false" outlineLevel="0" collapsed="false">
      <c r="A4239" s="2" t="s">
        <v>546</v>
      </c>
      <c r="B4239" s="2" t="s">
        <v>47</v>
      </c>
      <c r="C4239" s="2" t="s">
        <v>4274</v>
      </c>
      <c r="D4239" s="11" t="n">
        <v>196495</v>
      </c>
      <c r="E4239" s="31" t="n">
        <v>62.3</v>
      </c>
      <c r="F4239" s="31" t="n">
        <v>40.1</v>
      </c>
      <c r="G4239" s="31" t="n">
        <v>79.7</v>
      </c>
      <c r="H4239" s="2" t="s">
        <v>822</v>
      </c>
    </row>
    <row r="4240" customFormat="false" ht="15" hidden="false" customHeight="false" outlineLevel="0" collapsed="false">
      <c r="A4240" s="2" t="s">
        <v>546</v>
      </c>
      <c r="B4240" s="2" t="s">
        <v>47</v>
      </c>
      <c r="C4240" s="2" t="s">
        <v>4275</v>
      </c>
      <c r="D4240" s="11" t="n">
        <v>192880</v>
      </c>
      <c r="E4240" s="31" t="n">
        <v>78.1</v>
      </c>
      <c r="F4240" s="31" t="n">
        <v>35.4</v>
      </c>
      <c r="G4240" s="31" t="n">
        <v>34.9</v>
      </c>
      <c r="H4240" s="2" t="s">
        <v>822</v>
      </c>
    </row>
    <row r="4241" customFormat="false" ht="15" hidden="false" customHeight="false" outlineLevel="0" collapsed="false">
      <c r="A4241" s="2" t="s">
        <v>2212</v>
      </c>
      <c r="B4241" s="2" t="s">
        <v>4291</v>
      </c>
      <c r="C4241" s="2" t="s">
        <v>4274</v>
      </c>
      <c r="D4241" s="2"/>
      <c r="E4241" s="31" t="n">
        <v>54.8</v>
      </c>
      <c r="F4241" s="31" t="n">
        <v>77.2</v>
      </c>
      <c r="G4241" s="31" t="n">
        <v>41.8</v>
      </c>
      <c r="H4241" s="2" t="s">
        <v>832</v>
      </c>
    </row>
    <row r="4242" customFormat="false" ht="15" hidden="false" customHeight="false" outlineLevel="0" collapsed="false">
      <c r="A4242" s="2" t="s">
        <v>2212</v>
      </c>
      <c r="B4242" s="2" t="s">
        <v>4291</v>
      </c>
      <c r="C4242" s="2" t="s">
        <v>4275</v>
      </c>
      <c r="D4242" s="2"/>
      <c r="E4242" s="31" t="n">
        <v>55.4</v>
      </c>
      <c r="F4242" s="31" t="n">
        <v>66</v>
      </c>
      <c r="G4242" s="31" t="n">
        <v>92.3</v>
      </c>
      <c r="H4242" s="2" t="s">
        <v>832</v>
      </c>
    </row>
    <row r="4243" customFormat="false" ht="15" hidden="false" customHeight="false" outlineLevel="0" collapsed="false">
      <c r="A4243" s="2" t="s">
        <v>2212</v>
      </c>
      <c r="B4243" s="2" t="s">
        <v>45</v>
      </c>
      <c r="C4243" s="2" t="s">
        <v>4274</v>
      </c>
      <c r="D4243" s="11" t="n">
        <v>330830</v>
      </c>
      <c r="E4243" s="31" t="n">
        <v>10.6</v>
      </c>
      <c r="F4243" s="31" t="n">
        <v>91.1</v>
      </c>
      <c r="G4243" s="2"/>
      <c r="H4243" s="2" t="s">
        <v>832</v>
      </c>
    </row>
    <row r="4244" customFormat="false" ht="15" hidden="false" customHeight="false" outlineLevel="0" collapsed="false">
      <c r="A4244" s="2" t="s">
        <v>2212</v>
      </c>
      <c r="B4244" s="2" t="s">
        <v>45</v>
      </c>
      <c r="C4244" s="2" t="s">
        <v>4275</v>
      </c>
      <c r="D4244" s="11" t="n">
        <v>350990</v>
      </c>
      <c r="E4244" s="31" t="n">
        <v>11</v>
      </c>
      <c r="F4244" s="31" t="n">
        <v>90</v>
      </c>
      <c r="G4244" s="2"/>
      <c r="H4244" s="2" t="s">
        <v>832</v>
      </c>
    </row>
    <row r="4245" customFormat="false" ht="15" hidden="false" customHeight="false" outlineLevel="0" collapsed="false">
      <c r="A4245" s="2" t="s">
        <v>2212</v>
      </c>
      <c r="B4245" s="2" t="s">
        <v>46</v>
      </c>
      <c r="C4245" s="2" t="s">
        <v>4274</v>
      </c>
      <c r="D4245" s="11" t="n">
        <v>26450</v>
      </c>
      <c r="E4245" s="2"/>
      <c r="F4245" s="31" t="n">
        <v>63.3</v>
      </c>
      <c r="G4245" s="31" t="n">
        <v>7.5</v>
      </c>
      <c r="H4245" s="2" t="s">
        <v>832</v>
      </c>
    </row>
    <row r="4246" customFormat="false" ht="15" hidden="false" customHeight="false" outlineLevel="0" collapsed="false">
      <c r="A4246" s="2" t="s">
        <v>2212</v>
      </c>
      <c r="B4246" s="2" t="s">
        <v>46</v>
      </c>
      <c r="C4246" s="2" t="s">
        <v>4275</v>
      </c>
      <c r="D4246" s="2"/>
      <c r="E4246" s="2"/>
      <c r="F4246" s="2"/>
      <c r="G4246" s="2"/>
      <c r="H4246" s="2" t="s">
        <v>832</v>
      </c>
    </row>
    <row r="4247" customFormat="false" ht="15" hidden="false" customHeight="false" outlineLevel="0" collapsed="false">
      <c r="A4247" s="2" t="s">
        <v>2212</v>
      </c>
      <c r="B4247" s="2" t="s">
        <v>47</v>
      </c>
      <c r="C4247" s="2" t="s">
        <v>4274</v>
      </c>
      <c r="D4247" s="11" t="n">
        <v>21800</v>
      </c>
      <c r="E4247" s="31" t="n">
        <v>99.1</v>
      </c>
      <c r="F4247" s="2"/>
      <c r="G4247" s="31" t="n">
        <v>76.2</v>
      </c>
      <c r="H4247" s="2" t="s">
        <v>832</v>
      </c>
    </row>
    <row r="4248" customFormat="false" ht="15" hidden="false" customHeight="false" outlineLevel="0" collapsed="false">
      <c r="A4248" s="2" t="s">
        <v>2212</v>
      </c>
      <c r="B4248" s="2" t="s">
        <v>47</v>
      </c>
      <c r="C4248" s="2" t="s">
        <v>4275</v>
      </c>
      <c r="D4248" s="11" t="n">
        <v>22258</v>
      </c>
      <c r="E4248" s="31" t="n">
        <v>99.8</v>
      </c>
      <c r="F4248" s="31" t="n">
        <v>41.9</v>
      </c>
      <c r="G4248" s="31" t="n">
        <v>92.3</v>
      </c>
      <c r="H4248" s="2" t="s">
        <v>822</v>
      </c>
    </row>
    <row r="4249" customFormat="false" ht="15" hidden="false" customHeight="false" outlineLevel="0" collapsed="false">
      <c r="A4249" s="2" t="s">
        <v>484</v>
      </c>
      <c r="B4249" s="2" t="s">
        <v>4291</v>
      </c>
      <c r="C4249" s="2" t="s">
        <v>4274</v>
      </c>
      <c r="D4249" s="2"/>
      <c r="E4249" s="31" t="n">
        <v>47.4</v>
      </c>
      <c r="F4249" s="31" t="n">
        <v>62.8</v>
      </c>
      <c r="G4249" s="31" t="n">
        <v>33</v>
      </c>
      <c r="H4249" s="2" t="s">
        <v>822</v>
      </c>
    </row>
    <row r="4250" customFormat="false" ht="15" hidden="false" customHeight="false" outlineLevel="0" collapsed="false">
      <c r="A4250" s="2" t="s">
        <v>484</v>
      </c>
      <c r="B4250" s="2" t="s">
        <v>4291</v>
      </c>
      <c r="C4250" s="2" t="s">
        <v>4275</v>
      </c>
      <c r="D4250" s="2"/>
      <c r="E4250" s="31" t="n">
        <v>49.9</v>
      </c>
      <c r="F4250" s="31" t="n">
        <v>54.8</v>
      </c>
      <c r="G4250" s="31" t="n">
        <v>34.8</v>
      </c>
      <c r="H4250" s="2" t="s">
        <v>822</v>
      </c>
    </row>
    <row r="4251" customFormat="false" ht="15" hidden="false" customHeight="false" outlineLevel="0" collapsed="false">
      <c r="A4251" s="2" t="s">
        <v>484</v>
      </c>
      <c r="B4251" s="2" t="s">
        <v>46</v>
      </c>
      <c r="C4251" s="2" t="s">
        <v>4274</v>
      </c>
      <c r="D4251" s="11" t="n">
        <v>8974</v>
      </c>
      <c r="E4251" s="31" t="n">
        <v>11.2</v>
      </c>
      <c r="F4251" s="31" t="n">
        <v>29.8</v>
      </c>
      <c r="G4251" s="31" t="n">
        <v>49.5</v>
      </c>
      <c r="H4251" s="2" t="s">
        <v>822</v>
      </c>
    </row>
    <row r="4252" customFormat="false" ht="15" hidden="false" customHeight="false" outlineLevel="0" collapsed="false">
      <c r="A4252" s="2" t="s">
        <v>484</v>
      </c>
      <c r="B4252" s="2" t="s">
        <v>46</v>
      </c>
      <c r="C4252" s="2" t="s">
        <v>4275</v>
      </c>
      <c r="D4252" s="11" t="n">
        <v>9139</v>
      </c>
      <c r="E4252" s="31" t="n">
        <v>23.6</v>
      </c>
      <c r="F4252" s="31" t="n">
        <v>15.1</v>
      </c>
      <c r="G4252" s="31" t="n">
        <v>60</v>
      </c>
      <c r="H4252" s="2" t="s">
        <v>822</v>
      </c>
    </row>
    <row r="4253" customFormat="false" ht="15" hidden="false" customHeight="false" outlineLevel="0" collapsed="false">
      <c r="A4253" s="2" t="s">
        <v>484</v>
      </c>
      <c r="B4253" s="2" t="s">
        <v>47</v>
      </c>
      <c r="C4253" s="2" t="s">
        <v>4274</v>
      </c>
      <c r="D4253" s="11" t="n">
        <v>66913</v>
      </c>
      <c r="E4253" s="31" t="n">
        <v>83.7</v>
      </c>
      <c r="F4253" s="31" t="n">
        <v>95.8</v>
      </c>
      <c r="G4253" s="31" t="n">
        <v>16.6</v>
      </c>
      <c r="H4253" s="2" t="s">
        <v>822</v>
      </c>
    </row>
    <row r="4254" customFormat="false" ht="15" hidden="false" customHeight="false" outlineLevel="0" collapsed="false">
      <c r="A4254" s="2" t="s">
        <v>484</v>
      </c>
      <c r="B4254" s="2" t="s">
        <v>47</v>
      </c>
      <c r="C4254" s="2" t="s">
        <v>4275</v>
      </c>
      <c r="D4254" s="11" t="n">
        <v>74070</v>
      </c>
      <c r="E4254" s="31" t="n">
        <v>76.2</v>
      </c>
      <c r="F4254" s="31" t="n">
        <v>94.5</v>
      </c>
      <c r="G4254" s="31" t="n">
        <v>9.7</v>
      </c>
      <c r="H4254" s="2" t="s">
        <v>822</v>
      </c>
    </row>
    <row r="4255" customFormat="false" ht="15" hidden="false" customHeight="false" outlineLevel="0" collapsed="false">
      <c r="A4255" s="2" t="s">
        <v>2261</v>
      </c>
      <c r="B4255" s="2" t="s">
        <v>4291</v>
      </c>
      <c r="C4255" s="2" t="s">
        <v>4274</v>
      </c>
      <c r="D4255" s="2"/>
      <c r="E4255" s="31" t="n">
        <v>54.4</v>
      </c>
      <c r="F4255" s="31" t="n">
        <v>32</v>
      </c>
      <c r="G4255" s="31" t="n">
        <v>48.3</v>
      </c>
      <c r="H4255" s="2" t="s">
        <v>822</v>
      </c>
    </row>
    <row r="4256" customFormat="false" ht="15" hidden="false" customHeight="false" outlineLevel="0" collapsed="false">
      <c r="A4256" s="2" t="s">
        <v>2261</v>
      </c>
      <c r="B4256" s="2" t="s">
        <v>4291</v>
      </c>
      <c r="C4256" s="2" t="s">
        <v>4275</v>
      </c>
      <c r="D4256" s="2"/>
      <c r="E4256" s="31" t="n">
        <v>93.7</v>
      </c>
      <c r="F4256" s="31" t="n">
        <v>77.5</v>
      </c>
      <c r="G4256" s="31" t="n">
        <v>35.7</v>
      </c>
      <c r="H4256" s="2" t="s">
        <v>832</v>
      </c>
    </row>
    <row r="4257" customFormat="false" ht="15" hidden="false" customHeight="false" outlineLevel="0" collapsed="false">
      <c r="A4257" s="2" t="s">
        <v>2261</v>
      </c>
      <c r="B4257" s="2" t="s">
        <v>45</v>
      </c>
      <c r="C4257" s="2" t="s">
        <v>4274</v>
      </c>
      <c r="D4257" s="11" t="n">
        <v>213490</v>
      </c>
      <c r="E4257" s="31" t="n">
        <v>62.4</v>
      </c>
      <c r="F4257" s="31" t="n">
        <v>12.3</v>
      </c>
      <c r="G4257" s="31" t="n">
        <v>61.7</v>
      </c>
      <c r="H4257" s="2" t="s">
        <v>822</v>
      </c>
    </row>
    <row r="4258" customFormat="false" ht="15" hidden="false" customHeight="false" outlineLevel="0" collapsed="false">
      <c r="A4258" s="2" t="s">
        <v>2261</v>
      </c>
      <c r="B4258" s="2" t="s">
        <v>45</v>
      </c>
      <c r="C4258" s="2" t="s">
        <v>4275</v>
      </c>
      <c r="D4258" s="2"/>
      <c r="E4258" s="2"/>
      <c r="F4258" s="2"/>
      <c r="G4258" s="2"/>
      <c r="H4258" s="2" t="s">
        <v>832</v>
      </c>
    </row>
    <row r="4259" customFormat="false" ht="15" hidden="false" customHeight="false" outlineLevel="0" collapsed="false">
      <c r="A4259" s="2" t="s">
        <v>2261</v>
      </c>
      <c r="B4259" s="2" t="s">
        <v>46</v>
      </c>
      <c r="C4259" s="2" t="s">
        <v>4274</v>
      </c>
      <c r="D4259" s="11" t="n">
        <v>391050</v>
      </c>
      <c r="E4259" s="31" t="n">
        <v>10.6</v>
      </c>
      <c r="F4259" s="31" t="n">
        <v>2.6</v>
      </c>
      <c r="G4259" s="31" t="n">
        <v>69.9</v>
      </c>
      <c r="H4259" s="2" t="s">
        <v>822</v>
      </c>
    </row>
    <row r="4260" customFormat="false" ht="15" hidden="false" customHeight="false" outlineLevel="0" collapsed="false">
      <c r="A4260" s="2" t="s">
        <v>2261</v>
      </c>
      <c r="B4260" s="2" t="s">
        <v>46</v>
      </c>
      <c r="C4260" s="2" t="s">
        <v>4275</v>
      </c>
      <c r="D4260" s="2"/>
      <c r="E4260" s="2"/>
      <c r="F4260" s="2"/>
      <c r="G4260" s="2"/>
      <c r="H4260" s="2" t="s">
        <v>832</v>
      </c>
    </row>
    <row r="4261" customFormat="false" ht="15" hidden="false" customHeight="false" outlineLevel="0" collapsed="false">
      <c r="A4261" s="2" t="s">
        <v>2261</v>
      </c>
      <c r="B4261" s="2" t="s">
        <v>47</v>
      </c>
      <c r="C4261" s="2" t="s">
        <v>4274</v>
      </c>
      <c r="D4261" s="11" t="n">
        <v>2862</v>
      </c>
      <c r="E4261" s="31" t="n">
        <v>90.1</v>
      </c>
      <c r="F4261" s="31" t="n">
        <v>81.1</v>
      </c>
      <c r="G4261" s="31" t="n">
        <v>13.4</v>
      </c>
      <c r="H4261" s="2" t="s">
        <v>822</v>
      </c>
    </row>
    <row r="4262" customFormat="false" ht="15" hidden="false" customHeight="false" outlineLevel="0" collapsed="false">
      <c r="A4262" s="2" t="s">
        <v>2261</v>
      </c>
      <c r="B4262" s="2" t="s">
        <v>47</v>
      </c>
      <c r="C4262" s="2" t="s">
        <v>4275</v>
      </c>
      <c r="D4262" s="11" t="n">
        <v>2980</v>
      </c>
      <c r="E4262" s="31" t="n">
        <v>93.7</v>
      </c>
      <c r="F4262" s="31" t="n">
        <v>77.5</v>
      </c>
      <c r="G4262" s="31" t="n">
        <v>35.7</v>
      </c>
      <c r="H4262" s="2" t="s">
        <v>822</v>
      </c>
    </row>
    <row r="4263" customFormat="false" ht="15" hidden="false" customHeight="false" outlineLevel="0" collapsed="false">
      <c r="A4263" s="2" t="s">
        <v>164</v>
      </c>
      <c r="B4263" s="2" t="s">
        <v>4291</v>
      </c>
      <c r="C4263" s="2" t="s">
        <v>4274</v>
      </c>
      <c r="D4263" s="2"/>
      <c r="E4263" s="31" t="n">
        <v>82.4</v>
      </c>
      <c r="F4263" s="31" t="n">
        <v>17.2</v>
      </c>
      <c r="G4263" s="31" t="n">
        <v>50.7</v>
      </c>
      <c r="H4263" s="2" t="s">
        <v>822</v>
      </c>
    </row>
    <row r="4264" customFormat="false" ht="15" hidden="false" customHeight="false" outlineLevel="0" collapsed="false">
      <c r="A4264" s="2" t="s">
        <v>164</v>
      </c>
      <c r="B4264" s="2" t="s">
        <v>4291</v>
      </c>
      <c r="C4264" s="2" t="s">
        <v>4275</v>
      </c>
      <c r="D4264" s="2"/>
      <c r="E4264" s="31" t="n">
        <v>80.1</v>
      </c>
      <c r="F4264" s="31" t="n">
        <v>28</v>
      </c>
      <c r="G4264" s="31" t="n">
        <v>51.2</v>
      </c>
      <c r="H4264" s="2" t="s">
        <v>822</v>
      </c>
    </row>
    <row r="4265" customFormat="false" ht="15" hidden="false" customHeight="false" outlineLevel="0" collapsed="false">
      <c r="A4265" s="2" t="s">
        <v>164</v>
      </c>
      <c r="B4265" s="2" t="s">
        <v>45</v>
      </c>
      <c r="C4265" s="2" t="s">
        <v>4274</v>
      </c>
      <c r="D4265" s="11" t="n">
        <v>30550</v>
      </c>
      <c r="E4265" s="31" t="n">
        <v>84.9</v>
      </c>
      <c r="F4265" s="31" t="n">
        <v>6.9</v>
      </c>
      <c r="G4265" s="31" t="n">
        <v>20.5</v>
      </c>
      <c r="H4265" s="2" t="s">
        <v>822</v>
      </c>
    </row>
    <row r="4266" customFormat="false" ht="15" hidden="false" customHeight="false" outlineLevel="0" collapsed="false">
      <c r="A4266" s="2" t="s">
        <v>164</v>
      </c>
      <c r="B4266" s="2" t="s">
        <v>45</v>
      </c>
      <c r="C4266" s="2" t="s">
        <v>4275</v>
      </c>
      <c r="D4266" s="11" t="n">
        <v>31160</v>
      </c>
      <c r="E4266" s="31" t="n">
        <v>87.1</v>
      </c>
      <c r="F4266" s="31" t="n">
        <v>11.7</v>
      </c>
      <c r="G4266" s="31" t="n">
        <v>48.7</v>
      </c>
      <c r="H4266" s="2" t="s">
        <v>822</v>
      </c>
    </row>
    <row r="4267" customFormat="false" ht="15" hidden="false" customHeight="false" outlineLevel="0" collapsed="false">
      <c r="A4267" s="2" t="s">
        <v>164</v>
      </c>
      <c r="B4267" s="2" t="s">
        <v>46</v>
      </c>
      <c r="C4267" s="2" t="s">
        <v>4274</v>
      </c>
      <c r="D4267" s="11" t="n">
        <v>6390</v>
      </c>
      <c r="E4267" s="31" t="n">
        <v>82.2</v>
      </c>
      <c r="F4267" s="31" t="n">
        <v>31.6</v>
      </c>
      <c r="G4267" s="31" t="n">
        <v>61.4</v>
      </c>
      <c r="H4267" s="2" t="s">
        <v>822</v>
      </c>
    </row>
    <row r="4268" customFormat="false" ht="15" hidden="false" customHeight="false" outlineLevel="0" collapsed="false">
      <c r="A4268" s="2" t="s">
        <v>164</v>
      </c>
      <c r="B4268" s="2" t="s">
        <v>46</v>
      </c>
      <c r="C4268" s="2" t="s">
        <v>4275</v>
      </c>
      <c r="D4268" s="11" t="n">
        <v>6970</v>
      </c>
      <c r="E4268" s="31" t="n">
        <v>97.2</v>
      </c>
      <c r="F4268" s="31" t="n">
        <v>24.5</v>
      </c>
      <c r="G4268" s="31" t="n">
        <v>19.4</v>
      </c>
      <c r="H4268" s="2" t="s">
        <v>822</v>
      </c>
    </row>
    <row r="4269" customFormat="false" ht="15" hidden="false" customHeight="false" outlineLevel="0" collapsed="false">
      <c r="A4269" s="2" t="s">
        <v>164</v>
      </c>
      <c r="B4269" s="2" t="s">
        <v>47</v>
      </c>
      <c r="C4269" s="2" t="s">
        <v>4274</v>
      </c>
      <c r="D4269" s="11" t="n">
        <v>222410</v>
      </c>
      <c r="E4269" s="31" t="n">
        <v>80.1</v>
      </c>
      <c r="F4269" s="31" t="n">
        <v>13</v>
      </c>
      <c r="G4269" s="31" t="n">
        <v>70.2</v>
      </c>
      <c r="H4269" s="2" t="s">
        <v>822</v>
      </c>
    </row>
    <row r="4270" customFormat="false" ht="15" hidden="false" customHeight="false" outlineLevel="0" collapsed="false">
      <c r="A4270" s="2" t="s">
        <v>164</v>
      </c>
      <c r="B4270" s="2" t="s">
        <v>47</v>
      </c>
      <c r="C4270" s="2" t="s">
        <v>4275</v>
      </c>
      <c r="D4270" s="11" t="n">
        <v>222676</v>
      </c>
      <c r="E4270" s="31" t="n">
        <v>56.1</v>
      </c>
      <c r="F4270" s="31" t="n">
        <v>47.8</v>
      </c>
      <c r="G4270" s="31" t="n">
        <v>85.5</v>
      </c>
      <c r="H4270" s="2" t="s">
        <v>822</v>
      </c>
    </row>
    <row r="4271" customFormat="false" ht="15" hidden="false" customHeight="false" outlineLevel="0" collapsed="false">
      <c r="A4271" s="2" t="s">
        <v>1339</v>
      </c>
      <c r="B4271" s="2" t="s">
        <v>4291</v>
      </c>
      <c r="C4271" s="2" t="s">
        <v>4274</v>
      </c>
      <c r="D4271" s="2"/>
      <c r="E4271" s="31" t="n">
        <v>41.6</v>
      </c>
      <c r="F4271" s="31" t="n">
        <v>91.4</v>
      </c>
      <c r="G4271" s="31" t="n">
        <v>51.2</v>
      </c>
      <c r="H4271" s="2" t="s">
        <v>832</v>
      </c>
    </row>
    <row r="4272" customFormat="false" ht="15" hidden="false" customHeight="false" outlineLevel="0" collapsed="false">
      <c r="A4272" s="2" t="s">
        <v>1339</v>
      </c>
      <c r="B4272" s="2" t="s">
        <v>4291</v>
      </c>
      <c r="C4272" s="2" t="s">
        <v>4275</v>
      </c>
      <c r="D4272" s="2"/>
      <c r="E4272" s="31" t="n">
        <v>46.8</v>
      </c>
      <c r="F4272" s="31" t="n">
        <v>63.5</v>
      </c>
      <c r="G4272" s="31" t="n">
        <v>31.2</v>
      </c>
      <c r="H4272" s="2" t="s">
        <v>832</v>
      </c>
    </row>
    <row r="4273" customFormat="false" ht="15" hidden="false" customHeight="false" outlineLevel="0" collapsed="false">
      <c r="A4273" s="2" t="s">
        <v>1339</v>
      </c>
      <c r="B4273" s="2" t="s">
        <v>45</v>
      </c>
      <c r="C4273" s="2" t="s">
        <v>4274</v>
      </c>
      <c r="D4273" s="11" t="n">
        <v>3110</v>
      </c>
      <c r="E4273" s="31" t="n">
        <v>39.5</v>
      </c>
      <c r="F4273" s="2"/>
      <c r="G4273" s="31" t="n">
        <v>24.1</v>
      </c>
      <c r="H4273" s="2" t="s">
        <v>832</v>
      </c>
    </row>
    <row r="4274" customFormat="false" ht="15" hidden="false" customHeight="false" outlineLevel="0" collapsed="false">
      <c r="A4274" s="2" t="s">
        <v>1339</v>
      </c>
      <c r="B4274" s="2" t="s">
        <v>45</v>
      </c>
      <c r="C4274" s="2" t="s">
        <v>4275</v>
      </c>
      <c r="D4274" s="11" t="n">
        <v>3207</v>
      </c>
      <c r="E4274" s="31" t="n">
        <v>36.3</v>
      </c>
      <c r="F4274" s="31" t="n">
        <v>47.9</v>
      </c>
      <c r="G4274" s="31" t="n">
        <v>31.2</v>
      </c>
      <c r="H4274" s="2" t="s">
        <v>822</v>
      </c>
    </row>
    <row r="4275" customFormat="false" ht="15" hidden="false" customHeight="false" outlineLevel="0" collapsed="false">
      <c r="A4275" s="2" t="s">
        <v>1339</v>
      </c>
      <c r="B4275" s="2" t="s">
        <v>46</v>
      </c>
      <c r="C4275" s="2" t="s">
        <v>4274</v>
      </c>
      <c r="D4275" s="11" t="n">
        <v>44060</v>
      </c>
      <c r="E4275" s="2"/>
      <c r="F4275" s="31" t="n">
        <v>92.1</v>
      </c>
      <c r="G4275" s="2"/>
      <c r="H4275" s="2" t="s">
        <v>832</v>
      </c>
    </row>
    <row r="4276" customFormat="false" ht="15" hidden="false" customHeight="false" outlineLevel="0" collapsed="false">
      <c r="A4276" s="2" t="s">
        <v>1339</v>
      </c>
      <c r="B4276" s="2" t="s">
        <v>46</v>
      </c>
      <c r="C4276" s="2" t="s">
        <v>4275</v>
      </c>
      <c r="D4276" s="11" t="n">
        <v>46690</v>
      </c>
      <c r="E4276" s="31" t="n">
        <v>76.8</v>
      </c>
      <c r="F4276" s="31" t="n">
        <v>54.5</v>
      </c>
      <c r="G4276" s="2"/>
      <c r="H4276" s="2" t="s">
        <v>832</v>
      </c>
    </row>
    <row r="4277" customFormat="false" ht="15" hidden="false" customHeight="false" outlineLevel="0" collapsed="false">
      <c r="A4277" s="2" t="s">
        <v>1339</v>
      </c>
      <c r="B4277" s="2" t="s">
        <v>47</v>
      </c>
      <c r="C4277" s="2" t="s">
        <v>4274</v>
      </c>
      <c r="D4277" s="11" t="n">
        <v>161046</v>
      </c>
      <c r="E4277" s="31" t="n">
        <v>43.6</v>
      </c>
      <c r="F4277" s="31" t="n">
        <v>90.7</v>
      </c>
      <c r="G4277" s="31" t="n">
        <v>78.3</v>
      </c>
      <c r="H4277" s="2" t="s">
        <v>822</v>
      </c>
    </row>
    <row r="4278" customFormat="false" ht="15" hidden="false" customHeight="false" outlineLevel="0" collapsed="false">
      <c r="A4278" s="2" t="s">
        <v>1339</v>
      </c>
      <c r="B4278" s="2" t="s">
        <v>47</v>
      </c>
      <c r="C4278" s="2" t="s">
        <v>4275</v>
      </c>
      <c r="D4278" s="11" t="n">
        <v>173865</v>
      </c>
      <c r="E4278" s="31" t="n">
        <v>27.3</v>
      </c>
      <c r="F4278" s="31" t="n">
        <v>88.2</v>
      </c>
      <c r="G4278" s="2"/>
      <c r="H4278" s="2" t="s">
        <v>832</v>
      </c>
    </row>
    <row r="4279" customFormat="false" ht="15" hidden="false" customHeight="false" outlineLevel="0" collapsed="false">
      <c r="A4279" s="2" t="s">
        <v>204</v>
      </c>
      <c r="B4279" s="2" t="s">
        <v>4291</v>
      </c>
      <c r="C4279" s="2" t="s">
        <v>4274</v>
      </c>
      <c r="D4279" s="2"/>
      <c r="E4279" s="31" t="n">
        <v>76.8</v>
      </c>
      <c r="F4279" s="31" t="n">
        <v>29.2</v>
      </c>
      <c r="G4279" s="31" t="n">
        <v>21.8</v>
      </c>
      <c r="H4279" s="2" t="s">
        <v>832</v>
      </c>
    </row>
    <row r="4280" customFormat="false" ht="15" hidden="false" customHeight="false" outlineLevel="0" collapsed="false">
      <c r="A4280" s="2" t="s">
        <v>204</v>
      </c>
      <c r="B4280" s="2" t="s">
        <v>4291</v>
      </c>
      <c r="C4280" s="2" t="s">
        <v>4275</v>
      </c>
      <c r="D4280" s="2"/>
      <c r="E4280" s="31" t="n">
        <v>74.7</v>
      </c>
      <c r="F4280" s="31" t="n">
        <v>30.8</v>
      </c>
      <c r="G4280" s="31" t="n">
        <v>56.8</v>
      </c>
      <c r="H4280" s="2" t="s">
        <v>822</v>
      </c>
    </row>
    <row r="4281" customFormat="false" ht="15" hidden="false" customHeight="false" outlineLevel="0" collapsed="false">
      <c r="A4281" s="2" t="s">
        <v>204</v>
      </c>
      <c r="B4281" s="2" t="s">
        <v>45</v>
      </c>
      <c r="C4281" s="2" t="s">
        <v>4274</v>
      </c>
      <c r="D4281" s="11" t="n">
        <v>28870</v>
      </c>
      <c r="E4281" s="31" t="n">
        <v>61.6</v>
      </c>
      <c r="F4281" s="31" t="n">
        <v>54.7</v>
      </c>
      <c r="G4281" s="31" t="n">
        <v>32.7</v>
      </c>
      <c r="H4281" s="2" t="s">
        <v>822</v>
      </c>
    </row>
    <row r="4282" customFormat="false" ht="15" hidden="false" customHeight="false" outlineLevel="0" collapsed="false">
      <c r="A4282" s="2" t="s">
        <v>204</v>
      </c>
      <c r="B4282" s="2" t="s">
        <v>45</v>
      </c>
      <c r="C4282" s="2" t="s">
        <v>4275</v>
      </c>
      <c r="D4282" s="11" t="n">
        <v>29520</v>
      </c>
      <c r="E4282" s="31" t="n">
        <v>71.1</v>
      </c>
      <c r="F4282" s="31" t="n">
        <v>45</v>
      </c>
      <c r="G4282" s="31" t="n">
        <v>65.5</v>
      </c>
      <c r="H4282" s="2" t="s">
        <v>822</v>
      </c>
    </row>
    <row r="4283" customFormat="false" ht="15" hidden="false" customHeight="false" outlineLevel="0" collapsed="false">
      <c r="A4283" s="2" t="s">
        <v>204</v>
      </c>
      <c r="B4283" s="2" t="s">
        <v>46</v>
      </c>
      <c r="C4283" s="2" t="s">
        <v>4274</v>
      </c>
      <c r="D4283" s="11" t="n">
        <v>199067</v>
      </c>
      <c r="E4283" s="31" t="n">
        <v>92</v>
      </c>
      <c r="F4283" s="31" t="n">
        <v>3.8</v>
      </c>
      <c r="G4283" s="31" t="n">
        <v>11</v>
      </c>
      <c r="H4283" s="2" t="s">
        <v>822</v>
      </c>
    </row>
    <row r="4284" customFormat="false" ht="15" hidden="false" customHeight="false" outlineLevel="0" collapsed="false">
      <c r="A4284" s="2" t="s">
        <v>204</v>
      </c>
      <c r="B4284" s="2" t="s">
        <v>46</v>
      </c>
      <c r="C4284" s="2" t="s">
        <v>4275</v>
      </c>
      <c r="D4284" s="11" t="n">
        <v>193090</v>
      </c>
      <c r="E4284" s="31" t="n">
        <v>78</v>
      </c>
      <c r="F4284" s="31" t="n">
        <v>9.6</v>
      </c>
      <c r="G4284" s="31" t="n">
        <v>19.2</v>
      </c>
      <c r="H4284" s="2" t="s">
        <v>822</v>
      </c>
    </row>
    <row r="4285" customFormat="false" ht="15" hidden="false" customHeight="false" outlineLevel="0" collapsed="false">
      <c r="A4285" s="2" t="s">
        <v>204</v>
      </c>
      <c r="B4285" s="2" t="s">
        <v>47</v>
      </c>
      <c r="C4285" s="2" t="s">
        <v>4274</v>
      </c>
      <c r="D4285" s="2"/>
      <c r="E4285" s="2"/>
      <c r="F4285" s="2"/>
      <c r="G4285" s="2"/>
      <c r="H4285" s="2" t="s">
        <v>832</v>
      </c>
    </row>
    <row r="4286" customFormat="false" ht="15" hidden="false" customHeight="false" outlineLevel="0" collapsed="false">
      <c r="A4286" s="2" t="s">
        <v>204</v>
      </c>
      <c r="B4286" s="2" t="s">
        <v>47</v>
      </c>
      <c r="C4286" s="2" t="s">
        <v>4275</v>
      </c>
      <c r="D4286" s="11" t="n">
        <v>74700</v>
      </c>
      <c r="E4286" s="31" t="n">
        <v>75</v>
      </c>
      <c r="F4286" s="31" t="n">
        <v>37.7</v>
      </c>
      <c r="G4286" s="31" t="n">
        <v>85.8</v>
      </c>
      <c r="H4286" s="2" t="s">
        <v>822</v>
      </c>
    </row>
    <row r="4287" customFormat="false" ht="15" hidden="false" customHeight="false" outlineLevel="0" collapsed="false">
      <c r="A4287" s="2" t="s">
        <v>300</v>
      </c>
      <c r="B4287" s="2" t="s">
        <v>4291</v>
      </c>
      <c r="C4287" s="2" t="s">
        <v>4274</v>
      </c>
      <c r="D4287" s="2"/>
      <c r="E4287" s="31" t="n">
        <v>19.9</v>
      </c>
      <c r="F4287" s="31" t="n">
        <v>14.2</v>
      </c>
      <c r="G4287" s="31" t="n">
        <v>62.6</v>
      </c>
      <c r="H4287" s="2" t="s">
        <v>832</v>
      </c>
    </row>
    <row r="4288" customFormat="false" ht="15" hidden="false" customHeight="false" outlineLevel="0" collapsed="false">
      <c r="A4288" s="2" t="s">
        <v>300</v>
      </c>
      <c r="B4288" s="2" t="s">
        <v>4291</v>
      </c>
      <c r="C4288" s="2" t="s">
        <v>4275</v>
      </c>
      <c r="D4288" s="2"/>
      <c r="E4288" s="31" t="n">
        <v>63.8</v>
      </c>
      <c r="F4288" s="31" t="n">
        <v>69.8</v>
      </c>
      <c r="G4288" s="31" t="n">
        <v>85.6</v>
      </c>
      <c r="H4288" s="2" t="s">
        <v>822</v>
      </c>
    </row>
    <row r="4289" customFormat="false" ht="15" hidden="false" customHeight="false" outlineLevel="0" collapsed="false">
      <c r="A4289" s="2" t="s">
        <v>300</v>
      </c>
      <c r="B4289" s="2" t="s">
        <v>45</v>
      </c>
      <c r="C4289" s="2" t="s">
        <v>4274</v>
      </c>
      <c r="D4289" s="11" t="n">
        <v>15370</v>
      </c>
      <c r="E4289" s="31" t="n">
        <v>19.9</v>
      </c>
      <c r="F4289" s="31" t="n">
        <v>14.2</v>
      </c>
      <c r="G4289" s="31" t="n">
        <v>77.8</v>
      </c>
      <c r="H4289" s="2" t="s">
        <v>822</v>
      </c>
    </row>
    <row r="4290" customFormat="false" ht="15" hidden="false" customHeight="false" outlineLevel="0" collapsed="false">
      <c r="A4290" s="2" t="s">
        <v>300</v>
      </c>
      <c r="B4290" s="2" t="s">
        <v>45</v>
      </c>
      <c r="C4290" s="2" t="s">
        <v>4275</v>
      </c>
      <c r="D4290" s="11" t="n">
        <v>15950</v>
      </c>
      <c r="E4290" s="31" t="n">
        <v>29.5</v>
      </c>
      <c r="F4290" s="31" t="n">
        <v>52.2</v>
      </c>
      <c r="G4290" s="31" t="n">
        <v>87.6</v>
      </c>
      <c r="H4290" s="2" t="s">
        <v>822</v>
      </c>
    </row>
    <row r="4291" customFormat="false" ht="15" hidden="false" customHeight="false" outlineLevel="0" collapsed="false">
      <c r="A4291" s="2" t="s">
        <v>300</v>
      </c>
      <c r="B4291" s="2" t="s">
        <v>46</v>
      </c>
      <c r="C4291" s="2" t="s">
        <v>4274</v>
      </c>
      <c r="D4291" s="2"/>
      <c r="E4291" s="2"/>
      <c r="F4291" s="2"/>
      <c r="G4291" s="31" t="n">
        <v>47.5</v>
      </c>
      <c r="H4291" s="2" t="s">
        <v>832</v>
      </c>
    </row>
    <row r="4292" customFormat="false" ht="15" hidden="false" customHeight="false" outlineLevel="0" collapsed="false">
      <c r="A4292" s="2" t="s">
        <v>300</v>
      </c>
      <c r="B4292" s="2" t="s">
        <v>46</v>
      </c>
      <c r="C4292" s="2" t="s">
        <v>4275</v>
      </c>
      <c r="D4292" s="11" t="n">
        <v>57158</v>
      </c>
      <c r="E4292" s="31" t="n">
        <v>98.2</v>
      </c>
      <c r="F4292" s="31" t="n">
        <v>87.3</v>
      </c>
      <c r="G4292" s="31" t="n">
        <v>83.7</v>
      </c>
      <c r="H4292" s="2" t="s">
        <v>822</v>
      </c>
    </row>
    <row r="4293" customFormat="false" ht="15" hidden="false" customHeight="false" outlineLevel="0" collapsed="false">
      <c r="A4293" s="2" t="s">
        <v>3266</v>
      </c>
      <c r="B4293" s="2" t="s">
        <v>4291</v>
      </c>
      <c r="C4293" s="2" t="s">
        <v>4274</v>
      </c>
      <c r="D4293" s="2"/>
      <c r="E4293" s="2"/>
      <c r="F4293" s="2"/>
      <c r="G4293" s="2"/>
      <c r="H4293" s="2" t="s">
        <v>832</v>
      </c>
    </row>
    <row r="4294" customFormat="false" ht="15" hidden="false" customHeight="false" outlineLevel="0" collapsed="false">
      <c r="A4294" s="2" t="s">
        <v>3266</v>
      </c>
      <c r="B4294" s="2" t="s">
        <v>4291</v>
      </c>
      <c r="C4294" s="2" t="s">
        <v>4275</v>
      </c>
      <c r="D4294" s="2"/>
      <c r="E4294" s="31" t="n">
        <v>48.4</v>
      </c>
      <c r="F4294" s="31" t="n">
        <v>39.9</v>
      </c>
      <c r="G4294" s="2"/>
      <c r="H4294" s="2" t="s">
        <v>832</v>
      </c>
    </row>
    <row r="4295" customFormat="false" ht="15" hidden="false" customHeight="false" outlineLevel="0" collapsed="false">
      <c r="A4295" s="2" t="s">
        <v>3266</v>
      </c>
      <c r="B4295" s="2" t="s">
        <v>45</v>
      </c>
      <c r="C4295" s="2" t="s">
        <v>4274</v>
      </c>
      <c r="D4295" s="2"/>
      <c r="E4295" s="2"/>
      <c r="F4295" s="2"/>
      <c r="G4295" s="2"/>
      <c r="H4295" s="2" t="s">
        <v>832</v>
      </c>
    </row>
    <row r="4296" customFormat="false" ht="15" hidden="false" customHeight="false" outlineLevel="0" collapsed="false">
      <c r="A4296" s="2" t="s">
        <v>3266</v>
      </c>
      <c r="B4296" s="2" t="s">
        <v>45</v>
      </c>
      <c r="C4296" s="2" t="s">
        <v>4275</v>
      </c>
      <c r="D4296" s="11" t="n">
        <v>27550</v>
      </c>
      <c r="E4296" s="31" t="n">
        <v>48.4</v>
      </c>
      <c r="F4296" s="31" t="n">
        <v>39.9</v>
      </c>
      <c r="G4296" s="2"/>
      <c r="H4296" s="2" t="s">
        <v>832</v>
      </c>
    </row>
    <row r="4297" customFormat="false" ht="15" hidden="false" customHeight="false" outlineLevel="0" collapsed="false">
      <c r="A4297" s="2" t="s">
        <v>3268</v>
      </c>
      <c r="B4297" s="2" t="s">
        <v>4291</v>
      </c>
      <c r="C4297" s="2" t="s">
        <v>4274</v>
      </c>
      <c r="D4297" s="2"/>
      <c r="E4297" s="31" t="n">
        <v>46.4</v>
      </c>
      <c r="F4297" s="31" t="n">
        <v>19.9</v>
      </c>
      <c r="G4297" s="31" t="n">
        <v>65.6</v>
      </c>
      <c r="H4297" s="2" t="s">
        <v>822</v>
      </c>
    </row>
    <row r="4298" customFormat="false" ht="15" hidden="false" customHeight="false" outlineLevel="0" collapsed="false">
      <c r="A4298" s="2" t="s">
        <v>3268</v>
      </c>
      <c r="B4298" s="2" t="s">
        <v>4291</v>
      </c>
      <c r="C4298" s="2" t="s">
        <v>4275</v>
      </c>
      <c r="D4298" s="2"/>
      <c r="E4298" s="2"/>
      <c r="F4298" s="2"/>
      <c r="G4298" s="31" t="n">
        <v>96.7</v>
      </c>
      <c r="H4298" s="2" t="s">
        <v>832</v>
      </c>
    </row>
    <row r="4299" customFormat="false" ht="15" hidden="false" customHeight="false" outlineLevel="0" collapsed="false">
      <c r="A4299" s="2" t="s">
        <v>3268</v>
      </c>
      <c r="B4299" s="2" t="s">
        <v>45</v>
      </c>
      <c r="C4299" s="2" t="s">
        <v>4274</v>
      </c>
      <c r="D4299" s="11" t="n">
        <v>124731</v>
      </c>
      <c r="E4299" s="31" t="n">
        <v>46.4</v>
      </c>
      <c r="F4299" s="31" t="n">
        <v>19.9</v>
      </c>
      <c r="G4299" s="31" t="n">
        <v>65.6</v>
      </c>
      <c r="H4299" s="2" t="s">
        <v>822</v>
      </c>
    </row>
    <row r="4300" customFormat="false" ht="15" hidden="false" customHeight="false" outlineLevel="0" collapsed="false">
      <c r="A4300" s="2" t="s">
        <v>3268</v>
      </c>
      <c r="B4300" s="2" t="s">
        <v>45</v>
      </c>
      <c r="C4300" s="2" t="s">
        <v>4275</v>
      </c>
      <c r="D4300" s="2"/>
      <c r="E4300" s="2"/>
      <c r="F4300" s="2"/>
      <c r="G4300" s="31" t="n">
        <v>96.7</v>
      </c>
      <c r="H4300" s="2" t="s">
        <v>832</v>
      </c>
    </row>
    <row r="4301" customFormat="false" ht="15" hidden="false" customHeight="false" outlineLevel="0" collapsed="false">
      <c r="A4301" s="2" t="s">
        <v>2175</v>
      </c>
      <c r="B4301" s="2" t="s">
        <v>4291</v>
      </c>
      <c r="C4301" s="2" t="s">
        <v>4274</v>
      </c>
      <c r="D4301" s="2"/>
      <c r="E4301" s="31" t="n">
        <v>5.4</v>
      </c>
      <c r="F4301" s="31" t="n">
        <v>67.3</v>
      </c>
      <c r="G4301" s="31" t="n">
        <v>71.8</v>
      </c>
      <c r="H4301" s="2" t="s">
        <v>822</v>
      </c>
    </row>
    <row r="4302" customFormat="false" ht="15" hidden="false" customHeight="false" outlineLevel="0" collapsed="false">
      <c r="A4302" s="2" t="s">
        <v>2175</v>
      </c>
      <c r="B4302" s="2" t="s">
        <v>4291</v>
      </c>
      <c r="C4302" s="2" t="s">
        <v>4275</v>
      </c>
      <c r="D4302" s="2"/>
      <c r="E4302" s="31" t="n">
        <v>4.7</v>
      </c>
      <c r="F4302" s="31" t="n">
        <v>63.9</v>
      </c>
      <c r="G4302" s="31" t="n">
        <v>77.2</v>
      </c>
      <c r="H4302" s="2" t="s">
        <v>832</v>
      </c>
    </row>
    <row r="4303" customFormat="false" ht="15" hidden="false" customHeight="false" outlineLevel="0" collapsed="false">
      <c r="A4303" s="2" t="s">
        <v>2175</v>
      </c>
      <c r="B4303" s="2" t="s">
        <v>46</v>
      </c>
      <c r="C4303" s="2" t="s">
        <v>4274</v>
      </c>
      <c r="D4303" s="11" t="n">
        <v>121250</v>
      </c>
      <c r="E4303" s="31" t="n">
        <v>4.1</v>
      </c>
      <c r="F4303" s="31" t="n">
        <v>66</v>
      </c>
      <c r="G4303" s="31" t="n">
        <v>61</v>
      </c>
      <c r="H4303" s="2" t="s">
        <v>822</v>
      </c>
    </row>
    <row r="4304" customFormat="false" ht="15" hidden="false" customHeight="false" outlineLevel="0" collapsed="false">
      <c r="A4304" s="2" t="s">
        <v>2175</v>
      </c>
      <c r="B4304" s="2" t="s">
        <v>46</v>
      </c>
      <c r="C4304" s="2" t="s">
        <v>4275</v>
      </c>
      <c r="D4304" s="11" t="n">
        <v>126120</v>
      </c>
      <c r="E4304" s="31" t="n">
        <v>4.7</v>
      </c>
      <c r="F4304" s="31" t="n">
        <v>56.7</v>
      </c>
      <c r="G4304" s="31" t="n">
        <v>72.8</v>
      </c>
      <c r="H4304" s="2" t="s">
        <v>822</v>
      </c>
    </row>
    <row r="4305" customFormat="false" ht="15" hidden="false" customHeight="false" outlineLevel="0" collapsed="false">
      <c r="A4305" s="2" t="s">
        <v>2175</v>
      </c>
      <c r="B4305" s="2" t="s">
        <v>47</v>
      </c>
      <c r="C4305" s="2" t="s">
        <v>4274</v>
      </c>
      <c r="D4305" s="11" t="n">
        <v>21848</v>
      </c>
      <c r="E4305" s="31" t="n">
        <v>6.6</v>
      </c>
      <c r="F4305" s="31" t="n">
        <v>68.6</v>
      </c>
      <c r="G4305" s="31" t="n">
        <v>82.7</v>
      </c>
      <c r="H4305" s="2" t="s">
        <v>822</v>
      </c>
    </row>
    <row r="4306" customFormat="false" ht="15" hidden="false" customHeight="false" outlineLevel="0" collapsed="false">
      <c r="A4306" s="2" t="s">
        <v>2175</v>
      </c>
      <c r="B4306" s="2" t="s">
        <v>47</v>
      </c>
      <c r="C4306" s="2" t="s">
        <v>4275</v>
      </c>
      <c r="D4306" s="11" t="n">
        <v>23165</v>
      </c>
      <c r="E4306" s="2"/>
      <c r="F4306" s="31" t="n">
        <v>71.1</v>
      </c>
      <c r="G4306" s="31" t="n">
        <v>81.7</v>
      </c>
      <c r="H4306" s="2" t="s">
        <v>832</v>
      </c>
    </row>
    <row r="4307" customFormat="false" ht="15" hidden="false" customHeight="false" outlineLevel="0" collapsed="false">
      <c r="A4307" s="2" t="s">
        <v>1921</v>
      </c>
      <c r="B4307" s="2" t="s">
        <v>4291</v>
      </c>
      <c r="C4307" s="2" t="s">
        <v>4274</v>
      </c>
      <c r="D4307" s="2"/>
      <c r="E4307" s="31" t="n">
        <v>30.2</v>
      </c>
      <c r="F4307" s="31" t="n">
        <v>37.2</v>
      </c>
      <c r="G4307" s="31" t="n">
        <v>64.4</v>
      </c>
      <c r="H4307" s="2" t="s">
        <v>832</v>
      </c>
    </row>
    <row r="4308" customFormat="false" ht="15" hidden="false" customHeight="false" outlineLevel="0" collapsed="false">
      <c r="A4308" s="2" t="s">
        <v>1921</v>
      </c>
      <c r="B4308" s="2" t="s">
        <v>4291</v>
      </c>
      <c r="C4308" s="2" t="s">
        <v>4275</v>
      </c>
      <c r="D4308" s="2"/>
      <c r="E4308" s="31" t="n">
        <v>23.9</v>
      </c>
      <c r="F4308" s="31" t="n">
        <v>18.7</v>
      </c>
      <c r="G4308" s="31" t="n">
        <v>49.7</v>
      </c>
      <c r="H4308" s="2" t="s">
        <v>832</v>
      </c>
    </row>
    <row r="4309" customFormat="false" ht="15" hidden="false" customHeight="false" outlineLevel="0" collapsed="false">
      <c r="A4309" s="2" t="s">
        <v>1921</v>
      </c>
      <c r="B4309" s="2" t="s">
        <v>45</v>
      </c>
      <c r="C4309" s="2" t="s">
        <v>4274</v>
      </c>
      <c r="D4309" s="11" t="n">
        <v>3950</v>
      </c>
      <c r="E4309" s="31" t="n">
        <v>6</v>
      </c>
      <c r="F4309" s="31" t="n">
        <v>88.7</v>
      </c>
      <c r="G4309" s="2"/>
      <c r="H4309" s="2" t="s">
        <v>832</v>
      </c>
    </row>
    <row r="4310" customFormat="false" ht="15" hidden="false" customHeight="false" outlineLevel="0" collapsed="false">
      <c r="A4310" s="2" t="s">
        <v>1921</v>
      </c>
      <c r="B4310" s="2" t="s">
        <v>45</v>
      </c>
      <c r="C4310" s="2" t="s">
        <v>4275</v>
      </c>
      <c r="D4310" s="11" t="n">
        <v>4190</v>
      </c>
      <c r="E4310" s="31" t="n">
        <v>7.6</v>
      </c>
      <c r="F4310" s="2"/>
      <c r="G4310" s="31" t="n">
        <v>1.3</v>
      </c>
      <c r="H4310" s="2" t="s">
        <v>832</v>
      </c>
    </row>
    <row r="4311" customFormat="false" ht="15" hidden="false" customHeight="false" outlineLevel="0" collapsed="false">
      <c r="A4311" s="2" t="s">
        <v>1921</v>
      </c>
      <c r="B4311" s="2" t="s">
        <v>46</v>
      </c>
      <c r="C4311" s="2" t="s">
        <v>4274</v>
      </c>
      <c r="D4311" s="11" t="n">
        <v>66609</v>
      </c>
      <c r="E4311" s="31" t="n">
        <v>68.7</v>
      </c>
      <c r="F4311" s="31" t="n">
        <v>9.7</v>
      </c>
      <c r="G4311" s="31" t="n">
        <v>56.8</v>
      </c>
      <c r="H4311" s="2" t="s">
        <v>822</v>
      </c>
    </row>
    <row r="4312" customFormat="false" ht="15" hidden="false" customHeight="false" outlineLevel="0" collapsed="false">
      <c r="A4312" s="2" t="s">
        <v>1921</v>
      </c>
      <c r="B4312" s="2" t="s">
        <v>46</v>
      </c>
      <c r="C4312" s="2" t="s">
        <v>4275</v>
      </c>
      <c r="D4312" s="11" t="n">
        <v>65960</v>
      </c>
      <c r="E4312" s="31" t="n">
        <v>45.6</v>
      </c>
      <c r="F4312" s="31" t="n">
        <v>34.5</v>
      </c>
      <c r="G4312" s="31" t="n">
        <v>57.8</v>
      </c>
      <c r="H4312" s="2" t="s">
        <v>822</v>
      </c>
    </row>
    <row r="4313" customFormat="false" ht="15" hidden="false" customHeight="false" outlineLevel="0" collapsed="false">
      <c r="A4313" s="2" t="s">
        <v>1921</v>
      </c>
      <c r="B4313" s="2" t="s">
        <v>47</v>
      </c>
      <c r="C4313" s="2" t="s">
        <v>4274</v>
      </c>
      <c r="D4313" s="11" t="n">
        <v>12204</v>
      </c>
      <c r="E4313" s="31" t="n">
        <v>15.9</v>
      </c>
      <c r="F4313" s="31" t="n">
        <v>13.1</v>
      </c>
      <c r="G4313" s="31" t="n">
        <v>72</v>
      </c>
      <c r="H4313" s="2" t="s">
        <v>822</v>
      </c>
    </row>
    <row r="4314" customFormat="false" ht="15" hidden="false" customHeight="false" outlineLevel="0" collapsed="false">
      <c r="A4314" s="2" t="s">
        <v>1921</v>
      </c>
      <c r="B4314" s="2" t="s">
        <v>47</v>
      </c>
      <c r="C4314" s="2" t="s">
        <v>4275</v>
      </c>
      <c r="D4314" s="11" t="n">
        <v>12140</v>
      </c>
      <c r="E4314" s="31" t="n">
        <v>18.5</v>
      </c>
      <c r="F4314" s="31" t="n">
        <v>2.9</v>
      </c>
      <c r="G4314" s="31" t="n">
        <v>90</v>
      </c>
      <c r="H4314" s="2" t="s">
        <v>822</v>
      </c>
    </row>
    <row r="4315" customFormat="false" ht="15" hidden="false" customHeight="false" outlineLevel="0" collapsed="false">
      <c r="A4315" s="2" t="s">
        <v>1632</v>
      </c>
      <c r="B4315" s="2" t="s">
        <v>4291</v>
      </c>
      <c r="C4315" s="2" t="s">
        <v>4274</v>
      </c>
      <c r="D4315" s="2"/>
      <c r="E4315" s="31" t="n">
        <v>38</v>
      </c>
      <c r="F4315" s="31" t="n">
        <v>44.8</v>
      </c>
      <c r="G4315" s="31" t="n">
        <v>75.8</v>
      </c>
      <c r="H4315" s="2" t="s">
        <v>822</v>
      </c>
    </row>
    <row r="4316" customFormat="false" ht="15" hidden="false" customHeight="false" outlineLevel="0" collapsed="false">
      <c r="A4316" s="2" t="s">
        <v>1632</v>
      </c>
      <c r="B4316" s="2" t="s">
        <v>4291</v>
      </c>
      <c r="C4316" s="2" t="s">
        <v>4275</v>
      </c>
      <c r="D4316" s="2"/>
      <c r="E4316" s="31" t="n">
        <v>62.8</v>
      </c>
      <c r="F4316" s="31" t="n">
        <v>56.4</v>
      </c>
      <c r="G4316" s="31" t="n">
        <v>92.4</v>
      </c>
      <c r="H4316" s="2" t="s">
        <v>832</v>
      </c>
    </row>
    <row r="4317" customFormat="false" ht="15" hidden="false" customHeight="false" outlineLevel="0" collapsed="false">
      <c r="A4317" s="2" t="s">
        <v>1632</v>
      </c>
      <c r="B4317" s="2" t="s">
        <v>45</v>
      </c>
      <c r="C4317" s="2" t="s">
        <v>4274</v>
      </c>
      <c r="D4317" s="11" t="n">
        <v>32878</v>
      </c>
      <c r="E4317" s="31" t="n">
        <v>10.1</v>
      </c>
      <c r="F4317" s="31" t="n">
        <v>38.7</v>
      </c>
      <c r="G4317" s="2"/>
      <c r="H4317" s="2" t="s">
        <v>822</v>
      </c>
    </row>
    <row r="4318" customFormat="false" ht="15" hidden="false" customHeight="false" outlineLevel="0" collapsed="false">
      <c r="A4318" s="2" t="s">
        <v>1632</v>
      </c>
      <c r="B4318" s="2" t="s">
        <v>45</v>
      </c>
      <c r="C4318" s="2" t="s">
        <v>4275</v>
      </c>
      <c r="D4318" s="2"/>
      <c r="E4318" s="2"/>
      <c r="F4318" s="2"/>
      <c r="G4318" s="2"/>
      <c r="H4318" s="2" t="s">
        <v>832</v>
      </c>
    </row>
    <row r="4319" customFormat="false" ht="15" hidden="false" customHeight="false" outlineLevel="0" collapsed="false">
      <c r="A4319" s="2" t="s">
        <v>1632</v>
      </c>
      <c r="B4319" s="2" t="s">
        <v>46</v>
      </c>
      <c r="C4319" s="2" t="s">
        <v>4274</v>
      </c>
      <c r="D4319" s="11" t="n">
        <v>64260</v>
      </c>
      <c r="E4319" s="31" t="n">
        <v>84.7</v>
      </c>
      <c r="F4319" s="31" t="n">
        <v>95.1</v>
      </c>
      <c r="G4319" s="31" t="n">
        <v>52.7</v>
      </c>
      <c r="H4319" s="2" t="s">
        <v>822</v>
      </c>
    </row>
    <row r="4320" customFormat="false" ht="15" hidden="false" customHeight="false" outlineLevel="0" collapsed="false">
      <c r="A4320" s="2" t="s">
        <v>1632</v>
      </c>
      <c r="B4320" s="2" t="s">
        <v>46</v>
      </c>
      <c r="C4320" s="2" t="s">
        <v>4275</v>
      </c>
      <c r="D4320" s="11" t="n">
        <v>68320</v>
      </c>
      <c r="E4320" s="31" t="n">
        <v>94.9</v>
      </c>
      <c r="F4320" s="31" t="n">
        <v>96.7</v>
      </c>
      <c r="G4320" s="31" t="n">
        <v>93.2</v>
      </c>
      <c r="H4320" s="2" t="s">
        <v>822</v>
      </c>
    </row>
    <row r="4321" customFormat="false" ht="15" hidden="false" customHeight="false" outlineLevel="0" collapsed="false">
      <c r="A4321" s="2" t="s">
        <v>1632</v>
      </c>
      <c r="B4321" s="2" t="s">
        <v>47</v>
      </c>
      <c r="C4321" s="2" t="s">
        <v>4274</v>
      </c>
      <c r="D4321" s="11" t="n">
        <v>43711</v>
      </c>
      <c r="E4321" s="31" t="n">
        <v>19.2</v>
      </c>
      <c r="F4321" s="31" t="n">
        <v>0.7</v>
      </c>
      <c r="G4321" s="31" t="n">
        <v>98.8</v>
      </c>
      <c r="H4321" s="2" t="s">
        <v>822</v>
      </c>
    </row>
    <row r="4322" customFormat="false" ht="15" hidden="false" customHeight="false" outlineLevel="0" collapsed="false">
      <c r="A4322" s="2" t="s">
        <v>1632</v>
      </c>
      <c r="B4322" s="2" t="s">
        <v>47</v>
      </c>
      <c r="C4322" s="2" t="s">
        <v>4275</v>
      </c>
      <c r="D4322" s="11" t="n">
        <v>42608</v>
      </c>
      <c r="E4322" s="31" t="n">
        <v>30.7</v>
      </c>
      <c r="F4322" s="31" t="n">
        <v>16.2</v>
      </c>
      <c r="G4322" s="31" t="n">
        <v>91.6</v>
      </c>
      <c r="H4322" s="2" t="s">
        <v>822</v>
      </c>
    </row>
    <row r="4323" customFormat="false" ht="15" hidden="false" customHeight="false" outlineLevel="0" collapsed="false">
      <c r="A4323" s="2" t="s">
        <v>2069</v>
      </c>
      <c r="B4323" s="2" t="s">
        <v>4291</v>
      </c>
      <c r="C4323" s="2" t="s">
        <v>4274</v>
      </c>
      <c r="D4323" s="2"/>
      <c r="E4323" s="31" t="n">
        <v>38.4</v>
      </c>
      <c r="F4323" s="31" t="n">
        <v>49.6</v>
      </c>
      <c r="G4323" s="31" t="n">
        <v>9.9</v>
      </c>
      <c r="H4323" s="2" t="s">
        <v>832</v>
      </c>
    </row>
    <row r="4324" customFormat="false" ht="15" hidden="false" customHeight="false" outlineLevel="0" collapsed="false">
      <c r="A4324" s="2" t="s">
        <v>2069</v>
      </c>
      <c r="B4324" s="2" t="s">
        <v>4291</v>
      </c>
      <c r="C4324" s="2" t="s">
        <v>4275</v>
      </c>
      <c r="D4324" s="2"/>
      <c r="E4324" s="31" t="n">
        <v>42.2</v>
      </c>
      <c r="F4324" s="31" t="n">
        <v>66.8</v>
      </c>
      <c r="G4324" s="31" t="n">
        <v>17.8</v>
      </c>
      <c r="H4324" s="2" t="s">
        <v>832</v>
      </c>
    </row>
    <row r="4325" customFormat="false" ht="15" hidden="false" customHeight="false" outlineLevel="0" collapsed="false">
      <c r="A4325" s="2" t="s">
        <v>2069</v>
      </c>
      <c r="B4325" s="2" t="s">
        <v>45</v>
      </c>
      <c r="C4325" s="2" t="s">
        <v>4274</v>
      </c>
      <c r="D4325" s="11" t="n">
        <v>42060</v>
      </c>
      <c r="E4325" s="31" t="n">
        <v>75.6</v>
      </c>
      <c r="F4325" s="31" t="n">
        <v>44.5</v>
      </c>
      <c r="G4325" s="31" t="n">
        <v>5.9</v>
      </c>
      <c r="H4325" s="2" t="s">
        <v>822</v>
      </c>
    </row>
    <row r="4326" customFormat="false" ht="15" hidden="false" customHeight="false" outlineLevel="0" collapsed="false">
      <c r="A4326" s="2" t="s">
        <v>2069</v>
      </c>
      <c r="B4326" s="2" t="s">
        <v>45</v>
      </c>
      <c r="C4326" s="2" t="s">
        <v>4275</v>
      </c>
      <c r="D4326" s="11" t="n">
        <v>43060</v>
      </c>
      <c r="E4326" s="31" t="n">
        <v>67.3</v>
      </c>
      <c r="F4326" s="31" t="n">
        <v>85.6</v>
      </c>
      <c r="G4326" s="2"/>
      <c r="H4326" s="2" t="s">
        <v>832</v>
      </c>
    </row>
    <row r="4327" customFormat="false" ht="15" hidden="false" customHeight="false" outlineLevel="0" collapsed="false">
      <c r="A4327" s="2" t="s">
        <v>2069</v>
      </c>
      <c r="B4327" s="2" t="s">
        <v>46</v>
      </c>
      <c r="C4327" s="2" t="s">
        <v>4274</v>
      </c>
      <c r="D4327" s="11" t="n">
        <v>54440</v>
      </c>
      <c r="E4327" s="31" t="n">
        <v>10.4</v>
      </c>
      <c r="F4327" s="31" t="n">
        <v>82.8</v>
      </c>
      <c r="G4327" s="2"/>
      <c r="H4327" s="2" t="s">
        <v>832</v>
      </c>
    </row>
    <row r="4328" customFormat="false" ht="15" hidden="false" customHeight="false" outlineLevel="0" collapsed="false">
      <c r="A4328" s="2" t="s">
        <v>2069</v>
      </c>
      <c r="B4328" s="2" t="s">
        <v>46</v>
      </c>
      <c r="C4328" s="2" t="s">
        <v>4275</v>
      </c>
      <c r="D4328" s="11" t="n">
        <v>56740</v>
      </c>
      <c r="E4328" s="31" t="n">
        <v>22.2</v>
      </c>
      <c r="F4328" s="31" t="n">
        <v>78.2</v>
      </c>
      <c r="G4328" s="31" t="n">
        <v>2</v>
      </c>
      <c r="H4328" s="2" t="s">
        <v>822</v>
      </c>
    </row>
    <row r="4329" customFormat="false" ht="15" hidden="false" customHeight="false" outlineLevel="0" collapsed="false">
      <c r="A4329" s="2" t="s">
        <v>2069</v>
      </c>
      <c r="B4329" s="2" t="s">
        <v>47</v>
      </c>
      <c r="C4329" s="2" t="s">
        <v>4274</v>
      </c>
      <c r="D4329" s="11" t="n">
        <v>495713</v>
      </c>
      <c r="E4329" s="31" t="n">
        <v>29.2</v>
      </c>
      <c r="F4329" s="31" t="n">
        <v>21.6</v>
      </c>
      <c r="G4329" s="31" t="n">
        <v>13.8</v>
      </c>
      <c r="H4329" s="2" t="s">
        <v>822</v>
      </c>
    </row>
    <row r="4330" customFormat="false" ht="15" hidden="false" customHeight="false" outlineLevel="0" collapsed="false">
      <c r="A4330" s="2" t="s">
        <v>2069</v>
      </c>
      <c r="B4330" s="2" t="s">
        <v>47</v>
      </c>
      <c r="C4330" s="2" t="s">
        <v>4275</v>
      </c>
      <c r="D4330" s="11" t="n">
        <v>307636</v>
      </c>
      <c r="E4330" s="31" t="n">
        <v>37.2</v>
      </c>
      <c r="F4330" s="31" t="n">
        <v>36.6</v>
      </c>
      <c r="G4330" s="31" t="n">
        <v>33.5</v>
      </c>
      <c r="H4330" s="2" t="s">
        <v>822</v>
      </c>
    </row>
    <row r="4331" customFormat="false" ht="15" hidden="false" customHeight="false" outlineLevel="0" collapsed="false">
      <c r="A4331" s="2" t="s">
        <v>3273</v>
      </c>
      <c r="B4331" s="2" t="s">
        <v>4291</v>
      </c>
      <c r="C4331" s="2" t="s">
        <v>4274</v>
      </c>
      <c r="D4331" s="2"/>
      <c r="E4331" s="31" t="n">
        <v>29.6</v>
      </c>
      <c r="F4331" s="31" t="n">
        <v>43.8</v>
      </c>
      <c r="G4331" s="31" t="n">
        <v>12.7</v>
      </c>
      <c r="H4331" s="2" t="s">
        <v>832</v>
      </c>
    </row>
    <row r="4332" customFormat="false" ht="15" hidden="false" customHeight="false" outlineLevel="0" collapsed="false">
      <c r="A4332" s="2" t="s">
        <v>3273</v>
      </c>
      <c r="B4332" s="2" t="s">
        <v>4291</v>
      </c>
      <c r="C4332" s="2" t="s">
        <v>4275</v>
      </c>
      <c r="D4332" s="2"/>
      <c r="E4332" s="31" t="n">
        <v>58.7</v>
      </c>
      <c r="F4332" s="31" t="n">
        <v>76.3</v>
      </c>
      <c r="G4332" s="2"/>
      <c r="H4332" s="2" t="s">
        <v>832</v>
      </c>
    </row>
    <row r="4333" customFormat="false" ht="15" hidden="false" customHeight="false" outlineLevel="0" collapsed="false">
      <c r="A4333" s="2" t="s">
        <v>3273</v>
      </c>
      <c r="B4333" s="2" t="s">
        <v>45</v>
      </c>
      <c r="C4333" s="2" t="s">
        <v>4274</v>
      </c>
      <c r="D4333" s="11" t="n">
        <v>2630</v>
      </c>
      <c r="E4333" s="31" t="n">
        <v>33.7</v>
      </c>
      <c r="F4333" s="2"/>
      <c r="G4333" s="2"/>
      <c r="H4333" s="2" t="s">
        <v>832</v>
      </c>
    </row>
    <row r="4334" customFormat="false" ht="15" hidden="false" customHeight="false" outlineLevel="0" collapsed="false">
      <c r="A4334" s="2" t="s">
        <v>3273</v>
      </c>
      <c r="B4334" s="2" t="s">
        <v>45</v>
      </c>
      <c r="C4334" s="2" t="s">
        <v>4275</v>
      </c>
      <c r="D4334" s="2"/>
      <c r="E4334" s="2"/>
      <c r="F4334" s="2"/>
      <c r="G4334" s="2"/>
      <c r="H4334" s="2" t="s">
        <v>832</v>
      </c>
    </row>
    <row r="4335" customFormat="false" ht="15" hidden="false" customHeight="false" outlineLevel="0" collapsed="false">
      <c r="A4335" s="2" t="s">
        <v>3273</v>
      </c>
      <c r="B4335" s="2" t="s">
        <v>47</v>
      </c>
      <c r="C4335" s="2" t="s">
        <v>4274</v>
      </c>
      <c r="D4335" s="11" t="n">
        <v>20507</v>
      </c>
      <c r="E4335" s="31" t="n">
        <v>25.6</v>
      </c>
      <c r="F4335" s="31" t="n">
        <v>43.8</v>
      </c>
      <c r="G4335" s="31" t="n">
        <v>12.7</v>
      </c>
      <c r="H4335" s="2" t="s">
        <v>822</v>
      </c>
    </row>
    <row r="4336" customFormat="false" ht="15" hidden="false" customHeight="false" outlineLevel="0" collapsed="false">
      <c r="A4336" s="2" t="s">
        <v>3273</v>
      </c>
      <c r="B4336" s="2" t="s">
        <v>47</v>
      </c>
      <c r="C4336" s="2" t="s">
        <v>4275</v>
      </c>
      <c r="D4336" s="11" t="n">
        <v>21700</v>
      </c>
      <c r="E4336" s="31" t="n">
        <v>58.7</v>
      </c>
      <c r="F4336" s="31" t="n">
        <v>76.3</v>
      </c>
      <c r="G4336" s="2"/>
      <c r="H4336" s="2" t="s">
        <v>832</v>
      </c>
    </row>
    <row r="4337" customFormat="false" ht="15" hidden="false" customHeight="false" outlineLevel="0" collapsed="false">
      <c r="A4337" s="2" t="s">
        <v>3275</v>
      </c>
      <c r="B4337" s="2" t="s">
        <v>4291</v>
      </c>
      <c r="C4337" s="2" t="s">
        <v>4274</v>
      </c>
      <c r="D4337" s="2"/>
      <c r="E4337" s="31" t="n">
        <v>18.2</v>
      </c>
      <c r="F4337" s="31" t="n">
        <v>41.5</v>
      </c>
      <c r="G4337" s="31" t="n">
        <v>44.4</v>
      </c>
      <c r="H4337" s="2" t="s">
        <v>822</v>
      </c>
    </row>
    <row r="4338" customFormat="false" ht="15" hidden="false" customHeight="false" outlineLevel="0" collapsed="false">
      <c r="A4338" s="2" t="s">
        <v>3275</v>
      </c>
      <c r="B4338" s="2" t="s">
        <v>4291</v>
      </c>
      <c r="C4338" s="2" t="s">
        <v>4275</v>
      </c>
      <c r="D4338" s="2"/>
      <c r="E4338" s="31" t="n">
        <v>19.6</v>
      </c>
      <c r="F4338" s="31" t="n">
        <v>9.1</v>
      </c>
      <c r="G4338" s="31" t="n">
        <v>14.3</v>
      </c>
      <c r="H4338" s="2" t="s">
        <v>832</v>
      </c>
    </row>
    <row r="4339" customFormat="false" ht="15" hidden="false" customHeight="false" outlineLevel="0" collapsed="false">
      <c r="A4339" s="2" t="s">
        <v>3275</v>
      </c>
      <c r="B4339" s="2" t="s">
        <v>46</v>
      </c>
      <c r="C4339" s="2" t="s">
        <v>4274</v>
      </c>
      <c r="D4339" s="11" t="n">
        <v>49187</v>
      </c>
      <c r="E4339" s="31" t="n">
        <v>6.7</v>
      </c>
      <c r="F4339" s="31" t="n">
        <v>15.4</v>
      </c>
      <c r="G4339" s="31" t="n">
        <v>14.8</v>
      </c>
      <c r="H4339" s="2" t="s">
        <v>822</v>
      </c>
    </row>
    <row r="4340" customFormat="false" ht="15" hidden="false" customHeight="false" outlineLevel="0" collapsed="false">
      <c r="A4340" s="2" t="s">
        <v>3275</v>
      </c>
      <c r="B4340" s="2" t="s">
        <v>46</v>
      </c>
      <c r="C4340" s="2" t="s">
        <v>4275</v>
      </c>
      <c r="D4340" s="11" t="n">
        <v>48650</v>
      </c>
      <c r="E4340" s="31" t="n">
        <v>19.6</v>
      </c>
      <c r="F4340" s="31" t="n">
        <v>9.1</v>
      </c>
      <c r="G4340" s="31" t="n">
        <v>14.3</v>
      </c>
      <c r="H4340" s="2" t="s">
        <v>832</v>
      </c>
    </row>
    <row r="4341" customFormat="false" ht="15" hidden="false" customHeight="false" outlineLevel="0" collapsed="false">
      <c r="A4341" s="2" t="s">
        <v>3275</v>
      </c>
      <c r="B4341" s="2" t="s">
        <v>47</v>
      </c>
      <c r="C4341" s="2" t="s">
        <v>4274</v>
      </c>
      <c r="D4341" s="11" t="n">
        <v>49323</v>
      </c>
      <c r="E4341" s="31" t="n">
        <v>29.6</v>
      </c>
      <c r="F4341" s="31" t="n">
        <v>67.6</v>
      </c>
      <c r="G4341" s="31" t="n">
        <v>74.1</v>
      </c>
      <c r="H4341" s="2" t="s">
        <v>822</v>
      </c>
    </row>
    <row r="4342" customFormat="false" ht="15" hidden="false" customHeight="false" outlineLevel="0" collapsed="false">
      <c r="A4342" s="2" t="s">
        <v>3275</v>
      </c>
      <c r="B4342" s="2" t="s">
        <v>47</v>
      </c>
      <c r="C4342" s="2" t="s">
        <v>4275</v>
      </c>
      <c r="D4342" s="2"/>
      <c r="E4342" s="2"/>
      <c r="F4342" s="2"/>
      <c r="G4342" s="2"/>
      <c r="H4342" s="2" t="s">
        <v>832</v>
      </c>
    </row>
    <row r="4343" customFormat="false" ht="15" hidden="false" customHeight="false" outlineLevel="0" collapsed="false">
      <c r="A4343" s="2" t="s">
        <v>1814</v>
      </c>
      <c r="B4343" s="2" t="s">
        <v>4291</v>
      </c>
      <c r="C4343" s="2" t="s">
        <v>4274</v>
      </c>
      <c r="D4343" s="2"/>
      <c r="E4343" s="2"/>
      <c r="F4343" s="31" t="n">
        <v>53.6</v>
      </c>
      <c r="G4343" s="31" t="n">
        <v>95.9</v>
      </c>
      <c r="H4343" s="2" t="s">
        <v>832</v>
      </c>
    </row>
    <row r="4344" customFormat="false" ht="15" hidden="false" customHeight="false" outlineLevel="0" collapsed="false">
      <c r="A4344" s="2" t="s">
        <v>1814</v>
      </c>
      <c r="B4344" s="2" t="s">
        <v>4291</v>
      </c>
      <c r="C4344" s="2" t="s">
        <v>4275</v>
      </c>
      <c r="D4344" s="2"/>
      <c r="E4344" s="31" t="n">
        <v>69.8</v>
      </c>
      <c r="F4344" s="31" t="n">
        <v>80.4</v>
      </c>
      <c r="G4344" s="31" t="n">
        <v>69.4</v>
      </c>
      <c r="H4344" s="2" t="s">
        <v>832</v>
      </c>
    </row>
    <row r="4345" customFormat="false" ht="15" hidden="false" customHeight="false" outlineLevel="0" collapsed="false">
      <c r="A4345" s="2" t="s">
        <v>1814</v>
      </c>
      <c r="B4345" s="2" t="s">
        <v>45</v>
      </c>
      <c r="C4345" s="2" t="s">
        <v>4274</v>
      </c>
      <c r="D4345" s="11" t="n">
        <v>23760</v>
      </c>
      <c r="E4345" s="2"/>
      <c r="F4345" s="31" t="n">
        <v>53.6</v>
      </c>
      <c r="G4345" s="31" t="n">
        <v>95.9</v>
      </c>
      <c r="H4345" s="2" t="s">
        <v>832</v>
      </c>
    </row>
    <row r="4346" customFormat="false" ht="15" hidden="false" customHeight="false" outlineLevel="0" collapsed="false">
      <c r="A4346" s="2" t="s">
        <v>1814</v>
      </c>
      <c r="B4346" s="2" t="s">
        <v>45</v>
      </c>
      <c r="C4346" s="2" t="s">
        <v>4275</v>
      </c>
      <c r="D4346" s="11" t="n">
        <v>24200</v>
      </c>
      <c r="E4346" s="31" t="n">
        <v>75.4</v>
      </c>
      <c r="F4346" s="2"/>
      <c r="G4346" s="31" t="n">
        <v>94.4</v>
      </c>
      <c r="H4346" s="2" t="s">
        <v>832</v>
      </c>
    </row>
    <row r="4347" customFormat="false" ht="15" hidden="false" customHeight="false" outlineLevel="0" collapsed="false">
      <c r="A4347" s="2" t="s">
        <v>1814</v>
      </c>
      <c r="B4347" s="2" t="s">
        <v>46</v>
      </c>
      <c r="C4347" s="2" t="s">
        <v>4274</v>
      </c>
      <c r="D4347" s="2"/>
      <c r="E4347" s="2"/>
      <c r="F4347" s="2"/>
      <c r="G4347" s="2"/>
      <c r="H4347" s="2" t="s">
        <v>832</v>
      </c>
    </row>
    <row r="4348" customFormat="false" ht="15" hidden="false" customHeight="false" outlineLevel="0" collapsed="false">
      <c r="A4348" s="2" t="s">
        <v>1814</v>
      </c>
      <c r="B4348" s="2" t="s">
        <v>46</v>
      </c>
      <c r="C4348" s="2" t="s">
        <v>4275</v>
      </c>
      <c r="D4348" s="11" t="n">
        <v>40920</v>
      </c>
      <c r="E4348" s="31" t="n">
        <v>64.2</v>
      </c>
      <c r="F4348" s="31" t="n">
        <v>80.4</v>
      </c>
      <c r="G4348" s="31" t="n">
        <v>44.4</v>
      </c>
      <c r="H4348" s="2" t="s">
        <v>822</v>
      </c>
    </row>
    <row r="4349" customFormat="false" ht="15" hidden="false" customHeight="false" outlineLevel="0" collapsed="false">
      <c r="A4349" s="2" t="s">
        <v>1814</v>
      </c>
      <c r="B4349" s="2" t="s">
        <v>47</v>
      </c>
      <c r="C4349" s="2" t="s">
        <v>4274</v>
      </c>
      <c r="D4349" s="2"/>
      <c r="E4349" s="2"/>
      <c r="F4349" s="2"/>
      <c r="G4349" s="2"/>
      <c r="H4349" s="2" t="s">
        <v>832</v>
      </c>
    </row>
    <row r="4350" customFormat="false" ht="15" hidden="false" customHeight="false" outlineLevel="0" collapsed="false">
      <c r="A4350" s="2" t="s">
        <v>1814</v>
      </c>
      <c r="B4350" s="2" t="s">
        <v>47</v>
      </c>
      <c r="C4350" s="2" t="s">
        <v>4275</v>
      </c>
      <c r="D4350" s="2"/>
      <c r="E4350" s="2"/>
      <c r="F4350" s="2"/>
      <c r="G4350" s="2"/>
      <c r="H4350" s="2" t="s">
        <v>832</v>
      </c>
    </row>
    <row r="4351" customFormat="false" ht="15" hidden="false" customHeight="false" outlineLevel="0" collapsed="false">
      <c r="A4351" s="2" t="s">
        <v>1239</v>
      </c>
      <c r="B4351" s="2" t="s">
        <v>4291</v>
      </c>
      <c r="C4351" s="2" t="s">
        <v>4274</v>
      </c>
      <c r="D4351" s="2"/>
      <c r="E4351" s="31" t="n">
        <v>66.4</v>
      </c>
      <c r="F4351" s="31" t="n">
        <v>38.8</v>
      </c>
      <c r="G4351" s="31" t="n">
        <v>28</v>
      </c>
      <c r="H4351" s="2" t="s">
        <v>832</v>
      </c>
    </row>
    <row r="4352" customFormat="false" ht="15" hidden="false" customHeight="false" outlineLevel="0" collapsed="false">
      <c r="A4352" s="2" t="s">
        <v>1239</v>
      </c>
      <c r="B4352" s="2" t="s">
        <v>4291</v>
      </c>
      <c r="C4352" s="2" t="s">
        <v>4275</v>
      </c>
      <c r="D4352" s="2"/>
      <c r="E4352" s="31" t="n">
        <v>46.4</v>
      </c>
      <c r="F4352" s="31" t="n">
        <v>38.8</v>
      </c>
      <c r="G4352" s="31" t="n">
        <v>55.2</v>
      </c>
      <c r="H4352" s="2" t="s">
        <v>832</v>
      </c>
    </row>
    <row r="4353" customFormat="false" ht="15" hidden="false" customHeight="false" outlineLevel="0" collapsed="false">
      <c r="A4353" s="2" t="s">
        <v>1239</v>
      </c>
      <c r="B4353" s="2" t="s">
        <v>45</v>
      </c>
      <c r="C4353" s="2" t="s">
        <v>4274</v>
      </c>
      <c r="D4353" s="11" t="n">
        <v>50827</v>
      </c>
      <c r="E4353" s="31" t="n">
        <v>56.2</v>
      </c>
      <c r="F4353" s="31" t="n">
        <v>54</v>
      </c>
      <c r="G4353" s="2"/>
      <c r="H4353" s="2" t="s">
        <v>822</v>
      </c>
    </row>
    <row r="4354" customFormat="false" ht="15" hidden="false" customHeight="false" outlineLevel="0" collapsed="false">
      <c r="A4354" s="2" t="s">
        <v>1239</v>
      </c>
      <c r="B4354" s="2" t="s">
        <v>45</v>
      </c>
      <c r="C4354" s="2" t="s">
        <v>4275</v>
      </c>
      <c r="D4354" s="11" t="n">
        <v>53700</v>
      </c>
      <c r="E4354" s="31" t="n">
        <v>49.1</v>
      </c>
      <c r="F4354" s="31" t="n">
        <v>33</v>
      </c>
      <c r="G4354" s="2"/>
      <c r="H4354" s="2" t="s">
        <v>822</v>
      </c>
    </row>
    <row r="4355" customFormat="false" ht="15" hidden="false" customHeight="false" outlineLevel="0" collapsed="false">
      <c r="A4355" s="2" t="s">
        <v>1239</v>
      </c>
      <c r="B4355" s="2" t="s">
        <v>46</v>
      </c>
      <c r="C4355" s="2" t="s">
        <v>4274</v>
      </c>
      <c r="D4355" s="2"/>
      <c r="E4355" s="2"/>
      <c r="F4355" s="2"/>
      <c r="G4355" s="2"/>
      <c r="H4355" s="2" t="s">
        <v>832</v>
      </c>
    </row>
    <row r="4356" customFormat="false" ht="15" hidden="false" customHeight="false" outlineLevel="0" collapsed="false">
      <c r="A4356" s="2" t="s">
        <v>1239</v>
      </c>
      <c r="B4356" s="2" t="s">
        <v>46</v>
      </c>
      <c r="C4356" s="2" t="s">
        <v>4275</v>
      </c>
      <c r="D4356" s="11" t="n">
        <v>17565</v>
      </c>
      <c r="E4356" s="31" t="n">
        <v>60.1</v>
      </c>
      <c r="F4356" s="31" t="n">
        <v>50.9</v>
      </c>
      <c r="G4356" s="2"/>
      <c r="H4356" s="2" t="s">
        <v>832</v>
      </c>
    </row>
    <row r="4357" customFormat="false" ht="15" hidden="false" customHeight="false" outlineLevel="0" collapsed="false">
      <c r="A4357" s="2" t="s">
        <v>1239</v>
      </c>
      <c r="B4357" s="2" t="s">
        <v>47</v>
      </c>
      <c r="C4357" s="2" t="s">
        <v>4274</v>
      </c>
      <c r="D4357" s="11" t="n">
        <v>29560</v>
      </c>
      <c r="E4357" s="31" t="n">
        <v>76.5</v>
      </c>
      <c r="F4357" s="31" t="n">
        <v>23.5</v>
      </c>
      <c r="G4357" s="31" t="n">
        <v>28</v>
      </c>
      <c r="H4357" s="2" t="s">
        <v>822</v>
      </c>
    </row>
    <row r="4358" customFormat="false" ht="15" hidden="false" customHeight="false" outlineLevel="0" collapsed="false">
      <c r="A4358" s="2" t="s">
        <v>1239</v>
      </c>
      <c r="B4358" s="2" t="s">
        <v>47</v>
      </c>
      <c r="C4358" s="2" t="s">
        <v>4275</v>
      </c>
      <c r="D4358" s="11" t="n">
        <v>30750</v>
      </c>
      <c r="E4358" s="31" t="n">
        <v>30</v>
      </c>
      <c r="F4358" s="31" t="n">
        <v>32.5</v>
      </c>
      <c r="G4358" s="31" t="n">
        <v>55.2</v>
      </c>
      <c r="H4358" s="2" t="s">
        <v>822</v>
      </c>
    </row>
    <row r="4359" customFormat="false" ht="15" hidden="false" customHeight="false" outlineLevel="0" collapsed="false">
      <c r="A4359" s="2" t="s">
        <v>554</v>
      </c>
      <c r="B4359" s="2" t="s">
        <v>4291</v>
      </c>
      <c r="C4359" s="2" t="s">
        <v>4274</v>
      </c>
      <c r="D4359" s="2"/>
      <c r="E4359" s="31" t="n">
        <v>62.8</v>
      </c>
      <c r="F4359" s="31" t="n">
        <v>51.2</v>
      </c>
      <c r="G4359" s="31" t="n">
        <v>75.1</v>
      </c>
      <c r="H4359" s="2" t="s">
        <v>832</v>
      </c>
    </row>
    <row r="4360" customFormat="false" ht="15" hidden="false" customHeight="false" outlineLevel="0" collapsed="false">
      <c r="A4360" s="2" t="s">
        <v>554</v>
      </c>
      <c r="B4360" s="2" t="s">
        <v>4291</v>
      </c>
      <c r="C4360" s="2" t="s">
        <v>4275</v>
      </c>
      <c r="D4360" s="2"/>
      <c r="E4360" s="31" t="n">
        <v>43.5</v>
      </c>
      <c r="F4360" s="31" t="n">
        <v>62.2</v>
      </c>
      <c r="G4360" s="31" t="n">
        <v>77.4</v>
      </c>
      <c r="H4360" s="2" t="s">
        <v>822</v>
      </c>
    </row>
    <row r="4361" customFormat="false" ht="15" hidden="false" customHeight="false" outlineLevel="0" collapsed="false">
      <c r="A4361" s="2" t="s">
        <v>554</v>
      </c>
      <c r="B4361" s="2" t="s">
        <v>45</v>
      </c>
      <c r="C4361" s="2" t="s">
        <v>4274</v>
      </c>
      <c r="D4361" s="2"/>
      <c r="E4361" s="2"/>
      <c r="F4361" s="2"/>
      <c r="G4361" s="2"/>
      <c r="H4361" s="2" t="s">
        <v>832</v>
      </c>
    </row>
    <row r="4362" customFormat="false" ht="15" hidden="false" customHeight="false" outlineLevel="0" collapsed="false">
      <c r="A4362" s="2" t="s">
        <v>554</v>
      </c>
      <c r="B4362" s="2" t="s">
        <v>45</v>
      </c>
      <c r="C4362" s="2" t="s">
        <v>4275</v>
      </c>
      <c r="D4362" s="11" t="n">
        <v>56720</v>
      </c>
      <c r="E4362" s="31" t="n">
        <v>1.5</v>
      </c>
      <c r="F4362" s="31" t="n">
        <v>83.5</v>
      </c>
      <c r="G4362" s="31" t="n">
        <v>98.4</v>
      </c>
      <c r="H4362" s="2" t="s">
        <v>822</v>
      </c>
    </row>
    <row r="4363" customFormat="false" ht="15" hidden="false" customHeight="false" outlineLevel="0" collapsed="false">
      <c r="A4363" s="2" t="s">
        <v>554</v>
      </c>
      <c r="B4363" s="2" t="s">
        <v>46</v>
      </c>
      <c r="C4363" s="2" t="s">
        <v>4274</v>
      </c>
      <c r="D4363" s="11" t="n">
        <v>44360</v>
      </c>
      <c r="E4363" s="31" t="n">
        <v>71.2</v>
      </c>
      <c r="F4363" s="31" t="n">
        <v>6</v>
      </c>
      <c r="G4363" s="31" t="n">
        <v>81.1</v>
      </c>
      <c r="H4363" s="2" t="s">
        <v>822</v>
      </c>
    </row>
    <row r="4364" customFormat="false" ht="15" hidden="false" customHeight="false" outlineLevel="0" collapsed="false">
      <c r="A4364" s="2" t="s">
        <v>554</v>
      </c>
      <c r="B4364" s="2" t="s">
        <v>46</v>
      </c>
      <c r="C4364" s="2" t="s">
        <v>4275</v>
      </c>
      <c r="D4364" s="11" t="n">
        <v>45330</v>
      </c>
      <c r="E4364" s="31" t="n">
        <v>69.5</v>
      </c>
      <c r="F4364" s="31" t="n">
        <v>17.5</v>
      </c>
      <c r="G4364" s="31" t="n">
        <v>38.9</v>
      </c>
      <c r="H4364" s="2" t="s">
        <v>822</v>
      </c>
    </row>
    <row r="4365" customFormat="false" ht="15" hidden="false" customHeight="false" outlineLevel="0" collapsed="false">
      <c r="A4365" s="2" t="s">
        <v>554</v>
      </c>
      <c r="B4365" s="2" t="s">
        <v>47</v>
      </c>
      <c r="C4365" s="2" t="s">
        <v>4274</v>
      </c>
      <c r="D4365" s="11" t="n">
        <v>313120</v>
      </c>
      <c r="E4365" s="31" t="n">
        <v>54.3</v>
      </c>
      <c r="F4365" s="31" t="n">
        <v>96.3</v>
      </c>
      <c r="G4365" s="31" t="n">
        <v>69.1</v>
      </c>
      <c r="H4365" s="2" t="s">
        <v>822</v>
      </c>
    </row>
    <row r="4366" customFormat="false" ht="15" hidden="false" customHeight="false" outlineLevel="0" collapsed="false">
      <c r="A4366" s="2" t="s">
        <v>554</v>
      </c>
      <c r="B4366" s="2" t="s">
        <v>47</v>
      </c>
      <c r="C4366" s="2" t="s">
        <v>4275</v>
      </c>
      <c r="D4366" s="11" t="n">
        <v>337181</v>
      </c>
      <c r="E4366" s="31" t="n">
        <v>59.4</v>
      </c>
      <c r="F4366" s="31" t="n">
        <v>85.7</v>
      </c>
      <c r="G4366" s="31" t="n">
        <v>94.8</v>
      </c>
      <c r="H4366" s="2" t="s">
        <v>822</v>
      </c>
    </row>
    <row r="4367" customFormat="false" ht="15" hidden="false" customHeight="false" outlineLevel="0" collapsed="false">
      <c r="A4367" s="2" t="s">
        <v>414</v>
      </c>
      <c r="B4367" s="2" t="s">
        <v>4291</v>
      </c>
      <c r="C4367" s="2" t="s">
        <v>4274</v>
      </c>
      <c r="D4367" s="2"/>
      <c r="E4367" s="31" t="n">
        <v>44.3</v>
      </c>
      <c r="F4367" s="31" t="n">
        <v>52.1</v>
      </c>
      <c r="G4367" s="31" t="n">
        <v>47.6</v>
      </c>
      <c r="H4367" s="2" t="s">
        <v>822</v>
      </c>
    </row>
    <row r="4368" customFormat="false" ht="15" hidden="false" customHeight="false" outlineLevel="0" collapsed="false">
      <c r="A4368" s="2" t="s">
        <v>414</v>
      </c>
      <c r="B4368" s="2" t="s">
        <v>4291</v>
      </c>
      <c r="C4368" s="2" t="s">
        <v>4275</v>
      </c>
      <c r="D4368" s="2"/>
      <c r="E4368" s="31" t="n">
        <v>54.1</v>
      </c>
      <c r="F4368" s="31" t="n">
        <v>48.4</v>
      </c>
      <c r="G4368" s="31" t="n">
        <v>48.2</v>
      </c>
      <c r="H4368" s="2" t="s">
        <v>822</v>
      </c>
    </row>
    <row r="4369" customFormat="false" ht="15" hidden="false" customHeight="false" outlineLevel="0" collapsed="false">
      <c r="A4369" s="2" t="s">
        <v>414</v>
      </c>
      <c r="B4369" s="2" t="s">
        <v>45</v>
      </c>
      <c r="C4369" s="2" t="s">
        <v>4274</v>
      </c>
      <c r="D4369" s="11" t="n">
        <v>43962</v>
      </c>
      <c r="E4369" s="31" t="n">
        <v>25.1</v>
      </c>
      <c r="F4369" s="31" t="n">
        <v>8.8</v>
      </c>
      <c r="G4369" s="2"/>
      <c r="H4369" s="2" t="s">
        <v>822</v>
      </c>
    </row>
    <row r="4370" customFormat="false" ht="15" hidden="false" customHeight="false" outlineLevel="0" collapsed="false">
      <c r="A4370" s="2" t="s">
        <v>414</v>
      </c>
      <c r="B4370" s="2" t="s">
        <v>45</v>
      </c>
      <c r="C4370" s="2" t="s">
        <v>4275</v>
      </c>
      <c r="D4370" s="11" t="n">
        <v>44020</v>
      </c>
      <c r="E4370" s="31" t="n">
        <v>35.5</v>
      </c>
      <c r="F4370" s="31" t="n">
        <v>12</v>
      </c>
      <c r="G4370" s="2"/>
      <c r="H4370" s="2" t="s">
        <v>822</v>
      </c>
    </row>
    <row r="4371" customFormat="false" ht="15" hidden="false" customHeight="false" outlineLevel="0" collapsed="false">
      <c r="A4371" s="2" t="s">
        <v>414</v>
      </c>
      <c r="B4371" s="2" t="s">
        <v>46</v>
      </c>
      <c r="C4371" s="2" t="s">
        <v>4274</v>
      </c>
      <c r="D4371" s="11" t="n">
        <v>518530</v>
      </c>
      <c r="E4371" s="31" t="n">
        <v>56.8</v>
      </c>
      <c r="F4371" s="31" t="n">
        <v>59.6</v>
      </c>
      <c r="G4371" s="31" t="n">
        <v>29.7</v>
      </c>
      <c r="H4371" s="2" t="s">
        <v>822</v>
      </c>
    </row>
    <row r="4372" customFormat="false" ht="15" hidden="false" customHeight="false" outlineLevel="0" collapsed="false">
      <c r="A4372" s="2" t="s">
        <v>414</v>
      </c>
      <c r="B4372" s="2" t="s">
        <v>46</v>
      </c>
      <c r="C4372" s="2" t="s">
        <v>4275</v>
      </c>
      <c r="D4372" s="11" t="n">
        <v>539450</v>
      </c>
      <c r="E4372" s="31" t="n">
        <v>58.5</v>
      </c>
      <c r="F4372" s="31" t="n">
        <v>49.7</v>
      </c>
      <c r="G4372" s="31" t="n">
        <v>39.3</v>
      </c>
      <c r="H4372" s="2" t="s">
        <v>822</v>
      </c>
    </row>
    <row r="4373" customFormat="false" ht="15" hidden="false" customHeight="false" outlineLevel="0" collapsed="false">
      <c r="A4373" s="2" t="s">
        <v>414</v>
      </c>
      <c r="B4373" s="2" t="s">
        <v>47</v>
      </c>
      <c r="C4373" s="2" t="s">
        <v>4274</v>
      </c>
      <c r="D4373" s="11" t="n">
        <v>52016</v>
      </c>
      <c r="E4373" s="31" t="n">
        <v>51</v>
      </c>
      <c r="F4373" s="31" t="n">
        <v>87.9</v>
      </c>
      <c r="G4373" s="31" t="n">
        <v>65.4</v>
      </c>
      <c r="H4373" s="2" t="s">
        <v>822</v>
      </c>
    </row>
    <row r="4374" customFormat="false" ht="15" hidden="false" customHeight="false" outlineLevel="0" collapsed="false">
      <c r="A4374" s="2" t="s">
        <v>414</v>
      </c>
      <c r="B4374" s="2" t="s">
        <v>47</v>
      </c>
      <c r="C4374" s="2" t="s">
        <v>4275</v>
      </c>
      <c r="D4374" s="11" t="n">
        <v>53822</v>
      </c>
      <c r="E4374" s="31" t="n">
        <v>68.4</v>
      </c>
      <c r="F4374" s="31" t="n">
        <v>83.4</v>
      </c>
      <c r="G4374" s="31" t="n">
        <v>57.2</v>
      </c>
      <c r="H4374" s="2" t="s">
        <v>822</v>
      </c>
    </row>
    <row r="4375" customFormat="false" ht="15" hidden="false" customHeight="false" outlineLevel="0" collapsed="false">
      <c r="A4375" s="2" t="s">
        <v>490</v>
      </c>
      <c r="B4375" s="2" t="s">
        <v>4291</v>
      </c>
      <c r="C4375" s="2" t="s">
        <v>4274</v>
      </c>
      <c r="D4375" s="2"/>
      <c r="E4375" s="2"/>
      <c r="F4375" s="2"/>
      <c r="G4375" s="2"/>
      <c r="H4375" s="2" t="s">
        <v>832</v>
      </c>
    </row>
    <row r="4376" customFormat="false" ht="15" hidden="false" customHeight="false" outlineLevel="0" collapsed="false">
      <c r="A4376" s="2" t="s">
        <v>490</v>
      </c>
      <c r="B4376" s="2" t="s">
        <v>4291</v>
      </c>
      <c r="C4376" s="2" t="s">
        <v>4275</v>
      </c>
      <c r="D4376" s="2"/>
      <c r="E4376" s="31" t="n">
        <v>49.3</v>
      </c>
      <c r="F4376" s="31" t="n">
        <v>91.4</v>
      </c>
      <c r="G4376" s="31" t="n">
        <v>38.5</v>
      </c>
      <c r="H4376" s="2" t="s">
        <v>822</v>
      </c>
    </row>
    <row r="4377" customFormat="false" ht="15" hidden="false" customHeight="false" outlineLevel="0" collapsed="false">
      <c r="A4377" s="2" t="s">
        <v>490</v>
      </c>
      <c r="B4377" s="2" t="s">
        <v>45</v>
      </c>
      <c r="C4377" s="2" t="s">
        <v>4274</v>
      </c>
      <c r="D4377" s="2"/>
      <c r="E4377" s="2"/>
      <c r="F4377" s="2"/>
      <c r="G4377" s="2"/>
      <c r="H4377" s="2" t="s">
        <v>832</v>
      </c>
    </row>
    <row r="4378" customFormat="false" ht="15" hidden="false" customHeight="false" outlineLevel="0" collapsed="false">
      <c r="A4378" s="2" t="s">
        <v>490</v>
      </c>
      <c r="B4378" s="2" t="s">
        <v>45</v>
      </c>
      <c r="C4378" s="2" t="s">
        <v>4275</v>
      </c>
      <c r="D4378" s="11" t="n">
        <v>234840</v>
      </c>
      <c r="E4378" s="31" t="n">
        <v>49.3</v>
      </c>
      <c r="F4378" s="31" t="n">
        <v>91.4</v>
      </c>
      <c r="G4378" s="31" t="n">
        <v>38.5</v>
      </c>
      <c r="H4378" s="2" t="s">
        <v>822</v>
      </c>
    </row>
    <row r="4379" customFormat="false" ht="15" hidden="false" customHeight="false" outlineLevel="0" collapsed="false">
      <c r="A4379" s="2" t="s">
        <v>1295</v>
      </c>
      <c r="B4379" s="2" t="s">
        <v>4291</v>
      </c>
      <c r="C4379" s="2" t="s">
        <v>4274</v>
      </c>
      <c r="D4379" s="2"/>
      <c r="E4379" s="31" t="n">
        <v>66.4</v>
      </c>
      <c r="F4379" s="31" t="n">
        <v>22.9</v>
      </c>
      <c r="G4379" s="31" t="n">
        <v>39.2</v>
      </c>
      <c r="H4379" s="2" t="s">
        <v>832</v>
      </c>
    </row>
    <row r="4380" customFormat="false" ht="15" hidden="false" customHeight="false" outlineLevel="0" collapsed="false">
      <c r="A4380" s="2" t="s">
        <v>1295</v>
      </c>
      <c r="B4380" s="2" t="s">
        <v>4291</v>
      </c>
      <c r="C4380" s="2" t="s">
        <v>4275</v>
      </c>
      <c r="D4380" s="2"/>
      <c r="E4380" s="31" t="n">
        <v>56.2</v>
      </c>
      <c r="F4380" s="31" t="n">
        <v>23.9</v>
      </c>
      <c r="G4380" s="31" t="n">
        <v>29.3</v>
      </c>
      <c r="H4380" s="2" t="s">
        <v>832</v>
      </c>
    </row>
    <row r="4381" customFormat="false" ht="15" hidden="false" customHeight="false" outlineLevel="0" collapsed="false">
      <c r="A4381" s="2" t="s">
        <v>1295</v>
      </c>
      <c r="B4381" s="2" t="s">
        <v>45</v>
      </c>
      <c r="C4381" s="2" t="s">
        <v>4274</v>
      </c>
      <c r="D4381" s="2"/>
      <c r="E4381" s="2"/>
      <c r="F4381" s="2"/>
      <c r="G4381" s="2"/>
      <c r="H4381" s="2" t="s">
        <v>832</v>
      </c>
    </row>
    <row r="4382" customFormat="false" ht="15" hidden="false" customHeight="false" outlineLevel="0" collapsed="false">
      <c r="A4382" s="2" t="s">
        <v>1295</v>
      </c>
      <c r="B4382" s="2" t="s">
        <v>45</v>
      </c>
      <c r="C4382" s="2" t="s">
        <v>4275</v>
      </c>
      <c r="D4382" s="11" t="n">
        <v>94730</v>
      </c>
      <c r="E4382" s="31" t="n">
        <v>41.8</v>
      </c>
      <c r="F4382" s="31" t="n">
        <v>20.3</v>
      </c>
      <c r="G4382" s="31" t="n">
        <v>38.7</v>
      </c>
      <c r="H4382" s="2" t="s">
        <v>822</v>
      </c>
    </row>
    <row r="4383" customFormat="false" ht="15" hidden="false" customHeight="false" outlineLevel="0" collapsed="false">
      <c r="A4383" s="2" t="s">
        <v>1295</v>
      </c>
      <c r="B4383" s="2" t="s">
        <v>46</v>
      </c>
      <c r="C4383" s="2" t="s">
        <v>4274</v>
      </c>
      <c r="D4383" s="11" t="n">
        <v>15372</v>
      </c>
      <c r="E4383" s="31" t="n">
        <v>76.7</v>
      </c>
      <c r="F4383" s="31" t="n">
        <v>22.5</v>
      </c>
      <c r="G4383" s="31" t="n">
        <v>16.9</v>
      </c>
      <c r="H4383" s="2" t="s">
        <v>822</v>
      </c>
    </row>
    <row r="4384" customFormat="false" ht="15" hidden="false" customHeight="false" outlineLevel="0" collapsed="false">
      <c r="A4384" s="2" t="s">
        <v>1295</v>
      </c>
      <c r="B4384" s="2" t="s">
        <v>46</v>
      </c>
      <c r="C4384" s="2" t="s">
        <v>4275</v>
      </c>
      <c r="D4384" s="2"/>
      <c r="E4384" s="2"/>
      <c r="F4384" s="2"/>
      <c r="G4384" s="2"/>
      <c r="H4384" s="2" t="s">
        <v>832</v>
      </c>
    </row>
    <row r="4385" customFormat="false" ht="15" hidden="false" customHeight="false" outlineLevel="0" collapsed="false">
      <c r="A4385" s="2" t="s">
        <v>1295</v>
      </c>
      <c r="B4385" s="2" t="s">
        <v>47</v>
      </c>
      <c r="C4385" s="2" t="s">
        <v>4274</v>
      </c>
      <c r="D4385" s="11" t="n">
        <v>758</v>
      </c>
      <c r="E4385" s="31" t="n">
        <v>56.2</v>
      </c>
      <c r="F4385" s="31" t="n">
        <v>23.3</v>
      </c>
      <c r="G4385" s="31" t="n">
        <v>61.6</v>
      </c>
      <c r="H4385" s="2" t="s">
        <v>822</v>
      </c>
    </row>
    <row r="4386" customFormat="false" ht="15" hidden="false" customHeight="false" outlineLevel="0" collapsed="false">
      <c r="A4386" s="2" t="s">
        <v>1295</v>
      </c>
      <c r="B4386" s="2" t="s">
        <v>47</v>
      </c>
      <c r="C4386" s="2" t="s">
        <v>4275</v>
      </c>
      <c r="D4386" s="11" t="n">
        <v>771</v>
      </c>
      <c r="E4386" s="31" t="n">
        <v>70.7</v>
      </c>
      <c r="F4386" s="31" t="n">
        <v>27.5</v>
      </c>
      <c r="G4386" s="31" t="n">
        <v>19.9</v>
      </c>
      <c r="H4386" s="2" t="s">
        <v>822</v>
      </c>
    </row>
    <row r="4387" customFormat="false" ht="15" hidden="false" customHeight="false" outlineLevel="0" collapsed="false">
      <c r="A4387" s="2" t="s">
        <v>2640</v>
      </c>
      <c r="B4387" s="2" t="s">
        <v>4291</v>
      </c>
      <c r="C4387" s="2" t="s">
        <v>4274</v>
      </c>
      <c r="D4387" s="2"/>
      <c r="E4387" s="31" t="n">
        <v>44.5</v>
      </c>
      <c r="F4387" s="31" t="n">
        <v>65</v>
      </c>
      <c r="G4387" s="31" t="n">
        <v>41.3</v>
      </c>
      <c r="H4387" s="2" t="s">
        <v>822</v>
      </c>
    </row>
    <row r="4388" customFormat="false" ht="15" hidden="false" customHeight="false" outlineLevel="0" collapsed="false">
      <c r="A4388" s="2" t="s">
        <v>2640</v>
      </c>
      <c r="B4388" s="2" t="s">
        <v>4291</v>
      </c>
      <c r="C4388" s="2" t="s">
        <v>4275</v>
      </c>
      <c r="D4388" s="2"/>
      <c r="E4388" s="31" t="n">
        <v>66.6</v>
      </c>
      <c r="F4388" s="31" t="n">
        <v>51.4</v>
      </c>
      <c r="G4388" s="31" t="n">
        <v>32.6</v>
      </c>
      <c r="H4388" s="2" t="s">
        <v>832</v>
      </c>
    </row>
    <row r="4389" customFormat="false" ht="15" hidden="false" customHeight="false" outlineLevel="0" collapsed="false">
      <c r="A4389" s="2" t="s">
        <v>2640</v>
      </c>
      <c r="B4389" s="2" t="s">
        <v>45</v>
      </c>
      <c r="C4389" s="2" t="s">
        <v>4274</v>
      </c>
      <c r="D4389" s="11" t="n">
        <v>23380</v>
      </c>
      <c r="E4389" s="31" t="n">
        <v>73.2</v>
      </c>
      <c r="F4389" s="31" t="n">
        <v>97.4</v>
      </c>
      <c r="G4389" s="31" t="n">
        <v>55.1</v>
      </c>
      <c r="H4389" s="2" t="s">
        <v>822</v>
      </c>
    </row>
    <row r="4390" customFormat="false" ht="15" hidden="false" customHeight="false" outlineLevel="0" collapsed="false">
      <c r="A4390" s="2" t="s">
        <v>2640</v>
      </c>
      <c r="B4390" s="2" t="s">
        <v>45</v>
      </c>
      <c r="C4390" s="2" t="s">
        <v>4275</v>
      </c>
      <c r="D4390" s="11" t="n">
        <v>26300</v>
      </c>
      <c r="E4390" s="31" t="n">
        <v>97.9</v>
      </c>
      <c r="F4390" s="31" t="n">
        <v>95.2</v>
      </c>
      <c r="G4390" s="2"/>
      <c r="H4390" s="2" t="s">
        <v>832</v>
      </c>
    </row>
    <row r="4391" customFormat="false" ht="15" hidden="false" customHeight="false" outlineLevel="0" collapsed="false">
      <c r="A4391" s="2" t="s">
        <v>2640</v>
      </c>
      <c r="B4391" s="2" t="s">
        <v>46</v>
      </c>
      <c r="C4391" s="2" t="s">
        <v>4274</v>
      </c>
      <c r="D4391" s="11" t="n">
        <v>24390</v>
      </c>
      <c r="E4391" s="31" t="n">
        <v>16</v>
      </c>
      <c r="F4391" s="31" t="n">
        <v>96.6</v>
      </c>
      <c r="G4391" s="31" t="n">
        <v>32.6</v>
      </c>
      <c r="H4391" s="2" t="s">
        <v>822</v>
      </c>
    </row>
    <row r="4392" customFormat="false" ht="15" hidden="false" customHeight="false" outlineLevel="0" collapsed="false">
      <c r="A4392" s="2" t="s">
        <v>2640</v>
      </c>
      <c r="B4392" s="2" t="s">
        <v>46</v>
      </c>
      <c r="C4392" s="2" t="s">
        <v>4275</v>
      </c>
      <c r="D4392" s="2"/>
      <c r="E4392" s="2"/>
      <c r="F4392" s="2"/>
      <c r="G4392" s="31" t="n">
        <v>41.5</v>
      </c>
      <c r="H4392" s="2" t="s">
        <v>832</v>
      </c>
    </row>
    <row r="4393" customFormat="false" ht="15" hidden="false" customHeight="false" outlineLevel="0" collapsed="false">
      <c r="A4393" s="2" t="s">
        <v>2640</v>
      </c>
      <c r="B4393" s="2" t="s">
        <v>47</v>
      </c>
      <c r="C4393" s="2" t="s">
        <v>4274</v>
      </c>
      <c r="D4393" s="11" t="n">
        <v>11673</v>
      </c>
      <c r="E4393" s="31" t="n">
        <v>44.3</v>
      </c>
      <c r="F4393" s="31" t="n">
        <v>1</v>
      </c>
      <c r="G4393" s="31" t="n">
        <v>36.2</v>
      </c>
      <c r="H4393" s="2" t="s">
        <v>822</v>
      </c>
    </row>
    <row r="4394" customFormat="false" ht="15" hidden="false" customHeight="false" outlineLevel="0" collapsed="false">
      <c r="A4394" s="2" t="s">
        <v>2640</v>
      </c>
      <c r="B4394" s="2" t="s">
        <v>47</v>
      </c>
      <c r="C4394" s="2" t="s">
        <v>4275</v>
      </c>
      <c r="D4394" s="11" t="n">
        <v>11445</v>
      </c>
      <c r="E4394" s="31" t="n">
        <v>35.3</v>
      </c>
      <c r="F4394" s="31" t="n">
        <v>7.5</v>
      </c>
      <c r="G4394" s="31" t="n">
        <v>23.8</v>
      </c>
      <c r="H4394" s="2" t="s">
        <v>822</v>
      </c>
    </row>
    <row r="4395" customFormat="false" ht="15" hidden="false" customHeight="false" outlineLevel="0" collapsed="false">
      <c r="A4395" s="2" t="s">
        <v>3280</v>
      </c>
      <c r="B4395" s="2" t="s">
        <v>4291</v>
      </c>
      <c r="C4395" s="2" t="s">
        <v>4274</v>
      </c>
      <c r="D4395" s="2"/>
      <c r="E4395" s="31" t="n">
        <v>20.9</v>
      </c>
      <c r="F4395" s="31" t="n">
        <v>8</v>
      </c>
      <c r="G4395" s="31" t="n">
        <v>81.7</v>
      </c>
      <c r="H4395" s="2" t="s">
        <v>822</v>
      </c>
    </row>
    <row r="4396" customFormat="false" ht="15" hidden="false" customHeight="false" outlineLevel="0" collapsed="false">
      <c r="A4396" s="2" t="s">
        <v>3280</v>
      </c>
      <c r="B4396" s="2" t="s">
        <v>4291</v>
      </c>
      <c r="C4396" s="2" t="s">
        <v>4275</v>
      </c>
      <c r="D4396" s="2"/>
      <c r="E4396" s="2"/>
      <c r="F4396" s="2"/>
      <c r="G4396" s="2"/>
      <c r="H4396" s="2" t="s">
        <v>832</v>
      </c>
    </row>
    <row r="4397" customFormat="false" ht="15" hidden="false" customHeight="false" outlineLevel="0" collapsed="false">
      <c r="A4397" s="2" t="s">
        <v>3280</v>
      </c>
      <c r="B4397" s="2" t="s">
        <v>45</v>
      </c>
      <c r="C4397" s="2" t="s">
        <v>4274</v>
      </c>
      <c r="D4397" s="11" t="n">
        <v>66642</v>
      </c>
      <c r="E4397" s="31" t="n">
        <v>20.9</v>
      </c>
      <c r="F4397" s="31" t="n">
        <v>8</v>
      </c>
      <c r="G4397" s="31" t="n">
        <v>81.7</v>
      </c>
      <c r="H4397" s="2" t="s">
        <v>822</v>
      </c>
    </row>
    <row r="4398" customFormat="false" ht="15" hidden="false" customHeight="false" outlineLevel="0" collapsed="false">
      <c r="A4398" s="2" t="s">
        <v>3280</v>
      </c>
      <c r="B4398" s="2" t="s">
        <v>45</v>
      </c>
      <c r="C4398" s="2" t="s">
        <v>4275</v>
      </c>
      <c r="D4398" s="2"/>
      <c r="E4398" s="2"/>
      <c r="F4398" s="2"/>
      <c r="G4398" s="2"/>
      <c r="H4398" s="2" t="s">
        <v>832</v>
      </c>
    </row>
    <row r="4399" customFormat="false" ht="15" hidden="false" customHeight="false" outlineLevel="0" collapsed="false">
      <c r="A4399" s="2" t="s">
        <v>208</v>
      </c>
      <c r="B4399" s="2" t="s">
        <v>4291</v>
      </c>
      <c r="C4399" s="2" t="s">
        <v>4274</v>
      </c>
      <c r="D4399" s="2"/>
      <c r="E4399" s="31" t="n">
        <v>65.9</v>
      </c>
      <c r="F4399" s="31" t="n">
        <v>54.9</v>
      </c>
      <c r="G4399" s="31" t="n">
        <v>39.2</v>
      </c>
      <c r="H4399" s="2" t="s">
        <v>822</v>
      </c>
    </row>
    <row r="4400" customFormat="false" ht="15" hidden="false" customHeight="false" outlineLevel="0" collapsed="false">
      <c r="A4400" s="2" t="s">
        <v>208</v>
      </c>
      <c r="B4400" s="2" t="s">
        <v>4291</v>
      </c>
      <c r="C4400" s="2" t="s">
        <v>4275</v>
      </c>
      <c r="D4400" s="2"/>
      <c r="E4400" s="31" t="n">
        <v>74.4</v>
      </c>
      <c r="F4400" s="31" t="n">
        <v>31.1</v>
      </c>
      <c r="G4400" s="31" t="n">
        <v>74.6</v>
      </c>
      <c r="H4400" s="2" t="s">
        <v>822</v>
      </c>
    </row>
    <row r="4401" customFormat="false" ht="15" hidden="false" customHeight="false" outlineLevel="0" collapsed="false">
      <c r="A4401" s="2" t="s">
        <v>208</v>
      </c>
      <c r="B4401" s="2" t="s">
        <v>47</v>
      </c>
      <c r="C4401" s="2" t="s">
        <v>4274</v>
      </c>
      <c r="D4401" s="11" t="n">
        <v>606237</v>
      </c>
      <c r="E4401" s="31" t="n">
        <v>65.9</v>
      </c>
      <c r="F4401" s="31" t="n">
        <v>54.9</v>
      </c>
      <c r="G4401" s="31" t="n">
        <v>39.2</v>
      </c>
      <c r="H4401" s="2" t="s">
        <v>822</v>
      </c>
    </row>
    <row r="4402" customFormat="false" ht="15" hidden="false" customHeight="false" outlineLevel="0" collapsed="false">
      <c r="A4402" s="2" t="s">
        <v>208</v>
      </c>
      <c r="B4402" s="2" t="s">
        <v>47</v>
      </c>
      <c r="C4402" s="2" t="s">
        <v>4275</v>
      </c>
      <c r="D4402" s="11" t="n">
        <v>641662</v>
      </c>
      <c r="E4402" s="31" t="n">
        <v>74.4</v>
      </c>
      <c r="F4402" s="31" t="n">
        <v>31.1</v>
      </c>
      <c r="G4402" s="31" t="n">
        <v>74.6</v>
      </c>
      <c r="H4402" s="2" t="s">
        <v>822</v>
      </c>
    </row>
    <row r="4403" customFormat="false" ht="15" hidden="false" customHeight="false" outlineLevel="0" collapsed="false">
      <c r="A4403" s="2" t="s">
        <v>3281</v>
      </c>
      <c r="B4403" s="2" t="s">
        <v>4291</v>
      </c>
      <c r="C4403" s="2" t="s">
        <v>4275</v>
      </c>
      <c r="D4403" s="2"/>
      <c r="E4403" s="31" t="n">
        <v>39.7</v>
      </c>
      <c r="F4403" s="2"/>
      <c r="G4403" s="31" t="n">
        <v>17</v>
      </c>
      <c r="H4403" s="2" t="s">
        <v>832</v>
      </c>
    </row>
    <row r="4404" customFormat="false" ht="15" hidden="false" customHeight="false" outlineLevel="0" collapsed="false">
      <c r="A4404" s="2" t="s">
        <v>3281</v>
      </c>
      <c r="B4404" s="2" t="s">
        <v>46</v>
      </c>
      <c r="C4404" s="2" t="s">
        <v>4275</v>
      </c>
      <c r="D4404" s="11" t="n">
        <v>4500</v>
      </c>
      <c r="E4404" s="31" t="n">
        <v>39.7</v>
      </c>
      <c r="F4404" s="2"/>
      <c r="G4404" s="31" t="n">
        <v>17</v>
      </c>
      <c r="H4404" s="2" t="s">
        <v>832</v>
      </c>
    </row>
    <row r="4405" customFormat="false" ht="15" hidden="false" customHeight="false" outlineLevel="0" collapsed="false">
      <c r="A4405" s="2" t="s">
        <v>3281</v>
      </c>
      <c r="B4405" s="2" t="s">
        <v>47</v>
      </c>
      <c r="C4405" s="2" t="s">
        <v>4275</v>
      </c>
      <c r="D4405" s="2"/>
      <c r="E4405" s="2"/>
      <c r="F4405" s="2"/>
      <c r="G4405" s="2"/>
      <c r="H4405" s="2" t="s">
        <v>832</v>
      </c>
    </row>
    <row r="4406" customFormat="false" ht="15" hidden="false" customHeight="false" outlineLevel="0" collapsed="false">
      <c r="A4406" s="2" t="s">
        <v>1331</v>
      </c>
      <c r="B4406" s="2" t="s">
        <v>4291</v>
      </c>
      <c r="C4406" s="2" t="s">
        <v>4274</v>
      </c>
      <c r="D4406" s="2"/>
      <c r="E4406" s="31" t="n">
        <v>50.5</v>
      </c>
      <c r="F4406" s="31" t="n">
        <v>54.8</v>
      </c>
      <c r="G4406" s="31" t="n">
        <v>41.6</v>
      </c>
      <c r="H4406" s="2" t="s">
        <v>822</v>
      </c>
    </row>
    <row r="4407" customFormat="false" ht="15" hidden="false" customHeight="false" outlineLevel="0" collapsed="false">
      <c r="A4407" s="2" t="s">
        <v>1331</v>
      </c>
      <c r="B4407" s="2" t="s">
        <v>4291</v>
      </c>
      <c r="C4407" s="2" t="s">
        <v>4275</v>
      </c>
      <c r="D4407" s="2"/>
      <c r="E4407" s="31" t="n">
        <v>59.1</v>
      </c>
      <c r="F4407" s="31" t="n">
        <v>50.1</v>
      </c>
      <c r="G4407" s="31" t="n">
        <v>8.4</v>
      </c>
      <c r="H4407" s="2" t="s">
        <v>832</v>
      </c>
    </row>
    <row r="4408" customFormat="false" ht="15" hidden="false" customHeight="false" outlineLevel="0" collapsed="false">
      <c r="A4408" s="2" t="s">
        <v>1331</v>
      </c>
      <c r="B4408" s="2" t="s">
        <v>45</v>
      </c>
      <c r="C4408" s="2" t="s">
        <v>4274</v>
      </c>
      <c r="D4408" s="11" t="n">
        <v>33160</v>
      </c>
      <c r="E4408" s="31" t="n">
        <v>19.4</v>
      </c>
      <c r="F4408" s="31" t="n">
        <v>67.5</v>
      </c>
      <c r="G4408" s="31" t="n">
        <v>7.1</v>
      </c>
      <c r="H4408" s="2" t="s">
        <v>822</v>
      </c>
    </row>
    <row r="4409" customFormat="false" ht="15" hidden="false" customHeight="false" outlineLevel="0" collapsed="false">
      <c r="A4409" s="2" t="s">
        <v>1331</v>
      </c>
      <c r="B4409" s="2" t="s">
        <v>45</v>
      </c>
      <c r="C4409" s="2" t="s">
        <v>4275</v>
      </c>
      <c r="D4409" s="11" t="n">
        <v>34990</v>
      </c>
      <c r="E4409" s="31" t="n">
        <v>37.4</v>
      </c>
      <c r="F4409" s="31" t="n">
        <v>90.7</v>
      </c>
      <c r="G4409" s="31" t="n">
        <v>8.4</v>
      </c>
      <c r="H4409" s="2" t="s">
        <v>822</v>
      </c>
    </row>
    <row r="4410" customFormat="false" ht="15" hidden="false" customHeight="false" outlineLevel="0" collapsed="false">
      <c r="A4410" s="2" t="s">
        <v>1331</v>
      </c>
      <c r="B4410" s="2" t="s">
        <v>46</v>
      </c>
      <c r="C4410" s="2" t="s">
        <v>4274</v>
      </c>
      <c r="D4410" s="11" t="n">
        <v>114480</v>
      </c>
      <c r="E4410" s="31" t="n">
        <v>83.6</v>
      </c>
      <c r="F4410" s="31" t="n">
        <v>0.6</v>
      </c>
      <c r="G4410" s="31" t="n">
        <v>45.2</v>
      </c>
      <c r="H4410" s="2" t="s">
        <v>822</v>
      </c>
    </row>
    <row r="4411" customFormat="false" ht="15" hidden="false" customHeight="false" outlineLevel="0" collapsed="false">
      <c r="A4411" s="2" t="s">
        <v>1331</v>
      </c>
      <c r="B4411" s="2" t="s">
        <v>46</v>
      </c>
      <c r="C4411" s="2" t="s">
        <v>4275</v>
      </c>
      <c r="D4411" s="11" t="n">
        <v>104540</v>
      </c>
      <c r="E4411" s="31" t="n">
        <v>82.7</v>
      </c>
      <c r="F4411" s="31" t="n">
        <v>1.3</v>
      </c>
      <c r="G4411" s="2"/>
      <c r="H4411" s="2" t="s">
        <v>832</v>
      </c>
    </row>
    <row r="4412" customFormat="false" ht="15" hidden="false" customHeight="false" outlineLevel="0" collapsed="false">
      <c r="A4412" s="2" t="s">
        <v>1331</v>
      </c>
      <c r="B4412" s="2" t="s">
        <v>47</v>
      </c>
      <c r="C4412" s="2" t="s">
        <v>4274</v>
      </c>
      <c r="D4412" s="11" t="n">
        <v>40177</v>
      </c>
      <c r="E4412" s="31" t="n">
        <v>48.6</v>
      </c>
      <c r="F4412" s="31" t="n">
        <v>96.4</v>
      </c>
      <c r="G4412" s="31" t="n">
        <v>72.5</v>
      </c>
      <c r="H4412" s="2" t="s">
        <v>822</v>
      </c>
    </row>
    <row r="4413" customFormat="false" ht="15" hidden="false" customHeight="false" outlineLevel="0" collapsed="false">
      <c r="A4413" s="2" t="s">
        <v>1331</v>
      </c>
      <c r="B4413" s="2" t="s">
        <v>47</v>
      </c>
      <c r="C4413" s="2" t="s">
        <v>4275</v>
      </c>
      <c r="D4413" s="11" t="n">
        <v>41579</v>
      </c>
      <c r="E4413" s="31" t="n">
        <v>57.3</v>
      </c>
      <c r="F4413" s="31" t="n">
        <v>58.4</v>
      </c>
      <c r="G4413" s="2"/>
      <c r="H4413" s="2" t="s">
        <v>832</v>
      </c>
    </row>
    <row r="4414" customFormat="false" ht="15" hidden="false" customHeight="false" outlineLevel="0" collapsed="false">
      <c r="A4414" s="2" t="s">
        <v>2710</v>
      </c>
      <c r="B4414" s="2" t="s">
        <v>4291</v>
      </c>
      <c r="C4414" s="2" t="s">
        <v>4274</v>
      </c>
      <c r="D4414" s="2"/>
      <c r="E4414" s="31" t="n">
        <v>29.1</v>
      </c>
      <c r="F4414" s="31" t="n">
        <v>80.9</v>
      </c>
      <c r="G4414" s="31" t="n">
        <v>83.4</v>
      </c>
      <c r="H4414" s="2" t="s">
        <v>832</v>
      </c>
    </row>
    <row r="4415" customFormat="false" ht="15" hidden="false" customHeight="false" outlineLevel="0" collapsed="false">
      <c r="A4415" s="2" t="s">
        <v>2710</v>
      </c>
      <c r="B4415" s="2" t="s">
        <v>4291</v>
      </c>
      <c r="C4415" s="2" t="s">
        <v>4275</v>
      </c>
      <c r="D4415" s="2"/>
      <c r="E4415" s="31" t="n">
        <v>48.7</v>
      </c>
      <c r="F4415" s="31" t="n">
        <v>62.9</v>
      </c>
      <c r="G4415" s="31" t="n">
        <v>94.3</v>
      </c>
      <c r="H4415" s="2" t="s">
        <v>832</v>
      </c>
    </row>
    <row r="4416" customFormat="false" ht="15" hidden="false" customHeight="false" outlineLevel="0" collapsed="false">
      <c r="A4416" s="2" t="s">
        <v>2710</v>
      </c>
      <c r="B4416" s="2" t="s">
        <v>45</v>
      </c>
      <c r="C4416" s="2" t="s">
        <v>4274</v>
      </c>
      <c r="D4416" s="2"/>
      <c r="E4416" s="2"/>
      <c r="F4416" s="2"/>
      <c r="G4416" s="2"/>
      <c r="H4416" s="2" t="s">
        <v>832</v>
      </c>
    </row>
    <row r="4417" customFormat="false" ht="15" hidden="false" customHeight="false" outlineLevel="0" collapsed="false">
      <c r="A4417" s="2" t="s">
        <v>2710</v>
      </c>
      <c r="B4417" s="2" t="s">
        <v>45</v>
      </c>
      <c r="C4417" s="2" t="s">
        <v>4275</v>
      </c>
      <c r="D4417" s="11" t="n">
        <v>77050</v>
      </c>
      <c r="E4417" s="31" t="n">
        <v>73.5</v>
      </c>
      <c r="F4417" s="31" t="n">
        <v>46</v>
      </c>
      <c r="G4417" s="2"/>
      <c r="H4417" s="2" t="s">
        <v>832</v>
      </c>
    </row>
    <row r="4418" customFormat="false" ht="15" hidden="false" customHeight="false" outlineLevel="0" collapsed="false">
      <c r="A4418" s="2" t="s">
        <v>2710</v>
      </c>
      <c r="B4418" s="2" t="s">
        <v>46</v>
      </c>
      <c r="C4418" s="2" t="s">
        <v>4274</v>
      </c>
      <c r="D4418" s="2"/>
      <c r="E4418" s="2"/>
      <c r="F4418" s="2"/>
      <c r="G4418" s="2"/>
      <c r="H4418" s="2" t="s">
        <v>832</v>
      </c>
    </row>
    <row r="4419" customFormat="false" ht="15" hidden="false" customHeight="false" outlineLevel="0" collapsed="false">
      <c r="A4419" s="2" t="s">
        <v>2710</v>
      </c>
      <c r="B4419" s="2" t="s">
        <v>46</v>
      </c>
      <c r="C4419" s="2" t="s">
        <v>4275</v>
      </c>
      <c r="D4419" s="11" t="n">
        <v>325830</v>
      </c>
      <c r="E4419" s="31" t="n">
        <v>48.5</v>
      </c>
      <c r="F4419" s="31" t="n">
        <v>93</v>
      </c>
      <c r="G4419" s="2"/>
      <c r="H4419" s="2" t="s">
        <v>832</v>
      </c>
    </row>
    <row r="4420" customFormat="false" ht="15" hidden="false" customHeight="false" outlineLevel="0" collapsed="false">
      <c r="A4420" s="2" t="s">
        <v>2710</v>
      </c>
      <c r="B4420" s="2" t="s">
        <v>47</v>
      </c>
      <c r="C4420" s="2" t="s">
        <v>4274</v>
      </c>
      <c r="D4420" s="11" t="n">
        <v>168597</v>
      </c>
      <c r="E4420" s="31" t="n">
        <v>29.1</v>
      </c>
      <c r="F4420" s="31" t="n">
        <v>80.9</v>
      </c>
      <c r="G4420" s="31" t="n">
        <v>83.4</v>
      </c>
      <c r="H4420" s="2" t="s">
        <v>822</v>
      </c>
    </row>
    <row r="4421" customFormat="false" ht="15" hidden="false" customHeight="false" outlineLevel="0" collapsed="false">
      <c r="A4421" s="2" t="s">
        <v>2710</v>
      </c>
      <c r="B4421" s="2" t="s">
        <v>47</v>
      </c>
      <c r="C4421" s="2" t="s">
        <v>4275</v>
      </c>
      <c r="D4421" s="11" t="n">
        <v>172603</v>
      </c>
      <c r="E4421" s="31" t="n">
        <v>24</v>
      </c>
      <c r="F4421" s="31" t="n">
        <v>49.7</v>
      </c>
      <c r="G4421" s="31" t="n">
        <v>94.3</v>
      </c>
      <c r="H4421" s="2" t="s">
        <v>822</v>
      </c>
    </row>
    <row r="4422" customFormat="false" ht="15" hidden="false" customHeight="false" outlineLevel="0" collapsed="false">
      <c r="A4422" s="2" t="s">
        <v>518</v>
      </c>
      <c r="B4422" s="2" t="s">
        <v>4291</v>
      </c>
      <c r="C4422" s="2" t="s">
        <v>4274</v>
      </c>
      <c r="D4422" s="2"/>
      <c r="E4422" s="31" t="n">
        <v>58.1</v>
      </c>
      <c r="F4422" s="31" t="n">
        <v>82.1</v>
      </c>
      <c r="G4422" s="31" t="n">
        <v>41.8</v>
      </c>
      <c r="H4422" s="2" t="s">
        <v>832</v>
      </c>
    </row>
    <row r="4423" customFormat="false" ht="15" hidden="false" customHeight="false" outlineLevel="0" collapsed="false">
      <c r="A4423" s="2" t="s">
        <v>518</v>
      </c>
      <c r="B4423" s="2" t="s">
        <v>4291</v>
      </c>
      <c r="C4423" s="2" t="s">
        <v>4275</v>
      </c>
      <c r="D4423" s="2"/>
      <c r="E4423" s="31" t="n">
        <v>46.9</v>
      </c>
      <c r="F4423" s="31" t="n">
        <v>66.9</v>
      </c>
      <c r="G4423" s="31" t="n">
        <v>54.9</v>
      </c>
      <c r="H4423" s="2" t="s">
        <v>822</v>
      </c>
    </row>
    <row r="4424" customFormat="false" ht="15" hidden="false" customHeight="false" outlineLevel="0" collapsed="false">
      <c r="A4424" s="2" t="s">
        <v>518</v>
      </c>
      <c r="B4424" s="2" t="s">
        <v>45</v>
      </c>
      <c r="C4424" s="2" t="s">
        <v>4274</v>
      </c>
      <c r="D4424" s="11" t="n">
        <v>14690</v>
      </c>
      <c r="E4424" s="31" t="n">
        <v>51.2</v>
      </c>
      <c r="F4424" s="31" t="n">
        <v>66.8</v>
      </c>
      <c r="G4424" s="2"/>
      <c r="H4424" s="2" t="s">
        <v>832</v>
      </c>
    </row>
    <row r="4425" customFormat="false" ht="15" hidden="false" customHeight="false" outlineLevel="0" collapsed="false">
      <c r="A4425" s="2" t="s">
        <v>518</v>
      </c>
      <c r="B4425" s="2" t="s">
        <v>45</v>
      </c>
      <c r="C4425" s="2" t="s">
        <v>4275</v>
      </c>
      <c r="D4425" s="11" t="n">
        <v>15810</v>
      </c>
      <c r="E4425" s="31" t="n">
        <v>54.3</v>
      </c>
      <c r="F4425" s="31" t="n">
        <v>75.3</v>
      </c>
      <c r="G4425" s="31" t="n">
        <v>76.9</v>
      </c>
      <c r="H4425" s="2" t="s">
        <v>822</v>
      </c>
    </row>
    <row r="4426" customFormat="false" ht="15" hidden="false" customHeight="false" outlineLevel="0" collapsed="false">
      <c r="A4426" s="2" t="s">
        <v>518</v>
      </c>
      <c r="B4426" s="2" t="s">
        <v>46</v>
      </c>
      <c r="C4426" s="2" t="s">
        <v>4274</v>
      </c>
      <c r="D4426" s="11" t="n">
        <v>44830</v>
      </c>
      <c r="E4426" s="31" t="n">
        <v>72.4</v>
      </c>
      <c r="F4426" s="2"/>
      <c r="G4426" s="2"/>
      <c r="H4426" s="2" t="s">
        <v>832</v>
      </c>
    </row>
    <row r="4427" customFormat="false" ht="15" hidden="false" customHeight="false" outlineLevel="0" collapsed="false">
      <c r="A4427" s="2" t="s">
        <v>518</v>
      </c>
      <c r="B4427" s="2" t="s">
        <v>46</v>
      </c>
      <c r="C4427" s="2" t="s">
        <v>4275</v>
      </c>
      <c r="D4427" s="11" t="n">
        <v>45610</v>
      </c>
      <c r="E4427" s="31" t="n">
        <v>56</v>
      </c>
      <c r="F4427" s="31" t="n">
        <v>30.5</v>
      </c>
      <c r="G4427" s="31" t="n">
        <v>57.2</v>
      </c>
      <c r="H4427" s="2" t="s">
        <v>822</v>
      </c>
    </row>
    <row r="4428" customFormat="false" ht="15" hidden="false" customHeight="false" outlineLevel="0" collapsed="false">
      <c r="A4428" s="2" t="s">
        <v>518</v>
      </c>
      <c r="B4428" s="2" t="s">
        <v>47</v>
      </c>
      <c r="C4428" s="2" t="s">
        <v>4274</v>
      </c>
      <c r="D4428" s="11" t="n">
        <v>23130</v>
      </c>
      <c r="E4428" s="31" t="n">
        <v>50.7</v>
      </c>
      <c r="F4428" s="31" t="n">
        <v>97.4</v>
      </c>
      <c r="G4428" s="31" t="n">
        <v>41.8</v>
      </c>
      <c r="H4428" s="2" t="s">
        <v>822</v>
      </c>
    </row>
    <row r="4429" customFormat="false" ht="15" hidden="false" customHeight="false" outlineLevel="0" collapsed="false">
      <c r="A4429" s="2" t="s">
        <v>518</v>
      </c>
      <c r="B4429" s="2" t="s">
        <v>47</v>
      </c>
      <c r="C4429" s="2" t="s">
        <v>4275</v>
      </c>
      <c r="D4429" s="11" t="n">
        <v>24930</v>
      </c>
      <c r="E4429" s="31" t="n">
        <v>30.3</v>
      </c>
      <c r="F4429" s="31" t="n">
        <v>94.8</v>
      </c>
      <c r="G4429" s="31" t="n">
        <v>30.5</v>
      </c>
      <c r="H4429" s="2" t="s">
        <v>822</v>
      </c>
    </row>
    <row r="4430" customFormat="false" ht="15" hidden="false" customHeight="false" outlineLevel="0" collapsed="false">
      <c r="A4430" s="2" t="s">
        <v>176</v>
      </c>
      <c r="B4430" s="2" t="s">
        <v>4291</v>
      </c>
      <c r="C4430" s="2" t="s">
        <v>4274</v>
      </c>
      <c r="D4430" s="2"/>
      <c r="E4430" s="31" t="n">
        <v>69.7</v>
      </c>
      <c r="F4430" s="31" t="n">
        <v>50.4</v>
      </c>
      <c r="G4430" s="31" t="n">
        <v>60.2</v>
      </c>
      <c r="H4430" s="2" t="s">
        <v>822</v>
      </c>
    </row>
    <row r="4431" customFormat="false" ht="15" hidden="false" customHeight="false" outlineLevel="0" collapsed="false">
      <c r="A4431" s="2" t="s">
        <v>176</v>
      </c>
      <c r="B4431" s="2" t="s">
        <v>4291</v>
      </c>
      <c r="C4431" s="2" t="s">
        <v>4275</v>
      </c>
      <c r="D4431" s="2"/>
      <c r="E4431" s="31" t="n">
        <v>78.4</v>
      </c>
      <c r="F4431" s="31" t="n">
        <v>50.8</v>
      </c>
      <c r="G4431" s="31" t="n">
        <v>59.1</v>
      </c>
      <c r="H4431" s="2" t="s">
        <v>822</v>
      </c>
    </row>
    <row r="4432" customFormat="false" ht="15" hidden="false" customHeight="false" outlineLevel="0" collapsed="false">
      <c r="A4432" s="2" t="s">
        <v>176</v>
      </c>
      <c r="B4432" s="2" t="s">
        <v>46</v>
      </c>
      <c r="C4432" s="2" t="s">
        <v>4274</v>
      </c>
      <c r="D4432" s="11" t="n">
        <v>84620</v>
      </c>
      <c r="E4432" s="31" t="n">
        <v>45.6</v>
      </c>
      <c r="F4432" s="31" t="n">
        <v>95.9</v>
      </c>
      <c r="G4432" s="31" t="n">
        <v>29.3</v>
      </c>
      <c r="H4432" s="2" t="s">
        <v>822</v>
      </c>
    </row>
    <row r="4433" customFormat="false" ht="15" hidden="false" customHeight="false" outlineLevel="0" collapsed="false">
      <c r="A4433" s="2" t="s">
        <v>176</v>
      </c>
      <c r="B4433" s="2" t="s">
        <v>46</v>
      </c>
      <c r="C4433" s="2" t="s">
        <v>4275</v>
      </c>
      <c r="D4433" s="11" t="n">
        <v>91120</v>
      </c>
      <c r="E4433" s="31" t="n">
        <v>70.7</v>
      </c>
      <c r="F4433" s="31" t="n">
        <v>97.1</v>
      </c>
      <c r="G4433" s="31" t="n">
        <v>23.2</v>
      </c>
      <c r="H4433" s="2" t="s">
        <v>822</v>
      </c>
    </row>
    <row r="4434" customFormat="false" ht="15" hidden="false" customHeight="false" outlineLevel="0" collapsed="false">
      <c r="A4434" s="2" t="s">
        <v>176</v>
      </c>
      <c r="B4434" s="2" t="s">
        <v>47</v>
      </c>
      <c r="C4434" s="2" t="s">
        <v>4274</v>
      </c>
      <c r="D4434" s="11" t="n">
        <v>48018</v>
      </c>
      <c r="E4434" s="31" t="n">
        <v>93.8</v>
      </c>
      <c r="F4434" s="31" t="n">
        <v>4.9</v>
      </c>
      <c r="G4434" s="31" t="n">
        <v>91.2</v>
      </c>
      <c r="H4434" s="2" t="s">
        <v>822</v>
      </c>
    </row>
    <row r="4435" customFormat="false" ht="15" hidden="false" customHeight="false" outlineLevel="0" collapsed="false">
      <c r="A4435" s="2" t="s">
        <v>176</v>
      </c>
      <c r="B4435" s="2" t="s">
        <v>47</v>
      </c>
      <c r="C4435" s="2" t="s">
        <v>4275</v>
      </c>
      <c r="D4435" s="11" t="n">
        <v>48650</v>
      </c>
      <c r="E4435" s="31" t="n">
        <v>86.2</v>
      </c>
      <c r="F4435" s="31" t="n">
        <v>4.5</v>
      </c>
      <c r="G4435" s="31" t="n">
        <v>95</v>
      </c>
      <c r="H4435" s="2" t="s">
        <v>822</v>
      </c>
    </row>
    <row r="4436" customFormat="false" ht="15" hidden="false" customHeight="false" outlineLevel="0" collapsed="false">
      <c r="A4436" s="2" t="s">
        <v>1155</v>
      </c>
      <c r="B4436" s="2" t="s">
        <v>4291</v>
      </c>
      <c r="C4436" s="2" t="s">
        <v>4274</v>
      </c>
      <c r="D4436" s="2"/>
      <c r="E4436" s="31" t="n">
        <v>54.6</v>
      </c>
      <c r="F4436" s="31" t="n">
        <v>38.1</v>
      </c>
      <c r="G4436" s="31" t="n">
        <v>39.3</v>
      </c>
      <c r="H4436" s="2" t="s">
        <v>832</v>
      </c>
    </row>
    <row r="4437" customFormat="false" ht="15" hidden="false" customHeight="false" outlineLevel="0" collapsed="false">
      <c r="A4437" s="2" t="s">
        <v>1155</v>
      </c>
      <c r="B4437" s="2" t="s">
        <v>4291</v>
      </c>
      <c r="C4437" s="2" t="s">
        <v>4275</v>
      </c>
      <c r="D4437" s="2"/>
      <c r="E4437" s="31" t="n">
        <v>64.2</v>
      </c>
      <c r="F4437" s="31" t="n">
        <v>48.6</v>
      </c>
      <c r="G4437" s="31" t="n">
        <v>29</v>
      </c>
      <c r="H4437" s="2" t="s">
        <v>832</v>
      </c>
    </row>
    <row r="4438" customFormat="false" ht="15" hidden="false" customHeight="false" outlineLevel="0" collapsed="false">
      <c r="A4438" s="2" t="s">
        <v>1155</v>
      </c>
      <c r="B4438" s="2" t="s">
        <v>45</v>
      </c>
      <c r="C4438" s="2" t="s">
        <v>4274</v>
      </c>
      <c r="D4438" s="2"/>
      <c r="E4438" s="2"/>
      <c r="F4438" s="2"/>
      <c r="G4438" s="2"/>
      <c r="H4438" s="2" t="s">
        <v>832</v>
      </c>
    </row>
    <row r="4439" customFormat="false" ht="15" hidden="false" customHeight="false" outlineLevel="0" collapsed="false">
      <c r="A4439" s="2" t="s">
        <v>1155</v>
      </c>
      <c r="B4439" s="2" t="s">
        <v>45</v>
      </c>
      <c r="C4439" s="2" t="s">
        <v>4275</v>
      </c>
      <c r="D4439" s="11" t="n">
        <v>49575</v>
      </c>
      <c r="E4439" s="31" t="n">
        <v>59.7</v>
      </c>
      <c r="F4439" s="31" t="n">
        <v>91.8</v>
      </c>
      <c r="G4439" s="31" t="n">
        <v>49.7</v>
      </c>
      <c r="H4439" s="2" t="s">
        <v>822</v>
      </c>
    </row>
    <row r="4440" customFormat="false" ht="15" hidden="false" customHeight="false" outlineLevel="0" collapsed="false">
      <c r="A4440" s="2" t="s">
        <v>1155</v>
      </c>
      <c r="B4440" s="2" t="s">
        <v>46</v>
      </c>
      <c r="C4440" s="2" t="s">
        <v>4274</v>
      </c>
      <c r="D4440" s="11" t="n">
        <v>7603</v>
      </c>
      <c r="E4440" s="31" t="n">
        <v>27.4</v>
      </c>
      <c r="F4440" s="31" t="n">
        <v>71.9</v>
      </c>
      <c r="G4440" s="31" t="n">
        <v>53.9</v>
      </c>
      <c r="H4440" s="2" t="s">
        <v>822</v>
      </c>
    </row>
    <row r="4441" customFormat="false" ht="15" hidden="false" customHeight="false" outlineLevel="0" collapsed="false">
      <c r="A4441" s="2" t="s">
        <v>1155</v>
      </c>
      <c r="B4441" s="2" t="s">
        <v>46</v>
      </c>
      <c r="C4441" s="2" t="s">
        <v>4275</v>
      </c>
      <c r="D4441" s="2"/>
      <c r="E4441" s="2"/>
      <c r="F4441" s="2"/>
      <c r="G4441" s="2"/>
      <c r="H4441" s="2" t="s">
        <v>832</v>
      </c>
    </row>
    <row r="4442" customFormat="false" ht="15" hidden="false" customHeight="false" outlineLevel="0" collapsed="false">
      <c r="A4442" s="2" t="s">
        <v>1155</v>
      </c>
      <c r="B4442" s="2" t="s">
        <v>47</v>
      </c>
      <c r="C4442" s="2" t="s">
        <v>4274</v>
      </c>
      <c r="D4442" s="11" t="n">
        <v>43645</v>
      </c>
      <c r="E4442" s="31" t="n">
        <v>81.8</v>
      </c>
      <c r="F4442" s="31" t="n">
        <v>4.2</v>
      </c>
      <c r="G4442" s="31" t="n">
        <v>24.7</v>
      </c>
      <c r="H4442" s="2" t="s">
        <v>822</v>
      </c>
    </row>
    <row r="4443" customFormat="false" ht="15" hidden="false" customHeight="false" outlineLevel="0" collapsed="false">
      <c r="A4443" s="2" t="s">
        <v>1155</v>
      </c>
      <c r="B4443" s="2" t="s">
        <v>47</v>
      </c>
      <c r="C4443" s="2" t="s">
        <v>4275</v>
      </c>
      <c r="D4443" s="11" t="n">
        <v>42701</v>
      </c>
      <c r="E4443" s="31" t="n">
        <v>68.6</v>
      </c>
      <c r="F4443" s="31" t="n">
        <v>5.5</v>
      </c>
      <c r="G4443" s="31" t="n">
        <v>8.4</v>
      </c>
      <c r="H4443" s="2" t="s">
        <v>822</v>
      </c>
    </row>
    <row r="4444" customFormat="false" ht="15" hidden="false" customHeight="false" outlineLevel="0" collapsed="false">
      <c r="A4444" s="2" t="s">
        <v>516</v>
      </c>
      <c r="B4444" s="2" t="s">
        <v>4291</v>
      </c>
      <c r="C4444" s="2" t="s">
        <v>4274</v>
      </c>
      <c r="D4444" s="2"/>
      <c r="E4444" s="31" t="n">
        <v>50.5</v>
      </c>
      <c r="F4444" s="31" t="n">
        <v>21.3</v>
      </c>
      <c r="G4444" s="31" t="n">
        <v>51.6</v>
      </c>
      <c r="H4444" s="2" t="s">
        <v>822</v>
      </c>
    </row>
    <row r="4445" customFormat="false" ht="15" hidden="false" customHeight="false" outlineLevel="0" collapsed="false">
      <c r="A4445" s="2" t="s">
        <v>516</v>
      </c>
      <c r="B4445" s="2" t="s">
        <v>4291</v>
      </c>
      <c r="C4445" s="2" t="s">
        <v>4275</v>
      </c>
      <c r="D4445" s="2"/>
      <c r="E4445" s="31" t="n">
        <v>47</v>
      </c>
      <c r="F4445" s="31" t="n">
        <v>13.5</v>
      </c>
      <c r="G4445" s="31" t="n">
        <v>60.8</v>
      </c>
      <c r="H4445" s="2" t="s">
        <v>822</v>
      </c>
    </row>
    <row r="4446" customFormat="false" ht="15" hidden="false" customHeight="false" outlineLevel="0" collapsed="false">
      <c r="A4446" s="2" t="s">
        <v>516</v>
      </c>
      <c r="B4446" s="2" t="s">
        <v>45</v>
      </c>
      <c r="C4446" s="2" t="s">
        <v>4274</v>
      </c>
      <c r="D4446" s="11" t="n">
        <v>16980</v>
      </c>
      <c r="E4446" s="31" t="n">
        <v>83.4</v>
      </c>
      <c r="F4446" s="31" t="n">
        <v>1.1</v>
      </c>
      <c r="G4446" s="2"/>
      <c r="H4446" s="2" t="s">
        <v>822</v>
      </c>
    </row>
    <row r="4447" customFormat="false" ht="15" hidden="false" customHeight="false" outlineLevel="0" collapsed="false">
      <c r="A4447" s="2" t="s">
        <v>516</v>
      </c>
      <c r="B4447" s="2" t="s">
        <v>45</v>
      </c>
      <c r="C4447" s="2" t="s">
        <v>4275</v>
      </c>
      <c r="D4447" s="11" t="n">
        <v>16509</v>
      </c>
      <c r="E4447" s="31" t="n">
        <v>89.6</v>
      </c>
      <c r="F4447" s="31" t="n">
        <v>0.3</v>
      </c>
      <c r="G4447" s="2"/>
      <c r="H4447" s="2" t="s">
        <v>822</v>
      </c>
    </row>
    <row r="4448" customFormat="false" ht="15" hidden="false" customHeight="false" outlineLevel="0" collapsed="false">
      <c r="A4448" s="2" t="s">
        <v>516</v>
      </c>
      <c r="B4448" s="2" t="s">
        <v>46</v>
      </c>
      <c r="C4448" s="2" t="s">
        <v>4274</v>
      </c>
      <c r="D4448" s="11" t="n">
        <v>591040</v>
      </c>
      <c r="E4448" s="31" t="n">
        <v>34.1</v>
      </c>
      <c r="F4448" s="31" t="n">
        <v>9.6</v>
      </c>
      <c r="G4448" s="31" t="n">
        <v>8</v>
      </c>
      <c r="H4448" s="2" t="s">
        <v>822</v>
      </c>
    </row>
    <row r="4449" customFormat="false" ht="15" hidden="false" customHeight="false" outlineLevel="0" collapsed="false">
      <c r="A4449" s="2" t="s">
        <v>516</v>
      </c>
      <c r="B4449" s="2" t="s">
        <v>46</v>
      </c>
      <c r="C4449" s="2" t="s">
        <v>4275</v>
      </c>
      <c r="D4449" s="11" t="n">
        <v>595450</v>
      </c>
      <c r="E4449" s="31" t="n">
        <v>40.5</v>
      </c>
      <c r="F4449" s="31" t="n">
        <v>11.5</v>
      </c>
      <c r="G4449" s="31" t="n">
        <v>34.9</v>
      </c>
      <c r="H4449" s="2" t="s">
        <v>822</v>
      </c>
    </row>
    <row r="4450" customFormat="false" ht="15" hidden="false" customHeight="false" outlineLevel="0" collapsed="false">
      <c r="A4450" s="2" t="s">
        <v>516</v>
      </c>
      <c r="B4450" s="2" t="s">
        <v>47</v>
      </c>
      <c r="C4450" s="2" t="s">
        <v>4274</v>
      </c>
      <c r="D4450" s="11" t="n">
        <v>82186</v>
      </c>
      <c r="E4450" s="31" t="n">
        <v>34.1</v>
      </c>
      <c r="F4450" s="31" t="n">
        <v>53.3</v>
      </c>
      <c r="G4450" s="31" t="n">
        <v>95.2</v>
      </c>
      <c r="H4450" s="2" t="s">
        <v>822</v>
      </c>
    </row>
    <row r="4451" customFormat="false" ht="15" hidden="false" customHeight="false" outlineLevel="0" collapsed="false">
      <c r="A4451" s="2" t="s">
        <v>516</v>
      </c>
      <c r="B4451" s="2" t="s">
        <v>47</v>
      </c>
      <c r="C4451" s="2" t="s">
        <v>4275</v>
      </c>
      <c r="D4451" s="11" t="n">
        <v>83350</v>
      </c>
      <c r="E4451" s="31" t="n">
        <v>10.8</v>
      </c>
      <c r="F4451" s="31" t="n">
        <v>28.6</v>
      </c>
      <c r="G4451" s="31" t="n">
        <v>86.6</v>
      </c>
      <c r="H4451" s="2" t="s">
        <v>822</v>
      </c>
    </row>
    <row r="4452" customFormat="false" ht="15" hidden="false" customHeight="false" outlineLevel="0" collapsed="false">
      <c r="A4452" s="2" t="s">
        <v>578</v>
      </c>
      <c r="B4452" s="2" t="s">
        <v>4291</v>
      </c>
      <c r="C4452" s="2" t="s">
        <v>4274</v>
      </c>
      <c r="D4452" s="2"/>
      <c r="E4452" s="31" t="n">
        <v>96.7</v>
      </c>
      <c r="F4452" s="31" t="n">
        <v>31.8</v>
      </c>
      <c r="G4452" s="31" t="n">
        <v>30.4</v>
      </c>
      <c r="H4452" s="2" t="s">
        <v>832</v>
      </c>
    </row>
    <row r="4453" customFormat="false" ht="15" hidden="false" customHeight="false" outlineLevel="0" collapsed="false">
      <c r="A4453" s="2" t="s">
        <v>578</v>
      </c>
      <c r="B4453" s="2" t="s">
        <v>4291</v>
      </c>
      <c r="C4453" s="2" t="s">
        <v>4275</v>
      </c>
      <c r="D4453" s="2"/>
      <c r="E4453" s="31" t="n">
        <v>41.5</v>
      </c>
      <c r="F4453" s="31" t="n">
        <v>75.7</v>
      </c>
      <c r="G4453" s="31" t="n">
        <v>63.1</v>
      </c>
      <c r="H4453" s="2" t="s">
        <v>822</v>
      </c>
    </row>
    <row r="4454" customFormat="false" ht="15" hidden="false" customHeight="false" outlineLevel="0" collapsed="false">
      <c r="A4454" s="2" t="s">
        <v>578</v>
      </c>
      <c r="B4454" s="2" t="s">
        <v>45</v>
      </c>
      <c r="C4454" s="2" t="s">
        <v>4274</v>
      </c>
      <c r="D4454" s="2"/>
      <c r="E4454" s="2"/>
      <c r="F4454" s="2"/>
      <c r="G4454" s="2"/>
      <c r="H4454" s="2" t="s">
        <v>832</v>
      </c>
    </row>
    <row r="4455" customFormat="false" ht="15" hidden="false" customHeight="false" outlineLevel="0" collapsed="false">
      <c r="A4455" s="2" t="s">
        <v>578</v>
      </c>
      <c r="B4455" s="2" t="s">
        <v>45</v>
      </c>
      <c r="C4455" s="2" t="s">
        <v>4275</v>
      </c>
      <c r="D4455" s="11" t="n">
        <v>172805</v>
      </c>
      <c r="E4455" s="31" t="n">
        <v>15.3</v>
      </c>
      <c r="F4455" s="31" t="n">
        <v>98.6</v>
      </c>
      <c r="G4455" s="31" t="n">
        <v>84.1</v>
      </c>
      <c r="H4455" s="2" t="s">
        <v>822</v>
      </c>
    </row>
    <row r="4456" customFormat="false" ht="15" hidden="false" customHeight="false" outlineLevel="0" collapsed="false">
      <c r="A4456" s="2" t="s">
        <v>578</v>
      </c>
      <c r="B4456" s="2" t="s">
        <v>46</v>
      </c>
      <c r="C4456" s="2" t="s">
        <v>4274</v>
      </c>
      <c r="D4456" s="11" t="n">
        <v>47260</v>
      </c>
      <c r="E4456" s="2"/>
      <c r="F4456" s="31" t="n">
        <v>27.3</v>
      </c>
      <c r="G4456" s="31" t="n">
        <v>43.4</v>
      </c>
      <c r="H4456" s="2" t="s">
        <v>832</v>
      </c>
    </row>
    <row r="4457" customFormat="false" ht="15" hidden="false" customHeight="false" outlineLevel="0" collapsed="false">
      <c r="A4457" s="2" t="s">
        <v>578</v>
      </c>
      <c r="B4457" s="2" t="s">
        <v>46</v>
      </c>
      <c r="C4457" s="2" t="s">
        <v>4275</v>
      </c>
      <c r="D4457" s="11" t="n">
        <v>49830</v>
      </c>
      <c r="E4457" s="31" t="n">
        <v>27.3</v>
      </c>
      <c r="F4457" s="31" t="n">
        <v>49.1</v>
      </c>
      <c r="G4457" s="31" t="n">
        <v>71.1</v>
      </c>
      <c r="H4457" s="2" t="s">
        <v>822</v>
      </c>
    </row>
    <row r="4458" customFormat="false" ht="15" hidden="false" customHeight="false" outlineLevel="0" collapsed="false">
      <c r="A4458" s="2" t="s">
        <v>578</v>
      </c>
      <c r="B4458" s="2" t="s">
        <v>47</v>
      </c>
      <c r="C4458" s="2" t="s">
        <v>4274</v>
      </c>
      <c r="D4458" s="11" t="n">
        <v>268227</v>
      </c>
      <c r="E4458" s="31" t="n">
        <v>96.7</v>
      </c>
      <c r="F4458" s="31" t="n">
        <v>36.4</v>
      </c>
      <c r="G4458" s="31" t="n">
        <v>17.5</v>
      </c>
      <c r="H4458" s="2" t="s">
        <v>822</v>
      </c>
    </row>
    <row r="4459" customFormat="false" ht="15" hidden="false" customHeight="false" outlineLevel="0" collapsed="false">
      <c r="A4459" s="2" t="s">
        <v>578</v>
      </c>
      <c r="B4459" s="2" t="s">
        <v>47</v>
      </c>
      <c r="C4459" s="2" t="s">
        <v>4275</v>
      </c>
      <c r="D4459" s="11" t="n">
        <v>270550</v>
      </c>
      <c r="E4459" s="31" t="n">
        <v>82</v>
      </c>
      <c r="F4459" s="31" t="n">
        <v>79.5</v>
      </c>
      <c r="G4459" s="31" t="n">
        <v>34.1</v>
      </c>
      <c r="H4459" s="2" t="s">
        <v>822</v>
      </c>
    </row>
    <row r="4460" customFormat="false" ht="15" hidden="false" customHeight="false" outlineLevel="0" collapsed="false">
      <c r="A4460" s="2" t="s">
        <v>780</v>
      </c>
      <c r="B4460" s="2" t="s">
        <v>4291</v>
      </c>
      <c r="C4460" s="2" t="s">
        <v>4274</v>
      </c>
      <c r="D4460" s="2"/>
      <c r="E4460" s="2"/>
      <c r="F4460" s="2"/>
      <c r="G4460" s="2"/>
      <c r="H4460" s="2" t="s">
        <v>832</v>
      </c>
    </row>
    <row r="4461" customFormat="false" ht="15" hidden="false" customHeight="false" outlineLevel="0" collapsed="false">
      <c r="A4461" s="2" t="s">
        <v>780</v>
      </c>
      <c r="B4461" s="2" t="s">
        <v>4291</v>
      </c>
      <c r="C4461" s="2" t="s">
        <v>4275</v>
      </c>
      <c r="D4461" s="2"/>
      <c r="E4461" s="31" t="n">
        <v>15.5</v>
      </c>
      <c r="F4461" s="31" t="n">
        <v>96.9</v>
      </c>
      <c r="G4461" s="31" t="n">
        <v>45.2</v>
      </c>
      <c r="H4461" s="2" t="s">
        <v>822</v>
      </c>
    </row>
    <row r="4462" customFormat="false" ht="15" hidden="false" customHeight="false" outlineLevel="0" collapsed="false">
      <c r="A4462" s="2" t="s">
        <v>780</v>
      </c>
      <c r="B4462" s="2" t="s">
        <v>47</v>
      </c>
      <c r="C4462" s="2" t="s">
        <v>4274</v>
      </c>
      <c r="D4462" s="2"/>
      <c r="E4462" s="2"/>
      <c r="F4462" s="2"/>
      <c r="G4462" s="2"/>
      <c r="H4462" s="2" t="s">
        <v>832</v>
      </c>
    </row>
    <row r="4463" customFormat="false" ht="15" hidden="false" customHeight="false" outlineLevel="0" collapsed="false">
      <c r="A4463" s="2" t="s">
        <v>780</v>
      </c>
      <c r="B4463" s="2" t="s">
        <v>47</v>
      </c>
      <c r="C4463" s="2" t="s">
        <v>4275</v>
      </c>
      <c r="D4463" s="11" t="n">
        <v>582380</v>
      </c>
      <c r="E4463" s="31" t="n">
        <v>15.5</v>
      </c>
      <c r="F4463" s="31" t="n">
        <v>96.9</v>
      </c>
      <c r="G4463" s="31" t="n">
        <v>45.2</v>
      </c>
      <c r="H4463" s="2" t="s">
        <v>822</v>
      </c>
    </row>
    <row r="4464" customFormat="false" ht="15" hidden="false" customHeight="false" outlineLevel="0" collapsed="false">
      <c r="A4464" s="2" t="s">
        <v>1394</v>
      </c>
      <c r="B4464" s="2" t="s">
        <v>4291</v>
      </c>
      <c r="C4464" s="2" t="s">
        <v>4274</v>
      </c>
      <c r="D4464" s="2"/>
      <c r="E4464" s="31" t="n">
        <v>46.3</v>
      </c>
      <c r="F4464" s="31" t="n">
        <v>55.9</v>
      </c>
      <c r="G4464" s="31" t="n">
        <v>42.2</v>
      </c>
      <c r="H4464" s="2" t="s">
        <v>832</v>
      </c>
    </row>
    <row r="4465" customFormat="false" ht="15" hidden="false" customHeight="false" outlineLevel="0" collapsed="false">
      <c r="A4465" s="2" t="s">
        <v>1394</v>
      </c>
      <c r="B4465" s="2" t="s">
        <v>4291</v>
      </c>
      <c r="C4465" s="2" t="s">
        <v>4275</v>
      </c>
      <c r="D4465" s="2"/>
      <c r="E4465" s="31" t="n">
        <v>40.7</v>
      </c>
      <c r="F4465" s="31" t="n">
        <v>45</v>
      </c>
      <c r="G4465" s="31" t="n">
        <v>40.8</v>
      </c>
      <c r="H4465" s="2" t="s">
        <v>832</v>
      </c>
    </row>
    <row r="4466" customFormat="false" ht="15" hidden="false" customHeight="false" outlineLevel="0" collapsed="false">
      <c r="A4466" s="2" t="s">
        <v>1394</v>
      </c>
      <c r="B4466" s="2" t="s">
        <v>45</v>
      </c>
      <c r="C4466" s="2" t="s">
        <v>4274</v>
      </c>
      <c r="D4466" s="11" t="n">
        <v>38160</v>
      </c>
      <c r="E4466" s="31" t="n">
        <v>48.8</v>
      </c>
      <c r="F4466" s="31" t="n">
        <v>23</v>
      </c>
      <c r="G4466" s="31" t="n">
        <v>83.7</v>
      </c>
      <c r="H4466" s="2" t="s">
        <v>822</v>
      </c>
    </row>
    <row r="4467" customFormat="false" ht="15" hidden="false" customHeight="false" outlineLevel="0" collapsed="false">
      <c r="A4467" s="2" t="s">
        <v>1394</v>
      </c>
      <c r="B4467" s="2" t="s">
        <v>45</v>
      </c>
      <c r="C4467" s="2" t="s">
        <v>4275</v>
      </c>
      <c r="D4467" s="11" t="n">
        <v>39320</v>
      </c>
      <c r="E4467" s="31" t="n">
        <v>28.7</v>
      </c>
      <c r="F4467" s="31" t="n">
        <v>12.7</v>
      </c>
      <c r="G4467" s="31" t="n">
        <v>59</v>
      </c>
      <c r="H4467" s="2" t="s">
        <v>822</v>
      </c>
    </row>
    <row r="4468" customFormat="false" ht="15" hidden="false" customHeight="false" outlineLevel="0" collapsed="false">
      <c r="A4468" s="2" t="s">
        <v>1394</v>
      </c>
      <c r="B4468" s="2" t="s">
        <v>46</v>
      </c>
      <c r="C4468" s="2" t="s">
        <v>4274</v>
      </c>
      <c r="D4468" s="11" t="n">
        <v>76590</v>
      </c>
      <c r="E4468" s="31" t="n">
        <v>83.8</v>
      </c>
      <c r="F4468" s="31" t="n">
        <v>55.8</v>
      </c>
      <c r="G4468" s="2"/>
      <c r="H4468" s="2" t="s">
        <v>832</v>
      </c>
    </row>
    <row r="4469" customFormat="false" ht="15" hidden="false" customHeight="false" outlineLevel="0" collapsed="false">
      <c r="A4469" s="2" t="s">
        <v>1394</v>
      </c>
      <c r="B4469" s="2" t="s">
        <v>46</v>
      </c>
      <c r="C4469" s="2" t="s">
        <v>4275</v>
      </c>
      <c r="D4469" s="11" t="n">
        <v>78717</v>
      </c>
      <c r="E4469" s="31" t="n">
        <v>89.4</v>
      </c>
      <c r="F4469" s="31" t="n">
        <v>26.5</v>
      </c>
      <c r="G4469" s="2"/>
      <c r="H4469" s="2" t="s">
        <v>832</v>
      </c>
    </row>
    <row r="4470" customFormat="false" ht="15" hidden="false" customHeight="false" outlineLevel="0" collapsed="false">
      <c r="A4470" s="2" t="s">
        <v>1394</v>
      </c>
      <c r="B4470" s="2" t="s">
        <v>47</v>
      </c>
      <c r="C4470" s="2" t="s">
        <v>4274</v>
      </c>
      <c r="D4470" s="11" t="n">
        <v>85533</v>
      </c>
      <c r="E4470" s="31" t="n">
        <v>6.4</v>
      </c>
      <c r="F4470" s="31" t="n">
        <v>88.9</v>
      </c>
      <c r="G4470" s="31" t="n">
        <v>0.8</v>
      </c>
      <c r="H4470" s="2" t="s">
        <v>822</v>
      </c>
    </row>
    <row r="4471" customFormat="false" ht="15" hidden="false" customHeight="false" outlineLevel="0" collapsed="false">
      <c r="A4471" s="2" t="s">
        <v>1394</v>
      </c>
      <c r="B4471" s="2" t="s">
        <v>47</v>
      </c>
      <c r="C4471" s="2" t="s">
        <v>4275</v>
      </c>
      <c r="D4471" s="11" t="n">
        <v>90993</v>
      </c>
      <c r="E4471" s="31" t="n">
        <v>3.9</v>
      </c>
      <c r="F4471" s="31" t="n">
        <v>95.8</v>
      </c>
      <c r="G4471" s="31" t="n">
        <v>22.6</v>
      </c>
      <c r="H4471" s="2" t="s">
        <v>822</v>
      </c>
    </row>
    <row r="4472" customFormat="false" ht="15" hidden="false" customHeight="false" outlineLevel="0" collapsed="false">
      <c r="A4472" s="2" t="s">
        <v>212</v>
      </c>
      <c r="B4472" s="2" t="s">
        <v>4291</v>
      </c>
      <c r="C4472" s="2" t="s">
        <v>4274</v>
      </c>
      <c r="D4472" s="2"/>
      <c r="E4472" s="31" t="n">
        <v>64.2</v>
      </c>
      <c r="F4472" s="31" t="n">
        <v>38.2</v>
      </c>
      <c r="G4472" s="31" t="n">
        <v>67.7</v>
      </c>
      <c r="H4472" s="2" t="s">
        <v>832</v>
      </c>
    </row>
    <row r="4473" customFormat="false" ht="15" hidden="false" customHeight="false" outlineLevel="0" collapsed="false">
      <c r="A4473" s="2" t="s">
        <v>212</v>
      </c>
      <c r="B4473" s="2" t="s">
        <v>4291</v>
      </c>
      <c r="C4473" s="2" t="s">
        <v>4275</v>
      </c>
      <c r="D4473" s="2"/>
      <c r="E4473" s="31" t="n">
        <v>73.9</v>
      </c>
      <c r="F4473" s="31" t="n">
        <v>30.4</v>
      </c>
      <c r="G4473" s="31" t="n">
        <v>59.6</v>
      </c>
      <c r="H4473" s="2" t="s">
        <v>822</v>
      </c>
    </row>
    <row r="4474" customFormat="false" ht="15" hidden="false" customHeight="false" outlineLevel="0" collapsed="false">
      <c r="A4474" s="2" t="s">
        <v>212</v>
      </c>
      <c r="B4474" s="2" t="s">
        <v>45</v>
      </c>
      <c r="C4474" s="2" t="s">
        <v>4274</v>
      </c>
      <c r="D4474" s="11" t="n">
        <v>18880</v>
      </c>
      <c r="E4474" s="31" t="n">
        <v>37.2</v>
      </c>
      <c r="F4474" s="31" t="n">
        <v>32.5</v>
      </c>
      <c r="G4474" s="2"/>
      <c r="H4474" s="2" t="s">
        <v>832</v>
      </c>
    </row>
    <row r="4475" customFormat="false" ht="15" hidden="false" customHeight="false" outlineLevel="0" collapsed="false">
      <c r="A4475" s="2" t="s">
        <v>212</v>
      </c>
      <c r="B4475" s="2" t="s">
        <v>45</v>
      </c>
      <c r="C4475" s="2" t="s">
        <v>4275</v>
      </c>
      <c r="D4475" s="11" t="n">
        <v>18840</v>
      </c>
      <c r="E4475" s="31" t="n">
        <v>55.4</v>
      </c>
      <c r="F4475" s="31" t="n">
        <v>38.5</v>
      </c>
      <c r="G4475" s="31" t="n">
        <v>45.7</v>
      </c>
      <c r="H4475" s="2" t="s">
        <v>822</v>
      </c>
    </row>
    <row r="4476" customFormat="false" ht="15" hidden="false" customHeight="false" outlineLevel="0" collapsed="false">
      <c r="A4476" s="2" t="s">
        <v>212</v>
      </c>
      <c r="B4476" s="2" t="s">
        <v>46</v>
      </c>
      <c r="C4476" s="2" t="s">
        <v>4274</v>
      </c>
      <c r="D4476" s="11" t="n">
        <v>8960</v>
      </c>
      <c r="E4476" s="31" t="n">
        <v>81.4</v>
      </c>
      <c r="F4476" s="31" t="n">
        <v>43.9</v>
      </c>
      <c r="G4476" s="2"/>
      <c r="H4476" s="2" t="s">
        <v>832</v>
      </c>
    </row>
    <row r="4477" customFormat="false" ht="15" hidden="false" customHeight="false" outlineLevel="0" collapsed="false">
      <c r="A4477" s="2" t="s">
        <v>212</v>
      </c>
      <c r="B4477" s="2" t="s">
        <v>46</v>
      </c>
      <c r="C4477" s="2" t="s">
        <v>4275</v>
      </c>
      <c r="D4477" s="11" t="n">
        <v>9240</v>
      </c>
      <c r="E4477" s="31" t="n">
        <v>74.1</v>
      </c>
      <c r="F4477" s="31" t="n">
        <v>43.4</v>
      </c>
      <c r="G4477" s="31" t="n">
        <v>55.2</v>
      </c>
      <c r="H4477" s="2" t="s">
        <v>822</v>
      </c>
    </row>
    <row r="4478" customFormat="false" ht="15" hidden="false" customHeight="false" outlineLevel="0" collapsed="false">
      <c r="A4478" s="2" t="s">
        <v>212</v>
      </c>
      <c r="B4478" s="2" t="s">
        <v>47</v>
      </c>
      <c r="C4478" s="2" t="s">
        <v>4274</v>
      </c>
      <c r="D4478" s="11" t="n">
        <v>105091</v>
      </c>
      <c r="E4478" s="31" t="n">
        <v>73.9</v>
      </c>
      <c r="F4478" s="2"/>
      <c r="G4478" s="31" t="n">
        <v>67.7</v>
      </c>
      <c r="H4478" s="2" t="s">
        <v>832</v>
      </c>
    </row>
    <row r="4479" customFormat="false" ht="15" hidden="false" customHeight="false" outlineLevel="0" collapsed="false">
      <c r="A4479" s="2" t="s">
        <v>212</v>
      </c>
      <c r="B4479" s="2" t="s">
        <v>47</v>
      </c>
      <c r="C4479" s="2" t="s">
        <v>4275</v>
      </c>
      <c r="D4479" s="11" t="n">
        <v>106910</v>
      </c>
      <c r="E4479" s="31" t="n">
        <v>92.2</v>
      </c>
      <c r="F4479" s="31" t="n">
        <v>9.3</v>
      </c>
      <c r="G4479" s="31" t="n">
        <v>77.8</v>
      </c>
      <c r="H4479" s="2" t="s">
        <v>822</v>
      </c>
    </row>
    <row r="4480" customFormat="false" ht="15" hidden="false" customHeight="false" outlineLevel="0" collapsed="false">
      <c r="A4480" s="2" t="s">
        <v>336</v>
      </c>
      <c r="B4480" s="2" t="s">
        <v>4291</v>
      </c>
      <c r="C4480" s="2" t="s">
        <v>4274</v>
      </c>
      <c r="D4480" s="2"/>
      <c r="E4480" s="31" t="n">
        <v>53</v>
      </c>
      <c r="F4480" s="31" t="n">
        <v>43.2</v>
      </c>
      <c r="G4480" s="31" t="n">
        <v>92.6</v>
      </c>
      <c r="H4480" s="2" t="s">
        <v>832</v>
      </c>
    </row>
    <row r="4481" customFormat="false" ht="15" hidden="false" customHeight="false" outlineLevel="0" collapsed="false">
      <c r="A4481" s="2" t="s">
        <v>336</v>
      </c>
      <c r="B4481" s="2" t="s">
        <v>4291</v>
      </c>
      <c r="C4481" s="2" t="s">
        <v>4275</v>
      </c>
      <c r="D4481" s="2"/>
      <c r="E4481" s="31" t="n">
        <v>60.1</v>
      </c>
      <c r="F4481" s="31" t="n">
        <v>44.9</v>
      </c>
      <c r="G4481" s="31" t="n">
        <v>70.7</v>
      </c>
      <c r="H4481" s="2" t="s">
        <v>822</v>
      </c>
    </row>
    <row r="4482" customFormat="false" ht="15" hidden="false" customHeight="false" outlineLevel="0" collapsed="false">
      <c r="A4482" s="2" t="s">
        <v>336</v>
      </c>
      <c r="B4482" s="2" t="s">
        <v>45</v>
      </c>
      <c r="C4482" s="2" t="s">
        <v>4274</v>
      </c>
      <c r="D4482" s="11" t="n">
        <v>95833</v>
      </c>
      <c r="E4482" s="31" t="n">
        <v>6.3</v>
      </c>
      <c r="F4482" s="31" t="n">
        <v>88</v>
      </c>
      <c r="G4482" s="31" t="n">
        <v>99</v>
      </c>
      <c r="H4482" s="2" t="s">
        <v>822</v>
      </c>
    </row>
    <row r="4483" customFormat="false" ht="15" hidden="false" customHeight="false" outlineLevel="0" collapsed="false">
      <c r="A4483" s="2" t="s">
        <v>336</v>
      </c>
      <c r="B4483" s="2" t="s">
        <v>45</v>
      </c>
      <c r="C4483" s="2" t="s">
        <v>4275</v>
      </c>
      <c r="D4483" s="11" t="n">
        <v>98700</v>
      </c>
      <c r="E4483" s="31" t="n">
        <v>3</v>
      </c>
      <c r="F4483" s="31" t="n">
        <v>81.4</v>
      </c>
      <c r="G4483" s="31" t="n">
        <v>96.3</v>
      </c>
      <c r="H4483" s="2" t="s">
        <v>822</v>
      </c>
    </row>
    <row r="4484" customFormat="false" ht="15" hidden="false" customHeight="false" outlineLevel="0" collapsed="false">
      <c r="A4484" s="2" t="s">
        <v>336</v>
      </c>
      <c r="B4484" s="2" t="s">
        <v>46</v>
      </c>
      <c r="C4484" s="2" t="s">
        <v>4274</v>
      </c>
      <c r="D4484" s="11" t="n">
        <v>325170</v>
      </c>
      <c r="E4484" s="31" t="n">
        <v>86.5</v>
      </c>
      <c r="F4484" s="31" t="n">
        <v>26.3</v>
      </c>
      <c r="G4484" s="2"/>
      <c r="H4484" s="2" t="s">
        <v>832</v>
      </c>
    </row>
    <row r="4485" customFormat="false" ht="15" hidden="false" customHeight="false" outlineLevel="0" collapsed="false">
      <c r="A4485" s="2" t="s">
        <v>336</v>
      </c>
      <c r="B4485" s="2" t="s">
        <v>46</v>
      </c>
      <c r="C4485" s="2" t="s">
        <v>4275</v>
      </c>
      <c r="D4485" s="11" t="n">
        <v>330670</v>
      </c>
      <c r="E4485" s="31" t="n">
        <v>96.5</v>
      </c>
      <c r="F4485" s="31" t="n">
        <v>17.2</v>
      </c>
      <c r="G4485" s="31" t="n">
        <v>50.8</v>
      </c>
      <c r="H4485" s="2" t="s">
        <v>822</v>
      </c>
    </row>
    <row r="4486" customFormat="false" ht="15" hidden="false" customHeight="false" outlineLevel="0" collapsed="false">
      <c r="A4486" s="2" t="s">
        <v>336</v>
      </c>
      <c r="B4486" s="2" t="s">
        <v>47</v>
      </c>
      <c r="C4486" s="2" t="s">
        <v>4274</v>
      </c>
      <c r="D4486" s="11" t="n">
        <v>40699</v>
      </c>
      <c r="E4486" s="31" t="n">
        <v>66.1</v>
      </c>
      <c r="F4486" s="31" t="n">
        <v>15.4</v>
      </c>
      <c r="G4486" s="31" t="n">
        <v>86.1</v>
      </c>
      <c r="H4486" s="2" t="s">
        <v>822</v>
      </c>
    </row>
    <row r="4487" customFormat="false" ht="15" hidden="false" customHeight="false" outlineLevel="0" collapsed="false">
      <c r="A4487" s="2" t="s">
        <v>336</v>
      </c>
      <c r="B4487" s="2" t="s">
        <v>47</v>
      </c>
      <c r="C4487" s="2" t="s">
        <v>4275</v>
      </c>
      <c r="D4487" s="11" t="n">
        <v>40693</v>
      </c>
      <c r="E4487" s="31" t="n">
        <v>80.8</v>
      </c>
      <c r="F4487" s="31" t="n">
        <v>36</v>
      </c>
      <c r="G4487" s="31" t="n">
        <v>65.1</v>
      </c>
      <c r="H4487" s="2" t="s">
        <v>822</v>
      </c>
    </row>
    <row r="4488" customFormat="false" ht="15" hidden="false" customHeight="false" outlineLevel="0" collapsed="false">
      <c r="A4488" s="2" t="s">
        <v>254</v>
      </c>
      <c r="B4488" s="2" t="s">
        <v>4291</v>
      </c>
      <c r="C4488" s="2" t="s">
        <v>4274</v>
      </c>
      <c r="D4488" s="2"/>
      <c r="E4488" s="31" t="n">
        <v>51.6</v>
      </c>
      <c r="F4488" s="31" t="n">
        <v>80.4</v>
      </c>
      <c r="G4488" s="31" t="n">
        <v>89.7</v>
      </c>
      <c r="H4488" s="2" t="s">
        <v>832</v>
      </c>
    </row>
    <row r="4489" customFormat="false" ht="15" hidden="false" customHeight="false" outlineLevel="0" collapsed="false">
      <c r="A4489" s="2" t="s">
        <v>254</v>
      </c>
      <c r="B4489" s="2" t="s">
        <v>4291</v>
      </c>
      <c r="C4489" s="2" t="s">
        <v>4275</v>
      </c>
      <c r="D4489" s="2"/>
      <c r="E4489" s="31" t="n">
        <v>67.6</v>
      </c>
      <c r="F4489" s="31" t="n">
        <v>44.8</v>
      </c>
      <c r="G4489" s="31" t="n">
        <v>76.7</v>
      </c>
      <c r="H4489" s="2" t="s">
        <v>822</v>
      </c>
    </row>
    <row r="4490" customFormat="false" ht="15" hidden="false" customHeight="false" outlineLevel="0" collapsed="false">
      <c r="A4490" s="2" t="s">
        <v>254</v>
      </c>
      <c r="B4490" s="2" t="s">
        <v>45</v>
      </c>
      <c r="C4490" s="2" t="s">
        <v>4274</v>
      </c>
      <c r="D4490" s="11" t="n">
        <v>49140</v>
      </c>
      <c r="E4490" s="31" t="n">
        <v>16.6</v>
      </c>
      <c r="F4490" s="31" t="n">
        <v>76.3</v>
      </c>
      <c r="G4490" s="31" t="n">
        <v>97.6</v>
      </c>
      <c r="H4490" s="2" t="s">
        <v>822</v>
      </c>
    </row>
    <row r="4491" customFormat="false" ht="15" hidden="false" customHeight="false" outlineLevel="0" collapsed="false">
      <c r="A4491" s="2" t="s">
        <v>254</v>
      </c>
      <c r="B4491" s="2" t="s">
        <v>45</v>
      </c>
      <c r="C4491" s="2" t="s">
        <v>4275</v>
      </c>
      <c r="D4491" s="11" t="n">
        <v>50400</v>
      </c>
      <c r="E4491" s="31" t="n">
        <v>34.2</v>
      </c>
      <c r="F4491" s="31" t="n">
        <v>40.9</v>
      </c>
      <c r="G4491" s="31" t="n">
        <v>82.1</v>
      </c>
      <c r="H4491" s="2" t="s">
        <v>822</v>
      </c>
    </row>
    <row r="4492" customFormat="false" ht="15" hidden="false" customHeight="false" outlineLevel="0" collapsed="false">
      <c r="A4492" s="2" t="s">
        <v>254</v>
      </c>
      <c r="B4492" s="2" t="s">
        <v>46</v>
      </c>
      <c r="C4492" s="2" t="s">
        <v>4274</v>
      </c>
      <c r="D4492" s="11" t="n">
        <v>13970</v>
      </c>
      <c r="E4492" s="31" t="n">
        <v>73.8</v>
      </c>
      <c r="F4492" s="2"/>
      <c r="G4492" s="2"/>
      <c r="H4492" s="2" t="s">
        <v>832</v>
      </c>
    </row>
    <row r="4493" customFormat="false" ht="15" hidden="false" customHeight="false" outlineLevel="0" collapsed="false">
      <c r="A4493" s="2" t="s">
        <v>254</v>
      </c>
      <c r="B4493" s="2" t="s">
        <v>46</v>
      </c>
      <c r="C4493" s="2" t="s">
        <v>4275</v>
      </c>
      <c r="D4493" s="11" t="n">
        <v>13960</v>
      </c>
      <c r="E4493" s="31" t="n">
        <v>80.7</v>
      </c>
      <c r="F4493" s="31" t="n">
        <v>16</v>
      </c>
      <c r="G4493" s="31" t="n">
        <v>66</v>
      </c>
      <c r="H4493" s="2" t="s">
        <v>822</v>
      </c>
    </row>
    <row r="4494" customFormat="false" ht="15" hidden="false" customHeight="false" outlineLevel="0" collapsed="false">
      <c r="A4494" s="2" t="s">
        <v>254</v>
      </c>
      <c r="B4494" s="2" t="s">
        <v>47</v>
      </c>
      <c r="C4494" s="2" t="s">
        <v>4274</v>
      </c>
      <c r="D4494" s="11" t="n">
        <v>176494</v>
      </c>
      <c r="E4494" s="31" t="n">
        <v>64.4</v>
      </c>
      <c r="F4494" s="31" t="n">
        <v>84.6</v>
      </c>
      <c r="G4494" s="31" t="n">
        <v>81.8</v>
      </c>
      <c r="H4494" s="2" t="s">
        <v>822</v>
      </c>
    </row>
    <row r="4495" customFormat="false" ht="15" hidden="false" customHeight="false" outlineLevel="0" collapsed="false">
      <c r="A4495" s="2" t="s">
        <v>254</v>
      </c>
      <c r="B4495" s="2" t="s">
        <v>47</v>
      </c>
      <c r="C4495" s="2" t="s">
        <v>4275</v>
      </c>
      <c r="D4495" s="11" t="n">
        <v>187470</v>
      </c>
      <c r="E4495" s="31" t="n">
        <v>87.8</v>
      </c>
      <c r="F4495" s="31" t="n">
        <v>77.6</v>
      </c>
      <c r="G4495" s="31" t="n">
        <v>82.1</v>
      </c>
      <c r="H4495" s="2" t="s">
        <v>822</v>
      </c>
    </row>
    <row r="4496" customFormat="false" ht="15" hidden="false" customHeight="false" outlineLevel="0" collapsed="false">
      <c r="A4496" s="2" t="s">
        <v>372</v>
      </c>
      <c r="B4496" s="2" t="s">
        <v>4291</v>
      </c>
      <c r="C4496" s="2" t="s">
        <v>4274</v>
      </c>
      <c r="D4496" s="2"/>
      <c r="E4496" s="31" t="n">
        <v>41</v>
      </c>
      <c r="F4496" s="31" t="n">
        <v>11.2</v>
      </c>
      <c r="G4496" s="31" t="n">
        <v>31.2</v>
      </c>
      <c r="H4496" s="2" t="s">
        <v>832</v>
      </c>
    </row>
    <row r="4497" customFormat="false" ht="15" hidden="false" customHeight="false" outlineLevel="0" collapsed="false">
      <c r="A4497" s="2" t="s">
        <v>372</v>
      </c>
      <c r="B4497" s="2" t="s">
        <v>4291</v>
      </c>
      <c r="C4497" s="2" t="s">
        <v>4275</v>
      </c>
      <c r="D4497" s="2"/>
      <c r="E4497" s="31" t="n">
        <v>57</v>
      </c>
      <c r="F4497" s="31" t="n">
        <v>21.2</v>
      </c>
      <c r="G4497" s="31" t="n">
        <v>36.9</v>
      </c>
      <c r="H4497" s="2" t="s">
        <v>822</v>
      </c>
    </row>
    <row r="4498" customFormat="false" ht="15" hidden="false" customHeight="false" outlineLevel="0" collapsed="false">
      <c r="A4498" s="2" t="s">
        <v>372</v>
      </c>
      <c r="B4498" s="2" t="s">
        <v>45</v>
      </c>
      <c r="C4498" s="2" t="s">
        <v>4274</v>
      </c>
      <c r="D4498" s="11" t="n">
        <v>95572</v>
      </c>
      <c r="E4498" s="31" t="n">
        <v>72.3</v>
      </c>
      <c r="F4498" s="31" t="n">
        <v>0.7</v>
      </c>
      <c r="G4498" s="31" t="n">
        <v>34.4</v>
      </c>
      <c r="H4498" s="2" t="s">
        <v>822</v>
      </c>
    </row>
    <row r="4499" customFormat="false" ht="15" hidden="false" customHeight="false" outlineLevel="0" collapsed="false">
      <c r="A4499" s="2" t="s">
        <v>372</v>
      </c>
      <c r="B4499" s="2" t="s">
        <v>45</v>
      </c>
      <c r="C4499" s="2" t="s">
        <v>4275</v>
      </c>
      <c r="D4499" s="11" t="n">
        <v>93860</v>
      </c>
      <c r="E4499" s="31" t="n">
        <v>73.2</v>
      </c>
      <c r="F4499" s="31" t="n">
        <v>1</v>
      </c>
      <c r="G4499" s="31" t="n">
        <v>28.4</v>
      </c>
      <c r="H4499" s="2" t="s">
        <v>822</v>
      </c>
    </row>
    <row r="4500" customFormat="false" ht="15" hidden="false" customHeight="false" outlineLevel="0" collapsed="false">
      <c r="A4500" s="2" t="s">
        <v>372</v>
      </c>
      <c r="B4500" s="2" t="s">
        <v>46</v>
      </c>
      <c r="C4500" s="2" t="s">
        <v>4274</v>
      </c>
      <c r="D4500" s="11" t="n">
        <v>47830</v>
      </c>
      <c r="E4500" s="31" t="n">
        <v>9.8</v>
      </c>
      <c r="F4500" s="31" t="n">
        <v>21.7</v>
      </c>
      <c r="G4500" s="31" t="n">
        <v>27.9</v>
      </c>
      <c r="H4500" s="2" t="s">
        <v>822</v>
      </c>
    </row>
    <row r="4501" customFormat="false" ht="15" hidden="false" customHeight="false" outlineLevel="0" collapsed="false">
      <c r="A4501" s="2" t="s">
        <v>372</v>
      </c>
      <c r="B4501" s="2" t="s">
        <v>46</v>
      </c>
      <c r="C4501" s="2" t="s">
        <v>4275</v>
      </c>
      <c r="D4501" s="11" t="n">
        <v>49050</v>
      </c>
      <c r="E4501" s="31" t="n">
        <v>4.3</v>
      </c>
      <c r="F4501" s="31" t="n">
        <v>12.7</v>
      </c>
      <c r="G4501" s="31" t="n">
        <v>49.2</v>
      </c>
      <c r="H4501" s="2" t="s">
        <v>822</v>
      </c>
    </row>
    <row r="4502" customFormat="false" ht="15" hidden="false" customHeight="false" outlineLevel="0" collapsed="false">
      <c r="A4502" s="2" t="s">
        <v>372</v>
      </c>
      <c r="B4502" s="2" t="s">
        <v>47</v>
      </c>
      <c r="C4502" s="2" t="s">
        <v>4274</v>
      </c>
      <c r="D4502" s="2"/>
      <c r="E4502" s="2"/>
      <c r="F4502" s="2"/>
      <c r="G4502" s="2"/>
      <c r="H4502" s="2" t="s">
        <v>832</v>
      </c>
    </row>
    <row r="4503" customFormat="false" ht="15" hidden="false" customHeight="false" outlineLevel="0" collapsed="false">
      <c r="A4503" s="2" t="s">
        <v>372</v>
      </c>
      <c r="B4503" s="2" t="s">
        <v>47</v>
      </c>
      <c r="C4503" s="2" t="s">
        <v>4275</v>
      </c>
      <c r="D4503" s="11" t="n">
        <v>4824440</v>
      </c>
      <c r="E4503" s="31" t="n">
        <v>93.5</v>
      </c>
      <c r="F4503" s="31" t="n">
        <v>50</v>
      </c>
      <c r="G4503" s="31" t="n">
        <v>33.2</v>
      </c>
      <c r="H4503" s="2" t="s">
        <v>822</v>
      </c>
    </row>
    <row r="4504" customFormat="false" ht="15" hidden="false" customHeight="false" outlineLevel="0" collapsed="false">
      <c r="A4504" s="2" t="s">
        <v>1938</v>
      </c>
      <c r="B4504" s="2" t="s">
        <v>4291</v>
      </c>
      <c r="C4504" s="2" t="s">
        <v>4274</v>
      </c>
      <c r="D4504" s="2"/>
      <c r="E4504" s="31" t="n">
        <v>59.9</v>
      </c>
      <c r="F4504" s="31" t="n">
        <v>44.2</v>
      </c>
      <c r="G4504" s="2"/>
      <c r="H4504" s="2" t="s">
        <v>832</v>
      </c>
    </row>
    <row r="4505" customFormat="false" ht="15" hidden="false" customHeight="false" outlineLevel="0" collapsed="false">
      <c r="A4505" s="2" t="s">
        <v>1938</v>
      </c>
      <c r="B4505" s="2" t="s">
        <v>4291</v>
      </c>
      <c r="C4505" s="2" t="s">
        <v>4275</v>
      </c>
      <c r="D4505" s="2"/>
      <c r="E4505" s="31" t="n">
        <v>44</v>
      </c>
      <c r="F4505" s="31" t="n">
        <v>23.6</v>
      </c>
      <c r="G4505" s="31" t="n">
        <v>95.8</v>
      </c>
      <c r="H4505" s="2" t="s">
        <v>832</v>
      </c>
    </row>
    <row r="4506" customFormat="false" ht="15" hidden="false" customHeight="false" outlineLevel="0" collapsed="false">
      <c r="A4506" s="2" t="s">
        <v>1938</v>
      </c>
      <c r="B4506" s="2" t="s">
        <v>46</v>
      </c>
      <c r="C4506" s="2" t="s">
        <v>4274</v>
      </c>
      <c r="D4506" s="11" t="n">
        <v>165290</v>
      </c>
      <c r="E4506" s="31" t="n">
        <v>59.9</v>
      </c>
      <c r="F4506" s="31" t="n">
        <v>44.2</v>
      </c>
      <c r="G4506" s="2"/>
      <c r="H4506" s="2" t="s">
        <v>832</v>
      </c>
    </row>
    <row r="4507" customFormat="false" ht="15" hidden="false" customHeight="false" outlineLevel="0" collapsed="false">
      <c r="A4507" s="2" t="s">
        <v>1938</v>
      </c>
      <c r="B4507" s="2" t="s">
        <v>46</v>
      </c>
      <c r="C4507" s="2" t="s">
        <v>4275</v>
      </c>
      <c r="D4507" s="11" t="n">
        <v>172540</v>
      </c>
      <c r="E4507" s="31" t="n">
        <v>44</v>
      </c>
      <c r="F4507" s="31" t="n">
        <v>23.6</v>
      </c>
      <c r="G4507" s="31" t="n">
        <v>95.8</v>
      </c>
      <c r="H4507" s="2" t="s">
        <v>822</v>
      </c>
    </row>
    <row r="4508" customFormat="false" ht="15" hidden="false" customHeight="false" outlineLevel="0" collapsed="false">
      <c r="A4508" s="2" t="s">
        <v>101</v>
      </c>
      <c r="B4508" s="2" t="s">
        <v>4291</v>
      </c>
      <c r="C4508" s="2" t="s">
        <v>4274</v>
      </c>
      <c r="D4508" s="2"/>
      <c r="E4508" s="2"/>
      <c r="F4508" s="2"/>
      <c r="G4508" s="2"/>
      <c r="H4508" s="2" t="s">
        <v>832</v>
      </c>
    </row>
    <row r="4509" customFormat="false" ht="15" hidden="false" customHeight="false" outlineLevel="0" collapsed="false">
      <c r="A4509" s="2" t="s">
        <v>101</v>
      </c>
      <c r="B4509" s="2" t="s">
        <v>4291</v>
      </c>
      <c r="C4509" s="2" t="s">
        <v>4275</v>
      </c>
      <c r="D4509" s="2"/>
      <c r="E4509" s="31" t="n">
        <v>94.1</v>
      </c>
      <c r="F4509" s="31" t="n">
        <v>43.6</v>
      </c>
      <c r="G4509" s="31" t="n">
        <v>73.7</v>
      </c>
      <c r="H4509" s="2" t="s">
        <v>822</v>
      </c>
    </row>
    <row r="4510" customFormat="false" ht="15" hidden="false" customHeight="false" outlineLevel="0" collapsed="false">
      <c r="A4510" s="2" t="s">
        <v>101</v>
      </c>
      <c r="B4510" s="2" t="s">
        <v>46</v>
      </c>
      <c r="C4510" s="2" t="s">
        <v>4274</v>
      </c>
      <c r="D4510" s="2"/>
      <c r="E4510" s="2"/>
      <c r="F4510" s="2"/>
      <c r="G4510" s="2"/>
      <c r="H4510" s="2" t="s">
        <v>832</v>
      </c>
    </row>
    <row r="4511" customFormat="false" ht="15" hidden="false" customHeight="false" outlineLevel="0" collapsed="false">
      <c r="A4511" s="2" t="s">
        <v>101</v>
      </c>
      <c r="B4511" s="2" t="s">
        <v>46</v>
      </c>
      <c r="C4511" s="2" t="s">
        <v>4275</v>
      </c>
      <c r="D4511" s="11" t="n">
        <v>43020</v>
      </c>
      <c r="E4511" s="31" t="n">
        <v>94.1</v>
      </c>
      <c r="F4511" s="31" t="n">
        <v>43.6</v>
      </c>
      <c r="G4511" s="31" t="n">
        <v>73.7</v>
      </c>
      <c r="H4511" s="2" t="s">
        <v>822</v>
      </c>
    </row>
    <row r="4512" customFormat="false" ht="15" hidden="false" customHeight="false" outlineLevel="0" collapsed="false">
      <c r="A4512" s="2" t="s">
        <v>620</v>
      </c>
      <c r="B4512" s="2" t="s">
        <v>4291</v>
      </c>
      <c r="C4512" s="2" t="s">
        <v>4274</v>
      </c>
      <c r="D4512" s="2"/>
      <c r="E4512" s="31" t="n">
        <v>45.8</v>
      </c>
      <c r="F4512" s="31" t="n">
        <v>50.2</v>
      </c>
      <c r="G4512" s="31" t="n">
        <v>41.3</v>
      </c>
      <c r="H4512" s="2" t="s">
        <v>822</v>
      </c>
    </row>
    <row r="4513" customFormat="false" ht="15" hidden="false" customHeight="false" outlineLevel="0" collapsed="false">
      <c r="A4513" s="2" t="s">
        <v>620</v>
      </c>
      <c r="B4513" s="2" t="s">
        <v>4291</v>
      </c>
      <c r="C4513" s="2" t="s">
        <v>4275</v>
      </c>
      <c r="D4513" s="2"/>
      <c r="E4513" s="31" t="n">
        <v>37.8</v>
      </c>
      <c r="F4513" s="31" t="n">
        <v>43</v>
      </c>
      <c r="G4513" s="31" t="n">
        <v>48.1</v>
      </c>
      <c r="H4513" s="2" t="s">
        <v>822</v>
      </c>
    </row>
    <row r="4514" customFormat="false" ht="15" hidden="false" customHeight="false" outlineLevel="0" collapsed="false">
      <c r="A4514" s="2" t="s">
        <v>620</v>
      </c>
      <c r="B4514" s="2" t="s">
        <v>45</v>
      </c>
      <c r="C4514" s="2" t="s">
        <v>4274</v>
      </c>
      <c r="D4514" s="11" t="n">
        <v>12499</v>
      </c>
      <c r="E4514" s="31" t="n">
        <v>19</v>
      </c>
      <c r="F4514" s="31" t="n">
        <v>64.2</v>
      </c>
      <c r="G4514" s="31" t="n">
        <v>16.5</v>
      </c>
      <c r="H4514" s="2" t="s">
        <v>822</v>
      </c>
    </row>
    <row r="4515" customFormat="false" ht="15" hidden="false" customHeight="false" outlineLevel="0" collapsed="false">
      <c r="A4515" s="2" t="s">
        <v>620</v>
      </c>
      <c r="B4515" s="2" t="s">
        <v>45</v>
      </c>
      <c r="C4515" s="2" t="s">
        <v>4275</v>
      </c>
      <c r="D4515" s="11" t="n">
        <v>13310</v>
      </c>
      <c r="E4515" s="31" t="n">
        <v>10.6</v>
      </c>
      <c r="F4515" s="31" t="n">
        <v>31.6</v>
      </c>
      <c r="G4515" s="31" t="n">
        <v>45</v>
      </c>
      <c r="H4515" s="2" t="s">
        <v>822</v>
      </c>
    </row>
    <row r="4516" customFormat="false" ht="15" hidden="false" customHeight="false" outlineLevel="0" collapsed="false">
      <c r="A4516" s="2" t="s">
        <v>620</v>
      </c>
      <c r="B4516" s="2" t="s">
        <v>46</v>
      </c>
      <c r="C4516" s="2" t="s">
        <v>4274</v>
      </c>
      <c r="D4516" s="11" t="n">
        <v>72006</v>
      </c>
      <c r="E4516" s="31" t="n">
        <v>21.1</v>
      </c>
      <c r="F4516" s="31" t="n">
        <v>83.1</v>
      </c>
      <c r="G4516" s="31" t="n">
        <v>19.4</v>
      </c>
      <c r="H4516" s="2" t="s">
        <v>822</v>
      </c>
    </row>
    <row r="4517" customFormat="false" ht="15" hidden="false" customHeight="false" outlineLevel="0" collapsed="false">
      <c r="A4517" s="2" t="s">
        <v>620</v>
      </c>
      <c r="B4517" s="2" t="s">
        <v>46</v>
      </c>
      <c r="C4517" s="2" t="s">
        <v>4275</v>
      </c>
      <c r="D4517" s="11" t="n">
        <v>77739</v>
      </c>
      <c r="E4517" s="31" t="n">
        <v>10.6</v>
      </c>
      <c r="F4517" s="31" t="n">
        <v>96</v>
      </c>
      <c r="G4517" s="31" t="n">
        <v>18.5</v>
      </c>
      <c r="H4517" s="2" t="s">
        <v>822</v>
      </c>
    </row>
    <row r="4518" customFormat="false" ht="15" hidden="false" customHeight="false" outlineLevel="0" collapsed="false">
      <c r="A4518" s="2" t="s">
        <v>620</v>
      </c>
      <c r="B4518" s="2" t="s">
        <v>47</v>
      </c>
      <c r="C4518" s="2" t="s">
        <v>4274</v>
      </c>
      <c r="D4518" s="11" t="n">
        <v>28006</v>
      </c>
      <c r="E4518" s="31" t="n">
        <v>97.2</v>
      </c>
      <c r="F4518" s="31" t="n">
        <v>3.3</v>
      </c>
      <c r="G4518" s="31" t="n">
        <v>88</v>
      </c>
      <c r="H4518" s="2" t="s">
        <v>822</v>
      </c>
    </row>
    <row r="4519" customFormat="false" ht="15" hidden="false" customHeight="false" outlineLevel="0" collapsed="false">
      <c r="A4519" s="2" t="s">
        <v>620</v>
      </c>
      <c r="B4519" s="2" t="s">
        <v>47</v>
      </c>
      <c r="C4519" s="2" t="s">
        <v>4275</v>
      </c>
      <c r="D4519" s="11" t="n">
        <v>27170</v>
      </c>
      <c r="E4519" s="31" t="n">
        <v>92.1</v>
      </c>
      <c r="F4519" s="31" t="n">
        <v>1.3</v>
      </c>
      <c r="G4519" s="31" t="n">
        <v>80.8</v>
      </c>
      <c r="H4519" s="2" t="s">
        <v>822</v>
      </c>
    </row>
    <row r="4520" customFormat="false" ht="15" hidden="false" customHeight="false" outlineLevel="0" collapsed="false">
      <c r="A4520" s="2" t="s">
        <v>514</v>
      </c>
      <c r="B4520" s="2" t="s">
        <v>4291</v>
      </c>
      <c r="C4520" s="2" t="s">
        <v>4274</v>
      </c>
      <c r="D4520" s="2"/>
      <c r="E4520" s="31" t="n">
        <v>45.6</v>
      </c>
      <c r="F4520" s="31" t="n">
        <v>31.2</v>
      </c>
      <c r="G4520" s="31" t="n">
        <v>77.4</v>
      </c>
      <c r="H4520" s="2" t="s">
        <v>822</v>
      </c>
    </row>
    <row r="4521" customFormat="false" ht="15" hidden="false" customHeight="false" outlineLevel="0" collapsed="false">
      <c r="A4521" s="2" t="s">
        <v>514</v>
      </c>
      <c r="B4521" s="2" t="s">
        <v>4291</v>
      </c>
      <c r="C4521" s="2" t="s">
        <v>4275</v>
      </c>
      <c r="D4521" s="2"/>
      <c r="E4521" s="31" t="n">
        <v>47.3</v>
      </c>
      <c r="F4521" s="31" t="n">
        <v>12.9</v>
      </c>
      <c r="G4521" s="31" t="n">
        <v>62.2</v>
      </c>
      <c r="H4521" s="2" t="s">
        <v>822</v>
      </c>
    </row>
    <row r="4522" customFormat="false" ht="15" hidden="false" customHeight="false" outlineLevel="0" collapsed="false">
      <c r="A4522" s="2" t="s">
        <v>514</v>
      </c>
      <c r="B4522" s="2" t="s">
        <v>45</v>
      </c>
      <c r="C4522" s="2" t="s">
        <v>4274</v>
      </c>
      <c r="D4522" s="11" t="n">
        <v>65250</v>
      </c>
      <c r="E4522" s="31" t="n">
        <v>96.3</v>
      </c>
      <c r="F4522" s="31" t="n">
        <v>10.2</v>
      </c>
      <c r="G4522" s="31" t="n">
        <v>78</v>
      </c>
      <c r="H4522" s="2" t="s">
        <v>822</v>
      </c>
    </row>
    <row r="4523" customFormat="false" ht="15" hidden="false" customHeight="false" outlineLevel="0" collapsed="false">
      <c r="A4523" s="2" t="s">
        <v>514</v>
      </c>
      <c r="B4523" s="2" t="s">
        <v>45</v>
      </c>
      <c r="C4523" s="2" t="s">
        <v>4275</v>
      </c>
      <c r="D4523" s="11" t="n">
        <v>64560</v>
      </c>
      <c r="E4523" s="31" t="n">
        <v>92.1</v>
      </c>
      <c r="F4523" s="31" t="n">
        <v>6.5</v>
      </c>
      <c r="G4523" s="31" t="n">
        <v>64.1</v>
      </c>
      <c r="H4523" s="2" t="s">
        <v>822</v>
      </c>
    </row>
    <row r="4524" customFormat="false" ht="15" hidden="false" customHeight="false" outlineLevel="0" collapsed="false">
      <c r="A4524" s="2" t="s">
        <v>514</v>
      </c>
      <c r="B4524" s="2" t="s">
        <v>46</v>
      </c>
      <c r="C4524" s="2" t="s">
        <v>4274</v>
      </c>
      <c r="D4524" s="11" t="n">
        <v>22240</v>
      </c>
      <c r="E4524" s="31" t="n">
        <v>24.9</v>
      </c>
      <c r="F4524" s="31" t="n">
        <v>18.4</v>
      </c>
      <c r="G4524" s="31" t="n">
        <v>76</v>
      </c>
      <c r="H4524" s="2" t="s">
        <v>822</v>
      </c>
    </row>
    <row r="4525" customFormat="false" ht="15" hidden="false" customHeight="false" outlineLevel="0" collapsed="false">
      <c r="A4525" s="2" t="s">
        <v>514</v>
      </c>
      <c r="B4525" s="2" t="s">
        <v>46</v>
      </c>
      <c r="C4525" s="2" t="s">
        <v>4275</v>
      </c>
      <c r="D4525" s="11" t="n">
        <v>21500</v>
      </c>
      <c r="E4525" s="31" t="n">
        <v>26.3</v>
      </c>
      <c r="F4525" s="31" t="n">
        <v>5.5</v>
      </c>
      <c r="G4525" s="31" t="n">
        <v>57</v>
      </c>
      <c r="H4525" s="2" t="s">
        <v>822</v>
      </c>
    </row>
    <row r="4526" customFormat="false" ht="15" hidden="false" customHeight="false" outlineLevel="0" collapsed="false">
      <c r="A4526" s="2" t="s">
        <v>514</v>
      </c>
      <c r="B4526" s="2" t="s">
        <v>47</v>
      </c>
      <c r="C4526" s="2" t="s">
        <v>4274</v>
      </c>
      <c r="D4526" s="11" t="n">
        <v>85490</v>
      </c>
      <c r="E4526" s="31" t="n">
        <v>15.6</v>
      </c>
      <c r="F4526" s="31" t="n">
        <v>65</v>
      </c>
      <c r="G4526" s="31" t="n">
        <v>78.1</v>
      </c>
      <c r="H4526" s="2" t="s">
        <v>822</v>
      </c>
    </row>
    <row r="4527" customFormat="false" ht="15" hidden="false" customHeight="false" outlineLevel="0" collapsed="false">
      <c r="A4527" s="2" t="s">
        <v>514</v>
      </c>
      <c r="B4527" s="2" t="s">
        <v>47</v>
      </c>
      <c r="C4527" s="2" t="s">
        <v>4275</v>
      </c>
      <c r="D4527" s="11" t="n">
        <v>90701</v>
      </c>
      <c r="E4527" s="31" t="n">
        <v>23.6</v>
      </c>
      <c r="F4527" s="31" t="n">
        <v>26.6</v>
      </c>
      <c r="G4527" s="31" t="n">
        <v>65.4</v>
      </c>
      <c r="H4527" s="2" t="s">
        <v>822</v>
      </c>
    </row>
    <row r="4528" customFormat="false" ht="15" hidden="false" customHeight="false" outlineLevel="0" collapsed="false">
      <c r="A4528" s="2" t="s">
        <v>712</v>
      </c>
      <c r="B4528" s="2" t="s">
        <v>4291</v>
      </c>
      <c r="C4528" s="2" t="s">
        <v>4274</v>
      </c>
      <c r="D4528" s="2"/>
      <c r="E4528" s="31" t="n">
        <v>47.2</v>
      </c>
      <c r="F4528" s="31" t="n">
        <v>39.1</v>
      </c>
      <c r="G4528" s="31" t="n">
        <v>37.2</v>
      </c>
      <c r="H4528" s="2" t="s">
        <v>822</v>
      </c>
    </row>
    <row r="4529" customFormat="false" ht="15" hidden="false" customHeight="false" outlineLevel="0" collapsed="false">
      <c r="A4529" s="2" t="s">
        <v>712</v>
      </c>
      <c r="B4529" s="2" t="s">
        <v>4291</v>
      </c>
      <c r="C4529" s="2" t="s">
        <v>4275</v>
      </c>
      <c r="D4529" s="2"/>
      <c r="E4529" s="31" t="n">
        <v>26.9</v>
      </c>
      <c r="F4529" s="31" t="n">
        <v>59.2</v>
      </c>
      <c r="G4529" s="31" t="n">
        <v>56.3</v>
      </c>
      <c r="H4529" s="2" t="s">
        <v>822</v>
      </c>
    </row>
    <row r="4530" customFormat="false" ht="15" hidden="false" customHeight="false" outlineLevel="0" collapsed="false">
      <c r="A4530" s="2" t="s">
        <v>712</v>
      </c>
      <c r="B4530" s="2" t="s">
        <v>46</v>
      </c>
      <c r="C4530" s="2" t="s">
        <v>4274</v>
      </c>
      <c r="D4530" s="11" t="n">
        <v>269351</v>
      </c>
      <c r="E4530" s="31" t="n">
        <v>47.2</v>
      </c>
      <c r="F4530" s="31" t="n">
        <v>39.1</v>
      </c>
      <c r="G4530" s="31" t="n">
        <v>37.2</v>
      </c>
      <c r="H4530" s="2" t="s">
        <v>822</v>
      </c>
    </row>
    <row r="4531" customFormat="false" ht="15" hidden="false" customHeight="false" outlineLevel="0" collapsed="false">
      <c r="A4531" s="2" t="s">
        <v>712</v>
      </c>
      <c r="B4531" s="2" t="s">
        <v>46</v>
      </c>
      <c r="C4531" s="2" t="s">
        <v>4275</v>
      </c>
      <c r="D4531" s="11" t="n">
        <v>279470</v>
      </c>
      <c r="E4531" s="31" t="n">
        <v>26.9</v>
      </c>
      <c r="F4531" s="31" t="n">
        <v>59.2</v>
      </c>
      <c r="G4531" s="31" t="n">
        <v>56.3</v>
      </c>
      <c r="H4531" s="2" t="s">
        <v>822</v>
      </c>
    </row>
    <row r="4532" customFormat="false" ht="15" hidden="false" customHeight="false" outlineLevel="0" collapsed="false">
      <c r="A4532" s="2" t="s">
        <v>2194</v>
      </c>
      <c r="B4532" s="2" t="s">
        <v>4291</v>
      </c>
      <c r="C4532" s="2" t="s">
        <v>4274</v>
      </c>
      <c r="D4532" s="2"/>
      <c r="E4532" s="31" t="n">
        <v>17.3</v>
      </c>
      <c r="F4532" s="31" t="n">
        <v>58.5</v>
      </c>
      <c r="G4532" s="31" t="n">
        <v>19.9</v>
      </c>
      <c r="H4532" s="2" t="s">
        <v>832</v>
      </c>
    </row>
    <row r="4533" customFormat="false" ht="15" hidden="false" customHeight="false" outlineLevel="0" collapsed="false">
      <c r="A4533" s="2" t="s">
        <v>2194</v>
      </c>
      <c r="B4533" s="2" t="s">
        <v>4291</v>
      </c>
      <c r="C4533" s="2" t="s">
        <v>4275</v>
      </c>
      <c r="D4533" s="2"/>
      <c r="E4533" s="31" t="n">
        <v>6.9</v>
      </c>
      <c r="F4533" s="31" t="n">
        <v>50.4</v>
      </c>
      <c r="G4533" s="31" t="n">
        <v>32</v>
      </c>
      <c r="H4533" s="2" t="s">
        <v>832</v>
      </c>
    </row>
    <row r="4534" customFormat="false" ht="15" hidden="false" customHeight="false" outlineLevel="0" collapsed="false">
      <c r="A4534" s="2" t="s">
        <v>2194</v>
      </c>
      <c r="B4534" s="2" t="s">
        <v>45</v>
      </c>
      <c r="C4534" s="2" t="s">
        <v>4274</v>
      </c>
      <c r="D4534" s="2"/>
      <c r="E4534" s="2"/>
      <c r="F4534" s="2"/>
      <c r="G4534" s="2"/>
      <c r="H4534" s="2" t="s">
        <v>832</v>
      </c>
    </row>
    <row r="4535" customFormat="false" ht="15" hidden="false" customHeight="false" outlineLevel="0" collapsed="false">
      <c r="A4535" s="2" t="s">
        <v>2194</v>
      </c>
      <c r="B4535" s="2" t="s">
        <v>45</v>
      </c>
      <c r="C4535" s="2" t="s">
        <v>4275</v>
      </c>
      <c r="D4535" s="2"/>
      <c r="E4535" s="2"/>
      <c r="F4535" s="2"/>
      <c r="G4535" s="2"/>
      <c r="H4535" s="2" t="s">
        <v>832</v>
      </c>
    </row>
    <row r="4536" customFormat="false" ht="15" hidden="false" customHeight="false" outlineLevel="0" collapsed="false">
      <c r="A4536" s="2" t="s">
        <v>2194</v>
      </c>
      <c r="B4536" s="2" t="s">
        <v>46</v>
      </c>
      <c r="C4536" s="2" t="s">
        <v>4274</v>
      </c>
      <c r="D4536" s="11" t="n">
        <v>361440</v>
      </c>
      <c r="E4536" s="2"/>
      <c r="F4536" s="31" t="n">
        <v>52.6</v>
      </c>
      <c r="G4536" s="31" t="n">
        <v>19.9</v>
      </c>
      <c r="H4536" s="2" t="s">
        <v>832</v>
      </c>
    </row>
    <row r="4537" customFormat="false" ht="15" hidden="false" customHeight="false" outlineLevel="0" collapsed="false">
      <c r="A4537" s="2" t="s">
        <v>2194</v>
      </c>
      <c r="B4537" s="2" t="s">
        <v>46</v>
      </c>
      <c r="C4537" s="2" t="s">
        <v>4275</v>
      </c>
      <c r="D4537" s="11" t="n">
        <v>366330</v>
      </c>
      <c r="E4537" s="31" t="n">
        <v>2</v>
      </c>
      <c r="F4537" s="31" t="n">
        <v>37.6</v>
      </c>
      <c r="G4537" s="31" t="n">
        <v>11.3</v>
      </c>
      <c r="H4537" s="2" t="s">
        <v>822</v>
      </c>
    </row>
    <row r="4538" customFormat="false" ht="15" hidden="false" customHeight="false" outlineLevel="0" collapsed="false">
      <c r="A4538" s="2" t="s">
        <v>2194</v>
      </c>
      <c r="B4538" s="2" t="s">
        <v>47</v>
      </c>
      <c r="C4538" s="2" t="s">
        <v>4274</v>
      </c>
      <c r="D4538" s="11" t="n">
        <v>29722</v>
      </c>
      <c r="E4538" s="31" t="n">
        <v>17.3</v>
      </c>
      <c r="F4538" s="31" t="n">
        <v>64.4</v>
      </c>
      <c r="G4538" s="2"/>
      <c r="H4538" s="2" t="s">
        <v>832</v>
      </c>
    </row>
    <row r="4539" customFormat="false" ht="15" hidden="false" customHeight="false" outlineLevel="0" collapsed="false">
      <c r="A4539" s="2" t="s">
        <v>2194</v>
      </c>
      <c r="B4539" s="2" t="s">
        <v>47</v>
      </c>
      <c r="C4539" s="2" t="s">
        <v>4275</v>
      </c>
      <c r="D4539" s="11" t="n">
        <v>31340</v>
      </c>
      <c r="E4539" s="31" t="n">
        <v>11.8</v>
      </c>
      <c r="F4539" s="31" t="n">
        <v>63.3</v>
      </c>
      <c r="G4539" s="31" t="n">
        <v>52.7</v>
      </c>
      <c r="H4539" s="2" t="s">
        <v>822</v>
      </c>
    </row>
    <row r="4540" customFormat="false" ht="15" hidden="false" customHeight="false" outlineLevel="0" collapsed="false">
      <c r="A4540" s="2" t="s">
        <v>310</v>
      </c>
      <c r="B4540" s="2" t="s">
        <v>4291</v>
      </c>
      <c r="C4540" s="2" t="s">
        <v>4274</v>
      </c>
      <c r="D4540" s="2"/>
      <c r="E4540" s="31" t="n">
        <v>55.8</v>
      </c>
      <c r="F4540" s="31" t="n">
        <v>43.2</v>
      </c>
      <c r="G4540" s="31" t="n">
        <v>18.5</v>
      </c>
      <c r="H4540" s="2" t="s">
        <v>832</v>
      </c>
    </row>
    <row r="4541" customFormat="false" ht="15" hidden="false" customHeight="false" outlineLevel="0" collapsed="false">
      <c r="A4541" s="2" t="s">
        <v>310</v>
      </c>
      <c r="B4541" s="2" t="s">
        <v>4291</v>
      </c>
      <c r="C4541" s="2" t="s">
        <v>4275</v>
      </c>
      <c r="D4541" s="2"/>
      <c r="E4541" s="31" t="n">
        <v>62.7</v>
      </c>
      <c r="F4541" s="31" t="n">
        <v>45.3</v>
      </c>
      <c r="G4541" s="31" t="n">
        <v>18.5</v>
      </c>
      <c r="H4541" s="2" t="s">
        <v>822</v>
      </c>
    </row>
    <row r="4542" customFormat="false" ht="15" hidden="false" customHeight="false" outlineLevel="0" collapsed="false">
      <c r="A4542" s="2" t="s">
        <v>310</v>
      </c>
      <c r="B4542" s="2" t="s">
        <v>45</v>
      </c>
      <c r="C4542" s="2" t="s">
        <v>4274</v>
      </c>
      <c r="D4542" s="11" t="n">
        <v>23530</v>
      </c>
      <c r="E4542" s="31" t="n">
        <v>33.1</v>
      </c>
      <c r="F4542" s="31" t="n">
        <v>71.9</v>
      </c>
      <c r="G4542" s="31" t="n">
        <v>19.8</v>
      </c>
      <c r="H4542" s="2" t="s">
        <v>822</v>
      </c>
    </row>
    <row r="4543" customFormat="false" ht="15" hidden="false" customHeight="false" outlineLevel="0" collapsed="false">
      <c r="A4543" s="2" t="s">
        <v>310</v>
      </c>
      <c r="B4543" s="2" t="s">
        <v>45</v>
      </c>
      <c r="C4543" s="2" t="s">
        <v>4275</v>
      </c>
      <c r="D4543" s="11" t="n">
        <v>25720</v>
      </c>
      <c r="E4543" s="31" t="n">
        <v>23.8</v>
      </c>
      <c r="F4543" s="31" t="n">
        <v>71.8</v>
      </c>
      <c r="G4543" s="31" t="n">
        <v>37.1</v>
      </c>
      <c r="H4543" s="2" t="s">
        <v>822</v>
      </c>
    </row>
    <row r="4544" customFormat="false" ht="15" hidden="false" customHeight="false" outlineLevel="0" collapsed="false">
      <c r="A4544" s="2" t="s">
        <v>310</v>
      </c>
      <c r="B4544" s="2" t="s">
        <v>46</v>
      </c>
      <c r="C4544" s="2" t="s">
        <v>4274</v>
      </c>
      <c r="D4544" s="11" t="n">
        <v>32360</v>
      </c>
      <c r="E4544" s="31" t="n">
        <v>36.8</v>
      </c>
      <c r="F4544" s="2"/>
      <c r="G4544" s="31" t="n">
        <v>24.2</v>
      </c>
      <c r="H4544" s="2" t="s">
        <v>832</v>
      </c>
    </row>
    <row r="4545" customFormat="false" ht="15" hidden="false" customHeight="false" outlineLevel="0" collapsed="false">
      <c r="A4545" s="2" t="s">
        <v>310</v>
      </c>
      <c r="B4545" s="2" t="s">
        <v>46</v>
      </c>
      <c r="C4545" s="2" t="s">
        <v>4275</v>
      </c>
      <c r="D4545" s="11" t="n">
        <v>20290</v>
      </c>
      <c r="E4545" s="31" t="n">
        <v>70.1</v>
      </c>
      <c r="F4545" s="31" t="n">
        <v>30.2</v>
      </c>
      <c r="G4545" s="31" t="n">
        <v>12.8</v>
      </c>
      <c r="H4545" s="2" t="s">
        <v>822</v>
      </c>
    </row>
    <row r="4546" customFormat="false" ht="15" hidden="false" customHeight="false" outlineLevel="0" collapsed="false">
      <c r="A4546" s="2" t="s">
        <v>310</v>
      </c>
      <c r="B4546" s="2" t="s">
        <v>47</v>
      </c>
      <c r="C4546" s="2" t="s">
        <v>4274</v>
      </c>
      <c r="D4546" s="11" t="n">
        <v>5812</v>
      </c>
      <c r="E4546" s="31" t="n">
        <v>97.6</v>
      </c>
      <c r="F4546" s="31" t="n">
        <v>14.4</v>
      </c>
      <c r="G4546" s="31" t="n">
        <v>11.6</v>
      </c>
      <c r="H4546" s="2" t="s">
        <v>822</v>
      </c>
    </row>
    <row r="4547" customFormat="false" ht="15" hidden="false" customHeight="false" outlineLevel="0" collapsed="false">
      <c r="A4547" s="2" t="s">
        <v>310</v>
      </c>
      <c r="B4547" s="2" t="s">
        <v>47</v>
      </c>
      <c r="C4547" s="2" t="s">
        <v>4275</v>
      </c>
      <c r="D4547" s="11" t="n">
        <v>5730</v>
      </c>
      <c r="E4547" s="31" t="n">
        <v>94.2</v>
      </c>
      <c r="F4547" s="31" t="n">
        <v>33.8</v>
      </c>
      <c r="G4547" s="31" t="n">
        <v>5.7</v>
      </c>
      <c r="H4547" s="2" t="s">
        <v>822</v>
      </c>
    </row>
    <row r="4548" customFormat="false" ht="15" hidden="false" customHeight="false" outlineLevel="0" collapsed="false">
      <c r="A4548" s="2" t="s">
        <v>446</v>
      </c>
      <c r="B4548" s="2" t="s">
        <v>4291</v>
      </c>
      <c r="C4548" s="2" t="s">
        <v>4274</v>
      </c>
      <c r="D4548" s="2"/>
      <c r="E4548" s="31" t="n">
        <v>63.3</v>
      </c>
      <c r="F4548" s="31" t="n">
        <v>66.6</v>
      </c>
      <c r="G4548" s="2"/>
      <c r="H4548" s="2" t="s">
        <v>832</v>
      </c>
    </row>
    <row r="4549" customFormat="false" ht="15" hidden="false" customHeight="false" outlineLevel="0" collapsed="false">
      <c r="A4549" s="2" t="s">
        <v>446</v>
      </c>
      <c r="B4549" s="2" t="s">
        <v>4291</v>
      </c>
      <c r="C4549" s="2" t="s">
        <v>4275</v>
      </c>
      <c r="D4549" s="2"/>
      <c r="E4549" s="31" t="n">
        <v>52.4</v>
      </c>
      <c r="F4549" s="31" t="n">
        <v>58.5</v>
      </c>
      <c r="G4549" s="31" t="n">
        <v>42.4</v>
      </c>
      <c r="H4549" s="2" t="s">
        <v>822</v>
      </c>
    </row>
    <row r="4550" customFormat="false" ht="15" hidden="false" customHeight="false" outlineLevel="0" collapsed="false">
      <c r="A4550" s="2" t="s">
        <v>446</v>
      </c>
      <c r="B4550" s="2" t="s">
        <v>45</v>
      </c>
      <c r="C4550" s="2" t="s">
        <v>4274</v>
      </c>
      <c r="D4550" s="11" t="n">
        <v>45230</v>
      </c>
      <c r="E4550" s="31" t="n">
        <v>60.7</v>
      </c>
      <c r="F4550" s="31" t="n">
        <v>78.5</v>
      </c>
      <c r="G4550" s="2"/>
      <c r="H4550" s="2" t="s">
        <v>832</v>
      </c>
    </row>
    <row r="4551" customFormat="false" ht="15" hidden="false" customHeight="false" outlineLevel="0" collapsed="false">
      <c r="A4551" s="2" t="s">
        <v>446</v>
      </c>
      <c r="B4551" s="2" t="s">
        <v>45</v>
      </c>
      <c r="C4551" s="2" t="s">
        <v>4275</v>
      </c>
      <c r="D4551" s="11" t="n">
        <v>46580</v>
      </c>
      <c r="E4551" s="31" t="n">
        <v>36.1</v>
      </c>
      <c r="F4551" s="31" t="n">
        <v>51.2</v>
      </c>
      <c r="G4551" s="31" t="n">
        <v>42.2</v>
      </c>
      <c r="H4551" s="2" t="s">
        <v>822</v>
      </c>
    </row>
    <row r="4552" customFormat="false" ht="15" hidden="false" customHeight="false" outlineLevel="0" collapsed="false">
      <c r="A4552" s="2" t="s">
        <v>446</v>
      </c>
      <c r="B4552" s="2" t="s">
        <v>46</v>
      </c>
      <c r="C4552" s="2" t="s">
        <v>4274</v>
      </c>
      <c r="D4552" s="11" t="n">
        <v>14210</v>
      </c>
      <c r="E4552" s="31" t="n">
        <v>65.9</v>
      </c>
      <c r="F4552" s="31" t="n">
        <v>54.7</v>
      </c>
      <c r="G4552" s="2"/>
      <c r="H4552" s="2" t="s">
        <v>832</v>
      </c>
    </row>
    <row r="4553" customFormat="false" ht="15" hidden="false" customHeight="false" outlineLevel="0" collapsed="false">
      <c r="A4553" s="2" t="s">
        <v>446</v>
      </c>
      <c r="B4553" s="2" t="s">
        <v>46</v>
      </c>
      <c r="C4553" s="2" t="s">
        <v>4275</v>
      </c>
      <c r="D4553" s="11" t="n">
        <v>15170</v>
      </c>
      <c r="E4553" s="31" t="n">
        <v>68.6</v>
      </c>
      <c r="F4553" s="31" t="n">
        <v>65.8</v>
      </c>
      <c r="G4553" s="31" t="n">
        <v>42.6</v>
      </c>
      <c r="H4553" s="2" t="s">
        <v>822</v>
      </c>
    </row>
    <row r="4554" customFormat="false" ht="15" hidden="false" customHeight="false" outlineLevel="0" collapsed="false">
      <c r="A4554" s="2" t="s">
        <v>1325</v>
      </c>
      <c r="B4554" s="2" t="s">
        <v>4291</v>
      </c>
      <c r="C4554" s="2" t="s">
        <v>4274</v>
      </c>
      <c r="D4554" s="2"/>
      <c r="E4554" s="31" t="n">
        <v>42.6</v>
      </c>
      <c r="F4554" s="31" t="n">
        <v>43.8</v>
      </c>
      <c r="G4554" s="31" t="n">
        <v>42.2</v>
      </c>
      <c r="H4554" s="2" t="s">
        <v>822</v>
      </c>
    </row>
    <row r="4555" customFormat="false" ht="15" hidden="false" customHeight="false" outlineLevel="0" collapsed="false">
      <c r="A4555" s="2" t="s">
        <v>1325</v>
      </c>
      <c r="B4555" s="2" t="s">
        <v>4291</v>
      </c>
      <c r="C4555" s="2" t="s">
        <v>4275</v>
      </c>
      <c r="D4555" s="2"/>
      <c r="E4555" s="31" t="n">
        <v>43.2</v>
      </c>
      <c r="F4555" s="31" t="n">
        <v>28.1</v>
      </c>
      <c r="G4555" s="31" t="n">
        <v>47.1</v>
      </c>
      <c r="H4555" s="2" t="s">
        <v>832</v>
      </c>
    </row>
    <row r="4556" customFormat="false" ht="15" hidden="false" customHeight="false" outlineLevel="0" collapsed="false">
      <c r="A4556" s="2" t="s">
        <v>1325</v>
      </c>
      <c r="B4556" s="2" t="s">
        <v>45</v>
      </c>
      <c r="C4556" s="2" t="s">
        <v>4274</v>
      </c>
      <c r="D4556" s="11" t="n">
        <v>22100</v>
      </c>
      <c r="E4556" s="31" t="n">
        <v>44.1</v>
      </c>
      <c r="F4556" s="31" t="n">
        <v>21.9</v>
      </c>
      <c r="G4556" s="31" t="n">
        <v>59</v>
      </c>
      <c r="H4556" s="2" t="s">
        <v>822</v>
      </c>
    </row>
    <row r="4557" customFormat="false" ht="15" hidden="false" customHeight="false" outlineLevel="0" collapsed="false">
      <c r="A4557" s="2" t="s">
        <v>1325</v>
      </c>
      <c r="B4557" s="2" t="s">
        <v>45</v>
      </c>
      <c r="C4557" s="2" t="s">
        <v>4275</v>
      </c>
      <c r="D4557" s="11" t="n">
        <v>21947</v>
      </c>
      <c r="E4557" s="31" t="n">
        <v>38.4</v>
      </c>
      <c r="F4557" s="31" t="n">
        <v>17.2</v>
      </c>
      <c r="G4557" s="31" t="n">
        <v>80.2</v>
      </c>
      <c r="H4557" s="2" t="s">
        <v>822</v>
      </c>
    </row>
    <row r="4558" customFormat="false" ht="15" hidden="false" customHeight="false" outlineLevel="0" collapsed="false">
      <c r="A4558" s="2" t="s">
        <v>1325</v>
      </c>
      <c r="B4558" s="2" t="s">
        <v>46</v>
      </c>
      <c r="C4558" s="2" t="s">
        <v>4274</v>
      </c>
      <c r="D4558" s="11" t="n">
        <v>2740</v>
      </c>
      <c r="E4558" s="31" t="n">
        <v>30.9</v>
      </c>
      <c r="F4558" s="31" t="n">
        <v>68.4</v>
      </c>
      <c r="G4558" s="31" t="n">
        <v>22.1</v>
      </c>
      <c r="H4558" s="2" t="s">
        <v>822</v>
      </c>
    </row>
    <row r="4559" customFormat="false" ht="15" hidden="false" customHeight="false" outlineLevel="0" collapsed="false">
      <c r="A4559" s="2" t="s">
        <v>1325</v>
      </c>
      <c r="B4559" s="2" t="s">
        <v>46</v>
      </c>
      <c r="C4559" s="2" t="s">
        <v>4275</v>
      </c>
      <c r="D4559" s="11" t="n">
        <v>2870</v>
      </c>
      <c r="E4559" s="31" t="n">
        <v>55.2</v>
      </c>
      <c r="F4559" s="31" t="n">
        <v>54.7</v>
      </c>
      <c r="G4559" s="31" t="n">
        <v>13.9</v>
      </c>
      <c r="H4559" s="2" t="s">
        <v>822</v>
      </c>
    </row>
    <row r="4560" customFormat="false" ht="15" hidden="false" customHeight="false" outlineLevel="0" collapsed="false">
      <c r="A4560" s="2" t="s">
        <v>1325</v>
      </c>
      <c r="B4560" s="2" t="s">
        <v>47</v>
      </c>
      <c r="C4560" s="2" t="s">
        <v>4274</v>
      </c>
      <c r="D4560" s="11" t="n">
        <v>8076</v>
      </c>
      <c r="E4560" s="31" t="n">
        <v>52.8</v>
      </c>
      <c r="F4560" s="31" t="n">
        <v>41.1</v>
      </c>
      <c r="G4560" s="31" t="n">
        <v>45.5</v>
      </c>
      <c r="H4560" s="2" t="s">
        <v>822</v>
      </c>
    </row>
    <row r="4561" customFormat="false" ht="15" hidden="false" customHeight="false" outlineLevel="0" collapsed="false">
      <c r="A4561" s="2" t="s">
        <v>1325</v>
      </c>
      <c r="B4561" s="2" t="s">
        <v>47</v>
      </c>
      <c r="C4561" s="2" t="s">
        <v>4275</v>
      </c>
      <c r="D4561" s="11" t="n">
        <v>8179</v>
      </c>
      <c r="E4561" s="31" t="n">
        <v>36</v>
      </c>
      <c r="F4561" s="31" t="n">
        <v>12.5</v>
      </c>
      <c r="G4561" s="2"/>
      <c r="H4561" s="2" t="s">
        <v>832</v>
      </c>
    </row>
    <row r="4562" customFormat="false" ht="15" hidden="false" customHeight="false" outlineLevel="0" collapsed="false">
      <c r="A4562" s="2" t="s">
        <v>1546</v>
      </c>
      <c r="B4562" s="2" t="s">
        <v>4291</v>
      </c>
      <c r="C4562" s="2" t="s">
        <v>4274</v>
      </c>
      <c r="D4562" s="2"/>
      <c r="E4562" s="31" t="n">
        <v>14</v>
      </c>
      <c r="F4562" s="31" t="n">
        <v>41.1</v>
      </c>
      <c r="G4562" s="31" t="n">
        <v>80.3</v>
      </c>
      <c r="H4562" s="2" t="s">
        <v>822</v>
      </c>
    </row>
    <row r="4563" customFormat="false" ht="15" hidden="false" customHeight="false" outlineLevel="0" collapsed="false">
      <c r="A4563" s="2" t="s">
        <v>1546</v>
      </c>
      <c r="B4563" s="2" t="s">
        <v>4291</v>
      </c>
      <c r="C4563" s="2" t="s">
        <v>4275</v>
      </c>
      <c r="D4563" s="2"/>
      <c r="E4563" s="31" t="n">
        <v>14.1</v>
      </c>
      <c r="F4563" s="31" t="n">
        <v>35</v>
      </c>
      <c r="G4563" s="31" t="n">
        <v>69.6</v>
      </c>
      <c r="H4563" s="2" t="s">
        <v>832</v>
      </c>
    </row>
    <row r="4564" customFormat="false" ht="15" hidden="false" customHeight="false" outlineLevel="0" collapsed="false">
      <c r="A4564" s="2" t="s">
        <v>1546</v>
      </c>
      <c r="B4564" s="2" t="s">
        <v>45</v>
      </c>
      <c r="C4564" s="2" t="s">
        <v>4274</v>
      </c>
      <c r="D4564" s="11" t="n">
        <v>24377</v>
      </c>
      <c r="E4564" s="31" t="n">
        <v>17.5</v>
      </c>
      <c r="F4564" s="31" t="n">
        <v>25.2</v>
      </c>
      <c r="G4564" s="31" t="n">
        <v>85.6</v>
      </c>
      <c r="H4564" s="2" t="s">
        <v>822</v>
      </c>
    </row>
    <row r="4565" customFormat="false" ht="15" hidden="false" customHeight="false" outlineLevel="0" collapsed="false">
      <c r="A4565" s="2" t="s">
        <v>1546</v>
      </c>
      <c r="B4565" s="2" t="s">
        <v>45</v>
      </c>
      <c r="C4565" s="2" t="s">
        <v>4275</v>
      </c>
      <c r="D4565" s="11" t="n">
        <v>24914</v>
      </c>
      <c r="E4565" s="31" t="n">
        <v>7.2</v>
      </c>
      <c r="F4565" s="31" t="n">
        <v>26.1</v>
      </c>
      <c r="G4565" s="31" t="n">
        <v>55.7</v>
      </c>
      <c r="H4565" s="2" t="s">
        <v>822</v>
      </c>
    </row>
    <row r="4566" customFormat="false" ht="15" hidden="false" customHeight="false" outlineLevel="0" collapsed="false">
      <c r="A4566" s="2" t="s">
        <v>1546</v>
      </c>
      <c r="B4566" s="2" t="s">
        <v>46</v>
      </c>
      <c r="C4566" s="2" t="s">
        <v>4274</v>
      </c>
      <c r="D4566" s="11" t="n">
        <v>38680</v>
      </c>
      <c r="E4566" s="31" t="n">
        <v>0.4</v>
      </c>
      <c r="F4566" s="31" t="n">
        <v>14.2</v>
      </c>
      <c r="G4566" s="31" t="n">
        <v>59.1</v>
      </c>
      <c r="H4566" s="2" t="s">
        <v>822</v>
      </c>
    </row>
    <row r="4567" customFormat="false" ht="15" hidden="false" customHeight="false" outlineLevel="0" collapsed="false">
      <c r="A4567" s="2" t="s">
        <v>1546</v>
      </c>
      <c r="B4567" s="2" t="s">
        <v>46</v>
      </c>
      <c r="C4567" s="2" t="s">
        <v>4275</v>
      </c>
      <c r="D4567" s="11" t="n">
        <v>23010</v>
      </c>
      <c r="E4567" s="2"/>
      <c r="F4567" s="31" t="n">
        <v>7.6</v>
      </c>
      <c r="G4567" s="31" t="n">
        <v>63.6</v>
      </c>
      <c r="H4567" s="2" t="s">
        <v>832</v>
      </c>
    </row>
    <row r="4568" customFormat="false" ht="15" hidden="false" customHeight="false" outlineLevel="0" collapsed="false">
      <c r="A4568" s="2" t="s">
        <v>1546</v>
      </c>
      <c r="B4568" s="2" t="s">
        <v>47</v>
      </c>
      <c r="C4568" s="2" t="s">
        <v>4274</v>
      </c>
      <c r="D4568" s="11" t="n">
        <v>378220</v>
      </c>
      <c r="E4568" s="31" t="n">
        <v>24</v>
      </c>
      <c r="F4568" s="31" t="n">
        <v>84</v>
      </c>
      <c r="G4568" s="31" t="n">
        <v>96.1</v>
      </c>
      <c r="H4568" s="2" t="s">
        <v>822</v>
      </c>
    </row>
    <row r="4569" customFormat="false" ht="15" hidden="false" customHeight="false" outlineLevel="0" collapsed="false">
      <c r="A4569" s="2" t="s">
        <v>1546</v>
      </c>
      <c r="B4569" s="2" t="s">
        <v>47</v>
      </c>
      <c r="C4569" s="2" t="s">
        <v>4275</v>
      </c>
      <c r="D4569" s="11" t="n">
        <v>392717</v>
      </c>
      <c r="E4569" s="31" t="n">
        <v>21</v>
      </c>
      <c r="F4569" s="31" t="n">
        <v>71.4</v>
      </c>
      <c r="G4569" s="31" t="n">
        <v>89.4</v>
      </c>
      <c r="H4569" s="2" t="s">
        <v>822</v>
      </c>
    </row>
    <row r="4570" customFormat="false" ht="15" hidden="false" customHeight="false" outlineLevel="0" collapsed="false">
      <c r="A4570" s="2" t="s">
        <v>140</v>
      </c>
      <c r="B4570" s="2" t="s">
        <v>4291</v>
      </c>
      <c r="C4570" s="2" t="s">
        <v>4274</v>
      </c>
      <c r="D4570" s="2"/>
      <c r="E4570" s="31" t="n">
        <v>83</v>
      </c>
      <c r="F4570" s="31" t="n">
        <v>31</v>
      </c>
      <c r="G4570" s="31" t="n">
        <v>27.7</v>
      </c>
      <c r="H4570" s="2" t="s">
        <v>822</v>
      </c>
    </row>
    <row r="4571" customFormat="false" ht="15" hidden="false" customHeight="false" outlineLevel="0" collapsed="false">
      <c r="A4571" s="2" t="s">
        <v>140</v>
      </c>
      <c r="B4571" s="2" t="s">
        <v>4291</v>
      </c>
      <c r="C4571" s="2" t="s">
        <v>4275</v>
      </c>
      <c r="D4571" s="2"/>
      <c r="E4571" s="31" t="n">
        <v>84.5</v>
      </c>
      <c r="F4571" s="31" t="n">
        <v>48.1</v>
      </c>
      <c r="G4571" s="31" t="n">
        <v>62.7</v>
      </c>
      <c r="H4571" s="2" t="s">
        <v>822</v>
      </c>
    </row>
    <row r="4572" customFormat="false" ht="15" hidden="false" customHeight="false" outlineLevel="0" collapsed="false">
      <c r="A4572" s="2" t="s">
        <v>140</v>
      </c>
      <c r="B4572" s="2" t="s">
        <v>47</v>
      </c>
      <c r="C4572" s="2" t="s">
        <v>4274</v>
      </c>
      <c r="D4572" s="11" t="n">
        <v>51374</v>
      </c>
      <c r="E4572" s="31" t="n">
        <v>83</v>
      </c>
      <c r="F4572" s="31" t="n">
        <v>31</v>
      </c>
      <c r="G4572" s="31" t="n">
        <v>27.7</v>
      </c>
      <c r="H4572" s="2" t="s">
        <v>822</v>
      </c>
    </row>
    <row r="4573" customFormat="false" ht="15" hidden="false" customHeight="false" outlineLevel="0" collapsed="false">
      <c r="A4573" s="2" t="s">
        <v>140</v>
      </c>
      <c r="B4573" s="2" t="s">
        <v>47</v>
      </c>
      <c r="C4573" s="2" t="s">
        <v>4275</v>
      </c>
      <c r="D4573" s="11" t="n">
        <v>54392</v>
      </c>
      <c r="E4573" s="31" t="n">
        <v>84.5</v>
      </c>
      <c r="F4573" s="31" t="n">
        <v>48.1</v>
      </c>
      <c r="G4573" s="31" t="n">
        <v>62.7</v>
      </c>
      <c r="H4573" s="2" t="s">
        <v>822</v>
      </c>
    </row>
    <row r="4574" customFormat="false" ht="15" hidden="false" customHeight="false" outlineLevel="0" collapsed="false">
      <c r="A4574" s="2" t="s">
        <v>386</v>
      </c>
      <c r="B4574" s="2" t="s">
        <v>4291</v>
      </c>
      <c r="C4574" s="2" t="s">
        <v>4274</v>
      </c>
      <c r="D4574" s="2"/>
      <c r="E4574" s="31" t="n">
        <v>41.6</v>
      </c>
      <c r="F4574" s="31" t="n">
        <v>60.4</v>
      </c>
      <c r="G4574" s="31" t="n">
        <v>71.3</v>
      </c>
      <c r="H4574" s="2" t="s">
        <v>832</v>
      </c>
    </row>
    <row r="4575" customFormat="false" ht="15" hidden="false" customHeight="false" outlineLevel="0" collapsed="false">
      <c r="A4575" s="2" t="s">
        <v>386</v>
      </c>
      <c r="B4575" s="2" t="s">
        <v>4291</v>
      </c>
      <c r="C4575" s="2" t="s">
        <v>4275</v>
      </c>
      <c r="D4575" s="2"/>
      <c r="E4575" s="31" t="n">
        <v>56.2</v>
      </c>
      <c r="F4575" s="31" t="n">
        <v>51.1</v>
      </c>
      <c r="G4575" s="31" t="n">
        <v>47</v>
      </c>
      <c r="H4575" s="2" t="s">
        <v>822</v>
      </c>
    </row>
    <row r="4576" customFormat="false" ht="15" hidden="false" customHeight="false" outlineLevel="0" collapsed="false">
      <c r="A4576" s="2" t="s">
        <v>386</v>
      </c>
      <c r="B4576" s="2" t="s">
        <v>45</v>
      </c>
      <c r="C4576" s="2" t="s">
        <v>4274</v>
      </c>
      <c r="D4576" s="11" t="n">
        <v>4860</v>
      </c>
      <c r="E4576" s="31" t="n">
        <v>6.5</v>
      </c>
      <c r="F4576" s="31" t="n">
        <v>83.9</v>
      </c>
      <c r="G4576" s="2"/>
      <c r="H4576" s="2" t="s">
        <v>832</v>
      </c>
    </row>
    <row r="4577" customFormat="false" ht="15" hidden="false" customHeight="false" outlineLevel="0" collapsed="false">
      <c r="A4577" s="2" t="s">
        <v>386</v>
      </c>
      <c r="B4577" s="2" t="s">
        <v>45</v>
      </c>
      <c r="C4577" s="2" t="s">
        <v>4275</v>
      </c>
      <c r="D4577" s="11" t="n">
        <v>5229</v>
      </c>
      <c r="E4577" s="31" t="n">
        <v>4.9</v>
      </c>
      <c r="F4577" s="31" t="n">
        <v>94.4</v>
      </c>
      <c r="G4577" s="31" t="n">
        <v>7.7</v>
      </c>
      <c r="H4577" s="2" t="s">
        <v>822</v>
      </c>
    </row>
    <row r="4578" customFormat="false" ht="15" hidden="false" customHeight="false" outlineLevel="0" collapsed="false">
      <c r="A4578" s="2" t="s">
        <v>386</v>
      </c>
      <c r="B4578" s="2" t="s">
        <v>46</v>
      </c>
      <c r="C4578" s="2" t="s">
        <v>4274</v>
      </c>
      <c r="D4578" s="11" t="n">
        <v>13080</v>
      </c>
      <c r="E4578" s="31" t="n">
        <v>61.3</v>
      </c>
      <c r="F4578" s="31" t="n">
        <v>19.5</v>
      </c>
      <c r="G4578" s="31" t="n">
        <v>95.9</v>
      </c>
      <c r="H4578" s="2" t="s">
        <v>822</v>
      </c>
    </row>
    <row r="4579" customFormat="false" ht="15" hidden="false" customHeight="false" outlineLevel="0" collapsed="false">
      <c r="A4579" s="2" t="s">
        <v>386</v>
      </c>
      <c r="B4579" s="2" t="s">
        <v>46</v>
      </c>
      <c r="C4579" s="2" t="s">
        <v>4275</v>
      </c>
      <c r="D4579" s="11" t="n">
        <v>12962</v>
      </c>
      <c r="E4579" s="31" t="n">
        <v>93.3</v>
      </c>
      <c r="F4579" s="31" t="n">
        <v>6.2</v>
      </c>
      <c r="G4579" s="31" t="n">
        <v>86.5</v>
      </c>
      <c r="H4579" s="2" t="s">
        <v>822</v>
      </c>
    </row>
    <row r="4580" customFormat="false" ht="15" hidden="false" customHeight="false" outlineLevel="0" collapsed="false">
      <c r="A4580" s="2" t="s">
        <v>386</v>
      </c>
      <c r="B4580" s="2" t="s">
        <v>47</v>
      </c>
      <c r="C4580" s="2" t="s">
        <v>4274</v>
      </c>
      <c r="D4580" s="11" t="n">
        <v>105629</v>
      </c>
      <c r="E4580" s="31" t="n">
        <v>56.9</v>
      </c>
      <c r="F4580" s="31" t="n">
        <v>77.8</v>
      </c>
      <c r="G4580" s="31" t="n">
        <v>46.7</v>
      </c>
      <c r="H4580" s="2" t="s">
        <v>822</v>
      </c>
    </row>
    <row r="4581" customFormat="false" ht="15" hidden="false" customHeight="false" outlineLevel="0" collapsed="false">
      <c r="A4581" s="2" t="s">
        <v>386</v>
      </c>
      <c r="B4581" s="2" t="s">
        <v>47</v>
      </c>
      <c r="C4581" s="2" t="s">
        <v>4275</v>
      </c>
      <c r="D4581" s="11" t="n">
        <v>109958</v>
      </c>
      <c r="E4581" s="31" t="n">
        <v>70.5</v>
      </c>
      <c r="F4581" s="31" t="n">
        <v>52.8</v>
      </c>
      <c r="G4581" s="31" t="n">
        <v>46.8</v>
      </c>
      <c r="H4581" s="2" t="s">
        <v>822</v>
      </c>
    </row>
    <row r="4582" customFormat="false" ht="15" hidden="false" customHeight="false" outlineLevel="0" collapsed="false">
      <c r="A4582" s="2" t="s">
        <v>830</v>
      </c>
      <c r="B4582" s="2" t="s">
        <v>4291</v>
      </c>
      <c r="C4582" s="2" t="s">
        <v>4274</v>
      </c>
      <c r="D4582" s="2"/>
      <c r="E4582" s="31" t="n">
        <v>69.2</v>
      </c>
      <c r="F4582" s="31" t="n">
        <v>45.2</v>
      </c>
      <c r="G4582" s="31" t="n">
        <v>61.9</v>
      </c>
      <c r="H4582" s="2" t="s">
        <v>822</v>
      </c>
    </row>
    <row r="4583" customFormat="false" ht="15" hidden="false" customHeight="false" outlineLevel="0" collapsed="false">
      <c r="A4583" s="2" t="s">
        <v>830</v>
      </c>
      <c r="B4583" s="2" t="s">
        <v>4291</v>
      </c>
      <c r="C4583" s="2" t="s">
        <v>4275</v>
      </c>
      <c r="D4583" s="2"/>
      <c r="E4583" s="31" t="n">
        <v>56</v>
      </c>
      <c r="F4583" s="31" t="n">
        <v>59.3</v>
      </c>
      <c r="G4583" s="31" t="n">
        <v>82.6</v>
      </c>
      <c r="H4583" s="2" t="s">
        <v>832</v>
      </c>
    </row>
    <row r="4584" customFormat="false" ht="15" hidden="false" customHeight="false" outlineLevel="0" collapsed="false">
      <c r="A4584" s="2" t="s">
        <v>830</v>
      </c>
      <c r="B4584" s="2" t="s">
        <v>45</v>
      </c>
      <c r="C4584" s="2" t="s">
        <v>4274</v>
      </c>
      <c r="D4584" s="11" t="n">
        <v>35720</v>
      </c>
      <c r="E4584" s="31" t="n">
        <v>93.1</v>
      </c>
      <c r="F4584" s="31" t="n">
        <v>87.6</v>
      </c>
      <c r="G4584" s="31" t="n">
        <v>75.9</v>
      </c>
      <c r="H4584" s="2" t="s">
        <v>822</v>
      </c>
    </row>
    <row r="4585" customFormat="false" ht="15" hidden="false" customHeight="false" outlineLevel="0" collapsed="false">
      <c r="A4585" s="2" t="s">
        <v>830</v>
      </c>
      <c r="B4585" s="2" t="s">
        <v>45</v>
      </c>
      <c r="C4585" s="2" t="s">
        <v>4275</v>
      </c>
      <c r="D4585" s="11" t="n">
        <v>37440</v>
      </c>
      <c r="E4585" s="31" t="n">
        <v>99.1</v>
      </c>
      <c r="F4585" s="31" t="n">
        <v>92.8</v>
      </c>
      <c r="G4585" s="31" t="n">
        <v>80</v>
      </c>
      <c r="H4585" s="2" t="s">
        <v>822</v>
      </c>
    </row>
    <row r="4586" customFormat="false" ht="15" hidden="false" customHeight="false" outlineLevel="0" collapsed="false">
      <c r="A4586" s="2" t="s">
        <v>830</v>
      </c>
      <c r="B4586" s="2" t="s">
        <v>46</v>
      </c>
      <c r="C4586" s="2" t="s">
        <v>4274</v>
      </c>
      <c r="D4586" s="11" t="n">
        <v>125903</v>
      </c>
      <c r="E4586" s="31" t="n">
        <v>26</v>
      </c>
      <c r="F4586" s="31" t="n">
        <v>14.7</v>
      </c>
      <c r="G4586" s="31" t="n">
        <v>54.8</v>
      </c>
      <c r="H4586" s="2" t="s">
        <v>822</v>
      </c>
    </row>
    <row r="4587" customFormat="false" ht="15" hidden="false" customHeight="false" outlineLevel="0" collapsed="false">
      <c r="A4587" s="2" t="s">
        <v>830</v>
      </c>
      <c r="B4587" s="2" t="s">
        <v>46</v>
      </c>
      <c r="C4587" s="2" t="s">
        <v>4275</v>
      </c>
      <c r="D4587" s="11" t="n">
        <v>122970</v>
      </c>
      <c r="E4587" s="31" t="n">
        <v>12.8</v>
      </c>
      <c r="F4587" s="31" t="n">
        <v>41.4</v>
      </c>
      <c r="G4587" s="31" t="n">
        <v>85.4</v>
      </c>
      <c r="H4587" s="2" t="s">
        <v>822</v>
      </c>
    </row>
    <row r="4588" customFormat="false" ht="15" hidden="false" customHeight="false" outlineLevel="0" collapsed="false">
      <c r="A4588" s="2" t="s">
        <v>830</v>
      </c>
      <c r="B4588" s="2" t="s">
        <v>47</v>
      </c>
      <c r="C4588" s="2" t="s">
        <v>4274</v>
      </c>
      <c r="D4588" s="11" t="n">
        <v>3378</v>
      </c>
      <c r="E4588" s="31" t="n">
        <v>88.4</v>
      </c>
      <c r="F4588" s="31" t="n">
        <v>33.3</v>
      </c>
      <c r="G4588" s="31" t="n">
        <v>55</v>
      </c>
      <c r="H4588" s="2" t="s">
        <v>822</v>
      </c>
    </row>
    <row r="4589" customFormat="false" ht="15" hidden="false" customHeight="false" outlineLevel="0" collapsed="false">
      <c r="A4589" s="2" t="s">
        <v>830</v>
      </c>
      <c r="B4589" s="2" t="s">
        <v>47</v>
      </c>
      <c r="C4589" s="2" t="s">
        <v>4275</v>
      </c>
      <c r="D4589" s="11" t="n">
        <v>3406</v>
      </c>
      <c r="E4589" s="2"/>
      <c r="F4589" s="31" t="n">
        <v>43.8</v>
      </c>
      <c r="G4589" s="31" t="n">
        <v>82.4</v>
      </c>
      <c r="H4589" s="2" t="s">
        <v>832</v>
      </c>
    </row>
    <row r="4590" customFormat="false" ht="15" hidden="false" customHeight="false" outlineLevel="0" collapsed="false">
      <c r="A4590" s="2" t="s">
        <v>616</v>
      </c>
      <c r="B4590" s="2" t="s">
        <v>4291</v>
      </c>
      <c r="C4590" s="2" t="s">
        <v>4274</v>
      </c>
      <c r="D4590" s="2"/>
      <c r="E4590" s="31" t="n">
        <v>41.9</v>
      </c>
      <c r="F4590" s="31" t="n">
        <v>61.1</v>
      </c>
      <c r="G4590" s="31" t="n">
        <v>69.5</v>
      </c>
      <c r="H4590" s="2" t="s">
        <v>822</v>
      </c>
    </row>
    <row r="4591" customFormat="false" ht="15" hidden="false" customHeight="false" outlineLevel="0" collapsed="false">
      <c r="A4591" s="2" t="s">
        <v>616</v>
      </c>
      <c r="B4591" s="2" t="s">
        <v>4291</v>
      </c>
      <c r="C4591" s="2" t="s">
        <v>4275</v>
      </c>
      <c r="D4591" s="2"/>
      <c r="E4591" s="31" t="n">
        <v>38</v>
      </c>
      <c r="F4591" s="31" t="n">
        <v>55.6</v>
      </c>
      <c r="G4591" s="31" t="n">
        <v>28.7</v>
      </c>
      <c r="H4591" s="2" t="s">
        <v>822</v>
      </c>
    </row>
    <row r="4592" customFormat="false" ht="15" hidden="false" customHeight="false" outlineLevel="0" collapsed="false">
      <c r="A4592" s="2" t="s">
        <v>616</v>
      </c>
      <c r="B4592" s="2" t="s">
        <v>45</v>
      </c>
      <c r="C4592" s="2" t="s">
        <v>4274</v>
      </c>
      <c r="D4592" s="11" t="n">
        <v>24160</v>
      </c>
      <c r="E4592" s="31" t="n">
        <v>30.5</v>
      </c>
      <c r="F4592" s="31" t="n">
        <v>18.2</v>
      </c>
      <c r="G4592" s="31" t="n">
        <v>38.3</v>
      </c>
      <c r="H4592" s="2" t="s">
        <v>822</v>
      </c>
    </row>
    <row r="4593" customFormat="false" ht="15" hidden="false" customHeight="false" outlineLevel="0" collapsed="false">
      <c r="A4593" s="2" t="s">
        <v>616</v>
      </c>
      <c r="B4593" s="2" t="s">
        <v>45</v>
      </c>
      <c r="C4593" s="2" t="s">
        <v>4275</v>
      </c>
      <c r="D4593" s="11" t="n">
        <v>23900</v>
      </c>
      <c r="E4593" s="31" t="n">
        <v>36.9</v>
      </c>
      <c r="F4593" s="31" t="n">
        <v>15.5</v>
      </c>
      <c r="G4593" s="31" t="n">
        <v>67.6</v>
      </c>
      <c r="H4593" s="2" t="s">
        <v>822</v>
      </c>
    </row>
    <row r="4594" customFormat="false" ht="15" hidden="false" customHeight="false" outlineLevel="0" collapsed="false">
      <c r="A4594" s="2" t="s">
        <v>616</v>
      </c>
      <c r="B4594" s="2" t="s">
        <v>46</v>
      </c>
      <c r="C4594" s="2" t="s">
        <v>4274</v>
      </c>
      <c r="D4594" s="11" t="n">
        <v>309007</v>
      </c>
      <c r="E4594" s="31" t="n">
        <v>66.5</v>
      </c>
      <c r="F4594" s="31" t="n">
        <v>71.8</v>
      </c>
      <c r="G4594" s="31" t="n">
        <v>86.1</v>
      </c>
      <c r="H4594" s="2" t="s">
        <v>822</v>
      </c>
    </row>
    <row r="4595" customFormat="false" ht="15" hidden="false" customHeight="false" outlineLevel="0" collapsed="false">
      <c r="A4595" s="2" t="s">
        <v>616</v>
      </c>
      <c r="B4595" s="2" t="s">
        <v>46</v>
      </c>
      <c r="C4595" s="2" t="s">
        <v>4275</v>
      </c>
      <c r="D4595" s="11" t="n">
        <v>319390</v>
      </c>
      <c r="E4595" s="31" t="n">
        <v>38.9</v>
      </c>
      <c r="F4595" s="31" t="n">
        <v>59.9</v>
      </c>
      <c r="G4595" s="31" t="n">
        <v>12.4</v>
      </c>
      <c r="H4595" s="2" t="s">
        <v>822</v>
      </c>
    </row>
    <row r="4596" customFormat="false" ht="15" hidden="false" customHeight="false" outlineLevel="0" collapsed="false">
      <c r="A4596" s="2" t="s">
        <v>616</v>
      </c>
      <c r="B4596" s="2" t="s">
        <v>47</v>
      </c>
      <c r="C4596" s="2" t="s">
        <v>4274</v>
      </c>
      <c r="D4596" s="11" t="n">
        <v>223687</v>
      </c>
      <c r="E4596" s="31" t="n">
        <v>28.7</v>
      </c>
      <c r="F4596" s="31" t="n">
        <v>93.2</v>
      </c>
      <c r="G4596" s="31" t="n">
        <v>84</v>
      </c>
      <c r="H4596" s="2" t="s">
        <v>822</v>
      </c>
    </row>
    <row r="4597" customFormat="false" ht="15" hidden="false" customHeight="false" outlineLevel="0" collapsed="false">
      <c r="A4597" s="2" t="s">
        <v>616</v>
      </c>
      <c r="B4597" s="2" t="s">
        <v>47</v>
      </c>
      <c r="C4597" s="2" t="s">
        <v>4275</v>
      </c>
      <c r="D4597" s="11" t="n">
        <v>239710</v>
      </c>
      <c r="E4597" s="31" t="n">
        <v>38.1</v>
      </c>
      <c r="F4597" s="31" t="n">
        <v>91.3</v>
      </c>
      <c r="G4597" s="31" t="n">
        <v>6.1</v>
      </c>
      <c r="H4597" s="2" t="s">
        <v>822</v>
      </c>
    </row>
    <row r="4598" customFormat="false" ht="15" hidden="false" customHeight="false" outlineLevel="0" collapsed="false">
      <c r="A4598" s="2" t="s">
        <v>1506</v>
      </c>
      <c r="B4598" s="2" t="s">
        <v>4291</v>
      </c>
      <c r="C4598" s="2" t="s">
        <v>4274</v>
      </c>
      <c r="D4598" s="2"/>
      <c r="E4598" s="31" t="n">
        <v>35.2</v>
      </c>
      <c r="F4598" s="31" t="n">
        <v>36.6</v>
      </c>
      <c r="G4598" s="31" t="n">
        <v>54.7</v>
      </c>
      <c r="H4598" s="2" t="s">
        <v>832</v>
      </c>
    </row>
    <row r="4599" customFormat="false" ht="15" hidden="false" customHeight="false" outlineLevel="0" collapsed="false">
      <c r="A4599" s="2" t="s">
        <v>1506</v>
      </c>
      <c r="B4599" s="2" t="s">
        <v>4291</v>
      </c>
      <c r="C4599" s="2" t="s">
        <v>4275</v>
      </c>
      <c r="D4599" s="2"/>
      <c r="E4599" s="31" t="n">
        <v>36.6</v>
      </c>
      <c r="F4599" s="31" t="n">
        <v>34.8</v>
      </c>
      <c r="G4599" s="31" t="n">
        <v>34.6</v>
      </c>
      <c r="H4599" s="2" t="s">
        <v>832</v>
      </c>
    </row>
    <row r="4600" customFormat="false" ht="15" hidden="false" customHeight="false" outlineLevel="0" collapsed="false">
      <c r="A4600" s="2" t="s">
        <v>1506</v>
      </c>
      <c r="B4600" s="2" t="s">
        <v>45</v>
      </c>
      <c r="C4600" s="2" t="s">
        <v>4274</v>
      </c>
      <c r="D4600" s="11" t="n">
        <v>98777</v>
      </c>
      <c r="E4600" s="31" t="n">
        <v>18.8</v>
      </c>
      <c r="F4600" s="31" t="n">
        <v>4</v>
      </c>
      <c r="G4600" s="2"/>
      <c r="H4600" s="2" t="s">
        <v>822</v>
      </c>
    </row>
    <row r="4601" customFormat="false" ht="15" hidden="false" customHeight="false" outlineLevel="0" collapsed="false">
      <c r="A4601" s="2" t="s">
        <v>1506</v>
      </c>
      <c r="B4601" s="2" t="s">
        <v>45</v>
      </c>
      <c r="C4601" s="2" t="s">
        <v>4275</v>
      </c>
      <c r="D4601" s="11" t="n">
        <v>99620</v>
      </c>
      <c r="E4601" s="31" t="n">
        <v>12.9</v>
      </c>
      <c r="F4601" s="31" t="n">
        <v>5.5</v>
      </c>
      <c r="G4601" s="2"/>
      <c r="H4601" s="2" t="s">
        <v>822</v>
      </c>
    </row>
    <row r="4602" customFormat="false" ht="15" hidden="false" customHeight="false" outlineLevel="0" collapsed="false">
      <c r="A4602" s="2" t="s">
        <v>1506</v>
      </c>
      <c r="B4602" s="2" t="s">
        <v>46</v>
      </c>
      <c r="C4602" s="2" t="s">
        <v>4274</v>
      </c>
      <c r="D4602" s="2"/>
      <c r="E4602" s="2"/>
      <c r="F4602" s="2"/>
      <c r="G4602" s="2"/>
      <c r="H4602" s="2" t="s">
        <v>832</v>
      </c>
    </row>
    <row r="4603" customFormat="false" ht="15" hidden="false" customHeight="false" outlineLevel="0" collapsed="false">
      <c r="A4603" s="2" t="s">
        <v>1506</v>
      </c>
      <c r="B4603" s="2" t="s">
        <v>46</v>
      </c>
      <c r="C4603" s="2" t="s">
        <v>4275</v>
      </c>
      <c r="D4603" s="2"/>
      <c r="E4603" s="2"/>
      <c r="F4603" s="2"/>
      <c r="G4603" s="31" t="n">
        <v>25.4</v>
      </c>
      <c r="H4603" s="2" t="s">
        <v>832</v>
      </c>
    </row>
    <row r="4604" customFormat="false" ht="15" hidden="false" customHeight="false" outlineLevel="0" collapsed="false">
      <c r="A4604" s="2" t="s">
        <v>1506</v>
      </c>
      <c r="B4604" s="2" t="s">
        <v>47</v>
      </c>
      <c r="C4604" s="2" t="s">
        <v>4274</v>
      </c>
      <c r="D4604" s="11" t="n">
        <v>236901</v>
      </c>
      <c r="E4604" s="31" t="n">
        <v>51.6</v>
      </c>
      <c r="F4604" s="31" t="n">
        <v>69.1</v>
      </c>
      <c r="G4604" s="31" t="n">
        <v>54.7</v>
      </c>
      <c r="H4604" s="2" t="s">
        <v>822</v>
      </c>
    </row>
    <row r="4605" customFormat="false" ht="15" hidden="false" customHeight="false" outlineLevel="0" collapsed="false">
      <c r="A4605" s="2" t="s">
        <v>1506</v>
      </c>
      <c r="B4605" s="2" t="s">
        <v>47</v>
      </c>
      <c r="C4605" s="2" t="s">
        <v>4275</v>
      </c>
      <c r="D4605" s="11" t="n">
        <v>239667</v>
      </c>
      <c r="E4605" s="31" t="n">
        <v>60.3</v>
      </c>
      <c r="F4605" s="31" t="n">
        <v>64</v>
      </c>
      <c r="G4605" s="31" t="n">
        <v>43.9</v>
      </c>
      <c r="H4605" s="2" t="s">
        <v>822</v>
      </c>
    </row>
    <row r="4606" customFormat="false" ht="15" hidden="false" customHeight="false" outlineLevel="0" collapsed="false">
      <c r="A4606" s="2" t="s">
        <v>2771</v>
      </c>
      <c r="B4606" s="2" t="s">
        <v>4291</v>
      </c>
      <c r="C4606" s="2" t="s">
        <v>4274</v>
      </c>
      <c r="D4606" s="2"/>
      <c r="E4606" s="31" t="n">
        <v>91.4</v>
      </c>
      <c r="F4606" s="31" t="n">
        <v>72.3</v>
      </c>
      <c r="G4606" s="31" t="n">
        <v>8.2</v>
      </c>
      <c r="H4606" s="2" t="s">
        <v>832</v>
      </c>
    </row>
    <row r="4607" customFormat="false" ht="15" hidden="false" customHeight="false" outlineLevel="0" collapsed="false">
      <c r="A4607" s="2" t="s">
        <v>2771</v>
      </c>
      <c r="B4607" s="2" t="s">
        <v>4291</v>
      </c>
      <c r="C4607" s="2" t="s">
        <v>4275</v>
      </c>
      <c r="D4607" s="2"/>
      <c r="E4607" s="31" t="n">
        <v>50.6</v>
      </c>
      <c r="F4607" s="31" t="n">
        <v>38.8</v>
      </c>
      <c r="G4607" s="31" t="n">
        <v>80.6</v>
      </c>
      <c r="H4607" s="2" t="s">
        <v>832</v>
      </c>
    </row>
    <row r="4608" customFormat="false" ht="15" hidden="false" customHeight="false" outlineLevel="0" collapsed="false">
      <c r="A4608" s="2" t="s">
        <v>2771</v>
      </c>
      <c r="B4608" s="2" t="s">
        <v>46</v>
      </c>
      <c r="C4608" s="2" t="s">
        <v>4274</v>
      </c>
      <c r="D4608" s="11" t="n">
        <v>19755</v>
      </c>
      <c r="E4608" s="31" t="n">
        <v>91.4</v>
      </c>
      <c r="F4608" s="31" t="n">
        <v>72.3</v>
      </c>
      <c r="G4608" s="31" t="n">
        <v>8.2</v>
      </c>
      <c r="H4608" s="2" t="s">
        <v>822</v>
      </c>
    </row>
    <row r="4609" customFormat="false" ht="15" hidden="false" customHeight="false" outlineLevel="0" collapsed="false">
      <c r="A4609" s="2" t="s">
        <v>2771</v>
      </c>
      <c r="B4609" s="2" t="s">
        <v>46</v>
      </c>
      <c r="C4609" s="2" t="s">
        <v>4275</v>
      </c>
      <c r="D4609" s="11" t="n">
        <v>20640</v>
      </c>
      <c r="E4609" s="31" t="n">
        <v>85.3</v>
      </c>
      <c r="F4609" s="31" t="n">
        <v>63.3</v>
      </c>
      <c r="G4609" s="2"/>
      <c r="H4609" s="2" t="s">
        <v>832</v>
      </c>
    </row>
    <row r="4610" customFormat="false" ht="15" hidden="false" customHeight="false" outlineLevel="0" collapsed="false">
      <c r="A4610" s="2" t="s">
        <v>2771</v>
      </c>
      <c r="B4610" s="2" t="s">
        <v>47</v>
      </c>
      <c r="C4610" s="2" t="s">
        <v>4274</v>
      </c>
      <c r="D4610" s="2"/>
      <c r="E4610" s="2"/>
      <c r="F4610" s="2"/>
      <c r="G4610" s="2"/>
      <c r="H4610" s="2" t="s">
        <v>832</v>
      </c>
    </row>
    <row r="4611" customFormat="false" ht="15" hidden="false" customHeight="false" outlineLevel="0" collapsed="false">
      <c r="A4611" s="2" t="s">
        <v>2771</v>
      </c>
      <c r="B4611" s="2" t="s">
        <v>47</v>
      </c>
      <c r="C4611" s="2" t="s">
        <v>4275</v>
      </c>
      <c r="D4611" s="11" t="n">
        <v>1354015</v>
      </c>
      <c r="E4611" s="31" t="n">
        <v>16</v>
      </c>
      <c r="F4611" s="31" t="n">
        <v>14.3</v>
      </c>
      <c r="G4611" s="31" t="n">
        <v>80.6</v>
      </c>
      <c r="H4611" s="2" t="s">
        <v>822</v>
      </c>
    </row>
    <row r="4612" customFormat="false" ht="15" hidden="false" customHeight="false" outlineLevel="0" collapsed="false">
      <c r="A4612" s="2" t="s">
        <v>986</v>
      </c>
      <c r="B4612" s="2" t="s">
        <v>4291</v>
      </c>
      <c r="C4612" s="2" t="s">
        <v>4274</v>
      </c>
      <c r="D4612" s="2"/>
      <c r="E4612" s="31" t="n">
        <v>51.5</v>
      </c>
      <c r="F4612" s="31" t="n">
        <v>49.8</v>
      </c>
      <c r="G4612" s="31" t="n">
        <v>64.9</v>
      </c>
      <c r="H4612" s="2" t="s">
        <v>822</v>
      </c>
    </row>
    <row r="4613" customFormat="false" ht="15" hidden="false" customHeight="false" outlineLevel="0" collapsed="false">
      <c r="A4613" s="2" t="s">
        <v>986</v>
      </c>
      <c r="B4613" s="2" t="s">
        <v>4291</v>
      </c>
      <c r="C4613" s="2" t="s">
        <v>4275</v>
      </c>
      <c r="D4613" s="2"/>
      <c r="E4613" s="31" t="n">
        <v>64.7</v>
      </c>
      <c r="F4613" s="31" t="n">
        <v>82.4</v>
      </c>
      <c r="G4613" s="31" t="n">
        <v>45.7</v>
      </c>
      <c r="H4613" s="2" t="s">
        <v>832</v>
      </c>
    </row>
    <row r="4614" customFormat="false" ht="15" hidden="false" customHeight="false" outlineLevel="0" collapsed="false">
      <c r="A4614" s="2" t="s">
        <v>986</v>
      </c>
      <c r="B4614" s="2" t="s">
        <v>45</v>
      </c>
      <c r="C4614" s="2" t="s">
        <v>4274</v>
      </c>
      <c r="D4614" s="11" t="n">
        <v>1217424</v>
      </c>
      <c r="E4614" s="31" t="n">
        <v>23.1</v>
      </c>
      <c r="F4614" s="31" t="n">
        <v>64.3</v>
      </c>
      <c r="G4614" s="31" t="n">
        <v>63.4</v>
      </c>
      <c r="H4614" s="2" t="s">
        <v>822</v>
      </c>
    </row>
    <row r="4615" customFormat="false" ht="15" hidden="false" customHeight="false" outlineLevel="0" collapsed="false">
      <c r="A4615" s="2" t="s">
        <v>986</v>
      </c>
      <c r="B4615" s="2" t="s">
        <v>45</v>
      </c>
      <c r="C4615" s="2" t="s">
        <v>4275</v>
      </c>
      <c r="D4615" s="11" t="n">
        <v>1226483</v>
      </c>
      <c r="E4615" s="31" t="n">
        <v>80.5</v>
      </c>
      <c r="F4615" s="31" t="n">
        <v>82.4</v>
      </c>
      <c r="G4615" s="31" t="n">
        <v>32.4</v>
      </c>
      <c r="H4615" s="2" t="s">
        <v>822</v>
      </c>
    </row>
    <row r="4616" customFormat="false" ht="15" hidden="false" customHeight="false" outlineLevel="0" collapsed="false">
      <c r="A4616" s="2" t="s">
        <v>986</v>
      </c>
      <c r="B4616" s="2" t="s">
        <v>46</v>
      </c>
      <c r="C4616" s="2" t="s">
        <v>4274</v>
      </c>
      <c r="D4616" s="11" t="n">
        <v>28190</v>
      </c>
      <c r="E4616" s="31" t="n">
        <v>63.6</v>
      </c>
      <c r="F4616" s="31" t="n">
        <v>16.1</v>
      </c>
      <c r="G4616" s="31" t="n">
        <v>74.9</v>
      </c>
      <c r="H4616" s="2" t="s">
        <v>822</v>
      </c>
    </row>
    <row r="4617" customFormat="false" ht="15" hidden="false" customHeight="false" outlineLevel="0" collapsed="false">
      <c r="A4617" s="2" t="s">
        <v>986</v>
      </c>
      <c r="B4617" s="2" t="s">
        <v>46</v>
      </c>
      <c r="C4617" s="2" t="s">
        <v>4275</v>
      </c>
      <c r="D4617" s="11" t="n">
        <v>28520</v>
      </c>
      <c r="E4617" s="31" t="n">
        <v>48.9</v>
      </c>
      <c r="F4617" s="2"/>
      <c r="G4617" s="31" t="n">
        <v>28.7</v>
      </c>
      <c r="H4617" s="2" t="s">
        <v>832</v>
      </c>
    </row>
    <row r="4618" customFormat="false" ht="15" hidden="false" customHeight="false" outlineLevel="0" collapsed="false">
      <c r="A4618" s="2" t="s">
        <v>986</v>
      </c>
      <c r="B4618" s="2" t="s">
        <v>47</v>
      </c>
      <c r="C4618" s="2" t="s">
        <v>4274</v>
      </c>
      <c r="D4618" s="11" t="n">
        <v>6218</v>
      </c>
      <c r="E4618" s="31" t="n">
        <v>67.8</v>
      </c>
      <c r="F4618" s="31" t="n">
        <v>68.9</v>
      </c>
      <c r="G4618" s="31" t="n">
        <v>56.3</v>
      </c>
      <c r="H4618" s="2" t="s">
        <v>822</v>
      </c>
    </row>
    <row r="4619" customFormat="false" ht="15" hidden="false" customHeight="false" outlineLevel="0" collapsed="false">
      <c r="A4619" s="2" t="s">
        <v>986</v>
      </c>
      <c r="B4619" s="2" t="s">
        <v>47</v>
      </c>
      <c r="C4619" s="2" t="s">
        <v>4275</v>
      </c>
      <c r="D4619" s="2"/>
      <c r="E4619" s="2"/>
      <c r="F4619" s="2"/>
      <c r="G4619" s="31" t="n">
        <v>76</v>
      </c>
      <c r="H4619" s="2" t="s">
        <v>832</v>
      </c>
    </row>
    <row r="4620" customFormat="false" ht="15" hidden="false" customHeight="false" outlineLevel="0" collapsed="false">
      <c r="A4620" s="2" t="s">
        <v>786</v>
      </c>
      <c r="B4620" s="2" t="s">
        <v>4291</v>
      </c>
      <c r="C4620" s="2" t="s">
        <v>4274</v>
      </c>
      <c r="D4620" s="2"/>
      <c r="E4620" s="31" t="n">
        <v>6.8</v>
      </c>
      <c r="F4620" s="31" t="n">
        <v>86.5</v>
      </c>
      <c r="G4620" s="31" t="n">
        <v>33.6</v>
      </c>
      <c r="H4620" s="2" t="s">
        <v>822</v>
      </c>
    </row>
    <row r="4621" customFormat="false" ht="15" hidden="false" customHeight="false" outlineLevel="0" collapsed="false">
      <c r="A4621" s="2" t="s">
        <v>786</v>
      </c>
      <c r="B4621" s="2" t="s">
        <v>4291</v>
      </c>
      <c r="C4621" s="2" t="s">
        <v>4275</v>
      </c>
      <c r="D4621" s="2"/>
      <c r="E4621" s="31" t="n">
        <v>14.1</v>
      </c>
      <c r="F4621" s="31" t="n">
        <v>94.3</v>
      </c>
      <c r="G4621" s="31" t="n">
        <v>22.1</v>
      </c>
      <c r="H4621" s="2" t="s">
        <v>822</v>
      </c>
    </row>
    <row r="4622" customFormat="false" ht="15" hidden="false" customHeight="false" outlineLevel="0" collapsed="false">
      <c r="A4622" s="2" t="s">
        <v>786</v>
      </c>
      <c r="B4622" s="2" t="s">
        <v>46</v>
      </c>
      <c r="C4622" s="2" t="s">
        <v>4274</v>
      </c>
      <c r="D4622" s="11" t="n">
        <v>244110</v>
      </c>
      <c r="E4622" s="31" t="n">
        <v>6.8</v>
      </c>
      <c r="F4622" s="31" t="n">
        <v>86.5</v>
      </c>
      <c r="G4622" s="31" t="n">
        <v>33.6</v>
      </c>
      <c r="H4622" s="2" t="s">
        <v>822</v>
      </c>
    </row>
    <row r="4623" customFormat="false" ht="15" hidden="false" customHeight="false" outlineLevel="0" collapsed="false">
      <c r="A4623" s="2" t="s">
        <v>786</v>
      </c>
      <c r="B4623" s="2" t="s">
        <v>46</v>
      </c>
      <c r="C4623" s="2" t="s">
        <v>4275</v>
      </c>
      <c r="D4623" s="11" t="n">
        <v>262310</v>
      </c>
      <c r="E4623" s="31" t="n">
        <v>14.1</v>
      </c>
      <c r="F4623" s="31" t="n">
        <v>94.3</v>
      </c>
      <c r="G4623" s="31" t="n">
        <v>22.1</v>
      </c>
      <c r="H4623" s="2" t="s">
        <v>822</v>
      </c>
    </row>
    <row r="4624" customFormat="false" ht="15" hidden="false" customHeight="false" outlineLevel="0" collapsed="false">
      <c r="A4624" s="2" t="s">
        <v>945</v>
      </c>
      <c r="B4624" s="2" t="s">
        <v>4291</v>
      </c>
      <c r="C4624" s="2" t="s">
        <v>4274</v>
      </c>
      <c r="D4624" s="2"/>
      <c r="E4624" s="31" t="n">
        <v>58.5</v>
      </c>
      <c r="F4624" s="31" t="n">
        <v>49.2</v>
      </c>
      <c r="G4624" s="31" t="n">
        <v>35.4</v>
      </c>
      <c r="H4624" s="2" t="s">
        <v>822</v>
      </c>
    </row>
    <row r="4625" customFormat="false" ht="15" hidden="false" customHeight="false" outlineLevel="0" collapsed="false">
      <c r="A4625" s="2" t="s">
        <v>945</v>
      </c>
      <c r="B4625" s="2" t="s">
        <v>4291</v>
      </c>
      <c r="C4625" s="2" t="s">
        <v>4275</v>
      </c>
      <c r="D4625" s="2"/>
      <c r="E4625" s="31" t="n">
        <v>73.5</v>
      </c>
      <c r="F4625" s="31" t="n">
        <v>37.5</v>
      </c>
      <c r="G4625" s="31" t="n">
        <v>40.2</v>
      </c>
      <c r="H4625" s="2" t="s">
        <v>832</v>
      </c>
    </row>
    <row r="4626" customFormat="false" ht="15" hidden="false" customHeight="false" outlineLevel="0" collapsed="false">
      <c r="A4626" s="2" t="s">
        <v>945</v>
      </c>
      <c r="B4626" s="2" t="s">
        <v>45</v>
      </c>
      <c r="C4626" s="2" t="s">
        <v>4274</v>
      </c>
      <c r="D4626" s="11" t="n">
        <v>21760</v>
      </c>
      <c r="E4626" s="31" t="n">
        <v>75.2</v>
      </c>
      <c r="F4626" s="31" t="n">
        <v>90.9</v>
      </c>
      <c r="G4626" s="31" t="n">
        <v>60.5</v>
      </c>
      <c r="H4626" s="2" t="s">
        <v>822</v>
      </c>
    </row>
    <row r="4627" customFormat="false" ht="15" hidden="false" customHeight="false" outlineLevel="0" collapsed="false">
      <c r="A4627" s="2" t="s">
        <v>945</v>
      </c>
      <c r="B4627" s="2" t="s">
        <v>45</v>
      </c>
      <c r="C4627" s="2" t="s">
        <v>4275</v>
      </c>
      <c r="D4627" s="11" t="n">
        <v>22710</v>
      </c>
      <c r="E4627" s="31" t="n">
        <v>85.3</v>
      </c>
      <c r="F4627" s="31" t="n">
        <v>39.2</v>
      </c>
      <c r="G4627" s="31" t="n">
        <v>46.4</v>
      </c>
      <c r="H4627" s="2" t="s">
        <v>822</v>
      </c>
    </row>
    <row r="4628" customFormat="false" ht="15" hidden="false" customHeight="false" outlineLevel="0" collapsed="false">
      <c r="A4628" s="2" t="s">
        <v>945</v>
      </c>
      <c r="B4628" s="2" t="s">
        <v>46</v>
      </c>
      <c r="C4628" s="2" t="s">
        <v>4274</v>
      </c>
      <c r="D4628" s="11" t="n">
        <v>13120</v>
      </c>
      <c r="E4628" s="31" t="n">
        <v>13.5</v>
      </c>
      <c r="F4628" s="31" t="n">
        <v>40.1</v>
      </c>
      <c r="G4628" s="31" t="n">
        <v>15.1</v>
      </c>
      <c r="H4628" s="2" t="s">
        <v>822</v>
      </c>
    </row>
    <row r="4629" customFormat="false" ht="15" hidden="false" customHeight="false" outlineLevel="0" collapsed="false">
      <c r="A4629" s="2" t="s">
        <v>945</v>
      </c>
      <c r="B4629" s="2" t="s">
        <v>46</v>
      </c>
      <c r="C4629" s="2" t="s">
        <v>4275</v>
      </c>
      <c r="D4629" s="11" t="n">
        <v>7920</v>
      </c>
      <c r="E4629" s="31" t="n">
        <v>53.4</v>
      </c>
      <c r="F4629" s="31" t="n">
        <v>35.8</v>
      </c>
      <c r="G4629" s="31" t="n">
        <v>45.9</v>
      </c>
      <c r="H4629" s="2" t="s">
        <v>822</v>
      </c>
    </row>
    <row r="4630" customFormat="false" ht="15" hidden="false" customHeight="false" outlineLevel="0" collapsed="false">
      <c r="A4630" s="2" t="s">
        <v>945</v>
      </c>
      <c r="B4630" s="2" t="s">
        <v>47</v>
      </c>
      <c r="C4630" s="2" t="s">
        <v>4274</v>
      </c>
      <c r="D4630" s="11" t="n">
        <v>8985</v>
      </c>
      <c r="E4630" s="31" t="n">
        <v>86.9</v>
      </c>
      <c r="F4630" s="31" t="n">
        <v>16.7</v>
      </c>
      <c r="G4630" s="31" t="n">
        <v>30.5</v>
      </c>
      <c r="H4630" s="2" t="s">
        <v>822</v>
      </c>
    </row>
    <row r="4631" customFormat="false" ht="15" hidden="false" customHeight="false" outlineLevel="0" collapsed="false">
      <c r="A4631" s="2" t="s">
        <v>945</v>
      </c>
      <c r="B4631" s="2" t="s">
        <v>47</v>
      </c>
      <c r="C4631" s="2" t="s">
        <v>4275</v>
      </c>
      <c r="D4631" s="11" t="n">
        <v>9230</v>
      </c>
      <c r="E4631" s="31" t="n">
        <v>81.8</v>
      </c>
      <c r="F4631" s="2"/>
      <c r="G4631" s="31" t="n">
        <v>28.3</v>
      </c>
      <c r="H4631" s="2" t="s">
        <v>832</v>
      </c>
    </row>
    <row r="4632" customFormat="false" ht="15" hidden="false" customHeight="false" outlineLevel="0" collapsed="false">
      <c r="A4632" s="2" t="s">
        <v>480</v>
      </c>
      <c r="B4632" s="2" t="s">
        <v>4291</v>
      </c>
      <c r="C4632" s="2" t="s">
        <v>4274</v>
      </c>
      <c r="D4632" s="2"/>
      <c r="E4632" s="31" t="n">
        <v>52</v>
      </c>
      <c r="F4632" s="31" t="n">
        <v>21.1</v>
      </c>
      <c r="G4632" s="31" t="n">
        <v>43.9</v>
      </c>
      <c r="H4632" s="2" t="s">
        <v>832</v>
      </c>
    </row>
    <row r="4633" customFormat="false" ht="15" hidden="false" customHeight="false" outlineLevel="0" collapsed="false">
      <c r="A4633" s="2" t="s">
        <v>480</v>
      </c>
      <c r="B4633" s="2" t="s">
        <v>4291</v>
      </c>
      <c r="C4633" s="2" t="s">
        <v>4275</v>
      </c>
      <c r="D4633" s="2"/>
      <c r="E4633" s="31" t="n">
        <v>49.9</v>
      </c>
      <c r="F4633" s="31" t="n">
        <v>6.1</v>
      </c>
      <c r="G4633" s="31" t="n">
        <v>55.5</v>
      </c>
      <c r="H4633" s="2" t="s">
        <v>822</v>
      </c>
    </row>
    <row r="4634" customFormat="false" ht="15" hidden="false" customHeight="false" outlineLevel="0" collapsed="false">
      <c r="A4634" s="2" t="s">
        <v>480</v>
      </c>
      <c r="B4634" s="2" t="s">
        <v>45</v>
      </c>
      <c r="C4634" s="2" t="s">
        <v>4274</v>
      </c>
      <c r="D4634" s="11" t="n">
        <v>19429</v>
      </c>
      <c r="E4634" s="31" t="n">
        <v>28.7</v>
      </c>
      <c r="F4634" s="31" t="n">
        <v>35.8</v>
      </c>
      <c r="G4634" s="31" t="n">
        <v>35.4</v>
      </c>
      <c r="H4634" s="2" t="s">
        <v>822</v>
      </c>
    </row>
    <row r="4635" customFormat="false" ht="15" hidden="false" customHeight="false" outlineLevel="0" collapsed="false">
      <c r="A4635" s="2" t="s">
        <v>480</v>
      </c>
      <c r="B4635" s="2" t="s">
        <v>45</v>
      </c>
      <c r="C4635" s="2" t="s">
        <v>4275</v>
      </c>
      <c r="D4635" s="11" t="n">
        <v>18930</v>
      </c>
      <c r="E4635" s="31" t="n">
        <v>42.9</v>
      </c>
      <c r="F4635" s="31" t="n">
        <v>4.8</v>
      </c>
      <c r="G4635" s="31" t="n">
        <v>7</v>
      </c>
      <c r="H4635" s="2" t="s">
        <v>822</v>
      </c>
    </row>
    <row r="4636" customFormat="false" ht="15" hidden="false" customHeight="false" outlineLevel="0" collapsed="false">
      <c r="A4636" s="2" t="s">
        <v>480</v>
      </c>
      <c r="B4636" s="2" t="s">
        <v>46</v>
      </c>
      <c r="C4636" s="2" t="s">
        <v>4274</v>
      </c>
      <c r="D4636" s="11" t="n">
        <v>209080</v>
      </c>
      <c r="E4636" s="31" t="n">
        <v>75.3</v>
      </c>
      <c r="F4636" s="31" t="n">
        <v>6.4</v>
      </c>
      <c r="G4636" s="31" t="n">
        <v>55.9</v>
      </c>
      <c r="H4636" s="2" t="s">
        <v>822</v>
      </c>
    </row>
    <row r="4637" customFormat="false" ht="15" hidden="false" customHeight="false" outlineLevel="0" collapsed="false">
      <c r="A4637" s="2" t="s">
        <v>480</v>
      </c>
      <c r="B4637" s="2" t="s">
        <v>46</v>
      </c>
      <c r="C4637" s="2" t="s">
        <v>4275</v>
      </c>
      <c r="D4637" s="11" t="n">
        <v>201270</v>
      </c>
      <c r="E4637" s="31" t="n">
        <v>27.5</v>
      </c>
      <c r="F4637" s="31" t="n">
        <v>1.9</v>
      </c>
      <c r="G4637" s="31" t="n">
        <v>75.7</v>
      </c>
      <c r="H4637" s="2" t="s">
        <v>822</v>
      </c>
    </row>
    <row r="4638" customFormat="false" ht="15" hidden="false" customHeight="false" outlineLevel="0" collapsed="false">
      <c r="A4638" s="2" t="s">
        <v>480</v>
      </c>
      <c r="B4638" s="2" t="s">
        <v>47</v>
      </c>
      <c r="C4638" s="2" t="s">
        <v>4274</v>
      </c>
      <c r="D4638" s="2"/>
      <c r="E4638" s="2"/>
      <c r="F4638" s="2"/>
      <c r="G4638" s="31" t="n">
        <v>40.4</v>
      </c>
      <c r="H4638" s="2" t="s">
        <v>832</v>
      </c>
    </row>
    <row r="4639" customFormat="false" ht="15" hidden="false" customHeight="false" outlineLevel="0" collapsed="false">
      <c r="A4639" s="2" t="s">
        <v>480</v>
      </c>
      <c r="B4639" s="2" t="s">
        <v>47</v>
      </c>
      <c r="C4639" s="2" t="s">
        <v>4275</v>
      </c>
      <c r="D4639" s="11" t="n">
        <v>60435</v>
      </c>
      <c r="E4639" s="31" t="n">
        <v>79.2</v>
      </c>
      <c r="F4639" s="31" t="n">
        <v>11.7</v>
      </c>
      <c r="G4639" s="31" t="n">
        <v>83.7</v>
      </c>
      <c r="H4639" s="2" t="s">
        <v>822</v>
      </c>
    </row>
    <row r="4640" customFormat="false" ht="15" hidden="false" customHeight="false" outlineLevel="0" collapsed="false">
      <c r="A4640" s="2" t="s">
        <v>418</v>
      </c>
      <c r="B4640" s="2" t="s">
        <v>4291</v>
      </c>
      <c r="C4640" s="2" t="s">
        <v>4275</v>
      </c>
      <c r="D4640" s="2"/>
      <c r="E4640" s="31" t="n">
        <v>53.8</v>
      </c>
      <c r="F4640" s="31" t="n">
        <v>10.6</v>
      </c>
      <c r="G4640" s="31" t="n">
        <v>42.8</v>
      </c>
      <c r="H4640" s="2" t="s">
        <v>822</v>
      </c>
    </row>
    <row r="4641" customFormat="false" ht="15" hidden="false" customHeight="false" outlineLevel="0" collapsed="false">
      <c r="A4641" s="2" t="s">
        <v>418</v>
      </c>
      <c r="B4641" s="2" t="s">
        <v>47</v>
      </c>
      <c r="C4641" s="2" t="s">
        <v>4275</v>
      </c>
      <c r="D4641" s="11" t="n">
        <v>587840</v>
      </c>
      <c r="E4641" s="31" t="n">
        <v>53.8</v>
      </c>
      <c r="F4641" s="31" t="n">
        <v>10.6</v>
      </c>
      <c r="G4641" s="31" t="n">
        <v>42.8</v>
      </c>
      <c r="H4641" s="2" t="s">
        <v>822</v>
      </c>
    </row>
    <row r="4642" customFormat="false" ht="15" hidden="false" customHeight="false" outlineLevel="0" collapsed="false">
      <c r="A4642" s="2" t="s">
        <v>1144</v>
      </c>
      <c r="B4642" s="2" t="s">
        <v>4291</v>
      </c>
      <c r="C4642" s="2" t="s">
        <v>4274</v>
      </c>
      <c r="D4642" s="2"/>
      <c r="E4642" s="31" t="n">
        <v>68.4</v>
      </c>
      <c r="F4642" s="31" t="n">
        <v>99.1</v>
      </c>
      <c r="G4642" s="31" t="n">
        <v>44.8</v>
      </c>
      <c r="H4642" s="2" t="s">
        <v>832</v>
      </c>
    </row>
    <row r="4643" customFormat="false" ht="15" hidden="false" customHeight="false" outlineLevel="0" collapsed="false">
      <c r="A4643" s="2" t="s">
        <v>1144</v>
      </c>
      <c r="B4643" s="2" t="s">
        <v>4291</v>
      </c>
      <c r="C4643" s="2" t="s">
        <v>4275</v>
      </c>
      <c r="D4643" s="2"/>
      <c r="E4643" s="31" t="n">
        <v>56.8</v>
      </c>
      <c r="F4643" s="31" t="n">
        <v>74.4</v>
      </c>
      <c r="G4643" s="31" t="n">
        <v>60.3</v>
      </c>
      <c r="H4643" s="2" t="s">
        <v>832</v>
      </c>
    </row>
    <row r="4644" customFormat="false" ht="15" hidden="false" customHeight="false" outlineLevel="0" collapsed="false">
      <c r="A4644" s="2" t="s">
        <v>1144</v>
      </c>
      <c r="B4644" s="2" t="s">
        <v>45</v>
      </c>
      <c r="C4644" s="2" t="s">
        <v>4274</v>
      </c>
      <c r="D4644" s="11" t="n">
        <v>14600</v>
      </c>
      <c r="E4644" s="31" t="n">
        <v>67.2</v>
      </c>
      <c r="F4644" s="31" t="n">
        <v>98.2</v>
      </c>
      <c r="G4644" s="2"/>
      <c r="H4644" s="2" t="s">
        <v>832</v>
      </c>
    </row>
    <row r="4645" customFormat="false" ht="15" hidden="false" customHeight="false" outlineLevel="0" collapsed="false">
      <c r="A4645" s="2" t="s">
        <v>1144</v>
      </c>
      <c r="B4645" s="2" t="s">
        <v>45</v>
      </c>
      <c r="C4645" s="2" t="s">
        <v>4275</v>
      </c>
      <c r="D4645" s="11" t="n">
        <v>15820</v>
      </c>
      <c r="E4645" s="31" t="n">
        <v>61.2</v>
      </c>
      <c r="F4645" s="31" t="n">
        <v>99</v>
      </c>
      <c r="G4645" s="31" t="n">
        <v>86.2</v>
      </c>
      <c r="H4645" s="2" t="s">
        <v>822</v>
      </c>
    </row>
    <row r="4646" customFormat="false" ht="15" hidden="false" customHeight="false" outlineLevel="0" collapsed="false">
      <c r="A4646" s="2" t="s">
        <v>1144</v>
      </c>
      <c r="B4646" s="2" t="s">
        <v>46</v>
      </c>
      <c r="C4646" s="2" t="s">
        <v>4274</v>
      </c>
      <c r="D4646" s="2"/>
      <c r="E4646" s="2"/>
      <c r="F4646" s="2"/>
      <c r="G4646" s="31" t="n">
        <v>9.8</v>
      </c>
      <c r="H4646" s="2" t="s">
        <v>832</v>
      </c>
    </row>
    <row r="4647" customFormat="false" ht="15" hidden="false" customHeight="false" outlineLevel="0" collapsed="false">
      <c r="A4647" s="2" t="s">
        <v>1144</v>
      </c>
      <c r="B4647" s="2" t="s">
        <v>46</v>
      </c>
      <c r="C4647" s="2" t="s">
        <v>4275</v>
      </c>
      <c r="D4647" s="11" t="n">
        <v>71380</v>
      </c>
      <c r="E4647" s="31" t="n">
        <v>52.3</v>
      </c>
      <c r="F4647" s="31" t="n">
        <v>49.8</v>
      </c>
      <c r="G4647" s="31" t="n">
        <v>34.4</v>
      </c>
      <c r="H4647" s="2" t="s">
        <v>822</v>
      </c>
    </row>
    <row r="4648" customFormat="false" ht="15" hidden="false" customHeight="false" outlineLevel="0" collapsed="false">
      <c r="A4648" s="2" t="s">
        <v>1144</v>
      </c>
      <c r="B4648" s="2" t="s">
        <v>47</v>
      </c>
      <c r="C4648" s="2" t="s">
        <v>4274</v>
      </c>
      <c r="D4648" s="11" t="n">
        <v>1417116</v>
      </c>
      <c r="E4648" s="31" t="n">
        <v>69.7</v>
      </c>
      <c r="F4648" s="31" t="n">
        <v>100</v>
      </c>
      <c r="G4648" s="31" t="n">
        <v>79.9</v>
      </c>
      <c r="H4648" s="2" t="s">
        <v>822</v>
      </c>
    </row>
    <row r="4649" customFormat="false" ht="15" hidden="false" customHeight="false" outlineLevel="0" collapsed="false">
      <c r="A4649" s="2" t="s">
        <v>1144</v>
      </c>
      <c r="B4649" s="2" t="s">
        <v>47</v>
      </c>
      <c r="C4649" s="2" t="s">
        <v>4275</v>
      </c>
      <c r="D4649" s="2"/>
      <c r="E4649" s="2"/>
      <c r="F4649" s="2"/>
      <c r="G4649" s="2"/>
      <c r="H4649" s="2" t="s">
        <v>832</v>
      </c>
    </row>
    <row r="4650" customFormat="false" ht="15" hidden="false" customHeight="false" outlineLevel="0" collapsed="false">
      <c r="A4650" s="2" t="s">
        <v>2768</v>
      </c>
      <c r="B4650" s="2" t="s">
        <v>4291</v>
      </c>
      <c r="C4650" s="2" t="s">
        <v>4274</v>
      </c>
      <c r="D4650" s="2"/>
      <c r="E4650" s="31" t="n">
        <v>61.8</v>
      </c>
      <c r="F4650" s="31" t="n">
        <v>35.4</v>
      </c>
      <c r="G4650" s="31" t="n">
        <v>45.3</v>
      </c>
      <c r="H4650" s="2" t="s">
        <v>822</v>
      </c>
    </row>
    <row r="4651" customFormat="false" ht="15" hidden="false" customHeight="false" outlineLevel="0" collapsed="false">
      <c r="A4651" s="2" t="s">
        <v>2768</v>
      </c>
      <c r="B4651" s="2" t="s">
        <v>4291</v>
      </c>
      <c r="C4651" s="2" t="s">
        <v>4275</v>
      </c>
      <c r="D4651" s="2"/>
      <c r="E4651" s="31" t="n">
        <v>53.2</v>
      </c>
      <c r="F4651" s="31" t="n">
        <v>39.4</v>
      </c>
      <c r="G4651" s="31" t="n">
        <v>40.6</v>
      </c>
      <c r="H4651" s="2" t="s">
        <v>832</v>
      </c>
    </row>
    <row r="4652" customFormat="false" ht="15" hidden="false" customHeight="false" outlineLevel="0" collapsed="false">
      <c r="A4652" s="2" t="s">
        <v>2768</v>
      </c>
      <c r="B4652" s="2" t="s">
        <v>45</v>
      </c>
      <c r="C4652" s="2" t="s">
        <v>4274</v>
      </c>
      <c r="D4652" s="11" t="n">
        <v>188180</v>
      </c>
      <c r="E4652" s="31" t="n">
        <v>59.2</v>
      </c>
      <c r="F4652" s="31" t="n">
        <v>16.4</v>
      </c>
      <c r="G4652" s="31" t="n">
        <v>91.2</v>
      </c>
      <c r="H4652" s="2" t="s">
        <v>822</v>
      </c>
    </row>
    <row r="4653" customFormat="false" ht="15" hidden="false" customHeight="false" outlineLevel="0" collapsed="false">
      <c r="A4653" s="2" t="s">
        <v>2768</v>
      </c>
      <c r="B4653" s="2" t="s">
        <v>45</v>
      </c>
      <c r="C4653" s="2" t="s">
        <v>4275</v>
      </c>
      <c r="D4653" s="11" t="n">
        <v>192297</v>
      </c>
      <c r="E4653" s="31" t="n">
        <v>70.3</v>
      </c>
      <c r="F4653" s="31" t="n">
        <v>19.3</v>
      </c>
      <c r="G4653" s="2"/>
      <c r="H4653" s="2" t="s">
        <v>832</v>
      </c>
    </row>
    <row r="4654" customFormat="false" ht="15" hidden="false" customHeight="false" outlineLevel="0" collapsed="false">
      <c r="A4654" s="2" t="s">
        <v>2768</v>
      </c>
      <c r="B4654" s="2" t="s">
        <v>46</v>
      </c>
      <c r="C4654" s="2" t="s">
        <v>4274</v>
      </c>
      <c r="D4654" s="11" t="n">
        <v>4780</v>
      </c>
      <c r="E4654" s="31" t="n">
        <v>89.2</v>
      </c>
      <c r="F4654" s="31" t="n">
        <v>28.1</v>
      </c>
      <c r="G4654" s="31" t="n">
        <v>31.7</v>
      </c>
      <c r="H4654" s="2" t="s">
        <v>822</v>
      </c>
    </row>
    <row r="4655" customFormat="false" ht="15" hidden="false" customHeight="false" outlineLevel="0" collapsed="false">
      <c r="A4655" s="2" t="s">
        <v>2768</v>
      </c>
      <c r="B4655" s="2" t="s">
        <v>46</v>
      </c>
      <c r="C4655" s="2" t="s">
        <v>4275</v>
      </c>
      <c r="D4655" s="11" t="n">
        <v>4900</v>
      </c>
      <c r="E4655" s="31" t="n">
        <v>73.1</v>
      </c>
      <c r="F4655" s="2"/>
      <c r="G4655" s="31" t="n">
        <v>51.2</v>
      </c>
      <c r="H4655" s="2" t="s">
        <v>832</v>
      </c>
    </row>
    <row r="4656" customFormat="false" ht="15" hidden="false" customHeight="false" outlineLevel="0" collapsed="false">
      <c r="A4656" s="2" t="s">
        <v>2768</v>
      </c>
      <c r="B4656" s="2" t="s">
        <v>47</v>
      </c>
      <c r="C4656" s="2" t="s">
        <v>4274</v>
      </c>
      <c r="D4656" s="11" t="n">
        <v>129654</v>
      </c>
      <c r="E4656" s="31" t="n">
        <v>36.9</v>
      </c>
      <c r="F4656" s="31" t="n">
        <v>61.7</v>
      </c>
      <c r="G4656" s="31" t="n">
        <v>13.1</v>
      </c>
      <c r="H4656" s="2" t="s">
        <v>822</v>
      </c>
    </row>
    <row r="4657" customFormat="false" ht="15" hidden="false" customHeight="false" outlineLevel="0" collapsed="false">
      <c r="A4657" s="2" t="s">
        <v>2768</v>
      </c>
      <c r="B4657" s="2" t="s">
        <v>47</v>
      </c>
      <c r="C4657" s="2" t="s">
        <v>4275</v>
      </c>
      <c r="D4657" s="11" t="n">
        <v>135110</v>
      </c>
      <c r="E4657" s="31" t="n">
        <v>16.2</v>
      </c>
      <c r="F4657" s="31" t="n">
        <v>59.6</v>
      </c>
      <c r="G4657" s="31" t="n">
        <v>29.9</v>
      </c>
      <c r="H4657" s="2" t="s">
        <v>822</v>
      </c>
    </row>
    <row r="4658" customFormat="false" ht="15" hidden="false" customHeight="false" outlineLevel="0" collapsed="false">
      <c r="A4658" s="2" t="s">
        <v>804</v>
      </c>
      <c r="B4658" s="2" t="s">
        <v>4291</v>
      </c>
      <c r="C4658" s="2" t="s">
        <v>4274</v>
      </c>
      <c r="D4658" s="2"/>
      <c r="E4658" s="31" t="n">
        <v>1.4</v>
      </c>
      <c r="F4658" s="31" t="n">
        <v>61.4</v>
      </c>
      <c r="G4658" s="31" t="n">
        <v>15.5</v>
      </c>
      <c r="H4658" s="2" t="s">
        <v>822</v>
      </c>
    </row>
    <row r="4659" customFormat="false" ht="15" hidden="false" customHeight="false" outlineLevel="0" collapsed="false">
      <c r="A4659" s="2" t="s">
        <v>804</v>
      </c>
      <c r="B4659" s="2" t="s">
        <v>4291</v>
      </c>
      <c r="C4659" s="2" t="s">
        <v>4275</v>
      </c>
      <c r="D4659" s="2"/>
      <c r="E4659" s="31" t="n">
        <v>2.5</v>
      </c>
      <c r="F4659" s="31" t="n">
        <v>46.8</v>
      </c>
      <c r="G4659" s="31" t="n">
        <v>40.7</v>
      </c>
      <c r="H4659" s="2" t="s">
        <v>822</v>
      </c>
    </row>
    <row r="4660" customFormat="false" ht="15" hidden="false" customHeight="false" outlineLevel="0" collapsed="false">
      <c r="A4660" s="2" t="s">
        <v>804</v>
      </c>
      <c r="B4660" s="2" t="s">
        <v>47</v>
      </c>
      <c r="C4660" s="2" t="s">
        <v>4274</v>
      </c>
      <c r="D4660" s="11" t="n">
        <v>33435</v>
      </c>
      <c r="E4660" s="31" t="n">
        <v>1.4</v>
      </c>
      <c r="F4660" s="31" t="n">
        <v>61.4</v>
      </c>
      <c r="G4660" s="31" t="n">
        <v>15.5</v>
      </c>
      <c r="H4660" s="2" t="s">
        <v>822</v>
      </c>
    </row>
    <row r="4661" customFormat="false" ht="15" hidden="false" customHeight="false" outlineLevel="0" collapsed="false">
      <c r="A4661" s="2" t="s">
        <v>804</v>
      </c>
      <c r="B4661" s="2" t="s">
        <v>47</v>
      </c>
      <c r="C4661" s="2" t="s">
        <v>4275</v>
      </c>
      <c r="D4661" s="11" t="n">
        <v>35200</v>
      </c>
      <c r="E4661" s="31" t="n">
        <v>2.5</v>
      </c>
      <c r="F4661" s="31" t="n">
        <v>46.8</v>
      </c>
      <c r="G4661" s="31" t="n">
        <v>40.7</v>
      </c>
      <c r="H4661" s="2" t="s">
        <v>822</v>
      </c>
    </row>
    <row r="4662" customFormat="false" ht="15" hidden="false" customHeight="false" outlineLevel="0" collapsed="false">
      <c r="A4662" s="2" t="s">
        <v>676</v>
      </c>
      <c r="B4662" s="2" t="s">
        <v>4291</v>
      </c>
      <c r="C4662" s="2" t="s">
        <v>4274</v>
      </c>
      <c r="D4662" s="2"/>
      <c r="E4662" s="31" t="n">
        <v>21</v>
      </c>
      <c r="F4662" s="31" t="n">
        <v>81</v>
      </c>
      <c r="G4662" s="31" t="n">
        <v>37.5</v>
      </c>
      <c r="H4662" s="2" t="s">
        <v>822</v>
      </c>
    </row>
    <row r="4663" customFormat="false" ht="15" hidden="false" customHeight="false" outlineLevel="0" collapsed="false">
      <c r="A4663" s="2" t="s">
        <v>676</v>
      </c>
      <c r="B4663" s="2" t="s">
        <v>4291</v>
      </c>
      <c r="C4663" s="2" t="s">
        <v>4275</v>
      </c>
      <c r="D4663" s="2"/>
      <c r="E4663" s="31" t="n">
        <v>31.4</v>
      </c>
      <c r="F4663" s="31" t="n">
        <v>52.6</v>
      </c>
      <c r="G4663" s="31" t="n">
        <v>58.4</v>
      </c>
      <c r="H4663" s="2" t="s">
        <v>822</v>
      </c>
    </row>
    <row r="4664" customFormat="false" ht="15" hidden="false" customHeight="false" outlineLevel="0" collapsed="false">
      <c r="A4664" s="2" t="s">
        <v>676</v>
      </c>
      <c r="B4664" s="2" t="s">
        <v>45</v>
      </c>
      <c r="C4664" s="2" t="s">
        <v>4274</v>
      </c>
      <c r="D4664" s="11" t="n">
        <v>296288</v>
      </c>
      <c r="E4664" s="31" t="n">
        <v>7.4</v>
      </c>
      <c r="F4664" s="31" t="n">
        <v>83.6</v>
      </c>
      <c r="G4664" s="31" t="n">
        <v>54.9</v>
      </c>
      <c r="H4664" s="2" t="s">
        <v>822</v>
      </c>
    </row>
    <row r="4665" customFormat="false" ht="15" hidden="false" customHeight="false" outlineLevel="0" collapsed="false">
      <c r="A4665" s="2" t="s">
        <v>676</v>
      </c>
      <c r="B4665" s="2" t="s">
        <v>45</v>
      </c>
      <c r="C4665" s="2" t="s">
        <v>4275</v>
      </c>
      <c r="D4665" s="11" t="n">
        <v>317500</v>
      </c>
      <c r="E4665" s="31" t="n">
        <v>5.3</v>
      </c>
      <c r="F4665" s="31" t="n">
        <v>77.1</v>
      </c>
      <c r="G4665" s="31" t="n">
        <v>83</v>
      </c>
      <c r="H4665" s="2" t="s">
        <v>822</v>
      </c>
    </row>
    <row r="4666" customFormat="false" ht="15" hidden="false" customHeight="false" outlineLevel="0" collapsed="false">
      <c r="A4666" s="2" t="s">
        <v>676</v>
      </c>
      <c r="B4666" s="2" t="s">
        <v>47</v>
      </c>
      <c r="C4666" s="2" t="s">
        <v>4274</v>
      </c>
      <c r="D4666" s="11" t="n">
        <v>191842</v>
      </c>
      <c r="E4666" s="31" t="n">
        <v>34.6</v>
      </c>
      <c r="F4666" s="31" t="n">
        <v>78.4</v>
      </c>
      <c r="G4666" s="31" t="n">
        <v>20.1</v>
      </c>
      <c r="H4666" s="2" t="s">
        <v>822</v>
      </c>
    </row>
    <row r="4667" customFormat="false" ht="15" hidden="false" customHeight="false" outlineLevel="0" collapsed="false">
      <c r="A4667" s="2" t="s">
        <v>676</v>
      </c>
      <c r="B4667" s="2" t="s">
        <v>47</v>
      </c>
      <c r="C4667" s="2" t="s">
        <v>4275</v>
      </c>
      <c r="D4667" s="11" t="n">
        <v>194060</v>
      </c>
      <c r="E4667" s="31" t="n">
        <v>57.5</v>
      </c>
      <c r="F4667" s="31" t="n">
        <v>28</v>
      </c>
      <c r="G4667" s="31" t="n">
        <v>33.7</v>
      </c>
      <c r="H4667" s="2" t="s">
        <v>822</v>
      </c>
    </row>
    <row r="4668" customFormat="false" ht="15" hidden="false" customHeight="false" outlineLevel="0" collapsed="false">
      <c r="A4668" s="2" t="s">
        <v>352</v>
      </c>
      <c r="B4668" s="2" t="s">
        <v>4291</v>
      </c>
      <c r="C4668" s="2" t="s">
        <v>4274</v>
      </c>
      <c r="D4668" s="2"/>
      <c r="E4668" s="31" t="n">
        <v>44</v>
      </c>
      <c r="F4668" s="31" t="n">
        <v>70.8</v>
      </c>
      <c r="G4668" s="31" t="n">
        <v>81.2</v>
      </c>
      <c r="H4668" s="2" t="s">
        <v>832</v>
      </c>
    </row>
    <row r="4669" customFormat="false" ht="15" hidden="false" customHeight="false" outlineLevel="0" collapsed="false">
      <c r="A4669" s="2" t="s">
        <v>352</v>
      </c>
      <c r="B4669" s="2" t="s">
        <v>4291</v>
      </c>
      <c r="C4669" s="2" t="s">
        <v>4275</v>
      </c>
      <c r="D4669" s="2"/>
      <c r="E4669" s="31" t="n">
        <v>59.1</v>
      </c>
      <c r="F4669" s="31" t="n">
        <v>80.1</v>
      </c>
      <c r="G4669" s="31" t="n">
        <v>66.2</v>
      </c>
      <c r="H4669" s="2" t="s">
        <v>822</v>
      </c>
    </row>
    <row r="4670" customFormat="false" ht="15" hidden="false" customHeight="false" outlineLevel="0" collapsed="false">
      <c r="A4670" s="2" t="s">
        <v>352</v>
      </c>
      <c r="B4670" s="2" t="s">
        <v>45</v>
      </c>
      <c r="C4670" s="2" t="s">
        <v>4274</v>
      </c>
      <c r="D4670" s="11" t="n">
        <v>57650</v>
      </c>
      <c r="E4670" s="31" t="n">
        <v>60.9</v>
      </c>
      <c r="F4670" s="31" t="n">
        <v>65.3</v>
      </c>
      <c r="G4670" s="31" t="n">
        <v>81.2</v>
      </c>
      <c r="H4670" s="2" t="s">
        <v>822</v>
      </c>
    </row>
    <row r="4671" customFormat="false" ht="15" hidden="false" customHeight="false" outlineLevel="0" collapsed="false">
      <c r="A4671" s="2" t="s">
        <v>352</v>
      </c>
      <c r="B4671" s="2" t="s">
        <v>45</v>
      </c>
      <c r="C4671" s="2" t="s">
        <v>4275</v>
      </c>
      <c r="D4671" s="11" t="n">
        <v>59870</v>
      </c>
      <c r="E4671" s="31" t="n">
        <v>88.3</v>
      </c>
      <c r="F4671" s="31" t="n">
        <v>71.1</v>
      </c>
      <c r="G4671" s="31" t="n">
        <v>87.9</v>
      </c>
      <c r="H4671" s="2" t="s">
        <v>822</v>
      </c>
    </row>
    <row r="4672" customFormat="false" ht="15" hidden="false" customHeight="false" outlineLevel="0" collapsed="false">
      <c r="A4672" s="2" t="s">
        <v>352</v>
      </c>
      <c r="B4672" s="2" t="s">
        <v>46</v>
      </c>
      <c r="C4672" s="2" t="s">
        <v>4274</v>
      </c>
      <c r="D4672" s="11" t="n">
        <v>69739</v>
      </c>
      <c r="E4672" s="31" t="n">
        <v>27.2</v>
      </c>
      <c r="F4672" s="31" t="n">
        <v>76.4</v>
      </c>
      <c r="G4672" s="2"/>
      <c r="H4672" s="2" t="s">
        <v>832</v>
      </c>
    </row>
    <row r="4673" customFormat="false" ht="15" hidden="false" customHeight="false" outlineLevel="0" collapsed="false">
      <c r="A4673" s="2" t="s">
        <v>352</v>
      </c>
      <c r="B4673" s="2" t="s">
        <v>46</v>
      </c>
      <c r="C4673" s="2" t="s">
        <v>4275</v>
      </c>
      <c r="D4673" s="11" t="n">
        <v>74060</v>
      </c>
      <c r="E4673" s="31" t="n">
        <v>29.9</v>
      </c>
      <c r="F4673" s="31" t="n">
        <v>89.1</v>
      </c>
      <c r="G4673" s="31" t="n">
        <v>44.6</v>
      </c>
      <c r="H4673" s="2" t="s">
        <v>822</v>
      </c>
    </row>
    <row r="4674" customFormat="false" ht="15" hidden="false" customHeight="false" outlineLevel="0" collapsed="false">
      <c r="A4674" s="2" t="s">
        <v>246</v>
      </c>
      <c r="B4674" s="2" t="s">
        <v>4291</v>
      </c>
      <c r="C4674" s="2" t="s">
        <v>4274</v>
      </c>
      <c r="D4674" s="2"/>
      <c r="E4674" s="31" t="n">
        <v>76</v>
      </c>
      <c r="F4674" s="31" t="n">
        <v>89.3</v>
      </c>
      <c r="G4674" s="31" t="n">
        <v>45</v>
      </c>
      <c r="H4674" s="2" t="s">
        <v>822</v>
      </c>
    </row>
    <row r="4675" customFormat="false" ht="15" hidden="false" customHeight="false" outlineLevel="0" collapsed="false">
      <c r="A4675" s="2" t="s">
        <v>246</v>
      </c>
      <c r="B4675" s="2" t="s">
        <v>4291</v>
      </c>
      <c r="C4675" s="2" t="s">
        <v>4275</v>
      </c>
      <c r="D4675" s="2"/>
      <c r="E4675" s="31" t="n">
        <v>68</v>
      </c>
      <c r="F4675" s="31" t="n">
        <v>83.4</v>
      </c>
      <c r="G4675" s="31" t="n">
        <v>44.2</v>
      </c>
      <c r="H4675" s="2" t="s">
        <v>822</v>
      </c>
    </row>
    <row r="4676" customFormat="false" ht="15" hidden="false" customHeight="false" outlineLevel="0" collapsed="false">
      <c r="A4676" s="2" t="s">
        <v>246</v>
      </c>
      <c r="B4676" s="2" t="s">
        <v>46</v>
      </c>
      <c r="C4676" s="2" t="s">
        <v>4274</v>
      </c>
      <c r="D4676" s="11" t="n">
        <v>4574</v>
      </c>
      <c r="E4676" s="31" t="n">
        <v>58.5</v>
      </c>
      <c r="F4676" s="31" t="n">
        <v>84.2</v>
      </c>
      <c r="G4676" s="31" t="n">
        <v>79</v>
      </c>
      <c r="H4676" s="2" t="s">
        <v>822</v>
      </c>
    </row>
    <row r="4677" customFormat="false" ht="15" hidden="false" customHeight="false" outlineLevel="0" collapsed="false">
      <c r="A4677" s="2" t="s">
        <v>246</v>
      </c>
      <c r="B4677" s="2" t="s">
        <v>46</v>
      </c>
      <c r="C4677" s="2" t="s">
        <v>4275</v>
      </c>
      <c r="D4677" s="11" t="n">
        <v>4750</v>
      </c>
      <c r="E4677" s="31" t="n">
        <v>61.9</v>
      </c>
      <c r="F4677" s="31" t="n">
        <v>69.8</v>
      </c>
      <c r="G4677" s="31" t="n">
        <v>74.2</v>
      </c>
      <c r="H4677" s="2" t="s">
        <v>822</v>
      </c>
    </row>
    <row r="4678" customFormat="false" ht="15" hidden="false" customHeight="false" outlineLevel="0" collapsed="false">
      <c r="A4678" s="2" t="s">
        <v>246</v>
      </c>
      <c r="B4678" s="2" t="s">
        <v>47</v>
      </c>
      <c r="C4678" s="2" t="s">
        <v>4274</v>
      </c>
      <c r="D4678" s="11" t="n">
        <v>27770</v>
      </c>
      <c r="E4678" s="31" t="n">
        <v>93.6</v>
      </c>
      <c r="F4678" s="31" t="n">
        <v>94.4</v>
      </c>
      <c r="G4678" s="31" t="n">
        <v>10.9</v>
      </c>
      <c r="H4678" s="2" t="s">
        <v>822</v>
      </c>
    </row>
    <row r="4679" customFormat="false" ht="15" hidden="false" customHeight="false" outlineLevel="0" collapsed="false">
      <c r="A4679" s="2" t="s">
        <v>246</v>
      </c>
      <c r="B4679" s="2" t="s">
        <v>47</v>
      </c>
      <c r="C4679" s="2" t="s">
        <v>4275</v>
      </c>
      <c r="D4679" s="11" t="n">
        <v>29392</v>
      </c>
      <c r="E4679" s="31" t="n">
        <v>74.1</v>
      </c>
      <c r="F4679" s="31" t="n">
        <v>97.1</v>
      </c>
      <c r="G4679" s="31" t="n">
        <v>14.2</v>
      </c>
      <c r="H4679" s="2" t="s">
        <v>822</v>
      </c>
    </row>
    <row r="4680" customFormat="false" ht="15" hidden="false" customHeight="false" outlineLevel="0" collapsed="false">
      <c r="A4680" s="2" t="s">
        <v>584</v>
      </c>
      <c r="B4680" s="2" t="s">
        <v>4291</v>
      </c>
      <c r="C4680" s="2" t="s">
        <v>4274</v>
      </c>
      <c r="D4680" s="2"/>
      <c r="E4680" s="31" t="n">
        <v>32.1</v>
      </c>
      <c r="F4680" s="31" t="n">
        <v>50.6</v>
      </c>
      <c r="G4680" s="31" t="n">
        <v>30.8</v>
      </c>
      <c r="H4680" s="2" t="s">
        <v>822</v>
      </c>
    </row>
    <row r="4681" customFormat="false" ht="15" hidden="false" customHeight="false" outlineLevel="0" collapsed="false">
      <c r="A4681" s="2" t="s">
        <v>584</v>
      </c>
      <c r="B4681" s="2" t="s">
        <v>4291</v>
      </c>
      <c r="C4681" s="2" t="s">
        <v>4275</v>
      </c>
      <c r="D4681" s="2"/>
      <c r="E4681" s="31" t="n">
        <v>40.6</v>
      </c>
      <c r="F4681" s="31" t="n">
        <v>52.6</v>
      </c>
      <c r="G4681" s="31" t="n">
        <v>39.1</v>
      </c>
      <c r="H4681" s="2" t="s">
        <v>822</v>
      </c>
    </row>
    <row r="4682" customFormat="false" ht="15" hidden="false" customHeight="false" outlineLevel="0" collapsed="false">
      <c r="A4682" s="2" t="s">
        <v>584</v>
      </c>
      <c r="B4682" s="2" t="s">
        <v>45</v>
      </c>
      <c r="C4682" s="2" t="s">
        <v>4274</v>
      </c>
      <c r="D4682" s="11" t="n">
        <v>69185</v>
      </c>
      <c r="E4682" s="31" t="n">
        <v>5.2</v>
      </c>
      <c r="F4682" s="31" t="n">
        <v>75.5</v>
      </c>
      <c r="G4682" s="31" t="n">
        <v>9</v>
      </c>
      <c r="H4682" s="2" t="s">
        <v>822</v>
      </c>
    </row>
    <row r="4683" customFormat="false" ht="15" hidden="false" customHeight="false" outlineLevel="0" collapsed="false">
      <c r="A4683" s="2" t="s">
        <v>584</v>
      </c>
      <c r="B4683" s="2" t="s">
        <v>45</v>
      </c>
      <c r="C4683" s="2" t="s">
        <v>4275</v>
      </c>
      <c r="D4683" s="11" t="n">
        <v>74780</v>
      </c>
      <c r="E4683" s="31" t="n">
        <v>17.8</v>
      </c>
      <c r="F4683" s="31" t="n">
        <v>44.3</v>
      </c>
      <c r="G4683" s="31" t="n">
        <v>16.3</v>
      </c>
      <c r="H4683" s="2" t="s">
        <v>822</v>
      </c>
    </row>
    <row r="4684" customFormat="false" ht="15" hidden="false" customHeight="false" outlineLevel="0" collapsed="false">
      <c r="A4684" s="2" t="s">
        <v>584</v>
      </c>
      <c r="B4684" s="2" t="s">
        <v>46</v>
      </c>
      <c r="C4684" s="2" t="s">
        <v>4274</v>
      </c>
      <c r="D4684" s="11" t="n">
        <v>2309</v>
      </c>
      <c r="E4684" s="31" t="n">
        <v>58.9</v>
      </c>
      <c r="F4684" s="31" t="n">
        <v>19.3</v>
      </c>
      <c r="G4684" s="31" t="n">
        <v>73.3</v>
      </c>
      <c r="H4684" s="2" t="s">
        <v>822</v>
      </c>
    </row>
    <row r="4685" customFormat="false" ht="15" hidden="false" customHeight="false" outlineLevel="0" collapsed="false">
      <c r="A4685" s="2" t="s">
        <v>584</v>
      </c>
      <c r="B4685" s="2" t="s">
        <v>46</v>
      </c>
      <c r="C4685" s="2" t="s">
        <v>4275</v>
      </c>
      <c r="D4685" s="11" t="n">
        <v>2330</v>
      </c>
      <c r="E4685" s="31" t="n">
        <v>84.1</v>
      </c>
      <c r="F4685" s="31" t="n">
        <v>52.8</v>
      </c>
      <c r="G4685" s="31" t="n">
        <v>83</v>
      </c>
      <c r="H4685" s="2" t="s">
        <v>822</v>
      </c>
    </row>
    <row r="4686" customFormat="false" ht="15" hidden="false" customHeight="false" outlineLevel="0" collapsed="false">
      <c r="A4686" s="2" t="s">
        <v>584</v>
      </c>
      <c r="B4686" s="2" t="s">
        <v>47</v>
      </c>
      <c r="C4686" s="2" t="s">
        <v>4274</v>
      </c>
      <c r="D4686" s="11" t="n">
        <v>10566</v>
      </c>
      <c r="E4686" s="31" t="n">
        <v>32.2</v>
      </c>
      <c r="F4686" s="31" t="n">
        <v>56.9</v>
      </c>
      <c r="G4686" s="31" t="n">
        <v>10.1</v>
      </c>
      <c r="H4686" s="2" t="s">
        <v>822</v>
      </c>
    </row>
    <row r="4687" customFormat="false" ht="15" hidden="false" customHeight="false" outlineLevel="0" collapsed="false">
      <c r="A4687" s="2" t="s">
        <v>584</v>
      </c>
      <c r="B4687" s="2" t="s">
        <v>47</v>
      </c>
      <c r="C4687" s="2" t="s">
        <v>4275</v>
      </c>
      <c r="D4687" s="11" t="n">
        <v>11429</v>
      </c>
      <c r="E4687" s="31" t="n">
        <v>19.9</v>
      </c>
      <c r="F4687" s="31" t="n">
        <v>60.7</v>
      </c>
      <c r="G4687" s="31" t="n">
        <v>17.9</v>
      </c>
      <c r="H4687" s="2" t="s">
        <v>822</v>
      </c>
    </row>
    <row r="4688" customFormat="false" ht="15" hidden="false" customHeight="false" outlineLevel="0" collapsed="false">
      <c r="A4688" s="2" t="s">
        <v>144</v>
      </c>
      <c r="B4688" s="2" t="s">
        <v>4291</v>
      </c>
      <c r="C4688" s="2" t="s">
        <v>4274</v>
      </c>
      <c r="D4688" s="2"/>
      <c r="E4688" s="31" t="n">
        <v>79.4</v>
      </c>
      <c r="F4688" s="31" t="n">
        <v>68.8</v>
      </c>
      <c r="G4688" s="31" t="n">
        <v>82.2</v>
      </c>
      <c r="H4688" s="2" t="s">
        <v>832</v>
      </c>
    </row>
    <row r="4689" customFormat="false" ht="15" hidden="false" customHeight="false" outlineLevel="0" collapsed="false">
      <c r="A4689" s="2" t="s">
        <v>144</v>
      </c>
      <c r="B4689" s="2" t="s">
        <v>4291</v>
      </c>
      <c r="C4689" s="2" t="s">
        <v>4275</v>
      </c>
      <c r="D4689" s="2"/>
      <c r="E4689" s="31" t="n">
        <v>84</v>
      </c>
      <c r="F4689" s="31" t="n">
        <v>56</v>
      </c>
      <c r="G4689" s="31" t="n">
        <v>64.5</v>
      </c>
      <c r="H4689" s="2" t="s">
        <v>822</v>
      </c>
    </row>
    <row r="4690" customFormat="false" ht="15" hidden="false" customHeight="false" outlineLevel="0" collapsed="false">
      <c r="A4690" s="2" t="s">
        <v>144</v>
      </c>
      <c r="B4690" s="2" t="s">
        <v>45</v>
      </c>
      <c r="C4690" s="2" t="s">
        <v>4274</v>
      </c>
      <c r="D4690" s="11" t="n">
        <v>257950</v>
      </c>
      <c r="E4690" s="31" t="n">
        <v>64.2</v>
      </c>
      <c r="F4690" s="31" t="n">
        <v>50.7</v>
      </c>
      <c r="G4690" s="31" t="n">
        <v>74.9</v>
      </c>
      <c r="H4690" s="2" t="s">
        <v>822</v>
      </c>
    </row>
    <row r="4691" customFormat="false" ht="15" hidden="false" customHeight="false" outlineLevel="0" collapsed="false">
      <c r="A4691" s="2" t="s">
        <v>144</v>
      </c>
      <c r="B4691" s="2" t="s">
        <v>45</v>
      </c>
      <c r="C4691" s="2" t="s">
        <v>4275</v>
      </c>
      <c r="D4691" s="11" t="n">
        <v>260780</v>
      </c>
      <c r="E4691" s="31" t="n">
        <v>69</v>
      </c>
      <c r="F4691" s="31" t="n">
        <v>37.1</v>
      </c>
      <c r="G4691" s="31" t="n">
        <v>55.2</v>
      </c>
      <c r="H4691" s="2" t="s">
        <v>822</v>
      </c>
    </row>
    <row r="4692" customFormat="false" ht="15" hidden="false" customHeight="false" outlineLevel="0" collapsed="false">
      <c r="A4692" s="2" t="s">
        <v>144</v>
      </c>
      <c r="B4692" s="2" t="s">
        <v>46</v>
      </c>
      <c r="C4692" s="2" t="s">
        <v>4274</v>
      </c>
      <c r="D4692" s="11" t="n">
        <v>21310</v>
      </c>
      <c r="E4692" s="31" t="n">
        <v>94.5</v>
      </c>
      <c r="F4692" s="31" t="n">
        <v>61</v>
      </c>
      <c r="G4692" s="31" t="n">
        <v>90.9</v>
      </c>
      <c r="H4692" s="2" t="s">
        <v>822</v>
      </c>
    </row>
    <row r="4693" customFormat="false" ht="15" hidden="false" customHeight="false" outlineLevel="0" collapsed="false">
      <c r="A4693" s="2" t="s">
        <v>144</v>
      </c>
      <c r="B4693" s="2" t="s">
        <v>46</v>
      </c>
      <c r="C4693" s="2" t="s">
        <v>4275</v>
      </c>
      <c r="D4693" s="11" t="n">
        <v>22160</v>
      </c>
      <c r="E4693" s="31" t="n">
        <v>96.1</v>
      </c>
      <c r="F4693" s="31" t="n">
        <v>41.1</v>
      </c>
      <c r="G4693" s="31" t="n">
        <v>74</v>
      </c>
      <c r="H4693" s="2" t="s">
        <v>822</v>
      </c>
    </row>
    <row r="4694" customFormat="false" ht="15" hidden="false" customHeight="false" outlineLevel="0" collapsed="false">
      <c r="A4694" s="2" t="s">
        <v>144</v>
      </c>
      <c r="B4694" s="2" t="s">
        <v>47</v>
      </c>
      <c r="C4694" s="2" t="s">
        <v>4274</v>
      </c>
      <c r="D4694" s="11" t="n">
        <v>39779</v>
      </c>
      <c r="E4694" s="2"/>
      <c r="F4694" s="31" t="n">
        <v>94.8</v>
      </c>
      <c r="G4694" s="31" t="n">
        <v>80.8</v>
      </c>
      <c r="H4694" s="2" t="s">
        <v>832</v>
      </c>
    </row>
    <row r="4695" customFormat="false" ht="15" hidden="false" customHeight="false" outlineLevel="0" collapsed="false">
      <c r="A4695" s="2" t="s">
        <v>144</v>
      </c>
      <c r="B4695" s="2" t="s">
        <v>47</v>
      </c>
      <c r="C4695" s="2" t="s">
        <v>4275</v>
      </c>
      <c r="D4695" s="11" t="n">
        <v>41510</v>
      </c>
      <c r="E4695" s="31" t="n">
        <v>86.8</v>
      </c>
      <c r="F4695" s="31" t="n">
        <v>89.9</v>
      </c>
      <c r="G4695" s="31" t="n">
        <v>64.2</v>
      </c>
      <c r="H4695" s="2" t="s">
        <v>822</v>
      </c>
    </row>
    <row r="4696" customFormat="false" ht="15" hidden="false" customHeight="false" outlineLevel="0" collapsed="false">
      <c r="A4696" s="2" t="s">
        <v>2018</v>
      </c>
      <c r="B4696" s="2" t="s">
        <v>4291</v>
      </c>
      <c r="C4696" s="2" t="s">
        <v>4274</v>
      </c>
      <c r="D4696" s="2"/>
      <c r="E4696" s="31" t="n">
        <v>42.5</v>
      </c>
      <c r="F4696" s="31" t="n">
        <v>40.3</v>
      </c>
      <c r="G4696" s="31" t="n">
        <v>75.1</v>
      </c>
      <c r="H4696" s="2" t="s">
        <v>832</v>
      </c>
    </row>
    <row r="4697" customFormat="false" ht="15" hidden="false" customHeight="false" outlineLevel="0" collapsed="false">
      <c r="A4697" s="2" t="s">
        <v>2018</v>
      </c>
      <c r="B4697" s="2" t="s">
        <v>4291</v>
      </c>
      <c r="C4697" s="2" t="s">
        <v>4275</v>
      </c>
      <c r="D4697" s="2"/>
      <c r="E4697" s="31" t="n">
        <v>30.6</v>
      </c>
      <c r="F4697" s="31" t="n">
        <v>10.8</v>
      </c>
      <c r="G4697" s="31" t="n">
        <v>80.8</v>
      </c>
      <c r="H4697" s="2" t="s">
        <v>832</v>
      </c>
    </row>
    <row r="4698" customFormat="false" ht="15" hidden="false" customHeight="false" outlineLevel="0" collapsed="false">
      <c r="A4698" s="2" t="s">
        <v>2018</v>
      </c>
      <c r="B4698" s="2" t="s">
        <v>45</v>
      </c>
      <c r="C4698" s="2" t="s">
        <v>4274</v>
      </c>
      <c r="D4698" s="11" t="n">
        <v>12740</v>
      </c>
      <c r="E4698" s="31" t="n">
        <v>57.2</v>
      </c>
      <c r="F4698" s="31" t="n">
        <v>62.8</v>
      </c>
      <c r="G4698" s="2"/>
      <c r="H4698" s="2" t="s">
        <v>832</v>
      </c>
    </row>
    <row r="4699" customFormat="false" ht="15" hidden="false" customHeight="false" outlineLevel="0" collapsed="false">
      <c r="A4699" s="2" t="s">
        <v>2018</v>
      </c>
      <c r="B4699" s="2" t="s">
        <v>45</v>
      </c>
      <c r="C4699" s="2" t="s">
        <v>4275</v>
      </c>
      <c r="D4699" s="2"/>
      <c r="E4699" s="2"/>
      <c r="F4699" s="2"/>
      <c r="G4699" s="2"/>
      <c r="H4699" s="2" t="s">
        <v>832</v>
      </c>
    </row>
    <row r="4700" customFormat="false" ht="15" hidden="false" customHeight="false" outlineLevel="0" collapsed="false">
      <c r="A4700" s="2" t="s">
        <v>2018</v>
      </c>
      <c r="B4700" s="2" t="s">
        <v>46</v>
      </c>
      <c r="C4700" s="2" t="s">
        <v>4274</v>
      </c>
      <c r="D4700" s="11" t="n">
        <v>119140</v>
      </c>
      <c r="E4700" s="31" t="n">
        <v>27.8</v>
      </c>
      <c r="F4700" s="31" t="n">
        <v>17.9</v>
      </c>
      <c r="G4700" s="31" t="n">
        <v>75.1</v>
      </c>
      <c r="H4700" s="2" t="s">
        <v>822</v>
      </c>
    </row>
    <row r="4701" customFormat="false" ht="15" hidden="false" customHeight="false" outlineLevel="0" collapsed="false">
      <c r="A4701" s="2" t="s">
        <v>2018</v>
      </c>
      <c r="B4701" s="2" t="s">
        <v>46</v>
      </c>
      <c r="C4701" s="2" t="s">
        <v>4275</v>
      </c>
      <c r="D4701" s="11" t="n">
        <v>122400</v>
      </c>
      <c r="E4701" s="31" t="n">
        <v>30.6</v>
      </c>
      <c r="F4701" s="31" t="n">
        <v>10.8</v>
      </c>
      <c r="G4701" s="31" t="n">
        <v>80.8</v>
      </c>
      <c r="H4701" s="2" t="s">
        <v>822</v>
      </c>
    </row>
    <row r="4702" customFormat="false" ht="15" hidden="false" customHeight="false" outlineLevel="0" collapsed="false">
      <c r="A4702" s="2" t="s">
        <v>790</v>
      </c>
      <c r="B4702" s="2" t="s">
        <v>4291</v>
      </c>
      <c r="C4702" s="2" t="s">
        <v>4274</v>
      </c>
      <c r="D4702" s="2"/>
      <c r="E4702" s="31" t="n">
        <v>15.4</v>
      </c>
      <c r="F4702" s="31" t="n">
        <v>43.6</v>
      </c>
      <c r="G4702" s="31" t="n">
        <v>19.2</v>
      </c>
      <c r="H4702" s="2" t="s">
        <v>832</v>
      </c>
    </row>
    <row r="4703" customFormat="false" ht="15" hidden="false" customHeight="false" outlineLevel="0" collapsed="false">
      <c r="A4703" s="2" t="s">
        <v>790</v>
      </c>
      <c r="B4703" s="2" t="s">
        <v>4291</v>
      </c>
      <c r="C4703" s="2" t="s">
        <v>4275</v>
      </c>
      <c r="D4703" s="2"/>
      <c r="E4703" s="31" t="n">
        <v>12.6</v>
      </c>
      <c r="F4703" s="31" t="n">
        <v>48</v>
      </c>
      <c r="G4703" s="31" t="n">
        <v>41</v>
      </c>
      <c r="H4703" s="2" t="s">
        <v>822</v>
      </c>
    </row>
    <row r="4704" customFormat="false" ht="15" hidden="false" customHeight="false" outlineLevel="0" collapsed="false">
      <c r="A4704" s="2" t="s">
        <v>790</v>
      </c>
      <c r="B4704" s="2" t="s">
        <v>45</v>
      </c>
      <c r="C4704" s="2" t="s">
        <v>4274</v>
      </c>
      <c r="D4704" s="11" t="n">
        <v>39832</v>
      </c>
      <c r="E4704" s="31" t="n">
        <v>28.9</v>
      </c>
      <c r="F4704" s="31" t="n">
        <v>31.4</v>
      </c>
      <c r="G4704" s="2"/>
      <c r="H4704" s="2" t="s">
        <v>832</v>
      </c>
    </row>
    <row r="4705" customFormat="false" ht="15" hidden="false" customHeight="false" outlineLevel="0" collapsed="false">
      <c r="A4705" s="2" t="s">
        <v>790</v>
      </c>
      <c r="B4705" s="2" t="s">
        <v>45</v>
      </c>
      <c r="C4705" s="2" t="s">
        <v>4275</v>
      </c>
      <c r="D4705" s="11" t="n">
        <v>40770</v>
      </c>
      <c r="E4705" s="31" t="n">
        <v>23.4</v>
      </c>
      <c r="F4705" s="31" t="n">
        <v>69.8</v>
      </c>
      <c r="G4705" s="31" t="n">
        <v>36.8</v>
      </c>
      <c r="H4705" s="2" t="s">
        <v>822</v>
      </c>
    </row>
    <row r="4706" customFormat="false" ht="15" hidden="false" customHeight="false" outlineLevel="0" collapsed="false">
      <c r="A4706" s="2" t="s">
        <v>790</v>
      </c>
      <c r="B4706" s="2" t="s">
        <v>46</v>
      </c>
      <c r="C4706" s="2" t="s">
        <v>4274</v>
      </c>
      <c r="D4706" s="11" t="n">
        <v>248400</v>
      </c>
      <c r="E4706" s="31" t="n">
        <v>1.8</v>
      </c>
      <c r="F4706" s="31" t="n">
        <v>55.8</v>
      </c>
      <c r="G4706" s="31" t="n">
        <v>19.2</v>
      </c>
      <c r="H4706" s="2" t="s">
        <v>822</v>
      </c>
    </row>
    <row r="4707" customFormat="false" ht="15" hidden="false" customHeight="false" outlineLevel="0" collapsed="false">
      <c r="A4707" s="2" t="s">
        <v>790</v>
      </c>
      <c r="B4707" s="2" t="s">
        <v>46</v>
      </c>
      <c r="C4707" s="2" t="s">
        <v>4275</v>
      </c>
      <c r="D4707" s="11" t="n">
        <v>264420</v>
      </c>
      <c r="E4707" s="31" t="n">
        <v>1.8</v>
      </c>
      <c r="F4707" s="31" t="n">
        <v>26.1</v>
      </c>
      <c r="G4707" s="31" t="n">
        <v>45.3</v>
      </c>
      <c r="H4707" s="2" t="s">
        <v>822</v>
      </c>
    </row>
    <row r="4708" customFormat="false" ht="15" hidden="false" customHeight="false" outlineLevel="0" collapsed="false">
      <c r="A4708" s="2" t="s">
        <v>286</v>
      </c>
      <c r="B4708" s="2" t="s">
        <v>4291</v>
      </c>
      <c r="C4708" s="2" t="s">
        <v>4274</v>
      </c>
      <c r="D4708" s="2"/>
      <c r="E4708" s="31" t="n">
        <v>59.1</v>
      </c>
      <c r="F4708" s="31" t="n">
        <v>45.4</v>
      </c>
      <c r="G4708" s="31" t="n">
        <v>29.1</v>
      </c>
      <c r="H4708" s="2" t="s">
        <v>822</v>
      </c>
    </row>
    <row r="4709" customFormat="false" ht="15" hidden="false" customHeight="false" outlineLevel="0" collapsed="false">
      <c r="A4709" s="2" t="s">
        <v>286</v>
      </c>
      <c r="B4709" s="2" t="s">
        <v>4291</v>
      </c>
      <c r="C4709" s="2" t="s">
        <v>4275</v>
      </c>
      <c r="D4709" s="2"/>
      <c r="E4709" s="31" t="n">
        <v>64.4</v>
      </c>
      <c r="F4709" s="31" t="n">
        <v>56.2</v>
      </c>
      <c r="G4709" s="31" t="n">
        <v>37.2</v>
      </c>
      <c r="H4709" s="2" t="s">
        <v>822</v>
      </c>
    </row>
    <row r="4710" customFormat="false" ht="15" hidden="false" customHeight="false" outlineLevel="0" collapsed="false">
      <c r="A4710" s="2" t="s">
        <v>286</v>
      </c>
      <c r="B4710" s="2" t="s">
        <v>45</v>
      </c>
      <c r="C4710" s="2" t="s">
        <v>4274</v>
      </c>
      <c r="D4710" s="11" t="n">
        <v>33660</v>
      </c>
      <c r="E4710" s="31" t="n">
        <v>40.2</v>
      </c>
      <c r="F4710" s="31" t="n">
        <v>27</v>
      </c>
      <c r="G4710" s="2"/>
      <c r="H4710" s="2" t="s">
        <v>822</v>
      </c>
    </row>
    <row r="4711" customFormat="false" ht="15" hidden="false" customHeight="false" outlineLevel="0" collapsed="false">
      <c r="A4711" s="2" t="s">
        <v>286</v>
      </c>
      <c r="B4711" s="2" t="s">
        <v>45</v>
      </c>
      <c r="C4711" s="2" t="s">
        <v>4275</v>
      </c>
      <c r="D4711" s="11" t="n">
        <v>34210</v>
      </c>
      <c r="E4711" s="31" t="n">
        <v>53.1</v>
      </c>
      <c r="F4711" s="31" t="n">
        <v>22.3</v>
      </c>
      <c r="G4711" s="2"/>
      <c r="H4711" s="2" t="s">
        <v>822</v>
      </c>
    </row>
    <row r="4712" customFormat="false" ht="15" hidden="false" customHeight="false" outlineLevel="0" collapsed="false">
      <c r="A4712" s="2" t="s">
        <v>286</v>
      </c>
      <c r="B4712" s="2" t="s">
        <v>46</v>
      </c>
      <c r="C4712" s="2" t="s">
        <v>4274</v>
      </c>
      <c r="D4712" s="11" t="n">
        <v>25680</v>
      </c>
      <c r="E4712" s="31" t="n">
        <v>61.6</v>
      </c>
      <c r="F4712" s="31" t="n">
        <v>71.5</v>
      </c>
      <c r="G4712" s="31" t="n">
        <v>0.5</v>
      </c>
      <c r="H4712" s="2" t="s">
        <v>822</v>
      </c>
    </row>
    <row r="4713" customFormat="false" ht="15" hidden="false" customHeight="false" outlineLevel="0" collapsed="false">
      <c r="A4713" s="2" t="s">
        <v>286</v>
      </c>
      <c r="B4713" s="2" t="s">
        <v>46</v>
      </c>
      <c r="C4713" s="2" t="s">
        <v>4275</v>
      </c>
      <c r="D4713" s="11" t="n">
        <v>27750</v>
      </c>
      <c r="E4713" s="31" t="n">
        <v>47</v>
      </c>
      <c r="F4713" s="31" t="n">
        <v>71.3</v>
      </c>
      <c r="G4713" s="31" t="n">
        <v>2.4</v>
      </c>
      <c r="H4713" s="2" t="s">
        <v>822</v>
      </c>
    </row>
    <row r="4714" customFormat="false" ht="15" hidden="false" customHeight="false" outlineLevel="0" collapsed="false">
      <c r="A4714" s="2" t="s">
        <v>286</v>
      </c>
      <c r="B4714" s="2" t="s">
        <v>47</v>
      </c>
      <c r="C4714" s="2" t="s">
        <v>4274</v>
      </c>
      <c r="D4714" s="11" t="n">
        <v>6749</v>
      </c>
      <c r="E4714" s="31" t="n">
        <v>75.4</v>
      </c>
      <c r="F4714" s="31" t="n">
        <v>37.8</v>
      </c>
      <c r="G4714" s="31" t="n">
        <v>57.7</v>
      </c>
      <c r="H4714" s="2" t="s">
        <v>822</v>
      </c>
    </row>
    <row r="4715" customFormat="false" ht="15" hidden="false" customHeight="false" outlineLevel="0" collapsed="false">
      <c r="A4715" s="2" t="s">
        <v>286</v>
      </c>
      <c r="B4715" s="2" t="s">
        <v>47</v>
      </c>
      <c r="C4715" s="2" t="s">
        <v>4275</v>
      </c>
      <c r="D4715" s="11" t="n">
        <v>6950</v>
      </c>
      <c r="E4715" s="31" t="n">
        <v>93.1</v>
      </c>
      <c r="F4715" s="31" t="n">
        <v>75</v>
      </c>
      <c r="G4715" s="31" t="n">
        <v>72</v>
      </c>
      <c r="H4715" s="2" t="s">
        <v>822</v>
      </c>
    </row>
    <row r="4716" customFormat="false" ht="15" hidden="false" customHeight="false" outlineLevel="0" collapsed="false">
      <c r="A4716" s="2" t="s">
        <v>3298</v>
      </c>
      <c r="B4716" s="2" t="s">
        <v>4291</v>
      </c>
      <c r="C4716" s="2" t="s">
        <v>4274</v>
      </c>
      <c r="D4716" s="2"/>
      <c r="E4716" s="31" t="n">
        <v>68.1</v>
      </c>
      <c r="F4716" s="31" t="n">
        <v>25.6</v>
      </c>
      <c r="G4716" s="2"/>
      <c r="H4716" s="2" t="s">
        <v>832</v>
      </c>
    </row>
    <row r="4717" customFormat="false" ht="15" hidden="false" customHeight="false" outlineLevel="0" collapsed="false">
      <c r="A4717" s="2" t="s">
        <v>3298</v>
      </c>
      <c r="B4717" s="2" t="s">
        <v>4291</v>
      </c>
      <c r="C4717" s="2" t="s">
        <v>4275</v>
      </c>
      <c r="D4717" s="2"/>
      <c r="E4717" s="2"/>
      <c r="F4717" s="2"/>
      <c r="G4717" s="31" t="n">
        <v>29.1</v>
      </c>
      <c r="H4717" s="2" t="s">
        <v>832</v>
      </c>
    </row>
    <row r="4718" customFormat="false" ht="15" hidden="false" customHeight="false" outlineLevel="0" collapsed="false">
      <c r="A4718" s="2" t="s">
        <v>3298</v>
      </c>
      <c r="B4718" s="2" t="s">
        <v>46</v>
      </c>
      <c r="C4718" s="2" t="s">
        <v>4274</v>
      </c>
      <c r="D4718" s="11" t="n">
        <v>212020</v>
      </c>
      <c r="E4718" s="31" t="n">
        <v>68.1</v>
      </c>
      <c r="F4718" s="31" t="n">
        <v>25.6</v>
      </c>
      <c r="G4718" s="2"/>
      <c r="H4718" s="2" t="s">
        <v>832</v>
      </c>
    </row>
    <row r="4719" customFormat="false" ht="15" hidden="false" customHeight="false" outlineLevel="0" collapsed="false">
      <c r="A4719" s="2" t="s">
        <v>3298</v>
      </c>
      <c r="B4719" s="2" t="s">
        <v>46</v>
      </c>
      <c r="C4719" s="2" t="s">
        <v>4275</v>
      </c>
      <c r="D4719" s="2"/>
      <c r="E4719" s="2"/>
      <c r="F4719" s="2"/>
      <c r="G4719" s="31" t="n">
        <v>29.1</v>
      </c>
      <c r="H4719" s="2" t="s">
        <v>832</v>
      </c>
    </row>
    <row r="4720" customFormat="false" ht="15" hidden="false" customHeight="false" outlineLevel="0" collapsed="false">
      <c r="A4720" s="2" t="s">
        <v>1838</v>
      </c>
      <c r="B4720" s="2" t="s">
        <v>4291</v>
      </c>
      <c r="C4720" s="2" t="s">
        <v>4274</v>
      </c>
      <c r="D4720" s="2"/>
      <c r="E4720" s="31" t="n">
        <v>51.4</v>
      </c>
      <c r="F4720" s="31" t="n">
        <v>24.9</v>
      </c>
      <c r="G4720" s="31" t="n">
        <v>24.2</v>
      </c>
      <c r="H4720" s="2" t="s">
        <v>832</v>
      </c>
    </row>
    <row r="4721" customFormat="false" ht="15" hidden="false" customHeight="false" outlineLevel="0" collapsed="false">
      <c r="A4721" s="2" t="s">
        <v>1838</v>
      </c>
      <c r="B4721" s="2" t="s">
        <v>4291</v>
      </c>
      <c r="C4721" s="2" t="s">
        <v>4275</v>
      </c>
      <c r="D4721" s="2"/>
      <c r="E4721" s="31" t="n">
        <v>62.4</v>
      </c>
      <c r="F4721" s="31" t="n">
        <v>48.1</v>
      </c>
      <c r="G4721" s="31" t="n">
        <v>37.8</v>
      </c>
      <c r="H4721" s="2" t="s">
        <v>832</v>
      </c>
    </row>
    <row r="4722" customFormat="false" ht="15" hidden="false" customHeight="false" outlineLevel="0" collapsed="false">
      <c r="A4722" s="2" t="s">
        <v>1838</v>
      </c>
      <c r="B4722" s="2" t="s">
        <v>45</v>
      </c>
      <c r="C4722" s="2" t="s">
        <v>4274</v>
      </c>
      <c r="D4722" s="2"/>
      <c r="E4722" s="2"/>
      <c r="F4722" s="2"/>
      <c r="G4722" s="2"/>
      <c r="H4722" s="2" t="s">
        <v>832</v>
      </c>
    </row>
    <row r="4723" customFormat="false" ht="15" hidden="false" customHeight="false" outlineLevel="0" collapsed="false">
      <c r="A4723" s="2" t="s">
        <v>1838</v>
      </c>
      <c r="B4723" s="2" t="s">
        <v>45</v>
      </c>
      <c r="C4723" s="2" t="s">
        <v>4275</v>
      </c>
      <c r="D4723" s="2"/>
      <c r="E4723" s="2"/>
      <c r="F4723" s="2"/>
      <c r="G4723" s="2"/>
      <c r="H4723" s="2" t="s">
        <v>832</v>
      </c>
    </row>
    <row r="4724" customFormat="false" ht="15" hidden="false" customHeight="false" outlineLevel="0" collapsed="false">
      <c r="A4724" s="2" t="s">
        <v>1838</v>
      </c>
      <c r="B4724" s="2" t="s">
        <v>46</v>
      </c>
      <c r="C4724" s="2" t="s">
        <v>4274</v>
      </c>
      <c r="D4724" s="11" t="n">
        <v>28744</v>
      </c>
      <c r="E4724" s="31" t="n">
        <v>62.4</v>
      </c>
      <c r="F4724" s="31" t="n">
        <v>13.5</v>
      </c>
      <c r="G4724" s="31" t="n">
        <v>41.6</v>
      </c>
      <c r="H4724" s="2" t="s">
        <v>822</v>
      </c>
    </row>
    <row r="4725" customFormat="false" ht="15" hidden="false" customHeight="false" outlineLevel="0" collapsed="false">
      <c r="A4725" s="2" t="s">
        <v>1838</v>
      </c>
      <c r="B4725" s="2" t="s">
        <v>46</v>
      </c>
      <c r="C4725" s="2" t="s">
        <v>4275</v>
      </c>
      <c r="D4725" s="11" t="n">
        <v>29040</v>
      </c>
      <c r="E4725" s="31" t="n">
        <v>58.7</v>
      </c>
      <c r="F4725" s="31" t="n">
        <v>24.7</v>
      </c>
      <c r="G4725" s="31" t="n">
        <v>70.4</v>
      </c>
      <c r="H4725" s="2" t="s">
        <v>822</v>
      </c>
    </row>
    <row r="4726" customFormat="false" ht="15" hidden="false" customHeight="false" outlineLevel="0" collapsed="false">
      <c r="A4726" s="2" t="s">
        <v>1838</v>
      </c>
      <c r="B4726" s="2" t="s">
        <v>47</v>
      </c>
      <c r="C4726" s="2" t="s">
        <v>4274</v>
      </c>
      <c r="D4726" s="11" t="n">
        <v>92840</v>
      </c>
      <c r="E4726" s="31" t="n">
        <v>40.3</v>
      </c>
      <c r="F4726" s="31" t="n">
        <v>36.3</v>
      </c>
      <c r="G4726" s="31" t="n">
        <v>6.9</v>
      </c>
      <c r="H4726" s="2" t="s">
        <v>822</v>
      </c>
    </row>
    <row r="4727" customFormat="false" ht="15" hidden="false" customHeight="false" outlineLevel="0" collapsed="false">
      <c r="A4727" s="2" t="s">
        <v>1838</v>
      </c>
      <c r="B4727" s="2" t="s">
        <v>47</v>
      </c>
      <c r="C4727" s="2" t="s">
        <v>4275</v>
      </c>
      <c r="D4727" s="11" t="n">
        <v>96460</v>
      </c>
      <c r="E4727" s="31" t="n">
        <v>66</v>
      </c>
      <c r="F4727" s="31" t="n">
        <v>71.4</v>
      </c>
      <c r="G4727" s="31" t="n">
        <v>5.2</v>
      </c>
      <c r="H4727" s="2" t="s">
        <v>822</v>
      </c>
    </row>
    <row r="4728" customFormat="false" ht="15" hidden="false" customHeight="false" outlineLevel="0" collapsed="false">
      <c r="A4728" s="2" t="s">
        <v>151</v>
      </c>
      <c r="B4728" s="2" t="s">
        <v>4291</v>
      </c>
      <c r="C4728" s="2" t="s">
        <v>4274</v>
      </c>
      <c r="D4728" s="2"/>
      <c r="E4728" s="31" t="n">
        <v>84.5</v>
      </c>
      <c r="F4728" s="31" t="n">
        <v>18.8</v>
      </c>
      <c r="G4728" s="31" t="n">
        <v>52.2</v>
      </c>
      <c r="H4728" s="2" t="s">
        <v>832</v>
      </c>
    </row>
    <row r="4729" customFormat="false" ht="15" hidden="false" customHeight="false" outlineLevel="0" collapsed="false">
      <c r="A4729" s="2" t="s">
        <v>151</v>
      </c>
      <c r="B4729" s="2" t="s">
        <v>4291</v>
      </c>
      <c r="C4729" s="2" t="s">
        <v>4275</v>
      </c>
      <c r="D4729" s="2"/>
      <c r="E4729" s="31" t="n">
        <v>83</v>
      </c>
      <c r="F4729" s="31" t="n">
        <v>42.7</v>
      </c>
      <c r="G4729" s="31" t="n">
        <v>64.9</v>
      </c>
      <c r="H4729" s="2" t="s">
        <v>822</v>
      </c>
    </row>
    <row r="4730" customFormat="false" ht="15" hidden="false" customHeight="false" outlineLevel="0" collapsed="false">
      <c r="A4730" s="2" t="s">
        <v>151</v>
      </c>
      <c r="B4730" s="2" t="s">
        <v>45</v>
      </c>
      <c r="C4730" s="2" t="s">
        <v>4274</v>
      </c>
      <c r="D4730" s="11" t="n">
        <v>111715</v>
      </c>
      <c r="E4730" s="31" t="n">
        <v>80.8</v>
      </c>
      <c r="F4730" s="31" t="n">
        <v>25.3</v>
      </c>
      <c r="G4730" s="31" t="n">
        <v>72.7</v>
      </c>
      <c r="H4730" s="2" t="s">
        <v>822</v>
      </c>
    </row>
    <row r="4731" customFormat="false" ht="15" hidden="false" customHeight="false" outlineLevel="0" collapsed="false">
      <c r="A4731" s="2" t="s">
        <v>151</v>
      </c>
      <c r="B4731" s="2" t="s">
        <v>45</v>
      </c>
      <c r="C4731" s="2" t="s">
        <v>4275</v>
      </c>
      <c r="D4731" s="11" t="n">
        <v>108470</v>
      </c>
      <c r="E4731" s="31" t="n">
        <v>76</v>
      </c>
      <c r="F4731" s="31" t="n">
        <v>7.9</v>
      </c>
      <c r="G4731" s="31" t="n">
        <v>86</v>
      </c>
      <c r="H4731" s="2" t="s">
        <v>822</v>
      </c>
    </row>
    <row r="4732" customFormat="false" ht="15" hidden="false" customHeight="false" outlineLevel="0" collapsed="false">
      <c r="A4732" s="2" t="s">
        <v>151</v>
      </c>
      <c r="B4732" s="2" t="s">
        <v>46</v>
      </c>
      <c r="C4732" s="2" t="s">
        <v>4274</v>
      </c>
      <c r="D4732" s="11" t="n">
        <v>67340</v>
      </c>
      <c r="E4732" s="31" t="n">
        <v>92.8</v>
      </c>
      <c r="F4732" s="2"/>
      <c r="G4732" s="2"/>
      <c r="H4732" s="2" t="s">
        <v>832</v>
      </c>
    </row>
    <row r="4733" customFormat="false" ht="15" hidden="false" customHeight="false" outlineLevel="0" collapsed="false">
      <c r="A4733" s="2" t="s">
        <v>151</v>
      </c>
      <c r="B4733" s="2" t="s">
        <v>46</v>
      </c>
      <c r="C4733" s="2" t="s">
        <v>4275</v>
      </c>
      <c r="D4733" s="11" t="n">
        <v>73390</v>
      </c>
      <c r="E4733" s="31" t="n">
        <v>91.9</v>
      </c>
      <c r="F4733" s="31" t="n">
        <v>87.6</v>
      </c>
      <c r="G4733" s="31" t="n">
        <v>97.8</v>
      </c>
      <c r="H4733" s="2" t="s">
        <v>822</v>
      </c>
    </row>
    <row r="4734" customFormat="false" ht="15" hidden="false" customHeight="false" outlineLevel="0" collapsed="false">
      <c r="A4734" s="2" t="s">
        <v>151</v>
      </c>
      <c r="B4734" s="2" t="s">
        <v>47</v>
      </c>
      <c r="C4734" s="2" t="s">
        <v>4274</v>
      </c>
      <c r="D4734" s="11" t="n">
        <v>6166</v>
      </c>
      <c r="E4734" s="31" t="n">
        <v>79.8</v>
      </c>
      <c r="F4734" s="31" t="n">
        <v>12.2</v>
      </c>
      <c r="G4734" s="31" t="n">
        <v>31.7</v>
      </c>
      <c r="H4734" s="2" t="s">
        <v>822</v>
      </c>
    </row>
    <row r="4735" customFormat="false" ht="15" hidden="false" customHeight="false" outlineLevel="0" collapsed="false">
      <c r="A4735" s="2" t="s">
        <v>151</v>
      </c>
      <c r="B4735" s="2" t="s">
        <v>47</v>
      </c>
      <c r="C4735" s="2" t="s">
        <v>4275</v>
      </c>
      <c r="D4735" s="11" t="n">
        <v>6250</v>
      </c>
      <c r="E4735" s="31" t="n">
        <v>81.1</v>
      </c>
      <c r="F4735" s="31" t="n">
        <v>32.5</v>
      </c>
      <c r="G4735" s="31" t="n">
        <v>10.8</v>
      </c>
      <c r="H4735" s="2" t="s">
        <v>822</v>
      </c>
    </row>
    <row r="4736" customFormat="false" ht="15" hidden="false" customHeight="false" outlineLevel="0" collapsed="false">
      <c r="A4736" s="2" t="s">
        <v>174</v>
      </c>
      <c r="B4736" s="2" t="s">
        <v>4291</v>
      </c>
      <c r="C4736" s="2" t="s">
        <v>4274</v>
      </c>
      <c r="D4736" s="2"/>
      <c r="E4736" s="2"/>
      <c r="F4736" s="2"/>
      <c r="G4736" s="2"/>
      <c r="H4736" s="2" t="s">
        <v>832</v>
      </c>
    </row>
    <row r="4737" customFormat="false" ht="15" hidden="false" customHeight="false" outlineLevel="0" collapsed="false">
      <c r="A4737" s="2" t="s">
        <v>174</v>
      </c>
      <c r="B4737" s="2" t="s">
        <v>4291</v>
      </c>
      <c r="C4737" s="2" t="s">
        <v>4275</v>
      </c>
      <c r="D4737" s="2"/>
      <c r="E4737" s="31" t="n">
        <v>79.4</v>
      </c>
      <c r="F4737" s="31" t="n">
        <v>25</v>
      </c>
      <c r="G4737" s="31" t="n">
        <v>65.2</v>
      </c>
      <c r="H4737" s="2" t="s">
        <v>822</v>
      </c>
    </row>
    <row r="4738" customFormat="false" ht="15" hidden="false" customHeight="false" outlineLevel="0" collapsed="false">
      <c r="A4738" s="2" t="s">
        <v>174</v>
      </c>
      <c r="B4738" s="2" t="s">
        <v>47</v>
      </c>
      <c r="C4738" s="2" t="s">
        <v>4274</v>
      </c>
      <c r="D4738" s="2"/>
      <c r="E4738" s="2"/>
      <c r="F4738" s="2"/>
      <c r="G4738" s="2"/>
      <c r="H4738" s="2" t="s">
        <v>832</v>
      </c>
    </row>
    <row r="4739" customFormat="false" ht="15" hidden="false" customHeight="false" outlineLevel="0" collapsed="false">
      <c r="A4739" s="2" t="s">
        <v>174</v>
      </c>
      <c r="B4739" s="2" t="s">
        <v>47</v>
      </c>
      <c r="C4739" s="2" t="s">
        <v>4275</v>
      </c>
      <c r="D4739" s="11" t="n">
        <v>51228</v>
      </c>
      <c r="E4739" s="31" t="n">
        <v>79.4</v>
      </c>
      <c r="F4739" s="31" t="n">
        <v>25</v>
      </c>
      <c r="G4739" s="31" t="n">
        <v>65.2</v>
      </c>
      <c r="H4739" s="2" t="s">
        <v>822</v>
      </c>
    </row>
    <row r="4740" customFormat="false" ht="15" hidden="false" customHeight="false" outlineLevel="0" collapsed="false">
      <c r="A4740" s="2" t="s">
        <v>2236</v>
      </c>
      <c r="B4740" s="2" t="s">
        <v>4291</v>
      </c>
      <c r="C4740" s="2" t="s">
        <v>4274</v>
      </c>
      <c r="D4740" s="2"/>
      <c r="E4740" s="31" t="n">
        <v>36</v>
      </c>
      <c r="F4740" s="31" t="n">
        <v>62.2</v>
      </c>
      <c r="G4740" s="31" t="n">
        <v>85.6</v>
      </c>
      <c r="H4740" s="2" t="s">
        <v>832</v>
      </c>
    </row>
    <row r="4741" customFormat="false" ht="15" hidden="false" customHeight="false" outlineLevel="0" collapsed="false">
      <c r="A4741" s="2" t="s">
        <v>2236</v>
      </c>
      <c r="B4741" s="2" t="s">
        <v>4291</v>
      </c>
      <c r="C4741" s="2" t="s">
        <v>4275</v>
      </c>
      <c r="D4741" s="2"/>
      <c r="E4741" s="31" t="n">
        <v>96.5</v>
      </c>
      <c r="F4741" s="31" t="n">
        <v>19.9</v>
      </c>
      <c r="G4741" s="31" t="n">
        <v>70.6</v>
      </c>
      <c r="H4741" s="2" t="s">
        <v>832</v>
      </c>
    </row>
    <row r="4742" customFormat="false" ht="15" hidden="false" customHeight="false" outlineLevel="0" collapsed="false">
      <c r="A4742" s="2" t="s">
        <v>2236</v>
      </c>
      <c r="B4742" s="2" t="s">
        <v>46</v>
      </c>
      <c r="C4742" s="2" t="s">
        <v>4274</v>
      </c>
      <c r="D4742" s="11" t="n">
        <v>26040</v>
      </c>
      <c r="E4742" s="31" t="n">
        <v>36</v>
      </c>
      <c r="F4742" s="31" t="n">
        <v>62.2</v>
      </c>
      <c r="G4742" s="31" t="n">
        <v>85.6</v>
      </c>
      <c r="H4742" s="2" t="s">
        <v>822</v>
      </c>
    </row>
    <row r="4743" customFormat="false" ht="15" hidden="false" customHeight="false" outlineLevel="0" collapsed="false">
      <c r="A4743" s="2" t="s">
        <v>2236</v>
      </c>
      <c r="B4743" s="2" t="s">
        <v>46</v>
      </c>
      <c r="C4743" s="2" t="s">
        <v>4275</v>
      </c>
      <c r="D4743" s="2"/>
      <c r="E4743" s="2"/>
      <c r="F4743" s="2"/>
      <c r="G4743" s="2"/>
      <c r="H4743" s="2" t="s">
        <v>832</v>
      </c>
    </row>
    <row r="4744" customFormat="false" ht="15" hidden="false" customHeight="false" outlineLevel="0" collapsed="false">
      <c r="A4744" s="2" t="s">
        <v>2236</v>
      </c>
      <c r="B4744" s="2" t="s">
        <v>47</v>
      </c>
      <c r="C4744" s="2" t="s">
        <v>4274</v>
      </c>
      <c r="D4744" s="2"/>
      <c r="E4744" s="2"/>
      <c r="F4744" s="2"/>
      <c r="G4744" s="2"/>
      <c r="H4744" s="2" t="s">
        <v>832</v>
      </c>
    </row>
    <row r="4745" customFormat="false" ht="15" hidden="false" customHeight="false" outlineLevel="0" collapsed="false">
      <c r="A4745" s="2" t="s">
        <v>2236</v>
      </c>
      <c r="B4745" s="2" t="s">
        <v>47</v>
      </c>
      <c r="C4745" s="2" t="s">
        <v>4275</v>
      </c>
      <c r="D4745" s="11" t="n">
        <v>375181</v>
      </c>
      <c r="E4745" s="31" t="n">
        <v>96.5</v>
      </c>
      <c r="F4745" s="31" t="n">
        <v>19.9</v>
      </c>
      <c r="G4745" s="31" t="n">
        <v>70.6</v>
      </c>
      <c r="H4745" s="2" t="s">
        <v>822</v>
      </c>
    </row>
    <row r="4746" customFormat="false" ht="15" hidden="false" customHeight="false" outlineLevel="0" collapsed="false">
      <c r="A4746" s="2" t="s">
        <v>758</v>
      </c>
      <c r="B4746" s="2" t="s">
        <v>4291</v>
      </c>
      <c r="C4746" s="2" t="s">
        <v>4275</v>
      </c>
      <c r="D4746" s="2"/>
      <c r="E4746" s="31" t="n">
        <v>19.4</v>
      </c>
      <c r="F4746" s="31" t="n">
        <v>90.1</v>
      </c>
      <c r="G4746" s="31" t="n">
        <v>45.7</v>
      </c>
      <c r="H4746" s="2" t="s">
        <v>822</v>
      </c>
    </row>
    <row r="4747" customFormat="false" ht="15" hidden="false" customHeight="false" outlineLevel="0" collapsed="false">
      <c r="A4747" s="2" t="s">
        <v>758</v>
      </c>
      <c r="B4747" s="2" t="s">
        <v>47</v>
      </c>
      <c r="C4747" s="2" t="s">
        <v>4275</v>
      </c>
      <c r="D4747" s="11" t="n">
        <v>234530</v>
      </c>
      <c r="E4747" s="31" t="n">
        <v>19.4</v>
      </c>
      <c r="F4747" s="31" t="n">
        <v>90.1</v>
      </c>
      <c r="G4747" s="31" t="n">
        <v>45.7</v>
      </c>
      <c r="H4747" s="2" t="s">
        <v>822</v>
      </c>
    </row>
    <row r="4748" customFormat="false" ht="15" hidden="false" customHeight="false" outlineLevel="0" collapsed="false">
      <c r="A4748" s="2" t="s">
        <v>85</v>
      </c>
      <c r="B4748" s="2" t="s">
        <v>4291</v>
      </c>
      <c r="C4748" s="2" t="s">
        <v>4274</v>
      </c>
      <c r="D4748" s="2"/>
      <c r="E4748" s="31" t="n">
        <v>97.4</v>
      </c>
      <c r="F4748" s="31" t="n">
        <v>17.7</v>
      </c>
      <c r="G4748" s="2"/>
      <c r="H4748" s="2" t="s">
        <v>822</v>
      </c>
    </row>
    <row r="4749" customFormat="false" ht="15" hidden="false" customHeight="false" outlineLevel="0" collapsed="false">
      <c r="A4749" s="2" t="s">
        <v>85</v>
      </c>
      <c r="B4749" s="2" t="s">
        <v>4291</v>
      </c>
      <c r="C4749" s="2" t="s">
        <v>4275</v>
      </c>
      <c r="D4749" s="2"/>
      <c r="E4749" s="31" t="n">
        <v>96.2</v>
      </c>
      <c r="F4749" s="31" t="n">
        <v>26.8</v>
      </c>
      <c r="G4749" s="2"/>
      <c r="H4749" s="2" t="s">
        <v>822</v>
      </c>
    </row>
    <row r="4750" customFormat="false" ht="15" hidden="false" customHeight="false" outlineLevel="0" collapsed="false">
      <c r="A4750" s="2" t="s">
        <v>85</v>
      </c>
      <c r="B4750" s="2" t="s">
        <v>45</v>
      </c>
      <c r="C4750" s="2" t="s">
        <v>4274</v>
      </c>
      <c r="D4750" s="11" t="n">
        <v>2315</v>
      </c>
      <c r="E4750" s="31" t="n">
        <v>97.4</v>
      </c>
      <c r="F4750" s="31" t="n">
        <v>17.7</v>
      </c>
      <c r="G4750" s="2"/>
      <c r="H4750" s="2" t="s">
        <v>822</v>
      </c>
    </row>
    <row r="4751" customFormat="false" ht="15" hidden="false" customHeight="false" outlineLevel="0" collapsed="false">
      <c r="A4751" s="2" t="s">
        <v>85</v>
      </c>
      <c r="B4751" s="2" t="s">
        <v>45</v>
      </c>
      <c r="C4751" s="2" t="s">
        <v>4275</v>
      </c>
      <c r="D4751" s="11" t="n">
        <v>2350</v>
      </c>
      <c r="E4751" s="31" t="n">
        <v>96.2</v>
      </c>
      <c r="F4751" s="31" t="n">
        <v>26.8</v>
      </c>
      <c r="G4751" s="2"/>
      <c r="H4751" s="2" t="s">
        <v>822</v>
      </c>
    </row>
    <row r="4752" customFormat="false" ht="15" hidden="false" customHeight="false" outlineLevel="0" collapsed="false">
      <c r="A4752" s="2" t="s">
        <v>1530</v>
      </c>
      <c r="B4752" s="2" t="s">
        <v>4291</v>
      </c>
      <c r="C4752" s="2" t="s">
        <v>4274</v>
      </c>
      <c r="D4752" s="2"/>
      <c r="E4752" s="31" t="n">
        <v>53.4</v>
      </c>
      <c r="F4752" s="31" t="n">
        <v>58.2</v>
      </c>
      <c r="G4752" s="31" t="n">
        <v>31.4</v>
      </c>
      <c r="H4752" s="2" t="s">
        <v>832</v>
      </c>
    </row>
    <row r="4753" customFormat="false" ht="15" hidden="false" customHeight="false" outlineLevel="0" collapsed="false">
      <c r="A4753" s="2" t="s">
        <v>1530</v>
      </c>
      <c r="B4753" s="2" t="s">
        <v>4291</v>
      </c>
      <c r="C4753" s="2" t="s">
        <v>4275</v>
      </c>
      <c r="D4753" s="2"/>
      <c r="E4753" s="31" t="n">
        <v>38.2</v>
      </c>
      <c r="F4753" s="31" t="n">
        <v>66.6</v>
      </c>
      <c r="G4753" s="31" t="n">
        <v>82.7</v>
      </c>
      <c r="H4753" s="2" t="s">
        <v>832</v>
      </c>
    </row>
    <row r="4754" customFormat="false" ht="15" hidden="false" customHeight="false" outlineLevel="0" collapsed="false">
      <c r="A4754" s="2" t="s">
        <v>1530</v>
      </c>
      <c r="B4754" s="2" t="s">
        <v>45</v>
      </c>
      <c r="C4754" s="2" t="s">
        <v>4274</v>
      </c>
      <c r="D4754" s="11" t="n">
        <v>59810</v>
      </c>
      <c r="E4754" s="2"/>
      <c r="F4754" s="31" t="n">
        <v>85.4</v>
      </c>
      <c r="G4754" s="2"/>
      <c r="H4754" s="2" t="s">
        <v>832</v>
      </c>
    </row>
    <row r="4755" customFormat="false" ht="15" hidden="false" customHeight="false" outlineLevel="0" collapsed="false">
      <c r="A4755" s="2" t="s">
        <v>1530</v>
      </c>
      <c r="B4755" s="2" t="s">
        <v>45</v>
      </c>
      <c r="C4755" s="2" t="s">
        <v>4275</v>
      </c>
      <c r="D4755" s="11" t="n">
        <v>62980</v>
      </c>
      <c r="E4755" s="31" t="n">
        <v>8.9</v>
      </c>
      <c r="F4755" s="31" t="n">
        <v>91.1</v>
      </c>
      <c r="G4755" s="31" t="n">
        <v>92.8</v>
      </c>
      <c r="H4755" s="2" t="s">
        <v>822</v>
      </c>
    </row>
    <row r="4756" customFormat="false" ht="15" hidden="false" customHeight="false" outlineLevel="0" collapsed="false">
      <c r="A4756" s="2" t="s">
        <v>1530</v>
      </c>
      <c r="B4756" s="2" t="s">
        <v>46</v>
      </c>
      <c r="C4756" s="2" t="s">
        <v>4274</v>
      </c>
      <c r="D4756" s="11" t="n">
        <v>23923</v>
      </c>
      <c r="E4756" s="31" t="n">
        <v>62</v>
      </c>
      <c r="F4756" s="31" t="n">
        <v>57.7</v>
      </c>
      <c r="G4756" s="31" t="n">
        <v>10.3</v>
      </c>
      <c r="H4756" s="2" t="s">
        <v>822</v>
      </c>
    </row>
    <row r="4757" customFormat="false" ht="15" hidden="false" customHeight="false" outlineLevel="0" collapsed="false">
      <c r="A4757" s="2" t="s">
        <v>1530</v>
      </c>
      <c r="B4757" s="2" t="s">
        <v>46</v>
      </c>
      <c r="C4757" s="2" t="s">
        <v>4275</v>
      </c>
      <c r="D4757" s="2"/>
      <c r="E4757" s="2"/>
      <c r="F4757" s="2"/>
      <c r="G4757" s="2"/>
      <c r="H4757" s="2" t="s">
        <v>832</v>
      </c>
    </row>
    <row r="4758" customFormat="false" ht="15" hidden="false" customHeight="false" outlineLevel="0" collapsed="false">
      <c r="A4758" s="2" t="s">
        <v>1530</v>
      </c>
      <c r="B4758" s="2" t="s">
        <v>47</v>
      </c>
      <c r="C4758" s="2" t="s">
        <v>4274</v>
      </c>
      <c r="D4758" s="11" t="n">
        <v>165192</v>
      </c>
      <c r="E4758" s="31" t="n">
        <v>44.8</v>
      </c>
      <c r="F4758" s="31" t="n">
        <v>31.5</v>
      </c>
      <c r="G4758" s="31" t="n">
        <v>52.4</v>
      </c>
      <c r="H4758" s="2" t="s">
        <v>822</v>
      </c>
    </row>
    <row r="4759" customFormat="false" ht="15" hidden="false" customHeight="false" outlineLevel="0" collapsed="false">
      <c r="A4759" s="2" t="s">
        <v>1530</v>
      </c>
      <c r="B4759" s="2" t="s">
        <v>47</v>
      </c>
      <c r="C4759" s="2" t="s">
        <v>4275</v>
      </c>
      <c r="D4759" s="11" t="n">
        <v>164740</v>
      </c>
      <c r="E4759" s="31" t="n">
        <v>67.4</v>
      </c>
      <c r="F4759" s="31" t="n">
        <v>42.2</v>
      </c>
      <c r="G4759" s="31" t="n">
        <v>72.6</v>
      </c>
      <c r="H4759" s="2" t="s">
        <v>822</v>
      </c>
    </row>
    <row r="4760" customFormat="false" ht="15" hidden="false" customHeight="false" outlineLevel="0" collapsed="false">
      <c r="A4760" s="2" t="s">
        <v>1852</v>
      </c>
      <c r="B4760" s="2" t="s">
        <v>4291</v>
      </c>
      <c r="C4760" s="2" t="s">
        <v>4274</v>
      </c>
      <c r="D4760" s="2"/>
      <c r="E4760" s="31" t="n">
        <v>23.3</v>
      </c>
      <c r="F4760" s="31" t="n">
        <v>43.3</v>
      </c>
      <c r="G4760" s="31" t="n">
        <v>30</v>
      </c>
      <c r="H4760" s="2" t="s">
        <v>832</v>
      </c>
    </row>
    <row r="4761" customFormat="false" ht="15" hidden="false" customHeight="false" outlineLevel="0" collapsed="false">
      <c r="A4761" s="2" t="s">
        <v>1852</v>
      </c>
      <c r="B4761" s="2" t="s">
        <v>4291</v>
      </c>
      <c r="C4761" s="2" t="s">
        <v>4275</v>
      </c>
      <c r="D4761" s="2"/>
      <c r="E4761" s="31" t="n">
        <v>57.2</v>
      </c>
      <c r="F4761" s="31" t="n">
        <v>71.1</v>
      </c>
      <c r="G4761" s="31" t="n">
        <v>66.3</v>
      </c>
      <c r="H4761" s="2" t="s">
        <v>832</v>
      </c>
    </row>
    <row r="4762" customFormat="false" ht="15" hidden="false" customHeight="false" outlineLevel="0" collapsed="false">
      <c r="A4762" s="2" t="s">
        <v>1852</v>
      </c>
      <c r="B4762" s="2" t="s">
        <v>46</v>
      </c>
      <c r="C4762" s="2" t="s">
        <v>4274</v>
      </c>
      <c r="D4762" s="11" t="n">
        <v>17364</v>
      </c>
      <c r="E4762" s="31" t="n">
        <v>32.9</v>
      </c>
      <c r="F4762" s="31" t="n">
        <v>56.9</v>
      </c>
      <c r="G4762" s="2"/>
      <c r="H4762" s="2" t="s">
        <v>832</v>
      </c>
    </row>
    <row r="4763" customFormat="false" ht="15" hidden="false" customHeight="false" outlineLevel="0" collapsed="false">
      <c r="A4763" s="2" t="s">
        <v>1852</v>
      </c>
      <c r="B4763" s="2" t="s">
        <v>46</v>
      </c>
      <c r="C4763" s="2" t="s">
        <v>4275</v>
      </c>
      <c r="D4763" s="11" t="n">
        <v>32330</v>
      </c>
      <c r="E4763" s="31" t="n">
        <v>57.2</v>
      </c>
      <c r="F4763" s="31" t="n">
        <v>72.7</v>
      </c>
      <c r="G4763" s="31" t="n">
        <v>89.6</v>
      </c>
      <c r="H4763" s="2" t="s">
        <v>822</v>
      </c>
    </row>
    <row r="4764" customFormat="false" ht="15" hidden="false" customHeight="false" outlineLevel="0" collapsed="false">
      <c r="A4764" s="2" t="s">
        <v>1852</v>
      </c>
      <c r="B4764" s="2" t="s">
        <v>47</v>
      </c>
      <c r="C4764" s="2" t="s">
        <v>4274</v>
      </c>
      <c r="D4764" s="11" t="n">
        <v>37009</v>
      </c>
      <c r="E4764" s="31" t="n">
        <v>13.7</v>
      </c>
      <c r="F4764" s="31" t="n">
        <v>29.7</v>
      </c>
      <c r="G4764" s="31" t="n">
        <v>30</v>
      </c>
      <c r="H4764" s="2" t="s">
        <v>822</v>
      </c>
    </row>
    <row r="4765" customFormat="false" ht="15" hidden="false" customHeight="false" outlineLevel="0" collapsed="false">
      <c r="A4765" s="2" t="s">
        <v>1852</v>
      </c>
      <c r="B4765" s="2" t="s">
        <v>47</v>
      </c>
      <c r="C4765" s="2" t="s">
        <v>4275</v>
      </c>
      <c r="D4765" s="11" t="n">
        <v>38383</v>
      </c>
      <c r="E4765" s="2"/>
      <c r="F4765" s="31" t="n">
        <v>69.5</v>
      </c>
      <c r="G4765" s="31" t="n">
        <v>43</v>
      </c>
      <c r="H4765" s="2" t="s">
        <v>832</v>
      </c>
    </row>
    <row r="4766" customFormat="false" ht="15" hidden="false" customHeight="false" outlineLevel="0" collapsed="false">
      <c r="A4766" s="2" t="s">
        <v>268</v>
      </c>
      <c r="B4766" s="2" t="s">
        <v>4291</v>
      </c>
      <c r="C4766" s="2" t="s">
        <v>4274</v>
      </c>
      <c r="D4766" s="2"/>
      <c r="E4766" s="31" t="n">
        <v>56.6</v>
      </c>
      <c r="F4766" s="31" t="n">
        <v>51.1</v>
      </c>
      <c r="G4766" s="31" t="n">
        <v>24.7</v>
      </c>
      <c r="H4766" s="2" t="s">
        <v>822</v>
      </c>
    </row>
    <row r="4767" customFormat="false" ht="15" hidden="false" customHeight="false" outlineLevel="0" collapsed="false">
      <c r="A4767" s="2" t="s">
        <v>268</v>
      </c>
      <c r="B4767" s="2" t="s">
        <v>4291</v>
      </c>
      <c r="C4767" s="2" t="s">
        <v>4275</v>
      </c>
      <c r="D4767" s="2"/>
      <c r="E4767" s="31" t="n">
        <v>66</v>
      </c>
      <c r="F4767" s="31" t="n">
        <v>59.2</v>
      </c>
      <c r="G4767" s="31" t="n">
        <v>12.8</v>
      </c>
      <c r="H4767" s="2" t="s">
        <v>822</v>
      </c>
    </row>
    <row r="4768" customFormat="false" ht="15" hidden="false" customHeight="false" outlineLevel="0" collapsed="false">
      <c r="A4768" s="2" t="s">
        <v>268</v>
      </c>
      <c r="B4768" s="2" t="s">
        <v>45</v>
      </c>
      <c r="C4768" s="2" t="s">
        <v>4274</v>
      </c>
      <c r="D4768" s="11" t="n">
        <v>7013286</v>
      </c>
      <c r="E4768" s="31" t="n">
        <v>34.3</v>
      </c>
      <c r="F4768" s="31" t="n">
        <v>7.1</v>
      </c>
      <c r="G4768" s="31" t="n">
        <v>12.2</v>
      </c>
      <c r="H4768" s="2" t="s">
        <v>822</v>
      </c>
    </row>
    <row r="4769" customFormat="false" ht="15" hidden="false" customHeight="false" outlineLevel="0" collapsed="false">
      <c r="A4769" s="2" t="s">
        <v>268</v>
      </c>
      <c r="B4769" s="2" t="s">
        <v>45</v>
      </c>
      <c r="C4769" s="2" t="s">
        <v>4275</v>
      </c>
      <c r="D4769" s="11" t="n">
        <v>7026670</v>
      </c>
      <c r="E4769" s="31" t="n">
        <v>60.1</v>
      </c>
      <c r="F4769" s="31" t="n">
        <v>29.4</v>
      </c>
      <c r="G4769" s="31" t="n">
        <v>16.6</v>
      </c>
      <c r="H4769" s="2" t="s">
        <v>822</v>
      </c>
    </row>
    <row r="4770" customFormat="false" ht="15" hidden="false" customHeight="false" outlineLevel="0" collapsed="false">
      <c r="A4770" s="2" t="s">
        <v>268</v>
      </c>
      <c r="B4770" s="2" t="s">
        <v>47</v>
      </c>
      <c r="C4770" s="2" t="s">
        <v>4274</v>
      </c>
      <c r="D4770" s="11" t="n">
        <v>11005</v>
      </c>
      <c r="E4770" s="31" t="n">
        <v>78.9</v>
      </c>
      <c r="F4770" s="31" t="n">
        <v>95.1</v>
      </c>
      <c r="G4770" s="31" t="n">
        <v>37.2</v>
      </c>
      <c r="H4770" s="2" t="s">
        <v>822</v>
      </c>
    </row>
    <row r="4771" customFormat="false" ht="15" hidden="false" customHeight="false" outlineLevel="0" collapsed="false">
      <c r="A4771" s="2" t="s">
        <v>268</v>
      </c>
      <c r="B4771" s="2" t="s">
        <v>47</v>
      </c>
      <c r="C4771" s="2" t="s">
        <v>4275</v>
      </c>
      <c r="D4771" s="11" t="n">
        <v>12063</v>
      </c>
      <c r="E4771" s="31" t="n">
        <v>72</v>
      </c>
      <c r="F4771" s="31" t="n">
        <v>89</v>
      </c>
      <c r="G4771" s="31" t="n">
        <v>9</v>
      </c>
      <c r="H4771" s="2" t="s">
        <v>822</v>
      </c>
    </row>
    <row r="4772" customFormat="false" ht="15" hidden="false" customHeight="false" outlineLevel="0" collapsed="false">
      <c r="A4772" s="2" t="s">
        <v>3301</v>
      </c>
      <c r="B4772" s="2" t="s">
        <v>4291</v>
      </c>
      <c r="C4772" s="2" t="s">
        <v>4274</v>
      </c>
      <c r="D4772" s="2"/>
      <c r="E4772" s="31" t="n">
        <v>56.7</v>
      </c>
      <c r="F4772" s="31" t="n">
        <v>47.8</v>
      </c>
      <c r="G4772" s="31" t="n">
        <v>45.9</v>
      </c>
      <c r="H4772" s="2" t="s">
        <v>832</v>
      </c>
    </row>
    <row r="4773" customFormat="false" ht="15" hidden="false" customHeight="false" outlineLevel="0" collapsed="false">
      <c r="A4773" s="2" t="s">
        <v>3301</v>
      </c>
      <c r="B4773" s="2" t="s">
        <v>4291</v>
      </c>
      <c r="C4773" s="2" t="s">
        <v>4275</v>
      </c>
      <c r="D4773" s="2"/>
      <c r="E4773" s="2"/>
      <c r="F4773" s="2"/>
      <c r="G4773" s="31" t="n">
        <v>60.5</v>
      </c>
      <c r="H4773" s="2" t="s">
        <v>832</v>
      </c>
    </row>
    <row r="4774" customFormat="false" ht="15" hidden="false" customHeight="false" outlineLevel="0" collapsed="false">
      <c r="A4774" s="2" t="s">
        <v>3301</v>
      </c>
      <c r="B4774" s="2" t="s">
        <v>46</v>
      </c>
      <c r="C4774" s="2" t="s">
        <v>4274</v>
      </c>
      <c r="D4774" s="2"/>
      <c r="E4774" s="2"/>
      <c r="F4774" s="2"/>
      <c r="G4774" s="2"/>
      <c r="H4774" s="2" t="s">
        <v>832</v>
      </c>
    </row>
    <row r="4775" customFormat="false" ht="15" hidden="false" customHeight="false" outlineLevel="0" collapsed="false">
      <c r="A4775" s="2" t="s">
        <v>3301</v>
      </c>
      <c r="B4775" s="2" t="s">
        <v>46</v>
      </c>
      <c r="C4775" s="2" t="s">
        <v>4275</v>
      </c>
      <c r="D4775" s="2"/>
      <c r="E4775" s="2"/>
      <c r="F4775" s="2"/>
      <c r="G4775" s="31" t="n">
        <v>60.5</v>
      </c>
      <c r="H4775" s="2" t="s">
        <v>832</v>
      </c>
    </row>
    <row r="4776" customFormat="false" ht="15" hidden="false" customHeight="false" outlineLevel="0" collapsed="false">
      <c r="A4776" s="2" t="s">
        <v>3301</v>
      </c>
      <c r="B4776" s="2" t="s">
        <v>47</v>
      </c>
      <c r="C4776" s="2" t="s">
        <v>4274</v>
      </c>
      <c r="D4776" s="11" t="n">
        <v>3678</v>
      </c>
      <c r="E4776" s="31" t="n">
        <v>56.7</v>
      </c>
      <c r="F4776" s="31" t="n">
        <v>47.8</v>
      </c>
      <c r="G4776" s="31" t="n">
        <v>45.9</v>
      </c>
      <c r="H4776" s="2" t="s">
        <v>822</v>
      </c>
    </row>
    <row r="4777" customFormat="false" ht="15" hidden="false" customHeight="false" outlineLevel="0" collapsed="false">
      <c r="A4777" s="2" t="s">
        <v>3301</v>
      </c>
      <c r="B4777" s="2" t="s">
        <v>47</v>
      </c>
      <c r="C4777" s="2" t="s">
        <v>4275</v>
      </c>
      <c r="D4777" s="2"/>
      <c r="E4777" s="2"/>
      <c r="F4777" s="2"/>
      <c r="G4777" s="2"/>
      <c r="H4777" s="2" t="s">
        <v>832</v>
      </c>
    </row>
    <row r="4778" customFormat="false" ht="15" hidden="false" customHeight="false" outlineLevel="0" collapsed="false">
      <c r="A4778" s="2" t="s">
        <v>540</v>
      </c>
      <c r="B4778" s="2" t="s">
        <v>4291</v>
      </c>
      <c r="C4778" s="2" t="s">
        <v>4274</v>
      </c>
      <c r="D4778" s="2"/>
      <c r="E4778" s="31" t="n">
        <v>48</v>
      </c>
      <c r="F4778" s="31" t="n">
        <v>59.6</v>
      </c>
      <c r="G4778" s="31" t="n">
        <v>45.1</v>
      </c>
      <c r="H4778" s="2" t="s">
        <v>822</v>
      </c>
    </row>
    <row r="4779" customFormat="false" ht="15" hidden="false" customHeight="false" outlineLevel="0" collapsed="false">
      <c r="A4779" s="2" t="s">
        <v>540</v>
      </c>
      <c r="B4779" s="2" t="s">
        <v>4291</v>
      </c>
      <c r="C4779" s="2" t="s">
        <v>4275</v>
      </c>
      <c r="D4779" s="2"/>
      <c r="E4779" s="31" t="n">
        <v>45.1</v>
      </c>
      <c r="F4779" s="31" t="n">
        <v>66.8</v>
      </c>
      <c r="G4779" s="31" t="n">
        <v>48.2</v>
      </c>
      <c r="H4779" s="2" t="s">
        <v>822</v>
      </c>
    </row>
    <row r="4780" customFormat="false" ht="15" hidden="false" customHeight="false" outlineLevel="0" collapsed="false">
      <c r="A4780" s="2" t="s">
        <v>540</v>
      </c>
      <c r="B4780" s="2" t="s">
        <v>45</v>
      </c>
      <c r="C4780" s="2" t="s">
        <v>4274</v>
      </c>
      <c r="D4780" s="11" t="n">
        <v>59830</v>
      </c>
      <c r="E4780" s="31" t="n">
        <v>100</v>
      </c>
      <c r="F4780" s="31" t="n">
        <v>64.6</v>
      </c>
      <c r="G4780" s="31" t="n">
        <v>17.3</v>
      </c>
      <c r="H4780" s="2" t="s">
        <v>822</v>
      </c>
    </row>
    <row r="4781" customFormat="false" ht="15" hidden="false" customHeight="false" outlineLevel="0" collapsed="false">
      <c r="A4781" s="2" t="s">
        <v>540</v>
      </c>
      <c r="B4781" s="2" t="s">
        <v>45</v>
      </c>
      <c r="C4781" s="2" t="s">
        <v>4275</v>
      </c>
      <c r="D4781" s="11" t="n">
        <v>59960</v>
      </c>
      <c r="E4781" s="31" t="n">
        <v>100</v>
      </c>
      <c r="F4781" s="31" t="n">
        <v>60.8</v>
      </c>
      <c r="G4781" s="31" t="n">
        <v>4.9</v>
      </c>
      <c r="H4781" s="2" t="s">
        <v>822</v>
      </c>
    </row>
    <row r="4782" customFormat="false" ht="15" hidden="false" customHeight="false" outlineLevel="0" collapsed="false">
      <c r="A4782" s="2" t="s">
        <v>540</v>
      </c>
      <c r="B4782" s="2" t="s">
        <v>46</v>
      </c>
      <c r="C4782" s="2" t="s">
        <v>4274</v>
      </c>
      <c r="D4782" s="11" t="n">
        <v>8130</v>
      </c>
      <c r="E4782" s="31" t="n">
        <v>15.5</v>
      </c>
      <c r="F4782" s="31" t="n">
        <v>77.2</v>
      </c>
      <c r="G4782" s="31" t="n">
        <v>64.8</v>
      </c>
      <c r="H4782" s="2" t="s">
        <v>822</v>
      </c>
    </row>
    <row r="4783" customFormat="false" ht="15" hidden="false" customHeight="false" outlineLevel="0" collapsed="false">
      <c r="A4783" s="2" t="s">
        <v>540</v>
      </c>
      <c r="B4783" s="2" t="s">
        <v>46</v>
      </c>
      <c r="C4783" s="2" t="s">
        <v>4275</v>
      </c>
      <c r="D4783" s="11" t="n">
        <v>8880</v>
      </c>
      <c r="E4783" s="31" t="n">
        <v>12</v>
      </c>
      <c r="F4783" s="31" t="n">
        <v>77.4</v>
      </c>
      <c r="G4783" s="31" t="n">
        <v>63.1</v>
      </c>
      <c r="H4783" s="2" t="s">
        <v>822</v>
      </c>
    </row>
    <row r="4784" customFormat="false" ht="15" hidden="false" customHeight="false" outlineLevel="0" collapsed="false">
      <c r="A4784" s="2" t="s">
        <v>540</v>
      </c>
      <c r="B4784" s="2" t="s">
        <v>47</v>
      </c>
      <c r="C4784" s="2" t="s">
        <v>4274</v>
      </c>
      <c r="D4784" s="11" t="n">
        <v>173667</v>
      </c>
      <c r="E4784" s="31" t="n">
        <v>28.4</v>
      </c>
      <c r="F4784" s="31" t="n">
        <v>37</v>
      </c>
      <c r="G4784" s="31" t="n">
        <v>53.1</v>
      </c>
      <c r="H4784" s="2" t="s">
        <v>822</v>
      </c>
    </row>
    <row r="4785" customFormat="false" ht="15" hidden="false" customHeight="false" outlineLevel="0" collapsed="false">
      <c r="A4785" s="2" t="s">
        <v>540</v>
      </c>
      <c r="B4785" s="2" t="s">
        <v>47</v>
      </c>
      <c r="C4785" s="2" t="s">
        <v>4275</v>
      </c>
      <c r="D4785" s="11" t="n">
        <v>182920</v>
      </c>
      <c r="E4785" s="31" t="n">
        <v>23.3</v>
      </c>
      <c r="F4785" s="31" t="n">
        <v>62.1</v>
      </c>
      <c r="G4785" s="31" t="n">
        <v>76.7</v>
      </c>
      <c r="H4785" s="2" t="s">
        <v>822</v>
      </c>
    </row>
    <row r="4786" customFormat="false" ht="15" hidden="false" customHeight="false" outlineLevel="0" collapsed="false">
      <c r="A4786" s="2" t="s">
        <v>3303</v>
      </c>
      <c r="B4786" s="2" t="s">
        <v>4291</v>
      </c>
      <c r="C4786" s="2" t="s">
        <v>4274</v>
      </c>
      <c r="D4786" s="2"/>
      <c r="E4786" s="31" t="n">
        <v>91.6</v>
      </c>
      <c r="F4786" s="2"/>
      <c r="G4786" s="2"/>
      <c r="H4786" s="2" t="s">
        <v>832</v>
      </c>
    </row>
    <row r="4787" customFormat="false" ht="15" hidden="false" customHeight="false" outlineLevel="0" collapsed="false">
      <c r="A4787" s="2" t="s">
        <v>3303</v>
      </c>
      <c r="B4787" s="2" t="s">
        <v>4291</v>
      </c>
      <c r="C4787" s="2" t="s">
        <v>4275</v>
      </c>
      <c r="D4787" s="2"/>
      <c r="E4787" s="2"/>
      <c r="F4787" s="2"/>
      <c r="G4787" s="2"/>
      <c r="H4787" s="2" t="s">
        <v>832</v>
      </c>
    </row>
    <row r="4788" customFormat="false" ht="15" hidden="false" customHeight="false" outlineLevel="0" collapsed="false">
      <c r="A4788" s="2" t="s">
        <v>3303</v>
      </c>
      <c r="B4788" s="2" t="s">
        <v>46</v>
      </c>
      <c r="C4788" s="2" t="s">
        <v>4274</v>
      </c>
      <c r="D4788" s="11" t="n">
        <v>4870</v>
      </c>
      <c r="E4788" s="31" t="n">
        <v>91.6</v>
      </c>
      <c r="F4788" s="2"/>
      <c r="G4788" s="2"/>
      <c r="H4788" s="2" t="s">
        <v>832</v>
      </c>
    </row>
    <row r="4789" customFormat="false" ht="15" hidden="false" customHeight="false" outlineLevel="0" collapsed="false">
      <c r="A4789" s="2" t="s">
        <v>3303</v>
      </c>
      <c r="B4789" s="2" t="s">
        <v>46</v>
      </c>
      <c r="C4789" s="2" t="s">
        <v>4275</v>
      </c>
      <c r="D4789" s="2"/>
      <c r="E4789" s="2"/>
      <c r="F4789" s="2"/>
      <c r="G4789" s="2"/>
      <c r="H4789" s="2" t="s">
        <v>832</v>
      </c>
    </row>
    <row r="4790" customFormat="false" ht="15" hidden="false" customHeight="false" outlineLevel="0" collapsed="false">
      <c r="A4790" s="2" t="s">
        <v>1849</v>
      </c>
      <c r="B4790" s="2" t="s">
        <v>4291</v>
      </c>
      <c r="C4790" s="2" t="s">
        <v>4274</v>
      </c>
      <c r="D4790" s="2"/>
      <c r="E4790" s="31" t="n">
        <v>49.8</v>
      </c>
      <c r="F4790" s="31" t="n">
        <v>69.9</v>
      </c>
      <c r="G4790" s="31" t="n">
        <v>48.6</v>
      </c>
      <c r="H4790" s="2" t="s">
        <v>832</v>
      </c>
    </row>
    <row r="4791" customFormat="false" ht="15" hidden="false" customHeight="false" outlineLevel="0" collapsed="false">
      <c r="A4791" s="2" t="s">
        <v>1849</v>
      </c>
      <c r="B4791" s="2" t="s">
        <v>4291</v>
      </c>
      <c r="C4791" s="2" t="s">
        <v>4275</v>
      </c>
      <c r="D4791" s="2"/>
      <c r="E4791" s="31" t="n">
        <v>42.2</v>
      </c>
      <c r="F4791" s="31" t="n">
        <v>42.5</v>
      </c>
      <c r="G4791" s="31" t="n">
        <v>51.8</v>
      </c>
      <c r="H4791" s="2" t="s">
        <v>832</v>
      </c>
    </row>
    <row r="4792" customFormat="false" ht="15" hidden="false" customHeight="false" outlineLevel="0" collapsed="false">
      <c r="A4792" s="2" t="s">
        <v>1849</v>
      </c>
      <c r="B4792" s="2" t="s">
        <v>45</v>
      </c>
      <c r="C4792" s="2" t="s">
        <v>4274</v>
      </c>
      <c r="D4792" s="2"/>
      <c r="E4792" s="2"/>
      <c r="F4792" s="2"/>
      <c r="G4792" s="2"/>
      <c r="H4792" s="2" t="s">
        <v>832</v>
      </c>
    </row>
    <row r="4793" customFormat="false" ht="15" hidden="false" customHeight="false" outlineLevel="0" collapsed="false">
      <c r="A4793" s="2" t="s">
        <v>1849</v>
      </c>
      <c r="B4793" s="2" t="s">
        <v>45</v>
      </c>
      <c r="C4793" s="2" t="s">
        <v>4275</v>
      </c>
      <c r="D4793" s="11" t="n">
        <v>230730</v>
      </c>
      <c r="E4793" s="31" t="n">
        <v>21.6</v>
      </c>
      <c r="F4793" s="31" t="n">
        <v>2.1</v>
      </c>
      <c r="G4793" s="2"/>
      <c r="H4793" s="2" t="s">
        <v>832</v>
      </c>
    </row>
    <row r="4794" customFormat="false" ht="15" hidden="false" customHeight="false" outlineLevel="0" collapsed="false">
      <c r="A4794" s="2" t="s">
        <v>1849</v>
      </c>
      <c r="B4794" s="2" t="s">
        <v>46</v>
      </c>
      <c r="C4794" s="2" t="s">
        <v>4274</v>
      </c>
      <c r="D4794" s="11" t="n">
        <v>18580</v>
      </c>
      <c r="E4794" s="31" t="n">
        <v>60.1</v>
      </c>
      <c r="F4794" s="31" t="n">
        <v>86.1</v>
      </c>
      <c r="G4794" s="31" t="n">
        <v>45.4</v>
      </c>
      <c r="H4794" s="2" t="s">
        <v>822</v>
      </c>
    </row>
    <row r="4795" customFormat="false" ht="15" hidden="false" customHeight="false" outlineLevel="0" collapsed="false">
      <c r="A4795" s="2" t="s">
        <v>1849</v>
      </c>
      <c r="B4795" s="2" t="s">
        <v>46</v>
      </c>
      <c r="C4795" s="2" t="s">
        <v>4275</v>
      </c>
      <c r="D4795" s="11" t="n">
        <v>20030</v>
      </c>
      <c r="E4795" s="31" t="n">
        <v>57.6</v>
      </c>
      <c r="F4795" s="31" t="n">
        <v>89.8</v>
      </c>
      <c r="G4795" s="31" t="n">
        <v>34.2</v>
      </c>
      <c r="H4795" s="2" t="s">
        <v>822</v>
      </c>
    </row>
    <row r="4796" customFormat="false" ht="15" hidden="false" customHeight="false" outlineLevel="0" collapsed="false">
      <c r="A4796" s="2" t="s">
        <v>1849</v>
      </c>
      <c r="B4796" s="2" t="s">
        <v>47</v>
      </c>
      <c r="C4796" s="2" t="s">
        <v>4274</v>
      </c>
      <c r="D4796" s="11" t="n">
        <v>1011047</v>
      </c>
      <c r="E4796" s="31" t="n">
        <v>39.4</v>
      </c>
      <c r="F4796" s="31" t="n">
        <v>53.8</v>
      </c>
      <c r="G4796" s="31" t="n">
        <v>51.9</v>
      </c>
      <c r="H4796" s="2" t="s">
        <v>822</v>
      </c>
    </row>
    <row r="4797" customFormat="false" ht="15" hidden="false" customHeight="false" outlineLevel="0" collapsed="false">
      <c r="A4797" s="2" t="s">
        <v>1849</v>
      </c>
      <c r="B4797" s="2" t="s">
        <v>47</v>
      </c>
      <c r="C4797" s="2" t="s">
        <v>4275</v>
      </c>
      <c r="D4797" s="11" t="n">
        <v>1059491</v>
      </c>
      <c r="E4797" s="31" t="n">
        <v>47.3</v>
      </c>
      <c r="F4797" s="31" t="n">
        <v>35.7</v>
      </c>
      <c r="G4797" s="31" t="n">
        <v>69.5</v>
      </c>
      <c r="H4797" s="2" t="s">
        <v>822</v>
      </c>
    </row>
    <row r="4798" customFormat="false" ht="15" hidden="false" customHeight="false" outlineLevel="0" collapsed="false">
      <c r="A4798" s="2" t="s">
        <v>458</v>
      </c>
      <c r="B4798" s="2" t="s">
        <v>4291</v>
      </c>
      <c r="C4798" s="2" t="s">
        <v>4274</v>
      </c>
      <c r="D4798" s="2"/>
      <c r="E4798" s="31" t="n">
        <v>56.3</v>
      </c>
      <c r="F4798" s="31" t="n">
        <v>73</v>
      </c>
      <c r="G4798" s="31" t="n">
        <v>63</v>
      </c>
      <c r="H4798" s="2" t="s">
        <v>822</v>
      </c>
    </row>
    <row r="4799" customFormat="false" ht="15" hidden="false" customHeight="false" outlineLevel="0" collapsed="false">
      <c r="A4799" s="2" t="s">
        <v>458</v>
      </c>
      <c r="B4799" s="2" t="s">
        <v>4291</v>
      </c>
      <c r="C4799" s="2" t="s">
        <v>4275</v>
      </c>
      <c r="D4799" s="2"/>
      <c r="E4799" s="31" t="n">
        <v>51.5</v>
      </c>
      <c r="F4799" s="31" t="n">
        <v>62.2</v>
      </c>
      <c r="G4799" s="31" t="n">
        <v>67.9</v>
      </c>
      <c r="H4799" s="2" t="s">
        <v>822</v>
      </c>
    </row>
    <row r="4800" customFormat="false" ht="15" hidden="false" customHeight="false" outlineLevel="0" collapsed="false">
      <c r="A4800" s="2" t="s">
        <v>458</v>
      </c>
      <c r="B4800" s="2" t="s">
        <v>45</v>
      </c>
      <c r="C4800" s="2" t="s">
        <v>4274</v>
      </c>
      <c r="D4800" s="11" t="n">
        <v>8560</v>
      </c>
      <c r="E4800" s="31" t="n">
        <v>54</v>
      </c>
      <c r="F4800" s="31" t="n">
        <v>43.5</v>
      </c>
      <c r="G4800" s="31" t="n">
        <v>55.6</v>
      </c>
      <c r="H4800" s="2" t="s">
        <v>822</v>
      </c>
    </row>
    <row r="4801" customFormat="false" ht="15" hidden="false" customHeight="false" outlineLevel="0" collapsed="false">
      <c r="A4801" s="2" t="s">
        <v>458</v>
      </c>
      <c r="B4801" s="2" t="s">
        <v>45</v>
      </c>
      <c r="C4801" s="2" t="s">
        <v>4275</v>
      </c>
      <c r="D4801" s="11" t="n">
        <v>8810</v>
      </c>
      <c r="E4801" s="31" t="n">
        <v>48.2</v>
      </c>
      <c r="F4801" s="31" t="n">
        <v>36.6</v>
      </c>
      <c r="G4801" s="31" t="n">
        <v>59.2</v>
      </c>
      <c r="H4801" s="2" t="s">
        <v>822</v>
      </c>
    </row>
    <row r="4802" customFormat="false" ht="15" hidden="false" customHeight="false" outlineLevel="0" collapsed="false">
      <c r="A4802" s="2" t="s">
        <v>458</v>
      </c>
      <c r="B4802" s="2" t="s">
        <v>46</v>
      </c>
      <c r="C4802" s="2" t="s">
        <v>4274</v>
      </c>
      <c r="D4802" s="11" t="n">
        <v>442502</v>
      </c>
      <c r="E4802" s="31" t="n">
        <v>93.9</v>
      </c>
      <c r="F4802" s="31" t="n">
        <v>90.4</v>
      </c>
      <c r="G4802" s="31" t="n">
        <v>42.5</v>
      </c>
      <c r="H4802" s="2" t="s">
        <v>822</v>
      </c>
    </row>
    <row r="4803" customFormat="false" ht="15" hidden="false" customHeight="false" outlineLevel="0" collapsed="false">
      <c r="A4803" s="2" t="s">
        <v>458</v>
      </c>
      <c r="B4803" s="2" t="s">
        <v>46</v>
      </c>
      <c r="C4803" s="2" t="s">
        <v>4275</v>
      </c>
      <c r="D4803" s="11" t="n">
        <v>472070</v>
      </c>
      <c r="E4803" s="31" t="n">
        <v>93.1</v>
      </c>
      <c r="F4803" s="31" t="n">
        <v>56.1</v>
      </c>
      <c r="G4803" s="31" t="n">
        <v>61.4</v>
      </c>
      <c r="H4803" s="2" t="s">
        <v>822</v>
      </c>
    </row>
    <row r="4804" customFormat="false" ht="15" hidden="false" customHeight="false" outlineLevel="0" collapsed="false">
      <c r="A4804" s="2" t="s">
        <v>458</v>
      </c>
      <c r="B4804" s="2" t="s">
        <v>47</v>
      </c>
      <c r="C4804" s="2" t="s">
        <v>4274</v>
      </c>
      <c r="D4804" s="11" t="n">
        <v>224540</v>
      </c>
      <c r="E4804" s="31" t="n">
        <v>20.9</v>
      </c>
      <c r="F4804" s="31" t="n">
        <v>85.2</v>
      </c>
      <c r="G4804" s="31" t="n">
        <v>90.8</v>
      </c>
      <c r="H4804" s="2" t="s">
        <v>822</v>
      </c>
    </row>
    <row r="4805" customFormat="false" ht="15" hidden="false" customHeight="false" outlineLevel="0" collapsed="false">
      <c r="A4805" s="2" t="s">
        <v>458</v>
      </c>
      <c r="B4805" s="2" t="s">
        <v>47</v>
      </c>
      <c r="C4805" s="2" t="s">
        <v>4275</v>
      </c>
      <c r="D4805" s="11" t="n">
        <v>237354</v>
      </c>
      <c r="E4805" s="31" t="n">
        <v>13.1</v>
      </c>
      <c r="F4805" s="31" t="n">
        <v>93.8</v>
      </c>
      <c r="G4805" s="31" t="n">
        <v>83</v>
      </c>
      <c r="H4805" s="2" t="s">
        <v>822</v>
      </c>
    </row>
    <row r="4806" customFormat="false" ht="15" hidden="false" customHeight="false" outlineLevel="0" collapsed="false">
      <c r="A4806" s="2" t="s">
        <v>312</v>
      </c>
      <c r="B4806" s="2" t="s">
        <v>4291</v>
      </c>
      <c r="C4806" s="2" t="s">
        <v>4274</v>
      </c>
      <c r="D4806" s="2"/>
      <c r="E4806" s="31" t="n">
        <v>43.9</v>
      </c>
      <c r="F4806" s="31" t="n">
        <v>28.4</v>
      </c>
      <c r="G4806" s="31" t="n">
        <v>65.5</v>
      </c>
      <c r="H4806" s="2" t="s">
        <v>822</v>
      </c>
    </row>
    <row r="4807" customFormat="false" ht="15" hidden="false" customHeight="false" outlineLevel="0" collapsed="false">
      <c r="A4807" s="2" t="s">
        <v>312</v>
      </c>
      <c r="B4807" s="2" t="s">
        <v>4291</v>
      </c>
      <c r="C4807" s="2" t="s">
        <v>4275</v>
      </c>
      <c r="D4807" s="2"/>
      <c r="E4807" s="31" t="n">
        <v>62.7</v>
      </c>
      <c r="F4807" s="31" t="n">
        <v>21.2</v>
      </c>
      <c r="G4807" s="31" t="n">
        <v>42.6</v>
      </c>
      <c r="H4807" s="2" t="s">
        <v>822</v>
      </c>
    </row>
    <row r="4808" customFormat="false" ht="15" hidden="false" customHeight="false" outlineLevel="0" collapsed="false">
      <c r="A4808" s="2" t="s">
        <v>312</v>
      </c>
      <c r="B4808" s="2" t="s">
        <v>45</v>
      </c>
      <c r="C4808" s="2" t="s">
        <v>4274</v>
      </c>
      <c r="D4808" s="11" t="n">
        <v>51115</v>
      </c>
      <c r="E4808" s="31" t="n">
        <v>78.6</v>
      </c>
      <c r="F4808" s="31" t="n">
        <v>17.2</v>
      </c>
      <c r="G4808" s="31" t="n">
        <v>91.7</v>
      </c>
      <c r="H4808" s="2" t="s">
        <v>822</v>
      </c>
    </row>
    <row r="4809" customFormat="false" ht="15" hidden="false" customHeight="false" outlineLevel="0" collapsed="false">
      <c r="A4809" s="2" t="s">
        <v>312</v>
      </c>
      <c r="B4809" s="2" t="s">
        <v>45</v>
      </c>
      <c r="C4809" s="2" t="s">
        <v>4275</v>
      </c>
      <c r="D4809" s="11" t="n">
        <v>50050</v>
      </c>
      <c r="E4809" s="31" t="n">
        <v>82.8</v>
      </c>
      <c r="F4809" s="31" t="n">
        <v>7.6</v>
      </c>
      <c r="G4809" s="31" t="n">
        <v>90.2</v>
      </c>
      <c r="H4809" s="2" t="s">
        <v>822</v>
      </c>
    </row>
    <row r="4810" customFormat="false" ht="15" hidden="false" customHeight="false" outlineLevel="0" collapsed="false">
      <c r="A4810" s="2" t="s">
        <v>312</v>
      </c>
      <c r="B4810" s="2" t="s">
        <v>46</v>
      </c>
      <c r="C4810" s="2" t="s">
        <v>4274</v>
      </c>
      <c r="D4810" s="11" t="n">
        <v>116183</v>
      </c>
      <c r="E4810" s="31" t="n">
        <v>46.4</v>
      </c>
      <c r="F4810" s="31" t="n">
        <v>61.5</v>
      </c>
      <c r="G4810" s="31" t="n">
        <v>57.1</v>
      </c>
      <c r="H4810" s="2" t="s">
        <v>822</v>
      </c>
    </row>
    <row r="4811" customFormat="false" ht="15" hidden="false" customHeight="false" outlineLevel="0" collapsed="false">
      <c r="A4811" s="2" t="s">
        <v>312</v>
      </c>
      <c r="B4811" s="2" t="s">
        <v>46</v>
      </c>
      <c r="C4811" s="2" t="s">
        <v>4275</v>
      </c>
      <c r="D4811" s="11" t="n">
        <v>118500</v>
      </c>
      <c r="E4811" s="31" t="n">
        <v>77.4</v>
      </c>
      <c r="F4811" s="31" t="n">
        <v>53.5</v>
      </c>
      <c r="G4811" s="31" t="n">
        <v>29.8</v>
      </c>
      <c r="H4811" s="2" t="s">
        <v>822</v>
      </c>
    </row>
    <row r="4812" customFormat="false" ht="15" hidden="false" customHeight="false" outlineLevel="0" collapsed="false">
      <c r="A4812" s="2" t="s">
        <v>312</v>
      </c>
      <c r="B4812" s="2" t="s">
        <v>47</v>
      </c>
      <c r="C4812" s="2" t="s">
        <v>4274</v>
      </c>
      <c r="D4812" s="11" t="n">
        <v>55272</v>
      </c>
      <c r="E4812" s="31" t="n">
        <v>6.7</v>
      </c>
      <c r="F4812" s="31" t="n">
        <v>6.5</v>
      </c>
      <c r="G4812" s="31" t="n">
        <v>47.8</v>
      </c>
      <c r="H4812" s="2" t="s">
        <v>822</v>
      </c>
    </row>
    <row r="4813" customFormat="false" ht="15" hidden="false" customHeight="false" outlineLevel="0" collapsed="false">
      <c r="A4813" s="2" t="s">
        <v>312</v>
      </c>
      <c r="B4813" s="2" t="s">
        <v>47</v>
      </c>
      <c r="C4813" s="2" t="s">
        <v>4275</v>
      </c>
      <c r="D4813" s="11" t="n">
        <v>54567</v>
      </c>
      <c r="E4813" s="31" t="n">
        <v>27.9</v>
      </c>
      <c r="F4813" s="31" t="n">
        <v>2.6</v>
      </c>
      <c r="G4813" s="31" t="n">
        <v>7.9</v>
      </c>
      <c r="H4813" s="2" t="s">
        <v>822</v>
      </c>
    </row>
    <row r="4814" customFormat="false" ht="15" hidden="false" customHeight="false" outlineLevel="0" collapsed="false">
      <c r="A4814" s="2" t="s">
        <v>2679</v>
      </c>
      <c r="B4814" s="2" t="s">
        <v>4291</v>
      </c>
      <c r="C4814" s="2" t="s">
        <v>4274</v>
      </c>
      <c r="D4814" s="2"/>
      <c r="E4814" s="31" t="n">
        <v>51.5</v>
      </c>
      <c r="F4814" s="31" t="n">
        <v>69</v>
      </c>
      <c r="G4814" s="31" t="n">
        <v>25.8</v>
      </c>
      <c r="H4814" s="2" t="s">
        <v>822</v>
      </c>
    </row>
    <row r="4815" customFormat="false" ht="15" hidden="false" customHeight="false" outlineLevel="0" collapsed="false">
      <c r="A4815" s="2" t="s">
        <v>2679</v>
      </c>
      <c r="B4815" s="2" t="s">
        <v>4291</v>
      </c>
      <c r="C4815" s="2" t="s">
        <v>4275</v>
      </c>
      <c r="D4815" s="2"/>
      <c r="E4815" s="31" t="n">
        <v>48.6</v>
      </c>
      <c r="F4815" s="31" t="n">
        <v>77.6</v>
      </c>
      <c r="G4815" s="31" t="n">
        <v>13.8</v>
      </c>
      <c r="H4815" s="2" t="s">
        <v>832</v>
      </c>
    </row>
    <row r="4816" customFormat="false" ht="15" hidden="false" customHeight="false" outlineLevel="0" collapsed="false">
      <c r="A4816" s="2" t="s">
        <v>2679</v>
      </c>
      <c r="B4816" s="2" t="s">
        <v>46</v>
      </c>
      <c r="C4816" s="2" t="s">
        <v>4274</v>
      </c>
      <c r="D4816" s="11" t="n">
        <v>104400</v>
      </c>
      <c r="E4816" s="31" t="n">
        <v>64.2</v>
      </c>
      <c r="F4816" s="31" t="n">
        <v>60.9</v>
      </c>
      <c r="G4816" s="31" t="n">
        <v>25.6</v>
      </c>
      <c r="H4816" s="2" t="s">
        <v>822</v>
      </c>
    </row>
    <row r="4817" customFormat="false" ht="15" hidden="false" customHeight="false" outlineLevel="0" collapsed="false">
      <c r="A4817" s="2" t="s">
        <v>2679</v>
      </c>
      <c r="B4817" s="2" t="s">
        <v>46</v>
      </c>
      <c r="C4817" s="2" t="s">
        <v>4275</v>
      </c>
      <c r="D4817" s="11" t="n">
        <v>106460</v>
      </c>
      <c r="E4817" s="31" t="n">
        <v>68.4</v>
      </c>
      <c r="F4817" s="31" t="n">
        <v>72.6</v>
      </c>
      <c r="G4817" s="2"/>
      <c r="H4817" s="2" t="s">
        <v>832</v>
      </c>
    </row>
    <row r="4818" customFormat="false" ht="15" hidden="false" customHeight="false" outlineLevel="0" collapsed="false">
      <c r="A4818" s="2" t="s">
        <v>2679</v>
      </c>
      <c r="B4818" s="2" t="s">
        <v>47</v>
      </c>
      <c r="C4818" s="2" t="s">
        <v>4274</v>
      </c>
      <c r="D4818" s="11" t="n">
        <v>42045</v>
      </c>
      <c r="E4818" s="31" t="n">
        <v>38.8</v>
      </c>
      <c r="F4818" s="31" t="n">
        <v>77.1</v>
      </c>
      <c r="G4818" s="31" t="n">
        <v>26.1</v>
      </c>
      <c r="H4818" s="2" t="s">
        <v>822</v>
      </c>
    </row>
    <row r="4819" customFormat="false" ht="15" hidden="false" customHeight="false" outlineLevel="0" collapsed="false">
      <c r="A4819" s="2" t="s">
        <v>2679</v>
      </c>
      <c r="B4819" s="2" t="s">
        <v>47</v>
      </c>
      <c r="C4819" s="2" t="s">
        <v>4275</v>
      </c>
      <c r="D4819" s="11" t="n">
        <v>45000</v>
      </c>
      <c r="E4819" s="31" t="n">
        <v>28.7</v>
      </c>
      <c r="F4819" s="31" t="n">
        <v>82.5</v>
      </c>
      <c r="G4819" s="31" t="n">
        <v>13.8</v>
      </c>
      <c r="H4819" s="2" t="s">
        <v>822</v>
      </c>
    </row>
    <row r="4820" customFormat="false" ht="15" hidden="false" customHeight="false" outlineLevel="0" collapsed="false">
      <c r="A4820" s="2" t="s">
        <v>294</v>
      </c>
      <c r="B4820" s="2" t="s">
        <v>4291</v>
      </c>
      <c r="C4820" s="2" t="s">
        <v>4274</v>
      </c>
      <c r="D4820" s="2"/>
      <c r="E4820" s="31" t="n">
        <v>40.8</v>
      </c>
      <c r="F4820" s="31" t="n">
        <v>66.3</v>
      </c>
      <c r="G4820" s="31" t="n">
        <v>23.8</v>
      </c>
      <c r="H4820" s="2" t="s">
        <v>832</v>
      </c>
    </row>
    <row r="4821" customFormat="false" ht="15" hidden="false" customHeight="false" outlineLevel="0" collapsed="false">
      <c r="A4821" s="2" t="s">
        <v>294</v>
      </c>
      <c r="B4821" s="2" t="s">
        <v>4291</v>
      </c>
      <c r="C4821" s="2" t="s">
        <v>4275</v>
      </c>
      <c r="D4821" s="2"/>
      <c r="E4821" s="31" t="n">
        <v>64</v>
      </c>
      <c r="F4821" s="31" t="n">
        <v>54.8</v>
      </c>
      <c r="G4821" s="31" t="n">
        <v>71.8</v>
      </c>
      <c r="H4821" s="2" t="s">
        <v>822</v>
      </c>
    </row>
    <row r="4822" customFormat="false" ht="15" hidden="false" customHeight="false" outlineLevel="0" collapsed="false">
      <c r="A4822" s="2" t="s">
        <v>294</v>
      </c>
      <c r="B4822" s="2" t="s">
        <v>45</v>
      </c>
      <c r="C4822" s="2" t="s">
        <v>4274</v>
      </c>
      <c r="D4822" s="2"/>
      <c r="E4822" s="2"/>
      <c r="F4822" s="2"/>
      <c r="G4822" s="2"/>
      <c r="H4822" s="2" t="s">
        <v>832</v>
      </c>
    </row>
    <row r="4823" customFormat="false" ht="15" hidden="false" customHeight="false" outlineLevel="0" collapsed="false">
      <c r="A4823" s="2" t="s">
        <v>294</v>
      </c>
      <c r="B4823" s="2" t="s">
        <v>45</v>
      </c>
      <c r="C4823" s="2" t="s">
        <v>4275</v>
      </c>
      <c r="D4823" s="11" t="n">
        <v>138490</v>
      </c>
      <c r="E4823" s="31" t="n">
        <v>83.4</v>
      </c>
      <c r="F4823" s="31" t="n">
        <v>67.9</v>
      </c>
      <c r="G4823" s="31" t="n">
        <v>97.2</v>
      </c>
      <c r="H4823" s="2" t="s">
        <v>822</v>
      </c>
    </row>
    <row r="4824" customFormat="false" ht="15" hidden="false" customHeight="false" outlineLevel="0" collapsed="false">
      <c r="A4824" s="2" t="s">
        <v>294</v>
      </c>
      <c r="B4824" s="2" t="s">
        <v>46</v>
      </c>
      <c r="C4824" s="2" t="s">
        <v>4274</v>
      </c>
      <c r="D4824" s="2"/>
      <c r="E4824" s="2"/>
      <c r="F4824" s="2"/>
      <c r="G4824" s="2"/>
      <c r="H4824" s="2" t="s">
        <v>832</v>
      </c>
    </row>
    <row r="4825" customFormat="false" ht="15" hidden="false" customHeight="false" outlineLevel="0" collapsed="false">
      <c r="A4825" s="2" t="s">
        <v>294</v>
      </c>
      <c r="B4825" s="2" t="s">
        <v>46</v>
      </c>
      <c r="C4825" s="2" t="s">
        <v>4275</v>
      </c>
      <c r="D4825" s="11" t="n">
        <v>7685</v>
      </c>
      <c r="E4825" s="31" t="n">
        <v>83.7</v>
      </c>
      <c r="F4825" s="31" t="n">
        <v>41.5</v>
      </c>
      <c r="G4825" s="31" t="n">
        <v>91.6</v>
      </c>
      <c r="H4825" s="2" t="s">
        <v>822</v>
      </c>
    </row>
    <row r="4826" customFormat="false" ht="15" hidden="false" customHeight="false" outlineLevel="0" collapsed="false">
      <c r="A4826" s="2" t="s">
        <v>294</v>
      </c>
      <c r="B4826" s="2" t="s">
        <v>47</v>
      </c>
      <c r="C4826" s="2" t="s">
        <v>4274</v>
      </c>
      <c r="D4826" s="11" t="n">
        <v>55992</v>
      </c>
      <c r="E4826" s="31" t="n">
        <v>40.8</v>
      </c>
      <c r="F4826" s="31" t="n">
        <v>66.3</v>
      </c>
      <c r="G4826" s="31" t="n">
        <v>23.8</v>
      </c>
      <c r="H4826" s="2" t="s">
        <v>822</v>
      </c>
    </row>
    <row r="4827" customFormat="false" ht="15" hidden="false" customHeight="false" outlineLevel="0" collapsed="false">
      <c r="A4827" s="2" t="s">
        <v>294</v>
      </c>
      <c r="B4827" s="2" t="s">
        <v>47</v>
      </c>
      <c r="C4827" s="2" t="s">
        <v>4275</v>
      </c>
      <c r="D4827" s="11" t="n">
        <v>58214</v>
      </c>
      <c r="E4827" s="31" t="n">
        <v>25</v>
      </c>
      <c r="F4827" s="31" t="n">
        <v>54.9</v>
      </c>
      <c r="G4827" s="31" t="n">
        <v>26.5</v>
      </c>
      <c r="H4827" s="2" t="s">
        <v>822</v>
      </c>
    </row>
    <row r="4828" customFormat="false" ht="15" hidden="false" customHeight="false" outlineLevel="0" collapsed="false">
      <c r="A4828" s="2" t="s">
        <v>168</v>
      </c>
      <c r="B4828" s="2" t="s">
        <v>4291</v>
      </c>
      <c r="C4828" s="2" t="s">
        <v>4274</v>
      </c>
      <c r="D4828" s="2"/>
      <c r="E4828" s="31" t="n">
        <v>69.9</v>
      </c>
      <c r="F4828" s="31" t="n">
        <v>61.8</v>
      </c>
      <c r="G4828" s="31" t="n">
        <v>38</v>
      </c>
      <c r="H4828" s="2" t="s">
        <v>822</v>
      </c>
    </row>
    <row r="4829" customFormat="false" ht="15" hidden="false" customHeight="false" outlineLevel="0" collapsed="false">
      <c r="A4829" s="2" t="s">
        <v>168</v>
      </c>
      <c r="B4829" s="2" t="s">
        <v>4291</v>
      </c>
      <c r="C4829" s="2" t="s">
        <v>4275</v>
      </c>
      <c r="D4829" s="2"/>
      <c r="E4829" s="31" t="n">
        <v>80.1</v>
      </c>
      <c r="F4829" s="31" t="n">
        <v>60.4</v>
      </c>
      <c r="G4829" s="31" t="n">
        <v>26.9</v>
      </c>
      <c r="H4829" s="2" t="s">
        <v>822</v>
      </c>
    </row>
    <row r="4830" customFormat="false" ht="15" hidden="false" customHeight="false" outlineLevel="0" collapsed="false">
      <c r="A4830" s="2" t="s">
        <v>168</v>
      </c>
      <c r="B4830" s="2" t="s">
        <v>45</v>
      </c>
      <c r="C4830" s="2" t="s">
        <v>4274</v>
      </c>
      <c r="D4830" s="11" t="n">
        <v>15620</v>
      </c>
      <c r="E4830" s="31" t="n">
        <v>68.3</v>
      </c>
      <c r="F4830" s="31" t="n">
        <v>19.7</v>
      </c>
      <c r="G4830" s="31" t="n">
        <v>30.5</v>
      </c>
      <c r="H4830" s="2" t="s">
        <v>822</v>
      </c>
    </row>
    <row r="4831" customFormat="false" ht="15" hidden="false" customHeight="false" outlineLevel="0" collapsed="false">
      <c r="A4831" s="2" t="s">
        <v>168</v>
      </c>
      <c r="B4831" s="2" t="s">
        <v>45</v>
      </c>
      <c r="C4831" s="2" t="s">
        <v>4275</v>
      </c>
      <c r="D4831" s="11" t="n">
        <v>15640</v>
      </c>
      <c r="E4831" s="31" t="n">
        <v>72.6</v>
      </c>
      <c r="F4831" s="31" t="n">
        <v>53.6</v>
      </c>
      <c r="G4831" s="31" t="n">
        <v>26.3</v>
      </c>
      <c r="H4831" s="2" t="s">
        <v>822</v>
      </c>
    </row>
    <row r="4832" customFormat="false" ht="15" hidden="false" customHeight="false" outlineLevel="0" collapsed="false">
      <c r="A4832" s="2" t="s">
        <v>168</v>
      </c>
      <c r="B4832" s="2" t="s">
        <v>46</v>
      </c>
      <c r="C4832" s="2" t="s">
        <v>4274</v>
      </c>
      <c r="D4832" s="11" t="n">
        <v>69632</v>
      </c>
      <c r="E4832" s="31" t="n">
        <v>88.8</v>
      </c>
      <c r="F4832" s="31" t="n">
        <v>75.7</v>
      </c>
      <c r="G4832" s="31" t="n">
        <v>63</v>
      </c>
      <c r="H4832" s="2" t="s">
        <v>822</v>
      </c>
    </row>
    <row r="4833" customFormat="false" ht="15" hidden="false" customHeight="false" outlineLevel="0" collapsed="false">
      <c r="A4833" s="2" t="s">
        <v>168</v>
      </c>
      <c r="B4833" s="2" t="s">
        <v>46</v>
      </c>
      <c r="C4833" s="2" t="s">
        <v>4275</v>
      </c>
      <c r="D4833" s="11" t="n">
        <v>70279</v>
      </c>
      <c r="E4833" s="31" t="n">
        <v>92.1</v>
      </c>
      <c r="F4833" s="31" t="n">
        <v>42.5</v>
      </c>
      <c r="G4833" s="31" t="n">
        <v>38.4</v>
      </c>
      <c r="H4833" s="2" t="s">
        <v>822</v>
      </c>
    </row>
    <row r="4834" customFormat="false" ht="15" hidden="false" customHeight="false" outlineLevel="0" collapsed="false">
      <c r="A4834" s="2" t="s">
        <v>168</v>
      </c>
      <c r="B4834" s="2" t="s">
        <v>47</v>
      </c>
      <c r="C4834" s="2" t="s">
        <v>4274</v>
      </c>
      <c r="D4834" s="11" t="n">
        <v>389127</v>
      </c>
      <c r="E4834" s="31" t="n">
        <v>52.6</v>
      </c>
      <c r="F4834" s="31" t="n">
        <v>90.1</v>
      </c>
      <c r="G4834" s="31" t="n">
        <v>20.5</v>
      </c>
      <c r="H4834" s="2" t="s">
        <v>822</v>
      </c>
    </row>
    <row r="4835" customFormat="false" ht="15" hidden="false" customHeight="false" outlineLevel="0" collapsed="false">
      <c r="A4835" s="2" t="s">
        <v>168</v>
      </c>
      <c r="B4835" s="2" t="s">
        <v>47</v>
      </c>
      <c r="C4835" s="2" t="s">
        <v>4275</v>
      </c>
      <c r="D4835" s="11" t="n">
        <v>397976</v>
      </c>
      <c r="E4835" s="31" t="n">
        <v>75.7</v>
      </c>
      <c r="F4835" s="31" t="n">
        <v>85.1</v>
      </c>
      <c r="G4835" s="31" t="n">
        <v>16.1</v>
      </c>
      <c r="H4835" s="2" t="s">
        <v>822</v>
      </c>
    </row>
    <row r="4836" customFormat="false" ht="15" hidden="false" customHeight="false" outlineLevel="0" collapsed="false">
      <c r="A4836" s="2" t="s">
        <v>3306</v>
      </c>
      <c r="B4836" s="2" t="s">
        <v>4291</v>
      </c>
      <c r="C4836" s="2" t="s">
        <v>4274</v>
      </c>
      <c r="D4836" s="2"/>
      <c r="E4836" s="31" t="n">
        <v>66.6</v>
      </c>
      <c r="F4836" s="31" t="n">
        <v>73</v>
      </c>
      <c r="G4836" s="31" t="n">
        <v>52.4</v>
      </c>
      <c r="H4836" s="2" t="s">
        <v>822</v>
      </c>
    </row>
    <row r="4837" customFormat="false" ht="15" hidden="false" customHeight="false" outlineLevel="0" collapsed="false">
      <c r="A4837" s="2" t="s">
        <v>3306</v>
      </c>
      <c r="B4837" s="2" t="s">
        <v>4291</v>
      </c>
      <c r="C4837" s="2" t="s">
        <v>4275</v>
      </c>
      <c r="D4837" s="2"/>
      <c r="E4837" s="2"/>
      <c r="F4837" s="2"/>
      <c r="G4837" s="31" t="n">
        <v>79</v>
      </c>
      <c r="H4837" s="2" t="s">
        <v>832</v>
      </c>
    </row>
    <row r="4838" customFormat="false" ht="15" hidden="false" customHeight="false" outlineLevel="0" collapsed="false">
      <c r="A4838" s="2" t="s">
        <v>3306</v>
      </c>
      <c r="B4838" s="2" t="s">
        <v>45</v>
      </c>
      <c r="C4838" s="2" t="s">
        <v>4274</v>
      </c>
      <c r="D4838" s="11" t="n">
        <v>1247168</v>
      </c>
      <c r="E4838" s="31" t="n">
        <v>36.5</v>
      </c>
      <c r="F4838" s="31" t="n">
        <v>85.7</v>
      </c>
      <c r="G4838" s="31" t="n">
        <v>65.9</v>
      </c>
      <c r="H4838" s="2" t="s">
        <v>822</v>
      </c>
    </row>
    <row r="4839" customFormat="false" ht="15" hidden="false" customHeight="false" outlineLevel="0" collapsed="false">
      <c r="A4839" s="2" t="s">
        <v>3306</v>
      </c>
      <c r="B4839" s="2" t="s">
        <v>45</v>
      </c>
      <c r="C4839" s="2" t="s">
        <v>4275</v>
      </c>
      <c r="D4839" s="2"/>
      <c r="E4839" s="2"/>
      <c r="F4839" s="2"/>
      <c r="G4839" s="31" t="n">
        <v>79</v>
      </c>
      <c r="H4839" s="2" t="s">
        <v>832</v>
      </c>
    </row>
    <row r="4840" customFormat="false" ht="15" hidden="false" customHeight="false" outlineLevel="0" collapsed="false">
      <c r="A4840" s="2" t="s">
        <v>3306</v>
      </c>
      <c r="B4840" s="2" t="s">
        <v>46</v>
      </c>
      <c r="C4840" s="2" t="s">
        <v>4274</v>
      </c>
      <c r="D4840" s="11" t="n">
        <v>132928</v>
      </c>
      <c r="E4840" s="31" t="n">
        <v>96.7</v>
      </c>
      <c r="F4840" s="31" t="n">
        <v>60.3</v>
      </c>
      <c r="G4840" s="31" t="n">
        <v>39</v>
      </c>
      <c r="H4840" s="2" t="s">
        <v>822</v>
      </c>
    </row>
    <row r="4841" customFormat="false" ht="15" hidden="false" customHeight="false" outlineLevel="0" collapsed="false">
      <c r="A4841" s="2" t="s">
        <v>3306</v>
      </c>
      <c r="B4841" s="2" t="s">
        <v>46</v>
      </c>
      <c r="C4841" s="2" t="s">
        <v>4275</v>
      </c>
      <c r="D4841" s="2"/>
      <c r="E4841" s="2"/>
      <c r="F4841" s="2"/>
      <c r="G4841" s="2"/>
      <c r="H4841" s="2" t="s">
        <v>832</v>
      </c>
    </row>
    <row r="4842" customFormat="false" ht="15" hidden="false" customHeight="false" outlineLevel="0" collapsed="false">
      <c r="A4842" s="2" t="s">
        <v>122</v>
      </c>
      <c r="B4842" s="2" t="s">
        <v>4291</v>
      </c>
      <c r="C4842" s="2" t="s">
        <v>4274</v>
      </c>
      <c r="D4842" s="2"/>
      <c r="E4842" s="2"/>
      <c r="F4842" s="2"/>
      <c r="G4842" s="2"/>
      <c r="H4842" s="2" t="s">
        <v>832</v>
      </c>
    </row>
    <row r="4843" customFormat="false" ht="15" hidden="false" customHeight="false" outlineLevel="0" collapsed="false">
      <c r="A4843" s="2" t="s">
        <v>122</v>
      </c>
      <c r="B4843" s="2" t="s">
        <v>4291</v>
      </c>
      <c r="C4843" s="2" t="s">
        <v>4275</v>
      </c>
      <c r="D4843" s="2"/>
      <c r="E4843" s="31" t="n">
        <v>89.8</v>
      </c>
      <c r="F4843" s="31" t="n">
        <v>81.8</v>
      </c>
      <c r="G4843" s="31" t="n">
        <v>59.4</v>
      </c>
      <c r="H4843" s="2" t="s">
        <v>822</v>
      </c>
    </row>
    <row r="4844" customFormat="false" ht="15" hidden="false" customHeight="false" outlineLevel="0" collapsed="false">
      <c r="A4844" s="2" t="s">
        <v>122</v>
      </c>
      <c r="B4844" s="2" t="s">
        <v>45</v>
      </c>
      <c r="C4844" s="2" t="s">
        <v>4274</v>
      </c>
      <c r="D4844" s="2"/>
      <c r="E4844" s="2"/>
      <c r="F4844" s="2"/>
      <c r="G4844" s="2"/>
      <c r="H4844" s="2" t="s">
        <v>832</v>
      </c>
    </row>
    <row r="4845" customFormat="false" ht="15" hidden="false" customHeight="false" outlineLevel="0" collapsed="false">
      <c r="A4845" s="2" t="s">
        <v>122</v>
      </c>
      <c r="B4845" s="2" t="s">
        <v>45</v>
      </c>
      <c r="C4845" s="2" t="s">
        <v>4275</v>
      </c>
      <c r="D4845" s="11" t="n">
        <v>33210</v>
      </c>
      <c r="E4845" s="31" t="n">
        <v>89.8</v>
      </c>
      <c r="F4845" s="31" t="n">
        <v>81.8</v>
      </c>
      <c r="G4845" s="31" t="n">
        <v>59.4</v>
      </c>
      <c r="H4845" s="2" t="s">
        <v>822</v>
      </c>
    </row>
    <row r="4846" customFormat="false" ht="15" hidden="false" customHeight="false" outlineLevel="0" collapsed="false">
      <c r="A4846" s="2" t="s">
        <v>1571</v>
      </c>
      <c r="B4846" s="2" t="s">
        <v>4291</v>
      </c>
      <c r="C4846" s="2" t="s">
        <v>4274</v>
      </c>
      <c r="D4846" s="2"/>
      <c r="E4846" s="31" t="n">
        <v>42.2</v>
      </c>
      <c r="F4846" s="31" t="n">
        <v>59.4</v>
      </c>
      <c r="G4846" s="31" t="n">
        <v>62.8</v>
      </c>
      <c r="H4846" s="2" t="s">
        <v>822</v>
      </c>
    </row>
    <row r="4847" customFormat="false" ht="15" hidden="false" customHeight="false" outlineLevel="0" collapsed="false">
      <c r="A4847" s="2" t="s">
        <v>1571</v>
      </c>
      <c r="B4847" s="2" t="s">
        <v>4291</v>
      </c>
      <c r="C4847" s="2" t="s">
        <v>4275</v>
      </c>
      <c r="D4847" s="2"/>
      <c r="E4847" s="31" t="n">
        <v>50.8</v>
      </c>
      <c r="F4847" s="31" t="n">
        <v>70.1</v>
      </c>
      <c r="G4847" s="31" t="n">
        <v>67</v>
      </c>
      <c r="H4847" s="2" t="s">
        <v>832</v>
      </c>
    </row>
    <row r="4848" customFormat="false" ht="15" hidden="false" customHeight="false" outlineLevel="0" collapsed="false">
      <c r="A4848" s="2" t="s">
        <v>1571</v>
      </c>
      <c r="B4848" s="2" t="s">
        <v>45</v>
      </c>
      <c r="C4848" s="2" t="s">
        <v>4274</v>
      </c>
      <c r="D4848" s="11" t="n">
        <v>13780</v>
      </c>
      <c r="E4848" s="31" t="n">
        <v>2.2</v>
      </c>
      <c r="F4848" s="31" t="n">
        <v>72.6</v>
      </c>
      <c r="G4848" s="31" t="n">
        <v>67.8</v>
      </c>
      <c r="H4848" s="2" t="s">
        <v>822</v>
      </c>
    </row>
    <row r="4849" customFormat="false" ht="15" hidden="false" customHeight="false" outlineLevel="0" collapsed="false">
      <c r="A4849" s="2" t="s">
        <v>1571</v>
      </c>
      <c r="B4849" s="2" t="s">
        <v>45</v>
      </c>
      <c r="C4849" s="2" t="s">
        <v>4275</v>
      </c>
      <c r="D4849" s="11" t="n">
        <v>13630</v>
      </c>
      <c r="E4849" s="31" t="n">
        <v>4.3</v>
      </c>
      <c r="F4849" s="31" t="n">
        <v>66.7</v>
      </c>
      <c r="G4849" s="31" t="n">
        <v>40.6</v>
      </c>
      <c r="H4849" s="2" t="s">
        <v>822</v>
      </c>
    </row>
    <row r="4850" customFormat="false" ht="15" hidden="false" customHeight="false" outlineLevel="0" collapsed="false">
      <c r="A4850" s="2" t="s">
        <v>1571</v>
      </c>
      <c r="B4850" s="2" t="s">
        <v>46</v>
      </c>
      <c r="C4850" s="2" t="s">
        <v>4274</v>
      </c>
      <c r="D4850" s="11" t="n">
        <v>266170</v>
      </c>
      <c r="E4850" s="31" t="n">
        <v>73.6</v>
      </c>
      <c r="F4850" s="31" t="n">
        <v>54.5</v>
      </c>
      <c r="G4850" s="31" t="n">
        <v>28.3</v>
      </c>
      <c r="H4850" s="2" t="s">
        <v>822</v>
      </c>
    </row>
    <row r="4851" customFormat="false" ht="15" hidden="false" customHeight="false" outlineLevel="0" collapsed="false">
      <c r="A4851" s="2" t="s">
        <v>1571</v>
      </c>
      <c r="B4851" s="2" t="s">
        <v>46</v>
      </c>
      <c r="C4851" s="2" t="s">
        <v>4275</v>
      </c>
      <c r="D4851" s="11" t="n">
        <v>278840</v>
      </c>
      <c r="E4851" s="31" t="n">
        <v>86.6</v>
      </c>
      <c r="F4851" s="31" t="n">
        <v>62.4</v>
      </c>
      <c r="G4851" s="2"/>
      <c r="H4851" s="2" t="s">
        <v>832</v>
      </c>
    </row>
    <row r="4852" customFormat="false" ht="15" hidden="false" customHeight="false" outlineLevel="0" collapsed="false">
      <c r="A4852" s="2" t="s">
        <v>1571</v>
      </c>
      <c r="B4852" s="2" t="s">
        <v>47</v>
      </c>
      <c r="C4852" s="2" t="s">
        <v>4274</v>
      </c>
      <c r="D4852" s="11" t="n">
        <v>3614</v>
      </c>
      <c r="E4852" s="31" t="n">
        <v>50.9</v>
      </c>
      <c r="F4852" s="31" t="n">
        <v>51.1</v>
      </c>
      <c r="G4852" s="31" t="n">
        <v>92.4</v>
      </c>
      <c r="H4852" s="2" t="s">
        <v>822</v>
      </c>
    </row>
    <row r="4853" customFormat="false" ht="15" hidden="false" customHeight="false" outlineLevel="0" collapsed="false">
      <c r="A4853" s="2" t="s">
        <v>1571</v>
      </c>
      <c r="B4853" s="2" t="s">
        <v>47</v>
      </c>
      <c r="C4853" s="2" t="s">
        <v>4275</v>
      </c>
      <c r="D4853" s="11" t="n">
        <v>3895</v>
      </c>
      <c r="E4853" s="31" t="n">
        <v>61.6</v>
      </c>
      <c r="F4853" s="31" t="n">
        <v>81.2</v>
      </c>
      <c r="G4853" s="31" t="n">
        <v>93.5</v>
      </c>
      <c r="H4853" s="2" t="s">
        <v>822</v>
      </c>
    </row>
    <row r="4854" customFormat="false" ht="15" hidden="false" customHeight="false" outlineLevel="0" collapsed="false">
      <c r="A4854" s="2" t="s">
        <v>3309</v>
      </c>
      <c r="B4854" s="2" t="s">
        <v>4291</v>
      </c>
      <c r="C4854" s="2" t="s">
        <v>4274</v>
      </c>
      <c r="D4854" s="2"/>
      <c r="E4854" s="31" t="n">
        <v>95.9</v>
      </c>
      <c r="F4854" s="31" t="n">
        <v>79.8</v>
      </c>
      <c r="G4854" s="31" t="n">
        <v>16</v>
      </c>
      <c r="H4854" s="2" t="s">
        <v>822</v>
      </c>
    </row>
    <row r="4855" customFormat="false" ht="15" hidden="false" customHeight="false" outlineLevel="0" collapsed="false">
      <c r="A4855" s="2" t="s">
        <v>3309</v>
      </c>
      <c r="B4855" s="2" t="s">
        <v>4291</v>
      </c>
      <c r="C4855" s="2" t="s">
        <v>4275</v>
      </c>
      <c r="D4855" s="2"/>
      <c r="E4855" s="2"/>
      <c r="F4855" s="31" t="n">
        <v>95.3</v>
      </c>
      <c r="G4855" s="2"/>
      <c r="H4855" s="2" t="s">
        <v>832</v>
      </c>
    </row>
    <row r="4856" customFormat="false" ht="15" hidden="false" customHeight="false" outlineLevel="0" collapsed="false">
      <c r="A4856" s="2" t="s">
        <v>3309</v>
      </c>
      <c r="B4856" s="2" t="s">
        <v>46</v>
      </c>
      <c r="C4856" s="2" t="s">
        <v>4274</v>
      </c>
      <c r="D4856" s="11" t="n">
        <v>47780</v>
      </c>
      <c r="E4856" s="31" t="n">
        <v>95.9</v>
      </c>
      <c r="F4856" s="31" t="n">
        <v>79.8</v>
      </c>
      <c r="G4856" s="31" t="n">
        <v>16</v>
      </c>
      <c r="H4856" s="2" t="s">
        <v>822</v>
      </c>
    </row>
    <row r="4857" customFormat="false" ht="15" hidden="false" customHeight="false" outlineLevel="0" collapsed="false">
      <c r="A4857" s="2" t="s">
        <v>3309</v>
      </c>
      <c r="B4857" s="2" t="s">
        <v>46</v>
      </c>
      <c r="C4857" s="2" t="s">
        <v>4275</v>
      </c>
      <c r="D4857" s="11" t="n">
        <v>49681</v>
      </c>
      <c r="E4857" s="2"/>
      <c r="F4857" s="31" t="n">
        <v>95.3</v>
      </c>
      <c r="G4857" s="2"/>
      <c r="H4857" s="2" t="s">
        <v>832</v>
      </c>
    </row>
    <row r="4858" customFormat="false" ht="15" hidden="false" customHeight="false" outlineLevel="0" collapsed="false">
      <c r="A4858" s="2" t="s">
        <v>1108</v>
      </c>
      <c r="B4858" s="2" t="s">
        <v>4291</v>
      </c>
      <c r="C4858" s="2" t="s">
        <v>4274</v>
      </c>
      <c r="D4858" s="2"/>
      <c r="E4858" s="31" t="n">
        <v>41.4</v>
      </c>
      <c r="F4858" s="31" t="n">
        <v>64</v>
      </c>
      <c r="G4858" s="31" t="n">
        <v>35.1</v>
      </c>
      <c r="H4858" s="2" t="s">
        <v>832</v>
      </c>
    </row>
    <row r="4859" customFormat="false" ht="15" hidden="false" customHeight="false" outlineLevel="0" collapsed="false">
      <c r="A4859" s="2" t="s">
        <v>1108</v>
      </c>
      <c r="B4859" s="2" t="s">
        <v>4291</v>
      </c>
      <c r="C4859" s="2" t="s">
        <v>4275</v>
      </c>
      <c r="D4859" s="2"/>
      <c r="E4859" s="31" t="n">
        <v>49.4</v>
      </c>
      <c r="F4859" s="31" t="n">
        <v>35</v>
      </c>
      <c r="G4859" s="31" t="n">
        <v>43.6</v>
      </c>
      <c r="H4859" s="2" t="s">
        <v>832</v>
      </c>
    </row>
    <row r="4860" customFormat="false" ht="15" hidden="false" customHeight="false" outlineLevel="0" collapsed="false">
      <c r="A4860" s="2" t="s">
        <v>1108</v>
      </c>
      <c r="B4860" s="2" t="s">
        <v>45</v>
      </c>
      <c r="C4860" s="2" t="s">
        <v>4274</v>
      </c>
      <c r="D4860" s="11" t="n">
        <v>23000</v>
      </c>
      <c r="E4860" s="31" t="n">
        <v>60.3</v>
      </c>
      <c r="F4860" s="31" t="n">
        <v>50.4</v>
      </c>
      <c r="G4860" s="31" t="n">
        <v>39</v>
      </c>
      <c r="H4860" s="2" t="s">
        <v>822</v>
      </c>
    </row>
    <row r="4861" customFormat="false" ht="15" hidden="false" customHeight="false" outlineLevel="0" collapsed="false">
      <c r="A4861" s="2" t="s">
        <v>1108</v>
      </c>
      <c r="B4861" s="2" t="s">
        <v>45</v>
      </c>
      <c r="C4861" s="2" t="s">
        <v>4275</v>
      </c>
      <c r="D4861" s="11" t="n">
        <v>23860</v>
      </c>
      <c r="E4861" s="31" t="n">
        <v>65.4</v>
      </c>
      <c r="F4861" s="31" t="n">
        <v>34.7</v>
      </c>
      <c r="G4861" s="31" t="n">
        <v>33.6</v>
      </c>
      <c r="H4861" s="2" t="s">
        <v>822</v>
      </c>
    </row>
    <row r="4862" customFormat="false" ht="15" hidden="false" customHeight="false" outlineLevel="0" collapsed="false">
      <c r="A4862" s="2" t="s">
        <v>1108</v>
      </c>
      <c r="B4862" s="2" t="s">
        <v>46</v>
      </c>
      <c r="C4862" s="2" t="s">
        <v>4274</v>
      </c>
      <c r="D4862" s="2"/>
      <c r="E4862" s="2"/>
      <c r="F4862" s="2"/>
      <c r="G4862" s="2"/>
      <c r="H4862" s="2" t="s">
        <v>832</v>
      </c>
    </row>
    <row r="4863" customFormat="false" ht="15" hidden="false" customHeight="false" outlineLevel="0" collapsed="false">
      <c r="A4863" s="2" t="s">
        <v>1108</v>
      </c>
      <c r="B4863" s="2" t="s">
        <v>46</v>
      </c>
      <c r="C4863" s="2" t="s">
        <v>4275</v>
      </c>
      <c r="D4863" s="2"/>
      <c r="E4863" s="2"/>
      <c r="F4863" s="2"/>
      <c r="G4863" s="2"/>
      <c r="H4863" s="2" t="s">
        <v>832</v>
      </c>
    </row>
    <row r="4864" customFormat="false" ht="15" hidden="false" customHeight="false" outlineLevel="0" collapsed="false">
      <c r="A4864" s="2" t="s">
        <v>1108</v>
      </c>
      <c r="B4864" s="2" t="s">
        <v>47</v>
      </c>
      <c r="C4864" s="2" t="s">
        <v>4274</v>
      </c>
      <c r="D4864" s="11" t="n">
        <v>19296</v>
      </c>
      <c r="E4864" s="31" t="n">
        <v>22.5</v>
      </c>
      <c r="F4864" s="31" t="n">
        <v>77.5</v>
      </c>
      <c r="G4864" s="31" t="n">
        <v>31.2</v>
      </c>
      <c r="H4864" s="2" t="s">
        <v>822</v>
      </c>
    </row>
    <row r="4865" customFormat="false" ht="15" hidden="false" customHeight="false" outlineLevel="0" collapsed="false">
      <c r="A4865" s="2" t="s">
        <v>1108</v>
      </c>
      <c r="B4865" s="2" t="s">
        <v>47</v>
      </c>
      <c r="C4865" s="2" t="s">
        <v>4275</v>
      </c>
      <c r="D4865" s="11" t="n">
        <v>19180</v>
      </c>
      <c r="E4865" s="31" t="n">
        <v>33.5</v>
      </c>
      <c r="F4865" s="31" t="n">
        <v>35.4</v>
      </c>
      <c r="G4865" s="31" t="n">
        <v>53.6</v>
      </c>
      <c r="H4865" s="2" t="s">
        <v>822</v>
      </c>
    </row>
    <row r="4866" customFormat="false" ht="15" hidden="false" customHeight="false" outlineLevel="0" collapsed="false">
      <c r="A4866" s="2" t="s">
        <v>602</v>
      </c>
      <c r="B4866" s="2" t="s">
        <v>4291</v>
      </c>
      <c r="C4866" s="2" t="s">
        <v>4274</v>
      </c>
      <c r="D4866" s="2"/>
      <c r="E4866" s="31" t="n">
        <v>34.3</v>
      </c>
      <c r="F4866" s="31" t="n">
        <v>67.1</v>
      </c>
      <c r="G4866" s="31" t="n">
        <v>54.7</v>
      </c>
      <c r="H4866" s="2" t="s">
        <v>822</v>
      </c>
    </row>
    <row r="4867" customFormat="false" ht="15" hidden="false" customHeight="false" outlineLevel="0" collapsed="false">
      <c r="A4867" s="2" t="s">
        <v>602</v>
      </c>
      <c r="B4867" s="2" t="s">
        <v>4291</v>
      </c>
      <c r="C4867" s="2" t="s">
        <v>4275</v>
      </c>
      <c r="D4867" s="2"/>
      <c r="E4867" s="31" t="n">
        <v>38.7</v>
      </c>
      <c r="F4867" s="31" t="n">
        <v>65.9</v>
      </c>
      <c r="G4867" s="31" t="n">
        <v>62</v>
      </c>
      <c r="H4867" s="2" t="s">
        <v>822</v>
      </c>
    </row>
    <row r="4868" customFormat="false" ht="15" hidden="false" customHeight="false" outlineLevel="0" collapsed="false">
      <c r="A4868" s="2" t="s">
        <v>602</v>
      </c>
      <c r="B4868" s="2" t="s">
        <v>45</v>
      </c>
      <c r="C4868" s="2" t="s">
        <v>4274</v>
      </c>
      <c r="D4868" s="11" t="n">
        <v>69488</v>
      </c>
      <c r="E4868" s="31" t="n">
        <v>63.7</v>
      </c>
      <c r="F4868" s="31" t="n">
        <v>91.6</v>
      </c>
      <c r="G4868" s="31" t="n">
        <v>89.8</v>
      </c>
      <c r="H4868" s="2" t="s">
        <v>822</v>
      </c>
    </row>
    <row r="4869" customFormat="false" ht="15" hidden="false" customHeight="false" outlineLevel="0" collapsed="false">
      <c r="A4869" s="2" t="s">
        <v>602</v>
      </c>
      <c r="B4869" s="2" t="s">
        <v>45</v>
      </c>
      <c r="C4869" s="2" t="s">
        <v>4275</v>
      </c>
      <c r="D4869" s="11" t="n">
        <v>74520</v>
      </c>
      <c r="E4869" s="31" t="n">
        <v>90.7</v>
      </c>
      <c r="F4869" s="31" t="n">
        <v>97.3</v>
      </c>
      <c r="G4869" s="31" t="n">
        <v>89.7</v>
      </c>
      <c r="H4869" s="2" t="s">
        <v>822</v>
      </c>
    </row>
    <row r="4870" customFormat="false" ht="15" hidden="false" customHeight="false" outlineLevel="0" collapsed="false">
      <c r="A4870" s="2" t="s">
        <v>602</v>
      </c>
      <c r="B4870" s="2" t="s">
        <v>46</v>
      </c>
      <c r="C4870" s="2" t="s">
        <v>4274</v>
      </c>
      <c r="D4870" s="11" t="n">
        <v>34806</v>
      </c>
      <c r="E4870" s="31" t="n">
        <v>21.7</v>
      </c>
      <c r="F4870" s="31" t="n">
        <v>30</v>
      </c>
      <c r="G4870" s="31" t="n">
        <v>3</v>
      </c>
      <c r="H4870" s="2" t="s">
        <v>822</v>
      </c>
    </row>
    <row r="4871" customFormat="false" ht="15" hidden="false" customHeight="false" outlineLevel="0" collapsed="false">
      <c r="A4871" s="2" t="s">
        <v>602</v>
      </c>
      <c r="B4871" s="2" t="s">
        <v>46</v>
      </c>
      <c r="C4871" s="2" t="s">
        <v>4275</v>
      </c>
      <c r="D4871" s="11" t="n">
        <v>35052</v>
      </c>
      <c r="E4871" s="31" t="n">
        <v>15.1</v>
      </c>
      <c r="F4871" s="31" t="n">
        <v>14.2</v>
      </c>
      <c r="G4871" s="31" t="n">
        <v>3.3</v>
      </c>
      <c r="H4871" s="2" t="s">
        <v>822</v>
      </c>
    </row>
    <row r="4872" customFormat="false" ht="15" hidden="false" customHeight="false" outlineLevel="0" collapsed="false">
      <c r="A4872" s="2" t="s">
        <v>602</v>
      </c>
      <c r="B4872" s="2" t="s">
        <v>47</v>
      </c>
      <c r="C4872" s="2" t="s">
        <v>4274</v>
      </c>
      <c r="D4872" s="11" t="n">
        <v>171723</v>
      </c>
      <c r="E4872" s="31" t="n">
        <v>17.6</v>
      </c>
      <c r="F4872" s="31" t="n">
        <v>79.6</v>
      </c>
      <c r="G4872" s="31" t="n">
        <v>71.4</v>
      </c>
      <c r="H4872" s="2" t="s">
        <v>822</v>
      </c>
    </row>
    <row r="4873" customFormat="false" ht="15" hidden="false" customHeight="false" outlineLevel="0" collapsed="false">
      <c r="A4873" s="2" t="s">
        <v>602</v>
      </c>
      <c r="B4873" s="2" t="s">
        <v>47</v>
      </c>
      <c r="C4873" s="2" t="s">
        <v>4275</v>
      </c>
      <c r="D4873" s="11" t="n">
        <v>178155</v>
      </c>
      <c r="E4873" s="31" t="n">
        <v>10.2</v>
      </c>
      <c r="F4873" s="31" t="n">
        <v>86.3</v>
      </c>
      <c r="G4873" s="31" t="n">
        <v>93</v>
      </c>
      <c r="H4873" s="2" t="s">
        <v>822</v>
      </c>
    </row>
    <row r="4874" customFormat="false" ht="15" hidden="false" customHeight="false" outlineLevel="0" collapsed="false">
      <c r="A4874" s="2" t="s">
        <v>2295</v>
      </c>
      <c r="B4874" s="2" t="s">
        <v>4291</v>
      </c>
      <c r="C4874" s="2" t="s">
        <v>4274</v>
      </c>
      <c r="D4874" s="2"/>
      <c r="E4874" s="31" t="n">
        <v>80.8</v>
      </c>
      <c r="F4874" s="31" t="n">
        <v>57.4</v>
      </c>
      <c r="G4874" s="31" t="n">
        <v>59.8</v>
      </c>
      <c r="H4874" s="2" t="s">
        <v>832</v>
      </c>
    </row>
    <row r="4875" customFormat="false" ht="15" hidden="false" customHeight="false" outlineLevel="0" collapsed="false">
      <c r="A4875" s="2" t="s">
        <v>2295</v>
      </c>
      <c r="B4875" s="2" t="s">
        <v>4291</v>
      </c>
      <c r="C4875" s="2" t="s">
        <v>4275</v>
      </c>
      <c r="D4875" s="2"/>
      <c r="E4875" s="31" t="n">
        <v>88.4</v>
      </c>
      <c r="F4875" s="31" t="n">
        <v>36</v>
      </c>
      <c r="G4875" s="31" t="n">
        <v>71.5</v>
      </c>
      <c r="H4875" s="2" t="s">
        <v>832</v>
      </c>
    </row>
    <row r="4876" customFormat="false" ht="15" hidden="false" customHeight="false" outlineLevel="0" collapsed="false">
      <c r="A4876" s="2" t="s">
        <v>2295</v>
      </c>
      <c r="B4876" s="2" t="s">
        <v>46</v>
      </c>
      <c r="C4876" s="2" t="s">
        <v>4274</v>
      </c>
      <c r="D4876" s="2"/>
      <c r="E4876" s="2"/>
      <c r="F4876" s="2"/>
      <c r="G4876" s="31" t="n">
        <v>59.8</v>
      </c>
      <c r="H4876" s="2" t="s">
        <v>832</v>
      </c>
    </row>
    <row r="4877" customFormat="false" ht="15" hidden="false" customHeight="false" outlineLevel="0" collapsed="false">
      <c r="A4877" s="2" t="s">
        <v>2295</v>
      </c>
      <c r="B4877" s="2" t="s">
        <v>46</v>
      </c>
      <c r="C4877" s="2" t="s">
        <v>4275</v>
      </c>
      <c r="D4877" s="2"/>
      <c r="E4877" s="2"/>
      <c r="F4877" s="2"/>
      <c r="G4877" s="2"/>
      <c r="H4877" s="2" t="s">
        <v>832</v>
      </c>
    </row>
    <row r="4878" customFormat="false" ht="15" hidden="false" customHeight="false" outlineLevel="0" collapsed="false">
      <c r="A4878" s="2" t="s">
        <v>2295</v>
      </c>
      <c r="B4878" s="2" t="s">
        <v>47</v>
      </c>
      <c r="C4878" s="2" t="s">
        <v>4274</v>
      </c>
      <c r="D4878" s="11" t="n">
        <v>218904</v>
      </c>
      <c r="E4878" s="31" t="n">
        <v>80.8</v>
      </c>
      <c r="F4878" s="31" t="n">
        <v>57.4</v>
      </c>
      <c r="G4878" s="2"/>
      <c r="H4878" s="2" t="s">
        <v>832</v>
      </c>
    </row>
    <row r="4879" customFormat="false" ht="15" hidden="false" customHeight="false" outlineLevel="0" collapsed="false">
      <c r="A4879" s="2" t="s">
        <v>2295</v>
      </c>
      <c r="B4879" s="2" t="s">
        <v>47</v>
      </c>
      <c r="C4879" s="2" t="s">
        <v>4275</v>
      </c>
      <c r="D4879" s="11" t="n">
        <v>228201</v>
      </c>
      <c r="E4879" s="31" t="n">
        <v>88.4</v>
      </c>
      <c r="F4879" s="31" t="n">
        <v>36</v>
      </c>
      <c r="G4879" s="31" t="n">
        <v>71.5</v>
      </c>
      <c r="H4879" s="2" t="s">
        <v>822</v>
      </c>
    </row>
    <row r="4880" customFormat="false" ht="15" hidden="false" customHeight="false" outlineLevel="0" collapsed="false">
      <c r="A4880" s="2" t="s">
        <v>170</v>
      </c>
      <c r="B4880" s="2" t="s">
        <v>4291</v>
      </c>
      <c r="C4880" s="2" t="s">
        <v>4274</v>
      </c>
      <c r="D4880" s="2"/>
      <c r="E4880" s="31" t="n">
        <v>77.6</v>
      </c>
      <c r="F4880" s="31" t="n">
        <v>22</v>
      </c>
      <c r="G4880" s="31" t="n">
        <v>58.7</v>
      </c>
      <c r="H4880" s="2" t="s">
        <v>832</v>
      </c>
    </row>
    <row r="4881" customFormat="false" ht="15" hidden="false" customHeight="false" outlineLevel="0" collapsed="false">
      <c r="A4881" s="2" t="s">
        <v>170</v>
      </c>
      <c r="B4881" s="2" t="s">
        <v>4291</v>
      </c>
      <c r="C4881" s="2" t="s">
        <v>4275</v>
      </c>
      <c r="D4881" s="2"/>
      <c r="E4881" s="31" t="n">
        <v>79.6</v>
      </c>
      <c r="F4881" s="31" t="n">
        <v>41.7</v>
      </c>
      <c r="G4881" s="31" t="n">
        <v>57.5</v>
      </c>
      <c r="H4881" s="2" t="s">
        <v>822</v>
      </c>
    </row>
    <row r="4882" customFormat="false" ht="15" hidden="false" customHeight="false" outlineLevel="0" collapsed="false">
      <c r="A4882" s="2" t="s">
        <v>170</v>
      </c>
      <c r="B4882" s="2" t="s">
        <v>45</v>
      </c>
      <c r="C4882" s="2" t="s">
        <v>4274</v>
      </c>
      <c r="D4882" s="11" t="n">
        <v>20037</v>
      </c>
      <c r="E4882" s="31" t="n">
        <v>67.6</v>
      </c>
      <c r="F4882" s="31" t="n">
        <v>1.5</v>
      </c>
      <c r="G4882" s="31" t="n">
        <v>98</v>
      </c>
      <c r="H4882" s="2" t="s">
        <v>822</v>
      </c>
    </row>
    <row r="4883" customFormat="false" ht="15" hidden="false" customHeight="false" outlineLevel="0" collapsed="false">
      <c r="A4883" s="2" t="s">
        <v>170</v>
      </c>
      <c r="B4883" s="2" t="s">
        <v>45</v>
      </c>
      <c r="C4883" s="2" t="s">
        <v>4275</v>
      </c>
      <c r="D4883" s="11" t="n">
        <v>19820</v>
      </c>
      <c r="E4883" s="31" t="n">
        <v>83</v>
      </c>
      <c r="F4883" s="31" t="n">
        <v>2.1</v>
      </c>
      <c r="G4883" s="31" t="n">
        <v>85.5</v>
      </c>
      <c r="H4883" s="2" t="s">
        <v>822</v>
      </c>
    </row>
    <row r="4884" customFormat="false" ht="15" hidden="false" customHeight="false" outlineLevel="0" collapsed="false">
      <c r="A4884" s="2" t="s">
        <v>170</v>
      </c>
      <c r="B4884" s="2" t="s">
        <v>46</v>
      </c>
      <c r="C4884" s="2" t="s">
        <v>4274</v>
      </c>
      <c r="D4884" s="2"/>
      <c r="E4884" s="2"/>
      <c r="F4884" s="2"/>
      <c r="G4884" s="2"/>
      <c r="H4884" s="2" t="s">
        <v>832</v>
      </c>
    </row>
    <row r="4885" customFormat="false" ht="15" hidden="false" customHeight="false" outlineLevel="0" collapsed="false">
      <c r="A4885" s="2" t="s">
        <v>170</v>
      </c>
      <c r="B4885" s="2" t="s">
        <v>46</v>
      </c>
      <c r="C4885" s="2" t="s">
        <v>4275</v>
      </c>
      <c r="D4885" s="11" t="n">
        <v>95980</v>
      </c>
      <c r="E4885" s="31" t="n">
        <v>60.7</v>
      </c>
      <c r="F4885" s="31" t="n">
        <v>81.8</v>
      </c>
      <c r="G4885" s="31" t="n">
        <v>46.6</v>
      </c>
      <c r="H4885" s="2" t="s">
        <v>822</v>
      </c>
    </row>
    <row r="4886" customFormat="false" ht="15" hidden="false" customHeight="false" outlineLevel="0" collapsed="false">
      <c r="A4886" s="2" t="s">
        <v>170</v>
      </c>
      <c r="B4886" s="2" t="s">
        <v>47</v>
      </c>
      <c r="C4886" s="2" t="s">
        <v>4274</v>
      </c>
      <c r="D4886" s="11" t="n">
        <v>45926</v>
      </c>
      <c r="E4886" s="31" t="n">
        <v>87.7</v>
      </c>
      <c r="F4886" s="31" t="n">
        <v>42.5</v>
      </c>
      <c r="G4886" s="31" t="n">
        <v>19.4</v>
      </c>
      <c r="H4886" s="2" t="s">
        <v>822</v>
      </c>
    </row>
    <row r="4887" customFormat="false" ht="15" hidden="false" customHeight="false" outlineLevel="0" collapsed="false">
      <c r="A4887" s="2" t="s">
        <v>170</v>
      </c>
      <c r="B4887" s="2" t="s">
        <v>47</v>
      </c>
      <c r="C4887" s="2" t="s">
        <v>4275</v>
      </c>
      <c r="D4887" s="11" t="n">
        <v>45026</v>
      </c>
      <c r="E4887" s="31" t="n">
        <v>95.2</v>
      </c>
      <c r="F4887" s="31" t="n">
        <v>41.2</v>
      </c>
      <c r="G4887" s="31" t="n">
        <v>40.5</v>
      </c>
      <c r="H4887" s="2" t="s">
        <v>822</v>
      </c>
    </row>
    <row r="4888" customFormat="false" ht="15" hidden="false" customHeight="false" outlineLevel="0" collapsed="false">
      <c r="A4888" s="2" t="s">
        <v>672</v>
      </c>
      <c r="B4888" s="2" t="s">
        <v>4291</v>
      </c>
      <c r="C4888" s="2" t="s">
        <v>4274</v>
      </c>
      <c r="D4888" s="2"/>
      <c r="E4888" s="31" t="n">
        <v>45.5</v>
      </c>
      <c r="F4888" s="31" t="n">
        <v>59.4</v>
      </c>
      <c r="G4888" s="31" t="n">
        <v>51.5</v>
      </c>
      <c r="H4888" s="2" t="s">
        <v>832</v>
      </c>
    </row>
    <row r="4889" customFormat="false" ht="15" hidden="false" customHeight="false" outlineLevel="0" collapsed="false">
      <c r="A4889" s="2" t="s">
        <v>672</v>
      </c>
      <c r="B4889" s="2" t="s">
        <v>4291</v>
      </c>
      <c r="C4889" s="2" t="s">
        <v>4275</v>
      </c>
      <c r="D4889" s="2"/>
      <c r="E4889" s="31" t="n">
        <v>32.2</v>
      </c>
      <c r="F4889" s="31" t="n">
        <v>63.5</v>
      </c>
      <c r="G4889" s="31" t="n">
        <v>48.7</v>
      </c>
      <c r="H4889" s="2" t="s">
        <v>822</v>
      </c>
    </row>
    <row r="4890" customFormat="false" ht="15" hidden="false" customHeight="false" outlineLevel="0" collapsed="false">
      <c r="A4890" s="2" t="s">
        <v>672</v>
      </c>
      <c r="B4890" s="2" t="s">
        <v>45</v>
      </c>
      <c r="C4890" s="2" t="s">
        <v>4274</v>
      </c>
      <c r="D4890" s="11" t="n">
        <v>8340</v>
      </c>
      <c r="E4890" s="31" t="n">
        <v>90.1</v>
      </c>
      <c r="F4890" s="31" t="n">
        <v>93.5</v>
      </c>
      <c r="G4890" s="31" t="n">
        <v>51.5</v>
      </c>
      <c r="H4890" s="2" t="s">
        <v>822</v>
      </c>
    </row>
    <row r="4891" customFormat="false" ht="15" hidden="false" customHeight="false" outlineLevel="0" collapsed="false">
      <c r="A4891" s="2" t="s">
        <v>672</v>
      </c>
      <c r="B4891" s="2" t="s">
        <v>45</v>
      </c>
      <c r="C4891" s="2" t="s">
        <v>4275</v>
      </c>
      <c r="D4891" s="11" t="n">
        <v>8910</v>
      </c>
      <c r="E4891" s="31" t="n">
        <v>91.5</v>
      </c>
      <c r="F4891" s="31" t="n">
        <v>98.6</v>
      </c>
      <c r="G4891" s="31" t="n">
        <v>36.4</v>
      </c>
      <c r="H4891" s="2" t="s">
        <v>822</v>
      </c>
    </row>
    <row r="4892" customFormat="false" ht="15" hidden="false" customHeight="false" outlineLevel="0" collapsed="false">
      <c r="A4892" s="2" t="s">
        <v>672</v>
      </c>
      <c r="B4892" s="2" t="s">
        <v>46</v>
      </c>
      <c r="C4892" s="2" t="s">
        <v>4274</v>
      </c>
      <c r="D4892" s="2"/>
      <c r="E4892" s="2"/>
      <c r="F4892" s="2"/>
      <c r="G4892" s="2"/>
      <c r="H4892" s="2" t="s">
        <v>832</v>
      </c>
    </row>
    <row r="4893" customFormat="false" ht="15" hidden="false" customHeight="false" outlineLevel="0" collapsed="false">
      <c r="A4893" s="2" t="s">
        <v>672</v>
      </c>
      <c r="B4893" s="2" t="s">
        <v>46</v>
      </c>
      <c r="C4893" s="2" t="s">
        <v>4275</v>
      </c>
      <c r="D4893" s="11" t="n">
        <v>137380</v>
      </c>
      <c r="E4893" s="31" t="n">
        <v>0.8</v>
      </c>
      <c r="F4893" s="31" t="n">
        <v>73.9</v>
      </c>
      <c r="G4893" s="31" t="n">
        <v>49.4</v>
      </c>
      <c r="H4893" s="2" t="s">
        <v>822</v>
      </c>
    </row>
    <row r="4894" customFormat="false" ht="15" hidden="false" customHeight="false" outlineLevel="0" collapsed="false">
      <c r="A4894" s="2" t="s">
        <v>672</v>
      </c>
      <c r="B4894" s="2" t="s">
        <v>47</v>
      </c>
      <c r="C4894" s="2" t="s">
        <v>4274</v>
      </c>
      <c r="D4894" s="11" t="n">
        <v>292364</v>
      </c>
      <c r="E4894" s="31" t="n">
        <v>0.9</v>
      </c>
      <c r="F4894" s="31" t="n">
        <v>25.3</v>
      </c>
      <c r="G4894" s="2"/>
      <c r="H4894" s="2" t="s">
        <v>832</v>
      </c>
    </row>
    <row r="4895" customFormat="false" ht="15" hidden="false" customHeight="false" outlineLevel="0" collapsed="false">
      <c r="A4895" s="2" t="s">
        <v>672</v>
      </c>
      <c r="B4895" s="2" t="s">
        <v>47</v>
      </c>
      <c r="C4895" s="2" t="s">
        <v>4275</v>
      </c>
      <c r="D4895" s="11" t="n">
        <v>278730</v>
      </c>
      <c r="E4895" s="31" t="n">
        <v>4.2</v>
      </c>
      <c r="F4895" s="31" t="n">
        <v>18</v>
      </c>
      <c r="G4895" s="31" t="n">
        <v>60.2</v>
      </c>
      <c r="H4895" s="2" t="s">
        <v>822</v>
      </c>
    </row>
    <row r="4896" customFormat="false" ht="15" hidden="false" customHeight="false" outlineLevel="0" collapsed="false">
      <c r="A4896" s="2" t="s">
        <v>1653</v>
      </c>
      <c r="B4896" s="2" t="s">
        <v>4291</v>
      </c>
      <c r="C4896" s="2" t="s">
        <v>4274</v>
      </c>
      <c r="D4896" s="2"/>
      <c r="E4896" s="31" t="n">
        <v>84.6</v>
      </c>
      <c r="F4896" s="31" t="n">
        <v>35.3</v>
      </c>
      <c r="G4896" s="31" t="n">
        <v>59</v>
      </c>
      <c r="H4896" s="2" t="s">
        <v>822</v>
      </c>
    </row>
    <row r="4897" customFormat="false" ht="15" hidden="false" customHeight="false" outlineLevel="0" collapsed="false">
      <c r="A4897" s="2" t="s">
        <v>1653</v>
      </c>
      <c r="B4897" s="2" t="s">
        <v>4291</v>
      </c>
      <c r="C4897" s="2" t="s">
        <v>4275</v>
      </c>
      <c r="D4897" s="2"/>
      <c r="E4897" s="31" t="n">
        <v>93.6</v>
      </c>
      <c r="F4897" s="31" t="n">
        <v>25.8</v>
      </c>
      <c r="G4897" s="31" t="n">
        <v>62.4</v>
      </c>
      <c r="H4897" s="2" t="s">
        <v>832</v>
      </c>
    </row>
    <row r="4898" customFormat="false" ht="15" hidden="false" customHeight="false" outlineLevel="0" collapsed="false">
      <c r="A4898" s="2" t="s">
        <v>1653</v>
      </c>
      <c r="B4898" s="2" t="s">
        <v>45</v>
      </c>
      <c r="C4898" s="2" t="s">
        <v>4274</v>
      </c>
      <c r="D4898" s="11" t="n">
        <v>561430</v>
      </c>
      <c r="E4898" s="31" t="n">
        <v>67.8</v>
      </c>
      <c r="F4898" s="31" t="n">
        <v>4.8</v>
      </c>
      <c r="G4898" s="31" t="n">
        <v>12.4</v>
      </c>
      <c r="H4898" s="2" t="s">
        <v>822</v>
      </c>
    </row>
    <row r="4899" customFormat="false" ht="15" hidden="false" customHeight="false" outlineLevel="0" collapsed="false">
      <c r="A4899" s="2" t="s">
        <v>1653</v>
      </c>
      <c r="B4899" s="2" t="s">
        <v>45</v>
      </c>
      <c r="C4899" s="2" t="s">
        <v>4275</v>
      </c>
      <c r="D4899" s="2"/>
      <c r="E4899" s="2"/>
      <c r="F4899" s="2"/>
      <c r="G4899" s="2"/>
      <c r="H4899" s="2" t="s">
        <v>832</v>
      </c>
    </row>
    <row r="4900" customFormat="false" ht="15" hidden="false" customHeight="false" outlineLevel="0" collapsed="false">
      <c r="A4900" s="2" t="s">
        <v>1653</v>
      </c>
      <c r="B4900" s="2" t="s">
        <v>46</v>
      </c>
      <c r="C4900" s="2" t="s">
        <v>4274</v>
      </c>
      <c r="D4900" s="11" t="n">
        <v>1931420</v>
      </c>
      <c r="E4900" s="31" t="n">
        <v>96.5</v>
      </c>
      <c r="F4900" s="31" t="n">
        <v>33.3</v>
      </c>
      <c r="G4900" s="31" t="n">
        <v>71.9</v>
      </c>
      <c r="H4900" s="2" t="s">
        <v>822</v>
      </c>
    </row>
    <row r="4901" customFormat="false" ht="15" hidden="false" customHeight="false" outlineLevel="0" collapsed="false">
      <c r="A4901" s="2" t="s">
        <v>1653</v>
      </c>
      <c r="B4901" s="2" t="s">
        <v>46</v>
      </c>
      <c r="C4901" s="2" t="s">
        <v>4275</v>
      </c>
      <c r="D4901" s="11" t="n">
        <v>1992390</v>
      </c>
      <c r="E4901" s="31" t="n">
        <v>91.6</v>
      </c>
      <c r="F4901" s="31" t="n">
        <v>25</v>
      </c>
      <c r="G4901" s="31" t="n">
        <v>79.5</v>
      </c>
      <c r="H4901" s="2" t="s">
        <v>822</v>
      </c>
    </row>
    <row r="4902" customFormat="false" ht="15" hidden="false" customHeight="false" outlineLevel="0" collapsed="false">
      <c r="A4902" s="2" t="s">
        <v>1653</v>
      </c>
      <c r="B4902" s="2" t="s">
        <v>47</v>
      </c>
      <c r="C4902" s="2" t="s">
        <v>4274</v>
      </c>
      <c r="D4902" s="11" t="n">
        <v>534682</v>
      </c>
      <c r="E4902" s="31" t="n">
        <v>89.6</v>
      </c>
      <c r="F4902" s="31" t="n">
        <v>67.9</v>
      </c>
      <c r="G4902" s="31" t="n">
        <v>92.8</v>
      </c>
      <c r="H4902" s="2" t="s">
        <v>822</v>
      </c>
    </row>
    <row r="4903" customFormat="false" ht="15" hidden="false" customHeight="false" outlineLevel="0" collapsed="false">
      <c r="A4903" s="2" t="s">
        <v>1653</v>
      </c>
      <c r="B4903" s="2" t="s">
        <v>47</v>
      </c>
      <c r="C4903" s="2" t="s">
        <v>4275</v>
      </c>
      <c r="D4903" s="11" t="n">
        <v>538758</v>
      </c>
      <c r="E4903" s="31" t="n">
        <v>95.6</v>
      </c>
      <c r="F4903" s="31" t="n">
        <v>26.7</v>
      </c>
      <c r="G4903" s="31" t="n">
        <v>45.3</v>
      </c>
      <c r="H4903" s="2" t="s">
        <v>822</v>
      </c>
    </row>
    <row r="4904" customFormat="false" ht="15" hidden="false" customHeight="false" outlineLevel="0" collapsed="false">
      <c r="A4904" s="2" t="s">
        <v>1797</v>
      </c>
      <c r="B4904" s="2" t="s">
        <v>4291</v>
      </c>
      <c r="C4904" s="2" t="s">
        <v>4274</v>
      </c>
      <c r="D4904" s="2"/>
      <c r="E4904" s="31" t="n">
        <v>57.9</v>
      </c>
      <c r="F4904" s="31" t="n">
        <v>68.6</v>
      </c>
      <c r="G4904" s="31" t="n">
        <v>70.7</v>
      </c>
      <c r="H4904" s="2" t="s">
        <v>832</v>
      </c>
    </row>
    <row r="4905" customFormat="false" ht="15" hidden="false" customHeight="false" outlineLevel="0" collapsed="false">
      <c r="A4905" s="2" t="s">
        <v>1797</v>
      </c>
      <c r="B4905" s="2" t="s">
        <v>4291</v>
      </c>
      <c r="C4905" s="2" t="s">
        <v>4275</v>
      </c>
      <c r="D4905" s="2"/>
      <c r="E4905" s="31" t="n">
        <v>54.8</v>
      </c>
      <c r="F4905" s="31" t="n">
        <v>87.2</v>
      </c>
      <c r="G4905" s="31" t="n">
        <v>58.2</v>
      </c>
      <c r="H4905" s="2" t="s">
        <v>832</v>
      </c>
    </row>
    <row r="4906" customFormat="false" ht="15" hidden="false" customHeight="false" outlineLevel="0" collapsed="false">
      <c r="A4906" s="2" t="s">
        <v>1797</v>
      </c>
      <c r="B4906" s="2" t="s">
        <v>45</v>
      </c>
      <c r="C4906" s="2" t="s">
        <v>4274</v>
      </c>
      <c r="D4906" s="11" t="n">
        <v>249419</v>
      </c>
      <c r="E4906" s="31" t="n">
        <v>52.7</v>
      </c>
      <c r="F4906" s="31" t="n">
        <v>39</v>
      </c>
      <c r="G4906" s="2"/>
      <c r="H4906" s="2" t="s">
        <v>832</v>
      </c>
    </row>
    <row r="4907" customFormat="false" ht="15" hidden="false" customHeight="false" outlineLevel="0" collapsed="false">
      <c r="A4907" s="2" t="s">
        <v>1797</v>
      </c>
      <c r="B4907" s="2" t="s">
        <v>45</v>
      </c>
      <c r="C4907" s="2" t="s">
        <v>4275</v>
      </c>
      <c r="D4907" s="11" t="n">
        <v>263030</v>
      </c>
      <c r="E4907" s="31" t="n">
        <v>24.8</v>
      </c>
      <c r="F4907" s="2"/>
      <c r="G4907" s="31" t="n">
        <v>64.3</v>
      </c>
      <c r="H4907" s="2" t="s">
        <v>832</v>
      </c>
    </row>
    <row r="4908" customFormat="false" ht="15" hidden="false" customHeight="false" outlineLevel="0" collapsed="false">
      <c r="A4908" s="2" t="s">
        <v>1797</v>
      </c>
      <c r="B4908" s="2" t="s">
        <v>46</v>
      </c>
      <c r="C4908" s="2" t="s">
        <v>4274</v>
      </c>
      <c r="D4908" s="11" t="n">
        <v>231103</v>
      </c>
      <c r="E4908" s="31" t="n">
        <v>49.9</v>
      </c>
      <c r="F4908" s="31" t="n">
        <v>92.3</v>
      </c>
      <c r="G4908" s="31" t="n">
        <v>51.8</v>
      </c>
      <c r="H4908" s="2" t="s">
        <v>822</v>
      </c>
    </row>
    <row r="4909" customFormat="false" ht="15" hidden="false" customHeight="false" outlineLevel="0" collapsed="false">
      <c r="A4909" s="2" t="s">
        <v>1797</v>
      </c>
      <c r="B4909" s="2" t="s">
        <v>46</v>
      </c>
      <c r="C4909" s="2" t="s">
        <v>4275</v>
      </c>
      <c r="D4909" s="11" t="n">
        <v>248910</v>
      </c>
      <c r="E4909" s="31" t="n">
        <v>66.6</v>
      </c>
      <c r="F4909" s="31" t="n">
        <v>98.1</v>
      </c>
      <c r="G4909" s="31" t="n">
        <v>18.3</v>
      </c>
      <c r="H4909" s="2" t="s">
        <v>822</v>
      </c>
    </row>
    <row r="4910" customFormat="false" ht="15" hidden="false" customHeight="false" outlineLevel="0" collapsed="false">
      <c r="A4910" s="2" t="s">
        <v>1797</v>
      </c>
      <c r="B4910" s="2" t="s">
        <v>47</v>
      </c>
      <c r="C4910" s="2" t="s">
        <v>4274</v>
      </c>
      <c r="D4910" s="11" t="n">
        <v>2165</v>
      </c>
      <c r="E4910" s="31" t="n">
        <v>71.1</v>
      </c>
      <c r="F4910" s="31" t="n">
        <v>74.4</v>
      </c>
      <c r="G4910" s="31" t="n">
        <v>89.6</v>
      </c>
      <c r="H4910" s="2" t="s">
        <v>822</v>
      </c>
    </row>
    <row r="4911" customFormat="false" ht="15" hidden="false" customHeight="false" outlineLevel="0" collapsed="false">
      <c r="A4911" s="2" t="s">
        <v>1797</v>
      </c>
      <c r="B4911" s="2" t="s">
        <v>47</v>
      </c>
      <c r="C4911" s="2" t="s">
        <v>4275</v>
      </c>
      <c r="D4911" s="11" t="n">
        <v>2320</v>
      </c>
      <c r="E4911" s="31" t="n">
        <v>73</v>
      </c>
      <c r="F4911" s="31" t="n">
        <v>76.2</v>
      </c>
      <c r="G4911" s="31" t="n">
        <v>91.9</v>
      </c>
      <c r="H4911" s="2" t="s">
        <v>822</v>
      </c>
    </row>
    <row r="4912" customFormat="false" ht="15" hidden="false" customHeight="false" outlineLevel="0" collapsed="false">
      <c r="A4912" s="2" t="s">
        <v>2157</v>
      </c>
      <c r="B4912" s="2" t="s">
        <v>4291</v>
      </c>
      <c r="C4912" s="2" t="s">
        <v>4274</v>
      </c>
      <c r="D4912" s="2"/>
      <c r="E4912" s="31" t="n">
        <v>49.5</v>
      </c>
      <c r="F4912" s="31" t="n">
        <v>56.6</v>
      </c>
      <c r="G4912" s="31" t="n">
        <v>81.8</v>
      </c>
      <c r="H4912" s="2" t="s">
        <v>822</v>
      </c>
    </row>
    <row r="4913" customFormat="false" ht="15" hidden="false" customHeight="false" outlineLevel="0" collapsed="false">
      <c r="A4913" s="2" t="s">
        <v>2157</v>
      </c>
      <c r="B4913" s="2" t="s">
        <v>4291</v>
      </c>
      <c r="C4913" s="2" t="s">
        <v>4275</v>
      </c>
      <c r="D4913" s="2"/>
      <c r="E4913" s="31" t="n">
        <v>39.6</v>
      </c>
      <c r="F4913" s="31" t="n">
        <v>58.4</v>
      </c>
      <c r="G4913" s="31" t="n">
        <v>87.7</v>
      </c>
      <c r="H4913" s="2" t="s">
        <v>832</v>
      </c>
    </row>
    <row r="4914" customFormat="false" ht="15" hidden="false" customHeight="false" outlineLevel="0" collapsed="false">
      <c r="A4914" s="2" t="s">
        <v>2157</v>
      </c>
      <c r="B4914" s="2" t="s">
        <v>45</v>
      </c>
      <c r="C4914" s="2" t="s">
        <v>4274</v>
      </c>
      <c r="D4914" s="11" t="n">
        <v>22146</v>
      </c>
      <c r="E4914" s="31" t="n">
        <v>31.7</v>
      </c>
      <c r="F4914" s="31" t="n">
        <v>21.5</v>
      </c>
      <c r="G4914" s="31" t="n">
        <v>96.6</v>
      </c>
      <c r="H4914" s="2" t="s">
        <v>822</v>
      </c>
    </row>
    <row r="4915" customFormat="false" ht="15" hidden="false" customHeight="false" outlineLevel="0" collapsed="false">
      <c r="A4915" s="2" t="s">
        <v>2157</v>
      </c>
      <c r="B4915" s="2" t="s">
        <v>45</v>
      </c>
      <c r="C4915" s="2" t="s">
        <v>4275</v>
      </c>
      <c r="D4915" s="11" t="n">
        <v>22370</v>
      </c>
      <c r="E4915" s="31" t="n">
        <v>22.9</v>
      </c>
      <c r="F4915" s="31" t="n">
        <v>34</v>
      </c>
      <c r="G4915" s="2"/>
      <c r="H4915" s="2" t="s">
        <v>832</v>
      </c>
    </row>
    <row r="4916" customFormat="false" ht="15" hidden="false" customHeight="false" outlineLevel="0" collapsed="false">
      <c r="A4916" s="2" t="s">
        <v>2157</v>
      </c>
      <c r="B4916" s="2" t="s">
        <v>46</v>
      </c>
      <c r="C4916" s="2" t="s">
        <v>4274</v>
      </c>
      <c r="D4916" s="11" t="n">
        <v>59480</v>
      </c>
      <c r="E4916" s="31" t="n">
        <v>26.4</v>
      </c>
      <c r="F4916" s="31" t="n">
        <v>57.3</v>
      </c>
      <c r="G4916" s="31" t="n">
        <v>66.4</v>
      </c>
      <c r="H4916" s="2" t="s">
        <v>822</v>
      </c>
    </row>
    <row r="4917" customFormat="false" ht="15" hidden="false" customHeight="false" outlineLevel="0" collapsed="false">
      <c r="A4917" s="2" t="s">
        <v>2157</v>
      </c>
      <c r="B4917" s="2" t="s">
        <v>46</v>
      </c>
      <c r="C4917" s="2" t="s">
        <v>4275</v>
      </c>
      <c r="D4917" s="11" t="n">
        <v>59220</v>
      </c>
      <c r="E4917" s="31" t="n">
        <v>7.3</v>
      </c>
      <c r="F4917" s="31" t="n">
        <v>46.2</v>
      </c>
      <c r="G4917" s="31" t="n">
        <v>99.8</v>
      </c>
      <c r="H4917" s="2" t="s">
        <v>822</v>
      </c>
    </row>
    <row r="4918" customFormat="false" ht="15" hidden="false" customHeight="false" outlineLevel="0" collapsed="false">
      <c r="A4918" s="2" t="s">
        <v>2157</v>
      </c>
      <c r="B4918" s="2" t="s">
        <v>47</v>
      </c>
      <c r="C4918" s="2" t="s">
        <v>4274</v>
      </c>
      <c r="D4918" s="11" t="n">
        <v>9899</v>
      </c>
      <c r="E4918" s="31" t="n">
        <v>90.5</v>
      </c>
      <c r="F4918" s="31" t="n">
        <v>91.1</v>
      </c>
      <c r="G4918" s="31" t="n">
        <v>82.5</v>
      </c>
      <c r="H4918" s="2" t="s">
        <v>822</v>
      </c>
    </row>
    <row r="4919" customFormat="false" ht="15" hidden="false" customHeight="false" outlineLevel="0" collapsed="false">
      <c r="A4919" s="2" t="s">
        <v>2157</v>
      </c>
      <c r="B4919" s="2" t="s">
        <v>47</v>
      </c>
      <c r="C4919" s="2" t="s">
        <v>4275</v>
      </c>
      <c r="D4919" s="11" t="n">
        <v>10380</v>
      </c>
      <c r="E4919" s="31" t="n">
        <v>88.5</v>
      </c>
      <c r="F4919" s="31" t="n">
        <v>95.1</v>
      </c>
      <c r="G4919" s="31" t="n">
        <v>75.6</v>
      </c>
      <c r="H4919" s="2" t="s">
        <v>822</v>
      </c>
    </row>
    <row r="4920" customFormat="false" ht="15" hidden="false" customHeight="false" outlineLevel="0" collapsed="false">
      <c r="A4920" s="2" t="s">
        <v>324</v>
      </c>
      <c r="B4920" s="2" t="s">
        <v>4291</v>
      </c>
      <c r="C4920" s="2" t="s">
        <v>4274</v>
      </c>
      <c r="D4920" s="2"/>
      <c r="E4920" s="31" t="n">
        <v>74.5</v>
      </c>
      <c r="F4920" s="31" t="n">
        <v>79</v>
      </c>
      <c r="G4920" s="2"/>
      <c r="H4920" s="2" t="s">
        <v>832</v>
      </c>
    </row>
    <row r="4921" customFormat="false" ht="15" hidden="false" customHeight="false" outlineLevel="0" collapsed="false">
      <c r="A4921" s="2" t="s">
        <v>324</v>
      </c>
      <c r="B4921" s="2" t="s">
        <v>4291</v>
      </c>
      <c r="C4921" s="2" t="s">
        <v>4275</v>
      </c>
      <c r="D4921" s="2"/>
      <c r="E4921" s="31" t="n">
        <v>60.7</v>
      </c>
      <c r="F4921" s="31" t="n">
        <v>81.7</v>
      </c>
      <c r="G4921" s="31" t="n">
        <v>88.8</v>
      </c>
      <c r="H4921" s="2" t="s">
        <v>822</v>
      </c>
    </row>
    <row r="4922" customFormat="false" ht="15" hidden="false" customHeight="false" outlineLevel="0" collapsed="false">
      <c r="A4922" s="2" t="s">
        <v>324</v>
      </c>
      <c r="B4922" s="2" t="s">
        <v>45</v>
      </c>
      <c r="C4922" s="2" t="s">
        <v>4274</v>
      </c>
      <c r="D4922" s="11" t="n">
        <v>3500</v>
      </c>
      <c r="E4922" s="31" t="n">
        <v>74.5</v>
      </c>
      <c r="F4922" s="31" t="n">
        <v>79</v>
      </c>
      <c r="G4922" s="2"/>
      <c r="H4922" s="2" t="s">
        <v>832</v>
      </c>
    </row>
    <row r="4923" customFormat="false" ht="15" hidden="false" customHeight="false" outlineLevel="0" collapsed="false">
      <c r="A4923" s="2" t="s">
        <v>324</v>
      </c>
      <c r="B4923" s="2" t="s">
        <v>45</v>
      </c>
      <c r="C4923" s="2" t="s">
        <v>4275</v>
      </c>
      <c r="D4923" s="11" t="n">
        <v>3737</v>
      </c>
      <c r="E4923" s="31" t="n">
        <v>60.7</v>
      </c>
      <c r="F4923" s="31" t="n">
        <v>81.7</v>
      </c>
      <c r="G4923" s="31" t="n">
        <v>88.8</v>
      </c>
      <c r="H4923" s="2" t="s">
        <v>822</v>
      </c>
    </row>
    <row r="4924" customFormat="false" ht="15" hidden="false" customHeight="false" outlineLevel="0" collapsed="false">
      <c r="A4924" s="2" t="s">
        <v>738</v>
      </c>
      <c r="B4924" s="2" t="s">
        <v>4291</v>
      </c>
      <c r="C4924" s="2" t="s">
        <v>4274</v>
      </c>
      <c r="D4924" s="2"/>
      <c r="E4924" s="31" t="n">
        <v>27</v>
      </c>
      <c r="F4924" s="31" t="n">
        <v>50.5</v>
      </c>
      <c r="G4924" s="31" t="n">
        <v>51.8</v>
      </c>
      <c r="H4924" s="2" t="s">
        <v>832</v>
      </c>
    </row>
    <row r="4925" customFormat="false" ht="15" hidden="false" customHeight="false" outlineLevel="0" collapsed="false">
      <c r="A4925" s="2" t="s">
        <v>738</v>
      </c>
      <c r="B4925" s="2" t="s">
        <v>4291</v>
      </c>
      <c r="C4925" s="2" t="s">
        <v>4275</v>
      </c>
      <c r="D4925" s="2"/>
      <c r="E4925" s="31" t="n">
        <v>23.4</v>
      </c>
      <c r="F4925" s="31" t="n">
        <v>40.7</v>
      </c>
      <c r="G4925" s="31" t="n">
        <v>62.1</v>
      </c>
      <c r="H4925" s="2" t="s">
        <v>822</v>
      </c>
    </row>
    <row r="4926" customFormat="false" ht="15" hidden="false" customHeight="false" outlineLevel="0" collapsed="false">
      <c r="A4926" s="2" t="s">
        <v>738</v>
      </c>
      <c r="B4926" s="2" t="s">
        <v>45</v>
      </c>
      <c r="C4926" s="2" t="s">
        <v>4274</v>
      </c>
      <c r="D4926" s="11" t="n">
        <v>140910</v>
      </c>
      <c r="E4926" s="31" t="n">
        <v>37.6</v>
      </c>
      <c r="F4926" s="31" t="n">
        <v>89</v>
      </c>
      <c r="G4926" s="31" t="n">
        <v>72.4</v>
      </c>
      <c r="H4926" s="2" t="s">
        <v>822</v>
      </c>
    </row>
    <row r="4927" customFormat="false" ht="15" hidden="false" customHeight="false" outlineLevel="0" collapsed="false">
      <c r="A4927" s="2" t="s">
        <v>738</v>
      </c>
      <c r="B4927" s="2" t="s">
        <v>45</v>
      </c>
      <c r="C4927" s="2" t="s">
        <v>4275</v>
      </c>
      <c r="D4927" s="11" t="n">
        <v>143820</v>
      </c>
      <c r="E4927" s="31" t="n">
        <v>42.5</v>
      </c>
      <c r="F4927" s="31" t="n">
        <v>67.1</v>
      </c>
      <c r="G4927" s="31" t="n">
        <v>51</v>
      </c>
      <c r="H4927" s="2" t="s">
        <v>822</v>
      </c>
    </row>
    <row r="4928" customFormat="false" ht="15" hidden="false" customHeight="false" outlineLevel="0" collapsed="false">
      <c r="A4928" s="2" t="s">
        <v>738</v>
      </c>
      <c r="B4928" s="2" t="s">
        <v>46</v>
      </c>
      <c r="C4928" s="2" t="s">
        <v>4274</v>
      </c>
      <c r="D4928" s="11" t="n">
        <v>127198</v>
      </c>
      <c r="E4928" s="31" t="n">
        <v>18.6</v>
      </c>
      <c r="F4928" s="31" t="n">
        <v>18.6</v>
      </c>
      <c r="G4928" s="31" t="n">
        <v>31.1</v>
      </c>
      <c r="H4928" s="2" t="s">
        <v>822</v>
      </c>
    </row>
    <row r="4929" customFormat="false" ht="15" hidden="false" customHeight="false" outlineLevel="0" collapsed="false">
      <c r="A4929" s="2" t="s">
        <v>738</v>
      </c>
      <c r="B4929" s="2" t="s">
        <v>46</v>
      </c>
      <c r="C4929" s="2" t="s">
        <v>4275</v>
      </c>
      <c r="D4929" s="11" t="n">
        <v>124840</v>
      </c>
      <c r="E4929" s="31" t="n">
        <v>7.5</v>
      </c>
      <c r="F4929" s="31" t="n">
        <v>8.3</v>
      </c>
      <c r="G4929" s="31" t="n">
        <v>77.9</v>
      </c>
      <c r="H4929" s="2" t="s">
        <v>822</v>
      </c>
    </row>
    <row r="4930" customFormat="false" ht="15" hidden="false" customHeight="false" outlineLevel="0" collapsed="false">
      <c r="A4930" s="2" t="s">
        <v>738</v>
      </c>
      <c r="B4930" s="2" t="s">
        <v>47</v>
      </c>
      <c r="C4930" s="2" t="s">
        <v>4274</v>
      </c>
      <c r="D4930" s="11" t="n">
        <v>109767</v>
      </c>
      <c r="E4930" s="31" t="n">
        <v>24.7</v>
      </c>
      <c r="F4930" s="31" t="n">
        <v>43.8</v>
      </c>
      <c r="G4930" s="2"/>
      <c r="H4930" s="2" t="s">
        <v>832</v>
      </c>
    </row>
    <row r="4931" customFormat="false" ht="15" hidden="false" customHeight="false" outlineLevel="0" collapsed="false">
      <c r="A4931" s="2" t="s">
        <v>738</v>
      </c>
      <c r="B4931" s="2" t="s">
        <v>47</v>
      </c>
      <c r="C4931" s="2" t="s">
        <v>4275</v>
      </c>
      <c r="D4931" s="11" t="n">
        <v>109895</v>
      </c>
      <c r="E4931" s="31" t="n">
        <v>20.3</v>
      </c>
      <c r="F4931" s="31" t="n">
        <v>46.6</v>
      </c>
      <c r="G4931" s="31" t="n">
        <v>57.5</v>
      </c>
      <c r="H4931" s="2" t="s">
        <v>822</v>
      </c>
    </row>
    <row r="4932" customFormat="false" ht="15" hidden="false" customHeight="false" outlineLevel="0" collapsed="false">
      <c r="A4932" s="2" t="s">
        <v>3313</v>
      </c>
      <c r="B4932" s="2" t="s">
        <v>4291</v>
      </c>
      <c r="C4932" s="2" t="s">
        <v>4275</v>
      </c>
      <c r="D4932" s="2"/>
      <c r="E4932" s="31" t="n">
        <v>70</v>
      </c>
      <c r="F4932" s="31" t="n">
        <v>92.9</v>
      </c>
      <c r="G4932" s="2"/>
      <c r="H4932" s="2" t="s">
        <v>832</v>
      </c>
    </row>
    <row r="4933" customFormat="false" ht="15" hidden="false" customHeight="false" outlineLevel="0" collapsed="false">
      <c r="A4933" s="2" t="s">
        <v>3313</v>
      </c>
      <c r="B4933" s="2" t="s">
        <v>47</v>
      </c>
      <c r="C4933" s="2" t="s">
        <v>4275</v>
      </c>
      <c r="D4933" s="11" t="n">
        <v>1499353</v>
      </c>
      <c r="E4933" s="31" t="n">
        <v>70</v>
      </c>
      <c r="F4933" s="31" t="n">
        <v>92.9</v>
      </c>
      <c r="G4933" s="2"/>
      <c r="H4933" s="2" t="s">
        <v>832</v>
      </c>
    </row>
    <row r="4934" customFormat="false" ht="15" hidden="false" customHeight="false" outlineLevel="0" collapsed="false">
      <c r="A4934" s="2" t="s">
        <v>2536</v>
      </c>
      <c r="B4934" s="2" t="s">
        <v>4291</v>
      </c>
      <c r="C4934" s="2" t="s">
        <v>4274</v>
      </c>
      <c r="D4934" s="2"/>
      <c r="E4934" s="31" t="n">
        <v>60.8</v>
      </c>
      <c r="F4934" s="31" t="n">
        <v>62.3</v>
      </c>
      <c r="G4934" s="31" t="n">
        <v>29.4</v>
      </c>
      <c r="H4934" s="2" t="s">
        <v>832</v>
      </c>
    </row>
    <row r="4935" customFormat="false" ht="15" hidden="false" customHeight="false" outlineLevel="0" collapsed="false">
      <c r="A4935" s="2" t="s">
        <v>2536</v>
      </c>
      <c r="B4935" s="2" t="s">
        <v>4291</v>
      </c>
      <c r="C4935" s="2" t="s">
        <v>4275</v>
      </c>
      <c r="D4935" s="2"/>
      <c r="E4935" s="31" t="n">
        <v>58.6</v>
      </c>
      <c r="F4935" s="31" t="n">
        <v>48.5</v>
      </c>
      <c r="G4935" s="31" t="n">
        <v>40.1</v>
      </c>
      <c r="H4935" s="2" t="s">
        <v>832</v>
      </c>
    </row>
    <row r="4936" customFormat="false" ht="15" hidden="false" customHeight="false" outlineLevel="0" collapsed="false">
      <c r="A4936" s="2" t="s">
        <v>2536</v>
      </c>
      <c r="B4936" s="2" t="s">
        <v>45</v>
      </c>
      <c r="C4936" s="2" t="s">
        <v>4274</v>
      </c>
      <c r="D4936" s="11" t="n">
        <v>3060</v>
      </c>
      <c r="E4936" s="31" t="n">
        <v>54.4</v>
      </c>
      <c r="F4936" s="31" t="n">
        <v>91.9</v>
      </c>
      <c r="G4936" s="31" t="n">
        <v>24.9</v>
      </c>
      <c r="H4936" s="2" t="s">
        <v>822</v>
      </c>
    </row>
    <row r="4937" customFormat="false" ht="15" hidden="false" customHeight="false" outlineLevel="0" collapsed="false">
      <c r="A4937" s="2" t="s">
        <v>2536</v>
      </c>
      <c r="B4937" s="2" t="s">
        <v>45</v>
      </c>
      <c r="C4937" s="2" t="s">
        <v>4275</v>
      </c>
      <c r="D4937" s="11" t="n">
        <v>3130</v>
      </c>
      <c r="E4937" s="31" t="n">
        <v>66.4</v>
      </c>
      <c r="F4937" s="31" t="n">
        <v>77.5</v>
      </c>
      <c r="G4937" s="2"/>
      <c r="H4937" s="2" t="s">
        <v>832</v>
      </c>
    </row>
    <row r="4938" customFormat="false" ht="15" hidden="false" customHeight="false" outlineLevel="0" collapsed="false">
      <c r="A4938" s="2" t="s">
        <v>2536</v>
      </c>
      <c r="B4938" s="2" t="s">
        <v>46</v>
      </c>
      <c r="C4938" s="2" t="s">
        <v>4274</v>
      </c>
      <c r="D4938" s="2"/>
      <c r="E4938" s="2"/>
      <c r="F4938" s="2"/>
      <c r="G4938" s="2"/>
      <c r="H4938" s="2" t="s">
        <v>832</v>
      </c>
    </row>
    <row r="4939" customFormat="false" ht="15" hidden="false" customHeight="false" outlineLevel="0" collapsed="false">
      <c r="A4939" s="2" t="s">
        <v>2536</v>
      </c>
      <c r="B4939" s="2" t="s">
        <v>46</v>
      </c>
      <c r="C4939" s="2" t="s">
        <v>4275</v>
      </c>
      <c r="D4939" s="2"/>
      <c r="E4939" s="2"/>
      <c r="F4939" s="2"/>
      <c r="G4939" s="2"/>
      <c r="H4939" s="2" t="s">
        <v>832</v>
      </c>
    </row>
    <row r="4940" customFormat="false" ht="15" hidden="false" customHeight="false" outlineLevel="0" collapsed="false">
      <c r="A4940" s="2" t="s">
        <v>2536</v>
      </c>
      <c r="B4940" s="2" t="s">
        <v>47</v>
      </c>
      <c r="C4940" s="2" t="s">
        <v>4274</v>
      </c>
      <c r="D4940" s="11" t="n">
        <v>53078</v>
      </c>
      <c r="E4940" s="31" t="n">
        <v>67.1</v>
      </c>
      <c r="F4940" s="31" t="n">
        <v>32.7</v>
      </c>
      <c r="G4940" s="31" t="n">
        <v>34</v>
      </c>
      <c r="H4940" s="2" t="s">
        <v>822</v>
      </c>
    </row>
    <row r="4941" customFormat="false" ht="15" hidden="false" customHeight="false" outlineLevel="0" collapsed="false">
      <c r="A4941" s="2" t="s">
        <v>2536</v>
      </c>
      <c r="B4941" s="2" t="s">
        <v>47</v>
      </c>
      <c r="C4941" s="2" t="s">
        <v>4275</v>
      </c>
      <c r="D4941" s="11" t="n">
        <v>53583</v>
      </c>
      <c r="E4941" s="31" t="n">
        <v>50.8</v>
      </c>
      <c r="F4941" s="31" t="n">
        <v>19.5</v>
      </c>
      <c r="G4941" s="31" t="n">
        <v>40.1</v>
      </c>
      <c r="H4941" s="2" t="s">
        <v>822</v>
      </c>
    </row>
    <row r="4942" customFormat="false" ht="15" hidden="false" customHeight="false" outlineLevel="0" collapsed="false">
      <c r="A4942" s="2" t="s">
        <v>161</v>
      </c>
      <c r="B4942" s="2" t="s">
        <v>4291</v>
      </c>
      <c r="C4942" s="2" t="s">
        <v>4274</v>
      </c>
      <c r="D4942" s="2"/>
      <c r="E4942" s="31" t="n">
        <v>69.3</v>
      </c>
      <c r="F4942" s="31" t="n">
        <v>34.7</v>
      </c>
      <c r="G4942" s="31" t="n">
        <v>54.5</v>
      </c>
      <c r="H4942" s="2" t="s">
        <v>822</v>
      </c>
    </row>
    <row r="4943" customFormat="false" ht="15" hidden="false" customHeight="false" outlineLevel="0" collapsed="false">
      <c r="A4943" s="2" t="s">
        <v>161</v>
      </c>
      <c r="B4943" s="2" t="s">
        <v>4291</v>
      </c>
      <c r="C4943" s="2" t="s">
        <v>4275</v>
      </c>
      <c r="D4943" s="2"/>
      <c r="E4943" s="31" t="n">
        <v>80.7</v>
      </c>
      <c r="F4943" s="31" t="n">
        <v>66.3</v>
      </c>
      <c r="G4943" s="31" t="n">
        <v>42.7</v>
      </c>
      <c r="H4943" s="2" t="s">
        <v>822</v>
      </c>
    </row>
    <row r="4944" customFormat="false" ht="15" hidden="false" customHeight="false" outlineLevel="0" collapsed="false">
      <c r="A4944" s="2" t="s">
        <v>161</v>
      </c>
      <c r="B4944" s="2" t="s">
        <v>45</v>
      </c>
      <c r="C4944" s="2" t="s">
        <v>4274</v>
      </c>
      <c r="D4944" s="11" t="n">
        <v>37220</v>
      </c>
      <c r="E4944" s="31" t="n">
        <v>69.3</v>
      </c>
      <c r="F4944" s="31" t="n">
        <v>34.7</v>
      </c>
      <c r="G4944" s="31" t="n">
        <v>54.5</v>
      </c>
      <c r="H4944" s="2" t="s">
        <v>822</v>
      </c>
    </row>
    <row r="4945" customFormat="false" ht="15" hidden="false" customHeight="false" outlineLevel="0" collapsed="false">
      <c r="A4945" s="2" t="s">
        <v>161</v>
      </c>
      <c r="B4945" s="2" t="s">
        <v>45</v>
      </c>
      <c r="C4945" s="2" t="s">
        <v>4275</v>
      </c>
      <c r="D4945" s="11" t="n">
        <v>37770</v>
      </c>
      <c r="E4945" s="31" t="n">
        <v>80.7</v>
      </c>
      <c r="F4945" s="31" t="n">
        <v>66.3</v>
      </c>
      <c r="G4945" s="31" t="n">
        <v>42.7</v>
      </c>
      <c r="H4945" s="2" t="s">
        <v>822</v>
      </c>
    </row>
    <row r="4946" customFormat="false" ht="15" hidden="false" customHeight="false" outlineLevel="0" collapsed="false">
      <c r="A4946" s="2" t="s">
        <v>1066</v>
      </c>
      <c r="B4946" s="2" t="s">
        <v>4291</v>
      </c>
      <c r="C4946" s="2" t="s">
        <v>4274</v>
      </c>
      <c r="D4946" s="2"/>
      <c r="E4946" s="31" t="n">
        <v>27.8</v>
      </c>
      <c r="F4946" s="31" t="n">
        <v>3.4</v>
      </c>
      <c r="G4946" s="31" t="n">
        <v>62.6</v>
      </c>
      <c r="H4946" s="2" t="s">
        <v>832</v>
      </c>
    </row>
    <row r="4947" customFormat="false" ht="15" hidden="false" customHeight="false" outlineLevel="0" collapsed="false">
      <c r="A4947" s="2" t="s">
        <v>1066</v>
      </c>
      <c r="B4947" s="2" t="s">
        <v>4291</v>
      </c>
      <c r="C4947" s="2" t="s">
        <v>4275</v>
      </c>
      <c r="D4947" s="2"/>
      <c r="E4947" s="31" t="n">
        <v>37</v>
      </c>
      <c r="F4947" s="31" t="n">
        <v>38.5</v>
      </c>
      <c r="G4947" s="31" t="n">
        <v>70.9</v>
      </c>
      <c r="H4947" s="2" t="s">
        <v>832</v>
      </c>
    </row>
    <row r="4948" customFormat="false" ht="15" hidden="false" customHeight="false" outlineLevel="0" collapsed="false">
      <c r="A4948" s="2" t="s">
        <v>1066</v>
      </c>
      <c r="B4948" s="2" t="s">
        <v>45</v>
      </c>
      <c r="C4948" s="2" t="s">
        <v>4274</v>
      </c>
      <c r="D4948" s="11" t="n">
        <v>259610</v>
      </c>
      <c r="E4948" s="31" t="n">
        <v>40.6</v>
      </c>
      <c r="F4948" s="2"/>
      <c r="G4948" s="31" t="n">
        <v>41.5</v>
      </c>
      <c r="H4948" s="2" t="s">
        <v>832</v>
      </c>
    </row>
    <row r="4949" customFormat="false" ht="15" hidden="false" customHeight="false" outlineLevel="0" collapsed="false">
      <c r="A4949" s="2" t="s">
        <v>1066</v>
      </c>
      <c r="B4949" s="2" t="s">
        <v>45</v>
      </c>
      <c r="C4949" s="2" t="s">
        <v>4275</v>
      </c>
      <c r="D4949" s="11" t="n">
        <v>272660</v>
      </c>
      <c r="E4949" s="31" t="n">
        <v>70.9</v>
      </c>
      <c r="F4949" s="31" t="n">
        <v>65.7</v>
      </c>
      <c r="G4949" s="31" t="n">
        <v>70.9</v>
      </c>
      <c r="H4949" s="2" t="s">
        <v>822</v>
      </c>
    </row>
    <row r="4950" customFormat="false" ht="15" hidden="false" customHeight="false" outlineLevel="0" collapsed="false">
      <c r="A4950" s="2" t="s">
        <v>1066</v>
      </c>
      <c r="B4950" s="2" t="s">
        <v>46</v>
      </c>
      <c r="C4950" s="2" t="s">
        <v>4274</v>
      </c>
      <c r="D4950" s="11" t="n">
        <v>42350</v>
      </c>
      <c r="E4950" s="31" t="n">
        <v>15.1</v>
      </c>
      <c r="F4950" s="31" t="n">
        <v>3.4</v>
      </c>
      <c r="G4950" s="31" t="n">
        <v>83.6</v>
      </c>
      <c r="H4950" s="2" t="s">
        <v>822</v>
      </c>
    </row>
    <row r="4951" customFormat="false" ht="15" hidden="false" customHeight="false" outlineLevel="0" collapsed="false">
      <c r="A4951" s="2" t="s">
        <v>1066</v>
      </c>
      <c r="B4951" s="2" t="s">
        <v>46</v>
      </c>
      <c r="C4951" s="2" t="s">
        <v>4275</v>
      </c>
      <c r="D4951" s="11" t="n">
        <v>41480</v>
      </c>
      <c r="E4951" s="31" t="n">
        <v>3.1</v>
      </c>
      <c r="F4951" s="31" t="n">
        <v>11.3</v>
      </c>
      <c r="G4951" s="2"/>
      <c r="H4951" s="2" t="s">
        <v>832</v>
      </c>
    </row>
    <row r="4952" customFormat="false" ht="15" hidden="false" customHeight="false" outlineLevel="0" collapsed="false">
      <c r="A4952" s="2" t="s">
        <v>1003</v>
      </c>
      <c r="B4952" s="2" t="s">
        <v>4291</v>
      </c>
      <c r="C4952" s="2" t="s">
        <v>4274</v>
      </c>
      <c r="D4952" s="2"/>
      <c r="E4952" s="31" t="n">
        <v>16.2</v>
      </c>
      <c r="F4952" s="31" t="n">
        <v>39.3</v>
      </c>
      <c r="G4952" s="2"/>
      <c r="H4952" s="2" t="s">
        <v>832</v>
      </c>
    </row>
    <row r="4953" customFormat="false" ht="15" hidden="false" customHeight="false" outlineLevel="0" collapsed="false">
      <c r="A4953" s="2" t="s">
        <v>1003</v>
      </c>
      <c r="B4953" s="2" t="s">
        <v>4291</v>
      </c>
      <c r="C4953" s="2" t="s">
        <v>4275</v>
      </c>
      <c r="D4953" s="2"/>
      <c r="E4953" s="31" t="n">
        <v>53.4</v>
      </c>
      <c r="F4953" s="31" t="n">
        <v>41.6</v>
      </c>
      <c r="G4953" s="31" t="n">
        <v>39.7</v>
      </c>
      <c r="H4953" s="2" t="s">
        <v>832</v>
      </c>
    </row>
    <row r="4954" customFormat="false" ht="15" hidden="false" customHeight="false" outlineLevel="0" collapsed="false">
      <c r="A4954" s="2" t="s">
        <v>1003</v>
      </c>
      <c r="B4954" s="2" t="s">
        <v>45</v>
      </c>
      <c r="C4954" s="2" t="s">
        <v>4274</v>
      </c>
      <c r="D4954" s="2"/>
      <c r="E4954" s="2"/>
      <c r="F4954" s="2"/>
      <c r="G4954" s="2"/>
      <c r="H4954" s="2" t="s">
        <v>832</v>
      </c>
    </row>
    <row r="4955" customFormat="false" ht="15" hidden="false" customHeight="false" outlineLevel="0" collapsed="false">
      <c r="A4955" s="2" t="s">
        <v>1003</v>
      </c>
      <c r="B4955" s="2" t="s">
        <v>45</v>
      </c>
      <c r="C4955" s="2" t="s">
        <v>4275</v>
      </c>
      <c r="D4955" s="11" t="n">
        <v>430120</v>
      </c>
      <c r="E4955" s="31" t="n">
        <v>78.3</v>
      </c>
      <c r="F4955" s="31" t="n">
        <v>20</v>
      </c>
      <c r="G4955" s="31" t="n">
        <v>61.3</v>
      </c>
      <c r="H4955" s="2" t="s">
        <v>822</v>
      </c>
    </row>
    <row r="4956" customFormat="false" ht="15" hidden="false" customHeight="false" outlineLevel="0" collapsed="false">
      <c r="A4956" s="2" t="s">
        <v>1003</v>
      </c>
      <c r="B4956" s="2" t="s">
        <v>46</v>
      </c>
      <c r="C4956" s="2" t="s">
        <v>4274</v>
      </c>
      <c r="D4956" s="11" t="n">
        <v>13400</v>
      </c>
      <c r="E4956" s="31" t="n">
        <v>16.2</v>
      </c>
      <c r="F4956" s="31" t="n">
        <v>39.3</v>
      </c>
      <c r="G4956" s="2"/>
      <c r="H4956" s="2" t="s">
        <v>832</v>
      </c>
    </row>
    <row r="4957" customFormat="false" ht="15" hidden="false" customHeight="false" outlineLevel="0" collapsed="false">
      <c r="A4957" s="2" t="s">
        <v>1003</v>
      </c>
      <c r="B4957" s="2" t="s">
        <v>46</v>
      </c>
      <c r="C4957" s="2" t="s">
        <v>4275</v>
      </c>
      <c r="D4957" s="11" t="n">
        <v>13740</v>
      </c>
      <c r="E4957" s="31" t="n">
        <v>6.1</v>
      </c>
      <c r="F4957" s="31" t="n">
        <v>42.2</v>
      </c>
      <c r="G4957" s="31" t="n">
        <v>18.1</v>
      </c>
      <c r="H4957" s="2" t="s">
        <v>822</v>
      </c>
    </row>
    <row r="4958" customFormat="false" ht="15" hidden="false" customHeight="false" outlineLevel="0" collapsed="false">
      <c r="A4958" s="2" t="s">
        <v>1003</v>
      </c>
      <c r="B4958" s="2" t="s">
        <v>47</v>
      </c>
      <c r="C4958" s="2" t="s">
        <v>4274</v>
      </c>
      <c r="D4958" s="2"/>
      <c r="E4958" s="2"/>
      <c r="F4958" s="2"/>
      <c r="G4958" s="2"/>
      <c r="H4958" s="2" t="s">
        <v>832</v>
      </c>
    </row>
    <row r="4959" customFormat="false" ht="15" hidden="false" customHeight="false" outlineLevel="0" collapsed="false">
      <c r="A4959" s="2" t="s">
        <v>1003</v>
      </c>
      <c r="B4959" s="2" t="s">
        <v>47</v>
      </c>
      <c r="C4959" s="2" t="s">
        <v>4275</v>
      </c>
      <c r="D4959" s="11" t="n">
        <v>2672</v>
      </c>
      <c r="E4959" s="31" t="n">
        <v>75.8</v>
      </c>
      <c r="F4959" s="31" t="n">
        <v>62.5</v>
      </c>
      <c r="G4959" s="2"/>
      <c r="H4959" s="2" t="s">
        <v>832</v>
      </c>
    </row>
    <row r="4960" customFormat="false" ht="15" hidden="false" customHeight="false" outlineLevel="0" collapsed="false">
      <c r="A4960" s="2" t="s">
        <v>3318</v>
      </c>
      <c r="B4960" s="2" t="s">
        <v>4291</v>
      </c>
      <c r="C4960" s="2" t="s">
        <v>4274</v>
      </c>
      <c r="D4960" s="2"/>
      <c r="E4960" s="31" t="n">
        <v>98.1</v>
      </c>
      <c r="F4960" s="2"/>
      <c r="G4960" s="31" t="n">
        <v>63.9</v>
      </c>
      <c r="H4960" s="2" t="s">
        <v>832</v>
      </c>
    </row>
    <row r="4961" customFormat="false" ht="15" hidden="false" customHeight="false" outlineLevel="0" collapsed="false">
      <c r="A4961" s="2" t="s">
        <v>3318</v>
      </c>
      <c r="B4961" s="2" t="s">
        <v>4291</v>
      </c>
      <c r="C4961" s="2" t="s">
        <v>4275</v>
      </c>
      <c r="D4961" s="2"/>
      <c r="E4961" s="31" t="n">
        <v>92.6</v>
      </c>
      <c r="F4961" s="31" t="n">
        <v>2.8</v>
      </c>
      <c r="G4961" s="2"/>
      <c r="H4961" s="2" t="s">
        <v>832</v>
      </c>
    </row>
    <row r="4962" customFormat="false" ht="15" hidden="false" customHeight="false" outlineLevel="0" collapsed="false">
      <c r="A4962" s="2" t="s">
        <v>3318</v>
      </c>
      <c r="B4962" s="2" t="s">
        <v>45</v>
      </c>
      <c r="C4962" s="2" t="s">
        <v>4274</v>
      </c>
      <c r="D4962" s="11" t="n">
        <v>5950</v>
      </c>
      <c r="E4962" s="31" t="n">
        <v>98.1</v>
      </c>
      <c r="F4962" s="2"/>
      <c r="G4962" s="31" t="n">
        <v>63.9</v>
      </c>
      <c r="H4962" s="2" t="s">
        <v>832</v>
      </c>
    </row>
    <row r="4963" customFormat="false" ht="15" hidden="false" customHeight="false" outlineLevel="0" collapsed="false">
      <c r="A4963" s="2" t="s">
        <v>3318</v>
      </c>
      <c r="B4963" s="2" t="s">
        <v>45</v>
      </c>
      <c r="C4963" s="2" t="s">
        <v>4275</v>
      </c>
      <c r="D4963" s="11" t="n">
        <v>5900</v>
      </c>
      <c r="E4963" s="31" t="n">
        <v>92.6</v>
      </c>
      <c r="F4963" s="31" t="n">
        <v>2.8</v>
      </c>
      <c r="G4963" s="2"/>
      <c r="H4963" s="2" t="s">
        <v>832</v>
      </c>
    </row>
    <row r="4964" customFormat="false" ht="15" hidden="false" customHeight="false" outlineLevel="0" collapsed="false">
      <c r="A4964" s="2" t="s">
        <v>3320</v>
      </c>
      <c r="B4964" s="2" t="s">
        <v>4291</v>
      </c>
      <c r="C4964" s="2" t="s">
        <v>4274</v>
      </c>
      <c r="D4964" s="2"/>
      <c r="E4964" s="31" t="n">
        <v>65.2</v>
      </c>
      <c r="F4964" s="31" t="n">
        <v>94.8</v>
      </c>
      <c r="G4964" s="31" t="n">
        <v>12.8</v>
      </c>
      <c r="H4964" s="2" t="s">
        <v>822</v>
      </c>
    </row>
    <row r="4965" customFormat="false" ht="15" hidden="false" customHeight="false" outlineLevel="0" collapsed="false">
      <c r="A4965" s="2" t="s">
        <v>3320</v>
      </c>
      <c r="B4965" s="2" t="s">
        <v>4291</v>
      </c>
      <c r="C4965" s="2" t="s">
        <v>4275</v>
      </c>
      <c r="D4965" s="2"/>
      <c r="E4965" s="31" t="n">
        <v>90.2</v>
      </c>
      <c r="F4965" s="31" t="n">
        <v>98.2</v>
      </c>
      <c r="G4965" s="2"/>
      <c r="H4965" s="2" t="s">
        <v>832</v>
      </c>
    </row>
    <row r="4966" customFormat="false" ht="15" hidden="false" customHeight="false" outlineLevel="0" collapsed="false">
      <c r="A4966" s="2" t="s">
        <v>3320</v>
      </c>
      <c r="B4966" s="2" t="s">
        <v>46</v>
      </c>
      <c r="C4966" s="2" t="s">
        <v>4274</v>
      </c>
      <c r="D4966" s="11" t="n">
        <v>22442</v>
      </c>
      <c r="E4966" s="31" t="n">
        <v>65.2</v>
      </c>
      <c r="F4966" s="31" t="n">
        <v>94.8</v>
      </c>
      <c r="G4966" s="31" t="n">
        <v>12.8</v>
      </c>
      <c r="H4966" s="2" t="s">
        <v>822</v>
      </c>
    </row>
    <row r="4967" customFormat="false" ht="15" hidden="false" customHeight="false" outlineLevel="0" collapsed="false">
      <c r="A4967" s="2" t="s">
        <v>3320</v>
      </c>
      <c r="B4967" s="2" t="s">
        <v>46</v>
      </c>
      <c r="C4967" s="2" t="s">
        <v>4275</v>
      </c>
      <c r="D4967" s="11" t="n">
        <v>23940</v>
      </c>
      <c r="E4967" s="31" t="n">
        <v>90.2</v>
      </c>
      <c r="F4967" s="31" t="n">
        <v>98.2</v>
      </c>
      <c r="G4967" s="2"/>
      <c r="H4967" s="2" t="s">
        <v>832</v>
      </c>
    </row>
    <row r="4968" customFormat="false" ht="15" hidden="false" customHeight="false" outlineLevel="0" collapsed="false">
      <c r="A4968" s="2" t="s">
        <v>668</v>
      </c>
      <c r="B4968" s="2" t="s">
        <v>4291</v>
      </c>
      <c r="C4968" s="2" t="s">
        <v>4274</v>
      </c>
      <c r="D4968" s="2"/>
      <c r="E4968" s="31" t="n">
        <v>39.6</v>
      </c>
      <c r="F4968" s="31" t="n">
        <v>45.1</v>
      </c>
      <c r="G4968" s="31" t="n">
        <v>46.7</v>
      </c>
      <c r="H4968" s="2" t="s">
        <v>832</v>
      </c>
    </row>
    <row r="4969" customFormat="false" ht="15" hidden="false" customHeight="false" outlineLevel="0" collapsed="false">
      <c r="A4969" s="2" t="s">
        <v>668</v>
      </c>
      <c r="B4969" s="2" t="s">
        <v>4291</v>
      </c>
      <c r="C4969" s="2" t="s">
        <v>4275</v>
      </c>
      <c r="D4969" s="2"/>
      <c r="E4969" s="31" t="n">
        <v>32.8</v>
      </c>
      <c r="F4969" s="31" t="n">
        <v>46</v>
      </c>
      <c r="G4969" s="31" t="n">
        <v>67.9</v>
      </c>
      <c r="H4969" s="2" t="s">
        <v>822</v>
      </c>
    </row>
    <row r="4970" customFormat="false" ht="15" hidden="false" customHeight="false" outlineLevel="0" collapsed="false">
      <c r="A4970" s="2" t="s">
        <v>668</v>
      </c>
      <c r="B4970" s="2" t="s">
        <v>45</v>
      </c>
      <c r="C4970" s="2" t="s">
        <v>4274</v>
      </c>
      <c r="D4970" s="11" t="n">
        <v>88200</v>
      </c>
      <c r="E4970" s="31" t="n">
        <v>0.9</v>
      </c>
      <c r="F4970" s="2"/>
      <c r="G4970" s="31" t="n">
        <v>82.9</v>
      </c>
      <c r="H4970" s="2" t="s">
        <v>832</v>
      </c>
    </row>
    <row r="4971" customFormat="false" ht="15" hidden="false" customHeight="false" outlineLevel="0" collapsed="false">
      <c r="A4971" s="2" t="s">
        <v>668</v>
      </c>
      <c r="B4971" s="2" t="s">
        <v>45</v>
      </c>
      <c r="C4971" s="2" t="s">
        <v>4275</v>
      </c>
      <c r="D4971" s="11" t="n">
        <v>88040</v>
      </c>
      <c r="E4971" s="31" t="n">
        <v>0.8</v>
      </c>
      <c r="F4971" s="31" t="n">
        <v>30.9</v>
      </c>
      <c r="G4971" s="31" t="n">
        <v>57.8</v>
      </c>
      <c r="H4971" s="2" t="s">
        <v>822</v>
      </c>
    </row>
    <row r="4972" customFormat="false" ht="15" hidden="false" customHeight="false" outlineLevel="0" collapsed="false">
      <c r="A4972" s="2" t="s">
        <v>668</v>
      </c>
      <c r="B4972" s="2" t="s">
        <v>47</v>
      </c>
      <c r="C4972" s="2" t="s">
        <v>4274</v>
      </c>
      <c r="D4972" s="11" t="n">
        <v>33031</v>
      </c>
      <c r="E4972" s="31" t="n">
        <v>78.2</v>
      </c>
      <c r="F4972" s="31" t="n">
        <v>45.1</v>
      </c>
      <c r="G4972" s="31" t="n">
        <v>10.4</v>
      </c>
      <c r="H4972" s="2" t="s">
        <v>822</v>
      </c>
    </row>
    <row r="4973" customFormat="false" ht="15" hidden="false" customHeight="false" outlineLevel="0" collapsed="false">
      <c r="A4973" s="2" t="s">
        <v>668</v>
      </c>
      <c r="B4973" s="2" t="s">
        <v>47</v>
      </c>
      <c r="C4973" s="2" t="s">
        <v>4275</v>
      </c>
      <c r="D4973" s="11" t="n">
        <v>34210</v>
      </c>
      <c r="E4973" s="31" t="n">
        <v>64.7</v>
      </c>
      <c r="F4973" s="31" t="n">
        <v>61</v>
      </c>
      <c r="G4973" s="31" t="n">
        <v>78</v>
      </c>
      <c r="H4973" s="2" t="s">
        <v>822</v>
      </c>
    </row>
    <row r="4974" customFormat="false" ht="15" hidden="false" customHeight="false" outlineLevel="0" collapsed="false">
      <c r="A4974" s="2" t="s">
        <v>2034</v>
      </c>
      <c r="B4974" s="2" t="s">
        <v>4291</v>
      </c>
      <c r="C4974" s="2" t="s">
        <v>4274</v>
      </c>
      <c r="D4974" s="2"/>
      <c r="E4974" s="31" t="n">
        <v>49.9</v>
      </c>
      <c r="F4974" s="31" t="n">
        <v>22.4</v>
      </c>
      <c r="G4974" s="31" t="n">
        <v>46.5</v>
      </c>
      <c r="H4974" s="2" t="s">
        <v>822</v>
      </c>
    </row>
    <row r="4975" customFormat="false" ht="15" hidden="false" customHeight="false" outlineLevel="0" collapsed="false">
      <c r="A4975" s="2" t="s">
        <v>2034</v>
      </c>
      <c r="B4975" s="2" t="s">
        <v>4291</v>
      </c>
      <c r="C4975" s="2" t="s">
        <v>4275</v>
      </c>
      <c r="D4975" s="2"/>
      <c r="E4975" s="31" t="n">
        <v>61.5</v>
      </c>
      <c r="F4975" s="31" t="n">
        <v>38.2</v>
      </c>
      <c r="G4975" s="31" t="n">
        <v>52.2</v>
      </c>
      <c r="H4975" s="2" t="s">
        <v>832</v>
      </c>
    </row>
    <row r="4976" customFormat="false" ht="15" hidden="false" customHeight="false" outlineLevel="0" collapsed="false">
      <c r="A4976" s="2" t="s">
        <v>2034</v>
      </c>
      <c r="B4976" s="2" t="s">
        <v>45</v>
      </c>
      <c r="C4976" s="2" t="s">
        <v>4274</v>
      </c>
      <c r="D4976" s="11" t="n">
        <v>88520</v>
      </c>
      <c r="E4976" s="31" t="n">
        <v>41.3</v>
      </c>
      <c r="F4976" s="31" t="n">
        <v>9.1</v>
      </c>
      <c r="G4976" s="31" t="n">
        <v>6.3</v>
      </c>
      <c r="H4976" s="2" t="s">
        <v>822</v>
      </c>
    </row>
    <row r="4977" customFormat="false" ht="15" hidden="false" customHeight="false" outlineLevel="0" collapsed="false">
      <c r="A4977" s="2" t="s">
        <v>2034</v>
      </c>
      <c r="B4977" s="2" t="s">
        <v>45</v>
      </c>
      <c r="C4977" s="2" t="s">
        <v>4275</v>
      </c>
      <c r="D4977" s="2"/>
      <c r="E4977" s="2"/>
      <c r="F4977" s="2"/>
      <c r="G4977" s="2"/>
      <c r="H4977" s="2" t="s">
        <v>832</v>
      </c>
    </row>
    <row r="4978" customFormat="false" ht="15" hidden="false" customHeight="false" outlineLevel="0" collapsed="false">
      <c r="A4978" s="2" t="s">
        <v>2034</v>
      </c>
      <c r="B4978" s="2" t="s">
        <v>46</v>
      </c>
      <c r="C4978" s="2" t="s">
        <v>4274</v>
      </c>
      <c r="D4978" s="11" t="n">
        <v>20480</v>
      </c>
      <c r="E4978" s="31" t="n">
        <v>20.2</v>
      </c>
      <c r="F4978" s="31" t="n">
        <v>19.1</v>
      </c>
      <c r="G4978" s="31" t="n">
        <v>44.3</v>
      </c>
      <c r="H4978" s="2" t="s">
        <v>822</v>
      </c>
    </row>
    <row r="4979" customFormat="false" ht="15" hidden="false" customHeight="false" outlineLevel="0" collapsed="false">
      <c r="A4979" s="2" t="s">
        <v>2034</v>
      </c>
      <c r="B4979" s="2" t="s">
        <v>46</v>
      </c>
      <c r="C4979" s="2" t="s">
        <v>4275</v>
      </c>
      <c r="D4979" s="11" t="n">
        <v>21010</v>
      </c>
      <c r="E4979" s="31" t="n">
        <v>28.3</v>
      </c>
      <c r="F4979" s="31" t="n">
        <v>31.6</v>
      </c>
      <c r="G4979" s="31" t="n">
        <v>38.6</v>
      </c>
      <c r="H4979" s="2" t="s">
        <v>822</v>
      </c>
    </row>
    <row r="4980" customFormat="false" ht="15" hidden="false" customHeight="false" outlineLevel="0" collapsed="false">
      <c r="A4980" s="2" t="s">
        <v>2034</v>
      </c>
      <c r="B4980" s="2" t="s">
        <v>47</v>
      </c>
      <c r="C4980" s="2" t="s">
        <v>4274</v>
      </c>
      <c r="D4980" s="11" t="n">
        <v>37741</v>
      </c>
      <c r="E4980" s="31" t="n">
        <v>88.1</v>
      </c>
      <c r="F4980" s="31" t="n">
        <v>38.9</v>
      </c>
      <c r="G4980" s="31" t="n">
        <v>88.9</v>
      </c>
      <c r="H4980" s="2" t="s">
        <v>822</v>
      </c>
    </row>
    <row r="4981" customFormat="false" ht="15" hidden="false" customHeight="false" outlineLevel="0" collapsed="false">
      <c r="A4981" s="2" t="s">
        <v>2034</v>
      </c>
      <c r="B4981" s="2" t="s">
        <v>47</v>
      </c>
      <c r="C4981" s="2" t="s">
        <v>4275</v>
      </c>
      <c r="D4981" s="11" t="n">
        <v>39670</v>
      </c>
      <c r="E4981" s="31" t="n">
        <v>94.7</v>
      </c>
      <c r="F4981" s="31" t="n">
        <v>44.8</v>
      </c>
      <c r="G4981" s="31" t="n">
        <v>65.9</v>
      </c>
      <c r="H4981" s="2" t="s">
        <v>822</v>
      </c>
    </row>
    <row r="4982" customFormat="false" ht="15" hidden="false" customHeight="false" outlineLevel="0" collapsed="false">
      <c r="A4982" s="2" t="s">
        <v>530</v>
      </c>
      <c r="B4982" s="2" t="s">
        <v>4291</v>
      </c>
      <c r="C4982" s="2" t="s">
        <v>4274</v>
      </c>
      <c r="D4982" s="2"/>
      <c r="E4982" s="31" t="n">
        <v>34.4</v>
      </c>
      <c r="F4982" s="31" t="n">
        <v>68.2</v>
      </c>
      <c r="G4982" s="31" t="n">
        <v>65.7</v>
      </c>
      <c r="H4982" s="2" t="s">
        <v>832</v>
      </c>
    </row>
    <row r="4983" customFormat="false" ht="15" hidden="false" customHeight="false" outlineLevel="0" collapsed="false">
      <c r="A4983" s="2" t="s">
        <v>530</v>
      </c>
      <c r="B4983" s="2" t="s">
        <v>4291</v>
      </c>
      <c r="C4983" s="2" t="s">
        <v>4275</v>
      </c>
      <c r="D4983" s="2"/>
      <c r="E4983" s="31" t="n">
        <v>45.8</v>
      </c>
      <c r="F4983" s="31" t="n">
        <v>64.6</v>
      </c>
      <c r="G4983" s="31" t="n">
        <v>38.8</v>
      </c>
      <c r="H4983" s="2" t="s">
        <v>822</v>
      </c>
    </row>
    <row r="4984" customFormat="false" ht="15" hidden="false" customHeight="false" outlineLevel="0" collapsed="false">
      <c r="A4984" s="2" t="s">
        <v>530</v>
      </c>
      <c r="B4984" s="2" t="s">
        <v>45</v>
      </c>
      <c r="C4984" s="2" t="s">
        <v>4274</v>
      </c>
      <c r="D4984" s="11" t="n">
        <v>205799</v>
      </c>
      <c r="E4984" s="31" t="n">
        <v>26.8</v>
      </c>
      <c r="F4984" s="31" t="n">
        <v>43.2</v>
      </c>
      <c r="G4984" s="31" t="n">
        <v>77.1</v>
      </c>
      <c r="H4984" s="2" t="s">
        <v>822</v>
      </c>
    </row>
    <row r="4985" customFormat="false" ht="15" hidden="false" customHeight="false" outlineLevel="0" collapsed="false">
      <c r="A4985" s="2" t="s">
        <v>530</v>
      </c>
      <c r="B4985" s="2" t="s">
        <v>45</v>
      </c>
      <c r="C4985" s="2" t="s">
        <v>4275</v>
      </c>
      <c r="D4985" s="11" t="n">
        <v>207820</v>
      </c>
      <c r="E4985" s="31" t="n">
        <v>45.6</v>
      </c>
      <c r="F4985" s="31" t="n">
        <v>22.1</v>
      </c>
      <c r="G4985" s="31" t="n">
        <v>81.1</v>
      </c>
      <c r="H4985" s="2" t="s">
        <v>822</v>
      </c>
    </row>
    <row r="4986" customFormat="false" ht="15" hidden="false" customHeight="false" outlineLevel="0" collapsed="false">
      <c r="A4986" s="2" t="s">
        <v>530</v>
      </c>
      <c r="B4986" s="2" t="s">
        <v>46</v>
      </c>
      <c r="C4986" s="2" t="s">
        <v>4274</v>
      </c>
      <c r="D4986" s="11" t="n">
        <v>22599</v>
      </c>
      <c r="E4986" s="31" t="n">
        <v>42.1</v>
      </c>
      <c r="F4986" s="31" t="n">
        <v>83.5</v>
      </c>
      <c r="G4986" s="31" t="n">
        <v>54.3</v>
      </c>
      <c r="H4986" s="2" t="s">
        <v>822</v>
      </c>
    </row>
    <row r="4987" customFormat="false" ht="15" hidden="false" customHeight="false" outlineLevel="0" collapsed="false">
      <c r="A4987" s="2" t="s">
        <v>530</v>
      </c>
      <c r="B4987" s="2" t="s">
        <v>46</v>
      </c>
      <c r="C4987" s="2" t="s">
        <v>4275</v>
      </c>
      <c r="D4987" s="11" t="n">
        <v>23120</v>
      </c>
      <c r="E4987" s="31" t="n">
        <v>25.7</v>
      </c>
      <c r="F4987" s="31" t="n">
        <v>75.6</v>
      </c>
      <c r="G4987" s="31" t="n">
        <v>32.5</v>
      </c>
      <c r="H4987" s="2" t="s">
        <v>822</v>
      </c>
    </row>
    <row r="4988" customFormat="false" ht="15" hidden="false" customHeight="false" outlineLevel="0" collapsed="false">
      <c r="A4988" s="2" t="s">
        <v>530</v>
      </c>
      <c r="B4988" s="2" t="s">
        <v>47</v>
      </c>
      <c r="C4988" s="2" t="s">
        <v>4274</v>
      </c>
      <c r="D4988" s="11" t="n">
        <v>14905</v>
      </c>
      <c r="E4988" s="2"/>
      <c r="F4988" s="31" t="n">
        <v>77.8</v>
      </c>
      <c r="G4988" s="2"/>
      <c r="H4988" s="2" t="s">
        <v>832</v>
      </c>
    </row>
    <row r="4989" customFormat="false" ht="15" hidden="false" customHeight="false" outlineLevel="0" collapsed="false">
      <c r="A4989" s="2" t="s">
        <v>530</v>
      </c>
      <c r="B4989" s="2" t="s">
        <v>47</v>
      </c>
      <c r="C4989" s="2" t="s">
        <v>4275</v>
      </c>
      <c r="D4989" s="11" t="n">
        <v>15900</v>
      </c>
      <c r="E4989" s="31" t="n">
        <v>66.1</v>
      </c>
      <c r="F4989" s="31" t="n">
        <v>96.1</v>
      </c>
      <c r="G4989" s="31" t="n">
        <v>2.9</v>
      </c>
      <c r="H4989" s="2" t="s">
        <v>822</v>
      </c>
    </row>
    <row r="4990" customFormat="false" ht="15" hidden="false" customHeight="false" outlineLevel="0" collapsed="false">
      <c r="A4990" s="2" t="s">
        <v>632</v>
      </c>
      <c r="B4990" s="2" t="s">
        <v>4291</v>
      </c>
      <c r="C4990" s="2" t="s">
        <v>4274</v>
      </c>
      <c r="D4990" s="2"/>
      <c r="E4990" s="31" t="n">
        <v>9.6</v>
      </c>
      <c r="F4990" s="31" t="n">
        <v>72.2</v>
      </c>
      <c r="G4990" s="31" t="n">
        <v>51.5</v>
      </c>
      <c r="H4990" s="2" t="s">
        <v>822</v>
      </c>
    </row>
    <row r="4991" customFormat="false" ht="15" hidden="false" customHeight="false" outlineLevel="0" collapsed="false">
      <c r="A4991" s="2" t="s">
        <v>632</v>
      </c>
      <c r="B4991" s="2" t="s">
        <v>4291</v>
      </c>
      <c r="C4991" s="2" t="s">
        <v>4275</v>
      </c>
      <c r="D4991" s="2"/>
      <c r="E4991" s="31" t="n">
        <v>37.2</v>
      </c>
      <c r="F4991" s="31" t="n">
        <v>84.4</v>
      </c>
      <c r="G4991" s="31" t="n">
        <v>32.2</v>
      </c>
      <c r="H4991" s="2" t="s">
        <v>822</v>
      </c>
    </row>
    <row r="4992" customFormat="false" ht="15" hidden="false" customHeight="false" outlineLevel="0" collapsed="false">
      <c r="A4992" s="2" t="s">
        <v>632</v>
      </c>
      <c r="B4992" s="2" t="s">
        <v>45</v>
      </c>
      <c r="C4992" s="2" t="s">
        <v>4274</v>
      </c>
      <c r="D4992" s="11" t="n">
        <v>11170</v>
      </c>
      <c r="E4992" s="31" t="n">
        <v>10.2</v>
      </c>
      <c r="F4992" s="31" t="n">
        <v>93.8</v>
      </c>
      <c r="G4992" s="31" t="n">
        <v>93.7</v>
      </c>
      <c r="H4992" s="2" t="s">
        <v>822</v>
      </c>
    </row>
    <row r="4993" customFormat="false" ht="15" hidden="false" customHeight="false" outlineLevel="0" collapsed="false">
      <c r="A4993" s="2" t="s">
        <v>632</v>
      </c>
      <c r="B4993" s="2" t="s">
        <v>45</v>
      </c>
      <c r="C4993" s="2" t="s">
        <v>4275</v>
      </c>
      <c r="D4993" s="11" t="n">
        <v>12340</v>
      </c>
      <c r="E4993" s="31" t="n">
        <v>26.3</v>
      </c>
      <c r="F4993" s="31" t="n">
        <v>98.3</v>
      </c>
      <c r="G4993" s="31" t="n">
        <v>47.6</v>
      </c>
      <c r="H4993" s="2" t="s">
        <v>822</v>
      </c>
    </row>
    <row r="4994" customFormat="false" ht="15" hidden="false" customHeight="false" outlineLevel="0" collapsed="false">
      <c r="A4994" s="2" t="s">
        <v>632</v>
      </c>
      <c r="B4994" s="2" t="s">
        <v>47</v>
      </c>
      <c r="C4994" s="2" t="s">
        <v>4274</v>
      </c>
      <c r="D4994" s="11" t="n">
        <v>16827</v>
      </c>
      <c r="E4994" s="31" t="n">
        <v>9</v>
      </c>
      <c r="F4994" s="31" t="n">
        <v>50.7</v>
      </c>
      <c r="G4994" s="31" t="n">
        <v>9.3</v>
      </c>
      <c r="H4994" s="2" t="s">
        <v>822</v>
      </c>
    </row>
    <row r="4995" customFormat="false" ht="15" hidden="false" customHeight="false" outlineLevel="0" collapsed="false">
      <c r="A4995" s="2" t="s">
        <v>632</v>
      </c>
      <c r="B4995" s="2" t="s">
        <v>47</v>
      </c>
      <c r="C4995" s="2" t="s">
        <v>4275</v>
      </c>
      <c r="D4995" s="11" t="n">
        <v>17268</v>
      </c>
      <c r="E4995" s="31" t="n">
        <v>48.1</v>
      </c>
      <c r="F4995" s="31" t="n">
        <v>70.5</v>
      </c>
      <c r="G4995" s="31" t="n">
        <v>16.8</v>
      </c>
      <c r="H4995" s="2" t="s">
        <v>822</v>
      </c>
    </row>
    <row r="4996" customFormat="false" ht="15" hidden="false" customHeight="false" outlineLevel="0" collapsed="false">
      <c r="A4996" s="2" t="s">
        <v>642</v>
      </c>
      <c r="B4996" s="2" t="s">
        <v>4291</v>
      </c>
      <c r="C4996" s="2" t="s">
        <v>4274</v>
      </c>
      <c r="D4996" s="2"/>
      <c r="E4996" s="31" t="n">
        <v>29.8</v>
      </c>
      <c r="F4996" s="31" t="n">
        <v>7.8</v>
      </c>
      <c r="G4996" s="31" t="n">
        <v>95.1</v>
      </c>
      <c r="H4996" s="2" t="s">
        <v>832</v>
      </c>
    </row>
    <row r="4997" customFormat="false" ht="15" hidden="false" customHeight="false" outlineLevel="0" collapsed="false">
      <c r="A4997" s="2" t="s">
        <v>642</v>
      </c>
      <c r="B4997" s="2" t="s">
        <v>4291</v>
      </c>
      <c r="C4997" s="2" t="s">
        <v>4275</v>
      </c>
      <c r="D4997" s="2"/>
      <c r="E4997" s="31" t="n">
        <v>35.7</v>
      </c>
      <c r="F4997" s="31" t="n">
        <v>11.4</v>
      </c>
      <c r="G4997" s="31" t="n">
        <v>79.8</v>
      </c>
      <c r="H4997" s="2" t="s">
        <v>822</v>
      </c>
    </row>
    <row r="4998" customFormat="false" ht="15" hidden="false" customHeight="false" outlineLevel="0" collapsed="false">
      <c r="A4998" s="2" t="s">
        <v>642</v>
      </c>
      <c r="B4998" s="2" t="s">
        <v>45</v>
      </c>
      <c r="C4998" s="2" t="s">
        <v>4274</v>
      </c>
      <c r="D4998" s="11" t="n">
        <v>8340</v>
      </c>
      <c r="E4998" s="31" t="n">
        <v>43.4</v>
      </c>
      <c r="F4998" s="31" t="n">
        <v>8.1</v>
      </c>
      <c r="G4998" s="31" t="n">
        <v>95.1</v>
      </c>
      <c r="H4998" s="2" t="s">
        <v>822</v>
      </c>
    </row>
    <row r="4999" customFormat="false" ht="15" hidden="false" customHeight="false" outlineLevel="0" collapsed="false">
      <c r="A4999" s="2" t="s">
        <v>642</v>
      </c>
      <c r="B4999" s="2" t="s">
        <v>45</v>
      </c>
      <c r="C4999" s="2" t="s">
        <v>4275</v>
      </c>
      <c r="D4999" s="11" t="n">
        <v>8257</v>
      </c>
      <c r="E4999" s="31" t="n">
        <v>30.6</v>
      </c>
      <c r="F4999" s="31" t="n">
        <v>4.2</v>
      </c>
      <c r="G4999" s="31" t="n">
        <v>83.2</v>
      </c>
      <c r="H4999" s="2" t="s">
        <v>822</v>
      </c>
    </row>
    <row r="5000" customFormat="false" ht="15" hidden="false" customHeight="false" outlineLevel="0" collapsed="false">
      <c r="A5000" s="2" t="s">
        <v>642</v>
      </c>
      <c r="B5000" s="2" t="s">
        <v>47</v>
      </c>
      <c r="C5000" s="2" t="s">
        <v>4274</v>
      </c>
      <c r="D5000" s="11" t="n">
        <v>47761</v>
      </c>
      <c r="E5000" s="31" t="n">
        <v>16.3</v>
      </c>
      <c r="F5000" s="31" t="n">
        <v>7.5</v>
      </c>
      <c r="G5000" s="2"/>
      <c r="H5000" s="2" t="s">
        <v>832</v>
      </c>
    </row>
    <row r="5001" customFormat="false" ht="15" hidden="false" customHeight="false" outlineLevel="0" collapsed="false">
      <c r="A5001" s="2" t="s">
        <v>642</v>
      </c>
      <c r="B5001" s="2" t="s">
        <v>47</v>
      </c>
      <c r="C5001" s="2" t="s">
        <v>4275</v>
      </c>
      <c r="D5001" s="11" t="n">
        <v>47640</v>
      </c>
      <c r="E5001" s="31" t="n">
        <v>40.7</v>
      </c>
      <c r="F5001" s="31" t="n">
        <v>18.5</v>
      </c>
      <c r="G5001" s="31" t="n">
        <v>76.3</v>
      </c>
      <c r="H5001" s="2" t="s">
        <v>822</v>
      </c>
    </row>
    <row r="5002" customFormat="false" ht="15" hidden="false" customHeight="false" outlineLevel="0" collapsed="false">
      <c r="A5002" s="2" t="s">
        <v>1594</v>
      </c>
      <c r="B5002" s="2" t="s">
        <v>4291</v>
      </c>
      <c r="C5002" s="2" t="s">
        <v>4274</v>
      </c>
      <c r="D5002" s="2"/>
      <c r="E5002" s="31" t="n">
        <v>10.7</v>
      </c>
      <c r="F5002" s="31" t="n">
        <v>75</v>
      </c>
      <c r="G5002" s="31" t="n">
        <v>51</v>
      </c>
      <c r="H5002" s="2" t="s">
        <v>822</v>
      </c>
    </row>
    <row r="5003" customFormat="false" ht="15" hidden="false" customHeight="false" outlineLevel="0" collapsed="false">
      <c r="A5003" s="2" t="s">
        <v>1594</v>
      </c>
      <c r="B5003" s="2" t="s">
        <v>4291</v>
      </c>
      <c r="C5003" s="2" t="s">
        <v>4275</v>
      </c>
      <c r="D5003" s="2"/>
      <c r="E5003" s="31" t="n">
        <v>26.8</v>
      </c>
      <c r="F5003" s="31" t="n">
        <v>77.7</v>
      </c>
      <c r="G5003" s="31" t="n">
        <v>61.1</v>
      </c>
      <c r="H5003" s="2" t="s">
        <v>832</v>
      </c>
    </row>
    <row r="5004" customFormat="false" ht="15" hidden="false" customHeight="false" outlineLevel="0" collapsed="false">
      <c r="A5004" s="2" t="s">
        <v>1594</v>
      </c>
      <c r="B5004" s="2" t="s">
        <v>45</v>
      </c>
      <c r="C5004" s="2" t="s">
        <v>4274</v>
      </c>
      <c r="D5004" s="11" t="n">
        <v>19710</v>
      </c>
      <c r="E5004" s="31" t="n">
        <v>0.2</v>
      </c>
      <c r="F5004" s="31" t="n">
        <v>67.9</v>
      </c>
      <c r="G5004" s="31" t="n">
        <v>97.1</v>
      </c>
      <c r="H5004" s="2" t="s">
        <v>822</v>
      </c>
    </row>
    <row r="5005" customFormat="false" ht="15" hidden="false" customHeight="false" outlineLevel="0" collapsed="false">
      <c r="A5005" s="2" t="s">
        <v>1594</v>
      </c>
      <c r="B5005" s="2" t="s">
        <v>45</v>
      </c>
      <c r="C5005" s="2" t="s">
        <v>4275</v>
      </c>
      <c r="D5005" s="11" t="n">
        <v>21250</v>
      </c>
      <c r="E5005" s="31" t="n">
        <v>0.4</v>
      </c>
      <c r="F5005" s="31" t="n">
        <v>97.6</v>
      </c>
      <c r="G5005" s="31" t="n">
        <v>99.1</v>
      </c>
      <c r="H5005" s="2" t="s">
        <v>822</v>
      </c>
    </row>
    <row r="5006" customFormat="false" ht="15" hidden="false" customHeight="false" outlineLevel="0" collapsed="false">
      <c r="A5006" s="2" t="s">
        <v>1594</v>
      </c>
      <c r="B5006" s="2" t="s">
        <v>46</v>
      </c>
      <c r="C5006" s="2" t="s">
        <v>4274</v>
      </c>
      <c r="D5006" s="11" t="n">
        <v>12930</v>
      </c>
      <c r="E5006" s="31" t="n">
        <v>17.6</v>
      </c>
      <c r="F5006" s="31" t="n">
        <v>80.9</v>
      </c>
      <c r="G5006" s="31" t="n">
        <v>40</v>
      </c>
      <c r="H5006" s="2" t="s">
        <v>822</v>
      </c>
    </row>
    <row r="5007" customFormat="false" ht="15" hidden="false" customHeight="false" outlineLevel="0" collapsed="false">
      <c r="A5007" s="2" t="s">
        <v>1594</v>
      </c>
      <c r="B5007" s="2" t="s">
        <v>46</v>
      </c>
      <c r="C5007" s="2" t="s">
        <v>4275</v>
      </c>
      <c r="D5007" s="2"/>
      <c r="E5007" s="2"/>
      <c r="F5007" s="2"/>
      <c r="G5007" s="2"/>
      <c r="H5007" s="2" t="s">
        <v>832</v>
      </c>
    </row>
    <row r="5008" customFormat="false" ht="15" hidden="false" customHeight="false" outlineLevel="0" collapsed="false">
      <c r="A5008" s="2" t="s">
        <v>1594</v>
      </c>
      <c r="B5008" s="2" t="s">
        <v>47</v>
      </c>
      <c r="C5008" s="2" t="s">
        <v>4274</v>
      </c>
      <c r="D5008" s="11" t="n">
        <v>12020</v>
      </c>
      <c r="E5008" s="31" t="n">
        <v>14.2</v>
      </c>
      <c r="F5008" s="31" t="n">
        <v>76.1</v>
      </c>
      <c r="G5008" s="31" t="n">
        <v>16</v>
      </c>
      <c r="H5008" s="2" t="s">
        <v>822</v>
      </c>
    </row>
    <row r="5009" customFormat="false" ht="15" hidden="false" customHeight="false" outlineLevel="0" collapsed="false">
      <c r="A5009" s="2" t="s">
        <v>1594</v>
      </c>
      <c r="B5009" s="2" t="s">
        <v>47</v>
      </c>
      <c r="C5009" s="2" t="s">
        <v>4275</v>
      </c>
      <c r="D5009" s="11" t="n">
        <v>12780</v>
      </c>
      <c r="E5009" s="31" t="n">
        <v>53.3</v>
      </c>
      <c r="F5009" s="31" t="n">
        <v>57.8</v>
      </c>
      <c r="G5009" s="31" t="n">
        <v>23.1</v>
      </c>
      <c r="H5009" s="2" t="s">
        <v>822</v>
      </c>
    </row>
    <row r="5010" customFormat="false" ht="15" hidden="false" customHeight="false" outlineLevel="0" collapsed="false">
      <c r="A5010" s="2" t="s">
        <v>2433</v>
      </c>
      <c r="B5010" s="2" t="s">
        <v>4291</v>
      </c>
      <c r="C5010" s="2" t="s">
        <v>4274</v>
      </c>
      <c r="D5010" s="2"/>
      <c r="E5010" s="31" t="n">
        <v>26.7</v>
      </c>
      <c r="F5010" s="31" t="n">
        <v>53.3</v>
      </c>
      <c r="G5010" s="31" t="n">
        <v>77.4</v>
      </c>
      <c r="H5010" s="2" t="s">
        <v>832</v>
      </c>
    </row>
    <row r="5011" customFormat="false" ht="15" hidden="false" customHeight="false" outlineLevel="0" collapsed="false">
      <c r="A5011" s="2" t="s">
        <v>2433</v>
      </c>
      <c r="B5011" s="2" t="s">
        <v>4291</v>
      </c>
      <c r="C5011" s="2" t="s">
        <v>4275</v>
      </c>
      <c r="D5011" s="2"/>
      <c r="E5011" s="31" t="n">
        <v>39.4</v>
      </c>
      <c r="F5011" s="31" t="n">
        <v>55.9</v>
      </c>
      <c r="G5011" s="31" t="n">
        <v>35.5</v>
      </c>
      <c r="H5011" s="2" t="s">
        <v>832</v>
      </c>
    </row>
    <row r="5012" customFormat="false" ht="15" hidden="false" customHeight="false" outlineLevel="0" collapsed="false">
      <c r="A5012" s="2" t="s">
        <v>2433</v>
      </c>
      <c r="B5012" s="2" t="s">
        <v>45</v>
      </c>
      <c r="C5012" s="2" t="s">
        <v>4274</v>
      </c>
      <c r="D5012" s="11" t="n">
        <v>84810</v>
      </c>
      <c r="E5012" s="31" t="n">
        <v>1.3</v>
      </c>
      <c r="F5012" s="31" t="n">
        <v>85</v>
      </c>
      <c r="G5012" s="2"/>
      <c r="H5012" s="2" t="s">
        <v>832</v>
      </c>
    </row>
    <row r="5013" customFormat="false" ht="15" hidden="false" customHeight="false" outlineLevel="0" collapsed="false">
      <c r="A5013" s="2" t="s">
        <v>2433</v>
      </c>
      <c r="B5013" s="2" t="s">
        <v>45</v>
      </c>
      <c r="C5013" s="2" t="s">
        <v>4275</v>
      </c>
      <c r="D5013" s="11" t="n">
        <v>91310</v>
      </c>
      <c r="E5013" s="31" t="n">
        <v>2.1</v>
      </c>
      <c r="F5013" s="31" t="n">
        <v>74.2</v>
      </c>
      <c r="G5013" s="2"/>
      <c r="H5013" s="2" t="s">
        <v>832</v>
      </c>
    </row>
    <row r="5014" customFormat="false" ht="15" hidden="false" customHeight="false" outlineLevel="0" collapsed="false">
      <c r="A5014" s="2" t="s">
        <v>2433</v>
      </c>
      <c r="B5014" s="2" t="s">
        <v>46</v>
      </c>
      <c r="C5014" s="2" t="s">
        <v>4274</v>
      </c>
      <c r="D5014" s="2"/>
      <c r="E5014" s="2"/>
      <c r="F5014" s="2"/>
      <c r="G5014" s="2"/>
      <c r="H5014" s="2" t="s">
        <v>832</v>
      </c>
    </row>
    <row r="5015" customFormat="false" ht="15" hidden="false" customHeight="false" outlineLevel="0" collapsed="false">
      <c r="A5015" s="2" t="s">
        <v>2433</v>
      </c>
      <c r="B5015" s="2" t="s">
        <v>46</v>
      </c>
      <c r="C5015" s="2" t="s">
        <v>4275</v>
      </c>
      <c r="D5015" s="11" t="n">
        <v>186944</v>
      </c>
      <c r="E5015" s="31" t="n">
        <v>50.5</v>
      </c>
      <c r="F5015" s="31" t="n">
        <v>55.4</v>
      </c>
      <c r="G5015" s="2"/>
      <c r="H5015" s="2" t="s">
        <v>832</v>
      </c>
    </row>
    <row r="5016" customFormat="false" ht="15" hidden="false" customHeight="false" outlineLevel="0" collapsed="false">
      <c r="A5016" s="2" t="s">
        <v>2433</v>
      </c>
      <c r="B5016" s="2" t="s">
        <v>47</v>
      </c>
      <c r="C5016" s="2" t="s">
        <v>4274</v>
      </c>
      <c r="D5016" s="11" t="n">
        <v>26465</v>
      </c>
      <c r="E5016" s="31" t="n">
        <v>52.1</v>
      </c>
      <c r="F5016" s="31" t="n">
        <v>21.6</v>
      </c>
      <c r="G5016" s="31" t="n">
        <v>77.4</v>
      </c>
      <c r="H5016" s="2" t="s">
        <v>822</v>
      </c>
    </row>
    <row r="5017" customFormat="false" ht="15" hidden="false" customHeight="false" outlineLevel="0" collapsed="false">
      <c r="A5017" s="2" t="s">
        <v>2433</v>
      </c>
      <c r="B5017" s="2" t="s">
        <v>47</v>
      </c>
      <c r="C5017" s="2" t="s">
        <v>4275</v>
      </c>
      <c r="D5017" s="11" t="n">
        <v>27380</v>
      </c>
      <c r="E5017" s="31" t="n">
        <v>65.6</v>
      </c>
      <c r="F5017" s="31" t="n">
        <v>38</v>
      </c>
      <c r="G5017" s="31" t="n">
        <v>35.5</v>
      </c>
      <c r="H5017" s="2" t="s">
        <v>822</v>
      </c>
    </row>
    <row r="5018" customFormat="false" ht="15" hidden="false" customHeight="false" outlineLevel="0" collapsed="false">
      <c r="A5018" s="2" t="s">
        <v>1575</v>
      </c>
      <c r="B5018" s="2" t="s">
        <v>4291</v>
      </c>
      <c r="C5018" s="2" t="s">
        <v>4274</v>
      </c>
      <c r="D5018" s="2"/>
      <c r="E5018" s="31" t="n">
        <v>40.3</v>
      </c>
      <c r="F5018" s="31" t="n">
        <v>27.1</v>
      </c>
      <c r="G5018" s="31" t="n">
        <v>56</v>
      </c>
      <c r="H5018" s="2" t="s">
        <v>832</v>
      </c>
    </row>
    <row r="5019" customFormat="false" ht="15" hidden="false" customHeight="false" outlineLevel="0" collapsed="false">
      <c r="A5019" s="2" t="s">
        <v>1575</v>
      </c>
      <c r="B5019" s="2" t="s">
        <v>4291</v>
      </c>
      <c r="C5019" s="2" t="s">
        <v>4275</v>
      </c>
      <c r="D5019" s="2"/>
      <c r="E5019" s="31" t="n">
        <v>12.7</v>
      </c>
      <c r="F5019" s="31" t="n">
        <v>33.6</v>
      </c>
      <c r="G5019" s="31" t="n">
        <v>69.6</v>
      </c>
      <c r="H5019" s="2" t="s">
        <v>832</v>
      </c>
    </row>
    <row r="5020" customFormat="false" ht="15" hidden="false" customHeight="false" outlineLevel="0" collapsed="false">
      <c r="A5020" s="2" t="s">
        <v>1575</v>
      </c>
      <c r="B5020" s="2" t="s">
        <v>45</v>
      </c>
      <c r="C5020" s="2" t="s">
        <v>4274</v>
      </c>
      <c r="D5020" s="11" t="n">
        <v>27010</v>
      </c>
      <c r="E5020" s="31" t="n">
        <v>8.4</v>
      </c>
      <c r="F5020" s="31" t="n">
        <v>2.6</v>
      </c>
      <c r="G5020" s="2"/>
      <c r="H5020" s="2" t="s">
        <v>832</v>
      </c>
    </row>
    <row r="5021" customFormat="false" ht="15" hidden="false" customHeight="false" outlineLevel="0" collapsed="false">
      <c r="A5021" s="2" t="s">
        <v>1575</v>
      </c>
      <c r="B5021" s="2" t="s">
        <v>45</v>
      </c>
      <c r="C5021" s="2" t="s">
        <v>4275</v>
      </c>
      <c r="D5021" s="11" t="n">
        <v>45097</v>
      </c>
      <c r="E5021" s="31" t="n">
        <v>3.6</v>
      </c>
      <c r="F5021" s="31" t="n">
        <v>2.4</v>
      </c>
      <c r="G5021" s="31" t="n">
        <v>91.4</v>
      </c>
      <c r="H5021" s="2" t="s">
        <v>822</v>
      </c>
    </row>
    <row r="5022" customFormat="false" ht="15" hidden="false" customHeight="false" outlineLevel="0" collapsed="false">
      <c r="A5022" s="2" t="s">
        <v>1575</v>
      </c>
      <c r="B5022" s="2" t="s">
        <v>46</v>
      </c>
      <c r="C5022" s="2" t="s">
        <v>4274</v>
      </c>
      <c r="D5022" s="11" t="n">
        <v>71410</v>
      </c>
      <c r="E5022" s="31" t="n">
        <v>29.5</v>
      </c>
      <c r="F5022" s="31" t="n">
        <v>28.1</v>
      </c>
      <c r="G5022" s="31" t="n">
        <v>26.9</v>
      </c>
      <c r="H5022" s="2" t="s">
        <v>822</v>
      </c>
    </row>
    <row r="5023" customFormat="false" ht="15" hidden="false" customHeight="false" outlineLevel="0" collapsed="false">
      <c r="A5023" s="2" t="s">
        <v>1575</v>
      </c>
      <c r="B5023" s="2" t="s">
        <v>46</v>
      </c>
      <c r="C5023" s="2" t="s">
        <v>4275</v>
      </c>
      <c r="D5023" s="11" t="n">
        <v>69540</v>
      </c>
      <c r="E5023" s="31" t="n">
        <v>21.8</v>
      </c>
      <c r="F5023" s="31" t="n">
        <v>64.7</v>
      </c>
      <c r="G5023" s="31" t="n">
        <v>47.9</v>
      </c>
      <c r="H5023" s="2" t="s">
        <v>822</v>
      </c>
    </row>
    <row r="5024" customFormat="false" ht="15" hidden="false" customHeight="false" outlineLevel="0" collapsed="false">
      <c r="A5024" s="2" t="s">
        <v>1575</v>
      </c>
      <c r="B5024" s="2" t="s">
        <v>47</v>
      </c>
      <c r="C5024" s="2" t="s">
        <v>4274</v>
      </c>
      <c r="D5024" s="11" t="n">
        <v>152863</v>
      </c>
      <c r="E5024" s="31" t="n">
        <v>82.9</v>
      </c>
      <c r="F5024" s="31" t="n">
        <v>50.6</v>
      </c>
      <c r="G5024" s="31" t="n">
        <v>85.2</v>
      </c>
      <c r="H5024" s="2" t="s">
        <v>822</v>
      </c>
    </row>
    <row r="5025" customFormat="false" ht="15" hidden="false" customHeight="false" outlineLevel="0" collapsed="false">
      <c r="A5025" s="2" t="s">
        <v>1575</v>
      </c>
      <c r="B5025" s="2" t="s">
        <v>47</v>
      </c>
      <c r="C5025" s="2" t="s">
        <v>4275</v>
      </c>
      <c r="D5025" s="2"/>
      <c r="E5025" s="2"/>
      <c r="F5025" s="2"/>
      <c r="G5025" s="2"/>
      <c r="H5025" s="2" t="s">
        <v>832</v>
      </c>
    </row>
    <row r="5026" customFormat="false" ht="15" hidden="false" customHeight="false" outlineLevel="0" collapsed="false">
      <c r="A5026" s="2" t="s">
        <v>1291</v>
      </c>
      <c r="B5026" s="2" t="s">
        <v>4291</v>
      </c>
      <c r="C5026" s="2" t="s">
        <v>4274</v>
      </c>
      <c r="D5026" s="2"/>
      <c r="E5026" s="31" t="n">
        <v>53.6</v>
      </c>
      <c r="F5026" s="31" t="n">
        <v>50.2</v>
      </c>
      <c r="G5026" s="31" t="n">
        <v>46.1</v>
      </c>
      <c r="H5026" s="2" t="s">
        <v>832</v>
      </c>
    </row>
    <row r="5027" customFormat="false" ht="15" hidden="false" customHeight="false" outlineLevel="0" collapsed="false">
      <c r="A5027" s="2" t="s">
        <v>1291</v>
      </c>
      <c r="B5027" s="2" t="s">
        <v>4291</v>
      </c>
      <c r="C5027" s="2" t="s">
        <v>4275</v>
      </c>
      <c r="D5027" s="2"/>
      <c r="E5027" s="31" t="n">
        <v>42.2</v>
      </c>
      <c r="F5027" s="31" t="n">
        <v>97.9</v>
      </c>
      <c r="G5027" s="31" t="n">
        <v>24.5</v>
      </c>
      <c r="H5027" s="2" t="s">
        <v>832</v>
      </c>
    </row>
    <row r="5028" customFormat="false" ht="15" hidden="false" customHeight="false" outlineLevel="0" collapsed="false">
      <c r="A5028" s="2" t="s">
        <v>1291</v>
      </c>
      <c r="B5028" s="2" t="s">
        <v>45</v>
      </c>
      <c r="C5028" s="2" t="s">
        <v>4274</v>
      </c>
      <c r="D5028" s="11" t="n">
        <v>235070</v>
      </c>
      <c r="E5028" s="31" t="n">
        <v>56.6</v>
      </c>
      <c r="F5028" s="31" t="n">
        <v>95.2</v>
      </c>
      <c r="G5028" s="31" t="n">
        <v>46.1</v>
      </c>
      <c r="H5028" s="2" t="s">
        <v>822</v>
      </c>
    </row>
    <row r="5029" customFormat="false" ht="15" hidden="false" customHeight="false" outlineLevel="0" collapsed="false">
      <c r="A5029" s="2" t="s">
        <v>1291</v>
      </c>
      <c r="B5029" s="2" t="s">
        <v>45</v>
      </c>
      <c r="C5029" s="2" t="s">
        <v>4275</v>
      </c>
      <c r="D5029" s="11" t="n">
        <v>253160</v>
      </c>
      <c r="E5029" s="31" t="n">
        <v>42.2</v>
      </c>
      <c r="F5029" s="31" t="n">
        <v>97.9</v>
      </c>
      <c r="G5029" s="31" t="n">
        <v>24.5</v>
      </c>
      <c r="H5029" s="2" t="s">
        <v>822</v>
      </c>
    </row>
    <row r="5030" customFormat="false" ht="15" hidden="false" customHeight="false" outlineLevel="0" collapsed="false">
      <c r="A5030" s="2" t="s">
        <v>1291</v>
      </c>
      <c r="B5030" s="2" t="s">
        <v>46</v>
      </c>
      <c r="C5030" s="2" t="s">
        <v>4274</v>
      </c>
      <c r="D5030" s="11" t="n">
        <v>5720</v>
      </c>
      <c r="E5030" s="31" t="n">
        <v>50.7</v>
      </c>
      <c r="F5030" s="31" t="n">
        <v>5.3</v>
      </c>
      <c r="G5030" s="2"/>
      <c r="H5030" s="2" t="s">
        <v>832</v>
      </c>
    </row>
    <row r="5031" customFormat="false" ht="15" hidden="false" customHeight="false" outlineLevel="0" collapsed="false">
      <c r="A5031" s="2" t="s">
        <v>1291</v>
      </c>
      <c r="B5031" s="2" t="s">
        <v>46</v>
      </c>
      <c r="C5031" s="2" t="s">
        <v>4275</v>
      </c>
      <c r="D5031" s="2"/>
      <c r="E5031" s="2"/>
      <c r="F5031" s="2"/>
      <c r="G5031" s="2"/>
      <c r="H5031" s="2" t="s">
        <v>832</v>
      </c>
    </row>
    <row r="5032" customFormat="false" ht="15" hidden="false" customHeight="false" outlineLevel="0" collapsed="false">
      <c r="A5032" s="2" t="s">
        <v>296</v>
      </c>
      <c r="B5032" s="2" t="s">
        <v>4291</v>
      </c>
      <c r="C5032" s="2" t="s">
        <v>4274</v>
      </c>
      <c r="D5032" s="2"/>
      <c r="E5032" s="31" t="n">
        <v>60.5</v>
      </c>
      <c r="F5032" s="31" t="n">
        <v>86.8</v>
      </c>
      <c r="G5032" s="31" t="n">
        <v>73.8</v>
      </c>
      <c r="H5032" s="2" t="s">
        <v>832</v>
      </c>
    </row>
    <row r="5033" customFormat="false" ht="15" hidden="false" customHeight="false" outlineLevel="0" collapsed="false">
      <c r="A5033" s="2" t="s">
        <v>296</v>
      </c>
      <c r="B5033" s="2" t="s">
        <v>4291</v>
      </c>
      <c r="C5033" s="2" t="s">
        <v>4275</v>
      </c>
      <c r="D5033" s="2"/>
      <c r="E5033" s="31" t="n">
        <v>64</v>
      </c>
      <c r="F5033" s="31" t="n">
        <v>61.2</v>
      </c>
      <c r="G5033" s="31" t="n">
        <v>51.6</v>
      </c>
      <c r="H5033" s="2" t="s">
        <v>822</v>
      </c>
    </row>
    <row r="5034" customFormat="false" ht="15" hidden="false" customHeight="false" outlineLevel="0" collapsed="false">
      <c r="A5034" s="2" t="s">
        <v>296</v>
      </c>
      <c r="B5034" s="2" t="s">
        <v>45</v>
      </c>
      <c r="C5034" s="2" t="s">
        <v>4274</v>
      </c>
      <c r="D5034" s="11" t="n">
        <v>266082</v>
      </c>
      <c r="E5034" s="31" t="n">
        <v>73.9</v>
      </c>
      <c r="F5034" s="31" t="n">
        <v>89.7</v>
      </c>
      <c r="G5034" s="31" t="n">
        <v>59.5</v>
      </c>
      <c r="H5034" s="2" t="s">
        <v>822</v>
      </c>
    </row>
    <row r="5035" customFormat="false" ht="15" hidden="false" customHeight="false" outlineLevel="0" collapsed="false">
      <c r="A5035" s="2" t="s">
        <v>296</v>
      </c>
      <c r="B5035" s="2" t="s">
        <v>45</v>
      </c>
      <c r="C5035" s="2" t="s">
        <v>4275</v>
      </c>
      <c r="D5035" s="11" t="n">
        <v>276412</v>
      </c>
      <c r="E5035" s="31" t="n">
        <v>61.8</v>
      </c>
      <c r="F5035" s="31" t="n">
        <v>95</v>
      </c>
      <c r="G5035" s="31" t="n">
        <v>52.9</v>
      </c>
      <c r="H5035" s="2" t="s">
        <v>822</v>
      </c>
    </row>
    <row r="5036" customFormat="false" ht="15" hidden="false" customHeight="false" outlineLevel="0" collapsed="false">
      <c r="A5036" s="2" t="s">
        <v>296</v>
      </c>
      <c r="B5036" s="2" t="s">
        <v>46</v>
      </c>
      <c r="C5036" s="2" t="s">
        <v>4274</v>
      </c>
      <c r="D5036" s="11" t="n">
        <v>23353</v>
      </c>
      <c r="E5036" s="31" t="n">
        <v>86.1</v>
      </c>
      <c r="F5036" s="31" t="n">
        <v>83.9</v>
      </c>
      <c r="G5036" s="31" t="n">
        <v>72.8</v>
      </c>
      <c r="H5036" s="2" t="s">
        <v>822</v>
      </c>
    </row>
    <row r="5037" customFormat="false" ht="15" hidden="false" customHeight="false" outlineLevel="0" collapsed="false">
      <c r="A5037" s="2" t="s">
        <v>296</v>
      </c>
      <c r="B5037" s="2" t="s">
        <v>46</v>
      </c>
      <c r="C5037" s="2" t="s">
        <v>4275</v>
      </c>
      <c r="D5037" s="11" t="n">
        <v>25070</v>
      </c>
      <c r="E5037" s="31" t="n">
        <v>88</v>
      </c>
      <c r="F5037" s="31" t="n">
        <v>58.5</v>
      </c>
      <c r="G5037" s="31" t="n">
        <v>47</v>
      </c>
      <c r="H5037" s="2" t="s">
        <v>822</v>
      </c>
    </row>
    <row r="5038" customFormat="false" ht="15" hidden="false" customHeight="false" outlineLevel="0" collapsed="false">
      <c r="A5038" s="2" t="s">
        <v>296</v>
      </c>
      <c r="B5038" s="2" t="s">
        <v>47</v>
      </c>
      <c r="C5038" s="2" t="s">
        <v>4274</v>
      </c>
      <c r="D5038" s="11" t="n">
        <v>39612</v>
      </c>
      <c r="E5038" s="31" t="n">
        <v>21.6</v>
      </c>
      <c r="F5038" s="2"/>
      <c r="G5038" s="31" t="n">
        <v>89.2</v>
      </c>
      <c r="H5038" s="2" t="s">
        <v>832</v>
      </c>
    </row>
    <row r="5039" customFormat="false" ht="15" hidden="false" customHeight="false" outlineLevel="0" collapsed="false">
      <c r="A5039" s="2" t="s">
        <v>296</v>
      </c>
      <c r="B5039" s="2" t="s">
        <v>47</v>
      </c>
      <c r="C5039" s="2" t="s">
        <v>4275</v>
      </c>
      <c r="D5039" s="11" t="n">
        <v>40956</v>
      </c>
      <c r="E5039" s="31" t="n">
        <v>42.2</v>
      </c>
      <c r="F5039" s="31" t="n">
        <v>30.2</v>
      </c>
      <c r="G5039" s="31" t="n">
        <v>55</v>
      </c>
      <c r="H5039" s="2" t="s">
        <v>822</v>
      </c>
    </row>
    <row r="5040" customFormat="false" ht="15" hidden="false" customHeight="false" outlineLevel="0" collapsed="false">
      <c r="A5040" s="2" t="s">
        <v>342</v>
      </c>
      <c r="B5040" s="2" t="s">
        <v>4291</v>
      </c>
      <c r="C5040" s="2" t="s">
        <v>4274</v>
      </c>
      <c r="D5040" s="2"/>
      <c r="E5040" s="31" t="n">
        <v>57.1</v>
      </c>
      <c r="F5040" s="31" t="n">
        <v>48.1</v>
      </c>
      <c r="G5040" s="31" t="n">
        <v>61.4</v>
      </c>
      <c r="H5040" s="2" t="s">
        <v>822</v>
      </c>
    </row>
    <row r="5041" customFormat="false" ht="15" hidden="false" customHeight="false" outlineLevel="0" collapsed="false">
      <c r="A5041" s="2" t="s">
        <v>342</v>
      </c>
      <c r="B5041" s="2" t="s">
        <v>4291</v>
      </c>
      <c r="C5041" s="2" t="s">
        <v>4275</v>
      </c>
      <c r="D5041" s="2"/>
      <c r="E5041" s="31" t="n">
        <v>59.9</v>
      </c>
      <c r="F5041" s="31" t="n">
        <v>59.3</v>
      </c>
      <c r="G5041" s="31" t="n">
        <v>74.1</v>
      </c>
      <c r="H5041" s="2" t="s">
        <v>822</v>
      </c>
    </row>
    <row r="5042" customFormat="false" ht="15" hidden="false" customHeight="false" outlineLevel="0" collapsed="false">
      <c r="A5042" s="2" t="s">
        <v>342</v>
      </c>
      <c r="B5042" s="2" t="s">
        <v>45</v>
      </c>
      <c r="C5042" s="2" t="s">
        <v>4274</v>
      </c>
      <c r="D5042" s="11" t="n">
        <v>299558</v>
      </c>
      <c r="E5042" s="31" t="n">
        <v>64.1</v>
      </c>
      <c r="F5042" s="31" t="n">
        <v>30.1</v>
      </c>
      <c r="G5042" s="2"/>
      <c r="H5042" s="2" t="s">
        <v>822</v>
      </c>
    </row>
    <row r="5043" customFormat="false" ht="15" hidden="false" customHeight="false" outlineLevel="0" collapsed="false">
      <c r="A5043" s="2" t="s">
        <v>342</v>
      </c>
      <c r="B5043" s="2" t="s">
        <v>45</v>
      </c>
      <c r="C5043" s="2" t="s">
        <v>4275</v>
      </c>
      <c r="D5043" s="11" t="n">
        <v>311674</v>
      </c>
      <c r="E5043" s="31" t="n">
        <v>74.1</v>
      </c>
      <c r="F5043" s="31" t="n">
        <v>9.3</v>
      </c>
      <c r="G5043" s="2"/>
      <c r="H5043" s="2" t="s">
        <v>822</v>
      </c>
    </row>
    <row r="5044" customFormat="false" ht="15" hidden="false" customHeight="false" outlineLevel="0" collapsed="false">
      <c r="A5044" s="2" t="s">
        <v>342</v>
      </c>
      <c r="B5044" s="2" t="s">
        <v>46</v>
      </c>
      <c r="C5044" s="2" t="s">
        <v>4274</v>
      </c>
      <c r="D5044" s="11" t="n">
        <v>14315</v>
      </c>
      <c r="E5044" s="31" t="n">
        <v>99.2</v>
      </c>
      <c r="F5044" s="31" t="n">
        <v>34.8</v>
      </c>
      <c r="G5044" s="31" t="n">
        <v>97.3</v>
      </c>
      <c r="H5044" s="2" t="s">
        <v>822</v>
      </c>
    </row>
    <row r="5045" customFormat="false" ht="15" hidden="false" customHeight="false" outlineLevel="0" collapsed="false">
      <c r="A5045" s="2" t="s">
        <v>342</v>
      </c>
      <c r="B5045" s="2" t="s">
        <v>46</v>
      </c>
      <c r="C5045" s="2" t="s">
        <v>4275</v>
      </c>
      <c r="D5045" s="11" t="n">
        <v>14650</v>
      </c>
      <c r="E5045" s="31" t="n">
        <v>98.8</v>
      </c>
      <c r="F5045" s="31" t="n">
        <v>78.9</v>
      </c>
      <c r="G5045" s="31" t="n">
        <v>92.1</v>
      </c>
      <c r="H5045" s="2" t="s">
        <v>822</v>
      </c>
    </row>
    <row r="5046" customFormat="false" ht="15" hidden="false" customHeight="false" outlineLevel="0" collapsed="false">
      <c r="A5046" s="2" t="s">
        <v>342</v>
      </c>
      <c r="B5046" s="2" t="s">
        <v>47</v>
      </c>
      <c r="C5046" s="2" t="s">
        <v>4274</v>
      </c>
      <c r="D5046" s="11" t="n">
        <v>36879</v>
      </c>
      <c r="E5046" s="31" t="n">
        <v>8</v>
      </c>
      <c r="F5046" s="31" t="n">
        <v>79.4</v>
      </c>
      <c r="G5046" s="31" t="n">
        <v>25.6</v>
      </c>
      <c r="H5046" s="2" t="s">
        <v>822</v>
      </c>
    </row>
    <row r="5047" customFormat="false" ht="15" hidden="false" customHeight="false" outlineLevel="0" collapsed="false">
      <c r="A5047" s="2" t="s">
        <v>342</v>
      </c>
      <c r="B5047" s="2" t="s">
        <v>47</v>
      </c>
      <c r="C5047" s="2" t="s">
        <v>4275</v>
      </c>
      <c r="D5047" s="11" t="n">
        <v>39490</v>
      </c>
      <c r="E5047" s="31" t="n">
        <v>6.9</v>
      </c>
      <c r="F5047" s="31" t="n">
        <v>89.6</v>
      </c>
      <c r="G5047" s="31" t="n">
        <v>56.1</v>
      </c>
      <c r="H5047" s="2" t="s">
        <v>822</v>
      </c>
    </row>
    <row r="5048" customFormat="false" ht="15" hidden="false" customHeight="false" outlineLevel="0" collapsed="false">
      <c r="A5048" s="2" t="s">
        <v>3324</v>
      </c>
      <c r="B5048" s="2" t="s">
        <v>4291</v>
      </c>
      <c r="C5048" s="2" t="s">
        <v>4274</v>
      </c>
      <c r="D5048" s="2"/>
      <c r="E5048" s="31" t="n">
        <v>20.8</v>
      </c>
      <c r="F5048" s="31" t="n">
        <v>39.8</v>
      </c>
      <c r="G5048" s="31" t="n">
        <v>4.4</v>
      </c>
      <c r="H5048" s="2" t="s">
        <v>832</v>
      </c>
    </row>
    <row r="5049" customFormat="false" ht="15" hidden="false" customHeight="false" outlineLevel="0" collapsed="false">
      <c r="A5049" s="2" t="s">
        <v>3324</v>
      </c>
      <c r="B5049" s="2" t="s">
        <v>4291</v>
      </c>
      <c r="C5049" s="2" t="s">
        <v>4275</v>
      </c>
      <c r="D5049" s="2"/>
      <c r="E5049" s="31" t="n">
        <v>14.7</v>
      </c>
      <c r="F5049" s="31" t="n">
        <v>11.4</v>
      </c>
      <c r="G5049" s="31" t="n">
        <v>19.8</v>
      </c>
      <c r="H5049" s="2" t="s">
        <v>832</v>
      </c>
    </row>
    <row r="5050" customFormat="false" ht="15" hidden="false" customHeight="false" outlineLevel="0" collapsed="false">
      <c r="A5050" s="2" t="s">
        <v>3324</v>
      </c>
      <c r="B5050" s="2" t="s">
        <v>45</v>
      </c>
      <c r="C5050" s="2" t="s">
        <v>4274</v>
      </c>
      <c r="D5050" s="11" t="n">
        <v>491920</v>
      </c>
      <c r="E5050" s="31" t="n">
        <v>35.8</v>
      </c>
      <c r="F5050" s="31" t="n">
        <v>2.7</v>
      </c>
      <c r="G5050" s="31" t="n">
        <v>4.4</v>
      </c>
      <c r="H5050" s="2" t="s">
        <v>822</v>
      </c>
    </row>
    <row r="5051" customFormat="false" ht="15" hidden="false" customHeight="false" outlineLevel="0" collapsed="false">
      <c r="A5051" s="2" t="s">
        <v>3324</v>
      </c>
      <c r="B5051" s="2" t="s">
        <v>45</v>
      </c>
      <c r="C5051" s="2" t="s">
        <v>4275</v>
      </c>
      <c r="D5051" s="11" t="n">
        <v>489320</v>
      </c>
      <c r="E5051" s="31" t="n">
        <v>26.8</v>
      </c>
      <c r="F5051" s="31" t="n">
        <v>11.4</v>
      </c>
      <c r="G5051" s="31" t="n">
        <v>1.3</v>
      </c>
      <c r="H5051" s="2" t="s">
        <v>832</v>
      </c>
    </row>
    <row r="5052" customFormat="false" ht="15" hidden="false" customHeight="false" outlineLevel="0" collapsed="false">
      <c r="A5052" s="2" t="s">
        <v>3324</v>
      </c>
      <c r="B5052" s="2" t="s">
        <v>46</v>
      </c>
      <c r="C5052" s="2" t="s">
        <v>4274</v>
      </c>
      <c r="D5052" s="11" t="n">
        <v>199300</v>
      </c>
      <c r="E5052" s="31" t="n">
        <v>5.7</v>
      </c>
      <c r="F5052" s="31" t="n">
        <v>76.9</v>
      </c>
      <c r="G5052" s="2"/>
      <c r="H5052" s="2" t="s">
        <v>832</v>
      </c>
    </row>
    <row r="5053" customFormat="false" ht="15" hidden="false" customHeight="false" outlineLevel="0" collapsed="false">
      <c r="A5053" s="2" t="s">
        <v>3324</v>
      </c>
      <c r="B5053" s="2" t="s">
        <v>46</v>
      </c>
      <c r="C5053" s="2" t="s">
        <v>4275</v>
      </c>
      <c r="D5053" s="11" t="n">
        <v>209820</v>
      </c>
      <c r="E5053" s="31" t="n">
        <v>2.6</v>
      </c>
      <c r="F5053" s="2"/>
      <c r="G5053" s="31" t="n">
        <v>38.2</v>
      </c>
      <c r="H5053" s="2" t="s">
        <v>832</v>
      </c>
    </row>
    <row r="5054" customFormat="false" ht="15" hidden="false" customHeight="false" outlineLevel="0" collapsed="false">
      <c r="A5054" s="2" t="s">
        <v>650</v>
      </c>
      <c r="B5054" s="2" t="s">
        <v>4291</v>
      </c>
      <c r="C5054" s="2" t="s">
        <v>4275</v>
      </c>
      <c r="D5054" s="2"/>
      <c r="E5054" s="31" t="n">
        <v>34.5</v>
      </c>
      <c r="F5054" s="31" t="n">
        <v>77.8</v>
      </c>
      <c r="G5054" s="31" t="n">
        <v>65.8</v>
      </c>
      <c r="H5054" s="2" t="s">
        <v>822</v>
      </c>
    </row>
    <row r="5055" customFormat="false" ht="15" hidden="false" customHeight="false" outlineLevel="0" collapsed="false">
      <c r="A5055" s="2" t="s">
        <v>650</v>
      </c>
      <c r="B5055" s="2" t="s">
        <v>46</v>
      </c>
      <c r="C5055" s="2" t="s">
        <v>4275</v>
      </c>
      <c r="D5055" s="11" t="n">
        <v>26800</v>
      </c>
      <c r="E5055" s="31" t="n">
        <v>28.1</v>
      </c>
      <c r="F5055" s="31" t="n">
        <v>56.7</v>
      </c>
      <c r="G5055" s="31" t="n">
        <v>90.3</v>
      </c>
      <c r="H5055" s="2" t="s">
        <v>822</v>
      </c>
    </row>
    <row r="5056" customFormat="false" ht="15" hidden="false" customHeight="false" outlineLevel="0" collapsed="false">
      <c r="A5056" s="2" t="s">
        <v>650</v>
      </c>
      <c r="B5056" s="2" t="s">
        <v>47</v>
      </c>
      <c r="C5056" s="2" t="s">
        <v>4275</v>
      </c>
      <c r="D5056" s="11" t="n">
        <v>570982</v>
      </c>
      <c r="E5056" s="31" t="n">
        <v>40.9</v>
      </c>
      <c r="F5056" s="31" t="n">
        <v>98.8</v>
      </c>
      <c r="G5056" s="31" t="n">
        <v>41.2</v>
      </c>
      <c r="H5056" s="2" t="s">
        <v>822</v>
      </c>
    </row>
    <row r="5057" customFormat="false" ht="15" hidden="false" customHeight="false" outlineLevel="0" collapsed="false">
      <c r="A5057" s="2" t="s">
        <v>1028</v>
      </c>
      <c r="B5057" s="2" t="s">
        <v>4291</v>
      </c>
      <c r="C5057" s="2" t="s">
        <v>4274</v>
      </c>
      <c r="D5057" s="2"/>
      <c r="E5057" s="31" t="n">
        <v>73.1</v>
      </c>
      <c r="F5057" s="31" t="n">
        <v>40.4</v>
      </c>
      <c r="G5057" s="31" t="n">
        <v>44.3</v>
      </c>
      <c r="H5057" s="2" t="s">
        <v>832</v>
      </c>
    </row>
    <row r="5058" customFormat="false" ht="15" hidden="false" customHeight="false" outlineLevel="0" collapsed="false">
      <c r="A5058" s="2" t="s">
        <v>1028</v>
      </c>
      <c r="B5058" s="2" t="s">
        <v>4291</v>
      </c>
      <c r="C5058" s="2" t="s">
        <v>4275</v>
      </c>
      <c r="D5058" s="2"/>
      <c r="E5058" s="31" t="n">
        <v>66.9</v>
      </c>
      <c r="F5058" s="31" t="n">
        <v>68.6</v>
      </c>
      <c r="G5058" s="31" t="n">
        <v>38.4</v>
      </c>
      <c r="H5058" s="2" t="s">
        <v>832</v>
      </c>
    </row>
    <row r="5059" customFormat="false" ht="15" hidden="false" customHeight="false" outlineLevel="0" collapsed="false">
      <c r="A5059" s="2" t="s">
        <v>1028</v>
      </c>
      <c r="B5059" s="2" t="s">
        <v>45</v>
      </c>
      <c r="C5059" s="2" t="s">
        <v>4274</v>
      </c>
      <c r="D5059" s="11" t="n">
        <v>38280</v>
      </c>
      <c r="E5059" s="31" t="n">
        <v>52.5</v>
      </c>
      <c r="F5059" s="31" t="n">
        <v>29.2</v>
      </c>
      <c r="G5059" s="31" t="n">
        <v>11.7</v>
      </c>
      <c r="H5059" s="2" t="s">
        <v>822</v>
      </c>
    </row>
    <row r="5060" customFormat="false" ht="15" hidden="false" customHeight="false" outlineLevel="0" collapsed="false">
      <c r="A5060" s="2" t="s">
        <v>1028</v>
      </c>
      <c r="B5060" s="2" t="s">
        <v>45</v>
      </c>
      <c r="C5060" s="2" t="s">
        <v>4275</v>
      </c>
      <c r="D5060" s="11" t="n">
        <v>38230</v>
      </c>
      <c r="E5060" s="31" t="n">
        <v>75.6</v>
      </c>
      <c r="F5060" s="31" t="n">
        <v>43.3</v>
      </c>
      <c r="G5060" s="31" t="n">
        <v>29.6</v>
      </c>
      <c r="H5060" s="2" t="s">
        <v>822</v>
      </c>
    </row>
    <row r="5061" customFormat="false" ht="15" hidden="false" customHeight="false" outlineLevel="0" collapsed="false">
      <c r="A5061" s="2" t="s">
        <v>1028</v>
      </c>
      <c r="B5061" s="2" t="s">
        <v>46</v>
      </c>
      <c r="C5061" s="2" t="s">
        <v>4274</v>
      </c>
      <c r="D5061" s="11" t="n">
        <v>15640</v>
      </c>
      <c r="E5061" s="31" t="n">
        <v>93.7</v>
      </c>
      <c r="F5061" s="31" t="n">
        <v>51.7</v>
      </c>
      <c r="G5061" s="31" t="n">
        <v>60.3</v>
      </c>
      <c r="H5061" s="2" t="s">
        <v>822</v>
      </c>
    </row>
    <row r="5062" customFormat="false" ht="15" hidden="false" customHeight="false" outlineLevel="0" collapsed="false">
      <c r="A5062" s="2" t="s">
        <v>1028</v>
      </c>
      <c r="B5062" s="2" t="s">
        <v>46</v>
      </c>
      <c r="C5062" s="2" t="s">
        <v>4275</v>
      </c>
      <c r="D5062" s="2"/>
      <c r="E5062" s="2"/>
      <c r="F5062" s="2"/>
      <c r="G5062" s="2"/>
      <c r="H5062" s="2" t="s">
        <v>832</v>
      </c>
    </row>
    <row r="5063" customFormat="false" ht="15" hidden="false" customHeight="false" outlineLevel="0" collapsed="false">
      <c r="A5063" s="2" t="s">
        <v>1028</v>
      </c>
      <c r="B5063" s="2" t="s">
        <v>47</v>
      </c>
      <c r="C5063" s="2" t="s">
        <v>4274</v>
      </c>
      <c r="D5063" s="2"/>
      <c r="E5063" s="2"/>
      <c r="F5063" s="2"/>
      <c r="G5063" s="31" t="n">
        <v>60.8</v>
      </c>
      <c r="H5063" s="2" t="s">
        <v>832</v>
      </c>
    </row>
    <row r="5064" customFormat="false" ht="15" hidden="false" customHeight="false" outlineLevel="0" collapsed="false">
      <c r="A5064" s="2" t="s">
        <v>1028</v>
      </c>
      <c r="B5064" s="2" t="s">
        <v>47</v>
      </c>
      <c r="C5064" s="2" t="s">
        <v>4275</v>
      </c>
      <c r="D5064" s="11" t="n">
        <v>10655</v>
      </c>
      <c r="E5064" s="31" t="n">
        <v>58.2</v>
      </c>
      <c r="F5064" s="31" t="n">
        <v>93.8</v>
      </c>
      <c r="G5064" s="31" t="n">
        <v>47.3</v>
      </c>
      <c r="H5064" s="2" t="s">
        <v>822</v>
      </c>
    </row>
    <row r="5065" customFormat="false" ht="15" hidden="false" customHeight="false" outlineLevel="0" collapsed="false">
      <c r="A5065" s="2" t="s">
        <v>612</v>
      </c>
      <c r="B5065" s="2" t="s">
        <v>4291</v>
      </c>
      <c r="C5065" s="2" t="s">
        <v>4274</v>
      </c>
      <c r="D5065" s="2"/>
      <c r="E5065" s="31" t="n">
        <v>30.5</v>
      </c>
      <c r="F5065" s="31" t="n">
        <v>77.9</v>
      </c>
      <c r="G5065" s="31" t="n">
        <v>68.2</v>
      </c>
      <c r="H5065" s="2" t="s">
        <v>822</v>
      </c>
    </row>
    <row r="5066" customFormat="false" ht="15" hidden="false" customHeight="false" outlineLevel="0" collapsed="false">
      <c r="A5066" s="2" t="s">
        <v>612</v>
      </c>
      <c r="B5066" s="2" t="s">
        <v>4291</v>
      </c>
      <c r="C5066" s="2" t="s">
        <v>4275</v>
      </c>
      <c r="D5066" s="2"/>
      <c r="E5066" s="31" t="n">
        <v>38.2</v>
      </c>
      <c r="F5066" s="31" t="n">
        <v>67.8</v>
      </c>
      <c r="G5066" s="31" t="n">
        <v>71.7</v>
      </c>
      <c r="H5066" s="2" t="s">
        <v>822</v>
      </c>
    </row>
    <row r="5067" customFormat="false" ht="15" hidden="false" customHeight="false" outlineLevel="0" collapsed="false">
      <c r="A5067" s="2" t="s">
        <v>612</v>
      </c>
      <c r="B5067" s="2" t="s">
        <v>45</v>
      </c>
      <c r="C5067" s="2" t="s">
        <v>4274</v>
      </c>
      <c r="D5067" s="11" t="n">
        <v>116289</v>
      </c>
      <c r="E5067" s="31" t="n">
        <v>81.8</v>
      </c>
      <c r="F5067" s="31" t="n">
        <v>61.6</v>
      </c>
      <c r="G5067" s="31" t="n">
        <v>63.7</v>
      </c>
      <c r="H5067" s="2" t="s">
        <v>822</v>
      </c>
    </row>
    <row r="5068" customFormat="false" ht="15" hidden="false" customHeight="false" outlineLevel="0" collapsed="false">
      <c r="A5068" s="2" t="s">
        <v>612</v>
      </c>
      <c r="B5068" s="2" t="s">
        <v>45</v>
      </c>
      <c r="C5068" s="2" t="s">
        <v>4275</v>
      </c>
      <c r="D5068" s="11" t="n">
        <v>122520</v>
      </c>
      <c r="E5068" s="31" t="n">
        <v>80.9</v>
      </c>
      <c r="F5068" s="31" t="n">
        <v>38.6</v>
      </c>
      <c r="G5068" s="31" t="n">
        <v>88.1</v>
      </c>
      <c r="H5068" s="2" t="s">
        <v>822</v>
      </c>
    </row>
    <row r="5069" customFormat="false" ht="15" hidden="false" customHeight="false" outlineLevel="0" collapsed="false">
      <c r="A5069" s="2" t="s">
        <v>612</v>
      </c>
      <c r="B5069" s="2" t="s">
        <v>46</v>
      </c>
      <c r="C5069" s="2" t="s">
        <v>4274</v>
      </c>
      <c r="D5069" s="11" t="n">
        <v>89280</v>
      </c>
      <c r="E5069" s="31" t="n">
        <v>0.8</v>
      </c>
      <c r="F5069" s="31" t="n">
        <v>95.5</v>
      </c>
      <c r="G5069" s="31" t="n">
        <v>87.2</v>
      </c>
      <c r="H5069" s="2" t="s">
        <v>822</v>
      </c>
    </row>
    <row r="5070" customFormat="false" ht="15" hidden="false" customHeight="false" outlineLevel="0" collapsed="false">
      <c r="A5070" s="2" t="s">
        <v>612</v>
      </c>
      <c r="B5070" s="2" t="s">
        <v>46</v>
      </c>
      <c r="C5070" s="2" t="s">
        <v>4275</v>
      </c>
      <c r="D5070" s="11" t="n">
        <v>99650</v>
      </c>
      <c r="E5070" s="31" t="n">
        <v>0.6</v>
      </c>
      <c r="F5070" s="31" t="n">
        <v>77.1</v>
      </c>
      <c r="G5070" s="31" t="n">
        <v>91.8</v>
      </c>
      <c r="H5070" s="2" t="s">
        <v>822</v>
      </c>
    </row>
    <row r="5071" customFormat="false" ht="15" hidden="false" customHeight="false" outlineLevel="0" collapsed="false">
      <c r="A5071" s="2" t="s">
        <v>612</v>
      </c>
      <c r="B5071" s="2" t="s">
        <v>47</v>
      </c>
      <c r="C5071" s="2" t="s">
        <v>4274</v>
      </c>
      <c r="D5071" s="11" t="n">
        <v>27230</v>
      </c>
      <c r="E5071" s="31" t="n">
        <v>8.8</v>
      </c>
      <c r="F5071" s="31" t="n">
        <v>76.5</v>
      </c>
      <c r="G5071" s="31" t="n">
        <v>53.6</v>
      </c>
      <c r="H5071" s="2" t="s">
        <v>822</v>
      </c>
    </row>
    <row r="5072" customFormat="false" ht="15" hidden="false" customHeight="false" outlineLevel="0" collapsed="false">
      <c r="A5072" s="2" t="s">
        <v>612</v>
      </c>
      <c r="B5072" s="2" t="s">
        <v>47</v>
      </c>
      <c r="C5072" s="2" t="s">
        <v>4275</v>
      </c>
      <c r="D5072" s="11" t="n">
        <v>29093</v>
      </c>
      <c r="E5072" s="31" t="n">
        <v>33.2</v>
      </c>
      <c r="F5072" s="31" t="n">
        <v>87.7</v>
      </c>
      <c r="G5072" s="31" t="n">
        <v>35.1</v>
      </c>
      <c r="H5072" s="2" t="s">
        <v>822</v>
      </c>
    </row>
    <row r="5073" customFormat="false" ht="15" hidden="false" customHeight="false" outlineLevel="0" collapsed="false">
      <c r="A5073" s="2" t="s">
        <v>1438</v>
      </c>
      <c r="B5073" s="2" t="s">
        <v>4291</v>
      </c>
      <c r="C5073" s="2" t="s">
        <v>4274</v>
      </c>
      <c r="D5073" s="2"/>
      <c r="E5073" s="31" t="n">
        <v>35.3</v>
      </c>
      <c r="F5073" s="31" t="n">
        <v>66.1</v>
      </c>
      <c r="G5073" s="31" t="n">
        <v>40.2</v>
      </c>
      <c r="H5073" s="2" t="s">
        <v>832</v>
      </c>
    </row>
    <row r="5074" customFormat="false" ht="15" hidden="false" customHeight="false" outlineLevel="0" collapsed="false">
      <c r="A5074" s="2" t="s">
        <v>1438</v>
      </c>
      <c r="B5074" s="2" t="s">
        <v>4291</v>
      </c>
      <c r="C5074" s="2" t="s">
        <v>4275</v>
      </c>
      <c r="D5074" s="2"/>
      <c r="E5074" s="31" t="n">
        <v>32.3</v>
      </c>
      <c r="F5074" s="31" t="n">
        <v>67.3</v>
      </c>
      <c r="G5074" s="31" t="n">
        <v>43.8</v>
      </c>
      <c r="H5074" s="2" t="s">
        <v>832</v>
      </c>
    </row>
    <row r="5075" customFormat="false" ht="15" hidden="false" customHeight="false" outlineLevel="0" collapsed="false">
      <c r="A5075" s="2" t="s">
        <v>1438</v>
      </c>
      <c r="B5075" s="2" t="s">
        <v>45</v>
      </c>
      <c r="C5075" s="2" t="s">
        <v>4274</v>
      </c>
      <c r="D5075" s="11" t="n">
        <v>100530</v>
      </c>
      <c r="E5075" s="31" t="n">
        <v>22.9</v>
      </c>
      <c r="F5075" s="31" t="n">
        <v>33.6</v>
      </c>
      <c r="G5075" s="2"/>
      <c r="H5075" s="2" t="s">
        <v>832</v>
      </c>
    </row>
    <row r="5076" customFormat="false" ht="15" hidden="false" customHeight="false" outlineLevel="0" collapsed="false">
      <c r="A5076" s="2" t="s">
        <v>1438</v>
      </c>
      <c r="B5076" s="2" t="s">
        <v>45</v>
      </c>
      <c r="C5076" s="2" t="s">
        <v>4275</v>
      </c>
      <c r="D5076" s="11" t="n">
        <v>102830</v>
      </c>
      <c r="E5076" s="31" t="n">
        <v>22.1</v>
      </c>
      <c r="F5076" s="31" t="n">
        <v>25</v>
      </c>
      <c r="G5076" s="31" t="n">
        <v>7.5</v>
      </c>
      <c r="H5076" s="2" t="s">
        <v>822</v>
      </c>
    </row>
    <row r="5077" customFormat="false" ht="15" hidden="false" customHeight="false" outlineLevel="0" collapsed="false">
      <c r="A5077" s="2" t="s">
        <v>1438</v>
      </c>
      <c r="B5077" s="2" t="s">
        <v>46</v>
      </c>
      <c r="C5077" s="2" t="s">
        <v>4274</v>
      </c>
      <c r="D5077" s="11" t="n">
        <v>19160</v>
      </c>
      <c r="E5077" s="31" t="n">
        <v>59.5</v>
      </c>
      <c r="F5077" s="31" t="n">
        <v>96.3</v>
      </c>
      <c r="G5077" s="31" t="n">
        <v>53</v>
      </c>
      <c r="H5077" s="2" t="s">
        <v>822</v>
      </c>
    </row>
    <row r="5078" customFormat="false" ht="15" hidden="false" customHeight="false" outlineLevel="0" collapsed="false">
      <c r="A5078" s="2" t="s">
        <v>1438</v>
      </c>
      <c r="B5078" s="2" t="s">
        <v>46</v>
      </c>
      <c r="C5078" s="2" t="s">
        <v>4275</v>
      </c>
      <c r="D5078" s="11" t="n">
        <v>20900</v>
      </c>
      <c r="E5078" s="2"/>
      <c r="F5078" s="31" t="n">
        <v>98.9</v>
      </c>
      <c r="G5078" s="31" t="n">
        <v>55.4</v>
      </c>
      <c r="H5078" s="2" t="s">
        <v>832</v>
      </c>
    </row>
    <row r="5079" customFormat="false" ht="15" hidden="false" customHeight="false" outlineLevel="0" collapsed="false">
      <c r="A5079" s="2" t="s">
        <v>1438</v>
      </c>
      <c r="B5079" s="2" t="s">
        <v>47</v>
      </c>
      <c r="C5079" s="2" t="s">
        <v>4274</v>
      </c>
      <c r="D5079" s="11" t="n">
        <v>56730</v>
      </c>
      <c r="E5079" s="31" t="n">
        <v>23.5</v>
      </c>
      <c r="F5079" s="31" t="n">
        <v>68.3</v>
      </c>
      <c r="G5079" s="31" t="n">
        <v>27.5</v>
      </c>
      <c r="H5079" s="2" t="s">
        <v>822</v>
      </c>
    </row>
    <row r="5080" customFormat="false" ht="15" hidden="false" customHeight="false" outlineLevel="0" collapsed="false">
      <c r="A5080" s="2" t="s">
        <v>1438</v>
      </c>
      <c r="B5080" s="2" t="s">
        <v>47</v>
      </c>
      <c r="C5080" s="2" t="s">
        <v>4275</v>
      </c>
      <c r="D5080" s="11" t="n">
        <v>59650</v>
      </c>
      <c r="E5080" s="31" t="n">
        <v>42.5</v>
      </c>
      <c r="F5080" s="31" t="n">
        <v>77.9</v>
      </c>
      <c r="G5080" s="31" t="n">
        <v>68.6</v>
      </c>
      <c r="H5080" s="2" t="s">
        <v>822</v>
      </c>
    </row>
    <row r="5081" customFormat="false" ht="15" hidden="false" customHeight="false" outlineLevel="0" collapsed="false">
      <c r="A5081" s="2" t="s">
        <v>752</v>
      </c>
      <c r="B5081" s="2" t="s">
        <v>4291</v>
      </c>
      <c r="C5081" s="2" t="s">
        <v>4274</v>
      </c>
      <c r="D5081" s="2"/>
      <c r="E5081" s="31" t="n">
        <v>16.4</v>
      </c>
      <c r="F5081" s="31" t="n">
        <v>77.2</v>
      </c>
      <c r="G5081" s="31" t="n">
        <v>20.3</v>
      </c>
      <c r="H5081" s="2" t="s">
        <v>832</v>
      </c>
    </row>
    <row r="5082" customFormat="false" ht="15" hidden="false" customHeight="false" outlineLevel="0" collapsed="false">
      <c r="A5082" s="2" t="s">
        <v>752</v>
      </c>
      <c r="B5082" s="2" t="s">
        <v>4291</v>
      </c>
      <c r="C5082" s="2" t="s">
        <v>4275</v>
      </c>
      <c r="D5082" s="2"/>
      <c r="E5082" s="31" t="n">
        <v>21</v>
      </c>
      <c r="F5082" s="31" t="n">
        <v>80.6</v>
      </c>
      <c r="G5082" s="31" t="n">
        <v>51.8</v>
      </c>
      <c r="H5082" s="2" t="s">
        <v>822</v>
      </c>
    </row>
    <row r="5083" customFormat="false" ht="15" hidden="false" customHeight="false" outlineLevel="0" collapsed="false">
      <c r="A5083" s="2" t="s">
        <v>752</v>
      </c>
      <c r="B5083" s="2" t="s">
        <v>46</v>
      </c>
      <c r="C5083" s="2" t="s">
        <v>4274</v>
      </c>
      <c r="D5083" s="11" t="n">
        <v>26120</v>
      </c>
      <c r="E5083" s="2"/>
      <c r="F5083" s="31" t="n">
        <v>69.7</v>
      </c>
      <c r="G5083" s="2"/>
      <c r="H5083" s="2" t="s">
        <v>832</v>
      </c>
    </row>
    <row r="5084" customFormat="false" ht="15" hidden="false" customHeight="false" outlineLevel="0" collapsed="false">
      <c r="A5084" s="2" t="s">
        <v>752</v>
      </c>
      <c r="B5084" s="2" t="s">
        <v>46</v>
      </c>
      <c r="C5084" s="2" t="s">
        <v>4275</v>
      </c>
      <c r="D5084" s="11" t="n">
        <v>27500</v>
      </c>
      <c r="E5084" s="31" t="n">
        <v>11.6</v>
      </c>
      <c r="F5084" s="31" t="n">
        <v>82.5</v>
      </c>
      <c r="G5084" s="31" t="n">
        <v>79.2</v>
      </c>
      <c r="H5084" s="2" t="s">
        <v>822</v>
      </c>
    </row>
    <row r="5085" customFormat="false" ht="15" hidden="false" customHeight="false" outlineLevel="0" collapsed="false">
      <c r="A5085" s="2" t="s">
        <v>752</v>
      </c>
      <c r="B5085" s="2" t="s">
        <v>47</v>
      </c>
      <c r="C5085" s="2" t="s">
        <v>4274</v>
      </c>
      <c r="D5085" s="11" t="n">
        <v>27280</v>
      </c>
      <c r="E5085" s="31" t="n">
        <v>16.4</v>
      </c>
      <c r="F5085" s="31" t="n">
        <v>84.6</v>
      </c>
      <c r="G5085" s="31" t="n">
        <v>20.3</v>
      </c>
      <c r="H5085" s="2" t="s">
        <v>822</v>
      </c>
    </row>
    <row r="5086" customFormat="false" ht="15" hidden="false" customHeight="false" outlineLevel="0" collapsed="false">
      <c r="A5086" s="2" t="s">
        <v>752</v>
      </c>
      <c r="B5086" s="2" t="s">
        <v>47</v>
      </c>
      <c r="C5086" s="2" t="s">
        <v>4275</v>
      </c>
      <c r="D5086" s="11" t="n">
        <v>28400</v>
      </c>
      <c r="E5086" s="31" t="n">
        <v>30.5</v>
      </c>
      <c r="F5086" s="31" t="n">
        <v>78.6</v>
      </c>
      <c r="G5086" s="31" t="n">
        <v>24.4</v>
      </c>
      <c r="H5086" s="2" t="s">
        <v>822</v>
      </c>
    </row>
    <row r="5087" customFormat="false" ht="15" hidden="false" customHeight="false" outlineLevel="0" collapsed="false">
      <c r="A5087" s="2" t="s">
        <v>862</v>
      </c>
      <c r="B5087" s="2" t="s">
        <v>4291</v>
      </c>
      <c r="C5087" s="2" t="s">
        <v>4274</v>
      </c>
      <c r="D5087" s="2"/>
      <c r="E5087" s="31" t="n">
        <v>98.3</v>
      </c>
      <c r="F5087" s="2"/>
      <c r="G5087" s="31" t="n">
        <v>9.3</v>
      </c>
      <c r="H5087" s="2" t="s">
        <v>832</v>
      </c>
    </row>
    <row r="5088" customFormat="false" ht="15" hidden="false" customHeight="false" outlineLevel="0" collapsed="false">
      <c r="A5088" s="2" t="s">
        <v>862</v>
      </c>
      <c r="B5088" s="2" t="s">
        <v>4291</v>
      </c>
      <c r="C5088" s="2" t="s">
        <v>4275</v>
      </c>
      <c r="D5088" s="2"/>
      <c r="E5088" s="31" t="n">
        <v>95.8</v>
      </c>
      <c r="F5088" s="31" t="n">
        <v>9.6</v>
      </c>
      <c r="G5088" s="31" t="n">
        <v>21</v>
      </c>
      <c r="H5088" s="2" t="s">
        <v>832</v>
      </c>
    </row>
    <row r="5089" customFormat="false" ht="15" hidden="false" customHeight="false" outlineLevel="0" collapsed="false">
      <c r="A5089" s="2" t="s">
        <v>862</v>
      </c>
      <c r="B5089" s="2" t="s">
        <v>45</v>
      </c>
      <c r="C5089" s="2" t="s">
        <v>4274</v>
      </c>
      <c r="D5089" s="11" t="n">
        <v>19420</v>
      </c>
      <c r="E5089" s="31" t="n">
        <v>98.3</v>
      </c>
      <c r="F5089" s="2"/>
      <c r="G5089" s="31" t="n">
        <v>9.3</v>
      </c>
      <c r="H5089" s="2" t="s">
        <v>832</v>
      </c>
    </row>
    <row r="5090" customFormat="false" ht="15" hidden="false" customHeight="false" outlineLevel="0" collapsed="false">
      <c r="A5090" s="2" t="s">
        <v>862</v>
      </c>
      <c r="B5090" s="2" t="s">
        <v>45</v>
      </c>
      <c r="C5090" s="2" t="s">
        <v>4275</v>
      </c>
      <c r="D5090" s="11" t="n">
        <v>19679</v>
      </c>
      <c r="E5090" s="31" t="n">
        <v>95.8</v>
      </c>
      <c r="F5090" s="31" t="n">
        <v>9.6</v>
      </c>
      <c r="G5090" s="31" t="n">
        <v>21</v>
      </c>
      <c r="H5090" s="2" t="s">
        <v>822</v>
      </c>
    </row>
    <row r="5091" customFormat="false" ht="15" hidden="false" customHeight="false" outlineLevel="0" collapsed="false">
      <c r="A5091" s="2" t="s">
        <v>862</v>
      </c>
      <c r="B5091" s="2" t="s">
        <v>46</v>
      </c>
      <c r="C5091" s="2" t="s">
        <v>4274</v>
      </c>
      <c r="D5091" s="2"/>
      <c r="E5091" s="2"/>
      <c r="F5091" s="2"/>
      <c r="G5091" s="2"/>
      <c r="H5091" s="2" t="s">
        <v>832</v>
      </c>
    </row>
    <row r="5092" customFormat="false" ht="15" hidden="false" customHeight="false" outlineLevel="0" collapsed="false">
      <c r="A5092" s="2" t="s">
        <v>862</v>
      </c>
      <c r="B5092" s="2" t="s">
        <v>46</v>
      </c>
      <c r="C5092" s="2" t="s">
        <v>4275</v>
      </c>
      <c r="D5092" s="2"/>
      <c r="E5092" s="2"/>
      <c r="F5092" s="2"/>
      <c r="G5092" s="2"/>
      <c r="H5092" s="2" t="s">
        <v>832</v>
      </c>
    </row>
    <row r="5093" customFormat="false" ht="15" hidden="false" customHeight="false" outlineLevel="0" collapsed="false">
      <c r="A5093" s="2" t="s">
        <v>2060</v>
      </c>
      <c r="B5093" s="2" t="s">
        <v>4291</v>
      </c>
      <c r="C5093" s="2" t="s">
        <v>4274</v>
      </c>
      <c r="D5093" s="2"/>
      <c r="E5093" s="31" t="n">
        <v>54.7</v>
      </c>
      <c r="F5093" s="31" t="n">
        <v>67.8</v>
      </c>
      <c r="G5093" s="31" t="n">
        <v>73.2</v>
      </c>
      <c r="H5093" s="2" t="s">
        <v>832</v>
      </c>
    </row>
    <row r="5094" customFormat="false" ht="15" hidden="false" customHeight="false" outlineLevel="0" collapsed="false">
      <c r="A5094" s="2" t="s">
        <v>2060</v>
      </c>
      <c r="B5094" s="2" t="s">
        <v>4291</v>
      </c>
      <c r="C5094" s="2" t="s">
        <v>4275</v>
      </c>
      <c r="D5094" s="2"/>
      <c r="E5094" s="31" t="n">
        <v>60.6</v>
      </c>
      <c r="F5094" s="31" t="n">
        <v>62.5</v>
      </c>
      <c r="G5094" s="31" t="n">
        <v>46.9</v>
      </c>
      <c r="H5094" s="2" t="s">
        <v>832</v>
      </c>
    </row>
    <row r="5095" customFormat="false" ht="15" hidden="false" customHeight="false" outlineLevel="0" collapsed="false">
      <c r="A5095" s="2" t="s">
        <v>2060</v>
      </c>
      <c r="B5095" s="2" t="s">
        <v>45</v>
      </c>
      <c r="C5095" s="2" t="s">
        <v>4274</v>
      </c>
      <c r="D5095" s="11" t="n">
        <v>19986</v>
      </c>
      <c r="E5095" s="31" t="n">
        <v>32.4</v>
      </c>
      <c r="F5095" s="31" t="n">
        <v>75.2</v>
      </c>
      <c r="G5095" s="31" t="n">
        <v>62.2</v>
      </c>
      <c r="H5095" s="2" t="s">
        <v>822</v>
      </c>
    </row>
    <row r="5096" customFormat="false" ht="15" hidden="false" customHeight="false" outlineLevel="0" collapsed="false">
      <c r="A5096" s="2" t="s">
        <v>2060</v>
      </c>
      <c r="B5096" s="2" t="s">
        <v>45</v>
      </c>
      <c r="C5096" s="2" t="s">
        <v>4275</v>
      </c>
      <c r="D5096" s="11" t="n">
        <v>20340</v>
      </c>
      <c r="E5096" s="2"/>
      <c r="F5096" s="31" t="n">
        <v>67</v>
      </c>
      <c r="G5096" s="31" t="n">
        <v>68.8</v>
      </c>
      <c r="H5096" s="2" t="s">
        <v>832</v>
      </c>
    </row>
    <row r="5097" customFormat="false" ht="15" hidden="false" customHeight="false" outlineLevel="0" collapsed="false">
      <c r="A5097" s="2" t="s">
        <v>2060</v>
      </c>
      <c r="B5097" s="2" t="s">
        <v>46</v>
      </c>
      <c r="C5097" s="2" t="s">
        <v>4274</v>
      </c>
      <c r="D5097" s="11" t="n">
        <v>111710</v>
      </c>
      <c r="E5097" s="31" t="n">
        <v>40.9</v>
      </c>
      <c r="F5097" s="31" t="n">
        <v>82.1</v>
      </c>
      <c r="G5097" s="2"/>
      <c r="H5097" s="2" t="s">
        <v>832</v>
      </c>
    </row>
    <row r="5098" customFormat="false" ht="15" hidden="false" customHeight="false" outlineLevel="0" collapsed="false">
      <c r="A5098" s="2" t="s">
        <v>2060</v>
      </c>
      <c r="B5098" s="2" t="s">
        <v>46</v>
      </c>
      <c r="C5098" s="2" t="s">
        <v>4275</v>
      </c>
      <c r="D5098" s="11" t="n">
        <v>116717</v>
      </c>
      <c r="E5098" s="31" t="n">
        <v>23.4</v>
      </c>
      <c r="F5098" s="31" t="n">
        <v>77.7</v>
      </c>
      <c r="G5098" s="31" t="n">
        <v>0.7</v>
      </c>
      <c r="H5098" s="2" t="s">
        <v>822</v>
      </c>
    </row>
    <row r="5099" customFormat="false" ht="15" hidden="false" customHeight="false" outlineLevel="0" collapsed="false">
      <c r="A5099" s="2" t="s">
        <v>2060</v>
      </c>
      <c r="B5099" s="2" t="s">
        <v>47</v>
      </c>
      <c r="C5099" s="2" t="s">
        <v>4274</v>
      </c>
      <c r="D5099" s="11" t="n">
        <v>1681391</v>
      </c>
      <c r="E5099" s="31" t="n">
        <v>90.7</v>
      </c>
      <c r="F5099" s="31" t="n">
        <v>46.2</v>
      </c>
      <c r="G5099" s="31" t="n">
        <v>84.1</v>
      </c>
      <c r="H5099" s="2" t="s">
        <v>822</v>
      </c>
    </row>
    <row r="5100" customFormat="false" ht="15" hidden="false" customHeight="false" outlineLevel="0" collapsed="false">
      <c r="A5100" s="2" t="s">
        <v>2060</v>
      </c>
      <c r="B5100" s="2" t="s">
        <v>47</v>
      </c>
      <c r="C5100" s="2" t="s">
        <v>4275</v>
      </c>
      <c r="D5100" s="11" t="n">
        <v>1704557</v>
      </c>
      <c r="E5100" s="31" t="n">
        <v>97.7</v>
      </c>
      <c r="F5100" s="31" t="n">
        <v>42.9</v>
      </c>
      <c r="G5100" s="31" t="n">
        <v>71.1</v>
      </c>
      <c r="H5100" s="2" t="s">
        <v>822</v>
      </c>
    </row>
    <row r="5101" customFormat="false" ht="15" hidden="false" customHeight="false" outlineLevel="0" collapsed="false">
      <c r="A5101" s="2" t="s">
        <v>460</v>
      </c>
      <c r="B5101" s="2" t="s">
        <v>4291</v>
      </c>
      <c r="C5101" s="2" t="s">
        <v>4274</v>
      </c>
      <c r="D5101" s="2"/>
      <c r="E5101" s="31" t="n">
        <v>50.7</v>
      </c>
      <c r="F5101" s="31" t="n">
        <v>58.1</v>
      </c>
      <c r="G5101" s="31" t="n">
        <v>41</v>
      </c>
      <c r="H5101" s="2" t="s">
        <v>822</v>
      </c>
    </row>
    <row r="5102" customFormat="false" ht="15" hidden="false" customHeight="false" outlineLevel="0" collapsed="false">
      <c r="A5102" s="2" t="s">
        <v>460</v>
      </c>
      <c r="B5102" s="2" t="s">
        <v>4291</v>
      </c>
      <c r="C5102" s="2" t="s">
        <v>4275</v>
      </c>
      <c r="D5102" s="2"/>
      <c r="E5102" s="31" t="n">
        <v>51.4</v>
      </c>
      <c r="F5102" s="31" t="n">
        <v>49.5</v>
      </c>
      <c r="G5102" s="31" t="n">
        <v>40.5</v>
      </c>
      <c r="H5102" s="2" t="s">
        <v>822</v>
      </c>
    </row>
    <row r="5103" customFormat="false" ht="15" hidden="false" customHeight="false" outlineLevel="0" collapsed="false">
      <c r="A5103" s="2" t="s">
        <v>460</v>
      </c>
      <c r="B5103" s="2" t="s">
        <v>45</v>
      </c>
      <c r="C5103" s="2" t="s">
        <v>4274</v>
      </c>
      <c r="D5103" s="11" t="n">
        <v>86910</v>
      </c>
      <c r="E5103" s="31" t="n">
        <v>89</v>
      </c>
      <c r="F5103" s="31" t="n">
        <v>61.3</v>
      </c>
      <c r="G5103" s="31" t="n">
        <v>23.7</v>
      </c>
      <c r="H5103" s="2" t="s">
        <v>822</v>
      </c>
    </row>
    <row r="5104" customFormat="false" ht="15" hidden="false" customHeight="false" outlineLevel="0" collapsed="false">
      <c r="A5104" s="2" t="s">
        <v>460</v>
      </c>
      <c r="B5104" s="2" t="s">
        <v>45</v>
      </c>
      <c r="C5104" s="2" t="s">
        <v>4275</v>
      </c>
      <c r="D5104" s="11" t="n">
        <v>90300</v>
      </c>
      <c r="E5104" s="31" t="n">
        <v>90.2</v>
      </c>
      <c r="F5104" s="31" t="n">
        <v>48.5</v>
      </c>
      <c r="G5104" s="31" t="n">
        <v>51.7</v>
      </c>
      <c r="H5104" s="2" t="s">
        <v>822</v>
      </c>
    </row>
    <row r="5105" customFormat="false" ht="15" hidden="false" customHeight="false" outlineLevel="0" collapsed="false">
      <c r="A5105" s="2" t="s">
        <v>460</v>
      </c>
      <c r="B5105" s="2" t="s">
        <v>46</v>
      </c>
      <c r="C5105" s="2" t="s">
        <v>4274</v>
      </c>
      <c r="D5105" s="11" t="n">
        <v>263434</v>
      </c>
      <c r="E5105" s="31" t="n">
        <v>5.3</v>
      </c>
      <c r="F5105" s="31" t="n">
        <v>14.1</v>
      </c>
      <c r="G5105" s="31" t="n">
        <v>66.9</v>
      </c>
      <c r="H5105" s="2" t="s">
        <v>822</v>
      </c>
    </row>
    <row r="5106" customFormat="false" ht="15" hidden="false" customHeight="false" outlineLevel="0" collapsed="false">
      <c r="A5106" s="2" t="s">
        <v>460</v>
      </c>
      <c r="B5106" s="2" t="s">
        <v>46</v>
      </c>
      <c r="C5106" s="2" t="s">
        <v>4275</v>
      </c>
      <c r="D5106" s="11" t="n">
        <v>257950</v>
      </c>
      <c r="E5106" s="31" t="n">
        <v>7.7</v>
      </c>
      <c r="F5106" s="31" t="n">
        <v>2.5</v>
      </c>
      <c r="G5106" s="31" t="n">
        <v>13.2</v>
      </c>
      <c r="H5106" s="2" t="s">
        <v>822</v>
      </c>
    </row>
    <row r="5107" customFormat="false" ht="15" hidden="false" customHeight="false" outlineLevel="0" collapsed="false">
      <c r="A5107" s="2" t="s">
        <v>460</v>
      </c>
      <c r="B5107" s="2" t="s">
        <v>47</v>
      </c>
      <c r="C5107" s="2" t="s">
        <v>4274</v>
      </c>
      <c r="D5107" s="11" t="n">
        <v>35666</v>
      </c>
      <c r="E5107" s="31" t="n">
        <v>57.8</v>
      </c>
      <c r="F5107" s="31" t="n">
        <v>99</v>
      </c>
      <c r="G5107" s="31" t="n">
        <v>32.5</v>
      </c>
      <c r="H5107" s="2" t="s">
        <v>822</v>
      </c>
    </row>
    <row r="5108" customFormat="false" ht="15" hidden="false" customHeight="false" outlineLevel="0" collapsed="false">
      <c r="A5108" s="2" t="s">
        <v>460</v>
      </c>
      <c r="B5108" s="2" t="s">
        <v>47</v>
      </c>
      <c r="C5108" s="2" t="s">
        <v>4275</v>
      </c>
      <c r="D5108" s="11" t="n">
        <v>38470</v>
      </c>
      <c r="E5108" s="31" t="n">
        <v>56.4</v>
      </c>
      <c r="F5108" s="31" t="n">
        <v>97.4</v>
      </c>
      <c r="G5108" s="31" t="n">
        <v>56.5</v>
      </c>
      <c r="H5108" s="2" t="s">
        <v>822</v>
      </c>
    </row>
    <row r="5109" customFormat="false" ht="15" hidden="false" customHeight="false" outlineLevel="0" collapsed="false">
      <c r="A5109" s="2" t="s">
        <v>424</v>
      </c>
      <c r="B5109" s="2" t="s">
        <v>4291</v>
      </c>
      <c r="C5109" s="2" t="s">
        <v>4274</v>
      </c>
      <c r="D5109" s="2"/>
      <c r="E5109" s="31" t="n">
        <v>40.7</v>
      </c>
      <c r="F5109" s="31" t="n">
        <v>27.1</v>
      </c>
      <c r="G5109" s="31" t="n">
        <v>50.5</v>
      </c>
      <c r="H5109" s="2" t="s">
        <v>832</v>
      </c>
    </row>
    <row r="5110" customFormat="false" ht="15" hidden="false" customHeight="false" outlineLevel="0" collapsed="false">
      <c r="A5110" s="2" t="s">
        <v>424</v>
      </c>
      <c r="B5110" s="2" t="s">
        <v>4291</v>
      </c>
      <c r="C5110" s="2" t="s">
        <v>4275</v>
      </c>
      <c r="D5110" s="2"/>
      <c r="E5110" s="31" t="n">
        <v>53.6</v>
      </c>
      <c r="F5110" s="31" t="n">
        <v>20.1</v>
      </c>
      <c r="G5110" s="31" t="n">
        <v>40.9</v>
      </c>
      <c r="H5110" s="2" t="s">
        <v>822</v>
      </c>
    </row>
    <row r="5111" customFormat="false" ht="15" hidden="false" customHeight="false" outlineLevel="0" collapsed="false">
      <c r="A5111" s="2" t="s">
        <v>424</v>
      </c>
      <c r="B5111" s="2" t="s">
        <v>45</v>
      </c>
      <c r="C5111" s="2" t="s">
        <v>4274</v>
      </c>
      <c r="D5111" s="11" t="n">
        <v>229678</v>
      </c>
      <c r="E5111" s="31" t="n">
        <v>7.6</v>
      </c>
      <c r="F5111" s="31" t="n">
        <v>2.1</v>
      </c>
      <c r="G5111" s="2"/>
      <c r="H5111" s="2" t="s">
        <v>832</v>
      </c>
    </row>
    <row r="5112" customFormat="false" ht="15" hidden="false" customHeight="false" outlineLevel="0" collapsed="false">
      <c r="A5112" s="2" t="s">
        <v>424</v>
      </c>
      <c r="B5112" s="2" t="s">
        <v>45</v>
      </c>
      <c r="C5112" s="2" t="s">
        <v>4275</v>
      </c>
      <c r="D5112" s="11" t="n">
        <v>226611</v>
      </c>
      <c r="E5112" s="31" t="n">
        <v>12.3</v>
      </c>
      <c r="F5112" s="31" t="n">
        <v>0.7</v>
      </c>
      <c r="G5112" s="31" t="n">
        <v>26.1</v>
      </c>
      <c r="H5112" s="2" t="s">
        <v>822</v>
      </c>
    </row>
    <row r="5113" customFormat="false" ht="15" hidden="false" customHeight="false" outlineLevel="0" collapsed="false">
      <c r="A5113" s="2" t="s">
        <v>424</v>
      </c>
      <c r="B5113" s="2" t="s">
        <v>46</v>
      </c>
      <c r="C5113" s="2" t="s">
        <v>4274</v>
      </c>
      <c r="D5113" s="11" t="n">
        <v>50250</v>
      </c>
      <c r="E5113" s="31" t="n">
        <v>61.4</v>
      </c>
      <c r="F5113" s="31" t="n">
        <v>5.6</v>
      </c>
      <c r="G5113" s="31" t="n">
        <v>9.6</v>
      </c>
      <c r="H5113" s="2" t="s">
        <v>822</v>
      </c>
    </row>
    <row r="5114" customFormat="false" ht="15" hidden="false" customHeight="false" outlineLevel="0" collapsed="false">
      <c r="A5114" s="2" t="s">
        <v>424</v>
      </c>
      <c r="B5114" s="2" t="s">
        <v>46</v>
      </c>
      <c r="C5114" s="2" t="s">
        <v>4275</v>
      </c>
      <c r="D5114" s="11" t="n">
        <v>49090</v>
      </c>
      <c r="E5114" s="31" t="n">
        <v>78.4</v>
      </c>
      <c r="F5114" s="31" t="n">
        <v>14.5</v>
      </c>
      <c r="G5114" s="31" t="n">
        <v>28.5</v>
      </c>
      <c r="H5114" s="2" t="s">
        <v>822</v>
      </c>
    </row>
    <row r="5115" customFormat="false" ht="15" hidden="false" customHeight="false" outlineLevel="0" collapsed="false">
      <c r="A5115" s="2" t="s">
        <v>424</v>
      </c>
      <c r="B5115" s="2" t="s">
        <v>47</v>
      </c>
      <c r="C5115" s="2" t="s">
        <v>4274</v>
      </c>
      <c r="D5115" s="11" t="n">
        <v>17776</v>
      </c>
      <c r="E5115" s="31" t="n">
        <v>53.1</v>
      </c>
      <c r="F5115" s="31" t="n">
        <v>73.5</v>
      </c>
      <c r="G5115" s="31" t="n">
        <v>91.4</v>
      </c>
      <c r="H5115" s="2" t="s">
        <v>822</v>
      </c>
    </row>
    <row r="5116" customFormat="false" ht="15" hidden="false" customHeight="false" outlineLevel="0" collapsed="false">
      <c r="A5116" s="2" t="s">
        <v>424</v>
      </c>
      <c r="B5116" s="2" t="s">
        <v>47</v>
      </c>
      <c r="C5116" s="2" t="s">
        <v>4275</v>
      </c>
      <c r="D5116" s="11" t="n">
        <v>18386</v>
      </c>
      <c r="E5116" s="31" t="n">
        <v>70.2</v>
      </c>
      <c r="F5116" s="31" t="n">
        <v>45.1</v>
      </c>
      <c r="G5116" s="31" t="n">
        <v>68.1</v>
      </c>
      <c r="H5116" s="2" t="s">
        <v>822</v>
      </c>
    </row>
    <row r="5117" customFormat="false" ht="15" hidden="false" customHeight="false" outlineLevel="0" collapsed="false">
      <c r="A5117" s="2" t="s">
        <v>370</v>
      </c>
      <c r="B5117" s="2" t="s">
        <v>4291</v>
      </c>
      <c r="C5117" s="2" t="s">
        <v>4274</v>
      </c>
      <c r="D5117" s="2"/>
      <c r="E5117" s="31" t="n">
        <v>66.6</v>
      </c>
      <c r="F5117" s="31" t="n">
        <v>64.4</v>
      </c>
      <c r="G5117" s="31" t="n">
        <v>71.2</v>
      </c>
      <c r="H5117" s="2" t="s">
        <v>832</v>
      </c>
    </row>
    <row r="5118" customFormat="false" ht="15" hidden="false" customHeight="false" outlineLevel="0" collapsed="false">
      <c r="A5118" s="2" t="s">
        <v>370</v>
      </c>
      <c r="B5118" s="2" t="s">
        <v>4291</v>
      </c>
      <c r="C5118" s="2" t="s">
        <v>4275</v>
      </c>
      <c r="D5118" s="2"/>
      <c r="E5118" s="31" t="n">
        <v>57.2</v>
      </c>
      <c r="F5118" s="31" t="n">
        <v>70</v>
      </c>
      <c r="G5118" s="31" t="n">
        <v>22.2</v>
      </c>
      <c r="H5118" s="2" t="s">
        <v>822</v>
      </c>
    </row>
    <row r="5119" customFormat="false" ht="15" hidden="false" customHeight="false" outlineLevel="0" collapsed="false">
      <c r="A5119" s="2" t="s">
        <v>370</v>
      </c>
      <c r="B5119" s="2" t="s">
        <v>45</v>
      </c>
      <c r="C5119" s="2" t="s">
        <v>4274</v>
      </c>
      <c r="D5119" s="11" t="n">
        <v>10239</v>
      </c>
      <c r="E5119" s="31" t="n">
        <v>43.9</v>
      </c>
      <c r="F5119" s="31" t="n">
        <v>40.5</v>
      </c>
      <c r="G5119" s="31" t="n">
        <v>71.2</v>
      </c>
      <c r="H5119" s="2" t="s">
        <v>822</v>
      </c>
    </row>
    <row r="5120" customFormat="false" ht="15" hidden="false" customHeight="false" outlineLevel="0" collapsed="false">
      <c r="A5120" s="2" t="s">
        <v>370</v>
      </c>
      <c r="B5120" s="2" t="s">
        <v>45</v>
      </c>
      <c r="C5120" s="2" t="s">
        <v>4275</v>
      </c>
      <c r="D5120" s="11" t="n">
        <v>10450</v>
      </c>
      <c r="E5120" s="31" t="n">
        <v>62.9</v>
      </c>
      <c r="F5120" s="31" t="n">
        <v>63.2</v>
      </c>
      <c r="G5120" s="31" t="n">
        <v>19.3</v>
      </c>
      <c r="H5120" s="2" t="s">
        <v>822</v>
      </c>
    </row>
    <row r="5121" customFormat="false" ht="15" hidden="false" customHeight="false" outlineLevel="0" collapsed="false">
      <c r="A5121" s="2" t="s">
        <v>370</v>
      </c>
      <c r="B5121" s="2" t="s">
        <v>46</v>
      </c>
      <c r="C5121" s="2" t="s">
        <v>4274</v>
      </c>
      <c r="D5121" s="2"/>
      <c r="E5121" s="2"/>
      <c r="F5121" s="2"/>
      <c r="G5121" s="2"/>
      <c r="H5121" s="2" t="s">
        <v>832</v>
      </c>
    </row>
    <row r="5122" customFormat="false" ht="15" hidden="false" customHeight="false" outlineLevel="0" collapsed="false">
      <c r="A5122" s="2" t="s">
        <v>370</v>
      </c>
      <c r="B5122" s="2" t="s">
        <v>46</v>
      </c>
      <c r="C5122" s="2" t="s">
        <v>4275</v>
      </c>
      <c r="D5122" s="11" t="n">
        <v>57220</v>
      </c>
      <c r="E5122" s="31" t="n">
        <v>25.5</v>
      </c>
      <c r="F5122" s="31" t="n">
        <v>94.5</v>
      </c>
      <c r="G5122" s="31" t="n">
        <v>30.7</v>
      </c>
      <c r="H5122" s="2" t="s">
        <v>822</v>
      </c>
    </row>
    <row r="5123" customFormat="false" ht="15" hidden="false" customHeight="false" outlineLevel="0" collapsed="false">
      <c r="A5123" s="2" t="s">
        <v>370</v>
      </c>
      <c r="B5123" s="2" t="s">
        <v>47</v>
      </c>
      <c r="C5123" s="2" t="s">
        <v>4274</v>
      </c>
      <c r="D5123" s="11" t="n">
        <v>34060</v>
      </c>
      <c r="E5123" s="31" t="n">
        <v>89.3</v>
      </c>
      <c r="F5123" s="31" t="n">
        <v>88.2</v>
      </c>
      <c r="G5123" s="2"/>
      <c r="H5123" s="2" t="s">
        <v>832</v>
      </c>
    </row>
    <row r="5124" customFormat="false" ht="15" hidden="false" customHeight="false" outlineLevel="0" collapsed="false">
      <c r="A5124" s="2" t="s">
        <v>370</v>
      </c>
      <c r="B5124" s="2" t="s">
        <v>47</v>
      </c>
      <c r="C5124" s="2" t="s">
        <v>4275</v>
      </c>
      <c r="D5124" s="11" t="n">
        <v>35637</v>
      </c>
      <c r="E5124" s="31" t="n">
        <v>83.2</v>
      </c>
      <c r="F5124" s="31" t="n">
        <v>52.3</v>
      </c>
      <c r="G5124" s="31" t="n">
        <v>16.5</v>
      </c>
      <c r="H5124" s="2" t="s">
        <v>822</v>
      </c>
    </row>
    <row r="5125" customFormat="false" ht="15" hidden="false" customHeight="false" outlineLevel="0" collapsed="false">
      <c r="A5125" s="2" t="s">
        <v>536</v>
      </c>
      <c r="B5125" s="2" t="s">
        <v>4291</v>
      </c>
      <c r="C5125" s="2" t="s">
        <v>4274</v>
      </c>
      <c r="D5125" s="2"/>
      <c r="E5125" s="31" t="n">
        <v>45.5</v>
      </c>
      <c r="F5125" s="31" t="n">
        <v>13.8</v>
      </c>
      <c r="G5125" s="31" t="n">
        <v>65.6</v>
      </c>
      <c r="H5125" s="2" t="s">
        <v>822</v>
      </c>
    </row>
    <row r="5126" customFormat="false" ht="15" hidden="false" customHeight="false" outlineLevel="0" collapsed="false">
      <c r="A5126" s="2" t="s">
        <v>536</v>
      </c>
      <c r="B5126" s="2" t="s">
        <v>4291</v>
      </c>
      <c r="C5126" s="2" t="s">
        <v>4275</v>
      </c>
      <c r="D5126" s="2"/>
      <c r="E5126" s="31" t="n">
        <v>45.2</v>
      </c>
      <c r="F5126" s="31" t="n">
        <v>35.6</v>
      </c>
      <c r="G5126" s="31" t="n">
        <v>38.2</v>
      </c>
      <c r="H5126" s="2" t="s">
        <v>822</v>
      </c>
    </row>
    <row r="5127" customFormat="false" ht="15" hidden="false" customHeight="false" outlineLevel="0" collapsed="false">
      <c r="A5127" s="2" t="s">
        <v>536</v>
      </c>
      <c r="B5127" s="2" t="s">
        <v>45</v>
      </c>
      <c r="C5127" s="2" t="s">
        <v>4274</v>
      </c>
      <c r="D5127" s="11" t="n">
        <v>23570</v>
      </c>
      <c r="E5127" s="31" t="n">
        <v>35.9</v>
      </c>
      <c r="F5127" s="31" t="n">
        <v>16.8</v>
      </c>
      <c r="G5127" s="31" t="n">
        <v>43.7</v>
      </c>
      <c r="H5127" s="2" t="s">
        <v>822</v>
      </c>
    </row>
    <row r="5128" customFormat="false" ht="15" hidden="false" customHeight="false" outlineLevel="0" collapsed="false">
      <c r="A5128" s="2" t="s">
        <v>536</v>
      </c>
      <c r="B5128" s="2" t="s">
        <v>45</v>
      </c>
      <c r="C5128" s="2" t="s">
        <v>4275</v>
      </c>
      <c r="D5128" s="11" t="n">
        <v>24539</v>
      </c>
      <c r="E5128" s="31" t="n">
        <v>27.2</v>
      </c>
      <c r="F5128" s="31" t="n">
        <v>21</v>
      </c>
      <c r="G5128" s="31" t="n">
        <v>14.7</v>
      </c>
      <c r="H5128" s="2" t="s">
        <v>822</v>
      </c>
    </row>
    <row r="5129" customFormat="false" ht="15" hidden="false" customHeight="false" outlineLevel="0" collapsed="false">
      <c r="A5129" s="2" t="s">
        <v>536</v>
      </c>
      <c r="B5129" s="2" t="s">
        <v>46</v>
      </c>
      <c r="C5129" s="2" t="s">
        <v>4274</v>
      </c>
      <c r="D5129" s="11" t="n">
        <v>113780</v>
      </c>
      <c r="E5129" s="31" t="n">
        <v>31.5</v>
      </c>
      <c r="F5129" s="31" t="n">
        <v>12.8</v>
      </c>
      <c r="G5129" s="31" t="n">
        <v>74.7</v>
      </c>
      <c r="H5129" s="2" t="s">
        <v>822</v>
      </c>
    </row>
    <row r="5130" customFormat="false" ht="15" hidden="false" customHeight="false" outlineLevel="0" collapsed="false">
      <c r="A5130" s="2" t="s">
        <v>536</v>
      </c>
      <c r="B5130" s="2" t="s">
        <v>46</v>
      </c>
      <c r="C5130" s="2" t="s">
        <v>4275</v>
      </c>
      <c r="D5130" s="11" t="n">
        <v>113880</v>
      </c>
      <c r="E5130" s="31" t="n">
        <v>46.8</v>
      </c>
      <c r="F5130" s="31" t="n">
        <v>34.4</v>
      </c>
      <c r="G5130" s="31" t="n">
        <v>22.7</v>
      </c>
      <c r="H5130" s="2" t="s">
        <v>822</v>
      </c>
    </row>
    <row r="5131" customFormat="false" ht="15" hidden="false" customHeight="false" outlineLevel="0" collapsed="false">
      <c r="A5131" s="2" t="s">
        <v>536</v>
      </c>
      <c r="B5131" s="2" t="s">
        <v>47</v>
      </c>
      <c r="C5131" s="2" t="s">
        <v>4274</v>
      </c>
      <c r="D5131" s="11" t="n">
        <v>81243</v>
      </c>
      <c r="E5131" s="31" t="n">
        <v>69.2</v>
      </c>
      <c r="F5131" s="31" t="n">
        <v>11.8</v>
      </c>
      <c r="G5131" s="31" t="n">
        <v>78.5</v>
      </c>
      <c r="H5131" s="2" t="s">
        <v>822</v>
      </c>
    </row>
    <row r="5132" customFormat="false" ht="15" hidden="false" customHeight="false" outlineLevel="0" collapsed="false">
      <c r="A5132" s="2" t="s">
        <v>536</v>
      </c>
      <c r="B5132" s="2" t="s">
        <v>47</v>
      </c>
      <c r="C5132" s="2" t="s">
        <v>4275</v>
      </c>
      <c r="D5132" s="11" t="n">
        <v>79650</v>
      </c>
      <c r="E5132" s="31" t="n">
        <v>61.7</v>
      </c>
      <c r="F5132" s="31" t="n">
        <v>51.3</v>
      </c>
      <c r="G5132" s="31" t="n">
        <v>77.2</v>
      </c>
      <c r="H5132" s="2" t="s">
        <v>822</v>
      </c>
    </row>
    <row r="5133" customFormat="false" ht="15" hidden="false" customHeight="false" outlineLevel="0" collapsed="false">
      <c r="A5133" s="2" t="s">
        <v>1317</v>
      </c>
      <c r="B5133" s="2" t="s">
        <v>4291</v>
      </c>
      <c r="C5133" s="2" t="s">
        <v>4274</v>
      </c>
      <c r="D5133" s="2"/>
      <c r="E5133" s="31" t="n">
        <v>57.4</v>
      </c>
      <c r="F5133" s="31" t="n">
        <v>56</v>
      </c>
      <c r="G5133" s="31" t="n">
        <v>24.6</v>
      </c>
      <c r="H5133" s="2" t="s">
        <v>822</v>
      </c>
    </row>
    <row r="5134" customFormat="false" ht="15" hidden="false" customHeight="false" outlineLevel="0" collapsed="false">
      <c r="A5134" s="2" t="s">
        <v>1317</v>
      </c>
      <c r="B5134" s="2" t="s">
        <v>4291</v>
      </c>
      <c r="C5134" s="2" t="s">
        <v>4275</v>
      </c>
      <c r="D5134" s="2"/>
      <c r="E5134" s="31" t="n">
        <v>66.7</v>
      </c>
      <c r="F5134" s="31" t="n">
        <v>56.2</v>
      </c>
      <c r="G5134" s="31" t="n">
        <v>57.2</v>
      </c>
      <c r="H5134" s="2" t="s">
        <v>832</v>
      </c>
    </row>
    <row r="5135" customFormat="false" ht="15" hidden="false" customHeight="false" outlineLevel="0" collapsed="false">
      <c r="A5135" s="2" t="s">
        <v>1317</v>
      </c>
      <c r="B5135" s="2" t="s">
        <v>45</v>
      </c>
      <c r="C5135" s="2" t="s">
        <v>4274</v>
      </c>
      <c r="D5135" s="11" t="n">
        <v>51700</v>
      </c>
      <c r="E5135" s="31" t="n">
        <v>34.5</v>
      </c>
      <c r="F5135" s="31" t="n">
        <v>72.3</v>
      </c>
      <c r="G5135" s="31" t="n">
        <v>45.6</v>
      </c>
      <c r="H5135" s="2" t="s">
        <v>822</v>
      </c>
    </row>
    <row r="5136" customFormat="false" ht="15" hidden="false" customHeight="false" outlineLevel="0" collapsed="false">
      <c r="A5136" s="2" t="s">
        <v>1317</v>
      </c>
      <c r="B5136" s="2" t="s">
        <v>45</v>
      </c>
      <c r="C5136" s="2" t="s">
        <v>4275</v>
      </c>
      <c r="D5136" s="11" t="n">
        <v>54880</v>
      </c>
      <c r="E5136" s="31" t="n">
        <v>39.3</v>
      </c>
      <c r="F5136" s="31" t="n">
        <v>75.6</v>
      </c>
      <c r="G5136" s="31" t="n">
        <v>41.3</v>
      </c>
      <c r="H5136" s="2" t="s">
        <v>822</v>
      </c>
    </row>
    <row r="5137" customFormat="false" ht="15" hidden="false" customHeight="false" outlineLevel="0" collapsed="false">
      <c r="A5137" s="2" t="s">
        <v>1317</v>
      </c>
      <c r="B5137" s="2" t="s">
        <v>46</v>
      </c>
      <c r="C5137" s="2" t="s">
        <v>4274</v>
      </c>
      <c r="D5137" s="11" t="n">
        <v>45319</v>
      </c>
      <c r="E5137" s="31" t="n">
        <v>90.6</v>
      </c>
      <c r="F5137" s="31" t="n">
        <v>42.3</v>
      </c>
      <c r="G5137" s="31" t="n">
        <v>1.1</v>
      </c>
      <c r="H5137" s="2" t="s">
        <v>822</v>
      </c>
    </row>
    <row r="5138" customFormat="false" ht="15" hidden="false" customHeight="false" outlineLevel="0" collapsed="false">
      <c r="A5138" s="2" t="s">
        <v>1317</v>
      </c>
      <c r="B5138" s="2" t="s">
        <v>46</v>
      </c>
      <c r="C5138" s="2" t="s">
        <v>4275</v>
      </c>
      <c r="D5138" s="11" t="n">
        <v>45890</v>
      </c>
      <c r="E5138" s="31" t="n">
        <v>83.1</v>
      </c>
      <c r="F5138" s="31" t="n">
        <v>35.6</v>
      </c>
      <c r="G5138" s="2"/>
      <c r="H5138" s="2" t="s">
        <v>832</v>
      </c>
    </row>
    <row r="5139" customFormat="false" ht="15" hidden="false" customHeight="false" outlineLevel="0" collapsed="false">
      <c r="A5139" s="2" t="s">
        <v>1317</v>
      </c>
      <c r="B5139" s="2" t="s">
        <v>47</v>
      </c>
      <c r="C5139" s="2" t="s">
        <v>4274</v>
      </c>
      <c r="D5139" s="11" t="n">
        <v>6575</v>
      </c>
      <c r="E5139" s="31" t="n">
        <v>47.2</v>
      </c>
      <c r="F5139" s="31" t="n">
        <v>53.3</v>
      </c>
      <c r="G5139" s="31" t="n">
        <v>27</v>
      </c>
      <c r="H5139" s="2" t="s">
        <v>822</v>
      </c>
    </row>
    <row r="5140" customFormat="false" ht="15" hidden="false" customHeight="false" outlineLevel="0" collapsed="false">
      <c r="A5140" s="2" t="s">
        <v>1317</v>
      </c>
      <c r="B5140" s="2" t="s">
        <v>47</v>
      </c>
      <c r="C5140" s="2" t="s">
        <v>4275</v>
      </c>
      <c r="D5140" s="11" t="n">
        <v>6750</v>
      </c>
      <c r="E5140" s="31" t="n">
        <v>77.8</v>
      </c>
      <c r="F5140" s="31" t="n">
        <v>57.5</v>
      </c>
      <c r="G5140" s="31" t="n">
        <v>73.1</v>
      </c>
      <c r="H5140" s="2" t="s">
        <v>822</v>
      </c>
    </row>
    <row r="5141" customFormat="false" ht="15" hidden="false" customHeight="false" outlineLevel="0" collapsed="false">
      <c r="A5141" s="2" t="s">
        <v>1985</v>
      </c>
      <c r="B5141" s="2" t="s">
        <v>4291</v>
      </c>
      <c r="C5141" s="2" t="s">
        <v>4274</v>
      </c>
      <c r="D5141" s="2"/>
      <c r="E5141" s="31" t="n">
        <v>34.7</v>
      </c>
      <c r="F5141" s="31" t="n">
        <v>41.9</v>
      </c>
      <c r="G5141" s="31" t="n">
        <v>30.6</v>
      </c>
      <c r="H5141" s="2" t="s">
        <v>832</v>
      </c>
    </row>
    <row r="5142" customFormat="false" ht="15" hidden="false" customHeight="false" outlineLevel="0" collapsed="false">
      <c r="A5142" s="2" t="s">
        <v>1985</v>
      </c>
      <c r="B5142" s="2" t="s">
        <v>4291</v>
      </c>
      <c r="C5142" s="2" t="s">
        <v>4275</v>
      </c>
      <c r="D5142" s="2"/>
      <c r="E5142" s="31" t="n">
        <v>35.6</v>
      </c>
      <c r="F5142" s="31" t="n">
        <v>36.8</v>
      </c>
      <c r="G5142" s="31" t="n">
        <v>52.8</v>
      </c>
      <c r="H5142" s="2" t="s">
        <v>832</v>
      </c>
    </row>
    <row r="5143" customFormat="false" ht="15" hidden="false" customHeight="false" outlineLevel="0" collapsed="false">
      <c r="A5143" s="2" t="s">
        <v>1985</v>
      </c>
      <c r="B5143" s="2" t="s">
        <v>45</v>
      </c>
      <c r="C5143" s="2" t="s">
        <v>4274</v>
      </c>
      <c r="D5143" s="11" t="n">
        <v>9436</v>
      </c>
      <c r="E5143" s="31" t="n">
        <v>33.5</v>
      </c>
      <c r="F5143" s="31" t="n">
        <v>53.2</v>
      </c>
      <c r="G5143" s="31" t="n">
        <v>25.6</v>
      </c>
      <c r="H5143" s="2" t="s">
        <v>822</v>
      </c>
    </row>
    <row r="5144" customFormat="false" ht="15" hidden="false" customHeight="false" outlineLevel="0" collapsed="false">
      <c r="A5144" s="2" t="s">
        <v>1985</v>
      </c>
      <c r="B5144" s="2" t="s">
        <v>45</v>
      </c>
      <c r="C5144" s="2" t="s">
        <v>4275</v>
      </c>
      <c r="D5144" s="11" t="n">
        <v>9480</v>
      </c>
      <c r="E5144" s="31" t="n">
        <v>38.6</v>
      </c>
      <c r="F5144" s="2"/>
      <c r="G5144" s="2"/>
      <c r="H5144" s="2" t="s">
        <v>832</v>
      </c>
    </row>
    <row r="5145" customFormat="false" ht="15" hidden="false" customHeight="false" outlineLevel="0" collapsed="false">
      <c r="A5145" s="2" t="s">
        <v>1985</v>
      </c>
      <c r="B5145" s="2" t="s">
        <v>46</v>
      </c>
      <c r="C5145" s="2" t="s">
        <v>4274</v>
      </c>
      <c r="D5145" s="11" t="n">
        <v>94980</v>
      </c>
      <c r="E5145" s="31" t="n">
        <v>40.1</v>
      </c>
      <c r="F5145" s="31" t="n">
        <v>63.7</v>
      </c>
      <c r="G5145" s="2"/>
      <c r="H5145" s="2" t="s">
        <v>832</v>
      </c>
    </row>
    <row r="5146" customFormat="false" ht="15" hidden="false" customHeight="false" outlineLevel="0" collapsed="false">
      <c r="A5146" s="2" t="s">
        <v>1985</v>
      </c>
      <c r="B5146" s="2" t="s">
        <v>46</v>
      </c>
      <c r="C5146" s="2" t="s">
        <v>4275</v>
      </c>
      <c r="D5146" s="11" t="n">
        <v>98330</v>
      </c>
      <c r="E5146" s="31" t="n">
        <v>36.9</v>
      </c>
      <c r="F5146" s="31" t="n">
        <v>62.5</v>
      </c>
      <c r="G5146" s="31" t="n">
        <v>34</v>
      </c>
      <c r="H5146" s="2" t="s">
        <v>822</v>
      </c>
    </row>
    <row r="5147" customFormat="false" ht="15" hidden="false" customHeight="false" outlineLevel="0" collapsed="false">
      <c r="A5147" s="2" t="s">
        <v>1985</v>
      </c>
      <c r="B5147" s="2" t="s">
        <v>47</v>
      </c>
      <c r="C5147" s="2" t="s">
        <v>4274</v>
      </c>
      <c r="D5147" s="11" t="n">
        <v>52928</v>
      </c>
      <c r="E5147" s="31" t="n">
        <v>30.4</v>
      </c>
      <c r="F5147" s="31" t="n">
        <v>8.8</v>
      </c>
      <c r="G5147" s="31" t="n">
        <v>35.6</v>
      </c>
      <c r="H5147" s="2" t="s">
        <v>822</v>
      </c>
    </row>
    <row r="5148" customFormat="false" ht="15" hidden="false" customHeight="false" outlineLevel="0" collapsed="false">
      <c r="A5148" s="2" t="s">
        <v>1985</v>
      </c>
      <c r="B5148" s="2" t="s">
        <v>47</v>
      </c>
      <c r="C5148" s="2" t="s">
        <v>4275</v>
      </c>
      <c r="D5148" s="11" t="n">
        <v>53627</v>
      </c>
      <c r="E5148" s="31" t="n">
        <v>31.2</v>
      </c>
      <c r="F5148" s="31" t="n">
        <v>11</v>
      </c>
      <c r="G5148" s="31" t="n">
        <v>71.7</v>
      </c>
      <c r="H5148" s="2" t="s">
        <v>832</v>
      </c>
    </row>
    <row r="5149" customFormat="false" ht="15" hidden="false" customHeight="false" outlineLevel="0" collapsed="false">
      <c r="A5149" s="2" t="s">
        <v>2302</v>
      </c>
      <c r="B5149" s="2" t="s">
        <v>4291</v>
      </c>
      <c r="C5149" s="2" t="s">
        <v>4274</v>
      </c>
      <c r="D5149" s="2"/>
      <c r="E5149" s="31" t="n">
        <v>50.9</v>
      </c>
      <c r="F5149" s="31" t="n">
        <v>20.3</v>
      </c>
      <c r="G5149" s="31" t="n">
        <v>51.8</v>
      </c>
      <c r="H5149" s="2" t="s">
        <v>822</v>
      </c>
    </row>
    <row r="5150" customFormat="false" ht="15" hidden="false" customHeight="false" outlineLevel="0" collapsed="false">
      <c r="A5150" s="2" t="s">
        <v>2302</v>
      </c>
      <c r="B5150" s="2" t="s">
        <v>4291</v>
      </c>
      <c r="C5150" s="2" t="s">
        <v>4275</v>
      </c>
      <c r="D5150" s="2"/>
      <c r="E5150" s="31" t="n">
        <v>58.9</v>
      </c>
      <c r="F5150" s="31" t="n">
        <v>1.2</v>
      </c>
      <c r="G5150" s="31" t="n">
        <v>58.8</v>
      </c>
      <c r="H5150" s="2" t="s">
        <v>832</v>
      </c>
    </row>
    <row r="5151" customFormat="false" ht="15" hidden="false" customHeight="false" outlineLevel="0" collapsed="false">
      <c r="A5151" s="2" t="s">
        <v>2302</v>
      </c>
      <c r="B5151" s="2" t="s">
        <v>45</v>
      </c>
      <c r="C5151" s="2" t="s">
        <v>4274</v>
      </c>
      <c r="D5151" s="11" t="n">
        <v>11138</v>
      </c>
      <c r="E5151" s="31" t="n">
        <v>93.9</v>
      </c>
      <c r="F5151" s="31" t="n">
        <v>42.3</v>
      </c>
      <c r="G5151" s="31" t="n">
        <v>8.8</v>
      </c>
      <c r="H5151" s="2" t="s">
        <v>822</v>
      </c>
    </row>
    <row r="5152" customFormat="false" ht="15" hidden="false" customHeight="false" outlineLevel="0" collapsed="false">
      <c r="A5152" s="2" t="s">
        <v>2302</v>
      </c>
      <c r="B5152" s="2" t="s">
        <v>45</v>
      </c>
      <c r="C5152" s="2" t="s">
        <v>4275</v>
      </c>
      <c r="D5152" s="2"/>
      <c r="E5152" s="2"/>
      <c r="F5152" s="2"/>
      <c r="G5152" s="2"/>
      <c r="H5152" s="2" t="s">
        <v>832</v>
      </c>
    </row>
    <row r="5153" customFormat="false" ht="15" hidden="false" customHeight="false" outlineLevel="0" collapsed="false">
      <c r="A5153" s="2" t="s">
        <v>2302</v>
      </c>
      <c r="B5153" s="2" t="s">
        <v>46</v>
      </c>
      <c r="C5153" s="2" t="s">
        <v>4274</v>
      </c>
      <c r="D5153" s="11" t="n">
        <v>7120</v>
      </c>
      <c r="E5153" s="31" t="n">
        <v>30.5</v>
      </c>
      <c r="F5153" s="31" t="n">
        <v>17.5</v>
      </c>
      <c r="G5153" s="31" t="n">
        <v>93.2</v>
      </c>
      <c r="H5153" s="2" t="s">
        <v>822</v>
      </c>
    </row>
    <row r="5154" customFormat="false" ht="15" hidden="false" customHeight="false" outlineLevel="0" collapsed="false">
      <c r="A5154" s="2" t="s">
        <v>2302</v>
      </c>
      <c r="B5154" s="2" t="s">
        <v>46</v>
      </c>
      <c r="C5154" s="2" t="s">
        <v>4275</v>
      </c>
      <c r="D5154" s="11" t="n">
        <v>7093</v>
      </c>
      <c r="E5154" s="31" t="n">
        <v>30.5</v>
      </c>
      <c r="F5154" s="2"/>
      <c r="G5154" s="2"/>
      <c r="H5154" s="2" t="s">
        <v>832</v>
      </c>
    </row>
    <row r="5155" customFormat="false" ht="15" hidden="false" customHeight="false" outlineLevel="0" collapsed="false">
      <c r="A5155" s="2" t="s">
        <v>2302</v>
      </c>
      <c r="B5155" s="2" t="s">
        <v>47</v>
      </c>
      <c r="C5155" s="2" t="s">
        <v>4274</v>
      </c>
      <c r="D5155" s="11" t="n">
        <v>7007</v>
      </c>
      <c r="E5155" s="31" t="n">
        <v>28.2</v>
      </c>
      <c r="F5155" s="31" t="n">
        <v>1.1</v>
      </c>
      <c r="G5155" s="31" t="n">
        <v>53.4</v>
      </c>
      <c r="H5155" s="2" t="s">
        <v>822</v>
      </c>
    </row>
    <row r="5156" customFormat="false" ht="15" hidden="false" customHeight="false" outlineLevel="0" collapsed="false">
      <c r="A5156" s="2" t="s">
        <v>2302</v>
      </c>
      <c r="B5156" s="2" t="s">
        <v>47</v>
      </c>
      <c r="C5156" s="2" t="s">
        <v>4275</v>
      </c>
      <c r="D5156" s="11" t="n">
        <v>3526</v>
      </c>
      <c r="E5156" s="31" t="n">
        <v>87.3</v>
      </c>
      <c r="F5156" s="31" t="n">
        <v>1.2</v>
      </c>
      <c r="G5156" s="31" t="n">
        <v>58.8</v>
      </c>
      <c r="H5156" s="2" t="s">
        <v>822</v>
      </c>
    </row>
    <row r="5157" customFormat="false" ht="15" hidden="false" customHeight="false" outlineLevel="0" collapsed="false">
      <c r="A5157" s="2" t="s">
        <v>2225</v>
      </c>
      <c r="B5157" s="2" t="s">
        <v>4291</v>
      </c>
      <c r="C5157" s="2" t="s">
        <v>4274</v>
      </c>
      <c r="D5157" s="2"/>
      <c r="E5157" s="31" t="n">
        <v>75.9</v>
      </c>
      <c r="F5157" s="31" t="n">
        <v>19.9</v>
      </c>
      <c r="G5157" s="31" t="n">
        <v>48.4</v>
      </c>
      <c r="H5157" s="2" t="s">
        <v>832</v>
      </c>
    </row>
    <row r="5158" customFormat="false" ht="15" hidden="false" customHeight="false" outlineLevel="0" collapsed="false">
      <c r="A5158" s="2" t="s">
        <v>2225</v>
      </c>
      <c r="B5158" s="2" t="s">
        <v>4291</v>
      </c>
      <c r="C5158" s="2" t="s">
        <v>4275</v>
      </c>
      <c r="D5158" s="2"/>
      <c r="E5158" s="31" t="n">
        <v>98.2</v>
      </c>
      <c r="F5158" s="31" t="n">
        <v>38.6</v>
      </c>
      <c r="G5158" s="31" t="n">
        <v>39.2</v>
      </c>
      <c r="H5158" s="2" t="s">
        <v>832</v>
      </c>
    </row>
    <row r="5159" customFormat="false" ht="15" hidden="false" customHeight="false" outlineLevel="0" collapsed="false">
      <c r="A5159" s="2" t="s">
        <v>2225</v>
      </c>
      <c r="B5159" s="2" t="s">
        <v>45</v>
      </c>
      <c r="C5159" s="2" t="s">
        <v>4274</v>
      </c>
      <c r="D5159" s="11" t="n">
        <v>61950</v>
      </c>
      <c r="E5159" s="31" t="n">
        <v>50.5</v>
      </c>
      <c r="F5159" s="31" t="n">
        <v>8.4</v>
      </c>
      <c r="G5159" s="2"/>
      <c r="H5159" s="2" t="s">
        <v>832</v>
      </c>
    </row>
    <row r="5160" customFormat="false" ht="15" hidden="false" customHeight="false" outlineLevel="0" collapsed="false">
      <c r="A5160" s="2" t="s">
        <v>2225</v>
      </c>
      <c r="B5160" s="2" t="s">
        <v>45</v>
      </c>
      <c r="C5160" s="2" t="s">
        <v>4275</v>
      </c>
      <c r="D5160" s="2"/>
      <c r="E5160" s="2"/>
      <c r="F5160" s="2"/>
      <c r="G5160" s="2"/>
      <c r="H5160" s="2" t="s">
        <v>832</v>
      </c>
    </row>
    <row r="5161" customFormat="false" ht="15" hidden="false" customHeight="false" outlineLevel="0" collapsed="false">
      <c r="A5161" s="2" t="s">
        <v>2225</v>
      </c>
      <c r="B5161" s="2" t="s">
        <v>46</v>
      </c>
      <c r="C5161" s="2" t="s">
        <v>4274</v>
      </c>
      <c r="D5161" s="11" t="n">
        <v>332777</v>
      </c>
      <c r="E5161" s="31" t="n">
        <v>80.2</v>
      </c>
      <c r="F5161" s="31" t="n">
        <v>22.4</v>
      </c>
      <c r="G5161" s="31" t="n">
        <v>17.8</v>
      </c>
      <c r="H5161" s="2" t="s">
        <v>822</v>
      </c>
    </row>
    <row r="5162" customFormat="false" ht="15" hidden="false" customHeight="false" outlineLevel="0" collapsed="false">
      <c r="A5162" s="2" t="s">
        <v>2225</v>
      </c>
      <c r="B5162" s="2" t="s">
        <v>46</v>
      </c>
      <c r="C5162" s="2" t="s">
        <v>4275</v>
      </c>
      <c r="D5162" s="2"/>
      <c r="E5162" s="2"/>
      <c r="F5162" s="2"/>
      <c r="G5162" s="2"/>
      <c r="H5162" s="2" t="s">
        <v>832</v>
      </c>
    </row>
    <row r="5163" customFormat="false" ht="15" hidden="false" customHeight="false" outlineLevel="0" collapsed="false">
      <c r="A5163" s="2" t="s">
        <v>2225</v>
      </c>
      <c r="B5163" s="2" t="s">
        <v>47</v>
      </c>
      <c r="C5163" s="2" t="s">
        <v>4274</v>
      </c>
      <c r="D5163" s="11" t="n">
        <v>18969</v>
      </c>
      <c r="E5163" s="31" t="n">
        <v>96.9</v>
      </c>
      <c r="F5163" s="31" t="n">
        <v>28.8</v>
      </c>
      <c r="G5163" s="31" t="n">
        <v>79</v>
      </c>
      <c r="H5163" s="2" t="s">
        <v>822</v>
      </c>
    </row>
    <row r="5164" customFormat="false" ht="15" hidden="false" customHeight="false" outlineLevel="0" collapsed="false">
      <c r="A5164" s="2" t="s">
        <v>2225</v>
      </c>
      <c r="B5164" s="2" t="s">
        <v>47</v>
      </c>
      <c r="C5164" s="2" t="s">
        <v>4275</v>
      </c>
      <c r="D5164" s="11" t="n">
        <v>19152</v>
      </c>
      <c r="E5164" s="31" t="n">
        <v>98.2</v>
      </c>
      <c r="F5164" s="31" t="n">
        <v>38.6</v>
      </c>
      <c r="G5164" s="31" t="n">
        <v>39.2</v>
      </c>
      <c r="H5164" s="2" t="s">
        <v>822</v>
      </c>
    </row>
    <row r="5165" customFormat="false" ht="15" hidden="false" customHeight="false" outlineLevel="0" collapsed="false">
      <c r="A5165" s="2" t="s">
        <v>1715</v>
      </c>
      <c r="B5165" s="2" t="s">
        <v>4291</v>
      </c>
      <c r="C5165" s="2" t="s">
        <v>4274</v>
      </c>
      <c r="D5165" s="2"/>
      <c r="E5165" s="31" t="n">
        <v>61.7</v>
      </c>
      <c r="F5165" s="31" t="n">
        <v>34.5</v>
      </c>
      <c r="G5165" s="31" t="n">
        <v>39.9</v>
      </c>
      <c r="H5165" s="2" t="s">
        <v>822</v>
      </c>
    </row>
    <row r="5166" customFormat="false" ht="15" hidden="false" customHeight="false" outlineLevel="0" collapsed="false">
      <c r="A5166" s="2" t="s">
        <v>1715</v>
      </c>
      <c r="B5166" s="2" t="s">
        <v>4291</v>
      </c>
      <c r="C5166" s="2" t="s">
        <v>4275</v>
      </c>
      <c r="D5166" s="2"/>
      <c r="E5166" s="31" t="n">
        <v>71.2</v>
      </c>
      <c r="F5166" s="31" t="n">
        <v>21.3</v>
      </c>
      <c r="G5166" s="31" t="n">
        <v>53.4</v>
      </c>
      <c r="H5166" s="2" t="s">
        <v>832</v>
      </c>
    </row>
    <row r="5167" customFormat="false" ht="15" hidden="false" customHeight="false" outlineLevel="0" collapsed="false">
      <c r="A5167" s="2" t="s">
        <v>1715</v>
      </c>
      <c r="B5167" s="2" t="s">
        <v>45</v>
      </c>
      <c r="C5167" s="2" t="s">
        <v>4274</v>
      </c>
      <c r="D5167" s="11" t="n">
        <v>15239</v>
      </c>
      <c r="E5167" s="31" t="n">
        <v>63.3</v>
      </c>
      <c r="F5167" s="31" t="n">
        <v>38.3</v>
      </c>
      <c r="G5167" s="31" t="n">
        <v>45.1</v>
      </c>
      <c r="H5167" s="2" t="s">
        <v>822</v>
      </c>
    </row>
    <row r="5168" customFormat="false" ht="15" hidden="false" customHeight="false" outlineLevel="0" collapsed="false">
      <c r="A5168" s="2" t="s">
        <v>1715</v>
      </c>
      <c r="B5168" s="2" t="s">
        <v>45</v>
      </c>
      <c r="C5168" s="2" t="s">
        <v>4275</v>
      </c>
      <c r="D5168" s="2"/>
      <c r="E5168" s="2"/>
      <c r="F5168" s="2"/>
      <c r="G5168" s="2"/>
      <c r="H5168" s="2" t="s">
        <v>832</v>
      </c>
    </row>
    <row r="5169" customFormat="false" ht="15" hidden="false" customHeight="false" outlineLevel="0" collapsed="false">
      <c r="A5169" s="2" t="s">
        <v>1715</v>
      </c>
      <c r="B5169" s="2" t="s">
        <v>46</v>
      </c>
      <c r="C5169" s="2" t="s">
        <v>4274</v>
      </c>
      <c r="D5169" s="11" t="n">
        <v>18882</v>
      </c>
      <c r="E5169" s="31" t="n">
        <v>84.1</v>
      </c>
      <c r="F5169" s="31" t="n">
        <v>61.4</v>
      </c>
      <c r="G5169" s="31" t="n">
        <v>30.4</v>
      </c>
      <c r="H5169" s="2" t="s">
        <v>822</v>
      </c>
    </row>
    <row r="5170" customFormat="false" ht="15" hidden="false" customHeight="false" outlineLevel="0" collapsed="false">
      <c r="A5170" s="2" t="s">
        <v>1715</v>
      </c>
      <c r="B5170" s="2" t="s">
        <v>46</v>
      </c>
      <c r="C5170" s="2" t="s">
        <v>4275</v>
      </c>
      <c r="D5170" s="11" t="n">
        <v>19260</v>
      </c>
      <c r="E5170" s="31" t="n">
        <v>79.4</v>
      </c>
      <c r="F5170" s="31" t="n">
        <v>40.7</v>
      </c>
      <c r="G5170" s="31" t="n">
        <v>63.4</v>
      </c>
      <c r="H5170" s="2" t="s">
        <v>822</v>
      </c>
    </row>
    <row r="5171" customFormat="false" ht="15" hidden="false" customHeight="false" outlineLevel="0" collapsed="false">
      <c r="A5171" s="2" t="s">
        <v>1715</v>
      </c>
      <c r="B5171" s="2" t="s">
        <v>47</v>
      </c>
      <c r="C5171" s="2" t="s">
        <v>4274</v>
      </c>
      <c r="D5171" s="11" t="n">
        <v>105695</v>
      </c>
      <c r="E5171" s="31" t="n">
        <v>37.7</v>
      </c>
      <c r="F5171" s="31" t="n">
        <v>3.7</v>
      </c>
      <c r="G5171" s="31" t="n">
        <v>44.3</v>
      </c>
      <c r="H5171" s="2" t="s">
        <v>822</v>
      </c>
    </row>
    <row r="5172" customFormat="false" ht="15" hidden="false" customHeight="false" outlineLevel="0" collapsed="false">
      <c r="A5172" s="2" t="s">
        <v>1715</v>
      </c>
      <c r="B5172" s="2" t="s">
        <v>47</v>
      </c>
      <c r="C5172" s="2" t="s">
        <v>4275</v>
      </c>
      <c r="D5172" s="11" t="n">
        <v>102186</v>
      </c>
      <c r="E5172" s="31" t="n">
        <v>63</v>
      </c>
      <c r="F5172" s="31" t="n">
        <v>1.9</v>
      </c>
      <c r="G5172" s="31" t="n">
        <v>43.4</v>
      </c>
      <c r="H5172" s="2" t="s">
        <v>822</v>
      </c>
    </row>
    <row r="5173" customFormat="false" ht="15" hidden="false" customHeight="false" outlineLevel="0" collapsed="false">
      <c r="A5173" s="2" t="s">
        <v>1557</v>
      </c>
      <c r="B5173" s="2" t="s">
        <v>4291</v>
      </c>
      <c r="C5173" s="2" t="s">
        <v>4274</v>
      </c>
      <c r="D5173" s="2"/>
      <c r="E5173" s="31" t="n">
        <v>40.2</v>
      </c>
      <c r="F5173" s="31" t="n">
        <v>58.6</v>
      </c>
      <c r="G5173" s="2"/>
      <c r="H5173" s="2" t="s">
        <v>832</v>
      </c>
    </row>
    <row r="5174" customFormat="false" ht="15" hidden="false" customHeight="false" outlineLevel="0" collapsed="false">
      <c r="A5174" s="2" t="s">
        <v>1557</v>
      </c>
      <c r="B5174" s="2" t="s">
        <v>4291</v>
      </c>
      <c r="C5174" s="2" t="s">
        <v>4275</v>
      </c>
      <c r="D5174" s="2"/>
      <c r="E5174" s="31" t="n">
        <v>36</v>
      </c>
      <c r="F5174" s="31" t="n">
        <v>18.6</v>
      </c>
      <c r="G5174" s="31" t="n">
        <v>7.2</v>
      </c>
      <c r="H5174" s="2" t="s">
        <v>832</v>
      </c>
    </row>
    <row r="5175" customFormat="false" ht="15" hidden="false" customHeight="false" outlineLevel="0" collapsed="false">
      <c r="A5175" s="2" t="s">
        <v>1557</v>
      </c>
      <c r="B5175" s="2" t="s">
        <v>45</v>
      </c>
      <c r="C5175" s="2" t="s">
        <v>4274</v>
      </c>
      <c r="D5175" s="11" t="n">
        <v>122890</v>
      </c>
      <c r="E5175" s="31" t="n">
        <v>9.9</v>
      </c>
      <c r="F5175" s="2"/>
      <c r="G5175" s="2"/>
      <c r="H5175" s="2" t="s">
        <v>832</v>
      </c>
    </row>
    <row r="5176" customFormat="false" ht="15" hidden="false" customHeight="false" outlineLevel="0" collapsed="false">
      <c r="A5176" s="2" t="s">
        <v>1557</v>
      </c>
      <c r="B5176" s="2" t="s">
        <v>45</v>
      </c>
      <c r="C5176" s="2" t="s">
        <v>4275</v>
      </c>
      <c r="D5176" s="11" t="n">
        <v>123330</v>
      </c>
      <c r="E5176" s="31" t="n">
        <v>5.9</v>
      </c>
      <c r="F5176" s="31" t="n">
        <v>17.9</v>
      </c>
      <c r="G5176" s="31" t="n">
        <v>7.2</v>
      </c>
      <c r="H5176" s="2" t="s">
        <v>822</v>
      </c>
    </row>
    <row r="5177" customFormat="false" ht="15" hidden="false" customHeight="false" outlineLevel="0" collapsed="false">
      <c r="A5177" s="2" t="s">
        <v>1557</v>
      </c>
      <c r="B5177" s="2" t="s">
        <v>46</v>
      </c>
      <c r="C5177" s="2" t="s">
        <v>4274</v>
      </c>
      <c r="D5177" s="2"/>
      <c r="E5177" s="2"/>
      <c r="F5177" s="2"/>
      <c r="G5177" s="2"/>
      <c r="H5177" s="2" t="s">
        <v>832</v>
      </c>
    </row>
    <row r="5178" customFormat="false" ht="15" hidden="false" customHeight="false" outlineLevel="0" collapsed="false">
      <c r="A5178" s="2" t="s">
        <v>1557</v>
      </c>
      <c r="B5178" s="2" t="s">
        <v>46</v>
      </c>
      <c r="C5178" s="2" t="s">
        <v>4275</v>
      </c>
      <c r="D5178" s="11" t="n">
        <v>55960</v>
      </c>
      <c r="E5178" s="31" t="n">
        <v>66</v>
      </c>
      <c r="F5178" s="31" t="n">
        <v>19.3</v>
      </c>
      <c r="G5178" s="2"/>
      <c r="H5178" s="2" t="s">
        <v>832</v>
      </c>
    </row>
    <row r="5179" customFormat="false" ht="15" hidden="false" customHeight="false" outlineLevel="0" collapsed="false">
      <c r="A5179" s="2" t="s">
        <v>1557</v>
      </c>
      <c r="B5179" s="2" t="s">
        <v>47</v>
      </c>
      <c r="C5179" s="2" t="s">
        <v>4274</v>
      </c>
      <c r="D5179" s="11" t="n">
        <v>141104</v>
      </c>
      <c r="E5179" s="31" t="n">
        <v>70.6</v>
      </c>
      <c r="F5179" s="31" t="n">
        <v>58.6</v>
      </c>
      <c r="G5179" s="2"/>
      <c r="H5179" s="2" t="s">
        <v>832</v>
      </c>
    </row>
    <row r="5180" customFormat="false" ht="15" hidden="false" customHeight="false" outlineLevel="0" collapsed="false">
      <c r="A5180" s="2" t="s">
        <v>1557</v>
      </c>
      <c r="B5180" s="2" t="s">
        <v>47</v>
      </c>
      <c r="C5180" s="2" t="s">
        <v>4275</v>
      </c>
      <c r="D5180" s="2"/>
      <c r="E5180" s="2"/>
      <c r="F5180" s="2"/>
      <c r="G5180" s="2"/>
      <c r="H5180" s="2" t="s">
        <v>832</v>
      </c>
    </row>
    <row r="5181" customFormat="false" ht="15" hidden="false" customHeight="false" outlineLevel="0" collapsed="false">
      <c r="A5181" s="2" t="s">
        <v>432</v>
      </c>
      <c r="B5181" s="2" t="s">
        <v>4291</v>
      </c>
      <c r="C5181" s="2" t="s">
        <v>4274</v>
      </c>
      <c r="D5181" s="2"/>
      <c r="E5181" s="31" t="n">
        <v>58</v>
      </c>
      <c r="F5181" s="31" t="n">
        <v>52.8</v>
      </c>
      <c r="G5181" s="31" t="n">
        <v>34.8</v>
      </c>
      <c r="H5181" s="2" t="s">
        <v>822</v>
      </c>
    </row>
    <row r="5182" customFormat="false" ht="15" hidden="false" customHeight="false" outlineLevel="0" collapsed="false">
      <c r="A5182" s="2" t="s">
        <v>432</v>
      </c>
      <c r="B5182" s="2" t="s">
        <v>4291</v>
      </c>
      <c r="C5182" s="2" t="s">
        <v>4275</v>
      </c>
      <c r="D5182" s="2"/>
      <c r="E5182" s="31" t="n">
        <v>53.5</v>
      </c>
      <c r="F5182" s="31" t="n">
        <v>41.4</v>
      </c>
      <c r="G5182" s="31" t="n">
        <v>42.8</v>
      </c>
      <c r="H5182" s="2" t="s">
        <v>822</v>
      </c>
    </row>
    <row r="5183" customFormat="false" ht="15" hidden="false" customHeight="false" outlineLevel="0" collapsed="false">
      <c r="A5183" s="2" t="s">
        <v>432</v>
      </c>
      <c r="B5183" s="2" t="s">
        <v>45</v>
      </c>
      <c r="C5183" s="2" t="s">
        <v>4274</v>
      </c>
      <c r="D5183" s="11" t="n">
        <v>124010</v>
      </c>
      <c r="E5183" s="31" t="n">
        <v>5</v>
      </c>
      <c r="F5183" s="31" t="n">
        <v>93.2</v>
      </c>
      <c r="G5183" s="31" t="n">
        <v>18.8</v>
      </c>
      <c r="H5183" s="2" t="s">
        <v>822</v>
      </c>
    </row>
    <row r="5184" customFormat="false" ht="15" hidden="false" customHeight="false" outlineLevel="0" collapsed="false">
      <c r="A5184" s="2" t="s">
        <v>432</v>
      </c>
      <c r="B5184" s="2" t="s">
        <v>45</v>
      </c>
      <c r="C5184" s="2" t="s">
        <v>4275</v>
      </c>
      <c r="D5184" s="11" t="n">
        <v>130290</v>
      </c>
      <c r="E5184" s="31" t="n">
        <v>1.9</v>
      </c>
      <c r="F5184" s="31" t="n">
        <v>83.6</v>
      </c>
      <c r="G5184" s="31" t="n">
        <v>75.1</v>
      </c>
      <c r="H5184" s="2" t="s">
        <v>822</v>
      </c>
    </row>
    <row r="5185" customFormat="false" ht="15" hidden="false" customHeight="false" outlineLevel="0" collapsed="false">
      <c r="A5185" s="2" t="s">
        <v>432</v>
      </c>
      <c r="B5185" s="2" t="s">
        <v>46</v>
      </c>
      <c r="C5185" s="2" t="s">
        <v>4274</v>
      </c>
      <c r="D5185" s="11" t="n">
        <v>48732</v>
      </c>
      <c r="E5185" s="31" t="n">
        <v>97.3</v>
      </c>
      <c r="F5185" s="31" t="n">
        <v>44.2</v>
      </c>
      <c r="G5185" s="31" t="n">
        <v>10.5</v>
      </c>
      <c r="H5185" s="2" t="s">
        <v>822</v>
      </c>
    </row>
    <row r="5186" customFormat="false" ht="15" hidden="false" customHeight="false" outlineLevel="0" collapsed="false">
      <c r="A5186" s="2" t="s">
        <v>432</v>
      </c>
      <c r="B5186" s="2" t="s">
        <v>46</v>
      </c>
      <c r="C5186" s="2" t="s">
        <v>4275</v>
      </c>
      <c r="D5186" s="11" t="n">
        <v>49870</v>
      </c>
      <c r="E5186" s="31" t="n">
        <v>93.7</v>
      </c>
      <c r="F5186" s="31" t="n">
        <v>35.3</v>
      </c>
      <c r="G5186" s="31" t="n">
        <v>1.5</v>
      </c>
      <c r="H5186" s="2" t="s">
        <v>822</v>
      </c>
    </row>
    <row r="5187" customFormat="false" ht="15" hidden="false" customHeight="false" outlineLevel="0" collapsed="false">
      <c r="A5187" s="2" t="s">
        <v>432</v>
      </c>
      <c r="B5187" s="2" t="s">
        <v>47</v>
      </c>
      <c r="C5187" s="2" t="s">
        <v>4274</v>
      </c>
      <c r="D5187" s="11" t="n">
        <v>24678</v>
      </c>
      <c r="E5187" s="31" t="n">
        <v>71.8</v>
      </c>
      <c r="F5187" s="31" t="n">
        <v>20.9</v>
      </c>
      <c r="G5187" s="31" t="n">
        <v>75</v>
      </c>
      <c r="H5187" s="2" t="s">
        <v>822</v>
      </c>
    </row>
    <row r="5188" customFormat="false" ht="15" hidden="false" customHeight="false" outlineLevel="0" collapsed="false">
      <c r="A5188" s="2" t="s">
        <v>432</v>
      </c>
      <c r="B5188" s="2" t="s">
        <v>47</v>
      </c>
      <c r="C5188" s="2" t="s">
        <v>4275</v>
      </c>
      <c r="D5188" s="11" t="n">
        <v>24682</v>
      </c>
      <c r="E5188" s="31" t="n">
        <v>64.9</v>
      </c>
      <c r="F5188" s="31" t="n">
        <v>5.2</v>
      </c>
      <c r="G5188" s="31" t="n">
        <v>51.8</v>
      </c>
      <c r="H5188" s="2" t="s">
        <v>822</v>
      </c>
    </row>
    <row r="5189" customFormat="false" ht="15" hidden="false" customHeight="false" outlineLevel="0" collapsed="false">
      <c r="A5189" s="2" t="s">
        <v>3332</v>
      </c>
      <c r="B5189" s="2" t="s">
        <v>4291</v>
      </c>
      <c r="C5189" s="2" t="s">
        <v>4274</v>
      </c>
      <c r="D5189" s="2"/>
      <c r="E5189" s="31" t="n">
        <v>39.6</v>
      </c>
      <c r="F5189" s="31" t="n">
        <v>53.7</v>
      </c>
      <c r="G5189" s="31" t="n">
        <v>59.4</v>
      </c>
      <c r="H5189" s="2" t="s">
        <v>822</v>
      </c>
    </row>
    <row r="5190" customFormat="false" ht="15" hidden="false" customHeight="false" outlineLevel="0" collapsed="false">
      <c r="A5190" s="2" t="s">
        <v>3332</v>
      </c>
      <c r="B5190" s="2" t="s">
        <v>4291</v>
      </c>
      <c r="C5190" s="2" t="s">
        <v>4275</v>
      </c>
      <c r="D5190" s="2"/>
      <c r="E5190" s="31" t="n">
        <v>39.6</v>
      </c>
      <c r="F5190" s="31" t="n">
        <v>57</v>
      </c>
      <c r="G5190" s="2"/>
      <c r="H5190" s="2" t="s">
        <v>832</v>
      </c>
    </row>
    <row r="5191" customFormat="false" ht="15" hidden="false" customHeight="false" outlineLevel="0" collapsed="false">
      <c r="A5191" s="2" t="s">
        <v>3332</v>
      </c>
      <c r="B5191" s="2" t="s">
        <v>45</v>
      </c>
      <c r="C5191" s="2" t="s">
        <v>4274</v>
      </c>
      <c r="D5191" s="11" t="n">
        <v>257740</v>
      </c>
      <c r="E5191" s="31" t="n">
        <v>23.8</v>
      </c>
      <c r="F5191" s="31" t="n">
        <v>39.7</v>
      </c>
      <c r="G5191" s="2"/>
      <c r="H5191" s="2" t="s">
        <v>822</v>
      </c>
    </row>
    <row r="5192" customFormat="false" ht="15" hidden="false" customHeight="false" outlineLevel="0" collapsed="false">
      <c r="A5192" s="2" t="s">
        <v>3332</v>
      </c>
      <c r="B5192" s="2" t="s">
        <v>45</v>
      </c>
      <c r="C5192" s="2" t="s">
        <v>4275</v>
      </c>
      <c r="D5192" s="2"/>
      <c r="E5192" s="2"/>
      <c r="F5192" s="2"/>
      <c r="G5192" s="2"/>
      <c r="H5192" s="2" t="s">
        <v>832</v>
      </c>
    </row>
    <row r="5193" customFormat="false" ht="15" hidden="false" customHeight="false" outlineLevel="0" collapsed="false">
      <c r="A5193" s="2" t="s">
        <v>3332</v>
      </c>
      <c r="B5193" s="2" t="s">
        <v>46</v>
      </c>
      <c r="C5193" s="2" t="s">
        <v>4274</v>
      </c>
      <c r="D5193" s="11" t="n">
        <v>157125</v>
      </c>
      <c r="E5193" s="31" t="n">
        <v>41.5</v>
      </c>
      <c r="F5193" s="31" t="n">
        <v>37.8</v>
      </c>
      <c r="G5193" s="31" t="n">
        <v>66.2</v>
      </c>
      <c r="H5193" s="2" t="s">
        <v>822</v>
      </c>
    </row>
    <row r="5194" customFormat="false" ht="15" hidden="false" customHeight="false" outlineLevel="0" collapsed="false">
      <c r="A5194" s="2" t="s">
        <v>3332</v>
      </c>
      <c r="B5194" s="2" t="s">
        <v>46</v>
      </c>
      <c r="C5194" s="2" t="s">
        <v>4275</v>
      </c>
      <c r="D5194" s="11" t="n">
        <v>162058</v>
      </c>
      <c r="E5194" s="31" t="n">
        <v>37.5</v>
      </c>
      <c r="F5194" s="31" t="n">
        <v>24.8</v>
      </c>
      <c r="G5194" s="2"/>
      <c r="H5194" s="2" t="s">
        <v>832</v>
      </c>
    </row>
    <row r="5195" customFormat="false" ht="15" hidden="false" customHeight="false" outlineLevel="0" collapsed="false">
      <c r="A5195" s="2" t="s">
        <v>3332</v>
      </c>
      <c r="B5195" s="2" t="s">
        <v>47</v>
      </c>
      <c r="C5195" s="2" t="s">
        <v>4274</v>
      </c>
      <c r="D5195" s="11" t="n">
        <v>77368</v>
      </c>
      <c r="E5195" s="31" t="n">
        <v>53.6</v>
      </c>
      <c r="F5195" s="31" t="n">
        <v>83.7</v>
      </c>
      <c r="G5195" s="31" t="n">
        <v>52.7</v>
      </c>
      <c r="H5195" s="2" t="s">
        <v>822</v>
      </c>
    </row>
    <row r="5196" customFormat="false" ht="15" hidden="false" customHeight="false" outlineLevel="0" collapsed="false">
      <c r="A5196" s="2" t="s">
        <v>3332</v>
      </c>
      <c r="B5196" s="2" t="s">
        <v>47</v>
      </c>
      <c r="C5196" s="2" t="s">
        <v>4275</v>
      </c>
      <c r="D5196" s="11" t="n">
        <v>77898</v>
      </c>
      <c r="E5196" s="31" t="n">
        <v>41.6</v>
      </c>
      <c r="F5196" s="31" t="n">
        <v>89.3</v>
      </c>
      <c r="G5196" s="2"/>
      <c r="H5196" s="2" t="s">
        <v>832</v>
      </c>
    </row>
    <row r="5197" customFormat="false" ht="15" hidden="false" customHeight="false" outlineLevel="0" collapsed="false">
      <c r="A5197" s="2" t="s">
        <v>2401</v>
      </c>
      <c r="B5197" s="2" t="s">
        <v>4291</v>
      </c>
      <c r="C5197" s="2" t="s">
        <v>4274</v>
      </c>
      <c r="D5197" s="2"/>
      <c r="E5197" s="31" t="n">
        <v>67</v>
      </c>
      <c r="F5197" s="31" t="n">
        <v>45.4</v>
      </c>
      <c r="G5197" s="31" t="n">
        <v>66.2</v>
      </c>
      <c r="H5197" s="2" t="s">
        <v>822</v>
      </c>
    </row>
    <row r="5198" customFormat="false" ht="15" hidden="false" customHeight="false" outlineLevel="0" collapsed="false">
      <c r="A5198" s="2" t="s">
        <v>2401</v>
      </c>
      <c r="B5198" s="2" t="s">
        <v>4291</v>
      </c>
      <c r="C5198" s="2" t="s">
        <v>4275</v>
      </c>
      <c r="D5198" s="2"/>
      <c r="E5198" s="31" t="n">
        <v>62.3</v>
      </c>
      <c r="F5198" s="31" t="n">
        <v>39.2</v>
      </c>
      <c r="G5198" s="31" t="n">
        <v>41</v>
      </c>
      <c r="H5198" s="2" t="s">
        <v>832</v>
      </c>
    </row>
    <row r="5199" customFormat="false" ht="15" hidden="false" customHeight="false" outlineLevel="0" collapsed="false">
      <c r="A5199" s="2" t="s">
        <v>2401</v>
      </c>
      <c r="B5199" s="2" t="s">
        <v>45</v>
      </c>
      <c r="C5199" s="2" t="s">
        <v>4274</v>
      </c>
      <c r="D5199" s="11" t="n">
        <v>29360</v>
      </c>
      <c r="E5199" s="31" t="n">
        <v>68.5</v>
      </c>
      <c r="F5199" s="31" t="n">
        <v>2.2</v>
      </c>
      <c r="G5199" s="31" t="n">
        <v>78.8</v>
      </c>
      <c r="H5199" s="2" t="s">
        <v>822</v>
      </c>
    </row>
    <row r="5200" customFormat="false" ht="15" hidden="false" customHeight="false" outlineLevel="0" collapsed="false">
      <c r="A5200" s="2" t="s">
        <v>2401</v>
      </c>
      <c r="B5200" s="2" t="s">
        <v>45</v>
      </c>
      <c r="C5200" s="2" t="s">
        <v>4275</v>
      </c>
      <c r="D5200" s="11" t="n">
        <v>28707</v>
      </c>
      <c r="E5200" s="31" t="n">
        <v>59.5</v>
      </c>
      <c r="F5200" s="31" t="n">
        <v>1.4</v>
      </c>
      <c r="G5200" s="2"/>
      <c r="H5200" s="2" t="s">
        <v>832</v>
      </c>
    </row>
    <row r="5201" customFormat="false" ht="15" hidden="false" customHeight="false" outlineLevel="0" collapsed="false">
      <c r="A5201" s="2" t="s">
        <v>2401</v>
      </c>
      <c r="B5201" s="2" t="s">
        <v>46</v>
      </c>
      <c r="C5201" s="2" t="s">
        <v>4274</v>
      </c>
      <c r="D5201" s="11" t="n">
        <v>9740</v>
      </c>
      <c r="E5201" s="31" t="n">
        <v>61.1</v>
      </c>
      <c r="F5201" s="31" t="n">
        <v>52.6</v>
      </c>
      <c r="G5201" s="31" t="n">
        <v>59.4</v>
      </c>
      <c r="H5201" s="2" t="s">
        <v>822</v>
      </c>
    </row>
    <row r="5202" customFormat="false" ht="15" hidden="false" customHeight="false" outlineLevel="0" collapsed="false">
      <c r="A5202" s="2" t="s">
        <v>2401</v>
      </c>
      <c r="B5202" s="2" t="s">
        <v>46</v>
      </c>
      <c r="C5202" s="2" t="s">
        <v>4275</v>
      </c>
      <c r="D5202" s="11" t="n">
        <v>10338</v>
      </c>
      <c r="E5202" s="31" t="n">
        <v>56.4</v>
      </c>
      <c r="F5202" s="31" t="n">
        <v>70.2</v>
      </c>
      <c r="G5202" s="2"/>
      <c r="H5202" s="2" t="s">
        <v>832</v>
      </c>
    </row>
    <row r="5203" customFormat="false" ht="15" hidden="false" customHeight="false" outlineLevel="0" collapsed="false">
      <c r="A5203" s="2" t="s">
        <v>2401</v>
      </c>
      <c r="B5203" s="2" t="s">
        <v>47</v>
      </c>
      <c r="C5203" s="2" t="s">
        <v>4274</v>
      </c>
      <c r="D5203" s="11" t="n">
        <v>288730</v>
      </c>
      <c r="E5203" s="31" t="n">
        <v>71.5</v>
      </c>
      <c r="F5203" s="31" t="n">
        <v>81.5</v>
      </c>
      <c r="G5203" s="31" t="n">
        <v>60.3</v>
      </c>
      <c r="H5203" s="2" t="s">
        <v>822</v>
      </c>
    </row>
    <row r="5204" customFormat="false" ht="15" hidden="false" customHeight="false" outlineLevel="0" collapsed="false">
      <c r="A5204" s="2" t="s">
        <v>2401</v>
      </c>
      <c r="B5204" s="2" t="s">
        <v>47</v>
      </c>
      <c r="C5204" s="2" t="s">
        <v>4275</v>
      </c>
      <c r="D5204" s="11" t="n">
        <v>300194</v>
      </c>
      <c r="E5204" s="31" t="n">
        <v>71.1</v>
      </c>
      <c r="F5204" s="31" t="n">
        <v>46</v>
      </c>
      <c r="G5204" s="31" t="n">
        <v>41</v>
      </c>
      <c r="H5204" s="2" t="s">
        <v>822</v>
      </c>
    </row>
    <row r="5205" customFormat="false" ht="15" hidden="false" customHeight="false" outlineLevel="0" collapsed="false">
      <c r="A5205" s="2" t="s">
        <v>1972</v>
      </c>
      <c r="B5205" s="2" t="s">
        <v>4291</v>
      </c>
      <c r="C5205" s="2" t="s">
        <v>4274</v>
      </c>
      <c r="D5205" s="2"/>
      <c r="E5205" s="31" t="n">
        <v>27.1</v>
      </c>
      <c r="F5205" s="31" t="n">
        <v>41.7</v>
      </c>
      <c r="G5205" s="31" t="n">
        <v>41.6</v>
      </c>
      <c r="H5205" s="2" t="s">
        <v>822</v>
      </c>
    </row>
    <row r="5206" customFormat="false" ht="15" hidden="false" customHeight="false" outlineLevel="0" collapsed="false">
      <c r="A5206" s="2" t="s">
        <v>1972</v>
      </c>
      <c r="B5206" s="2" t="s">
        <v>4291</v>
      </c>
      <c r="C5206" s="2" t="s">
        <v>4275</v>
      </c>
      <c r="D5206" s="2"/>
      <c r="E5206" s="31" t="n">
        <v>33.4</v>
      </c>
      <c r="F5206" s="31" t="n">
        <v>38.8</v>
      </c>
      <c r="G5206" s="31" t="n">
        <v>37.1</v>
      </c>
      <c r="H5206" s="2" t="s">
        <v>832</v>
      </c>
    </row>
    <row r="5207" customFormat="false" ht="15" hidden="false" customHeight="false" outlineLevel="0" collapsed="false">
      <c r="A5207" s="2" t="s">
        <v>1972</v>
      </c>
      <c r="B5207" s="2" t="s">
        <v>45</v>
      </c>
      <c r="C5207" s="2" t="s">
        <v>4274</v>
      </c>
      <c r="D5207" s="11" t="n">
        <v>12046</v>
      </c>
      <c r="E5207" s="31" t="n">
        <v>16.8</v>
      </c>
      <c r="F5207" s="31" t="n">
        <v>78.1</v>
      </c>
      <c r="G5207" s="31" t="n">
        <v>88.3</v>
      </c>
      <c r="H5207" s="2" t="s">
        <v>822</v>
      </c>
    </row>
    <row r="5208" customFormat="false" ht="15" hidden="false" customHeight="false" outlineLevel="0" collapsed="false">
      <c r="A5208" s="2" t="s">
        <v>1972</v>
      </c>
      <c r="B5208" s="2" t="s">
        <v>45</v>
      </c>
      <c r="C5208" s="2" t="s">
        <v>4275</v>
      </c>
      <c r="D5208" s="11" t="n">
        <v>12670</v>
      </c>
      <c r="E5208" s="31" t="n">
        <v>30.4</v>
      </c>
      <c r="F5208" s="31" t="n">
        <v>88.7</v>
      </c>
      <c r="G5208" s="2"/>
      <c r="H5208" s="2" t="s">
        <v>832</v>
      </c>
    </row>
    <row r="5209" customFormat="false" ht="15" hidden="false" customHeight="false" outlineLevel="0" collapsed="false">
      <c r="A5209" s="2" t="s">
        <v>1972</v>
      </c>
      <c r="B5209" s="2" t="s">
        <v>46</v>
      </c>
      <c r="C5209" s="2" t="s">
        <v>4274</v>
      </c>
      <c r="D5209" s="11" t="n">
        <v>64738</v>
      </c>
      <c r="E5209" s="31" t="n">
        <v>39.1</v>
      </c>
      <c r="F5209" s="31" t="n">
        <v>27</v>
      </c>
      <c r="G5209" s="31" t="n">
        <v>35.6</v>
      </c>
      <c r="H5209" s="2" t="s">
        <v>822</v>
      </c>
    </row>
    <row r="5210" customFormat="false" ht="15" hidden="false" customHeight="false" outlineLevel="0" collapsed="false">
      <c r="A5210" s="2" t="s">
        <v>1972</v>
      </c>
      <c r="B5210" s="2" t="s">
        <v>46</v>
      </c>
      <c r="C5210" s="2" t="s">
        <v>4275</v>
      </c>
      <c r="D5210" s="11" t="n">
        <v>66250</v>
      </c>
      <c r="E5210" s="31" t="n">
        <v>38.5</v>
      </c>
      <c r="F5210" s="31" t="n">
        <v>13.8</v>
      </c>
      <c r="G5210" s="31" t="n">
        <v>73.3</v>
      </c>
      <c r="H5210" s="2" t="s">
        <v>822</v>
      </c>
    </row>
    <row r="5211" customFormat="false" ht="15" hidden="false" customHeight="false" outlineLevel="0" collapsed="false">
      <c r="A5211" s="2" t="s">
        <v>1972</v>
      </c>
      <c r="B5211" s="2" t="s">
        <v>47</v>
      </c>
      <c r="C5211" s="2" t="s">
        <v>4274</v>
      </c>
      <c r="D5211" s="11" t="n">
        <v>1390</v>
      </c>
      <c r="E5211" s="31" t="n">
        <v>25.4</v>
      </c>
      <c r="F5211" s="31" t="n">
        <v>20</v>
      </c>
      <c r="G5211" s="31" t="n">
        <v>0.8</v>
      </c>
      <c r="H5211" s="2" t="s">
        <v>822</v>
      </c>
    </row>
    <row r="5212" customFormat="false" ht="15" hidden="false" customHeight="false" outlineLevel="0" collapsed="false">
      <c r="A5212" s="2" t="s">
        <v>1972</v>
      </c>
      <c r="B5212" s="2" t="s">
        <v>47</v>
      </c>
      <c r="C5212" s="2" t="s">
        <v>4275</v>
      </c>
      <c r="D5212" s="11" t="n">
        <v>1401</v>
      </c>
      <c r="E5212" s="31" t="n">
        <v>31.4</v>
      </c>
      <c r="F5212" s="31" t="n">
        <v>13.8</v>
      </c>
      <c r="G5212" s="31" t="n">
        <v>0.9</v>
      </c>
      <c r="H5212" s="2" t="s">
        <v>822</v>
      </c>
    </row>
    <row r="5213" customFormat="false" ht="15" hidden="false" customHeight="false" outlineLevel="0" collapsed="false">
      <c r="A5213" s="2" t="s">
        <v>3337</v>
      </c>
      <c r="B5213" s="2" t="s">
        <v>4291</v>
      </c>
      <c r="C5213" s="2" t="s">
        <v>4274</v>
      </c>
      <c r="D5213" s="2"/>
      <c r="E5213" s="31" t="n">
        <v>55.5</v>
      </c>
      <c r="F5213" s="2"/>
      <c r="G5213" s="2"/>
      <c r="H5213" s="2" t="s">
        <v>832</v>
      </c>
    </row>
    <row r="5214" customFormat="false" ht="15" hidden="false" customHeight="false" outlineLevel="0" collapsed="false">
      <c r="A5214" s="2" t="s">
        <v>3337</v>
      </c>
      <c r="B5214" s="2" t="s">
        <v>4291</v>
      </c>
      <c r="C5214" s="2" t="s">
        <v>4275</v>
      </c>
      <c r="D5214" s="2"/>
      <c r="E5214" s="31" t="n">
        <v>71.3</v>
      </c>
      <c r="F5214" s="2"/>
      <c r="G5214" s="2"/>
      <c r="H5214" s="2" t="s">
        <v>832</v>
      </c>
    </row>
    <row r="5215" customFormat="false" ht="15" hidden="false" customHeight="false" outlineLevel="0" collapsed="false">
      <c r="A5215" s="2" t="s">
        <v>3337</v>
      </c>
      <c r="B5215" s="2" t="s">
        <v>45</v>
      </c>
      <c r="C5215" s="2" t="s">
        <v>4274</v>
      </c>
      <c r="D5215" s="11" t="n">
        <v>2750</v>
      </c>
      <c r="E5215" s="31" t="n">
        <v>55.5</v>
      </c>
      <c r="F5215" s="2"/>
      <c r="G5215" s="2"/>
      <c r="H5215" s="2" t="s">
        <v>832</v>
      </c>
    </row>
    <row r="5216" customFormat="false" ht="15" hidden="false" customHeight="false" outlineLevel="0" collapsed="false">
      <c r="A5216" s="2" t="s">
        <v>3337</v>
      </c>
      <c r="B5216" s="2" t="s">
        <v>45</v>
      </c>
      <c r="C5216" s="2" t="s">
        <v>4275</v>
      </c>
      <c r="D5216" s="11" t="n">
        <v>2790</v>
      </c>
      <c r="E5216" s="31" t="n">
        <v>71.3</v>
      </c>
      <c r="F5216" s="2"/>
      <c r="G5216" s="2"/>
      <c r="H5216" s="2" t="s">
        <v>832</v>
      </c>
    </row>
    <row r="5217" customFormat="false" ht="15" hidden="false" customHeight="false" outlineLevel="0" collapsed="false">
      <c r="A5217" s="2" t="s">
        <v>3339</v>
      </c>
      <c r="B5217" s="2" t="s">
        <v>4291</v>
      </c>
      <c r="C5217" s="2" t="s">
        <v>4274</v>
      </c>
      <c r="D5217" s="2"/>
      <c r="E5217" s="31" t="n">
        <v>93</v>
      </c>
      <c r="F5217" s="31" t="n">
        <v>76</v>
      </c>
      <c r="G5217" s="31" t="n">
        <v>79.7</v>
      </c>
      <c r="H5217" s="2" t="s">
        <v>822</v>
      </c>
    </row>
    <row r="5218" customFormat="false" ht="15" hidden="false" customHeight="false" outlineLevel="0" collapsed="false">
      <c r="A5218" s="2" t="s">
        <v>3339</v>
      </c>
      <c r="B5218" s="2" t="s">
        <v>4291</v>
      </c>
      <c r="C5218" s="2" t="s">
        <v>4275</v>
      </c>
      <c r="D5218" s="2"/>
      <c r="E5218" s="2"/>
      <c r="F5218" s="2"/>
      <c r="G5218" s="2"/>
      <c r="H5218" s="2" t="s">
        <v>832</v>
      </c>
    </row>
    <row r="5219" customFormat="false" ht="15" hidden="false" customHeight="false" outlineLevel="0" collapsed="false">
      <c r="A5219" s="2" t="s">
        <v>3339</v>
      </c>
      <c r="B5219" s="2" t="s">
        <v>46</v>
      </c>
      <c r="C5219" s="2" t="s">
        <v>4274</v>
      </c>
      <c r="D5219" s="11" t="n">
        <v>29222</v>
      </c>
      <c r="E5219" s="31" t="n">
        <v>93</v>
      </c>
      <c r="F5219" s="31" t="n">
        <v>76</v>
      </c>
      <c r="G5219" s="31" t="n">
        <v>79.7</v>
      </c>
      <c r="H5219" s="2" t="s">
        <v>822</v>
      </c>
    </row>
    <row r="5220" customFormat="false" ht="15" hidden="false" customHeight="false" outlineLevel="0" collapsed="false">
      <c r="A5220" s="2" t="s">
        <v>3339</v>
      </c>
      <c r="B5220" s="2" t="s">
        <v>46</v>
      </c>
      <c r="C5220" s="2" t="s">
        <v>4275</v>
      </c>
      <c r="D5220" s="2"/>
      <c r="E5220" s="2"/>
      <c r="F5220" s="2"/>
      <c r="G5220" s="2"/>
      <c r="H5220" s="2" t="s">
        <v>832</v>
      </c>
    </row>
    <row r="5221" customFormat="false" ht="15" hidden="false" customHeight="false" outlineLevel="0" collapsed="false">
      <c r="A5221" s="2" t="s">
        <v>678</v>
      </c>
      <c r="B5221" s="2" t="s">
        <v>4291</v>
      </c>
      <c r="C5221" s="2" t="s">
        <v>4274</v>
      </c>
      <c r="D5221" s="2"/>
      <c r="E5221" s="31" t="n">
        <v>43</v>
      </c>
      <c r="F5221" s="31" t="n">
        <v>49</v>
      </c>
      <c r="G5221" s="31" t="n">
        <v>74.3</v>
      </c>
      <c r="H5221" s="2" t="s">
        <v>832</v>
      </c>
    </row>
    <row r="5222" customFormat="false" ht="15" hidden="false" customHeight="false" outlineLevel="0" collapsed="false">
      <c r="A5222" s="2" t="s">
        <v>678</v>
      </c>
      <c r="B5222" s="2" t="s">
        <v>4291</v>
      </c>
      <c r="C5222" s="2" t="s">
        <v>4275</v>
      </c>
      <c r="D5222" s="2"/>
      <c r="E5222" s="31" t="n">
        <v>31.3</v>
      </c>
      <c r="F5222" s="31" t="n">
        <v>46.2</v>
      </c>
      <c r="G5222" s="31" t="n">
        <v>63.3</v>
      </c>
      <c r="H5222" s="2" t="s">
        <v>822</v>
      </c>
    </row>
    <row r="5223" customFormat="false" ht="15" hidden="false" customHeight="false" outlineLevel="0" collapsed="false">
      <c r="A5223" s="2" t="s">
        <v>678</v>
      </c>
      <c r="B5223" s="2" t="s">
        <v>45</v>
      </c>
      <c r="C5223" s="2" t="s">
        <v>4274</v>
      </c>
      <c r="D5223" s="11" t="n">
        <v>71320</v>
      </c>
      <c r="E5223" s="31" t="n">
        <v>78.8</v>
      </c>
      <c r="F5223" s="31" t="n">
        <v>32.1</v>
      </c>
      <c r="G5223" s="2"/>
      <c r="H5223" s="2" t="s">
        <v>832</v>
      </c>
    </row>
    <row r="5224" customFormat="false" ht="15" hidden="false" customHeight="false" outlineLevel="0" collapsed="false">
      <c r="A5224" s="2" t="s">
        <v>678</v>
      </c>
      <c r="B5224" s="2" t="s">
        <v>45</v>
      </c>
      <c r="C5224" s="2" t="s">
        <v>4275</v>
      </c>
      <c r="D5224" s="11" t="n">
        <v>73960</v>
      </c>
      <c r="E5224" s="31" t="n">
        <v>55.6</v>
      </c>
      <c r="F5224" s="31" t="n">
        <v>25.8</v>
      </c>
      <c r="G5224" s="31" t="n">
        <v>74.1</v>
      </c>
      <c r="H5224" s="2" t="s">
        <v>822</v>
      </c>
    </row>
    <row r="5225" customFormat="false" ht="15" hidden="false" customHeight="false" outlineLevel="0" collapsed="false">
      <c r="A5225" s="2" t="s">
        <v>678</v>
      </c>
      <c r="B5225" s="2" t="s">
        <v>46</v>
      </c>
      <c r="C5225" s="2" t="s">
        <v>4274</v>
      </c>
      <c r="D5225" s="2"/>
      <c r="E5225" s="2"/>
      <c r="F5225" s="2"/>
      <c r="G5225" s="2"/>
      <c r="H5225" s="2" t="s">
        <v>832</v>
      </c>
    </row>
    <row r="5226" customFormat="false" ht="15" hidden="false" customHeight="false" outlineLevel="0" collapsed="false">
      <c r="A5226" s="2" t="s">
        <v>678</v>
      </c>
      <c r="B5226" s="2" t="s">
        <v>46</v>
      </c>
      <c r="C5226" s="2" t="s">
        <v>4275</v>
      </c>
      <c r="D5226" s="11" t="n">
        <v>142920</v>
      </c>
      <c r="E5226" s="31" t="n">
        <v>20.4</v>
      </c>
      <c r="F5226" s="31" t="n">
        <v>40.1</v>
      </c>
      <c r="G5226" s="31" t="n">
        <v>65.1</v>
      </c>
      <c r="H5226" s="2" t="s">
        <v>822</v>
      </c>
    </row>
    <row r="5227" customFormat="false" ht="15" hidden="false" customHeight="false" outlineLevel="0" collapsed="false">
      <c r="A5227" s="2" t="s">
        <v>678</v>
      </c>
      <c r="B5227" s="2" t="s">
        <v>47</v>
      </c>
      <c r="C5227" s="2" t="s">
        <v>4274</v>
      </c>
      <c r="D5227" s="11" t="n">
        <v>126569</v>
      </c>
      <c r="E5227" s="31" t="n">
        <v>7.3</v>
      </c>
      <c r="F5227" s="31" t="n">
        <v>66</v>
      </c>
      <c r="G5227" s="31" t="n">
        <v>74.3</v>
      </c>
      <c r="H5227" s="2" t="s">
        <v>822</v>
      </c>
    </row>
    <row r="5228" customFormat="false" ht="15" hidden="false" customHeight="false" outlineLevel="0" collapsed="false">
      <c r="A5228" s="2" t="s">
        <v>678</v>
      </c>
      <c r="B5228" s="2" t="s">
        <v>47</v>
      </c>
      <c r="C5228" s="2" t="s">
        <v>4275</v>
      </c>
      <c r="D5228" s="11" t="n">
        <v>130076</v>
      </c>
      <c r="E5228" s="31" t="n">
        <v>17.8</v>
      </c>
      <c r="F5228" s="31" t="n">
        <v>72.7</v>
      </c>
      <c r="G5228" s="31" t="n">
        <v>50.7</v>
      </c>
      <c r="H5228" s="2" t="s">
        <v>822</v>
      </c>
    </row>
    <row r="5229" customFormat="false" ht="15" hidden="false" customHeight="false" outlineLevel="0" collapsed="false">
      <c r="A5229" s="2" t="s">
        <v>506</v>
      </c>
      <c r="B5229" s="2" t="s">
        <v>4291</v>
      </c>
      <c r="C5229" s="2" t="s">
        <v>4274</v>
      </c>
      <c r="D5229" s="2"/>
      <c r="E5229" s="31" t="n">
        <v>28.9</v>
      </c>
      <c r="F5229" s="31" t="n">
        <v>20.3</v>
      </c>
      <c r="G5229" s="31" t="n">
        <v>6.3</v>
      </c>
      <c r="H5229" s="2" t="s">
        <v>832</v>
      </c>
    </row>
    <row r="5230" customFormat="false" ht="15" hidden="false" customHeight="false" outlineLevel="0" collapsed="false">
      <c r="A5230" s="2" t="s">
        <v>506</v>
      </c>
      <c r="B5230" s="2" t="s">
        <v>4291</v>
      </c>
      <c r="C5230" s="2" t="s">
        <v>4275</v>
      </c>
      <c r="D5230" s="2"/>
      <c r="E5230" s="31" t="n">
        <v>48.1</v>
      </c>
      <c r="F5230" s="31" t="n">
        <v>36.2</v>
      </c>
      <c r="G5230" s="31" t="n">
        <v>21.4</v>
      </c>
      <c r="H5230" s="2" t="s">
        <v>822</v>
      </c>
    </row>
    <row r="5231" customFormat="false" ht="15" hidden="false" customHeight="false" outlineLevel="0" collapsed="false">
      <c r="A5231" s="2" t="s">
        <v>506</v>
      </c>
      <c r="B5231" s="2" t="s">
        <v>45</v>
      </c>
      <c r="C5231" s="2" t="s">
        <v>4274</v>
      </c>
      <c r="D5231" s="11" t="n">
        <v>9792</v>
      </c>
      <c r="E5231" s="31" t="n">
        <v>22.2</v>
      </c>
      <c r="F5231" s="31" t="n">
        <v>4.8</v>
      </c>
      <c r="G5231" s="2"/>
      <c r="H5231" s="2" t="s">
        <v>822</v>
      </c>
    </row>
    <row r="5232" customFormat="false" ht="15" hidden="false" customHeight="false" outlineLevel="0" collapsed="false">
      <c r="A5232" s="2" t="s">
        <v>506</v>
      </c>
      <c r="B5232" s="2" t="s">
        <v>45</v>
      </c>
      <c r="C5232" s="2" t="s">
        <v>4275</v>
      </c>
      <c r="D5232" s="11" t="n">
        <v>9560</v>
      </c>
      <c r="E5232" s="31" t="n">
        <v>46.7</v>
      </c>
      <c r="F5232" s="31" t="n">
        <v>1.4</v>
      </c>
      <c r="G5232" s="2"/>
      <c r="H5232" s="2" t="s">
        <v>822</v>
      </c>
    </row>
    <row r="5233" customFormat="false" ht="15" hidden="false" customHeight="false" outlineLevel="0" collapsed="false">
      <c r="A5233" s="2" t="s">
        <v>506</v>
      </c>
      <c r="B5233" s="2" t="s">
        <v>46</v>
      </c>
      <c r="C5233" s="2" t="s">
        <v>4274</v>
      </c>
      <c r="D5233" s="2"/>
      <c r="E5233" s="2"/>
      <c r="F5233" s="2"/>
      <c r="G5233" s="2"/>
      <c r="H5233" s="2" t="s">
        <v>832</v>
      </c>
    </row>
    <row r="5234" customFormat="false" ht="15" hidden="false" customHeight="false" outlineLevel="0" collapsed="false">
      <c r="A5234" s="2" t="s">
        <v>506</v>
      </c>
      <c r="B5234" s="2" t="s">
        <v>46</v>
      </c>
      <c r="C5234" s="2" t="s">
        <v>4275</v>
      </c>
      <c r="D5234" s="11" t="n">
        <v>25910</v>
      </c>
      <c r="E5234" s="31" t="n">
        <v>68</v>
      </c>
      <c r="F5234" s="31" t="n">
        <v>85.5</v>
      </c>
      <c r="G5234" s="31" t="n">
        <v>11</v>
      </c>
      <c r="H5234" s="2" t="s">
        <v>822</v>
      </c>
    </row>
    <row r="5235" customFormat="false" ht="15" hidden="false" customHeight="false" outlineLevel="0" collapsed="false">
      <c r="A5235" s="2" t="s">
        <v>506</v>
      </c>
      <c r="B5235" s="2" t="s">
        <v>47</v>
      </c>
      <c r="C5235" s="2" t="s">
        <v>4274</v>
      </c>
      <c r="D5235" s="11" t="n">
        <v>74058</v>
      </c>
      <c r="E5235" s="31" t="n">
        <v>35.6</v>
      </c>
      <c r="F5235" s="31" t="n">
        <v>35.9</v>
      </c>
      <c r="G5235" s="31" t="n">
        <v>6.3</v>
      </c>
      <c r="H5235" s="2" t="s">
        <v>822</v>
      </c>
    </row>
    <row r="5236" customFormat="false" ht="15" hidden="false" customHeight="false" outlineLevel="0" collapsed="false">
      <c r="A5236" s="2" t="s">
        <v>506</v>
      </c>
      <c r="B5236" s="2" t="s">
        <v>47</v>
      </c>
      <c r="C5236" s="2" t="s">
        <v>4275</v>
      </c>
      <c r="D5236" s="11" t="n">
        <v>77035</v>
      </c>
      <c r="E5236" s="31" t="n">
        <v>29.5</v>
      </c>
      <c r="F5236" s="31" t="n">
        <v>21.8</v>
      </c>
      <c r="G5236" s="31" t="n">
        <v>31.7</v>
      </c>
      <c r="H5236" s="2" t="s">
        <v>822</v>
      </c>
    </row>
    <row r="5237" customFormat="false" ht="15" hidden="false" customHeight="false" outlineLevel="0" collapsed="false">
      <c r="A5237" s="2" t="s">
        <v>2838</v>
      </c>
      <c r="B5237" s="2" t="s">
        <v>4291</v>
      </c>
      <c r="C5237" s="2" t="s">
        <v>4274</v>
      </c>
      <c r="D5237" s="2"/>
      <c r="E5237" s="31" t="n">
        <v>49.6</v>
      </c>
      <c r="F5237" s="31" t="n">
        <v>87</v>
      </c>
      <c r="G5237" s="31" t="n">
        <v>30.6</v>
      </c>
      <c r="H5237" s="2" t="s">
        <v>822</v>
      </c>
    </row>
    <row r="5238" customFormat="false" ht="15" hidden="false" customHeight="false" outlineLevel="0" collapsed="false">
      <c r="A5238" s="2" t="s">
        <v>2838</v>
      </c>
      <c r="B5238" s="2" t="s">
        <v>4291</v>
      </c>
      <c r="C5238" s="2" t="s">
        <v>4275</v>
      </c>
      <c r="D5238" s="2"/>
      <c r="E5238" s="31" t="n">
        <v>42.8</v>
      </c>
      <c r="F5238" s="31" t="n">
        <v>84.5</v>
      </c>
      <c r="G5238" s="31" t="n">
        <v>84.4</v>
      </c>
      <c r="H5238" s="2" t="s">
        <v>832</v>
      </c>
    </row>
    <row r="5239" customFormat="false" ht="15" hidden="false" customHeight="false" outlineLevel="0" collapsed="false">
      <c r="A5239" s="2" t="s">
        <v>2838</v>
      </c>
      <c r="B5239" s="2" t="s">
        <v>45</v>
      </c>
      <c r="C5239" s="2" t="s">
        <v>4274</v>
      </c>
      <c r="D5239" s="11" t="n">
        <v>88040</v>
      </c>
      <c r="E5239" s="31" t="n">
        <v>95.5</v>
      </c>
      <c r="F5239" s="31" t="n">
        <v>99.3</v>
      </c>
      <c r="G5239" s="31" t="n">
        <v>7.3</v>
      </c>
      <c r="H5239" s="2" t="s">
        <v>822</v>
      </c>
    </row>
    <row r="5240" customFormat="false" ht="15" hidden="false" customHeight="false" outlineLevel="0" collapsed="false">
      <c r="A5240" s="2" t="s">
        <v>2838</v>
      </c>
      <c r="B5240" s="2" t="s">
        <v>45</v>
      </c>
      <c r="C5240" s="2" t="s">
        <v>4275</v>
      </c>
      <c r="D5240" s="11" t="n">
        <v>150170</v>
      </c>
      <c r="E5240" s="31" t="n">
        <v>80</v>
      </c>
      <c r="F5240" s="31" t="n">
        <v>86.4</v>
      </c>
      <c r="G5240" s="2"/>
      <c r="H5240" s="2" t="s">
        <v>832</v>
      </c>
    </row>
    <row r="5241" customFormat="false" ht="15" hidden="false" customHeight="false" outlineLevel="0" collapsed="false">
      <c r="A5241" s="2" t="s">
        <v>2838</v>
      </c>
      <c r="B5241" s="2" t="s">
        <v>47</v>
      </c>
      <c r="C5241" s="2" t="s">
        <v>4274</v>
      </c>
      <c r="D5241" s="11" t="n">
        <v>406538</v>
      </c>
      <c r="E5241" s="31" t="n">
        <v>3.6</v>
      </c>
      <c r="F5241" s="31" t="n">
        <v>74.7</v>
      </c>
      <c r="G5241" s="31" t="n">
        <v>54</v>
      </c>
      <c r="H5241" s="2" t="s">
        <v>822</v>
      </c>
    </row>
    <row r="5242" customFormat="false" ht="15" hidden="false" customHeight="false" outlineLevel="0" collapsed="false">
      <c r="A5242" s="2" t="s">
        <v>2838</v>
      </c>
      <c r="B5242" s="2" t="s">
        <v>47</v>
      </c>
      <c r="C5242" s="2" t="s">
        <v>4275</v>
      </c>
      <c r="D5242" s="11" t="n">
        <v>413050</v>
      </c>
      <c r="E5242" s="31" t="n">
        <v>5.5</v>
      </c>
      <c r="F5242" s="31" t="n">
        <v>82.6</v>
      </c>
      <c r="G5242" s="31" t="n">
        <v>84.4</v>
      </c>
      <c r="H5242" s="2" t="s">
        <v>822</v>
      </c>
    </row>
    <row r="5243" customFormat="false" ht="15" hidden="false" customHeight="false" outlineLevel="0" collapsed="false">
      <c r="A5243" s="2" t="s">
        <v>1360</v>
      </c>
      <c r="B5243" s="2" t="s">
        <v>4291</v>
      </c>
      <c r="C5243" s="2" t="s">
        <v>4274</v>
      </c>
      <c r="D5243" s="2"/>
      <c r="E5243" s="31" t="n">
        <v>38.7</v>
      </c>
      <c r="F5243" s="31" t="n">
        <v>75.4</v>
      </c>
      <c r="G5243" s="31" t="n">
        <v>38.5</v>
      </c>
      <c r="H5243" s="2" t="s">
        <v>832</v>
      </c>
    </row>
    <row r="5244" customFormat="false" ht="15" hidden="false" customHeight="false" outlineLevel="0" collapsed="false">
      <c r="A5244" s="2" t="s">
        <v>1360</v>
      </c>
      <c r="B5244" s="2" t="s">
        <v>4291</v>
      </c>
      <c r="C5244" s="2" t="s">
        <v>4275</v>
      </c>
      <c r="D5244" s="2"/>
      <c r="E5244" s="31" t="n">
        <v>33.8</v>
      </c>
      <c r="F5244" s="31" t="n">
        <v>41.8</v>
      </c>
      <c r="G5244" s="31" t="n">
        <v>39.8</v>
      </c>
      <c r="H5244" s="2" t="s">
        <v>832</v>
      </c>
    </row>
    <row r="5245" customFormat="false" ht="15" hidden="false" customHeight="false" outlineLevel="0" collapsed="false">
      <c r="A5245" s="2" t="s">
        <v>1360</v>
      </c>
      <c r="B5245" s="2" t="s">
        <v>45</v>
      </c>
      <c r="C5245" s="2" t="s">
        <v>4274</v>
      </c>
      <c r="D5245" s="11" t="n">
        <v>118890</v>
      </c>
      <c r="E5245" s="31" t="n">
        <v>42.6</v>
      </c>
      <c r="F5245" s="31" t="n">
        <v>78.1</v>
      </c>
      <c r="G5245" s="31" t="n">
        <v>30.2</v>
      </c>
      <c r="H5245" s="2" t="s">
        <v>822</v>
      </c>
    </row>
    <row r="5246" customFormat="false" ht="15" hidden="false" customHeight="false" outlineLevel="0" collapsed="false">
      <c r="A5246" s="2" t="s">
        <v>1360</v>
      </c>
      <c r="B5246" s="2" t="s">
        <v>45</v>
      </c>
      <c r="C5246" s="2" t="s">
        <v>4275</v>
      </c>
      <c r="D5246" s="11" t="n">
        <v>126000</v>
      </c>
      <c r="E5246" s="31" t="n">
        <v>33.8</v>
      </c>
      <c r="F5246" s="31" t="n">
        <v>70.7</v>
      </c>
      <c r="G5246" s="31" t="n">
        <v>50.6</v>
      </c>
      <c r="H5246" s="2" t="s">
        <v>822</v>
      </c>
    </row>
    <row r="5247" customFormat="false" ht="15" hidden="false" customHeight="false" outlineLevel="0" collapsed="false">
      <c r="A5247" s="2" t="s">
        <v>1360</v>
      </c>
      <c r="B5247" s="2" t="s">
        <v>46</v>
      </c>
      <c r="C5247" s="2" t="s">
        <v>4274</v>
      </c>
      <c r="D5247" s="11" t="n">
        <v>72170</v>
      </c>
      <c r="E5247" s="31" t="n">
        <v>34.8</v>
      </c>
      <c r="F5247" s="31" t="n">
        <v>72.7</v>
      </c>
      <c r="G5247" s="31" t="n">
        <v>46.8</v>
      </c>
      <c r="H5247" s="2" t="s">
        <v>822</v>
      </c>
    </row>
    <row r="5248" customFormat="false" ht="15" hidden="false" customHeight="false" outlineLevel="0" collapsed="false">
      <c r="A5248" s="2" t="s">
        <v>1360</v>
      </c>
      <c r="B5248" s="2" t="s">
        <v>46</v>
      </c>
      <c r="C5248" s="2" t="s">
        <v>4275</v>
      </c>
      <c r="D5248" s="2"/>
      <c r="E5248" s="2"/>
      <c r="F5248" s="2"/>
      <c r="G5248" s="2"/>
      <c r="H5248" s="2" t="s">
        <v>832</v>
      </c>
    </row>
    <row r="5249" customFormat="false" ht="15" hidden="false" customHeight="false" outlineLevel="0" collapsed="false">
      <c r="A5249" s="2" t="s">
        <v>1360</v>
      </c>
      <c r="B5249" s="2" t="s">
        <v>47</v>
      </c>
      <c r="C5249" s="2" t="s">
        <v>4274</v>
      </c>
      <c r="D5249" s="2"/>
      <c r="E5249" s="2"/>
      <c r="F5249" s="2"/>
      <c r="G5249" s="2"/>
      <c r="H5249" s="2" t="s">
        <v>832</v>
      </c>
    </row>
    <row r="5250" customFormat="false" ht="15" hidden="false" customHeight="false" outlineLevel="0" collapsed="false">
      <c r="A5250" s="2" t="s">
        <v>1360</v>
      </c>
      <c r="B5250" s="2" t="s">
        <v>47</v>
      </c>
      <c r="C5250" s="2" t="s">
        <v>4275</v>
      </c>
      <c r="D5250" s="11" t="n">
        <v>220380</v>
      </c>
      <c r="E5250" s="31" t="n">
        <v>33.9</v>
      </c>
      <c r="F5250" s="31" t="n">
        <v>13</v>
      </c>
      <c r="G5250" s="31" t="n">
        <v>28.9</v>
      </c>
      <c r="H5250" s="2" t="s">
        <v>822</v>
      </c>
    </row>
    <row r="5251" customFormat="false" ht="15" hidden="false" customHeight="false" outlineLevel="0" collapsed="false">
      <c r="A5251" s="2" t="s">
        <v>586</v>
      </c>
      <c r="B5251" s="2" t="s">
        <v>4291</v>
      </c>
      <c r="C5251" s="2" t="s">
        <v>4274</v>
      </c>
      <c r="D5251" s="2"/>
      <c r="E5251" s="31" t="n">
        <v>53.4</v>
      </c>
      <c r="F5251" s="31" t="n">
        <v>91.6</v>
      </c>
      <c r="G5251" s="31" t="n">
        <v>56.3</v>
      </c>
      <c r="H5251" s="2" t="s">
        <v>832</v>
      </c>
    </row>
    <row r="5252" customFormat="false" ht="15" hidden="false" customHeight="false" outlineLevel="0" collapsed="false">
      <c r="A5252" s="2" t="s">
        <v>586</v>
      </c>
      <c r="B5252" s="2" t="s">
        <v>4291</v>
      </c>
      <c r="C5252" s="2" t="s">
        <v>4275</v>
      </c>
      <c r="D5252" s="2"/>
      <c r="E5252" s="31" t="n">
        <v>40.5</v>
      </c>
      <c r="F5252" s="31" t="n">
        <v>71</v>
      </c>
      <c r="G5252" s="31" t="n">
        <v>57.4</v>
      </c>
      <c r="H5252" s="2" t="s">
        <v>822</v>
      </c>
    </row>
    <row r="5253" customFormat="false" ht="15" hidden="false" customHeight="false" outlineLevel="0" collapsed="false">
      <c r="A5253" s="2" t="s">
        <v>586</v>
      </c>
      <c r="B5253" s="2" t="s">
        <v>45</v>
      </c>
      <c r="C5253" s="2" t="s">
        <v>4274</v>
      </c>
      <c r="D5253" s="2"/>
      <c r="E5253" s="2"/>
      <c r="F5253" s="2"/>
      <c r="G5253" s="2"/>
      <c r="H5253" s="2" t="s">
        <v>832</v>
      </c>
    </row>
    <row r="5254" customFormat="false" ht="15" hidden="false" customHeight="false" outlineLevel="0" collapsed="false">
      <c r="A5254" s="2" t="s">
        <v>586</v>
      </c>
      <c r="B5254" s="2" t="s">
        <v>45</v>
      </c>
      <c r="C5254" s="2" t="s">
        <v>4275</v>
      </c>
      <c r="D5254" s="11" t="n">
        <v>7980</v>
      </c>
      <c r="E5254" s="31" t="n">
        <v>14.6</v>
      </c>
      <c r="F5254" s="31" t="n">
        <v>33.8</v>
      </c>
      <c r="G5254" s="31" t="n">
        <v>46.6</v>
      </c>
      <c r="H5254" s="2" t="s">
        <v>822</v>
      </c>
    </row>
    <row r="5255" customFormat="false" ht="15" hidden="false" customHeight="false" outlineLevel="0" collapsed="false">
      <c r="A5255" s="2" t="s">
        <v>586</v>
      </c>
      <c r="B5255" s="2" t="s">
        <v>46</v>
      </c>
      <c r="C5255" s="2" t="s">
        <v>4274</v>
      </c>
      <c r="D5255" s="11" t="n">
        <v>258300</v>
      </c>
      <c r="E5255" s="31" t="n">
        <v>53.4</v>
      </c>
      <c r="F5255" s="31" t="n">
        <v>89.1</v>
      </c>
      <c r="G5255" s="31" t="n">
        <v>49.1</v>
      </c>
      <c r="H5255" s="2" t="s">
        <v>822</v>
      </c>
    </row>
    <row r="5256" customFormat="false" ht="15" hidden="false" customHeight="false" outlineLevel="0" collapsed="false">
      <c r="A5256" s="2" t="s">
        <v>586</v>
      </c>
      <c r="B5256" s="2" t="s">
        <v>46</v>
      </c>
      <c r="C5256" s="2" t="s">
        <v>4275</v>
      </c>
      <c r="D5256" s="11" t="n">
        <v>279740</v>
      </c>
      <c r="E5256" s="31" t="n">
        <v>46</v>
      </c>
      <c r="F5256" s="31" t="n">
        <v>82.8</v>
      </c>
      <c r="G5256" s="31" t="n">
        <v>80.6</v>
      </c>
      <c r="H5256" s="2" t="s">
        <v>822</v>
      </c>
    </row>
    <row r="5257" customFormat="false" ht="15" hidden="false" customHeight="false" outlineLevel="0" collapsed="false">
      <c r="A5257" s="2" t="s">
        <v>586</v>
      </c>
      <c r="B5257" s="2" t="s">
        <v>47</v>
      </c>
      <c r="C5257" s="2" t="s">
        <v>4274</v>
      </c>
      <c r="D5257" s="11" t="n">
        <v>13749</v>
      </c>
      <c r="E5257" s="31" t="n">
        <v>53.5</v>
      </c>
      <c r="F5257" s="31" t="n">
        <v>94.1</v>
      </c>
      <c r="G5257" s="31" t="n">
        <v>63.5</v>
      </c>
      <c r="H5257" s="2" t="s">
        <v>822</v>
      </c>
    </row>
    <row r="5258" customFormat="false" ht="15" hidden="false" customHeight="false" outlineLevel="0" collapsed="false">
      <c r="A5258" s="2" t="s">
        <v>586</v>
      </c>
      <c r="B5258" s="2" t="s">
        <v>47</v>
      </c>
      <c r="C5258" s="2" t="s">
        <v>4275</v>
      </c>
      <c r="D5258" s="11" t="n">
        <v>15382</v>
      </c>
      <c r="E5258" s="31" t="n">
        <v>61</v>
      </c>
      <c r="F5258" s="31" t="n">
        <v>96.4</v>
      </c>
      <c r="G5258" s="31" t="n">
        <v>45</v>
      </c>
      <c r="H5258" s="2" t="s">
        <v>822</v>
      </c>
    </row>
    <row r="5259" customFormat="false" ht="15" hidden="false" customHeight="false" outlineLevel="0" collapsed="false">
      <c r="A5259" s="2" t="s">
        <v>400</v>
      </c>
      <c r="B5259" s="2" t="s">
        <v>4291</v>
      </c>
      <c r="C5259" s="2" t="s">
        <v>4274</v>
      </c>
      <c r="D5259" s="2"/>
      <c r="E5259" s="31" t="n">
        <v>74.6</v>
      </c>
      <c r="F5259" s="31" t="n">
        <v>27.6</v>
      </c>
      <c r="G5259" s="31" t="n">
        <v>44.5</v>
      </c>
      <c r="H5259" s="2" t="s">
        <v>832</v>
      </c>
    </row>
    <row r="5260" customFormat="false" ht="15" hidden="false" customHeight="false" outlineLevel="0" collapsed="false">
      <c r="A5260" s="2" t="s">
        <v>400</v>
      </c>
      <c r="B5260" s="2" t="s">
        <v>4291</v>
      </c>
      <c r="C5260" s="2" t="s">
        <v>4275</v>
      </c>
      <c r="D5260" s="2"/>
      <c r="E5260" s="31" t="n">
        <v>55.2</v>
      </c>
      <c r="F5260" s="31" t="n">
        <v>59.1</v>
      </c>
      <c r="G5260" s="31" t="n">
        <v>55.8</v>
      </c>
      <c r="H5260" s="2" t="s">
        <v>822</v>
      </c>
    </row>
    <row r="5261" customFormat="false" ht="15" hidden="false" customHeight="false" outlineLevel="0" collapsed="false">
      <c r="A5261" s="2" t="s">
        <v>400</v>
      </c>
      <c r="B5261" s="2" t="s">
        <v>45</v>
      </c>
      <c r="C5261" s="2" t="s">
        <v>4274</v>
      </c>
      <c r="D5261" s="2"/>
      <c r="E5261" s="2"/>
      <c r="F5261" s="2"/>
      <c r="G5261" s="2"/>
      <c r="H5261" s="2" t="s">
        <v>832</v>
      </c>
    </row>
    <row r="5262" customFormat="false" ht="15" hidden="false" customHeight="false" outlineLevel="0" collapsed="false">
      <c r="A5262" s="2" t="s">
        <v>400</v>
      </c>
      <c r="B5262" s="2" t="s">
        <v>45</v>
      </c>
      <c r="C5262" s="2" t="s">
        <v>4275</v>
      </c>
      <c r="D5262" s="11" t="n">
        <v>175580</v>
      </c>
      <c r="E5262" s="31" t="n">
        <v>4.2</v>
      </c>
      <c r="F5262" s="31" t="n">
        <v>93.6</v>
      </c>
      <c r="G5262" s="31" t="n">
        <v>71.8</v>
      </c>
      <c r="H5262" s="2" t="s">
        <v>822</v>
      </c>
    </row>
    <row r="5263" customFormat="false" ht="15" hidden="false" customHeight="false" outlineLevel="0" collapsed="false">
      <c r="A5263" s="2" t="s">
        <v>400</v>
      </c>
      <c r="B5263" s="2" t="s">
        <v>46</v>
      </c>
      <c r="C5263" s="2" t="s">
        <v>4274</v>
      </c>
      <c r="D5263" s="11" t="n">
        <v>25390</v>
      </c>
      <c r="E5263" s="31" t="n">
        <v>71.6</v>
      </c>
      <c r="F5263" s="31" t="n">
        <v>48.3</v>
      </c>
      <c r="G5263" s="31" t="n">
        <v>84.2</v>
      </c>
      <c r="H5263" s="2" t="s">
        <v>822</v>
      </c>
    </row>
    <row r="5264" customFormat="false" ht="15" hidden="false" customHeight="false" outlineLevel="0" collapsed="false">
      <c r="A5264" s="2" t="s">
        <v>400</v>
      </c>
      <c r="B5264" s="2" t="s">
        <v>46</v>
      </c>
      <c r="C5264" s="2" t="s">
        <v>4275</v>
      </c>
      <c r="D5264" s="11" t="n">
        <v>26410</v>
      </c>
      <c r="E5264" s="31" t="n">
        <v>70.3</v>
      </c>
      <c r="F5264" s="31" t="n">
        <v>67.6</v>
      </c>
      <c r="G5264" s="31" t="n">
        <v>93.4</v>
      </c>
      <c r="H5264" s="2" t="s">
        <v>822</v>
      </c>
    </row>
    <row r="5265" customFormat="false" ht="15" hidden="false" customHeight="false" outlineLevel="0" collapsed="false">
      <c r="A5265" s="2" t="s">
        <v>400</v>
      </c>
      <c r="B5265" s="2" t="s">
        <v>47</v>
      </c>
      <c r="C5265" s="2" t="s">
        <v>4274</v>
      </c>
      <c r="D5265" s="11" t="n">
        <v>454245</v>
      </c>
      <c r="E5265" s="31" t="n">
        <v>77.7</v>
      </c>
      <c r="F5265" s="31" t="n">
        <v>6.8</v>
      </c>
      <c r="G5265" s="31" t="n">
        <v>4.8</v>
      </c>
      <c r="H5265" s="2" t="s">
        <v>822</v>
      </c>
    </row>
    <row r="5266" customFormat="false" ht="15" hidden="false" customHeight="false" outlineLevel="0" collapsed="false">
      <c r="A5266" s="2" t="s">
        <v>400</v>
      </c>
      <c r="B5266" s="2" t="s">
        <v>47</v>
      </c>
      <c r="C5266" s="2" t="s">
        <v>4275</v>
      </c>
      <c r="D5266" s="11" t="n">
        <v>462620</v>
      </c>
      <c r="E5266" s="31" t="n">
        <v>91</v>
      </c>
      <c r="F5266" s="31" t="n">
        <v>16.1</v>
      </c>
      <c r="G5266" s="31" t="n">
        <v>2.2</v>
      </c>
      <c r="H5266" s="2" t="s">
        <v>822</v>
      </c>
    </row>
    <row r="5267" customFormat="false" ht="15" hidden="false" customHeight="false" outlineLevel="0" collapsed="false">
      <c r="A5267" s="2" t="s">
        <v>674</v>
      </c>
      <c r="B5267" s="2" t="s">
        <v>4291</v>
      </c>
      <c r="C5267" s="2" t="s">
        <v>4274</v>
      </c>
      <c r="D5267" s="2"/>
      <c r="E5267" s="31" t="n">
        <v>49.8</v>
      </c>
      <c r="F5267" s="31" t="n">
        <v>100</v>
      </c>
      <c r="G5267" s="31" t="n">
        <v>31.4</v>
      </c>
      <c r="H5267" s="2" t="s">
        <v>822</v>
      </c>
    </row>
    <row r="5268" customFormat="false" ht="15" hidden="false" customHeight="false" outlineLevel="0" collapsed="false">
      <c r="A5268" s="2" t="s">
        <v>674</v>
      </c>
      <c r="B5268" s="2" t="s">
        <v>4291</v>
      </c>
      <c r="C5268" s="2" t="s">
        <v>4275</v>
      </c>
      <c r="D5268" s="2"/>
      <c r="E5268" s="31" t="n">
        <v>32.1</v>
      </c>
      <c r="F5268" s="31" t="n">
        <v>100</v>
      </c>
      <c r="G5268" s="31" t="n">
        <v>53.8</v>
      </c>
      <c r="H5268" s="2" t="s">
        <v>822</v>
      </c>
    </row>
    <row r="5269" customFormat="false" ht="15" hidden="false" customHeight="false" outlineLevel="0" collapsed="false">
      <c r="A5269" s="2" t="s">
        <v>674</v>
      </c>
      <c r="B5269" s="2" t="s">
        <v>47</v>
      </c>
      <c r="C5269" s="2" t="s">
        <v>4274</v>
      </c>
      <c r="D5269" s="11" t="n">
        <v>2181</v>
      </c>
      <c r="E5269" s="31" t="n">
        <v>49.8</v>
      </c>
      <c r="F5269" s="31" t="n">
        <v>100</v>
      </c>
      <c r="G5269" s="31" t="n">
        <v>31.4</v>
      </c>
      <c r="H5269" s="2" t="s">
        <v>822</v>
      </c>
    </row>
    <row r="5270" customFormat="false" ht="15" hidden="false" customHeight="false" outlineLevel="0" collapsed="false">
      <c r="A5270" s="2" t="s">
        <v>674</v>
      </c>
      <c r="B5270" s="2" t="s">
        <v>47</v>
      </c>
      <c r="C5270" s="2" t="s">
        <v>4275</v>
      </c>
      <c r="D5270" s="11" t="n">
        <v>2420</v>
      </c>
      <c r="E5270" s="31" t="n">
        <v>32.1</v>
      </c>
      <c r="F5270" s="31" t="n">
        <v>100</v>
      </c>
      <c r="G5270" s="31" t="n">
        <v>53.8</v>
      </c>
      <c r="H5270" s="2" t="s">
        <v>822</v>
      </c>
    </row>
    <row r="5271" customFormat="false" ht="15" hidden="false" customHeight="false" outlineLevel="0" collapsed="false">
      <c r="A5271" s="2" t="s">
        <v>232</v>
      </c>
      <c r="B5271" s="2" t="s">
        <v>4291</v>
      </c>
      <c r="C5271" s="2" t="s">
        <v>4274</v>
      </c>
      <c r="D5271" s="2"/>
      <c r="E5271" s="31" t="n">
        <v>86.9</v>
      </c>
      <c r="F5271" s="31" t="n">
        <v>76.4</v>
      </c>
      <c r="G5271" s="31" t="n">
        <v>87.8</v>
      </c>
      <c r="H5271" s="2" t="s">
        <v>832</v>
      </c>
    </row>
    <row r="5272" customFormat="false" ht="15" hidden="false" customHeight="false" outlineLevel="0" collapsed="false">
      <c r="A5272" s="2" t="s">
        <v>232</v>
      </c>
      <c r="B5272" s="2" t="s">
        <v>4291</v>
      </c>
      <c r="C5272" s="2" t="s">
        <v>4275</v>
      </c>
      <c r="D5272" s="2"/>
      <c r="E5272" s="31" t="n">
        <v>70.3</v>
      </c>
      <c r="F5272" s="31" t="n">
        <v>37.7</v>
      </c>
      <c r="G5272" s="31" t="n">
        <v>42</v>
      </c>
      <c r="H5272" s="2" t="s">
        <v>822</v>
      </c>
    </row>
    <row r="5273" customFormat="false" ht="15" hidden="false" customHeight="false" outlineLevel="0" collapsed="false">
      <c r="A5273" s="2" t="s">
        <v>232</v>
      </c>
      <c r="B5273" s="2" t="s">
        <v>45</v>
      </c>
      <c r="C5273" s="2" t="s">
        <v>4274</v>
      </c>
      <c r="D5273" s="11" t="n">
        <v>294871</v>
      </c>
      <c r="E5273" s="31" t="n">
        <v>98.9</v>
      </c>
      <c r="F5273" s="31" t="n">
        <v>99.3</v>
      </c>
      <c r="G5273" s="31" t="n">
        <v>89.3</v>
      </c>
      <c r="H5273" s="2" t="s">
        <v>822</v>
      </c>
    </row>
    <row r="5274" customFormat="false" ht="15" hidden="false" customHeight="false" outlineLevel="0" collapsed="false">
      <c r="A5274" s="2" t="s">
        <v>232</v>
      </c>
      <c r="B5274" s="2" t="s">
        <v>45</v>
      </c>
      <c r="C5274" s="2" t="s">
        <v>4275</v>
      </c>
      <c r="D5274" s="11" t="n">
        <v>311650</v>
      </c>
      <c r="E5274" s="31" t="n">
        <v>99.4</v>
      </c>
      <c r="F5274" s="31" t="n">
        <v>100</v>
      </c>
      <c r="G5274" s="31" t="n">
        <v>89.3</v>
      </c>
      <c r="H5274" s="2" t="s">
        <v>822</v>
      </c>
    </row>
    <row r="5275" customFormat="false" ht="15" hidden="false" customHeight="false" outlineLevel="0" collapsed="false">
      <c r="A5275" s="2" t="s">
        <v>232</v>
      </c>
      <c r="B5275" s="2" t="s">
        <v>46</v>
      </c>
      <c r="C5275" s="2" t="s">
        <v>4274</v>
      </c>
      <c r="D5275" s="2"/>
      <c r="E5275" s="2"/>
      <c r="F5275" s="2"/>
      <c r="G5275" s="2"/>
      <c r="H5275" s="2" t="s">
        <v>832</v>
      </c>
    </row>
    <row r="5276" customFormat="false" ht="15" hidden="false" customHeight="false" outlineLevel="0" collapsed="false">
      <c r="A5276" s="2" t="s">
        <v>232</v>
      </c>
      <c r="B5276" s="2" t="s">
        <v>46</v>
      </c>
      <c r="C5276" s="2" t="s">
        <v>4275</v>
      </c>
      <c r="D5276" s="11" t="n">
        <v>80670</v>
      </c>
      <c r="E5276" s="31" t="n">
        <v>31</v>
      </c>
      <c r="F5276" s="31" t="n">
        <v>5.1</v>
      </c>
      <c r="G5276" s="31" t="n">
        <v>10.8</v>
      </c>
      <c r="H5276" s="2" t="s">
        <v>822</v>
      </c>
    </row>
    <row r="5277" customFormat="false" ht="15" hidden="false" customHeight="false" outlineLevel="0" collapsed="false">
      <c r="A5277" s="2" t="s">
        <v>232</v>
      </c>
      <c r="B5277" s="2" t="s">
        <v>47</v>
      </c>
      <c r="C5277" s="2" t="s">
        <v>4274</v>
      </c>
      <c r="D5277" s="11" t="n">
        <v>68050</v>
      </c>
      <c r="E5277" s="31" t="n">
        <v>74.9</v>
      </c>
      <c r="F5277" s="31" t="n">
        <v>53.6</v>
      </c>
      <c r="G5277" s="31" t="n">
        <v>86.4</v>
      </c>
      <c r="H5277" s="2" t="s">
        <v>822</v>
      </c>
    </row>
    <row r="5278" customFormat="false" ht="15" hidden="false" customHeight="false" outlineLevel="0" collapsed="false">
      <c r="A5278" s="2" t="s">
        <v>232</v>
      </c>
      <c r="B5278" s="2" t="s">
        <v>47</v>
      </c>
      <c r="C5278" s="2" t="s">
        <v>4275</v>
      </c>
      <c r="D5278" s="11" t="n">
        <v>68474</v>
      </c>
      <c r="E5278" s="31" t="n">
        <v>80.4</v>
      </c>
      <c r="F5278" s="31" t="n">
        <v>8.1</v>
      </c>
      <c r="G5278" s="31" t="n">
        <v>25.8</v>
      </c>
      <c r="H5278" s="2" t="s">
        <v>822</v>
      </c>
    </row>
    <row r="5279" customFormat="false" ht="15" hidden="false" customHeight="false" outlineLevel="0" collapsed="false">
      <c r="A5279" s="2" t="s">
        <v>1195</v>
      </c>
      <c r="B5279" s="2" t="s">
        <v>4291</v>
      </c>
      <c r="C5279" s="2" t="s">
        <v>4274</v>
      </c>
      <c r="D5279" s="2"/>
      <c r="E5279" s="31" t="n">
        <v>35.3</v>
      </c>
      <c r="F5279" s="31" t="n">
        <v>29.6</v>
      </c>
      <c r="G5279" s="31" t="n">
        <v>67</v>
      </c>
      <c r="H5279" s="2" t="s">
        <v>832</v>
      </c>
    </row>
    <row r="5280" customFormat="false" ht="15" hidden="false" customHeight="false" outlineLevel="0" collapsed="false">
      <c r="A5280" s="2" t="s">
        <v>1195</v>
      </c>
      <c r="B5280" s="2" t="s">
        <v>4291</v>
      </c>
      <c r="C5280" s="2" t="s">
        <v>4275</v>
      </c>
      <c r="D5280" s="2"/>
      <c r="E5280" s="31" t="n">
        <v>31.8</v>
      </c>
      <c r="F5280" s="31" t="n">
        <v>52.7</v>
      </c>
      <c r="G5280" s="31" t="n">
        <v>26.2</v>
      </c>
      <c r="H5280" s="2" t="s">
        <v>832</v>
      </c>
    </row>
    <row r="5281" customFormat="false" ht="15" hidden="false" customHeight="false" outlineLevel="0" collapsed="false">
      <c r="A5281" s="2" t="s">
        <v>1195</v>
      </c>
      <c r="B5281" s="2" t="s">
        <v>45</v>
      </c>
      <c r="C5281" s="2" t="s">
        <v>4274</v>
      </c>
      <c r="D5281" s="11" t="n">
        <v>80948</v>
      </c>
      <c r="E5281" s="31" t="n">
        <v>59.8</v>
      </c>
      <c r="F5281" s="31" t="n">
        <v>28.8</v>
      </c>
      <c r="G5281" s="31" t="n">
        <v>76.1</v>
      </c>
      <c r="H5281" s="2" t="s">
        <v>822</v>
      </c>
    </row>
    <row r="5282" customFormat="false" ht="15" hidden="false" customHeight="false" outlineLevel="0" collapsed="false">
      <c r="A5282" s="2" t="s">
        <v>1195</v>
      </c>
      <c r="B5282" s="2" t="s">
        <v>45</v>
      </c>
      <c r="C5282" s="2" t="s">
        <v>4275</v>
      </c>
      <c r="D5282" s="11" t="n">
        <v>88780</v>
      </c>
      <c r="E5282" s="31" t="n">
        <v>55.2</v>
      </c>
      <c r="F5282" s="31" t="n">
        <v>51.9</v>
      </c>
      <c r="G5282" s="31" t="n">
        <v>25.2</v>
      </c>
      <c r="H5282" s="2" t="s">
        <v>822</v>
      </c>
    </row>
    <row r="5283" customFormat="false" ht="15" hidden="false" customHeight="false" outlineLevel="0" collapsed="false">
      <c r="A5283" s="2" t="s">
        <v>1195</v>
      </c>
      <c r="B5283" s="2" t="s">
        <v>46</v>
      </c>
      <c r="C5283" s="2" t="s">
        <v>4274</v>
      </c>
      <c r="D5283" s="11" t="n">
        <v>93001</v>
      </c>
      <c r="E5283" s="31" t="n">
        <v>10.8</v>
      </c>
      <c r="F5283" s="31" t="n">
        <v>30.3</v>
      </c>
      <c r="G5283" s="31" t="n">
        <v>58</v>
      </c>
      <c r="H5283" s="2" t="s">
        <v>822</v>
      </c>
    </row>
    <row r="5284" customFormat="false" ht="15" hidden="false" customHeight="false" outlineLevel="0" collapsed="false">
      <c r="A5284" s="2" t="s">
        <v>1195</v>
      </c>
      <c r="B5284" s="2" t="s">
        <v>46</v>
      </c>
      <c r="C5284" s="2" t="s">
        <v>4275</v>
      </c>
      <c r="D5284" s="11" t="n">
        <v>93520</v>
      </c>
      <c r="E5284" s="31" t="n">
        <v>8.4</v>
      </c>
      <c r="F5284" s="31" t="n">
        <v>53.5</v>
      </c>
      <c r="G5284" s="31" t="n">
        <v>46.1</v>
      </c>
      <c r="H5284" s="2" t="s">
        <v>822</v>
      </c>
    </row>
    <row r="5285" customFormat="false" ht="15" hidden="false" customHeight="false" outlineLevel="0" collapsed="false">
      <c r="A5285" s="2" t="s">
        <v>1195</v>
      </c>
      <c r="B5285" s="2" t="s">
        <v>47</v>
      </c>
      <c r="C5285" s="2" t="s">
        <v>4274</v>
      </c>
      <c r="D5285" s="2"/>
      <c r="E5285" s="2"/>
      <c r="F5285" s="2"/>
      <c r="G5285" s="2"/>
      <c r="H5285" s="2" t="s">
        <v>832</v>
      </c>
    </row>
    <row r="5286" customFormat="false" ht="15" hidden="false" customHeight="false" outlineLevel="0" collapsed="false">
      <c r="A5286" s="2" t="s">
        <v>1195</v>
      </c>
      <c r="B5286" s="2" t="s">
        <v>47</v>
      </c>
      <c r="C5286" s="2" t="s">
        <v>4275</v>
      </c>
      <c r="D5286" s="2"/>
      <c r="E5286" s="2"/>
      <c r="F5286" s="2"/>
      <c r="G5286" s="31" t="n">
        <v>7.2</v>
      </c>
      <c r="H5286" s="2" t="s">
        <v>832</v>
      </c>
    </row>
  </sheetData>
  <autoFilter ref="A4:H528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6"/>
  </cols>
  <sheetData>
    <row r="1" customFormat="false" ht="17.35" hidden="false" customHeight="false" outlineLevel="0" collapsed="false">
      <c r="A1" s="1" t="s">
        <v>4292</v>
      </c>
      <c r="B1" s="2"/>
      <c r="C1" s="2"/>
      <c r="D1" s="2"/>
      <c r="E1" s="2"/>
      <c r="F1" s="2"/>
      <c r="G1" s="2"/>
    </row>
    <row r="2" customFormat="false" ht="15" hidden="false" customHeight="false" outlineLevel="0" collapsed="false">
      <c r="A2" s="3" t="s">
        <v>4293</v>
      </c>
      <c r="B2" s="2"/>
      <c r="C2" s="2"/>
      <c r="D2" s="2"/>
      <c r="E2" s="2"/>
      <c r="F2" s="2"/>
      <c r="G2" s="2"/>
    </row>
    <row r="3" customFormat="false" ht="15" hidden="false" customHeight="false" outlineLevel="0" collapsed="false">
      <c r="A3" s="2"/>
      <c r="B3" s="2"/>
      <c r="C3" s="2"/>
      <c r="D3" s="2"/>
      <c r="E3" s="2"/>
      <c r="F3" s="2"/>
      <c r="G3" s="2"/>
    </row>
    <row r="4" customFormat="false" ht="31.5" hidden="false" customHeight="true" outlineLevel="0" collapsed="false">
      <c r="A4" s="8" t="s">
        <v>4294</v>
      </c>
      <c r="B4" s="8" t="s">
        <v>4295</v>
      </c>
      <c r="C4" s="8" t="s">
        <v>4296</v>
      </c>
      <c r="D4" s="8" t="s">
        <v>4297</v>
      </c>
      <c r="E4" s="8" t="s">
        <v>4298</v>
      </c>
      <c r="F4" s="8" t="s">
        <v>4299</v>
      </c>
      <c r="G4" s="8" t="s">
        <v>4300</v>
      </c>
    </row>
    <row r="5" customFormat="false" ht="15" hidden="false" customHeight="false" outlineLevel="0" collapsed="false">
      <c r="A5" s="2" t="s">
        <v>3344</v>
      </c>
      <c r="B5" s="12" t="n">
        <v>0.8975</v>
      </c>
      <c r="C5" s="12" t="n">
        <v>0.9812</v>
      </c>
      <c r="D5" s="12" t="n">
        <v>0.985</v>
      </c>
      <c r="E5" s="11" t="n">
        <v>718</v>
      </c>
      <c r="F5" s="11" t="n">
        <v>67</v>
      </c>
      <c r="G5" s="11" t="n">
        <v>3</v>
      </c>
    </row>
    <row r="6" customFormat="false" ht="15" hidden="false" customHeight="false" outlineLevel="0" collapsed="false">
      <c r="A6" s="2" t="s">
        <v>3345</v>
      </c>
      <c r="B6" s="12" t="n">
        <v>0.9012</v>
      </c>
      <c r="C6" s="12" t="n">
        <v>0.9775</v>
      </c>
      <c r="D6" s="12" t="n">
        <v>0.9812</v>
      </c>
      <c r="E6" s="11" t="n">
        <v>721</v>
      </c>
      <c r="F6" s="11" t="n">
        <v>61</v>
      </c>
      <c r="G6" s="11" t="n">
        <v>3</v>
      </c>
    </row>
    <row r="7" customFormat="false" ht="15" hidden="false" customHeight="false" outlineLevel="0" collapsed="false">
      <c r="A7" s="2" t="s">
        <v>3346</v>
      </c>
      <c r="B7" s="12" t="n">
        <v>0.7412</v>
      </c>
      <c r="C7" s="12" t="n">
        <v>0.9513</v>
      </c>
      <c r="D7" s="12" t="n">
        <v>0.96</v>
      </c>
      <c r="E7" s="11" t="n">
        <v>593</v>
      </c>
      <c r="F7" s="11" t="n">
        <v>168</v>
      </c>
      <c r="G7" s="11" t="n">
        <v>7</v>
      </c>
    </row>
    <row r="8" customFormat="false" ht="15" hidden="false" customHeight="false" outlineLevel="0" collapsed="false">
      <c r="A8" s="2" t="s">
        <v>3347</v>
      </c>
      <c r="B8" s="12" t="n">
        <v>0.8538</v>
      </c>
      <c r="C8" s="12" t="n">
        <v>0.97</v>
      </c>
      <c r="D8" s="12" t="n">
        <v>0.9738</v>
      </c>
      <c r="E8" s="11" t="n">
        <v>683</v>
      </c>
      <c r="F8" s="11" t="n">
        <v>93</v>
      </c>
      <c r="G8" s="11" t="n">
        <v>3</v>
      </c>
    </row>
    <row r="9" customFormat="false" ht="15" hidden="false" customHeight="false" outlineLevel="0" collapsed="false">
      <c r="A9" s="2" t="s">
        <v>4301</v>
      </c>
      <c r="B9" s="12" t="n">
        <v>0.6162</v>
      </c>
      <c r="C9" s="12" t="n">
        <v>0.8518</v>
      </c>
      <c r="D9" s="12" t="n">
        <v>0.8878</v>
      </c>
      <c r="E9" s="11" t="n">
        <v>1164</v>
      </c>
      <c r="F9" s="11" t="n">
        <v>445</v>
      </c>
      <c r="G9" s="11" t="n">
        <v>68</v>
      </c>
    </row>
    <row r="10" customFormat="false" ht="15" hidden="false" customHeight="false" outlineLevel="0" collapsed="false">
      <c r="A10" s="2" t="s">
        <v>4302</v>
      </c>
      <c r="B10" s="12" t="n">
        <v>0.603</v>
      </c>
      <c r="C10" s="12" t="n">
        <v>0.8417</v>
      </c>
      <c r="D10" s="12" t="n">
        <v>0.8767</v>
      </c>
      <c r="E10" s="11" t="n">
        <v>1139</v>
      </c>
      <c r="F10" s="11" t="n">
        <v>451</v>
      </c>
      <c r="G10" s="11" t="n">
        <v>66</v>
      </c>
    </row>
    <row r="11" customFormat="false" ht="15" hidden="false" customHeight="false" outlineLevel="0" collapsed="false">
      <c r="A11" s="2" t="s">
        <v>4303</v>
      </c>
      <c r="B11" s="12" t="n">
        <v>0.5611</v>
      </c>
      <c r="C11" s="12" t="n">
        <v>0.8152</v>
      </c>
      <c r="D11" s="12" t="n">
        <v>0.8491</v>
      </c>
      <c r="E11" s="11" t="n">
        <v>1060</v>
      </c>
      <c r="F11" s="11" t="n">
        <v>480</v>
      </c>
      <c r="G11" s="11" t="n">
        <v>64</v>
      </c>
    </row>
    <row r="12" customFormat="false" ht="15" hidden="false" customHeight="false" outlineLevel="0" collapsed="false">
      <c r="A12" s="2" t="s">
        <v>4304</v>
      </c>
      <c r="B12" s="12" t="n">
        <v>0.5146</v>
      </c>
      <c r="C12" s="12" t="n">
        <v>0.7904</v>
      </c>
      <c r="D12" s="12" t="n">
        <v>0.8332</v>
      </c>
      <c r="E12" s="11" t="n">
        <v>972</v>
      </c>
      <c r="F12" s="11" t="n">
        <v>521</v>
      </c>
      <c r="G12" s="11" t="n">
        <v>81</v>
      </c>
    </row>
    <row r="13" customFormat="false" ht="15" hidden="false" customHeight="false" outlineLevel="0" collapsed="false">
      <c r="A13" s="2" t="s">
        <v>4305</v>
      </c>
      <c r="B13" s="12" t="n">
        <v>0.5156</v>
      </c>
      <c r="C13" s="12" t="n">
        <v>0.7787</v>
      </c>
      <c r="D13" s="12" t="n">
        <v>0.7888</v>
      </c>
      <c r="E13" s="11" t="n">
        <v>924</v>
      </c>
      <c r="F13" s="11" t="n">
        <v>494</v>
      </c>
      <c r="G13" s="11" t="n">
        <v>17</v>
      </c>
    </row>
    <row r="14" customFormat="false" ht="15" hidden="false" customHeight="false" outlineLevel="0" collapsed="false">
      <c r="A14" s="4" t="s">
        <v>4306</v>
      </c>
      <c r="B14" s="2"/>
      <c r="C14" s="2"/>
      <c r="D14" s="2"/>
      <c r="E14" s="11" t="n">
        <f aca="false">SUM(E5:E13)</f>
        <v>7974</v>
      </c>
      <c r="F14" s="11" t="n">
        <f aca="false">SUM(F5:F13)</f>
        <v>2780</v>
      </c>
      <c r="G14" s="11" t="n">
        <f aca="false">SUM(G5:G13)</f>
        <v>312</v>
      </c>
    </row>
    <row r="15" customFormat="false" ht="15" hidden="false" customHeight="false" outlineLevel="0" collapsed="false">
      <c r="A15" s="2"/>
      <c r="B15" s="2"/>
      <c r="C15" s="2"/>
      <c r="D15" s="2"/>
      <c r="E15" s="2"/>
      <c r="F15" s="2"/>
      <c r="G15" s="2"/>
    </row>
    <row r="16" customFormat="false" ht="15" hidden="false" customHeight="false" outlineLevel="0" collapsed="false">
      <c r="A16" s="4" t="s">
        <v>4307</v>
      </c>
      <c r="B16" s="2"/>
      <c r="C16" s="2"/>
      <c r="D16" s="2"/>
      <c r="E16" s="2"/>
      <c r="F16" s="2"/>
      <c r="G16" s="2"/>
    </row>
    <row r="17" customFormat="false" ht="15" hidden="false" customHeight="false" outlineLevel="0" collapsed="false">
      <c r="A17" s="2" t="s">
        <v>4308</v>
      </c>
      <c r="B17" s="12" t="n">
        <v>0.4379</v>
      </c>
      <c r="C17" s="12" t="n">
        <v>0.6529</v>
      </c>
      <c r="D17" s="12" t="n">
        <v>0.6768</v>
      </c>
      <c r="E17" s="2"/>
      <c r="F17" s="2"/>
      <c r="G17" s="2"/>
    </row>
    <row r="18" customFormat="false" ht="15" hidden="false" customHeight="false" outlineLevel="0" collapsed="false">
      <c r="A18" s="2" t="s">
        <v>4309</v>
      </c>
      <c r="B18" s="12" t="n">
        <v>0.4481</v>
      </c>
      <c r="C18" s="12" t="n">
        <v>0.5849</v>
      </c>
      <c r="D18" s="12" t="n">
        <v>0.6053</v>
      </c>
      <c r="E18" s="2"/>
      <c r="F18" s="2"/>
      <c r="G18" s="2"/>
    </row>
    <row r="19" customFormat="false" ht="15" hidden="false" customHeight="false" outlineLevel="0" collapsed="false">
      <c r="A19" s="2" t="s">
        <v>4310</v>
      </c>
      <c r="B19" s="12" t="n">
        <v>0.2336</v>
      </c>
      <c r="C19" s="12" t="n">
        <v>0.8048</v>
      </c>
      <c r="D19" s="12" t="n">
        <v>0.8336</v>
      </c>
      <c r="E19" s="2"/>
      <c r="F19" s="2"/>
      <c r="G19" s="2"/>
    </row>
    <row r="20" customFormat="false" ht="15" hidden="false" customHeight="false" outlineLevel="0" collapsed="false">
      <c r="A20" s="4" t="s">
        <v>4311</v>
      </c>
      <c r="B20" s="12" t="n">
        <v>0.3737</v>
      </c>
      <c r="C20" s="12" t="n">
        <v>0.6803</v>
      </c>
      <c r="D20" s="12" t="n">
        <v>0.7046</v>
      </c>
      <c r="E20" s="2"/>
      <c r="F20" s="2"/>
      <c r="G20" s="2"/>
    </row>
    <row r="21" customFormat="false" ht="15" hidden="false" customHeight="false" outlineLevel="0" collapsed="false">
      <c r="A21" s="4" t="s">
        <v>4312</v>
      </c>
      <c r="B21" s="12" t="n">
        <v>0.11</v>
      </c>
      <c r="C21" s="12" t="n">
        <v>0.4088</v>
      </c>
      <c r="D21" s="12" t="n">
        <v>0.4425</v>
      </c>
      <c r="E21" s="2"/>
      <c r="F21" s="2"/>
      <c r="G21" s="2"/>
    </row>
    <row r="22" customFormat="false" ht="15" hidden="false" customHeight="false" outlineLevel="0" collapsed="false">
      <c r="A22" s="2"/>
      <c r="B22" s="2"/>
      <c r="C22" s="2"/>
      <c r="D22" s="2"/>
      <c r="E22" s="2"/>
      <c r="F22" s="2"/>
      <c r="G22" s="2"/>
    </row>
    <row r="23" customFormat="false" ht="15" hidden="false" customHeight="false" outlineLevel="0" collapsed="false">
      <c r="A23" s="2" t="s">
        <v>4313</v>
      </c>
      <c r="B23" s="2"/>
      <c r="C23" s="2"/>
      <c r="D23" s="2"/>
      <c r="E23" s="2"/>
      <c r="F23" s="2"/>
      <c r="G23" s="2"/>
    </row>
    <row r="24" customFormat="false" ht="15" hidden="false" customHeight="false" outlineLevel="0" collapsed="false">
      <c r="A24" s="2" t="s">
        <v>4314</v>
      </c>
      <c r="B24" s="2"/>
      <c r="C24" s="2"/>
      <c r="D24" s="2"/>
      <c r="E24" s="2"/>
      <c r="F24" s="2"/>
      <c r="G2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1"/>
    <col collapsed="false" customWidth="true" hidden="false" outlineLevel="0" max="4" min="4" style="0" width="40"/>
    <col collapsed="false" customWidth="true" hidden="false" outlineLevel="0" max="5" min="5" style="0" width="80"/>
  </cols>
  <sheetData>
    <row r="1" customFormat="false" ht="17.35" hidden="false" customHeight="false" outlineLevel="0" collapsed="false">
      <c r="A1" s="1" t="s">
        <v>4315</v>
      </c>
      <c r="B1" s="2"/>
      <c r="C1" s="2"/>
      <c r="D1" s="2"/>
      <c r="E1" s="2"/>
    </row>
    <row r="2" customFormat="false" ht="15" hidden="false" customHeight="false" outlineLevel="0" collapsed="false">
      <c r="A2" s="3" t="s">
        <v>4316</v>
      </c>
      <c r="B2" s="2"/>
      <c r="C2" s="2"/>
      <c r="D2" s="2"/>
      <c r="E2" s="2"/>
    </row>
    <row r="3" customFormat="false" ht="15" hidden="false" customHeight="false" outlineLevel="0" collapsed="false">
      <c r="A3" s="2"/>
      <c r="B3" s="2"/>
      <c r="C3" s="2"/>
      <c r="D3" s="2"/>
      <c r="E3" s="2"/>
    </row>
    <row r="4" customFormat="false" ht="31.5" hidden="false" customHeight="true" outlineLevel="0" collapsed="false">
      <c r="A4" s="8" t="s">
        <v>56</v>
      </c>
      <c r="B4" s="8" t="s">
        <v>4317</v>
      </c>
      <c r="C4" s="8" t="s">
        <v>42</v>
      </c>
      <c r="D4" s="8" t="s">
        <v>4318</v>
      </c>
      <c r="E4" s="8" t="s">
        <v>4319</v>
      </c>
    </row>
    <row r="5" customFormat="false" ht="15" hidden="false" customHeight="false" outlineLevel="0" collapsed="false">
      <c r="A5" s="2" t="s">
        <v>2966</v>
      </c>
      <c r="B5" s="2" t="s">
        <v>4320</v>
      </c>
      <c r="C5" s="2"/>
      <c r="D5" s="2" t="s">
        <v>4321</v>
      </c>
      <c r="E5" s="2" t="s">
        <v>4322</v>
      </c>
    </row>
    <row r="6" customFormat="false" ht="15" hidden="false" customHeight="false" outlineLevel="0" collapsed="false">
      <c r="A6" s="2" t="s">
        <v>2976</v>
      </c>
      <c r="B6" s="2" t="s">
        <v>4320</v>
      </c>
      <c r="C6" s="2"/>
      <c r="D6" s="2" t="s">
        <v>4323</v>
      </c>
      <c r="E6" s="2" t="s">
        <v>4324</v>
      </c>
    </row>
    <row r="7" customFormat="false" ht="15" hidden="false" customHeight="false" outlineLevel="0" collapsed="false">
      <c r="A7" s="2" t="s">
        <v>2246</v>
      </c>
      <c r="B7" s="2" t="s">
        <v>4320</v>
      </c>
      <c r="C7" s="2"/>
      <c r="D7" s="2" t="s">
        <v>4325</v>
      </c>
      <c r="E7" s="2" t="s">
        <v>4322</v>
      </c>
    </row>
    <row r="8" customFormat="false" ht="15" hidden="false" customHeight="false" outlineLevel="0" collapsed="false">
      <c r="A8" s="2" t="s">
        <v>3037</v>
      </c>
      <c r="B8" s="2" t="s">
        <v>4320</v>
      </c>
      <c r="C8" s="2"/>
      <c r="D8" s="2" t="s">
        <v>4323</v>
      </c>
      <c r="E8" s="2" t="s">
        <v>4326</v>
      </c>
    </row>
    <row r="9" customFormat="false" ht="15" hidden="false" customHeight="false" outlineLevel="0" collapsed="false">
      <c r="A9" s="2" t="s">
        <v>3072</v>
      </c>
      <c r="B9" s="2" t="s">
        <v>4320</v>
      </c>
      <c r="C9" s="2"/>
      <c r="D9" s="2" t="s">
        <v>4323</v>
      </c>
      <c r="E9" s="2" t="s">
        <v>4326</v>
      </c>
    </row>
    <row r="10" customFormat="false" ht="15" hidden="false" customHeight="false" outlineLevel="0" collapsed="false">
      <c r="A10" s="2" t="s">
        <v>3091</v>
      </c>
      <c r="B10" s="2" t="s">
        <v>4320</v>
      </c>
      <c r="C10" s="2"/>
      <c r="D10" s="2" t="s">
        <v>4323</v>
      </c>
      <c r="E10" s="2" t="s">
        <v>4327</v>
      </c>
    </row>
    <row r="11" customFormat="false" ht="15" hidden="false" customHeight="false" outlineLevel="0" collapsed="false">
      <c r="A11" s="2" t="s">
        <v>3100</v>
      </c>
      <c r="B11" s="2" t="s">
        <v>4320</v>
      </c>
      <c r="C11" s="2"/>
      <c r="D11" s="2" t="s">
        <v>4323</v>
      </c>
      <c r="E11" s="2" t="s">
        <v>4328</v>
      </c>
    </row>
    <row r="12" customFormat="false" ht="15" hidden="false" customHeight="false" outlineLevel="0" collapsed="false">
      <c r="A12" s="2" t="s">
        <v>3134</v>
      </c>
      <c r="B12" s="2" t="s">
        <v>4320</v>
      </c>
      <c r="C12" s="2"/>
      <c r="D12" s="2" t="s">
        <v>4323</v>
      </c>
      <c r="E12" s="2" t="s">
        <v>4329</v>
      </c>
    </row>
    <row r="13" customFormat="false" ht="15" hidden="false" customHeight="false" outlineLevel="0" collapsed="false">
      <c r="A13" s="2" t="s">
        <v>3139</v>
      </c>
      <c r="B13" s="2" t="s">
        <v>4320</v>
      </c>
      <c r="C13" s="2"/>
      <c r="D13" s="2" t="s">
        <v>4325</v>
      </c>
      <c r="E13" s="2" t="s">
        <v>4322</v>
      </c>
    </row>
    <row r="14" customFormat="false" ht="15" hidden="false" customHeight="false" outlineLevel="0" collapsed="false">
      <c r="A14" s="2" t="s">
        <v>2190</v>
      </c>
      <c r="B14" s="2" t="s">
        <v>4320</v>
      </c>
      <c r="C14" s="2"/>
      <c r="D14" s="2" t="s">
        <v>4325</v>
      </c>
      <c r="E14" s="2" t="s">
        <v>4322</v>
      </c>
    </row>
    <row r="15" customFormat="false" ht="15" hidden="false" customHeight="false" outlineLevel="0" collapsed="false">
      <c r="A15" s="2" t="s">
        <v>3182</v>
      </c>
      <c r="B15" s="2" t="s">
        <v>4320</v>
      </c>
      <c r="C15" s="2"/>
      <c r="D15" s="2" t="s">
        <v>4323</v>
      </c>
      <c r="E15" s="2" t="s">
        <v>4328</v>
      </c>
    </row>
    <row r="16" customFormat="false" ht="15" hidden="false" customHeight="false" outlineLevel="0" collapsed="false">
      <c r="A16" s="2" t="s">
        <v>3188</v>
      </c>
      <c r="B16" s="2" t="s">
        <v>4320</v>
      </c>
      <c r="C16" s="2"/>
      <c r="D16" s="2" t="s">
        <v>4323</v>
      </c>
      <c r="E16" s="2" t="s">
        <v>4328</v>
      </c>
    </row>
    <row r="17" customFormat="false" ht="15" hidden="false" customHeight="false" outlineLevel="0" collapsed="false">
      <c r="A17" s="2" t="s">
        <v>3216</v>
      </c>
      <c r="B17" s="2" t="s">
        <v>4320</v>
      </c>
      <c r="C17" s="2"/>
      <c r="D17" s="2" t="s">
        <v>4323</v>
      </c>
      <c r="E17" s="2" t="s">
        <v>4328</v>
      </c>
    </row>
    <row r="18" customFormat="false" ht="15" hidden="false" customHeight="false" outlineLevel="0" collapsed="false">
      <c r="A18" s="2" t="s">
        <v>3237</v>
      </c>
      <c r="B18" s="2" t="s">
        <v>4320</v>
      </c>
      <c r="C18" s="2"/>
      <c r="D18" s="2" t="s">
        <v>4323</v>
      </c>
      <c r="E18" s="2" t="s">
        <v>4322</v>
      </c>
    </row>
    <row r="19" customFormat="false" ht="15" hidden="false" customHeight="false" outlineLevel="0" collapsed="false">
      <c r="A19" s="2" t="s">
        <v>3280</v>
      </c>
      <c r="B19" s="2" t="s">
        <v>4320</v>
      </c>
      <c r="C19" s="2"/>
      <c r="D19" s="2" t="s">
        <v>4323</v>
      </c>
      <c r="E19" s="2" t="s">
        <v>4326</v>
      </c>
    </row>
    <row r="20" customFormat="false" ht="15" hidden="false" customHeight="false" outlineLevel="0" collapsed="false">
      <c r="A20" s="2" t="s">
        <v>1938</v>
      </c>
      <c r="B20" s="2" t="s">
        <v>4320</v>
      </c>
      <c r="C20" s="2"/>
      <c r="D20" s="2" t="s">
        <v>4325</v>
      </c>
      <c r="E20" s="2" t="s">
        <v>4322</v>
      </c>
    </row>
    <row r="21" customFormat="false" ht="15" hidden="false" customHeight="false" outlineLevel="0" collapsed="false">
      <c r="A21" s="2" t="s">
        <v>1534</v>
      </c>
      <c r="B21" s="2" t="s">
        <v>4330</v>
      </c>
      <c r="C21" s="2" t="s">
        <v>47</v>
      </c>
      <c r="D21" s="2" t="s">
        <v>4331</v>
      </c>
      <c r="E21" s="2" t="s">
        <v>4326</v>
      </c>
    </row>
    <row r="22" customFormat="false" ht="15" hidden="false" customHeight="false" outlineLevel="0" collapsed="false">
      <c r="A22" s="2" t="s">
        <v>1214</v>
      </c>
      <c r="B22" s="2" t="s">
        <v>4330</v>
      </c>
      <c r="C22" s="2" t="s">
        <v>46</v>
      </c>
      <c r="D22" s="2" t="s">
        <v>4331</v>
      </c>
      <c r="E22" s="2" t="s">
        <v>4328</v>
      </c>
    </row>
    <row r="23" customFormat="false" ht="15" hidden="false" customHeight="false" outlineLevel="0" collapsed="false">
      <c r="A23" s="2" t="s">
        <v>1832</v>
      </c>
      <c r="B23" s="2" t="s">
        <v>4330</v>
      </c>
      <c r="C23" s="2" t="s">
        <v>45</v>
      </c>
      <c r="D23" s="2" t="s">
        <v>818</v>
      </c>
      <c r="E23" s="2" t="s">
        <v>4332</v>
      </c>
    </row>
    <row r="24" customFormat="false" ht="15" hidden="false" customHeight="false" outlineLevel="0" collapsed="false">
      <c r="A24" s="2" t="s">
        <v>2632</v>
      </c>
      <c r="B24" s="2" t="s">
        <v>4330</v>
      </c>
      <c r="C24" s="2" t="s">
        <v>45</v>
      </c>
      <c r="D24" s="2" t="s">
        <v>4331</v>
      </c>
      <c r="E24" s="2" t="s">
        <v>4333</v>
      </c>
    </row>
    <row r="25" customFormat="false" ht="15" hidden="false" customHeight="false" outlineLevel="0" collapsed="false">
      <c r="A25" s="2" t="s">
        <v>1117</v>
      </c>
      <c r="B25" s="2" t="s">
        <v>4330</v>
      </c>
      <c r="C25" s="2" t="s">
        <v>46</v>
      </c>
      <c r="D25" s="2" t="s">
        <v>4334</v>
      </c>
      <c r="E25" s="2" t="s">
        <v>4335</v>
      </c>
    </row>
    <row r="26" customFormat="false" ht="15" hidden="false" customHeight="false" outlineLevel="0" collapsed="false">
      <c r="A26" s="2" t="s">
        <v>1223</v>
      </c>
      <c r="B26" s="2" t="s">
        <v>4330</v>
      </c>
      <c r="C26" s="2" t="s">
        <v>46</v>
      </c>
      <c r="D26" s="2" t="s">
        <v>4331</v>
      </c>
      <c r="E26" s="2" t="s">
        <v>4326</v>
      </c>
    </row>
    <row r="27" customFormat="false" ht="15" hidden="false" customHeight="false" outlineLevel="0" collapsed="false">
      <c r="A27" s="2" t="s">
        <v>1635</v>
      </c>
      <c r="B27" s="2" t="s">
        <v>4330</v>
      </c>
      <c r="C27" s="2" t="s">
        <v>45</v>
      </c>
      <c r="D27" s="2" t="s">
        <v>4331</v>
      </c>
      <c r="E27" s="2" t="s">
        <v>4333</v>
      </c>
    </row>
    <row r="28" customFormat="false" ht="15" hidden="false" customHeight="false" outlineLevel="0" collapsed="false">
      <c r="A28" s="2" t="s">
        <v>1635</v>
      </c>
      <c r="B28" s="2" t="s">
        <v>4330</v>
      </c>
      <c r="C28" s="2" t="s">
        <v>47</v>
      </c>
      <c r="D28" s="2" t="s">
        <v>4336</v>
      </c>
      <c r="E28" s="2" t="s">
        <v>4337</v>
      </c>
    </row>
    <row r="29" customFormat="false" ht="15" hidden="false" customHeight="false" outlineLevel="0" collapsed="false">
      <c r="A29" s="2" t="s">
        <v>1185</v>
      </c>
      <c r="B29" s="2" t="s">
        <v>4330</v>
      </c>
      <c r="C29" s="2" t="s">
        <v>46</v>
      </c>
      <c r="D29" s="2" t="s">
        <v>818</v>
      </c>
      <c r="E29" s="2" t="s">
        <v>4338</v>
      </c>
    </row>
    <row r="30" customFormat="false" ht="15" hidden="false" customHeight="false" outlineLevel="0" collapsed="false">
      <c r="A30" s="2" t="s">
        <v>2074</v>
      </c>
      <c r="B30" s="2" t="s">
        <v>4330</v>
      </c>
      <c r="C30" s="2" t="s">
        <v>45</v>
      </c>
      <c r="D30" s="2" t="s">
        <v>4331</v>
      </c>
      <c r="E30" s="2" t="s">
        <v>4333</v>
      </c>
    </row>
    <row r="31" customFormat="false" ht="15" hidden="false" customHeight="false" outlineLevel="0" collapsed="false">
      <c r="A31" s="2" t="s">
        <v>2074</v>
      </c>
      <c r="B31" s="2" t="s">
        <v>4330</v>
      </c>
      <c r="C31" s="2" t="s">
        <v>47</v>
      </c>
      <c r="D31" s="2" t="s">
        <v>4331</v>
      </c>
      <c r="E31" s="2" t="s">
        <v>4333</v>
      </c>
    </row>
    <row r="32" customFormat="false" ht="15" hidden="false" customHeight="false" outlineLevel="0" collapsed="false">
      <c r="A32" s="2" t="s">
        <v>2063</v>
      </c>
      <c r="B32" s="2" t="s">
        <v>4330</v>
      </c>
      <c r="C32" s="2" t="s">
        <v>45</v>
      </c>
      <c r="D32" s="2" t="s">
        <v>817</v>
      </c>
      <c r="E32" s="2" t="s">
        <v>4339</v>
      </c>
    </row>
    <row r="33" customFormat="false" ht="15" hidden="false" customHeight="false" outlineLevel="0" collapsed="false">
      <c r="A33" s="2" t="s">
        <v>2063</v>
      </c>
      <c r="B33" s="2" t="s">
        <v>4330</v>
      </c>
      <c r="C33" s="2" t="s">
        <v>47</v>
      </c>
      <c r="D33" s="2" t="s">
        <v>818</v>
      </c>
      <c r="E33" s="2" t="s">
        <v>4340</v>
      </c>
    </row>
    <row r="34" customFormat="false" ht="15" hidden="false" customHeight="false" outlineLevel="0" collapsed="false">
      <c r="A34" s="2" t="s">
        <v>940</v>
      </c>
      <c r="B34" s="2" t="s">
        <v>4330</v>
      </c>
      <c r="C34" s="2" t="s">
        <v>46</v>
      </c>
      <c r="D34" s="2" t="s">
        <v>818</v>
      </c>
      <c r="E34" s="2" t="s">
        <v>4341</v>
      </c>
    </row>
    <row r="35" customFormat="false" ht="15" hidden="false" customHeight="false" outlineLevel="0" collapsed="false">
      <c r="A35" s="2" t="s">
        <v>1090</v>
      </c>
      <c r="B35" s="2" t="s">
        <v>4330</v>
      </c>
      <c r="C35" s="2" t="s">
        <v>46</v>
      </c>
      <c r="D35" s="2" t="s">
        <v>4331</v>
      </c>
      <c r="E35" s="2" t="s">
        <v>4326</v>
      </c>
    </row>
    <row r="36" customFormat="false" ht="15" hidden="false" customHeight="false" outlineLevel="0" collapsed="false">
      <c r="A36" s="2" t="s">
        <v>1273</v>
      </c>
      <c r="B36" s="2" t="s">
        <v>4330</v>
      </c>
      <c r="C36" s="2" t="s">
        <v>46</v>
      </c>
      <c r="D36" s="2" t="s">
        <v>4331</v>
      </c>
      <c r="E36" s="2" t="s">
        <v>4333</v>
      </c>
    </row>
    <row r="37" customFormat="false" ht="15" hidden="false" customHeight="false" outlineLevel="0" collapsed="false">
      <c r="A37" s="2" t="s">
        <v>2900</v>
      </c>
      <c r="B37" s="2" t="s">
        <v>4330</v>
      </c>
      <c r="C37" s="2" t="s">
        <v>45</v>
      </c>
      <c r="D37" s="2" t="s">
        <v>816</v>
      </c>
      <c r="E37" s="2" t="s">
        <v>4342</v>
      </c>
    </row>
    <row r="38" customFormat="false" ht="15" hidden="false" customHeight="false" outlineLevel="0" collapsed="false">
      <c r="A38" s="2" t="s">
        <v>2900</v>
      </c>
      <c r="B38" s="2" t="s">
        <v>4330</v>
      </c>
      <c r="C38" s="2" t="s">
        <v>47</v>
      </c>
      <c r="D38" s="2" t="s">
        <v>4331</v>
      </c>
      <c r="E38" s="2" t="s">
        <v>4326</v>
      </c>
    </row>
    <row r="39" customFormat="false" ht="15" hidden="false" customHeight="false" outlineLevel="0" collapsed="false">
      <c r="A39" s="2" t="s">
        <v>2903</v>
      </c>
      <c r="B39" s="2" t="s">
        <v>4330</v>
      </c>
      <c r="C39" s="2" t="s">
        <v>45</v>
      </c>
      <c r="D39" s="2" t="s">
        <v>818</v>
      </c>
      <c r="E39" s="2" t="s">
        <v>4343</v>
      </c>
    </row>
    <row r="40" customFormat="false" ht="15" hidden="false" customHeight="false" outlineLevel="0" collapsed="false">
      <c r="A40" s="2" t="s">
        <v>2903</v>
      </c>
      <c r="B40" s="2" t="s">
        <v>4330</v>
      </c>
      <c r="C40" s="2" t="s">
        <v>47</v>
      </c>
      <c r="D40" s="2" t="s">
        <v>4331</v>
      </c>
      <c r="E40" s="2" t="s">
        <v>4344</v>
      </c>
    </row>
    <row r="41" customFormat="false" ht="15" hidden="false" customHeight="false" outlineLevel="0" collapsed="false">
      <c r="A41" s="2" t="s">
        <v>1079</v>
      </c>
      <c r="B41" s="2" t="s">
        <v>4330</v>
      </c>
      <c r="C41" s="2" t="s">
        <v>46</v>
      </c>
      <c r="D41" s="2" t="s">
        <v>4331</v>
      </c>
      <c r="E41" s="2" t="s">
        <v>4333</v>
      </c>
    </row>
    <row r="42" customFormat="false" ht="15" hidden="false" customHeight="false" outlineLevel="0" collapsed="false">
      <c r="A42" s="2" t="s">
        <v>2907</v>
      </c>
      <c r="B42" s="2" t="s">
        <v>4330</v>
      </c>
      <c r="C42" s="2" t="s">
        <v>46</v>
      </c>
      <c r="D42" s="2" t="s">
        <v>818</v>
      </c>
      <c r="E42" s="2" t="s">
        <v>4345</v>
      </c>
    </row>
    <row r="43" customFormat="false" ht="15" hidden="false" customHeight="false" outlineLevel="0" collapsed="false">
      <c r="A43" s="2" t="s">
        <v>2029</v>
      </c>
      <c r="B43" s="2" t="s">
        <v>4330</v>
      </c>
      <c r="C43" s="2" t="s">
        <v>45</v>
      </c>
      <c r="D43" s="2" t="s">
        <v>817</v>
      </c>
      <c r="E43" s="2" t="s">
        <v>4339</v>
      </c>
    </row>
    <row r="44" customFormat="false" ht="15" hidden="false" customHeight="false" outlineLevel="0" collapsed="false">
      <c r="A44" s="2" t="s">
        <v>954</v>
      </c>
      <c r="B44" s="2" t="s">
        <v>4330</v>
      </c>
      <c r="C44" s="2" t="s">
        <v>46</v>
      </c>
      <c r="D44" s="2" t="s">
        <v>818</v>
      </c>
      <c r="E44" s="2" t="s">
        <v>4346</v>
      </c>
    </row>
    <row r="45" customFormat="false" ht="15" hidden="false" customHeight="false" outlineLevel="0" collapsed="false">
      <c r="A45" s="2" t="s">
        <v>954</v>
      </c>
      <c r="B45" s="2" t="s">
        <v>4330</v>
      </c>
      <c r="C45" s="2" t="s">
        <v>47</v>
      </c>
      <c r="D45" s="2" t="s">
        <v>818</v>
      </c>
      <c r="E45" s="2" t="s">
        <v>4332</v>
      </c>
    </row>
    <row r="46" customFormat="false" ht="15" hidden="false" customHeight="false" outlineLevel="0" collapsed="false">
      <c r="A46" s="2" t="s">
        <v>1264</v>
      </c>
      <c r="B46" s="2" t="s">
        <v>4330</v>
      </c>
      <c r="C46" s="2" t="s">
        <v>46</v>
      </c>
      <c r="D46" s="2" t="s">
        <v>817</v>
      </c>
      <c r="E46" s="2" t="s">
        <v>4347</v>
      </c>
    </row>
    <row r="47" customFormat="false" ht="15" hidden="false" customHeight="false" outlineLevel="0" collapsed="false">
      <c r="A47" s="2" t="s">
        <v>1264</v>
      </c>
      <c r="B47" s="2" t="s">
        <v>4330</v>
      </c>
      <c r="C47" s="2" t="s">
        <v>47</v>
      </c>
      <c r="D47" s="2" t="s">
        <v>4331</v>
      </c>
      <c r="E47" s="2" t="s">
        <v>4326</v>
      </c>
    </row>
    <row r="48" customFormat="false" ht="15" hidden="false" customHeight="false" outlineLevel="0" collapsed="false">
      <c r="A48" s="2" t="s">
        <v>2038</v>
      </c>
      <c r="B48" s="2" t="s">
        <v>4330</v>
      </c>
      <c r="C48" s="2" t="s">
        <v>45</v>
      </c>
      <c r="D48" s="2" t="s">
        <v>4348</v>
      </c>
      <c r="E48" s="2" t="s">
        <v>4349</v>
      </c>
    </row>
    <row r="49" customFormat="false" ht="15" hidden="false" customHeight="false" outlineLevel="0" collapsed="false">
      <c r="A49" s="2" t="s">
        <v>2914</v>
      </c>
      <c r="B49" s="2" t="s">
        <v>4330</v>
      </c>
      <c r="C49" s="2" t="s">
        <v>45</v>
      </c>
      <c r="D49" s="2" t="s">
        <v>817</v>
      </c>
      <c r="E49" s="2" t="s">
        <v>4339</v>
      </c>
    </row>
    <row r="50" customFormat="false" ht="15" hidden="false" customHeight="false" outlineLevel="0" collapsed="false">
      <c r="A50" s="2" t="s">
        <v>2916</v>
      </c>
      <c r="B50" s="2" t="s">
        <v>4330</v>
      </c>
      <c r="C50" s="2" t="s">
        <v>45</v>
      </c>
      <c r="D50" s="2" t="s">
        <v>4331</v>
      </c>
      <c r="E50" s="2" t="s">
        <v>4333</v>
      </c>
    </row>
    <row r="51" customFormat="false" ht="15" hidden="false" customHeight="false" outlineLevel="0" collapsed="false">
      <c r="A51" s="2" t="s">
        <v>2916</v>
      </c>
      <c r="B51" s="2" t="s">
        <v>4330</v>
      </c>
      <c r="C51" s="2" t="s">
        <v>46</v>
      </c>
      <c r="D51" s="2" t="s">
        <v>818</v>
      </c>
      <c r="E51" s="2" t="s">
        <v>4341</v>
      </c>
    </row>
    <row r="52" customFormat="false" ht="15" hidden="false" customHeight="false" outlineLevel="0" collapsed="false">
      <c r="A52" s="2" t="s">
        <v>2916</v>
      </c>
      <c r="B52" s="2" t="s">
        <v>4330</v>
      </c>
      <c r="C52" s="2" t="s">
        <v>47</v>
      </c>
      <c r="D52" s="2" t="s">
        <v>818</v>
      </c>
      <c r="E52" s="2" t="s">
        <v>4350</v>
      </c>
    </row>
    <row r="53" customFormat="false" ht="15" hidden="false" customHeight="false" outlineLevel="0" collapsed="false">
      <c r="A53" s="2" t="s">
        <v>1789</v>
      </c>
      <c r="B53" s="2" t="s">
        <v>4330</v>
      </c>
      <c r="C53" s="2" t="s">
        <v>45</v>
      </c>
      <c r="D53" s="2" t="s">
        <v>4331</v>
      </c>
      <c r="E53" s="2" t="s">
        <v>4328</v>
      </c>
    </row>
    <row r="54" customFormat="false" ht="15" hidden="false" customHeight="false" outlineLevel="0" collapsed="false">
      <c r="A54" s="2" t="s">
        <v>1789</v>
      </c>
      <c r="B54" s="2" t="s">
        <v>4330</v>
      </c>
      <c r="C54" s="2" t="s">
        <v>47</v>
      </c>
      <c r="D54" s="2" t="s">
        <v>818</v>
      </c>
      <c r="E54" s="2" t="s">
        <v>4340</v>
      </c>
    </row>
    <row r="55" customFormat="false" ht="15" hidden="false" customHeight="false" outlineLevel="0" collapsed="false">
      <c r="A55" s="2" t="s">
        <v>867</v>
      </c>
      <c r="B55" s="2" t="s">
        <v>4330</v>
      </c>
      <c r="C55" s="2" t="s">
        <v>46</v>
      </c>
      <c r="D55" s="2" t="s">
        <v>4331</v>
      </c>
      <c r="E55" s="2" t="s">
        <v>4326</v>
      </c>
    </row>
    <row r="56" customFormat="false" ht="15" hidden="false" customHeight="false" outlineLevel="0" collapsed="false">
      <c r="A56" s="2" t="s">
        <v>2920</v>
      </c>
      <c r="B56" s="2" t="s">
        <v>4330</v>
      </c>
      <c r="C56" s="2" t="s">
        <v>45</v>
      </c>
      <c r="D56" s="2" t="s">
        <v>4331</v>
      </c>
      <c r="E56" s="2" t="s">
        <v>4326</v>
      </c>
    </row>
    <row r="57" customFormat="false" ht="15" hidden="false" customHeight="false" outlineLevel="0" collapsed="false">
      <c r="A57" s="2" t="s">
        <v>1893</v>
      </c>
      <c r="B57" s="2" t="s">
        <v>4330</v>
      </c>
      <c r="C57" s="2" t="s">
        <v>47</v>
      </c>
      <c r="D57" s="2" t="s">
        <v>816</v>
      </c>
      <c r="E57" s="2" t="s">
        <v>4351</v>
      </c>
    </row>
    <row r="58" customFormat="false" ht="15" hidden="false" customHeight="false" outlineLevel="0" collapsed="false">
      <c r="A58" s="2" t="s">
        <v>1053</v>
      </c>
      <c r="B58" s="2" t="s">
        <v>4330</v>
      </c>
      <c r="C58" s="2" t="s">
        <v>46</v>
      </c>
      <c r="D58" s="2" t="s">
        <v>4331</v>
      </c>
      <c r="E58" s="2" t="s">
        <v>4326</v>
      </c>
    </row>
    <row r="59" customFormat="false" ht="15" hidden="false" customHeight="false" outlineLevel="0" collapsed="false">
      <c r="A59" s="2" t="s">
        <v>1053</v>
      </c>
      <c r="B59" s="2" t="s">
        <v>4330</v>
      </c>
      <c r="C59" s="2" t="s">
        <v>47</v>
      </c>
      <c r="D59" s="2" t="s">
        <v>4331</v>
      </c>
      <c r="E59" s="2" t="s">
        <v>4333</v>
      </c>
    </row>
    <row r="60" customFormat="false" ht="15" hidden="false" customHeight="false" outlineLevel="0" collapsed="false">
      <c r="A60" s="2" t="s">
        <v>1444</v>
      </c>
      <c r="B60" s="2" t="s">
        <v>4330</v>
      </c>
      <c r="C60" s="2" t="s">
        <v>46</v>
      </c>
      <c r="D60" s="2" t="s">
        <v>818</v>
      </c>
      <c r="E60" s="2" t="s">
        <v>4341</v>
      </c>
    </row>
    <row r="61" customFormat="false" ht="15" hidden="false" customHeight="false" outlineLevel="0" collapsed="false">
      <c r="A61" s="2" t="s">
        <v>1444</v>
      </c>
      <c r="B61" s="2" t="s">
        <v>4330</v>
      </c>
      <c r="C61" s="2" t="s">
        <v>47</v>
      </c>
      <c r="D61" s="2" t="s">
        <v>4331</v>
      </c>
      <c r="E61" s="2" t="s">
        <v>4326</v>
      </c>
    </row>
    <row r="62" customFormat="false" ht="15" hidden="false" customHeight="false" outlineLevel="0" collapsed="false">
      <c r="A62" s="2" t="s">
        <v>2007</v>
      </c>
      <c r="B62" s="2" t="s">
        <v>4330</v>
      </c>
      <c r="C62" s="2" t="s">
        <v>45</v>
      </c>
      <c r="D62" s="2" t="s">
        <v>818</v>
      </c>
      <c r="E62" s="2" t="s">
        <v>4345</v>
      </c>
    </row>
    <row r="63" customFormat="false" ht="15" hidden="false" customHeight="false" outlineLevel="0" collapsed="false">
      <c r="A63" s="2" t="s">
        <v>1605</v>
      </c>
      <c r="B63" s="2" t="s">
        <v>4330</v>
      </c>
      <c r="C63" s="2" t="s">
        <v>45</v>
      </c>
      <c r="D63" s="2" t="s">
        <v>816</v>
      </c>
      <c r="E63" s="2" t="s">
        <v>4352</v>
      </c>
    </row>
    <row r="64" customFormat="false" ht="15" hidden="false" customHeight="false" outlineLevel="0" collapsed="false">
      <c r="A64" s="2" t="s">
        <v>2926</v>
      </c>
      <c r="B64" s="2" t="s">
        <v>4330</v>
      </c>
      <c r="C64" s="2" t="s">
        <v>46</v>
      </c>
      <c r="D64" s="2" t="s">
        <v>4331</v>
      </c>
      <c r="E64" s="2" t="s">
        <v>4327</v>
      </c>
    </row>
    <row r="65" customFormat="false" ht="15" hidden="false" customHeight="false" outlineLevel="0" collapsed="false">
      <c r="A65" s="2" t="s">
        <v>1472</v>
      </c>
      <c r="B65" s="2" t="s">
        <v>4330</v>
      </c>
      <c r="C65" s="2" t="s">
        <v>46</v>
      </c>
      <c r="D65" s="2" t="s">
        <v>4348</v>
      </c>
      <c r="E65" s="2" t="s">
        <v>4353</v>
      </c>
    </row>
    <row r="66" customFormat="false" ht="15" hidden="false" customHeight="false" outlineLevel="0" collapsed="false">
      <c r="A66" s="2" t="s">
        <v>1037</v>
      </c>
      <c r="B66" s="2" t="s">
        <v>4330</v>
      </c>
      <c r="C66" s="2" t="s">
        <v>47</v>
      </c>
      <c r="D66" s="2" t="s">
        <v>4331</v>
      </c>
      <c r="E66" s="2" t="s">
        <v>4333</v>
      </c>
    </row>
    <row r="67" customFormat="false" ht="15" hidden="false" customHeight="false" outlineLevel="0" collapsed="false">
      <c r="A67" s="2" t="s">
        <v>932</v>
      </c>
      <c r="B67" s="2" t="s">
        <v>4330</v>
      </c>
      <c r="C67" s="2" t="s">
        <v>46</v>
      </c>
      <c r="D67" s="2" t="s">
        <v>818</v>
      </c>
      <c r="E67" s="2" t="s">
        <v>4354</v>
      </c>
    </row>
    <row r="68" customFormat="false" ht="15" hidden="false" customHeight="false" outlineLevel="0" collapsed="false">
      <c r="A68" s="2" t="s">
        <v>1380</v>
      </c>
      <c r="B68" s="2" t="s">
        <v>4330</v>
      </c>
      <c r="C68" s="2" t="s">
        <v>46</v>
      </c>
      <c r="D68" s="2" t="s">
        <v>818</v>
      </c>
      <c r="E68" s="2" t="s">
        <v>4355</v>
      </c>
    </row>
    <row r="69" customFormat="false" ht="15" hidden="false" customHeight="false" outlineLevel="0" collapsed="false">
      <c r="A69" s="2" t="s">
        <v>2094</v>
      </c>
      <c r="B69" s="2" t="s">
        <v>4330</v>
      </c>
      <c r="C69" s="2" t="s">
        <v>45</v>
      </c>
      <c r="D69" s="2" t="s">
        <v>817</v>
      </c>
      <c r="E69" s="2" t="s">
        <v>4339</v>
      </c>
    </row>
    <row r="70" customFormat="false" ht="15" hidden="false" customHeight="false" outlineLevel="0" collapsed="false">
      <c r="A70" s="2" t="s">
        <v>2689</v>
      </c>
      <c r="B70" s="2" t="s">
        <v>4330</v>
      </c>
      <c r="C70" s="2" t="s">
        <v>46</v>
      </c>
      <c r="D70" s="2" t="s">
        <v>818</v>
      </c>
      <c r="E70" s="2" t="s">
        <v>4332</v>
      </c>
    </row>
    <row r="71" customFormat="false" ht="15" hidden="false" customHeight="false" outlineLevel="0" collapsed="false">
      <c r="A71" s="2" t="s">
        <v>2932</v>
      </c>
      <c r="B71" s="2" t="s">
        <v>4330</v>
      </c>
      <c r="C71" s="2" t="s">
        <v>45</v>
      </c>
      <c r="D71" s="2" t="s">
        <v>818</v>
      </c>
      <c r="E71" s="2" t="s">
        <v>4341</v>
      </c>
    </row>
    <row r="72" customFormat="false" ht="15" hidden="false" customHeight="false" outlineLevel="0" collapsed="false">
      <c r="A72" s="2" t="s">
        <v>1677</v>
      </c>
      <c r="B72" s="2" t="s">
        <v>4330</v>
      </c>
      <c r="C72" s="2" t="s">
        <v>45</v>
      </c>
      <c r="D72" s="2" t="s">
        <v>818</v>
      </c>
      <c r="E72" s="2" t="s">
        <v>4346</v>
      </c>
    </row>
    <row r="73" customFormat="false" ht="15" hidden="false" customHeight="false" outlineLevel="0" collapsed="false">
      <c r="A73" s="2" t="s">
        <v>2494</v>
      </c>
      <c r="B73" s="2" t="s">
        <v>4330</v>
      </c>
      <c r="C73" s="2" t="s">
        <v>45</v>
      </c>
      <c r="D73" s="2" t="s">
        <v>818</v>
      </c>
      <c r="E73" s="2" t="s">
        <v>4356</v>
      </c>
    </row>
    <row r="74" customFormat="false" ht="15" hidden="false" customHeight="false" outlineLevel="0" collapsed="false">
      <c r="A74" s="2" t="s">
        <v>1308</v>
      </c>
      <c r="B74" s="2" t="s">
        <v>4330</v>
      </c>
      <c r="C74" s="2" t="s">
        <v>46</v>
      </c>
      <c r="D74" s="2" t="s">
        <v>4331</v>
      </c>
      <c r="E74" s="2" t="s">
        <v>4327</v>
      </c>
    </row>
    <row r="75" customFormat="false" ht="15" hidden="false" customHeight="false" outlineLevel="0" collapsed="false">
      <c r="A75" s="2" t="s">
        <v>1428</v>
      </c>
      <c r="B75" s="2" t="s">
        <v>4330</v>
      </c>
      <c r="C75" s="2" t="s">
        <v>46</v>
      </c>
      <c r="D75" s="2" t="s">
        <v>818</v>
      </c>
      <c r="E75" s="2" t="s">
        <v>4357</v>
      </c>
    </row>
    <row r="76" customFormat="false" ht="15" hidden="false" customHeight="false" outlineLevel="0" collapsed="false">
      <c r="A76" s="2" t="s">
        <v>1810</v>
      </c>
      <c r="B76" s="2" t="s">
        <v>4330</v>
      </c>
      <c r="C76" s="2" t="s">
        <v>45</v>
      </c>
      <c r="D76" s="2" t="s">
        <v>818</v>
      </c>
      <c r="E76" s="2" t="s">
        <v>4332</v>
      </c>
    </row>
    <row r="77" customFormat="false" ht="15" hidden="false" customHeight="false" outlineLevel="0" collapsed="false">
      <c r="A77" s="2" t="s">
        <v>1462</v>
      </c>
      <c r="B77" s="2" t="s">
        <v>4330</v>
      </c>
      <c r="C77" s="2" t="s">
        <v>46</v>
      </c>
      <c r="D77" s="2" t="s">
        <v>818</v>
      </c>
      <c r="E77" s="2" t="s">
        <v>4358</v>
      </c>
    </row>
    <row r="78" customFormat="false" ht="15" hidden="false" customHeight="false" outlineLevel="0" collapsed="false">
      <c r="A78" s="2" t="s">
        <v>1954</v>
      </c>
      <c r="B78" s="2" t="s">
        <v>4330</v>
      </c>
      <c r="C78" s="2" t="s">
        <v>45</v>
      </c>
      <c r="D78" s="2" t="s">
        <v>818</v>
      </c>
      <c r="E78" s="2" t="s">
        <v>4359</v>
      </c>
    </row>
    <row r="79" customFormat="false" ht="15" hidden="false" customHeight="false" outlineLevel="0" collapsed="false">
      <c r="A79" s="2" t="s">
        <v>2084</v>
      </c>
      <c r="B79" s="2" t="s">
        <v>4330</v>
      </c>
      <c r="C79" s="2" t="s">
        <v>45</v>
      </c>
      <c r="D79" s="2" t="s">
        <v>816</v>
      </c>
      <c r="E79" s="2" t="s">
        <v>4360</v>
      </c>
    </row>
    <row r="80" customFormat="false" ht="15" hidden="false" customHeight="false" outlineLevel="0" collapsed="false">
      <c r="A80" s="2" t="s">
        <v>2084</v>
      </c>
      <c r="B80" s="2" t="s">
        <v>4330</v>
      </c>
      <c r="C80" s="2" t="s">
        <v>47</v>
      </c>
      <c r="D80" s="2" t="s">
        <v>818</v>
      </c>
      <c r="E80" s="2" t="s">
        <v>4332</v>
      </c>
    </row>
    <row r="81" customFormat="false" ht="15" hidden="false" customHeight="false" outlineLevel="0" collapsed="false">
      <c r="A81" s="2" t="s">
        <v>1981</v>
      </c>
      <c r="B81" s="2" t="s">
        <v>4330</v>
      </c>
      <c r="C81" s="2" t="s">
        <v>45</v>
      </c>
      <c r="D81" s="2" t="s">
        <v>4336</v>
      </c>
      <c r="E81" s="2" t="s">
        <v>4361</v>
      </c>
    </row>
    <row r="82" customFormat="false" ht="15" hidden="false" customHeight="false" outlineLevel="0" collapsed="false">
      <c r="A82" s="2" t="s">
        <v>2943</v>
      </c>
      <c r="B82" s="2" t="s">
        <v>4330</v>
      </c>
      <c r="C82" s="2" t="s">
        <v>46</v>
      </c>
      <c r="D82" s="2" t="s">
        <v>4362</v>
      </c>
      <c r="E82" s="2" t="s">
        <v>4363</v>
      </c>
    </row>
    <row r="83" customFormat="false" ht="15" hidden="false" customHeight="false" outlineLevel="0" collapsed="false">
      <c r="A83" s="2" t="s">
        <v>2656</v>
      </c>
      <c r="B83" s="2" t="s">
        <v>4330</v>
      </c>
      <c r="C83" s="2" t="s">
        <v>45</v>
      </c>
      <c r="D83" s="2" t="s">
        <v>818</v>
      </c>
      <c r="E83" s="2" t="s">
        <v>4341</v>
      </c>
    </row>
    <row r="84" customFormat="false" ht="15" hidden="false" customHeight="false" outlineLevel="0" collapsed="false">
      <c r="A84" s="2" t="s">
        <v>2947</v>
      </c>
      <c r="B84" s="2" t="s">
        <v>4330</v>
      </c>
      <c r="C84" s="2" t="s">
        <v>46</v>
      </c>
      <c r="D84" s="2" t="s">
        <v>818</v>
      </c>
      <c r="E84" s="2" t="s">
        <v>4355</v>
      </c>
    </row>
    <row r="85" customFormat="false" ht="15" hidden="false" customHeight="false" outlineLevel="0" collapsed="false">
      <c r="A85" s="2" t="s">
        <v>1727</v>
      </c>
      <c r="B85" s="2" t="s">
        <v>4330</v>
      </c>
      <c r="C85" s="2" t="s">
        <v>45</v>
      </c>
      <c r="D85" s="2" t="s">
        <v>817</v>
      </c>
      <c r="E85" s="2" t="s">
        <v>4339</v>
      </c>
    </row>
    <row r="86" customFormat="false" ht="15" hidden="false" customHeight="false" outlineLevel="0" collapsed="false">
      <c r="A86" s="2" t="s">
        <v>1489</v>
      </c>
      <c r="B86" s="2" t="s">
        <v>4330</v>
      </c>
      <c r="C86" s="2" t="s">
        <v>46</v>
      </c>
      <c r="D86" s="2" t="s">
        <v>817</v>
      </c>
      <c r="E86" s="2" t="s">
        <v>4364</v>
      </c>
    </row>
    <row r="87" customFormat="false" ht="15" hidden="false" customHeight="false" outlineLevel="0" collapsed="false">
      <c r="A87" s="2" t="s">
        <v>2186</v>
      </c>
      <c r="B87" s="2" t="s">
        <v>4330</v>
      </c>
      <c r="C87" s="2" t="s">
        <v>45</v>
      </c>
      <c r="D87" s="2" t="s">
        <v>818</v>
      </c>
      <c r="E87" s="2" t="s">
        <v>4341</v>
      </c>
    </row>
    <row r="88" customFormat="false" ht="15" hidden="false" customHeight="false" outlineLevel="0" collapsed="false">
      <c r="A88" s="2" t="s">
        <v>1747</v>
      </c>
      <c r="B88" s="2" t="s">
        <v>4330</v>
      </c>
      <c r="C88" s="2" t="s">
        <v>45</v>
      </c>
      <c r="D88" s="2" t="s">
        <v>818</v>
      </c>
      <c r="E88" s="2" t="s">
        <v>4341</v>
      </c>
    </row>
    <row r="89" customFormat="false" ht="15" hidden="false" customHeight="false" outlineLevel="0" collapsed="false">
      <c r="A89" s="2" t="s">
        <v>2953</v>
      </c>
      <c r="B89" s="2" t="s">
        <v>4330</v>
      </c>
      <c r="C89" s="2" t="s">
        <v>45</v>
      </c>
      <c r="D89" s="2" t="s">
        <v>818</v>
      </c>
      <c r="E89" s="2" t="s">
        <v>4365</v>
      </c>
    </row>
    <row r="90" customFormat="false" ht="15" hidden="false" customHeight="false" outlineLevel="0" collapsed="false">
      <c r="A90" s="2" t="s">
        <v>847</v>
      </c>
      <c r="B90" s="2" t="s">
        <v>4330</v>
      </c>
      <c r="C90" s="2" t="s">
        <v>46</v>
      </c>
      <c r="D90" s="2" t="s">
        <v>817</v>
      </c>
      <c r="E90" s="2" t="s">
        <v>4339</v>
      </c>
    </row>
    <row r="91" customFormat="false" ht="15" hidden="false" customHeight="false" outlineLevel="0" collapsed="false">
      <c r="A91" s="2" t="s">
        <v>2956</v>
      </c>
      <c r="B91" s="2" t="s">
        <v>4330</v>
      </c>
      <c r="C91" s="2" t="s">
        <v>45</v>
      </c>
      <c r="D91" s="2" t="s">
        <v>4366</v>
      </c>
      <c r="E91" s="2" t="s">
        <v>4367</v>
      </c>
    </row>
    <row r="92" customFormat="false" ht="15" hidden="false" customHeight="false" outlineLevel="0" collapsed="false">
      <c r="A92" s="2" t="s">
        <v>1114</v>
      </c>
      <c r="B92" s="2" t="s">
        <v>4330</v>
      </c>
      <c r="C92" s="2" t="s">
        <v>46</v>
      </c>
      <c r="D92" s="2" t="s">
        <v>4331</v>
      </c>
      <c r="E92" s="2" t="s">
        <v>4328</v>
      </c>
    </row>
    <row r="93" customFormat="false" ht="15" hidden="false" customHeight="false" outlineLevel="0" collapsed="false">
      <c r="A93" s="2" t="s">
        <v>1755</v>
      </c>
      <c r="B93" s="2" t="s">
        <v>4330</v>
      </c>
      <c r="C93" s="2" t="s">
        <v>45</v>
      </c>
      <c r="D93" s="2" t="s">
        <v>4331</v>
      </c>
      <c r="E93" s="2" t="s">
        <v>4333</v>
      </c>
    </row>
    <row r="94" customFormat="false" ht="15" hidden="false" customHeight="false" outlineLevel="0" collapsed="false">
      <c r="A94" s="2" t="s">
        <v>2957</v>
      </c>
      <c r="B94" s="2" t="s">
        <v>4330</v>
      </c>
      <c r="C94" s="2" t="s">
        <v>46</v>
      </c>
      <c r="D94" s="2" t="s">
        <v>816</v>
      </c>
      <c r="E94" s="2" t="s">
        <v>4351</v>
      </c>
    </row>
    <row r="95" customFormat="false" ht="15" hidden="false" customHeight="false" outlineLevel="0" collapsed="false">
      <c r="A95" s="2" t="s">
        <v>2959</v>
      </c>
      <c r="B95" s="2" t="s">
        <v>4330</v>
      </c>
      <c r="C95" s="2" t="s">
        <v>46</v>
      </c>
      <c r="D95" s="2" t="s">
        <v>4331</v>
      </c>
      <c r="E95" s="2" t="s">
        <v>4327</v>
      </c>
    </row>
    <row r="96" customFormat="false" ht="15" hidden="false" customHeight="false" outlineLevel="0" collapsed="false">
      <c r="A96" s="2" t="s">
        <v>1243</v>
      </c>
      <c r="B96" s="2" t="s">
        <v>4330</v>
      </c>
      <c r="C96" s="2" t="s">
        <v>46</v>
      </c>
      <c r="D96" s="2" t="s">
        <v>4331</v>
      </c>
      <c r="E96" s="2" t="s">
        <v>4333</v>
      </c>
    </row>
    <row r="97" customFormat="false" ht="15" hidden="false" customHeight="false" outlineLevel="0" collapsed="false">
      <c r="A97" s="2" t="s">
        <v>1243</v>
      </c>
      <c r="B97" s="2" t="s">
        <v>4330</v>
      </c>
      <c r="C97" s="2" t="s">
        <v>47</v>
      </c>
      <c r="D97" s="2" t="s">
        <v>818</v>
      </c>
      <c r="E97" s="2" t="s">
        <v>4368</v>
      </c>
    </row>
    <row r="98" customFormat="false" ht="15" hidden="false" customHeight="false" outlineLevel="0" collapsed="false">
      <c r="A98" s="2" t="s">
        <v>2116</v>
      </c>
      <c r="B98" s="2" t="s">
        <v>4330</v>
      </c>
      <c r="C98" s="2" t="s">
        <v>45</v>
      </c>
      <c r="D98" s="2" t="s">
        <v>4331</v>
      </c>
      <c r="E98" s="2" t="s">
        <v>4369</v>
      </c>
    </row>
    <row r="99" customFormat="false" ht="15" hidden="false" customHeight="false" outlineLevel="0" collapsed="false">
      <c r="A99" s="2" t="s">
        <v>2961</v>
      </c>
      <c r="B99" s="2" t="s">
        <v>4330</v>
      </c>
      <c r="C99" s="2" t="s">
        <v>45</v>
      </c>
      <c r="D99" s="2" t="s">
        <v>817</v>
      </c>
      <c r="E99" s="2" t="s">
        <v>4339</v>
      </c>
    </row>
    <row r="100" customFormat="false" ht="15" hidden="false" customHeight="false" outlineLevel="0" collapsed="false">
      <c r="A100" s="2" t="s">
        <v>2961</v>
      </c>
      <c r="B100" s="2" t="s">
        <v>4330</v>
      </c>
      <c r="C100" s="2" t="s">
        <v>46</v>
      </c>
      <c r="D100" s="2" t="s">
        <v>818</v>
      </c>
      <c r="E100" s="2" t="s">
        <v>4341</v>
      </c>
    </row>
    <row r="101" customFormat="false" ht="15" hidden="false" customHeight="false" outlineLevel="0" collapsed="false">
      <c r="A101" s="2" t="s">
        <v>2961</v>
      </c>
      <c r="B101" s="2" t="s">
        <v>4330</v>
      </c>
      <c r="C101" s="2" t="s">
        <v>47</v>
      </c>
      <c r="D101" s="2" t="s">
        <v>4331</v>
      </c>
      <c r="E101" s="2" t="s">
        <v>4333</v>
      </c>
    </row>
    <row r="102" customFormat="false" ht="15" hidden="false" customHeight="false" outlineLevel="0" collapsed="false">
      <c r="A102" s="2" t="s">
        <v>1374</v>
      </c>
      <c r="B102" s="2" t="s">
        <v>4330</v>
      </c>
      <c r="C102" s="2" t="s">
        <v>46</v>
      </c>
      <c r="D102" s="2" t="s">
        <v>818</v>
      </c>
      <c r="E102" s="2" t="s">
        <v>4370</v>
      </c>
    </row>
    <row r="103" customFormat="false" ht="15" hidden="false" customHeight="false" outlineLevel="0" collapsed="false">
      <c r="A103" s="2" t="s">
        <v>834</v>
      </c>
      <c r="B103" s="2" t="s">
        <v>4330</v>
      </c>
      <c r="C103" s="2" t="s">
        <v>46</v>
      </c>
      <c r="D103" s="2" t="s">
        <v>4371</v>
      </c>
      <c r="E103" s="2" t="s">
        <v>4372</v>
      </c>
    </row>
    <row r="104" customFormat="false" ht="15" hidden="false" customHeight="false" outlineLevel="0" collapsed="false">
      <c r="A104" s="2" t="s">
        <v>2966</v>
      </c>
      <c r="B104" s="2" t="s">
        <v>4330</v>
      </c>
      <c r="C104" s="2" t="s">
        <v>45</v>
      </c>
      <c r="D104" s="2" t="s">
        <v>4336</v>
      </c>
      <c r="E104" s="2" t="s">
        <v>4361</v>
      </c>
    </row>
    <row r="105" customFormat="false" ht="15" hidden="false" customHeight="false" outlineLevel="0" collapsed="false">
      <c r="A105" s="2" t="s">
        <v>2446</v>
      </c>
      <c r="B105" s="2" t="s">
        <v>4330</v>
      </c>
      <c r="C105" s="2" t="s">
        <v>45</v>
      </c>
      <c r="D105" s="2" t="s">
        <v>818</v>
      </c>
      <c r="E105" s="2" t="s">
        <v>4355</v>
      </c>
    </row>
    <row r="106" customFormat="false" ht="15" hidden="false" customHeight="false" outlineLevel="0" collapsed="false">
      <c r="A106" s="2" t="s">
        <v>2446</v>
      </c>
      <c r="B106" s="2" t="s">
        <v>4330</v>
      </c>
      <c r="C106" s="2" t="s">
        <v>46</v>
      </c>
      <c r="D106" s="2" t="s">
        <v>4348</v>
      </c>
      <c r="E106" s="2" t="s">
        <v>4353</v>
      </c>
    </row>
    <row r="107" customFormat="false" ht="15" hidden="false" customHeight="false" outlineLevel="0" collapsed="false">
      <c r="A107" s="2" t="s">
        <v>1496</v>
      </c>
      <c r="B107" s="2" t="s">
        <v>4330</v>
      </c>
      <c r="C107" s="2" t="s">
        <v>46</v>
      </c>
      <c r="D107" s="2" t="s">
        <v>818</v>
      </c>
      <c r="E107" s="2" t="s">
        <v>4373</v>
      </c>
    </row>
    <row r="108" customFormat="false" ht="15" hidden="false" customHeight="false" outlineLevel="0" collapsed="false">
      <c r="A108" s="2" t="s">
        <v>1496</v>
      </c>
      <c r="B108" s="2" t="s">
        <v>4330</v>
      </c>
      <c r="C108" s="2" t="s">
        <v>47</v>
      </c>
      <c r="D108" s="2" t="s">
        <v>4331</v>
      </c>
      <c r="E108" s="2" t="s">
        <v>4333</v>
      </c>
    </row>
    <row r="109" customFormat="false" ht="15" hidden="false" customHeight="false" outlineLevel="0" collapsed="false">
      <c r="A109" s="2" t="s">
        <v>2790</v>
      </c>
      <c r="B109" s="2" t="s">
        <v>4330</v>
      </c>
      <c r="C109" s="2" t="s">
        <v>46</v>
      </c>
      <c r="D109" s="2" t="s">
        <v>4366</v>
      </c>
      <c r="E109" s="2" t="s">
        <v>4367</v>
      </c>
    </row>
    <row r="110" customFormat="false" ht="15" hidden="false" customHeight="false" outlineLevel="0" collapsed="false">
      <c r="A110" s="2" t="s">
        <v>885</v>
      </c>
      <c r="B110" s="2" t="s">
        <v>4330</v>
      </c>
      <c r="C110" s="2" t="s">
        <v>46</v>
      </c>
      <c r="D110" s="2" t="s">
        <v>4331</v>
      </c>
      <c r="E110" s="2" t="s">
        <v>4328</v>
      </c>
    </row>
    <row r="111" customFormat="false" ht="15" hidden="false" customHeight="false" outlineLevel="0" collapsed="false">
      <c r="A111" s="2" t="s">
        <v>2024</v>
      </c>
      <c r="B111" s="2" t="s">
        <v>4330</v>
      </c>
      <c r="C111" s="2" t="s">
        <v>45</v>
      </c>
      <c r="D111" s="2" t="s">
        <v>816</v>
      </c>
      <c r="E111" s="2" t="s">
        <v>4351</v>
      </c>
    </row>
    <row r="112" customFormat="false" ht="15" hidden="false" customHeight="false" outlineLevel="0" collapsed="false">
      <c r="A112" s="2" t="s">
        <v>1486</v>
      </c>
      <c r="B112" s="2" t="s">
        <v>4330</v>
      </c>
      <c r="C112" s="2" t="s">
        <v>47</v>
      </c>
      <c r="D112" s="2" t="s">
        <v>818</v>
      </c>
      <c r="E112" s="2" t="s">
        <v>4374</v>
      </c>
    </row>
    <row r="113" customFormat="false" ht="15" hidden="false" customHeight="false" outlineLevel="0" collapsed="false">
      <c r="A113" s="2" t="s">
        <v>2126</v>
      </c>
      <c r="B113" s="2" t="s">
        <v>4330</v>
      </c>
      <c r="C113" s="2" t="s">
        <v>45</v>
      </c>
      <c r="D113" s="2" t="s">
        <v>4375</v>
      </c>
      <c r="E113" s="2" t="s">
        <v>4376</v>
      </c>
    </row>
    <row r="114" customFormat="false" ht="15" hidden="false" customHeight="false" outlineLevel="0" collapsed="false">
      <c r="A114" s="2" t="s">
        <v>2126</v>
      </c>
      <c r="B114" s="2" t="s">
        <v>4330</v>
      </c>
      <c r="C114" s="2" t="s">
        <v>47</v>
      </c>
      <c r="D114" s="2" t="s">
        <v>817</v>
      </c>
      <c r="E114" s="2" t="s">
        <v>4377</v>
      </c>
    </row>
    <row r="115" customFormat="false" ht="15" hidden="false" customHeight="false" outlineLevel="0" collapsed="false">
      <c r="A115" s="2" t="s">
        <v>2140</v>
      </c>
      <c r="B115" s="2" t="s">
        <v>4330</v>
      </c>
      <c r="C115" s="2" t="s">
        <v>47</v>
      </c>
      <c r="D115" s="2" t="s">
        <v>4331</v>
      </c>
      <c r="E115" s="2" t="s">
        <v>4344</v>
      </c>
    </row>
    <row r="116" customFormat="false" ht="15" hidden="false" customHeight="false" outlineLevel="0" collapsed="false">
      <c r="A116" s="2" t="s">
        <v>1158</v>
      </c>
      <c r="B116" s="2" t="s">
        <v>4330</v>
      </c>
      <c r="C116" s="2" t="s">
        <v>46</v>
      </c>
      <c r="D116" s="2" t="s">
        <v>4336</v>
      </c>
      <c r="E116" s="2" t="s">
        <v>4361</v>
      </c>
    </row>
    <row r="117" customFormat="false" ht="15" hidden="false" customHeight="false" outlineLevel="0" collapsed="false">
      <c r="A117" s="2" t="s">
        <v>2976</v>
      </c>
      <c r="B117" s="2" t="s">
        <v>4330</v>
      </c>
      <c r="C117" s="2" t="s">
        <v>46</v>
      </c>
      <c r="D117" s="2" t="s">
        <v>4331</v>
      </c>
      <c r="E117" s="2" t="s">
        <v>4333</v>
      </c>
    </row>
    <row r="118" customFormat="false" ht="15" hidden="false" customHeight="false" outlineLevel="0" collapsed="false">
      <c r="A118" s="2" t="s">
        <v>1057</v>
      </c>
      <c r="B118" s="2" t="s">
        <v>4330</v>
      </c>
      <c r="C118" s="2" t="s">
        <v>46</v>
      </c>
      <c r="D118" s="2" t="s">
        <v>817</v>
      </c>
      <c r="E118" s="2" t="s">
        <v>4377</v>
      </c>
    </row>
    <row r="119" customFormat="false" ht="15" hidden="false" customHeight="false" outlineLevel="0" collapsed="false">
      <c r="A119" s="2" t="s">
        <v>1926</v>
      </c>
      <c r="B119" s="2" t="s">
        <v>4330</v>
      </c>
      <c r="C119" s="2" t="s">
        <v>45</v>
      </c>
      <c r="D119" s="2" t="s">
        <v>4348</v>
      </c>
      <c r="E119" s="2" t="s">
        <v>4378</v>
      </c>
    </row>
    <row r="120" customFormat="false" ht="15" hidden="false" customHeight="false" outlineLevel="0" collapsed="false">
      <c r="A120" s="2" t="s">
        <v>1926</v>
      </c>
      <c r="B120" s="2" t="s">
        <v>4330</v>
      </c>
      <c r="C120" s="2" t="s">
        <v>47</v>
      </c>
      <c r="D120" s="2" t="s">
        <v>4348</v>
      </c>
      <c r="E120" s="2" t="s">
        <v>4379</v>
      </c>
    </row>
    <row r="121" customFormat="false" ht="15" hidden="false" customHeight="false" outlineLevel="0" collapsed="false">
      <c r="A121" s="2" t="s">
        <v>980</v>
      </c>
      <c r="B121" s="2" t="s">
        <v>4330</v>
      </c>
      <c r="C121" s="2" t="s">
        <v>46</v>
      </c>
      <c r="D121" s="2" t="s">
        <v>818</v>
      </c>
      <c r="E121" s="2" t="s">
        <v>4380</v>
      </c>
    </row>
    <row r="122" customFormat="false" ht="15" hidden="false" customHeight="false" outlineLevel="0" collapsed="false">
      <c r="A122" s="2" t="s">
        <v>2360</v>
      </c>
      <c r="B122" s="2" t="s">
        <v>4330</v>
      </c>
      <c r="C122" s="2" t="s">
        <v>45</v>
      </c>
      <c r="D122" s="2" t="s">
        <v>816</v>
      </c>
      <c r="E122" s="2" t="s">
        <v>4351</v>
      </c>
    </row>
    <row r="123" customFormat="false" ht="15" hidden="false" customHeight="false" outlineLevel="0" collapsed="false">
      <c r="A123" s="2" t="s">
        <v>2360</v>
      </c>
      <c r="B123" s="2" t="s">
        <v>4330</v>
      </c>
      <c r="C123" s="2" t="s">
        <v>46</v>
      </c>
      <c r="D123" s="2" t="s">
        <v>4331</v>
      </c>
      <c r="E123" s="2" t="s">
        <v>4326</v>
      </c>
    </row>
    <row r="124" customFormat="false" ht="15" hidden="false" customHeight="false" outlineLevel="0" collapsed="false">
      <c r="A124" s="2" t="s">
        <v>907</v>
      </c>
      <c r="B124" s="2" t="s">
        <v>4330</v>
      </c>
      <c r="C124" s="2" t="s">
        <v>46</v>
      </c>
      <c r="D124" s="2" t="s">
        <v>816</v>
      </c>
      <c r="E124" s="2" t="s">
        <v>4351</v>
      </c>
    </row>
    <row r="125" customFormat="false" ht="15" hidden="false" customHeight="false" outlineLevel="0" collapsed="false">
      <c r="A125" s="2" t="s">
        <v>1518</v>
      </c>
      <c r="B125" s="2" t="s">
        <v>4330</v>
      </c>
      <c r="C125" s="2" t="s">
        <v>46</v>
      </c>
      <c r="D125" s="2" t="s">
        <v>4331</v>
      </c>
      <c r="E125" s="2" t="s">
        <v>4326</v>
      </c>
    </row>
    <row r="126" customFormat="false" ht="15" hidden="false" customHeight="false" outlineLevel="0" collapsed="false">
      <c r="A126" s="2" t="s">
        <v>1518</v>
      </c>
      <c r="B126" s="2" t="s">
        <v>4330</v>
      </c>
      <c r="C126" s="2" t="s">
        <v>47</v>
      </c>
      <c r="D126" s="2" t="s">
        <v>4331</v>
      </c>
      <c r="E126" s="2" t="s">
        <v>4333</v>
      </c>
    </row>
    <row r="127" customFormat="false" ht="15" hidden="false" customHeight="false" outlineLevel="0" collapsed="false">
      <c r="A127" s="2" t="s">
        <v>1006</v>
      </c>
      <c r="B127" s="2" t="s">
        <v>4330</v>
      </c>
      <c r="C127" s="2" t="s">
        <v>47</v>
      </c>
      <c r="D127" s="2" t="s">
        <v>4336</v>
      </c>
      <c r="E127" s="2" t="s">
        <v>4381</v>
      </c>
    </row>
    <row r="128" customFormat="false" ht="15" hidden="false" customHeight="false" outlineLevel="0" collapsed="false">
      <c r="A128" s="2" t="s">
        <v>922</v>
      </c>
      <c r="B128" s="2" t="s">
        <v>4330</v>
      </c>
      <c r="C128" s="2" t="s">
        <v>46</v>
      </c>
      <c r="D128" s="2" t="s">
        <v>818</v>
      </c>
      <c r="E128" s="2" t="s">
        <v>4341</v>
      </c>
    </row>
    <row r="129" customFormat="false" ht="15" hidden="false" customHeight="false" outlineLevel="0" collapsed="false">
      <c r="A129" s="2" t="s">
        <v>1031</v>
      </c>
      <c r="B129" s="2" t="s">
        <v>4330</v>
      </c>
      <c r="C129" s="2" t="s">
        <v>46</v>
      </c>
      <c r="D129" s="2" t="s">
        <v>4331</v>
      </c>
      <c r="E129" s="2" t="s">
        <v>4327</v>
      </c>
    </row>
    <row r="130" customFormat="false" ht="15" hidden="false" customHeight="false" outlineLevel="0" collapsed="false">
      <c r="A130" s="2" t="s">
        <v>1247</v>
      </c>
      <c r="B130" s="2" t="s">
        <v>4330</v>
      </c>
      <c r="C130" s="2" t="s">
        <v>47</v>
      </c>
      <c r="D130" s="2" t="s">
        <v>817</v>
      </c>
      <c r="E130" s="2" t="s">
        <v>4382</v>
      </c>
    </row>
    <row r="131" customFormat="false" ht="15" hidden="false" customHeight="false" outlineLevel="0" collapsed="false">
      <c r="A131" s="2" t="s">
        <v>1905</v>
      </c>
      <c r="B131" s="2" t="s">
        <v>4330</v>
      </c>
      <c r="C131" s="2" t="s">
        <v>45</v>
      </c>
      <c r="D131" s="2" t="s">
        <v>816</v>
      </c>
      <c r="E131" s="2" t="s">
        <v>4383</v>
      </c>
    </row>
    <row r="132" customFormat="false" ht="15" hidden="false" customHeight="false" outlineLevel="0" collapsed="false">
      <c r="A132" s="2" t="s">
        <v>1082</v>
      </c>
      <c r="B132" s="2" t="s">
        <v>4330</v>
      </c>
      <c r="C132" s="2" t="s">
        <v>46</v>
      </c>
      <c r="D132" s="2" t="s">
        <v>4331</v>
      </c>
      <c r="E132" s="2" t="s">
        <v>4328</v>
      </c>
    </row>
    <row r="133" customFormat="false" ht="15" hidden="false" customHeight="false" outlineLevel="0" collapsed="false">
      <c r="A133" s="2" t="s">
        <v>1082</v>
      </c>
      <c r="B133" s="2" t="s">
        <v>4330</v>
      </c>
      <c r="C133" s="2" t="s">
        <v>47</v>
      </c>
      <c r="D133" s="2" t="s">
        <v>817</v>
      </c>
      <c r="E133" s="2" t="s">
        <v>4384</v>
      </c>
    </row>
    <row r="134" customFormat="false" ht="15" hidden="false" customHeight="false" outlineLevel="0" collapsed="false">
      <c r="A134" s="2" t="s">
        <v>1420</v>
      </c>
      <c r="B134" s="2" t="s">
        <v>4330</v>
      </c>
      <c r="C134" s="2" t="s">
        <v>46</v>
      </c>
      <c r="D134" s="2" t="s">
        <v>816</v>
      </c>
      <c r="E134" s="2" t="s">
        <v>4351</v>
      </c>
    </row>
    <row r="135" customFormat="false" ht="15" hidden="false" customHeight="false" outlineLevel="0" collapsed="false">
      <c r="A135" s="2" t="s">
        <v>1288</v>
      </c>
      <c r="B135" s="2" t="s">
        <v>4330</v>
      </c>
      <c r="C135" s="2" t="s">
        <v>46</v>
      </c>
      <c r="D135" s="2" t="s">
        <v>4331</v>
      </c>
      <c r="E135" s="2" t="s">
        <v>4385</v>
      </c>
    </row>
    <row r="136" customFormat="false" ht="15" hidden="false" customHeight="false" outlineLevel="0" collapsed="false">
      <c r="A136" s="2" t="s">
        <v>926</v>
      </c>
      <c r="B136" s="2" t="s">
        <v>4330</v>
      </c>
      <c r="C136" s="2" t="s">
        <v>46</v>
      </c>
      <c r="D136" s="2" t="s">
        <v>818</v>
      </c>
      <c r="E136" s="2" t="s">
        <v>4346</v>
      </c>
    </row>
    <row r="137" customFormat="false" ht="15" hidden="false" customHeight="false" outlineLevel="0" collapsed="false">
      <c r="A137" s="2" t="s">
        <v>1371</v>
      </c>
      <c r="B137" s="2" t="s">
        <v>4330</v>
      </c>
      <c r="C137" s="2" t="s">
        <v>46</v>
      </c>
      <c r="D137" s="2" t="s">
        <v>817</v>
      </c>
      <c r="E137" s="2" t="s">
        <v>4339</v>
      </c>
    </row>
    <row r="138" customFormat="false" ht="15" hidden="false" customHeight="false" outlineLevel="0" collapsed="false">
      <c r="A138" s="2" t="s">
        <v>1935</v>
      </c>
      <c r="B138" s="2" t="s">
        <v>4330</v>
      </c>
      <c r="C138" s="2" t="s">
        <v>45</v>
      </c>
      <c r="D138" s="2" t="s">
        <v>4336</v>
      </c>
      <c r="E138" s="2" t="s">
        <v>4361</v>
      </c>
    </row>
    <row r="139" customFormat="false" ht="15" hidden="false" customHeight="false" outlineLevel="0" collapsed="false">
      <c r="A139" s="2" t="s">
        <v>2992</v>
      </c>
      <c r="B139" s="2" t="s">
        <v>4330</v>
      </c>
      <c r="C139" s="2" t="s">
        <v>45</v>
      </c>
      <c r="D139" s="2" t="s">
        <v>4331</v>
      </c>
      <c r="E139" s="2" t="s">
        <v>4333</v>
      </c>
    </row>
    <row r="140" customFormat="false" ht="15" hidden="false" customHeight="false" outlineLevel="0" collapsed="false">
      <c r="A140" s="2" t="s">
        <v>2992</v>
      </c>
      <c r="B140" s="2" t="s">
        <v>4330</v>
      </c>
      <c r="C140" s="2" t="s">
        <v>47</v>
      </c>
      <c r="D140" s="2" t="s">
        <v>4336</v>
      </c>
      <c r="E140" s="2" t="s">
        <v>4361</v>
      </c>
    </row>
    <row r="141" customFormat="false" ht="15" hidden="false" customHeight="false" outlineLevel="0" collapsed="false">
      <c r="A141" s="2" t="s">
        <v>2543</v>
      </c>
      <c r="B141" s="2" t="s">
        <v>4330</v>
      </c>
      <c r="C141" s="2" t="s">
        <v>45</v>
      </c>
      <c r="D141" s="2" t="s">
        <v>4331</v>
      </c>
      <c r="E141" s="2" t="s">
        <v>4344</v>
      </c>
    </row>
    <row r="142" customFormat="false" ht="15" hidden="false" customHeight="false" outlineLevel="0" collapsed="false">
      <c r="A142" s="2" t="s">
        <v>2543</v>
      </c>
      <c r="B142" s="2" t="s">
        <v>4330</v>
      </c>
      <c r="C142" s="2" t="s">
        <v>46</v>
      </c>
      <c r="D142" s="2" t="s">
        <v>818</v>
      </c>
      <c r="E142" s="2" t="s">
        <v>4386</v>
      </c>
    </row>
    <row r="143" customFormat="false" ht="15" hidden="false" customHeight="false" outlineLevel="0" collapsed="false">
      <c r="A143" s="2" t="s">
        <v>2201</v>
      </c>
      <c r="B143" s="2" t="s">
        <v>4330</v>
      </c>
      <c r="C143" s="2" t="s">
        <v>45</v>
      </c>
      <c r="D143" s="2" t="s">
        <v>4362</v>
      </c>
      <c r="E143" s="2" t="s">
        <v>4387</v>
      </c>
    </row>
    <row r="144" customFormat="false" ht="15" hidden="false" customHeight="false" outlineLevel="0" collapsed="false">
      <c r="A144" s="2" t="s">
        <v>1908</v>
      </c>
      <c r="B144" s="2" t="s">
        <v>4330</v>
      </c>
      <c r="C144" s="2" t="s">
        <v>45</v>
      </c>
      <c r="D144" s="2" t="s">
        <v>4331</v>
      </c>
      <c r="E144" s="2" t="s">
        <v>4326</v>
      </c>
    </row>
    <row r="145" customFormat="false" ht="15" hidden="false" customHeight="false" outlineLevel="0" collapsed="false">
      <c r="A145" s="2" t="s">
        <v>2525</v>
      </c>
      <c r="B145" s="2" t="s">
        <v>4330</v>
      </c>
      <c r="C145" s="2" t="s">
        <v>45</v>
      </c>
      <c r="D145" s="2" t="s">
        <v>4366</v>
      </c>
      <c r="E145" s="2" t="s">
        <v>4367</v>
      </c>
    </row>
    <row r="146" customFormat="false" ht="15" hidden="false" customHeight="false" outlineLevel="0" collapsed="false">
      <c r="A146" s="2" t="s">
        <v>2525</v>
      </c>
      <c r="B146" s="2" t="s">
        <v>4330</v>
      </c>
      <c r="C146" s="2" t="s">
        <v>46</v>
      </c>
      <c r="D146" s="2" t="s">
        <v>818</v>
      </c>
      <c r="E146" s="2" t="s">
        <v>4355</v>
      </c>
    </row>
    <row r="147" customFormat="false" ht="15" hidden="false" customHeight="false" outlineLevel="0" collapsed="false">
      <c r="A147" s="2" t="s">
        <v>2519</v>
      </c>
      <c r="B147" s="2" t="s">
        <v>4330</v>
      </c>
      <c r="C147" s="2" t="s">
        <v>45</v>
      </c>
      <c r="D147" s="2" t="s">
        <v>4331</v>
      </c>
      <c r="E147" s="2" t="s">
        <v>4329</v>
      </c>
    </row>
    <row r="148" customFormat="false" ht="15" hidden="false" customHeight="false" outlineLevel="0" collapsed="false">
      <c r="A148" s="2" t="s">
        <v>1493</v>
      </c>
      <c r="B148" s="2" t="s">
        <v>4330</v>
      </c>
      <c r="C148" s="2" t="s">
        <v>46</v>
      </c>
      <c r="D148" s="2" t="s">
        <v>4331</v>
      </c>
      <c r="E148" s="2" t="s">
        <v>4333</v>
      </c>
    </row>
    <row r="149" customFormat="false" ht="15" hidden="false" customHeight="false" outlineLevel="0" collapsed="false">
      <c r="A149" s="2" t="s">
        <v>1515</v>
      </c>
      <c r="B149" s="2" t="s">
        <v>4330</v>
      </c>
      <c r="C149" s="2" t="s">
        <v>46</v>
      </c>
      <c r="D149" s="2" t="s">
        <v>4366</v>
      </c>
      <c r="E149" s="2" t="s">
        <v>4367</v>
      </c>
    </row>
    <row r="150" customFormat="false" ht="15" hidden="false" customHeight="false" outlineLevel="0" collapsed="false">
      <c r="A150" s="2" t="s">
        <v>2171</v>
      </c>
      <c r="B150" s="2" t="s">
        <v>4330</v>
      </c>
      <c r="C150" s="2" t="s">
        <v>45</v>
      </c>
      <c r="D150" s="2" t="s">
        <v>4336</v>
      </c>
      <c r="E150" s="2" t="s">
        <v>4361</v>
      </c>
    </row>
    <row r="151" customFormat="false" ht="15" hidden="false" customHeight="false" outlineLevel="0" collapsed="false">
      <c r="A151" s="2" t="s">
        <v>2171</v>
      </c>
      <c r="B151" s="2" t="s">
        <v>4330</v>
      </c>
      <c r="C151" s="2" t="s">
        <v>47</v>
      </c>
      <c r="D151" s="2" t="s">
        <v>818</v>
      </c>
      <c r="E151" s="2" t="s">
        <v>4388</v>
      </c>
    </row>
    <row r="152" customFormat="false" ht="15" hidden="false" customHeight="false" outlineLevel="0" collapsed="false">
      <c r="A152" s="2" t="s">
        <v>2999</v>
      </c>
      <c r="B152" s="2" t="s">
        <v>4330</v>
      </c>
      <c r="C152" s="2" t="s">
        <v>45</v>
      </c>
      <c r="D152" s="2" t="s">
        <v>816</v>
      </c>
      <c r="E152" s="2" t="s">
        <v>4352</v>
      </c>
    </row>
    <row r="153" customFormat="false" ht="15" hidden="false" customHeight="false" outlineLevel="0" collapsed="false">
      <c r="A153" s="2" t="s">
        <v>1932</v>
      </c>
      <c r="B153" s="2" t="s">
        <v>4330</v>
      </c>
      <c r="C153" s="2" t="s">
        <v>45</v>
      </c>
      <c r="D153" s="2" t="s">
        <v>818</v>
      </c>
      <c r="E153" s="2" t="s">
        <v>4370</v>
      </c>
    </row>
    <row r="154" customFormat="false" ht="15" hidden="false" customHeight="false" outlineLevel="0" collapsed="false">
      <c r="A154" s="2" t="s">
        <v>958</v>
      </c>
      <c r="B154" s="2" t="s">
        <v>4330</v>
      </c>
      <c r="C154" s="2" t="s">
        <v>47</v>
      </c>
      <c r="D154" s="2" t="s">
        <v>817</v>
      </c>
      <c r="E154" s="2" t="s">
        <v>4339</v>
      </c>
    </row>
    <row r="155" customFormat="false" ht="15" hidden="false" customHeight="false" outlineLevel="0" collapsed="false">
      <c r="A155" s="2" t="s">
        <v>1093</v>
      </c>
      <c r="B155" s="2" t="s">
        <v>4330</v>
      </c>
      <c r="C155" s="2" t="s">
        <v>46</v>
      </c>
      <c r="D155" s="2" t="s">
        <v>818</v>
      </c>
      <c r="E155" s="2" t="s">
        <v>4332</v>
      </c>
    </row>
    <row r="156" customFormat="false" ht="15" hidden="false" customHeight="false" outlineLevel="0" collapsed="false">
      <c r="A156" s="2" t="s">
        <v>3004</v>
      </c>
      <c r="B156" s="2" t="s">
        <v>4330</v>
      </c>
      <c r="C156" s="2" t="s">
        <v>46</v>
      </c>
      <c r="D156" s="2" t="s">
        <v>4331</v>
      </c>
      <c r="E156" s="2" t="s">
        <v>4328</v>
      </c>
    </row>
    <row r="157" customFormat="false" ht="15" hidden="false" customHeight="false" outlineLevel="0" collapsed="false">
      <c r="A157" s="2" t="s">
        <v>2207</v>
      </c>
      <c r="B157" s="2" t="s">
        <v>4330</v>
      </c>
      <c r="C157" s="2" t="s">
        <v>45</v>
      </c>
      <c r="D157" s="2" t="s">
        <v>4331</v>
      </c>
      <c r="E157" s="2" t="s">
        <v>4327</v>
      </c>
    </row>
    <row r="158" customFormat="false" ht="15" hidden="false" customHeight="false" outlineLevel="0" collapsed="false">
      <c r="A158" s="2" t="s">
        <v>3005</v>
      </c>
      <c r="B158" s="2" t="s">
        <v>4330</v>
      </c>
      <c r="C158" s="2" t="s">
        <v>46</v>
      </c>
      <c r="D158" s="2" t="s">
        <v>818</v>
      </c>
      <c r="E158" s="2" t="s">
        <v>4340</v>
      </c>
    </row>
    <row r="159" customFormat="false" ht="15" hidden="false" customHeight="false" outlineLevel="0" collapsed="false">
      <c r="A159" s="2" t="s">
        <v>882</v>
      </c>
      <c r="B159" s="2" t="s">
        <v>4330</v>
      </c>
      <c r="C159" s="2" t="s">
        <v>46</v>
      </c>
      <c r="D159" s="2" t="s">
        <v>817</v>
      </c>
      <c r="E159" s="2" t="s">
        <v>4339</v>
      </c>
    </row>
    <row r="160" customFormat="false" ht="15" hidden="false" customHeight="false" outlineLevel="0" collapsed="false">
      <c r="A160" s="2" t="s">
        <v>859</v>
      </c>
      <c r="B160" s="2" t="s">
        <v>4330</v>
      </c>
      <c r="C160" s="2" t="s">
        <v>47</v>
      </c>
      <c r="D160" s="2" t="s">
        <v>817</v>
      </c>
      <c r="E160" s="2" t="s">
        <v>4389</v>
      </c>
    </row>
    <row r="161" customFormat="false" ht="15" hidden="false" customHeight="false" outlineLevel="0" collapsed="false">
      <c r="A161" s="2" t="s">
        <v>3009</v>
      </c>
      <c r="B161" s="2" t="s">
        <v>4330</v>
      </c>
      <c r="C161" s="2" t="s">
        <v>45</v>
      </c>
      <c r="D161" s="2" t="s">
        <v>4348</v>
      </c>
      <c r="E161" s="2" t="s">
        <v>4390</v>
      </c>
    </row>
    <row r="162" customFormat="false" ht="15" hidden="false" customHeight="false" outlineLevel="0" collapsed="false">
      <c r="A162" s="2" t="s">
        <v>3009</v>
      </c>
      <c r="B162" s="2" t="s">
        <v>4330</v>
      </c>
      <c r="C162" s="2" t="s">
        <v>46</v>
      </c>
      <c r="D162" s="2" t="s">
        <v>4331</v>
      </c>
      <c r="E162" s="2" t="s">
        <v>4328</v>
      </c>
    </row>
    <row r="163" customFormat="false" ht="15" hidden="false" customHeight="false" outlineLevel="0" collapsed="false">
      <c r="A163" s="2" t="s">
        <v>3009</v>
      </c>
      <c r="B163" s="2" t="s">
        <v>4330</v>
      </c>
      <c r="C163" s="2" t="s">
        <v>47</v>
      </c>
      <c r="D163" s="2" t="s">
        <v>4336</v>
      </c>
      <c r="E163" s="2" t="s">
        <v>4361</v>
      </c>
    </row>
    <row r="164" customFormat="false" ht="15" hidden="false" customHeight="false" outlineLevel="0" collapsed="false">
      <c r="A164" s="2" t="s">
        <v>837</v>
      </c>
      <c r="B164" s="2" t="s">
        <v>4330</v>
      </c>
      <c r="C164" s="2" t="s">
        <v>46</v>
      </c>
      <c r="D164" s="2" t="s">
        <v>4348</v>
      </c>
      <c r="E164" s="2" t="s">
        <v>4391</v>
      </c>
    </row>
    <row r="165" customFormat="false" ht="15" hidden="false" customHeight="false" outlineLevel="0" collapsed="false">
      <c r="A165" s="2" t="s">
        <v>872</v>
      </c>
      <c r="B165" s="2" t="s">
        <v>4330</v>
      </c>
      <c r="C165" s="2" t="s">
        <v>46</v>
      </c>
      <c r="D165" s="2" t="s">
        <v>818</v>
      </c>
      <c r="E165" s="2" t="s">
        <v>4392</v>
      </c>
    </row>
    <row r="166" customFormat="false" ht="15" hidden="false" customHeight="false" outlineLevel="0" collapsed="false">
      <c r="A166" s="2" t="s">
        <v>872</v>
      </c>
      <c r="B166" s="2" t="s">
        <v>4330</v>
      </c>
      <c r="C166" s="2" t="s">
        <v>47</v>
      </c>
      <c r="D166" s="2" t="s">
        <v>818</v>
      </c>
      <c r="E166" s="2" t="s">
        <v>4350</v>
      </c>
    </row>
    <row r="167" customFormat="false" ht="15" hidden="false" customHeight="false" outlineLevel="0" collapsed="false">
      <c r="A167" s="2" t="s">
        <v>999</v>
      </c>
      <c r="B167" s="2" t="s">
        <v>4330</v>
      </c>
      <c r="C167" s="2" t="s">
        <v>46</v>
      </c>
      <c r="D167" s="2" t="s">
        <v>816</v>
      </c>
      <c r="E167" s="2" t="s">
        <v>4351</v>
      </c>
    </row>
    <row r="168" customFormat="false" ht="15" hidden="false" customHeight="false" outlineLevel="0" collapsed="false">
      <c r="A168" s="2" t="s">
        <v>999</v>
      </c>
      <c r="B168" s="2" t="s">
        <v>4330</v>
      </c>
      <c r="C168" s="2" t="s">
        <v>47</v>
      </c>
      <c r="D168" s="2" t="s">
        <v>817</v>
      </c>
      <c r="E168" s="2" t="s">
        <v>4377</v>
      </c>
    </row>
    <row r="169" customFormat="false" ht="15" hidden="false" customHeight="false" outlineLevel="0" collapsed="false">
      <c r="A169" s="2" t="s">
        <v>1441</v>
      </c>
      <c r="B169" s="2" t="s">
        <v>4330</v>
      </c>
      <c r="C169" s="2" t="s">
        <v>46</v>
      </c>
      <c r="D169" s="2" t="s">
        <v>816</v>
      </c>
      <c r="E169" s="2" t="s">
        <v>4351</v>
      </c>
    </row>
    <row r="170" customFormat="false" ht="15" hidden="false" customHeight="false" outlineLevel="0" collapsed="false">
      <c r="A170" s="2" t="s">
        <v>1738</v>
      </c>
      <c r="B170" s="2" t="s">
        <v>4330</v>
      </c>
      <c r="C170" s="2" t="s">
        <v>45</v>
      </c>
      <c r="D170" s="2" t="s">
        <v>818</v>
      </c>
      <c r="E170" s="2" t="s">
        <v>4338</v>
      </c>
    </row>
    <row r="171" customFormat="false" ht="15" hidden="false" customHeight="false" outlineLevel="0" collapsed="false">
      <c r="A171" s="2" t="s">
        <v>1172</v>
      </c>
      <c r="B171" s="2" t="s">
        <v>4330</v>
      </c>
      <c r="C171" s="2" t="s">
        <v>46</v>
      </c>
      <c r="D171" s="2" t="s">
        <v>817</v>
      </c>
      <c r="E171" s="2" t="s">
        <v>4393</v>
      </c>
    </row>
    <row r="172" customFormat="false" ht="15" hidden="false" customHeight="false" outlineLevel="0" collapsed="false">
      <c r="A172" s="2" t="s">
        <v>1283</v>
      </c>
      <c r="B172" s="2" t="s">
        <v>4330</v>
      </c>
      <c r="C172" s="2" t="s">
        <v>46</v>
      </c>
      <c r="D172" s="2" t="s">
        <v>4375</v>
      </c>
      <c r="E172" s="2" t="s">
        <v>4394</v>
      </c>
    </row>
    <row r="173" customFormat="false" ht="15" hidden="false" customHeight="false" outlineLevel="0" collapsed="false">
      <c r="A173" s="2" t="s">
        <v>2550</v>
      </c>
      <c r="B173" s="2" t="s">
        <v>4330</v>
      </c>
      <c r="C173" s="2" t="s">
        <v>45</v>
      </c>
      <c r="D173" s="2" t="s">
        <v>4331</v>
      </c>
      <c r="E173" s="2" t="s">
        <v>4333</v>
      </c>
    </row>
    <row r="174" customFormat="false" ht="15" hidden="false" customHeight="false" outlineLevel="0" collapsed="false">
      <c r="A174" s="2" t="s">
        <v>2550</v>
      </c>
      <c r="B174" s="2" t="s">
        <v>4330</v>
      </c>
      <c r="C174" s="2" t="s">
        <v>46</v>
      </c>
      <c r="D174" s="2" t="s">
        <v>4331</v>
      </c>
      <c r="E174" s="2" t="s">
        <v>4333</v>
      </c>
    </row>
    <row r="175" customFormat="false" ht="15" hidden="false" customHeight="false" outlineLevel="0" collapsed="false">
      <c r="A175" s="2" t="s">
        <v>1758</v>
      </c>
      <c r="B175" s="2" t="s">
        <v>4330</v>
      </c>
      <c r="C175" s="2" t="s">
        <v>45</v>
      </c>
      <c r="D175" s="2" t="s">
        <v>817</v>
      </c>
      <c r="E175" s="2" t="s">
        <v>4339</v>
      </c>
    </row>
    <row r="176" customFormat="false" ht="15" hidden="false" customHeight="false" outlineLevel="0" collapsed="false">
      <c r="A176" s="2" t="s">
        <v>951</v>
      </c>
      <c r="B176" s="2" t="s">
        <v>4330</v>
      </c>
      <c r="C176" s="2" t="s">
        <v>46</v>
      </c>
      <c r="D176" s="2" t="s">
        <v>4331</v>
      </c>
      <c r="E176" s="2" t="s">
        <v>4327</v>
      </c>
    </row>
    <row r="177" customFormat="false" ht="15" hidden="false" customHeight="false" outlineLevel="0" collapsed="false">
      <c r="A177" s="2" t="s">
        <v>3022</v>
      </c>
      <c r="B177" s="2" t="s">
        <v>4330</v>
      </c>
      <c r="C177" s="2" t="s">
        <v>46</v>
      </c>
      <c r="D177" s="2" t="s">
        <v>817</v>
      </c>
      <c r="E177" s="2" t="s">
        <v>4377</v>
      </c>
    </row>
    <row r="178" customFormat="false" ht="15" hidden="false" customHeight="false" outlineLevel="0" collapsed="false">
      <c r="A178" s="2" t="s">
        <v>1168</v>
      </c>
      <c r="B178" s="2" t="s">
        <v>4330</v>
      </c>
      <c r="C178" s="2" t="s">
        <v>46</v>
      </c>
      <c r="D178" s="2" t="s">
        <v>4331</v>
      </c>
      <c r="E178" s="2" t="s">
        <v>4328</v>
      </c>
    </row>
    <row r="179" customFormat="false" ht="15" hidden="false" customHeight="false" outlineLevel="0" collapsed="false">
      <c r="A179" s="2" t="s">
        <v>1168</v>
      </c>
      <c r="B179" s="2" t="s">
        <v>4330</v>
      </c>
      <c r="C179" s="2" t="s">
        <v>47</v>
      </c>
      <c r="D179" s="2" t="s">
        <v>4331</v>
      </c>
      <c r="E179" s="2" t="s">
        <v>4395</v>
      </c>
    </row>
    <row r="180" customFormat="false" ht="15" hidden="false" customHeight="false" outlineLevel="0" collapsed="false">
      <c r="A180" s="2" t="s">
        <v>1822</v>
      </c>
      <c r="B180" s="2" t="s">
        <v>4330</v>
      </c>
      <c r="C180" s="2" t="s">
        <v>45</v>
      </c>
      <c r="D180" s="2" t="s">
        <v>818</v>
      </c>
      <c r="E180" s="2" t="s">
        <v>4341</v>
      </c>
    </row>
    <row r="181" customFormat="false" ht="15" hidden="false" customHeight="false" outlineLevel="0" collapsed="false">
      <c r="A181" s="2" t="s">
        <v>1870</v>
      </c>
      <c r="B181" s="2" t="s">
        <v>4330</v>
      </c>
      <c r="C181" s="2" t="s">
        <v>45</v>
      </c>
      <c r="D181" s="2" t="s">
        <v>4336</v>
      </c>
      <c r="E181" s="2" t="s">
        <v>4396</v>
      </c>
    </row>
    <row r="182" customFormat="false" ht="15" hidden="false" customHeight="false" outlineLevel="0" collapsed="false">
      <c r="A182" s="2" t="s">
        <v>1870</v>
      </c>
      <c r="B182" s="2" t="s">
        <v>4330</v>
      </c>
      <c r="C182" s="2" t="s">
        <v>47</v>
      </c>
      <c r="D182" s="2" t="s">
        <v>4331</v>
      </c>
      <c r="E182" s="2" t="s">
        <v>4333</v>
      </c>
    </row>
    <row r="183" customFormat="false" ht="15" hidden="false" customHeight="false" outlineLevel="0" collapsed="false">
      <c r="A183" s="2" t="s">
        <v>1550</v>
      </c>
      <c r="B183" s="2" t="s">
        <v>4330</v>
      </c>
      <c r="C183" s="2" t="s">
        <v>46</v>
      </c>
      <c r="D183" s="2" t="s">
        <v>818</v>
      </c>
      <c r="E183" s="2" t="s">
        <v>4397</v>
      </c>
    </row>
    <row r="184" customFormat="false" ht="15" hidden="false" customHeight="false" outlineLevel="0" collapsed="false">
      <c r="A184" s="2" t="s">
        <v>2626</v>
      </c>
      <c r="B184" s="2" t="s">
        <v>4330</v>
      </c>
      <c r="C184" s="2" t="s">
        <v>45</v>
      </c>
      <c r="D184" s="2" t="s">
        <v>4398</v>
      </c>
      <c r="E184" s="2" t="s">
        <v>4399</v>
      </c>
    </row>
    <row r="185" customFormat="false" ht="15" hidden="false" customHeight="false" outlineLevel="0" collapsed="false">
      <c r="A185" s="2" t="s">
        <v>2626</v>
      </c>
      <c r="B185" s="2" t="s">
        <v>4330</v>
      </c>
      <c r="C185" s="2" t="s">
        <v>46</v>
      </c>
      <c r="D185" s="2" t="s">
        <v>817</v>
      </c>
      <c r="E185" s="2" t="s">
        <v>4347</v>
      </c>
    </row>
    <row r="186" customFormat="false" ht="15" hidden="false" customHeight="false" outlineLevel="0" collapsed="false">
      <c r="A186" s="2" t="s">
        <v>1881</v>
      </c>
      <c r="B186" s="2" t="s">
        <v>4330</v>
      </c>
      <c r="C186" s="2" t="s">
        <v>45</v>
      </c>
      <c r="D186" s="2" t="s">
        <v>4348</v>
      </c>
      <c r="E186" s="2" t="s">
        <v>4400</v>
      </c>
    </row>
    <row r="187" customFormat="false" ht="15" hidden="false" customHeight="false" outlineLevel="0" collapsed="false">
      <c r="A187" s="2" t="s">
        <v>2753</v>
      </c>
      <c r="B187" s="2" t="s">
        <v>4330</v>
      </c>
      <c r="C187" s="2" t="s">
        <v>46</v>
      </c>
      <c r="D187" s="2" t="s">
        <v>818</v>
      </c>
      <c r="E187" s="2" t="s">
        <v>4401</v>
      </c>
    </row>
    <row r="188" customFormat="false" ht="15" hidden="false" customHeight="false" outlineLevel="0" collapsed="false">
      <c r="A188" s="2" t="s">
        <v>1502</v>
      </c>
      <c r="B188" s="2" t="s">
        <v>4330</v>
      </c>
      <c r="C188" s="2" t="s">
        <v>46</v>
      </c>
      <c r="D188" s="2" t="s">
        <v>4331</v>
      </c>
      <c r="E188" s="2" t="s">
        <v>4333</v>
      </c>
    </row>
    <row r="189" customFormat="false" ht="15" hidden="false" customHeight="false" outlineLevel="0" collapsed="false">
      <c r="A189" s="2" t="s">
        <v>1502</v>
      </c>
      <c r="B189" s="2" t="s">
        <v>4330</v>
      </c>
      <c r="C189" s="2" t="s">
        <v>47</v>
      </c>
      <c r="D189" s="2" t="s">
        <v>818</v>
      </c>
      <c r="E189" s="2" t="s">
        <v>4350</v>
      </c>
    </row>
    <row r="190" customFormat="false" ht="15" hidden="false" customHeight="false" outlineLevel="0" collapsed="false">
      <c r="A190" s="2" t="s">
        <v>1345</v>
      </c>
      <c r="B190" s="2" t="s">
        <v>4330</v>
      </c>
      <c r="C190" s="2" t="s">
        <v>46</v>
      </c>
      <c r="D190" s="2" t="s">
        <v>4331</v>
      </c>
      <c r="E190" s="2" t="s">
        <v>4328</v>
      </c>
    </row>
    <row r="191" customFormat="false" ht="15" hidden="false" customHeight="false" outlineLevel="0" collapsed="false">
      <c r="A191" s="2" t="s">
        <v>1867</v>
      </c>
      <c r="B191" s="2" t="s">
        <v>4330</v>
      </c>
      <c r="C191" s="2" t="s">
        <v>45</v>
      </c>
      <c r="D191" s="2" t="s">
        <v>818</v>
      </c>
      <c r="E191" s="2" t="s">
        <v>4356</v>
      </c>
    </row>
    <row r="192" customFormat="false" ht="15" hidden="false" customHeight="false" outlineLevel="0" collapsed="false">
      <c r="A192" s="2" t="s">
        <v>3032</v>
      </c>
      <c r="B192" s="2" t="s">
        <v>4330</v>
      </c>
      <c r="C192" s="2" t="s">
        <v>47</v>
      </c>
      <c r="D192" s="2" t="s">
        <v>817</v>
      </c>
      <c r="E192" s="2" t="s">
        <v>4402</v>
      </c>
    </row>
    <row r="193" customFormat="false" ht="15" hidden="false" customHeight="false" outlineLevel="0" collapsed="false">
      <c r="A193" s="2" t="s">
        <v>1805</v>
      </c>
      <c r="B193" s="2" t="s">
        <v>4330</v>
      </c>
      <c r="C193" s="2" t="s">
        <v>45</v>
      </c>
      <c r="D193" s="2" t="s">
        <v>818</v>
      </c>
      <c r="E193" s="2" t="s">
        <v>4346</v>
      </c>
    </row>
    <row r="194" customFormat="false" ht="15" hidden="false" customHeight="false" outlineLevel="0" collapsed="false">
      <c r="A194" s="2" t="s">
        <v>1040</v>
      </c>
      <c r="B194" s="2" t="s">
        <v>4330</v>
      </c>
      <c r="C194" s="2" t="s">
        <v>46</v>
      </c>
      <c r="D194" s="2" t="s">
        <v>4331</v>
      </c>
      <c r="E194" s="2" t="s">
        <v>4333</v>
      </c>
    </row>
    <row r="195" customFormat="false" ht="15" hidden="false" customHeight="false" outlineLevel="0" collapsed="false">
      <c r="A195" s="2" t="s">
        <v>1040</v>
      </c>
      <c r="B195" s="2" t="s">
        <v>4330</v>
      </c>
      <c r="C195" s="2" t="s">
        <v>47</v>
      </c>
      <c r="D195" s="2" t="s">
        <v>4336</v>
      </c>
      <c r="E195" s="2" t="s">
        <v>4337</v>
      </c>
    </row>
    <row r="196" customFormat="false" ht="15" hidden="false" customHeight="false" outlineLevel="0" collapsed="false">
      <c r="A196" s="2" t="s">
        <v>2258</v>
      </c>
      <c r="B196" s="2" t="s">
        <v>4330</v>
      </c>
      <c r="C196" s="2" t="s">
        <v>45</v>
      </c>
      <c r="D196" s="2" t="s">
        <v>4403</v>
      </c>
      <c r="E196" s="2" t="s">
        <v>4404</v>
      </c>
    </row>
    <row r="197" customFormat="false" ht="15" hidden="false" customHeight="false" outlineLevel="0" collapsed="false">
      <c r="A197" s="2" t="s">
        <v>3037</v>
      </c>
      <c r="B197" s="2" t="s">
        <v>4330</v>
      </c>
      <c r="C197" s="2" t="s">
        <v>45</v>
      </c>
      <c r="D197" s="2" t="s">
        <v>4331</v>
      </c>
      <c r="E197" s="2" t="s">
        <v>4326</v>
      </c>
    </row>
    <row r="198" customFormat="false" ht="15" hidden="false" customHeight="false" outlineLevel="0" collapsed="false">
      <c r="A198" s="2" t="s">
        <v>1298</v>
      </c>
      <c r="B198" s="2" t="s">
        <v>4330</v>
      </c>
      <c r="C198" s="2" t="s">
        <v>46</v>
      </c>
      <c r="D198" s="2" t="s">
        <v>4336</v>
      </c>
      <c r="E198" s="2" t="s">
        <v>4361</v>
      </c>
    </row>
    <row r="199" customFormat="false" ht="15" hidden="false" customHeight="false" outlineLevel="0" collapsed="false">
      <c r="A199" s="2" t="s">
        <v>965</v>
      </c>
      <c r="B199" s="2" t="s">
        <v>4330</v>
      </c>
      <c r="C199" s="2" t="s">
        <v>47</v>
      </c>
      <c r="D199" s="2" t="s">
        <v>4336</v>
      </c>
      <c r="E199" s="2" t="s">
        <v>4381</v>
      </c>
    </row>
    <row r="200" customFormat="false" ht="15" hidden="false" customHeight="false" outlineLevel="0" collapsed="false">
      <c r="A200" s="2" t="s">
        <v>2332</v>
      </c>
      <c r="B200" s="2" t="s">
        <v>4330</v>
      </c>
      <c r="C200" s="2" t="s">
        <v>45</v>
      </c>
      <c r="D200" s="2" t="s">
        <v>4331</v>
      </c>
      <c r="E200" s="2" t="s">
        <v>4326</v>
      </c>
    </row>
    <row r="201" customFormat="false" ht="15" hidden="false" customHeight="false" outlineLevel="0" collapsed="false">
      <c r="A201" s="2" t="s">
        <v>2332</v>
      </c>
      <c r="B201" s="2" t="s">
        <v>4330</v>
      </c>
      <c r="C201" s="2" t="s">
        <v>46</v>
      </c>
      <c r="D201" s="2" t="s">
        <v>4331</v>
      </c>
      <c r="E201" s="2" t="s">
        <v>4328</v>
      </c>
    </row>
    <row r="202" customFormat="false" ht="15" hidden="false" customHeight="false" outlineLevel="0" collapsed="false">
      <c r="A202" s="2" t="s">
        <v>3040</v>
      </c>
      <c r="B202" s="2" t="s">
        <v>4330</v>
      </c>
      <c r="C202" s="2" t="s">
        <v>46</v>
      </c>
      <c r="D202" s="2" t="s">
        <v>817</v>
      </c>
      <c r="E202" s="2" t="s">
        <v>4339</v>
      </c>
    </row>
    <row r="203" customFormat="false" ht="15" hidden="false" customHeight="false" outlineLevel="0" collapsed="false">
      <c r="A203" s="2" t="s">
        <v>1009</v>
      </c>
      <c r="B203" s="2" t="s">
        <v>4330</v>
      </c>
      <c r="C203" s="2" t="s">
        <v>47</v>
      </c>
      <c r="D203" s="2" t="s">
        <v>817</v>
      </c>
      <c r="E203" s="2" t="s">
        <v>4377</v>
      </c>
    </row>
    <row r="204" customFormat="false" ht="15" hidden="false" customHeight="false" outlineLevel="0" collapsed="false">
      <c r="A204" s="2" t="s">
        <v>1801</v>
      </c>
      <c r="B204" s="2" t="s">
        <v>4330</v>
      </c>
      <c r="C204" s="2" t="s">
        <v>45</v>
      </c>
      <c r="D204" s="2" t="s">
        <v>4336</v>
      </c>
      <c r="E204" s="2" t="s">
        <v>4361</v>
      </c>
    </row>
    <row r="205" customFormat="false" ht="15" hidden="false" customHeight="false" outlineLevel="0" collapsed="false">
      <c r="A205" s="2" t="s">
        <v>1782</v>
      </c>
      <c r="B205" s="2" t="s">
        <v>4330</v>
      </c>
      <c r="C205" s="2" t="s">
        <v>45</v>
      </c>
      <c r="D205" s="2" t="s">
        <v>818</v>
      </c>
      <c r="E205" s="2" t="s">
        <v>4405</v>
      </c>
    </row>
    <row r="206" customFormat="false" ht="15" hidden="false" customHeight="false" outlineLevel="0" collapsed="false">
      <c r="A206" s="2" t="s">
        <v>1929</v>
      </c>
      <c r="B206" s="2" t="s">
        <v>4330</v>
      </c>
      <c r="C206" s="2" t="s">
        <v>45</v>
      </c>
      <c r="D206" s="2" t="s">
        <v>817</v>
      </c>
      <c r="E206" s="2" t="s">
        <v>4339</v>
      </c>
    </row>
    <row r="207" customFormat="false" ht="15" hidden="false" customHeight="false" outlineLevel="0" collapsed="false">
      <c r="A207" s="2" t="s">
        <v>3046</v>
      </c>
      <c r="B207" s="2" t="s">
        <v>4330</v>
      </c>
      <c r="C207" s="2" t="s">
        <v>45</v>
      </c>
      <c r="D207" s="2" t="s">
        <v>818</v>
      </c>
      <c r="E207" s="2" t="s">
        <v>4341</v>
      </c>
    </row>
    <row r="208" customFormat="false" ht="15" hidden="false" customHeight="false" outlineLevel="0" collapsed="false">
      <c r="A208" s="2" t="s">
        <v>3046</v>
      </c>
      <c r="B208" s="2" t="s">
        <v>4330</v>
      </c>
      <c r="C208" s="2" t="s">
        <v>46</v>
      </c>
      <c r="D208" s="2" t="s">
        <v>818</v>
      </c>
      <c r="E208" s="2" t="s">
        <v>4332</v>
      </c>
    </row>
    <row r="209" customFormat="false" ht="15" hidden="false" customHeight="false" outlineLevel="0" collapsed="false">
      <c r="A209" s="2" t="s">
        <v>3046</v>
      </c>
      <c r="B209" s="2" t="s">
        <v>4330</v>
      </c>
      <c r="C209" s="2" t="s">
        <v>47</v>
      </c>
      <c r="D209" s="2" t="s">
        <v>816</v>
      </c>
      <c r="E209" s="2" t="s">
        <v>4406</v>
      </c>
    </row>
    <row r="210" customFormat="false" ht="15" hidden="false" customHeight="false" outlineLevel="0" collapsed="false">
      <c r="A210" s="2" t="s">
        <v>2255</v>
      </c>
      <c r="B210" s="2" t="s">
        <v>4330</v>
      </c>
      <c r="C210" s="2" t="s">
        <v>46</v>
      </c>
      <c r="D210" s="2" t="s">
        <v>818</v>
      </c>
      <c r="E210" s="2" t="s">
        <v>4407</v>
      </c>
    </row>
    <row r="211" customFormat="false" ht="15" hidden="false" customHeight="false" outlineLevel="0" collapsed="false">
      <c r="A211" s="2" t="s">
        <v>2013</v>
      </c>
      <c r="B211" s="2" t="s">
        <v>4330</v>
      </c>
      <c r="C211" s="2" t="s">
        <v>45</v>
      </c>
      <c r="D211" s="2" t="s">
        <v>4336</v>
      </c>
      <c r="E211" s="2" t="s">
        <v>4361</v>
      </c>
    </row>
    <row r="212" customFormat="false" ht="15" hidden="false" customHeight="false" outlineLevel="0" collapsed="false">
      <c r="A212" s="2" t="s">
        <v>3052</v>
      </c>
      <c r="B212" s="2" t="s">
        <v>4330</v>
      </c>
      <c r="C212" s="2" t="s">
        <v>45</v>
      </c>
      <c r="D212" s="2" t="s">
        <v>4331</v>
      </c>
      <c r="E212" s="2" t="s">
        <v>4328</v>
      </c>
    </row>
    <row r="213" customFormat="false" ht="15" hidden="false" customHeight="false" outlineLevel="0" collapsed="false">
      <c r="A213" s="2" t="s">
        <v>1061</v>
      </c>
      <c r="B213" s="2" t="s">
        <v>4330</v>
      </c>
      <c r="C213" s="2" t="s">
        <v>46</v>
      </c>
      <c r="D213" s="2" t="s">
        <v>4375</v>
      </c>
      <c r="E213" s="2" t="s">
        <v>4408</v>
      </c>
    </row>
    <row r="214" customFormat="false" ht="15" hidden="false" customHeight="false" outlineLevel="0" collapsed="false">
      <c r="A214" s="2" t="s">
        <v>843</v>
      </c>
      <c r="B214" s="2" t="s">
        <v>4330</v>
      </c>
      <c r="C214" s="2" t="s">
        <v>46</v>
      </c>
      <c r="D214" s="2" t="s">
        <v>818</v>
      </c>
      <c r="E214" s="2" t="s">
        <v>4359</v>
      </c>
    </row>
    <row r="215" customFormat="false" ht="15" hidden="false" customHeight="false" outlineLevel="0" collapsed="false">
      <c r="A215" s="2" t="s">
        <v>1767</v>
      </c>
      <c r="B215" s="2" t="s">
        <v>4330</v>
      </c>
      <c r="C215" s="2" t="s">
        <v>45</v>
      </c>
      <c r="D215" s="2" t="s">
        <v>4403</v>
      </c>
      <c r="E215" s="2" t="s">
        <v>4404</v>
      </c>
    </row>
    <row r="216" customFormat="false" ht="15" hidden="false" customHeight="false" outlineLevel="0" collapsed="false">
      <c r="A216" s="2" t="s">
        <v>1720</v>
      </c>
      <c r="B216" s="2" t="s">
        <v>4330</v>
      </c>
      <c r="C216" s="2" t="s">
        <v>45</v>
      </c>
      <c r="D216" s="2" t="s">
        <v>818</v>
      </c>
      <c r="E216" s="2" t="s">
        <v>4346</v>
      </c>
    </row>
    <row r="217" customFormat="false" ht="15" hidden="false" customHeight="false" outlineLevel="0" collapsed="false">
      <c r="A217" s="2" t="s">
        <v>1432</v>
      </c>
      <c r="B217" s="2" t="s">
        <v>4330</v>
      </c>
      <c r="C217" s="2" t="s">
        <v>46</v>
      </c>
      <c r="D217" s="2" t="s">
        <v>818</v>
      </c>
      <c r="E217" s="2" t="s">
        <v>4332</v>
      </c>
    </row>
    <row r="218" customFormat="false" ht="15" hidden="false" customHeight="false" outlineLevel="0" collapsed="false">
      <c r="A218" s="2" t="s">
        <v>1432</v>
      </c>
      <c r="B218" s="2" t="s">
        <v>4330</v>
      </c>
      <c r="C218" s="2" t="s">
        <v>47</v>
      </c>
      <c r="D218" s="2" t="s">
        <v>4331</v>
      </c>
      <c r="E218" s="2" t="s">
        <v>4326</v>
      </c>
    </row>
    <row r="219" customFormat="false" ht="15" hidden="false" customHeight="false" outlineLevel="0" collapsed="false">
      <c r="A219" s="2" t="s">
        <v>1941</v>
      </c>
      <c r="B219" s="2" t="s">
        <v>4330</v>
      </c>
      <c r="C219" s="2" t="s">
        <v>45</v>
      </c>
      <c r="D219" s="2" t="s">
        <v>4331</v>
      </c>
      <c r="E219" s="2" t="s">
        <v>4333</v>
      </c>
    </row>
    <row r="220" customFormat="false" ht="15" hidden="false" customHeight="false" outlineLevel="0" collapsed="false">
      <c r="A220" s="2" t="s">
        <v>2862</v>
      </c>
      <c r="B220" s="2" t="s">
        <v>4330</v>
      </c>
      <c r="C220" s="2" t="s">
        <v>46</v>
      </c>
      <c r="D220" s="2" t="s">
        <v>4409</v>
      </c>
      <c r="E220" s="2" t="s">
        <v>4410</v>
      </c>
    </row>
    <row r="221" customFormat="false" ht="15" hidden="false" customHeight="false" outlineLevel="0" collapsed="false">
      <c r="A221" s="2" t="s">
        <v>1842</v>
      </c>
      <c r="B221" s="2" t="s">
        <v>4330</v>
      </c>
      <c r="C221" s="2" t="s">
        <v>45</v>
      </c>
      <c r="D221" s="2" t="s">
        <v>4366</v>
      </c>
      <c r="E221" s="2" t="s">
        <v>4367</v>
      </c>
    </row>
    <row r="222" customFormat="false" ht="15" hidden="false" customHeight="false" outlineLevel="0" collapsed="false">
      <c r="A222" s="2" t="s">
        <v>1946</v>
      </c>
      <c r="B222" s="2" t="s">
        <v>4330</v>
      </c>
      <c r="C222" s="2" t="s">
        <v>45</v>
      </c>
      <c r="D222" s="2" t="s">
        <v>4331</v>
      </c>
      <c r="E222" s="2" t="s">
        <v>4328</v>
      </c>
    </row>
    <row r="223" customFormat="false" ht="15" hidden="false" customHeight="false" outlineLevel="0" collapsed="false">
      <c r="A223" s="2" t="s">
        <v>2486</v>
      </c>
      <c r="B223" s="2" t="s">
        <v>4330</v>
      </c>
      <c r="C223" s="2" t="s">
        <v>45</v>
      </c>
      <c r="D223" s="2" t="s">
        <v>4366</v>
      </c>
      <c r="E223" s="2" t="s">
        <v>4367</v>
      </c>
    </row>
    <row r="224" customFormat="false" ht="15" hidden="false" customHeight="false" outlineLevel="0" collapsed="false">
      <c r="A224" s="2" t="s">
        <v>2486</v>
      </c>
      <c r="B224" s="2" t="s">
        <v>4330</v>
      </c>
      <c r="C224" s="2" t="s">
        <v>46</v>
      </c>
      <c r="D224" s="2" t="s">
        <v>818</v>
      </c>
      <c r="E224" s="2" t="s">
        <v>4332</v>
      </c>
    </row>
    <row r="225" customFormat="false" ht="15" hidden="false" customHeight="false" outlineLevel="0" collapsed="false">
      <c r="A225" s="2" t="s">
        <v>1161</v>
      </c>
      <c r="B225" s="2" t="s">
        <v>4330</v>
      </c>
      <c r="C225" s="2" t="s">
        <v>46</v>
      </c>
      <c r="D225" s="2" t="s">
        <v>816</v>
      </c>
      <c r="E225" s="2" t="s">
        <v>4351</v>
      </c>
    </row>
    <row r="226" customFormat="false" ht="15" hidden="false" customHeight="false" outlineLevel="0" collapsed="false">
      <c r="A226" s="2" t="s">
        <v>2566</v>
      </c>
      <c r="B226" s="2" t="s">
        <v>4330</v>
      </c>
      <c r="C226" s="2" t="s">
        <v>45</v>
      </c>
      <c r="D226" s="2" t="s">
        <v>818</v>
      </c>
      <c r="E226" s="2" t="s">
        <v>4411</v>
      </c>
    </row>
    <row r="227" customFormat="false" ht="15" hidden="false" customHeight="false" outlineLevel="0" collapsed="false">
      <c r="A227" s="2" t="s">
        <v>2566</v>
      </c>
      <c r="B227" s="2" t="s">
        <v>4330</v>
      </c>
      <c r="C227" s="2" t="s">
        <v>46</v>
      </c>
      <c r="D227" s="2" t="s">
        <v>817</v>
      </c>
      <c r="E227" s="2" t="s">
        <v>4339</v>
      </c>
    </row>
    <row r="228" customFormat="false" ht="15" hidden="false" customHeight="false" outlineLevel="0" collapsed="false">
      <c r="A228" s="2" t="s">
        <v>3061</v>
      </c>
      <c r="B228" s="2" t="s">
        <v>4330</v>
      </c>
      <c r="C228" s="2" t="s">
        <v>45</v>
      </c>
      <c r="D228" s="2" t="s">
        <v>817</v>
      </c>
      <c r="E228" s="2" t="s">
        <v>4339</v>
      </c>
    </row>
    <row r="229" customFormat="false" ht="15" hidden="false" customHeight="false" outlineLevel="0" collapsed="false">
      <c r="A229" s="2" t="s">
        <v>3061</v>
      </c>
      <c r="B229" s="2" t="s">
        <v>4330</v>
      </c>
      <c r="C229" s="2" t="s">
        <v>46</v>
      </c>
      <c r="D229" s="2" t="s">
        <v>4409</v>
      </c>
      <c r="E229" s="2" t="s">
        <v>4412</v>
      </c>
    </row>
    <row r="230" customFormat="false" ht="15" hidden="false" customHeight="false" outlineLevel="0" collapsed="false">
      <c r="A230" s="2" t="s">
        <v>918</v>
      </c>
      <c r="B230" s="2" t="s">
        <v>4330</v>
      </c>
      <c r="C230" s="2" t="s">
        <v>47</v>
      </c>
      <c r="D230" s="2" t="s">
        <v>818</v>
      </c>
      <c r="E230" s="2" t="s">
        <v>4413</v>
      </c>
    </row>
    <row r="231" customFormat="false" ht="15" hidden="false" customHeight="false" outlineLevel="0" collapsed="false">
      <c r="A231" s="2" t="s">
        <v>2313</v>
      </c>
      <c r="B231" s="2" t="s">
        <v>4330</v>
      </c>
      <c r="C231" s="2" t="s">
        <v>45</v>
      </c>
      <c r="D231" s="2" t="s">
        <v>4331</v>
      </c>
      <c r="E231" s="2" t="s">
        <v>4327</v>
      </c>
    </row>
    <row r="232" customFormat="false" ht="15" hidden="false" customHeight="false" outlineLevel="0" collapsed="false">
      <c r="A232" s="2" t="s">
        <v>2313</v>
      </c>
      <c r="B232" s="2" t="s">
        <v>4330</v>
      </c>
      <c r="C232" s="2" t="s">
        <v>46</v>
      </c>
      <c r="D232" s="2" t="s">
        <v>818</v>
      </c>
      <c r="E232" s="2" t="s">
        <v>4397</v>
      </c>
    </row>
    <row r="233" customFormat="false" ht="15" hidden="false" customHeight="false" outlineLevel="0" collapsed="false">
      <c r="A233" s="2" t="s">
        <v>1182</v>
      </c>
      <c r="B233" s="2" t="s">
        <v>4330</v>
      </c>
      <c r="C233" s="2" t="s">
        <v>46</v>
      </c>
      <c r="D233" s="2" t="s">
        <v>816</v>
      </c>
      <c r="E233" s="2" t="s">
        <v>4351</v>
      </c>
    </row>
    <row r="234" customFormat="false" ht="15" hidden="false" customHeight="false" outlineLevel="0" collapsed="false">
      <c r="A234" s="2" t="s">
        <v>1458</v>
      </c>
      <c r="B234" s="2" t="s">
        <v>4330</v>
      </c>
      <c r="C234" s="2" t="s">
        <v>47</v>
      </c>
      <c r="D234" s="2" t="s">
        <v>818</v>
      </c>
      <c r="E234" s="2" t="s">
        <v>4350</v>
      </c>
    </row>
    <row r="235" customFormat="false" ht="15" hidden="false" customHeight="false" outlineLevel="0" collapsed="false">
      <c r="A235" s="2" t="s">
        <v>3067</v>
      </c>
      <c r="B235" s="2" t="s">
        <v>4330</v>
      </c>
      <c r="C235" s="2" t="s">
        <v>45</v>
      </c>
      <c r="D235" s="2" t="s">
        <v>818</v>
      </c>
      <c r="E235" s="2" t="s">
        <v>4332</v>
      </c>
    </row>
    <row r="236" customFormat="false" ht="15" hidden="false" customHeight="false" outlineLevel="0" collapsed="false">
      <c r="A236" s="2" t="s">
        <v>3069</v>
      </c>
      <c r="B236" s="2" t="s">
        <v>4330</v>
      </c>
      <c r="C236" s="2" t="s">
        <v>46</v>
      </c>
      <c r="D236" s="2" t="s">
        <v>4331</v>
      </c>
      <c r="E236" s="2" t="s">
        <v>4327</v>
      </c>
    </row>
    <row r="237" customFormat="false" ht="15" hidden="false" customHeight="false" outlineLevel="0" collapsed="false">
      <c r="A237" s="2" t="s">
        <v>3069</v>
      </c>
      <c r="B237" s="2" t="s">
        <v>4330</v>
      </c>
      <c r="C237" s="2" t="s">
        <v>47</v>
      </c>
      <c r="D237" s="2" t="s">
        <v>816</v>
      </c>
      <c r="E237" s="2" t="s">
        <v>4383</v>
      </c>
    </row>
    <row r="238" customFormat="false" ht="15" hidden="false" customHeight="false" outlineLevel="0" collapsed="false">
      <c r="A238" s="2" t="s">
        <v>2167</v>
      </c>
      <c r="B238" s="2" t="s">
        <v>4330</v>
      </c>
      <c r="C238" s="2" t="s">
        <v>45</v>
      </c>
      <c r="D238" s="2" t="s">
        <v>4331</v>
      </c>
      <c r="E238" s="2" t="s">
        <v>4333</v>
      </c>
    </row>
    <row r="239" customFormat="false" ht="15" hidden="false" customHeight="false" outlineLevel="0" collapsed="false">
      <c r="A239" s="2" t="s">
        <v>1643</v>
      </c>
      <c r="B239" s="2" t="s">
        <v>4330</v>
      </c>
      <c r="C239" s="2" t="s">
        <v>45</v>
      </c>
      <c r="D239" s="2" t="s">
        <v>818</v>
      </c>
      <c r="E239" s="2" t="s">
        <v>4414</v>
      </c>
    </row>
    <row r="240" customFormat="false" ht="15" hidden="false" customHeight="false" outlineLevel="0" collapsed="false">
      <c r="A240" s="2" t="s">
        <v>3072</v>
      </c>
      <c r="B240" s="2" t="s">
        <v>4330</v>
      </c>
      <c r="C240" s="2" t="s">
        <v>45</v>
      </c>
      <c r="D240" s="2" t="s">
        <v>4331</v>
      </c>
      <c r="E240" s="2" t="s">
        <v>4326</v>
      </c>
    </row>
    <row r="241" customFormat="false" ht="15" hidden="false" customHeight="false" outlineLevel="0" collapsed="false">
      <c r="A241" s="2" t="s">
        <v>3072</v>
      </c>
      <c r="B241" s="2" t="s">
        <v>4330</v>
      </c>
      <c r="C241" s="2" t="s">
        <v>46</v>
      </c>
      <c r="D241" s="2" t="s">
        <v>4331</v>
      </c>
      <c r="E241" s="2" t="s">
        <v>4326</v>
      </c>
    </row>
    <row r="242" customFormat="false" ht="15" hidden="false" customHeight="false" outlineLevel="0" collapsed="false">
      <c r="A242" s="2" t="s">
        <v>3072</v>
      </c>
      <c r="B242" s="2" t="s">
        <v>4330</v>
      </c>
      <c r="C242" s="2" t="s">
        <v>47</v>
      </c>
      <c r="D242" s="2" t="s">
        <v>4331</v>
      </c>
      <c r="E242" s="2" t="s">
        <v>4326</v>
      </c>
    </row>
    <row r="243" customFormat="false" ht="15" hidden="false" customHeight="false" outlineLevel="0" collapsed="false">
      <c r="A243" s="2" t="s">
        <v>1857</v>
      </c>
      <c r="B243" s="2" t="s">
        <v>4330</v>
      </c>
      <c r="C243" s="2" t="s">
        <v>45</v>
      </c>
      <c r="D243" s="2" t="s">
        <v>818</v>
      </c>
      <c r="E243" s="2" t="s">
        <v>4341</v>
      </c>
    </row>
    <row r="244" customFormat="false" ht="15" hidden="false" customHeight="false" outlineLevel="0" collapsed="false">
      <c r="A244" s="2" t="s">
        <v>2594</v>
      </c>
      <c r="B244" s="2" t="s">
        <v>4330</v>
      </c>
      <c r="C244" s="2" t="s">
        <v>46</v>
      </c>
      <c r="D244" s="2" t="s">
        <v>818</v>
      </c>
      <c r="E244" s="2" t="s">
        <v>4415</v>
      </c>
    </row>
    <row r="245" customFormat="false" ht="15" hidden="false" customHeight="false" outlineLevel="0" collapsed="false">
      <c r="A245" s="2" t="s">
        <v>1899</v>
      </c>
      <c r="B245" s="2" t="s">
        <v>4330</v>
      </c>
      <c r="C245" s="2" t="s">
        <v>45</v>
      </c>
      <c r="D245" s="2" t="s">
        <v>818</v>
      </c>
      <c r="E245" s="2" t="s">
        <v>4346</v>
      </c>
    </row>
    <row r="246" customFormat="false" ht="15" hidden="false" customHeight="false" outlineLevel="0" collapsed="false">
      <c r="A246" s="2" t="s">
        <v>2735</v>
      </c>
      <c r="B246" s="2" t="s">
        <v>4330</v>
      </c>
      <c r="C246" s="2" t="s">
        <v>46</v>
      </c>
      <c r="D246" s="2" t="s">
        <v>4331</v>
      </c>
      <c r="E246" s="2" t="s">
        <v>4333</v>
      </c>
    </row>
    <row r="247" customFormat="false" ht="15" hidden="false" customHeight="false" outlineLevel="0" collapsed="false">
      <c r="A247" s="2" t="s">
        <v>1861</v>
      </c>
      <c r="B247" s="2" t="s">
        <v>4330</v>
      </c>
      <c r="C247" s="2" t="s">
        <v>45</v>
      </c>
      <c r="D247" s="2" t="s">
        <v>816</v>
      </c>
      <c r="E247" s="2" t="s">
        <v>4351</v>
      </c>
    </row>
    <row r="248" customFormat="false" ht="15" hidden="false" customHeight="false" outlineLevel="0" collapsed="false">
      <c r="A248" s="2" t="s">
        <v>1861</v>
      </c>
      <c r="B248" s="2" t="s">
        <v>4330</v>
      </c>
      <c r="C248" s="2" t="s">
        <v>47</v>
      </c>
      <c r="D248" s="2" t="s">
        <v>818</v>
      </c>
      <c r="E248" s="2" t="s">
        <v>4350</v>
      </c>
    </row>
    <row r="249" customFormat="false" ht="15" hidden="false" customHeight="false" outlineLevel="0" collapsed="false">
      <c r="A249" s="2" t="s">
        <v>850</v>
      </c>
      <c r="B249" s="2" t="s">
        <v>4330</v>
      </c>
      <c r="C249" s="2" t="s">
        <v>46</v>
      </c>
      <c r="D249" s="2" t="s">
        <v>818</v>
      </c>
      <c r="E249" s="2" t="s">
        <v>4355</v>
      </c>
    </row>
    <row r="250" customFormat="false" ht="15" hidden="false" customHeight="false" outlineLevel="0" collapsed="false">
      <c r="A250" s="2" t="s">
        <v>2813</v>
      </c>
      <c r="B250" s="2" t="s">
        <v>4330</v>
      </c>
      <c r="C250" s="2" t="s">
        <v>45</v>
      </c>
      <c r="D250" s="2" t="s">
        <v>816</v>
      </c>
      <c r="E250" s="2" t="s">
        <v>4351</v>
      </c>
    </row>
    <row r="251" customFormat="false" ht="15" hidden="false" customHeight="false" outlineLevel="0" collapsed="false">
      <c r="A251" s="2" t="s">
        <v>2119</v>
      </c>
      <c r="B251" s="2" t="s">
        <v>4330</v>
      </c>
      <c r="C251" s="2" t="s">
        <v>45</v>
      </c>
      <c r="D251" s="2" t="s">
        <v>4331</v>
      </c>
      <c r="E251" s="2" t="s">
        <v>4333</v>
      </c>
    </row>
    <row r="252" customFormat="false" ht="15" hidden="false" customHeight="false" outlineLevel="0" collapsed="false">
      <c r="A252" s="2" t="s">
        <v>1348</v>
      </c>
      <c r="B252" s="2" t="s">
        <v>4330</v>
      </c>
      <c r="C252" s="2" t="s">
        <v>46</v>
      </c>
      <c r="D252" s="2" t="s">
        <v>4331</v>
      </c>
      <c r="E252" s="2" t="s">
        <v>4333</v>
      </c>
    </row>
    <row r="253" customFormat="false" ht="15" hidden="false" customHeight="false" outlineLevel="0" collapsed="false">
      <c r="A253" s="2" t="s">
        <v>2459</v>
      </c>
      <c r="B253" s="2" t="s">
        <v>4330</v>
      </c>
      <c r="C253" s="2" t="s">
        <v>46</v>
      </c>
      <c r="D253" s="2" t="s">
        <v>4331</v>
      </c>
      <c r="E253" s="2" t="s">
        <v>4333</v>
      </c>
    </row>
    <row r="254" customFormat="false" ht="15" hidden="false" customHeight="false" outlineLevel="0" collapsed="false">
      <c r="A254" s="2" t="s">
        <v>899</v>
      </c>
      <c r="B254" s="2" t="s">
        <v>4330</v>
      </c>
      <c r="C254" s="2" t="s">
        <v>46</v>
      </c>
      <c r="D254" s="2" t="s">
        <v>4331</v>
      </c>
      <c r="E254" s="2" t="s">
        <v>4328</v>
      </c>
    </row>
    <row r="255" customFormat="false" ht="15" hidden="false" customHeight="false" outlineLevel="0" collapsed="false">
      <c r="A255" s="2" t="s">
        <v>1669</v>
      </c>
      <c r="B255" s="2" t="s">
        <v>4330</v>
      </c>
      <c r="C255" s="2" t="s">
        <v>45</v>
      </c>
      <c r="D255" s="2" t="s">
        <v>4331</v>
      </c>
      <c r="E255" s="2" t="s">
        <v>4327</v>
      </c>
    </row>
    <row r="256" customFormat="false" ht="15" hidden="false" customHeight="false" outlineLevel="0" collapsed="false">
      <c r="A256" s="2" t="s">
        <v>3080</v>
      </c>
      <c r="B256" s="2" t="s">
        <v>4330</v>
      </c>
      <c r="C256" s="2" t="s">
        <v>45</v>
      </c>
      <c r="D256" s="2" t="s">
        <v>818</v>
      </c>
      <c r="E256" s="2" t="s">
        <v>4332</v>
      </c>
    </row>
    <row r="257" customFormat="false" ht="15" hidden="false" customHeight="false" outlineLevel="0" collapsed="false">
      <c r="A257" s="2" t="s">
        <v>2377</v>
      </c>
      <c r="B257" s="2" t="s">
        <v>4330</v>
      </c>
      <c r="C257" s="2" t="s">
        <v>45</v>
      </c>
      <c r="D257" s="2" t="s">
        <v>4371</v>
      </c>
      <c r="E257" s="2" t="s">
        <v>4416</v>
      </c>
    </row>
    <row r="258" customFormat="false" ht="15" hidden="false" customHeight="false" outlineLevel="0" collapsed="false">
      <c r="A258" s="2" t="s">
        <v>2377</v>
      </c>
      <c r="B258" s="2" t="s">
        <v>4330</v>
      </c>
      <c r="C258" s="2" t="s">
        <v>46</v>
      </c>
      <c r="D258" s="2" t="s">
        <v>4331</v>
      </c>
      <c r="E258" s="2" t="s">
        <v>4328</v>
      </c>
    </row>
    <row r="259" customFormat="false" ht="15" hidden="false" customHeight="false" outlineLevel="0" collapsed="false">
      <c r="A259" s="2" t="s">
        <v>1989</v>
      </c>
      <c r="B259" s="2" t="s">
        <v>4330</v>
      </c>
      <c r="C259" s="2" t="s">
        <v>45</v>
      </c>
      <c r="D259" s="2" t="s">
        <v>4331</v>
      </c>
      <c r="E259" s="2" t="s">
        <v>4333</v>
      </c>
    </row>
    <row r="260" customFormat="false" ht="15" hidden="false" customHeight="false" outlineLevel="0" collapsed="false">
      <c r="A260" s="2" t="s">
        <v>1989</v>
      </c>
      <c r="B260" s="2" t="s">
        <v>4330</v>
      </c>
      <c r="C260" s="2" t="s">
        <v>47</v>
      </c>
      <c r="D260" s="2" t="s">
        <v>816</v>
      </c>
      <c r="E260" s="2" t="s">
        <v>4406</v>
      </c>
    </row>
    <row r="261" customFormat="false" ht="15" hidden="false" customHeight="false" outlineLevel="0" collapsed="false">
      <c r="A261" s="2" t="s">
        <v>3084</v>
      </c>
      <c r="B261" s="2" t="s">
        <v>4330</v>
      </c>
      <c r="C261" s="2" t="s">
        <v>46</v>
      </c>
      <c r="D261" s="2" t="s">
        <v>4409</v>
      </c>
      <c r="E261" s="2" t="s">
        <v>4412</v>
      </c>
    </row>
    <row r="262" customFormat="false" ht="15" hidden="false" customHeight="false" outlineLevel="0" collapsed="false">
      <c r="A262" s="2" t="s">
        <v>1190</v>
      </c>
      <c r="B262" s="2" t="s">
        <v>4330</v>
      </c>
      <c r="C262" s="2" t="s">
        <v>46</v>
      </c>
      <c r="D262" s="2" t="s">
        <v>4331</v>
      </c>
      <c r="E262" s="2" t="s">
        <v>4327</v>
      </c>
    </row>
    <row r="263" customFormat="false" ht="15" hidden="false" customHeight="false" outlineLevel="0" collapsed="false">
      <c r="A263" s="2" t="s">
        <v>1303</v>
      </c>
      <c r="B263" s="2" t="s">
        <v>4330</v>
      </c>
      <c r="C263" s="2" t="s">
        <v>46</v>
      </c>
      <c r="D263" s="2" t="s">
        <v>817</v>
      </c>
      <c r="E263" s="2" t="s">
        <v>4417</v>
      </c>
    </row>
    <row r="264" customFormat="false" ht="15" hidden="false" customHeight="false" outlineLevel="0" collapsed="false">
      <c r="A264" s="2" t="s">
        <v>1303</v>
      </c>
      <c r="B264" s="2" t="s">
        <v>4330</v>
      </c>
      <c r="C264" s="2" t="s">
        <v>47</v>
      </c>
      <c r="D264" s="2" t="s">
        <v>4366</v>
      </c>
      <c r="E264" s="2" t="s">
        <v>4367</v>
      </c>
    </row>
    <row r="265" customFormat="false" ht="15" hidden="false" customHeight="false" outlineLevel="0" collapsed="false">
      <c r="A265" s="2" t="s">
        <v>2843</v>
      </c>
      <c r="B265" s="2" t="s">
        <v>4330</v>
      </c>
      <c r="C265" s="2" t="s">
        <v>45</v>
      </c>
      <c r="D265" s="2" t="s">
        <v>817</v>
      </c>
      <c r="E265" s="2" t="s">
        <v>4339</v>
      </c>
    </row>
    <row r="266" customFormat="false" ht="15" hidden="false" customHeight="false" outlineLevel="0" collapsed="false">
      <c r="A266" s="2" t="s">
        <v>2843</v>
      </c>
      <c r="B266" s="2" t="s">
        <v>4330</v>
      </c>
      <c r="C266" s="2" t="s">
        <v>46</v>
      </c>
      <c r="D266" s="2" t="s">
        <v>4362</v>
      </c>
      <c r="E266" s="2" t="s">
        <v>4418</v>
      </c>
    </row>
    <row r="267" customFormat="false" ht="15" hidden="false" customHeight="false" outlineLevel="0" collapsed="false">
      <c r="A267" s="2" t="s">
        <v>1583</v>
      </c>
      <c r="B267" s="2" t="s">
        <v>4330</v>
      </c>
      <c r="C267" s="2" t="s">
        <v>46</v>
      </c>
      <c r="D267" s="2" t="s">
        <v>817</v>
      </c>
      <c r="E267" s="2" t="s">
        <v>4339</v>
      </c>
    </row>
    <row r="268" customFormat="false" ht="15" hidden="false" customHeight="false" outlineLevel="0" collapsed="false">
      <c r="A268" s="2" t="s">
        <v>1819</v>
      </c>
      <c r="B268" s="2" t="s">
        <v>4330</v>
      </c>
      <c r="C268" s="2" t="s">
        <v>45</v>
      </c>
      <c r="D268" s="2" t="s">
        <v>818</v>
      </c>
      <c r="E268" s="2" t="s">
        <v>4355</v>
      </c>
    </row>
    <row r="269" customFormat="false" ht="15" hidden="false" customHeight="false" outlineLevel="0" collapsed="false">
      <c r="A269" s="2" t="s">
        <v>1025</v>
      </c>
      <c r="B269" s="2" t="s">
        <v>4330</v>
      </c>
      <c r="C269" s="2" t="s">
        <v>46</v>
      </c>
      <c r="D269" s="2" t="s">
        <v>4331</v>
      </c>
      <c r="E269" s="2" t="s">
        <v>4333</v>
      </c>
    </row>
    <row r="270" customFormat="false" ht="15" hidden="false" customHeight="false" outlineLevel="0" collapsed="false">
      <c r="A270" s="2" t="s">
        <v>2279</v>
      </c>
      <c r="B270" s="2" t="s">
        <v>4330</v>
      </c>
      <c r="C270" s="2" t="s">
        <v>45</v>
      </c>
      <c r="D270" s="2" t="s">
        <v>4331</v>
      </c>
      <c r="E270" s="2" t="s">
        <v>4369</v>
      </c>
    </row>
    <row r="271" customFormat="false" ht="15" hidden="false" customHeight="false" outlineLevel="0" collapsed="false">
      <c r="A271" s="2" t="s">
        <v>2279</v>
      </c>
      <c r="B271" s="2" t="s">
        <v>4330</v>
      </c>
      <c r="C271" s="2" t="s">
        <v>46</v>
      </c>
      <c r="D271" s="2" t="s">
        <v>818</v>
      </c>
      <c r="E271" s="2" t="s">
        <v>4345</v>
      </c>
    </row>
    <row r="272" customFormat="false" ht="15" hidden="false" customHeight="false" outlineLevel="0" collapsed="false">
      <c r="A272" s="2" t="s">
        <v>3091</v>
      </c>
      <c r="B272" s="2" t="s">
        <v>4330</v>
      </c>
      <c r="C272" s="2" t="s">
        <v>45</v>
      </c>
      <c r="D272" s="2" t="s">
        <v>4331</v>
      </c>
      <c r="E272" s="2" t="s">
        <v>4327</v>
      </c>
    </row>
    <row r="273" customFormat="false" ht="15" hidden="false" customHeight="false" outlineLevel="0" collapsed="false">
      <c r="A273" s="2" t="s">
        <v>3092</v>
      </c>
      <c r="B273" s="2" t="s">
        <v>4330</v>
      </c>
      <c r="C273" s="2" t="s">
        <v>46</v>
      </c>
      <c r="D273" s="2" t="s">
        <v>817</v>
      </c>
      <c r="E273" s="2" t="s">
        <v>4339</v>
      </c>
    </row>
    <row r="274" customFormat="false" ht="15" hidden="false" customHeight="false" outlineLevel="0" collapsed="false">
      <c r="A274" s="2" t="s">
        <v>1312</v>
      </c>
      <c r="B274" s="2" t="s">
        <v>4330</v>
      </c>
      <c r="C274" s="2" t="s">
        <v>46</v>
      </c>
      <c r="D274" s="2" t="s">
        <v>816</v>
      </c>
      <c r="E274" s="2" t="s">
        <v>4351</v>
      </c>
    </row>
    <row r="275" customFormat="false" ht="15" hidden="false" customHeight="false" outlineLevel="0" collapsed="false">
      <c r="A275" s="2" t="s">
        <v>3095</v>
      </c>
      <c r="B275" s="2" t="s">
        <v>4330</v>
      </c>
      <c r="C275" s="2" t="s">
        <v>46</v>
      </c>
      <c r="D275" s="2" t="s">
        <v>816</v>
      </c>
      <c r="E275" s="2" t="s">
        <v>4419</v>
      </c>
    </row>
    <row r="276" customFormat="false" ht="15" hidden="false" customHeight="false" outlineLevel="0" collapsed="false">
      <c r="A276" s="2" t="s">
        <v>3098</v>
      </c>
      <c r="B276" s="2" t="s">
        <v>4330</v>
      </c>
      <c r="C276" s="2" t="s">
        <v>45</v>
      </c>
      <c r="D276" s="2" t="s">
        <v>4331</v>
      </c>
      <c r="E276" s="2" t="s">
        <v>4333</v>
      </c>
    </row>
    <row r="277" customFormat="false" ht="15" hidden="false" customHeight="false" outlineLevel="0" collapsed="false">
      <c r="A277" s="2" t="s">
        <v>3098</v>
      </c>
      <c r="B277" s="2" t="s">
        <v>4330</v>
      </c>
      <c r="C277" s="2" t="s">
        <v>47</v>
      </c>
      <c r="D277" s="2" t="s">
        <v>818</v>
      </c>
      <c r="E277" s="2" t="s">
        <v>4365</v>
      </c>
    </row>
    <row r="278" customFormat="false" ht="15" hidden="false" customHeight="false" outlineLevel="0" collapsed="false">
      <c r="A278" s="2" t="s">
        <v>3100</v>
      </c>
      <c r="B278" s="2" t="s">
        <v>4330</v>
      </c>
      <c r="C278" s="2" t="s">
        <v>46</v>
      </c>
      <c r="D278" s="2" t="s">
        <v>4331</v>
      </c>
      <c r="E278" s="2" t="s">
        <v>4328</v>
      </c>
    </row>
    <row r="279" customFormat="false" ht="15" hidden="false" customHeight="false" outlineLevel="0" collapsed="false">
      <c r="A279" s="2" t="s">
        <v>3101</v>
      </c>
      <c r="B279" s="2" t="s">
        <v>4330</v>
      </c>
      <c r="C279" s="2" t="s">
        <v>46</v>
      </c>
      <c r="D279" s="2" t="s">
        <v>816</v>
      </c>
      <c r="E279" s="2" t="s">
        <v>4351</v>
      </c>
    </row>
    <row r="280" customFormat="false" ht="15" hidden="false" customHeight="false" outlineLevel="0" collapsed="false">
      <c r="A280" s="2" t="s">
        <v>2136</v>
      </c>
      <c r="B280" s="2" t="s">
        <v>4330</v>
      </c>
      <c r="C280" s="2" t="s">
        <v>45</v>
      </c>
      <c r="D280" s="2" t="s">
        <v>4336</v>
      </c>
      <c r="E280" s="2" t="s">
        <v>4337</v>
      </c>
    </row>
    <row r="281" customFormat="false" ht="15" hidden="false" customHeight="false" outlineLevel="0" collapsed="false">
      <c r="A281" s="2" t="s">
        <v>1625</v>
      </c>
      <c r="B281" s="2" t="s">
        <v>4330</v>
      </c>
      <c r="C281" s="2" t="s">
        <v>45</v>
      </c>
      <c r="D281" s="2" t="s">
        <v>4331</v>
      </c>
      <c r="E281" s="2" t="s">
        <v>4327</v>
      </c>
    </row>
    <row r="282" customFormat="false" ht="15" hidden="false" customHeight="false" outlineLevel="0" collapsed="false">
      <c r="A282" s="2" t="s">
        <v>1207</v>
      </c>
      <c r="B282" s="2" t="s">
        <v>4330</v>
      </c>
      <c r="C282" s="2" t="s">
        <v>46</v>
      </c>
      <c r="D282" s="2" t="s">
        <v>4331</v>
      </c>
      <c r="E282" s="2" t="s">
        <v>4326</v>
      </c>
    </row>
    <row r="283" customFormat="false" ht="15" hidden="false" customHeight="false" outlineLevel="0" collapsed="false">
      <c r="A283" s="2" t="s">
        <v>1688</v>
      </c>
      <c r="B283" s="2" t="s">
        <v>4330</v>
      </c>
      <c r="C283" s="2" t="s">
        <v>45</v>
      </c>
      <c r="D283" s="2" t="s">
        <v>816</v>
      </c>
      <c r="E283" s="2" t="s">
        <v>4351</v>
      </c>
    </row>
    <row r="284" customFormat="false" ht="15" hidden="false" customHeight="false" outlineLevel="0" collapsed="false">
      <c r="A284" s="2" t="s">
        <v>1260</v>
      </c>
      <c r="B284" s="2" t="s">
        <v>4330</v>
      </c>
      <c r="C284" s="2" t="s">
        <v>46</v>
      </c>
      <c r="D284" s="2" t="s">
        <v>818</v>
      </c>
      <c r="E284" s="2" t="s">
        <v>4420</v>
      </c>
    </row>
    <row r="285" customFormat="false" ht="15" hidden="false" customHeight="false" outlineLevel="0" collapsed="false">
      <c r="A285" s="2" t="s">
        <v>1071</v>
      </c>
      <c r="B285" s="2" t="s">
        <v>4330</v>
      </c>
      <c r="C285" s="2" t="s">
        <v>46</v>
      </c>
      <c r="D285" s="2" t="s">
        <v>817</v>
      </c>
      <c r="E285" s="2" t="s">
        <v>4377</v>
      </c>
    </row>
    <row r="286" customFormat="false" ht="15" hidden="false" customHeight="false" outlineLevel="0" collapsed="false">
      <c r="A286" s="2" t="s">
        <v>1499</v>
      </c>
      <c r="B286" s="2" t="s">
        <v>4330</v>
      </c>
      <c r="C286" s="2" t="s">
        <v>46</v>
      </c>
      <c r="D286" s="2" t="s">
        <v>4375</v>
      </c>
      <c r="E286" s="2" t="s">
        <v>4421</v>
      </c>
    </row>
    <row r="287" customFormat="false" ht="15" hidden="false" customHeight="false" outlineLevel="0" collapsed="false">
      <c r="A287" s="2" t="s">
        <v>1034</v>
      </c>
      <c r="B287" s="2" t="s">
        <v>4330</v>
      </c>
      <c r="C287" s="2" t="s">
        <v>46</v>
      </c>
      <c r="D287" s="2" t="s">
        <v>4331</v>
      </c>
      <c r="E287" s="2" t="s">
        <v>4333</v>
      </c>
    </row>
    <row r="288" customFormat="false" ht="15" hidden="false" customHeight="false" outlineLevel="0" collapsed="false">
      <c r="A288" s="2" t="s">
        <v>2288</v>
      </c>
      <c r="B288" s="2" t="s">
        <v>4330</v>
      </c>
      <c r="C288" s="2" t="s">
        <v>45</v>
      </c>
      <c r="D288" s="2" t="s">
        <v>817</v>
      </c>
      <c r="E288" s="2" t="s">
        <v>4339</v>
      </c>
    </row>
    <row r="289" customFormat="false" ht="15" hidden="false" customHeight="false" outlineLevel="0" collapsed="false">
      <c r="A289" s="2" t="s">
        <v>2288</v>
      </c>
      <c r="B289" s="2" t="s">
        <v>4330</v>
      </c>
      <c r="C289" s="2" t="s">
        <v>46</v>
      </c>
      <c r="D289" s="2" t="s">
        <v>818</v>
      </c>
      <c r="E289" s="2" t="s">
        <v>4355</v>
      </c>
    </row>
    <row r="290" customFormat="false" ht="15" hidden="false" customHeight="false" outlineLevel="0" collapsed="false">
      <c r="A290" s="2" t="s">
        <v>3110</v>
      </c>
      <c r="B290" s="2" t="s">
        <v>4330</v>
      </c>
      <c r="C290" s="2" t="s">
        <v>45</v>
      </c>
      <c r="D290" s="2" t="s">
        <v>4422</v>
      </c>
      <c r="E290" s="2" t="s">
        <v>4423</v>
      </c>
    </row>
    <row r="291" customFormat="false" ht="15" hidden="false" customHeight="false" outlineLevel="0" collapsed="false">
      <c r="A291" s="2" t="s">
        <v>1021</v>
      </c>
      <c r="B291" s="2" t="s">
        <v>4330</v>
      </c>
      <c r="C291" s="2" t="s">
        <v>46</v>
      </c>
      <c r="D291" s="2" t="s">
        <v>818</v>
      </c>
      <c r="E291" s="2" t="s">
        <v>4332</v>
      </c>
    </row>
    <row r="292" customFormat="false" ht="15" hidden="false" customHeight="false" outlineLevel="0" collapsed="false">
      <c r="A292" s="2" t="s">
        <v>875</v>
      </c>
      <c r="B292" s="2" t="s">
        <v>4330</v>
      </c>
      <c r="C292" s="2" t="s">
        <v>46</v>
      </c>
      <c r="D292" s="2" t="s">
        <v>818</v>
      </c>
      <c r="E292" s="2" t="s">
        <v>4397</v>
      </c>
    </row>
    <row r="293" customFormat="false" ht="15" hidden="false" customHeight="false" outlineLevel="0" collapsed="false">
      <c r="A293" s="2" t="s">
        <v>2824</v>
      </c>
      <c r="B293" s="2" t="s">
        <v>4330</v>
      </c>
      <c r="C293" s="2" t="s">
        <v>45</v>
      </c>
      <c r="D293" s="2" t="s">
        <v>818</v>
      </c>
      <c r="E293" s="2" t="s">
        <v>4345</v>
      </c>
    </row>
    <row r="294" customFormat="false" ht="15" hidden="false" customHeight="false" outlineLevel="0" collapsed="false">
      <c r="A294" s="2" t="s">
        <v>2824</v>
      </c>
      <c r="B294" s="2" t="s">
        <v>4330</v>
      </c>
      <c r="C294" s="2" t="s">
        <v>46</v>
      </c>
      <c r="D294" s="2" t="s">
        <v>816</v>
      </c>
      <c r="E294" s="2" t="s">
        <v>4351</v>
      </c>
    </row>
    <row r="295" customFormat="false" ht="15" hidden="false" customHeight="false" outlineLevel="0" collapsed="false">
      <c r="A295" s="2" t="s">
        <v>2181</v>
      </c>
      <c r="B295" s="2" t="s">
        <v>4330</v>
      </c>
      <c r="C295" s="2" t="s">
        <v>45</v>
      </c>
      <c r="D295" s="2" t="s">
        <v>4362</v>
      </c>
      <c r="E295" s="2" t="s">
        <v>4418</v>
      </c>
    </row>
    <row r="296" customFormat="false" ht="15" hidden="false" customHeight="false" outlineLevel="0" collapsed="false">
      <c r="A296" s="2" t="s">
        <v>1176</v>
      </c>
      <c r="B296" s="2" t="s">
        <v>4330</v>
      </c>
      <c r="C296" s="2" t="s">
        <v>47</v>
      </c>
      <c r="D296" s="2" t="s">
        <v>817</v>
      </c>
      <c r="E296" s="2" t="s">
        <v>4339</v>
      </c>
    </row>
    <row r="297" customFormat="false" ht="15" hidden="false" customHeight="false" outlineLevel="0" collapsed="false">
      <c r="A297" s="2" t="s">
        <v>2102</v>
      </c>
      <c r="B297" s="2" t="s">
        <v>4330</v>
      </c>
      <c r="C297" s="2" t="s">
        <v>45</v>
      </c>
      <c r="D297" s="2" t="s">
        <v>818</v>
      </c>
      <c r="E297" s="2" t="s">
        <v>4355</v>
      </c>
    </row>
    <row r="298" customFormat="false" ht="15" hidden="false" customHeight="false" outlineLevel="0" collapsed="false">
      <c r="A298" s="2" t="s">
        <v>2160</v>
      </c>
      <c r="B298" s="2" t="s">
        <v>4330</v>
      </c>
      <c r="C298" s="2" t="s">
        <v>45</v>
      </c>
      <c r="D298" s="2" t="s">
        <v>4409</v>
      </c>
      <c r="E298" s="2" t="s">
        <v>4424</v>
      </c>
    </row>
    <row r="299" customFormat="false" ht="15" hidden="false" customHeight="false" outlineLevel="0" collapsed="false">
      <c r="A299" s="2" t="s">
        <v>904</v>
      </c>
      <c r="B299" s="2" t="s">
        <v>4330</v>
      </c>
      <c r="C299" s="2" t="s">
        <v>46</v>
      </c>
      <c r="D299" s="2" t="s">
        <v>4331</v>
      </c>
      <c r="E299" s="2" t="s">
        <v>4328</v>
      </c>
    </row>
    <row r="300" customFormat="false" ht="15" hidden="false" customHeight="false" outlineLevel="0" collapsed="false">
      <c r="A300" s="2" t="s">
        <v>2508</v>
      </c>
      <c r="B300" s="2" t="s">
        <v>4330</v>
      </c>
      <c r="C300" s="2" t="s">
        <v>45</v>
      </c>
      <c r="D300" s="2" t="s">
        <v>818</v>
      </c>
      <c r="E300" s="2" t="s">
        <v>4425</v>
      </c>
    </row>
    <row r="301" customFormat="false" ht="15" hidden="false" customHeight="false" outlineLevel="0" collapsed="false">
      <c r="A301" s="2" t="s">
        <v>2508</v>
      </c>
      <c r="B301" s="2" t="s">
        <v>4330</v>
      </c>
      <c r="C301" s="2" t="s">
        <v>46</v>
      </c>
      <c r="D301" s="2" t="s">
        <v>4422</v>
      </c>
      <c r="E301" s="2" t="s">
        <v>4426</v>
      </c>
    </row>
    <row r="302" customFormat="false" ht="15" hidden="false" customHeight="false" outlineLevel="0" collapsed="false">
      <c r="A302" s="2" t="s">
        <v>1383</v>
      </c>
      <c r="B302" s="2" t="s">
        <v>4330</v>
      </c>
      <c r="C302" s="2" t="s">
        <v>46</v>
      </c>
      <c r="D302" s="2" t="s">
        <v>4331</v>
      </c>
      <c r="E302" s="2" t="s">
        <v>4333</v>
      </c>
    </row>
    <row r="303" customFormat="false" ht="15" hidden="false" customHeight="false" outlineLevel="0" collapsed="false">
      <c r="A303" s="2" t="s">
        <v>2546</v>
      </c>
      <c r="B303" s="2" t="s">
        <v>4330</v>
      </c>
      <c r="C303" s="2" t="s">
        <v>45</v>
      </c>
      <c r="D303" s="2" t="s">
        <v>4331</v>
      </c>
      <c r="E303" s="2" t="s">
        <v>4327</v>
      </c>
    </row>
    <row r="304" customFormat="false" ht="15" hidden="false" customHeight="false" outlineLevel="0" collapsed="false">
      <c r="A304" s="2" t="s">
        <v>2546</v>
      </c>
      <c r="B304" s="2" t="s">
        <v>4330</v>
      </c>
      <c r="C304" s="2" t="s">
        <v>46</v>
      </c>
      <c r="D304" s="2" t="s">
        <v>4336</v>
      </c>
      <c r="E304" s="2" t="s">
        <v>4361</v>
      </c>
    </row>
    <row r="305" customFormat="false" ht="15" hidden="false" customHeight="false" outlineLevel="0" collapsed="false">
      <c r="A305" s="2" t="s">
        <v>2833</v>
      </c>
      <c r="B305" s="2" t="s">
        <v>4330</v>
      </c>
      <c r="C305" s="2" t="s">
        <v>45</v>
      </c>
      <c r="D305" s="2" t="s">
        <v>4348</v>
      </c>
      <c r="E305" s="2" t="s">
        <v>4427</v>
      </c>
    </row>
    <row r="306" customFormat="false" ht="15" hidden="false" customHeight="false" outlineLevel="0" collapsed="false">
      <c r="A306" s="2" t="s">
        <v>2833</v>
      </c>
      <c r="B306" s="2" t="s">
        <v>4330</v>
      </c>
      <c r="C306" s="2" t="s">
        <v>46</v>
      </c>
      <c r="D306" s="2" t="s">
        <v>4331</v>
      </c>
      <c r="E306" s="2" t="s">
        <v>4333</v>
      </c>
    </row>
    <row r="307" customFormat="false" ht="15" hidden="false" customHeight="false" outlineLevel="0" collapsed="false">
      <c r="A307" s="2" t="s">
        <v>1764</v>
      </c>
      <c r="B307" s="2" t="s">
        <v>4330</v>
      </c>
      <c r="C307" s="2" t="s">
        <v>45</v>
      </c>
      <c r="D307" s="2" t="s">
        <v>817</v>
      </c>
      <c r="E307" s="2" t="s">
        <v>4339</v>
      </c>
    </row>
    <row r="308" customFormat="false" ht="15" hidden="false" customHeight="false" outlineLevel="0" collapsed="false">
      <c r="A308" s="2" t="s">
        <v>1966</v>
      </c>
      <c r="B308" s="2" t="s">
        <v>4330</v>
      </c>
      <c r="C308" s="2" t="s">
        <v>45</v>
      </c>
      <c r="D308" s="2" t="s">
        <v>818</v>
      </c>
      <c r="E308" s="2" t="s">
        <v>4386</v>
      </c>
    </row>
    <row r="309" customFormat="false" ht="15" hidden="false" customHeight="false" outlineLevel="0" collapsed="false">
      <c r="A309" s="2" t="s">
        <v>2111</v>
      </c>
      <c r="B309" s="2" t="s">
        <v>4330</v>
      </c>
      <c r="C309" s="2" t="s">
        <v>45</v>
      </c>
      <c r="D309" s="2" t="s">
        <v>818</v>
      </c>
      <c r="E309" s="2" t="s">
        <v>4355</v>
      </c>
    </row>
    <row r="310" customFormat="false" ht="15" hidden="false" customHeight="false" outlineLevel="0" collapsed="false">
      <c r="A310" s="2" t="s">
        <v>1423</v>
      </c>
      <c r="B310" s="2" t="s">
        <v>4330</v>
      </c>
      <c r="C310" s="2" t="s">
        <v>46</v>
      </c>
      <c r="D310" s="2" t="s">
        <v>818</v>
      </c>
      <c r="E310" s="2" t="s">
        <v>4346</v>
      </c>
    </row>
    <row r="311" customFormat="false" ht="15" hidden="false" customHeight="false" outlineLevel="0" collapsed="false">
      <c r="A311" s="2" t="s">
        <v>1128</v>
      </c>
      <c r="B311" s="2" t="s">
        <v>4330</v>
      </c>
      <c r="C311" s="2" t="s">
        <v>47</v>
      </c>
      <c r="D311" s="2" t="s">
        <v>818</v>
      </c>
      <c r="E311" s="2" t="s">
        <v>4428</v>
      </c>
    </row>
    <row r="312" customFormat="false" ht="15" hidden="false" customHeight="false" outlineLevel="0" collapsed="false">
      <c r="A312" s="2" t="s">
        <v>2853</v>
      </c>
      <c r="B312" s="2" t="s">
        <v>4330</v>
      </c>
      <c r="C312" s="2" t="s">
        <v>46</v>
      </c>
      <c r="D312" s="2" t="s">
        <v>818</v>
      </c>
      <c r="E312" s="2" t="s">
        <v>4355</v>
      </c>
    </row>
    <row r="313" customFormat="false" ht="15" hidden="false" customHeight="false" outlineLevel="0" collapsed="false">
      <c r="A313" s="2" t="s">
        <v>1018</v>
      </c>
      <c r="B313" s="2" t="s">
        <v>4330</v>
      </c>
      <c r="C313" s="2" t="s">
        <v>46</v>
      </c>
      <c r="D313" s="2" t="s">
        <v>4331</v>
      </c>
      <c r="E313" s="2" t="s">
        <v>4328</v>
      </c>
    </row>
    <row r="314" customFormat="false" ht="15" hidden="false" customHeight="false" outlineLevel="0" collapsed="false">
      <c r="A314" s="2" t="s">
        <v>2251</v>
      </c>
      <c r="B314" s="2" t="s">
        <v>4330</v>
      </c>
      <c r="C314" s="2" t="s">
        <v>45</v>
      </c>
      <c r="D314" s="2" t="s">
        <v>4331</v>
      </c>
      <c r="E314" s="2" t="s">
        <v>4328</v>
      </c>
    </row>
    <row r="315" customFormat="false" ht="15" hidden="false" customHeight="false" outlineLevel="0" collapsed="false">
      <c r="A315" s="2" t="s">
        <v>2251</v>
      </c>
      <c r="B315" s="2" t="s">
        <v>4330</v>
      </c>
      <c r="C315" s="2" t="s">
        <v>46</v>
      </c>
      <c r="D315" s="2" t="s">
        <v>816</v>
      </c>
      <c r="E315" s="2" t="s">
        <v>4351</v>
      </c>
    </row>
    <row r="316" customFormat="false" ht="15" hidden="false" customHeight="false" outlineLevel="0" collapsed="false">
      <c r="A316" s="2" t="s">
        <v>2503</v>
      </c>
      <c r="B316" s="2" t="s">
        <v>4330</v>
      </c>
      <c r="C316" s="2" t="s">
        <v>45</v>
      </c>
      <c r="D316" s="2" t="s">
        <v>4331</v>
      </c>
      <c r="E316" s="2" t="s">
        <v>4333</v>
      </c>
    </row>
    <row r="317" customFormat="false" ht="15" hidden="false" customHeight="false" outlineLevel="0" collapsed="false">
      <c r="A317" s="2" t="s">
        <v>2503</v>
      </c>
      <c r="B317" s="2" t="s">
        <v>4330</v>
      </c>
      <c r="C317" s="2" t="s">
        <v>46</v>
      </c>
      <c r="D317" s="2" t="s">
        <v>818</v>
      </c>
      <c r="E317" s="2" t="s">
        <v>4365</v>
      </c>
    </row>
    <row r="318" customFormat="false" ht="15" hidden="false" customHeight="false" outlineLevel="0" collapsed="false">
      <c r="A318" s="2" t="s">
        <v>1101</v>
      </c>
      <c r="B318" s="2" t="s">
        <v>4330</v>
      </c>
      <c r="C318" s="2" t="s">
        <v>46</v>
      </c>
      <c r="D318" s="2" t="s">
        <v>4331</v>
      </c>
      <c r="E318" s="2" t="s">
        <v>4328</v>
      </c>
    </row>
    <row r="319" customFormat="false" ht="15" hidden="false" customHeight="false" outlineLevel="0" collapsed="false">
      <c r="A319" s="2" t="s">
        <v>1402</v>
      </c>
      <c r="B319" s="2" t="s">
        <v>4330</v>
      </c>
      <c r="C319" s="2" t="s">
        <v>47</v>
      </c>
      <c r="D319" s="2" t="s">
        <v>817</v>
      </c>
      <c r="E319" s="2" t="s">
        <v>4389</v>
      </c>
    </row>
    <row r="320" customFormat="false" ht="15" hidden="false" customHeight="false" outlineLevel="0" collapsed="false">
      <c r="A320" s="2" t="s">
        <v>2730</v>
      </c>
      <c r="B320" s="2" t="s">
        <v>4330</v>
      </c>
      <c r="C320" s="2" t="s">
        <v>45</v>
      </c>
      <c r="D320" s="2" t="s">
        <v>818</v>
      </c>
      <c r="E320" s="2" t="s">
        <v>4429</v>
      </c>
    </row>
    <row r="321" customFormat="false" ht="15" hidden="false" customHeight="false" outlineLevel="0" collapsed="false">
      <c r="A321" s="2" t="s">
        <v>888</v>
      </c>
      <c r="B321" s="2" t="s">
        <v>4330</v>
      </c>
      <c r="C321" s="2" t="s">
        <v>46</v>
      </c>
      <c r="D321" s="2" t="s">
        <v>818</v>
      </c>
      <c r="E321" s="2" t="s">
        <v>4430</v>
      </c>
    </row>
    <row r="322" customFormat="false" ht="15" hidden="false" customHeight="false" outlineLevel="0" collapsed="false">
      <c r="A322" s="2" t="s">
        <v>1599</v>
      </c>
      <c r="B322" s="2" t="s">
        <v>4330</v>
      </c>
      <c r="C322" s="2" t="s">
        <v>45</v>
      </c>
      <c r="D322" s="2" t="s">
        <v>4331</v>
      </c>
      <c r="E322" s="2" t="s">
        <v>4333</v>
      </c>
    </row>
    <row r="323" customFormat="false" ht="15" hidden="false" customHeight="false" outlineLevel="0" collapsed="false">
      <c r="A323" s="2" t="s">
        <v>3134</v>
      </c>
      <c r="B323" s="2" t="s">
        <v>4330</v>
      </c>
      <c r="C323" s="2" t="s">
        <v>47</v>
      </c>
      <c r="D323" s="2" t="s">
        <v>4331</v>
      </c>
      <c r="E323" s="2" t="s">
        <v>4329</v>
      </c>
    </row>
    <row r="324" customFormat="false" ht="15" hidden="false" customHeight="false" outlineLevel="0" collapsed="false">
      <c r="A324" s="2" t="s">
        <v>1699</v>
      </c>
      <c r="B324" s="2" t="s">
        <v>4330</v>
      </c>
      <c r="C324" s="2" t="s">
        <v>45</v>
      </c>
      <c r="D324" s="2" t="s">
        <v>4331</v>
      </c>
      <c r="E324" s="2" t="s">
        <v>4327</v>
      </c>
    </row>
    <row r="325" customFormat="false" ht="15" hidden="false" customHeight="false" outlineLevel="0" collapsed="false">
      <c r="A325" s="2" t="s">
        <v>3135</v>
      </c>
      <c r="B325" s="2" t="s">
        <v>4330</v>
      </c>
      <c r="C325" s="2" t="s">
        <v>46</v>
      </c>
      <c r="D325" s="2" t="s">
        <v>4375</v>
      </c>
      <c r="E325" s="2" t="s">
        <v>4408</v>
      </c>
    </row>
    <row r="326" customFormat="false" ht="15" hidden="false" customHeight="false" outlineLevel="0" collapsed="false">
      <c r="A326" s="2" t="s">
        <v>2636</v>
      </c>
      <c r="B326" s="2" t="s">
        <v>4330</v>
      </c>
      <c r="C326" s="2" t="s">
        <v>45</v>
      </c>
      <c r="D326" s="2" t="s">
        <v>818</v>
      </c>
      <c r="E326" s="2" t="s">
        <v>4346</v>
      </c>
    </row>
    <row r="327" customFormat="false" ht="15" hidden="false" customHeight="false" outlineLevel="0" collapsed="false">
      <c r="A327" s="2" t="s">
        <v>2636</v>
      </c>
      <c r="B327" s="2" t="s">
        <v>4330</v>
      </c>
      <c r="C327" s="2" t="s">
        <v>46</v>
      </c>
      <c r="D327" s="2" t="s">
        <v>4366</v>
      </c>
      <c r="E327" s="2" t="s">
        <v>4367</v>
      </c>
    </row>
    <row r="328" customFormat="false" ht="15" hidden="false" customHeight="false" outlineLevel="0" collapsed="false">
      <c r="A328" s="2" t="s">
        <v>1794</v>
      </c>
      <c r="B328" s="2" t="s">
        <v>4330</v>
      </c>
      <c r="C328" s="2" t="s">
        <v>45</v>
      </c>
      <c r="D328" s="2" t="s">
        <v>4348</v>
      </c>
      <c r="E328" s="2" t="s">
        <v>4431</v>
      </c>
    </row>
    <row r="329" customFormat="false" ht="15" hidden="false" customHeight="false" outlineLevel="0" collapsed="false">
      <c r="A329" s="2" t="s">
        <v>3139</v>
      </c>
      <c r="B329" s="2" t="s">
        <v>4330</v>
      </c>
      <c r="C329" s="2" t="s">
        <v>46</v>
      </c>
      <c r="D329" s="2" t="s">
        <v>818</v>
      </c>
      <c r="E329" s="2" t="s">
        <v>4432</v>
      </c>
    </row>
    <row r="330" customFormat="false" ht="15" hidden="false" customHeight="false" outlineLevel="0" collapsed="false">
      <c r="A330" s="2" t="s">
        <v>3139</v>
      </c>
      <c r="B330" s="2" t="s">
        <v>4330</v>
      </c>
      <c r="C330" s="2" t="s">
        <v>47</v>
      </c>
      <c r="D330" s="2" t="s">
        <v>4331</v>
      </c>
      <c r="E330" s="2" t="s">
        <v>4327</v>
      </c>
    </row>
    <row r="331" customFormat="false" ht="15" hidden="false" customHeight="false" outlineLevel="0" collapsed="false">
      <c r="A331" s="2" t="s">
        <v>975</v>
      </c>
      <c r="B331" s="2" t="s">
        <v>4330</v>
      </c>
      <c r="C331" s="2" t="s">
        <v>46</v>
      </c>
      <c r="D331" s="2" t="s">
        <v>4331</v>
      </c>
      <c r="E331" s="2" t="s">
        <v>4327</v>
      </c>
    </row>
    <row r="332" customFormat="false" ht="15" hidden="false" customHeight="false" outlineLevel="0" collapsed="false">
      <c r="A332" s="2" t="s">
        <v>3141</v>
      </c>
      <c r="B332" s="2" t="s">
        <v>4330</v>
      </c>
      <c r="C332" s="2" t="s">
        <v>47</v>
      </c>
      <c r="D332" s="2" t="s">
        <v>818</v>
      </c>
      <c r="E332" s="2" t="s">
        <v>4340</v>
      </c>
    </row>
    <row r="333" customFormat="false" ht="15" hidden="false" customHeight="false" outlineLevel="0" collapsed="false">
      <c r="A333" s="2" t="s">
        <v>1044</v>
      </c>
      <c r="B333" s="2" t="s">
        <v>4330</v>
      </c>
      <c r="C333" s="2" t="s">
        <v>46</v>
      </c>
      <c r="D333" s="2" t="s">
        <v>4331</v>
      </c>
      <c r="E333" s="2" t="s">
        <v>4327</v>
      </c>
    </row>
    <row r="334" customFormat="false" ht="15" hidden="false" customHeight="false" outlineLevel="0" collapsed="false">
      <c r="A334" s="2" t="s">
        <v>1044</v>
      </c>
      <c r="B334" s="2" t="s">
        <v>4330</v>
      </c>
      <c r="C334" s="2" t="s">
        <v>47</v>
      </c>
      <c r="D334" s="2" t="s">
        <v>818</v>
      </c>
      <c r="E334" s="2" t="s">
        <v>4345</v>
      </c>
    </row>
    <row r="335" customFormat="false" ht="15" hidden="false" customHeight="false" outlineLevel="0" collapsed="false">
      <c r="A335" s="2" t="s">
        <v>3144</v>
      </c>
      <c r="B335" s="2" t="s">
        <v>4330</v>
      </c>
      <c r="C335" s="2" t="s">
        <v>46</v>
      </c>
      <c r="D335" s="2" t="s">
        <v>817</v>
      </c>
      <c r="E335" s="2" t="s">
        <v>4377</v>
      </c>
    </row>
    <row r="336" customFormat="false" ht="15" hidden="false" customHeight="false" outlineLevel="0" collapsed="false">
      <c r="A336" s="2" t="s">
        <v>2561</v>
      </c>
      <c r="B336" s="2" t="s">
        <v>4330</v>
      </c>
      <c r="C336" s="2" t="s">
        <v>46</v>
      </c>
      <c r="D336" s="2" t="s">
        <v>4362</v>
      </c>
      <c r="E336" s="2" t="s">
        <v>4418</v>
      </c>
    </row>
    <row r="337" customFormat="false" ht="15" hidden="false" customHeight="false" outlineLevel="0" collapsed="false">
      <c r="A337" s="2" t="s">
        <v>1619</v>
      </c>
      <c r="B337" s="2" t="s">
        <v>4330</v>
      </c>
      <c r="C337" s="2" t="s">
        <v>45</v>
      </c>
      <c r="D337" s="2" t="s">
        <v>818</v>
      </c>
      <c r="E337" s="2" t="s">
        <v>4405</v>
      </c>
    </row>
    <row r="338" customFormat="false" ht="15" hidden="false" customHeight="false" outlineLevel="0" collapsed="false">
      <c r="A338" s="2" t="s">
        <v>3148</v>
      </c>
      <c r="B338" s="2" t="s">
        <v>4330</v>
      </c>
      <c r="C338" s="2" t="s">
        <v>47</v>
      </c>
      <c r="D338" s="2" t="s">
        <v>4366</v>
      </c>
      <c r="E338" s="2" t="s">
        <v>4367</v>
      </c>
    </row>
    <row r="339" customFormat="false" ht="15" hidden="false" customHeight="false" outlineLevel="0" collapsed="false">
      <c r="A339" s="2" t="s">
        <v>1405</v>
      </c>
      <c r="B339" s="2" t="s">
        <v>4330</v>
      </c>
      <c r="C339" s="2" t="s">
        <v>46</v>
      </c>
      <c r="D339" s="2" t="s">
        <v>818</v>
      </c>
      <c r="E339" s="2" t="s">
        <v>4343</v>
      </c>
    </row>
    <row r="340" customFormat="false" ht="15" hidden="false" customHeight="false" outlineLevel="0" collapsed="false">
      <c r="A340" s="2" t="s">
        <v>2597</v>
      </c>
      <c r="B340" s="2" t="s">
        <v>4330</v>
      </c>
      <c r="C340" s="2" t="s">
        <v>45</v>
      </c>
      <c r="D340" s="2" t="s">
        <v>817</v>
      </c>
      <c r="E340" s="2" t="s">
        <v>4417</v>
      </c>
    </row>
    <row r="341" customFormat="false" ht="15" hidden="false" customHeight="false" outlineLevel="0" collapsed="false">
      <c r="A341" s="2" t="s">
        <v>1322</v>
      </c>
      <c r="B341" s="2" t="s">
        <v>4330</v>
      </c>
      <c r="C341" s="2" t="s">
        <v>46</v>
      </c>
      <c r="D341" s="2" t="s">
        <v>4331</v>
      </c>
      <c r="E341" s="2" t="s">
        <v>4328</v>
      </c>
    </row>
    <row r="342" customFormat="false" ht="15" hidden="false" customHeight="false" outlineLevel="0" collapsed="false">
      <c r="A342" s="2" t="s">
        <v>1539</v>
      </c>
      <c r="B342" s="2" t="s">
        <v>4330</v>
      </c>
      <c r="C342" s="2" t="s">
        <v>46</v>
      </c>
      <c r="D342" s="2" t="s">
        <v>4331</v>
      </c>
      <c r="E342" s="2" t="s">
        <v>4333</v>
      </c>
    </row>
    <row r="343" customFormat="false" ht="15" hidden="false" customHeight="false" outlineLevel="0" collapsed="false">
      <c r="A343" s="2" t="s">
        <v>1475</v>
      </c>
      <c r="B343" s="2" t="s">
        <v>4330</v>
      </c>
      <c r="C343" s="2" t="s">
        <v>47</v>
      </c>
      <c r="D343" s="2" t="s">
        <v>4331</v>
      </c>
      <c r="E343" s="2" t="s">
        <v>4344</v>
      </c>
    </row>
    <row r="344" customFormat="false" ht="15" hidden="false" customHeight="false" outlineLevel="0" collapsed="false">
      <c r="A344" s="2" t="s">
        <v>1015</v>
      </c>
      <c r="B344" s="2" t="s">
        <v>4330</v>
      </c>
      <c r="C344" s="2" t="s">
        <v>46</v>
      </c>
      <c r="D344" s="2" t="s">
        <v>4331</v>
      </c>
      <c r="E344" s="2" t="s">
        <v>4328</v>
      </c>
    </row>
    <row r="345" customFormat="false" ht="15" hidden="false" customHeight="false" outlineLevel="0" collapsed="false">
      <c r="A345" s="2" t="s">
        <v>1050</v>
      </c>
      <c r="B345" s="2" t="s">
        <v>4330</v>
      </c>
      <c r="C345" s="2" t="s">
        <v>46</v>
      </c>
      <c r="D345" s="2" t="s">
        <v>818</v>
      </c>
      <c r="E345" s="2" t="s">
        <v>4355</v>
      </c>
    </row>
    <row r="346" customFormat="false" ht="15" hidden="false" customHeight="false" outlineLevel="0" collapsed="false">
      <c r="A346" s="2" t="s">
        <v>992</v>
      </c>
      <c r="B346" s="2" t="s">
        <v>4330</v>
      </c>
      <c r="C346" s="2" t="s">
        <v>47</v>
      </c>
      <c r="D346" s="2" t="s">
        <v>816</v>
      </c>
      <c r="E346" s="2" t="s">
        <v>4383</v>
      </c>
    </row>
    <row r="347" customFormat="false" ht="15" hidden="false" customHeight="false" outlineLevel="0" collapsed="false">
      <c r="A347" s="2" t="s">
        <v>1152</v>
      </c>
      <c r="B347" s="2" t="s">
        <v>4330</v>
      </c>
      <c r="C347" s="2" t="s">
        <v>46</v>
      </c>
      <c r="D347" s="2" t="s">
        <v>817</v>
      </c>
      <c r="E347" s="2" t="s">
        <v>4433</v>
      </c>
    </row>
    <row r="348" customFormat="false" ht="15" hidden="false" customHeight="false" outlineLevel="0" collapsed="false">
      <c r="A348" s="2" t="s">
        <v>1355</v>
      </c>
      <c r="B348" s="2" t="s">
        <v>4330</v>
      </c>
      <c r="C348" s="2" t="s">
        <v>46</v>
      </c>
      <c r="D348" s="2" t="s">
        <v>4331</v>
      </c>
      <c r="E348" s="2" t="s">
        <v>4333</v>
      </c>
    </row>
    <row r="349" customFormat="false" ht="15" hidden="false" customHeight="false" outlineLevel="0" collapsed="false">
      <c r="A349" s="2" t="s">
        <v>2449</v>
      </c>
      <c r="B349" s="2" t="s">
        <v>4330</v>
      </c>
      <c r="C349" s="2" t="s">
        <v>45</v>
      </c>
      <c r="D349" s="2" t="s">
        <v>4331</v>
      </c>
      <c r="E349" s="2" t="s">
        <v>4434</v>
      </c>
    </row>
    <row r="350" customFormat="false" ht="15" hidden="false" customHeight="false" outlineLevel="0" collapsed="false">
      <c r="A350" s="2" t="s">
        <v>2449</v>
      </c>
      <c r="B350" s="2" t="s">
        <v>4330</v>
      </c>
      <c r="C350" s="2" t="s">
        <v>46</v>
      </c>
      <c r="D350" s="2" t="s">
        <v>816</v>
      </c>
      <c r="E350" s="2" t="s">
        <v>4351</v>
      </c>
    </row>
    <row r="351" customFormat="false" ht="15" hidden="false" customHeight="false" outlineLevel="0" collapsed="false">
      <c r="A351" s="2" t="s">
        <v>1590</v>
      </c>
      <c r="B351" s="2" t="s">
        <v>4330</v>
      </c>
      <c r="C351" s="2" t="s">
        <v>46</v>
      </c>
      <c r="D351" s="2" t="s">
        <v>4331</v>
      </c>
      <c r="E351" s="2" t="s">
        <v>4333</v>
      </c>
    </row>
    <row r="352" customFormat="false" ht="15" hidden="false" customHeight="false" outlineLevel="0" collapsed="false">
      <c r="A352" s="2" t="s">
        <v>1012</v>
      </c>
      <c r="B352" s="2" t="s">
        <v>4330</v>
      </c>
      <c r="C352" s="2" t="s">
        <v>46</v>
      </c>
      <c r="D352" s="2" t="s">
        <v>4331</v>
      </c>
      <c r="E352" s="2" t="s">
        <v>4328</v>
      </c>
    </row>
    <row r="353" customFormat="false" ht="15" hidden="false" customHeight="false" outlineLevel="0" collapsed="false">
      <c r="A353" s="2" t="s">
        <v>1012</v>
      </c>
      <c r="B353" s="2" t="s">
        <v>4330</v>
      </c>
      <c r="C353" s="2" t="s">
        <v>47</v>
      </c>
      <c r="D353" s="2" t="s">
        <v>4348</v>
      </c>
      <c r="E353" s="2" t="s">
        <v>4427</v>
      </c>
    </row>
    <row r="354" customFormat="false" ht="15" hidden="false" customHeight="false" outlineLevel="0" collapsed="false">
      <c r="A354" s="2" t="s">
        <v>989</v>
      </c>
      <c r="B354" s="2" t="s">
        <v>4330</v>
      </c>
      <c r="C354" s="2" t="s">
        <v>46</v>
      </c>
      <c r="D354" s="2" t="s">
        <v>818</v>
      </c>
      <c r="E354" s="2" t="s">
        <v>4355</v>
      </c>
    </row>
    <row r="355" customFormat="false" ht="15" hidden="false" customHeight="false" outlineLevel="0" collapsed="false">
      <c r="A355" s="2" t="s">
        <v>1512</v>
      </c>
      <c r="B355" s="2" t="s">
        <v>4330</v>
      </c>
      <c r="C355" s="2" t="s">
        <v>47</v>
      </c>
      <c r="D355" s="2" t="s">
        <v>817</v>
      </c>
      <c r="E355" s="2" t="s">
        <v>4389</v>
      </c>
    </row>
    <row r="356" customFormat="false" ht="15" hidden="false" customHeight="false" outlineLevel="0" collapsed="false">
      <c r="A356" s="2" t="s">
        <v>3158</v>
      </c>
      <c r="B356" s="2" t="s">
        <v>4330</v>
      </c>
      <c r="C356" s="2" t="s">
        <v>45</v>
      </c>
      <c r="D356" s="2" t="s">
        <v>818</v>
      </c>
      <c r="E356" s="2" t="s">
        <v>4435</v>
      </c>
    </row>
    <row r="357" customFormat="false" ht="15" hidden="false" customHeight="false" outlineLevel="0" collapsed="false">
      <c r="A357" s="2" t="s">
        <v>1336</v>
      </c>
      <c r="B357" s="2" t="s">
        <v>4330</v>
      </c>
      <c r="C357" s="2" t="s">
        <v>46</v>
      </c>
      <c r="D357" s="2" t="s">
        <v>818</v>
      </c>
      <c r="E357" s="2" t="s">
        <v>4355</v>
      </c>
    </row>
    <row r="358" customFormat="false" ht="15" hidden="false" customHeight="false" outlineLevel="0" collapsed="false">
      <c r="A358" s="2" t="s">
        <v>2390</v>
      </c>
      <c r="B358" s="2" t="s">
        <v>4330</v>
      </c>
      <c r="C358" s="2" t="s">
        <v>45</v>
      </c>
      <c r="D358" s="2" t="s">
        <v>4331</v>
      </c>
      <c r="E358" s="2" t="s">
        <v>4333</v>
      </c>
    </row>
    <row r="359" customFormat="false" ht="15" hidden="false" customHeight="false" outlineLevel="0" collapsed="false">
      <c r="A359" s="2" t="s">
        <v>2390</v>
      </c>
      <c r="B359" s="2" t="s">
        <v>4330</v>
      </c>
      <c r="C359" s="2" t="s">
        <v>46</v>
      </c>
      <c r="D359" s="2" t="s">
        <v>4409</v>
      </c>
      <c r="E359" s="2" t="s">
        <v>4436</v>
      </c>
    </row>
    <row r="360" customFormat="false" ht="15" hidden="false" customHeight="false" outlineLevel="0" collapsed="false">
      <c r="A360" s="2" t="s">
        <v>2830</v>
      </c>
      <c r="B360" s="2" t="s">
        <v>4330</v>
      </c>
      <c r="C360" s="2" t="s">
        <v>45</v>
      </c>
      <c r="D360" s="2" t="s">
        <v>4409</v>
      </c>
      <c r="E360" s="2" t="s">
        <v>4437</v>
      </c>
    </row>
    <row r="361" customFormat="false" ht="15" hidden="false" customHeight="false" outlineLevel="0" collapsed="false">
      <c r="A361" s="2" t="s">
        <v>2830</v>
      </c>
      <c r="B361" s="2" t="s">
        <v>4330</v>
      </c>
      <c r="C361" s="2" t="s">
        <v>46</v>
      </c>
      <c r="D361" s="2" t="s">
        <v>818</v>
      </c>
      <c r="E361" s="2" t="s">
        <v>4341</v>
      </c>
    </row>
    <row r="362" customFormat="false" ht="15" hidden="false" customHeight="false" outlineLevel="0" collapsed="false">
      <c r="A362" s="2" t="s">
        <v>1417</v>
      </c>
      <c r="B362" s="2" t="s">
        <v>4330</v>
      </c>
      <c r="C362" s="2" t="s">
        <v>46</v>
      </c>
      <c r="D362" s="2" t="s">
        <v>4409</v>
      </c>
      <c r="E362" s="2" t="s">
        <v>4438</v>
      </c>
    </row>
    <row r="363" customFormat="false" ht="15" hidden="false" customHeight="false" outlineLevel="0" collapsed="false">
      <c r="A363" s="2" t="s">
        <v>1482</v>
      </c>
      <c r="B363" s="2" t="s">
        <v>4330</v>
      </c>
      <c r="C363" s="2" t="s">
        <v>46</v>
      </c>
      <c r="D363" s="2" t="s">
        <v>817</v>
      </c>
      <c r="E363" s="2" t="s">
        <v>4377</v>
      </c>
    </row>
    <row r="364" customFormat="false" ht="15" hidden="false" customHeight="false" outlineLevel="0" collapsed="false">
      <c r="A364" s="2" t="s">
        <v>1219</v>
      </c>
      <c r="B364" s="2" t="s">
        <v>4330</v>
      </c>
      <c r="C364" s="2" t="s">
        <v>46</v>
      </c>
      <c r="D364" s="2" t="s">
        <v>818</v>
      </c>
      <c r="E364" s="2" t="s">
        <v>4439</v>
      </c>
    </row>
    <row r="365" customFormat="false" ht="15" hidden="false" customHeight="false" outlineLevel="0" collapsed="false">
      <c r="A365" s="2" t="s">
        <v>1680</v>
      </c>
      <c r="B365" s="2" t="s">
        <v>4330</v>
      </c>
      <c r="C365" s="2" t="s">
        <v>45</v>
      </c>
      <c r="D365" s="2" t="s">
        <v>818</v>
      </c>
      <c r="E365" s="2" t="s">
        <v>4345</v>
      </c>
    </row>
    <row r="366" customFormat="false" ht="15" hidden="false" customHeight="false" outlineLevel="0" collapsed="false">
      <c r="A366" s="2" t="s">
        <v>1364</v>
      </c>
      <c r="B366" s="2" t="s">
        <v>4330</v>
      </c>
      <c r="C366" s="2" t="s">
        <v>47</v>
      </c>
      <c r="D366" s="2" t="s">
        <v>4331</v>
      </c>
      <c r="E366" s="2" t="s">
        <v>4326</v>
      </c>
    </row>
    <row r="367" customFormat="false" ht="15" hidden="false" customHeight="false" outlineLevel="0" collapsed="false">
      <c r="A367" s="2" t="s">
        <v>1610</v>
      </c>
      <c r="B367" s="2" t="s">
        <v>4330</v>
      </c>
      <c r="C367" s="2" t="s">
        <v>45</v>
      </c>
      <c r="D367" s="2" t="s">
        <v>818</v>
      </c>
      <c r="E367" s="2" t="s">
        <v>4440</v>
      </c>
    </row>
    <row r="368" customFormat="false" ht="15" hidden="false" customHeight="false" outlineLevel="0" collapsed="false">
      <c r="A368" s="2" t="s">
        <v>2437</v>
      </c>
      <c r="B368" s="2" t="s">
        <v>4330</v>
      </c>
      <c r="C368" s="2" t="s">
        <v>45</v>
      </c>
      <c r="D368" s="2" t="s">
        <v>818</v>
      </c>
      <c r="E368" s="2" t="s">
        <v>4441</v>
      </c>
    </row>
    <row r="369" customFormat="false" ht="15" hidden="false" customHeight="false" outlineLevel="0" collapsed="false">
      <c r="A369" s="2" t="s">
        <v>2437</v>
      </c>
      <c r="B369" s="2" t="s">
        <v>4330</v>
      </c>
      <c r="C369" s="2" t="s">
        <v>46</v>
      </c>
      <c r="D369" s="2" t="s">
        <v>818</v>
      </c>
      <c r="E369" s="2" t="s">
        <v>4346</v>
      </c>
    </row>
    <row r="370" customFormat="false" ht="15" hidden="false" customHeight="false" outlineLevel="0" collapsed="false">
      <c r="A370" s="2" t="s">
        <v>2198</v>
      </c>
      <c r="B370" s="2" t="s">
        <v>4330</v>
      </c>
      <c r="C370" s="2" t="s">
        <v>47</v>
      </c>
      <c r="D370" s="2" t="s">
        <v>4336</v>
      </c>
      <c r="E370" s="2" t="s">
        <v>4337</v>
      </c>
    </row>
    <row r="371" customFormat="false" ht="15" hidden="false" customHeight="false" outlineLevel="0" collapsed="false">
      <c r="A371" s="2" t="s">
        <v>1874</v>
      </c>
      <c r="B371" s="2" t="s">
        <v>4330</v>
      </c>
      <c r="C371" s="2" t="s">
        <v>45</v>
      </c>
      <c r="D371" s="2" t="s">
        <v>817</v>
      </c>
      <c r="E371" s="2" t="s">
        <v>4442</v>
      </c>
    </row>
    <row r="372" customFormat="false" ht="15" hidden="false" customHeight="false" outlineLevel="0" collapsed="false">
      <c r="A372" s="2" t="s">
        <v>1874</v>
      </c>
      <c r="B372" s="2" t="s">
        <v>4330</v>
      </c>
      <c r="C372" s="2" t="s">
        <v>47</v>
      </c>
      <c r="D372" s="2" t="s">
        <v>4331</v>
      </c>
      <c r="E372" s="2" t="s">
        <v>4326</v>
      </c>
    </row>
    <row r="373" customFormat="false" ht="15" hidden="false" customHeight="false" outlineLevel="0" collapsed="false">
      <c r="A373" s="2" t="s">
        <v>1568</v>
      </c>
      <c r="B373" s="2" t="s">
        <v>4330</v>
      </c>
      <c r="C373" s="2" t="s">
        <v>47</v>
      </c>
      <c r="D373" s="2" t="s">
        <v>4366</v>
      </c>
      <c r="E373" s="2" t="s">
        <v>4367</v>
      </c>
    </row>
    <row r="374" customFormat="false" ht="15" hidden="false" customHeight="false" outlineLevel="0" collapsed="false">
      <c r="A374" s="2" t="s">
        <v>1276</v>
      </c>
      <c r="B374" s="2" t="s">
        <v>4330</v>
      </c>
      <c r="C374" s="2" t="s">
        <v>47</v>
      </c>
      <c r="D374" s="2" t="s">
        <v>816</v>
      </c>
      <c r="E374" s="2" t="s">
        <v>4443</v>
      </c>
    </row>
    <row r="375" customFormat="false" ht="15" hidden="false" customHeight="false" outlineLevel="0" collapsed="false">
      <c r="A375" s="2" t="s">
        <v>3172</v>
      </c>
      <c r="B375" s="2" t="s">
        <v>4330</v>
      </c>
      <c r="C375" s="2" t="s">
        <v>46</v>
      </c>
      <c r="D375" s="2" t="s">
        <v>818</v>
      </c>
      <c r="E375" s="2" t="s">
        <v>4355</v>
      </c>
    </row>
    <row r="376" customFormat="false" ht="15" hidden="false" customHeight="false" outlineLevel="0" collapsed="false">
      <c r="A376" s="2" t="s">
        <v>3174</v>
      </c>
      <c r="B376" s="2" t="s">
        <v>4330</v>
      </c>
      <c r="C376" s="2" t="s">
        <v>45</v>
      </c>
      <c r="D376" s="2" t="s">
        <v>818</v>
      </c>
      <c r="E376" s="2" t="s">
        <v>4444</v>
      </c>
    </row>
    <row r="377" customFormat="false" ht="15" hidden="false" customHeight="false" outlineLevel="0" collapsed="false">
      <c r="A377" s="2" t="s">
        <v>3176</v>
      </c>
      <c r="B377" s="2" t="s">
        <v>4330</v>
      </c>
      <c r="C377" s="2" t="s">
        <v>45</v>
      </c>
      <c r="D377" s="2" t="s">
        <v>817</v>
      </c>
      <c r="E377" s="2" t="s">
        <v>4339</v>
      </c>
    </row>
    <row r="378" customFormat="false" ht="15" hidden="false" customHeight="false" outlineLevel="0" collapsed="false">
      <c r="A378" s="2" t="s">
        <v>1998</v>
      </c>
      <c r="B378" s="2" t="s">
        <v>4330</v>
      </c>
      <c r="C378" s="2" t="s">
        <v>45</v>
      </c>
      <c r="D378" s="2" t="s">
        <v>4375</v>
      </c>
      <c r="E378" s="2" t="s">
        <v>4445</v>
      </c>
    </row>
    <row r="379" customFormat="false" ht="15" hidden="false" customHeight="false" outlineLevel="0" collapsed="false">
      <c r="A379" s="2" t="s">
        <v>1268</v>
      </c>
      <c r="B379" s="2" t="s">
        <v>4330</v>
      </c>
      <c r="C379" s="2" t="s">
        <v>46</v>
      </c>
      <c r="D379" s="2" t="s">
        <v>818</v>
      </c>
      <c r="E379" s="2" t="s">
        <v>4345</v>
      </c>
    </row>
    <row r="380" customFormat="false" ht="15" hidden="false" customHeight="false" outlineLevel="0" collapsed="false">
      <c r="A380" s="2" t="s">
        <v>3180</v>
      </c>
      <c r="B380" s="2" t="s">
        <v>4330</v>
      </c>
      <c r="C380" s="2" t="s">
        <v>45</v>
      </c>
      <c r="D380" s="2" t="s">
        <v>4331</v>
      </c>
      <c r="E380" s="2" t="s">
        <v>4333</v>
      </c>
    </row>
    <row r="381" customFormat="false" ht="15" hidden="false" customHeight="false" outlineLevel="0" collapsed="false">
      <c r="A381" s="2" t="s">
        <v>3180</v>
      </c>
      <c r="B381" s="2" t="s">
        <v>4330</v>
      </c>
      <c r="C381" s="2" t="s">
        <v>46</v>
      </c>
      <c r="D381" s="2" t="s">
        <v>818</v>
      </c>
      <c r="E381" s="2" t="s">
        <v>4446</v>
      </c>
    </row>
    <row r="382" customFormat="false" ht="15" hidden="false" customHeight="false" outlineLevel="0" collapsed="false">
      <c r="A382" s="2" t="s">
        <v>3182</v>
      </c>
      <c r="B382" s="2" t="s">
        <v>4330</v>
      </c>
      <c r="C382" s="2" t="s">
        <v>45</v>
      </c>
      <c r="D382" s="2" t="s">
        <v>4331</v>
      </c>
      <c r="E382" s="2" t="s">
        <v>4328</v>
      </c>
    </row>
    <row r="383" customFormat="false" ht="15" hidden="false" customHeight="false" outlineLevel="0" collapsed="false">
      <c r="A383" s="2" t="s">
        <v>2090</v>
      </c>
      <c r="B383" s="2" t="s">
        <v>4330</v>
      </c>
      <c r="C383" s="2" t="s">
        <v>45</v>
      </c>
      <c r="D383" s="2" t="s">
        <v>817</v>
      </c>
      <c r="E383" s="2" t="s">
        <v>4339</v>
      </c>
    </row>
    <row r="384" customFormat="false" ht="15" hidden="false" customHeight="false" outlineLevel="0" collapsed="false">
      <c r="A384" s="2" t="s">
        <v>3184</v>
      </c>
      <c r="B384" s="2" t="s">
        <v>4330</v>
      </c>
      <c r="C384" s="2" t="s">
        <v>47</v>
      </c>
      <c r="D384" s="2" t="s">
        <v>818</v>
      </c>
      <c r="E384" s="2" t="s">
        <v>4444</v>
      </c>
    </row>
    <row r="385" customFormat="false" ht="15" hidden="false" customHeight="false" outlineLevel="0" collapsed="false">
      <c r="A385" s="2" t="s">
        <v>2682</v>
      </c>
      <c r="B385" s="2" t="s">
        <v>4330</v>
      </c>
      <c r="C385" s="2" t="s">
        <v>46</v>
      </c>
      <c r="D385" s="2" t="s">
        <v>4336</v>
      </c>
      <c r="E385" s="2" t="s">
        <v>4396</v>
      </c>
    </row>
    <row r="386" customFormat="false" ht="15" hidden="false" customHeight="false" outlineLevel="0" collapsed="false">
      <c r="A386" s="2" t="s">
        <v>2078</v>
      </c>
      <c r="B386" s="2" t="s">
        <v>4330</v>
      </c>
      <c r="C386" s="2" t="s">
        <v>45</v>
      </c>
      <c r="D386" s="2" t="s">
        <v>818</v>
      </c>
      <c r="E386" s="2" t="s">
        <v>4345</v>
      </c>
    </row>
    <row r="387" customFormat="false" ht="15" hidden="false" customHeight="false" outlineLevel="0" collapsed="false">
      <c r="A387" s="2" t="s">
        <v>1226</v>
      </c>
      <c r="B387" s="2" t="s">
        <v>4330</v>
      </c>
      <c r="C387" s="2" t="s">
        <v>46</v>
      </c>
      <c r="D387" s="2" t="s">
        <v>4331</v>
      </c>
      <c r="E387" s="2" t="s">
        <v>4333</v>
      </c>
    </row>
    <row r="388" customFormat="false" ht="15" hidden="false" customHeight="false" outlineLevel="0" collapsed="false">
      <c r="A388" s="2" t="s">
        <v>1884</v>
      </c>
      <c r="B388" s="2" t="s">
        <v>4330</v>
      </c>
      <c r="C388" s="2" t="s">
        <v>45</v>
      </c>
      <c r="D388" s="2" t="s">
        <v>4331</v>
      </c>
      <c r="E388" s="2" t="s">
        <v>4333</v>
      </c>
    </row>
    <row r="389" customFormat="false" ht="15" hidden="false" customHeight="false" outlineLevel="0" collapsed="false">
      <c r="A389" s="2" t="s">
        <v>3188</v>
      </c>
      <c r="B389" s="2" t="s">
        <v>4330</v>
      </c>
      <c r="C389" s="2" t="s">
        <v>47</v>
      </c>
      <c r="D389" s="2" t="s">
        <v>4331</v>
      </c>
      <c r="E389" s="2" t="s">
        <v>4328</v>
      </c>
    </row>
    <row r="390" customFormat="false" ht="15" hidden="false" customHeight="false" outlineLevel="0" collapsed="false">
      <c r="A390" s="2" t="s">
        <v>1705</v>
      </c>
      <c r="B390" s="2" t="s">
        <v>4330</v>
      </c>
      <c r="C390" s="2" t="s">
        <v>45</v>
      </c>
      <c r="D390" s="2" t="s">
        <v>818</v>
      </c>
      <c r="E390" s="2" t="s">
        <v>4341</v>
      </c>
    </row>
    <row r="391" customFormat="false" ht="15" hidden="false" customHeight="false" outlineLevel="0" collapsed="false">
      <c r="A391" s="2" t="s">
        <v>2489</v>
      </c>
      <c r="B391" s="2" t="s">
        <v>4330</v>
      </c>
      <c r="C391" s="2" t="s">
        <v>45</v>
      </c>
      <c r="D391" s="2" t="s">
        <v>818</v>
      </c>
      <c r="E391" s="2" t="s">
        <v>4341</v>
      </c>
    </row>
    <row r="392" customFormat="false" ht="15" hidden="false" customHeight="false" outlineLevel="0" collapsed="false">
      <c r="A392" s="2" t="s">
        <v>1120</v>
      </c>
      <c r="B392" s="2" t="s">
        <v>4330</v>
      </c>
      <c r="C392" s="2" t="s">
        <v>46</v>
      </c>
      <c r="D392" s="2" t="s">
        <v>817</v>
      </c>
      <c r="E392" s="2" t="s">
        <v>4364</v>
      </c>
    </row>
    <row r="393" customFormat="false" ht="15" hidden="false" customHeight="false" outlineLevel="0" collapsed="false">
      <c r="A393" s="2" t="s">
        <v>1846</v>
      </c>
      <c r="B393" s="2" t="s">
        <v>4330</v>
      </c>
      <c r="C393" s="2" t="s">
        <v>47</v>
      </c>
      <c r="D393" s="2" t="s">
        <v>818</v>
      </c>
      <c r="E393" s="2" t="s">
        <v>4447</v>
      </c>
    </row>
    <row r="394" customFormat="false" ht="15" hidden="false" customHeight="false" outlineLevel="0" collapsed="false">
      <c r="A394" s="2" t="s">
        <v>1684</v>
      </c>
      <c r="B394" s="2" t="s">
        <v>4330</v>
      </c>
      <c r="C394" s="2" t="s">
        <v>45</v>
      </c>
      <c r="D394" s="2" t="s">
        <v>818</v>
      </c>
      <c r="E394" s="2" t="s">
        <v>4448</v>
      </c>
    </row>
    <row r="395" customFormat="false" ht="15" hidden="false" customHeight="false" outlineLevel="0" collapsed="false">
      <c r="A395" s="2" t="s">
        <v>948</v>
      </c>
      <c r="B395" s="2" t="s">
        <v>4330</v>
      </c>
      <c r="C395" s="2" t="s">
        <v>46</v>
      </c>
      <c r="D395" s="2" t="s">
        <v>818</v>
      </c>
      <c r="E395" s="2" t="s">
        <v>4449</v>
      </c>
    </row>
    <row r="396" customFormat="false" ht="15" hidden="false" customHeight="false" outlineLevel="0" collapsed="false">
      <c r="A396" s="2" t="s">
        <v>3195</v>
      </c>
      <c r="B396" s="2" t="s">
        <v>4330</v>
      </c>
      <c r="C396" s="2" t="s">
        <v>46</v>
      </c>
      <c r="D396" s="2" t="s">
        <v>816</v>
      </c>
      <c r="E396" s="2" t="s">
        <v>4351</v>
      </c>
    </row>
    <row r="397" customFormat="false" ht="15" hidden="false" customHeight="false" outlineLevel="0" collapsed="false">
      <c r="A397" s="2" t="s">
        <v>1367</v>
      </c>
      <c r="B397" s="2" t="s">
        <v>4330</v>
      </c>
      <c r="C397" s="2" t="s">
        <v>46</v>
      </c>
      <c r="D397" s="2" t="s">
        <v>4336</v>
      </c>
      <c r="E397" s="2" t="s">
        <v>4361</v>
      </c>
    </row>
    <row r="398" customFormat="false" ht="15" hidden="false" customHeight="false" outlineLevel="0" collapsed="false">
      <c r="A398" s="2" t="s">
        <v>3198</v>
      </c>
      <c r="B398" s="2" t="s">
        <v>4330</v>
      </c>
      <c r="C398" s="2" t="s">
        <v>45</v>
      </c>
      <c r="D398" s="2" t="s">
        <v>4331</v>
      </c>
      <c r="E398" s="2" t="s">
        <v>4333</v>
      </c>
    </row>
    <row r="399" customFormat="false" ht="15" hidden="false" customHeight="false" outlineLevel="0" collapsed="false">
      <c r="A399" s="2" t="s">
        <v>3198</v>
      </c>
      <c r="B399" s="2" t="s">
        <v>4330</v>
      </c>
      <c r="C399" s="2" t="s">
        <v>47</v>
      </c>
      <c r="D399" s="2" t="s">
        <v>818</v>
      </c>
      <c r="E399" s="2" t="s">
        <v>4340</v>
      </c>
    </row>
    <row r="400" customFormat="false" ht="15" hidden="false" customHeight="false" outlineLevel="0" collapsed="false">
      <c r="A400" s="2" t="s">
        <v>2323</v>
      </c>
      <c r="B400" s="2" t="s">
        <v>4330</v>
      </c>
      <c r="C400" s="2" t="s">
        <v>45</v>
      </c>
      <c r="D400" s="2" t="s">
        <v>818</v>
      </c>
      <c r="E400" s="2" t="s">
        <v>4357</v>
      </c>
    </row>
    <row r="401" customFormat="false" ht="15" hidden="false" customHeight="false" outlineLevel="0" collapsed="false">
      <c r="A401" s="2" t="s">
        <v>2323</v>
      </c>
      <c r="B401" s="2" t="s">
        <v>4330</v>
      </c>
      <c r="C401" s="2" t="s">
        <v>46</v>
      </c>
      <c r="D401" s="2" t="s">
        <v>4331</v>
      </c>
      <c r="E401" s="2" t="s">
        <v>4326</v>
      </c>
    </row>
    <row r="402" customFormat="false" ht="15" hidden="false" customHeight="false" outlineLevel="0" collapsed="false">
      <c r="A402" s="2" t="s">
        <v>1890</v>
      </c>
      <c r="B402" s="2" t="s">
        <v>4330</v>
      </c>
      <c r="C402" s="2" t="s">
        <v>45</v>
      </c>
      <c r="D402" s="2" t="s">
        <v>4331</v>
      </c>
      <c r="E402" s="2" t="s">
        <v>4328</v>
      </c>
    </row>
    <row r="403" customFormat="false" ht="15" hidden="false" customHeight="false" outlineLevel="0" collapsed="false">
      <c r="A403" s="2" t="s">
        <v>3201</v>
      </c>
      <c r="B403" s="2" t="s">
        <v>4330</v>
      </c>
      <c r="C403" s="2" t="s">
        <v>45</v>
      </c>
      <c r="D403" s="2" t="s">
        <v>818</v>
      </c>
      <c r="E403" s="2" t="s">
        <v>4439</v>
      </c>
    </row>
    <row r="404" customFormat="false" ht="15" hidden="false" customHeight="false" outlineLevel="0" collapsed="false">
      <c r="A404" s="2" t="s">
        <v>3201</v>
      </c>
      <c r="B404" s="2" t="s">
        <v>4330</v>
      </c>
      <c r="C404" s="2" t="s">
        <v>46</v>
      </c>
      <c r="D404" s="2" t="s">
        <v>4422</v>
      </c>
      <c r="E404" s="2" t="s">
        <v>4426</v>
      </c>
    </row>
    <row r="405" customFormat="false" ht="15" hidden="false" customHeight="false" outlineLevel="0" collapsed="false">
      <c r="A405" s="2" t="s">
        <v>2779</v>
      </c>
      <c r="B405" s="2" t="s">
        <v>4330</v>
      </c>
      <c r="C405" s="2" t="s">
        <v>46</v>
      </c>
      <c r="D405" s="2" t="s">
        <v>818</v>
      </c>
      <c r="E405" s="2" t="s">
        <v>4440</v>
      </c>
    </row>
    <row r="406" customFormat="false" ht="15" hidden="false" customHeight="false" outlineLevel="0" collapsed="false">
      <c r="A406" s="2" t="s">
        <v>3205</v>
      </c>
      <c r="B406" s="2" t="s">
        <v>4330</v>
      </c>
      <c r="C406" s="2" t="s">
        <v>45</v>
      </c>
      <c r="D406" s="2" t="s">
        <v>818</v>
      </c>
      <c r="E406" s="2" t="s">
        <v>4355</v>
      </c>
    </row>
    <row r="407" customFormat="false" ht="15" hidden="false" customHeight="false" outlineLevel="0" collapsed="false">
      <c r="A407" s="2" t="s">
        <v>3205</v>
      </c>
      <c r="B407" s="2" t="s">
        <v>4330</v>
      </c>
      <c r="C407" s="2" t="s">
        <v>46</v>
      </c>
      <c r="D407" s="2" t="s">
        <v>816</v>
      </c>
      <c r="E407" s="2" t="s">
        <v>4450</v>
      </c>
    </row>
    <row r="408" customFormat="false" ht="15" hidden="false" customHeight="false" outlineLevel="0" collapsed="false">
      <c r="A408" s="2" t="s">
        <v>3205</v>
      </c>
      <c r="B408" s="2" t="s">
        <v>4330</v>
      </c>
      <c r="C408" s="2" t="s">
        <v>47</v>
      </c>
      <c r="D408" s="2" t="s">
        <v>4331</v>
      </c>
      <c r="E408" s="2" t="s">
        <v>4326</v>
      </c>
    </row>
    <row r="409" customFormat="false" ht="15" hidden="false" customHeight="false" outlineLevel="0" collapsed="false">
      <c r="A409" s="2" t="s">
        <v>1352</v>
      </c>
      <c r="B409" s="2" t="s">
        <v>4330</v>
      </c>
      <c r="C409" s="2" t="s">
        <v>46</v>
      </c>
      <c r="D409" s="2" t="s">
        <v>4331</v>
      </c>
      <c r="E409" s="2" t="s">
        <v>4328</v>
      </c>
    </row>
    <row r="410" customFormat="false" ht="15" hidden="false" customHeight="false" outlineLevel="0" collapsed="false">
      <c r="A410" s="2" t="s">
        <v>1352</v>
      </c>
      <c r="B410" s="2" t="s">
        <v>4330</v>
      </c>
      <c r="C410" s="2" t="s">
        <v>47</v>
      </c>
      <c r="D410" s="2" t="s">
        <v>4331</v>
      </c>
      <c r="E410" s="2" t="s">
        <v>4333</v>
      </c>
    </row>
    <row r="411" customFormat="false" ht="15" hidden="false" customHeight="false" outlineLevel="0" collapsed="false">
      <c r="A411" s="2" t="s">
        <v>1131</v>
      </c>
      <c r="B411" s="2" t="s">
        <v>4330</v>
      </c>
      <c r="C411" s="2" t="s">
        <v>46</v>
      </c>
      <c r="D411" s="2" t="s">
        <v>4331</v>
      </c>
      <c r="E411" s="2" t="s">
        <v>4333</v>
      </c>
    </row>
    <row r="412" customFormat="false" ht="15" hidden="false" customHeight="false" outlineLevel="0" collapsed="false">
      <c r="A412" s="2" t="s">
        <v>3208</v>
      </c>
      <c r="B412" s="2" t="s">
        <v>4330</v>
      </c>
      <c r="C412" s="2" t="s">
        <v>46</v>
      </c>
      <c r="D412" s="2" t="s">
        <v>4331</v>
      </c>
      <c r="E412" s="2" t="s">
        <v>4328</v>
      </c>
    </row>
    <row r="413" customFormat="false" ht="15" hidden="false" customHeight="false" outlineLevel="0" collapsed="false">
      <c r="A413" s="2" t="s">
        <v>1233</v>
      </c>
      <c r="B413" s="2" t="s">
        <v>4330</v>
      </c>
      <c r="C413" s="2" t="s">
        <v>46</v>
      </c>
      <c r="D413" s="2" t="s">
        <v>817</v>
      </c>
      <c r="E413" s="2" t="s">
        <v>4451</v>
      </c>
    </row>
    <row r="414" customFormat="false" ht="15" hidden="false" customHeight="false" outlineLevel="0" collapsed="false">
      <c r="A414" s="2" t="s">
        <v>3210</v>
      </c>
      <c r="B414" s="2" t="s">
        <v>4330</v>
      </c>
      <c r="C414" s="2" t="s">
        <v>45</v>
      </c>
      <c r="D414" s="2" t="s">
        <v>4331</v>
      </c>
      <c r="E414" s="2" t="s">
        <v>4326</v>
      </c>
    </row>
    <row r="415" customFormat="false" ht="15" hidden="false" customHeight="false" outlineLevel="0" collapsed="false">
      <c r="A415" s="2" t="s">
        <v>3210</v>
      </c>
      <c r="B415" s="2" t="s">
        <v>4330</v>
      </c>
      <c r="C415" s="2" t="s">
        <v>47</v>
      </c>
      <c r="D415" s="2" t="s">
        <v>4331</v>
      </c>
      <c r="E415" s="2" t="s">
        <v>4333</v>
      </c>
    </row>
    <row r="416" customFormat="false" ht="15" hidden="false" customHeight="false" outlineLevel="0" collapsed="false">
      <c r="A416" s="2" t="s">
        <v>961</v>
      </c>
      <c r="B416" s="2" t="s">
        <v>4330</v>
      </c>
      <c r="C416" s="2" t="s">
        <v>47</v>
      </c>
      <c r="D416" s="2" t="s">
        <v>4331</v>
      </c>
      <c r="E416" s="2" t="s">
        <v>4326</v>
      </c>
    </row>
    <row r="417" customFormat="false" ht="15" hidden="false" customHeight="false" outlineLevel="0" collapsed="false">
      <c r="A417" s="2" t="s">
        <v>911</v>
      </c>
      <c r="B417" s="2" t="s">
        <v>4330</v>
      </c>
      <c r="C417" s="2" t="s">
        <v>46</v>
      </c>
      <c r="D417" s="2" t="s">
        <v>4331</v>
      </c>
      <c r="E417" s="2" t="s">
        <v>4328</v>
      </c>
    </row>
    <row r="418" customFormat="false" ht="15" hidden="false" customHeight="false" outlineLevel="0" collapsed="false">
      <c r="A418" s="2" t="s">
        <v>3211</v>
      </c>
      <c r="B418" s="2" t="s">
        <v>4330</v>
      </c>
      <c r="C418" s="2" t="s">
        <v>45</v>
      </c>
      <c r="D418" s="2" t="s">
        <v>818</v>
      </c>
      <c r="E418" s="2" t="s">
        <v>4452</v>
      </c>
    </row>
    <row r="419" customFormat="false" ht="15" hidden="false" customHeight="false" outlineLevel="0" collapsed="false">
      <c r="A419" s="2" t="s">
        <v>1911</v>
      </c>
      <c r="B419" s="2" t="s">
        <v>4330</v>
      </c>
      <c r="C419" s="2" t="s">
        <v>45</v>
      </c>
      <c r="D419" s="2" t="s">
        <v>818</v>
      </c>
      <c r="E419" s="2" t="s">
        <v>4453</v>
      </c>
    </row>
    <row r="420" customFormat="false" ht="15" hidden="false" customHeight="false" outlineLevel="0" collapsed="false">
      <c r="A420" s="2" t="s">
        <v>1279</v>
      </c>
      <c r="B420" s="2" t="s">
        <v>4330</v>
      </c>
      <c r="C420" s="2" t="s">
        <v>46</v>
      </c>
      <c r="D420" s="2" t="s">
        <v>4362</v>
      </c>
      <c r="E420" s="2" t="s">
        <v>4454</v>
      </c>
    </row>
    <row r="421" customFormat="false" ht="15" hidden="false" customHeight="false" outlineLevel="0" collapsed="false">
      <c r="A421" s="2" t="s">
        <v>1087</v>
      </c>
      <c r="B421" s="2" t="s">
        <v>4330</v>
      </c>
      <c r="C421" s="2" t="s">
        <v>46</v>
      </c>
      <c r="D421" s="2" t="s">
        <v>817</v>
      </c>
      <c r="E421" s="2" t="s">
        <v>4339</v>
      </c>
    </row>
    <row r="422" customFormat="false" ht="15" hidden="false" customHeight="false" outlineLevel="0" collapsed="false">
      <c r="A422" s="2" t="s">
        <v>3216</v>
      </c>
      <c r="B422" s="2" t="s">
        <v>4330</v>
      </c>
      <c r="C422" s="2" t="s">
        <v>45</v>
      </c>
      <c r="D422" s="2" t="s">
        <v>4331</v>
      </c>
      <c r="E422" s="2" t="s">
        <v>4328</v>
      </c>
    </row>
    <row r="423" customFormat="false" ht="15" hidden="false" customHeight="false" outlineLevel="0" collapsed="false">
      <c r="A423" s="2" t="s">
        <v>3216</v>
      </c>
      <c r="B423" s="2" t="s">
        <v>4330</v>
      </c>
      <c r="C423" s="2" t="s">
        <v>46</v>
      </c>
      <c r="D423" s="2" t="s">
        <v>4331</v>
      </c>
      <c r="E423" s="2" t="s">
        <v>4328</v>
      </c>
    </row>
    <row r="424" customFormat="false" ht="15" hidden="false" customHeight="false" outlineLevel="0" collapsed="false">
      <c r="A424" s="2" t="s">
        <v>3216</v>
      </c>
      <c r="B424" s="2" t="s">
        <v>4330</v>
      </c>
      <c r="C424" s="2" t="s">
        <v>47</v>
      </c>
      <c r="D424" s="2" t="s">
        <v>4331</v>
      </c>
      <c r="E424" s="2" t="s">
        <v>4333</v>
      </c>
    </row>
    <row r="425" customFormat="false" ht="15" hidden="false" customHeight="false" outlineLevel="0" collapsed="false">
      <c r="A425" s="2" t="s">
        <v>1553</v>
      </c>
      <c r="B425" s="2" t="s">
        <v>4330</v>
      </c>
      <c r="C425" s="2" t="s">
        <v>46</v>
      </c>
      <c r="D425" s="2" t="s">
        <v>818</v>
      </c>
      <c r="E425" s="2" t="s">
        <v>4332</v>
      </c>
    </row>
    <row r="426" customFormat="false" ht="15" hidden="false" customHeight="false" outlineLevel="0" collapsed="false">
      <c r="A426" s="2" t="s">
        <v>1561</v>
      </c>
      <c r="B426" s="2" t="s">
        <v>4330</v>
      </c>
      <c r="C426" s="2" t="s">
        <v>46</v>
      </c>
      <c r="D426" s="2" t="s">
        <v>817</v>
      </c>
      <c r="E426" s="2" t="s">
        <v>4339</v>
      </c>
    </row>
    <row r="427" customFormat="false" ht="15" hidden="false" customHeight="false" outlineLevel="0" collapsed="false">
      <c r="A427" s="2" t="s">
        <v>1673</v>
      </c>
      <c r="B427" s="2" t="s">
        <v>4330</v>
      </c>
      <c r="C427" s="2" t="s">
        <v>45</v>
      </c>
      <c r="D427" s="2" t="s">
        <v>816</v>
      </c>
      <c r="E427" s="2" t="s">
        <v>4352</v>
      </c>
    </row>
    <row r="428" customFormat="false" ht="15" hidden="false" customHeight="false" outlineLevel="0" collapsed="false">
      <c r="A428" s="2" t="s">
        <v>879</v>
      </c>
      <c r="B428" s="2" t="s">
        <v>4330</v>
      </c>
      <c r="C428" s="2" t="s">
        <v>46</v>
      </c>
      <c r="D428" s="2" t="s">
        <v>4409</v>
      </c>
      <c r="E428" s="2" t="s">
        <v>4438</v>
      </c>
    </row>
    <row r="429" customFormat="false" ht="15" hidden="false" customHeight="false" outlineLevel="0" collapsed="false">
      <c r="A429" s="2" t="s">
        <v>1659</v>
      </c>
      <c r="B429" s="2" t="s">
        <v>4330</v>
      </c>
      <c r="C429" s="2" t="s">
        <v>47</v>
      </c>
      <c r="D429" s="2" t="s">
        <v>818</v>
      </c>
      <c r="E429" s="2" t="s">
        <v>4455</v>
      </c>
    </row>
    <row r="430" customFormat="false" ht="15" hidden="false" customHeight="false" outlineLevel="0" collapsed="false">
      <c r="A430" s="2" t="s">
        <v>1075</v>
      </c>
      <c r="B430" s="2" t="s">
        <v>4330</v>
      </c>
      <c r="C430" s="2" t="s">
        <v>46</v>
      </c>
      <c r="D430" s="2" t="s">
        <v>4336</v>
      </c>
      <c r="E430" s="2" t="s">
        <v>4361</v>
      </c>
    </row>
    <row r="431" customFormat="false" ht="15" hidden="false" customHeight="false" outlineLevel="0" collapsed="false">
      <c r="A431" s="2" t="s">
        <v>2529</v>
      </c>
      <c r="B431" s="2" t="s">
        <v>4330</v>
      </c>
      <c r="C431" s="2" t="s">
        <v>45</v>
      </c>
      <c r="D431" s="2" t="s">
        <v>4336</v>
      </c>
      <c r="E431" s="2" t="s">
        <v>4361</v>
      </c>
    </row>
    <row r="432" customFormat="false" ht="15" hidden="false" customHeight="false" outlineLevel="0" collapsed="false">
      <c r="A432" s="2" t="s">
        <v>2529</v>
      </c>
      <c r="B432" s="2" t="s">
        <v>4330</v>
      </c>
      <c r="C432" s="2" t="s">
        <v>46</v>
      </c>
      <c r="D432" s="2" t="s">
        <v>4331</v>
      </c>
      <c r="E432" s="2" t="s">
        <v>4326</v>
      </c>
    </row>
    <row r="433" customFormat="false" ht="15" hidden="false" customHeight="false" outlineLevel="0" collapsed="false">
      <c r="A433" s="2" t="s">
        <v>3223</v>
      </c>
      <c r="B433" s="2" t="s">
        <v>4330</v>
      </c>
      <c r="C433" s="2" t="s">
        <v>45</v>
      </c>
      <c r="D433" s="2" t="s">
        <v>818</v>
      </c>
      <c r="E433" s="2" t="s">
        <v>4346</v>
      </c>
    </row>
    <row r="434" customFormat="false" ht="15" hidden="false" customHeight="false" outlineLevel="0" collapsed="false">
      <c r="A434" s="2" t="s">
        <v>1975</v>
      </c>
      <c r="B434" s="2" t="s">
        <v>4330</v>
      </c>
      <c r="C434" s="2" t="s">
        <v>45</v>
      </c>
      <c r="D434" s="2" t="s">
        <v>816</v>
      </c>
      <c r="E434" s="2" t="s">
        <v>4351</v>
      </c>
    </row>
    <row r="435" customFormat="false" ht="15" hidden="false" customHeight="false" outlineLevel="0" collapsed="false">
      <c r="A435" s="2" t="s">
        <v>1579</v>
      </c>
      <c r="B435" s="2" t="s">
        <v>4330</v>
      </c>
      <c r="C435" s="2" t="s">
        <v>47</v>
      </c>
      <c r="D435" s="2" t="s">
        <v>818</v>
      </c>
      <c r="E435" s="2" t="s">
        <v>4365</v>
      </c>
    </row>
    <row r="436" customFormat="false" ht="15" hidden="false" customHeight="false" outlineLevel="0" collapsed="false">
      <c r="A436" s="2" t="s">
        <v>2721</v>
      </c>
      <c r="B436" s="2" t="s">
        <v>4330</v>
      </c>
      <c r="C436" s="2" t="s">
        <v>45</v>
      </c>
      <c r="D436" s="2" t="s">
        <v>818</v>
      </c>
      <c r="E436" s="2" t="s">
        <v>4356</v>
      </c>
    </row>
    <row r="437" customFormat="false" ht="15" hidden="false" customHeight="false" outlineLevel="0" collapsed="false">
      <c r="A437" s="2" t="s">
        <v>2721</v>
      </c>
      <c r="B437" s="2" t="s">
        <v>4330</v>
      </c>
      <c r="C437" s="2" t="s">
        <v>46</v>
      </c>
      <c r="D437" s="2" t="s">
        <v>818</v>
      </c>
      <c r="E437" s="2" t="s">
        <v>4345</v>
      </c>
    </row>
    <row r="438" customFormat="false" ht="15" hidden="false" customHeight="false" outlineLevel="0" collapsed="false">
      <c r="A438" s="2" t="s">
        <v>1138</v>
      </c>
      <c r="B438" s="2" t="s">
        <v>4330</v>
      </c>
      <c r="C438" s="2" t="s">
        <v>46</v>
      </c>
      <c r="D438" s="2" t="s">
        <v>4366</v>
      </c>
      <c r="E438" s="2" t="s">
        <v>4367</v>
      </c>
    </row>
    <row r="439" customFormat="false" ht="15" hidden="false" customHeight="false" outlineLevel="0" collapsed="false">
      <c r="A439" s="2" t="s">
        <v>1138</v>
      </c>
      <c r="B439" s="2" t="s">
        <v>4330</v>
      </c>
      <c r="C439" s="2" t="s">
        <v>47</v>
      </c>
      <c r="D439" s="2" t="s">
        <v>4375</v>
      </c>
      <c r="E439" s="2" t="s">
        <v>4456</v>
      </c>
    </row>
    <row r="440" customFormat="false" ht="15" hidden="false" customHeight="false" outlineLevel="0" collapsed="false">
      <c r="A440" s="2" t="s">
        <v>1164</v>
      </c>
      <c r="B440" s="2" t="s">
        <v>4330</v>
      </c>
      <c r="C440" s="2" t="s">
        <v>46</v>
      </c>
      <c r="D440" s="2" t="s">
        <v>4422</v>
      </c>
      <c r="E440" s="2" t="s">
        <v>4426</v>
      </c>
    </row>
    <row r="441" customFormat="false" ht="15" hidden="false" customHeight="false" outlineLevel="0" collapsed="false">
      <c r="A441" s="2" t="s">
        <v>2741</v>
      </c>
      <c r="B441" s="2" t="s">
        <v>4330</v>
      </c>
      <c r="C441" s="2" t="s">
        <v>45</v>
      </c>
      <c r="D441" s="2" t="s">
        <v>4336</v>
      </c>
      <c r="E441" s="2" t="s">
        <v>4396</v>
      </c>
    </row>
    <row r="442" customFormat="false" ht="15" hidden="false" customHeight="false" outlineLevel="0" collapsed="false">
      <c r="A442" s="2" t="s">
        <v>2741</v>
      </c>
      <c r="B442" s="2" t="s">
        <v>4330</v>
      </c>
      <c r="C442" s="2" t="s">
        <v>46</v>
      </c>
      <c r="D442" s="2" t="s">
        <v>4336</v>
      </c>
      <c r="E442" s="2" t="s">
        <v>4361</v>
      </c>
    </row>
    <row r="443" customFormat="false" ht="15" hidden="false" customHeight="false" outlineLevel="0" collapsed="false">
      <c r="A443" s="2" t="s">
        <v>1692</v>
      </c>
      <c r="B443" s="2" t="s">
        <v>4330</v>
      </c>
      <c r="C443" s="2" t="s">
        <v>45</v>
      </c>
      <c r="D443" s="2" t="s">
        <v>817</v>
      </c>
      <c r="E443" s="2" t="s">
        <v>4339</v>
      </c>
    </row>
    <row r="444" customFormat="false" ht="15" hidden="false" customHeight="false" outlineLevel="0" collapsed="false">
      <c r="A444" s="2" t="s">
        <v>2220</v>
      </c>
      <c r="B444" s="2" t="s">
        <v>4330</v>
      </c>
      <c r="C444" s="2" t="s">
        <v>46</v>
      </c>
      <c r="D444" s="2" t="s">
        <v>4331</v>
      </c>
      <c r="E444" s="2" t="s">
        <v>4328</v>
      </c>
    </row>
    <row r="445" customFormat="false" ht="15" hidden="false" customHeight="false" outlineLevel="0" collapsed="false">
      <c r="A445" s="2" t="s">
        <v>1449</v>
      </c>
      <c r="B445" s="2" t="s">
        <v>4330</v>
      </c>
      <c r="C445" s="2" t="s">
        <v>46</v>
      </c>
      <c r="D445" s="2" t="s">
        <v>818</v>
      </c>
      <c r="E445" s="2" t="s">
        <v>4346</v>
      </c>
    </row>
    <row r="446" customFormat="false" ht="15" hidden="false" customHeight="false" outlineLevel="0" collapsed="false">
      <c r="A446" s="2" t="s">
        <v>1123</v>
      </c>
      <c r="B446" s="2" t="s">
        <v>4330</v>
      </c>
      <c r="C446" s="2" t="s">
        <v>46</v>
      </c>
      <c r="D446" s="2" t="s">
        <v>4331</v>
      </c>
      <c r="E446" s="2" t="s">
        <v>4327</v>
      </c>
    </row>
    <row r="447" customFormat="false" ht="15" hidden="false" customHeight="false" outlineLevel="0" collapsed="false">
      <c r="A447" s="2" t="s">
        <v>1750</v>
      </c>
      <c r="B447" s="2" t="s">
        <v>4330</v>
      </c>
      <c r="C447" s="2" t="s">
        <v>45</v>
      </c>
      <c r="D447" s="2" t="s">
        <v>4336</v>
      </c>
      <c r="E447" s="2" t="s">
        <v>4361</v>
      </c>
    </row>
    <row r="448" customFormat="false" ht="15" hidden="false" customHeight="false" outlineLevel="0" collapsed="false">
      <c r="A448" s="2" t="s">
        <v>2621</v>
      </c>
      <c r="B448" s="2" t="s">
        <v>4330</v>
      </c>
      <c r="C448" s="2" t="s">
        <v>46</v>
      </c>
      <c r="D448" s="2" t="s">
        <v>818</v>
      </c>
      <c r="E448" s="2" t="s">
        <v>4332</v>
      </c>
    </row>
    <row r="449" customFormat="false" ht="15" hidden="false" customHeight="false" outlineLevel="0" collapsed="false">
      <c r="A449" s="2" t="s">
        <v>1252</v>
      </c>
      <c r="B449" s="2" t="s">
        <v>4330</v>
      </c>
      <c r="C449" s="2" t="s">
        <v>46</v>
      </c>
      <c r="D449" s="2" t="s">
        <v>4331</v>
      </c>
      <c r="E449" s="2" t="s">
        <v>4333</v>
      </c>
    </row>
    <row r="450" customFormat="false" ht="15" hidden="false" customHeight="false" outlineLevel="0" collapsed="false">
      <c r="A450" s="2" t="s">
        <v>1735</v>
      </c>
      <c r="B450" s="2" t="s">
        <v>4330</v>
      </c>
      <c r="C450" s="2" t="s">
        <v>45</v>
      </c>
      <c r="D450" s="2" t="s">
        <v>4331</v>
      </c>
      <c r="E450" s="2" t="s">
        <v>4333</v>
      </c>
    </row>
    <row r="451" customFormat="false" ht="15" hidden="false" customHeight="false" outlineLevel="0" collapsed="false">
      <c r="A451" s="2" t="s">
        <v>3237</v>
      </c>
      <c r="B451" s="2" t="s">
        <v>4330</v>
      </c>
      <c r="C451" s="2" t="s">
        <v>46</v>
      </c>
      <c r="D451" s="2" t="s">
        <v>4331</v>
      </c>
      <c r="E451" s="2" t="s">
        <v>4327</v>
      </c>
    </row>
    <row r="452" customFormat="false" ht="15" hidden="false" customHeight="false" outlineLevel="0" collapsed="false">
      <c r="A452" s="2" t="s">
        <v>3237</v>
      </c>
      <c r="B452" s="2" t="s">
        <v>4330</v>
      </c>
      <c r="C452" s="2" t="s">
        <v>47</v>
      </c>
      <c r="D452" s="2" t="s">
        <v>4336</v>
      </c>
      <c r="E452" s="2" t="s">
        <v>4457</v>
      </c>
    </row>
    <row r="453" customFormat="false" ht="15" hidden="false" customHeight="false" outlineLevel="0" collapsed="false">
      <c r="A453" s="2" t="s">
        <v>2398</v>
      </c>
      <c r="B453" s="2" t="s">
        <v>4330</v>
      </c>
      <c r="C453" s="2" t="s">
        <v>46</v>
      </c>
      <c r="D453" s="2" t="s">
        <v>4336</v>
      </c>
      <c r="E453" s="2" t="s">
        <v>4361</v>
      </c>
    </row>
    <row r="454" customFormat="false" ht="15" hidden="false" customHeight="false" outlineLevel="0" collapsed="false">
      <c r="A454" s="2" t="s">
        <v>1761</v>
      </c>
      <c r="B454" s="2" t="s">
        <v>4330</v>
      </c>
      <c r="C454" s="2" t="s">
        <v>45</v>
      </c>
      <c r="D454" s="2" t="s">
        <v>818</v>
      </c>
      <c r="E454" s="2" t="s">
        <v>4346</v>
      </c>
    </row>
    <row r="455" customFormat="false" ht="15" hidden="false" customHeight="false" outlineLevel="0" collapsed="false">
      <c r="A455" s="2" t="s">
        <v>1229</v>
      </c>
      <c r="B455" s="2" t="s">
        <v>4330</v>
      </c>
      <c r="C455" s="2" t="s">
        <v>46</v>
      </c>
      <c r="D455" s="2" t="s">
        <v>818</v>
      </c>
      <c r="E455" s="2" t="s">
        <v>4332</v>
      </c>
    </row>
    <row r="456" customFormat="false" ht="15" hidden="false" customHeight="false" outlineLevel="0" collapsed="false">
      <c r="A456" s="2" t="s">
        <v>2757</v>
      </c>
      <c r="B456" s="2" t="s">
        <v>4330</v>
      </c>
      <c r="C456" s="2" t="s">
        <v>45</v>
      </c>
      <c r="D456" s="2" t="s">
        <v>4331</v>
      </c>
      <c r="E456" s="2" t="s">
        <v>4328</v>
      </c>
    </row>
    <row r="457" customFormat="false" ht="15" hidden="false" customHeight="false" outlineLevel="0" collapsed="false">
      <c r="A457" s="2" t="s">
        <v>2757</v>
      </c>
      <c r="B457" s="2" t="s">
        <v>4330</v>
      </c>
      <c r="C457" s="2" t="s">
        <v>46</v>
      </c>
      <c r="D457" s="2" t="s">
        <v>817</v>
      </c>
      <c r="E457" s="2" t="s">
        <v>4339</v>
      </c>
    </row>
    <row r="458" customFormat="false" ht="15" hidden="false" customHeight="false" outlineLevel="0" collapsed="false">
      <c r="A458" s="2" t="s">
        <v>2762</v>
      </c>
      <c r="B458" s="2" t="s">
        <v>4330</v>
      </c>
      <c r="C458" s="2" t="s">
        <v>45</v>
      </c>
      <c r="D458" s="2" t="s">
        <v>4422</v>
      </c>
      <c r="E458" s="2" t="s">
        <v>4426</v>
      </c>
    </row>
    <row r="459" customFormat="false" ht="15" hidden="false" customHeight="false" outlineLevel="0" collapsed="false">
      <c r="A459" s="2" t="s">
        <v>1410</v>
      </c>
      <c r="B459" s="2" t="s">
        <v>4330</v>
      </c>
      <c r="C459" s="2" t="s">
        <v>46</v>
      </c>
      <c r="D459" s="2" t="s">
        <v>818</v>
      </c>
      <c r="E459" s="2" t="s">
        <v>4332</v>
      </c>
    </row>
    <row r="460" customFormat="false" ht="15" hidden="false" customHeight="false" outlineLevel="0" collapsed="false">
      <c r="A460" s="2" t="s">
        <v>1399</v>
      </c>
      <c r="B460" s="2" t="s">
        <v>4330</v>
      </c>
      <c r="C460" s="2" t="s">
        <v>46</v>
      </c>
      <c r="D460" s="2" t="s">
        <v>817</v>
      </c>
      <c r="E460" s="2" t="s">
        <v>4339</v>
      </c>
    </row>
    <row r="461" customFormat="false" ht="15" hidden="false" customHeight="false" outlineLevel="0" collapsed="false">
      <c r="A461" s="2" t="s">
        <v>2050</v>
      </c>
      <c r="B461" s="2" t="s">
        <v>4330</v>
      </c>
      <c r="C461" s="2" t="s">
        <v>45</v>
      </c>
      <c r="D461" s="2" t="s">
        <v>818</v>
      </c>
      <c r="E461" s="2" t="s">
        <v>4357</v>
      </c>
    </row>
    <row r="462" customFormat="false" ht="15" hidden="false" customHeight="false" outlineLevel="0" collapsed="false">
      <c r="A462" s="2" t="s">
        <v>3247</v>
      </c>
      <c r="B462" s="2" t="s">
        <v>4330</v>
      </c>
      <c r="C462" s="2" t="s">
        <v>46</v>
      </c>
      <c r="D462" s="2" t="s">
        <v>4336</v>
      </c>
      <c r="E462" s="2" t="s">
        <v>4361</v>
      </c>
    </row>
    <row r="463" customFormat="false" ht="15" hidden="false" customHeight="false" outlineLevel="0" collapsed="false">
      <c r="A463" s="2" t="s">
        <v>3249</v>
      </c>
      <c r="B463" s="2" t="s">
        <v>4330</v>
      </c>
      <c r="C463" s="2" t="s">
        <v>45</v>
      </c>
      <c r="D463" s="2" t="s">
        <v>818</v>
      </c>
      <c r="E463" s="2" t="s">
        <v>4458</v>
      </c>
    </row>
    <row r="464" customFormat="false" ht="15" hidden="false" customHeight="false" outlineLevel="0" collapsed="false">
      <c r="A464" s="2" t="s">
        <v>3249</v>
      </c>
      <c r="B464" s="2" t="s">
        <v>4330</v>
      </c>
      <c r="C464" s="2" t="s">
        <v>47</v>
      </c>
      <c r="D464" s="2" t="s">
        <v>4331</v>
      </c>
      <c r="E464" s="2" t="s">
        <v>4333</v>
      </c>
    </row>
    <row r="465" customFormat="false" ht="15" hidden="false" customHeight="false" outlineLevel="0" collapsed="false">
      <c r="A465" s="2" t="s">
        <v>3251</v>
      </c>
      <c r="B465" s="2" t="s">
        <v>4330</v>
      </c>
      <c r="C465" s="2" t="s">
        <v>46</v>
      </c>
      <c r="D465" s="2" t="s">
        <v>818</v>
      </c>
      <c r="E465" s="2" t="s">
        <v>4341</v>
      </c>
    </row>
    <row r="466" customFormat="false" ht="15" hidden="false" customHeight="false" outlineLevel="0" collapsed="false">
      <c r="A466" s="2" t="s">
        <v>3253</v>
      </c>
      <c r="B466" s="2" t="s">
        <v>4330</v>
      </c>
      <c r="C466" s="2" t="s">
        <v>45</v>
      </c>
      <c r="D466" s="2" t="s">
        <v>4348</v>
      </c>
      <c r="E466" s="2" t="s">
        <v>4459</v>
      </c>
    </row>
    <row r="467" customFormat="false" ht="15" hidden="false" customHeight="false" outlineLevel="0" collapsed="false">
      <c r="A467" s="2" t="s">
        <v>3253</v>
      </c>
      <c r="B467" s="2" t="s">
        <v>4330</v>
      </c>
      <c r="C467" s="2" t="s">
        <v>46</v>
      </c>
      <c r="D467" s="2" t="s">
        <v>4348</v>
      </c>
      <c r="E467" s="2" t="s">
        <v>4391</v>
      </c>
    </row>
    <row r="468" customFormat="false" ht="15" hidden="false" customHeight="false" outlineLevel="0" collapsed="false">
      <c r="A468" s="2" t="s">
        <v>3253</v>
      </c>
      <c r="B468" s="2" t="s">
        <v>4330</v>
      </c>
      <c r="C468" s="2" t="s">
        <v>47</v>
      </c>
      <c r="D468" s="2" t="s">
        <v>4336</v>
      </c>
      <c r="E468" s="2" t="s">
        <v>4337</v>
      </c>
    </row>
    <row r="469" customFormat="false" ht="15" hidden="false" customHeight="false" outlineLevel="0" collapsed="false">
      <c r="A469" s="2" t="s">
        <v>2149</v>
      </c>
      <c r="B469" s="2" t="s">
        <v>4330</v>
      </c>
      <c r="C469" s="2" t="s">
        <v>45</v>
      </c>
      <c r="D469" s="2" t="s">
        <v>817</v>
      </c>
      <c r="E469" s="2" t="s">
        <v>4347</v>
      </c>
    </row>
    <row r="470" customFormat="false" ht="15" hidden="false" customHeight="false" outlineLevel="0" collapsed="false">
      <c r="A470" s="2" t="s">
        <v>3258</v>
      </c>
      <c r="B470" s="2" t="s">
        <v>4330</v>
      </c>
      <c r="C470" s="2" t="s">
        <v>46</v>
      </c>
      <c r="D470" s="2" t="s">
        <v>4409</v>
      </c>
      <c r="E470" s="2" t="s">
        <v>4438</v>
      </c>
    </row>
    <row r="471" customFormat="false" ht="15" hidden="false" customHeight="false" outlineLevel="0" collapsed="false">
      <c r="A471" s="2" t="s">
        <v>3259</v>
      </c>
      <c r="B471" s="2" t="s">
        <v>4330</v>
      </c>
      <c r="C471" s="2" t="s">
        <v>45</v>
      </c>
      <c r="D471" s="2" t="s">
        <v>818</v>
      </c>
      <c r="E471" s="2" t="s">
        <v>4332</v>
      </c>
    </row>
    <row r="472" customFormat="false" ht="15" hidden="false" customHeight="false" outlineLevel="0" collapsed="false">
      <c r="A472" s="2" t="s">
        <v>3259</v>
      </c>
      <c r="B472" s="2" t="s">
        <v>4330</v>
      </c>
      <c r="C472" s="2" t="s">
        <v>47</v>
      </c>
      <c r="D472" s="2" t="s">
        <v>4336</v>
      </c>
      <c r="E472" s="2" t="s">
        <v>4361</v>
      </c>
    </row>
    <row r="473" customFormat="false" ht="15" hidden="false" customHeight="false" outlineLevel="0" collapsed="false">
      <c r="A473" s="2" t="s">
        <v>1543</v>
      </c>
      <c r="B473" s="2" t="s">
        <v>4330</v>
      </c>
      <c r="C473" s="2" t="s">
        <v>46</v>
      </c>
      <c r="D473" s="2" t="s">
        <v>4366</v>
      </c>
      <c r="E473" s="2" t="s">
        <v>4367</v>
      </c>
    </row>
    <row r="474" customFormat="false" ht="15" hidden="false" customHeight="false" outlineLevel="0" collapsed="false">
      <c r="A474" s="2" t="s">
        <v>1950</v>
      </c>
      <c r="B474" s="2" t="s">
        <v>4330</v>
      </c>
      <c r="C474" s="2" t="s">
        <v>45</v>
      </c>
      <c r="D474" s="2" t="s">
        <v>817</v>
      </c>
      <c r="E474" s="2" t="s">
        <v>4389</v>
      </c>
    </row>
    <row r="475" customFormat="false" ht="15" hidden="false" customHeight="false" outlineLevel="0" collapsed="false">
      <c r="A475" s="2" t="s">
        <v>2212</v>
      </c>
      <c r="B475" s="2" t="s">
        <v>4330</v>
      </c>
      <c r="C475" s="2" t="s">
        <v>45</v>
      </c>
      <c r="D475" s="2" t="s">
        <v>818</v>
      </c>
      <c r="E475" s="2" t="s">
        <v>4345</v>
      </c>
    </row>
    <row r="476" customFormat="false" ht="15" hidden="false" customHeight="false" outlineLevel="0" collapsed="false">
      <c r="A476" s="2" t="s">
        <v>2212</v>
      </c>
      <c r="B476" s="2" t="s">
        <v>4330</v>
      </c>
      <c r="C476" s="2" t="s">
        <v>46</v>
      </c>
      <c r="D476" s="2" t="s">
        <v>4331</v>
      </c>
      <c r="E476" s="2" t="s">
        <v>4333</v>
      </c>
    </row>
    <row r="477" customFormat="false" ht="15" hidden="false" customHeight="false" outlineLevel="0" collapsed="false">
      <c r="A477" s="2" t="s">
        <v>2261</v>
      </c>
      <c r="B477" s="2" t="s">
        <v>4330</v>
      </c>
      <c r="C477" s="2" t="s">
        <v>45</v>
      </c>
      <c r="D477" s="2" t="s">
        <v>4331</v>
      </c>
      <c r="E477" s="2" t="s">
        <v>4328</v>
      </c>
    </row>
    <row r="478" customFormat="false" ht="15" hidden="false" customHeight="false" outlineLevel="0" collapsed="false">
      <c r="A478" s="2" t="s">
        <v>2261</v>
      </c>
      <c r="B478" s="2" t="s">
        <v>4330</v>
      </c>
      <c r="C478" s="2" t="s">
        <v>46</v>
      </c>
      <c r="D478" s="2" t="s">
        <v>4331</v>
      </c>
      <c r="E478" s="2" t="s">
        <v>4333</v>
      </c>
    </row>
    <row r="479" customFormat="false" ht="15" hidden="false" customHeight="false" outlineLevel="0" collapsed="false">
      <c r="A479" s="2" t="s">
        <v>1339</v>
      </c>
      <c r="B479" s="2" t="s">
        <v>4330</v>
      </c>
      <c r="C479" s="2" t="s">
        <v>46</v>
      </c>
      <c r="D479" s="2" t="s">
        <v>818</v>
      </c>
      <c r="E479" s="2" t="s">
        <v>4460</v>
      </c>
    </row>
    <row r="480" customFormat="false" ht="15" hidden="false" customHeight="false" outlineLevel="0" collapsed="false">
      <c r="A480" s="2" t="s">
        <v>1339</v>
      </c>
      <c r="B480" s="2" t="s">
        <v>4330</v>
      </c>
      <c r="C480" s="2" t="s">
        <v>47</v>
      </c>
      <c r="D480" s="2" t="s">
        <v>818</v>
      </c>
      <c r="E480" s="2" t="s">
        <v>4461</v>
      </c>
    </row>
    <row r="481" customFormat="false" ht="15" hidden="false" customHeight="false" outlineLevel="0" collapsed="false">
      <c r="A481" s="2" t="s">
        <v>3266</v>
      </c>
      <c r="B481" s="2" t="s">
        <v>4330</v>
      </c>
      <c r="C481" s="2" t="s">
        <v>45</v>
      </c>
      <c r="D481" s="2" t="s">
        <v>818</v>
      </c>
      <c r="E481" s="2" t="s">
        <v>4370</v>
      </c>
    </row>
    <row r="482" customFormat="false" ht="15" hidden="false" customHeight="false" outlineLevel="0" collapsed="false">
      <c r="A482" s="2" t="s">
        <v>3268</v>
      </c>
      <c r="B482" s="2" t="s">
        <v>4330</v>
      </c>
      <c r="C482" s="2" t="s">
        <v>45</v>
      </c>
      <c r="D482" s="2" t="s">
        <v>4336</v>
      </c>
      <c r="E482" s="2" t="s">
        <v>4396</v>
      </c>
    </row>
    <row r="483" customFormat="false" ht="15" hidden="false" customHeight="false" outlineLevel="0" collapsed="false">
      <c r="A483" s="2" t="s">
        <v>2175</v>
      </c>
      <c r="B483" s="2" t="s">
        <v>4330</v>
      </c>
      <c r="C483" s="2" t="s">
        <v>47</v>
      </c>
      <c r="D483" s="2" t="s">
        <v>816</v>
      </c>
      <c r="E483" s="2" t="s">
        <v>4383</v>
      </c>
    </row>
    <row r="484" customFormat="false" ht="15" hidden="false" customHeight="false" outlineLevel="0" collapsed="false">
      <c r="A484" s="2" t="s">
        <v>1921</v>
      </c>
      <c r="B484" s="2" t="s">
        <v>4330</v>
      </c>
      <c r="C484" s="2" t="s">
        <v>45</v>
      </c>
      <c r="D484" s="2" t="s">
        <v>817</v>
      </c>
      <c r="E484" s="2" t="s">
        <v>4339</v>
      </c>
    </row>
    <row r="485" customFormat="false" ht="15" hidden="false" customHeight="false" outlineLevel="0" collapsed="false">
      <c r="A485" s="2" t="s">
        <v>1632</v>
      </c>
      <c r="B485" s="2" t="s">
        <v>4330</v>
      </c>
      <c r="C485" s="2" t="s">
        <v>45</v>
      </c>
      <c r="D485" s="2" t="s">
        <v>4331</v>
      </c>
      <c r="E485" s="2" t="s">
        <v>4327</v>
      </c>
    </row>
    <row r="486" customFormat="false" ht="15" hidden="false" customHeight="false" outlineLevel="0" collapsed="false">
      <c r="A486" s="2" t="s">
        <v>2069</v>
      </c>
      <c r="B486" s="2" t="s">
        <v>4330</v>
      </c>
      <c r="C486" s="2" t="s">
        <v>45</v>
      </c>
      <c r="D486" s="2" t="s">
        <v>818</v>
      </c>
      <c r="E486" s="2" t="s">
        <v>4355</v>
      </c>
    </row>
    <row r="487" customFormat="false" ht="15" hidden="false" customHeight="false" outlineLevel="0" collapsed="false">
      <c r="A487" s="2" t="s">
        <v>3273</v>
      </c>
      <c r="B487" s="2" t="s">
        <v>4330</v>
      </c>
      <c r="C487" s="2" t="s">
        <v>45</v>
      </c>
      <c r="D487" s="2" t="s">
        <v>4331</v>
      </c>
      <c r="E487" s="2" t="s">
        <v>4328</v>
      </c>
    </row>
    <row r="488" customFormat="false" ht="15" hidden="false" customHeight="false" outlineLevel="0" collapsed="false">
      <c r="A488" s="2" t="s">
        <v>3273</v>
      </c>
      <c r="B488" s="2" t="s">
        <v>4330</v>
      </c>
      <c r="C488" s="2" t="s">
        <v>47</v>
      </c>
      <c r="D488" s="2" t="s">
        <v>818</v>
      </c>
      <c r="E488" s="2" t="s">
        <v>4374</v>
      </c>
    </row>
    <row r="489" customFormat="false" ht="15" hidden="false" customHeight="false" outlineLevel="0" collapsed="false">
      <c r="A489" s="2" t="s">
        <v>3275</v>
      </c>
      <c r="B489" s="2" t="s">
        <v>4330</v>
      </c>
      <c r="C489" s="2" t="s">
        <v>46</v>
      </c>
      <c r="D489" s="2" t="s">
        <v>4366</v>
      </c>
      <c r="E489" s="2" t="s">
        <v>4367</v>
      </c>
    </row>
    <row r="490" customFormat="false" ht="15" hidden="false" customHeight="false" outlineLevel="0" collapsed="false">
      <c r="A490" s="2" t="s">
        <v>3275</v>
      </c>
      <c r="B490" s="2" t="s">
        <v>4330</v>
      </c>
      <c r="C490" s="2" t="s">
        <v>47</v>
      </c>
      <c r="D490" s="2" t="s">
        <v>4331</v>
      </c>
      <c r="E490" s="2" t="s">
        <v>4344</v>
      </c>
    </row>
    <row r="491" customFormat="false" ht="15" hidden="false" customHeight="false" outlineLevel="0" collapsed="false">
      <c r="A491" s="2" t="s">
        <v>1814</v>
      </c>
      <c r="B491" s="2" t="s">
        <v>4330</v>
      </c>
      <c r="C491" s="2" t="s">
        <v>45</v>
      </c>
      <c r="D491" s="2" t="s">
        <v>817</v>
      </c>
      <c r="E491" s="2" t="s">
        <v>4377</v>
      </c>
    </row>
    <row r="492" customFormat="false" ht="15" hidden="false" customHeight="false" outlineLevel="0" collapsed="false">
      <c r="A492" s="2" t="s">
        <v>1814</v>
      </c>
      <c r="B492" s="2" t="s">
        <v>4330</v>
      </c>
      <c r="C492" s="2" t="s">
        <v>47</v>
      </c>
      <c r="D492" s="2" t="s">
        <v>4331</v>
      </c>
      <c r="E492" s="2" t="s">
        <v>4326</v>
      </c>
    </row>
    <row r="493" customFormat="false" ht="15" hidden="false" customHeight="false" outlineLevel="0" collapsed="false">
      <c r="A493" s="2" t="s">
        <v>1239</v>
      </c>
      <c r="B493" s="2" t="s">
        <v>4330</v>
      </c>
      <c r="C493" s="2" t="s">
        <v>46</v>
      </c>
      <c r="D493" s="2" t="s">
        <v>818</v>
      </c>
      <c r="E493" s="2" t="s">
        <v>4359</v>
      </c>
    </row>
    <row r="494" customFormat="false" ht="15" hidden="false" customHeight="false" outlineLevel="0" collapsed="false">
      <c r="A494" s="2" t="s">
        <v>1295</v>
      </c>
      <c r="B494" s="2" t="s">
        <v>4330</v>
      </c>
      <c r="C494" s="2" t="s">
        <v>46</v>
      </c>
      <c r="D494" s="2" t="s">
        <v>4331</v>
      </c>
      <c r="E494" s="2" t="s">
        <v>4327</v>
      </c>
    </row>
    <row r="495" customFormat="false" ht="15" hidden="false" customHeight="false" outlineLevel="0" collapsed="false">
      <c r="A495" s="2" t="s">
        <v>2640</v>
      </c>
      <c r="B495" s="2" t="s">
        <v>4330</v>
      </c>
      <c r="C495" s="2" t="s">
        <v>45</v>
      </c>
      <c r="D495" s="2" t="s">
        <v>818</v>
      </c>
      <c r="E495" s="2" t="s">
        <v>4345</v>
      </c>
    </row>
    <row r="496" customFormat="false" ht="15" hidden="false" customHeight="false" outlineLevel="0" collapsed="false">
      <c r="A496" s="2" t="s">
        <v>2640</v>
      </c>
      <c r="B496" s="2" t="s">
        <v>4330</v>
      </c>
      <c r="C496" s="2" t="s">
        <v>46</v>
      </c>
      <c r="D496" s="2" t="s">
        <v>4336</v>
      </c>
      <c r="E496" s="2" t="s">
        <v>4361</v>
      </c>
    </row>
    <row r="497" customFormat="false" ht="15" hidden="false" customHeight="false" outlineLevel="0" collapsed="false">
      <c r="A497" s="2" t="s">
        <v>3280</v>
      </c>
      <c r="B497" s="2" t="s">
        <v>4330</v>
      </c>
      <c r="C497" s="2" t="s">
        <v>45</v>
      </c>
      <c r="D497" s="2" t="s">
        <v>4331</v>
      </c>
      <c r="E497" s="2" t="s">
        <v>4326</v>
      </c>
    </row>
    <row r="498" customFormat="false" ht="15" hidden="false" customHeight="false" outlineLevel="0" collapsed="false">
      <c r="A498" s="2" t="s">
        <v>3281</v>
      </c>
      <c r="B498" s="2" t="s">
        <v>4330</v>
      </c>
      <c r="C498" s="2" t="s">
        <v>46</v>
      </c>
      <c r="D498" s="2" t="s">
        <v>817</v>
      </c>
      <c r="E498" s="2" t="s">
        <v>4339</v>
      </c>
    </row>
    <row r="499" customFormat="false" ht="15" hidden="false" customHeight="false" outlineLevel="0" collapsed="false">
      <c r="A499" s="2" t="s">
        <v>3281</v>
      </c>
      <c r="B499" s="2" t="s">
        <v>4330</v>
      </c>
      <c r="C499" s="2" t="s">
        <v>47</v>
      </c>
      <c r="D499" s="2" t="s">
        <v>4331</v>
      </c>
      <c r="E499" s="2" t="s">
        <v>4326</v>
      </c>
    </row>
    <row r="500" customFormat="false" ht="15" hidden="false" customHeight="false" outlineLevel="0" collapsed="false">
      <c r="A500" s="2" t="s">
        <v>1331</v>
      </c>
      <c r="B500" s="2" t="s">
        <v>4330</v>
      </c>
      <c r="C500" s="2" t="s">
        <v>46</v>
      </c>
      <c r="D500" s="2" t="s">
        <v>818</v>
      </c>
      <c r="E500" s="2" t="s">
        <v>4346</v>
      </c>
    </row>
    <row r="501" customFormat="false" ht="15" hidden="false" customHeight="false" outlineLevel="0" collapsed="false">
      <c r="A501" s="2" t="s">
        <v>1331</v>
      </c>
      <c r="B501" s="2" t="s">
        <v>4330</v>
      </c>
      <c r="C501" s="2" t="s">
        <v>47</v>
      </c>
      <c r="D501" s="2" t="s">
        <v>818</v>
      </c>
      <c r="E501" s="2" t="s">
        <v>4365</v>
      </c>
    </row>
    <row r="502" customFormat="false" ht="15" hidden="false" customHeight="false" outlineLevel="0" collapsed="false">
      <c r="A502" s="2" t="s">
        <v>2710</v>
      </c>
      <c r="B502" s="2" t="s">
        <v>4330</v>
      </c>
      <c r="C502" s="2" t="s">
        <v>45</v>
      </c>
      <c r="D502" s="2" t="s">
        <v>818</v>
      </c>
      <c r="E502" s="2" t="s">
        <v>4345</v>
      </c>
    </row>
    <row r="503" customFormat="false" ht="15" hidden="false" customHeight="false" outlineLevel="0" collapsed="false">
      <c r="A503" s="2" t="s">
        <v>2710</v>
      </c>
      <c r="B503" s="2" t="s">
        <v>4330</v>
      </c>
      <c r="C503" s="2" t="s">
        <v>46</v>
      </c>
      <c r="D503" s="2" t="s">
        <v>818</v>
      </c>
      <c r="E503" s="2" t="s">
        <v>4341</v>
      </c>
    </row>
    <row r="504" customFormat="false" ht="15" hidden="false" customHeight="false" outlineLevel="0" collapsed="false">
      <c r="A504" s="2" t="s">
        <v>1155</v>
      </c>
      <c r="B504" s="2" t="s">
        <v>4330</v>
      </c>
      <c r="C504" s="2" t="s">
        <v>46</v>
      </c>
      <c r="D504" s="2" t="s">
        <v>4331</v>
      </c>
      <c r="E504" s="2" t="s">
        <v>4328</v>
      </c>
    </row>
    <row r="505" customFormat="false" ht="15" hidden="false" customHeight="false" outlineLevel="0" collapsed="false">
      <c r="A505" s="2" t="s">
        <v>1394</v>
      </c>
      <c r="B505" s="2" t="s">
        <v>4330</v>
      </c>
      <c r="C505" s="2" t="s">
        <v>46</v>
      </c>
      <c r="D505" s="2" t="s">
        <v>818</v>
      </c>
      <c r="E505" s="2" t="s">
        <v>4341</v>
      </c>
    </row>
    <row r="506" customFormat="false" ht="15" hidden="false" customHeight="false" outlineLevel="0" collapsed="false">
      <c r="A506" s="2" t="s">
        <v>2194</v>
      </c>
      <c r="B506" s="2" t="s">
        <v>4330</v>
      </c>
      <c r="C506" s="2" t="s">
        <v>45</v>
      </c>
      <c r="D506" s="2" t="s">
        <v>4331</v>
      </c>
      <c r="E506" s="2" t="s">
        <v>4327</v>
      </c>
    </row>
    <row r="507" customFormat="false" ht="15" hidden="false" customHeight="false" outlineLevel="0" collapsed="false">
      <c r="A507" s="2" t="s">
        <v>1325</v>
      </c>
      <c r="B507" s="2" t="s">
        <v>4330</v>
      </c>
      <c r="C507" s="2" t="s">
        <v>47</v>
      </c>
      <c r="D507" s="2" t="s">
        <v>818</v>
      </c>
      <c r="E507" s="2" t="s">
        <v>4388</v>
      </c>
    </row>
    <row r="508" customFormat="false" ht="15" hidden="false" customHeight="false" outlineLevel="0" collapsed="false">
      <c r="A508" s="2" t="s">
        <v>1546</v>
      </c>
      <c r="B508" s="2" t="s">
        <v>4330</v>
      </c>
      <c r="C508" s="2" t="s">
        <v>46</v>
      </c>
      <c r="D508" s="2" t="s">
        <v>816</v>
      </c>
      <c r="E508" s="2" t="s">
        <v>4351</v>
      </c>
    </row>
    <row r="509" customFormat="false" ht="15" hidden="false" customHeight="false" outlineLevel="0" collapsed="false">
      <c r="A509" s="2" t="s">
        <v>830</v>
      </c>
      <c r="B509" s="2" t="s">
        <v>4330</v>
      </c>
      <c r="C509" s="2" t="s">
        <v>47</v>
      </c>
      <c r="D509" s="2" t="s">
        <v>816</v>
      </c>
      <c r="E509" s="2" t="s">
        <v>4406</v>
      </c>
    </row>
    <row r="510" customFormat="false" ht="15" hidden="false" customHeight="false" outlineLevel="0" collapsed="false">
      <c r="A510" s="2" t="s">
        <v>1506</v>
      </c>
      <c r="B510" s="2" t="s">
        <v>4330</v>
      </c>
      <c r="C510" s="2" t="s">
        <v>46</v>
      </c>
      <c r="D510" s="2" t="s">
        <v>4336</v>
      </c>
      <c r="E510" s="2" t="s">
        <v>4462</v>
      </c>
    </row>
    <row r="511" customFormat="false" ht="15" hidden="false" customHeight="false" outlineLevel="0" collapsed="false">
      <c r="A511" s="2" t="s">
        <v>2771</v>
      </c>
      <c r="B511" s="2" t="s">
        <v>4330</v>
      </c>
      <c r="C511" s="2" t="s">
        <v>46</v>
      </c>
      <c r="D511" s="2" t="s">
        <v>818</v>
      </c>
      <c r="E511" s="2" t="s">
        <v>4373</v>
      </c>
    </row>
    <row r="512" customFormat="false" ht="15" hidden="false" customHeight="false" outlineLevel="0" collapsed="false">
      <c r="A512" s="2" t="s">
        <v>986</v>
      </c>
      <c r="B512" s="2" t="s">
        <v>4330</v>
      </c>
      <c r="C512" s="2" t="s">
        <v>46</v>
      </c>
      <c r="D512" s="2" t="s">
        <v>817</v>
      </c>
      <c r="E512" s="2" t="s">
        <v>4339</v>
      </c>
    </row>
    <row r="513" customFormat="false" ht="15" hidden="false" customHeight="false" outlineLevel="0" collapsed="false">
      <c r="A513" s="2" t="s">
        <v>986</v>
      </c>
      <c r="B513" s="2" t="s">
        <v>4330</v>
      </c>
      <c r="C513" s="2" t="s">
        <v>47</v>
      </c>
      <c r="D513" s="2" t="s">
        <v>4336</v>
      </c>
      <c r="E513" s="2" t="s">
        <v>4337</v>
      </c>
    </row>
    <row r="514" customFormat="false" ht="15" hidden="false" customHeight="false" outlineLevel="0" collapsed="false">
      <c r="A514" s="2" t="s">
        <v>945</v>
      </c>
      <c r="B514" s="2" t="s">
        <v>4330</v>
      </c>
      <c r="C514" s="2" t="s">
        <v>47</v>
      </c>
      <c r="D514" s="2" t="s">
        <v>817</v>
      </c>
      <c r="E514" s="2" t="s">
        <v>4339</v>
      </c>
    </row>
    <row r="515" customFormat="false" ht="15" hidden="false" customHeight="false" outlineLevel="0" collapsed="false">
      <c r="A515" s="2" t="s">
        <v>1144</v>
      </c>
      <c r="B515" s="2" t="s">
        <v>4330</v>
      </c>
      <c r="C515" s="2" t="s">
        <v>47</v>
      </c>
      <c r="D515" s="2" t="s">
        <v>4331</v>
      </c>
      <c r="E515" s="2" t="s">
        <v>4333</v>
      </c>
    </row>
    <row r="516" customFormat="false" ht="15" hidden="false" customHeight="false" outlineLevel="0" collapsed="false">
      <c r="A516" s="2" t="s">
        <v>2768</v>
      </c>
      <c r="B516" s="2" t="s">
        <v>4330</v>
      </c>
      <c r="C516" s="2" t="s">
        <v>45</v>
      </c>
      <c r="D516" s="2" t="s">
        <v>818</v>
      </c>
      <c r="E516" s="2" t="s">
        <v>4448</v>
      </c>
    </row>
    <row r="517" customFormat="false" ht="15" hidden="false" customHeight="false" outlineLevel="0" collapsed="false">
      <c r="A517" s="2" t="s">
        <v>2768</v>
      </c>
      <c r="B517" s="2" t="s">
        <v>4330</v>
      </c>
      <c r="C517" s="2" t="s">
        <v>46</v>
      </c>
      <c r="D517" s="2" t="s">
        <v>817</v>
      </c>
      <c r="E517" s="2" t="s">
        <v>4451</v>
      </c>
    </row>
    <row r="518" customFormat="false" ht="15" hidden="false" customHeight="false" outlineLevel="0" collapsed="false">
      <c r="A518" s="2" t="s">
        <v>2018</v>
      </c>
      <c r="B518" s="2" t="s">
        <v>4330</v>
      </c>
      <c r="C518" s="2" t="s">
        <v>45</v>
      </c>
      <c r="D518" s="2" t="s">
        <v>4331</v>
      </c>
      <c r="E518" s="2" t="s">
        <v>4327</v>
      </c>
    </row>
    <row r="519" customFormat="false" ht="15" hidden="false" customHeight="false" outlineLevel="0" collapsed="false">
      <c r="A519" s="2" t="s">
        <v>3298</v>
      </c>
      <c r="B519" s="2" t="s">
        <v>4330</v>
      </c>
      <c r="C519" s="2" t="s">
        <v>46</v>
      </c>
      <c r="D519" s="2" t="s">
        <v>4336</v>
      </c>
      <c r="E519" s="2" t="s">
        <v>4361</v>
      </c>
    </row>
    <row r="520" customFormat="false" ht="15" hidden="false" customHeight="false" outlineLevel="0" collapsed="false">
      <c r="A520" s="2" t="s">
        <v>1838</v>
      </c>
      <c r="B520" s="2" t="s">
        <v>4330</v>
      </c>
      <c r="C520" s="2" t="s">
        <v>45</v>
      </c>
      <c r="D520" s="2" t="s">
        <v>4331</v>
      </c>
      <c r="E520" s="2" t="s">
        <v>4326</v>
      </c>
    </row>
    <row r="521" customFormat="false" ht="15" hidden="false" customHeight="false" outlineLevel="0" collapsed="false">
      <c r="A521" s="2" t="s">
        <v>2236</v>
      </c>
      <c r="B521" s="2" t="s">
        <v>4330</v>
      </c>
      <c r="C521" s="2" t="s">
        <v>46</v>
      </c>
      <c r="D521" s="2" t="s">
        <v>4331</v>
      </c>
      <c r="E521" s="2" t="s">
        <v>4328</v>
      </c>
    </row>
    <row r="522" customFormat="false" ht="15" hidden="false" customHeight="false" outlineLevel="0" collapsed="false">
      <c r="A522" s="2" t="s">
        <v>1530</v>
      </c>
      <c r="B522" s="2" t="s">
        <v>4330</v>
      </c>
      <c r="C522" s="2" t="s">
        <v>46</v>
      </c>
      <c r="D522" s="2" t="s">
        <v>4331</v>
      </c>
      <c r="E522" s="2" t="s">
        <v>4333</v>
      </c>
    </row>
    <row r="523" customFormat="false" ht="15" hidden="false" customHeight="false" outlineLevel="0" collapsed="false">
      <c r="A523" s="2" t="s">
        <v>1852</v>
      </c>
      <c r="B523" s="2" t="s">
        <v>4330</v>
      </c>
      <c r="C523" s="2" t="s">
        <v>47</v>
      </c>
      <c r="D523" s="2" t="s">
        <v>816</v>
      </c>
      <c r="E523" s="2" t="s">
        <v>4383</v>
      </c>
    </row>
    <row r="524" customFormat="false" ht="15" hidden="false" customHeight="false" outlineLevel="0" collapsed="false">
      <c r="A524" s="2" t="s">
        <v>3301</v>
      </c>
      <c r="B524" s="2" t="s">
        <v>4330</v>
      </c>
      <c r="C524" s="2" t="s">
        <v>46</v>
      </c>
      <c r="D524" s="2" t="s">
        <v>4336</v>
      </c>
      <c r="E524" s="2" t="s">
        <v>4361</v>
      </c>
    </row>
    <row r="525" customFormat="false" ht="15" hidden="false" customHeight="false" outlineLevel="0" collapsed="false">
      <c r="A525" s="2" t="s">
        <v>3301</v>
      </c>
      <c r="B525" s="2" t="s">
        <v>4330</v>
      </c>
      <c r="C525" s="2" t="s">
        <v>47</v>
      </c>
      <c r="D525" s="2" t="s">
        <v>4331</v>
      </c>
      <c r="E525" s="2" t="s">
        <v>4333</v>
      </c>
    </row>
    <row r="526" customFormat="false" ht="15" hidden="false" customHeight="false" outlineLevel="0" collapsed="false">
      <c r="A526" s="2" t="s">
        <v>3303</v>
      </c>
      <c r="B526" s="2" t="s">
        <v>4330</v>
      </c>
      <c r="C526" s="2" t="s">
        <v>46</v>
      </c>
      <c r="D526" s="2" t="s">
        <v>4331</v>
      </c>
      <c r="E526" s="2" t="s">
        <v>4326</v>
      </c>
    </row>
    <row r="527" customFormat="false" ht="15" hidden="false" customHeight="false" outlineLevel="0" collapsed="false">
      <c r="A527" s="2" t="s">
        <v>1849</v>
      </c>
      <c r="B527" s="2" t="s">
        <v>4330</v>
      </c>
      <c r="C527" s="2" t="s">
        <v>45</v>
      </c>
      <c r="D527" s="2" t="s">
        <v>818</v>
      </c>
      <c r="E527" s="2" t="s">
        <v>4463</v>
      </c>
    </row>
    <row r="528" customFormat="false" ht="15" hidden="false" customHeight="false" outlineLevel="0" collapsed="false">
      <c r="A528" s="2" t="s">
        <v>2679</v>
      </c>
      <c r="B528" s="2" t="s">
        <v>4330</v>
      </c>
      <c r="C528" s="2" t="s">
        <v>46</v>
      </c>
      <c r="D528" s="2" t="s">
        <v>818</v>
      </c>
      <c r="E528" s="2" t="s">
        <v>4346</v>
      </c>
    </row>
    <row r="529" customFormat="false" ht="15" hidden="false" customHeight="false" outlineLevel="0" collapsed="false">
      <c r="A529" s="2" t="s">
        <v>3306</v>
      </c>
      <c r="B529" s="2" t="s">
        <v>4330</v>
      </c>
      <c r="C529" s="2" t="s">
        <v>45</v>
      </c>
      <c r="D529" s="2" t="s">
        <v>4336</v>
      </c>
      <c r="E529" s="2" t="s">
        <v>4361</v>
      </c>
    </row>
    <row r="530" customFormat="false" ht="15" hidden="false" customHeight="false" outlineLevel="0" collapsed="false">
      <c r="A530" s="2" t="s">
        <v>3306</v>
      </c>
      <c r="B530" s="2" t="s">
        <v>4330</v>
      </c>
      <c r="C530" s="2" t="s">
        <v>46</v>
      </c>
      <c r="D530" s="2" t="s">
        <v>4331</v>
      </c>
      <c r="E530" s="2" t="s">
        <v>4326</v>
      </c>
    </row>
    <row r="531" customFormat="false" ht="15" hidden="false" customHeight="false" outlineLevel="0" collapsed="false">
      <c r="A531" s="2" t="s">
        <v>1571</v>
      </c>
      <c r="B531" s="2" t="s">
        <v>4330</v>
      </c>
      <c r="C531" s="2" t="s">
        <v>46</v>
      </c>
      <c r="D531" s="2" t="s">
        <v>818</v>
      </c>
      <c r="E531" s="2" t="s">
        <v>4356</v>
      </c>
    </row>
    <row r="532" customFormat="false" ht="15" hidden="false" customHeight="false" outlineLevel="0" collapsed="false">
      <c r="A532" s="2" t="s">
        <v>3309</v>
      </c>
      <c r="B532" s="2" t="s">
        <v>4330</v>
      </c>
      <c r="C532" s="2" t="s">
        <v>46</v>
      </c>
      <c r="D532" s="2" t="s">
        <v>4362</v>
      </c>
      <c r="E532" s="2" t="s">
        <v>4418</v>
      </c>
    </row>
    <row r="533" customFormat="false" ht="15" hidden="false" customHeight="false" outlineLevel="0" collapsed="false">
      <c r="A533" s="2" t="s">
        <v>1108</v>
      </c>
      <c r="B533" s="2" t="s">
        <v>4330</v>
      </c>
      <c r="C533" s="2" t="s">
        <v>46</v>
      </c>
      <c r="D533" s="2" t="s">
        <v>4331</v>
      </c>
      <c r="E533" s="2" t="s">
        <v>4326</v>
      </c>
    </row>
    <row r="534" customFormat="false" ht="15" hidden="false" customHeight="false" outlineLevel="0" collapsed="false">
      <c r="A534" s="2" t="s">
        <v>2295</v>
      </c>
      <c r="B534" s="2" t="s">
        <v>4330</v>
      </c>
      <c r="C534" s="2" t="s">
        <v>46</v>
      </c>
      <c r="D534" s="2" t="s">
        <v>4331</v>
      </c>
      <c r="E534" s="2" t="s">
        <v>4333</v>
      </c>
    </row>
    <row r="535" customFormat="false" ht="15" hidden="false" customHeight="false" outlineLevel="0" collapsed="false">
      <c r="A535" s="2" t="s">
        <v>1653</v>
      </c>
      <c r="B535" s="2" t="s">
        <v>4330</v>
      </c>
      <c r="C535" s="2" t="s">
        <v>45</v>
      </c>
      <c r="D535" s="2" t="s">
        <v>4331</v>
      </c>
      <c r="E535" s="2" t="s">
        <v>4326</v>
      </c>
    </row>
    <row r="536" customFormat="false" ht="15" hidden="false" customHeight="false" outlineLevel="0" collapsed="false">
      <c r="A536" s="2" t="s">
        <v>1797</v>
      </c>
      <c r="B536" s="2" t="s">
        <v>4330</v>
      </c>
      <c r="C536" s="2" t="s">
        <v>45</v>
      </c>
      <c r="D536" s="2" t="s">
        <v>817</v>
      </c>
      <c r="E536" s="2" t="s">
        <v>4364</v>
      </c>
    </row>
    <row r="537" customFormat="false" ht="15" hidden="false" customHeight="false" outlineLevel="0" collapsed="false">
      <c r="A537" s="2" t="s">
        <v>2157</v>
      </c>
      <c r="B537" s="2" t="s">
        <v>4330</v>
      </c>
      <c r="C537" s="2" t="s">
        <v>45</v>
      </c>
      <c r="D537" s="2" t="s">
        <v>818</v>
      </c>
      <c r="E537" s="2" t="s">
        <v>4464</v>
      </c>
    </row>
    <row r="538" customFormat="false" ht="15" hidden="false" customHeight="false" outlineLevel="0" collapsed="false">
      <c r="A538" s="2" t="s">
        <v>3313</v>
      </c>
      <c r="B538" s="2" t="s">
        <v>4330</v>
      </c>
      <c r="C538" s="2" t="s">
        <v>47</v>
      </c>
      <c r="D538" s="2" t="s">
        <v>818</v>
      </c>
      <c r="E538" s="2" t="s">
        <v>4461</v>
      </c>
    </row>
    <row r="539" customFormat="false" ht="15" hidden="false" customHeight="false" outlineLevel="0" collapsed="false">
      <c r="A539" s="2" t="s">
        <v>2536</v>
      </c>
      <c r="B539" s="2" t="s">
        <v>4330</v>
      </c>
      <c r="C539" s="2" t="s">
        <v>45</v>
      </c>
      <c r="D539" s="2" t="s">
        <v>818</v>
      </c>
      <c r="E539" s="2" t="s">
        <v>4356</v>
      </c>
    </row>
    <row r="540" customFormat="false" ht="15" hidden="false" customHeight="false" outlineLevel="0" collapsed="false">
      <c r="A540" s="2" t="s">
        <v>2536</v>
      </c>
      <c r="B540" s="2" t="s">
        <v>4330</v>
      </c>
      <c r="C540" s="2" t="s">
        <v>46</v>
      </c>
      <c r="D540" s="2" t="s">
        <v>4331</v>
      </c>
      <c r="E540" s="2" t="s">
        <v>4333</v>
      </c>
    </row>
    <row r="541" customFormat="false" ht="15" hidden="false" customHeight="false" outlineLevel="0" collapsed="false">
      <c r="A541" s="2" t="s">
        <v>1066</v>
      </c>
      <c r="B541" s="2" t="s">
        <v>4330</v>
      </c>
      <c r="C541" s="2" t="s">
        <v>46</v>
      </c>
      <c r="D541" s="2" t="s">
        <v>818</v>
      </c>
      <c r="E541" s="2" t="s">
        <v>4357</v>
      </c>
    </row>
    <row r="542" customFormat="false" ht="15" hidden="false" customHeight="false" outlineLevel="0" collapsed="false">
      <c r="A542" s="2" t="s">
        <v>1003</v>
      </c>
      <c r="B542" s="2" t="s">
        <v>4330</v>
      </c>
      <c r="C542" s="2" t="s">
        <v>47</v>
      </c>
      <c r="D542" s="2" t="s">
        <v>818</v>
      </c>
      <c r="E542" s="2" t="s">
        <v>4368</v>
      </c>
    </row>
    <row r="543" customFormat="false" ht="15" hidden="false" customHeight="false" outlineLevel="0" collapsed="false">
      <c r="A543" s="2" t="s">
        <v>3318</v>
      </c>
      <c r="B543" s="2" t="s">
        <v>4330</v>
      </c>
      <c r="C543" s="2" t="s">
        <v>45</v>
      </c>
      <c r="D543" s="2" t="s">
        <v>818</v>
      </c>
      <c r="E543" s="2" t="s">
        <v>4465</v>
      </c>
    </row>
    <row r="544" customFormat="false" ht="15" hidden="false" customHeight="false" outlineLevel="0" collapsed="false">
      <c r="A544" s="2" t="s">
        <v>3320</v>
      </c>
      <c r="B544" s="2" t="s">
        <v>4330</v>
      </c>
      <c r="C544" s="2" t="s">
        <v>46</v>
      </c>
      <c r="D544" s="2" t="s">
        <v>818</v>
      </c>
      <c r="E544" s="2" t="s">
        <v>4357</v>
      </c>
    </row>
    <row r="545" customFormat="false" ht="15" hidden="false" customHeight="false" outlineLevel="0" collapsed="false">
      <c r="A545" s="2" t="s">
        <v>2034</v>
      </c>
      <c r="B545" s="2" t="s">
        <v>4330</v>
      </c>
      <c r="C545" s="2" t="s">
        <v>45</v>
      </c>
      <c r="D545" s="2" t="s">
        <v>4331</v>
      </c>
      <c r="E545" s="2" t="s">
        <v>4328</v>
      </c>
    </row>
    <row r="546" customFormat="false" ht="15" hidden="false" customHeight="false" outlineLevel="0" collapsed="false">
      <c r="A546" s="2" t="s">
        <v>1594</v>
      </c>
      <c r="B546" s="2" t="s">
        <v>4330</v>
      </c>
      <c r="C546" s="2" t="s">
        <v>46</v>
      </c>
      <c r="D546" s="2" t="s">
        <v>4331</v>
      </c>
      <c r="E546" s="2" t="s">
        <v>4333</v>
      </c>
    </row>
    <row r="547" customFormat="false" ht="15" hidden="false" customHeight="false" outlineLevel="0" collapsed="false">
      <c r="A547" s="2" t="s">
        <v>2433</v>
      </c>
      <c r="B547" s="2" t="s">
        <v>4330</v>
      </c>
      <c r="C547" s="2" t="s">
        <v>45</v>
      </c>
      <c r="D547" s="2" t="s">
        <v>818</v>
      </c>
      <c r="E547" s="2" t="s">
        <v>4332</v>
      </c>
    </row>
    <row r="548" customFormat="false" ht="15" hidden="false" customHeight="false" outlineLevel="0" collapsed="false">
      <c r="A548" s="2" t="s">
        <v>2433</v>
      </c>
      <c r="B548" s="2" t="s">
        <v>4330</v>
      </c>
      <c r="C548" s="2" t="s">
        <v>46</v>
      </c>
      <c r="D548" s="2" t="s">
        <v>818</v>
      </c>
      <c r="E548" s="2" t="s">
        <v>4350</v>
      </c>
    </row>
    <row r="549" customFormat="false" ht="15" hidden="false" customHeight="false" outlineLevel="0" collapsed="false">
      <c r="A549" s="2" t="s">
        <v>1575</v>
      </c>
      <c r="B549" s="2" t="s">
        <v>4330</v>
      </c>
      <c r="C549" s="2" t="s">
        <v>47</v>
      </c>
      <c r="D549" s="2" t="s">
        <v>4331</v>
      </c>
      <c r="E549" s="2" t="s">
        <v>4333</v>
      </c>
    </row>
    <row r="550" customFormat="false" ht="15" hidden="false" customHeight="false" outlineLevel="0" collapsed="false">
      <c r="A550" s="2" t="s">
        <v>1291</v>
      </c>
      <c r="B550" s="2" t="s">
        <v>4330</v>
      </c>
      <c r="C550" s="2" t="s">
        <v>46</v>
      </c>
      <c r="D550" s="2" t="s">
        <v>4331</v>
      </c>
      <c r="E550" s="2" t="s">
        <v>4328</v>
      </c>
    </row>
    <row r="551" customFormat="false" ht="15" hidden="false" customHeight="false" outlineLevel="0" collapsed="false">
      <c r="A551" s="2" t="s">
        <v>3324</v>
      </c>
      <c r="B551" s="2" t="s">
        <v>4330</v>
      </c>
      <c r="C551" s="2" t="s">
        <v>45</v>
      </c>
      <c r="D551" s="2" t="s">
        <v>4366</v>
      </c>
      <c r="E551" s="2" t="s">
        <v>4367</v>
      </c>
    </row>
    <row r="552" customFormat="false" ht="15" hidden="false" customHeight="false" outlineLevel="0" collapsed="false">
      <c r="A552" s="2" t="s">
        <v>3324</v>
      </c>
      <c r="B552" s="2" t="s">
        <v>4330</v>
      </c>
      <c r="C552" s="2" t="s">
        <v>46</v>
      </c>
      <c r="D552" s="2" t="s">
        <v>817</v>
      </c>
      <c r="E552" s="2" t="s">
        <v>4377</v>
      </c>
    </row>
    <row r="553" customFormat="false" ht="15" hidden="false" customHeight="false" outlineLevel="0" collapsed="false">
      <c r="A553" s="2" t="s">
        <v>1028</v>
      </c>
      <c r="B553" s="2" t="s">
        <v>4330</v>
      </c>
      <c r="C553" s="2" t="s">
        <v>46</v>
      </c>
      <c r="D553" s="2" t="s">
        <v>4331</v>
      </c>
      <c r="E553" s="2" t="s">
        <v>4326</v>
      </c>
    </row>
    <row r="554" customFormat="false" ht="15" hidden="false" customHeight="false" outlineLevel="0" collapsed="false">
      <c r="A554" s="2" t="s">
        <v>1438</v>
      </c>
      <c r="B554" s="2" t="s">
        <v>4330</v>
      </c>
      <c r="C554" s="2" t="s">
        <v>46</v>
      </c>
      <c r="D554" s="2" t="s">
        <v>816</v>
      </c>
      <c r="E554" s="2" t="s">
        <v>4351</v>
      </c>
    </row>
    <row r="555" customFormat="false" ht="15" hidden="false" customHeight="false" outlineLevel="0" collapsed="false">
      <c r="A555" s="2" t="s">
        <v>862</v>
      </c>
      <c r="B555" s="2" t="s">
        <v>4330</v>
      </c>
      <c r="C555" s="2" t="s">
        <v>46</v>
      </c>
      <c r="D555" s="2" t="s">
        <v>4331</v>
      </c>
      <c r="E555" s="2" t="s">
        <v>4327</v>
      </c>
    </row>
    <row r="556" customFormat="false" ht="15" hidden="false" customHeight="false" outlineLevel="0" collapsed="false">
      <c r="A556" s="2" t="s">
        <v>2060</v>
      </c>
      <c r="B556" s="2" t="s">
        <v>4330</v>
      </c>
      <c r="C556" s="2" t="s">
        <v>45</v>
      </c>
      <c r="D556" s="2" t="s">
        <v>816</v>
      </c>
      <c r="E556" s="2" t="s">
        <v>4351</v>
      </c>
    </row>
    <row r="557" customFormat="false" ht="15" hidden="false" customHeight="false" outlineLevel="0" collapsed="false">
      <c r="A557" s="2" t="s">
        <v>1317</v>
      </c>
      <c r="B557" s="2" t="s">
        <v>4330</v>
      </c>
      <c r="C557" s="2" t="s">
        <v>46</v>
      </c>
      <c r="D557" s="2" t="s">
        <v>818</v>
      </c>
      <c r="E557" s="2" t="s">
        <v>4356</v>
      </c>
    </row>
    <row r="558" customFormat="false" ht="15" hidden="false" customHeight="false" outlineLevel="0" collapsed="false">
      <c r="A558" s="2" t="s">
        <v>1985</v>
      </c>
      <c r="B558" s="2" t="s">
        <v>4330</v>
      </c>
      <c r="C558" s="2" t="s">
        <v>45</v>
      </c>
      <c r="D558" s="2" t="s">
        <v>4375</v>
      </c>
      <c r="E558" s="2" t="s">
        <v>4466</v>
      </c>
    </row>
    <row r="559" customFormat="false" ht="15" hidden="false" customHeight="false" outlineLevel="0" collapsed="false">
      <c r="A559" s="2" t="s">
        <v>1985</v>
      </c>
      <c r="B559" s="2" t="s">
        <v>4330</v>
      </c>
      <c r="C559" s="2" t="s">
        <v>47</v>
      </c>
      <c r="D559" s="2" t="s">
        <v>4366</v>
      </c>
      <c r="E559" s="2" t="s">
        <v>4367</v>
      </c>
    </row>
    <row r="560" customFormat="false" ht="15" hidden="false" customHeight="false" outlineLevel="0" collapsed="false">
      <c r="A560" s="2" t="s">
        <v>2302</v>
      </c>
      <c r="B560" s="2" t="s">
        <v>4330</v>
      </c>
      <c r="C560" s="2" t="s">
        <v>45</v>
      </c>
      <c r="D560" s="2" t="s">
        <v>4331</v>
      </c>
      <c r="E560" s="2" t="s">
        <v>4326</v>
      </c>
    </row>
    <row r="561" customFormat="false" ht="15" hidden="false" customHeight="false" outlineLevel="0" collapsed="false">
      <c r="A561" s="2" t="s">
        <v>2302</v>
      </c>
      <c r="B561" s="2" t="s">
        <v>4330</v>
      </c>
      <c r="C561" s="2" t="s">
        <v>46</v>
      </c>
      <c r="D561" s="2" t="s">
        <v>4375</v>
      </c>
      <c r="E561" s="2" t="s">
        <v>4467</v>
      </c>
    </row>
    <row r="562" customFormat="false" ht="15" hidden="false" customHeight="false" outlineLevel="0" collapsed="false">
      <c r="A562" s="2" t="s">
        <v>2225</v>
      </c>
      <c r="B562" s="2" t="s">
        <v>4330</v>
      </c>
      <c r="C562" s="2" t="s">
        <v>45</v>
      </c>
      <c r="D562" s="2" t="s">
        <v>4331</v>
      </c>
      <c r="E562" s="2" t="s">
        <v>4344</v>
      </c>
    </row>
    <row r="563" customFormat="false" ht="15" hidden="false" customHeight="false" outlineLevel="0" collapsed="false">
      <c r="A563" s="2" t="s">
        <v>2225</v>
      </c>
      <c r="B563" s="2" t="s">
        <v>4330</v>
      </c>
      <c r="C563" s="2" t="s">
        <v>46</v>
      </c>
      <c r="D563" s="2" t="s">
        <v>4331</v>
      </c>
      <c r="E563" s="2" t="s">
        <v>4333</v>
      </c>
    </row>
    <row r="564" customFormat="false" ht="15" hidden="false" customHeight="false" outlineLevel="0" collapsed="false">
      <c r="A564" s="2" t="s">
        <v>1715</v>
      </c>
      <c r="B564" s="2" t="s">
        <v>4330</v>
      </c>
      <c r="C564" s="2" t="s">
        <v>45</v>
      </c>
      <c r="D564" s="2" t="s">
        <v>4331</v>
      </c>
      <c r="E564" s="2" t="s">
        <v>4344</v>
      </c>
    </row>
    <row r="565" customFormat="false" ht="15" hidden="false" customHeight="false" outlineLevel="0" collapsed="false">
      <c r="A565" s="2" t="s">
        <v>1557</v>
      </c>
      <c r="B565" s="2" t="s">
        <v>4330</v>
      </c>
      <c r="C565" s="2" t="s">
        <v>46</v>
      </c>
      <c r="D565" s="2" t="s">
        <v>818</v>
      </c>
      <c r="E565" s="2" t="s">
        <v>4359</v>
      </c>
    </row>
    <row r="566" customFormat="false" ht="15" hidden="false" customHeight="false" outlineLevel="0" collapsed="false">
      <c r="A566" s="2" t="s">
        <v>1557</v>
      </c>
      <c r="B566" s="2" t="s">
        <v>4330</v>
      </c>
      <c r="C566" s="2" t="s">
        <v>47</v>
      </c>
      <c r="D566" s="2" t="s">
        <v>4331</v>
      </c>
      <c r="E566" s="2" t="s">
        <v>4344</v>
      </c>
    </row>
    <row r="567" customFormat="false" ht="15" hidden="false" customHeight="false" outlineLevel="0" collapsed="false">
      <c r="A567" s="2" t="s">
        <v>3332</v>
      </c>
      <c r="B567" s="2" t="s">
        <v>4330</v>
      </c>
      <c r="C567" s="2" t="s">
        <v>45</v>
      </c>
      <c r="D567" s="2" t="s">
        <v>4331</v>
      </c>
      <c r="E567" s="2" t="s">
        <v>4328</v>
      </c>
    </row>
    <row r="568" customFormat="false" ht="15" hidden="false" customHeight="false" outlineLevel="0" collapsed="false">
      <c r="A568" s="2" t="s">
        <v>3332</v>
      </c>
      <c r="B568" s="2" t="s">
        <v>4330</v>
      </c>
      <c r="C568" s="2" t="s">
        <v>46</v>
      </c>
      <c r="D568" s="2" t="s">
        <v>818</v>
      </c>
      <c r="E568" s="2" t="s">
        <v>4448</v>
      </c>
    </row>
    <row r="569" customFormat="false" ht="15" hidden="false" customHeight="false" outlineLevel="0" collapsed="false">
      <c r="A569" s="2" t="s">
        <v>3332</v>
      </c>
      <c r="B569" s="2" t="s">
        <v>4330</v>
      </c>
      <c r="C569" s="2" t="s">
        <v>47</v>
      </c>
      <c r="D569" s="2" t="s">
        <v>818</v>
      </c>
      <c r="E569" s="2" t="s">
        <v>4350</v>
      </c>
    </row>
    <row r="570" customFormat="false" ht="15" hidden="false" customHeight="false" outlineLevel="0" collapsed="false">
      <c r="A570" s="2" t="s">
        <v>2401</v>
      </c>
      <c r="B570" s="2" t="s">
        <v>4330</v>
      </c>
      <c r="C570" s="2" t="s">
        <v>45</v>
      </c>
      <c r="D570" s="2" t="s">
        <v>818</v>
      </c>
      <c r="E570" s="2" t="s">
        <v>4341</v>
      </c>
    </row>
    <row r="571" customFormat="false" ht="15" hidden="false" customHeight="false" outlineLevel="0" collapsed="false">
      <c r="A571" s="2" t="s">
        <v>2401</v>
      </c>
      <c r="B571" s="2" t="s">
        <v>4330</v>
      </c>
      <c r="C571" s="2" t="s">
        <v>46</v>
      </c>
      <c r="D571" s="2" t="s">
        <v>4409</v>
      </c>
      <c r="E571" s="2" t="s">
        <v>4412</v>
      </c>
    </row>
    <row r="572" customFormat="false" ht="15" hidden="false" customHeight="false" outlineLevel="0" collapsed="false">
      <c r="A572" s="2" t="s">
        <v>1972</v>
      </c>
      <c r="B572" s="2" t="s">
        <v>4330</v>
      </c>
      <c r="C572" s="2" t="s">
        <v>45</v>
      </c>
      <c r="D572" s="2" t="s">
        <v>818</v>
      </c>
      <c r="E572" s="2" t="s">
        <v>4429</v>
      </c>
    </row>
    <row r="573" customFormat="false" ht="15" hidden="false" customHeight="false" outlineLevel="0" collapsed="false">
      <c r="A573" s="2" t="s">
        <v>3337</v>
      </c>
      <c r="B573" s="2" t="s">
        <v>4330</v>
      </c>
      <c r="C573" s="2" t="s">
        <v>45</v>
      </c>
      <c r="D573" s="2" t="s">
        <v>817</v>
      </c>
      <c r="E573" s="2" t="s">
        <v>4339</v>
      </c>
    </row>
    <row r="574" customFormat="false" ht="15" hidden="false" customHeight="false" outlineLevel="0" collapsed="false">
      <c r="A574" s="2" t="s">
        <v>3339</v>
      </c>
      <c r="B574" s="2" t="s">
        <v>4330</v>
      </c>
      <c r="C574" s="2" t="s">
        <v>46</v>
      </c>
      <c r="D574" s="2" t="s">
        <v>4331</v>
      </c>
      <c r="E574" s="2" t="s">
        <v>4333</v>
      </c>
    </row>
    <row r="575" customFormat="false" ht="15" hidden="false" customHeight="false" outlineLevel="0" collapsed="false">
      <c r="A575" s="2" t="s">
        <v>2838</v>
      </c>
      <c r="B575" s="2" t="s">
        <v>4330</v>
      </c>
      <c r="C575" s="2" t="s">
        <v>45</v>
      </c>
      <c r="D575" s="2" t="s">
        <v>818</v>
      </c>
      <c r="E575" s="2" t="s">
        <v>4332</v>
      </c>
    </row>
    <row r="576" customFormat="false" ht="15" hidden="false" customHeight="false" outlineLevel="0" collapsed="false">
      <c r="A576" s="2" t="s">
        <v>1360</v>
      </c>
      <c r="B576" s="2" t="s">
        <v>4330</v>
      </c>
      <c r="C576" s="2" t="s">
        <v>46</v>
      </c>
      <c r="D576" s="2" t="s">
        <v>4331</v>
      </c>
      <c r="E576" s="2" t="s">
        <v>4468</v>
      </c>
    </row>
    <row r="577" customFormat="false" ht="15" hidden="false" customHeight="false" outlineLevel="0" collapsed="false">
      <c r="A577" s="2" t="s">
        <v>1195</v>
      </c>
      <c r="B577" s="2" t="s">
        <v>4330</v>
      </c>
      <c r="C577" s="2" t="s">
        <v>47</v>
      </c>
      <c r="D577" s="2" t="s">
        <v>4336</v>
      </c>
      <c r="E577" s="2" t="s">
        <v>4337</v>
      </c>
    </row>
  </sheetData>
  <autoFilter ref="A4:E5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14"/>
    <col collapsed="false" customWidth="true" hidden="false" outlineLevel="0" max="4" min="4" style="0" width="110"/>
  </cols>
  <sheetData>
    <row r="1" customFormat="false" ht="17.35" hidden="false" customHeight="false" outlineLevel="0" collapsed="false">
      <c r="A1" s="1" t="s">
        <v>4469</v>
      </c>
      <c r="B1" s="2"/>
      <c r="C1" s="2"/>
      <c r="D1" s="2"/>
    </row>
    <row r="2" customFormat="false" ht="15" hidden="false" customHeight="false" outlineLevel="0" collapsed="false">
      <c r="A2" s="3" t="s">
        <v>4470</v>
      </c>
      <c r="B2" s="2"/>
      <c r="C2" s="2"/>
      <c r="D2" s="2"/>
    </row>
    <row r="3" customFormat="false" ht="15" hidden="false" customHeight="false" outlineLevel="0" collapsed="false">
      <c r="A3" s="2"/>
      <c r="B3" s="2"/>
      <c r="C3" s="2"/>
      <c r="D3" s="2"/>
    </row>
    <row r="4" customFormat="false" ht="31.5" hidden="false" customHeight="true" outlineLevel="0" collapsed="false">
      <c r="A4" s="8" t="s">
        <v>4471</v>
      </c>
      <c r="B4" s="8" t="s">
        <v>4472</v>
      </c>
      <c r="C4" s="8" t="s">
        <v>4473</v>
      </c>
      <c r="D4" s="8" t="s">
        <v>4319</v>
      </c>
    </row>
    <row r="5" customFormat="false" ht="15" hidden="false" customHeight="false" outlineLevel="0" collapsed="false">
      <c r="A5" s="2" t="n">
        <v>1</v>
      </c>
      <c r="B5" s="2" t="s">
        <v>4474</v>
      </c>
      <c r="C5" s="2" t="s">
        <v>19</v>
      </c>
      <c r="D5" s="49" t="s">
        <v>4475</v>
      </c>
    </row>
    <row r="6" customFormat="false" ht="15" hidden="false" customHeight="false" outlineLevel="0" collapsed="false">
      <c r="A6" s="2" t="n">
        <v>2</v>
      </c>
      <c r="B6" s="2" t="s">
        <v>4476</v>
      </c>
      <c r="C6" s="2" t="s">
        <v>4477</v>
      </c>
      <c r="D6" s="49" t="s">
        <v>4478</v>
      </c>
    </row>
    <row r="7" customFormat="false" ht="15" hidden="false" customHeight="false" outlineLevel="0" collapsed="false">
      <c r="A7" s="2" t="n">
        <v>3</v>
      </c>
      <c r="B7" s="2" t="s">
        <v>4474</v>
      </c>
      <c r="C7" s="2" t="s">
        <v>22</v>
      </c>
      <c r="D7" s="49" t="s">
        <v>4479</v>
      </c>
    </row>
    <row r="8" customFormat="false" ht="15" hidden="false" customHeight="false" outlineLevel="0" collapsed="false">
      <c r="A8" s="2" t="n">
        <v>4</v>
      </c>
      <c r="B8" s="2" t="s">
        <v>4474</v>
      </c>
      <c r="C8" s="2" t="s">
        <v>24</v>
      </c>
      <c r="D8" s="49" t="s">
        <v>4480</v>
      </c>
    </row>
    <row r="9" customFormat="false" ht="26.85" hidden="false" customHeight="false" outlineLevel="0" collapsed="false">
      <c r="A9" s="2" t="n">
        <v>5</v>
      </c>
      <c r="B9" s="2" t="s">
        <v>4481</v>
      </c>
      <c r="C9" s="2" t="s">
        <v>4482</v>
      </c>
      <c r="D9" s="49" t="s">
        <v>4483</v>
      </c>
    </row>
    <row r="10" customFormat="false" ht="26.85" hidden="false" customHeight="false" outlineLevel="0" collapsed="false">
      <c r="A10" s="2" t="n">
        <v>6</v>
      </c>
      <c r="B10" s="2" t="s">
        <v>4484</v>
      </c>
      <c r="C10" s="2" t="s">
        <v>4485</v>
      </c>
      <c r="D10" s="49" t="s">
        <v>4486</v>
      </c>
    </row>
    <row r="11" customFormat="false" ht="26.85" hidden="false" customHeight="false" outlineLevel="0" collapsed="false">
      <c r="A11" s="2" t="n">
        <v>7</v>
      </c>
      <c r="B11" s="2" t="s">
        <v>4487</v>
      </c>
      <c r="C11" s="2" t="s">
        <v>4477</v>
      </c>
      <c r="D11" s="49" t="s">
        <v>4488</v>
      </c>
    </row>
    <row r="12" customFormat="false" ht="15" hidden="false" customHeight="false" outlineLevel="0" collapsed="false">
      <c r="A12" s="2" t="n">
        <v>8</v>
      </c>
      <c r="B12" s="2" t="s">
        <v>4487</v>
      </c>
      <c r="C12" s="2" t="s">
        <v>4489</v>
      </c>
      <c r="D12" s="49" t="s">
        <v>4490</v>
      </c>
    </row>
    <row r="13" customFormat="false" ht="26.85" hidden="false" customHeight="false" outlineLevel="0" collapsed="false">
      <c r="A13" s="2" t="n">
        <v>9</v>
      </c>
      <c r="B13" s="2" t="s">
        <v>4484</v>
      </c>
      <c r="C13" s="2" t="s">
        <v>4485</v>
      </c>
      <c r="D13" s="49" t="s">
        <v>4491</v>
      </c>
    </row>
    <row r="14" customFormat="false" ht="26.85" hidden="false" customHeight="false" outlineLevel="0" collapsed="false">
      <c r="A14" s="2" t="n">
        <v>10</v>
      </c>
      <c r="B14" s="2" t="s">
        <v>4484</v>
      </c>
      <c r="C14" s="2" t="s">
        <v>4485</v>
      </c>
      <c r="D14" s="49" t="s">
        <v>4492</v>
      </c>
    </row>
    <row r="15" customFormat="false" ht="26.85" hidden="false" customHeight="false" outlineLevel="0" collapsed="false">
      <c r="A15" s="2" t="n">
        <v>11</v>
      </c>
      <c r="B15" s="2" t="s">
        <v>4487</v>
      </c>
      <c r="C15" s="2" t="s">
        <v>4489</v>
      </c>
      <c r="D15" s="49" t="s">
        <v>4493</v>
      </c>
    </row>
    <row r="16" customFormat="false" ht="26.85" hidden="false" customHeight="false" outlineLevel="0" collapsed="false">
      <c r="A16" s="2" t="n">
        <v>12</v>
      </c>
      <c r="B16" s="2" t="s">
        <v>4494</v>
      </c>
      <c r="C16" s="2" t="s">
        <v>4495</v>
      </c>
      <c r="D16" s="49" t="s">
        <v>4496</v>
      </c>
    </row>
    <row r="17" customFormat="false" ht="26.85" hidden="false" customHeight="false" outlineLevel="0" collapsed="false">
      <c r="A17" s="2" t="n">
        <v>13</v>
      </c>
      <c r="B17" s="2" t="s">
        <v>4494</v>
      </c>
      <c r="C17" s="2" t="s">
        <v>4497</v>
      </c>
      <c r="D17" s="49" t="s">
        <v>4498</v>
      </c>
    </row>
    <row r="18" customFormat="false" ht="26.85" hidden="false" customHeight="false" outlineLevel="0" collapsed="false">
      <c r="A18" s="2" t="n">
        <v>14</v>
      </c>
      <c r="B18" s="2" t="s">
        <v>4494</v>
      </c>
      <c r="C18" s="2" t="s">
        <v>4499</v>
      </c>
      <c r="D18" s="49" t="s">
        <v>4500</v>
      </c>
    </row>
    <row r="19" customFormat="false" ht="15" hidden="false" customHeight="false" outlineLevel="0" collapsed="false">
      <c r="A19" s="2" t="n">
        <v>15</v>
      </c>
      <c r="B19" s="2" t="s">
        <v>4501</v>
      </c>
      <c r="C19" s="2" t="s">
        <v>4502</v>
      </c>
      <c r="D19" s="49" t="s">
        <v>4503</v>
      </c>
    </row>
    <row r="20" customFormat="false" ht="15" hidden="false" customHeight="false" outlineLevel="0" collapsed="false">
      <c r="A20" s="2" t="n">
        <v>16</v>
      </c>
      <c r="B20" s="2" t="s">
        <v>4504</v>
      </c>
      <c r="C20" s="2" t="s">
        <v>4505</v>
      </c>
      <c r="D20" s="49" t="s">
        <v>4506</v>
      </c>
    </row>
    <row r="21" customFormat="false" ht="26.85" hidden="false" customHeight="false" outlineLevel="0" collapsed="false">
      <c r="A21" s="2" t="n">
        <v>17</v>
      </c>
      <c r="B21" s="2" t="s">
        <v>4507</v>
      </c>
      <c r="C21" s="2" t="s">
        <v>4508</v>
      </c>
      <c r="D21" s="49" t="s">
        <v>4509</v>
      </c>
    </row>
    <row r="22" customFormat="false" ht="15" hidden="false" customHeight="false" outlineLevel="0" collapsed="false">
      <c r="A22" s="2" t="n">
        <v>18</v>
      </c>
      <c r="B22" s="2" t="s">
        <v>4510</v>
      </c>
      <c r="C22" s="2" t="s">
        <v>4505</v>
      </c>
      <c r="D22" s="49" t="s">
        <v>4511</v>
      </c>
    </row>
    <row r="23" customFormat="false" ht="26.85" hidden="false" customHeight="false" outlineLevel="0" collapsed="false">
      <c r="A23" s="2" t="n">
        <v>19</v>
      </c>
      <c r="B23" s="2" t="s">
        <v>4512</v>
      </c>
      <c r="C23" s="2" t="s">
        <v>4513</v>
      </c>
      <c r="D23" s="49" t="s">
        <v>4514</v>
      </c>
    </row>
    <row r="24" customFormat="false" ht="15" hidden="false" customHeight="false" outlineLevel="0" collapsed="false">
      <c r="A24" s="2" t="n">
        <v>20</v>
      </c>
      <c r="B24" s="2" t="s">
        <v>4515</v>
      </c>
      <c r="C24" s="2" t="s">
        <v>4516</v>
      </c>
      <c r="D24" s="49" t="s">
        <v>4517</v>
      </c>
    </row>
    <row r="25" customFormat="false" ht="39.55" hidden="false" customHeight="false" outlineLevel="0" collapsed="false">
      <c r="A25" s="2" t="n">
        <v>21</v>
      </c>
      <c r="B25" s="2" t="s">
        <v>4487</v>
      </c>
      <c r="C25" s="2" t="s">
        <v>4518</v>
      </c>
      <c r="D25" s="49" t="s">
        <v>4519</v>
      </c>
    </row>
    <row r="26" customFormat="false" ht="15" hidden="false" customHeight="false" outlineLevel="0" collapsed="false">
      <c r="A26" s="2" t="n">
        <v>22</v>
      </c>
      <c r="B26" s="2" t="s">
        <v>4520</v>
      </c>
      <c r="C26" s="2" t="s">
        <v>4521</v>
      </c>
      <c r="D26" s="49" t="s">
        <v>4522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1"/>
    <col collapsed="false" customWidth="true" hidden="false" outlineLevel="0" max="4" min="4" style="0" width="16"/>
    <col collapsed="false" customWidth="true" hidden="false" outlineLevel="0" max="5" min="5" style="0" width="10"/>
    <col collapsed="false" customWidth="true" hidden="false" outlineLevel="0" max="6" min="6" style="0" width="22"/>
    <col collapsed="false" customWidth="true" hidden="false" outlineLevel="0" max="7" min="7" style="0" width="26"/>
    <col collapsed="false" customWidth="true" hidden="false" outlineLevel="0" max="8" min="8" style="0" width="9"/>
    <col collapsed="false" customWidth="true" hidden="false" outlineLevel="0" max="11" min="9" style="0" width="14"/>
    <col collapsed="false" customWidth="true" hidden="false" outlineLevel="0" max="12" min="12" style="0" width="11"/>
    <col collapsed="false" customWidth="true" hidden="false" outlineLevel="0" max="13" min="13" style="0" width="26"/>
    <col collapsed="false" customWidth="true" hidden="false" outlineLevel="0" max="14" min="14" style="0" width="60"/>
    <col collapsed="false" customWidth="true" hidden="false" outlineLevel="0" max="15" min="15" style="0" width="44"/>
    <col collapsed="false" customWidth="true" hidden="false" outlineLevel="0" max="16" min="16" style="0" width="20"/>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4"/>
    <col collapsed="false" customWidth="true" hidden="false" outlineLevel="0" max="22" min="21" style="0" width="18"/>
  </cols>
  <sheetData>
    <row r="1" customFormat="false" ht="17.35" hidden="false" customHeight="false" outlineLevel="0" collapsed="false">
      <c r="A1" s="56" t="s">
        <v>4523</v>
      </c>
      <c r="B1" s="2"/>
      <c r="C1" s="2"/>
      <c r="D1" s="2"/>
      <c r="E1" s="2"/>
      <c r="F1" s="2"/>
      <c r="G1" s="2"/>
      <c r="H1" s="2"/>
      <c r="I1" s="2"/>
      <c r="J1" s="2"/>
      <c r="K1" s="2"/>
      <c r="L1" s="2"/>
      <c r="M1" s="2"/>
      <c r="N1" s="2"/>
      <c r="O1" s="2"/>
      <c r="P1" s="2"/>
      <c r="Q1" s="2"/>
      <c r="R1" s="2"/>
      <c r="S1" s="2"/>
      <c r="T1" s="2"/>
      <c r="U1" s="2"/>
      <c r="V1" s="2"/>
    </row>
    <row r="2" customFormat="false" ht="15" hidden="false" customHeight="false" outlineLevel="0" collapsed="false">
      <c r="A2" s="3" t="s">
        <v>4524</v>
      </c>
      <c r="B2" s="2"/>
      <c r="C2" s="2"/>
      <c r="D2" s="2"/>
      <c r="E2" s="2"/>
      <c r="F2" s="2"/>
      <c r="G2" s="2"/>
      <c r="H2" s="2"/>
      <c r="I2" s="2"/>
      <c r="J2" s="2"/>
      <c r="K2" s="2"/>
      <c r="L2" s="2"/>
      <c r="M2" s="2"/>
      <c r="N2" s="2"/>
      <c r="O2" s="2"/>
      <c r="P2" s="2"/>
      <c r="Q2" s="2"/>
      <c r="R2" s="2"/>
      <c r="S2" s="2"/>
      <c r="T2" s="2"/>
      <c r="U2" s="2"/>
      <c r="V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row>
    <row r="4" customFormat="false" ht="31.5" hidden="false" customHeight="true" outlineLevel="0" collapsed="false">
      <c r="A4" s="8" t="s">
        <v>4525</v>
      </c>
      <c r="B4" s="8" t="s">
        <v>4526</v>
      </c>
      <c r="C4" s="8" t="s">
        <v>56</v>
      </c>
      <c r="D4" s="8" t="s">
        <v>55</v>
      </c>
      <c r="E4" s="8" t="s">
        <v>42</v>
      </c>
      <c r="F4" s="8" t="s">
        <v>4527</v>
      </c>
      <c r="G4" s="8" t="s">
        <v>4528</v>
      </c>
      <c r="H4" s="8" t="s">
        <v>4529</v>
      </c>
      <c r="I4" s="8" t="s">
        <v>4530</v>
      </c>
      <c r="J4" s="8" t="s">
        <v>4531</v>
      </c>
      <c r="K4" s="8" t="s">
        <v>4532</v>
      </c>
      <c r="L4" s="8" t="s">
        <v>4533</v>
      </c>
      <c r="M4" s="8" t="s">
        <v>4534</v>
      </c>
      <c r="N4" s="8" t="s">
        <v>4535</v>
      </c>
      <c r="O4" s="8" t="s">
        <v>4536</v>
      </c>
      <c r="P4" s="10" t="s">
        <v>4473</v>
      </c>
      <c r="Q4" s="10" t="s">
        <v>4537</v>
      </c>
      <c r="R4" s="10" t="s">
        <v>4538</v>
      </c>
      <c r="S4" s="10" t="s">
        <v>4539</v>
      </c>
      <c r="T4" s="8" t="s">
        <v>4540</v>
      </c>
      <c r="U4" s="8" t="s">
        <v>4541</v>
      </c>
      <c r="V4" s="8" t="s">
        <v>4542</v>
      </c>
    </row>
    <row r="5" customFormat="false" ht="64.9" hidden="false" customHeight="false" outlineLevel="0" collapsed="false">
      <c r="A5" s="57" t="s">
        <v>4543</v>
      </c>
      <c r="B5" s="57" t="s">
        <v>4544</v>
      </c>
      <c r="C5" s="57" t="s">
        <v>1168</v>
      </c>
      <c r="D5" s="57" t="s">
        <v>1167</v>
      </c>
      <c r="E5" s="57" t="s">
        <v>47</v>
      </c>
      <c r="F5" s="57" t="s">
        <v>4545</v>
      </c>
      <c r="G5" s="57" t="s">
        <v>4546</v>
      </c>
      <c r="H5" s="58" t="s">
        <v>4547</v>
      </c>
      <c r="I5" s="57"/>
      <c r="J5" s="57" t="s">
        <v>4548</v>
      </c>
      <c r="K5" s="57" t="s">
        <v>4549</v>
      </c>
      <c r="L5" s="57"/>
      <c r="M5" s="57" t="s">
        <v>4550</v>
      </c>
      <c r="N5" s="59" t="s">
        <v>4551</v>
      </c>
      <c r="O5" s="59" t="s">
        <v>4552</v>
      </c>
      <c r="P5" s="57" t="s">
        <v>4553</v>
      </c>
      <c r="Q5" s="57"/>
      <c r="R5" s="57" t="s">
        <v>4554</v>
      </c>
      <c r="S5" s="57" t="s">
        <v>4555</v>
      </c>
      <c r="T5" s="57" t="s">
        <v>4549</v>
      </c>
      <c r="U5" s="57" t="s">
        <v>19</v>
      </c>
      <c r="V5" s="57" t="s">
        <v>4556</v>
      </c>
    </row>
    <row r="6" customFormat="false" ht="64.9" hidden="false" customHeight="false" outlineLevel="0" collapsed="false">
      <c r="A6" s="57" t="s">
        <v>4557</v>
      </c>
      <c r="B6" s="57" t="s">
        <v>4544</v>
      </c>
      <c r="C6" s="57" t="s">
        <v>210</v>
      </c>
      <c r="D6" s="57" t="s">
        <v>209</v>
      </c>
      <c r="E6" s="57" t="s">
        <v>45</v>
      </c>
      <c r="F6" s="57" t="s">
        <v>4545</v>
      </c>
      <c r="G6" s="57" t="s">
        <v>4546</v>
      </c>
      <c r="H6" s="58" t="s">
        <v>4547</v>
      </c>
      <c r="I6" s="57"/>
      <c r="J6" s="57" t="s">
        <v>1319</v>
      </c>
      <c r="K6" s="57" t="s">
        <v>1395</v>
      </c>
      <c r="L6" s="57"/>
      <c r="M6" s="57" t="s">
        <v>4550</v>
      </c>
      <c r="N6" s="59" t="s">
        <v>4558</v>
      </c>
      <c r="O6" s="59" t="s">
        <v>4552</v>
      </c>
      <c r="P6" s="57" t="s">
        <v>4559</v>
      </c>
      <c r="Q6" s="57"/>
      <c r="R6" s="57" t="s">
        <v>4554</v>
      </c>
      <c r="S6" s="57" t="s">
        <v>4555</v>
      </c>
      <c r="T6" s="57" t="s">
        <v>1319</v>
      </c>
      <c r="U6" s="57" t="s">
        <v>24</v>
      </c>
      <c r="V6" s="57" t="s">
        <v>4556</v>
      </c>
    </row>
    <row r="7" customFormat="false" ht="64.9" hidden="false" customHeight="false" outlineLevel="0" collapsed="false">
      <c r="A7" s="57" t="s">
        <v>4560</v>
      </c>
      <c r="B7" s="57" t="s">
        <v>4544</v>
      </c>
      <c r="C7" s="57" t="s">
        <v>3237</v>
      </c>
      <c r="D7" s="57"/>
      <c r="E7" s="57" t="s">
        <v>47</v>
      </c>
      <c r="F7" s="57" t="s">
        <v>4545</v>
      </c>
      <c r="G7" s="57" t="s">
        <v>4546</v>
      </c>
      <c r="H7" s="58" t="s">
        <v>4547</v>
      </c>
      <c r="I7" s="57" t="s">
        <v>3238</v>
      </c>
      <c r="J7" s="57"/>
      <c r="K7" s="57" t="s">
        <v>4561</v>
      </c>
      <c r="L7" s="57"/>
      <c r="M7" s="57" t="s">
        <v>4550</v>
      </c>
      <c r="N7" s="59" t="s">
        <v>4562</v>
      </c>
      <c r="O7" s="59" t="s">
        <v>4552</v>
      </c>
      <c r="P7" s="57" t="s">
        <v>4563</v>
      </c>
      <c r="Q7" s="57"/>
      <c r="R7" s="57" t="s">
        <v>4554</v>
      </c>
      <c r="S7" s="57" t="s">
        <v>4555</v>
      </c>
      <c r="T7" s="57" t="s">
        <v>3238</v>
      </c>
      <c r="U7" s="57" t="s">
        <v>22</v>
      </c>
      <c r="V7" s="57" t="s">
        <v>4556</v>
      </c>
    </row>
    <row r="8" customFormat="false" ht="64.9" hidden="false" customHeight="false" outlineLevel="0" collapsed="false">
      <c r="A8" s="57" t="s">
        <v>4564</v>
      </c>
      <c r="B8" s="57" t="s">
        <v>4544</v>
      </c>
      <c r="C8" s="57" t="s">
        <v>1360</v>
      </c>
      <c r="D8" s="57" t="s">
        <v>1359</v>
      </c>
      <c r="E8" s="57" t="s">
        <v>46</v>
      </c>
      <c r="F8" s="57" t="s">
        <v>4545</v>
      </c>
      <c r="G8" s="57" t="s">
        <v>4546</v>
      </c>
      <c r="H8" s="58" t="s">
        <v>4547</v>
      </c>
      <c r="I8" s="57"/>
      <c r="J8" s="57" t="s">
        <v>4565</v>
      </c>
      <c r="K8" s="57" t="s">
        <v>4566</v>
      </c>
      <c r="L8" s="57"/>
      <c r="M8" s="57" t="s">
        <v>4550</v>
      </c>
      <c r="N8" s="59" t="s">
        <v>4567</v>
      </c>
      <c r="O8" s="59" t="s">
        <v>4552</v>
      </c>
      <c r="P8" s="57" t="s">
        <v>4553</v>
      </c>
      <c r="Q8" s="57"/>
      <c r="R8" s="57" t="s">
        <v>4554</v>
      </c>
      <c r="S8" s="57" t="s">
        <v>4555</v>
      </c>
      <c r="T8" s="57" t="s">
        <v>4566</v>
      </c>
      <c r="U8" s="57" t="s">
        <v>19</v>
      </c>
      <c r="V8" s="57" t="s">
        <v>4556</v>
      </c>
    </row>
    <row r="9" customFormat="false" ht="64.9" hidden="false" customHeight="false" outlineLevel="0" collapsed="false">
      <c r="A9" s="57" t="s">
        <v>4568</v>
      </c>
      <c r="B9" s="57" t="s">
        <v>4544</v>
      </c>
      <c r="C9" s="57" t="s">
        <v>1908</v>
      </c>
      <c r="D9" s="57" t="s">
        <v>1907</v>
      </c>
      <c r="E9" s="57" t="s">
        <v>47</v>
      </c>
      <c r="F9" s="57" t="s">
        <v>4545</v>
      </c>
      <c r="G9" s="57" t="s">
        <v>4546</v>
      </c>
      <c r="H9" s="58" t="s">
        <v>4547</v>
      </c>
      <c r="I9" s="57" t="s">
        <v>2264</v>
      </c>
      <c r="J9" s="57"/>
      <c r="K9" s="57" t="s">
        <v>2974</v>
      </c>
      <c r="L9" s="57"/>
      <c r="M9" s="57" t="s">
        <v>4550</v>
      </c>
      <c r="N9" s="59" t="s">
        <v>4569</v>
      </c>
      <c r="O9" s="59" t="s">
        <v>4552</v>
      </c>
      <c r="P9" s="57" t="s">
        <v>4563</v>
      </c>
      <c r="Q9" s="57"/>
      <c r="R9" s="57" t="s">
        <v>4554</v>
      </c>
      <c r="S9" s="57" t="s">
        <v>4555</v>
      </c>
      <c r="T9" s="57" t="s">
        <v>2264</v>
      </c>
      <c r="U9" s="57" t="s">
        <v>22</v>
      </c>
      <c r="V9" s="57" t="s">
        <v>4556</v>
      </c>
    </row>
    <row r="10" customFormat="false" ht="64.9" hidden="false" customHeight="false" outlineLevel="0" collapsed="false">
      <c r="A10" s="57" t="s">
        <v>4570</v>
      </c>
      <c r="B10" s="57" t="s">
        <v>4544</v>
      </c>
      <c r="C10" s="57" t="s">
        <v>1619</v>
      </c>
      <c r="D10" s="57" t="s">
        <v>1618</v>
      </c>
      <c r="E10" s="57" t="s">
        <v>45</v>
      </c>
      <c r="F10" s="57" t="s">
        <v>4545</v>
      </c>
      <c r="G10" s="57" t="s">
        <v>4546</v>
      </c>
      <c r="H10" s="58" t="s">
        <v>4547</v>
      </c>
      <c r="I10" s="57"/>
      <c r="J10" s="57" t="s">
        <v>3147</v>
      </c>
      <c r="K10" s="57" t="s">
        <v>1563</v>
      </c>
      <c r="L10" s="57"/>
      <c r="M10" s="57" t="s">
        <v>4550</v>
      </c>
      <c r="N10" s="59" t="s">
        <v>4571</v>
      </c>
      <c r="O10" s="59" t="s">
        <v>4552</v>
      </c>
      <c r="P10" s="57" t="s">
        <v>4559</v>
      </c>
      <c r="Q10" s="57"/>
      <c r="R10" s="57" t="s">
        <v>4554</v>
      </c>
      <c r="S10" s="57" t="s">
        <v>4555</v>
      </c>
      <c r="T10" s="57" t="s">
        <v>3147</v>
      </c>
      <c r="U10" s="57" t="s">
        <v>24</v>
      </c>
      <c r="V10" s="57" t="s">
        <v>4556</v>
      </c>
    </row>
    <row r="11" customFormat="false" ht="64.9" hidden="false" customHeight="false" outlineLevel="0" collapsed="false">
      <c r="A11" s="57" t="s">
        <v>4572</v>
      </c>
      <c r="B11" s="57" t="s">
        <v>4544</v>
      </c>
      <c r="C11" s="57" t="s">
        <v>478</v>
      </c>
      <c r="D11" s="57" t="s">
        <v>477</v>
      </c>
      <c r="E11" s="57" t="s">
        <v>45</v>
      </c>
      <c r="F11" s="57" t="s">
        <v>4545</v>
      </c>
      <c r="G11" s="57" t="s">
        <v>4546</v>
      </c>
      <c r="H11" s="58" t="s">
        <v>4547</v>
      </c>
      <c r="I11" s="57"/>
      <c r="J11" s="57" t="s">
        <v>1073</v>
      </c>
      <c r="K11" s="57" t="s">
        <v>1315</v>
      </c>
      <c r="L11" s="57"/>
      <c r="M11" s="57" t="s">
        <v>4550</v>
      </c>
      <c r="N11" s="59" t="s">
        <v>4573</v>
      </c>
      <c r="O11" s="59" t="s">
        <v>4552</v>
      </c>
      <c r="P11" s="57" t="s">
        <v>4559</v>
      </c>
      <c r="Q11" s="57"/>
      <c r="R11" s="57" t="s">
        <v>4554</v>
      </c>
      <c r="S11" s="57" t="s">
        <v>4555</v>
      </c>
      <c r="T11" s="57" t="s">
        <v>1073</v>
      </c>
      <c r="U11" s="57" t="s">
        <v>24</v>
      </c>
      <c r="V11" s="57" t="s">
        <v>4556</v>
      </c>
    </row>
    <row r="12" customFormat="false" ht="64.9" hidden="false" customHeight="false" outlineLevel="0" collapsed="false">
      <c r="A12" s="57" t="s">
        <v>4574</v>
      </c>
      <c r="B12" s="57" t="s">
        <v>4544</v>
      </c>
      <c r="C12" s="57" t="s">
        <v>484</v>
      </c>
      <c r="D12" s="57" t="s">
        <v>483</v>
      </c>
      <c r="E12" s="57" t="s">
        <v>46</v>
      </c>
      <c r="F12" s="57" t="s">
        <v>4545</v>
      </c>
      <c r="G12" s="57" t="s">
        <v>4546</v>
      </c>
      <c r="H12" s="58" t="s">
        <v>4547</v>
      </c>
      <c r="I12" s="57" t="s">
        <v>2058</v>
      </c>
      <c r="J12" s="57" t="s">
        <v>1694</v>
      </c>
      <c r="K12" s="57"/>
      <c r="L12" s="57"/>
      <c r="M12" s="57" t="s">
        <v>4550</v>
      </c>
      <c r="N12" s="59" t="s">
        <v>4575</v>
      </c>
      <c r="O12" s="59" t="s">
        <v>4552</v>
      </c>
      <c r="P12" s="57" t="s">
        <v>4563</v>
      </c>
      <c r="Q12" s="57"/>
      <c r="R12" s="57" t="s">
        <v>4554</v>
      </c>
      <c r="S12" s="57" t="s">
        <v>4555</v>
      </c>
      <c r="T12" s="57" t="s">
        <v>2058</v>
      </c>
      <c r="U12" s="57" t="s">
        <v>22</v>
      </c>
      <c r="V12" s="57" t="s">
        <v>4556</v>
      </c>
    </row>
    <row r="13" customFormat="false" ht="52.2" hidden="false" customHeight="false" outlineLevel="0" collapsed="false">
      <c r="A13" s="57" t="s">
        <v>4576</v>
      </c>
      <c r="B13" s="57" t="s">
        <v>4544</v>
      </c>
      <c r="C13" s="57" t="s">
        <v>2900</v>
      </c>
      <c r="D13" s="57" t="s">
        <v>3383</v>
      </c>
      <c r="E13" s="57" t="s">
        <v>45</v>
      </c>
      <c r="F13" s="57" t="s">
        <v>4577</v>
      </c>
      <c r="G13" s="57" t="s">
        <v>4578</v>
      </c>
      <c r="H13" s="58" t="s">
        <v>4547</v>
      </c>
      <c r="I13" s="57"/>
      <c r="J13" s="57" t="s">
        <v>4579</v>
      </c>
      <c r="K13" s="57" t="s">
        <v>4580</v>
      </c>
      <c r="L13" s="57" t="s">
        <v>4581</v>
      </c>
      <c r="M13" s="57" t="s">
        <v>4582</v>
      </c>
      <c r="N13" s="59" t="s">
        <v>4583</v>
      </c>
      <c r="O13" s="59" t="s">
        <v>4584</v>
      </c>
      <c r="P13" s="57" t="s">
        <v>4553</v>
      </c>
      <c r="Q13" s="57"/>
      <c r="R13" s="57" t="s">
        <v>4554</v>
      </c>
      <c r="S13" s="57" t="s">
        <v>4555</v>
      </c>
      <c r="T13" s="57" t="s">
        <v>4580</v>
      </c>
      <c r="U13" s="57" t="s">
        <v>19</v>
      </c>
      <c r="V13" s="57" t="s">
        <v>4556</v>
      </c>
    </row>
    <row r="14" customFormat="false" ht="52.2" hidden="false" customHeight="false" outlineLevel="0" collapsed="false">
      <c r="A14" s="57" t="s">
        <v>4585</v>
      </c>
      <c r="B14" s="57" t="s">
        <v>4544</v>
      </c>
      <c r="C14" s="57" t="s">
        <v>710</v>
      </c>
      <c r="D14" s="57" t="s">
        <v>709</v>
      </c>
      <c r="E14" s="57" t="s">
        <v>46</v>
      </c>
      <c r="F14" s="57" t="s">
        <v>4577</v>
      </c>
      <c r="G14" s="57" t="s">
        <v>4578</v>
      </c>
      <c r="H14" s="58" t="s">
        <v>4547</v>
      </c>
      <c r="I14" s="57" t="s">
        <v>4586</v>
      </c>
      <c r="J14" s="57" t="s">
        <v>4587</v>
      </c>
      <c r="K14" s="57"/>
      <c r="L14" s="57" t="s">
        <v>4588</v>
      </c>
      <c r="M14" s="57" t="s">
        <v>4582</v>
      </c>
      <c r="N14" s="59" t="s">
        <v>4589</v>
      </c>
      <c r="O14" s="59" t="s">
        <v>4584</v>
      </c>
      <c r="P14" s="57" t="s">
        <v>4563</v>
      </c>
      <c r="Q14" s="57"/>
      <c r="R14" s="57" t="s">
        <v>4554</v>
      </c>
      <c r="S14" s="57" t="s">
        <v>4555</v>
      </c>
      <c r="T14" s="57" t="s">
        <v>4586</v>
      </c>
      <c r="U14" s="57" t="s">
        <v>22</v>
      </c>
      <c r="V14" s="57" t="s">
        <v>4556</v>
      </c>
    </row>
    <row r="15" customFormat="false" ht="52.2" hidden="false" customHeight="false" outlineLevel="0" collapsed="false">
      <c r="A15" s="57" t="s">
        <v>4590</v>
      </c>
      <c r="B15" s="57" t="s">
        <v>4544</v>
      </c>
      <c r="C15" s="57" t="s">
        <v>2943</v>
      </c>
      <c r="D15" s="57" t="s">
        <v>3458</v>
      </c>
      <c r="E15" s="57" t="s">
        <v>46</v>
      </c>
      <c r="F15" s="57" t="s">
        <v>4577</v>
      </c>
      <c r="G15" s="57" t="s">
        <v>4578</v>
      </c>
      <c r="H15" s="58" t="s">
        <v>4547</v>
      </c>
      <c r="I15" s="57"/>
      <c r="J15" s="57" t="s">
        <v>4591</v>
      </c>
      <c r="K15" s="57" t="s">
        <v>4592</v>
      </c>
      <c r="L15" s="57" t="s">
        <v>4593</v>
      </c>
      <c r="M15" s="57" t="s">
        <v>4582</v>
      </c>
      <c r="N15" s="59" t="s">
        <v>4594</v>
      </c>
      <c r="O15" s="59" t="s">
        <v>4584</v>
      </c>
      <c r="P15" s="57" t="s">
        <v>4553</v>
      </c>
      <c r="Q15" s="57"/>
      <c r="R15" s="57" t="s">
        <v>4554</v>
      </c>
      <c r="S15" s="57" t="s">
        <v>4555</v>
      </c>
      <c r="T15" s="57" t="s">
        <v>4592</v>
      </c>
      <c r="U15" s="57" t="s">
        <v>19</v>
      </c>
      <c r="V15" s="57" t="s">
        <v>4556</v>
      </c>
    </row>
    <row r="16" customFormat="false" ht="52.2" hidden="false" customHeight="false" outlineLevel="0" collapsed="false">
      <c r="A16" s="57" t="s">
        <v>4595</v>
      </c>
      <c r="B16" s="57" t="s">
        <v>4544</v>
      </c>
      <c r="C16" s="57" t="s">
        <v>520</v>
      </c>
      <c r="D16" s="57" t="s">
        <v>519</v>
      </c>
      <c r="E16" s="57" t="s">
        <v>45</v>
      </c>
      <c r="F16" s="57" t="s">
        <v>4577</v>
      </c>
      <c r="G16" s="57" t="s">
        <v>4578</v>
      </c>
      <c r="H16" s="58" t="s">
        <v>4547</v>
      </c>
      <c r="I16" s="57" t="s">
        <v>4596</v>
      </c>
      <c r="J16" s="57"/>
      <c r="K16" s="57" t="s">
        <v>4597</v>
      </c>
      <c r="L16" s="57" t="s">
        <v>4598</v>
      </c>
      <c r="M16" s="57" t="s">
        <v>4599</v>
      </c>
      <c r="N16" s="59" t="s">
        <v>4600</v>
      </c>
      <c r="O16" s="59" t="s">
        <v>4584</v>
      </c>
      <c r="P16" s="57" t="s">
        <v>4553</v>
      </c>
      <c r="Q16" s="57"/>
      <c r="R16" s="57" t="s">
        <v>4554</v>
      </c>
      <c r="S16" s="57" t="s">
        <v>4555</v>
      </c>
      <c r="T16" s="57" t="s">
        <v>4597</v>
      </c>
      <c r="U16" s="57" t="s">
        <v>19</v>
      </c>
      <c r="V16" s="57" t="s">
        <v>4556</v>
      </c>
    </row>
    <row r="17" customFormat="false" ht="52.2" hidden="false" customHeight="false" outlineLevel="0" collapsed="false">
      <c r="A17" s="57" t="s">
        <v>4601</v>
      </c>
      <c r="B17" s="57" t="s">
        <v>4544</v>
      </c>
      <c r="C17" s="57" t="s">
        <v>1738</v>
      </c>
      <c r="D17" s="57" t="s">
        <v>1737</v>
      </c>
      <c r="E17" s="57" t="s">
        <v>46</v>
      </c>
      <c r="F17" s="57" t="s">
        <v>4577</v>
      </c>
      <c r="G17" s="57" t="s">
        <v>4578</v>
      </c>
      <c r="H17" s="58" t="s">
        <v>4547</v>
      </c>
      <c r="I17" s="57"/>
      <c r="J17" s="57" t="s">
        <v>4602</v>
      </c>
      <c r="K17" s="57" t="s">
        <v>4603</v>
      </c>
      <c r="L17" s="57" t="s">
        <v>4604</v>
      </c>
      <c r="M17" s="57" t="s">
        <v>4582</v>
      </c>
      <c r="N17" s="59" t="s">
        <v>4605</v>
      </c>
      <c r="O17" s="59" t="s">
        <v>4584</v>
      </c>
      <c r="P17" s="57" t="s">
        <v>4559</v>
      </c>
      <c r="Q17" s="57"/>
      <c r="R17" s="57" t="s">
        <v>4554</v>
      </c>
      <c r="S17" s="57" t="s">
        <v>4555</v>
      </c>
      <c r="T17" s="57" t="s">
        <v>4602</v>
      </c>
      <c r="U17" s="57" t="s">
        <v>24</v>
      </c>
      <c r="V17" s="57" t="s">
        <v>4556</v>
      </c>
    </row>
    <row r="18" customFormat="false" ht="52.2" hidden="false" customHeight="false" outlineLevel="0" collapsed="false">
      <c r="A18" s="57" t="s">
        <v>4606</v>
      </c>
      <c r="B18" s="57" t="s">
        <v>4544</v>
      </c>
      <c r="C18" s="57" t="s">
        <v>1867</v>
      </c>
      <c r="D18" s="57" t="s">
        <v>1866</v>
      </c>
      <c r="E18" s="57" t="s">
        <v>45</v>
      </c>
      <c r="F18" s="57" t="s">
        <v>4577</v>
      </c>
      <c r="G18" s="57" t="s">
        <v>4578</v>
      </c>
      <c r="H18" s="58" t="s">
        <v>4547</v>
      </c>
      <c r="I18" s="57"/>
      <c r="J18" s="57" t="s">
        <v>4607</v>
      </c>
      <c r="K18" s="57" t="s">
        <v>4608</v>
      </c>
      <c r="L18" s="57" t="s">
        <v>4609</v>
      </c>
      <c r="M18" s="57" t="s">
        <v>4582</v>
      </c>
      <c r="N18" s="59" t="s">
        <v>4610</v>
      </c>
      <c r="O18" s="59" t="s">
        <v>4584</v>
      </c>
      <c r="P18" s="57" t="s">
        <v>4559</v>
      </c>
      <c r="Q18" s="57"/>
      <c r="R18" s="57" t="s">
        <v>4554</v>
      </c>
      <c r="S18" s="57" t="s">
        <v>4555</v>
      </c>
      <c r="T18" s="57" t="s">
        <v>4607</v>
      </c>
      <c r="U18" s="57" t="s">
        <v>24</v>
      </c>
      <c r="V18" s="57" t="s">
        <v>4556</v>
      </c>
    </row>
    <row r="19" customFormat="false" ht="52.2" hidden="false" customHeight="false" outlineLevel="0" collapsed="false">
      <c r="A19" s="57" t="s">
        <v>4611</v>
      </c>
      <c r="B19" s="57" t="s">
        <v>4544</v>
      </c>
      <c r="C19" s="57" t="s">
        <v>716</v>
      </c>
      <c r="D19" s="57" t="s">
        <v>715</v>
      </c>
      <c r="E19" s="57" t="s">
        <v>46</v>
      </c>
      <c r="F19" s="57" t="s">
        <v>4577</v>
      </c>
      <c r="G19" s="57" t="s">
        <v>4578</v>
      </c>
      <c r="H19" s="58" t="s">
        <v>4547</v>
      </c>
      <c r="I19" s="57"/>
      <c r="J19" s="57" t="s">
        <v>4612</v>
      </c>
      <c r="K19" s="57" t="s">
        <v>4613</v>
      </c>
      <c r="L19" s="57" t="s">
        <v>4614</v>
      </c>
      <c r="M19" s="57" t="s">
        <v>4582</v>
      </c>
      <c r="N19" s="59" t="s">
        <v>4615</v>
      </c>
      <c r="O19" s="59" t="s">
        <v>4584</v>
      </c>
      <c r="P19" s="57" t="s">
        <v>4553</v>
      </c>
      <c r="Q19" s="57"/>
      <c r="R19" s="57" t="s">
        <v>4554</v>
      </c>
      <c r="S19" s="57" t="s">
        <v>4555</v>
      </c>
      <c r="T19" s="57" t="s">
        <v>4613</v>
      </c>
      <c r="U19" s="57" t="s">
        <v>19</v>
      </c>
      <c r="V19" s="57" t="s">
        <v>4556</v>
      </c>
    </row>
    <row r="20" customFormat="false" ht="52.2" hidden="false" customHeight="false" outlineLevel="0" collapsed="false">
      <c r="A20" s="57" t="s">
        <v>4616</v>
      </c>
      <c r="B20" s="57" t="s">
        <v>4544</v>
      </c>
      <c r="C20" s="57" t="s">
        <v>157</v>
      </c>
      <c r="D20" s="57" t="s">
        <v>156</v>
      </c>
      <c r="E20" s="57" t="s">
        <v>46</v>
      </c>
      <c r="F20" s="57" t="s">
        <v>4577</v>
      </c>
      <c r="G20" s="57" t="s">
        <v>4578</v>
      </c>
      <c r="H20" s="58" t="s">
        <v>4547</v>
      </c>
      <c r="I20" s="57" t="s">
        <v>4617</v>
      </c>
      <c r="J20" s="57" t="s">
        <v>4618</v>
      </c>
      <c r="K20" s="57"/>
      <c r="L20" s="57" t="s">
        <v>4619</v>
      </c>
      <c r="M20" s="57" t="s">
        <v>4582</v>
      </c>
      <c r="N20" s="59" t="s">
        <v>4620</v>
      </c>
      <c r="O20" s="59" t="s">
        <v>4584</v>
      </c>
      <c r="P20" s="57" t="s">
        <v>4563</v>
      </c>
      <c r="Q20" s="57"/>
      <c r="R20" s="57" t="s">
        <v>4554</v>
      </c>
      <c r="S20" s="57" t="s">
        <v>4555</v>
      </c>
      <c r="T20" s="57" t="s">
        <v>4617</v>
      </c>
      <c r="U20" s="57" t="s">
        <v>22</v>
      </c>
      <c r="V20" s="57" t="s">
        <v>4556</v>
      </c>
    </row>
    <row r="21" customFormat="false" ht="52.2" hidden="false" customHeight="false" outlineLevel="0" collapsed="false">
      <c r="A21" s="57" t="s">
        <v>4621</v>
      </c>
      <c r="B21" s="57" t="s">
        <v>4544</v>
      </c>
      <c r="C21" s="57" t="s">
        <v>654</v>
      </c>
      <c r="D21" s="57" t="s">
        <v>653</v>
      </c>
      <c r="E21" s="57" t="s">
        <v>47</v>
      </c>
      <c r="F21" s="57" t="s">
        <v>4577</v>
      </c>
      <c r="G21" s="57" t="s">
        <v>4578</v>
      </c>
      <c r="H21" s="58" t="s">
        <v>4547</v>
      </c>
      <c r="I21" s="57" t="s">
        <v>4622</v>
      </c>
      <c r="J21" s="57"/>
      <c r="K21" s="57" t="s">
        <v>4623</v>
      </c>
      <c r="L21" s="57" t="s">
        <v>4624</v>
      </c>
      <c r="M21" s="57" t="s">
        <v>4599</v>
      </c>
      <c r="N21" s="59" t="s">
        <v>4625</v>
      </c>
      <c r="O21" s="59" t="s">
        <v>4584</v>
      </c>
      <c r="P21" s="57" t="s">
        <v>4553</v>
      </c>
      <c r="Q21" s="57"/>
      <c r="R21" s="57" t="s">
        <v>4554</v>
      </c>
      <c r="S21" s="57" t="s">
        <v>4555</v>
      </c>
      <c r="T21" s="57" t="s">
        <v>4623</v>
      </c>
      <c r="U21" s="57" t="s">
        <v>19</v>
      </c>
      <c r="V21" s="57" t="s">
        <v>4556</v>
      </c>
    </row>
    <row r="22" customFormat="false" ht="52.2" hidden="false" customHeight="false" outlineLevel="0" collapsed="false">
      <c r="A22" s="57" t="s">
        <v>4626</v>
      </c>
      <c r="B22" s="57" t="s">
        <v>4544</v>
      </c>
      <c r="C22" s="57" t="s">
        <v>3095</v>
      </c>
      <c r="D22" s="57" t="s">
        <v>3741</v>
      </c>
      <c r="E22" s="57" t="s">
        <v>46</v>
      </c>
      <c r="F22" s="57" t="s">
        <v>4577</v>
      </c>
      <c r="G22" s="57" t="s">
        <v>4578</v>
      </c>
      <c r="H22" s="58" t="s">
        <v>4547</v>
      </c>
      <c r="I22" s="57"/>
      <c r="J22" s="57" t="s">
        <v>4627</v>
      </c>
      <c r="K22" s="57" t="s">
        <v>4628</v>
      </c>
      <c r="L22" s="57" t="s">
        <v>4604</v>
      </c>
      <c r="M22" s="57" t="s">
        <v>4582</v>
      </c>
      <c r="N22" s="59" t="s">
        <v>4629</v>
      </c>
      <c r="O22" s="59" t="s">
        <v>4584</v>
      </c>
      <c r="P22" s="57" t="s">
        <v>4559</v>
      </c>
      <c r="Q22" s="57"/>
      <c r="R22" s="57" t="s">
        <v>4554</v>
      </c>
      <c r="S22" s="57" t="s">
        <v>4555</v>
      </c>
      <c r="T22" s="57" t="s">
        <v>4627</v>
      </c>
      <c r="U22" s="57" t="s">
        <v>24</v>
      </c>
      <c r="V22" s="57" t="s">
        <v>4556</v>
      </c>
    </row>
    <row r="23" customFormat="false" ht="52.2" hidden="false" customHeight="false" outlineLevel="0" collapsed="false">
      <c r="A23" s="57" t="s">
        <v>4630</v>
      </c>
      <c r="B23" s="57" t="s">
        <v>4544</v>
      </c>
      <c r="C23" s="57" t="s">
        <v>2597</v>
      </c>
      <c r="D23" s="57" t="s">
        <v>2596</v>
      </c>
      <c r="E23" s="57" t="s">
        <v>47</v>
      </c>
      <c r="F23" s="57" t="s">
        <v>4577</v>
      </c>
      <c r="G23" s="57" t="s">
        <v>4578</v>
      </c>
      <c r="H23" s="58" t="s">
        <v>4547</v>
      </c>
      <c r="I23" s="57" t="s">
        <v>4631</v>
      </c>
      <c r="J23" s="57" t="s">
        <v>4632</v>
      </c>
      <c r="K23" s="57"/>
      <c r="L23" s="57" t="s">
        <v>4588</v>
      </c>
      <c r="M23" s="57" t="s">
        <v>4582</v>
      </c>
      <c r="N23" s="59" t="s">
        <v>4633</v>
      </c>
      <c r="O23" s="59" t="s">
        <v>4584</v>
      </c>
      <c r="P23" s="57" t="s">
        <v>4559</v>
      </c>
      <c r="Q23" s="57"/>
      <c r="R23" s="57" t="s">
        <v>4554</v>
      </c>
      <c r="S23" s="57" t="s">
        <v>4555</v>
      </c>
      <c r="T23" s="57" t="s">
        <v>4632</v>
      </c>
      <c r="U23" s="57" t="s">
        <v>24</v>
      </c>
      <c r="V23" s="57" t="s">
        <v>4556</v>
      </c>
    </row>
    <row r="24" customFormat="false" ht="52.2" hidden="false" customHeight="false" outlineLevel="0" collapsed="false">
      <c r="A24" s="57" t="s">
        <v>4634</v>
      </c>
      <c r="B24" s="57" t="s">
        <v>4544</v>
      </c>
      <c r="C24" s="57" t="s">
        <v>496</v>
      </c>
      <c r="D24" s="57" t="s">
        <v>495</v>
      </c>
      <c r="E24" s="57" t="s">
        <v>46</v>
      </c>
      <c r="F24" s="57" t="s">
        <v>4577</v>
      </c>
      <c r="G24" s="57" t="s">
        <v>4578</v>
      </c>
      <c r="H24" s="58" t="s">
        <v>4547</v>
      </c>
      <c r="I24" s="57"/>
      <c r="J24" s="57" t="s">
        <v>4635</v>
      </c>
      <c r="K24" s="57" t="s">
        <v>4636</v>
      </c>
      <c r="L24" s="57" t="s">
        <v>4637</v>
      </c>
      <c r="M24" s="57" t="s">
        <v>4582</v>
      </c>
      <c r="N24" s="59" t="s">
        <v>4638</v>
      </c>
      <c r="O24" s="59" t="s">
        <v>4584</v>
      </c>
      <c r="P24" s="57" t="s">
        <v>4559</v>
      </c>
      <c r="Q24" s="57"/>
      <c r="R24" s="57" t="s">
        <v>4554</v>
      </c>
      <c r="S24" s="57" t="s">
        <v>4555</v>
      </c>
      <c r="T24" s="57" t="s">
        <v>4635</v>
      </c>
      <c r="U24" s="57" t="s">
        <v>24</v>
      </c>
      <c r="V24" s="57" t="s">
        <v>4556</v>
      </c>
    </row>
    <row r="25" customFormat="false" ht="52.2" hidden="false" customHeight="false" outlineLevel="0" collapsed="false">
      <c r="A25" s="57" t="s">
        <v>4639</v>
      </c>
      <c r="B25" s="57" t="s">
        <v>4544</v>
      </c>
      <c r="C25" s="57" t="s">
        <v>1087</v>
      </c>
      <c r="D25" s="57" t="s">
        <v>1086</v>
      </c>
      <c r="E25" s="57" t="s">
        <v>47</v>
      </c>
      <c r="F25" s="57" t="s">
        <v>4577</v>
      </c>
      <c r="G25" s="57" t="s">
        <v>4578</v>
      </c>
      <c r="H25" s="58" t="s">
        <v>4547</v>
      </c>
      <c r="I25" s="57" t="s">
        <v>4640</v>
      </c>
      <c r="J25" s="57"/>
      <c r="K25" s="57" t="s">
        <v>4641</v>
      </c>
      <c r="L25" s="57" t="s">
        <v>4642</v>
      </c>
      <c r="M25" s="57" t="s">
        <v>4599</v>
      </c>
      <c r="N25" s="59" t="s">
        <v>4643</v>
      </c>
      <c r="O25" s="59" t="s">
        <v>4584</v>
      </c>
      <c r="P25" s="57" t="s">
        <v>4553</v>
      </c>
      <c r="Q25" s="57"/>
      <c r="R25" s="57" t="s">
        <v>4554</v>
      </c>
      <c r="S25" s="57" t="s">
        <v>4555</v>
      </c>
      <c r="T25" s="57" t="s">
        <v>4641</v>
      </c>
      <c r="U25" s="57" t="s">
        <v>19</v>
      </c>
      <c r="V25" s="57" t="s">
        <v>4556</v>
      </c>
    </row>
    <row r="26" customFormat="false" ht="52.2" hidden="false" customHeight="false" outlineLevel="0" collapsed="false">
      <c r="A26" s="57" t="s">
        <v>4644</v>
      </c>
      <c r="B26" s="57" t="s">
        <v>4544</v>
      </c>
      <c r="C26" s="57" t="s">
        <v>879</v>
      </c>
      <c r="D26" s="57" t="s">
        <v>878</v>
      </c>
      <c r="E26" s="57" t="s">
        <v>47</v>
      </c>
      <c r="F26" s="57" t="s">
        <v>4577</v>
      </c>
      <c r="G26" s="57" t="s">
        <v>4578</v>
      </c>
      <c r="H26" s="58" t="s">
        <v>4547</v>
      </c>
      <c r="I26" s="57" t="s">
        <v>4645</v>
      </c>
      <c r="J26" s="57"/>
      <c r="K26" s="57" t="s">
        <v>4646</v>
      </c>
      <c r="L26" s="57" t="s">
        <v>4647</v>
      </c>
      <c r="M26" s="57" t="s">
        <v>4599</v>
      </c>
      <c r="N26" s="59" t="s">
        <v>4648</v>
      </c>
      <c r="O26" s="59" t="s">
        <v>4584</v>
      </c>
      <c r="P26" s="57" t="s">
        <v>4563</v>
      </c>
      <c r="Q26" s="57"/>
      <c r="R26" s="57" t="s">
        <v>4554</v>
      </c>
      <c r="S26" s="57" t="s">
        <v>4555</v>
      </c>
      <c r="T26" s="57" t="s">
        <v>4645</v>
      </c>
      <c r="U26" s="57" t="s">
        <v>22</v>
      </c>
      <c r="V26" s="57" t="s">
        <v>4556</v>
      </c>
    </row>
    <row r="27" customFormat="false" ht="52.2" hidden="false" customHeight="false" outlineLevel="0" collapsed="false">
      <c r="A27" s="57" t="s">
        <v>4649</v>
      </c>
      <c r="B27" s="57" t="s">
        <v>4544</v>
      </c>
      <c r="C27" s="57" t="s">
        <v>556</v>
      </c>
      <c r="D27" s="57" t="s">
        <v>555</v>
      </c>
      <c r="E27" s="57" t="s">
        <v>45</v>
      </c>
      <c r="F27" s="57" t="s">
        <v>4577</v>
      </c>
      <c r="G27" s="57" t="s">
        <v>4578</v>
      </c>
      <c r="H27" s="58" t="s">
        <v>4547</v>
      </c>
      <c r="I27" s="57"/>
      <c r="J27" s="57" t="s">
        <v>4650</v>
      </c>
      <c r="K27" s="57" t="s">
        <v>4651</v>
      </c>
      <c r="L27" s="57" t="s">
        <v>4598</v>
      </c>
      <c r="M27" s="57" t="s">
        <v>4582</v>
      </c>
      <c r="N27" s="59" t="s">
        <v>4652</v>
      </c>
      <c r="O27" s="59" t="s">
        <v>4584</v>
      </c>
      <c r="P27" s="57" t="s">
        <v>4553</v>
      </c>
      <c r="Q27" s="57"/>
      <c r="R27" s="57" t="s">
        <v>4554</v>
      </c>
      <c r="S27" s="57" t="s">
        <v>4555</v>
      </c>
      <c r="T27" s="57" t="s">
        <v>4651</v>
      </c>
      <c r="U27" s="57" t="s">
        <v>19</v>
      </c>
      <c r="V27" s="57" t="s">
        <v>4556</v>
      </c>
    </row>
    <row r="28" customFormat="false" ht="52.2" hidden="false" customHeight="false" outlineLevel="0" collapsed="false">
      <c r="A28" s="57" t="s">
        <v>4653</v>
      </c>
      <c r="B28" s="57" t="s">
        <v>4544</v>
      </c>
      <c r="C28" s="57" t="s">
        <v>3266</v>
      </c>
      <c r="D28" s="57" t="s">
        <v>4049</v>
      </c>
      <c r="E28" s="57" t="s">
        <v>45</v>
      </c>
      <c r="F28" s="57" t="s">
        <v>4577</v>
      </c>
      <c r="G28" s="57" t="s">
        <v>4578</v>
      </c>
      <c r="H28" s="58" t="s">
        <v>4547</v>
      </c>
      <c r="I28" s="57"/>
      <c r="J28" s="57" t="s">
        <v>4654</v>
      </c>
      <c r="K28" s="57" t="s">
        <v>4655</v>
      </c>
      <c r="L28" s="57" t="s">
        <v>4588</v>
      </c>
      <c r="M28" s="57" t="s">
        <v>4582</v>
      </c>
      <c r="N28" s="59" t="s">
        <v>4656</v>
      </c>
      <c r="O28" s="59" t="s">
        <v>4584</v>
      </c>
      <c r="P28" s="57" t="s">
        <v>4559</v>
      </c>
      <c r="Q28" s="57"/>
      <c r="R28" s="57" t="s">
        <v>4554</v>
      </c>
      <c r="S28" s="57" t="s">
        <v>4555</v>
      </c>
      <c r="T28" s="57" t="s">
        <v>4654</v>
      </c>
      <c r="U28" s="57" t="s">
        <v>24</v>
      </c>
      <c r="V28" s="57" t="s">
        <v>4556</v>
      </c>
    </row>
    <row r="29" customFormat="false" ht="52.2" hidden="false" customHeight="false" outlineLevel="0" collapsed="false">
      <c r="A29" s="57" t="s">
        <v>4657</v>
      </c>
      <c r="B29" s="57" t="s">
        <v>4544</v>
      </c>
      <c r="C29" s="57" t="s">
        <v>1239</v>
      </c>
      <c r="D29" s="57" t="s">
        <v>1238</v>
      </c>
      <c r="E29" s="57" t="s">
        <v>46</v>
      </c>
      <c r="F29" s="57" t="s">
        <v>4577</v>
      </c>
      <c r="G29" s="57" t="s">
        <v>4578</v>
      </c>
      <c r="H29" s="58" t="s">
        <v>4547</v>
      </c>
      <c r="I29" s="57"/>
      <c r="J29" s="57" t="s">
        <v>4658</v>
      </c>
      <c r="K29" s="57" t="s">
        <v>4659</v>
      </c>
      <c r="L29" s="57" t="s">
        <v>4619</v>
      </c>
      <c r="M29" s="57" t="s">
        <v>4582</v>
      </c>
      <c r="N29" s="59" t="s">
        <v>4660</v>
      </c>
      <c r="O29" s="59" t="s">
        <v>4584</v>
      </c>
      <c r="P29" s="57" t="s">
        <v>4553</v>
      </c>
      <c r="Q29" s="57"/>
      <c r="R29" s="57" t="s">
        <v>4554</v>
      </c>
      <c r="S29" s="57" t="s">
        <v>4555</v>
      </c>
      <c r="T29" s="57" t="s">
        <v>4659</v>
      </c>
      <c r="U29" s="57" t="s">
        <v>19</v>
      </c>
      <c r="V29" s="57" t="s">
        <v>4556</v>
      </c>
    </row>
    <row r="30" customFormat="false" ht="52.2" hidden="false" customHeight="false" outlineLevel="0" collapsed="false">
      <c r="A30" s="57" t="s">
        <v>4661</v>
      </c>
      <c r="B30" s="57" t="s">
        <v>4544</v>
      </c>
      <c r="C30" s="57" t="s">
        <v>1155</v>
      </c>
      <c r="D30" s="57" t="s">
        <v>1154</v>
      </c>
      <c r="E30" s="57" t="s">
        <v>45</v>
      </c>
      <c r="F30" s="57" t="s">
        <v>4577</v>
      </c>
      <c r="G30" s="57" t="s">
        <v>4578</v>
      </c>
      <c r="H30" s="58" t="s">
        <v>4547</v>
      </c>
      <c r="I30" s="57" t="s">
        <v>4662</v>
      </c>
      <c r="J30" s="57" t="s">
        <v>4663</v>
      </c>
      <c r="K30" s="57"/>
      <c r="L30" s="57" t="s">
        <v>4624</v>
      </c>
      <c r="M30" s="57" t="s">
        <v>4582</v>
      </c>
      <c r="N30" s="59" t="s">
        <v>4664</v>
      </c>
      <c r="O30" s="59" t="s">
        <v>4584</v>
      </c>
      <c r="P30" s="57" t="s">
        <v>4563</v>
      </c>
      <c r="Q30" s="57"/>
      <c r="R30" s="57" t="s">
        <v>4554</v>
      </c>
      <c r="S30" s="57" t="s">
        <v>4555</v>
      </c>
      <c r="T30" s="57" t="s">
        <v>4662</v>
      </c>
      <c r="U30" s="57" t="s">
        <v>22</v>
      </c>
      <c r="V30" s="57" t="s">
        <v>4556</v>
      </c>
    </row>
    <row r="31" customFormat="false" ht="52.2" hidden="false" customHeight="false" outlineLevel="0" collapsed="false">
      <c r="A31" s="57" t="s">
        <v>4665</v>
      </c>
      <c r="B31" s="57" t="s">
        <v>4544</v>
      </c>
      <c r="C31" s="57" t="s">
        <v>2771</v>
      </c>
      <c r="D31" s="57" t="s">
        <v>2770</v>
      </c>
      <c r="E31" s="57" t="s">
        <v>46</v>
      </c>
      <c r="F31" s="57" t="s">
        <v>4577</v>
      </c>
      <c r="G31" s="57" t="s">
        <v>4578</v>
      </c>
      <c r="H31" s="58" t="s">
        <v>4547</v>
      </c>
      <c r="I31" s="57"/>
      <c r="J31" s="57" t="s">
        <v>4666</v>
      </c>
      <c r="K31" s="57" t="s">
        <v>4667</v>
      </c>
      <c r="L31" s="57" t="s">
        <v>4624</v>
      </c>
      <c r="M31" s="57" t="s">
        <v>4582</v>
      </c>
      <c r="N31" s="59" t="s">
        <v>4668</v>
      </c>
      <c r="O31" s="59" t="s">
        <v>4584</v>
      </c>
      <c r="P31" s="57" t="s">
        <v>4559</v>
      </c>
      <c r="Q31" s="57"/>
      <c r="R31" s="57" t="s">
        <v>4554</v>
      </c>
      <c r="S31" s="57" t="s">
        <v>4555</v>
      </c>
      <c r="T31" s="57" t="s">
        <v>4666</v>
      </c>
      <c r="U31" s="57" t="s">
        <v>24</v>
      </c>
      <c r="V31" s="57" t="s">
        <v>4556</v>
      </c>
    </row>
    <row r="32" customFormat="false" ht="52.2" hidden="false" customHeight="false" outlineLevel="0" collapsed="false">
      <c r="A32" s="57" t="s">
        <v>4669</v>
      </c>
      <c r="B32" s="57" t="s">
        <v>4544</v>
      </c>
      <c r="C32" s="57" t="s">
        <v>174</v>
      </c>
      <c r="D32" s="57" t="s">
        <v>173</v>
      </c>
      <c r="E32" s="57" t="s">
        <v>47</v>
      </c>
      <c r="F32" s="57" t="s">
        <v>4577</v>
      </c>
      <c r="G32" s="57" t="s">
        <v>4578</v>
      </c>
      <c r="H32" s="58" t="s">
        <v>4547</v>
      </c>
      <c r="I32" s="57" t="s">
        <v>4670</v>
      </c>
      <c r="J32" s="57" t="s">
        <v>4671</v>
      </c>
      <c r="K32" s="57"/>
      <c r="L32" s="57" t="s">
        <v>4619</v>
      </c>
      <c r="M32" s="57" t="s">
        <v>4582</v>
      </c>
      <c r="N32" s="59" t="s">
        <v>4672</v>
      </c>
      <c r="O32" s="59" t="s">
        <v>4584</v>
      </c>
      <c r="P32" s="57" t="s">
        <v>4563</v>
      </c>
      <c r="Q32" s="57"/>
      <c r="R32" s="57" t="s">
        <v>4554</v>
      </c>
      <c r="S32" s="57" t="s">
        <v>4555</v>
      </c>
      <c r="T32" s="57" t="s">
        <v>4670</v>
      </c>
      <c r="U32" s="57" t="s">
        <v>22</v>
      </c>
      <c r="V32" s="57" t="s">
        <v>4556</v>
      </c>
    </row>
    <row r="33" customFormat="false" ht="52.2" hidden="false" customHeight="false" outlineLevel="0" collapsed="false">
      <c r="A33" s="57" t="s">
        <v>4673</v>
      </c>
      <c r="B33" s="57" t="s">
        <v>4544</v>
      </c>
      <c r="C33" s="57" t="s">
        <v>602</v>
      </c>
      <c r="D33" s="57" t="s">
        <v>601</v>
      </c>
      <c r="E33" s="57" t="s">
        <v>45</v>
      </c>
      <c r="F33" s="57" t="s">
        <v>4577</v>
      </c>
      <c r="G33" s="57" t="s">
        <v>4578</v>
      </c>
      <c r="H33" s="58" t="s">
        <v>4547</v>
      </c>
      <c r="I33" s="57"/>
      <c r="J33" s="57" t="s">
        <v>4674</v>
      </c>
      <c r="K33" s="57" t="s">
        <v>4675</v>
      </c>
      <c r="L33" s="57" t="s">
        <v>4624</v>
      </c>
      <c r="M33" s="57" t="s">
        <v>4582</v>
      </c>
      <c r="N33" s="59" t="s">
        <v>4676</v>
      </c>
      <c r="O33" s="59" t="s">
        <v>4584</v>
      </c>
      <c r="P33" s="57" t="s">
        <v>4559</v>
      </c>
      <c r="Q33" s="57"/>
      <c r="R33" s="57" t="s">
        <v>4554</v>
      </c>
      <c r="S33" s="57" t="s">
        <v>4555</v>
      </c>
      <c r="T33" s="57" t="s">
        <v>4674</v>
      </c>
      <c r="U33" s="57" t="s">
        <v>24</v>
      </c>
      <c r="V33" s="57" t="s">
        <v>4556</v>
      </c>
    </row>
    <row r="34" customFormat="false" ht="52.2" hidden="false" customHeight="false" outlineLevel="0" collapsed="false">
      <c r="A34" s="57" t="s">
        <v>4677</v>
      </c>
      <c r="B34" s="57" t="s">
        <v>4544</v>
      </c>
      <c r="C34" s="57" t="s">
        <v>632</v>
      </c>
      <c r="D34" s="57" t="s">
        <v>631</v>
      </c>
      <c r="E34" s="57" t="s">
        <v>45</v>
      </c>
      <c r="F34" s="57" t="s">
        <v>4577</v>
      </c>
      <c r="G34" s="57" t="s">
        <v>4578</v>
      </c>
      <c r="H34" s="58" t="s">
        <v>4547</v>
      </c>
      <c r="I34" s="57" t="s">
        <v>4678</v>
      </c>
      <c r="J34" s="57" t="s">
        <v>4679</v>
      </c>
      <c r="K34" s="57"/>
      <c r="L34" s="57" t="s">
        <v>4647</v>
      </c>
      <c r="M34" s="57" t="s">
        <v>4582</v>
      </c>
      <c r="N34" s="59" t="s">
        <v>4680</v>
      </c>
      <c r="O34" s="59" t="s">
        <v>4584</v>
      </c>
      <c r="P34" s="57" t="s">
        <v>4563</v>
      </c>
      <c r="Q34" s="57"/>
      <c r="R34" s="57" t="s">
        <v>4554</v>
      </c>
      <c r="S34" s="57" t="s">
        <v>4555</v>
      </c>
      <c r="T34" s="57" t="s">
        <v>4678</v>
      </c>
      <c r="U34" s="57" t="s">
        <v>22</v>
      </c>
      <c r="V34" s="57" t="s">
        <v>4556</v>
      </c>
    </row>
    <row r="35" customFormat="false" ht="52.2" hidden="false" customHeight="false" outlineLevel="0" collapsed="false">
      <c r="A35" s="57" t="s">
        <v>4681</v>
      </c>
      <c r="B35" s="57" t="s">
        <v>4544</v>
      </c>
      <c r="C35" s="57" t="s">
        <v>752</v>
      </c>
      <c r="D35" s="57" t="s">
        <v>751</v>
      </c>
      <c r="E35" s="57" t="s">
        <v>47</v>
      </c>
      <c r="F35" s="57" t="s">
        <v>4577</v>
      </c>
      <c r="G35" s="57" t="s">
        <v>4578</v>
      </c>
      <c r="H35" s="58" t="s">
        <v>4547</v>
      </c>
      <c r="I35" s="57" t="s">
        <v>4682</v>
      </c>
      <c r="J35" s="57" t="s">
        <v>4683</v>
      </c>
      <c r="K35" s="57"/>
      <c r="L35" s="57" t="s">
        <v>4684</v>
      </c>
      <c r="M35" s="57" t="s">
        <v>4582</v>
      </c>
      <c r="N35" s="59" t="s">
        <v>4685</v>
      </c>
      <c r="O35" s="59" t="s">
        <v>4584</v>
      </c>
      <c r="P35" s="57" t="s">
        <v>4559</v>
      </c>
      <c r="Q35" s="57"/>
      <c r="R35" s="57" t="s">
        <v>4554</v>
      </c>
      <c r="S35" s="57" t="s">
        <v>4555</v>
      </c>
      <c r="T35" s="57" t="s">
        <v>4683</v>
      </c>
      <c r="U35" s="57" t="s">
        <v>24</v>
      </c>
      <c r="V35" s="57" t="s">
        <v>4556</v>
      </c>
    </row>
  </sheetData>
  <autoFilter ref="A4:V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16"/>
    <col collapsed="false" customWidth="true" hidden="false" outlineLevel="0" max="4" min="4" style="0" width="10"/>
    <col collapsed="false" customWidth="true" hidden="false" outlineLevel="0" max="6" min="5" style="0" width="26"/>
    <col collapsed="false" customWidth="true" hidden="false" outlineLevel="0" max="7" min="7" style="0" width="46"/>
    <col collapsed="false" customWidth="true" hidden="false" outlineLevel="0" max="8" min="8" style="0" width="18"/>
    <col collapsed="false" customWidth="true" hidden="false" outlineLevel="0" max="9" min="9" style="0" width="80"/>
  </cols>
  <sheetData>
    <row r="1" customFormat="false" ht="17.35" hidden="false" customHeight="false" outlineLevel="0" collapsed="false">
      <c r="A1" s="56" t="s">
        <v>4686</v>
      </c>
      <c r="B1" s="2"/>
      <c r="C1" s="2"/>
      <c r="D1" s="2"/>
      <c r="E1" s="2"/>
      <c r="F1" s="2"/>
      <c r="G1" s="2"/>
      <c r="H1" s="2"/>
      <c r="I1" s="2"/>
    </row>
    <row r="2" customFormat="false" ht="15" hidden="false" customHeight="false" outlineLevel="0" collapsed="false">
      <c r="A2" s="3" t="s">
        <v>4687</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31.5" hidden="false" customHeight="true" outlineLevel="0" collapsed="false">
      <c r="A4" s="8" t="s">
        <v>4688</v>
      </c>
      <c r="B4" s="8" t="s">
        <v>56</v>
      </c>
      <c r="C4" s="8" t="s">
        <v>55</v>
      </c>
      <c r="D4" s="8" t="s">
        <v>42</v>
      </c>
      <c r="E4" s="8" t="s">
        <v>4528</v>
      </c>
      <c r="F4" s="8" t="s">
        <v>4689</v>
      </c>
      <c r="G4" s="8" t="s">
        <v>4690</v>
      </c>
      <c r="H4" s="8" t="s">
        <v>4691</v>
      </c>
      <c r="I4" s="8" t="s">
        <v>4535</v>
      </c>
    </row>
    <row r="5" customFormat="false" ht="15" hidden="false" customHeight="false" outlineLevel="0" collapsed="false">
      <c r="A5" s="55" t="s">
        <v>4692</v>
      </c>
      <c r="B5" s="55" t="s">
        <v>954</v>
      </c>
      <c r="C5" s="55" t="s">
        <v>953</v>
      </c>
      <c r="D5" s="55" t="s">
        <v>47</v>
      </c>
      <c r="E5" s="55" t="s">
        <v>4693</v>
      </c>
      <c r="F5" s="55" t="s">
        <v>4694</v>
      </c>
      <c r="G5" s="55" t="s">
        <v>4695</v>
      </c>
      <c r="H5" s="55" t="s">
        <v>88</v>
      </c>
      <c r="I5" s="55" t="s">
        <v>4696</v>
      </c>
    </row>
    <row r="6" customFormat="false" ht="15" hidden="false" customHeight="false" outlineLevel="0" collapsed="false">
      <c r="A6" s="55" t="s">
        <v>4697</v>
      </c>
      <c r="B6" s="55" t="s">
        <v>266</v>
      </c>
      <c r="C6" s="55" t="s">
        <v>265</v>
      </c>
      <c r="D6" s="55" t="s">
        <v>47</v>
      </c>
      <c r="E6" s="55" t="s">
        <v>4693</v>
      </c>
      <c r="F6" s="55" t="s">
        <v>4694</v>
      </c>
      <c r="G6" s="55" t="s">
        <v>4698</v>
      </c>
      <c r="H6" s="55" t="s">
        <v>4699</v>
      </c>
      <c r="I6" s="55" t="s">
        <v>4700</v>
      </c>
    </row>
    <row r="7" customFormat="false" ht="15" hidden="false" customHeight="false" outlineLevel="0" collapsed="false">
      <c r="A7" s="55" t="s">
        <v>4701</v>
      </c>
      <c r="B7" s="55" t="s">
        <v>1295</v>
      </c>
      <c r="C7" s="55" t="s">
        <v>1294</v>
      </c>
      <c r="D7" s="55" t="s">
        <v>47</v>
      </c>
      <c r="E7" s="55" t="s">
        <v>4693</v>
      </c>
      <c r="F7" s="55" t="s">
        <v>4694</v>
      </c>
      <c r="G7" s="55" t="s">
        <v>4702</v>
      </c>
      <c r="H7" s="55" t="s">
        <v>4699</v>
      </c>
      <c r="I7" s="55" t="s">
        <v>4703</v>
      </c>
    </row>
    <row r="8" customFormat="false" ht="15" hidden="false" customHeight="false" outlineLevel="0" collapsed="false">
      <c r="A8" s="55" t="s">
        <v>4704</v>
      </c>
      <c r="B8" s="55" t="s">
        <v>446</v>
      </c>
      <c r="C8" s="55" t="s">
        <v>445</v>
      </c>
      <c r="D8" s="55" t="s">
        <v>45</v>
      </c>
      <c r="E8" s="55" t="s">
        <v>4693</v>
      </c>
      <c r="F8" s="55" t="s">
        <v>4694</v>
      </c>
      <c r="G8" s="55" t="s">
        <v>4705</v>
      </c>
      <c r="H8" s="55" t="s">
        <v>88</v>
      </c>
      <c r="I8" s="55" t="s">
        <v>4706</v>
      </c>
    </row>
    <row r="9" customFormat="false" ht="15" hidden="false" customHeight="false" outlineLevel="0" collapsed="false">
      <c r="A9" s="55" t="s">
        <v>4707</v>
      </c>
      <c r="B9" s="55" t="s">
        <v>2126</v>
      </c>
      <c r="C9" s="55" t="s">
        <v>2125</v>
      </c>
      <c r="D9" s="55" t="s">
        <v>46</v>
      </c>
      <c r="E9" s="55" t="s">
        <v>4708</v>
      </c>
      <c r="F9" s="55" t="s">
        <v>4709</v>
      </c>
      <c r="G9" s="55" t="s">
        <v>4710</v>
      </c>
      <c r="H9" s="55" t="s">
        <v>24</v>
      </c>
      <c r="I9" s="55" t="s">
        <v>4711</v>
      </c>
    </row>
    <row r="10" customFormat="false" ht="15" hidden="false" customHeight="false" outlineLevel="0" collapsed="false">
      <c r="A10" s="55" t="s">
        <v>4712</v>
      </c>
      <c r="B10" s="55" t="s">
        <v>520</v>
      </c>
      <c r="C10" s="55" t="s">
        <v>519</v>
      </c>
      <c r="D10" s="55" t="s">
        <v>47</v>
      </c>
      <c r="E10" s="55" t="s">
        <v>4708</v>
      </c>
      <c r="F10" s="55" t="s">
        <v>4709</v>
      </c>
      <c r="G10" s="55" t="s">
        <v>4713</v>
      </c>
      <c r="H10" s="55" t="s">
        <v>24</v>
      </c>
      <c r="I10" s="55" t="s">
        <v>4714</v>
      </c>
    </row>
    <row r="11" customFormat="false" ht="15" hidden="false" customHeight="false" outlineLevel="0" collapsed="false">
      <c r="A11" s="55" t="s">
        <v>4715</v>
      </c>
      <c r="B11" s="55" t="s">
        <v>907</v>
      </c>
      <c r="C11" s="55" t="s">
        <v>906</v>
      </c>
      <c r="D11" s="55" t="s">
        <v>45</v>
      </c>
      <c r="E11" s="55" t="s">
        <v>4708</v>
      </c>
      <c r="F11" s="55" t="s">
        <v>4709</v>
      </c>
      <c r="G11" s="55" t="s">
        <v>4716</v>
      </c>
      <c r="H11" s="55" t="s">
        <v>22</v>
      </c>
      <c r="I11" s="55" t="s">
        <v>4717</v>
      </c>
    </row>
    <row r="12" customFormat="false" ht="15" hidden="false" customHeight="false" outlineLevel="0" collapsed="false">
      <c r="A12" s="55" t="s">
        <v>4718</v>
      </c>
      <c r="B12" s="55" t="s">
        <v>2566</v>
      </c>
      <c r="C12" s="55" t="s">
        <v>2565</v>
      </c>
      <c r="D12" s="55" t="s">
        <v>45</v>
      </c>
      <c r="E12" s="55" t="s">
        <v>4708</v>
      </c>
      <c r="F12" s="55" t="s">
        <v>4709</v>
      </c>
      <c r="G12" s="55" t="s">
        <v>4719</v>
      </c>
      <c r="H12" s="55" t="s">
        <v>24</v>
      </c>
      <c r="I12" s="55" t="s">
        <v>4720</v>
      </c>
    </row>
    <row r="13" customFormat="false" ht="15" hidden="false" customHeight="false" outlineLevel="0" collapsed="false">
      <c r="A13" s="55" t="s">
        <v>4721</v>
      </c>
      <c r="B13" s="55" t="s">
        <v>2735</v>
      </c>
      <c r="C13" s="55" t="s">
        <v>2734</v>
      </c>
      <c r="D13" s="55" t="s">
        <v>47</v>
      </c>
      <c r="E13" s="55" t="s">
        <v>4708</v>
      </c>
      <c r="F13" s="55" t="s">
        <v>4709</v>
      </c>
      <c r="G13" s="55" t="s">
        <v>4722</v>
      </c>
      <c r="H13" s="55" t="s">
        <v>24</v>
      </c>
      <c r="I13" s="55" t="s">
        <v>4723</v>
      </c>
    </row>
    <row r="14" customFormat="false" ht="15" hidden="false" customHeight="false" outlineLevel="0" collapsed="false">
      <c r="A14" s="55" t="s">
        <v>4724</v>
      </c>
      <c r="B14" s="55" t="s">
        <v>1583</v>
      </c>
      <c r="C14" s="55" t="s">
        <v>1582</v>
      </c>
      <c r="D14" s="55" t="s">
        <v>47</v>
      </c>
      <c r="E14" s="55" t="s">
        <v>4708</v>
      </c>
      <c r="F14" s="55" t="s">
        <v>4709</v>
      </c>
      <c r="G14" s="55" t="s">
        <v>4725</v>
      </c>
      <c r="H14" s="55" t="s">
        <v>22</v>
      </c>
      <c r="I14" s="55" t="s">
        <v>4726</v>
      </c>
    </row>
    <row r="15" customFormat="false" ht="15" hidden="false" customHeight="false" outlineLevel="0" collapsed="false">
      <c r="A15" s="55" t="s">
        <v>4727</v>
      </c>
      <c r="B15" s="55" t="s">
        <v>1044</v>
      </c>
      <c r="C15" s="55" t="s">
        <v>1043</v>
      </c>
      <c r="D15" s="55" t="s">
        <v>45</v>
      </c>
      <c r="E15" s="55" t="s">
        <v>4708</v>
      </c>
      <c r="F15" s="55" t="s">
        <v>4709</v>
      </c>
      <c r="G15" s="55" t="s">
        <v>4728</v>
      </c>
      <c r="H15" s="55" t="s">
        <v>24</v>
      </c>
      <c r="I15" s="55" t="s">
        <v>4729</v>
      </c>
    </row>
    <row r="16" customFormat="false" ht="15" hidden="false" customHeight="false" outlineLevel="0" collapsed="false">
      <c r="A16" s="55" t="s">
        <v>4730</v>
      </c>
      <c r="B16" s="55" t="s">
        <v>1276</v>
      </c>
      <c r="C16" s="55" t="s">
        <v>1275</v>
      </c>
      <c r="D16" s="55" t="s">
        <v>47</v>
      </c>
      <c r="E16" s="55" t="s">
        <v>4708</v>
      </c>
      <c r="F16" s="55" t="s">
        <v>4709</v>
      </c>
      <c r="G16" s="55" t="s">
        <v>4731</v>
      </c>
      <c r="H16" s="55" t="s">
        <v>24</v>
      </c>
      <c r="I16" s="55" t="s">
        <v>4732</v>
      </c>
    </row>
    <row r="17" customFormat="false" ht="15" hidden="false" customHeight="false" outlineLevel="0" collapsed="false">
      <c r="A17" s="55" t="s">
        <v>4733</v>
      </c>
      <c r="B17" s="55" t="s">
        <v>592</v>
      </c>
      <c r="C17" s="55" t="s">
        <v>591</v>
      </c>
      <c r="D17" s="55" t="s">
        <v>45</v>
      </c>
      <c r="E17" s="55" t="s">
        <v>4708</v>
      </c>
      <c r="F17" s="55" t="s">
        <v>4709</v>
      </c>
      <c r="G17" s="55" t="s">
        <v>4734</v>
      </c>
      <c r="H17" s="55" t="s">
        <v>24</v>
      </c>
      <c r="I17" s="55" t="s">
        <v>4735</v>
      </c>
    </row>
    <row r="18" customFormat="false" ht="15" hidden="false" customHeight="false" outlineLevel="0" collapsed="false">
      <c r="A18" s="55" t="s">
        <v>4736</v>
      </c>
      <c r="B18" s="55" t="s">
        <v>674</v>
      </c>
      <c r="C18" s="55" t="s">
        <v>673</v>
      </c>
      <c r="D18" s="55" t="s">
        <v>47</v>
      </c>
      <c r="E18" s="55" t="s">
        <v>4708</v>
      </c>
      <c r="F18" s="55" t="s">
        <v>4709</v>
      </c>
      <c r="G18" s="55" t="s">
        <v>4737</v>
      </c>
      <c r="H18" s="55" t="s">
        <v>24</v>
      </c>
      <c r="I18" s="55" t="s">
        <v>4738</v>
      </c>
    </row>
    <row r="19" customFormat="false" ht="15" hidden="false" customHeight="false" outlineLevel="0" collapsed="false">
      <c r="A19" s="55" t="s">
        <v>4739</v>
      </c>
      <c r="B19" s="55" t="s">
        <v>1832</v>
      </c>
      <c r="C19" s="55" t="s">
        <v>1831</v>
      </c>
      <c r="D19" s="55" t="s">
        <v>46</v>
      </c>
      <c r="E19" s="55" t="s">
        <v>4740</v>
      </c>
      <c r="F19" s="55" t="s">
        <v>4741</v>
      </c>
      <c r="G19" s="55" t="s">
        <v>4742</v>
      </c>
      <c r="H19" s="55" t="s">
        <v>22</v>
      </c>
      <c r="I19" s="55" t="s">
        <v>4743</v>
      </c>
    </row>
    <row r="20" customFormat="false" ht="15" hidden="false" customHeight="false" outlineLevel="0" collapsed="false">
      <c r="A20" s="55" t="s">
        <v>4744</v>
      </c>
      <c r="B20" s="55" t="s">
        <v>1832</v>
      </c>
      <c r="C20" s="55" t="s">
        <v>1831</v>
      </c>
      <c r="D20" s="55" t="s">
        <v>47</v>
      </c>
      <c r="E20" s="55" t="s">
        <v>4740</v>
      </c>
      <c r="F20" s="55" t="s">
        <v>4745</v>
      </c>
      <c r="G20" s="55" t="s">
        <v>4746</v>
      </c>
      <c r="H20" s="55" t="s">
        <v>22</v>
      </c>
      <c r="I20" s="55" t="s">
        <v>4747</v>
      </c>
    </row>
    <row r="21" customFormat="false" ht="15" hidden="false" customHeight="false" outlineLevel="0" collapsed="false">
      <c r="A21" s="55" t="s">
        <v>4748</v>
      </c>
      <c r="B21" s="55" t="s">
        <v>720</v>
      </c>
      <c r="C21" s="55" t="s">
        <v>719</v>
      </c>
      <c r="D21" s="55" t="s">
        <v>45</v>
      </c>
      <c r="E21" s="55" t="s">
        <v>4740</v>
      </c>
      <c r="F21" s="55" t="s">
        <v>4749</v>
      </c>
      <c r="G21" s="55" t="s">
        <v>4750</v>
      </c>
      <c r="H21" s="55" t="s">
        <v>22</v>
      </c>
      <c r="I21" s="55" t="s">
        <v>4751</v>
      </c>
    </row>
    <row r="22" customFormat="false" ht="15" hidden="false" customHeight="false" outlineLevel="0" collapsed="false">
      <c r="A22" s="55" t="s">
        <v>4752</v>
      </c>
      <c r="B22" s="55" t="s">
        <v>720</v>
      </c>
      <c r="C22" s="55" t="s">
        <v>719</v>
      </c>
      <c r="D22" s="55" t="s">
        <v>47</v>
      </c>
      <c r="E22" s="55" t="s">
        <v>4740</v>
      </c>
      <c r="F22" s="55" t="s">
        <v>4745</v>
      </c>
      <c r="G22" s="55" t="s">
        <v>4746</v>
      </c>
      <c r="H22" s="55" t="s">
        <v>22</v>
      </c>
      <c r="I22" s="55" t="s">
        <v>4753</v>
      </c>
    </row>
    <row r="23" customFormat="false" ht="15" hidden="false" customHeight="false" outlineLevel="0" collapsed="false">
      <c r="A23" s="55" t="s">
        <v>4754</v>
      </c>
      <c r="B23" s="55" t="s">
        <v>2632</v>
      </c>
      <c r="C23" s="55" t="s">
        <v>2631</v>
      </c>
      <c r="D23" s="55" t="s">
        <v>47</v>
      </c>
      <c r="E23" s="55" t="s">
        <v>4740</v>
      </c>
      <c r="F23" s="55" t="s">
        <v>4745</v>
      </c>
      <c r="G23" s="55" t="s">
        <v>4746</v>
      </c>
      <c r="H23" s="55" t="s">
        <v>22</v>
      </c>
      <c r="I23" s="55" t="s">
        <v>4753</v>
      </c>
    </row>
    <row r="24" customFormat="false" ht="15" hidden="false" customHeight="false" outlineLevel="0" collapsed="false">
      <c r="A24" s="55" t="s">
        <v>4755</v>
      </c>
      <c r="B24" s="55" t="s">
        <v>1117</v>
      </c>
      <c r="C24" s="55" t="s">
        <v>1116</v>
      </c>
      <c r="D24" s="55" t="s">
        <v>45</v>
      </c>
      <c r="E24" s="55" t="s">
        <v>4740</v>
      </c>
      <c r="F24" s="55" t="s">
        <v>4756</v>
      </c>
      <c r="G24" s="55" t="s">
        <v>4757</v>
      </c>
      <c r="H24" s="55" t="s">
        <v>22</v>
      </c>
      <c r="I24" s="55" t="s">
        <v>4758</v>
      </c>
    </row>
    <row r="25" customFormat="false" ht="15" hidden="false" customHeight="false" outlineLevel="0" collapsed="false">
      <c r="A25" s="55" t="s">
        <v>4759</v>
      </c>
      <c r="B25" s="55" t="s">
        <v>1117</v>
      </c>
      <c r="C25" s="55" t="s">
        <v>1116</v>
      </c>
      <c r="D25" s="55" t="s">
        <v>47</v>
      </c>
      <c r="E25" s="55" t="s">
        <v>4740</v>
      </c>
      <c r="F25" s="55" t="s">
        <v>4745</v>
      </c>
      <c r="G25" s="55" t="s">
        <v>4746</v>
      </c>
      <c r="H25" s="55" t="s">
        <v>22</v>
      </c>
      <c r="I25" s="55" t="s">
        <v>4753</v>
      </c>
    </row>
    <row r="26" customFormat="false" ht="15" hidden="false" customHeight="false" outlineLevel="0" collapsed="false">
      <c r="A26" s="55" t="s">
        <v>4760</v>
      </c>
      <c r="B26" s="55" t="s">
        <v>474</v>
      </c>
      <c r="C26" s="55" t="s">
        <v>473</v>
      </c>
      <c r="D26" s="55" t="s">
        <v>46</v>
      </c>
      <c r="E26" s="55" t="s">
        <v>4740</v>
      </c>
      <c r="F26" s="55" t="s">
        <v>4745</v>
      </c>
      <c r="G26" s="55" t="s">
        <v>4746</v>
      </c>
      <c r="H26" s="55" t="s">
        <v>22</v>
      </c>
      <c r="I26" s="55" t="s">
        <v>4753</v>
      </c>
    </row>
    <row r="27" customFormat="false" ht="15" hidden="false" customHeight="false" outlineLevel="0" collapsed="false">
      <c r="A27" s="55" t="s">
        <v>4761</v>
      </c>
      <c r="B27" s="55" t="s">
        <v>698</v>
      </c>
      <c r="C27" s="55" t="s">
        <v>697</v>
      </c>
      <c r="D27" s="55" t="s">
        <v>47</v>
      </c>
      <c r="E27" s="55" t="s">
        <v>4740</v>
      </c>
      <c r="F27" s="55" t="s">
        <v>4749</v>
      </c>
      <c r="G27" s="55" t="s">
        <v>4750</v>
      </c>
      <c r="H27" s="55" t="s">
        <v>22</v>
      </c>
      <c r="I27" s="55" t="s">
        <v>4751</v>
      </c>
    </row>
    <row r="28" customFormat="false" ht="15" hidden="false" customHeight="false" outlineLevel="0" collapsed="false">
      <c r="A28" s="55" t="s">
        <v>4762</v>
      </c>
      <c r="B28" s="55" t="s">
        <v>108</v>
      </c>
      <c r="C28" s="55" t="s">
        <v>107</v>
      </c>
      <c r="D28" s="55" t="s">
        <v>47</v>
      </c>
      <c r="E28" s="55" t="s">
        <v>4740</v>
      </c>
      <c r="F28" s="55" t="s">
        <v>4745</v>
      </c>
      <c r="G28" s="55" t="s">
        <v>4763</v>
      </c>
      <c r="H28" s="55" t="s">
        <v>110</v>
      </c>
      <c r="I28" s="55" t="s">
        <v>4764</v>
      </c>
    </row>
    <row r="29" customFormat="false" ht="15" hidden="false" customHeight="false" outlineLevel="0" collapsed="false">
      <c r="A29" s="55" t="s">
        <v>4765</v>
      </c>
      <c r="B29" s="55" t="s">
        <v>1635</v>
      </c>
      <c r="C29" s="55" t="s">
        <v>1634</v>
      </c>
      <c r="D29" s="55" t="s">
        <v>47</v>
      </c>
      <c r="E29" s="55" t="s">
        <v>4740</v>
      </c>
      <c r="F29" s="55" t="s">
        <v>4766</v>
      </c>
      <c r="G29" s="55" t="s">
        <v>4767</v>
      </c>
      <c r="H29" s="55" t="s">
        <v>22</v>
      </c>
      <c r="I29" s="55" t="s">
        <v>4753</v>
      </c>
    </row>
    <row r="30" customFormat="false" ht="15" hidden="false" customHeight="false" outlineLevel="0" collapsed="false">
      <c r="A30" s="55" t="s">
        <v>4768</v>
      </c>
      <c r="B30" s="55" t="s">
        <v>190</v>
      </c>
      <c r="C30" s="55" t="s">
        <v>189</v>
      </c>
      <c r="D30" s="55" t="s">
        <v>47</v>
      </c>
      <c r="E30" s="55" t="s">
        <v>4740</v>
      </c>
      <c r="F30" s="55" t="s">
        <v>4745</v>
      </c>
      <c r="G30" s="55" t="s">
        <v>4746</v>
      </c>
      <c r="H30" s="55" t="s">
        <v>22</v>
      </c>
      <c r="I30" s="55" t="s">
        <v>4747</v>
      </c>
    </row>
    <row r="31" customFormat="false" ht="15" hidden="false" customHeight="false" outlineLevel="0" collapsed="false">
      <c r="A31" s="55" t="s">
        <v>4769</v>
      </c>
      <c r="B31" s="55" t="s">
        <v>2074</v>
      </c>
      <c r="C31" s="55" t="s">
        <v>2073</v>
      </c>
      <c r="D31" s="55" t="s">
        <v>46</v>
      </c>
      <c r="E31" s="55" t="s">
        <v>4740</v>
      </c>
      <c r="F31" s="55" t="s">
        <v>4770</v>
      </c>
      <c r="G31" s="55" t="s">
        <v>4771</v>
      </c>
      <c r="H31" s="55" t="s">
        <v>22</v>
      </c>
      <c r="I31" s="55" t="s">
        <v>4772</v>
      </c>
    </row>
    <row r="32" customFormat="false" ht="15" hidden="false" customHeight="false" outlineLevel="0" collapsed="false">
      <c r="A32" s="55" t="s">
        <v>4773</v>
      </c>
      <c r="B32" s="55" t="s">
        <v>2063</v>
      </c>
      <c r="C32" s="55" t="s">
        <v>2062</v>
      </c>
      <c r="D32" s="55" t="s">
        <v>47</v>
      </c>
      <c r="E32" s="55" t="s">
        <v>4740</v>
      </c>
      <c r="F32" s="55" t="s">
        <v>4774</v>
      </c>
      <c r="G32" s="55" t="s">
        <v>4775</v>
      </c>
      <c r="H32" s="55" t="s">
        <v>22</v>
      </c>
      <c r="I32" s="55" t="s">
        <v>4753</v>
      </c>
    </row>
    <row r="33" customFormat="false" ht="15" hidden="false" customHeight="false" outlineLevel="0" collapsed="false">
      <c r="A33" s="55" t="s">
        <v>4776</v>
      </c>
      <c r="B33" s="55" t="s">
        <v>364</v>
      </c>
      <c r="C33" s="55" t="s">
        <v>363</v>
      </c>
      <c r="D33" s="55" t="s">
        <v>45</v>
      </c>
      <c r="E33" s="55" t="s">
        <v>4740</v>
      </c>
      <c r="F33" s="55" t="s">
        <v>4745</v>
      </c>
      <c r="G33" s="55" t="s">
        <v>4746</v>
      </c>
      <c r="H33" s="55" t="s">
        <v>22</v>
      </c>
      <c r="I33" s="55" t="s">
        <v>4747</v>
      </c>
    </row>
    <row r="34" customFormat="false" ht="15" hidden="false" customHeight="false" outlineLevel="0" collapsed="false">
      <c r="A34" s="55" t="s">
        <v>4777</v>
      </c>
      <c r="B34" s="55" t="s">
        <v>364</v>
      </c>
      <c r="C34" s="55" t="s">
        <v>363</v>
      </c>
      <c r="D34" s="55" t="s">
        <v>47</v>
      </c>
      <c r="E34" s="55" t="s">
        <v>4740</v>
      </c>
      <c r="F34" s="55" t="s">
        <v>4745</v>
      </c>
      <c r="G34" s="55" t="s">
        <v>4746</v>
      </c>
      <c r="H34" s="55" t="s">
        <v>22</v>
      </c>
      <c r="I34" s="55" t="s">
        <v>4753</v>
      </c>
    </row>
    <row r="35" customFormat="false" ht="15" hidden="false" customHeight="false" outlineLevel="0" collapsed="false">
      <c r="A35" s="55" t="s">
        <v>4778</v>
      </c>
      <c r="B35" s="55" t="s">
        <v>500</v>
      </c>
      <c r="C35" s="55" t="s">
        <v>499</v>
      </c>
      <c r="D35" s="55" t="s">
        <v>47</v>
      </c>
      <c r="E35" s="55" t="s">
        <v>4740</v>
      </c>
      <c r="F35" s="55" t="s">
        <v>4366</v>
      </c>
      <c r="G35" s="55" t="s">
        <v>4779</v>
      </c>
      <c r="H35" s="55" t="s">
        <v>22</v>
      </c>
      <c r="I35" s="55" t="s">
        <v>4780</v>
      </c>
    </row>
    <row r="36" customFormat="false" ht="15" hidden="false" customHeight="false" outlineLevel="0" collapsed="false">
      <c r="A36" s="55" t="s">
        <v>4781</v>
      </c>
      <c r="B36" s="55" t="s">
        <v>940</v>
      </c>
      <c r="C36" s="55" t="s">
        <v>939</v>
      </c>
      <c r="D36" s="55" t="s">
        <v>46</v>
      </c>
      <c r="E36" s="55" t="s">
        <v>4740</v>
      </c>
      <c r="F36" s="55" t="s">
        <v>4774</v>
      </c>
      <c r="G36" s="55" t="s">
        <v>4782</v>
      </c>
      <c r="H36" s="55" t="s">
        <v>19</v>
      </c>
      <c r="I36" s="55" t="s">
        <v>4783</v>
      </c>
    </row>
    <row r="37" customFormat="false" ht="15" hidden="false" customHeight="false" outlineLevel="0" collapsed="false">
      <c r="A37" s="55" t="s">
        <v>4784</v>
      </c>
      <c r="B37" s="55" t="s">
        <v>220</v>
      </c>
      <c r="C37" s="55" t="s">
        <v>219</v>
      </c>
      <c r="D37" s="55" t="s">
        <v>47</v>
      </c>
      <c r="E37" s="55" t="s">
        <v>4740</v>
      </c>
      <c r="F37" s="55" t="s">
        <v>4745</v>
      </c>
      <c r="G37" s="55" t="s">
        <v>4746</v>
      </c>
      <c r="H37" s="55" t="s">
        <v>22</v>
      </c>
      <c r="I37" s="55" t="s">
        <v>4753</v>
      </c>
    </row>
    <row r="38" customFormat="false" ht="15" hidden="false" customHeight="false" outlineLevel="0" collapsed="false">
      <c r="A38" s="55" t="s">
        <v>4785</v>
      </c>
      <c r="B38" s="55" t="s">
        <v>1090</v>
      </c>
      <c r="C38" s="55" t="s">
        <v>1089</v>
      </c>
      <c r="D38" s="55" t="s">
        <v>45</v>
      </c>
      <c r="E38" s="55" t="s">
        <v>4740</v>
      </c>
      <c r="F38" s="55" t="s">
        <v>4774</v>
      </c>
      <c r="G38" s="55" t="s">
        <v>4782</v>
      </c>
      <c r="H38" s="55" t="s">
        <v>19</v>
      </c>
      <c r="I38" s="55" t="s">
        <v>4783</v>
      </c>
    </row>
    <row r="39" customFormat="false" ht="15" hidden="false" customHeight="false" outlineLevel="0" collapsed="false">
      <c r="A39" s="55" t="s">
        <v>4786</v>
      </c>
      <c r="B39" s="55" t="s">
        <v>1273</v>
      </c>
      <c r="C39" s="55" t="s">
        <v>1272</v>
      </c>
      <c r="D39" s="55" t="s">
        <v>45</v>
      </c>
      <c r="E39" s="55" t="s">
        <v>4740</v>
      </c>
      <c r="F39" s="55" t="s">
        <v>4745</v>
      </c>
      <c r="G39" s="55" t="s">
        <v>4746</v>
      </c>
      <c r="H39" s="55" t="s">
        <v>22</v>
      </c>
      <c r="I39" s="55" t="s">
        <v>4753</v>
      </c>
    </row>
    <row r="40" customFormat="false" ht="15" hidden="false" customHeight="false" outlineLevel="0" collapsed="false">
      <c r="A40" s="55" t="s">
        <v>4787</v>
      </c>
      <c r="B40" s="55" t="s">
        <v>90</v>
      </c>
      <c r="C40" s="55" t="s">
        <v>89</v>
      </c>
      <c r="D40" s="55" t="s">
        <v>47</v>
      </c>
      <c r="E40" s="55" t="s">
        <v>4740</v>
      </c>
      <c r="F40" s="55" t="s">
        <v>4745</v>
      </c>
      <c r="G40" s="55" t="s">
        <v>4746</v>
      </c>
      <c r="H40" s="55" t="s">
        <v>22</v>
      </c>
      <c r="I40" s="55" t="s">
        <v>4753</v>
      </c>
    </row>
    <row r="41" customFormat="false" ht="15" hidden="false" customHeight="false" outlineLevel="0" collapsed="false">
      <c r="A41" s="55" t="s">
        <v>4788</v>
      </c>
      <c r="B41" s="55" t="s">
        <v>314</v>
      </c>
      <c r="C41" s="55" t="s">
        <v>313</v>
      </c>
      <c r="D41" s="55" t="s">
        <v>47</v>
      </c>
      <c r="E41" s="55" t="s">
        <v>4740</v>
      </c>
      <c r="F41" s="55" t="s">
        <v>4745</v>
      </c>
      <c r="G41" s="55" t="s">
        <v>4746</v>
      </c>
      <c r="H41" s="55" t="s">
        <v>22</v>
      </c>
      <c r="I41" s="55" t="s">
        <v>4753</v>
      </c>
    </row>
    <row r="42" customFormat="false" ht="15" hidden="false" customHeight="false" outlineLevel="0" collapsed="false">
      <c r="A42" s="55" t="s">
        <v>4789</v>
      </c>
      <c r="B42" s="55" t="s">
        <v>2903</v>
      </c>
      <c r="C42" s="55" t="s">
        <v>3387</v>
      </c>
      <c r="D42" s="55" t="s">
        <v>45</v>
      </c>
      <c r="E42" s="55" t="s">
        <v>4740</v>
      </c>
      <c r="F42" s="55" t="s">
        <v>4774</v>
      </c>
      <c r="G42" s="55" t="s">
        <v>4782</v>
      </c>
      <c r="H42" s="55" t="s">
        <v>19</v>
      </c>
      <c r="I42" s="55" t="s">
        <v>4783</v>
      </c>
    </row>
    <row r="43" customFormat="false" ht="15" hidden="false" customHeight="false" outlineLevel="0" collapsed="false">
      <c r="A43" s="55" t="s">
        <v>4790</v>
      </c>
      <c r="B43" s="55" t="s">
        <v>728</v>
      </c>
      <c r="C43" s="55" t="s">
        <v>727</v>
      </c>
      <c r="D43" s="55" t="s">
        <v>47</v>
      </c>
      <c r="E43" s="55" t="s">
        <v>4740</v>
      </c>
      <c r="F43" s="55" t="s">
        <v>4745</v>
      </c>
      <c r="G43" s="55" t="s">
        <v>4746</v>
      </c>
      <c r="H43" s="55" t="s">
        <v>22</v>
      </c>
      <c r="I43" s="55" t="s">
        <v>4753</v>
      </c>
    </row>
    <row r="44" customFormat="false" ht="15" hidden="false" customHeight="false" outlineLevel="0" collapsed="false">
      <c r="A44" s="55" t="s">
        <v>4791</v>
      </c>
      <c r="B44" s="55" t="s">
        <v>564</v>
      </c>
      <c r="C44" s="55" t="s">
        <v>563</v>
      </c>
      <c r="D44" s="55" t="s">
        <v>45</v>
      </c>
      <c r="E44" s="55" t="s">
        <v>4740</v>
      </c>
      <c r="F44" s="55" t="s">
        <v>4770</v>
      </c>
      <c r="G44" s="55" t="s">
        <v>4771</v>
      </c>
      <c r="H44" s="55" t="s">
        <v>22</v>
      </c>
      <c r="I44" s="55" t="s">
        <v>4772</v>
      </c>
    </row>
    <row r="45" customFormat="false" ht="15" hidden="false" customHeight="false" outlineLevel="0" collapsed="false">
      <c r="A45" s="55" t="s">
        <v>4792</v>
      </c>
      <c r="B45" s="55" t="s">
        <v>564</v>
      </c>
      <c r="C45" s="55" t="s">
        <v>563</v>
      </c>
      <c r="D45" s="55" t="s">
        <v>46</v>
      </c>
      <c r="E45" s="55" t="s">
        <v>4740</v>
      </c>
      <c r="F45" s="55" t="s">
        <v>4749</v>
      </c>
      <c r="G45" s="55" t="s">
        <v>4750</v>
      </c>
      <c r="H45" s="55" t="s">
        <v>22</v>
      </c>
      <c r="I45" s="55" t="s">
        <v>4751</v>
      </c>
    </row>
    <row r="46" customFormat="false" ht="15" hidden="false" customHeight="false" outlineLevel="0" collapsed="false">
      <c r="A46" s="55" t="s">
        <v>4793</v>
      </c>
      <c r="B46" s="55" t="s">
        <v>564</v>
      </c>
      <c r="C46" s="55" t="s">
        <v>563</v>
      </c>
      <c r="D46" s="55" t="s">
        <v>47</v>
      </c>
      <c r="E46" s="55" t="s">
        <v>4740</v>
      </c>
      <c r="F46" s="55" t="s">
        <v>4745</v>
      </c>
      <c r="G46" s="55" t="s">
        <v>4746</v>
      </c>
      <c r="H46" s="55" t="s">
        <v>22</v>
      </c>
      <c r="I46" s="55" t="s">
        <v>4753</v>
      </c>
    </row>
    <row r="47" customFormat="false" ht="15" hidden="false" customHeight="false" outlineLevel="0" collapsed="false">
      <c r="A47" s="55" t="s">
        <v>4794</v>
      </c>
      <c r="B47" s="55" t="s">
        <v>2029</v>
      </c>
      <c r="C47" s="55" t="s">
        <v>2028</v>
      </c>
      <c r="D47" s="55" t="s">
        <v>46</v>
      </c>
      <c r="E47" s="55" t="s">
        <v>4740</v>
      </c>
      <c r="F47" s="55" t="s">
        <v>4745</v>
      </c>
      <c r="G47" s="55" t="s">
        <v>4746</v>
      </c>
      <c r="H47" s="55" t="s">
        <v>22</v>
      </c>
      <c r="I47" s="55" t="s">
        <v>4753</v>
      </c>
    </row>
    <row r="48" customFormat="false" ht="15" hidden="false" customHeight="false" outlineLevel="0" collapsed="false">
      <c r="A48" s="55" t="s">
        <v>4795</v>
      </c>
      <c r="B48" s="55" t="s">
        <v>2029</v>
      </c>
      <c r="C48" s="55" t="s">
        <v>2028</v>
      </c>
      <c r="D48" s="55" t="s">
        <v>47</v>
      </c>
      <c r="E48" s="55" t="s">
        <v>4740</v>
      </c>
      <c r="F48" s="55" t="s">
        <v>4745</v>
      </c>
      <c r="G48" s="55" t="s">
        <v>4746</v>
      </c>
      <c r="H48" s="55" t="s">
        <v>22</v>
      </c>
      <c r="I48" s="55" t="s">
        <v>4753</v>
      </c>
    </row>
    <row r="49" customFormat="false" ht="15" hidden="false" customHeight="false" outlineLevel="0" collapsed="false">
      <c r="A49" s="55" t="s">
        <v>4796</v>
      </c>
      <c r="B49" s="55" t="s">
        <v>776</v>
      </c>
      <c r="C49" s="55" t="s">
        <v>775</v>
      </c>
      <c r="D49" s="55" t="s">
        <v>47</v>
      </c>
      <c r="E49" s="55" t="s">
        <v>4740</v>
      </c>
      <c r="F49" s="55" t="s">
        <v>4745</v>
      </c>
      <c r="G49" s="55" t="s">
        <v>4746</v>
      </c>
      <c r="H49" s="55" t="s">
        <v>22</v>
      </c>
      <c r="I49" s="55" t="s">
        <v>4747</v>
      </c>
    </row>
    <row r="50" customFormat="false" ht="15" hidden="false" customHeight="false" outlineLevel="0" collapsed="false">
      <c r="A50" s="55" t="s">
        <v>4797</v>
      </c>
      <c r="B50" s="55" t="s">
        <v>574</v>
      </c>
      <c r="C50" s="55" t="s">
        <v>573</v>
      </c>
      <c r="D50" s="55" t="s">
        <v>47</v>
      </c>
      <c r="E50" s="55" t="s">
        <v>4740</v>
      </c>
      <c r="F50" s="55" t="s">
        <v>4741</v>
      </c>
      <c r="G50" s="55" t="s">
        <v>4742</v>
      </c>
      <c r="H50" s="55" t="s">
        <v>22</v>
      </c>
      <c r="I50" s="55" t="s">
        <v>4743</v>
      </c>
    </row>
    <row r="51" customFormat="false" ht="15" hidden="false" customHeight="false" outlineLevel="0" collapsed="false">
      <c r="A51" s="55" t="s">
        <v>4798</v>
      </c>
      <c r="B51" s="55" t="s">
        <v>248</v>
      </c>
      <c r="C51" s="55" t="s">
        <v>247</v>
      </c>
      <c r="D51" s="55" t="s">
        <v>47</v>
      </c>
      <c r="E51" s="55" t="s">
        <v>4740</v>
      </c>
      <c r="F51" s="55" t="s">
        <v>4745</v>
      </c>
      <c r="G51" s="55" t="s">
        <v>4746</v>
      </c>
      <c r="H51" s="55" t="s">
        <v>22</v>
      </c>
      <c r="I51" s="55" t="s">
        <v>4753</v>
      </c>
    </row>
    <row r="52" customFormat="false" ht="15" hidden="false" customHeight="false" outlineLevel="0" collapsed="false">
      <c r="A52" s="55" t="s">
        <v>4799</v>
      </c>
      <c r="B52" s="55" t="s">
        <v>726</v>
      </c>
      <c r="C52" s="55" t="s">
        <v>725</v>
      </c>
      <c r="D52" s="55" t="s">
        <v>46</v>
      </c>
      <c r="E52" s="55" t="s">
        <v>4740</v>
      </c>
      <c r="F52" s="55" t="s">
        <v>4366</v>
      </c>
      <c r="G52" s="55" t="s">
        <v>4800</v>
      </c>
      <c r="H52" s="55" t="s">
        <v>19</v>
      </c>
      <c r="I52" s="55" t="s">
        <v>4801</v>
      </c>
    </row>
    <row r="53" customFormat="false" ht="15" hidden="false" customHeight="false" outlineLevel="0" collapsed="false">
      <c r="A53" s="55" t="s">
        <v>4802</v>
      </c>
      <c r="B53" s="55" t="s">
        <v>726</v>
      </c>
      <c r="C53" s="55" t="s">
        <v>725</v>
      </c>
      <c r="D53" s="55" t="s">
        <v>47</v>
      </c>
      <c r="E53" s="55" t="s">
        <v>4740</v>
      </c>
      <c r="F53" s="55" t="s">
        <v>4745</v>
      </c>
      <c r="G53" s="55" t="s">
        <v>4746</v>
      </c>
      <c r="H53" s="55" t="s">
        <v>22</v>
      </c>
      <c r="I53" s="55" t="s">
        <v>4753</v>
      </c>
    </row>
    <row r="54" customFormat="false" ht="15" hidden="false" customHeight="false" outlineLevel="0" collapsed="false">
      <c r="A54" s="55" t="s">
        <v>4803</v>
      </c>
      <c r="B54" s="55" t="s">
        <v>153</v>
      </c>
      <c r="C54" s="55" t="s">
        <v>152</v>
      </c>
      <c r="D54" s="55" t="s">
        <v>47</v>
      </c>
      <c r="E54" s="55" t="s">
        <v>4740</v>
      </c>
      <c r="F54" s="55" t="s">
        <v>4804</v>
      </c>
      <c r="G54" s="55" t="s">
        <v>4805</v>
      </c>
      <c r="H54" s="55" t="s">
        <v>19</v>
      </c>
      <c r="I54" s="55" t="s">
        <v>4806</v>
      </c>
    </row>
    <row r="55" customFormat="false" ht="15" hidden="false" customHeight="false" outlineLevel="0" collapsed="false">
      <c r="A55" s="55" t="s">
        <v>4807</v>
      </c>
      <c r="B55" s="55" t="s">
        <v>2916</v>
      </c>
      <c r="C55" s="55" t="s">
        <v>3408</v>
      </c>
      <c r="D55" s="55" t="s">
        <v>46</v>
      </c>
      <c r="E55" s="55" t="s">
        <v>4740</v>
      </c>
      <c r="F55" s="55" t="s">
        <v>4774</v>
      </c>
      <c r="G55" s="55" t="s">
        <v>4782</v>
      </c>
      <c r="H55" s="55" t="s">
        <v>19</v>
      </c>
      <c r="I55" s="55" t="s">
        <v>4808</v>
      </c>
    </row>
    <row r="56" customFormat="false" ht="15" hidden="false" customHeight="false" outlineLevel="0" collapsed="false">
      <c r="A56" s="55" t="s">
        <v>4809</v>
      </c>
      <c r="B56" s="55" t="s">
        <v>2916</v>
      </c>
      <c r="C56" s="55" t="s">
        <v>3408</v>
      </c>
      <c r="D56" s="55" t="s">
        <v>47</v>
      </c>
      <c r="E56" s="55" t="s">
        <v>4740</v>
      </c>
      <c r="F56" s="55" t="s">
        <v>4774</v>
      </c>
      <c r="G56" s="55" t="s">
        <v>4775</v>
      </c>
      <c r="H56" s="55" t="s">
        <v>22</v>
      </c>
      <c r="I56" s="55" t="s">
        <v>4753</v>
      </c>
    </row>
    <row r="57" customFormat="false" ht="15" hidden="false" customHeight="false" outlineLevel="0" collapsed="false">
      <c r="A57" s="55" t="s">
        <v>4810</v>
      </c>
      <c r="B57" s="55" t="s">
        <v>1789</v>
      </c>
      <c r="C57" s="55" t="s">
        <v>1788</v>
      </c>
      <c r="D57" s="55" t="s">
        <v>47</v>
      </c>
      <c r="E57" s="55" t="s">
        <v>4740</v>
      </c>
      <c r="F57" s="55" t="s">
        <v>4774</v>
      </c>
      <c r="G57" s="55" t="s">
        <v>4775</v>
      </c>
      <c r="H57" s="55" t="s">
        <v>22</v>
      </c>
      <c r="I57" s="55" t="s">
        <v>4753</v>
      </c>
    </row>
    <row r="58" customFormat="false" ht="15" hidden="false" customHeight="false" outlineLevel="0" collapsed="false">
      <c r="A58" s="55" t="s">
        <v>4811</v>
      </c>
      <c r="B58" s="55" t="s">
        <v>76</v>
      </c>
      <c r="C58" s="55" t="s">
        <v>75</v>
      </c>
      <c r="D58" s="55" t="s">
        <v>47</v>
      </c>
      <c r="E58" s="55" t="s">
        <v>4740</v>
      </c>
      <c r="F58" s="55" t="s">
        <v>4745</v>
      </c>
      <c r="G58" s="55" t="s">
        <v>4746</v>
      </c>
      <c r="H58" s="55" t="s">
        <v>22</v>
      </c>
      <c r="I58" s="55" t="s">
        <v>4753</v>
      </c>
    </row>
    <row r="59" customFormat="false" ht="15" hidden="false" customHeight="false" outlineLevel="0" collapsed="false">
      <c r="A59" s="55" t="s">
        <v>4812</v>
      </c>
      <c r="B59" s="55" t="s">
        <v>326</v>
      </c>
      <c r="C59" s="55" t="s">
        <v>325</v>
      </c>
      <c r="D59" s="55" t="s">
        <v>47</v>
      </c>
      <c r="E59" s="55" t="s">
        <v>4740</v>
      </c>
      <c r="F59" s="55" t="s">
        <v>4745</v>
      </c>
      <c r="G59" s="55" t="s">
        <v>4746</v>
      </c>
      <c r="H59" s="55" t="s">
        <v>22</v>
      </c>
      <c r="I59" s="55" t="s">
        <v>4753</v>
      </c>
    </row>
    <row r="60" customFormat="false" ht="15" hidden="false" customHeight="false" outlineLevel="0" collapsed="false">
      <c r="A60" s="55" t="s">
        <v>4813</v>
      </c>
      <c r="B60" s="55" t="s">
        <v>438</v>
      </c>
      <c r="C60" s="55" t="s">
        <v>437</v>
      </c>
      <c r="D60" s="55" t="s">
        <v>46</v>
      </c>
      <c r="E60" s="55" t="s">
        <v>4740</v>
      </c>
      <c r="F60" s="55" t="s">
        <v>4741</v>
      </c>
      <c r="G60" s="55" t="s">
        <v>4814</v>
      </c>
      <c r="H60" s="55" t="s">
        <v>19</v>
      </c>
      <c r="I60" s="55" t="s">
        <v>4815</v>
      </c>
    </row>
    <row r="61" customFormat="false" ht="15" hidden="false" customHeight="false" outlineLevel="0" collapsed="false">
      <c r="A61" s="55" t="s">
        <v>4816</v>
      </c>
      <c r="B61" s="55" t="s">
        <v>708</v>
      </c>
      <c r="C61" s="55" t="s">
        <v>707</v>
      </c>
      <c r="D61" s="55" t="s">
        <v>46</v>
      </c>
      <c r="E61" s="55" t="s">
        <v>4740</v>
      </c>
      <c r="F61" s="55" t="s">
        <v>4749</v>
      </c>
      <c r="G61" s="55" t="s">
        <v>4750</v>
      </c>
      <c r="H61" s="55" t="s">
        <v>22</v>
      </c>
      <c r="I61" s="55" t="s">
        <v>4751</v>
      </c>
    </row>
    <row r="62" customFormat="false" ht="15" hidden="false" customHeight="false" outlineLevel="0" collapsed="false">
      <c r="A62" s="55" t="s">
        <v>4817</v>
      </c>
      <c r="B62" s="55" t="s">
        <v>278</v>
      </c>
      <c r="C62" s="55" t="s">
        <v>277</v>
      </c>
      <c r="D62" s="55" t="s">
        <v>47</v>
      </c>
      <c r="E62" s="55" t="s">
        <v>4740</v>
      </c>
      <c r="F62" s="55" t="s">
        <v>4741</v>
      </c>
      <c r="G62" s="55" t="s">
        <v>4814</v>
      </c>
      <c r="H62" s="55" t="s">
        <v>19</v>
      </c>
      <c r="I62" s="55" t="s">
        <v>4815</v>
      </c>
    </row>
    <row r="63" customFormat="false" ht="15" hidden="false" customHeight="false" outlineLevel="0" collapsed="false">
      <c r="A63" s="55" t="s">
        <v>4818</v>
      </c>
      <c r="B63" s="55" t="s">
        <v>366</v>
      </c>
      <c r="C63" s="55" t="s">
        <v>365</v>
      </c>
      <c r="D63" s="55" t="s">
        <v>45</v>
      </c>
      <c r="E63" s="55" t="s">
        <v>4740</v>
      </c>
      <c r="F63" s="55" t="s">
        <v>4577</v>
      </c>
      <c r="G63" s="55" t="s">
        <v>4819</v>
      </c>
      <c r="H63" s="55" t="s">
        <v>22</v>
      </c>
      <c r="I63" s="55" t="s">
        <v>4820</v>
      </c>
    </row>
    <row r="64" customFormat="false" ht="15" hidden="false" customHeight="false" outlineLevel="0" collapsed="false">
      <c r="A64" s="55" t="s">
        <v>4821</v>
      </c>
      <c r="B64" s="55" t="s">
        <v>366</v>
      </c>
      <c r="C64" s="55" t="s">
        <v>365</v>
      </c>
      <c r="D64" s="55" t="s">
        <v>47</v>
      </c>
      <c r="E64" s="55" t="s">
        <v>4740</v>
      </c>
      <c r="F64" s="55" t="s">
        <v>4745</v>
      </c>
      <c r="G64" s="55" t="s">
        <v>4746</v>
      </c>
      <c r="H64" s="55" t="s">
        <v>22</v>
      </c>
      <c r="I64" s="55" t="s">
        <v>4753</v>
      </c>
    </row>
    <row r="65" customFormat="false" ht="15" hidden="false" customHeight="false" outlineLevel="0" collapsed="false">
      <c r="A65" s="55" t="s">
        <v>4822</v>
      </c>
      <c r="B65" s="55" t="s">
        <v>306</v>
      </c>
      <c r="C65" s="55" t="s">
        <v>305</v>
      </c>
      <c r="D65" s="55" t="s">
        <v>46</v>
      </c>
      <c r="E65" s="55" t="s">
        <v>4740</v>
      </c>
      <c r="F65" s="55" t="s">
        <v>4823</v>
      </c>
      <c r="G65" s="55" t="s">
        <v>4824</v>
      </c>
      <c r="H65" s="55" t="s">
        <v>22</v>
      </c>
      <c r="I65" s="55" t="s">
        <v>4825</v>
      </c>
    </row>
    <row r="66" customFormat="false" ht="15" hidden="false" customHeight="false" outlineLevel="0" collapsed="false">
      <c r="A66" s="55" t="s">
        <v>4826</v>
      </c>
      <c r="B66" s="55" t="s">
        <v>306</v>
      </c>
      <c r="C66" s="55" t="s">
        <v>305</v>
      </c>
      <c r="D66" s="55" t="s">
        <v>47</v>
      </c>
      <c r="E66" s="55" t="s">
        <v>4740</v>
      </c>
      <c r="F66" s="55" t="s">
        <v>4745</v>
      </c>
      <c r="G66" s="55" t="s">
        <v>4746</v>
      </c>
      <c r="H66" s="55" t="s">
        <v>22</v>
      </c>
      <c r="I66" s="55" t="s">
        <v>4753</v>
      </c>
    </row>
    <row r="67" customFormat="false" ht="15" hidden="false" customHeight="false" outlineLevel="0" collapsed="false">
      <c r="A67" s="55" t="s">
        <v>4827</v>
      </c>
      <c r="B67" s="55" t="s">
        <v>1444</v>
      </c>
      <c r="C67" s="55" t="s">
        <v>1443</v>
      </c>
      <c r="D67" s="55" t="s">
        <v>45</v>
      </c>
      <c r="E67" s="55" t="s">
        <v>4740</v>
      </c>
      <c r="F67" s="55" t="s">
        <v>4745</v>
      </c>
      <c r="G67" s="55" t="s">
        <v>4746</v>
      </c>
      <c r="H67" s="55" t="s">
        <v>22</v>
      </c>
      <c r="I67" s="55" t="s">
        <v>4753</v>
      </c>
    </row>
    <row r="68" customFormat="false" ht="15" hidden="false" customHeight="false" outlineLevel="0" collapsed="false">
      <c r="A68" s="55" t="s">
        <v>4828</v>
      </c>
      <c r="B68" s="55" t="s">
        <v>1444</v>
      </c>
      <c r="C68" s="55" t="s">
        <v>1443</v>
      </c>
      <c r="D68" s="55" t="s">
        <v>46</v>
      </c>
      <c r="E68" s="55" t="s">
        <v>4740</v>
      </c>
      <c r="F68" s="55" t="s">
        <v>4774</v>
      </c>
      <c r="G68" s="55" t="s">
        <v>4782</v>
      </c>
      <c r="H68" s="55" t="s">
        <v>19</v>
      </c>
      <c r="I68" s="55" t="s">
        <v>4783</v>
      </c>
    </row>
    <row r="69" customFormat="false" ht="15" hidden="false" customHeight="false" outlineLevel="0" collapsed="false">
      <c r="A69" s="55" t="s">
        <v>4829</v>
      </c>
      <c r="B69" s="55" t="s">
        <v>624</v>
      </c>
      <c r="C69" s="55" t="s">
        <v>623</v>
      </c>
      <c r="D69" s="55" t="s">
        <v>45</v>
      </c>
      <c r="E69" s="55" t="s">
        <v>4740</v>
      </c>
      <c r="F69" s="55" t="s">
        <v>4749</v>
      </c>
      <c r="G69" s="55" t="s">
        <v>4750</v>
      </c>
      <c r="H69" s="55" t="s">
        <v>22</v>
      </c>
      <c r="I69" s="55" t="s">
        <v>4751</v>
      </c>
    </row>
    <row r="70" customFormat="false" ht="15" hidden="false" customHeight="false" outlineLevel="0" collapsed="false">
      <c r="A70" s="55" t="s">
        <v>4830</v>
      </c>
      <c r="B70" s="55" t="s">
        <v>624</v>
      </c>
      <c r="C70" s="55" t="s">
        <v>623</v>
      </c>
      <c r="D70" s="55" t="s">
        <v>47</v>
      </c>
      <c r="E70" s="55" t="s">
        <v>4740</v>
      </c>
      <c r="F70" s="55" t="s">
        <v>4741</v>
      </c>
      <c r="G70" s="55" t="s">
        <v>4742</v>
      </c>
      <c r="H70" s="55" t="s">
        <v>22</v>
      </c>
      <c r="I70" s="55" t="s">
        <v>4743</v>
      </c>
    </row>
    <row r="71" customFormat="false" ht="15" hidden="false" customHeight="false" outlineLevel="0" collapsed="false">
      <c r="A71" s="55" t="s">
        <v>4831</v>
      </c>
      <c r="B71" s="55" t="s">
        <v>762</v>
      </c>
      <c r="C71" s="55" t="s">
        <v>761</v>
      </c>
      <c r="D71" s="55" t="s">
        <v>46</v>
      </c>
      <c r="E71" s="55" t="s">
        <v>4740</v>
      </c>
      <c r="F71" s="55" t="s">
        <v>4745</v>
      </c>
      <c r="G71" s="55" t="s">
        <v>4746</v>
      </c>
      <c r="H71" s="55" t="s">
        <v>22</v>
      </c>
      <c r="I71" s="55" t="s">
        <v>4753</v>
      </c>
    </row>
    <row r="72" customFormat="false" ht="15" hidden="false" customHeight="false" outlineLevel="0" collapsed="false">
      <c r="A72" s="55" t="s">
        <v>4832</v>
      </c>
      <c r="B72" s="55" t="s">
        <v>334</v>
      </c>
      <c r="C72" s="55" t="s">
        <v>333</v>
      </c>
      <c r="D72" s="55" t="s">
        <v>45</v>
      </c>
      <c r="E72" s="55" t="s">
        <v>4740</v>
      </c>
      <c r="F72" s="55" t="s">
        <v>4749</v>
      </c>
      <c r="G72" s="55" t="s">
        <v>4750</v>
      </c>
      <c r="H72" s="55" t="s">
        <v>22</v>
      </c>
      <c r="I72" s="55" t="s">
        <v>4751</v>
      </c>
    </row>
    <row r="73" customFormat="false" ht="15" hidden="false" customHeight="false" outlineLevel="0" collapsed="false">
      <c r="A73" s="55" t="s">
        <v>4833</v>
      </c>
      <c r="B73" s="55" t="s">
        <v>2007</v>
      </c>
      <c r="C73" s="55" t="s">
        <v>2006</v>
      </c>
      <c r="D73" s="55" t="s">
        <v>47</v>
      </c>
      <c r="E73" s="55" t="s">
        <v>4740</v>
      </c>
      <c r="F73" s="55" t="s">
        <v>4834</v>
      </c>
      <c r="G73" s="55" t="s">
        <v>4835</v>
      </c>
      <c r="H73" s="55" t="s">
        <v>22</v>
      </c>
      <c r="I73" s="55" t="s">
        <v>4836</v>
      </c>
    </row>
    <row r="74" customFormat="false" ht="15" hidden="false" customHeight="false" outlineLevel="0" collapsed="false">
      <c r="A74" s="55" t="s">
        <v>4837</v>
      </c>
      <c r="B74" s="55" t="s">
        <v>374</v>
      </c>
      <c r="C74" s="55" t="s">
        <v>373</v>
      </c>
      <c r="D74" s="55" t="s">
        <v>47</v>
      </c>
      <c r="E74" s="55" t="s">
        <v>4740</v>
      </c>
      <c r="F74" s="55" t="s">
        <v>4766</v>
      </c>
      <c r="G74" s="55" t="s">
        <v>4767</v>
      </c>
      <c r="H74" s="55" t="s">
        <v>22</v>
      </c>
      <c r="I74" s="55" t="s">
        <v>4838</v>
      </c>
    </row>
    <row r="75" customFormat="false" ht="15" hidden="false" customHeight="false" outlineLevel="0" collapsed="false">
      <c r="A75" s="55" t="s">
        <v>4839</v>
      </c>
      <c r="B75" s="55" t="s">
        <v>1472</v>
      </c>
      <c r="C75" s="55" t="s">
        <v>1471</v>
      </c>
      <c r="D75" s="55" t="s">
        <v>46</v>
      </c>
      <c r="E75" s="55" t="s">
        <v>4740</v>
      </c>
      <c r="F75" s="55" t="s">
        <v>4366</v>
      </c>
      <c r="G75" s="55" t="s">
        <v>4800</v>
      </c>
      <c r="H75" s="55" t="s">
        <v>19</v>
      </c>
      <c r="I75" s="55" t="s">
        <v>4808</v>
      </c>
    </row>
    <row r="76" customFormat="false" ht="15" hidden="false" customHeight="false" outlineLevel="0" collapsed="false">
      <c r="A76" s="55" t="s">
        <v>4840</v>
      </c>
      <c r="B76" s="55" t="s">
        <v>1472</v>
      </c>
      <c r="C76" s="55" t="s">
        <v>1471</v>
      </c>
      <c r="D76" s="55" t="s">
        <v>47</v>
      </c>
      <c r="E76" s="55" t="s">
        <v>4740</v>
      </c>
      <c r="F76" s="55" t="s">
        <v>4745</v>
      </c>
      <c r="G76" s="55" t="s">
        <v>4746</v>
      </c>
      <c r="H76" s="55" t="s">
        <v>22</v>
      </c>
      <c r="I76" s="55" t="s">
        <v>4753</v>
      </c>
    </row>
    <row r="77" customFormat="false" ht="15" hidden="false" customHeight="false" outlineLevel="0" collapsed="false">
      <c r="A77" s="55" t="s">
        <v>4841</v>
      </c>
      <c r="B77" s="55" t="s">
        <v>376</v>
      </c>
      <c r="C77" s="55" t="s">
        <v>375</v>
      </c>
      <c r="D77" s="55" t="s">
        <v>47</v>
      </c>
      <c r="E77" s="55" t="s">
        <v>4740</v>
      </c>
      <c r="F77" s="55" t="s">
        <v>4577</v>
      </c>
      <c r="G77" s="55" t="s">
        <v>4819</v>
      </c>
      <c r="H77" s="55" t="s">
        <v>22</v>
      </c>
      <c r="I77" s="55" t="s">
        <v>4820</v>
      </c>
    </row>
    <row r="78" customFormat="false" ht="15" hidden="false" customHeight="false" outlineLevel="0" collapsed="false">
      <c r="A78" s="55" t="s">
        <v>4842</v>
      </c>
      <c r="B78" s="55" t="s">
        <v>1380</v>
      </c>
      <c r="C78" s="55" t="s">
        <v>1379</v>
      </c>
      <c r="D78" s="55" t="s">
        <v>45</v>
      </c>
      <c r="E78" s="55" t="s">
        <v>4740</v>
      </c>
      <c r="F78" s="55" t="s">
        <v>4804</v>
      </c>
      <c r="G78" s="55" t="s">
        <v>4843</v>
      </c>
      <c r="H78" s="55" t="s">
        <v>22</v>
      </c>
      <c r="I78" s="55" t="s">
        <v>4844</v>
      </c>
    </row>
    <row r="79" customFormat="false" ht="15" hidden="false" customHeight="false" outlineLevel="0" collapsed="false">
      <c r="A79" s="55" t="s">
        <v>4845</v>
      </c>
      <c r="B79" s="55" t="s">
        <v>1380</v>
      </c>
      <c r="C79" s="55" t="s">
        <v>1379</v>
      </c>
      <c r="D79" s="55" t="s">
        <v>47</v>
      </c>
      <c r="E79" s="55" t="s">
        <v>4740</v>
      </c>
      <c r="F79" s="55" t="s">
        <v>4766</v>
      </c>
      <c r="G79" s="55" t="s">
        <v>4767</v>
      </c>
      <c r="H79" s="55" t="s">
        <v>22</v>
      </c>
      <c r="I79" s="55" t="s">
        <v>4838</v>
      </c>
    </row>
    <row r="80" customFormat="false" ht="15" hidden="false" customHeight="false" outlineLevel="0" collapsed="false">
      <c r="A80" s="55" t="s">
        <v>4846</v>
      </c>
      <c r="B80" s="55" t="s">
        <v>2689</v>
      </c>
      <c r="C80" s="55" t="s">
        <v>2688</v>
      </c>
      <c r="D80" s="55" t="s">
        <v>47</v>
      </c>
      <c r="E80" s="55" t="s">
        <v>4740</v>
      </c>
      <c r="F80" s="55" t="s">
        <v>4745</v>
      </c>
      <c r="G80" s="55" t="s">
        <v>4746</v>
      </c>
      <c r="H80" s="55" t="s">
        <v>22</v>
      </c>
      <c r="I80" s="55" t="s">
        <v>4753</v>
      </c>
    </row>
    <row r="81" customFormat="false" ht="15" hidden="false" customHeight="false" outlineLevel="0" collapsed="false">
      <c r="A81" s="55" t="s">
        <v>4847</v>
      </c>
      <c r="B81" s="55" t="s">
        <v>2932</v>
      </c>
      <c r="C81" s="55" t="s">
        <v>3444</v>
      </c>
      <c r="D81" s="55" t="s">
        <v>45</v>
      </c>
      <c r="E81" s="55" t="s">
        <v>4740</v>
      </c>
      <c r="F81" s="55" t="s">
        <v>4774</v>
      </c>
      <c r="G81" s="55" t="s">
        <v>4782</v>
      </c>
      <c r="H81" s="55" t="s">
        <v>19</v>
      </c>
      <c r="I81" s="55" t="s">
        <v>4783</v>
      </c>
    </row>
    <row r="82" customFormat="false" ht="15" hidden="false" customHeight="false" outlineLevel="0" collapsed="false">
      <c r="A82" s="55" t="s">
        <v>4848</v>
      </c>
      <c r="B82" s="55" t="s">
        <v>1677</v>
      </c>
      <c r="C82" s="55" t="s">
        <v>1676</v>
      </c>
      <c r="D82" s="55" t="s">
        <v>46</v>
      </c>
      <c r="E82" s="55" t="s">
        <v>4740</v>
      </c>
      <c r="F82" s="55" t="s">
        <v>4745</v>
      </c>
      <c r="G82" s="55" t="s">
        <v>4746</v>
      </c>
      <c r="H82" s="55" t="s">
        <v>22</v>
      </c>
      <c r="I82" s="55" t="s">
        <v>4753</v>
      </c>
    </row>
    <row r="83" customFormat="false" ht="15" hidden="false" customHeight="false" outlineLevel="0" collapsed="false">
      <c r="A83" s="55" t="s">
        <v>4849</v>
      </c>
      <c r="B83" s="55" t="s">
        <v>302</v>
      </c>
      <c r="C83" s="55" t="s">
        <v>301</v>
      </c>
      <c r="D83" s="55" t="s">
        <v>45</v>
      </c>
      <c r="E83" s="55" t="s">
        <v>4740</v>
      </c>
      <c r="F83" s="55" t="s">
        <v>4366</v>
      </c>
      <c r="G83" s="55" t="s">
        <v>4779</v>
      </c>
      <c r="H83" s="55" t="s">
        <v>22</v>
      </c>
      <c r="I83" s="55" t="s">
        <v>4780</v>
      </c>
    </row>
    <row r="84" customFormat="false" ht="15" hidden="false" customHeight="false" outlineLevel="0" collapsed="false">
      <c r="A84" s="55" t="s">
        <v>4850</v>
      </c>
      <c r="B84" s="55" t="s">
        <v>338</v>
      </c>
      <c r="C84" s="55" t="s">
        <v>337</v>
      </c>
      <c r="D84" s="55" t="s">
        <v>47</v>
      </c>
      <c r="E84" s="55" t="s">
        <v>4740</v>
      </c>
      <c r="F84" s="55" t="s">
        <v>4745</v>
      </c>
      <c r="G84" s="55" t="s">
        <v>4746</v>
      </c>
      <c r="H84" s="55" t="s">
        <v>22</v>
      </c>
      <c r="I84" s="55" t="s">
        <v>4753</v>
      </c>
    </row>
    <row r="85" customFormat="false" ht="15" hidden="false" customHeight="false" outlineLevel="0" collapsed="false">
      <c r="A85" s="55" t="s">
        <v>4851</v>
      </c>
      <c r="B85" s="55" t="s">
        <v>380</v>
      </c>
      <c r="C85" s="55" t="s">
        <v>379</v>
      </c>
      <c r="D85" s="55" t="s">
        <v>45</v>
      </c>
      <c r="E85" s="55" t="s">
        <v>4740</v>
      </c>
      <c r="F85" s="55" t="s">
        <v>4741</v>
      </c>
      <c r="G85" s="55" t="s">
        <v>4742</v>
      </c>
      <c r="H85" s="55" t="s">
        <v>22</v>
      </c>
      <c r="I85" s="55" t="s">
        <v>4743</v>
      </c>
    </row>
    <row r="86" customFormat="false" ht="15" hidden="false" customHeight="false" outlineLevel="0" collapsed="false">
      <c r="A86" s="55" t="s">
        <v>4852</v>
      </c>
      <c r="B86" s="55" t="s">
        <v>1810</v>
      </c>
      <c r="C86" s="55" t="s">
        <v>1809</v>
      </c>
      <c r="D86" s="55" t="s">
        <v>46</v>
      </c>
      <c r="E86" s="55" t="s">
        <v>4740</v>
      </c>
      <c r="F86" s="55" t="s">
        <v>4366</v>
      </c>
      <c r="G86" s="55" t="s">
        <v>4800</v>
      </c>
      <c r="H86" s="55" t="s">
        <v>19</v>
      </c>
      <c r="I86" s="55" t="s">
        <v>4801</v>
      </c>
    </row>
    <row r="87" customFormat="false" ht="15" hidden="false" customHeight="false" outlineLevel="0" collapsed="false">
      <c r="A87" s="55" t="s">
        <v>4853</v>
      </c>
      <c r="B87" s="55" t="s">
        <v>1810</v>
      </c>
      <c r="C87" s="55" t="s">
        <v>1809</v>
      </c>
      <c r="D87" s="55" t="s">
        <v>47</v>
      </c>
      <c r="E87" s="55" t="s">
        <v>4740</v>
      </c>
      <c r="F87" s="55" t="s">
        <v>4745</v>
      </c>
      <c r="G87" s="55" t="s">
        <v>4746</v>
      </c>
      <c r="H87" s="55" t="s">
        <v>22</v>
      </c>
      <c r="I87" s="55" t="s">
        <v>4753</v>
      </c>
    </row>
    <row r="88" customFormat="false" ht="15" hidden="false" customHeight="false" outlineLevel="0" collapsed="false">
      <c r="A88" s="55" t="s">
        <v>4854</v>
      </c>
      <c r="B88" s="55" t="s">
        <v>1462</v>
      </c>
      <c r="C88" s="55" t="s">
        <v>1461</v>
      </c>
      <c r="D88" s="55" t="s">
        <v>46</v>
      </c>
      <c r="E88" s="55" t="s">
        <v>4740</v>
      </c>
      <c r="F88" s="55" t="s">
        <v>4774</v>
      </c>
      <c r="G88" s="55" t="s">
        <v>4775</v>
      </c>
      <c r="H88" s="55" t="s">
        <v>22</v>
      </c>
      <c r="I88" s="55" t="s">
        <v>4753</v>
      </c>
    </row>
    <row r="89" customFormat="false" ht="15" hidden="false" customHeight="false" outlineLevel="0" collapsed="false">
      <c r="A89" s="55" t="s">
        <v>4855</v>
      </c>
      <c r="B89" s="55" t="s">
        <v>1462</v>
      </c>
      <c r="C89" s="55" t="s">
        <v>1461</v>
      </c>
      <c r="D89" s="55" t="s">
        <v>47</v>
      </c>
      <c r="E89" s="55" t="s">
        <v>4740</v>
      </c>
      <c r="F89" s="55" t="s">
        <v>4745</v>
      </c>
      <c r="G89" s="55" t="s">
        <v>4746</v>
      </c>
      <c r="H89" s="55" t="s">
        <v>22</v>
      </c>
      <c r="I89" s="55" t="s">
        <v>4753</v>
      </c>
    </row>
    <row r="90" customFormat="false" ht="15" hidden="false" customHeight="false" outlineLevel="0" collapsed="false">
      <c r="A90" s="55" t="s">
        <v>4856</v>
      </c>
      <c r="B90" s="55" t="s">
        <v>1954</v>
      </c>
      <c r="C90" s="55" t="s">
        <v>1953</v>
      </c>
      <c r="D90" s="55" t="s">
        <v>47</v>
      </c>
      <c r="E90" s="55" t="s">
        <v>4740</v>
      </c>
      <c r="F90" s="55" t="s">
        <v>4745</v>
      </c>
      <c r="G90" s="55" t="s">
        <v>4746</v>
      </c>
      <c r="H90" s="55" t="s">
        <v>22</v>
      </c>
      <c r="I90" s="55" t="s">
        <v>4753</v>
      </c>
    </row>
    <row r="91" customFormat="false" ht="15" hidden="false" customHeight="false" outlineLevel="0" collapsed="false">
      <c r="A91" s="55" t="s">
        <v>4857</v>
      </c>
      <c r="B91" s="55" t="s">
        <v>2084</v>
      </c>
      <c r="C91" s="55" t="s">
        <v>2083</v>
      </c>
      <c r="D91" s="55" t="s">
        <v>45</v>
      </c>
      <c r="E91" s="55" t="s">
        <v>4740</v>
      </c>
      <c r="F91" s="55" t="s">
        <v>4749</v>
      </c>
      <c r="G91" s="55" t="s">
        <v>4750</v>
      </c>
      <c r="H91" s="55" t="s">
        <v>22</v>
      </c>
      <c r="I91" s="55" t="s">
        <v>4751</v>
      </c>
    </row>
    <row r="92" customFormat="false" ht="15" hidden="false" customHeight="false" outlineLevel="0" collapsed="false">
      <c r="A92" s="55" t="s">
        <v>4858</v>
      </c>
      <c r="B92" s="55" t="s">
        <v>2656</v>
      </c>
      <c r="C92" s="55" t="s">
        <v>2655</v>
      </c>
      <c r="D92" s="55" t="s">
        <v>45</v>
      </c>
      <c r="E92" s="55" t="s">
        <v>4740</v>
      </c>
      <c r="F92" s="55" t="s">
        <v>4774</v>
      </c>
      <c r="G92" s="55" t="s">
        <v>4782</v>
      </c>
      <c r="H92" s="55" t="s">
        <v>19</v>
      </c>
      <c r="I92" s="55" t="s">
        <v>4783</v>
      </c>
    </row>
    <row r="93" customFormat="false" ht="15" hidden="false" customHeight="false" outlineLevel="0" collapsed="false">
      <c r="A93" s="55" t="s">
        <v>4859</v>
      </c>
      <c r="B93" s="55" t="s">
        <v>2656</v>
      </c>
      <c r="C93" s="55" t="s">
        <v>2655</v>
      </c>
      <c r="D93" s="55" t="s">
        <v>47</v>
      </c>
      <c r="E93" s="55" t="s">
        <v>4740</v>
      </c>
      <c r="F93" s="55" t="s">
        <v>4745</v>
      </c>
      <c r="G93" s="55" t="s">
        <v>4746</v>
      </c>
      <c r="H93" s="55" t="s">
        <v>22</v>
      </c>
      <c r="I93" s="55" t="s">
        <v>4753</v>
      </c>
    </row>
    <row r="94" customFormat="false" ht="15" hidden="false" customHeight="false" outlineLevel="0" collapsed="false">
      <c r="A94" s="55" t="s">
        <v>4860</v>
      </c>
      <c r="B94" s="55" t="s">
        <v>1489</v>
      </c>
      <c r="C94" s="55" t="s">
        <v>1488</v>
      </c>
      <c r="D94" s="55" t="s">
        <v>45</v>
      </c>
      <c r="E94" s="55" t="s">
        <v>4740</v>
      </c>
      <c r="F94" s="55" t="s">
        <v>4823</v>
      </c>
      <c r="G94" s="55" t="s">
        <v>4824</v>
      </c>
      <c r="H94" s="55" t="s">
        <v>22</v>
      </c>
      <c r="I94" s="55" t="s">
        <v>4825</v>
      </c>
    </row>
    <row r="95" customFormat="false" ht="15" hidden="false" customHeight="false" outlineLevel="0" collapsed="false">
      <c r="A95" s="55" t="s">
        <v>4861</v>
      </c>
      <c r="B95" s="55" t="s">
        <v>1489</v>
      </c>
      <c r="C95" s="55" t="s">
        <v>1488</v>
      </c>
      <c r="D95" s="55" t="s">
        <v>47</v>
      </c>
      <c r="E95" s="55" t="s">
        <v>4740</v>
      </c>
      <c r="F95" s="55" t="s">
        <v>4745</v>
      </c>
      <c r="G95" s="55" t="s">
        <v>4746</v>
      </c>
      <c r="H95" s="55" t="s">
        <v>22</v>
      </c>
      <c r="I95" s="55" t="s">
        <v>4753</v>
      </c>
    </row>
    <row r="96" customFormat="false" ht="15" hidden="false" customHeight="false" outlineLevel="0" collapsed="false">
      <c r="A96" s="55" t="s">
        <v>4862</v>
      </c>
      <c r="B96" s="55" t="s">
        <v>2186</v>
      </c>
      <c r="C96" s="55" t="s">
        <v>2185</v>
      </c>
      <c r="D96" s="55" t="s">
        <v>45</v>
      </c>
      <c r="E96" s="55" t="s">
        <v>4740</v>
      </c>
      <c r="F96" s="55" t="s">
        <v>4774</v>
      </c>
      <c r="G96" s="55" t="s">
        <v>4782</v>
      </c>
      <c r="H96" s="55" t="s">
        <v>19</v>
      </c>
      <c r="I96" s="55" t="s">
        <v>4783</v>
      </c>
    </row>
    <row r="97" customFormat="false" ht="15" hidden="false" customHeight="false" outlineLevel="0" collapsed="false">
      <c r="A97" s="55" t="s">
        <v>4863</v>
      </c>
      <c r="B97" s="55" t="s">
        <v>1747</v>
      </c>
      <c r="C97" s="55" t="s">
        <v>1746</v>
      </c>
      <c r="D97" s="55" t="s">
        <v>45</v>
      </c>
      <c r="E97" s="55" t="s">
        <v>4740</v>
      </c>
      <c r="F97" s="55" t="s">
        <v>4774</v>
      </c>
      <c r="G97" s="55" t="s">
        <v>4782</v>
      </c>
      <c r="H97" s="55" t="s">
        <v>19</v>
      </c>
      <c r="I97" s="55" t="s">
        <v>4783</v>
      </c>
    </row>
    <row r="98" customFormat="false" ht="15" hidden="false" customHeight="false" outlineLevel="0" collapsed="false">
      <c r="A98" s="55" t="s">
        <v>4864</v>
      </c>
      <c r="B98" s="55" t="s">
        <v>1747</v>
      </c>
      <c r="C98" s="55" t="s">
        <v>1746</v>
      </c>
      <c r="D98" s="55" t="s">
        <v>47</v>
      </c>
      <c r="E98" s="55" t="s">
        <v>4740</v>
      </c>
      <c r="F98" s="55" t="s">
        <v>4741</v>
      </c>
      <c r="G98" s="55" t="s">
        <v>4742</v>
      </c>
      <c r="H98" s="55" t="s">
        <v>22</v>
      </c>
      <c r="I98" s="55" t="s">
        <v>4743</v>
      </c>
    </row>
    <row r="99" customFormat="false" ht="15" hidden="false" customHeight="false" outlineLevel="0" collapsed="false">
      <c r="A99" s="55" t="s">
        <v>4865</v>
      </c>
      <c r="B99" s="55" t="s">
        <v>2953</v>
      </c>
      <c r="C99" s="55" t="s">
        <v>3466</v>
      </c>
      <c r="D99" s="55" t="s">
        <v>45</v>
      </c>
      <c r="E99" s="55" t="s">
        <v>4740</v>
      </c>
      <c r="F99" s="55" t="s">
        <v>4774</v>
      </c>
      <c r="G99" s="55" t="s">
        <v>4775</v>
      </c>
      <c r="H99" s="55" t="s">
        <v>22</v>
      </c>
      <c r="I99" s="55" t="s">
        <v>4753</v>
      </c>
    </row>
    <row r="100" customFormat="false" ht="15" hidden="false" customHeight="false" outlineLevel="0" collapsed="false">
      <c r="A100" s="55" t="s">
        <v>4866</v>
      </c>
      <c r="B100" s="55" t="s">
        <v>847</v>
      </c>
      <c r="C100" s="55" t="s">
        <v>846</v>
      </c>
      <c r="D100" s="55" t="s">
        <v>45</v>
      </c>
      <c r="E100" s="55" t="s">
        <v>4740</v>
      </c>
      <c r="F100" s="55" t="s">
        <v>4745</v>
      </c>
      <c r="G100" s="55" t="s">
        <v>4746</v>
      </c>
      <c r="H100" s="55" t="s">
        <v>22</v>
      </c>
      <c r="I100" s="55" t="s">
        <v>4747</v>
      </c>
    </row>
    <row r="101" customFormat="false" ht="15" hidden="false" customHeight="false" outlineLevel="0" collapsed="false">
      <c r="A101" s="55" t="s">
        <v>4867</v>
      </c>
      <c r="B101" s="55" t="s">
        <v>847</v>
      </c>
      <c r="C101" s="55" t="s">
        <v>846</v>
      </c>
      <c r="D101" s="55" t="s">
        <v>47</v>
      </c>
      <c r="E101" s="55" t="s">
        <v>4740</v>
      </c>
      <c r="F101" s="55" t="s">
        <v>4745</v>
      </c>
      <c r="G101" s="55" t="s">
        <v>4746</v>
      </c>
      <c r="H101" s="55" t="s">
        <v>22</v>
      </c>
      <c r="I101" s="55" t="s">
        <v>4753</v>
      </c>
    </row>
    <row r="102" customFormat="false" ht="15" hidden="false" customHeight="false" outlineLevel="0" collapsed="false">
      <c r="A102" s="55" t="s">
        <v>4868</v>
      </c>
      <c r="B102" s="55" t="s">
        <v>658</v>
      </c>
      <c r="C102" s="55" t="s">
        <v>657</v>
      </c>
      <c r="D102" s="55" t="s">
        <v>45</v>
      </c>
      <c r="E102" s="55" t="s">
        <v>4740</v>
      </c>
      <c r="F102" s="55" t="s">
        <v>4804</v>
      </c>
      <c r="G102" s="55" t="s">
        <v>4843</v>
      </c>
      <c r="H102" s="55" t="s">
        <v>22</v>
      </c>
      <c r="I102" s="55" t="s">
        <v>4844</v>
      </c>
    </row>
    <row r="103" customFormat="false" ht="15" hidden="false" customHeight="false" outlineLevel="0" collapsed="false">
      <c r="A103" s="55" t="s">
        <v>4869</v>
      </c>
      <c r="B103" s="55" t="s">
        <v>658</v>
      </c>
      <c r="C103" s="55" t="s">
        <v>657</v>
      </c>
      <c r="D103" s="55" t="s">
        <v>47</v>
      </c>
      <c r="E103" s="55" t="s">
        <v>4740</v>
      </c>
      <c r="F103" s="55" t="s">
        <v>4745</v>
      </c>
      <c r="G103" s="55" t="s">
        <v>4746</v>
      </c>
      <c r="H103" s="55" t="s">
        <v>22</v>
      </c>
      <c r="I103" s="55" t="s">
        <v>4753</v>
      </c>
    </row>
    <row r="104" customFormat="false" ht="15" hidden="false" customHeight="false" outlineLevel="0" collapsed="false">
      <c r="A104" s="55" t="s">
        <v>4870</v>
      </c>
      <c r="B104" s="55" t="s">
        <v>322</v>
      </c>
      <c r="C104" s="55" t="s">
        <v>321</v>
      </c>
      <c r="D104" s="55" t="s">
        <v>46</v>
      </c>
      <c r="E104" s="55" t="s">
        <v>4740</v>
      </c>
      <c r="F104" s="55" t="s">
        <v>4745</v>
      </c>
      <c r="G104" s="55" t="s">
        <v>4746</v>
      </c>
      <c r="H104" s="55" t="s">
        <v>22</v>
      </c>
      <c r="I104" s="55" t="s">
        <v>4747</v>
      </c>
    </row>
    <row r="105" customFormat="false" ht="15" hidden="false" customHeight="false" outlineLevel="0" collapsed="false">
      <c r="A105" s="55" t="s">
        <v>4871</v>
      </c>
      <c r="B105" s="55" t="s">
        <v>1114</v>
      </c>
      <c r="C105" s="55" t="s">
        <v>1113</v>
      </c>
      <c r="D105" s="55" t="s">
        <v>47</v>
      </c>
      <c r="E105" s="55" t="s">
        <v>4740</v>
      </c>
      <c r="F105" s="55" t="s">
        <v>4745</v>
      </c>
      <c r="G105" s="55" t="s">
        <v>4746</v>
      </c>
      <c r="H105" s="55" t="s">
        <v>22</v>
      </c>
      <c r="I105" s="55" t="s">
        <v>4753</v>
      </c>
    </row>
    <row r="106" customFormat="false" ht="15" hidden="false" customHeight="false" outlineLevel="0" collapsed="false">
      <c r="A106" s="55" t="s">
        <v>4872</v>
      </c>
      <c r="B106" s="55" t="s">
        <v>104</v>
      </c>
      <c r="C106" s="55" t="s">
        <v>103</v>
      </c>
      <c r="D106" s="55" t="s">
        <v>47</v>
      </c>
      <c r="E106" s="55" t="s">
        <v>4740</v>
      </c>
      <c r="F106" s="55" t="s">
        <v>4745</v>
      </c>
      <c r="G106" s="55" t="s">
        <v>4746</v>
      </c>
      <c r="H106" s="55" t="s">
        <v>22</v>
      </c>
      <c r="I106" s="55" t="s">
        <v>4747</v>
      </c>
    </row>
    <row r="107" customFormat="false" ht="15" hidden="false" customHeight="false" outlineLevel="0" collapsed="false">
      <c r="A107" s="55" t="s">
        <v>4873</v>
      </c>
      <c r="B107" s="55" t="s">
        <v>1755</v>
      </c>
      <c r="C107" s="55" t="s">
        <v>1754</v>
      </c>
      <c r="D107" s="55" t="s">
        <v>47</v>
      </c>
      <c r="E107" s="55" t="s">
        <v>4740</v>
      </c>
      <c r="F107" s="55" t="s">
        <v>4745</v>
      </c>
      <c r="G107" s="55" t="s">
        <v>4746</v>
      </c>
      <c r="H107" s="55" t="s">
        <v>22</v>
      </c>
      <c r="I107" s="55" t="s">
        <v>4753</v>
      </c>
    </row>
    <row r="108" customFormat="false" ht="15" hidden="false" customHeight="false" outlineLevel="0" collapsed="false">
      <c r="A108" s="55" t="s">
        <v>4874</v>
      </c>
      <c r="B108" s="55" t="s">
        <v>754</v>
      </c>
      <c r="C108" s="55" t="s">
        <v>753</v>
      </c>
      <c r="D108" s="55" t="s">
        <v>45</v>
      </c>
      <c r="E108" s="55" t="s">
        <v>4740</v>
      </c>
      <c r="F108" s="55" t="s">
        <v>4577</v>
      </c>
      <c r="G108" s="55" t="s">
        <v>4819</v>
      </c>
      <c r="H108" s="55" t="s">
        <v>22</v>
      </c>
      <c r="I108" s="55" t="s">
        <v>4820</v>
      </c>
    </row>
    <row r="109" customFormat="false" ht="15" hidden="false" customHeight="false" outlineLevel="0" collapsed="false">
      <c r="A109" s="55" t="s">
        <v>4875</v>
      </c>
      <c r="B109" s="55" t="s">
        <v>362</v>
      </c>
      <c r="C109" s="55" t="s">
        <v>361</v>
      </c>
      <c r="D109" s="55" t="s">
        <v>47</v>
      </c>
      <c r="E109" s="55" t="s">
        <v>4740</v>
      </c>
      <c r="F109" s="55" t="s">
        <v>4745</v>
      </c>
      <c r="G109" s="55" t="s">
        <v>4746</v>
      </c>
      <c r="H109" s="55" t="s">
        <v>22</v>
      </c>
      <c r="I109" s="55" t="s">
        <v>4753</v>
      </c>
    </row>
    <row r="110" customFormat="false" ht="15" hidden="false" customHeight="false" outlineLevel="0" collapsed="false">
      <c r="A110" s="55" t="s">
        <v>4876</v>
      </c>
      <c r="B110" s="55" t="s">
        <v>1243</v>
      </c>
      <c r="C110" s="55" t="s">
        <v>1242</v>
      </c>
      <c r="D110" s="55" t="s">
        <v>45</v>
      </c>
      <c r="E110" s="55" t="s">
        <v>4740</v>
      </c>
      <c r="F110" s="55" t="s">
        <v>4749</v>
      </c>
      <c r="G110" s="55" t="s">
        <v>4750</v>
      </c>
      <c r="H110" s="55" t="s">
        <v>22</v>
      </c>
      <c r="I110" s="55" t="s">
        <v>4751</v>
      </c>
    </row>
    <row r="111" customFormat="false" ht="15" hidden="false" customHeight="false" outlineLevel="0" collapsed="false">
      <c r="A111" s="55" t="s">
        <v>4877</v>
      </c>
      <c r="B111" s="55" t="s">
        <v>1243</v>
      </c>
      <c r="C111" s="55" t="s">
        <v>1242</v>
      </c>
      <c r="D111" s="55" t="s">
        <v>47</v>
      </c>
      <c r="E111" s="55" t="s">
        <v>4740</v>
      </c>
      <c r="F111" s="55" t="s">
        <v>4774</v>
      </c>
      <c r="G111" s="55" t="s">
        <v>4782</v>
      </c>
      <c r="H111" s="55" t="s">
        <v>19</v>
      </c>
      <c r="I111" s="55" t="s">
        <v>4783</v>
      </c>
    </row>
    <row r="112" customFormat="false" ht="15" hidden="false" customHeight="false" outlineLevel="0" collapsed="false">
      <c r="A112" s="55" t="s">
        <v>4878</v>
      </c>
      <c r="B112" s="55" t="s">
        <v>222</v>
      </c>
      <c r="C112" s="55" t="s">
        <v>221</v>
      </c>
      <c r="D112" s="55" t="s">
        <v>47</v>
      </c>
      <c r="E112" s="55" t="s">
        <v>4740</v>
      </c>
      <c r="F112" s="55" t="s">
        <v>4745</v>
      </c>
      <c r="G112" s="55" t="s">
        <v>4746</v>
      </c>
      <c r="H112" s="55" t="s">
        <v>22</v>
      </c>
      <c r="I112" s="55" t="s">
        <v>4753</v>
      </c>
    </row>
    <row r="113" customFormat="false" ht="15" hidden="false" customHeight="false" outlineLevel="0" collapsed="false">
      <c r="A113" s="55" t="s">
        <v>4879</v>
      </c>
      <c r="B113" s="55" t="s">
        <v>2116</v>
      </c>
      <c r="C113" s="55" t="s">
        <v>2115</v>
      </c>
      <c r="D113" s="55" t="s">
        <v>47</v>
      </c>
      <c r="E113" s="55" t="s">
        <v>4740</v>
      </c>
      <c r="F113" s="55" t="s">
        <v>4745</v>
      </c>
      <c r="G113" s="55" t="s">
        <v>4746</v>
      </c>
      <c r="H113" s="55" t="s">
        <v>22</v>
      </c>
      <c r="I113" s="55" t="s">
        <v>4753</v>
      </c>
    </row>
    <row r="114" customFormat="false" ht="15" hidden="false" customHeight="false" outlineLevel="0" collapsed="false">
      <c r="A114" s="55" t="s">
        <v>4880</v>
      </c>
      <c r="B114" s="55" t="s">
        <v>810</v>
      </c>
      <c r="C114" s="55" t="s">
        <v>809</v>
      </c>
      <c r="D114" s="55" t="s">
        <v>47</v>
      </c>
      <c r="E114" s="55" t="s">
        <v>4740</v>
      </c>
      <c r="F114" s="55" t="s">
        <v>4745</v>
      </c>
      <c r="G114" s="55" t="s">
        <v>4746</v>
      </c>
      <c r="H114" s="55" t="s">
        <v>22</v>
      </c>
      <c r="I114" s="55" t="s">
        <v>4753</v>
      </c>
    </row>
    <row r="115" customFormat="false" ht="15" hidden="false" customHeight="false" outlineLevel="0" collapsed="false">
      <c r="A115" s="55" t="s">
        <v>4881</v>
      </c>
      <c r="B115" s="55" t="s">
        <v>756</v>
      </c>
      <c r="C115" s="55" t="s">
        <v>755</v>
      </c>
      <c r="D115" s="55" t="s">
        <v>47</v>
      </c>
      <c r="E115" s="55" t="s">
        <v>4740</v>
      </c>
      <c r="F115" s="55" t="s">
        <v>4804</v>
      </c>
      <c r="G115" s="55" t="s">
        <v>4843</v>
      </c>
      <c r="H115" s="55" t="s">
        <v>22</v>
      </c>
      <c r="I115" s="55" t="s">
        <v>4844</v>
      </c>
    </row>
    <row r="116" customFormat="false" ht="15" hidden="false" customHeight="false" outlineLevel="0" collapsed="false">
      <c r="A116" s="55" t="s">
        <v>4882</v>
      </c>
      <c r="B116" s="55" t="s">
        <v>2961</v>
      </c>
      <c r="C116" s="55" t="s">
        <v>3487</v>
      </c>
      <c r="D116" s="55" t="s">
        <v>46</v>
      </c>
      <c r="E116" s="55" t="s">
        <v>4740</v>
      </c>
      <c r="F116" s="55" t="s">
        <v>4774</v>
      </c>
      <c r="G116" s="55" t="s">
        <v>4782</v>
      </c>
      <c r="H116" s="55" t="s">
        <v>19</v>
      </c>
      <c r="I116" s="55" t="s">
        <v>4808</v>
      </c>
    </row>
    <row r="117" customFormat="false" ht="15" hidden="false" customHeight="false" outlineLevel="0" collapsed="false">
      <c r="A117" s="55" t="s">
        <v>4883</v>
      </c>
      <c r="B117" s="55" t="s">
        <v>456</v>
      </c>
      <c r="C117" s="55" t="s">
        <v>455</v>
      </c>
      <c r="D117" s="55" t="s">
        <v>47</v>
      </c>
      <c r="E117" s="55" t="s">
        <v>4740</v>
      </c>
      <c r="F117" s="55" t="s">
        <v>4745</v>
      </c>
      <c r="G117" s="55" t="s">
        <v>4746</v>
      </c>
      <c r="H117" s="55" t="s">
        <v>22</v>
      </c>
      <c r="I117" s="55" t="s">
        <v>4753</v>
      </c>
    </row>
    <row r="118" customFormat="false" ht="15" hidden="false" customHeight="false" outlineLevel="0" collapsed="false">
      <c r="A118" s="55" t="s">
        <v>4884</v>
      </c>
      <c r="B118" s="55" t="s">
        <v>1374</v>
      </c>
      <c r="C118" s="55" t="s">
        <v>1373</v>
      </c>
      <c r="D118" s="55" t="s">
        <v>46</v>
      </c>
      <c r="E118" s="55" t="s">
        <v>4740</v>
      </c>
      <c r="F118" s="55" t="s">
        <v>4741</v>
      </c>
      <c r="G118" s="55" t="s">
        <v>4814</v>
      </c>
      <c r="H118" s="55" t="s">
        <v>19</v>
      </c>
      <c r="I118" s="55" t="s">
        <v>4815</v>
      </c>
    </row>
    <row r="119" customFormat="false" ht="15" hidden="false" customHeight="false" outlineLevel="0" collapsed="false">
      <c r="A119" s="55" t="s">
        <v>4885</v>
      </c>
      <c r="B119" s="55" t="s">
        <v>1374</v>
      </c>
      <c r="C119" s="55" t="s">
        <v>1373</v>
      </c>
      <c r="D119" s="55" t="s">
        <v>47</v>
      </c>
      <c r="E119" s="55" t="s">
        <v>4740</v>
      </c>
      <c r="F119" s="55" t="s">
        <v>4745</v>
      </c>
      <c r="G119" s="55" t="s">
        <v>4746</v>
      </c>
      <c r="H119" s="55" t="s">
        <v>22</v>
      </c>
      <c r="I119" s="55" t="s">
        <v>4753</v>
      </c>
    </row>
    <row r="120" customFormat="false" ht="15" hidden="false" customHeight="false" outlineLevel="0" collapsed="false">
      <c r="A120" s="55" t="s">
        <v>4886</v>
      </c>
      <c r="B120" s="55" t="s">
        <v>834</v>
      </c>
      <c r="C120" s="55" t="s">
        <v>833</v>
      </c>
      <c r="D120" s="55" t="s">
        <v>47</v>
      </c>
      <c r="E120" s="55" t="s">
        <v>4740</v>
      </c>
      <c r="F120" s="55" t="s">
        <v>4745</v>
      </c>
      <c r="G120" s="55" t="s">
        <v>4746</v>
      </c>
      <c r="H120" s="55" t="s">
        <v>22</v>
      </c>
      <c r="I120" s="55" t="s">
        <v>4753</v>
      </c>
    </row>
    <row r="121" customFormat="false" ht="15" hidden="false" customHeight="false" outlineLevel="0" collapsed="false">
      <c r="A121" s="55" t="s">
        <v>4887</v>
      </c>
      <c r="B121" s="55" t="s">
        <v>129</v>
      </c>
      <c r="C121" s="55" t="s">
        <v>128</v>
      </c>
      <c r="D121" s="55" t="s">
        <v>47</v>
      </c>
      <c r="E121" s="55" t="s">
        <v>4740</v>
      </c>
      <c r="F121" s="55" t="s">
        <v>4745</v>
      </c>
      <c r="G121" s="55" t="s">
        <v>4746</v>
      </c>
      <c r="H121" s="55" t="s">
        <v>22</v>
      </c>
      <c r="I121" s="55" t="s">
        <v>4753</v>
      </c>
    </row>
    <row r="122" customFormat="false" ht="15" hidden="false" customHeight="false" outlineLevel="0" collapsed="false">
      <c r="A122" s="55" t="s">
        <v>4888</v>
      </c>
      <c r="B122" s="55" t="s">
        <v>2446</v>
      </c>
      <c r="C122" s="55" t="s">
        <v>2445</v>
      </c>
      <c r="D122" s="55" t="s">
        <v>46</v>
      </c>
      <c r="E122" s="55" t="s">
        <v>4740</v>
      </c>
      <c r="F122" s="55" t="s">
        <v>4366</v>
      </c>
      <c r="G122" s="55" t="s">
        <v>4800</v>
      </c>
      <c r="H122" s="55" t="s">
        <v>19</v>
      </c>
      <c r="I122" s="55" t="s">
        <v>4783</v>
      </c>
    </row>
    <row r="123" customFormat="false" ht="15" hidden="false" customHeight="false" outlineLevel="0" collapsed="false">
      <c r="A123" s="55" t="s">
        <v>4889</v>
      </c>
      <c r="B123" s="55" t="s">
        <v>394</v>
      </c>
      <c r="C123" s="55" t="s">
        <v>393</v>
      </c>
      <c r="D123" s="55" t="s">
        <v>45</v>
      </c>
      <c r="E123" s="55" t="s">
        <v>4740</v>
      </c>
      <c r="F123" s="55" t="s">
        <v>4804</v>
      </c>
      <c r="G123" s="55" t="s">
        <v>4843</v>
      </c>
      <c r="H123" s="55" t="s">
        <v>22</v>
      </c>
      <c r="I123" s="55" t="s">
        <v>4844</v>
      </c>
    </row>
    <row r="124" customFormat="false" ht="15" hidden="false" customHeight="false" outlineLevel="0" collapsed="false">
      <c r="A124" s="55" t="s">
        <v>4890</v>
      </c>
      <c r="B124" s="55" t="s">
        <v>394</v>
      </c>
      <c r="C124" s="55" t="s">
        <v>393</v>
      </c>
      <c r="D124" s="55" t="s">
        <v>47</v>
      </c>
      <c r="E124" s="55" t="s">
        <v>4740</v>
      </c>
      <c r="F124" s="55" t="s">
        <v>4745</v>
      </c>
      <c r="G124" s="55" t="s">
        <v>4746</v>
      </c>
      <c r="H124" s="55" t="s">
        <v>22</v>
      </c>
      <c r="I124" s="55" t="s">
        <v>4753</v>
      </c>
    </row>
    <row r="125" customFormat="false" ht="15" hidden="false" customHeight="false" outlineLevel="0" collapsed="false">
      <c r="A125" s="55" t="s">
        <v>4891</v>
      </c>
      <c r="B125" s="55" t="s">
        <v>1496</v>
      </c>
      <c r="C125" s="55" t="s">
        <v>1495</v>
      </c>
      <c r="D125" s="55" t="s">
        <v>45</v>
      </c>
      <c r="E125" s="55" t="s">
        <v>4740</v>
      </c>
      <c r="F125" s="55" t="s">
        <v>4741</v>
      </c>
      <c r="G125" s="55" t="s">
        <v>4742</v>
      </c>
      <c r="H125" s="55" t="s">
        <v>22</v>
      </c>
      <c r="I125" s="55" t="s">
        <v>4743</v>
      </c>
    </row>
    <row r="126" customFormat="false" ht="15" hidden="false" customHeight="false" outlineLevel="0" collapsed="false">
      <c r="A126" s="55" t="s">
        <v>4892</v>
      </c>
      <c r="B126" s="55" t="s">
        <v>1496</v>
      </c>
      <c r="C126" s="55" t="s">
        <v>1495</v>
      </c>
      <c r="D126" s="55" t="s">
        <v>46</v>
      </c>
      <c r="E126" s="55" t="s">
        <v>4740</v>
      </c>
      <c r="F126" s="55" t="s">
        <v>4577</v>
      </c>
      <c r="G126" s="55" t="s">
        <v>4893</v>
      </c>
      <c r="H126" s="55" t="s">
        <v>19</v>
      </c>
      <c r="I126" s="55" t="s">
        <v>4894</v>
      </c>
    </row>
    <row r="127" customFormat="false" ht="15" hidden="false" customHeight="false" outlineLevel="0" collapsed="false">
      <c r="A127" s="55" t="s">
        <v>4895</v>
      </c>
      <c r="B127" s="55" t="s">
        <v>2790</v>
      </c>
      <c r="C127" s="55" t="s">
        <v>2789</v>
      </c>
      <c r="D127" s="55" t="s">
        <v>47</v>
      </c>
      <c r="E127" s="55" t="s">
        <v>4740</v>
      </c>
      <c r="F127" s="55" t="s">
        <v>4745</v>
      </c>
      <c r="G127" s="55" t="s">
        <v>4746</v>
      </c>
      <c r="H127" s="55" t="s">
        <v>22</v>
      </c>
      <c r="I127" s="55" t="s">
        <v>4753</v>
      </c>
    </row>
    <row r="128" customFormat="false" ht="15" hidden="false" customHeight="false" outlineLevel="0" collapsed="false">
      <c r="A128" s="55" t="s">
        <v>4896</v>
      </c>
      <c r="B128" s="55" t="s">
        <v>885</v>
      </c>
      <c r="C128" s="55" t="s">
        <v>884</v>
      </c>
      <c r="D128" s="55" t="s">
        <v>47</v>
      </c>
      <c r="E128" s="55" t="s">
        <v>4740</v>
      </c>
      <c r="F128" s="55" t="s">
        <v>4749</v>
      </c>
      <c r="G128" s="55" t="s">
        <v>4750</v>
      </c>
      <c r="H128" s="55" t="s">
        <v>22</v>
      </c>
      <c r="I128" s="55" t="s">
        <v>4751</v>
      </c>
    </row>
    <row r="129" customFormat="false" ht="15" hidden="false" customHeight="false" outlineLevel="0" collapsed="false">
      <c r="A129" s="55" t="s">
        <v>4897</v>
      </c>
      <c r="B129" s="55" t="s">
        <v>2024</v>
      </c>
      <c r="C129" s="55" t="s">
        <v>2023</v>
      </c>
      <c r="D129" s="55" t="s">
        <v>47</v>
      </c>
      <c r="E129" s="55" t="s">
        <v>4740</v>
      </c>
      <c r="F129" s="55" t="s">
        <v>4745</v>
      </c>
      <c r="G129" s="55" t="s">
        <v>4746</v>
      </c>
      <c r="H129" s="55" t="s">
        <v>22</v>
      </c>
      <c r="I129" s="55" t="s">
        <v>4753</v>
      </c>
    </row>
    <row r="130" customFormat="false" ht="15" hidden="false" customHeight="false" outlineLevel="0" collapsed="false">
      <c r="A130" s="55" t="s">
        <v>4898</v>
      </c>
      <c r="B130" s="55" t="s">
        <v>422</v>
      </c>
      <c r="C130" s="55" t="s">
        <v>421</v>
      </c>
      <c r="D130" s="55" t="s">
        <v>46</v>
      </c>
      <c r="E130" s="55" t="s">
        <v>4740</v>
      </c>
      <c r="F130" s="55" t="s">
        <v>4749</v>
      </c>
      <c r="G130" s="55" t="s">
        <v>4750</v>
      </c>
      <c r="H130" s="55" t="s">
        <v>22</v>
      </c>
      <c r="I130" s="55" t="s">
        <v>4751</v>
      </c>
    </row>
    <row r="131" customFormat="false" ht="15" hidden="false" customHeight="false" outlineLevel="0" collapsed="false">
      <c r="A131" s="55" t="s">
        <v>4899</v>
      </c>
      <c r="B131" s="55" t="s">
        <v>422</v>
      </c>
      <c r="C131" s="55" t="s">
        <v>421</v>
      </c>
      <c r="D131" s="55" t="s">
        <v>47</v>
      </c>
      <c r="E131" s="55" t="s">
        <v>4740</v>
      </c>
      <c r="F131" s="55" t="s">
        <v>4745</v>
      </c>
      <c r="G131" s="55" t="s">
        <v>4746</v>
      </c>
      <c r="H131" s="55" t="s">
        <v>22</v>
      </c>
      <c r="I131" s="55" t="s">
        <v>4747</v>
      </c>
    </row>
    <row r="132" customFormat="false" ht="15" hidden="false" customHeight="false" outlineLevel="0" collapsed="false">
      <c r="A132" s="55" t="s">
        <v>4900</v>
      </c>
      <c r="B132" s="55" t="s">
        <v>216</v>
      </c>
      <c r="C132" s="55" t="s">
        <v>215</v>
      </c>
      <c r="D132" s="55" t="s">
        <v>47</v>
      </c>
      <c r="E132" s="55" t="s">
        <v>4740</v>
      </c>
      <c r="F132" s="55" t="s">
        <v>4749</v>
      </c>
      <c r="G132" s="55" t="s">
        <v>4901</v>
      </c>
      <c r="H132" s="55" t="s">
        <v>19</v>
      </c>
      <c r="I132" s="55" t="s">
        <v>4902</v>
      </c>
    </row>
    <row r="133" customFormat="false" ht="15" hidden="false" customHeight="false" outlineLevel="0" collapsed="false">
      <c r="A133" s="55" t="s">
        <v>4903</v>
      </c>
      <c r="B133" s="55" t="s">
        <v>136</v>
      </c>
      <c r="C133" s="55" t="s">
        <v>135</v>
      </c>
      <c r="D133" s="55" t="s">
        <v>47</v>
      </c>
      <c r="E133" s="55" t="s">
        <v>4740</v>
      </c>
      <c r="F133" s="55" t="s">
        <v>4745</v>
      </c>
      <c r="G133" s="55" t="s">
        <v>4746</v>
      </c>
      <c r="H133" s="55" t="s">
        <v>22</v>
      </c>
      <c r="I133" s="55" t="s">
        <v>4753</v>
      </c>
    </row>
    <row r="134" customFormat="false" ht="15" hidden="false" customHeight="false" outlineLevel="0" collapsed="false">
      <c r="A134" s="55" t="s">
        <v>4904</v>
      </c>
      <c r="B134" s="55" t="s">
        <v>688</v>
      </c>
      <c r="C134" s="55" t="s">
        <v>687</v>
      </c>
      <c r="D134" s="55" t="s">
        <v>46</v>
      </c>
      <c r="E134" s="55" t="s">
        <v>4740</v>
      </c>
      <c r="F134" s="55" t="s">
        <v>4804</v>
      </c>
      <c r="G134" s="55" t="s">
        <v>4843</v>
      </c>
      <c r="H134" s="55" t="s">
        <v>22</v>
      </c>
      <c r="I134" s="55" t="s">
        <v>4844</v>
      </c>
    </row>
    <row r="135" customFormat="false" ht="15" hidden="false" customHeight="false" outlineLevel="0" collapsed="false">
      <c r="A135" s="55" t="s">
        <v>4905</v>
      </c>
      <c r="B135" s="55" t="s">
        <v>1158</v>
      </c>
      <c r="C135" s="55" t="s">
        <v>1157</v>
      </c>
      <c r="D135" s="55" t="s">
        <v>47</v>
      </c>
      <c r="E135" s="55" t="s">
        <v>4740</v>
      </c>
      <c r="F135" s="55" t="s">
        <v>4745</v>
      </c>
      <c r="G135" s="55" t="s">
        <v>4746</v>
      </c>
      <c r="H135" s="55" t="s">
        <v>22</v>
      </c>
      <c r="I135" s="55" t="s">
        <v>4753</v>
      </c>
    </row>
    <row r="136" customFormat="false" ht="15" hidden="false" customHeight="false" outlineLevel="0" collapsed="false">
      <c r="A136" s="55" t="s">
        <v>4906</v>
      </c>
      <c r="B136" s="55" t="s">
        <v>520</v>
      </c>
      <c r="C136" s="55" t="s">
        <v>519</v>
      </c>
      <c r="D136" s="55" t="s">
        <v>45</v>
      </c>
      <c r="E136" s="55" t="s">
        <v>4740</v>
      </c>
      <c r="F136" s="55" t="s">
        <v>4766</v>
      </c>
      <c r="G136" s="55" t="s">
        <v>4767</v>
      </c>
      <c r="H136" s="55" t="s">
        <v>22</v>
      </c>
      <c r="I136" s="55" t="s">
        <v>4753</v>
      </c>
    </row>
    <row r="137" customFormat="false" ht="15" hidden="false" customHeight="false" outlineLevel="0" collapsed="false">
      <c r="A137" s="55" t="s">
        <v>4907</v>
      </c>
      <c r="B137" s="55" t="s">
        <v>520</v>
      </c>
      <c r="C137" s="55" t="s">
        <v>519</v>
      </c>
      <c r="D137" s="55" t="s">
        <v>46</v>
      </c>
      <c r="E137" s="55" t="s">
        <v>4740</v>
      </c>
      <c r="F137" s="55" t="s">
        <v>4745</v>
      </c>
      <c r="G137" s="55" t="s">
        <v>4746</v>
      </c>
      <c r="H137" s="55" t="s">
        <v>22</v>
      </c>
      <c r="I137" s="55" t="s">
        <v>4753</v>
      </c>
    </row>
    <row r="138" customFormat="false" ht="15" hidden="false" customHeight="false" outlineLevel="0" collapsed="false">
      <c r="A138" s="55" t="s">
        <v>4908</v>
      </c>
      <c r="B138" s="55" t="s">
        <v>582</v>
      </c>
      <c r="C138" s="55" t="s">
        <v>581</v>
      </c>
      <c r="D138" s="55" t="s">
        <v>47</v>
      </c>
      <c r="E138" s="55" t="s">
        <v>4740</v>
      </c>
      <c r="F138" s="55" t="s">
        <v>4745</v>
      </c>
      <c r="G138" s="55" t="s">
        <v>4746</v>
      </c>
      <c r="H138" s="55" t="s">
        <v>22</v>
      </c>
      <c r="I138" s="55" t="s">
        <v>4753</v>
      </c>
    </row>
    <row r="139" customFormat="false" ht="15" hidden="false" customHeight="false" outlineLevel="0" collapsed="false">
      <c r="A139" s="55" t="s">
        <v>4909</v>
      </c>
      <c r="B139" s="55" t="s">
        <v>1926</v>
      </c>
      <c r="C139" s="55" t="s">
        <v>1925</v>
      </c>
      <c r="D139" s="55" t="s">
        <v>47</v>
      </c>
      <c r="E139" s="55" t="s">
        <v>4740</v>
      </c>
      <c r="F139" s="55" t="s">
        <v>4366</v>
      </c>
      <c r="G139" s="55" t="s">
        <v>4800</v>
      </c>
      <c r="H139" s="55" t="s">
        <v>19</v>
      </c>
      <c r="I139" s="55" t="s">
        <v>4783</v>
      </c>
    </row>
    <row r="140" customFormat="false" ht="15" hidden="false" customHeight="false" outlineLevel="0" collapsed="false">
      <c r="A140" s="55" t="s">
        <v>4910</v>
      </c>
      <c r="B140" s="55" t="s">
        <v>368</v>
      </c>
      <c r="C140" s="55" t="s">
        <v>367</v>
      </c>
      <c r="D140" s="55" t="s">
        <v>45</v>
      </c>
      <c r="E140" s="55" t="s">
        <v>4740</v>
      </c>
      <c r="F140" s="55" t="s">
        <v>4745</v>
      </c>
      <c r="G140" s="55" t="s">
        <v>4746</v>
      </c>
      <c r="H140" s="55" t="s">
        <v>22</v>
      </c>
      <c r="I140" s="55" t="s">
        <v>4747</v>
      </c>
    </row>
    <row r="141" customFormat="false" ht="15" hidden="false" customHeight="false" outlineLevel="0" collapsed="false">
      <c r="A141" s="55" t="s">
        <v>4911</v>
      </c>
      <c r="B141" s="55" t="s">
        <v>368</v>
      </c>
      <c r="C141" s="55" t="s">
        <v>367</v>
      </c>
      <c r="D141" s="55" t="s">
        <v>47</v>
      </c>
      <c r="E141" s="55" t="s">
        <v>4740</v>
      </c>
      <c r="F141" s="55" t="s">
        <v>4756</v>
      </c>
      <c r="G141" s="55" t="s">
        <v>4757</v>
      </c>
      <c r="H141" s="55" t="s">
        <v>22</v>
      </c>
      <c r="I141" s="55" t="s">
        <v>4758</v>
      </c>
    </row>
    <row r="142" customFormat="false" ht="15" hidden="false" customHeight="false" outlineLevel="0" collapsed="false">
      <c r="A142" s="55" t="s">
        <v>4912</v>
      </c>
      <c r="B142" s="55" t="s">
        <v>508</v>
      </c>
      <c r="C142" s="55" t="s">
        <v>507</v>
      </c>
      <c r="D142" s="55" t="s">
        <v>47</v>
      </c>
      <c r="E142" s="55" t="s">
        <v>4740</v>
      </c>
      <c r="F142" s="55" t="s">
        <v>4745</v>
      </c>
      <c r="G142" s="55" t="s">
        <v>4746</v>
      </c>
      <c r="H142" s="55" t="s">
        <v>22</v>
      </c>
      <c r="I142" s="55" t="s">
        <v>4753</v>
      </c>
    </row>
    <row r="143" customFormat="false" ht="15" hidden="false" customHeight="false" outlineLevel="0" collapsed="false">
      <c r="A143" s="55" t="s">
        <v>4913</v>
      </c>
      <c r="B143" s="55" t="s">
        <v>532</v>
      </c>
      <c r="C143" s="55" t="s">
        <v>531</v>
      </c>
      <c r="D143" s="55" t="s">
        <v>47</v>
      </c>
      <c r="E143" s="55" t="s">
        <v>4740</v>
      </c>
      <c r="F143" s="55" t="s">
        <v>4745</v>
      </c>
      <c r="G143" s="55" t="s">
        <v>4746</v>
      </c>
      <c r="H143" s="55" t="s">
        <v>22</v>
      </c>
      <c r="I143" s="55" t="s">
        <v>4753</v>
      </c>
    </row>
    <row r="144" customFormat="false" ht="15" hidden="false" customHeight="false" outlineLevel="0" collapsed="false">
      <c r="A144" s="55" t="s">
        <v>4914</v>
      </c>
      <c r="B144" s="55" t="s">
        <v>644</v>
      </c>
      <c r="C144" s="55" t="s">
        <v>643</v>
      </c>
      <c r="D144" s="55" t="s">
        <v>47</v>
      </c>
      <c r="E144" s="55" t="s">
        <v>4740</v>
      </c>
      <c r="F144" s="55" t="s">
        <v>4745</v>
      </c>
      <c r="G144" s="55" t="s">
        <v>4746</v>
      </c>
      <c r="H144" s="55" t="s">
        <v>22</v>
      </c>
      <c r="I144" s="55" t="s">
        <v>4747</v>
      </c>
    </row>
    <row r="145" customFormat="false" ht="15" hidden="false" customHeight="false" outlineLevel="0" collapsed="false">
      <c r="A145" s="55" t="s">
        <v>4915</v>
      </c>
      <c r="B145" s="55" t="s">
        <v>980</v>
      </c>
      <c r="C145" s="55" t="s">
        <v>979</v>
      </c>
      <c r="D145" s="55" t="s">
        <v>47</v>
      </c>
      <c r="E145" s="55" t="s">
        <v>4740</v>
      </c>
      <c r="F145" s="55" t="s">
        <v>4804</v>
      </c>
      <c r="G145" s="55" t="s">
        <v>4843</v>
      </c>
      <c r="H145" s="55" t="s">
        <v>22</v>
      </c>
      <c r="I145" s="55" t="s">
        <v>4844</v>
      </c>
    </row>
    <row r="146" customFormat="false" ht="15" hidden="false" customHeight="false" outlineLevel="0" collapsed="false">
      <c r="A146" s="55" t="s">
        <v>4916</v>
      </c>
      <c r="B146" s="55" t="s">
        <v>630</v>
      </c>
      <c r="C146" s="55" t="s">
        <v>629</v>
      </c>
      <c r="D146" s="55" t="s">
        <v>47</v>
      </c>
      <c r="E146" s="55" t="s">
        <v>4740</v>
      </c>
      <c r="F146" s="55" t="s">
        <v>4745</v>
      </c>
      <c r="G146" s="55" t="s">
        <v>4746</v>
      </c>
      <c r="H146" s="55" t="s">
        <v>22</v>
      </c>
      <c r="I146" s="55" t="s">
        <v>4753</v>
      </c>
    </row>
    <row r="147" customFormat="false" ht="15" hidden="false" customHeight="false" outlineLevel="0" collapsed="false">
      <c r="A147" s="55" t="s">
        <v>4917</v>
      </c>
      <c r="B147" s="55" t="s">
        <v>907</v>
      </c>
      <c r="C147" s="55" t="s">
        <v>906</v>
      </c>
      <c r="D147" s="55" t="s">
        <v>45</v>
      </c>
      <c r="E147" s="55" t="s">
        <v>4740</v>
      </c>
      <c r="F147" s="55" t="s">
        <v>4577</v>
      </c>
      <c r="G147" s="55" t="s">
        <v>4819</v>
      </c>
      <c r="H147" s="55" t="s">
        <v>22</v>
      </c>
      <c r="I147" s="55" t="s">
        <v>4918</v>
      </c>
    </row>
    <row r="148" customFormat="false" ht="15" hidden="false" customHeight="false" outlineLevel="0" collapsed="false">
      <c r="A148" s="55" t="s">
        <v>4919</v>
      </c>
      <c r="B148" s="55" t="s">
        <v>760</v>
      </c>
      <c r="C148" s="55" t="s">
        <v>759</v>
      </c>
      <c r="D148" s="55" t="s">
        <v>45</v>
      </c>
      <c r="E148" s="55" t="s">
        <v>4740</v>
      </c>
      <c r="F148" s="55" t="s">
        <v>4741</v>
      </c>
      <c r="G148" s="55" t="s">
        <v>4814</v>
      </c>
      <c r="H148" s="55" t="s">
        <v>19</v>
      </c>
      <c r="I148" s="55" t="s">
        <v>4815</v>
      </c>
    </row>
    <row r="149" customFormat="false" ht="15" hidden="false" customHeight="false" outlineLevel="0" collapsed="false">
      <c r="A149" s="55" t="s">
        <v>4920</v>
      </c>
      <c r="B149" s="55" t="s">
        <v>760</v>
      </c>
      <c r="C149" s="55" t="s">
        <v>759</v>
      </c>
      <c r="D149" s="55" t="s">
        <v>47</v>
      </c>
      <c r="E149" s="55" t="s">
        <v>4740</v>
      </c>
      <c r="F149" s="55" t="s">
        <v>4745</v>
      </c>
      <c r="G149" s="55" t="s">
        <v>4746</v>
      </c>
      <c r="H149" s="55" t="s">
        <v>22</v>
      </c>
      <c r="I149" s="55" t="s">
        <v>4753</v>
      </c>
    </row>
    <row r="150" customFormat="false" ht="15" hidden="false" customHeight="false" outlineLevel="0" collapsed="false">
      <c r="A150" s="55" t="s">
        <v>4921</v>
      </c>
      <c r="B150" s="55" t="s">
        <v>572</v>
      </c>
      <c r="C150" s="55" t="s">
        <v>571</v>
      </c>
      <c r="D150" s="55" t="s">
        <v>45</v>
      </c>
      <c r="E150" s="55" t="s">
        <v>4740</v>
      </c>
      <c r="F150" s="55" t="s">
        <v>4770</v>
      </c>
      <c r="G150" s="55" t="s">
        <v>4771</v>
      </c>
      <c r="H150" s="55" t="s">
        <v>22</v>
      </c>
      <c r="I150" s="55" t="s">
        <v>4772</v>
      </c>
    </row>
    <row r="151" customFormat="false" ht="15" hidden="false" customHeight="false" outlineLevel="0" collapsed="false">
      <c r="A151" s="55" t="s">
        <v>4922</v>
      </c>
      <c r="B151" s="55" t="s">
        <v>572</v>
      </c>
      <c r="C151" s="55" t="s">
        <v>571</v>
      </c>
      <c r="D151" s="55" t="s">
        <v>47</v>
      </c>
      <c r="E151" s="55" t="s">
        <v>4740</v>
      </c>
      <c r="F151" s="55" t="s">
        <v>4745</v>
      </c>
      <c r="G151" s="55" t="s">
        <v>4746</v>
      </c>
      <c r="H151" s="55" t="s">
        <v>22</v>
      </c>
      <c r="I151" s="55" t="s">
        <v>4753</v>
      </c>
    </row>
    <row r="152" customFormat="false" ht="15" hidden="false" customHeight="false" outlineLevel="0" collapsed="false">
      <c r="A152" s="55" t="s">
        <v>4923</v>
      </c>
      <c r="B152" s="55" t="s">
        <v>1006</v>
      </c>
      <c r="C152" s="55" t="s">
        <v>1005</v>
      </c>
      <c r="D152" s="55" t="s">
        <v>45</v>
      </c>
      <c r="E152" s="55" t="s">
        <v>4740</v>
      </c>
      <c r="F152" s="55" t="s">
        <v>4741</v>
      </c>
      <c r="G152" s="55" t="s">
        <v>4814</v>
      </c>
      <c r="H152" s="55" t="s">
        <v>19</v>
      </c>
      <c r="I152" s="55" t="s">
        <v>4815</v>
      </c>
    </row>
    <row r="153" customFormat="false" ht="15" hidden="false" customHeight="false" outlineLevel="0" collapsed="false">
      <c r="A153" s="55" t="s">
        <v>4924</v>
      </c>
      <c r="B153" s="55" t="s">
        <v>1006</v>
      </c>
      <c r="C153" s="55" t="s">
        <v>1005</v>
      </c>
      <c r="D153" s="55" t="s">
        <v>46</v>
      </c>
      <c r="E153" s="55" t="s">
        <v>4740</v>
      </c>
      <c r="F153" s="55" t="s">
        <v>4749</v>
      </c>
      <c r="G153" s="55" t="s">
        <v>4750</v>
      </c>
      <c r="H153" s="55" t="s">
        <v>22</v>
      </c>
      <c r="I153" s="55" t="s">
        <v>4751</v>
      </c>
    </row>
    <row r="154" customFormat="false" ht="15" hidden="false" customHeight="false" outlineLevel="0" collapsed="false">
      <c r="A154" s="55" t="s">
        <v>4925</v>
      </c>
      <c r="B154" s="55" t="s">
        <v>1006</v>
      </c>
      <c r="C154" s="55" t="s">
        <v>1005</v>
      </c>
      <c r="D154" s="55" t="s">
        <v>47</v>
      </c>
      <c r="E154" s="55" t="s">
        <v>4740</v>
      </c>
      <c r="F154" s="55" t="s">
        <v>4766</v>
      </c>
      <c r="G154" s="55" t="s">
        <v>4926</v>
      </c>
      <c r="H154" s="55" t="s">
        <v>19</v>
      </c>
      <c r="I154" s="55" t="s">
        <v>4783</v>
      </c>
    </row>
    <row r="155" customFormat="false" ht="15" hidden="false" customHeight="false" outlineLevel="0" collapsed="false">
      <c r="A155" s="55" t="s">
        <v>4927</v>
      </c>
      <c r="B155" s="55" t="s">
        <v>922</v>
      </c>
      <c r="C155" s="55" t="s">
        <v>921</v>
      </c>
      <c r="D155" s="55" t="s">
        <v>46</v>
      </c>
      <c r="E155" s="55" t="s">
        <v>4740</v>
      </c>
      <c r="F155" s="55" t="s">
        <v>4774</v>
      </c>
      <c r="G155" s="55" t="s">
        <v>4782</v>
      </c>
      <c r="H155" s="55" t="s">
        <v>19</v>
      </c>
      <c r="I155" s="55" t="s">
        <v>4783</v>
      </c>
    </row>
    <row r="156" customFormat="false" ht="15" hidden="false" customHeight="false" outlineLevel="0" collapsed="false">
      <c r="A156" s="55" t="s">
        <v>4928</v>
      </c>
      <c r="B156" s="55" t="s">
        <v>922</v>
      </c>
      <c r="C156" s="55" t="s">
        <v>921</v>
      </c>
      <c r="D156" s="55" t="s">
        <v>47</v>
      </c>
      <c r="E156" s="55" t="s">
        <v>4740</v>
      </c>
      <c r="F156" s="55" t="s">
        <v>4749</v>
      </c>
      <c r="G156" s="55" t="s">
        <v>4750</v>
      </c>
      <c r="H156" s="55" t="s">
        <v>22</v>
      </c>
      <c r="I156" s="55" t="s">
        <v>4751</v>
      </c>
    </row>
    <row r="157" customFormat="false" ht="15" hidden="false" customHeight="false" outlineLevel="0" collapsed="false">
      <c r="A157" s="55" t="s">
        <v>4929</v>
      </c>
      <c r="B157" s="55" t="s">
        <v>1247</v>
      </c>
      <c r="C157" s="55" t="s">
        <v>1246</v>
      </c>
      <c r="D157" s="55" t="s">
        <v>47</v>
      </c>
      <c r="E157" s="55" t="s">
        <v>4740</v>
      </c>
      <c r="F157" s="55" t="s">
        <v>4930</v>
      </c>
      <c r="G157" s="55" t="s">
        <v>4931</v>
      </c>
      <c r="H157" s="55" t="s">
        <v>19</v>
      </c>
      <c r="I157" s="55" t="s">
        <v>4783</v>
      </c>
    </row>
    <row r="158" customFormat="false" ht="15" hidden="false" customHeight="false" outlineLevel="0" collapsed="false">
      <c r="A158" s="55" t="s">
        <v>4932</v>
      </c>
      <c r="B158" s="55" t="s">
        <v>178</v>
      </c>
      <c r="C158" s="55" t="s">
        <v>177</v>
      </c>
      <c r="D158" s="55" t="s">
        <v>47</v>
      </c>
      <c r="E158" s="55" t="s">
        <v>4740</v>
      </c>
      <c r="F158" s="55" t="s">
        <v>4745</v>
      </c>
      <c r="G158" s="55" t="s">
        <v>4746</v>
      </c>
      <c r="H158" s="55" t="s">
        <v>22</v>
      </c>
      <c r="I158" s="55" t="s">
        <v>4753</v>
      </c>
    </row>
    <row r="159" customFormat="false" ht="15" hidden="false" customHeight="false" outlineLevel="0" collapsed="false">
      <c r="A159" s="55" t="s">
        <v>4933</v>
      </c>
      <c r="B159" s="55" t="s">
        <v>1905</v>
      </c>
      <c r="C159" s="55" t="s">
        <v>1904</v>
      </c>
      <c r="D159" s="55" t="s">
        <v>45</v>
      </c>
      <c r="E159" s="55" t="s">
        <v>4740</v>
      </c>
      <c r="F159" s="55" t="s">
        <v>4934</v>
      </c>
      <c r="G159" s="55" t="s">
        <v>4935</v>
      </c>
      <c r="H159" s="55" t="s">
        <v>22</v>
      </c>
      <c r="I159" s="55" t="s">
        <v>4747</v>
      </c>
    </row>
    <row r="160" customFormat="false" ht="15" hidden="false" customHeight="false" outlineLevel="0" collapsed="false">
      <c r="A160" s="55" t="s">
        <v>4936</v>
      </c>
      <c r="B160" s="55" t="s">
        <v>1905</v>
      </c>
      <c r="C160" s="55" t="s">
        <v>1904</v>
      </c>
      <c r="D160" s="55" t="s">
        <v>47</v>
      </c>
      <c r="E160" s="55" t="s">
        <v>4740</v>
      </c>
      <c r="F160" s="55" t="s">
        <v>4745</v>
      </c>
      <c r="G160" s="55" t="s">
        <v>4746</v>
      </c>
      <c r="H160" s="55" t="s">
        <v>22</v>
      </c>
      <c r="I160" s="55" t="s">
        <v>4753</v>
      </c>
    </row>
    <row r="161" customFormat="false" ht="15" hidden="false" customHeight="false" outlineLevel="0" collapsed="false">
      <c r="A161" s="55" t="s">
        <v>4937</v>
      </c>
      <c r="B161" s="55" t="s">
        <v>524</v>
      </c>
      <c r="C161" s="55" t="s">
        <v>523</v>
      </c>
      <c r="D161" s="55" t="s">
        <v>45</v>
      </c>
      <c r="E161" s="55" t="s">
        <v>4740</v>
      </c>
      <c r="F161" s="55" t="s">
        <v>4745</v>
      </c>
      <c r="G161" s="55" t="s">
        <v>4746</v>
      </c>
      <c r="H161" s="55" t="s">
        <v>22</v>
      </c>
      <c r="I161" s="55" t="s">
        <v>4747</v>
      </c>
    </row>
    <row r="162" customFormat="false" ht="15" hidden="false" customHeight="false" outlineLevel="0" collapsed="false">
      <c r="A162" s="55" t="s">
        <v>4938</v>
      </c>
      <c r="B162" s="55" t="s">
        <v>524</v>
      </c>
      <c r="C162" s="55" t="s">
        <v>523</v>
      </c>
      <c r="D162" s="55" t="s">
        <v>47</v>
      </c>
      <c r="E162" s="55" t="s">
        <v>4740</v>
      </c>
      <c r="F162" s="55" t="s">
        <v>4745</v>
      </c>
      <c r="G162" s="55" t="s">
        <v>4746</v>
      </c>
      <c r="H162" s="55" t="s">
        <v>22</v>
      </c>
      <c r="I162" s="55" t="s">
        <v>4753</v>
      </c>
    </row>
    <row r="163" customFormat="false" ht="15" hidden="false" customHeight="false" outlineLevel="0" collapsed="false">
      <c r="A163" s="55" t="s">
        <v>4939</v>
      </c>
      <c r="B163" s="55" t="s">
        <v>628</v>
      </c>
      <c r="C163" s="55" t="s">
        <v>627</v>
      </c>
      <c r="D163" s="55" t="s">
        <v>47</v>
      </c>
      <c r="E163" s="55" t="s">
        <v>4740</v>
      </c>
      <c r="F163" s="55" t="s">
        <v>4770</v>
      </c>
      <c r="G163" s="55" t="s">
        <v>4771</v>
      </c>
      <c r="H163" s="55" t="s">
        <v>22</v>
      </c>
      <c r="I163" s="55" t="s">
        <v>4772</v>
      </c>
    </row>
    <row r="164" customFormat="false" ht="15" hidden="false" customHeight="false" outlineLevel="0" collapsed="false">
      <c r="A164" s="55" t="s">
        <v>4940</v>
      </c>
      <c r="B164" s="55" t="s">
        <v>1288</v>
      </c>
      <c r="C164" s="55" t="s">
        <v>1287</v>
      </c>
      <c r="D164" s="55" t="s">
        <v>47</v>
      </c>
      <c r="E164" s="55" t="s">
        <v>4740</v>
      </c>
      <c r="F164" s="55" t="s">
        <v>4745</v>
      </c>
      <c r="G164" s="55" t="s">
        <v>4746</v>
      </c>
      <c r="H164" s="55" t="s">
        <v>22</v>
      </c>
      <c r="I164" s="55" t="s">
        <v>4753</v>
      </c>
    </row>
    <row r="165" customFormat="false" ht="15" hidden="false" customHeight="false" outlineLevel="0" collapsed="false">
      <c r="A165" s="55" t="s">
        <v>4941</v>
      </c>
      <c r="B165" s="55" t="s">
        <v>926</v>
      </c>
      <c r="C165" s="55" t="s">
        <v>925</v>
      </c>
      <c r="D165" s="55" t="s">
        <v>47</v>
      </c>
      <c r="E165" s="55" t="s">
        <v>4740</v>
      </c>
      <c r="F165" s="55" t="s">
        <v>4804</v>
      </c>
      <c r="G165" s="55" t="s">
        <v>4843</v>
      </c>
      <c r="H165" s="55" t="s">
        <v>22</v>
      </c>
      <c r="I165" s="55" t="s">
        <v>4844</v>
      </c>
    </row>
    <row r="166" customFormat="false" ht="15" hidden="false" customHeight="false" outlineLevel="0" collapsed="false">
      <c r="A166" s="55" t="s">
        <v>4942</v>
      </c>
      <c r="B166" s="55" t="s">
        <v>384</v>
      </c>
      <c r="C166" s="55" t="s">
        <v>383</v>
      </c>
      <c r="D166" s="55" t="s">
        <v>47</v>
      </c>
      <c r="E166" s="55" t="s">
        <v>4740</v>
      </c>
      <c r="F166" s="55" t="s">
        <v>4577</v>
      </c>
      <c r="G166" s="55" t="s">
        <v>4819</v>
      </c>
      <c r="H166" s="55" t="s">
        <v>22</v>
      </c>
      <c r="I166" s="55" t="s">
        <v>4820</v>
      </c>
    </row>
    <row r="167" customFormat="false" ht="15" hidden="false" customHeight="false" outlineLevel="0" collapsed="false">
      <c r="A167" s="55" t="s">
        <v>4943</v>
      </c>
      <c r="B167" s="55" t="s">
        <v>1371</v>
      </c>
      <c r="C167" s="55" t="s">
        <v>1370</v>
      </c>
      <c r="D167" s="55" t="s">
        <v>47</v>
      </c>
      <c r="E167" s="55" t="s">
        <v>4740</v>
      </c>
      <c r="F167" s="55" t="s">
        <v>4745</v>
      </c>
      <c r="G167" s="55" t="s">
        <v>4746</v>
      </c>
      <c r="H167" s="55" t="s">
        <v>22</v>
      </c>
      <c r="I167" s="55" t="s">
        <v>4753</v>
      </c>
    </row>
    <row r="168" customFormat="false" ht="15" hidden="false" customHeight="false" outlineLevel="0" collapsed="false">
      <c r="A168" s="55" t="s">
        <v>4944</v>
      </c>
      <c r="B168" s="55" t="s">
        <v>138</v>
      </c>
      <c r="C168" s="55" t="s">
        <v>137</v>
      </c>
      <c r="D168" s="55" t="s">
        <v>47</v>
      </c>
      <c r="E168" s="55" t="s">
        <v>4740</v>
      </c>
      <c r="F168" s="55" t="s">
        <v>4745</v>
      </c>
      <c r="G168" s="55" t="s">
        <v>4746</v>
      </c>
      <c r="H168" s="55" t="s">
        <v>22</v>
      </c>
      <c r="I168" s="55" t="s">
        <v>4753</v>
      </c>
    </row>
    <row r="169" customFormat="false" ht="15" hidden="false" customHeight="false" outlineLevel="0" collapsed="false">
      <c r="A169" s="55" t="s">
        <v>4945</v>
      </c>
      <c r="B169" s="55" t="s">
        <v>2543</v>
      </c>
      <c r="C169" s="55" t="s">
        <v>2542</v>
      </c>
      <c r="D169" s="55" t="s">
        <v>47</v>
      </c>
      <c r="E169" s="55" t="s">
        <v>4740</v>
      </c>
      <c r="F169" s="55" t="s">
        <v>4749</v>
      </c>
      <c r="G169" s="55" t="s">
        <v>4750</v>
      </c>
      <c r="H169" s="55" t="s">
        <v>22</v>
      </c>
      <c r="I169" s="55" t="s">
        <v>4751</v>
      </c>
    </row>
    <row r="170" customFormat="false" ht="15" hidden="false" customHeight="false" outlineLevel="0" collapsed="false">
      <c r="A170" s="55" t="s">
        <v>4946</v>
      </c>
      <c r="B170" s="55" t="s">
        <v>2246</v>
      </c>
      <c r="C170" s="55" t="s">
        <v>2245</v>
      </c>
      <c r="D170" s="55" t="s">
        <v>47</v>
      </c>
      <c r="E170" s="55" t="s">
        <v>4740</v>
      </c>
      <c r="F170" s="55" t="s">
        <v>4745</v>
      </c>
      <c r="G170" s="55" t="s">
        <v>4947</v>
      </c>
      <c r="H170" s="55" t="s">
        <v>19</v>
      </c>
      <c r="I170" s="55" t="s">
        <v>4783</v>
      </c>
    </row>
    <row r="171" customFormat="false" ht="15" hidden="false" customHeight="false" outlineLevel="0" collapsed="false">
      <c r="A171" s="55" t="s">
        <v>4948</v>
      </c>
      <c r="B171" s="55" t="s">
        <v>404</v>
      </c>
      <c r="C171" s="55" t="s">
        <v>403</v>
      </c>
      <c r="D171" s="55" t="s">
        <v>46</v>
      </c>
      <c r="E171" s="55" t="s">
        <v>4740</v>
      </c>
      <c r="F171" s="55" t="s">
        <v>4741</v>
      </c>
      <c r="G171" s="55" t="s">
        <v>4742</v>
      </c>
      <c r="H171" s="55" t="s">
        <v>22</v>
      </c>
      <c r="I171" s="55" t="s">
        <v>4743</v>
      </c>
    </row>
    <row r="172" customFormat="false" ht="15" hidden="false" customHeight="false" outlineLevel="0" collapsed="false">
      <c r="A172" s="55" t="s">
        <v>4949</v>
      </c>
      <c r="B172" s="55" t="s">
        <v>404</v>
      </c>
      <c r="C172" s="55" t="s">
        <v>403</v>
      </c>
      <c r="D172" s="55" t="s">
        <v>47</v>
      </c>
      <c r="E172" s="55" t="s">
        <v>4740</v>
      </c>
      <c r="F172" s="55" t="s">
        <v>4745</v>
      </c>
      <c r="G172" s="55" t="s">
        <v>4746</v>
      </c>
      <c r="H172" s="55" t="s">
        <v>22</v>
      </c>
      <c r="I172" s="55" t="s">
        <v>4753</v>
      </c>
    </row>
    <row r="173" customFormat="false" ht="15" hidden="false" customHeight="false" outlineLevel="0" collapsed="false">
      <c r="A173" s="55" t="s">
        <v>4950</v>
      </c>
      <c r="B173" s="55" t="s">
        <v>2525</v>
      </c>
      <c r="C173" s="55" t="s">
        <v>2524</v>
      </c>
      <c r="D173" s="55" t="s">
        <v>47</v>
      </c>
      <c r="E173" s="55" t="s">
        <v>4740</v>
      </c>
      <c r="F173" s="55" t="s">
        <v>4745</v>
      </c>
      <c r="G173" s="55" t="s">
        <v>4746</v>
      </c>
      <c r="H173" s="55" t="s">
        <v>22</v>
      </c>
      <c r="I173" s="55" t="s">
        <v>4753</v>
      </c>
    </row>
    <row r="174" customFormat="false" ht="15" hidden="false" customHeight="false" outlineLevel="0" collapsed="false">
      <c r="A174" s="55" t="s">
        <v>4951</v>
      </c>
      <c r="B174" s="55" t="s">
        <v>2519</v>
      </c>
      <c r="C174" s="55" t="s">
        <v>2518</v>
      </c>
      <c r="D174" s="55" t="s">
        <v>47</v>
      </c>
      <c r="E174" s="55" t="s">
        <v>4740</v>
      </c>
      <c r="F174" s="55" t="s">
        <v>4745</v>
      </c>
      <c r="G174" s="55" t="s">
        <v>4746</v>
      </c>
      <c r="H174" s="55" t="s">
        <v>22</v>
      </c>
      <c r="I174" s="55" t="s">
        <v>4753</v>
      </c>
    </row>
    <row r="175" customFormat="false" ht="15" hidden="false" customHeight="false" outlineLevel="0" collapsed="false">
      <c r="A175" s="55" t="s">
        <v>4952</v>
      </c>
      <c r="B175" s="55" t="s">
        <v>1493</v>
      </c>
      <c r="C175" s="55" t="s">
        <v>1492</v>
      </c>
      <c r="D175" s="55" t="s">
        <v>45</v>
      </c>
      <c r="E175" s="55" t="s">
        <v>4740</v>
      </c>
      <c r="F175" s="55" t="s">
        <v>4745</v>
      </c>
      <c r="G175" s="55" t="s">
        <v>4746</v>
      </c>
      <c r="H175" s="55" t="s">
        <v>22</v>
      </c>
      <c r="I175" s="55" t="s">
        <v>4753</v>
      </c>
    </row>
    <row r="176" customFormat="false" ht="15" hidden="false" customHeight="false" outlineLevel="0" collapsed="false">
      <c r="A176" s="55" t="s">
        <v>4953</v>
      </c>
      <c r="B176" s="55" t="s">
        <v>450</v>
      </c>
      <c r="C176" s="55" t="s">
        <v>449</v>
      </c>
      <c r="D176" s="55" t="s">
        <v>47</v>
      </c>
      <c r="E176" s="55" t="s">
        <v>4740</v>
      </c>
      <c r="F176" s="55" t="s">
        <v>4577</v>
      </c>
      <c r="G176" s="55" t="s">
        <v>4819</v>
      </c>
      <c r="H176" s="55" t="s">
        <v>22</v>
      </c>
      <c r="I176" s="55" t="s">
        <v>4820</v>
      </c>
    </row>
    <row r="177" customFormat="false" ht="15" hidden="false" customHeight="false" outlineLevel="0" collapsed="false">
      <c r="A177" s="55" t="s">
        <v>4954</v>
      </c>
      <c r="B177" s="55" t="s">
        <v>238</v>
      </c>
      <c r="C177" s="55" t="s">
        <v>237</v>
      </c>
      <c r="D177" s="55" t="s">
        <v>47</v>
      </c>
      <c r="E177" s="55" t="s">
        <v>4740</v>
      </c>
      <c r="F177" s="55" t="s">
        <v>4745</v>
      </c>
      <c r="G177" s="55" t="s">
        <v>4746</v>
      </c>
      <c r="H177" s="55" t="s">
        <v>22</v>
      </c>
      <c r="I177" s="55" t="s">
        <v>4747</v>
      </c>
    </row>
    <row r="178" customFormat="false" ht="15" hidden="false" customHeight="false" outlineLevel="0" collapsed="false">
      <c r="A178" s="55" t="s">
        <v>4955</v>
      </c>
      <c r="B178" s="55" t="s">
        <v>1515</v>
      </c>
      <c r="C178" s="55" t="s">
        <v>1514</v>
      </c>
      <c r="D178" s="55" t="s">
        <v>45</v>
      </c>
      <c r="E178" s="55" t="s">
        <v>4740</v>
      </c>
      <c r="F178" s="55" t="s">
        <v>4741</v>
      </c>
      <c r="G178" s="55" t="s">
        <v>4814</v>
      </c>
      <c r="H178" s="55" t="s">
        <v>19</v>
      </c>
      <c r="I178" s="55" t="s">
        <v>4815</v>
      </c>
    </row>
    <row r="179" customFormat="false" ht="15" hidden="false" customHeight="false" outlineLevel="0" collapsed="false">
      <c r="A179" s="55" t="s">
        <v>4956</v>
      </c>
      <c r="B179" s="55" t="s">
        <v>732</v>
      </c>
      <c r="C179" s="55" t="s">
        <v>731</v>
      </c>
      <c r="D179" s="55" t="s">
        <v>47</v>
      </c>
      <c r="E179" s="55" t="s">
        <v>4740</v>
      </c>
      <c r="F179" s="55" t="s">
        <v>4745</v>
      </c>
      <c r="G179" s="55" t="s">
        <v>4746</v>
      </c>
      <c r="H179" s="55" t="s">
        <v>22</v>
      </c>
      <c r="I179" s="55" t="s">
        <v>4753</v>
      </c>
    </row>
    <row r="180" customFormat="false" ht="15" hidden="false" customHeight="false" outlineLevel="0" collapsed="false">
      <c r="A180" s="55" t="s">
        <v>4957</v>
      </c>
      <c r="B180" s="55" t="s">
        <v>2171</v>
      </c>
      <c r="C180" s="55" t="s">
        <v>2170</v>
      </c>
      <c r="D180" s="55" t="s">
        <v>46</v>
      </c>
      <c r="E180" s="55" t="s">
        <v>4740</v>
      </c>
      <c r="F180" s="55" t="s">
        <v>4770</v>
      </c>
      <c r="G180" s="55" t="s">
        <v>4771</v>
      </c>
      <c r="H180" s="55" t="s">
        <v>22</v>
      </c>
      <c r="I180" s="55" t="s">
        <v>4772</v>
      </c>
    </row>
    <row r="181" customFormat="false" ht="15" hidden="false" customHeight="false" outlineLevel="0" collapsed="false">
      <c r="A181" s="55" t="s">
        <v>4958</v>
      </c>
      <c r="B181" s="55" t="s">
        <v>2171</v>
      </c>
      <c r="C181" s="55" t="s">
        <v>2170</v>
      </c>
      <c r="D181" s="55" t="s">
        <v>47</v>
      </c>
      <c r="E181" s="55" t="s">
        <v>4740</v>
      </c>
      <c r="F181" s="55" t="s">
        <v>4774</v>
      </c>
      <c r="G181" s="55" t="s">
        <v>4775</v>
      </c>
      <c r="H181" s="55" t="s">
        <v>22</v>
      </c>
      <c r="I181" s="55" t="s">
        <v>4753</v>
      </c>
    </row>
    <row r="182" customFormat="false" ht="15" hidden="false" customHeight="false" outlineLevel="0" collapsed="false">
      <c r="A182" s="55" t="s">
        <v>4959</v>
      </c>
      <c r="B182" s="55" t="s">
        <v>180</v>
      </c>
      <c r="C182" s="55" t="s">
        <v>179</v>
      </c>
      <c r="D182" s="55" t="s">
        <v>45</v>
      </c>
      <c r="E182" s="55" t="s">
        <v>4740</v>
      </c>
      <c r="F182" s="55" t="s">
        <v>4577</v>
      </c>
      <c r="G182" s="55" t="s">
        <v>4819</v>
      </c>
      <c r="H182" s="55" t="s">
        <v>22</v>
      </c>
      <c r="I182" s="55" t="s">
        <v>4820</v>
      </c>
    </row>
    <row r="183" customFormat="false" ht="15" hidden="false" customHeight="false" outlineLevel="0" collapsed="false">
      <c r="A183" s="55" t="s">
        <v>4960</v>
      </c>
      <c r="B183" s="55" t="s">
        <v>180</v>
      </c>
      <c r="C183" s="55" t="s">
        <v>179</v>
      </c>
      <c r="D183" s="55" t="s">
        <v>47</v>
      </c>
      <c r="E183" s="55" t="s">
        <v>4740</v>
      </c>
      <c r="F183" s="55" t="s">
        <v>4745</v>
      </c>
      <c r="G183" s="55" t="s">
        <v>4746</v>
      </c>
      <c r="H183" s="55" t="s">
        <v>22</v>
      </c>
      <c r="I183" s="55" t="s">
        <v>4753</v>
      </c>
    </row>
    <row r="184" customFormat="false" ht="15" hidden="false" customHeight="false" outlineLevel="0" collapsed="false">
      <c r="A184" s="55" t="s">
        <v>4961</v>
      </c>
      <c r="B184" s="55" t="s">
        <v>772</v>
      </c>
      <c r="C184" s="55" t="s">
        <v>771</v>
      </c>
      <c r="D184" s="55" t="s">
        <v>47</v>
      </c>
      <c r="E184" s="55" t="s">
        <v>4740</v>
      </c>
      <c r="F184" s="55" t="s">
        <v>4745</v>
      </c>
      <c r="G184" s="55" t="s">
        <v>4746</v>
      </c>
      <c r="H184" s="55" t="s">
        <v>22</v>
      </c>
      <c r="I184" s="55" t="s">
        <v>4753</v>
      </c>
    </row>
    <row r="185" customFormat="false" ht="15" hidden="false" customHeight="false" outlineLevel="0" collapsed="false">
      <c r="A185" s="55" t="s">
        <v>4962</v>
      </c>
      <c r="B185" s="55" t="s">
        <v>686</v>
      </c>
      <c r="C185" s="55" t="s">
        <v>685</v>
      </c>
      <c r="D185" s="55" t="s">
        <v>47</v>
      </c>
      <c r="E185" s="55" t="s">
        <v>4740</v>
      </c>
      <c r="F185" s="55" t="s">
        <v>4745</v>
      </c>
      <c r="G185" s="55" t="s">
        <v>4746</v>
      </c>
      <c r="H185" s="55" t="s">
        <v>22</v>
      </c>
      <c r="I185" s="55" t="s">
        <v>4753</v>
      </c>
    </row>
    <row r="186" customFormat="false" ht="15" hidden="false" customHeight="false" outlineLevel="0" collapsed="false">
      <c r="A186" s="55" t="s">
        <v>4963</v>
      </c>
      <c r="B186" s="55" t="s">
        <v>764</v>
      </c>
      <c r="C186" s="55" t="s">
        <v>763</v>
      </c>
      <c r="D186" s="55" t="s">
        <v>45</v>
      </c>
      <c r="E186" s="55" t="s">
        <v>4740</v>
      </c>
      <c r="F186" s="55" t="s">
        <v>4749</v>
      </c>
      <c r="G186" s="55" t="s">
        <v>4750</v>
      </c>
      <c r="H186" s="55" t="s">
        <v>22</v>
      </c>
      <c r="I186" s="55" t="s">
        <v>4751</v>
      </c>
    </row>
    <row r="187" customFormat="false" ht="15" hidden="false" customHeight="false" outlineLevel="0" collapsed="false">
      <c r="A187" s="55" t="s">
        <v>4964</v>
      </c>
      <c r="B187" s="55" t="s">
        <v>764</v>
      </c>
      <c r="C187" s="55" t="s">
        <v>763</v>
      </c>
      <c r="D187" s="55" t="s">
        <v>46</v>
      </c>
      <c r="E187" s="55" t="s">
        <v>4740</v>
      </c>
      <c r="F187" s="55" t="s">
        <v>4749</v>
      </c>
      <c r="G187" s="55" t="s">
        <v>4750</v>
      </c>
      <c r="H187" s="55" t="s">
        <v>22</v>
      </c>
      <c r="I187" s="55" t="s">
        <v>4751</v>
      </c>
    </row>
    <row r="188" customFormat="false" ht="15" hidden="false" customHeight="false" outlineLevel="0" collapsed="false">
      <c r="A188" s="55" t="s">
        <v>4965</v>
      </c>
      <c r="B188" s="55" t="s">
        <v>764</v>
      </c>
      <c r="C188" s="55" t="s">
        <v>763</v>
      </c>
      <c r="D188" s="55" t="s">
        <v>47</v>
      </c>
      <c r="E188" s="55" t="s">
        <v>4740</v>
      </c>
      <c r="F188" s="55" t="s">
        <v>4745</v>
      </c>
      <c r="G188" s="55" t="s">
        <v>4947</v>
      </c>
      <c r="H188" s="55" t="s">
        <v>19</v>
      </c>
      <c r="I188" s="55" t="s">
        <v>4783</v>
      </c>
    </row>
    <row r="189" customFormat="false" ht="15" hidden="false" customHeight="false" outlineLevel="0" collapsed="false">
      <c r="A189" s="55" t="s">
        <v>4966</v>
      </c>
      <c r="B189" s="55" t="s">
        <v>1093</v>
      </c>
      <c r="C189" s="55" t="s">
        <v>1092</v>
      </c>
      <c r="D189" s="55" t="s">
        <v>47</v>
      </c>
      <c r="E189" s="55" t="s">
        <v>4740</v>
      </c>
      <c r="F189" s="55" t="s">
        <v>4745</v>
      </c>
      <c r="G189" s="55" t="s">
        <v>4746</v>
      </c>
      <c r="H189" s="55" t="s">
        <v>22</v>
      </c>
      <c r="I189" s="55" t="s">
        <v>4753</v>
      </c>
    </row>
    <row r="190" customFormat="false" ht="15" hidden="false" customHeight="false" outlineLevel="0" collapsed="false">
      <c r="A190" s="55" t="s">
        <v>4967</v>
      </c>
      <c r="B190" s="55" t="s">
        <v>598</v>
      </c>
      <c r="C190" s="55" t="s">
        <v>597</v>
      </c>
      <c r="D190" s="55" t="s">
        <v>45</v>
      </c>
      <c r="E190" s="55" t="s">
        <v>4740</v>
      </c>
      <c r="F190" s="55" t="s">
        <v>4577</v>
      </c>
      <c r="G190" s="55" t="s">
        <v>4819</v>
      </c>
      <c r="H190" s="55" t="s">
        <v>22</v>
      </c>
      <c r="I190" s="55" t="s">
        <v>4820</v>
      </c>
    </row>
    <row r="191" customFormat="false" ht="15" hidden="false" customHeight="false" outlineLevel="0" collapsed="false">
      <c r="A191" s="55" t="s">
        <v>4968</v>
      </c>
      <c r="B191" s="55" t="s">
        <v>598</v>
      </c>
      <c r="C191" s="55" t="s">
        <v>597</v>
      </c>
      <c r="D191" s="55" t="s">
        <v>47</v>
      </c>
      <c r="E191" s="55" t="s">
        <v>4740</v>
      </c>
      <c r="F191" s="55" t="s">
        <v>4745</v>
      </c>
      <c r="G191" s="55" t="s">
        <v>4746</v>
      </c>
      <c r="H191" s="55" t="s">
        <v>22</v>
      </c>
      <c r="I191" s="55" t="s">
        <v>4753</v>
      </c>
    </row>
    <row r="192" customFormat="false" ht="15" hidden="false" customHeight="false" outlineLevel="0" collapsed="false">
      <c r="A192" s="55" t="s">
        <v>4969</v>
      </c>
      <c r="B192" s="55" t="s">
        <v>97</v>
      </c>
      <c r="C192" s="55" t="s">
        <v>96</v>
      </c>
      <c r="D192" s="55" t="s">
        <v>45</v>
      </c>
      <c r="E192" s="55" t="s">
        <v>4740</v>
      </c>
      <c r="F192" s="55" t="s">
        <v>4745</v>
      </c>
      <c r="G192" s="55" t="s">
        <v>4746</v>
      </c>
      <c r="H192" s="55" t="s">
        <v>22</v>
      </c>
      <c r="I192" s="55" t="s">
        <v>4753</v>
      </c>
    </row>
    <row r="193" customFormat="false" ht="15" hidden="false" customHeight="false" outlineLevel="0" collapsed="false">
      <c r="A193" s="55" t="s">
        <v>4970</v>
      </c>
      <c r="B193" s="55" t="s">
        <v>97</v>
      </c>
      <c r="C193" s="55" t="s">
        <v>96</v>
      </c>
      <c r="D193" s="55" t="s">
        <v>47</v>
      </c>
      <c r="E193" s="55" t="s">
        <v>4740</v>
      </c>
      <c r="F193" s="55" t="s">
        <v>4745</v>
      </c>
      <c r="G193" s="55" t="s">
        <v>4746</v>
      </c>
      <c r="H193" s="55" t="s">
        <v>22</v>
      </c>
      <c r="I193" s="55" t="s">
        <v>4753</v>
      </c>
    </row>
    <row r="194" customFormat="false" ht="15" hidden="false" customHeight="false" outlineLevel="0" collapsed="false">
      <c r="A194" s="55" t="s">
        <v>4971</v>
      </c>
      <c r="B194" s="55" t="s">
        <v>502</v>
      </c>
      <c r="C194" s="55" t="s">
        <v>501</v>
      </c>
      <c r="D194" s="55" t="s">
        <v>45</v>
      </c>
      <c r="E194" s="55" t="s">
        <v>4740</v>
      </c>
      <c r="F194" s="55" t="s">
        <v>4366</v>
      </c>
      <c r="G194" s="55" t="s">
        <v>4800</v>
      </c>
      <c r="H194" s="55" t="s">
        <v>19</v>
      </c>
      <c r="I194" s="55" t="s">
        <v>4801</v>
      </c>
    </row>
    <row r="195" customFormat="false" ht="15" hidden="false" customHeight="false" outlineLevel="0" collapsed="false">
      <c r="A195" s="55" t="s">
        <v>4972</v>
      </c>
      <c r="B195" s="55" t="s">
        <v>2207</v>
      </c>
      <c r="C195" s="55" t="s">
        <v>2206</v>
      </c>
      <c r="D195" s="55" t="s">
        <v>47</v>
      </c>
      <c r="E195" s="55" t="s">
        <v>4740</v>
      </c>
      <c r="F195" s="55" t="s">
        <v>4745</v>
      </c>
      <c r="G195" s="55" t="s">
        <v>4746</v>
      </c>
      <c r="H195" s="55" t="s">
        <v>22</v>
      </c>
      <c r="I195" s="55" t="s">
        <v>4753</v>
      </c>
    </row>
    <row r="196" customFormat="false" ht="15" hidden="false" customHeight="false" outlineLevel="0" collapsed="false">
      <c r="A196" s="55" t="s">
        <v>4973</v>
      </c>
      <c r="B196" s="55" t="s">
        <v>114</v>
      </c>
      <c r="C196" s="55" t="s">
        <v>113</v>
      </c>
      <c r="D196" s="55" t="s">
        <v>46</v>
      </c>
      <c r="E196" s="55" t="s">
        <v>4740</v>
      </c>
      <c r="F196" s="55" t="s">
        <v>4745</v>
      </c>
      <c r="G196" s="55" t="s">
        <v>4746</v>
      </c>
      <c r="H196" s="55" t="s">
        <v>22</v>
      </c>
      <c r="I196" s="55" t="s">
        <v>4747</v>
      </c>
    </row>
    <row r="197" customFormat="false" ht="15" hidden="false" customHeight="false" outlineLevel="0" collapsed="false">
      <c r="A197" s="55" t="s">
        <v>4974</v>
      </c>
      <c r="B197" s="55" t="s">
        <v>3005</v>
      </c>
      <c r="C197" s="55" t="s">
        <v>3579</v>
      </c>
      <c r="D197" s="55" t="s">
        <v>46</v>
      </c>
      <c r="E197" s="55" t="s">
        <v>4740</v>
      </c>
      <c r="F197" s="55" t="s">
        <v>4774</v>
      </c>
      <c r="G197" s="55" t="s">
        <v>4775</v>
      </c>
      <c r="H197" s="55" t="s">
        <v>22</v>
      </c>
      <c r="I197" s="55" t="s">
        <v>4747</v>
      </c>
    </row>
    <row r="198" customFormat="false" ht="15" hidden="false" customHeight="false" outlineLevel="0" collapsed="false">
      <c r="A198" s="55" t="s">
        <v>4975</v>
      </c>
      <c r="B198" s="55" t="s">
        <v>882</v>
      </c>
      <c r="C198" s="55" t="s">
        <v>881</v>
      </c>
      <c r="D198" s="55" t="s">
        <v>47</v>
      </c>
      <c r="E198" s="55" t="s">
        <v>4740</v>
      </c>
      <c r="F198" s="55" t="s">
        <v>4749</v>
      </c>
      <c r="G198" s="55" t="s">
        <v>4750</v>
      </c>
      <c r="H198" s="55" t="s">
        <v>22</v>
      </c>
      <c r="I198" s="55" t="s">
        <v>4751</v>
      </c>
    </row>
    <row r="199" customFormat="false" ht="15" hidden="false" customHeight="false" outlineLevel="0" collapsed="false">
      <c r="A199" s="55" t="s">
        <v>4976</v>
      </c>
      <c r="B199" s="55" t="s">
        <v>859</v>
      </c>
      <c r="C199" s="55" t="s">
        <v>858</v>
      </c>
      <c r="D199" s="55" t="s">
        <v>46</v>
      </c>
      <c r="E199" s="55" t="s">
        <v>4740</v>
      </c>
      <c r="F199" s="55" t="s">
        <v>4577</v>
      </c>
      <c r="G199" s="55" t="s">
        <v>4893</v>
      </c>
      <c r="H199" s="55" t="s">
        <v>19</v>
      </c>
      <c r="I199" s="55" t="s">
        <v>4894</v>
      </c>
    </row>
    <row r="200" customFormat="false" ht="15" hidden="false" customHeight="false" outlineLevel="0" collapsed="false">
      <c r="A200" s="55" t="s">
        <v>4977</v>
      </c>
      <c r="B200" s="55" t="s">
        <v>859</v>
      </c>
      <c r="C200" s="55" t="s">
        <v>858</v>
      </c>
      <c r="D200" s="55" t="s">
        <v>47</v>
      </c>
      <c r="E200" s="55" t="s">
        <v>4740</v>
      </c>
      <c r="F200" s="55" t="s">
        <v>4930</v>
      </c>
      <c r="G200" s="55" t="s">
        <v>4978</v>
      </c>
      <c r="H200" s="55" t="s">
        <v>22</v>
      </c>
      <c r="I200" s="55" t="s">
        <v>4753</v>
      </c>
    </row>
    <row r="201" customFormat="false" ht="15" hidden="false" customHeight="false" outlineLevel="0" collapsed="false">
      <c r="A201" s="55" t="s">
        <v>4979</v>
      </c>
      <c r="B201" s="55" t="s">
        <v>3009</v>
      </c>
      <c r="C201" s="55" t="s">
        <v>3583</v>
      </c>
      <c r="D201" s="55" t="s">
        <v>45</v>
      </c>
      <c r="E201" s="55" t="s">
        <v>4740</v>
      </c>
      <c r="F201" s="55" t="s">
        <v>4366</v>
      </c>
      <c r="G201" s="55" t="s">
        <v>4800</v>
      </c>
      <c r="H201" s="55" t="s">
        <v>19</v>
      </c>
      <c r="I201" s="55" t="s">
        <v>4808</v>
      </c>
    </row>
    <row r="202" customFormat="false" ht="15" hidden="false" customHeight="false" outlineLevel="0" collapsed="false">
      <c r="A202" s="55" t="s">
        <v>4980</v>
      </c>
      <c r="B202" s="55" t="s">
        <v>744</v>
      </c>
      <c r="C202" s="55" t="s">
        <v>743</v>
      </c>
      <c r="D202" s="55" t="s">
        <v>45</v>
      </c>
      <c r="E202" s="55" t="s">
        <v>4740</v>
      </c>
      <c r="F202" s="55" t="s">
        <v>4749</v>
      </c>
      <c r="G202" s="55" t="s">
        <v>4750</v>
      </c>
      <c r="H202" s="55" t="s">
        <v>22</v>
      </c>
      <c r="I202" s="55" t="s">
        <v>4751</v>
      </c>
    </row>
    <row r="203" customFormat="false" ht="15" hidden="false" customHeight="false" outlineLevel="0" collapsed="false">
      <c r="A203" s="55" t="s">
        <v>4981</v>
      </c>
      <c r="B203" s="55" t="s">
        <v>837</v>
      </c>
      <c r="C203" s="55" t="s">
        <v>836</v>
      </c>
      <c r="D203" s="55" t="s">
        <v>45</v>
      </c>
      <c r="E203" s="55" t="s">
        <v>4740</v>
      </c>
      <c r="F203" s="55" t="s">
        <v>4749</v>
      </c>
      <c r="G203" s="55" t="s">
        <v>4750</v>
      </c>
      <c r="H203" s="55" t="s">
        <v>22</v>
      </c>
      <c r="I203" s="55" t="s">
        <v>4751</v>
      </c>
    </row>
    <row r="204" customFormat="false" ht="15" hidden="false" customHeight="false" outlineLevel="0" collapsed="false">
      <c r="A204" s="55" t="s">
        <v>4982</v>
      </c>
      <c r="B204" s="55" t="s">
        <v>837</v>
      </c>
      <c r="C204" s="55" t="s">
        <v>836</v>
      </c>
      <c r="D204" s="55" t="s">
        <v>47</v>
      </c>
      <c r="E204" s="55" t="s">
        <v>4740</v>
      </c>
      <c r="F204" s="55" t="s">
        <v>4745</v>
      </c>
      <c r="G204" s="55" t="s">
        <v>4746</v>
      </c>
      <c r="H204" s="55" t="s">
        <v>22</v>
      </c>
      <c r="I204" s="55" t="s">
        <v>4753</v>
      </c>
    </row>
    <row r="205" customFormat="false" ht="15" hidden="false" customHeight="false" outlineLevel="0" collapsed="false">
      <c r="A205" s="55" t="s">
        <v>4983</v>
      </c>
      <c r="B205" s="55" t="s">
        <v>872</v>
      </c>
      <c r="C205" s="55" t="s">
        <v>871</v>
      </c>
      <c r="D205" s="55" t="s">
        <v>45</v>
      </c>
      <c r="E205" s="55" t="s">
        <v>4740</v>
      </c>
      <c r="F205" s="55" t="s">
        <v>4745</v>
      </c>
      <c r="G205" s="55" t="s">
        <v>4746</v>
      </c>
      <c r="H205" s="55" t="s">
        <v>22</v>
      </c>
      <c r="I205" s="55" t="s">
        <v>4753</v>
      </c>
    </row>
    <row r="206" customFormat="false" ht="15" hidden="false" customHeight="false" outlineLevel="0" collapsed="false">
      <c r="A206" s="55" t="s">
        <v>4984</v>
      </c>
      <c r="B206" s="55" t="s">
        <v>872</v>
      </c>
      <c r="C206" s="55" t="s">
        <v>871</v>
      </c>
      <c r="D206" s="55" t="s">
        <v>47</v>
      </c>
      <c r="E206" s="55" t="s">
        <v>4740</v>
      </c>
      <c r="F206" s="55" t="s">
        <v>4774</v>
      </c>
      <c r="G206" s="55" t="s">
        <v>4775</v>
      </c>
      <c r="H206" s="55" t="s">
        <v>22</v>
      </c>
      <c r="I206" s="55" t="s">
        <v>4753</v>
      </c>
    </row>
    <row r="207" customFormat="false" ht="15" hidden="false" customHeight="false" outlineLevel="0" collapsed="false">
      <c r="A207" s="55" t="s">
        <v>4985</v>
      </c>
      <c r="B207" s="55" t="s">
        <v>999</v>
      </c>
      <c r="C207" s="55" t="s">
        <v>998</v>
      </c>
      <c r="D207" s="55" t="s">
        <v>45</v>
      </c>
      <c r="E207" s="55" t="s">
        <v>4740</v>
      </c>
      <c r="F207" s="55" t="s">
        <v>4577</v>
      </c>
      <c r="G207" s="55" t="s">
        <v>4819</v>
      </c>
      <c r="H207" s="55" t="s">
        <v>22</v>
      </c>
      <c r="I207" s="55" t="s">
        <v>4820</v>
      </c>
    </row>
    <row r="208" customFormat="false" ht="15" hidden="false" customHeight="false" outlineLevel="0" collapsed="false">
      <c r="A208" s="55" t="s">
        <v>4986</v>
      </c>
      <c r="B208" s="55" t="s">
        <v>230</v>
      </c>
      <c r="C208" s="55" t="s">
        <v>229</v>
      </c>
      <c r="D208" s="55" t="s">
        <v>46</v>
      </c>
      <c r="E208" s="55" t="s">
        <v>4740</v>
      </c>
      <c r="F208" s="55" t="s">
        <v>4745</v>
      </c>
      <c r="G208" s="55" t="s">
        <v>4746</v>
      </c>
      <c r="H208" s="55" t="s">
        <v>22</v>
      </c>
      <c r="I208" s="55" t="s">
        <v>4747</v>
      </c>
    </row>
    <row r="209" customFormat="false" ht="15" hidden="false" customHeight="false" outlineLevel="0" collapsed="false">
      <c r="A209" s="55" t="s">
        <v>4987</v>
      </c>
      <c r="B209" s="55" t="s">
        <v>670</v>
      </c>
      <c r="C209" s="55" t="s">
        <v>669</v>
      </c>
      <c r="D209" s="55" t="s">
        <v>45</v>
      </c>
      <c r="E209" s="55" t="s">
        <v>4740</v>
      </c>
      <c r="F209" s="55" t="s">
        <v>4745</v>
      </c>
      <c r="G209" s="55" t="s">
        <v>4746</v>
      </c>
      <c r="H209" s="55" t="s">
        <v>22</v>
      </c>
      <c r="I209" s="55" t="s">
        <v>4753</v>
      </c>
    </row>
    <row r="210" customFormat="false" ht="15" hidden="false" customHeight="false" outlineLevel="0" collapsed="false">
      <c r="A210" s="55" t="s">
        <v>4988</v>
      </c>
      <c r="B210" s="55" t="s">
        <v>1441</v>
      </c>
      <c r="C210" s="55" t="s">
        <v>1440</v>
      </c>
      <c r="D210" s="55" t="s">
        <v>45</v>
      </c>
      <c r="E210" s="55" t="s">
        <v>4740</v>
      </c>
      <c r="F210" s="55" t="s">
        <v>4577</v>
      </c>
      <c r="G210" s="55" t="s">
        <v>4819</v>
      </c>
      <c r="H210" s="55" t="s">
        <v>22</v>
      </c>
      <c r="I210" s="55" t="s">
        <v>4820</v>
      </c>
    </row>
    <row r="211" customFormat="false" ht="15" hidden="false" customHeight="false" outlineLevel="0" collapsed="false">
      <c r="A211" s="55" t="s">
        <v>4989</v>
      </c>
      <c r="B211" s="55" t="s">
        <v>1441</v>
      </c>
      <c r="C211" s="55" t="s">
        <v>1440</v>
      </c>
      <c r="D211" s="55" t="s">
        <v>47</v>
      </c>
      <c r="E211" s="55" t="s">
        <v>4740</v>
      </c>
      <c r="F211" s="55" t="s">
        <v>4745</v>
      </c>
      <c r="G211" s="55" t="s">
        <v>4746</v>
      </c>
      <c r="H211" s="55" t="s">
        <v>22</v>
      </c>
      <c r="I211" s="55" t="s">
        <v>4753</v>
      </c>
    </row>
    <row r="212" customFormat="false" ht="15" hidden="false" customHeight="false" outlineLevel="0" collapsed="false">
      <c r="A212" s="55" t="s">
        <v>4990</v>
      </c>
      <c r="B212" s="55" t="s">
        <v>390</v>
      </c>
      <c r="C212" s="55" t="s">
        <v>389</v>
      </c>
      <c r="D212" s="55" t="s">
        <v>47</v>
      </c>
      <c r="E212" s="55" t="s">
        <v>4740</v>
      </c>
      <c r="F212" s="55" t="s">
        <v>4577</v>
      </c>
      <c r="G212" s="55" t="s">
        <v>4819</v>
      </c>
      <c r="H212" s="55" t="s">
        <v>22</v>
      </c>
      <c r="I212" s="55" t="s">
        <v>4820</v>
      </c>
    </row>
    <row r="213" customFormat="false" ht="15" hidden="false" customHeight="false" outlineLevel="0" collapsed="false">
      <c r="A213" s="55" t="s">
        <v>4991</v>
      </c>
      <c r="B213" s="55" t="s">
        <v>266</v>
      </c>
      <c r="C213" s="55" t="s">
        <v>265</v>
      </c>
      <c r="D213" s="55" t="s">
        <v>46</v>
      </c>
      <c r="E213" s="55" t="s">
        <v>4740</v>
      </c>
      <c r="F213" s="55" t="s">
        <v>4804</v>
      </c>
      <c r="G213" s="55" t="s">
        <v>4805</v>
      </c>
      <c r="H213" s="55" t="s">
        <v>19</v>
      </c>
      <c r="I213" s="55" t="s">
        <v>4806</v>
      </c>
    </row>
    <row r="214" customFormat="false" ht="15" hidden="false" customHeight="false" outlineLevel="0" collapsed="false">
      <c r="A214" s="55" t="s">
        <v>4992</v>
      </c>
      <c r="B214" s="55" t="s">
        <v>266</v>
      </c>
      <c r="C214" s="55" t="s">
        <v>265</v>
      </c>
      <c r="D214" s="55" t="s">
        <v>47</v>
      </c>
      <c r="E214" s="55" t="s">
        <v>4740</v>
      </c>
      <c r="F214" s="55" t="s">
        <v>4745</v>
      </c>
      <c r="G214" s="55" t="s">
        <v>4746</v>
      </c>
      <c r="H214" s="55" t="s">
        <v>22</v>
      </c>
      <c r="I214" s="55" t="s">
        <v>4993</v>
      </c>
    </row>
    <row r="215" customFormat="false" ht="15" hidden="false" customHeight="false" outlineLevel="0" collapsed="false">
      <c r="A215" s="55" t="s">
        <v>4994</v>
      </c>
      <c r="B215" s="55" t="s">
        <v>478</v>
      </c>
      <c r="C215" s="55" t="s">
        <v>477</v>
      </c>
      <c r="D215" s="55" t="s">
        <v>46</v>
      </c>
      <c r="E215" s="55" t="s">
        <v>4740</v>
      </c>
      <c r="F215" s="55" t="s">
        <v>4745</v>
      </c>
      <c r="G215" s="55" t="s">
        <v>4746</v>
      </c>
      <c r="H215" s="55" t="s">
        <v>22</v>
      </c>
      <c r="I215" s="55" t="s">
        <v>4753</v>
      </c>
    </row>
    <row r="216" customFormat="false" ht="15" hidden="false" customHeight="false" outlineLevel="0" collapsed="false">
      <c r="A216" s="55" t="s">
        <v>4995</v>
      </c>
      <c r="B216" s="55" t="s">
        <v>1172</v>
      </c>
      <c r="C216" s="55" t="s">
        <v>1171</v>
      </c>
      <c r="D216" s="55" t="s">
        <v>46</v>
      </c>
      <c r="E216" s="55" t="s">
        <v>4740</v>
      </c>
      <c r="F216" s="55" t="s">
        <v>4749</v>
      </c>
      <c r="G216" s="55" t="s">
        <v>4750</v>
      </c>
      <c r="H216" s="55" t="s">
        <v>22</v>
      </c>
      <c r="I216" s="55" t="s">
        <v>4751</v>
      </c>
    </row>
    <row r="217" customFormat="false" ht="15" hidden="false" customHeight="false" outlineLevel="0" collapsed="false">
      <c r="A217" s="55" t="s">
        <v>4996</v>
      </c>
      <c r="B217" s="55" t="s">
        <v>1172</v>
      </c>
      <c r="C217" s="55" t="s">
        <v>1171</v>
      </c>
      <c r="D217" s="55" t="s">
        <v>47</v>
      </c>
      <c r="E217" s="55" t="s">
        <v>4740</v>
      </c>
      <c r="F217" s="55" t="s">
        <v>4745</v>
      </c>
      <c r="G217" s="55" t="s">
        <v>4746</v>
      </c>
      <c r="H217" s="55" t="s">
        <v>22</v>
      </c>
      <c r="I217" s="55" t="s">
        <v>4753</v>
      </c>
    </row>
    <row r="218" customFormat="false" ht="15" hidden="false" customHeight="false" outlineLevel="0" collapsed="false">
      <c r="A218" s="55" t="s">
        <v>4997</v>
      </c>
      <c r="B218" s="55" t="s">
        <v>482</v>
      </c>
      <c r="C218" s="55" t="s">
        <v>481</v>
      </c>
      <c r="D218" s="55" t="s">
        <v>46</v>
      </c>
      <c r="E218" s="55" t="s">
        <v>4740</v>
      </c>
      <c r="F218" s="55" t="s">
        <v>4749</v>
      </c>
      <c r="G218" s="55" t="s">
        <v>4750</v>
      </c>
      <c r="H218" s="55" t="s">
        <v>22</v>
      </c>
      <c r="I218" s="55" t="s">
        <v>4751</v>
      </c>
    </row>
    <row r="219" customFormat="false" ht="15" hidden="false" customHeight="false" outlineLevel="0" collapsed="false">
      <c r="A219" s="55" t="s">
        <v>4998</v>
      </c>
      <c r="B219" s="55" t="s">
        <v>482</v>
      </c>
      <c r="C219" s="55" t="s">
        <v>481</v>
      </c>
      <c r="D219" s="55" t="s">
        <v>47</v>
      </c>
      <c r="E219" s="55" t="s">
        <v>4740</v>
      </c>
      <c r="F219" s="55" t="s">
        <v>4745</v>
      </c>
      <c r="G219" s="55" t="s">
        <v>4746</v>
      </c>
      <c r="H219" s="55" t="s">
        <v>22</v>
      </c>
      <c r="I219" s="55" t="s">
        <v>4753</v>
      </c>
    </row>
    <row r="220" customFormat="false" ht="15" hidden="false" customHeight="false" outlineLevel="0" collapsed="false">
      <c r="A220" s="55" t="s">
        <v>4999</v>
      </c>
      <c r="B220" s="55" t="s">
        <v>1283</v>
      </c>
      <c r="C220" s="55" t="s">
        <v>1282</v>
      </c>
      <c r="D220" s="55" t="s">
        <v>47</v>
      </c>
      <c r="E220" s="55" t="s">
        <v>4740</v>
      </c>
      <c r="F220" s="55" t="s">
        <v>4577</v>
      </c>
      <c r="G220" s="55" t="s">
        <v>4819</v>
      </c>
      <c r="H220" s="55" t="s">
        <v>22</v>
      </c>
      <c r="I220" s="55" t="s">
        <v>4820</v>
      </c>
    </row>
    <row r="221" customFormat="false" ht="15" hidden="false" customHeight="false" outlineLevel="0" collapsed="false">
      <c r="A221" s="55" t="s">
        <v>5000</v>
      </c>
      <c r="B221" s="55" t="s">
        <v>1758</v>
      </c>
      <c r="C221" s="55" t="s">
        <v>1757</v>
      </c>
      <c r="D221" s="55" t="s">
        <v>46</v>
      </c>
      <c r="E221" s="55" t="s">
        <v>4740</v>
      </c>
      <c r="F221" s="55" t="s">
        <v>4741</v>
      </c>
      <c r="G221" s="55" t="s">
        <v>4742</v>
      </c>
      <c r="H221" s="55" t="s">
        <v>22</v>
      </c>
      <c r="I221" s="55" t="s">
        <v>4743</v>
      </c>
    </row>
    <row r="222" customFormat="false" ht="15" hidden="false" customHeight="false" outlineLevel="0" collapsed="false">
      <c r="A222" s="55" t="s">
        <v>5001</v>
      </c>
      <c r="B222" s="55" t="s">
        <v>182</v>
      </c>
      <c r="C222" s="55" t="s">
        <v>181</v>
      </c>
      <c r="D222" s="55" t="s">
        <v>46</v>
      </c>
      <c r="E222" s="55" t="s">
        <v>4740</v>
      </c>
      <c r="F222" s="55" t="s">
        <v>4577</v>
      </c>
      <c r="G222" s="55" t="s">
        <v>4893</v>
      </c>
      <c r="H222" s="55" t="s">
        <v>19</v>
      </c>
      <c r="I222" s="55" t="s">
        <v>4894</v>
      </c>
    </row>
    <row r="223" customFormat="false" ht="15" hidden="false" customHeight="false" outlineLevel="0" collapsed="false">
      <c r="A223" s="55" t="s">
        <v>5002</v>
      </c>
      <c r="B223" s="55" t="s">
        <v>182</v>
      </c>
      <c r="C223" s="55" t="s">
        <v>181</v>
      </c>
      <c r="D223" s="55" t="s">
        <v>47</v>
      </c>
      <c r="E223" s="55" t="s">
        <v>4740</v>
      </c>
      <c r="F223" s="55" t="s">
        <v>4749</v>
      </c>
      <c r="G223" s="55" t="s">
        <v>4750</v>
      </c>
      <c r="H223" s="55" t="s">
        <v>22</v>
      </c>
      <c r="I223" s="55" t="s">
        <v>4751</v>
      </c>
    </row>
    <row r="224" customFormat="false" ht="15" hidden="false" customHeight="false" outlineLevel="0" collapsed="false">
      <c r="A224" s="55" t="s">
        <v>5003</v>
      </c>
      <c r="B224" s="55" t="s">
        <v>951</v>
      </c>
      <c r="C224" s="55" t="s">
        <v>950</v>
      </c>
      <c r="D224" s="55" t="s">
        <v>47</v>
      </c>
      <c r="E224" s="55" t="s">
        <v>4740</v>
      </c>
      <c r="F224" s="55" t="s">
        <v>4804</v>
      </c>
      <c r="G224" s="55" t="s">
        <v>4843</v>
      </c>
      <c r="H224" s="55" t="s">
        <v>22</v>
      </c>
      <c r="I224" s="55" t="s">
        <v>4844</v>
      </c>
    </row>
    <row r="225" customFormat="false" ht="15" hidden="false" customHeight="false" outlineLevel="0" collapsed="false">
      <c r="A225" s="55" t="s">
        <v>5004</v>
      </c>
      <c r="B225" s="55" t="s">
        <v>250</v>
      </c>
      <c r="C225" s="55" t="s">
        <v>249</v>
      </c>
      <c r="D225" s="55" t="s">
        <v>45</v>
      </c>
      <c r="E225" s="55" t="s">
        <v>4740</v>
      </c>
      <c r="F225" s="55" t="s">
        <v>4745</v>
      </c>
      <c r="G225" s="55" t="s">
        <v>4746</v>
      </c>
      <c r="H225" s="55" t="s">
        <v>22</v>
      </c>
      <c r="I225" s="55" t="s">
        <v>4753</v>
      </c>
    </row>
    <row r="226" customFormat="false" ht="15" hidden="false" customHeight="false" outlineLevel="0" collapsed="false">
      <c r="A226" s="55" t="s">
        <v>5005</v>
      </c>
      <c r="B226" s="55" t="s">
        <v>320</v>
      </c>
      <c r="C226" s="55" t="s">
        <v>319</v>
      </c>
      <c r="D226" s="55" t="s">
        <v>45</v>
      </c>
      <c r="E226" s="55" t="s">
        <v>4740</v>
      </c>
      <c r="F226" s="55" t="s">
        <v>4745</v>
      </c>
      <c r="G226" s="55" t="s">
        <v>4746</v>
      </c>
      <c r="H226" s="55" t="s">
        <v>22</v>
      </c>
      <c r="I226" s="55" t="s">
        <v>4753</v>
      </c>
    </row>
    <row r="227" customFormat="false" ht="15" hidden="false" customHeight="false" outlineLevel="0" collapsed="false">
      <c r="A227" s="55" t="s">
        <v>5006</v>
      </c>
      <c r="B227" s="55" t="s">
        <v>1822</v>
      </c>
      <c r="C227" s="55" t="s">
        <v>1821</v>
      </c>
      <c r="D227" s="55" t="s">
        <v>45</v>
      </c>
      <c r="E227" s="55" t="s">
        <v>4740</v>
      </c>
      <c r="F227" s="55" t="s">
        <v>4774</v>
      </c>
      <c r="G227" s="55" t="s">
        <v>4782</v>
      </c>
      <c r="H227" s="55" t="s">
        <v>19</v>
      </c>
      <c r="I227" s="55" t="s">
        <v>4783</v>
      </c>
    </row>
    <row r="228" customFormat="false" ht="15" hidden="false" customHeight="false" outlineLevel="0" collapsed="false">
      <c r="A228" s="55" t="s">
        <v>5007</v>
      </c>
      <c r="B228" s="55" t="s">
        <v>1822</v>
      </c>
      <c r="C228" s="55" t="s">
        <v>1821</v>
      </c>
      <c r="D228" s="55" t="s">
        <v>47</v>
      </c>
      <c r="E228" s="55" t="s">
        <v>4740</v>
      </c>
      <c r="F228" s="55" t="s">
        <v>4745</v>
      </c>
      <c r="G228" s="55" t="s">
        <v>4746</v>
      </c>
      <c r="H228" s="55" t="s">
        <v>22</v>
      </c>
      <c r="I228" s="55" t="s">
        <v>4753</v>
      </c>
    </row>
    <row r="229" customFormat="false" ht="15" hidden="false" customHeight="false" outlineLevel="0" collapsed="false">
      <c r="A229" s="55" t="s">
        <v>5008</v>
      </c>
      <c r="B229" s="55" t="s">
        <v>534</v>
      </c>
      <c r="C229" s="55" t="s">
        <v>533</v>
      </c>
      <c r="D229" s="55" t="s">
        <v>47</v>
      </c>
      <c r="E229" s="55" t="s">
        <v>4740</v>
      </c>
      <c r="F229" s="55" t="s">
        <v>4741</v>
      </c>
      <c r="G229" s="55" t="s">
        <v>4742</v>
      </c>
      <c r="H229" s="55" t="s">
        <v>22</v>
      </c>
      <c r="I229" s="55" t="s">
        <v>4743</v>
      </c>
    </row>
    <row r="230" customFormat="false" ht="15" hidden="false" customHeight="false" outlineLevel="0" collapsed="false">
      <c r="A230" s="55" t="s">
        <v>5009</v>
      </c>
      <c r="B230" s="55" t="s">
        <v>1550</v>
      </c>
      <c r="C230" s="55" t="s">
        <v>1549</v>
      </c>
      <c r="D230" s="55" t="s">
        <v>45</v>
      </c>
      <c r="E230" s="55" t="s">
        <v>4740</v>
      </c>
      <c r="F230" s="55" t="s">
        <v>4366</v>
      </c>
      <c r="G230" s="55" t="s">
        <v>4779</v>
      </c>
      <c r="H230" s="55" t="s">
        <v>22</v>
      </c>
      <c r="I230" s="55" t="s">
        <v>4780</v>
      </c>
    </row>
    <row r="231" customFormat="false" ht="15" hidden="false" customHeight="false" outlineLevel="0" collapsed="false">
      <c r="A231" s="55" t="s">
        <v>5010</v>
      </c>
      <c r="B231" s="55" t="s">
        <v>1550</v>
      </c>
      <c r="C231" s="55" t="s">
        <v>1549</v>
      </c>
      <c r="D231" s="55" t="s">
        <v>46</v>
      </c>
      <c r="E231" s="55" t="s">
        <v>4740</v>
      </c>
      <c r="F231" s="55" t="s">
        <v>4774</v>
      </c>
      <c r="G231" s="55" t="s">
        <v>4782</v>
      </c>
      <c r="H231" s="55" t="s">
        <v>19</v>
      </c>
      <c r="I231" s="55" t="s">
        <v>4783</v>
      </c>
    </row>
    <row r="232" customFormat="false" ht="15" hidden="false" customHeight="false" outlineLevel="0" collapsed="false">
      <c r="A232" s="55" t="s">
        <v>5011</v>
      </c>
      <c r="B232" s="55" t="s">
        <v>2626</v>
      </c>
      <c r="C232" s="55" t="s">
        <v>2625</v>
      </c>
      <c r="D232" s="55" t="s">
        <v>45</v>
      </c>
      <c r="E232" s="55" t="s">
        <v>4740</v>
      </c>
      <c r="F232" s="55" t="s">
        <v>5012</v>
      </c>
      <c r="G232" s="55" t="s">
        <v>5013</v>
      </c>
      <c r="H232" s="55" t="s">
        <v>19</v>
      </c>
      <c r="I232" s="55" t="s">
        <v>4808</v>
      </c>
    </row>
    <row r="233" customFormat="false" ht="15" hidden="false" customHeight="false" outlineLevel="0" collapsed="false">
      <c r="A233" s="55" t="s">
        <v>5014</v>
      </c>
      <c r="B233" s="55" t="s">
        <v>2626</v>
      </c>
      <c r="C233" s="55" t="s">
        <v>2625</v>
      </c>
      <c r="D233" s="55" t="s">
        <v>47</v>
      </c>
      <c r="E233" s="55" t="s">
        <v>4740</v>
      </c>
      <c r="F233" s="55" t="s">
        <v>4745</v>
      </c>
      <c r="G233" s="55" t="s">
        <v>4746</v>
      </c>
      <c r="H233" s="55" t="s">
        <v>22</v>
      </c>
      <c r="I233" s="55" t="s">
        <v>4753</v>
      </c>
    </row>
    <row r="234" customFormat="false" ht="15" hidden="false" customHeight="false" outlineLevel="0" collapsed="false">
      <c r="A234" s="55" t="s">
        <v>5015</v>
      </c>
      <c r="B234" s="55" t="s">
        <v>1881</v>
      </c>
      <c r="C234" s="55" t="s">
        <v>1880</v>
      </c>
      <c r="D234" s="55" t="s">
        <v>46</v>
      </c>
      <c r="E234" s="55" t="s">
        <v>4740</v>
      </c>
      <c r="F234" s="55" t="s">
        <v>4834</v>
      </c>
      <c r="G234" s="55" t="s">
        <v>4835</v>
      </c>
      <c r="H234" s="55" t="s">
        <v>22</v>
      </c>
      <c r="I234" s="55" t="s">
        <v>4836</v>
      </c>
    </row>
    <row r="235" customFormat="false" ht="15" hidden="false" customHeight="false" outlineLevel="0" collapsed="false">
      <c r="A235" s="55" t="s">
        <v>5016</v>
      </c>
      <c r="B235" s="55" t="s">
        <v>664</v>
      </c>
      <c r="C235" s="55" t="s">
        <v>663</v>
      </c>
      <c r="D235" s="55" t="s">
        <v>47</v>
      </c>
      <c r="E235" s="55" t="s">
        <v>4740</v>
      </c>
      <c r="F235" s="55" t="s">
        <v>4745</v>
      </c>
      <c r="G235" s="55" t="s">
        <v>4746</v>
      </c>
      <c r="H235" s="55" t="s">
        <v>22</v>
      </c>
      <c r="I235" s="55" t="s">
        <v>4753</v>
      </c>
    </row>
    <row r="236" customFormat="false" ht="15" hidden="false" customHeight="false" outlineLevel="0" collapsed="false">
      <c r="A236" s="55" t="s">
        <v>5017</v>
      </c>
      <c r="B236" s="55" t="s">
        <v>408</v>
      </c>
      <c r="C236" s="55" t="s">
        <v>407</v>
      </c>
      <c r="D236" s="55" t="s">
        <v>45</v>
      </c>
      <c r="E236" s="55" t="s">
        <v>4740</v>
      </c>
      <c r="F236" s="55" t="s">
        <v>4741</v>
      </c>
      <c r="G236" s="55" t="s">
        <v>4742</v>
      </c>
      <c r="H236" s="55" t="s">
        <v>22</v>
      </c>
      <c r="I236" s="55" t="s">
        <v>4743</v>
      </c>
    </row>
    <row r="237" customFormat="false" ht="15" hidden="false" customHeight="false" outlineLevel="0" collapsed="false">
      <c r="A237" s="55" t="s">
        <v>5018</v>
      </c>
      <c r="B237" s="55" t="s">
        <v>2753</v>
      </c>
      <c r="C237" s="55" t="s">
        <v>2752</v>
      </c>
      <c r="D237" s="55" t="s">
        <v>46</v>
      </c>
      <c r="E237" s="55" t="s">
        <v>4740</v>
      </c>
      <c r="F237" s="55" t="s">
        <v>4774</v>
      </c>
      <c r="G237" s="55" t="s">
        <v>4782</v>
      </c>
      <c r="H237" s="55" t="s">
        <v>19</v>
      </c>
      <c r="I237" s="55" t="s">
        <v>4783</v>
      </c>
    </row>
    <row r="238" customFormat="false" ht="15" hidden="false" customHeight="false" outlineLevel="0" collapsed="false">
      <c r="A238" s="55" t="s">
        <v>5019</v>
      </c>
      <c r="B238" s="55" t="s">
        <v>2753</v>
      </c>
      <c r="C238" s="55" t="s">
        <v>2752</v>
      </c>
      <c r="D238" s="55" t="s">
        <v>47</v>
      </c>
      <c r="E238" s="55" t="s">
        <v>4740</v>
      </c>
      <c r="F238" s="55" t="s">
        <v>4745</v>
      </c>
      <c r="G238" s="55" t="s">
        <v>4746</v>
      </c>
      <c r="H238" s="55" t="s">
        <v>22</v>
      </c>
      <c r="I238" s="55" t="s">
        <v>4753</v>
      </c>
    </row>
    <row r="239" customFormat="false" ht="15" hidden="false" customHeight="false" outlineLevel="0" collapsed="false">
      <c r="A239" s="55" t="s">
        <v>5020</v>
      </c>
      <c r="B239" s="55" t="s">
        <v>1502</v>
      </c>
      <c r="C239" s="55" t="s">
        <v>1501</v>
      </c>
      <c r="D239" s="55" t="s">
        <v>47</v>
      </c>
      <c r="E239" s="55" t="s">
        <v>4740</v>
      </c>
      <c r="F239" s="55" t="s">
        <v>4774</v>
      </c>
      <c r="G239" s="55" t="s">
        <v>4775</v>
      </c>
      <c r="H239" s="55" t="s">
        <v>22</v>
      </c>
      <c r="I239" s="55" t="s">
        <v>4753</v>
      </c>
    </row>
    <row r="240" customFormat="false" ht="15" hidden="false" customHeight="false" outlineLevel="0" collapsed="false">
      <c r="A240" s="55" t="s">
        <v>5021</v>
      </c>
      <c r="B240" s="55" t="s">
        <v>240</v>
      </c>
      <c r="C240" s="55" t="s">
        <v>239</v>
      </c>
      <c r="D240" s="55" t="s">
        <v>46</v>
      </c>
      <c r="E240" s="55" t="s">
        <v>4740</v>
      </c>
      <c r="F240" s="55" t="s">
        <v>4366</v>
      </c>
      <c r="G240" s="55" t="s">
        <v>4779</v>
      </c>
      <c r="H240" s="55" t="s">
        <v>22</v>
      </c>
      <c r="I240" s="55" t="s">
        <v>4780</v>
      </c>
    </row>
    <row r="241" customFormat="false" ht="15" hidden="false" customHeight="false" outlineLevel="0" collapsed="false">
      <c r="A241" s="55" t="s">
        <v>5022</v>
      </c>
      <c r="B241" s="55" t="s">
        <v>1345</v>
      </c>
      <c r="C241" s="55" t="s">
        <v>1344</v>
      </c>
      <c r="D241" s="55" t="s">
        <v>47</v>
      </c>
      <c r="E241" s="55" t="s">
        <v>4740</v>
      </c>
      <c r="F241" s="55" t="s">
        <v>4745</v>
      </c>
      <c r="G241" s="55" t="s">
        <v>4763</v>
      </c>
      <c r="H241" s="55" t="s">
        <v>110</v>
      </c>
      <c r="I241" s="55" t="s">
        <v>4764</v>
      </c>
    </row>
    <row r="242" customFormat="false" ht="15" hidden="false" customHeight="false" outlineLevel="0" collapsed="false">
      <c r="A242" s="55" t="s">
        <v>5023</v>
      </c>
      <c r="B242" s="55" t="s">
        <v>272</v>
      </c>
      <c r="C242" s="55" t="s">
        <v>271</v>
      </c>
      <c r="D242" s="55" t="s">
        <v>45</v>
      </c>
      <c r="E242" s="55" t="s">
        <v>4740</v>
      </c>
      <c r="F242" s="55" t="s">
        <v>4577</v>
      </c>
      <c r="G242" s="55" t="s">
        <v>4819</v>
      </c>
      <c r="H242" s="55" t="s">
        <v>22</v>
      </c>
      <c r="I242" s="55" t="s">
        <v>4820</v>
      </c>
    </row>
    <row r="243" customFormat="false" ht="15" hidden="false" customHeight="false" outlineLevel="0" collapsed="false">
      <c r="A243" s="55" t="s">
        <v>5024</v>
      </c>
      <c r="B243" s="55" t="s">
        <v>194</v>
      </c>
      <c r="C243" s="55" t="s">
        <v>193</v>
      </c>
      <c r="D243" s="55" t="s">
        <v>47</v>
      </c>
      <c r="E243" s="55" t="s">
        <v>4740</v>
      </c>
      <c r="F243" s="55" t="s">
        <v>4745</v>
      </c>
      <c r="G243" s="55" t="s">
        <v>4746</v>
      </c>
      <c r="H243" s="55" t="s">
        <v>22</v>
      </c>
      <c r="I243" s="55" t="s">
        <v>4753</v>
      </c>
    </row>
    <row r="244" customFormat="false" ht="15" hidden="false" customHeight="false" outlineLevel="0" collapsed="false">
      <c r="A244" s="55" t="s">
        <v>5025</v>
      </c>
      <c r="B244" s="55" t="s">
        <v>1867</v>
      </c>
      <c r="C244" s="55" t="s">
        <v>1866</v>
      </c>
      <c r="D244" s="55" t="s">
        <v>47</v>
      </c>
      <c r="E244" s="55" t="s">
        <v>4740</v>
      </c>
      <c r="F244" s="55" t="s">
        <v>4745</v>
      </c>
      <c r="G244" s="55" t="s">
        <v>4746</v>
      </c>
      <c r="H244" s="55" t="s">
        <v>22</v>
      </c>
      <c r="I244" s="55" t="s">
        <v>4753</v>
      </c>
    </row>
    <row r="245" customFormat="false" ht="15" hidden="false" customHeight="false" outlineLevel="0" collapsed="false">
      <c r="A245" s="55" t="s">
        <v>5026</v>
      </c>
      <c r="B245" s="55" t="s">
        <v>218</v>
      </c>
      <c r="C245" s="55" t="s">
        <v>217</v>
      </c>
      <c r="D245" s="55" t="s">
        <v>47</v>
      </c>
      <c r="E245" s="55" t="s">
        <v>4740</v>
      </c>
      <c r="F245" s="55" t="s">
        <v>4745</v>
      </c>
      <c r="G245" s="55" t="s">
        <v>5027</v>
      </c>
      <c r="H245" s="55" t="s">
        <v>110</v>
      </c>
      <c r="I245" s="55" t="s">
        <v>4764</v>
      </c>
    </row>
    <row r="246" customFormat="false" ht="15" hidden="false" customHeight="false" outlineLevel="0" collapsed="false">
      <c r="A246" s="55" t="s">
        <v>5028</v>
      </c>
      <c r="B246" s="55" t="s">
        <v>1805</v>
      </c>
      <c r="C246" s="55" t="s">
        <v>1804</v>
      </c>
      <c r="D246" s="55" t="s">
        <v>47</v>
      </c>
      <c r="E246" s="55" t="s">
        <v>4740</v>
      </c>
      <c r="F246" s="55" t="s">
        <v>4741</v>
      </c>
      <c r="G246" s="55" t="s">
        <v>4814</v>
      </c>
      <c r="H246" s="55" t="s">
        <v>19</v>
      </c>
      <c r="I246" s="55" t="s">
        <v>4815</v>
      </c>
    </row>
    <row r="247" customFormat="false" ht="15" hidden="false" customHeight="false" outlineLevel="0" collapsed="false">
      <c r="A247" s="55" t="s">
        <v>5029</v>
      </c>
      <c r="B247" s="55" t="s">
        <v>1040</v>
      </c>
      <c r="C247" s="55" t="s">
        <v>1039</v>
      </c>
      <c r="D247" s="55" t="s">
        <v>45</v>
      </c>
      <c r="E247" s="55" t="s">
        <v>4740</v>
      </c>
      <c r="F247" s="55" t="s">
        <v>4774</v>
      </c>
      <c r="G247" s="55" t="s">
        <v>4775</v>
      </c>
      <c r="H247" s="55" t="s">
        <v>22</v>
      </c>
      <c r="I247" s="55" t="s">
        <v>4747</v>
      </c>
    </row>
    <row r="248" customFormat="false" ht="15" hidden="false" customHeight="false" outlineLevel="0" collapsed="false">
      <c r="A248" s="55" t="s">
        <v>5030</v>
      </c>
      <c r="B248" s="55" t="s">
        <v>1040</v>
      </c>
      <c r="C248" s="55" t="s">
        <v>1039</v>
      </c>
      <c r="D248" s="55" t="s">
        <v>47</v>
      </c>
      <c r="E248" s="55" t="s">
        <v>4740</v>
      </c>
      <c r="F248" s="55" t="s">
        <v>4766</v>
      </c>
      <c r="G248" s="55" t="s">
        <v>4767</v>
      </c>
      <c r="H248" s="55" t="s">
        <v>22</v>
      </c>
      <c r="I248" s="55" t="s">
        <v>4753</v>
      </c>
    </row>
    <row r="249" customFormat="false" ht="15" hidden="false" customHeight="false" outlineLevel="0" collapsed="false">
      <c r="A249" s="55" t="s">
        <v>5031</v>
      </c>
      <c r="B249" s="55" t="s">
        <v>2258</v>
      </c>
      <c r="C249" s="55" t="s">
        <v>2257</v>
      </c>
      <c r="D249" s="55" t="s">
        <v>47</v>
      </c>
      <c r="E249" s="55" t="s">
        <v>4740</v>
      </c>
      <c r="F249" s="55" t="s">
        <v>4745</v>
      </c>
      <c r="G249" s="55" t="s">
        <v>4746</v>
      </c>
      <c r="H249" s="55" t="s">
        <v>22</v>
      </c>
      <c r="I249" s="55" t="s">
        <v>4753</v>
      </c>
    </row>
    <row r="250" customFormat="false" ht="15" hidden="false" customHeight="false" outlineLevel="0" collapsed="false">
      <c r="A250" s="55" t="s">
        <v>5032</v>
      </c>
      <c r="B250" s="55" t="s">
        <v>1298</v>
      </c>
      <c r="C250" s="55" t="s">
        <v>1297</v>
      </c>
      <c r="D250" s="55" t="s">
        <v>45</v>
      </c>
      <c r="E250" s="55" t="s">
        <v>4740</v>
      </c>
      <c r="F250" s="55" t="s">
        <v>5033</v>
      </c>
      <c r="G250" s="55" t="s">
        <v>5034</v>
      </c>
      <c r="H250" s="55" t="s">
        <v>22</v>
      </c>
      <c r="I250" s="55" t="s">
        <v>5035</v>
      </c>
    </row>
    <row r="251" customFormat="false" ht="15" hidden="false" customHeight="false" outlineLevel="0" collapsed="false">
      <c r="A251" s="55" t="s">
        <v>5036</v>
      </c>
      <c r="B251" s="55" t="s">
        <v>965</v>
      </c>
      <c r="C251" s="55" t="s">
        <v>964</v>
      </c>
      <c r="D251" s="55" t="s">
        <v>47</v>
      </c>
      <c r="E251" s="55" t="s">
        <v>4740</v>
      </c>
      <c r="F251" s="55" t="s">
        <v>4766</v>
      </c>
      <c r="G251" s="55" t="s">
        <v>4926</v>
      </c>
      <c r="H251" s="55" t="s">
        <v>19</v>
      </c>
      <c r="I251" s="55" t="s">
        <v>4783</v>
      </c>
    </row>
    <row r="252" customFormat="false" ht="15" hidden="false" customHeight="false" outlineLevel="0" collapsed="false">
      <c r="A252" s="55" t="s">
        <v>5037</v>
      </c>
      <c r="B252" s="55" t="s">
        <v>2332</v>
      </c>
      <c r="C252" s="55" t="s">
        <v>2331</v>
      </c>
      <c r="D252" s="55" t="s">
        <v>47</v>
      </c>
      <c r="E252" s="55" t="s">
        <v>4740</v>
      </c>
      <c r="F252" s="55" t="s">
        <v>4749</v>
      </c>
      <c r="G252" s="55" t="s">
        <v>4750</v>
      </c>
      <c r="H252" s="55" t="s">
        <v>22</v>
      </c>
      <c r="I252" s="55" t="s">
        <v>4751</v>
      </c>
    </row>
    <row r="253" customFormat="false" ht="15" hidden="false" customHeight="false" outlineLevel="0" collapsed="false">
      <c r="A253" s="55" t="s">
        <v>5038</v>
      </c>
      <c r="B253" s="55" t="s">
        <v>298</v>
      </c>
      <c r="C253" s="55" t="s">
        <v>297</v>
      </c>
      <c r="D253" s="55" t="s">
        <v>46</v>
      </c>
      <c r="E253" s="55" t="s">
        <v>4740</v>
      </c>
      <c r="F253" s="55" t="s">
        <v>4577</v>
      </c>
      <c r="G253" s="55" t="s">
        <v>4819</v>
      </c>
      <c r="H253" s="55" t="s">
        <v>22</v>
      </c>
      <c r="I253" s="55" t="s">
        <v>4820</v>
      </c>
    </row>
    <row r="254" customFormat="false" ht="15" hidden="false" customHeight="false" outlineLevel="0" collapsed="false">
      <c r="A254" s="55" t="s">
        <v>5039</v>
      </c>
      <c r="B254" s="55" t="s">
        <v>626</v>
      </c>
      <c r="C254" s="55" t="s">
        <v>625</v>
      </c>
      <c r="D254" s="55" t="s">
        <v>45</v>
      </c>
      <c r="E254" s="55" t="s">
        <v>4740</v>
      </c>
      <c r="F254" s="55" t="s">
        <v>4366</v>
      </c>
      <c r="G254" s="55" t="s">
        <v>4800</v>
      </c>
      <c r="H254" s="55" t="s">
        <v>19</v>
      </c>
      <c r="I254" s="55" t="s">
        <v>4801</v>
      </c>
    </row>
    <row r="255" customFormat="false" ht="15" hidden="false" customHeight="false" outlineLevel="0" collapsed="false">
      <c r="A255" s="55" t="s">
        <v>5040</v>
      </c>
      <c r="B255" s="55" t="s">
        <v>626</v>
      </c>
      <c r="C255" s="55" t="s">
        <v>625</v>
      </c>
      <c r="D255" s="55" t="s">
        <v>47</v>
      </c>
      <c r="E255" s="55" t="s">
        <v>4740</v>
      </c>
      <c r="F255" s="55" t="s">
        <v>4745</v>
      </c>
      <c r="G255" s="55" t="s">
        <v>4746</v>
      </c>
      <c r="H255" s="55" t="s">
        <v>22</v>
      </c>
      <c r="I255" s="55" t="s">
        <v>4753</v>
      </c>
    </row>
    <row r="256" customFormat="false" ht="15" hidden="false" customHeight="false" outlineLevel="0" collapsed="false">
      <c r="A256" s="55" t="s">
        <v>5041</v>
      </c>
      <c r="B256" s="55" t="s">
        <v>1801</v>
      </c>
      <c r="C256" s="55" t="s">
        <v>1800</v>
      </c>
      <c r="D256" s="55" t="s">
        <v>47</v>
      </c>
      <c r="E256" s="55" t="s">
        <v>4740</v>
      </c>
      <c r="F256" s="55" t="s">
        <v>4770</v>
      </c>
      <c r="G256" s="55" t="s">
        <v>4771</v>
      </c>
      <c r="H256" s="55" t="s">
        <v>22</v>
      </c>
      <c r="I256" s="55" t="s">
        <v>4772</v>
      </c>
    </row>
    <row r="257" customFormat="false" ht="15" hidden="false" customHeight="false" outlineLevel="0" collapsed="false">
      <c r="A257" s="55" t="s">
        <v>5042</v>
      </c>
      <c r="B257" s="55" t="s">
        <v>716</v>
      </c>
      <c r="C257" s="55" t="s">
        <v>715</v>
      </c>
      <c r="D257" s="55" t="s">
        <v>47</v>
      </c>
      <c r="E257" s="55" t="s">
        <v>4740</v>
      </c>
      <c r="F257" s="55" t="s">
        <v>4745</v>
      </c>
      <c r="G257" s="55" t="s">
        <v>4746</v>
      </c>
      <c r="H257" s="55" t="s">
        <v>22</v>
      </c>
      <c r="I257" s="55" t="s">
        <v>4753</v>
      </c>
    </row>
    <row r="258" customFormat="false" ht="15" hidden="false" customHeight="false" outlineLevel="0" collapsed="false">
      <c r="A258" s="55" t="s">
        <v>5043</v>
      </c>
      <c r="B258" s="55" t="s">
        <v>416</v>
      </c>
      <c r="C258" s="55" t="s">
        <v>415</v>
      </c>
      <c r="D258" s="55" t="s">
        <v>46</v>
      </c>
      <c r="E258" s="55" t="s">
        <v>4740</v>
      </c>
      <c r="F258" s="55" t="s">
        <v>4749</v>
      </c>
      <c r="G258" s="55" t="s">
        <v>4750</v>
      </c>
      <c r="H258" s="55" t="s">
        <v>22</v>
      </c>
      <c r="I258" s="55" t="s">
        <v>4751</v>
      </c>
    </row>
    <row r="259" customFormat="false" ht="15" hidden="false" customHeight="false" outlineLevel="0" collapsed="false">
      <c r="A259" s="55" t="s">
        <v>5044</v>
      </c>
      <c r="B259" s="55" t="s">
        <v>416</v>
      </c>
      <c r="C259" s="55" t="s">
        <v>415</v>
      </c>
      <c r="D259" s="55" t="s">
        <v>47</v>
      </c>
      <c r="E259" s="55" t="s">
        <v>4740</v>
      </c>
      <c r="F259" s="55" t="s">
        <v>4745</v>
      </c>
      <c r="G259" s="55" t="s">
        <v>4746</v>
      </c>
      <c r="H259" s="55" t="s">
        <v>22</v>
      </c>
      <c r="I259" s="55" t="s">
        <v>4753</v>
      </c>
    </row>
    <row r="260" customFormat="false" ht="15" hidden="false" customHeight="false" outlineLevel="0" collapsed="false">
      <c r="A260" s="55" t="s">
        <v>5045</v>
      </c>
      <c r="B260" s="55" t="s">
        <v>304</v>
      </c>
      <c r="C260" s="55" t="s">
        <v>303</v>
      </c>
      <c r="D260" s="55" t="s">
        <v>45</v>
      </c>
      <c r="E260" s="55" t="s">
        <v>4740</v>
      </c>
      <c r="F260" s="55" t="s">
        <v>4741</v>
      </c>
      <c r="G260" s="55" t="s">
        <v>4742</v>
      </c>
      <c r="H260" s="55" t="s">
        <v>22</v>
      </c>
      <c r="I260" s="55" t="s">
        <v>4743</v>
      </c>
    </row>
    <row r="261" customFormat="false" ht="15" hidden="false" customHeight="false" outlineLevel="0" collapsed="false">
      <c r="A261" s="55" t="s">
        <v>5046</v>
      </c>
      <c r="B261" s="55" t="s">
        <v>1782</v>
      </c>
      <c r="C261" s="55" t="s">
        <v>1781</v>
      </c>
      <c r="D261" s="55" t="s">
        <v>47</v>
      </c>
      <c r="E261" s="55" t="s">
        <v>4740</v>
      </c>
      <c r="F261" s="55" t="s">
        <v>4741</v>
      </c>
      <c r="G261" s="55" t="s">
        <v>4742</v>
      </c>
      <c r="H261" s="55" t="s">
        <v>22</v>
      </c>
      <c r="I261" s="55" t="s">
        <v>4743</v>
      </c>
    </row>
    <row r="262" customFormat="false" ht="15" hidden="false" customHeight="false" outlineLevel="0" collapsed="false">
      <c r="A262" s="55" t="s">
        <v>5047</v>
      </c>
      <c r="B262" s="55" t="s">
        <v>3046</v>
      </c>
      <c r="C262" s="55" t="s">
        <v>3646</v>
      </c>
      <c r="D262" s="55" t="s">
        <v>45</v>
      </c>
      <c r="E262" s="55" t="s">
        <v>4740</v>
      </c>
      <c r="F262" s="55" t="s">
        <v>4774</v>
      </c>
      <c r="G262" s="55" t="s">
        <v>4782</v>
      </c>
      <c r="H262" s="55" t="s">
        <v>19</v>
      </c>
      <c r="I262" s="55" t="s">
        <v>4808</v>
      </c>
    </row>
    <row r="263" customFormat="false" ht="15" hidden="false" customHeight="false" outlineLevel="0" collapsed="false">
      <c r="A263" s="55" t="s">
        <v>5048</v>
      </c>
      <c r="B263" s="55" t="s">
        <v>3046</v>
      </c>
      <c r="C263" s="55" t="s">
        <v>3646</v>
      </c>
      <c r="D263" s="55" t="s">
        <v>47</v>
      </c>
      <c r="E263" s="55" t="s">
        <v>4740</v>
      </c>
      <c r="F263" s="55" t="s">
        <v>4934</v>
      </c>
      <c r="G263" s="55" t="s">
        <v>5049</v>
      </c>
      <c r="H263" s="55" t="s">
        <v>19</v>
      </c>
      <c r="I263" s="55" t="s">
        <v>4783</v>
      </c>
    </row>
    <row r="264" customFormat="false" ht="15" hidden="false" customHeight="false" outlineLevel="0" collapsed="false">
      <c r="A264" s="55" t="s">
        <v>5050</v>
      </c>
      <c r="B264" s="55" t="s">
        <v>142</v>
      </c>
      <c r="C264" s="55" t="s">
        <v>141</v>
      </c>
      <c r="D264" s="55" t="s">
        <v>47</v>
      </c>
      <c r="E264" s="55" t="s">
        <v>4740</v>
      </c>
      <c r="F264" s="55" t="s">
        <v>4745</v>
      </c>
      <c r="G264" s="55" t="s">
        <v>4746</v>
      </c>
      <c r="H264" s="55" t="s">
        <v>22</v>
      </c>
      <c r="I264" s="55" t="s">
        <v>4753</v>
      </c>
    </row>
    <row r="265" customFormat="false" ht="15" hidden="false" customHeight="false" outlineLevel="0" collapsed="false">
      <c r="A265" s="55" t="s">
        <v>5051</v>
      </c>
      <c r="B265" s="55" t="s">
        <v>2255</v>
      </c>
      <c r="C265" s="55" t="s">
        <v>2254</v>
      </c>
      <c r="D265" s="55" t="s">
        <v>47</v>
      </c>
      <c r="E265" s="55" t="s">
        <v>4740</v>
      </c>
      <c r="F265" s="55" t="s">
        <v>4745</v>
      </c>
      <c r="G265" s="55" t="s">
        <v>4746</v>
      </c>
      <c r="H265" s="55" t="s">
        <v>22</v>
      </c>
      <c r="I265" s="55" t="s">
        <v>4753</v>
      </c>
    </row>
    <row r="266" customFormat="false" ht="15" hidden="false" customHeight="false" outlineLevel="0" collapsed="false">
      <c r="A266" s="55" t="s">
        <v>5052</v>
      </c>
      <c r="B266" s="55" t="s">
        <v>2013</v>
      </c>
      <c r="C266" s="55" t="s">
        <v>2012</v>
      </c>
      <c r="D266" s="55" t="s">
        <v>47</v>
      </c>
      <c r="E266" s="55" t="s">
        <v>4740</v>
      </c>
      <c r="F266" s="55" t="s">
        <v>4745</v>
      </c>
      <c r="G266" s="55" t="s">
        <v>4746</v>
      </c>
      <c r="H266" s="55" t="s">
        <v>22</v>
      </c>
      <c r="I266" s="55" t="s">
        <v>4753</v>
      </c>
    </row>
    <row r="267" customFormat="false" ht="15" hidden="false" customHeight="false" outlineLevel="0" collapsed="false">
      <c r="A267" s="55" t="s">
        <v>5053</v>
      </c>
      <c r="B267" s="55" t="s">
        <v>1061</v>
      </c>
      <c r="C267" s="55" t="s">
        <v>1060</v>
      </c>
      <c r="D267" s="55" t="s">
        <v>47</v>
      </c>
      <c r="E267" s="55" t="s">
        <v>4740</v>
      </c>
      <c r="F267" s="55" t="s">
        <v>4766</v>
      </c>
      <c r="G267" s="55" t="s">
        <v>4767</v>
      </c>
      <c r="H267" s="55" t="s">
        <v>22</v>
      </c>
      <c r="I267" s="55" t="s">
        <v>4838</v>
      </c>
    </row>
    <row r="268" customFormat="false" ht="15" hidden="false" customHeight="false" outlineLevel="0" collapsed="false">
      <c r="A268" s="55" t="s">
        <v>5054</v>
      </c>
      <c r="B268" s="55" t="s">
        <v>843</v>
      </c>
      <c r="C268" s="55" t="s">
        <v>842</v>
      </c>
      <c r="D268" s="55" t="s">
        <v>47</v>
      </c>
      <c r="E268" s="55" t="s">
        <v>4740</v>
      </c>
      <c r="F268" s="55" t="s">
        <v>4745</v>
      </c>
      <c r="G268" s="55" t="s">
        <v>4746</v>
      </c>
      <c r="H268" s="55" t="s">
        <v>22</v>
      </c>
      <c r="I268" s="55" t="s">
        <v>4753</v>
      </c>
    </row>
    <row r="269" customFormat="false" ht="15" hidden="false" customHeight="false" outlineLevel="0" collapsed="false">
      <c r="A269" s="55" t="s">
        <v>5055</v>
      </c>
      <c r="B269" s="55" t="s">
        <v>1767</v>
      </c>
      <c r="C269" s="55" t="s">
        <v>1766</v>
      </c>
      <c r="D269" s="55" t="s">
        <v>46</v>
      </c>
      <c r="E269" s="55" t="s">
        <v>4740</v>
      </c>
      <c r="F269" s="55" t="s">
        <v>4749</v>
      </c>
      <c r="G269" s="55" t="s">
        <v>4750</v>
      </c>
      <c r="H269" s="55" t="s">
        <v>22</v>
      </c>
      <c r="I269" s="55" t="s">
        <v>4751</v>
      </c>
    </row>
    <row r="270" customFormat="false" ht="15" hidden="false" customHeight="false" outlineLevel="0" collapsed="false">
      <c r="A270" s="55" t="s">
        <v>5056</v>
      </c>
      <c r="B270" s="55" t="s">
        <v>1767</v>
      </c>
      <c r="C270" s="55" t="s">
        <v>1766</v>
      </c>
      <c r="D270" s="55" t="s">
        <v>47</v>
      </c>
      <c r="E270" s="55" t="s">
        <v>4740</v>
      </c>
      <c r="F270" s="55" t="s">
        <v>4745</v>
      </c>
      <c r="G270" s="55" t="s">
        <v>4746</v>
      </c>
      <c r="H270" s="55" t="s">
        <v>22</v>
      </c>
      <c r="I270" s="55" t="s">
        <v>4753</v>
      </c>
    </row>
    <row r="271" customFormat="false" ht="15" hidden="false" customHeight="false" outlineLevel="0" collapsed="false">
      <c r="A271" s="55" t="s">
        <v>5057</v>
      </c>
      <c r="B271" s="55" t="s">
        <v>1720</v>
      </c>
      <c r="C271" s="55" t="s">
        <v>1719</v>
      </c>
      <c r="D271" s="55" t="s">
        <v>46</v>
      </c>
      <c r="E271" s="55" t="s">
        <v>4740</v>
      </c>
      <c r="F271" s="55" t="s">
        <v>4745</v>
      </c>
      <c r="G271" s="55" t="s">
        <v>4746</v>
      </c>
      <c r="H271" s="55" t="s">
        <v>22</v>
      </c>
      <c r="I271" s="55" t="s">
        <v>4753</v>
      </c>
    </row>
    <row r="272" customFormat="false" ht="15" hidden="false" customHeight="false" outlineLevel="0" collapsed="false">
      <c r="A272" s="55" t="s">
        <v>5058</v>
      </c>
      <c r="B272" s="55" t="s">
        <v>2862</v>
      </c>
      <c r="C272" s="55" t="s">
        <v>2861</v>
      </c>
      <c r="D272" s="55" t="s">
        <v>47</v>
      </c>
      <c r="E272" s="55" t="s">
        <v>4740</v>
      </c>
      <c r="F272" s="55" t="s">
        <v>4745</v>
      </c>
      <c r="G272" s="55" t="s">
        <v>4746</v>
      </c>
      <c r="H272" s="55" t="s">
        <v>22</v>
      </c>
      <c r="I272" s="55" t="s">
        <v>4753</v>
      </c>
    </row>
    <row r="273" customFormat="false" ht="15" hidden="false" customHeight="false" outlineLevel="0" collapsed="false">
      <c r="A273" s="55" t="s">
        <v>5059</v>
      </c>
      <c r="B273" s="55" t="s">
        <v>1842</v>
      </c>
      <c r="C273" s="55" t="s">
        <v>1841</v>
      </c>
      <c r="D273" s="55" t="s">
        <v>47</v>
      </c>
      <c r="E273" s="55" t="s">
        <v>4740</v>
      </c>
      <c r="F273" s="55" t="s">
        <v>4745</v>
      </c>
      <c r="G273" s="55" t="s">
        <v>4746</v>
      </c>
      <c r="H273" s="55" t="s">
        <v>22</v>
      </c>
      <c r="I273" s="55" t="s">
        <v>4753</v>
      </c>
    </row>
    <row r="274" customFormat="false" ht="15" hidden="false" customHeight="false" outlineLevel="0" collapsed="false">
      <c r="A274" s="55" t="s">
        <v>5060</v>
      </c>
      <c r="B274" s="55" t="s">
        <v>1946</v>
      </c>
      <c r="C274" s="55" t="s">
        <v>1945</v>
      </c>
      <c r="D274" s="55" t="s">
        <v>46</v>
      </c>
      <c r="E274" s="55" t="s">
        <v>4740</v>
      </c>
      <c r="F274" s="55" t="s">
        <v>4741</v>
      </c>
      <c r="G274" s="55" t="s">
        <v>4814</v>
      </c>
      <c r="H274" s="55" t="s">
        <v>19</v>
      </c>
      <c r="I274" s="55" t="s">
        <v>4815</v>
      </c>
    </row>
    <row r="275" customFormat="false" ht="15" hidden="false" customHeight="false" outlineLevel="0" collapsed="false">
      <c r="A275" s="55" t="s">
        <v>5061</v>
      </c>
      <c r="B275" s="55" t="s">
        <v>1946</v>
      </c>
      <c r="C275" s="55" t="s">
        <v>1945</v>
      </c>
      <c r="D275" s="55" t="s">
        <v>47</v>
      </c>
      <c r="E275" s="55" t="s">
        <v>4740</v>
      </c>
      <c r="F275" s="55" t="s">
        <v>4745</v>
      </c>
      <c r="G275" s="55" t="s">
        <v>4746</v>
      </c>
      <c r="H275" s="55" t="s">
        <v>22</v>
      </c>
      <c r="I275" s="55" t="s">
        <v>4747</v>
      </c>
    </row>
    <row r="276" customFormat="false" ht="15" hidden="false" customHeight="false" outlineLevel="0" collapsed="false">
      <c r="A276" s="55" t="s">
        <v>5062</v>
      </c>
      <c r="B276" s="55" t="s">
        <v>1161</v>
      </c>
      <c r="C276" s="55" t="s">
        <v>1160</v>
      </c>
      <c r="D276" s="55" t="s">
        <v>47</v>
      </c>
      <c r="E276" s="55" t="s">
        <v>4740</v>
      </c>
      <c r="F276" s="55" t="s">
        <v>4745</v>
      </c>
      <c r="G276" s="55" t="s">
        <v>4746</v>
      </c>
      <c r="H276" s="55" t="s">
        <v>22</v>
      </c>
      <c r="I276" s="55" t="s">
        <v>4753</v>
      </c>
    </row>
    <row r="277" customFormat="false" ht="15" hidden="false" customHeight="false" outlineLevel="0" collapsed="false">
      <c r="A277" s="55" t="s">
        <v>5063</v>
      </c>
      <c r="B277" s="55" t="s">
        <v>2566</v>
      </c>
      <c r="C277" s="55" t="s">
        <v>2565</v>
      </c>
      <c r="D277" s="55" t="s">
        <v>47</v>
      </c>
      <c r="E277" s="55" t="s">
        <v>4740</v>
      </c>
      <c r="F277" s="55" t="s">
        <v>4745</v>
      </c>
      <c r="G277" s="55" t="s">
        <v>4746</v>
      </c>
      <c r="H277" s="55" t="s">
        <v>22</v>
      </c>
      <c r="I277" s="55" t="s">
        <v>4753</v>
      </c>
    </row>
    <row r="278" customFormat="false" ht="15" hidden="false" customHeight="false" outlineLevel="0" collapsed="false">
      <c r="A278" s="55" t="s">
        <v>5064</v>
      </c>
      <c r="B278" s="55" t="s">
        <v>448</v>
      </c>
      <c r="C278" s="55" t="s">
        <v>447</v>
      </c>
      <c r="D278" s="55" t="s">
        <v>45</v>
      </c>
      <c r="E278" s="55" t="s">
        <v>4740</v>
      </c>
      <c r="F278" s="55" t="s">
        <v>4745</v>
      </c>
      <c r="G278" s="55" t="s">
        <v>4746</v>
      </c>
      <c r="H278" s="55" t="s">
        <v>22</v>
      </c>
      <c r="I278" s="55" t="s">
        <v>4753</v>
      </c>
    </row>
    <row r="279" customFormat="false" ht="15" hidden="false" customHeight="false" outlineLevel="0" collapsed="false">
      <c r="A279" s="55" t="s">
        <v>5065</v>
      </c>
      <c r="B279" s="55" t="s">
        <v>618</v>
      </c>
      <c r="C279" s="55" t="s">
        <v>617</v>
      </c>
      <c r="D279" s="55" t="s">
        <v>47</v>
      </c>
      <c r="E279" s="55" t="s">
        <v>4740</v>
      </c>
      <c r="F279" s="55" t="s">
        <v>4745</v>
      </c>
      <c r="G279" s="55" t="s">
        <v>4746</v>
      </c>
      <c r="H279" s="55" t="s">
        <v>22</v>
      </c>
      <c r="I279" s="55" t="s">
        <v>4753</v>
      </c>
    </row>
    <row r="280" customFormat="false" ht="15" hidden="false" customHeight="false" outlineLevel="0" collapsed="false">
      <c r="A280" s="55" t="s">
        <v>5066</v>
      </c>
      <c r="B280" s="55" t="s">
        <v>3061</v>
      </c>
      <c r="C280" s="55" t="s">
        <v>3669</v>
      </c>
      <c r="D280" s="55" t="s">
        <v>46</v>
      </c>
      <c r="E280" s="55" t="s">
        <v>4740</v>
      </c>
      <c r="F280" s="55" t="s">
        <v>4577</v>
      </c>
      <c r="G280" s="55" t="s">
        <v>4893</v>
      </c>
      <c r="H280" s="55" t="s">
        <v>19</v>
      </c>
      <c r="I280" s="55" t="s">
        <v>4808</v>
      </c>
    </row>
    <row r="281" customFormat="false" ht="15" hidden="false" customHeight="false" outlineLevel="0" collapsed="false">
      <c r="A281" s="55" t="s">
        <v>5067</v>
      </c>
      <c r="B281" s="55" t="s">
        <v>260</v>
      </c>
      <c r="C281" s="55" t="s">
        <v>259</v>
      </c>
      <c r="D281" s="55" t="s">
        <v>47</v>
      </c>
      <c r="E281" s="55" t="s">
        <v>4740</v>
      </c>
      <c r="F281" s="55" t="s">
        <v>4745</v>
      </c>
      <c r="G281" s="55" t="s">
        <v>4746</v>
      </c>
      <c r="H281" s="55" t="s">
        <v>22</v>
      </c>
      <c r="I281" s="55" t="s">
        <v>4747</v>
      </c>
    </row>
    <row r="282" customFormat="false" ht="15" hidden="false" customHeight="false" outlineLevel="0" collapsed="false">
      <c r="A282" s="55" t="s">
        <v>5068</v>
      </c>
      <c r="B282" s="55" t="s">
        <v>918</v>
      </c>
      <c r="C282" s="55" t="s">
        <v>917</v>
      </c>
      <c r="D282" s="55" t="s">
        <v>47</v>
      </c>
      <c r="E282" s="55" t="s">
        <v>4740</v>
      </c>
      <c r="F282" s="55" t="s">
        <v>4774</v>
      </c>
      <c r="G282" s="55" t="s">
        <v>4782</v>
      </c>
      <c r="H282" s="55" t="s">
        <v>19</v>
      </c>
      <c r="I282" s="55" t="s">
        <v>4783</v>
      </c>
    </row>
    <row r="283" customFormat="false" ht="15" hidden="false" customHeight="false" outlineLevel="0" collapsed="false">
      <c r="A283" s="55" t="s">
        <v>5069</v>
      </c>
      <c r="B283" s="55" t="s">
        <v>778</v>
      </c>
      <c r="C283" s="55" t="s">
        <v>777</v>
      </c>
      <c r="D283" s="55" t="s">
        <v>47</v>
      </c>
      <c r="E283" s="55" t="s">
        <v>4740</v>
      </c>
      <c r="F283" s="55" t="s">
        <v>4745</v>
      </c>
      <c r="G283" s="55" t="s">
        <v>4746</v>
      </c>
      <c r="H283" s="55" t="s">
        <v>22</v>
      </c>
      <c r="I283" s="55" t="s">
        <v>4753</v>
      </c>
    </row>
    <row r="284" customFormat="false" ht="15" hidden="false" customHeight="false" outlineLevel="0" collapsed="false">
      <c r="A284" s="55" t="s">
        <v>5070</v>
      </c>
      <c r="B284" s="55" t="s">
        <v>274</v>
      </c>
      <c r="C284" s="55" t="s">
        <v>273</v>
      </c>
      <c r="D284" s="55" t="s">
        <v>47</v>
      </c>
      <c r="E284" s="55" t="s">
        <v>4740</v>
      </c>
      <c r="F284" s="55" t="s">
        <v>4745</v>
      </c>
      <c r="G284" s="55" t="s">
        <v>4746</v>
      </c>
      <c r="H284" s="55" t="s">
        <v>22</v>
      </c>
      <c r="I284" s="55" t="s">
        <v>4753</v>
      </c>
    </row>
    <row r="285" customFormat="false" ht="15" hidden="false" customHeight="false" outlineLevel="0" collapsed="false">
      <c r="A285" s="55" t="s">
        <v>5071</v>
      </c>
      <c r="B285" s="55" t="s">
        <v>522</v>
      </c>
      <c r="C285" s="55" t="s">
        <v>521</v>
      </c>
      <c r="D285" s="55" t="s">
        <v>45</v>
      </c>
      <c r="E285" s="55" t="s">
        <v>4740</v>
      </c>
      <c r="F285" s="55" t="s">
        <v>4745</v>
      </c>
      <c r="G285" s="55" t="s">
        <v>4746</v>
      </c>
      <c r="H285" s="55" t="s">
        <v>22</v>
      </c>
      <c r="I285" s="55" t="s">
        <v>4747</v>
      </c>
    </row>
    <row r="286" customFormat="false" ht="15" hidden="false" customHeight="false" outlineLevel="0" collapsed="false">
      <c r="A286" s="55" t="s">
        <v>5072</v>
      </c>
      <c r="B286" s="55" t="s">
        <v>522</v>
      </c>
      <c r="C286" s="55" t="s">
        <v>521</v>
      </c>
      <c r="D286" s="55" t="s">
        <v>46</v>
      </c>
      <c r="E286" s="55" t="s">
        <v>4740</v>
      </c>
      <c r="F286" s="55" t="s">
        <v>4745</v>
      </c>
      <c r="G286" s="55" t="s">
        <v>4746</v>
      </c>
      <c r="H286" s="55" t="s">
        <v>22</v>
      </c>
      <c r="I286" s="55" t="s">
        <v>4747</v>
      </c>
    </row>
    <row r="287" customFormat="false" ht="15" hidden="false" customHeight="false" outlineLevel="0" collapsed="false">
      <c r="A287" s="55" t="s">
        <v>5073</v>
      </c>
      <c r="B287" s="55" t="s">
        <v>2313</v>
      </c>
      <c r="C287" s="55" t="s">
        <v>2312</v>
      </c>
      <c r="D287" s="55" t="s">
        <v>46</v>
      </c>
      <c r="E287" s="55" t="s">
        <v>4740</v>
      </c>
      <c r="F287" s="55" t="s">
        <v>4774</v>
      </c>
      <c r="G287" s="55" t="s">
        <v>4782</v>
      </c>
      <c r="H287" s="55" t="s">
        <v>19</v>
      </c>
      <c r="I287" s="55" t="s">
        <v>4783</v>
      </c>
    </row>
    <row r="288" customFormat="false" ht="15" hidden="false" customHeight="false" outlineLevel="0" collapsed="false">
      <c r="A288" s="55" t="s">
        <v>5074</v>
      </c>
      <c r="B288" s="55" t="s">
        <v>2313</v>
      </c>
      <c r="C288" s="55" t="s">
        <v>2312</v>
      </c>
      <c r="D288" s="55" t="s">
        <v>47</v>
      </c>
      <c r="E288" s="55" t="s">
        <v>4740</v>
      </c>
      <c r="F288" s="55" t="s">
        <v>4745</v>
      </c>
      <c r="G288" s="55" t="s">
        <v>4746</v>
      </c>
      <c r="H288" s="55" t="s">
        <v>22</v>
      </c>
      <c r="I288" s="55" t="s">
        <v>4753</v>
      </c>
    </row>
    <row r="289" customFormat="false" ht="15" hidden="false" customHeight="false" outlineLevel="0" collapsed="false">
      <c r="A289" s="55" t="s">
        <v>5075</v>
      </c>
      <c r="B289" s="55" t="s">
        <v>1458</v>
      </c>
      <c r="C289" s="55" t="s">
        <v>1457</v>
      </c>
      <c r="D289" s="55" t="s">
        <v>47</v>
      </c>
      <c r="E289" s="55" t="s">
        <v>4740</v>
      </c>
      <c r="F289" s="55" t="s">
        <v>4774</v>
      </c>
      <c r="G289" s="55" t="s">
        <v>4775</v>
      </c>
      <c r="H289" s="55" t="s">
        <v>22</v>
      </c>
      <c r="I289" s="55" t="s">
        <v>4753</v>
      </c>
    </row>
    <row r="290" customFormat="false" ht="15" hidden="false" customHeight="false" outlineLevel="0" collapsed="false">
      <c r="A290" s="55" t="s">
        <v>5076</v>
      </c>
      <c r="B290" s="55" t="s">
        <v>594</v>
      </c>
      <c r="C290" s="55" t="s">
        <v>593</v>
      </c>
      <c r="D290" s="55" t="s">
        <v>45</v>
      </c>
      <c r="E290" s="55" t="s">
        <v>4740</v>
      </c>
      <c r="F290" s="55" t="s">
        <v>4745</v>
      </c>
      <c r="G290" s="55" t="s">
        <v>4746</v>
      </c>
      <c r="H290" s="55" t="s">
        <v>22</v>
      </c>
      <c r="I290" s="55" t="s">
        <v>4747</v>
      </c>
    </row>
    <row r="291" customFormat="false" ht="15" hidden="false" customHeight="false" outlineLevel="0" collapsed="false">
      <c r="A291" s="55" t="s">
        <v>5077</v>
      </c>
      <c r="B291" s="55" t="s">
        <v>420</v>
      </c>
      <c r="C291" s="55" t="s">
        <v>419</v>
      </c>
      <c r="D291" s="55" t="s">
        <v>45</v>
      </c>
      <c r="E291" s="55" t="s">
        <v>4740</v>
      </c>
      <c r="F291" s="55" t="s">
        <v>4741</v>
      </c>
      <c r="G291" s="55" t="s">
        <v>4742</v>
      </c>
      <c r="H291" s="55" t="s">
        <v>22</v>
      </c>
      <c r="I291" s="55" t="s">
        <v>4743</v>
      </c>
    </row>
    <row r="292" customFormat="false" ht="15" hidden="false" customHeight="false" outlineLevel="0" collapsed="false">
      <c r="A292" s="55" t="s">
        <v>5078</v>
      </c>
      <c r="B292" s="55" t="s">
        <v>420</v>
      </c>
      <c r="C292" s="55" t="s">
        <v>419</v>
      </c>
      <c r="D292" s="55" t="s">
        <v>47</v>
      </c>
      <c r="E292" s="55" t="s">
        <v>4740</v>
      </c>
      <c r="F292" s="55" t="s">
        <v>4745</v>
      </c>
      <c r="G292" s="55" t="s">
        <v>4746</v>
      </c>
      <c r="H292" s="55" t="s">
        <v>22</v>
      </c>
      <c r="I292" s="55" t="s">
        <v>4753</v>
      </c>
    </row>
    <row r="293" customFormat="false" ht="15" hidden="false" customHeight="false" outlineLevel="0" collapsed="false">
      <c r="A293" s="55" t="s">
        <v>5079</v>
      </c>
      <c r="B293" s="55" t="s">
        <v>3069</v>
      </c>
      <c r="C293" s="55" t="s">
        <v>3685</v>
      </c>
      <c r="D293" s="55" t="s">
        <v>47</v>
      </c>
      <c r="E293" s="55" t="s">
        <v>4740</v>
      </c>
      <c r="F293" s="55" t="s">
        <v>4934</v>
      </c>
      <c r="G293" s="55" t="s">
        <v>4935</v>
      </c>
      <c r="H293" s="55" t="s">
        <v>22</v>
      </c>
      <c r="I293" s="55" t="s">
        <v>4753</v>
      </c>
    </row>
    <row r="294" customFormat="false" ht="15" hidden="false" customHeight="false" outlineLevel="0" collapsed="false">
      <c r="A294" s="55" t="s">
        <v>5080</v>
      </c>
      <c r="B294" s="55" t="s">
        <v>736</v>
      </c>
      <c r="C294" s="55" t="s">
        <v>735</v>
      </c>
      <c r="D294" s="55" t="s">
        <v>45</v>
      </c>
      <c r="E294" s="55" t="s">
        <v>4740</v>
      </c>
      <c r="F294" s="55" t="s">
        <v>4745</v>
      </c>
      <c r="G294" s="55" t="s">
        <v>4746</v>
      </c>
      <c r="H294" s="55" t="s">
        <v>22</v>
      </c>
      <c r="I294" s="55" t="s">
        <v>4753</v>
      </c>
    </row>
    <row r="295" customFormat="false" ht="15" hidden="false" customHeight="false" outlineLevel="0" collapsed="false">
      <c r="A295" s="55" t="s">
        <v>5081</v>
      </c>
      <c r="B295" s="55" t="s">
        <v>2167</v>
      </c>
      <c r="C295" s="55" t="s">
        <v>2166</v>
      </c>
      <c r="D295" s="55" t="s">
        <v>47</v>
      </c>
      <c r="E295" s="55" t="s">
        <v>4740</v>
      </c>
      <c r="F295" s="55" t="s">
        <v>4745</v>
      </c>
      <c r="G295" s="55" t="s">
        <v>4746</v>
      </c>
      <c r="H295" s="55" t="s">
        <v>22</v>
      </c>
      <c r="I295" s="55" t="s">
        <v>4747</v>
      </c>
    </row>
    <row r="296" customFormat="false" ht="15" hidden="false" customHeight="false" outlineLevel="0" collapsed="false">
      <c r="A296" s="55" t="s">
        <v>5082</v>
      </c>
      <c r="B296" s="55" t="s">
        <v>1643</v>
      </c>
      <c r="C296" s="55" t="s">
        <v>1642</v>
      </c>
      <c r="D296" s="55" t="s">
        <v>45</v>
      </c>
      <c r="E296" s="55" t="s">
        <v>4740</v>
      </c>
      <c r="F296" s="55" t="s">
        <v>4774</v>
      </c>
      <c r="G296" s="55" t="s">
        <v>4782</v>
      </c>
      <c r="H296" s="55" t="s">
        <v>19</v>
      </c>
      <c r="I296" s="55" t="s">
        <v>4808</v>
      </c>
    </row>
    <row r="297" customFormat="false" ht="15" hidden="false" customHeight="false" outlineLevel="0" collapsed="false">
      <c r="A297" s="55" t="s">
        <v>5083</v>
      </c>
      <c r="B297" s="55" t="s">
        <v>428</v>
      </c>
      <c r="C297" s="55" t="s">
        <v>427</v>
      </c>
      <c r="D297" s="55" t="s">
        <v>45</v>
      </c>
      <c r="E297" s="55" t="s">
        <v>4740</v>
      </c>
      <c r="F297" s="55" t="s">
        <v>4741</v>
      </c>
      <c r="G297" s="55" t="s">
        <v>4742</v>
      </c>
      <c r="H297" s="55" t="s">
        <v>22</v>
      </c>
      <c r="I297" s="55" t="s">
        <v>4743</v>
      </c>
    </row>
    <row r="298" customFormat="false" ht="15" hidden="false" customHeight="false" outlineLevel="0" collapsed="false">
      <c r="A298" s="55" t="s">
        <v>5084</v>
      </c>
      <c r="B298" s="55" t="s">
        <v>428</v>
      </c>
      <c r="C298" s="55" t="s">
        <v>427</v>
      </c>
      <c r="D298" s="55" t="s">
        <v>47</v>
      </c>
      <c r="E298" s="55" t="s">
        <v>4740</v>
      </c>
      <c r="F298" s="55" t="s">
        <v>4745</v>
      </c>
      <c r="G298" s="55" t="s">
        <v>4746</v>
      </c>
      <c r="H298" s="55" t="s">
        <v>22</v>
      </c>
      <c r="I298" s="55" t="s">
        <v>4753</v>
      </c>
    </row>
    <row r="299" customFormat="false" ht="15" hidden="false" customHeight="false" outlineLevel="0" collapsed="false">
      <c r="A299" s="55" t="s">
        <v>5085</v>
      </c>
      <c r="B299" s="55" t="s">
        <v>1857</v>
      </c>
      <c r="C299" s="55" t="s">
        <v>1856</v>
      </c>
      <c r="D299" s="55" t="s">
        <v>45</v>
      </c>
      <c r="E299" s="55" t="s">
        <v>4740</v>
      </c>
      <c r="F299" s="55" t="s">
        <v>4774</v>
      </c>
      <c r="G299" s="55" t="s">
        <v>4782</v>
      </c>
      <c r="H299" s="55" t="s">
        <v>19</v>
      </c>
      <c r="I299" s="55" t="s">
        <v>4808</v>
      </c>
    </row>
    <row r="300" customFormat="false" ht="15" hidden="false" customHeight="false" outlineLevel="0" collapsed="false">
      <c r="A300" s="55" t="s">
        <v>5086</v>
      </c>
      <c r="B300" s="55" t="s">
        <v>1857</v>
      </c>
      <c r="C300" s="55" t="s">
        <v>1856</v>
      </c>
      <c r="D300" s="55" t="s">
        <v>46</v>
      </c>
      <c r="E300" s="55" t="s">
        <v>4740</v>
      </c>
      <c r="F300" s="55" t="s">
        <v>4366</v>
      </c>
      <c r="G300" s="55" t="s">
        <v>4779</v>
      </c>
      <c r="H300" s="55" t="s">
        <v>22</v>
      </c>
      <c r="I300" s="55" t="s">
        <v>4780</v>
      </c>
    </row>
    <row r="301" customFormat="false" ht="15" hidden="false" customHeight="false" outlineLevel="0" collapsed="false">
      <c r="A301" s="55" t="s">
        <v>5087</v>
      </c>
      <c r="B301" s="55" t="s">
        <v>426</v>
      </c>
      <c r="C301" s="55" t="s">
        <v>425</v>
      </c>
      <c r="D301" s="55" t="s">
        <v>47</v>
      </c>
      <c r="E301" s="55" t="s">
        <v>4740</v>
      </c>
      <c r="F301" s="55" t="s">
        <v>4745</v>
      </c>
      <c r="G301" s="55" t="s">
        <v>4746</v>
      </c>
      <c r="H301" s="55" t="s">
        <v>22</v>
      </c>
      <c r="I301" s="55" t="s">
        <v>4747</v>
      </c>
    </row>
    <row r="302" customFormat="false" ht="15" hidden="false" customHeight="false" outlineLevel="0" collapsed="false">
      <c r="A302" s="55" t="s">
        <v>5088</v>
      </c>
      <c r="B302" s="55" t="s">
        <v>330</v>
      </c>
      <c r="C302" s="55" t="s">
        <v>329</v>
      </c>
      <c r="D302" s="55" t="s">
        <v>45</v>
      </c>
      <c r="E302" s="55" t="s">
        <v>4740</v>
      </c>
      <c r="F302" s="55" t="s">
        <v>4745</v>
      </c>
      <c r="G302" s="55" t="s">
        <v>4746</v>
      </c>
      <c r="H302" s="55" t="s">
        <v>22</v>
      </c>
      <c r="I302" s="55" t="s">
        <v>4753</v>
      </c>
    </row>
    <row r="303" customFormat="false" ht="15" hidden="false" customHeight="false" outlineLevel="0" collapsed="false">
      <c r="A303" s="55" t="s">
        <v>5089</v>
      </c>
      <c r="B303" s="55" t="s">
        <v>330</v>
      </c>
      <c r="C303" s="55" t="s">
        <v>329</v>
      </c>
      <c r="D303" s="55" t="s">
        <v>46</v>
      </c>
      <c r="E303" s="55" t="s">
        <v>4740</v>
      </c>
      <c r="F303" s="55" t="s">
        <v>4745</v>
      </c>
      <c r="G303" s="55" t="s">
        <v>4746</v>
      </c>
      <c r="H303" s="55" t="s">
        <v>22</v>
      </c>
      <c r="I303" s="55" t="s">
        <v>4753</v>
      </c>
    </row>
    <row r="304" customFormat="false" ht="15" hidden="false" customHeight="false" outlineLevel="0" collapsed="false">
      <c r="A304" s="55" t="s">
        <v>5090</v>
      </c>
      <c r="B304" s="55" t="s">
        <v>330</v>
      </c>
      <c r="C304" s="55" t="s">
        <v>329</v>
      </c>
      <c r="D304" s="55" t="s">
        <v>47</v>
      </c>
      <c r="E304" s="55" t="s">
        <v>4740</v>
      </c>
      <c r="F304" s="55" t="s">
        <v>4745</v>
      </c>
      <c r="G304" s="55" t="s">
        <v>4746</v>
      </c>
      <c r="H304" s="55" t="s">
        <v>22</v>
      </c>
      <c r="I304" s="55" t="s">
        <v>4753</v>
      </c>
    </row>
    <row r="305" customFormat="false" ht="15" hidden="false" customHeight="false" outlineLevel="0" collapsed="false">
      <c r="A305" s="55" t="s">
        <v>5091</v>
      </c>
      <c r="B305" s="55" t="s">
        <v>442</v>
      </c>
      <c r="C305" s="55" t="s">
        <v>441</v>
      </c>
      <c r="D305" s="55" t="s">
        <v>45</v>
      </c>
      <c r="E305" s="55" t="s">
        <v>4740</v>
      </c>
      <c r="F305" s="55" t="s">
        <v>4745</v>
      </c>
      <c r="G305" s="55" t="s">
        <v>4746</v>
      </c>
      <c r="H305" s="55" t="s">
        <v>22</v>
      </c>
      <c r="I305" s="55" t="s">
        <v>4753</v>
      </c>
    </row>
    <row r="306" customFormat="false" ht="15" hidden="false" customHeight="false" outlineLevel="0" collapsed="false">
      <c r="A306" s="55" t="s">
        <v>5092</v>
      </c>
      <c r="B306" s="55" t="s">
        <v>442</v>
      </c>
      <c r="C306" s="55" t="s">
        <v>441</v>
      </c>
      <c r="D306" s="55" t="s">
        <v>46</v>
      </c>
      <c r="E306" s="55" t="s">
        <v>4740</v>
      </c>
      <c r="F306" s="55" t="s">
        <v>4745</v>
      </c>
      <c r="G306" s="55" t="s">
        <v>4746</v>
      </c>
      <c r="H306" s="55" t="s">
        <v>22</v>
      </c>
      <c r="I306" s="55" t="s">
        <v>4753</v>
      </c>
    </row>
    <row r="307" customFormat="false" ht="15" hidden="false" customHeight="false" outlineLevel="0" collapsed="false">
      <c r="A307" s="55" t="s">
        <v>5093</v>
      </c>
      <c r="B307" s="55" t="s">
        <v>2594</v>
      </c>
      <c r="C307" s="55" t="s">
        <v>2593</v>
      </c>
      <c r="D307" s="55" t="s">
        <v>47</v>
      </c>
      <c r="E307" s="55" t="s">
        <v>4740</v>
      </c>
      <c r="F307" s="55" t="s">
        <v>4745</v>
      </c>
      <c r="G307" s="55" t="s">
        <v>4763</v>
      </c>
      <c r="H307" s="55" t="s">
        <v>110</v>
      </c>
      <c r="I307" s="55" t="s">
        <v>4764</v>
      </c>
    </row>
    <row r="308" customFormat="false" ht="15" hidden="false" customHeight="false" outlineLevel="0" collapsed="false">
      <c r="A308" s="55" t="s">
        <v>5094</v>
      </c>
      <c r="B308" s="55" t="s">
        <v>398</v>
      </c>
      <c r="C308" s="55" t="s">
        <v>397</v>
      </c>
      <c r="D308" s="55" t="s">
        <v>45</v>
      </c>
      <c r="E308" s="55" t="s">
        <v>4740</v>
      </c>
      <c r="F308" s="55" t="s">
        <v>4745</v>
      </c>
      <c r="G308" s="55" t="s">
        <v>4746</v>
      </c>
      <c r="H308" s="55" t="s">
        <v>22</v>
      </c>
      <c r="I308" s="55" t="s">
        <v>4747</v>
      </c>
    </row>
    <row r="309" customFormat="false" ht="15" hidden="false" customHeight="false" outlineLevel="0" collapsed="false">
      <c r="A309" s="55" t="s">
        <v>5095</v>
      </c>
      <c r="B309" s="55" t="s">
        <v>350</v>
      </c>
      <c r="C309" s="55" t="s">
        <v>349</v>
      </c>
      <c r="D309" s="55" t="s">
        <v>45</v>
      </c>
      <c r="E309" s="55" t="s">
        <v>4740</v>
      </c>
      <c r="F309" s="55" t="s">
        <v>4745</v>
      </c>
      <c r="G309" s="55" t="s">
        <v>4746</v>
      </c>
      <c r="H309" s="55" t="s">
        <v>22</v>
      </c>
      <c r="I309" s="55" t="s">
        <v>4747</v>
      </c>
    </row>
    <row r="310" customFormat="false" ht="15" hidden="false" customHeight="false" outlineLevel="0" collapsed="false">
      <c r="A310" s="55" t="s">
        <v>5096</v>
      </c>
      <c r="B310" s="55" t="s">
        <v>648</v>
      </c>
      <c r="C310" s="55" t="s">
        <v>647</v>
      </c>
      <c r="D310" s="55" t="s">
        <v>47</v>
      </c>
      <c r="E310" s="55" t="s">
        <v>4740</v>
      </c>
      <c r="F310" s="55" t="s">
        <v>4745</v>
      </c>
      <c r="G310" s="55" t="s">
        <v>4746</v>
      </c>
      <c r="H310" s="55" t="s">
        <v>22</v>
      </c>
      <c r="I310" s="55" t="s">
        <v>4753</v>
      </c>
    </row>
    <row r="311" customFormat="false" ht="15" hidden="false" customHeight="false" outlineLevel="0" collapsed="false">
      <c r="A311" s="55" t="s">
        <v>5097</v>
      </c>
      <c r="B311" s="55" t="s">
        <v>318</v>
      </c>
      <c r="C311" s="55" t="s">
        <v>317</v>
      </c>
      <c r="D311" s="55" t="s">
        <v>45</v>
      </c>
      <c r="E311" s="55" t="s">
        <v>4740</v>
      </c>
      <c r="F311" s="55" t="s">
        <v>4745</v>
      </c>
      <c r="G311" s="55" t="s">
        <v>4746</v>
      </c>
      <c r="H311" s="55" t="s">
        <v>22</v>
      </c>
      <c r="I311" s="55" t="s">
        <v>4747</v>
      </c>
    </row>
    <row r="312" customFormat="false" ht="15" hidden="false" customHeight="false" outlineLevel="0" collapsed="false">
      <c r="A312" s="55" t="s">
        <v>5098</v>
      </c>
      <c r="B312" s="55" t="s">
        <v>318</v>
      </c>
      <c r="C312" s="55" t="s">
        <v>317</v>
      </c>
      <c r="D312" s="55" t="s">
        <v>47</v>
      </c>
      <c r="E312" s="55" t="s">
        <v>4740</v>
      </c>
      <c r="F312" s="55" t="s">
        <v>4745</v>
      </c>
      <c r="G312" s="55" t="s">
        <v>4746</v>
      </c>
      <c r="H312" s="55" t="s">
        <v>22</v>
      </c>
      <c r="I312" s="55" t="s">
        <v>4753</v>
      </c>
    </row>
    <row r="313" customFormat="false" ht="15" hidden="false" customHeight="false" outlineLevel="0" collapsed="false">
      <c r="A313" s="55" t="s">
        <v>5099</v>
      </c>
      <c r="B313" s="55" t="s">
        <v>1861</v>
      </c>
      <c r="C313" s="55" t="s">
        <v>1860</v>
      </c>
      <c r="D313" s="55" t="s">
        <v>47</v>
      </c>
      <c r="E313" s="55" t="s">
        <v>4740</v>
      </c>
      <c r="F313" s="55" t="s">
        <v>4774</v>
      </c>
      <c r="G313" s="55" t="s">
        <v>4775</v>
      </c>
      <c r="H313" s="55" t="s">
        <v>22</v>
      </c>
      <c r="I313" s="55" t="s">
        <v>4753</v>
      </c>
    </row>
    <row r="314" customFormat="false" ht="15" hidden="false" customHeight="false" outlineLevel="0" collapsed="false">
      <c r="A314" s="55" t="s">
        <v>5100</v>
      </c>
      <c r="B314" s="55" t="s">
        <v>850</v>
      </c>
      <c r="C314" s="55" t="s">
        <v>849</v>
      </c>
      <c r="D314" s="55" t="s">
        <v>47</v>
      </c>
      <c r="E314" s="55" t="s">
        <v>4740</v>
      </c>
      <c r="F314" s="55" t="s">
        <v>4745</v>
      </c>
      <c r="G314" s="55" t="s">
        <v>4746</v>
      </c>
      <c r="H314" s="55" t="s">
        <v>22</v>
      </c>
      <c r="I314" s="55" t="s">
        <v>4753</v>
      </c>
    </row>
    <row r="315" customFormat="false" ht="15" hidden="false" customHeight="false" outlineLevel="0" collapsed="false">
      <c r="A315" s="55" t="s">
        <v>5101</v>
      </c>
      <c r="B315" s="55" t="s">
        <v>2813</v>
      </c>
      <c r="C315" s="55" t="s">
        <v>2812</v>
      </c>
      <c r="D315" s="55" t="s">
        <v>47</v>
      </c>
      <c r="E315" s="55" t="s">
        <v>4740</v>
      </c>
      <c r="F315" s="55" t="s">
        <v>4745</v>
      </c>
      <c r="G315" s="55" t="s">
        <v>4746</v>
      </c>
      <c r="H315" s="55" t="s">
        <v>22</v>
      </c>
      <c r="I315" s="55" t="s">
        <v>4753</v>
      </c>
    </row>
    <row r="316" customFormat="false" ht="15" hidden="false" customHeight="false" outlineLevel="0" collapsed="false">
      <c r="A316" s="55" t="s">
        <v>5102</v>
      </c>
      <c r="B316" s="55" t="s">
        <v>504</v>
      </c>
      <c r="C316" s="55" t="s">
        <v>503</v>
      </c>
      <c r="D316" s="55" t="s">
        <v>47</v>
      </c>
      <c r="E316" s="55" t="s">
        <v>4740</v>
      </c>
      <c r="F316" s="55" t="s">
        <v>4745</v>
      </c>
      <c r="G316" s="55" t="s">
        <v>4746</v>
      </c>
      <c r="H316" s="55" t="s">
        <v>22</v>
      </c>
      <c r="I316" s="55" t="s">
        <v>4753</v>
      </c>
    </row>
    <row r="317" customFormat="false" ht="15" hidden="false" customHeight="false" outlineLevel="0" collapsed="false">
      <c r="A317" s="55" t="s">
        <v>5103</v>
      </c>
      <c r="B317" s="55" t="s">
        <v>2119</v>
      </c>
      <c r="C317" s="55" t="s">
        <v>2118</v>
      </c>
      <c r="D317" s="55" t="s">
        <v>46</v>
      </c>
      <c r="E317" s="55" t="s">
        <v>4740</v>
      </c>
      <c r="F317" s="55" t="s">
        <v>4834</v>
      </c>
      <c r="G317" s="55" t="s">
        <v>4835</v>
      </c>
      <c r="H317" s="55" t="s">
        <v>22</v>
      </c>
      <c r="I317" s="55" t="s">
        <v>4836</v>
      </c>
    </row>
    <row r="318" customFormat="false" ht="15" hidden="false" customHeight="false" outlineLevel="0" collapsed="false">
      <c r="A318" s="55" t="s">
        <v>5104</v>
      </c>
      <c r="B318" s="55" t="s">
        <v>1348</v>
      </c>
      <c r="C318" s="55" t="s">
        <v>1347</v>
      </c>
      <c r="D318" s="55" t="s">
        <v>45</v>
      </c>
      <c r="E318" s="55" t="s">
        <v>4740</v>
      </c>
      <c r="F318" s="55" t="s">
        <v>4834</v>
      </c>
      <c r="G318" s="55" t="s">
        <v>4835</v>
      </c>
      <c r="H318" s="55" t="s">
        <v>22</v>
      </c>
      <c r="I318" s="55" t="s">
        <v>4836</v>
      </c>
    </row>
    <row r="319" customFormat="false" ht="15" hidden="false" customHeight="false" outlineLevel="0" collapsed="false">
      <c r="A319" s="55" t="s">
        <v>5105</v>
      </c>
      <c r="B319" s="55" t="s">
        <v>1348</v>
      </c>
      <c r="C319" s="55" t="s">
        <v>1347</v>
      </c>
      <c r="D319" s="55" t="s">
        <v>47</v>
      </c>
      <c r="E319" s="55" t="s">
        <v>4740</v>
      </c>
      <c r="F319" s="55" t="s">
        <v>4745</v>
      </c>
      <c r="G319" s="55" t="s">
        <v>4746</v>
      </c>
      <c r="H319" s="55" t="s">
        <v>22</v>
      </c>
      <c r="I319" s="55" t="s">
        <v>4753</v>
      </c>
    </row>
    <row r="320" customFormat="false" ht="15" hidden="false" customHeight="false" outlineLevel="0" collapsed="false">
      <c r="A320" s="55" t="s">
        <v>5106</v>
      </c>
      <c r="B320" s="55" t="s">
        <v>214</v>
      </c>
      <c r="C320" s="55" t="s">
        <v>213</v>
      </c>
      <c r="D320" s="55" t="s">
        <v>47</v>
      </c>
      <c r="E320" s="55" t="s">
        <v>4740</v>
      </c>
      <c r="F320" s="55" t="s">
        <v>4749</v>
      </c>
      <c r="G320" s="55" t="s">
        <v>4750</v>
      </c>
      <c r="H320" s="55" t="s">
        <v>22</v>
      </c>
      <c r="I320" s="55" t="s">
        <v>4751</v>
      </c>
    </row>
    <row r="321" customFormat="false" ht="15" hidden="false" customHeight="false" outlineLevel="0" collapsed="false">
      <c r="A321" s="55" t="s">
        <v>5107</v>
      </c>
      <c r="B321" s="55" t="s">
        <v>2459</v>
      </c>
      <c r="C321" s="55" t="s">
        <v>2458</v>
      </c>
      <c r="D321" s="55" t="s">
        <v>47</v>
      </c>
      <c r="E321" s="55" t="s">
        <v>4740</v>
      </c>
      <c r="F321" s="55" t="s">
        <v>4749</v>
      </c>
      <c r="G321" s="55" t="s">
        <v>4750</v>
      </c>
      <c r="H321" s="55" t="s">
        <v>22</v>
      </c>
      <c r="I321" s="55" t="s">
        <v>4751</v>
      </c>
    </row>
    <row r="322" customFormat="false" ht="15" hidden="false" customHeight="false" outlineLevel="0" collapsed="false">
      <c r="A322" s="55" t="s">
        <v>5108</v>
      </c>
      <c r="B322" s="55" t="s">
        <v>792</v>
      </c>
      <c r="C322" s="55" t="s">
        <v>791</v>
      </c>
      <c r="D322" s="55" t="s">
        <v>46</v>
      </c>
      <c r="E322" s="55" t="s">
        <v>4740</v>
      </c>
      <c r="F322" s="55" t="s">
        <v>4749</v>
      </c>
      <c r="G322" s="55" t="s">
        <v>4750</v>
      </c>
      <c r="H322" s="55" t="s">
        <v>22</v>
      </c>
      <c r="I322" s="55" t="s">
        <v>4751</v>
      </c>
    </row>
    <row r="323" customFormat="false" ht="15" hidden="false" customHeight="false" outlineLevel="0" collapsed="false">
      <c r="A323" s="55" t="s">
        <v>5109</v>
      </c>
      <c r="B323" s="55" t="s">
        <v>2377</v>
      </c>
      <c r="C323" s="55" t="s">
        <v>2376</v>
      </c>
      <c r="D323" s="55" t="s">
        <v>45</v>
      </c>
      <c r="E323" s="55" t="s">
        <v>4740</v>
      </c>
      <c r="F323" s="55" t="s">
        <v>5110</v>
      </c>
      <c r="G323" s="55" t="s">
        <v>5111</v>
      </c>
      <c r="H323" s="55" t="s">
        <v>19</v>
      </c>
      <c r="I323" s="55" t="s">
        <v>4808</v>
      </c>
    </row>
    <row r="324" customFormat="false" ht="15" hidden="false" customHeight="false" outlineLevel="0" collapsed="false">
      <c r="A324" s="55" t="s">
        <v>5112</v>
      </c>
      <c r="B324" s="55" t="s">
        <v>2377</v>
      </c>
      <c r="C324" s="55" t="s">
        <v>2376</v>
      </c>
      <c r="D324" s="55" t="s">
        <v>47</v>
      </c>
      <c r="E324" s="55" t="s">
        <v>4740</v>
      </c>
      <c r="F324" s="55" t="s">
        <v>4745</v>
      </c>
      <c r="G324" s="55" t="s">
        <v>4746</v>
      </c>
      <c r="H324" s="55" t="s">
        <v>22</v>
      </c>
      <c r="I324" s="55" t="s">
        <v>4753</v>
      </c>
    </row>
    <row r="325" customFormat="false" ht="15" hidden="false" customHeight="false" outlineLevel="0" collapsed="false">
      <c r="A325" s="55" t="s">
        <v>5113</v>
      </c>
      <c r="B325" s="55" t="s">
        <v>1989</v>
      </c>
      <c r="C325" s="55" t="s">
        <v>1988</v>
      </c>
      <c r="D325" s="55" t="s">
        <v>47</v>
      </c>
      <c r="E325" s="55" t="s">
        <v>4740</v>
      </c>
      <c r="F325" s="55" t="s">
        <v>4934</v>
      </c>
      <c r="G325" s="55" t="s">
        <v>5049</v>
      </c>
      <c r="H325" s="55" t="s">
        <v>19</v>
      </c>
      <c r="I325" s="55" t="s">
        <v>4783</v>
      </c>
    </row>
    <row r="326" customFormat="false" ht="15" hidden="false" customHeight="false" outlineLevel="0" collapsed="false">
      <c r="A326" s="55" t="s">
        <v>5114</v>
      </c>
      <c r="B326" s="55" t="s">
        <v>3084</v>
      </c>
      <c r="C326" s="55" t="s">
        <v>3722</v>
      </c>
      <c r="D326" s="55" t="s">
        <v>46</v>
      </c>
      <c r="E326" s="55" t="s">
        <v>4740</v>
      </c>
      <c r="F326" s="55" t="s">
        <v>4577</v>
      </c>
      <c r="G326" s="55" t="s">
        <v>4893</v>
      </c>
      <c r="H326" s="55" t="s">
        <v>19</v>
      </c>
      <c r="I326" s="55" t="s">
        <v>4783</v>
      </c>
    </row>
    <row r="327" customFormat="false" ht="15" hidden="false" customHeight="false" outlineLevel="0" collapsed="false">
      <c r="A327" s="55" t="s">
        <v>5115</v>
      </c>
      <c r="B327" s="55" t="s">
        <v>186</v>
      </c>
      <c r="C327" s="55" t="s">
        <v>185</v>
      </c>
      <c r="D327" s="55" t="s">
        <v>45</v>
      </c>
      <c r="E327" s="55" t="s">
        <v>4740</v>
      </c>
      <c r="F327" s="55" t="s">
        <v>4741</v>
      </c>
      <c r="G327" s="55" t="s">
        <v>4742</v>
      </c>
      <c r="H327" s="55" t="s">
        <v>22</v>
      </c>
      <c r="I327" s="55" t="s">
        <v>4743</v>
      </c>
    </row>
    <row r="328" customFormat="false" ht="15" hidden="false" customHeight="false" outlineLevel="0" collapsed="false">
      <c r="A328" s="55" t="s">
        <v>5116</v>
      </c>
      <c r="B328" s="55" t="s">
        <v>1190</v>
      </c>
      <c r="C328" s="55" t="s">
        <v>1189</v>
      </c>
      <c r="D328" s="55" t="s">
        <v>47</v>
      </c>
      <c r="E328" s="55" t="s">
        <v>4740</v>
      </c>
      <c r="F328" s="55" t="s">
        <v>4745</v>
      </c>
      <c r="G328" s="55" t="s">
        <v>4746</v>
      </c>
      <c r="H328" s="55" t="s">
        <v>22</v>
      </c>
      <c r="I328" s="55" t="s">
        <v>4753</v>
      </c>
    </row>
    <row r="329" customFormat="false" ht="15" hidden="false" customHeight="false" outlineLevel="0" collapsed="false">
      <c r="A329" s="55" t="s">
        <v>5117</v>
      </c>
      <c r="B329" s="55" t="s">
        <v>654</v>
      </c>
      <c r="C329" s="55" t="s">
        <v>653</v>
      </c>
      <c r="D329" s="55" t="s">
        <v>46</v>
      </c>
      <c r="E329" s="55" t="s">
        <v>4740</v>
      </c>
      <c r="F329" s="55" t="s">
        <v>4745</v>
      </c>
      <c r="G329" s="55" t="s">
        <v>4746</v>
      </c>
      <c r="H329" s="55" t="s">
        <v>22</v>
      </c>
      <c r="I329" s="55" t="s">
        <v>4753</v>
      </c>
    </row>
    <row r="330" customFormat="false" ht="15" hidden="false" customHeight="false" outlineLevel="0" collapsed="false">
      <c r="A330" s="55" t="s">
        <v>5118</v>
      </c>
      <c r="B330" s="55" t="s">
        <v>654</v>
      </c>
      <c r="C330" s="55" t="s">
        <v>653</v>
      </c>
      <c r="D330" s="55" t="s">
        <v>47</v>
      </c>
      <c r="E330" s="55" t="s">
        <v>4740</v>
      </c>
      <c r="F330" s="55" t="s">
        <v>4766</v>
      </c>
      <c r="G330" s="55" t="s">
        <v>4767</v>
      </c>
      <c r="H330" s="55" t="s">
        <v>22</v>
      </c>
      <c r="I330" s="55" t="s">
        <v>4753</v>
      </c>
    </row>
    <row r="331" customFormat="false" ht="15" hidden="false" customHeight="false" outlineLevel="0" collapsed="false">
      <c r="A331" s="55" t="s">
        <v>5119</v>
      </c>
      <c r="B331" s="55" t="s">
        <v>1303</v>
      </c>
      <c r="C331" s="55" t="s">
        <v>1302</v>
      </c>
      <c r="D331" s="55" t="s">
        <v>46</v>
      </c>
      <c r="E331" s="55" t="s">
        <v>4740</v>
      </c>
      <c r="F331" s="55" t="s">
        <v>5120</v>
      </c>
      <c r="G331" s="55" t="s">
        <v>5121</v>
      </c>
      <c r="H331" s="55" t="s">
        <v>19</v>
      </c>
      <c r="I331" s="55" t="s">
        <v>5122</v>
      </c>
    </row>
    <row r="332" customFormat="false" ht="15" hidden="false" customHeight="false" outlineLevel="0" collapsed="false">
      <c r="A332" s="55" t="s">
        <v>5123</v>
      </c>
      <c r="B332" s="55" t="s">
        <v>1303</v>
      </c>
      <c r="C332" s="55" t="s">
        <v>1302</v>
      </c>
      <c r="D332" s="55" t="s">
        <v>47</v>
      </c>
      <c r="E332" s="55" t="s">
        <v>4740</v>
      </c>
      <c r="F332" s="55" t="s">
        <v>4834</v>
      </c>
      <c r="G332" s="55" t="s">
        <v>4835</v>
      </c>
      <c r="H332" s="55" t="s">
        <v>22</v>
      </c>
      <c r="I332" s="55" t="s">
        <v>4753</v>
      </c>
    </row>
    <row r="333" customFormat="false" ht="15" hidden="false" customHeight="false" outlineLevel="0" collapsed="false">
      <c r="A333" s="55" t="s">
        <v>5124</v>
      </c>
      <c r="B333" s="55" t="s">
        <v>2843</v>
      </c>
      <c r="C333" s="55" t="s">
        <v>2842</v>
      </c>
      <c r="D333" s="55" t="s">
        <v>46</v>
      </c>
      <c r="E333" s="55" t="s">
        <v>4740</v>
      </c>
      <c r="F333" s="55" t="s">
        <v>5125</v>
      </c>
      <c r="G333" s="55" t="s">
        <v>5126</v>
      </c>
      <c r="H333" s="55" t="s">
        <v>19</v>
      </c>
      <c r="I333" s="55" t="s">
        <v>4783</v>
      </c>
    </row>
    <row r="334" customFormat="false" ht="15" hidden="false" customHeight="false" outlineLevel="0" collapsed="false">
      <c r="A334" s="55" t="s">
        <v>5127</v>
      </c>
      <c r="B334" s="55" t="s">
        <v>2843</v>
      </c>
      <c r="C334" s="55" t="s">
        <v>2842</v>
      </c>
      <c r="D334" s="55" t="s">
        <v>47</v>
      </c>
      <c r="E334" s="55" t="s">
        <v>4740</v>
      </c>
      <c r="F334" s="55" t="s">
        <v>4745</v>
      </c>
      <c r="G334" s="55" t="s">
        <v>4746</v>
      </c>
      <c r="H334" s="55" t="s">
        <v>22</v>
      </c>
      <c r="I334" s="55" t="s">
        <v>4753</v>
      </c>
    </row>
    <row r="335" customFormat="false" ht="15" hidden="false" customHeight="false" outlineLevel="0" collapsed="false">
      <c r="A335" s="55" t="s">
        <v>5128</v>
      </c>
      <c r="B335" s="55" t="s">
        <v>1583</v>
      </c>
      <c r="C335" s="55" t="s">
        <v>1582</v>
      </c>
      <c r="D335" s="55" t="s">
        <v>45</v>
      </c>
      <c r="E335" s="55" t="s">
        <v>4740</v>
      </c>
      <c r="F335" s="55" t="s">
        <v>4745</v>
      </c>
      <c r="G335" s="55" t="s">
        <v>4746</v>
      </c>
      <c r="H335" s="55" t="s">
        <v>22</v>
      </c>
      <c r="I335" s="55" t="s">
        <v>4753</v>
      </c>
    </row>
    <row r="336" customFormat="false" ht="15" hidden="false" customHeight="false" outlineLevel="0" collapsed="false">
      <c r="A336" s="55" t="s">
        <v>5129</v>
      </c>
      <c r="B336" s="55" t="s">
        <v>1583</v>
      </c>
      <c r="C336" s="55" t="s">
        <v>1582</v>
      </c>
      <c r="D336" s="55" t="s">
        <v>47</v>
      </c>
      <c r="E336" s="55" t="s">
        <v>4740</v>
      </c>
      <c r="F336" s="55" t="s">
        <v>4577</v>
      </c>
      <c r="G336" s="55" t="s">
        <v>4819</v>
      </c>
      <c r="H336" s="55" t="s">
        <v>22</v>
      </c>
      <c r="I336" s="55" t="s">
        <v>4918</v>
      </c>
    </row>
    <row r="337" customFormat="false" ht="15" hidden="false" customHeight="false" outlineLevel="0" collapsed="false">
      <c r="A337" s="55" t="s">
        <v>5130</v>
      </c>
      <c r="B337" s="55" t="s">
        <v>159</v>
      </c>
      <c r="C337" s="55" t="s">
        <v>158</v>
      </c>
      <c r="D337" s="55" t="s">
        <v>45</v>
      </c>
      <c r="E337" s="55" t="s">
        <v>4740</v>
      </c>
      <c r="F337" s="55" t="s">
        <v>4804</v>
      </c>
      <c r="G337" s="55" t="s">
        <v>4843</v>
      </c>
      <c r="H337" s="55" t="s">
        <v>22</v>
      </c>
      <c r="I337" s="55" t="s">
        <v>4844</v>
      </c>
    </row>
    <row r="338" customFormat="false" ht="15" hidden="false" customHeight="false" outlineLevel="0" collapsed="false">
      <c r="A338" s="55" t="s">
        <v>5131</v>
      </c>
      <c r="B338" s="55" t="s">
        <v>1025</v>
      </c>
      <c r="C338" s="55" t="s">
        <v>1024</v>
      </c>
      <c r="D338" s="55" t="s">
        <v>45</v>
      </c>
      <c r="E338" s="55" t="s">
        <v>4740</v>
      </c>
      <c r="F338" s="55" t="s">
        <v>4749</v>
      </c>
      <c r="G338" s="55" t="s">
        <v>4750</v>
      </c>
      <c r="H338" s="55" t="s">
        <v>22</v>
      </c>
      <c r="I338" s="55" t="s">
        <v>4751</v>
      </c>
    </row>
    <row r="339" customFormat="false" ht="15" hidden="false" customHeight="false" outlineLevel="0" collapsed="false">
      <c r="A339" s="55" t="s">
        <v>5132</v>
      </c>
      <c r="B339" s="55" t="s">
        <v>1025</v>
      </c>
      <c r="C339" s="55" t="s">
        <v>1024</v>
      </c>
      <c r="D339" s="55" t="s">
        <v>47</v>
      </c>
      <c r="E339" s="55" t="s">
        <v>4740</v>
      </c>
      <c r="F339" s="55" t="s">
        <v>4745</v>
      </c>
      <c r="G339" s="55" t="s">
        <v>4746</v>
      </c>
      <c r="H339" s="55" t="s">
        <v>22</v>
      </c>
      <c r="I339" s="55" t="s">
        <v>4753</v>
      </c>
    </row>
    <row r="340" customFormat="false" ht="15" hidden="false" customHeight="false" outlineLevel="0" collapsed="false">
      <c r="A340" s="55" t="s">
        <v>5133</v>
      </c>
      <c r="B340" s="55" t="s">
        <v>236</v>
      </c>
      <c r="C340" s="55" t="s">
        <v>235</v>
      </c>
      <c r="D340" s="55" t="s">
        <v>47</v>
      </c>
      <c r="E340" s="55" t="s">
        <v>4740</v>
      </c>
      <c r="F340" s="55" t="s">
        <v>4745</v>
      </c>
      <c r="G340" s="55" t="s">
        <v>4746</v>
      </c>
      <c r="H340" s="55" t="s">
        <v>22</v>
      </c>
      <c r="I340" s="55" t="s">
        <v>4753</v>
      </c>
    </row>
    <row r="341" customFormat="false" ht="15" hidden="false" customHeight="false" outlineLevel="0" collapsed="false">
      <c r="A341" s="55" t="s">
        <v>5134</v>
      </c>
      <c r="B341" s="55" t="s">
        <v>2279</v>
      </c>
      <c r="C341" s="55" t="s">
        <v>2278</v>
      </c>
      <c r="D341" s="55" t="s">
        <v>47</v>
      </c>
      <c r="E341" s="55" t="s">
        <v>4740</v>
      </c>
      <c r="F341" s="55" t="s">
        <v>4745</v>
      </c>
      <c r="G341" s="55" t="s">
        <v>4746</v>
      </c>
      <c r="H341" s="55" t="s">
        <v>22</v>
      </c>
      <c r="I341" s="55" t="s">
        <v>4753</v>
      </c>
    </row>
    <row r="342" customFormat="false" ht="15" hidden="false" customHeight="false" outlineLevel="0" collapsed="false">
      <c r="A342" s="55" t="s">
        <v>5135</v>
      </c>
      <c r="B342" s="55" t="s">
        <v>146</v>
      </c>
      <c r="C342" s="55" t="s">
        <v>145</v>
      </c>
      <c r="D342" s="55" t="s">
        <v>45</v>
      </c>
      <c r="E342" s="55" t="s">
        <v>4740</v>
      </c>
      <c r="F342" s="55" t="s">
        <v>4745</v>
      </c>
      <c r="G342" s="55" t="s">
        <v>4746</v>
      </c>
      <c r="H342" s="55" t="s">
        <v>22</v>
      </c>
      <c r="I342" s="55" t="s">
        <v>4753</v>
      </c>
    </row>
    <row r="343" customFormat="false" ht="15" hidden="false" customHeight="false" outlineLevel="0" collapsed="false">
      <c r="A343" s="55" t="s">
        <v>5136</v>
      </c>
      <c r="B343" s="55" t="s">
        <v>146</v>
      </c>
      <c r="C343" s="55" t="s">
        <v>145</v>
      </c>
      <c r="D343" s="55" t="s">
        <v>47</v>
      </c>
      <c r="E343" s="55" t="s">
        <v>4740</v>
      </c>
      <c r="F343" s="55" t="s">
        <v>4745</v>
      </c>
      <c r="G343" s="55" t="s">
        <v>4746</v>
      </c>
      <c r="H343" s="55" t="s">
        <v>22</v>
      </c>
      <c r="I343" s="55" t="s">
        <v>4753</v>
      </c>
    </row>
    <row r="344" customFormat="false" ht="15" hidden="false" customHeight="false" outlineLevel="0" collapsed="false">
      <c r="A344" s="55" t="s">
        <v>5137</v>
      </c>
      <c r="B344" s="55" t="s">
        <v>652</v>
      </c>
      <c r="C344" s="55" t="s">
        <v>651</v>
      </c>
      <c r="D344" s="55" t="s">
        <v>47</v>
      </c>
      <c r="E344" s="55" t="s">
        <v>4740</v>
      </c>
      <c r="F344" s="55" t="s">
        <v>4745</v>
      </c>
      <c r="G344" s="55" t="s">
        <v>4746</v>
      </c>
      <c r="H344" s="55" t="s">
        <v>22</v>
      </c>
      <c r="I344" s="55" t="s">
        <v>4753</v>
      </c>
    </row>
    <row r="345" customFormat="false" ht="15" hidden="false" customHeight="false" outlineLevel="0" collapsed="false">
      <c r="A345" s="55" t="s">
        <v>5138</v>
      </c>
      <c r="B345" s="55" t="s">
        <v>784</v>
      </c>
      <c r="C345" s="55" t="s">
        <v>783</v>
      </c>
      <c r="D345" s="55" t="s">
        <v>47</v>
      </c>
      <c r="E345" s="55" t="s">
        <v>4740</v>
      </c>
      <c r="F345" s="55" t="s">
        <v>4745</v>
      </c>
      <c r="G345" s="55" t="s">
        <v>4746</v>
      </c>
      <c r="H345" s="55" t="s">
        <v>22</v>
      </c>
      <c r="I345" s="55" t="s">
        <v>4753</v>
      </c>
    </row>
    <row r="346" customFormat="false" ht="15" hidden="false" customHeight="false" outlineLevel="0" collapsed="false">
      <c r="A346" s="55" t="s">
        <v>5139</v>
      </c>
      <c r="B346" s="55" t="s">
        <v>290</v>
      </c>
      <c r="C346" s="55" t="s">
        <v>289</v>
      </c>
      <c r="D346" s="55" t="s">
        <v>47</v>
      </c>
      <c r="E346" s="55" t="s">
        <v>4740</v>
      </c>
      <c r="F346" s="55" t="s">
        <v>4745</v>
      </c>
      <c r="G346" s="55" t="s">
        <v>4746</v>
      </c>
      <c r="H346" s="55" t="s">
        <v>22</v>
      </c>
      <c r="I346" s="55" t="s">
        <v>4753</v>
      </c>
    </row>
    <row r="347" customFormat="false" ht="15" hidden="false" customHeight="false" outlineLevel="0" collapsed="false">
      <c r="A347" s="55" t="s">
        <v>5140</v>
      </c>
      <c r="B347" s="55" t="s">
        <v>3098</v>
      </c>
      <c r="C347" s="55" t="s">
        <v>3745</v>
      </c>
      <c r="D347" s="55" t="s">
        <v>47</v>
      </c>
      <c r="E347" s="55" t="s">
        <v>4740</v>
      </c>
      <c r="F347" s="55" t="s">
        <v>4774</v>
      </c>
      <c r="G347" s="55" t="s">
        <v>4775</v>
      </c>
      <c r="H347" s="55" t="s">
        <v>22</v>
      </c>
      <c r="I347" s="55" t="s">
        <v>4753</v>
      </c>
    </row>
    <row r="348" customFormat="false" ht="15" hidden="false" customHeight="false" outlineLevel="0" collapsed="false">
      <c r="A348" s="55" t="s">
        <v>5141</v>
      </c>
      <c r="B348" s="55" t="s">
        <v>172</v>
      </c>
      <c r="C348" s="55" t="s">
        <v>171</v>
      </c>
      <c r="D348" s="55" t="s">
        <v>45</v>
      </c>
      <c r="E348" s="55" t="s">
        <v>4740</v>
      </c>
      <c r="F348" s="55" t="s">
        <v>4749</v>
      </c>
      <c r="G348" s="55" t="s">
        <v>4750</v>
      </c>
      <c r="H348" s="55" t="s">
        <v>22</v>
      </c>
      <c r="I348" s="55" t="s">
        <v>4751</v>
      </c>
    </row>
    <row r="349" customFormat="false" ht="15" hidden="false" customHeight="false" outlineLevel="0" collapsed="false">
      <c r="A349" s="55" t="s">
        <v>5142</v>
      </c>
      <c r="B349" s="55" t="s">
        <v>476</v>
      </c>
      <c r="C349" s="55" t="s">
        <v>475</v>
      </c>
      <c r="D349" s="55" t="s">
        <v>46</v>
      </c>
      <c r="E349" s="55" t="s">
        <v>4740</v>
      </c>
      <c r="F349" s="55" t="s">
        <v>4804</v>
      </c>
      <c r="G349" s="55" t="s">
        <v>4843</v>
      </c>
      <c r="H349" s="55" t="s">
        <v>22</v>
      </c>
      <c r="I349" s="55" t="s">
        <v>4844</v>
      </c>
    </row>
    <row r="350" customFormat="false" ht="15" hidden="false" customHeight="false" outlineLevel="0" collapsed="false">
      <c r="A350" s="55" t="s">
        <v>5143</v>
      </c>
      <c r="B350" s="55" t="s">
        <v>476</v>
      </c>
      <c r="C350" s="55" t="s">
        <v>475</v>
      </c>
      <c r="D350" s="55" t="s">
        <v>47</v>
      </c>
      <c r="E350" s="55" t="s">
        <v>4740</v>
      </c>
      <c r="F350" s="55" t="s">
        <v>4745</v>
      </c>
      <c r="G350" s="55" t="s">
        <v>4746</v>
      </c>
      <c r="H350" s="55" t="s">
        <v>22</v>
      </c>
      <c r="I350" s="55" t="s">
        <v>4753</v>
      </c>
    </row>
    <row r="351" customFormat="false" ht="15" hidden="false" customHeight="false" outlineLevel="0" collapsed="false">
      <c r="A351" s="55" t="s">
        <v>5144</v>
      </c>
      <c r="B351" s="55" t="s">
        <v>2136</v>
      </c>
      <c r="C351" s="55" t="s">
        <v>2135</v>
      </c>
      <c r="D351" s="55" t="s">
        <v>45</v>
      </c>
      <c r="E351" s="55" t="s">
        <v>4740</v>
      </c>
      <c r="F351" s="55" t="s">
        <v>4766</v>
      </c>
      <c r="G351" s="55" t="s">
        <v>4767</v>
      </c>
      <c r="H351" s="55" t="s">
        <v>22</v>
      </c>
      <c r="I351" s="55" t="s">
        <v>4753</v>
      </c>
    </row>
    <row r="352" customFormat="false" ht="15" hidden="false" customHeight="false" outlineLevel="0" collapsed="false">
      <c r="A352" s="55" t="s">
        <v>5145</v>
      </c>
      <c r="B352" s="55" t="s">
        <v>2136</v>
      </c>
      <c r="C352" s="55" t="s">
        <v>2135</v>
      </c>
      <c r="D352" s="55" t="s">
        <v>46</v>
      </c>
      <c r="E352" s="55" t="s">
        <v>4740</v>
      </c>
      <c r="F352" s="55" t="s">
        <v>4745</v>
      </c>
      <c r="G352" s="55" t="s">
        <v>4746</v>
      </c>
      <c r="H352" s="55" t="s">
        <v>22</v>
      </c>
      <c r="I352" s="55" t="s">
        <v>4753</v>
      </c>
    </row>
    <row r="353" customFormat="false" ht="15" hidden="false" customHeight="false" outlineLevel="0" collapsed="false">
      <c r="A353" s="55" t="s">
        <v>5146</v>
      </c>
      <c r="B353" s="55" t="s">
        <v>1625</v>
      </c>
      <c r="C353" s="55" t="s">
        <v>1624</v>
      </c>
      <c r="D353" s="55" t="s">
        <v>46</v>
      </c>
      <c r="E353" s="55" t="s">
        <v>4740</v>
      </c>
      <c r="F353" s="55" t="s">
        <v>5147</v>
      </c>
      <c r="G353" s="55" t="s">
        <v>5148</v>
      </c>
      <c r="H353" s="55" t="s">
        <v>22</v>
      </c>
      <c r="I353" s="55" t="s">
        <v>5149</v>
      </c>
    </row>
    <row r="354" customFormat="false" ht="15" hidden="false" customHeight="false" outlineLevel="0" collapsed="false">
      <c r="A354" s="55" t="s">
        <v>5150</v>
      </c>
      <c r="B354" s="55" t="s">
        <v>1625</v>
      </c>
      <c r="C354" s="55" t="s">
        <v>1624</v>
      </c>
      <c r="D354" s="55" t="s">
        <v>47</v>
      </c>
      <c r="E354" s="55" t="s">
        <v>4740</v>
      </c>
      <c r="F354" s="55" t="s">
        <v>4745</v>
      </c>
      <c r="G354" s="55" t="s">
        <v>5151</v>
      </c>
      <c r="H354" s="55" t="s">
        <v>110</v>
      </c>
      <c r="I354" s="55" t="s">
        <v>4764</v>
      </c>
    </row>
    <row r="355" customFormat="false" ht="15" hidden="false" customHeight="false" outlineLevel="0" collapsed="false">
      <c r="A355" s="55" t="s">
        <v>5152</v>
      </c>
      <c r="B355" s="55" t="s">
        <v>590</v>
      </c>
      <c r="C355" s="55" t="s">
        <v>589</v>
      </c>
      <c r="D355" s="55" t="s">
        <v>45</v>
      </c>
      <c r="E355" s="55" t="s">
        <v>4740</v>
      </c>
      <c r="F355" s="55" t="s">
        <v>4745</v>
      </c>
      <c r="G355" s="55" t="s">
        <v>4746</v>
      </c>
      <c r="H355" s="55" t="s">
        <v>22</v>
      </c>
      <c r="I355" s="55" t="s">
        <v>4753</v>
      </c>
    </row>
    <row r="356" customFormat="false" ht="15" hidden="false" customHeight="false" outlineLevel="0" collapsed="false">
      <c r="A356" s="55" t="s">
        <v>5153</v>
      </c>
      <c r="B356" s="55" t="s">
        <v>590</v>
      </c>
      <c r="C356" s="55" t="s">
        <v>589</v>
      </c>
      <c r="D356" s="55" t="s">
        <v>47</v>
      </c>
      <c r="E356" s="55" t="s">
        <v>4740</v>
      </c>
      <c r="F356" s="55" t="s">
        <v>4745</v>
      </c>
      <c r="G356" s="55" t="s">
        <v>4746</v>
      </c>
      <c r="H356" s="55" t="s">
        <v>22</v>
      </c>
      <c r="I356" s="55" t="s">
        <v>4753</v>
      </c>
    </row>
    <row r="357" customFormat="false" ht="15" hidden="false" customHeight="false" outlineLevel="0" collapsed="false">
      <c r="A357" s="55" t="s">
        <v>5154</v>
      </c>
      <c r="B357" s="55" t="s">
        <v>1207</v>
      </c>
      <c r="C357" s="55" t="s">
        <v>1206</v>
      </c>
      <c r="D357" s="55" t="s">
        <v>47</v>
      </c>
      <c r="E357" s="55" t="s">
        <v>4740</v>
      </c>
      <c r="F357" s="55" t="s">
        <v>4745</v>
      </c>
      <c r="G357" s="55" t="s">
        <v>4746</v>
      </c>
      <c r="H357" s="55" t="s">
        <v>22</v>
      </c>
      <c r="I357" s="55" t="s">
        <v>4753</v>
      </c>
    </row>
    <row r="358" customFormat="false" ht="15" hidden="false" customHeight="false" outlineLevel="0" collapsed="false">
      <c r="A358" s="55" t="s">
        <v>5155</v>
      </c>
      <c r="B358" s="55" t="s">
        <v>1688</v>
      </c>
      <c r="C358" s="55" t="s">
        <v>1687</v>
      </c>
      <c r="D358" s="55" t="s">
        <v>47</v>
      </c>
      <c r="E358" s="55" t="s">
        <v>4740</v>
      </c>
      <c r="F358" s="55" t="s">
        <v>4745</v>
      </c>
      <c r="G358" s="55" t="s">
        <v>4746</v>
      </c>
      <c r="H358" s="55" t="s">
        <v>22</v>
      </c>
      <c r="I358" s="55" t="s">
        <v>4753</v>
      </c>
    </row>
    <row r="359" customFormat="false" ht="15" hidden="false" customHeight="false" outlineLevel="0" collapsed="false">
      <c r="A359" s="55" t="s">
        <v>5156</v>
      </c>
      <c r="B359" s="55" t="s">
        <v>1260</v>
      </c>
      <c r="C359" s="55" t="s">
        <v>1259</v>
      </c>
      <c r="D359" s="55" t="s">
        <v>46</v>
      </c>
      <c r="E359" s="55" t="s">
        <v>4740</v>
      </c>
      <c r="F359" s="55" t="s">
        <v>4804</v>
      </c>
      <c r="G359" s="55" t="s">
        <v>4843</v>
      </c>
      <c r="H359" s="55" t="s">
        <v>22</v>
      </c>
      <c r="I359" s="55" t="s">
        <v>4844</v>
      </c>
    </row>
    <row r="360" customFormat="false" ht="15" hidden="false" customHeight="false" outlineLevel="0" collapsed="false">
      <c r="A360" s="55" t="s">
        <v>5157</v>
      </c>
      <c r="B360" s="55" t="s">
        <v>1260</v>
      </c>
      <c r="C360" s="55" t="s">
        <v>1259</v>
      </c>
      <c r="D360" s="55" t="s">
        <v>47</v>
      </c>
      <c r="E360" s="55" t="s">
        <v>4740</v>
      </c>
      <c r="F360" s="55" t="s">
        <v>4745</v>
      </c>
      <c r="G360" s="55" t="s">
        <v>4746</v>
      </c>
      <c r="H360" s="55" t="s">
        <v>22</v>
      </c>
      <c r="I360" s="55" t="s">
        <v>4753</v>
      </c>
    </row>
    <row r="361" customFormat="false" ht="15" hidden="false" customHeight="false" outlineLevel="0" collapsed="false">
      <c r="A361" s="55" t="s">
        <v>5158</v>
      </c>
      <c r="B361" s="55" t="s">
        <v>718</v>
      </c>
      <c r="C361" s="55" t="s">
        <v>717</v>
      </c>
      <c r="D361" s="55" t="s">
        <v>47</v>
      </c>
      <c r="E361" s="55" t="s">
        <v>4740</v>
      </c>
      <c r="F361" s="55" t="s">
        <v>4804</v>
      </c>
      <c r="G361" s="55" t="s">
        <v>4843</v>
      </c>
      <c r="H361" s="55" t="s">
        <v>22</v>
      </c>
      <c r="I361" s="55" t="s">
        <v>4844</v>
      </c>
    </row>
    <row r="362" customFormat="false" ht="15" hidden="false" customHeight="false" outlineLevel="0" collapsed="false">
      <c r="A362" s="55" t="s">
        <v>5159</v>
      </c>
      <c r="B362" s="55" t="s">
        <v>1071</v>
      </c>
      <c r="C362" s="55" t="s">
        <v>1070</v>
      </c>
      <c r="D362" s="55" t="s">
        <v>47</v>
      </c>
      <c r="E362" s="55" t="s">
        <v>4740</v>
      </c>
      <c r="F362" s="55" t="s">
        <v>4745</v>
      </c>
      <c r="G362" s="55" t="s">
        <v>4746</v>
      </c>
      <c r="H362" s="55" t="s">
        <v>22</v>
      </c>
      <c r="I362" s="55" t="s">
        <v>4747</v>
      </c>
    </row>
    <row r="363" customFormat="false" ht="15" hidden="false" customHeight="false" outlineLevel="0" collapsed="false">
      <c r="A363" s="55" t="s">
        <v>5160</v>
      </c>
      <c r="B363" s="55" t="s">
        <v>1499</v>
      </c>
      <c r="C363" s="55" t="s">
        <v>1498</v>
      </c>
      <c r="D363" s="55" t="s">
        <v>47</v>
      </c>
      <c r="E363" s="55" t="s">
        <v>4740</v>
      </c>
      <c r="F363" s="55" t="s">
        <v>4745</v>
      </c>
      <c r="G363" s="55" t="s">
        <v>4746</v>
      </c>
      <c r="H363" s="55" t="s">
        <v>22</v>
      </c>
      <c r="I363" s="55" t="s">
        <v>4753</v>
      </c>
    </row>
    <row r="364" customFormat="false" ht="15" hidden="false" customHeight="false" outlineLevel="0" collapsed="false">
      <c r="A364" s="55" t="s">
        <v>5161</v>
      </c>
      <c r="B364" s="55" t="s">
        <v>1034</v>
      </c>
      <c r="C364" s="55" t="s">
        <v>1033</v>
      </c>
      <c r="D364" s="55" t="s">
        <v>47</v>
      </c>
      <c r="E364" s="55" t="s">
        <v>4740</v>
      </c>
      <c r="F364" s="55" t="s">
        <v>4745</v>
      </c>
      <c r="G364" s="55" t="s">
        <v>4947</v>
      </c>
      <c r="H364" s="55" t="s">
        <v>19</v>
      </c>
      <c r="I364" s="55" t="s">
        <v>4783</v>
      </c>
    </row>
    <row r="365" customFormat="false" ht="15" hidden="false" customHeight="false" outlineLevel="0" collapsed="false">
      <c r="A365" s="55" t="s">
        <v>5162</v>
      </c>
      <c r="B365" s="55" t="s">
        <v>498</v>
      </c>
      <c r="C365" s="55" t="s">
        <v>497</v>
      </c>
      <c r="D365" s="55" t="s">
        <v>47</v>
      </c>
      <c r="E365" s="55" t="s">
        <v>4740</v>
      </c>
      <c r="F365" s="55" t="s">
        <v>4745</v>
      </c>
      <c r="G365" s="55" t="s">
        <v>4746</v>
      </c>
      <c r="H365" s="55" t="s">
        <v>22</v>
      </c>
      <c r="I365" s="55" t="s">
        <v>4753</v>
      </c>
    </row>
    <row r="366" customFormat="false" ht="15" hidden="false" customHeight="false" outlineLevel="0" collapsed="false">
      <c r="A366" s="55" t="s">
        <v>5163</v>
      </c>
      <c r="B366" s="55" t="s">
        <v>1021</v>
      </c>
      <c r="C366" s="55" t="s">
        <v>1020</v>
      </c>
      <c r="D366" s="55" t="s">
        <v>47</v>
      </c>
      <c r="E366" s="55" t="s">
        <v>4740</v>
      </c>
      <c r="F366" s="55" t="s">
        <v>4745</v>
      </c>
      <c r="G366" s="55" t="s">
        <v>4746</v>
      </c>
      <c r="H366" s="55" t="s">
        <v>22</v>
      </c>
      <c r="I366" s="55" t="s">
        <v>4753</v>
      </c>
    </row>
    <row r="367" customFormat="false" ht="15" hidden="false" customHeight="false" outlineLevel="0" collapsed="false">
      <c r="A367" s="55" t="s">
        <v>5164</v>
      </c>
      <c r="B367" s="55" t="s">
        <v>875</v>
      </c>
      <c r="C367" s="55" t="s">
        <v>874</v>
      </c>
      <c r="D367" s="55" t="s">
        <v>46</v>
      </c>
      <c r="E367" s="55" t="s">
        <v>4740</v>
      </c>
      <c r="F367" s="55" t="s">
        <v>4774</v>
      </c>
      <c r="G367" s="55" t="s">
        <v>4782</v>
      </c>
      <c r="H367" s="55" t="s">
        <v>19</v>
      </c>
      <c r="I367" s="55" t="s">
        <v>4808</v>
      </c>
    </row>
    <row r="368" customFormat="false" ht="15" hidden="false" customHeight="false" outlineLevel="0" collapsed="false">
      <c r="A368" s="55" t="s">
        <v>5165</v>
      </c>
      <c r="B368" s="55" t="s">
        <v>875</v>
      </c>
      <c r="C368" s="55" t="s">
        <v>874</v>
      </c>
      <c r="D368" s="55" t="s">
        <v>47</v>
      </c>
      <c r="E368" s="55" t="s">
        <v>4740</v>
      </c>
      <c r="F368" s="55" t="s">
        <v>4741</v>
      </c>
      <c r="G368" s="55" t="s">
        <v>4814</v>
      </c>
      <c r="H368" s="55" t="s">
        <v>19</v>
      </c>
      <c r="I368" s="55" t="s">
        <v>4815</v>
      </c>
    </row>
    <row r="369" customFormat="false" ht="15" hidden="false" customHeight="false" outlineLevel="0" collapsed="false">
      <c r="A369" s="55" t="s">
        <v>5166</v>
      </c>
      <c r="B369" s="55" t="s">
        <v>2824</v>
      </c>
      <c r="C369" s="55" t="s">
        <v>2823</v>
      </c>
      <c r="D369" s="55" t="s">
        <v>47</v>
      </c>
      <c r="E369" s="55" t="s">
        <v>4740</v>
      </c>
      <c r="F369" s="55" t="s">
        <v>4745</v>
      </c>
      <c r="G369" s="55" t="s">
        <v>4746</v>
      </c>
      <c r="H369" s="55" t="s">
        <v>22</v>
      </c>
      <c r="I369" s="55" t="s">
        <v>4753</v>
      </c>
    </row>
    <row r="370" customFormat="false" ht="15" hidden="false" customHeight="false" outlineLevel="0" collapsed="false">
      <c r="A370" s="55" t="s">
        <v>5167</v>
      </c>
      <c r="B370" s="55" t="s">
        <v>788</v>
      </c>
      <c r="C370" s="55" t="s">
        <v>787</v>
      </c>
      <c r="D370" s="55" t="s">
        <v>45</v>
      </c>
      <c r="E370" s="55" t="s">
        <v>4740</v>
      </c>
      <c r="F370" s="55" t="s">
        <v>4749</v>
      </c>
      <c r="G370" s="55" t="s">
        <v>4750</v>
      </c>
      <c r="H370" s="55" t="s">
        <v>22</v>
      </c>
      <c r="I370" s="55" t="s">
        <v>4751</v>
      </c>
    </row>
    <row r="371" customFormat="false" ht="15" hidden="false" customHeight="false" outlineLevel="0" collapsed="false">
      <c r="A371" s="55" t="s">
        <v>5168</v>
      </c>
      <c r="B371" s="55" t="s">
        <v>788</v>
      </c>
      <c r="C371" s="55" t="s">
        <v>787</v>
      </c>
      <c r="D371" s="55" t="s">
        <v>47</v>
      </c>
      <c r="E371" s="55" t="s">
        <v>4740</v>
      </c>
      <c r="F371" s="55" t="s">
        <v>4745</v>
      </c>
      <c r="G371" s="55" t="s">
        <v>4746</v>
      </c>
      <c r="H371" s="55" t="s">
        <v>22</v>
      </c>
      <c r="I371" s="55" t="s">
        <v>4753</v>
      </c>
    </row>
    <row r="372" customFormat="false" ht="15" hidden="false" customHeight="false" outlineLevel="0" collapsed="false">
      <c r="A372" s="55" t="s">
        <v>5169</v>
      </c>
      <c r="B372" s="55" t="s">
        <v>2181</v>
      </c>
      <c r="C372" s="55" t="s">
        <v>2180</v>
      </c>
      <c r="D372" s="55" t="s">
        <v>45</v>
      </c>
      <c r="E372" s="55" t="s">
        <v>4740</v>
      </c>
      <c r="F372" s="55" t="s">
        <v>5125</v>
      </c>
      <c r="G372" s="55" t="s">
        <v>5126</v>
      </c>
      <c r="H372" s="55" t="s">
        <v>19</v>
      </c>
      <c r="I372" s="55" t="s">
        <v>4808</v>
      </c>
    </row>
    <row r="373" customFormat="false" ht="15" hidden="false" customHeight="false" outlineLevel="0" collapsed="false">
      <c r="A373" s="55" t="s">
        <v>5170</v>
      </c>
      <c r="B373" s="55" t="s">
        <v>2181</v>
      </c>
      <c r="C373" s="55" t="s">
        <v>2180</v>
      </c>
      <c r="D373" s="55" t="s">
        <v>47</v>
      </c>
      <c r="E373" s="55" t="s">
        <v>4740</v>
      </c>
      <c r="F373" s="55" t="s">
        <v>4745</v>
      </c>
      <c r="G373" s="55" t="s">
        <v>4746</v>
      </c>
      <c r="H373" s="55" t="s">
        <v>22</v>
      </c>
      <c r="I373" s="55" t="s">
        <v>4753</v>
      </c>
    </row>
    <row r="374" customFormat="false" ht="15" hidden="false" customHeight="false" outlineLevel="0" collapsed="false">
      <c r="A374" s="55" t="s">
        <v>5171</v>
      </c>
      <c r="B374" s="55" t="s">
        <v>1176</v>
      </c>
      <c r="C374" s="55" t="s">
        <v>1175</v>
      </c>
      <c r="D374" s="55" t="s">
        <v>45</v>
      </c>
      <c r="E374" s="55" t="s">
        <v>4740</v>
      </c>
      <c r="F374" s="55" t="s">
        <v>4366</v>
      </c>
      <c r="G374" s="55" t="s">
        <v>4800</v>
      </c>
      <c r="H374" s="55" t="s">
        <v>19</v>
      </c>
      <c r="I374" s="55" t="s">
        <v>4801</v>
      </c>
    </row>
    <row r="375" customFormat="false" ht="15" hidden="false" customHeight="false" outlineLevel="0" collapsed="false">
      <c r="A375" s="55" t="s">
        <v>5172</v>
      </c>
      <c r="B375" s="55" t="s">
        <v>1176</v>
      </c>
      <c r="C375" s="55" t="s">
        <v>1175</v>
      </c>
      <c r="D375" s="55" t="s">
        <v>46</v>
      </c>
      <c r="E375" s="55" t="s">
        <v>4740</v>
      </c>
      <c r="F375" s="55" t="s">
        <v>4770</v>
      </c>
      <c r="G375" s="55" t="s">
        <v>4771</v>
      </c>
      <c r="H375" s="55" t="s">
        <v>22</v>
      </c>
      <c r="I375" s="55" t="s">
        <v>4772</v>
      </c>
    </row>
    <row r="376" customFormat="false" ht="15" hidden="false" customHeight="false" outlineLevel="0" collapsed="false">
      <c r="A376" s="55" t="s">
        <v>5173</v>
      </c>
      <c r="B376" s="55" t="s">
        <v>634</v>
      </c>
      <c r="C376" s="55" t="s">
        <v>633</v>
      </c>
      <c r="D376" s="55" t="s">
        <v>47</v>
      </c>
      <c r="E376" s="55" t="s">
        <v>4740</v>
      </c>
      <c r="F376" s="55" t="s">
        <v>4745</v>
      </c>
      <c r="G376" s="55" t="s">
        <v>4746</v>
      </c>
      <c r="H376" s="55" t="s">
        <v>22</v>
      </c>
      <c r="I376" s="55" t="s">
        <v>4753</v>
      </c>
    </row>
    <row r="377" customFormat="false" ht="15" hidden="false" customHeight="false" outlineLevel="0" collapsed="false">
      <c r="A377" s="55" t="s">
        <v>5174</v>
      </c>
      <c r="B377" s="55" t="s">
        <v>808</v>
      </c>
      <c r="C377" s="55" t="s">
        <v>807</v>
      </c>
      <c r="D377" s="55" t="s">
        <v>47</v>
      </c>
      <c r="E377" s="55" t="s">
        <v>4740</v>
      </c>
      <c r="F377" s="55" t="s">
        <v>4745</v>
      </c>
      <c r="G377" s="55" t="s">
        <v>4746</v>
      </c>
      <c r="H377" s="55" t="s">
        <v>22</v>
      </c>
      <c r="I377" s="55" t="s">
        <v>4753</v>
      </c>
    </row>
    <row r="378" customFormat="false" ht="15" hidden="false" customHeight="false" outlineLevel="0" collapsed="false">
      <c r="A378" s="55" t="s">
        <v>5175</v>
      </c>
      <c r="B378" s="55" t="s">
        <v>2102</v>
      </c>
      <c r="C378" s="55" t="s">
        <v>2101</v>
      </c>
      <c r="D378" s="55" t="s">
        <v>46</v>
      </c>
      <c r="E378" s="55" t="s">
        <v>4740</v>
      </c>
      <c r="F378" s="55" t="s">
        <v>4741</v>
      </c>
      <c r="G378" s="55" t="s">
        <v>4742</v>
      </c>
      <c r="H378" s="55" t="s">
        <v>22</v>
      </c>
      <c r="I378" s="55" t="s">
        <v>4743</v>
      </c>
    </row>
    <row r="379" customFormat="false" ht="15" hidden="false" customHeight="false" outlineLevel="0" collapsed="false">
      <c r="A379" s="55" t="s">
        <v>5176</v>
      </c>
      <c r="B379" s="55" t="s">
        <v>328</v>
      </c>
      <c r="C379" s="55" t="s">
        <v>327</v>
      </c>
      <c r="D379" s="55" t="s">
        <v>45</v>
      </c>
      <c r="E379" s="55" t="s">
        <v>4740</v>
      </c>
      <c r="F379" s="55" t="s">
        <v>4823</v>
      </c>
      <c r="G379" s="55" t="s">
        <v>4824</v>
      </c>
      <c r="H379" s="55" t="s">
        <v>22</v>
      </c>
      <c r="I379" s="55" t="s">
        <v>4825</v>
      </c>
    </row>
    <row r="380" customFormat="false" ht="15" hidden="false" customHeight="false" outlineLevel="0" collapsed="false">
      <c r="A380" s="55" t="s">
        <v>5177</v>
      </c>
      <c r="B380" s="55" t="s">
        <v>328</v>
      </c>
      <c r="C380" s="55" t="s">
        <v>327</v>
      </c>
      <c r="D380" s="55" t="s">
        <v>47</v>
      </c>
      <c r="E380" s="55" t="s">
        <v>4740</v>
      </c>
      <c r="F380" s="55" t="s">
        <v>4745</v>
      </c>
      <c r="G380" s="55" t="s">
        <v>4746</v>
      </c>
      <c r="H380" s="55" t="s">
        <v>22</v>
      </c>
      <c r="I380" s="55" t="s">
        <v>4753</v>
      </c>
    </row>
    <row r="381" customFormat="false" ht="15" hidden="false" customHeight="false" outlineLevel="0" collapsed="false">
      <c r="A381" s="55" t="s">
        <v>5178</v>
      </c>
      <c r="B381" s="55" t="s">
        <v>81</v>
      </c>
      <c r="C381" s="55" t="s">
        <v>80</v>
      </c>
      <c r="D381" s="55" t="s">
        <v>47</v>
      </c>
      <c r="E381" s="55" t="s">
        <v>4740</v>
      </c>
      <c r="F381" s="55" t="s">
        <v>4745</v>
      </c>
      <c r="G381" s="55" t="s">
        <v>4746</v>
      </c>
      <c r="H381" s="55" t="s">
        <v>22</v>
      </c>
      <c r="I381" s="55" t="s">
        <v>4753</v>
      </c>
    </row>
    <row r="382" customFormat="false" ht="15" hidden="false" customHeight="false" outlineLevel="0" collapsed="false">
      <c r="A382" s="55" t="s">
        <v>5179</v>
      </c>
      <c r="B382" s="55" t="s">
        <v>2160</v>
      </c>
      <c r="C382" s="55" t="s">
        <v>2159</v>
      </c>
      <c r="D382" s="55" t="s">
        <v>47</v>
      </c>
      <c r="E382" s="55" t="s">
        <v>4740</v>
      </c>
      <c r="F382" s="55" t="s">
        <v>4749</v>
      </c>
      <c r="G382" s="55" t="s">
        <v>4750</v>
      </c>
      <c r="H382" s="55" t="s">
        <v>22</v>
      </c>
      <c r="I382" s="55" t="s">
        <v>4751</v>
      </c>
    </row>
    <row r="383" customFormat="false" ht="15" hidden="false" customHeight="false" outlineLevel="0" collapsed="false">
      <c r="A383" s="55" t="s">
        <v>5180</v>
      </c>
      <c r="B383" s="55" t="s">
        <v>904</v>
      </c>
      <c r="C383" s="55" t="s">
        <v>903</v>
      </c>
      <c r="D383" s="55" t="s">
        <v>47</v>
      </c>
      <c r="E383" s="55" t="s">
        <v>4740</v>
      </c>
      <c r="F383" s="55" t="s">
        <v>4745</v>
      </c>
      <c r="G383" s="55" t="s">
        <v>4746</v>
      </c>
      <c r="H383" s="55" t="s">
        <v>22</v>
      </c>
      <c r="I383" s="55" t="s">
        <v>4747</v>
      </c>
    </row>
    <row r="384" customFormat="false" ht="15" hidden="false" customHeight="false" outlineLevel="0" collapsed="false">
      <c r="A384" s="55" t="s">
        <v>5181</v>
      </c>
      <c r="B384" s="55" t="s">
        <v>2508</v>
      </c>
      <c r="C384" s="55" t="s">
        <v>2507</v>
      </c>
      <c r="D384" s="55" t="s">
        <v>45</v>
      </c>
      <c r="E384" s="55" t="s">
        <v>4740</v>
      </c>
      <c r="F384" s="55" t="s">
        <v>4774</v>
      </c>
      <c r="G384" s="55" t="s">
        <v>5182</v>
      </c>
      <c r="H384" s="55" t="s">
        <v>110</v>
      </c>
      <c r="I384" s="55" t="s">
        <v>5183</v>
      </c>
    </row>
    <row r="385" customFormat="false" ht="15" hidden="false" customHeight="false" outlineLevel="0" collapsed="false">
      <c r="A385" s="55" t="s">
        <v>5184</v>
      </c>
      <c r="B385" s="55" t="s">
        <v>1383</v>
      </c>
      <c r="C385" s="55" t="s">
        <v>1382</v>
      </c>
      <c r="D385" s="55" t="s">
        <v>47</v>
      </c>
      <c r="E385" s="55" t="s">
        <v>4740</v>
      </c>
      <c r="F385" s="55" t="s">
        <v>4745</v>
      </c>
      <c r="G385" s="55" t="s">
        <v>4746</v>
      </c>
      <c r="H385" s="55" t="s">
        <v>22</v>
      </c>
      <c r="I385" s="55" t="s">
        <v>4753</v>
      </c>
    </row>
    <row r="386" customFormat="false" ht="15" hidden="false" customHeight="false" outlineLevel="0" collapsed="false">
      <c r="A386" s="55" t="s">
        <v>5185</v>
      </c>
      <c r="B386" s="55" t="s">
        <v>2546</v>
      </c>
      <c r="C386" s="55" t="s">
        <v>2545</v>
      </c>
      <c r="D386" s="55" t="s">
        <v>47</v>
      </c>
      <c r="E386" s="55" t="s">
        <v>4740</v>
      </c>
      <c r="F386" s="55" t="s">
        <v>4745</v>
      </c>
      <c r="G386" s="55" t="s">
        <v>4746</v>
      </c>
      <c r="H386" s="55" t="s">
        <v>22</v>
      </c>
      <c r="I386" s="55" t="s">
        <v>4753</v>
      </c>
    </row>
    <row r="387" customFormat="false" ht="15" hidden="false" customHeight="false" outlineLevel="0" collapsed="false">
      <c r="A387" s="55" t="s">
        <v>5186</v>
      </c>
      <c r="B387" s="55" t="s">
        <v>2833</v>
      </c>
      <c r="C387" s="55" t="s">
        <v>2832</v>
      </c>
      <c r="D387" s="55" t="s">
        <v>47</v>
      </c>
      <c r="E387" s="55" t="s">
        <v>4740</v>
      </c>
      <c r="F387" s="55" t="s">
        <v>4745</v>
      </c>
      <c r="G387" s="55" t="s">
        <v>4746</v>
      </c>
      <c r="H387" s="55" t="s">
        <v>22</v>
      </c>
      <c r="I387" s="55" t="s">
        <v>4753</v>
      </c>
    </row>
    <row r="388" customFormat="false" ht="15" hidden="false" customHeight="false" outlineLevel="0" collapsed="false">
      <c r="A388" s="55" t="s">
        <v>5187</v>
      </c>
      <c r="B388" s="55" t="s">
        <v>684</v>
      </c>
      <c r="C388" s="55" t="s">
        <v>683</v>
      </c>
      <c r="D388" s="55" t="s">
        <v>45</v>
      </c>
      <c r="E388" s="55" t="s">
        <v>4740</v>
      </c>
      <c r="F388" s="55" t="s">
        <v>4745</v>
      </c>
      <c r="G388" s="55" t="s">
        <v>4746</v>
      </c>
      <c r="H388" s="55" t="s">
        <v>22</v>
      </c>
      <c r="I388" s="55" t="s">
        <v>4753</v>
      </c>
    </row>
    <row r="389" customFormat="false" ht="15" hidden="false" customHeight="false" outlineLevel="0" collapsed="false">
      <c r="A389" s="55" t="s">
        <v>5188</v>
      </c>
      <c r="B389" s="55" t="s">
        <v>684</v>
      </c>
      <c r="C389" s="55" t="s">
        <v>683</v>
      </c>
      <c r="D389" s="55" t="s">
        <v>47</v>
      </c>
      <c r="E389" s="55" t="s">
        <v>4740</v>
      </c>
      <c r="F389" s="55" t="s">
        <v>4745</v>
      </c>
      <c r="G389" s="55" t="s">
        <v>4746</v>
      </c>
      <c r="H389" s="55" t="s">
        <v>22</v>
      </c>
      <c r="I389" s="55" t="s">
        <v>4753</v>
      </c>
    </row>
    <row r="390" customFormat="false" ht="15" hidden="false" customHeight="false" outlineLevel="0" collapsed="false">
      <c r="A390" s="55" t="s">
        <v>5189</v>
      </c>
      <c r="B390" s="55" t="s">
        <v>412</v>
      </c>
      <c r="C390" s="55" t="s">
        <v>411</v>
      </c>
      <c r="D390" s="55" t="s">
        <v>47</v>
      </c>
      <c r="E390" s="55" t="s">
        <v>4740</v>
      </c>
      <c r="F390" s="55" t="s">
        <v>4745</v>
      </c>
      <c r="G390" s="55" t="s">
        <v>4746</v>
      </c>
      <c r="H390" s="55" t="s">
        <v>22</v>
      </c>
      <c r="I390" s="55" t="s">
        <v>4753</v>
      </c>
    </row>
    <row r="391" customFormat="false" ht="15" hidden="false" customHeight="false" outlineLevel="0" collapsed="false">
      <c r="A391" s="55" t="s">
        <v>5190</v>
      </c>
      <c r="B391" s="55" t="s">
        <v>436</v>
      </c>
      <c r="C391" s="55" t="s">
        <v>435</v>
      </c>
      <c r="D391" s="55" t="s">
        <v>46</v>
      </c>
      <c r="E391" s="55" t="s">
        <v>4740</v>
      </c>
      <c r="F391" s="55" t="s">
        <v>4745</v>
      </c>
      <c r="G391" s="55" t="s">
        <v>4746</v>
      </c>
      <c r="H391" s="55" t="s">
        <v>22</v>
      </c>
      <c r="I391" s="55" t="s">
        <v>4753</v>
      </c>
    </row>
    <row r="392" customFormat="false" ht="15" hidden="false" customHeight="false" outlineLevel="0" collapsed="false">
      <c r="A392" s="55" t="s">
        <v>5191</v>
      </c>
      <c r="B392" s="55" t="s">
        <v>1966</v>
      </c>
      <c r="C392" s="55" t="s">
        <v>1965</v>
      </c>
      <c r="D392" s="55" t="s">
        <v>46</v>
      </c>
      <c r="E392" s="55" t="s">
        <v>4740</v>
      </c>
      <c r="F392" s="55" t="s">
        <v>4749</v>
      </c>
      <c r="G392" s="55" t="s">
        <v>4750</v>
      </c>
      <c r="H392" s="55" t="s">
        <v>22</v>
      </c>
      <c r="I392" s="55" t="s">
        <v>4751</v>
      </c>
    </row>
    <row r="393" customFormat="false" ht="15" hidden="false" customHeight="false" outlineLevel="0" collapsed="false">
      <c r="A393" s="55" t="s">
        <v>5192</v>
      </c>
      <c r="B393" s="55" t="s">
        <v>1966</v>
      </c>
      <c r="C393" s="55" t="s">
        <v>1965</v>
      </c>
      <c r="D393" s="55" t="s">
        <v>47</v>
      </c>
      <c r="E393" s="55" t="s">
        <v>4740</v>
      </c>
      <c r="F393" s="55" t="s">
        <v>4745</v>
      </c>
      <c r="G393" s="55" t="s">
        <v>4746</v>
      </c>
      <c r="H393" s="55" t="s">
        <v>22</v>
      </c>
      <c r="I393" s="55" t="s">
        <v>4747</v>
      </c>
    </row>
    <row r="394" customFormat="false" ht="15" hidden="false" customHeight="false" outlineLevel="0" collapsed="false">
      <c r="A394" s="55" t="s">
        <v>5193</v>
      </c>
      <c r="B394" s="55" t="s">
        <v>292</v>
      </c>
      <c r="C394" s="55" t="s">
        <v>291</v>
      </c>
      <c r="D394" s="55" t="s">
        <v>45</v>
      </c>
      <c r="E394" s="55" t="s">
        <v>4740</v>
      </c>
      <c r="F394" s="55" t="s">
        <v>4577</v>
      </c>
      <c r="G394" s="55" t="s">
        <v>4893</v>
      </c>
      <c r="H394" s="55" t="s">
        <v>19</v>
      </c>
      <c r="I394" s="55" t="s">
        <v>4894</v>
      </c>
    </row>
    <row r="395" customFormat="false" ht="15" hidden="false" customHeight="false" outlineLevel="0" collapsed="false">
      <c r="A395" s="55" t="s">
        <v>5194</v>
      </c>
      <c r="B395" s="55" t="s">
        <v>396</v>
      </c>
      <c r="C395" s="55" t="s">
        <v>395</v>
      </c>
      <c r="D395" s="55" t="s">
        <v>45</v>
      </c>
      <c r="E395" s="55" t="s">
        <v>4740</v>
      </c>
      <c r="F395" s="55" t="s">
        <v>4741</v>
      </c>
      <c r="G395" s="55" t="s">
        <v>4814</v>
      </c>
      <c r="H395" s="55" t="s">
        <v>19</v>
      </c>
      <c r="I395" s="55" t="s">
        <v>4815</v>
      </c>
    </row>
    <row r="396" customFormat="false" ht="15" hidden="false" customHeight="false" outlineLevel="0" collapsed="false">
      <c r="A396" s="55" t="s">
        <v>5195</v>
      </c>
      <c r="B396" s="55" t="s">
        <v>396</v>
      </c>
      <c r="C396" s="55" t="s">
        <v>395</v>
      </c>
      <c r="D396" s="55" t="s">
        <v>47</v>
      </c>
      <c r="E396" s="55" t="s">
        <v>4740</v>
      </c>
      <c r="F396" s="55" t="s">
        <v>4745</v>
      </c>
      <c r="G396" s="55" t="s">
        <v>4746</v>
      </c>
      <c r="H396" s="55" t="s">
        <v>22</v>
      </c>
      <c r="I396" s="55" t="s">
        <v>4753</v>
      </c>
    </row>
    <row r="397" customFormat="false" ht="15" hidden="false" customHeight="false" outlineLevel="0" collapsed="false">
      <c r="A397" s="55" t="s">
        <v>5196</v>
      </c>
      <c r="B397" s="55" t="s">
        <v>2111</v>
      </c>
      <c r="C397" s="55" t="s">
        <v>2110</v>
      </c>
      <c r="D397" s="55" t="s">
        <v>46</v>
      </c>
      <c r="E397" s="55" t="s">
        <v>4740</v>
      </c>
      <c r="F397" s="55" t="s">
        <v>4741</v>
      </c>
      <c r="G397" s="55" t="s">
        <v>4814</v>
      </c>
      <c r="H397" s="55" t="s">
        <v>19</v>
      </c>
      <c r="I397" s="55" t="s">
        <v>4815</v>
      </c>
    </row>
    <row r="398" customFormat="false" ht="15" hidden="false" customHeight="false" outlineLevel="0" collapsed="false">
      <c r="A398" s="55" t="s">
        <v>5197</v>
      </c>
      <c r="B398" s="55" t="s">
        <v>2111</v>
      </c>
      <c r="C398" s="55" t="s">
        <v>2110</v>
      </c>
      <c r="D398" s="55" t="s">
        <v>47</v>
      </c>
      <c r="E398" s="55" t="s">
        <v>4740</v>
      </c>
      <c r="F398" s="55" t="s">
        <v>4745</v>
      </c>
      <c r="G398" s="55" t="s">
        <v>4746</v>
      </c>
      <c r="H398" s="55" t="s">
        <v>22</v>
      </c>
      <c r="I398" s="55" t="s">
        <v>4753</v>
      </c>
    </row>
    <row r="399" customFormat="false" ht="15" hidden="false" customHeight="false" outlineLevel="0" collapsed="false">
      <c r="A399" s="55" t="s">
        <v>5198</v>
      </c>
      <c r="B399" s="55" t="s">
        <v>714</v>
      </c>
      <c r="C399" s="55" t="s">
        <v>713</v>
      </c>
      <c r="D399" s="55" t="s">
        <v>47</v>
      </c>
      <c r="E399" s="55" t="s">
        <v>4740</v>
      </c>
      <c r="F399" s="55" t="s">
        <v>4745</v>
      </c>
      <c r="G399" s="55" t="s">
        <v>4746</v>
      </c>
      <c r="H399" s="55" t="s">
        <v>22</v>
      </c>
      <c r="I399" s="55" t="s">
        <v>4753</v>
      </c>
    </row>
    <row r="400" customFormat="false" ht="15" hidden="false" customHeight="false" outlineLevel="0" collapsed="false">
      <c r="A400" s="55" t="s">
        <v>5199</v>
      </c>
      <c r="B400" s="55" t="s">
        <v>1423</v>
      </c>
      <c r="C400" s="55" t="s">
        <v>1422</v>
      </c>
      <c r="D400" s="55" t="s">
        <v>45</v>
      </c>
      <c r="E400" s="55" t="s">
        <v>4740</v>
      </c>
      <c r="F400" s="55" t="s">
        <v>4741</v>
      </c>
      <c r="G400" s="55" t="s">
        <v>4742</v>
      </c>
      <c r="H400" s="55" t="s">
        <v>22</v>
      </c>
      <c r="I400" s="55" t="s">
        <v>4743</v>
      </c>
    </row>
    <row r="401" customFormat="false" ht="15" hidden="false" customHeight="false" outlineLevel="0" collapsed="false">
      <c r="A401" s="55" t="s">
        <v>5200</v>
      </c>
      <c r="B401" s="55" t="s">
        <v>1128</v>
      </c>
      <c r="C401" s="55" t="s">
        <v>1127</v>
      </c>
      <c r="D401" s="55" t="s">
        <v>46</v>
      </c>
      <c r="E401" s="55" t="s">
        <v>4740</v>
      </c>
      <c r="F401" s="55" t="s">
        <v>4745</v>
      </c>
      <c r="G401" s="55" t="s">
        <v>4746</v>
      </c>
      <c r="H401" s="55" t="s">
        <v>22</v>
      </c>
      <c r="I401" s="55" t="s">
        <v>4747</v>
      </c>
    </row>
    <row r="402" customFormat="false" ht="15" hidden="false" customHeight="false" outlineLevel="0" collapsed="false">
      <c r="A402" s="55" t="s">
        <v>5201</v>
      </c>
      <c r="B402" s="55" t="s">
        <v>1128</v>
      </c>
      <c r="C402" s="55" t="s">
        <v>1127</v>
      </c>
      <c r="D402" s="55" t="s">
        <v>47</v>
      </c>
      <c r="E402" s="55" t="s">
        <v>4740</v>
      </c>
      <c r="F402" s="55" t="s">
        <v>4774</v>
      </c>
      <c r="G402" s="55" t="s">
        <v>4782</v>
      </c>
      <c r="H402" s="55" t="s">
        <v>19</v>
      </c>
      <c r="I402" s="55" t="s">
        <v>4783</v>
      </c>
    </row>
    <row r="403" customFormat="false" ht="15" hidden="false" customHeight="false" outlineLevel="0" collapsed="false">
      <c r="A403" s="55" t="s">
        <v>5202</v>
      </c>
      <c r="B403" s="55" t="s">
        <v>2853</v>
      </c>
      <c r="C403" s="55" t="s">
        <v>2852</v>
      </c>
      <c r="D403" s="55" t="s">
        <v>47</v>
      </c>
      <c r="E403" s="55" t="s">
        <v>4740</v>
      </c>
      <c r="F403" s="55" t="s">
        <v>4745</v>
      </c>
      <c r="G403" s="55" t="s">
        <v>4746</v>
      </c>
      <c r="H403" s="55" t="s">
        <v>22</v>
      </c>
      <c r="I403" s="55" t="s">
        <v>4753</v>
      </c>
    </row>
    <row r="404" customFormat="false" ht="15" hidden="false" customHeight="false" outlineLevel="0" collapsed="false">
      <c r="A404" s="55" t="s">
        <v>5203</v>
      </c>
      <c r="B404" s="55" t="s">
        <v>1018</v>
      </c>
      <c r="C404" s="55" t="s">
        <v>1017</v>
      </c>
      <c r="D404" s="55" t="s">
        <v>45</v>
      </c>
      <c r="E404" s="55" t="s">
        <v>4740</v>
      </c>
      <c r="F404" s="55" t="s">
        <v>4749</v>
      </c>
      <c r="G404" s="55" t="s">
        <v>4750</v>
      </c>
      <c r="H404" s="55" t="s">
        <v>22</v>
      </c>
      <c r="I404" s="55" t="s">
        <v>4751</v>
      </c>
    </row>
    <row r="405" customFormat="false" ht="15" hidden="false" customHeight="false" outlineLevel="0" collapsed="false">
      <c r="A405" s="55" t="s">
        <v>5204</v>
      </c>
      <c r="B405" s="55" t="s">
        <v>360</v>
      </c>
      <c r="C405" s="55" t="s">
        <v>359</v>
      </c>
      <c r="D405" s="55" t="s">
        <v>45</v>
      </c>
      <c r="E405" s="55" t="s">
        <v>4740</v>
      </c>
      <c r="F405" s="55" t="s">
        <v>4745</v>
      </c>
      <c r="G405" s="55" t="s">
        <v>4746</v>
      </c>
      <c r="H405" s="55" t="s">
        <v>22</v>
      </c>
      <c r="I405" s="55" t="s">
        <v>4747</v>
      </c>
    </row>
    <row r="406" customFormat="false" ht="15" hidden="false" customHeight="false" outlineLevel="0" collapsed="false">
      <c r="A406" s="55" t="s">
        <v>5205</v>
      </c>
      <c r="B406" s="55" t="s">
        <v>360</v>
      </c>
      <c r="C406" s="55" t="s">
        <v>359</v>
      </c>
      <c r="D406" s="55" t="s">
        <v>47</v>
      </c>
      <c r="E406" s="55" t="s">
        <v>4740</v>
      </c>
      <c r="F406" s="55" t="s">
        <v>4745</v>
      </c>
      <c r="G406" s="55" t="s">
        <v>4746</v>
      </c>
      <c r="H406" s="55" t="s">
        <v>22</v>
      </c>
      <c r="I406" s="55" t="s">
        <v>4753</v>
      </c>
    </row>
    <row r="407" customFormat="false" ht="15" hidden="false" customHeight="false" outlineLevel="0" collapsed="false">
      <c r="A407" s="55" t="s">
        <v>5206</v>
      </c>
      <c r="B407" s="55" t="s">
        <v>2251</v>
      </c>
      <c r="C407" s="55" t="s">
        <v>2250</v>
      </c>
      <c r="D407" s="55" t="s">
        <v>47</v>
      </c>
      <c r="E407" s="55" t="s">
        <v>4740</v>
      </c>
      <c r="F407" s="55" t="s">
        <v>4745</v>
      </c>
      <c r="G407" s="55" t="s">
        <v>4746</v>
      </c>
      <c r="H407" s="55" t="s">
        <v>22</v>
      </c>
      <c r="I407" s="55" t="s">
        <v>4753</v>
      </c>
    </row>
    <row r="408" customFormat="false" ht="15" hidden="false" customHeight="false" outlineLevel="0" collapsed="false">
      <c r="A408" s="55" t="s">
        <v>5207</v>
      </c>
      <c r="B408" s="55" t="s">
        <v>2503</v>
      </c>
      <c r="C408" s="55" t="s">
        <v>2502</v>
      </c>
      <c r="D408" s="55" t="s">
        <v>46</v>
      </c>
      <c r="E408" s="55" t="s">
        <v>4740</v>
      </c>
      <c r="F408" s="55" t="s">
        <v>4774</v>
      </c>
      <c r="G408" s="55" t="s">
        <v>4775</v>
      </c>
      <c r="H408" s="55" t="s">
        <v>22</v>
      </c>
      <c r="I408" s="55" t="s">
        <v>4747</v>
      </c>
    </row>
    <row r="409" customFormat="false" ht="15" hidden="false" customHeight="false" outlineLevel="0" collapsed="false">
      <c r="A409" s="55" t="s">
        <v>5208</v>
      </c>
      <c r="B409" s="55" t="s">
        <v>2503</v>
      </c>
      <c r="C409" s="55" t="s">
        <v>2502</v>
      </c>
      <c r="D409" s="55" t="s">
        <v>47</v>
      </c>
      <c r="E409" s="55" t="s">
        <v>4740</v>
      </c>
      <c r="F409" s="55" t="s">
        <v>4745</v>
      </c>
      <c r="G409" s="55" t="s">
        <v>4746</v>
      </c>
      <c r="H409" s="55" t="s">
        <v>22</v>
      </c>
      <c r="I409" s="55" t="s">
        <v>4753</v>
      </c>
    </row>
    <row r="410" customFormat="false" ht="15" hidden="false" customHeight="false" outlineLevel="0" collapsed="false">
      <c r="A410" s="55" t="s">
        <v>5209</v>
      </c>
      <c r="B410" s="55" t="s">
        <v>538</v>
      </c>
      <c r="C410" s="55" t="s">
        <v>537</v>
      </c>
      <c r="D410" s="55" t="s">
        <v>46</v>
      </c>
      <c r="E410" s="55" t="s">
        <v>4740</v>
      </c>
      <c r="F410" s="55" t="s">
        <v>4749</v>
      </c>
      <c r="G410" s="55" t="s">
        <v>4750</v>
      </c>
      <c r="H410" s="55" t="s">
        <v>22</v>
      </c>
      <c r="I410" s="55" t="s">
        <v>4751</v>
      </c>
    </row>
    <row r="411" customFormat="false" ht="15" hidden="false" customHeight="false" outlineLevel="0" collapsed="false">
      <c r="A411" s="55" t="s">
        <v>5210</v>
      </c>
      <c r="B411" s="55" t="s">
        <v>538</v>
      </c>
      <c r="C411" s="55" t="s">
        <v>537</v>
      </c>
      <c r="D411" s="55" t="s">
        <v>47</v>
      </c>
      <c r="E411" s="55" t="s">
        <v>4740</v>
      </c>
      <c r="F411" s="55" t="s">
        <v>4745</v>
      </c>
      <c r="G411" s="55" t="s">
        <v>4746</v>
      </c>
      <c r="H411" s="55" t="s">
        <v>22</v>
      </c>
      <c r="I411" s="55" t="s">
        <v>4747</v>
      </c>
    </row>
    <row r="412" customFormat="false" ht="15" hidden="false" customHeight="false" outlineLevel="0" collapsed="false">
      <c r="A412" s="55" t="s">
        <v>5211</v>
      </c>
      <c r="B412" s="55" t="s">
        <v>1101</v>
      </c>
      <c r="C412" s="55" t="s">
        <v>1100</v>
      </c>
      <c r="D412" s="55" t="s">
        <v>45</v>
      </c>
      <c r="E412" s="55" t="s">
        <v>4740</v>
      </c>
      <c r="F412" s="55" t="s">
        <v>4741</v>
      </c>
      <c r="G412" s="55" t="s">
        <v>4742</v>
      </c>
      <c r="H412" s="55" t="s">
        <v>22</v>
      </c>
      <c r="I412" s="55" t="s">
        <v>4743</v>
      </c>
    </row>
    <row r="413" customFormat="false" ht="15" hidden="false" customHeight="false" outlineLevel="0" collapsed="false">
      <c r="A413" s="55" t="s">
        <v>5212</v>
      </c>
      <c r="B413" s="55" t="s">
        <v>1101</v>
      </c>
      <c r="C413" s="55" t="s">
        <v>1100</v>
      </c>
      <c r="D413" s="55" t="s">
        <v>47</v>
      </c>
      <c r="E413" s="55" t="s">
        <v>4740</v>
      </c>
      <c r="F413" s="55" t="s">
        <v>4804</v>
      </c>
      <c r="G413" s="55" t="s">
        <v>4843</v>
      </c>
      <c r="H413" s="55" t="s">
        <v>22</v>
      </c>
      <c r="I413" s="55" t="s">
        <v>4844</v>
      </c>
    </row>
    <row r="414" customFormat="false" ht="15" hidden="false" customHeight="false" outlineLevel="0" collapsed="false">
      <c r="A414" s="55" t="s">
        <v>5213</v>
      </c>
      <c r="B414" s="55" t="s">
        <v>646</v>
      </c>
      <c r="C414" s="55" t="s">
        <v>645</v>
      </c>
      <c r="D414" s="55" t="s">
        <v>46</v>
      </c>
      <c r="E414" s="55" t="s">
        <v>4740</v>
      </c>
      <c r="F414" s="55" t="s">
        <v>4745</v>
      </c>
      <c r="G414" s="55" t="s">
        <v>4746</v>
      </c>
      <c r="H414" s="55" t="s">
        <v>22</v>
      </c>
      <c r="I414" s="55" t="s">
        <v>4753</v>
      </c>
    </row>
    <row r="415" customFormat="false" ht="15" hidden="false" customHeight="false" outlineLevel="0" collapsed="false">
      <c r="A415" s="55" t="s">
        <v>5214</v>
      </c>
      <c r="B415" s="55" t="s">
        <v>646</v>
      </c>
      <c r="C415" s="55" t="s">
        <v>645</v>
      </c>
      <c r="D415" s="55" t="s">
        <v>47</v>
      </c>
      <c r="E415" s="55" t="s">
        <v>4740</v>
      </c>
      <c r="F415" s="55" t="s">
        <v>4770</v>
      </c>
      <c r="G415" s="55" t="s">
        <v>4771</v>
      </c>
      <c r="H415" s="55" t="s">
        <v>22</v>
      </c>
      <c r="I415" s="55" t="s">
        <v>4772</v>
      </c>
    </row>
    <row r="416" customFormat="false" ht="15" hidden="false" customHeight="false" outlineLevel="0" collapsed="false">
      <c r="A416" s="55" t="s">
        <v>5215</v>
      </c>
      <c r="B416" s="55" t="s">
        <v>548</v>
      </c>
      <c r="C416" s="55" t="s">
        <v>547</v>
      </c>
      <c r="D416" s="55" t="s">
        <v>45</v>
      </c>
      <c r="E416" s="55" t="s">
        <v>4740</v>
      </c>
      <c r="F416" s="55" t="s">
        <v>4741</v>
      </c>
      <c r="G416" s="55" t="s">
        <v>4742</v>
      </c>
      <c r="H416" s="55" t="s">
        <v>22</v>
      </c>
      <c r="I416" s="55" t="s">
        <v>4743</v>
      </c>
    </row>
    <row r="417" customFormat="false" ht="15" hidden="false" customHeight="false" outlineLevel="0" collapsed="false">
      <c r="A417" s="55" t="s">
        <v>5216</v>
      </c>
      <c r="B417" s="55" t="s">
        <v>1402</v>
      </c>
      <c r="C417" s="55" t="s">
        <v>1401</v>
      </c>
      <c r="D417" s="55" t="s">
        <v>47</v>
      </c>
      <c r="E417" s="55" t="s">
        <v>4740</v>
      </c>
      <c r="F417" s="55" t="s">
        <v>4930</v>
      </c>
      <c r="G417" s="55" t="s">
        <v>4978</v>
      </c>
      <c r="H417" s="55" t="s">
        <v>22</v>
      </c>
      <c r="I417" s="55" t="s">
        <v>4753</v>
      </c>
    </row>
    <row r="418" customFormat="false" ht="15" hidden="false" customHeight="false" outlineLevel="0" collapsed="false">
      <c r="A418" s="55" t="s">
        <v>5217</v>
      </c>
      <c r="B418" s="55" t="s">
        <v>2730</v>
      </c>
      <c r="C418" s="55" t="s">
        <v>2729</v>
      </c>
      <c r="D418" s="55" t="s">
        <v>45</v>
      </c>
      <c r="E418" s="55" t="s">
        <v>4740</v>
      </c>
      <c r="F418" s="55" t="s">
        <v>4774</v>
      </c>
      <c r="G418" s="55" t="s">
        <v>4782</v>
      </c>
      <c r="H418" s="55" t="s">
        <v>19</v>
      </c>
      <c r="I418" s="55" t="s">
        <v>4783</v>
      </c>
    </row>
    <row r="419" customFormat="false" ht="15" hidden="false" customHeight="false" outlineLevel="0" collapsed="false">
      <c r="A419" s="55" t="s">
        <v>5218</v>
      </c>
      <c r="B419" s="55" t="s">
        <v>2730</v>
      </c>
      <c r="C419" s="55" t="s">
        <v>2729</v>
      </c>
      <c r="D419" s="55" t="s">
        <v>47</v>
      </c>
      <c r="E419" s="55" t="s">
        <v>4740</v>
      </c>
      <c r="F419" s="55" t="s">
        <v>4745</v>
      </c>
      <c r="G419" s="55" t="s">
        <v>4746</v>
      </c>
      <c r="H419" s="55" t="s">
        <v>22</v>
      </c>
      <c r="I419" s="55" t="s">
        <v>4753</v>
      </c>
    </row>
    <row r="420" customFormat="false" ht="15" hidden="false" customHeight="false" outlineLevel="0" collapsed="false">
      <c r="A420" s="55" t="s">
        <v>5219</v>
      </c>
      <c r="B420" s="55" t="s">
        <v>888</v>
      </c>
      <c r="C420" s="55" t="s">
        <v>887</v>
      </c>
      <c r="D420" s="55" t="s">
        <v>45</v>
      </c>
      <c r="E420" s="55" t="s">
        <v>4740</v>
      </c>
      <c r="F420" s="55" t="s">
        <v>4741</v>
      </c>
      <c r="G420" s="55" t="s">
        <v>4742</v>
      </c>
      <c r="H420" s="55" t="s">
        <v>22</v>
      </c>
      <c r="I420" s="55" t="s">
        <v>4743</v>
      </c>
    </row>
    <row r="421" customFormat="false" ht="15" hidden="false" customHeight="false" outlineLevel="0" collapsed="false">
      <c r="A421" s="55" t="s">
        <v>5220</v>
      </c>
      <c r="B421" s="55" t="s">
        <v>888</v>
      </c>
      <c r="C421" s="55" t="s">
        <v>887</v>
      </c>
      <c r="D421" s="55" t="s">
        <v>47</v>
      </c>
      <c r="E421" s="55" t="s">
        <v>4740</v>
      </c>
      <c r="F421" s="55" t="s">
        <v>4745</v>
      </c>
      <c r="G421" s="55" t="s">
        <v>4746</v>
      </c>
      <c r="H421" s="55" t="s">
        <v>22</v>
      </c>
      <c r="I421" s="55" t="s">
        <v>4753</v>
      </c>
    </row>
    <row r="422" customFormat="false" ht="15" hidden="false" customHeight="false" outlineLevel="0" collapsed="false">
      <c r="A422" s="55" t="s">
        <v>5221</v>
      </c>
      <c r="B422" s="55" t="s">
        <v>282</v>
      </c>
      <c r="C422" s="55" t="s">
        <v>281</v>
      </c>
      <c r="D422" s="55" t="s">
        <v>47</v>
      </c>
      <c r="E422" s="55" t="s">
        <v>4740</v>
      </c>
      <c r="F422" s="55" t="s">
        <v>4745</v>
      </c>
      <c r="G422" s="55" t="s">
        <v>4746</v>
      </c>
      <c r="H422" s="55" t="s">
        <v>22</v>
      </c>
      <c r="I422" s="55" t="s">
        <v>4747</v>
      </c>
    </row>
    <row r="423" customFormat="false" ht="15" hidden="false" customHeight="false" outlineLevel="0" collapsed="false">
      <c r="A423" s="55" t="s">
        <v>5222</v>
      </c>
      <c r="B423" s="55" t="s">
        <v>1599</v>
      </c>
      <c r="C423" s="55" t="s">
        <v>1598</v>
      </c>
      <c r="D423" s="55" t="s">
        <v>46</v>
      </c>
      <c r="E423" s="55" t="s">
        <v>4740</v>
      </c>
      <c r="F423" s="55" t="s">
        <v>4749</v>
      </c>
      <c r="G423" s="55" t="s">
        <v>4750</v>
      </c>
      <c r="H423" s="55" t="s">
        <v>22</v>
      </c>
      <c r="I423" s="55" t="s">
        <v>4751</v>
      </c>
    </row>
    <row r="424" customFormat="false" ht="15" hidden="false" customHeight="false" outlineLevel="0" collapsed="false">
      <c r="A424" s="55" t="s">
        <v>5223</v>
      </c>
      <c r="B424" s="55" t="s">
        <v>2636</v>
      </c>
      <c r="C424" s="55" t="s">
        <v>2635</v>
      </c>
      <c r="D424" s="55" t="s">
        <v>47</v>
      </c>
      <c r="E424" s="55" t="s">
        <v>4740</v>
      </c>
      <c r="F424" s="55" t="s">
        <v>4749</v>
      </c>
      <c r="G424" s="55" t="s">
        <v>4750</v>
      </c>
      <c r="H424" s="55" t="s">
        <v>22</v>
      </c>
      <c r="I424" s="55" t="s">
        <v>4751</v>
      </c>
    </row>
    <row r="425" customFormat="false" ht="15" hidden="false" customHeight="false" outlineLevel="0" collapsed="false">
      <c r="A425" s="55" t="s">
        <v>5224</v>
      </c>
      <c r="B425" s="55" t="s">
        <v>1794</v>
      </c>
      <c r="C425" s="55" t="s">
        <v>1793</v>
      </c>
      <c r="D425" s="55" t="s">
        <v>47</v>
      </c>
      <c r="E425" s="55" t="s">
        <v>4740</v>
      </c>
      <c r="F425" s="55" t="s">
        <v>4745</v>
      </c>
      <c r="G425" s="55" t="s">
        <v>4746</v>
      </c>
      <c r="H425" s="55" t="s">
        <v>22</v>
      </c>
      <c r="I425" s="55" t="s">
        <v>4753</v>
      </c>
    </row>
    <row r="426" customFormat="false" ht="15" hidden="false" customHeight="false" outlineLevel="0" collapsed="false">
      <c r="A426" s="55" t="s">
        <v>5225</v>
      </c>
      <c r="B426" s="55" t="s">
        <v>3139</v>
      </c>
      <c r="C426" s="55" t="s">
        <v>3819</v>
      </c>
      <c r="D426" s="55" t="s">
        <v>46</v>
      </c>
      <c r="E426" s="55" t="s">
        <v>4740</v>
      </c>
      <c r="F426" s="55" t="s">
        <v>4774</v>
      </c>
      <c r="G426" s="55" t="s">
        <v>4782</v>
      </c>
      <c r="H426" s="55" t="s">
        <v>19</v>
      </c>
      <c r="I426" s="55" t="s">
        <v>4808</v>
      </c>
    </row>
    <row r="427" customFormat="false" ht="15" hidden="false" customHeight="false" outlineLevel="0" collapsed="false">
      <c r="A427" s="55" t="s">
        <v>5226</v>
      </c>
      <c r="B427" s="55" t="s">
        <v>133</v>
      </c>
      <c r="C427" s="55" t="s">
        <v>132</v>
      </c>
      <c r="D427" s="55" t="s">
        <v>45</v>
      </c>
      <c r="E427" s="55" t="s">
        <v>4740</v>
      </c>
      <c r="F427" s="55" t="s">
        <v>4823</v>
      </c>
      <c r="G427" s="55" t="s">
        <v>5227</v>
      </c>
      <c r="H427" s="55" t="s">
        <v>19</v>
      </c>
      <c r="I427" s="55" t="s">
        <v>5228</v>
      </c>
    </row>
    <row r="428" customFormat="false" ht="15" hidden="false" customHeight="false" outlineLevel="0" collapsed="false">
      <c r="A428" s="55" t="s">
        <v>5229</v>
      </c>
      <c r="B428" s="55" t="s">
        <v>133</v>
      </c>
      <c r="C428" s="55" t="s">
        <v>132</v>
      </c>
      <c r="D428" s="55" t="s">
        <v>47</v>
      </c>
      <c r="E428" s="55" t="s">
        <v>4740</v>
      </c>
      <c r="F428" s="55" t="s">
        <v>4745</v>
      </c>
      <c r="G428" s="55" t="s">
        <v>4746</v>
      </c>
      <c r="H428" s="55" t="s">
        <v>22</v>
      </c>
      <c r="I428" s="55" t="s">
        <v>4753</v>
      </c>
    </row>
    <row r="429" customFormat="false" ht="15" hidden="false" customHeight="false" outlineLevel="0" collapsed="false">
      <c r="A429" s="55" t="s">
        <v>5230</v>
      </c>
      <c r="B429" s="55" t="s">
        <v>192</v>
      </c>
      <c r="C429" s="55" t="s">
        <v>191</v>
      </c>
      <c r="D429" s="55" t="s">
        <v>47</v>
      </c>
      <c r="E429" s="55" t="s">
        <v>4740</v>
      </c>
      <c r="F429" s="55" t="s">
        <v>4745</v>
      </c>
      <c r="G429" s="55" t="s">
        <v>4746</v>
      </c>
      <c r="H429" s="55" t="s">
        <v>22</v>
      </c>
      <c r="I429" s="55" t="s">
        <v>4753</v>
      </c>
    </row>
    <row r="430" customFormat="false" ht="15" hidden="false" customHeight="false" outlineLevel="0" collapsed="false">
      <c r="A430" s="55" t="s">
        <v>5231</v>
      </c>
      <c r="B430" s="55" t="s">
        <v>975</v>
      </c>
      <c r="C430" s="55" t="s">
        <v>974</v>
      </c>
      <c r="D430" s="55" t="s">
        <v>47</v>
      </c>
      <c r="E430" s="55" t="s">
        <v>4740</v>
      </c>
      <c r="F430" s="55" t="s">
        <v>4745</v>
      </c>
      <c r="G430" s="55" t="s">
        <v>4746</v>
      </c>
      <c r="H430" s="55" t="s">
        <v>22</v>
      </c>
      <c r="I430" s="55" t="s">
        <v>4753</v>
      </c>
    </row>
    <row r="431" customFormat="false" ht="15" hidden="false" customHeight="false" outlineLevel="0" collapsed="false">
      <c r="A431" s="55" t="s">
        <v>5232</v>
      </c>
      <c r="B431" s="55" t="s">
        <v>3141</v>
      </c>
      <c r="C431" s="55" t="s">
        <v>3824</v>
      </c>
      <c r="D431" s="55" t="s">
        <v>47</v>
      </c>
      <c r="E431" s="55" t="s">
        <v>4740</v>
      </c>
      <c r="F431" s="55" t="s">
        <v>4774</v>
      </c>
      <c r="G431" s="55" t="s">
        <v>4775</v>
      </c>
      <c r="H431" s="55" t="s">
        <v>22</v>
      </c>
      <c r="I431" s="55" t="s">
        <v>4747</v>
      </c>
    </row>
    <row r="432" customFormat="false" ht="15" hidden="false" customHeight="false" outlineLevel="0" collapsed="false">
      <c r="A432" s="55" t="s">
        <v>5233</v>
      </c>
      <c r="B432" s="55" t="s">
        <v>434</v>
      </c>
      <c r="C432" s="55" t="s">
        <v>433</v>
      </c>
      <c r="D432" s="55" t="s">
        <v>47</v>
      </c>
      <c r="E432" s="55" t="s">
        <v>4740</v>
      </c>
      <c r="F432" s="55" t="s">
        <v>4745</v>
      </c>
      <c r="G432" s="55" t="s">
        <v>4746</v>
      </c>
      <c r="H432" s="55" t="s">
        <v>22</v>
      </c>
      <c r="I432" s="55" t="s">
        <v>4753</v>
      </c>
    </row>
    <row r="433" customFormat="false" ht="15" hidden="false" customHeight="false" outlineLevel="0" collapsed="false">
      <c r="A433" s="55" t="s">
        <v>5234</v>
      </c>
      <c r="B433" s="55" t="s">
        <v>382</v>
      </c>
      <c r="C433" s="55" t="s">
        <v>381</v>
      </c>
      <c r="D433" s="55" t="s">
        <v>45</v>
      </c>
      <c r="E433" s="55" t="s">
        <v>4740</v>
      </c>
      <c r="F433" s="55" t="s">
        <v>4749</v>
      </c>
      <c r="G433" s="55" t="s">
        <v>4750</v>
      </c>
      <c r="H433" s="55" t="s">
        <v>22</v>
      </c>
      <c r="I433" s="55" t="s">
        <v>4751</v>
      </c>
    </row>
    <row r="434" customFormat="false" ht="15" hidden="false" customHeight="false" outlineLevel="0" collapsed="false">
      <c r="A434" s="55" t="s">
        <v>5235</v>
      </c>
      <c r="B434" s="55" t="s">
        <v>382</v>
      </c>
      <c r="C434" s="55" t="s">
        <v>381</v>
      </c>
      <c r="D434" s="55" t="s">
        <v>47</v>
      </c>
      <c r="E434" s="55" t="s">
        <v>4740</v>
      </c>
      <c r="F434" s="55" t="s">
        <v>4745</v>
      </c>
      <c r="G434" s="55" t="s">
        <v>4746</v>
      </c>
      <c r="H434" s="55" t="s">
        <v>22</v>
      </c>
      <c r="I434" s="55" t="s">
        <v>4753</v>
      </c>
    </row>
    <row r="435" customFormat="false" ht="15" hidden="false" customHeight="false" outlineLevel="0" collapsed="false">
      <c r="A435" s="55" t="s">
        <v>5236</v>
      </c>
      <c r="B435" s="55" t="s">
        <v>2561</v>
      </c>
      <c r="C435" s="55" t="s">
        <v>2560</v>
      </c>
      <c r="D435" s="55" t="s">
        <v>46</v>
      </c>
      <c r="E435" s="55" t="s">
        <v>4740</v>
      </c>
      <c r="F435" s="55" t="s">
        <v>5125</v>
      </c>
      <c r="G435" s="55" t="s">
        <v>5126</v>
      </c>
      <c r="H435" s="55" t="s">
        <v>19</v>
      </c>
      <c r="I435" s="55" t="s">
        <v>4783</v>
      </c>
    </row>
    <row r="436" customFormat="false" ht="15" hidden="false" customHeight="false" outlineLevel="0" collapsed="false">
      <c r="A436" s="55" t="s">
        <v>5237</v>
      </c>
      <c r="B436" s="55" t="s">
        <v>1619</v>
      </c>
      <c r="C436" s="55" t="s">
        <v>1618</v>
      </c>
      <c r="D436" s="55" t="s">
        <v>47</v>
      </c>
      <c r="E436" s="55" t="s">
        <v>4740</v>
      </c>
      <c r="F436" s="55" t="s">
        <v>4745</v>
      </c>
      <c r="G436" s="55" t="s">
        <v>4746</v>
      </c>
      <c r="H436" s="55" t="s">
        <v>22</v>
      </c>
      <c r="I436" s="55" t="s">
        <v>4753</v>
      </c>
    </row>
    <row r="437" customFormat="false" ht="15" hidden="false" customHeight="false" outlineLevel="0" collapsed="false">
      <c r="A437" s="55" t="s">
        <v>5238</v>
      </c>
      <c r="B437" s="55" t="s">
        <v>3148</v>
      </c>
      <c r="C437" s="55" t="s">
        <v>3834</v>
      </c>
      <c r="D437" s="55" t="s">
        <v>47</v>
      </c>
      <c r="E437" s="55" t="s">
        <v>4740</v>
      </c>
      <c r="F437" s="55" t="s">
        <v>4834</v>
      </c>
      <c r="G437" s="55" t="s">
        <v>4835</v>
      </c>
      <c r="H437" s="55" t="s">
        <v>22</v>
      </c>
      <c r="I437" s="55" t="s">
        <v>4753</v>
      </c>
    </row>
    <row r="438" customFormat="false" ht="15" hidden="false" customHeight="false" outlineLevel="0" collapsed="false">
      <c r="A438" s="55" t="s">
        <v>5239</v>
      </c>
      <c r="B438" s="55" t="s">
        <v>1405</v>
      </c>
      <c r="C438" s="55" t="s">
        <v>1404</v>
      </c>
      <c r="D438" s="55" t="s">
        <v>46</v>
      </c>
      <c r="E438" s="55" t="s">
        <v>4740</v>
      </c>
      <c r="F438" s="55" t="s">
        <v>4774</v>
      </c>
      <c r="G438" s="55" t="s">
        <v>4782</v>
      </c>
      <c r="H438" s="55" t="s">
        <v>19</v>
      </c>
      <c r="I438" s="55" t="s">
        <v>4783</v>
      </c>
    </row>
    <row r="439" customFormat="false" ht="15" hidden="false" customHeight="false" outlineLevel="0" collapsed="false">
      <c r="A439" s="55" t="s">
        <v>5240</v>
      </c>
      <c r="B439" s="55" t="s">
        <v>2597</v>
      </c>
      <c r="C439" s="55" t="s">
        <v>2596</v>
      </c>
      <c r="D439" s="55" t="s">
        <v>45</v>
      </c>
      <c r="E439" s="55" t="s">
        <v>4740</v>
      </c>
      <c r="F439" s="55" t="s">
        <v>5241</v>
      </c>
      <c r="G439" s="55" t="s">
        <v>5242</v>
      </c>
      <c r="H439" s="55" t="s">
        <v>19</v>
      </c>
      <c r="I439" s="55" t="s">
        <v>5243</v>
      </c>
    </row>
    <row r="440" customFormat="false" ht="15" hidden="false" customHeight="false" outlineLevel="0" collapsed="false">
      <c r="A440" s="55" t="s">
        <v>5244</v>
      </c>
      <c r="B440" s="55" t="s">
        <v>1322</v>
      </c>
      <c r="C440" s="55" t="s">
        <v>1321</v>
      </c>
      <c r="D440" s="55" t="s">
        <v>47</v>
      </c>
      <c r="E440" s="55" t="s">
        <v>4740</v>
      </c>
      <c r="F440" s="55" t="s">
        <v>4741</v>
      </c>
      <c r="G440" s="55" t="s">
        <v>4742</v>
      </c>
      <c r="H440" s="55" t="s">
        <v>22</v>
      </c>
      <c r="I440" s="55" t="s">
        <v>4743</v>
      </c>
    </row>
    <row r="441" customFormat="false" ht="15" hidden="false" customHeight="false" outlineLevel="0" collapsed="false">
      <c r="A441" s="55" t="s">
        <v>5245</v>
      </c>
      <c r="B441" s="55" t="s">
        <v>1539</v>
      </c>
      <c r="C441" s="55" t="s">
        <v>1538</v>
      </c>
      <c r="D441" s="55" t="s">
        <v>45</v>
      </c>
      <c r="E441" s="55" t="s">
        <v>4740</v>
      </c>
      <c r="F441" s="55" t="s">
        <v>4774</v>
      </c>
      <c r="G441" s="55" t="s">
        <v>4775</v>
      </c>
      <c r="H441" s="55" t="s">
        <v>22</v>
      </c>
      <c r="I441" s="55" t="s">
        <v>4753</v>
      </c>
    </row>
    <row r="442" customFormat="false" ht="15" hidden="false" customHeight="false" outlineLevel="0" collapsed="false">
      <c r="A442" s="55" t="s">
        <v>5246</v>
      </c>
      <c r="B442" s="55" t="s">
        <v>1539</v>
      </c>
      <c r="C442" s="55" t="s">
        <v>1538</v>
      </c>
      <c r="D442" s="55" t="s">
        <v>47</v>
      </c>
      <c r="E442" s="55" t="s">
        <v>4740</v>
      </c>
      <c r="F442" s="55" t="s">
        <v>4749</v>
      </c>
      <c r="G442" s="55" t="s">
        <v>4750</v>
      </c>
      <c r="H442" s="55" t="s">
        <v>22</v>
      </c>
      <c r="I442" s="55" t="s">
        <v>4751</v>
      </c>
    </row>
    <row r="443" customFormat="false" ht="15" hidden="false" customHeight="false" outlineLevel="0" collapsed="false">
      <c r="A443" s="55" t="s">
        <v>5247</v>
      </c>
      <c r="B443" s="55" t="s">
        <v>1475</v>
      </c>
      <c r="C443" s="55" t="s">
        <v>1474</v>
      </c>
      <c r="D443" s="55" t="s">
        <v>46</v>
      </c>
      <c r="E443" s="55" t="s">
        <v>4740</v>
      </c>
      <c r="F443" s="55" t="s">
        <v>4741</v>
      </c>
      <c r="G443" s="55" t="s">
        <v>4742</v>
      </c>
      <c r="H443" s="55" t="s">
        <v>22</v>
      </c>
      <c r="I443" s="55" t="s">
        <v>4743</v>
      </c>
    </row>
    <row r="444" customFormat="false" ht="15" hidden="false" customHeight="false" outlineLevel="0" collapsed="false">
      <c r="A444" s="55" t="s">
        <v>5248</v>
      </c>
      <c r="B444" s="55" t="s">
        <v>1015</v>
      </c>
      <c r="C444" s="55" t="s">
        <v>1014</v>
      </c>
      <c r="D444" s="55" t="s">
        <v>45</v>
      </c>
      <c r="E444" s="55" t="s">
        <v>4740</v>
      </c>
      <c r="F444" s="55" t="s">
        <v>4741</v>
      </c>
      <c r="G444" s="55" t="s">
        <v>4742</v>
      </c>
      <c r="H444" s="55" t="s">
        <v>22</v>
      </c>
      <c r="I444" s="55" t="s">
        <v>4743</v>
      </c>
    </row>
    <row r="445" customFormat="false" ht="15" hidden="false" customHeight="false" outlineLevel="0" collapsed="false">
      <c r="A445" s="55" t="s">
        <v>5249</v>
      </c>
      <c r="B445" s="55" t="s">
        <v>1015</v>
      </c>
      <c r="C445" s="55" t="s">
        <v>1014</v>
      </c>
      <c r="D445" s="55" t="s">
        <v>47</v>
      </c>
      <c r="E445" s="55" t="s">
        <v>4740</v>
      </c>
      <c r="F445" s="55" t="s">
        <v>4745</v>
      </c>
      <c r="G445" s="55" t="s">
        <v>4746</v>
      </c>
      <c r="H445" s="55" t="s">
        <v>22</v>
      </c>
      <c r="I445" s="55" t="s">
        <v>4753</v>
      </c>
    </row>
    <row r="446" customFormat="false" ht="15" hidden="false" customHeight="false" outlineLevel="0" collapsed="false">
      <c r="A446" s="55" t="s">
        <v>5250</v>
      </c>
      <c r="B446" s="55" t="s">
        <v>992</v>
      </c>
      <c r="C446" s="55" t="s">
        <v>991</v>
      </c>
      <c r="D446" s="55" t="s">
        <v>47</v>
      </c>
      <c r="E446" s="55" t="s">
        <v>4740</v>
      </c>
      <c r="F446" s="55" t="s">
        <v>4934</v>
      </c>
      <c r="G446" s="55" t="s">
        <v>4935</v>
      </c>
      <c r="H446" s="55" t="s">
        <v>22</v>
      </c>
      <c r="I446" s="55" t="s">
        <v>4753</v>
      </c>
    </row>
    <row r="447" customFormat="false" ht="15" hidden="false" customHeight="false" outlineLevel="0" collapsed="false">
      <c r="A447" s="55" t="s">
        <v>5251</v>
      </c>
      <c r="B447" s="55" t="s">
        <v>1355</v>
      </c>
      <c r="C447" s="55" t="s">
        <v>1354</v>
      </c>
      <c r="D447" s="55" t="s">
        <v>47</v>
      </c>
      <c r="E447" s="55" t="s">
        <v>4740</v>
      </c>
      <c r="F447" s="55" t="s">
        <v>4745</v>
      </c>
      <c r="G447" s="55" t="s">
        <v>4746</v>
      </c>
      <c r="H447" s="55" t="s">
        <v>22</v>
      </c>
      <c r="I447" s="55" t="s">
        <v>4753</v>
      </c>
    </row>
    <row r="448" customFormat="false" ht="15" hidden="false" customHeight="false" outlineLevel="0" collapsed="false">
      <c r="A448" s="55" t="s">
        <v>5252</v>
      </c>
      <c r="B448" s="55" t="s">
        <v>466</v>
      </c>
      <c r="C448" s="55" t="s">
        <v>465</v>
      </c>
      <c r="D448" s="55" t="s">
        <v>47</v>
      </c>
      <c r="E448" s="55" t="s">
        <v>4740</v>
      </c>
      <c r="F448" s="55" t="s">
        <v>4745</v>
      </c>
      <c r="G448" s="55" t="s">
        <v>4746</v>
      </c>
      <c r="H448" s="55" t="s">
        <v>22</v>
      </c>
      <c r="I448" s="55" t="s">
        <v>4747</v>
      </c>
    </row>
    <row r="449" customFormat="false" ht="15" hidden="false" customHeight="false" outlineLevel="0" collapsed="false">
      <c r="A449" s="55" t="s">
        <v>5253</v>
      </c>
      <c r="B449" s="55" t="s">
        <v>2449</v>
      </c>
      <c r="C449" s="55" t="s">
        <v>2448</v>
      </c>
      <c r="D449" s="55" t="s">
        <v>47</v>
      </c>
      <c r="E449" s="55" t="s">
        <v>4740</v>
      </c>
      <c r="F449" s="55" t="s">
        <v>4745</v>
      </c>
      <c r="G449" s="55" t="s">
        <v>4746</v>
      </c>
      <c r="H449" s="55" t="s">
        <v>22</v>
      </c>
      <c r="I449" s="55" t="s">
        <v>4753</v>
      </c>
    </row>
    <row r="450" customFormat="false" ht="15" hidden="false" customHeight="false" outlineLevel="0" collapsed="false">
      <c r="A450" s="55" t="s">
        <v>5254</v>
      </c>
      <c r="B450" s="55" t="s">
        <v>1590</v>
      </c>
      <c r="C450" s="55" t="s">
        <v>1589</v>
      </c>
      <c r="D450" s="55" t="s">
        <v>45</v>
      </c>
      <c r="E450" s="55" t="s">
        <v>4740</v>
      </c>
      <c r="F450" s="55" t="s">
        <v>4749</v>
      </c>
      <c r="G450" s="55" t="s">
        <v>4750</v>
      </c>
      <c r="H450" s="55" t="s">
        <v>22</v>
      </c>
      <c r="I450" s="55" t="s">
        <v>4751</v>
      </c>
    </row>
    <row r="451" customFormat="false" ht="15" hidden="false" customHeight="false" outlineLevel="0" collapsed="false">
      <c r="A451" s="55" t="s">
        <v>5255</v>
      </c>
      <c r="B451" s="55" t="s">
        <v>694</v>
      </c>
      <c r="C451" s="55" t="s">
        <v>693</v>
      </c>
      <c r="D451" s="55" t="s">
        <v>45</v>
      </c>
      <c r="E451" s="55" t="s">
        <v>4740</v>
      </c>
      <c r="F451" s="55" t="s">
        <v>4749</v>
      </c>
      <c r="G451" s="55" t="s">
        <v>4750</v>
      </c>
      <c r="H451" s="55" t="s">
        <v>22</v>
      </c>
      <c r="I451" s="55" t="s">
        <v>4751</v>
      </c>
    </row>
    <row r="452" customFormat="false" ht="15" hidden="false" customHeight="false" outlineLevel="0" collapsed="false">
      <c r="A452" s="55" t="s">
        <v>5256</v>
      </c>
      <c r="B452" s="55" t="s">
        <v>464</v>
      </c>
      <c r="C452" s="55" t="s">
        <v>463</v>
      </c>
      <c r="D452" s="55" t="s">
        <v>46</v>
      </c>
      <c r="E452" s="55" t="s">
        <v>4740</v>
      </c>
      <c r="F452" s="55" t="s">
        <v>4823</v>
      </c>
      <c r="G452" s="55" t="s">
        <v>4824</v>
      </c>
      <c r="H452" s="55" t="s">
        <v>22</v>
      </c>
      <c r="I452" s="55" t="s">
        <v>4825</v>
      </c>
    </row>
    <row r="453" customFormat="false" ht="15" hidden="false" customHeight="false" outlineLevel="0" collapsed="false">
      <c r="A453" s="55" t="s">
        <v>5257</v>
      </c>
      <c r="B453" s="55" t="s">
        <v>464</v>
      </c>
      <c r="C453" s="55" t="s">
        <v>463</v>
      </c>
      <c r="D453" s="55" t="s">
        <v>47</v>
      </c>
      <c r="E453" s="55" t="s">
        <v>4740</v>
      </c>
      <c r="F453" s="55" t="s">
        <v>4745</v>
      </c>
      <c r="G453" s="55" t="s">
        <v>4746</v>
      </c>
      <c r="H453" s="55" t="s">
        <v>22</v>
      </c>
      <c r="I453" s="55" t="s">
        <v>4753</v>
      </c>
    </row>
    <row r="454" customFormat="false" ht="15" hidden="false" customHeight="false" outlineLevel="0" collapsed="false">
      <c r="A454" s="55" t="s">
        <v>5258</v>
      </c>
      <c r="B454" s="55" t="s">
        <v>388</v>
      </c>
      <c r="C454" s="55" t="s">
        <v>387</v>
      </c>
      <c r="D454" s="55" t="s">
        <v>45</v>
      </c>
      <c r="E454" s="55" t="s">
        <v>4740</v>
      </c>
      <c r="F454" s="55" t="s">
        <v>4745</v>
      </c>
      <c r="G454" s="55" t="s">
        <v>4746</v>
      </c>
      <c r="H454" s="55" t="s">
        <v>22</v>
      </c>
      <c r="I454" s="55" t="s">
        <v>4753</v>
      </c>
    </row>
    <row r="455" customFormat="false" ht="15" hidden="false" customHeight="false" outlineLevel="0" collapsed="false">
      <c r="A455" s="55" t="s">
        <v>5259</v>
      </c>
      <c r="B455" s="55" t="s">
        <v>388</v>
      </c>
      <c r="C455" s="55" t="s">
        <v>387</v>
      </c>
      <c r="D455" s="55" t="s">
        <v>46</v>
      </c>
      <c r="E455" s="55" t="s">
        <v>4740</v>
      </c>
      <c r="F455" s="55" t="s">
        <v>4749</v>
      </c>
      <c r="G455" s="55" t="s">
        <v>4750</v>
      </c>
      <c r="H455" s="55" t="s">
        <v>22</v>
      </c>
      <c r="I455" s="55" t="s">
        <v>4751</v>
      </c>
    </row>
    <row r="456" customFormat="false" ht="15" hidden="false" customHeight="false" outlineLevel="0" collapsed="false">
      <c r="A456" s="55" t="s">
        <v>5260</v>
      </c>
      <c r="B456" s="55" t="s">
        <v>496</v>
      </c>
      <c r="C456" s="55" t="s">
        <v>495</v>
      </c>
      <c r="D456" s="55" t="s">
        <v>45</v>
      </c>
      <c r="E456" s="55" t="s">
        <v>4740</v>
      </c>
      <c r="F456" s="55" t="s">
        <v>4741</v>
      </c>
      <c r="G456" s="55" t="s">
        <v>4742</v>
      </c>
      <c r="H456" s="55" t="s">
        <v>22</v>
      </c>
      <c r="I456" s="55" t="s">
        <v>4743</v>
      </c>
    </row>
    <row r="457" customFormat="false" ht="15" hidden="false" customHeight="false" outlineLevel="0" collapsed="false">
      <c r="A457" s="55" t="s">
        <v>5261</v>
      </c>
      <c r="B457" s="55" t="s">
        <v>496</v>
      </c>
      <c r="C457" s="55" t="s">
        <v>495</v>
      </c>
      <c r="D457" s="55" t="s">
        <v>47</v>
      </c>
      <c r="E457" s="55" t="s">
        <v>4740</v>
      </c>
      <c r="F457" s="55" t="s">
        <v>4745</v>
      </c>
      <c r="G457" s="55" t="s">
        <v>4746</v>
      </c>
      <c r="H457" s="55" t="s">
        <v>22</v>
      </c>
      <c r="I457" s="55" t="s">
        <v>4753</v>
      </c>
    </row>
    <row r="458" customFormat="false" ht="15" hidden="false" customHeight="false" outlineLevel="0" collapsed="false">
      <c r="A458" s="55" t="s">
        <v>5262</v>
      </c>
      <c r="B458" s="55" t="s">
        <v>472</v>
      </c>
      <c r="C458" s="55" t="s">
        <v>471</v>
      </c>
      <c r="D458" s="55" t="s">
        <v>47</v>
      </c>
      <c r="E458" s="55" t="s">
        <v>4740</v>
      </c>
      <c r="F458" s="55" t="s">
        <v>4741</v>
      </c>
      <c r="G458" s="55" t="s">
        <v>4742</v>
      </c>
      <c r="H458" s="55" t="s">
        <v>22</v>
      </c>
      <c r="I458" s="55" t="s">
        <v>4743</v>
      </c>
    </row>
    <row r="459" customFormat="false" ht="15" hidden="false" customHeight="false" outlineLevel="0" collapsed="false">
      <c r="A459" s="55" t="s">
        <v>5263</v>
      </c>
      <c r="B459" s="55" t="s">
        <v>244</v>
      </c>
      <c r="C459" s="55" t="s">
        <v>243</v>
      </c>
      <c r="D459" s="55" t="s">
        <v>46</v>
      </c>
      <c r="E459" s="55" t="s">
        <v>4740</v>
      </c>
      <c r="F459" s="55" t="s">
        <v>4745</v>
      </c>
      <c r="G459" s="55" t="s">
        <v>4746</v>
      </c>
      <c r="H459" s="55" t="s">
        <v>22</v>
      </c>
      <c r="I459" s="55" t="s">
        <v>4747</v>
      </c>
    </row>
    <row r="460" customFormat="false" ht="15" hidden="false" customHeight="false" outlineLevel="0" collapsed="false">
      <c r="A460" s="55" t="s">
        <v>5264</v>
      </c>
      <c r="B460" s="55" t="s">
        <v>228</v>
      </c>
      <c r="C460" s="55" t="s">
        <v>227</v>
      </c>
      <c r="D460" s="55" t="s">
        <v>45</v>
      </c>
      <c r="E460" s="55" t="s">
        <v>4740</v>
      </c>
      <c r="F460" s="55" t="s">
        <v>4745</v>
      </c>
      <c r="G460" s="55" t="s">
        <v>4746</v>
      </c>
      <c r="H460" s="55" t="s">
        <v>22</v>
      </c>
      <c r="I460" s="55" t="s">
        <v>4753</v>
      </c>
    </row>
    <row r="461" customFormat="false" ht="15" hidden="false" customHeight="false" outlineLevel="0" collapsed="false">
      <c r="A461" s="55" t="s">
        <v>5265</v>
      </c>
      <c r="B461" s="55" t="s">
        <v>1512</v>
      </c>
      <c r="C461" s="55" t="s">
        <v>1511</v>
      </c>
      <c r="D461" s="55" t="s">
        <v>46</v>
      </c>
      <c r="E461" s="55" t="s">
        <v>4740</v>
      </c>
      <c r="F461" s="55" t="s">
        <v>4577</v>
      </c>
      <c r="G461" s="55" t="s">
        <v>4893</v>
      </c>
      <c r="H461" s="55" t="s">
        <v>19</v>
      </c>
      <c r="I461" s="55" t="s">
        <v>4894</v>
      </c>
    </row>
    <row r="462" customFormat="false" ht="15" hidden="false" customHeight="false" outlineLevel="0" collapsed="false">
      <c r="A462" s="55" t="s">
        <v>5266</v>
      </c>
      <c r="B462" s="55" t="s">
        <v>1512</v>
      </c>
      <c r="C462" s="55" t="s">
        <v>1511</v>
      </c>
      <c r="D462" s="55" t="s">
        <v>47</v>
      </c>
      <c r="E462" s="55" t="s">
        <v>4740</v>
      </c>
      <c r="F462" s="55" t="s">
        <v>4930</v>
      </c>
      <c r="G462" s="55" t="s">
        <v>4978</v>
      </c>
      <c r="H462" s="55" t="s">
        <v>22</v>
      </c>
      <c r="I462" s="55" t="s">
        <v>4753</v>
      </c>
    </row>
    <row r="463" customFormat="false" ht="15" hidden="false" customHeight="false" outlineLevel="0" collapsed="false">
      <c r="A463" s="55" t="s">
        <v>5267</v>
      </c>
      <c r="B463" s="55" t="s">
        <v>2190</v>
      </c>
      <c r="C463" s="55" t="s">
        <v>2189</v>
      </c>
      <c r="D463" s="55" t="s">
        <v>46</v>
      </c>
      <c r="E463" s="55" t="s">
        <v>4740</v>
      </c>
      <c r="F463" s="55" t="s">
        <v>4745</v>
      </c>
      <c r="G463" s="55" t="s">
        <v>4746</v>
      </c>
      <c r="H463" s="55" t="s">
        <v>22</v>
      </c>
      <c r="I463" s="55" t="s">
        <v>4747</v>
      </c>
    </row>
    <row r="464" customFormat="false" ht="15" hidden="false" customHeight="false" outlineLevel="0" collapsed="false">
      <c r="A464" s="55" t="s">
        <v>5268</v>
      </c>
      <c r="B464" s="55" t="s">
        <v>1336</v>
      </c>
      <c r="C464" s="55" t="s">
        <v>1335</v>
      </c>
      <c r="D464" s="55" t="s">
        <v>45</v>
      </c>
      <c r="E464" s="55" t="s">
        <v>4740</v>
      </c>
      <c r="F464" s="55" t="s">
        <v>4745</v>
      </c>
      <c r="G464" s="55" t="s">
        <v>4746</v>
      </c>
      <c r="H464" s="55" t="s">
        <v>22</v>
      </c>
      <c r="I464" s="55" t="s">
        <v>4753</v>
      </c>
    </row>
    <row r="465" customFormat="false" ht="15" hidden="false" customHeight="false" outlineLevel="0" collapsed="false">
      <c r="A465" s="55" t="s">
        <v>5269</v>
      </c>
      <c r="B465" s="55" t="s">
        <v>1336</v>
      </c>
      <c r="C465" s="55" t="s">
        <v>1335</v>
      </c>
      <c r="D465" s="55" t="s">
        <v>47</v>
      </c>
      <c r="E465" s="55" t="s">
        <v>4740</v>
      </c>
      <c r="F465" s="55" t="s">
        <v>4745</v>
      </c>
      <c r="G465" s="55" t="s">
        <v>4947</v>
      </c>
      <c r="H465" s="55" t="s">
        <v>19</v>
      </c>
      <c r="I465" s="55" t="s">
        <v>4783</v>
      </c>
    </row>
    <row r="466" customFormat="false" ht="15" hidden="false" customHeight="false" outlineLevel="0" collapsed="false">
      <c r="A466" s="55" t="s">
        <v>5270</v>
      </c>
      <c r="B466" s="55" t="s">
        <v>2390</v>
      </c>
      <c r="C466" s="55" t="s">
        <v>2389</v>
      </c>
      <c r="D466" s="55" t="s">
        <v>46</v>
      </c>
      <c r="E466" s="55" t="s">
        <v>4740</v>
      </c>
      <c r="F466" s="55" t="s">
        <v>4577</v>
      </c>
      <c r="G466" s="55" t="s">
        <v>4893</v>
      </c>
      <c r="H466" s="55" t="s">
        <v>19</v>
      </c>
      <c r="I466" s="55" t="s">
        <v>4808</v>
      </c>
    </row>
    <row r="467" customFormat="false" ht="15" hidden="false" customHeight="false" outlineLevel="0" collapsed="false">
      <c r="A467" s="55" t="s">
        <v>5271</v>
      </c>
      <c r="B467" s="55" t="s">
        <v>2830</v>
      </c>
      <c r="C467" s="55" t="s">
        <v>2829</v>
      </c>
      <c r="D467" s="55" t="s">
        <v>46</v>
      </c>
      <c r="E467" s="55" t="s">
        <v>4740</v>
      </c>
      <c r="F467" s="55" t="s">
        <v>4774</v>
      </c>
      <c r="G467" s="55" t="s">
        <v>4782</v>
      </c>
      <c r="H467" s="55" t="s">
        <v>19</v>
      </c>
      <c r="I467" s="55" t="s">
        <v>4808</v>
      </c>
    </row>
    <row r="468" customFormat="false" ht="15" hidden="false" customHeight="false" outlineLevel="0" collapsed="false">
      <c r="A468" s="55" t="s">
        <v>5272</v>
      </c>
      <c r="B468" s="55" t="s">
        <v>2830</v>
      </c>
      <c r="C468" s="55" t="s">
        <v>2829</v>
      </c>
      <c r="D468" s="55" t="s">
        <v>47</v>
      </c>
      <c r="E468" s="55" t="s">
        <v>4740</v>
      </c>
      <c r="F468" s="55" t="s">
        <v>4745</v>
      </c>
      <c r="G468" s="55" t="s">
        <v>4746</v>
      </c>
      <c r="H468" s="55" t="s">
        <v>22</v>
      </c>
      <c r="I468" s="55" t="s">
        <v>4753</v>
      </c>
    </row>
    <row r="469" customFormat="false" ht="15" hidden="false" customHeight="false" outlineLevel="0" collapsed="false">
      <c r="A469" s="55" t="s">
        <v>5273</v>
      </c>
      <c r="B469" s="55" t="s">
        <v>1417</v>
      </c>
      <c r="C469" s="55" t="s">
        <v>1416</v>
      </c>
      <c r="D469" s="55" t="s">
        <v>47</v>
      </c>
      <c r="E469" s="55" t="s">
        <v>4740</v>
      </c>
      <c r="F469" s="55" t="s">
        <v>4749</v>
      </c>
      <c r="G469" s="55" t="s">
        <v>4750</v>
      </c>
      <c r="H469" s="55" t="s">
        <v>22</v>
      </c>
      <c r="I469" s="55" t="s">
        <v>4751</v>
      </c>
    </row>
    <row r="470" customFormat="false" ht="15" hidden="false" customHeight="false" outlineLevel="0" collapsed="false">
      <c r="A470" s="55" t="s">
        <v>5274</v>
      </c>
      <c r="B470" s="55" t="s">
        <v>1482</v>
      </c>
      <c r="C470" s="55" t="s">
        <v>1481</v>
      </c>
      <c r="D470" s="55" t="s">
        <v>47</v>
      </c>
      <c r="E470" s="55" t="s">
        <v>4740</v>
      </c>
      <c r="F470" s="55" t="s">
        <v>4741</v>
      </c>
      <c r="G470" s="55" t="s">
        <v>4742</v>
      </c>
      <c r="H470" s="55" t="s">
        <v>22</v>
      </c>
      <c r="I470" s="55" t="s">
        <v>4743</v>
      </c>
    </row>
    <row r="471" customFormat="false" ht="15" hidden="false" customHeight="false" outlineLevel="0" collapsed="false">
      <c r="A471" s="55" t="s">
        <v>5275</v>
      </c>
      <c r="B471" s="55" t="s">
        <v>596</v>
      </c>
      <c r="C471" s="55" t="s">
        <v>595</v>
      </c>
      <c r="D471" s="55" t="s">
        <v>46</v>
      </c>
      <c r="E471" s="55" t="s">
        <v>4740</v>
      </c>
      <c r="F471" s="55" t="s">
        <v>4823</v>
      </c>
      <c r="G471" s="55" t="s">
        <v>4824</v>
      </c>
      <c r="H471" s="55" t="s">
        <v>22</v>
      </c>
      <c r="I471" s="55" t="s">
        <v>4825</v>
      </c>
    </row>
    <row r="472" customFormat="false" ht="15" hidden="false" customHeight="false" outlineLevel="0" collapsed="false">
      <c r="A472" s="55" t="s">
        <v>5276</v>
      </c>
      <c r="B472" s="55" t="s">
        <v>596</v>
      </c>
      <c r="C472" s="55" t="s">
        <v>595</v>
      </c>
      <c r="D472" s="55" t="s">
        <v>47</v>
      </c>
      <c r="E472" s="55" t="s">
        <v>4740</v>
      </c>
      <c r="F472" s="55" t="s">
        <v>4745</v>
      </c>
      <c r="G472" s="55" t="s">
        <v>4746</v>
      </c>
      <c r="H472" s="55" t="s">
        <v>22</v>
      </c>
      <c r="I472" s="55" t="s">
        <v>4753</v>
      </c>
    </row>
    <row r="473" customFormat="false" ht="15" hidden="false" customHeight="false" outlineLevel="0" collapsed="false">
      <c r="A473" s="55" t="s">
        <v>5277</v>
      </c>
      <c r="B473" s="55" t="s">
        <v>1219</v>
      </c>
      <c r="C473" s="55" t="s">
        <v>1218</v>
      </c>
      <c r="D473" s="55" t="s">
        <v>46</v>
      </c>
      <c r="E473" s="55" t="s">
        <v>4740</v>
      </c>
      <c r="F473" s="55" t="s">
        <v>4774</v>
      </c>
      <c r="G473" s="55" t="s">
        <v>4775</v>
      </c>
      <c r="H473" s="55" t="s">
        <v>22</v>
      </c>
      <c r="I473" s="55" t="s">
        <v>4753</v>
      </c>
    </row>
    <row r="474" customFormat="false" ht="15" hidden="false" customHeight="false" outlineLevel="0" collapsed="false">
      <c r="A474" s="55" t="s">
        <v>5278</v>
      </c>
      <c r="B474" s="55" t="s">
        <v>402</v>
      </c>
      <c r="C474" s="55" t="s">
        <v>401</v>
      </c>
      <c r="D474" s="55" t="s">
        <v>45</v>
      </c>
      <c r="E474" s="55" t="s">
        <v>4740</v>
      </c>
      <c r="F474" s="55" t="s">
        <v>4770</v>
      </c>
      <c r="G474" s="55" t="s">
        <v>4771</v>
      </c>
      <c r="H474" s="55" t="s">
        <v>22</v>
      </c>
      <c r="I474" s="55" t="s">
        <v>4772</v>
      </c>
    </row>
    <row r="475" customFormat="false" ht="15" hidden="false" customHeight="false" outlineLevel="0" collapsed="false">
      <c r="A475" s="55" t="s">
        <v>5279</v>
      </c>
      <c r="B475" s="55" t="s">
        <v>402</v>
      </c>
      <c r="C475" s="55" t="s">
        <v>401</v>
      </c>
      <c r="D475" s="55" t="s">
        <v>47</v>
      </c>
      <c r="E475" s="55" t="s">
        <v>4740</v>
      </c>
      <c r="F475" s="55" t="s">
        <v>4745</v>
      </c>
      <c r="G475" s="55" t="s">
        <v>4746</v>
      </c>
      <c r="H475" s="55" t="s">
        <v>22</v>
      </c>
      <c r="I475" s="55" t="s">
        <v>4753</v>
      </c>
    </row>
    <row r="476" customFormat="false" ht="15" hidden="false" customHeight="false" outlineLevel="0" collapsed="false">
      <c r="A476" s="55" t="s">
        <v>5280</v>
      </c>
      <c r="B476" s="55" t="s">
        <v>1680</v>
      </c>
      <c r="C476" s="55" t="s">
        <v>1679</v>
      </c>
      <c r="D476" s="55" t="s">
        <v>47</v>
      </c>
      <c r="E476" s="55" t="s">
        <v>4740</v>
      </c>
      <c r="F476" s="55" t="s">
        <v>4745</v>
      </c>
      <c r="G476" s="55" t="s">
        <v>4746</v>
      </c>
      <c r="H476" s="55" t="s">
        <v>22</v>
      </c>
      <c r="I476" s="55" t="s">
        <v>4753</v>
      </c>
    </row>
    <row r="477" customFormat="false" ht="15" hidden="false" customHeight="false" outlineLevel="0" collapsed="false">
      <c r="A477" s="55" t="s">
        <v>5281</v>
      </c>
      <c r="B477" s="55" t="s">
        <v>1610</v>
      </c>
      <c r="C477" s="55" t="s">
        <v>1609</v>
      </c>
      <c r="D477" s="55" t="s">
        <v>46</v>
      </c>
      <c r="E477" s="55" t="s">
        <v>4740</v>
      </c>
      <c r="F477" s="55" t="s">
        <v>4745</v>
      </c>
      <c r="G477" s="55" t="s">
        <v>4746</v>
      </c>
      <c r="H477" s="55" t="s">
        <v>22</v>
      </c>
      <c r="I477" s="55" t="s">
        <v>4753</v>
      </c>
    </row>
    <row r="478" customFormat="false" ht="15" hidden="false" customHeight="false" outlineLevel="0" collapsed="false">
      <c r="A478" s="55" t="s">
        <v>5282</v>
      </c>
      <c r="B478" s="55" t="s">
        <v>1610</v>
      </c>
      <c r="C478" s="55" t="s">
        <v>1609</v>
      </c>
      <c r="D478" s="55" t="s">
        <v>47</v>
      </c>
      <c r="E478" s="55" t="s">
        <v>4740</v>
      </c>
      <c r="F478" s="55" t="s">
        <v>4745</v>
      </c>
      <c r="G478" s="55" t="s">
        <v>4746</v>
      </c>
      <c r="H478" s="55" t="s">
        <v>22</v>
      </c>
      <c r="I478" s="55" t="s">
        <v>4753</v>
      </c>
    </row>
    <row r="479" customFormat="false" ht="15" hidden="false" customHeight="false" outlineLevel="0" collapsed="false">
      <c r="A479" s="55" t="s">
        <v>5283</v>
      </c>
      <c r="B479" s="55" t="s">
        <v>552</v>
      </c>
      <c r="C479" s="55" t="s">
        <v>551</v>
      </c>
      <c r="D479" s="55" t="s">
        <v>47</v>
      </c>
      <c r="E479" s="55" t="s">
        <v>4740</v>
      </c>
      <c r="F479" s="55" t="s">
        <v>4745</v>
      </c>
      <c r="G479" s="55" t="s">
        <v>4746</v>
      </c>
      <c r="H479" s="55" t="s">
        <v>22</v>
      </c>
      <c r="I479" s="55" t="s">
        <v>4753</v>
      </c>
    </row>
    <row r="480" customFormat="false" ht="15" hidden="false" customHeight="false" outlineLevel="0" collapsed="false">
      <c r="A480" s="55" t="s">
        <v>5284</v>
      </c>
      <c r="B480" s="55" t="s">
        <v>2437</v>
      </c>
      <c r="C480" s="55" t="s">
        <v>2436</v>
      </c>
      <c r="D480" s="55" t="s">
        <v>45</v>
      </c>
      <c r="E480" s="55" t="s">
        <v>4740</v>
      </c>
      <c r="F480" s="55" t="s">
        <v>4774</v>
      </c>
      <c r="G480" s="55" t="s">
        <v>4782</v>
      </c>
      <c r="H480" s="55" t="s">
        <v>19</v>
      </c>
      <c r="I480" s="55" t="s">
        <v>4783</v>
      </c>
    </row>
    <row r="481" customFormat="false" ht="15" hidden="false" customHeight="false" outlineLevel="0" collapsed="false">
      <c r="A481" s="55" t="s">
        <v>5285</v>
      </c>
      <c r="B481" s="55" t="s">
        <v>2198</v>
      </c>
      <c r="C481" s="55" t="s">
        <v>2197</v>
      </c>
      <c r="D481" s="55" t="s">
        <v>46</v>
      </c>
      <c r="E481" s="55" t="s">
        <v>4740</v>
      </c>
      <c r="F481" s="55" t="s">
        <v>4804</v>
      </c>
      <c r="G481" s="55" t="s">
        <v>4843</v>
      </c>
      <c r="H481" s="55" t="s">
        <v>22</v>
      </c>
      <c r="I481" s="55" t="s">
        <v>4844</v>
      </c>
    </row>
    <row r="482" customFormat="false" ht="15" hidden="false" customHeight="false" outlineLevel="0" collapsed="false">
      <c r="A482" s="55" t="s">
        <v>5286</v>
      </c>
      <c r="B482" s="55" t="s">
        <v>2198</v>
      </c>
      <c r="C482" s="55" t="s">
        <v>2197</v>
      </c>
      <c r="D482" s="55" t="s">
        <v>47</v>
      </c>
      <c r="E482" s="55" t="s">
        <v>4740</v>
      </c>
      <c r="F482" s="55" t="s">
        <v>4766</v>
      </c>
      <c r="G482" s="55" t="s">
        <v>4767</v>
      </c>
      <c r="H482" s="55" t="s">
        <v>22</v>
      </c>
      <c r="I482" s="55" t="s">
        <v>4753</v>
      </c>
    </row>
    <row r="483" customFormat="false" ht="15" hidden="false" customHeight="false" outlineLevel="0" collapsed="false">
      <c r="A483" s="55" t="s">
        <v>5287</v>
      </c>
      <c r="B483" s="55" t="s">
        <v>562</v>
      </c>
      <c r="C483" s="55" t="s">
        <v>561</v>
      </c>
      <c r="D483" s="55" t="s">
        <v>47</v>
      </c>
      <c r="E483" s="55" t="s">
        <v>4740</v>
      </c>
      <c r="F483" s="55" t="s">
        <v>4577</v>
      </c>
      <c r="G483" s="55" t="s">
        <v>4819</v>
      </c>
      <c r="H483" s="55" t="s">
        <v>22</v>
      </c>
      <c r="I483" s="55" t="s">
        <v>4820</v>
      </c>
    </row>
    <row r="484" customFormat="false" ht="15" hidden="false" customHeight="false" outlineLevel="0" collapsed="false">
      <c r="A484" s="55" t="s">
        <v>5288</v>
      </c>
      <c r="B484" s="55" t="s">
        <v>1874</v>
      </c>
      <c r="C484" s="55" t="s">
        <v>1873</v>
      </c>
      <c r="D484" s="55" t="s">
        <v>45</v>
      </c>
      <c r="E484" s="55" t="s">
        <v>4740</v>
      </c>
      <c r="F484" s="55" t="s">
        <v>5289</v>
      </c>
      <c r="G484" s="55" t="s">
        <v>5290</v>
      </c>
      <c r="H484" s="55" t="s">
        <v>22</v>
      </c>
      <c r="I484" s="55" t="s">
        <v>5291</v>
      </c>
    </row>
    <row r="485" customFormat="false" ht="15" hidden="false" customHeight="false" outlineLevel="0" collapsed="false">
      <c r="A485" s="55" t="s">
        <v>5292</v>
      </c>
      <c r="B485" s="55" t="s">
        <v>1568</v>
      </c>
      <c r="C485" s="55" t="s">
        <v>1567</v>
      </c>
      <c r="D485" s="55" t="s">
        <v>45</v>
      </c>
      <c r="E485" s="55" t="s">
        <v>4740</v>
      </c>
      <c r="F485" s="55" t="s">
        <v>4745</v>
      </c>
      <c r="G485" s="55" t="s">
        <v>4746</v>
      </c>
      <c r="H485" s="55" t="s">
        <v>22</v>
      </c>
      <c r="I485" s="55" t="s">
        <v>4747</v>
      </c>
    </row>
    <row r="486" customFormat="false" ht="15" hidden="false" customHeight="false" outlineLevel="0" collapsed="false">
      <c r="A486" s="55" t="s">
        <v>5293</v>
      </c>
      <c r="B486" s="55" t="s">
        <v>1568</v>
      </c>
      <c r="C486" s="55" t="s">
        <v>1567</v>
      </c>
      <c r="D486" s="55" t="s">
        <v>46</v>
      </c>
      <c r="E486" s="55" t="s">
        <v>4740</v>
      </c>
      <c r="F486" s="55" t="s">
        <v>4741</v>
      </c>
      <c r="G486" s="55" t="s">
        <v>4742</v>
      </c>
      <c r="H486" s="55" t="s">
        <v>22</v>
      </c>
      <c r="I486" s="55" t="s">
        <v>4743</v>
      </c>
    </row>
    <row r="487" customFormat="false" ht="15" hidden="false" customHeight="false" outlineLevel="0" collapsed="false">
      <c r="A487" s="55" t="s">
        <v>5294</v>
      </c>
      <c r="B487" s="55" t="s">
        <v>1568</v>
      </c>
      <c r="C487" s="55" t="s">
        <v>1567</v>
      </c>
      <c r="D487" s="55" t="s">
        <v>47</v>
      </c>
      <c r="E487" s="55" t="s">
        <v>4740</v>
      </c>
      <c r="F487" s="55" t="s">
        <v>4834</v>
      </c>
      <c r="G487" s="55" t="s">
        <v>4835</v>
      </c>
      <c r="H487" s="55" t="s">
        <v>22</v>
      </c>
      <c r="I487" s="55" t="s">
        <v>4753</v>
      </c>
    </row>
    <row r="488" customFormat="false" ht="15" hidden="false" customHeight="false" outlineLevel="0" collapsed="false">
      <c r="A488" s="55" t="s">
        <v>5295</v>
      </c>
      <c r="B488" s="55" t="s">
        <v>1276</v>
      </c>
      <c r="C488" s="55" t="s">
        <v>1275</v>
      </c>
      <c r="D488" s="55" t="s">
        <v>45</v>
      </c>
      <c r="E488" s="55" t="s">
        <v>4740</v>
      </c>
      <c r="F488" s="55" t="s">
        <v>4770</v>
      </c>
      <c r="G488" s="55" t="s">
        <v>4771</v>
      </c>
      <c r="H488" s="55" t="s">
        <v>22</v>
      </c>
      <c r="I488" s="55" t="s">
        <v>4772</v>
      </c>
    </row>
    <row r="489" customFormat="false" ht="15" hidden="false" customHeight="false" outlineLevel="0" collapsed="false">
      <c r="A489" s="55" t="s">
        <v>5296</v>
      </c>
      <c r="B489" s="55" t="s">
        <v>226</v>
      </c>
      <c r="C489" s="55" t="s">
        <v>225</v>
      </c>
      <c r="D489" s="55" t="s">
        <v>47</v>
      </c>
      <c r="E489" s="55" t="s">
        <v>4740</v>
      </c>
      <c r="F489" s="55" t="s">
        <v>4749</v>
      </c>
      <c r="G489" s="55" t="s">
        <v>4750</v>
      </c>
      <c r="H489" s="55" t="s">
        <v>22</v>
      </c>
      <c r="I489" s="55" t="s">
        <v>4751</v>
      </c>
    </row>
    <row r="490" customFormat="false" ht="15" hidden="false" customHeight="false" outlineLevel="0" collapsed="false">
      <c r="A490" s="55" t="s">
        <v>5297</v>
      </c>
      <c r="B490" s="55" t="s">
        <v>3174</v>
      </c>
      <c r="C490" s="55" t="s">
        <v>3887</v>
      </c>
      <c r="D490" s="55" t="s">
        <v>45</v>
      </c>
      <c r="E490" s="55" t="s">
        <v>4740</v>
      </c>
      <c r="F490" s="55" t="s">
        <v>4741</v>
      </c>
      <c r="G490" s="55" t="s">
        <v>4742</v>
      </c>
      <c r="H490" s="55" t="s">
        <v>22</v>
      </c>
      <c r="I490" s="55" t="s">
        <v>4743</v>
      </c>
    </row>
    <row r="491" customFormat="false" ht="15" hidden="false" customHeight="false" outlineLevel="0" collapsed="false">
      <c r="A491" s="55" t="s">
        <v>5298</v>
      </c>
      <c r="B491" s="55" t="s">
        <v>570</v>
      </c>
      <c r="C491" s="55" t="s">
        <v>569</v>
      </c>
      <c r="D491" s="55" t="s">
        <v>45</v>
      </c>
      <c r="E491" s="55" t="s">
        <v>4740</v>
      </c>
      <c r="F491" s="55" t="s">
        <v>4745</v>
      </c>
      <c r="G491" s="55" t="s">
        <v>4746</v>
      </c>
      <c r="H491" s="55" t="s">
        <v>22</v>
      </c>
      <c r="I491" s="55" t="s">
        <v>4747</v>
      </c>
    </row>
    <row r="492" customFormat="false" ht="15" hidden="false" customHeight="false" outlineLevel="0" collapsed="false">
      <c r="A492" s="55" t="s">
        <v>5299</v>
      </c>
      <c r="B492" s="55" t="s">
        <v>570</v>
      </c>
      <c r="C492" s="55" t="s">
        <v>569</v>
      </c>
      <c r="D492" s="55" t="s">
        <v>47</v>
      </c>
      <c r="E492" s="55" t="s">
        <v>4740</v>
      </c>
      <c r="F492" s="55" t="s">
        <v>4745</v>
      </c>
      <c r="G492" s="55" t="s">
        <v>4746</v>
      </c>
      <c r="H492" s="55" t="s">
        <v>22</v>
      </c>
      <c r="I492" s="55" t="s">
        <v>4753</v>
      </c>
    </row>
    <row r="493" customFormat="false" ht="15" hidden="false" customHeight="false" outlineLevel="0" collapsed="false">
      <c r="A493" s="55" t="s">
        <v>5300</v>
      </c>
      <c r="B493" s="55" t="s">
        <v>488</v>
      </c>
      <c r="C493" s="55" t="s">
        <v>487</v>
      </c>
      <c r="D493" s="55" t="s">
        <v>45</v>
      </c>
      <c r="E493" s="55" t="s">
        <v>4740</v>
      </c>
      <c r="F493" s="55" t="s">
        <v>4745</v>
      </c>
      <c r="G493" s="55" t="s">
        <v>4746</v>
      </c>
      <c r="H493" s="55" t="s">
        <v>22</v>
      </c>
      <c r="I493" s="55" t="s">
        <v>4747</v>
      </c>
    </row>
    <row r="494" customFormat="false" ht="15" hidden="false" customHeight="false" outlineLevel="0" collapsed="false">
      <c r="A494" s="55" t="s">
        <v>5301</v>
      </c>
      <c r="B494" s="55" t="s">
        <v>488</v>
      </c>
      <c r="C494" s="55" t="s">
        <v>487</v>
      </c>
      <c r="D494" s="55" t="s">
        <v>47</v>
      </c>
      <c r="E494" s="55" t="s">
        <v>4740</v>
      </c>
      <c r="F494" s="55" t="s">
        <v>4577</v>
      </c>
      <c r="G494" s="55" t="s">
        <v>4819</v>
      </c>
      <c r="H494" s="55" t="s">
        <v>22</v>
      </c>
      <c r="I494" s="55" t="s">
        <v>4820</v>
      </c>
    </row>
    <row r="495" customFormat="false" ht="15" hidden="false" customHeight="false" outlineLevel="0" collapsed="false">
      <c r="A495" s="55" t="s">
        <v>5302</v>
      </c>
      <c r="B495" s="55" t="s">
        <v>1998</v>
      </c>
      <c r="C495" s="55" t="s">
        <v>1997</v>
      </c>
      <c r="D495" s="55" t="s">
        <v>47</v>
      </c>
      <c r="E495" s="55" t="s">
        <v>4740</v>
      </c>
      <c r="F495" s="55" t="s">
        <v>4745</v>
      </c>
      <c r="G495" s="55" t="s">
        <v>4746</v>
      </c>
      <c r="H495" s="55" t="s">
        <v>22</v>
      </c>
      <c r="I495" s="55" t="s">
        <v>4753</v>
      </c>
    </row>
    <row r="496" customFormat="false" ht="15" hidden="false" customHeight="false" outlineLevel="0" collapsed="false">
      <c r="A496" s="55" t="s">
        <v>5303</v>
      </c>
      <c r="B496" s="55" t="s">
        <v>344</v>
      </c>
      <c r="C496" s="55" t="s">
        <v>343</v>
      </c>
      <c r="D496" s="55" t="s">
        <v>45</v>
      </c>
      <c r="E496" s="55" t="s">
        <v>4740</v>
      </c>
      <c r="F496" s="55" t="s">
        <v>4741</v>
      </c>
      <c r="G496" s="55" t="s">
        <v>4742</v>
      </c>
      <c r="H496" s="55" t="s">
        <v>22</v>
      </c>
      <c r="I496" s="55" t="s">
        <v>4743</v>
      </c>
    </row>
    <row r="497" customFormat="false" ht="15" hidden="false" customHeight="false" outlineLevel="0" collapsed="false">
      <c r="A497" s="55" t="s">
        <v>5304</v>
      </c>
      <c r="B497" s="55" t="s">
        <v>344</v>
      </c>
      <c r="C497" s="55" t="s">
        <v>343</v>
      </c>
      <c r="D497" s="55" t="s">
        <v>47</v>
      </c>
      <c r="E497" s="55" t="s">
        <v>4740</v>
      </c>
      <c r="F497" s="55" t="s">
        <v>4745</v>
      </c>
      <c r="G497" s="55" t="s">
        <v>4746</v>
      </c>
      <c r="H497" s="55" t="s">
        <v>22</v>
      </c>
      <c r="I497" s="55" t="s">
        <v>4753</v>
      </c>
    </row>
    <row r="498" customFormat="false" ht="15" hidden="false" customHeight="false" outlineLevel="0" collapsed="false">
      <c r="A498" s="55" t="s">
        <v>5305</v>
      </c>
      <c r="B498" s="55" t="s">
        <v>2090</v>
      </c>
      <c r="C498" s="55" t="s">
        <v>2089</v>
      </c>
      <c r="D498" s="55" t="s">
        <v>47</v>
      </c>
      <c r="E498" s="55" t="s">
        <v>4740</v>
      </c>
      <c r="F498" s="55" t="s">
        <v>4804</v>
      </c>
      <c r="G498" s="55" t="s">
        <v>4843</v>
      </c>
      <c r="H498" s="55" t="s">
        <v>22</v>
      </c>
      <c r="I498" s="55" t="s">
        <v>4844</v>
      </c>
    </row>
    <row r="499" customFormat="false" ht="15" hidden="false" customHeight="false" outlineLevel="0" collapsed="false">
      <c r="A499" s="55" t="s">
        <v>5306</v>
      </c>
      <c r="B499" s="55" t="s">
        <v>224</v>
      </c>
      <c r="C499" s="55" t="s">
        <v>223</v>
      </c>
      <c r="D499" s="55" t="s">
        <v>45</v>
      </c>
      <c r="E499" s="55" t="s">
        <v>4740</v>
      </c>
      <c r="F499" s="55" t="s">
        <v>4749</v>
      </c>
      <c r="G499" s="55" t="s">
        <v>4750</v>
      </c>
      <c r="H499" s="55" t="s">
        <v>22</v>
      </c>
      <c r="I499" s="55" t="s">
        <v>4751</v>
      </c>
    </row>
    <row r="500" customFormat="false" ht="15" hidden="false" customHeight="false" outlineLevel="0" collapsed="false">
      <c r="A500" s="55" t="s">
        <v>5307</v>
      </c>
      <c r="B500" s="55" t="s">
        <v>2682</v>
      </c>
      <c r="C500" s="55" t="s">
        <v>2681</v>
      </c>
      <c r="D500" s="55" t="s">
        <v>47</v>
      </c>
      <c r="E500" s="55" t="s">
        <v>4740</v>
      </c>
      <c r="F500" s="55" t="s">
        <v>4745</v>
      </c>
      <c r="G500" s="55" t="s">
        <v>4746</v>
      </c>
      <c r="H500" s="55" t="s">
        <v>22</v>
      </c>
      <c r="I500" s="55" t="s">
        <v>4753</v>
      </c>
    </row>
    <row r="501" customFormat="false" ht="15" hidden="false" customHeight="false" outlineLevel="0" collapsed="false">
      <c r="A501" s="55" t="s">
        <v>5308</v>
      </c>
      <c r="B501" s="55" t="s">
        <v>2078</v>
      </c>
      <c r="C501" s="55" t="s">
        <v>2077</v>
      </c>
      <c r="D501" s="55" t="s">
        <v>46</v>
      </c>
      <c r="E501" s="55" t="s">
        <v>4740</v>
      </c>
      <c r="F501" s="55" t="s">
        <v>4741</v>
      </c>
      <c r="G501" s="55" t="s">
        <v>4742</v>
      </c>
      <c r="H501" s="55" t="s">
        <v>22</v>
      </c>
      <c r="I501" s="55" t="s">
        <v>4743</v>
      </c>
    </row>
    <row r="502" customFormat="false" ht="15" hidden="false" customHeight="false" outlineLevel="0" collapsed="false">
      <c r="A502" s="55" t="s">
        <v>5309</v>
      </c>
      <c r="B502" s="55" t="s">
        <v>2078</v>
      </c>
      <c r="C502" s="55" t="s">
        <v>2077</v>
      </c>
      <c r="D502" s="55" t="s">
        <v>47</v>
      </c>
      <c r="E502" s="55" t="s">
        <v>4740</v>
      </c>
      <c r="F502" s="55" t="s">
        <v>4745</v>
      </c>
      <c r="G502" s="55" t="s">
        <v>4746</v>
      </c>
      <c r="H502" s="55" t="s">
        <v>22</v>
      </c>
      <c r="I502" s="55" t="s">
        <v>4753</v>
      </c>
    </row>
    <row r="503" customFormat="false" ht="15" hidden="false" customHeight="false" outlineLevel="0" collapsed="false">
      <c r="A503" s="55" t="s">
        <v>5310</v>
      </c>
      <c r="B503" s="55" t="s">
        <v>526</v>
      </c>
      <c r="C503" s="55" t="s">
        <v>525</v>
      </c>
      <c r="D503" s="55" t="s">
        <v>46</v>
      </c>
      <c r="E503" s="55" t="s">
        <v>4740</v>
      </c>
      <c r="F503" s="55" t="s">
        <v>4804</v>
      </c>
      <c r="G503" s="55" t="s">
        <v>4843</v>
      </c>
      <c r="H503" s="55" t="s">
        <v>22</v>
      </c>
      <c r="I503" s="55" t="s">
        <v>4844</v>
      </c>
    </row>
    <row r="504" customFormat="false" ht="15" hidden="false" customHeight="false" outlineLevel="0" collapsed="false">
      <c r="A504" s="55" t="s">
        <v>5311</v>
      </c>
      <c r="B504" s="55" t="s">
        <v>1226</v>
      </c>
      <c r="C504" s="55" t="s">
        <v>1225</v>
      </c>
      <c r="D504" s="55" t="s">
        <v>47</v>
      </c>
      <c r="E504" s="55" t="s">
        <v>4740</v>
      </c>
      <c r="F504" s="55" t="s">
        <v>4745</v>
      </c>
      <c r="G504" s="55" t="s">
        <v>4746</v>
      </c>
      <c r="H504" s="55" t="s">
        <v>22</v>
      </c>
      <c r="I504" s="55" t="s">
        <v>4753</v>
      </c>
    </row>
    <row r="505" customFormat="false" ht="15" hidden="false" customHeight="false" outlineLevel="0" collapsed="false">
      <c r="A505" s="55" t="s">
        <v>5312</v>
      </c>
      <c r="B505" s="55" t="s">
        <v>242</v>
      </c>
      <c r="C505" s="55" t="s">
        <v>241</v>
      </c>
      <c r="D505" s="55" t="s">
        <v>46</v>
      </c>
      <c r="E505" s="55" t="s">
        <v>4740</v>
      </c>
      <c r="F505" s="55" t="s">
        <v>4749</v>
      </c>
      <c r="G505" s="55" t="s">
        <v>4750</v>
      </c>
      <c r="H505" s="55" t="s">
        <v>22</v>
      </c>
      <c r="I505" s="55" t="s">
        <v>4751</v>
      </c>
    </row>
    <row r="506" customFormat="false" ht="15" hidden="false" customHeight="false" outlineLevel="0" collapsed="false">
      <c r="A506" s="55" t="s">
        <v>5313</v>
      </c>
      <c r="B506" s="55" t="s">
        <v>560</v>
      </c>
      <c r="C506" s="55" t="s">
        <v>559</v>
      </c>
      <c r="D506" s="55" t="s">
        <v>47</v>
      </c>
      <c r="E506" s="55" t="s">
        <v>4740</v>
      </c>
      <c r="F506" s="55" t="s">
        <v>4749</v>
      </c>
      <c r="G506" s="55" t="s">
        <v>4750</v>
      </c>
      <c r="H506" s="55" t="s">
        <v>22</v>
      </c>
      <c r="I506" s="55" t="s">
        <v>4751</v>
      </c>
    </row>
    <row r="507" customFormat="false" ht="15" hidden="false" customHeight="false" outlineLevel="0" collapsed="false">
      <c r="A507" s="55" t="s">
        <v>5314</v>
      </c>
      <c r="B507" s="55" t="s">
        <v>1884</v>
      </c>
      <c r="C507" s="55" t="s">
        <v>1883</v>
      </c>
      <c r="D507" s="55" t="s">
        <v>47</v>
      </c>
      <c r="E507" s="55" t="s">
        <v>4740</v>
      </c>
      <c r="F507" s="55" t="s">
        <v>4745</v>
      </c>
      <c r="G507" s="55" t="s">
        <v>4746</v>
      </c>
      <c r="H507" s="55" t="s">
        <v>22</v>
      </c>
      <c r="I507" s="55" t="s">
        <v>4753</v>
      </c>
    </row>
    <row r="508" customFormat="false" ht="15" hidden="false" customHeight="false" outlineLevel="0" collapsed="false">
      <c r="A508" s="55" t="s">
        <v>5315</v>
      </c>
      <c r="B508" s="55" t="s">
        <v>1705</v>
      </c>
      <c r="C508" s="55" t="s">
        <v>1704</v>
      </c>
      <c r="D508" s="55" t="s">
        <v>45</v>
      </c>
      <c r="E508" s="55" t="s">
        <v>4740</v>
      </c>
      <c r="F508" s="55" t="s">
        <v>4774</v>
      </c>
      <c r="G508" s="55" t="s">
        <v>4782</v>
      </c>
      <c r="H508" s="55" t="s">
        <v>19</v>
      </c>
      <c r="I508" s="55" t="s">
        <v>4783</v>
      </c>
    </row>
    <row r="509" customFormat="false" ht="15" hidden="false" customHeight="false" outlineLevel="0" collapsed="false">
      <c r="A509" s="55" t="s">
        <v>5316</v>
      </c>
      <c r="B509" s="55" t="s">
        <v>802</v>
      </c>
      <c r="C509" s="55" t="s">
        <v>801</v>
      </c>
      <c r="D509" s="55" t="s">
        <v>47</v>
      </c>
      <c r="E509" s="55" t="s">
        <v>4740</v>
      </c>
      <c r="F509" s="55" t="s">
        <v>4745</v>
      </c>
      <c r="G509" s="55" t="s">
        <v>4763</v>
      </c>
      <c r="H509" s="55" t="s">
        <v>110</v>
      </c>
      <c r="I509" s="55" t="s">
        <v>4764</v>
      </c>
    </row>
    <row r="510" customFormat="false" ht="15" hidden="false" customHeight="false" outlineLevel="0" collapsed="false">
      <c r="A510" s="55" t="s">
        <v>5317</v>
      </c>
      <c r="B510" s="55" t="s">
        <v>2489</v>
      </c>
      <c r="C510" s="55" t="s">
        <v>2488</v>
      </c>
      <c r="D510" s="55" t="s">
        <v>45</v>
      </c>
      <c r="E510" s="55" t="s">
        <v>4740</v>
      </c>
      <c r="F510" s="55" t="s">
        <v>4774</v>
      </c>
      <c r="G510" s="55" t="s">
        <v>4782</v>
      </c>
      <c r="H510" s="55" t="s">
        <v>19</v>
      </c>
      <c r="I510" s="55" t="s">
        <v>4808</v>
      </c>
    </row>
    <row r="511" customFormat="false" ht="15" hidden="false" customHeight="false" outlineLevel="0" collapsed="false">
      <c r="A511" s="55" t="s">
        <v>5318</v>
      </c>
      <c r="B511" s="55" t="s">
        <v>2489</v>
      </c>
      <c r="C511" s="55" t="s">
        <v>2488</v>
      </c>
      <c r="D511" s="55" t="s">
        <v>47</v>
      </c>
      <c r="E511" s="55" t="s">
        <v>4740</v>
      </c>
      <c r="F511" s="55" t="s">
        <v>4741</v>
      </c>
      <c r="G511" s="55" t="s">
        <v>4742</v>
      </c>
      <c r="H511" s="55" t="s">
        <v>22</v>
      </c>
      <c r="I511" s="55" t="s">
        <v>4743</v>
      </c>
    </row>
    <row r="512" customFormat="false" ht="15" hidden="false" customHeight="false" outlineLevel="0" collapsed="false">
      <c r="A512" s="55" t="s">
        <v>5319</v>
      </c>
      <c r="B512" s="55" t="s">
        <v>1120</v>
      </c>
      <c r="C512" s="55" t="s">
        <v>1119</v>
      </c>
      <c r="D512" s="55" t="s">
        <v>46</v>
      </c>
      <c r="E512" s="55" t="s">
        <v>4740</v>
      </c>
      <c r="F512" s="55" t="s">
        <v>4366</v>
      </c>
      <c r="G512" s="55" t="s">
        <v>4800</v>
      </c>
      <c r="H512" s="55" t="s">
        <v>19</v>
      </c>
      <c r="I512" s="55" t="s">
        <v>4801</v>
      </c>
    </row>
    <row r="513" customFormat="false" ht="15" hidden="false" customHeight="false" outlineLevel="0" collapsed="false">
      <c r="A513" s="55" t="s">
        <v>5320</v>
      </c>
      <c r="B513" s="55" t="s">
        <v>544</v>
      </c>
      <c r="C513" s="55" t="s">
        <v>543</v>
      </c>
      <c r="D513" s="55" t="s">
        <v>45</v>
      </c>
      <c r="E513" s="55" t="s">
        <v>4740</v>
      </c>
      <c r="F513" s="55" t="s">
        <v>4749</v>
      </c>
      <c r="G513" s="55" t="s">
        <v>4750</v>
      </c>
      <c r="H513" s="55" t="s">
        <v>22</v>
      </c>
      <c r="I513" s="55" t="s">
        <v>4751</v>
      </c>
    </row>
    <row r="514" customFormat="false" ht="15" hidden="false" customHeight="false" outlineLevel="0" collapsed="false">
      <c r="A514" s="55" t="s">
        <v>5321</v>
      </c>
      <c r="B514" s="55" t="s">
        <v>544</v>
      </c>
      <c r="C514" s="55" t="s">
        <v>543</v>
      </c>
      <c r="D514" s="55" t="s">
        <v>47</v>
      </c>
      <c r="E514" s="55" t="s">
        <v>4740</v>
      </c>
      <c r="F514" s="55" t="s">
        <v>4745</v>
      </c>
      <c r="G514" s="55" t="s">
        <v>4746</v>
      </c>
      <c r="H514" s="55" t="s">
        <v>22</v>
      </c>
      <c r="I514" s="55" t="s">
        <v>4753</v>
      </c>
    </row>
    <row r="515" customFormat="false" ht="15" hidden="false" customHeight="false" outlineLevel="0" collapsed="false">
      <c r="A515" s="55" t="s">
        <v>5322</v>
      </c>
      <c r="B515" s="55" t="s">
        <v>692</v>
      </c>
      <c r="C515" s="55" t="s">
        <v>691</v>
      </c>
      <c r="D515" s="55" t="s">
        <v>45</v>
      </c>
      <c r="E515" s="55" t="s">
        <v>4740</v>
      </c>
      <c r="F515" s="55" t="s">
        <v>4745</v>
      </c>
      <c r="G515" s="55" t="s">
        <v>4746</v>
      </c>
      <c r="H515" s="55" t="s">
        <v>22</v>
      </c>
      <c r="I515" s="55" t="s">
        <v>4753</v>
      </c>
    </row>
    <row r="516" customFormat="false" ht="15" hidden="false" customHeight="false" outlineLevel="0" collapsed="false">
      <c r="A516" s="55" t="s">
        <v>5323</v>
      </c>
      <c r="B516" s="55" t="s">
        <v>682</v>
      </c>
      <c r="C516" s="55" t="s">
        <v>681</v>
      </c>
      <c r="D516" s="55" t="s">
        <v>47</v>
      </c>
      <c r="E516" s="55" t="s">
        <v>4740</v>
      </c>
      <c r="F516" s="55" t="s">
        <v>4745</v>
      </c>
      <c r="G516" s="55" t="s">
        <v>4746</v>
      </c>
      <c r="H516" s="55" t="s">
        <v>22</v>
      </c>
      <c r="I516" s="55" t="s">
        <v>4753</v>
      </c>
    </row>
    <row r="517" customFormat="false" ht="15" hidden="false" customHeight="false" outlineLevel="0" collapsed="false">
      <c r="A517" s="55" t="s">
        <v>5324</v>
      </c>
      <c r="B517" s="55" t="s">
        <v>1846</v>
      </c>
      <c r="C517" s="55" t="s">
        <v>1845</v>
      </c>
      <c r="D517" s="55" t="s">
        <v>46</v>
      </c>
      <c r="E517" s="55" t="s">
        <v>4740</v>
      </c>
      <c r="F517" s="55" t="s">
        <v>4745</v>
      </c>
      <c r="G517" s="55" t="s">
        <v>4746</v>
      </c>
      <c r="H517" s="55" t="s">
        <v>22</v>
      </c>
      <c r="I517" s="55" t="s">
        <v>4747</v>
      </c>
    </row>
    <row r="518" customFormat="false" ht="15" hidden="false" customHeight="false" outlineLevel="0" collapsed="false">
      <c r="A518" s="55" t="s">
        <v>5325</v>
      </c>
      <c r="B518" s="55" t="s">
        <v>1846</v>
      </c>
      <c r="C518" s="55" t="s">
        <v>1845</v>
      </c>
      <c r="D518" s="55" t="s">
        <v>47</v>
      </c>
      <c r="E518" s="55" t="s">
        <v>4740</v>
      </c>
      <c r="F518" s="55" t="s">
        <v>4774</v>
      </c>
      <c r="G518" s="55" t="s">
        <v>4775</v>
      </c>
      <c r="H518" s="55" t="s">
        <v>22</v>
      </c>
      <c r="I518" s="55" t="s">
        <v>4747</v>
      </c>
    </row>
    <row r="519" customFormat="false" ht="15" hidden="false" customHeight="false" outlineLevel="0" collapsed="false">
      <c r="A519" s="55" t="s">
        <v>5326</v>
      </c>
      <c r="B519" s="55" t="s">
        <v>690</v>
      </c>
      <c r="C519" s="55" t="s">
        <v>689</v>
      </c>
      <c r="D519" s="55" t="s">
        <v>46</v>
      </c>
      <c r="E519" s="55" t="s">
        <v>4740</v>
      </c>
      <c r="F519" s="55" t="s">
        <v>4749</v>
      </c>
      <c r="G519" s="55" t="s">
        <v>4750</v>
      </c>
      <c r="H519" s="55" t="s">
        <v>22</v>
      </c>
      <c r="I519" s="55" t="s">
        <v>4751</v>
      </c>
    </row>
    <row r="520" customFormat="false" ht="15" hidden="false" customHeight="false" outlineLevel="0" collapsed="false">
      <c r="A520" s="55" t="s">
        <v>5327</v>
      </c>
      <c r="B520" s="55" t="s">
        <v>1684</v>
      </c>
      <c r="C520" s="55" t="s">
        <v>1683</v>
      </c>
      <c r="D520" s="55" t="s">
        <v>45</v>
      </c>
      <c r="E520" s="55" t="s">
        <v>4740</v>
      </c>
      <c r="F520" s="55" t="s">
        <v>4774</v>
      </c>
      <c r="G520" s="55" t="s">
        <v>4775</v>
      </c>
      <c r="H520" s="55" t="s">
        <v>22</v>
      </c>
      <c r="I520" s="55" t="s">
        <v>4753</v>
      </c>
    </row>
    <row r="521" customFormat="false" ht="15" hidden="false" customHeight="false" outlineLevel="0" collapsed="false">
      <c r="A521" s="55" t="s">
        <v>5328</v>
      </c>
      <c r="B521" s="55" t="s">
        <v>1684</v>
      </c>
      <c r="C521" s="55" t="s">
        <v>1683</v>
      </c>
      <c r="D521" s="55" t="s">
        <v>47</v>
      </c>
      <c r="E521" s="55" t="s">
        <v>4740</v>
      </c>
      <c r="F521" s="55" t="s">
        <v>4577</v>
      </c>
      <c r="G521" s="55" t="s">
        <v>4819</v>
      </c>
      <c r="H521" s="55" t="s">
        <v>22</v>
      </c>
      <c r="I521" s="55" t="s">
        <v>4820</v>
      </c>
    </row>
    <row r="522" customFormat="false" ht="15" hidden="false" customHeight="false" outlineLevel="0" collapsed="false">
      <c r="A522" s="55" t="s">
        <v>5329</v>
      </c>
      <c r="B522" s="55" t="s">
        <v>948</v>
      </c>
      <c r="C522" s="55" t="s">
        <v>947</v>
      </c>
      <c r="D522" s="55" t="s">
        <v>46</v>
      </c>
      <c r="E522" s="55" t="s">
        <v>4740</v>
      </c>
      <c r="F522" s="55" t="s">
        <v>4741</v>
      </c>
      <c r="G522" s="55" t="s">
        <v>4814</v>
      </c>
      <c r="H522" s="55" t="s">
        <v>19</v>
      </c>
      <c r="I522" s="55" t="s">
        <v>4815</v>
      </c>
    </row>
    <row r="523" customFormat="false" ht="15" hidden="false" customHeight="false" outlineLevel="0" collapsed="false">
      <c r="A523" s="55" t="s">
        <v>5330</v>
      </c>
      <c r="B523" s="55" t="s">
        <v>948</v>
      </c>
      <c r="C523" s="55" t="s">
        <v>947</v>
      </c>
      <c r="D523" s="55" t="s">
        <v>47</v>
      </c>
      <c r="E523" s="55" t="s">
        <v>4740</v>
      </c>
      <c r="F523" s="55" t="s">
        <v>4823</v>
      </c>
      <c r="G523" s="55" t="s">
        <v>4824</v>
      </c>
      <c r="H523" s="55" t="s">
        <v>22</v>
      </c>
      <c r="I523" s="55" t="s">
        <v>4825</v>
      </c>
    </row>
    <row r="524" customFormat="false" ht="15" hidden="false" customHeight="false" outlineLevel="0" collapsed="false">
      <c r="A524" s="55" t="s">
        <v>5331</v>
      </c>
      <c r="B524" s="55" t="s">
        <v>406</v>
      </c>
      <c r="C524" s="55" t="s">
        <v>405</v>
      </c>
      <c r="D524" s="55" t="s">
        <v>45</v>
      </c>
      <c r="E524" s="55" t="s">
        <v>4740</v>
      </c>
      <c r="F524" s="55" t="s">
        <v>4741</v>
      </c>
      <c r="G524" s="55" t="s">
        <v>4742</v>
      </c>
      <c r="H524" s="55" t="s">
        <v>22</v>
      </c>
      <c r="I524" s="55" t="s">
        <v>4743</v>
      </c>
    </row>
    <row r="525" customFormat="false" ht="15" hidden="false" customHeight="false" outlineLevel="0" collapsed="false">
      <c r="A525" s="55" t="s">
        <v>5332</v>
      </c>
      <c r="B525" s="55" t="s">
        <v>406</v>
      </c>
      <c r="C525" s="55" t="s">
        <v>405</v>
      </c>
      <c r="D525" s="55" t="s">
        <v>47</v>
      </c>
      <c r="E525" s="55" t="s">
        <v>4740</v>
      </c>
      <c r="F525" s="55" t="s">
        <v>4745</v>
      </c>
      <c r="G525" s="55" t="s">
        <v>4746</v>
      </c>
      <c r="H525" s="55" t="s">
        <v>22</v>
      </c>
      <c r="I525" s="55" t="s">
        <v>4753</v>
      </c>
    </row>
    <row r="526" customFormat="false" ht="15" hidden="false" customHeight="false" outlineLevel="0" collapsed="false">
      <c r="A526" s="55" t="s">
        <v>5333</v>
      </c>
      <c r="B526" s="55" t="s">
        <v>288</v>
      </c>
      <c r="C526" s="55" t="s">
        <v>287</v>
      </c>
      <c r="D526" s="55" t="s">
        <v>45</v>
      </c>
      <c r="E526" s="55" t="s">
        <v>4740</v>
      </c>
      <c r="F526" s="55" t="s">
        <v>4741</v>
      </c>
      <c r="G526" s="55" t="s">
        <v>4814</v>
      </c>
      <c r="H526" s="55" t="s">
        <v>19</v>
      </c>
      <c r="I526" s="55" t="s">
        <v>4815</v>
      </c>
    </row>
    <row r="527" customFormat="false" ht="15" hidden="false" customHeight="false" outlineLevel="0" collapsed="false">
      <c r="A527" s="55" t="s">
        <v>5334</v>
      </c>
      <c r="B527" s="55" t="s">
        <v>288</v>
      </c>
      <c r="C527" s="55" t="s">
        <v>287</v>
      </c>
      <c r="D527" s="55" t="s">
        <v>47</v>
      </c>
      <c r="E527" s="55" t="s">
        <v>4740</v>
      </c>
      <c r="F527" s="55" t="s">
        <v>4745</v>
      </c>
      <c r="G527" s="55" t="s">
        <v>4746</v>
      </c>
      <c r="H527" s="55" t="s">
        <v>22</v>
      </c>
      <c r="I527" s="55" t="s">
        <v>4747</v>
      </c>
    </row>
    <row r="528" customFormat="false" ht="15" hidden="false" customHeight="false" outlineLevel="0" collapsed="false">
      <c r="A528" s="55" t="s">
        <v>5335</v>
      </c>
      <c r="B528" s="55" t="s">
        <v>1367</v>
      </c>
      <c r="C528" s="55" t="s">
        <v>1366</v>
      </c>
      <c r="D528" s="55" t="s">
        <v>47</v>
      </c>
      <c r="E528" s="55" t="s">
        <v>4740</v>
      </c>
      <c r="F528" s="55" t="s">
        <v>4745</v>
      </c>
      <c r="G528" s="55" t="s">
        <v>4746</v>
      </c>
      <c r="H528" s="55" t="s">
        <v>22</v>
      </c>
      <c r="I528" s="55" t="s">
        <v>4753</v>
      </c>
    </row>
    <row r="529" customFormat="false" ht="15" hidden="false" customHeight="false" outlineLevel="0" collapsed="false">
      <c r="A529" s="55" t="s">
        <v>5336</v>
      </c>
      <c r="B529" s="55" t="s">
        <v>3198</v>
      </c>
      <c r="C529" s="55" t="s">
        <v>3930</v>
      </c>
      <c r="D529" s="55" t="s">
        <v>47</v>
      </c>
      <c r="E529" s="55" t="s">
        <v>4740</v>
      </c>
      <c r="F529" s="55" t="s">
        <v>4774</v>
      </c>
      <c r="G529" s="55" t="s">
        <v>4775</v>
      </c>
      <c r="H529" s="55" t="s">
        <v>22</v>
      </c>
      <c r="I529" s="55" t="s">
        <v>4753</v>
      </c>
    </row>
    <row r="530" customFormat="false" ht="15" hidden="false" customHeight="false" outlineLevel="0" collapsed="false">
      <c r="A530" s="55" t="s">
        <v>5337</v>
      </c>
      <c r="B530" s="55" t="s">
        <v>276</v>
      </c>
      <c r="C530" s="55" t="s">
        <v>275</v>
      </c>
      <c r="D530" s="55" t="s">
        <v>45</v>
      </c>
      <c r="E530" s="55" t="s">
        <v>4740</v>
      </c>
      <c r="F530" s="55" t="s">
        <v>4745</v>
      </c>
      <c r="G530" s="55" t="s">
        <v>4746</v>
      </c>
      <c r="H530" s="55" t="s">
        <v>22</v>
      </c>
      <c r="I530" s="55" t="s">
        <v>4747</v>
      </c>
    </row>
    <row r="531" customFormat="false" ht="15" hidden="false" customHeight="false" outlineLevel="0" collapsed="false">
      <c r="A531" s="55" t="s">
        <v>5338</v>
      </c>
      <c r="B531" s="55" t="s">
        <v>276</v>
      </c>
      <c r="C531" s="55" t="s">
        <v>275</v>
      </c>
      <c r="D531" s="55" t="s">
        <v>47</v>
      </c>
      <c r="E531" s="55" t="s">
        <v>4740</v>
      </c>
      <c r="F531" s="55" t="s">
        <v>4745</v>
      </c>
      <c r="G531" s="55" t="s">
        <v>4746</v>
      </c>
      <c r="H531" s="55" t="s">
        <v>22</v>
      </c>
      <c r="I531" s="55" t="s">
        <v>4753</v>
      </c>
    </row>
    <row r="532" customFormat="false" ht="15" hidden="false" customHeight="false" outlineLevel="0" collapsed="false">
      <c r="A532" s="55" t="s">
        <v>5339</v>
      </c>
      <c r="B532" s="55" t="s">
        <v>1890</v>
      </c>
      <c r="C532" s="55" t="s">
        <v>1889</v>
      </c>
      <c r="D532" s="55" t="s">
        <v>46</v>
      </c>
      <c r="E532" s="55" t="s">
        <v>4740</v>
      </c>
      <c r="F532" s="55" t="s">
        <v>4756</v>
      </c>
      <c r="G532" s="55" t="s">
        <v>4757</v>
      </c>
      <c r="H532" s="55" t="s">
        <v>22</v>
      </c>
      <c r="I532" s="55" t="s">
        <v>4758</v>
      </c>
    </row>
    <row r="533" customFormat="false" ht="15" hidden="false" customHeight="false" outlineLevel="0" collapsed="false">
      <c r="A533" s="55" t="s">
        <v>5340</v>
      </c>
      <c r="B533" s="55" t="s">
        <v>356</v>
      </c>
      <c r="C533" s="55" t="s">
        <v>355</v>
      </c>
      <c r="D533" s="55" t="s">
        <v>45</v>
      </c>
      <c r="E533" s="55" t="s">
        <v>4740</v>
      </c>
      <c r="F533" s="55" t="s">
        <v>4745</v>
      </c>
      <c r="G533" s="55" t="s">
        <v>4746</v>
      </c>
      <c r="H533" s="55" t="s">
        <v>22</v>
      </c>
      <c r="I533" s="55" t="s">
        <v>4753</v>
      </c>
    </row>
    <row r="534" customFormat="false" ht="15" hidden="false" customHeight="false" outlineLevel="0" collapsed="false">
      <c r="A534" s="55" t="s">
        <v>5341</v>
      </c>
      <c r="B534" s="55" t="s">
        <v>356</v>
      </c>
      <c r="C534" s="55" t="s">
        <v>355</v>
      </c>
      <c r="D534" s="55" t="s">
        <v>47</v>
      </c>
      <c r="E534" s="55" t="s">
        <v>4740</v>
      </c>
      <c r="F534" s="55" t="s">
        <v>4745</v>
      </c>
      <c r="G534" s="55" t="s">
        <v>4746</v>
      </c>
      <c r="H534" s="55" t="s">
        <v>22</v>
      </c>
      <c r="I534" s="55" t="s">
        <v>4753</v>
      </c>
    </row>
    <row r="535" customFormat="false" ht="15" hidden="false" customHeight="false" outlineLevel="0" collapsed="false">
      <c r="A535" s="55" t="s">
        <v>5342</v>
      </c>
      <c r="B535" s="55" t="s">
        <v>3201</v>
      </c>
      <c r="C535" s="55" t="s">
        <v>3936</v>
      </c>
      <c r="D535" s="55" t="s">
        <v>45</v>
      </c>
      <c r="E535" s="55" t="s">
        <v>4740</v>
      </c>
      <c r="F535" s="55" t="s">
        <v>4774</v>
      </c>
      <c r="G535" s="55" t="s">
        <v>4775</v>
      </c>
      <c r="H535" s="55" t="s">
        <v>22</v>
      </c>
      <c r="I535" s="55" t="s">
        <v>4747</v>
      </c>
    </row>
    <row r="536" customFormat="false" ht="15" hidden="false" customHeight="false" outlineLevel="0" collapsed="false">
      <c r="A536" s="55" t="s">
        <v>5343</v>
      </c>
      <c r="B536" s="55" t="s">
        <v>512</v>
      </c>
      <c r="C536" s="55" t="s">
        <v>511</v>
      </c>
      <c r="D536" s="55" t="s">
        <v>45</v>
      </c>
      <c r="E536" s="55" t="s">
        <v>4740</v>
      </c>
      <c r="F536" s="55" t="s">
        <v>4745</v>
      </c>
      <c r="G536" s="55" t="s">
        <v>4746</v>
      </c>
      <c r="H536" s="55" t="s">
        <v>22</v>
      </c>
      <c r="I536" s="55" t="s">
        <v>4747</v>
      </c>
    </row>
    <row r="537" customFormat="false" ht="15" hidden="false" customHeight="false" outlineLevel="0" collapsed="false">
      <c r="A537" s="55" t="s">
        <v>5344</v>
      </c>
      <c r="B537" s="55" t="s">
        <v>2779</v>
      </c>
      <c r="C537" s="55" t="s">
        <v>2778</v>
      </c>
      <c r="D537" s="55" t="s">
        <v>47</v>
      </c>
      <c r="E537" s="55" t="s">
        <v>4740</v>
      </c>
      <c r="F537" s="55" t="s">
        <v>4745</v>
      </c>
      <c r="G537" s="55" t="s">
        <v>4746</v>
      </c>
      <c r="H537" s="55" t="s">
        <v>22</v>
      </c>
      <c r="I537" s="55" t="s">
        <v>4753</v>
      </c>
    </row>
    <row r="538" customFormat="false" ht="15" hidden="false" customHeight="false" outlineLevel="0" collapsed="false">
      <c r="A538" s="55" t="s">
        <v>5345</v>
      </c>
      <c r="B538" s="55" t="s">
        <v>606</v>
      </c>
      <c r="C538" s="55" t="s">
        <v>605</v>
      </c>
      <c r="D538" s="55" t="s">
        <v>46</v>
      </c>
      <c r="E538" s="55" t="s">
        <v>4740</v>
      </c>
      <c r="F538" s="55" t="s">
        <v>4366</v>
      </c>
      <c r="G538" s="55" t="s">
        <v>4779</v>
      </c>
      <c r="H538" s="55" t="s">
        <v>22</v>
      </c>
      <c r="I538" s="55" t="s">
        <v>4780</v>
      </c>
    </row>
    <row r="539" customFormat="false" ht="15" hidden="false" customHeight="false" outlineLevel="0" collapsed="false">
      <c r="A539" s="55" t="s">
        <v>5346</v>
      </c>
      <c r="B539" s="55" t="s">
        <v>284</v>
      </c>
      <c r="C539" s="55" t="s">
        <v>283</v>
      </c>
      <c r="D539" s="55" t="s">
        <v>45</v>
      </c>
      <c r="E539" s="55" t="s">
        <v>4740</v>
      </c>
      <c r="F539" s="55" t="s">
        <v>4749</v>
      </c>
      <c r="G539" s="55" t="s">
        <v>4750</v>
      </c>
      <c r="H539" s="55" t="s">
        <v>22</v>
      </c>
      <c r="I539" s="55" t="s">
        <v>4751</v>
      </c>
    </row>
    <row r="540" customFormat="false" ht="15" hidden="false" customHeight="false" outlineLevel="0" collapsed="false">
      <c r="A540" s="55" t="s">
        <v>5347</v>
      </c>
      <c r="B540" s="55" t="s">
        <v>284</v>
      </c>
      <c r="C540" s="55" t="s">
        <v>283</v>
      </c>
      <c r="D540" s="55" t="s">
        <v>46</v>
      </c>
      <c r="E540" s="55" t="s">
        <v>4740</v>
      </c>
      <c r="F540" s="55" t="s">
        <v>4745</v>
      </c>
      <c r="G540" s="55" t="s">
        <v>4746</v>
      </c>
      <c r="H540" s="55" t="s">
        <v>22</v>
      </c>
      <c r="I540" s="55" t="s">
        <v>4747</v>
      </c>
    </row>
    <row r="541" customFormat="false" ht="15" hidden="false" customHeight="false" outlineLevel="0" collapsed="false">
      <c r="A541" s="55" t="s">
        <v>5348</v>
      </c>
      <c r="B541" s="55" t="s">
        <v>1131</v>
      </c>
      <c r="C541" s="55" t="s">
        <v>1130</v>
      </c>
      <c r="D541" s="55" t="s">
        <v>47</v>
      </c>
      <c r="E541" s="55" t="s">
        <v>4740</v>
      </c>
      <c r="F541" s="55" t="s">
        <v>4804</v>
      </c>
      <c r="G541" s="55" t="s">
        <v>4843</v>
      </c>
      <c r="H541" s="55" t="s">
        <v>22</v>
      </c>
      <c r="I541" s="55" t="s">
        <v>4844</v>
      </c>
    </row>
    <row r="542" customFormat="false" ht="15" hidden="false" customHeight="false" outlineLevel="0" collapsed="false">
      <c r="A542" s="55" t="s">
        <v>5349</v>
      </c>
      <c r="B542" s="55" t="s">
        <v>1233</v>
      </c>
      <c r="C542" s="55" t="s">
        <v>1232</v>
      </c>
      <c r="D542" s="55" t="s">
        <v>45</v>
      </c>
      <c r="E542" s="55" t="s">
        <v>4740</v>
      </c>
      <c r="F542" s="55" t="s">
        <v>4745</v>
      </c>
      <c r="G542" s="55" t="s">
        <v>4746</v>
      </c>
      <c r="H542" s="55" t="s">
        <v>22</v>
      </c>
      <c r="I542" s="55" t="s">
        <v>4753</v>
      </c>
    </row>
    <row r="543" customFormat="false" ht="15" hidden="false" customHeight="false" outlineLevel="0" collapsed="false">
      <c r="A543" s="55" t="s">
        <v>5350</v>
      </c>
      <c r="B543" s="55" t="s">
        <v>1233</v>
      </c>
      <c r="C543" s="55" t="s">
        <v>1232</v>
      </c>
      <c r="D543" s="55" t="s">
        <v>47</v>
      </c>
      <c r="E543" s="55" t="s">
        <v>4740</v>
      </c>
      <c r="F543" s="55" t="s">
        <v>4745</v>
      </c>
      <c r="G543" s="55" t="s">
        <v>4746</v>
      </c>
      <c r="H543" s="55" t="s">
        <v>22</v>
      </c>
      <c r="I543" s="55" t="s">
        <v>4753</v>
      </c>
    </row>
    <row r="544" customFormat="false" ht="15" hidden="false" customHeight="false" outlineLevel="0" collapsed="false">
      <c r="A544" s="55" t="s">
        <v>5351</v>
      </c>
      <c r="B544" s="55" t="s">
        <v>722</v>
      </c>
      <c r="C544" s="55" t="s">
        <v>721</v>
      </c>
      <c r="D544" s="55" t="s">
        <v>46</v>
      </c>
      <c r="E544" s="55" t="s">
        <v>4740</v>
      </c>
      <c r="F544" s="55" t="s">
        <v>4749</v>
      </c>
      <c r="G544" s="55" t="s">
        <v>4750</v>
      </c>
      <c r="H544" s="55" t="s">
        <v>22</v>
      </c>
      <c r="I544" s="55" t="s">
        <v>4751</v>
      </c>
    </row>
    <row r="545" customFormat="false" ht="15" hidden="false" customHeight="false" outlineLevel="0" collapsed="false">
      <c r="A545" s="55" t="s">
        <v>5352</v>
      </c>
      <c r="B545" s="55" t="s">
        <v>592</v>
      </c>
      <c r="C545" s="55" t="s">
        <v>591</v>
      </c>
      <c r="D545" s="55" t="s">
        <v>45</v>
      </c>
      <c r="E545" s="55" t="s">
        <v>4740</v>
      </c>
      <c r="F545" s="55" t="s">
        <v>4741</v>
      </c>
      <c r="G545" s="55" t="s">
        <v>4742</v>
      </c>
      <c r="H545" s="55" t="s">
        <v>22</v>
      </c>
      <c r="I545" s="55" t="s">
        <v>4743</v>
      </c>
    </row>
    <row r="546" customFormat="false" ht="15" hidden="false" customHeight="false" outlineLevel="0" collapsed="false">
      <c r="A546" s="55" t="s">
        <v>5353</v>
      </c>
      <c r="B546" s="55" t="s">
        <v>592</v>
      </c>
      <c r="C546" s="55" t="s">
        <v>591</v>
      </c>
      <c r="D546" s="55" t="s">
        <v>47</v>
      </c>
      <c r="E546" s="55" t="s">
        <v>4740</v>
      </c>
      <c r="F546" s="55" t="s">
        <v>4745</v>
      </c>
      <c r="G546" s="55" t="s">
        <v>4746</v>
      </c>
      <c r="H546" s="55" t="s">
        <v>22</v>
      </c>
      <c r="I546" s="55" t="s">
        <v>4753</v>
      </c>
    </row>
    <row r="547" customFormat="false" ht="15" hidden="false" customHeight="false" outlineLevel="0" collapsed="false">
      <c r="A547" s="55" t="s">
        <v>5354</v>
      </c>
      <c r="B547" s="55" t="s">
        <v>542</v>
      </c>
      <c r="C547" s="55" t="s">
        <v>541</v>
      </c>
      <c r="D547" s="55" t="s">
        <v>45</v>
      </c>
      <c r="E547" s="55" t="s">
        <v>4740</v>
      </c>
      <c r="F547" s="55" t="s">
        <v>4804</v>
      </c>
      <c r="G547" s="55" t="s">
        <v>4843</v>
      </c>
      <c r="H547" s="55" t="s">
        <v>22</v>
      </c>
      <c r="I547" s="55" t="s">
        <v>4844</v>
      </c>
    </row>
    <row r="548" customFormat="false" ht="15" hidden="false" customHeight="false" outlineLevel="0" collapsed="false">
      <c r="A548" s="55" t="s">
        <v>5355</v>
      </c>
      <c r="B548" s="55" t="s">
        <v>542</v>
      </c>
      <c r="C548" s="55" t="s">
        <v>541</v>
      </c>
      <c r="D548" s="55" t="s">
        <v>47</v>
      </c>
      <c r="E548" s="55" t="s">
        <v>4740</v>
      </c>
      <c r="F548" s="55" t="s">
        <v>4745</v>
      </c>
      <c r="G548" s="55" t="s">
        <v>4746</v>
      </c>
      <c r="H548" s="55" t="s">
        <v>22</v>
      </c>
      <c r="I548" s="55" t="s">
        <v>4753</v>
      </c>
    </row>
    <row r="549" customFormat="false" ht="15" hidden="false" customHeight="false" outlineLevel="0" collapsed="false">
      <c r="A549" s="55" t="s">
        <v>5356</v>
      </c>
      <c r="B549" s="55" t="s">
        <v>550</v>
      </c>
      <c r="C549" s="55" t="s">
        <v>549</v>
      </c>
      <c r="D549" s="55" t="s">
        <v>47</v>
      </c>
      <c r="E549" s="55" t="s">
        <v>4740</v>
      </c>
      <c r="F549" s="55" t="s">
        <v>4745</v>
      </c>
      <c r="G549" s="55" t="s">
        <v>4746</v>
      </c>
      <c r="H549" s="55" t="s">
        <v>22</v>
      </c>
      <c r="I549" s="55" t="s">
        <v>4753</v>
      </c>
    </row>
    <row r="550" customFormat="false" ht="15" hidden="false" customHeight="false" outlineLevel="0" collapsed="false">
      <c r="A550" s="55" t="s">
        <v>5357</v>
      </c>
      <c r="B550" s="55" t="s">
        <v>348</v>
      </c>
      <c r="C550" s="55" t="s">
        <v>347</v>
      </c>
      <c r="D550" s="55" t="s">
        <v>47</v>
      </c>
      <c r="E550" s="55" t="s">
        <v>4740</v>
      </c>
      <c r="F550" s="55" t="s">
        <v>4741</v>
      </c>
      <c r="G550" s="55" t="s">
        <v>4742</v>
      </c>
      <c r="H550" s="55" t="s">
        <v>22</v>
      </c>
      <c r="I550" s="55" t="s">
        <v>4743</v>
      </c>
    </row>
    <row r="551" customFormat="false" ht="15" hidden="false" customHeight="false" outlineLevel="0" collapsed="false">
      <c r="A551" s="55" t="s">
        <v>5358</v>
      </c>
      <c r="B551" s="55" t="s">
        <v>1911</v>
      </c>
      <c r="C551" s="55" t="s">
        <v>1910</v>
      </c>
      <c r="D551" s="55" t="s">
        <v>45</v>
      </c>
      <c r="E551" s="55" t="s">
        <v>4740</v>
      </c>
      <c r="F551" s="55" t="s">
        <v>4741</v>
      </c>
      <c r="G551" s="55" t="s">
        <v>4742</v>
      </c>
      <c r="H551" s="55" t="s">
        <v>22</v>
      </c>
      <c r="I551" s="55" t="s">
        <v>4743</v>
      </c>
    </row>
    <row r="552" customFormat="false" ht="15" hidden="false" customHeight="false" outlineLevel="0" collapsed="false">
      <c r="A552" s="55" t="s">
        <v>5359</v>
      </c>
      <c r="B552" s="55" t="s">
        <v>528</v>
      </c>
      <c r="C552" s="55" t="s">
        <v>527</v>
      </c>
      <c r="D552" s="55" t="s">
        <v>46</v>
      </c>
      <c r="E552" s="55" t="s">
        <v>4740</v>
      </c>
      <c r="F552" s="55" t="s">
        <v>4745</v>
      </c>
      <c r="G552" s="55" t="s">
        <v>4746</v>
      </c>
      <c r="H552" s="55" t="s">
        <v>22</v>
      </c>
      <c r="I552" s="55" t="s">
        <v>4747</v>
      </c>
    </row>
    <row r="553" customFormat="false" ht="15" hidden="false" customHeight="false" outlineLevel="0" collapsed="false">
      <c r="A553" s="55" t="s">
        <v>5360</v>
      </c>
      <c r="B553" s="55" t="s">
        <v>528</v>
      </c>
      <c r="C553" s="55" t="s">
        <v>527</v>
      </c>
      <c r="D553" s="55" t="s">
        <v>47</v>
      </c>
      <c r="E553" s="55" t="s">
        <v>4740</v>
      </c>
      <c r="F553" s="55" t="s">
        <v>4745</v>
      </c>
      <c r="G553" s="55" t="s">
        <v>4746</v>
      </c>
      <c r="H553" s="55" t="s">
        <v>22</v>
      </c>
      <c r="I553" s="55" t="s">
        <v>4753</v>
      </c>
    </row>
    <row r="554" customFormat="false" ht="15" hidden="false" customHeight="false" outlineLevel="0" collapsed="false">
      <c r="A554" s="55" t="s">
        <v>5361</v>
      </c>
      <c r="B554" s="55" t="s">
        <v>1279</v>
      </c>
      <c r="C554" s="55" t="s">
        <v>1278</v>
      </c>
      <c r="D554" s="55" t="s">
        <v>45</v>
      </c>
      <c r="E554" s="55" t="s">
        <v>4740</v>
      </c>
      <c r="F554" s="55" t="s">
        <v>4741</v>
      </c>
      <c r="G554" s="55" t="s">
        <v>4742</v>
      </c>
      <c r="H554" s="55" t="s">
        <v>22</v>
      </c>
      <c r="I554" s="55" t="s">
        <v>4743</v>
      </c>
    </row>
    <row r="555" customFormat="false" ht="15" hidden="false" customHeight="false" outlineLevel="0" collapsed="false">
      <c r="A555" s="55" t="s">
        <v>5362</v>
      </c>
      <c r="B555" s="55" t="s">
        <v>1279</v>
      </c>
      <c r="C555" s="55" t="s">
        <v>1278</v>
      </c>
      <c r="D555" s="55" t="s">
        <v>47</v>
      </c>
      <c r="E555" s="55" t="s">
        <v>4740</v>
      </c>
      <c r="F555" s="55" t="s">
        <v>4745</v>
      </c>
      <c r="G555" s="55" t="s">
        <v>4746</v>
      </c>
      <c r="H555" s="55" t="s">
        <v>22</v>
      </c>
      <c r="I555" s="55" t="s">
        <v>4753</v>
      </c>
    </row>
    <row r="556" customFormat="false" ht="15" hidden="false" customHeight="false" outlineLevel="0" collapsed="false">
      <c r="A556" s="55" t="s">
        <v>5363</v>
      </c>
      <c r="B556" s="55" t="s">
        <v>1087</v>
      </c>
      <c r="C556" s="55" t="s">
        <v>1086</v>
      </c>
      <c r="D556" s="55" t="s">
        <v>47</v>
      </c>
      <c r="E556" s="55" t="s">
        <v>4740</v>
      </c>
      <c r="F556" s="55" t="s">
        <v>4766</v>
      </c>
      <c r="G556" s="55" t="s">
        <v>4767</v>
      </c>
      <c r="H556" s="55" t="s">
        <v>22</v>
      </c>
      <c r="I556" s="55" t="s">
        <v>4753</v>
      </c>
    </row>
    <row r="557" customFormat="false" ht="15" hidden="false" customHeight="false" outlineLevel="0" collapsed="false">
      <c r="A557" s="55" t="s">
        <v>5364</v>
      </c>
      <c r="B557" s="55" t="s">
        <v>1553</v>
      </c>
      <c r="C557" s="55" t="s">
        <v>1552</v>
      </c>
      <c r="D557" s="55" t="s">
        <v>47</v>
      </c>
      <c r="E557" s="55" t="s">
        <v>4740</v>
      </c>
      <c r="F557" s="55" t="s">
        <v>4741</v>
      </c>
      <c r="G557" s="55" t="s">
        <v>4742</v>
      </c>
      <c r="H557" s="55" t="s">
        <v>22</v>
      </c>
      <c r="I557" s="55" t="s">
        <v>4743</v>
      </c>
    </row>
    <row r="558" customFormat="false" ht="15" hidden="false" customHeight="false" outlineLevel="0" collapsed="false">
      <c r="A558" s="55" t="s">
        <v>5365</v>
      </c>
      <c r="B558" s="55" t="s">
        <v>1561</v>
      </c>
      <c r="C558" s="55" t="s">
        <v>1560</v>
      </c>
      <c r="D558" s="55" t="s">
        <v>45</v>
      </c>
      <c r="E558" s="55" t="s">
        <v>4740</v>
      </c>
      <c r="F558" s="55" t="s">
        <v>4804</v>
      </c>
      <c r="G558" s="55" t="s">
        <v>4843</v>
      </c>
      <c r="H558" s="55" t="s">
        <v>22</v>
      </c>
      <c r="I558" s="55" t="s">
        <v>4844</v>
      </c>
    </row>
    <row r="559" customFormat="false" ht="15" hidden="false" customHeight="false" outlineLevel="0" collapsed="false">
      <c r="A559" s="55" t="s">
        <v>5366</v>
      </c>
      <c r="B559" s="55" t="s">
        <v>1561</v>
      </c>
      <c r="C559" s="55" t="s">
        <v>1560</v>
      </c>
      <c r="D559" s="55" t="s">
        <v>47</v>
      </c>
      <c r="E559" s="55" t="s">
        <v>4740</v>
      </c>
      <c r="F559" s="55" t="s">
        <v>4749</v>
      </c>
      <c r="G559" s="55" t="s">
        <v>4750</v>
      </c>
      <c r="H559" s="55" t="s">
        <v>22</v>
      </c>
      <c r="I559" s="55" t="s">
        <v>4751</v>
      </c>
    </row>
    <row r="560" customFormat="false" ht="15" hidden="false" customHeight="false" outlineLevel="0" collapsed="false">
      <c r="A560" s="55" t="s">
        <v>5367</v>
      </c>
      <c r="B560" s="55" t="s">
        <v>879</v>
      </c>
      <c r="C560" s="55" t="s">
        <v>878</v>
      </c>
      <c r="D560" s="55" t="s">
        <v>45</v>
      </c>
      <c r="E560" s="55" t="s">
        <v>4740</v>
      </c>
      <c r="F560" s="55" t="s">
        <v>4745</v>
      </c>
      <c r="G560" s="55" t="s">
        <v>4746</v>
      </c>
      <c r="H560" s="55" t="s">
        <v>22</v>
      </c>
      <c r="I560" s="55" t="s">
        <v>4753</v>
      </c>
    </row>
    <row r="561" customFormat="false" ht="15" hidden="false" customHeight="false" outlineLevel="0" collapsed="false">
      <c r="A561" s="55" t="s">
        <v>5368</v>
      </c>
      <c r="B561" s="55" t="s">
        <v>879</v>
      </c>
      <c r="C561" s="55" t="s">
        <v>878</v>
      </c>
      <c r="D561" s="55" t="s">
        <v>47</v>
      </c>
      <c r="E561" s="55" t="s">
        <v>4740</v>
      </c>
      <c r="F561" s="55" t="s">
        <v>4766</v>
      </c>
      <c r="G561" s="55" t="s">
        <v>4767</v>
      </c>
      <c r="H561" s="55" t="s">
        <v>22</v>
      </c>
      <c r="I561" s="55" t="s">
        <v>4747</v>
      </c>
    </row>
    <row r="562" customFormat="false" ht="15" hidden="false" customHeight="false" outlineLevel="0" collapsed="false">
      <c r="A562" s="55" t="s">
        <v>5369</v>
      </c>
      <c r="B562" s="55" t="s">
        <v>748</v>
      </c>
      <c r="C562" s="55" t="s">
        <v>747</v>
      </c>
      <c r="D562" s="55" t="s">
        <v>47</v>
      </c>
      <c r="E562" s="55" t="s">
        <v>4740</v>
      </c>
      <c r="F562" s="55" t="s">
        <v>4745</v>
      </c>
      <c r="G562" s="55" t="s">
        <v>4746</v>
      </c>
      <c r="H562" s="55" t="s">
        <v>22</v>
      </c>
      <c r="I562" s="55" t="s">
        <v>4753</v>
      </c>
    </row>
    <row r="563" customFormat="false" ht="15" hidden="false" customHeight="false" outlineLevel="0" collapsed="false">
      <c r="A563" s="55" t="s">
        <v>5370</v>
      </c>
      <c r="B563" s="55" t="s">
        <v>1659</v>
      </c>
      <c r="C563" s="55" t="s">
        <v>1658</v>
      </c>
      <c r="D563" s="55" t="s">
        <v>46</v>
      </c>
      <c r="E563" s="55" t="s">
        <v>4740</v>
      </c>
      <c r="F563" s="55" t="s">
        <v>4366</v>
      </c>
      <c r="G563" s="55" t="s">
        <v>4779</v>
      </c>
      <c r="H563" s="55" t="s">
        <v>22</v>
      </c>
      <c r="I563" s="55" t="s">
        <v>4780</v>
      </c>
    </row>
    <row r="564" customFormat="false" ht="15" hidden="false" customHeight="false" outlineLevel="0" collapsed="false">
      <c r="A564" s="55" t="s">
        <v>5371</v>
      </c>
      <c r="B564" s="55" t="s">
        <v>1659</v>
      </c>
      <c r="C564" s="55" t="s">
        <v>1658</v>
      </c>
      <c r="D564" s="55" t="s">
        <v>47</v>
      </c>
      <c r="E564" s="55" t="s">
        <v>4740</v>
      </c>
      <c r="F564" s="55" t="s">
        <v>4774</v>
      </c>
      <c r="G564" s="55" t="s">
        <v>4782</v>
      </c>
      <c r="H564" s="55" t="s">
        <v>19</v>
      </c>
      <c r="I564" s="55" t="s">
        <v>4808</v>
      </c>
    </row>
    <row r="565" customFormat="false" ht="15" hidden="false" customHeight="false" outlineLevel="0" collapsed="false">
      <c r="A565" s="55" t="s">
        <v>5372</v>
      </c>
      <c r="B565" s="55" t="s">
        <v>742</v>
      </c>
      <c r="C565" s="55" t="s">
        <v>741</v>
      </c>
      <c r="D565" s="55" t="s">
        <v>47</v>
      </c>
      <c r="E565" s="55" t="s">
        <v>4740</v>
      </c>
      <c r="F565" s="55" t="s">
        <v>4741</v>
      </c>
      <c r="G565" s="55" t="s">
        <v>4742</v>
      </c>
      <c r="H565" s="55" t="s">
        <v>22</v>
      </c>
      <c r="I565" s="55" t="s">
        <v>4743</v>
      </c>
    </row>
    <row r="566" customFormat="false" ht="15" hidden="false" customHeight="false" outlineLevel="0" collapsed="false">
      <c r="A566" s="55" t="s">
        <v>5373</v>
      </c>
      <c r="B566" s="55" t="s">
        <v>1075</v>
      </c>
      <c r="C566" s="55" t="s">
        <v>1074</v>
      </c>
      <c r="D566" s="55" t="s">
        <v>45</v>
      </c>
      <c r="E566" s="55" t="s">
        <v>4740</v>
      </c>
      <c r="F566" s="55" t="s">
        <v>4577</v>
      </c>
      <c r="G566" s="55" t="s">
        <v>4893</v>
      </c>
      <c r="H566" s="55" t="s">
        <v>19</v>
      </c>
      <c r="I566" s="55" t="s">
        <v>4894</v>
      </c>
    </row>
    <row r="567" customFormat="false" ht="15" hidden="false" customHeight="false" outlineLevel="0" collapsed="false">
      <c r="A567" s="55" t="s">
        <v>5374</v>
      </c>
      <c r="B567" s="55" t="s">
        <v>1975</v>
      </c>
      <c r="C567" s="55" t="s">
        <v>1974</v>
      </c>
      <c r="D567" s="55" t="s">
        <v>47</v>
      </c>
      <c r="E567" s="55" t="s">
        <v>4740</v>
      </c>
      <c r="F567" s="55" t="s">
        <v>4804</v>
      </c>
      <c r="G567" s="55" t="s">
        <v>4843</v>
      </c>
      <c r="H567" s="55" t="s">
        <v>22</v>
      </c>
      <c r="I567" s="55" t="s">
        <v>4844</v>
      </c>
    </row>
    <row r="568" customFormat="false" ht="15" hidden="false" customHeight="false" outlineLevel="0" collapsed="false">
      <c r="A568" s="55" t="s">
        <v>5375</v>
      </c>
      <c r="B568" s="55" t="s">
        <v>392</v>
      </c>
      <c r="C568" s="55" t="s">
        <v>391</v>
      </c>
      <c r="D568" s="55" t="s">
        <v>45</v>
      </c>
      <c r="E568" s="55" t="s">
        <v>4740</v>
      </c>
      <c r="F568" s="55" t="s">
        <v>4577</v>
      </c>
      <c r="G568" s="55" t="s">
        <v>4893</v>
      </c>
      <c r="H568" s="55" t="s">
        <v>19</v>
      </c>
      <c r="I568" s="55" t="s">
        <v>4894</v>
      </c>
    </row>
    <row r="569" customFormat="false" ht="15" hidden="false" customHeight="false" outlineLevel="0" collapsed="false">
      <c r="A569" s="55" t="s">
        <v>5376</v>
      </c>
      <c r="B569" s="55" t="s">
        <v>392</v>
      </c>
      <c r="C569" s="55" t="s">
        <v>391</v>
      </c>
      <c r="D569" s="55" t="s">
        <v>46</v>
      </c>
      <c r="E569" s="55" t="s">
        <v>4740</v>
      </c>
      <c r="F569" s="55" t="s">
        <v>4745</v>
      </c>
      <c r="G569" s="55" t="s">
        <v>4746</v>
      </c>
      <c r="H569" s="55" t="s">
        <v>22</v>
      </c>
      <c r="I569" s="55" t="s">
        <v>4753</v>
      </c>
    </row>
    <row r="570" customFormat="false" ht="15" hidden="false" customHeight="false" outlineLevel="0" collapsed="false">
      <c r="A570" s="55" t="s">
        <v>5377</v>
      </c>
      <c r="B570" s="55" t="s">
        <v>392</v>
      </c>
      <c r="C570" s="55" t="s">
        <v>391</v>
      </c>
      <c r="D570" s="55" t="s">
        <v>47</v>
      </c>
      <c r="E570" s="55" t="s">
        <v>4740</v>
      </c>
      <c r="F570" s="55" t="s">
        <v>4745</v>
      </c>
      <c r="G570" s="55" t="s">
        <v>4746</v>
      </c>
      <c r="H570" s="55" t="s">
        <v>22</v>
      </c>
      <c r="I570" s="55" t="s">
        <v>4753</v>
      </c>
    </row>
    <row r="571" customFormat="false" ht="15" hidden="false" customHeight="false" outlineLevel="0" collapsed="false">
      <c r="A571" s="55" t="s">
        <v>5378</v>
      </c>
      <c r="B571" s="55" t="s">
        <v>1579</v>
      </c>
      <c r="C571" s="55" t="s">
        <v>1578</v>
      </c>
      <c r="D571" s="55" t="s">
        <v>46</v>
      </c>
      <c r="E571" s="55" t="s">
        <v>4740</v>
      </c>
      <c r="F571" s="55" t="s">
        <v>4745</v>
      </c>
      <c r="G571" s="55" t="s">
        <v>4746</v>
      </c>
      <c r="H571" s="55" t="s">
        <v>22</v>
      </c>
      <c r="I571" s="55" t="s">
        <v>4753</v>
      </c>
    </row>
    <row r="572" customFormat="false" ht="15" hidden="false" customHeight="false" outlineLevel="0" collapsed="false">
      <c r="A572" s="55" t="s">
        <v>5379</v>
      </c>
      <c r="B572" s="55" t="s">
        <v>1579</v>
      </c>
      <c r="C572" s="55" t="s">
        <v>1578</v>
      </c>
      <c r="D572" s="55" t="s">
        <v>47</v>
      </c>
      <c r="E572" s="55" t="s">
        <v>4740</v>
      </c>
      <c r="F572" s="55" t="s">
        <v>4774</v>
      </c>
      <c r="G572" s="55" t="s">
        <v>4775</v>
      </c>
      <c r="H572" s="55" t="s">
        <v>22</v>
      </c>
      <c r="I572" s="55" t="s">
        <v>4753</v>
      </c>
    </row>
    <row r="573" customFormat="false" ht="15" hidden="false" customHeight="false" outlineLevel="0" collapsed="false">
      <c r="A573" s="55" t="s">
        <v>5380</v>
      </c>
      <c r="B573" s="55" t="s">
        <v>1138</v>
      </c>
      <c r="C573" s="55" t="s">
        <v>1137</v>
      </c>
      <c r="D573" s="55" t="s">
        <v>47</v>
      </c>
      <c r="E573" s="55" t="s">
        <v>4740</v>
      </c>
      <c r="F573" s="55" t="s">
        <v>5241</v>
      </c>
      <c r="G573" s="55" t="s">
        <v>5242</v>
      </c>
      <c r="H573" s="55" t="s">
        <v>19</v>
      </c>
      <c r="I573" s="55" t="s">
        <v>4783</v>
      </c>
    </row>
    <row r="574" customFormat="false" ht="15" hidden="false" customHeight="false" outlineLevel="0" collapsed="false">
      <c r="A574" s="55" t="s">
        <v>5381</v>
      </c>
      <c r="B574" s="55" t="s">
        <v>1164</v>
      </c>
      <c r="C574" s="55" t="s">
        <v>1163</v>
      </c>
      <c r="D574" s="55" t="s">
        <v>47</v>
      </c>
      <c r="E574" s="55" t="s">
        <v>4740</v>
      </c>
      <c r="F574" s="55" t="s">
        <v>4745</v>
      </c>
      <c r="G574" s="55" t="s">
        <v>4746</v>
      </c>
      <c r="H574" s="55" t="s">
        <v>22</v>
      </c>
      <c r="I574" s="55" t="s">
        <v>4747</v>
      </c>
    </row>
    <row r="575" customFormat="false" ht="15" hidden="false" customHeight="false" outlineLevel="0" collapsed="false">
      <c r="A575" s="55" t="s">
        <v>5382</v>
      </c>
      <c r="B575" s="55" t="s">
        <v>256</v>
      </c>
      <c r="C575" s="55" t="s">
        <v>255</v>
      </c>
      <c r="D575" s="55" t="s">
        <v>47</v>
      </c>
      <c r="E575" s="55" t="s">
        <v>4740</v>
      </c>
      <c r="F575" s="55" t="s">
        <v>4745</v>
      </c>
      <c r="G575" s="55" t="s">
        <v>4746</v>
      </c>
      <c r="H575" s="55" t="s">
        <v>22</v>
      </c>
      <c r="I575" s="55" t="s">
        <v>4753</v>
      </c>
    </row>
    <row r="576" customFormat="false" ht="15" hidden="false" customHeight="false" outlineLevel="0" collapsed="false">
      <c r="A576" s="55" t="s">
        <v>5383</v>
      </c>
      <c r="B576" s="55" t="s">
        <v>184</v>
      </c>
      <c r="C576" s="55" t="s">
        <v>183</v>
      </c>
      <c r="D576" s="55" t="s">
        <v>45</v>
      </c>
      <c r="E576" s="55" t="s">
        <v>4740</v>
      </c>
      <c r="F576" s="55" t="s">
        <v>4741</v>
      </c>
      <c r="G576" s="55" t="s">
        <v>4742</v>
      </c>
      <c r="H576" s="55" t="s">
        <v>22</v>
      </c>
      <c r="I576" s="55" t="s">
        <v>4743</v>
      </c>
    </row>
    <row r="577" customFormat="false" ht="15" hidden="false" customHeight="false" outlineLevel="0" collapsed="false">
      <c r="A577" s="55" t="s">
        <v>5384</v>
      </c>
      <c r="B577" s="55" t="s">
        <v>184</v>
      </c>
      <c r="C577" s="55" t="s">
        <v>183</v>
      </c>
      <c r="D577" s="55" t="s">
        <v>47</v>
      </c>
      <c r="E577" s="55" t="s">
        <v>4740</v>
      </c>
      <c r="F577" s="55" t="s">
        <v>4745</v>
      </c>
      <c r="G577" s="55" t="s">
        <v>4746</v>
      </c>
      <c r="H577" s="55" t="s">
        <v>22</v>
      </c>
      <c r="I577" s="55" t="s">
        <v>4753</v>
      </c>
    </row>
    <row r="578" customFormat="false" ht="15" hidden="false" customHeight="false" outlineLevel="0" collapsed="false">
      <c r="A578" s="55" t="s">
        <v>5385</v>
      </c>
      <c r="B578" s="55" t="s">
        <v>774</v>
      </c>
      <c r="C578" s="55" t="s">
        <v>773</v>
      </c>
      <c r="D578" s="55" t="s">
        <v>45</v>
      </c>
      <c r="E578" s="55" t="s">
        <v>4740</v>
      </c>
      <c r="F578" s="55" t="s">
        <v>4770</v>
      </c>
      <c r="G578" s="55" t="s">
        <v>4771</v>
      </c>
      <c r="H578" s="55" t="s">
        <v>22</v>
      </c>
      <c r="I578" s="55" t="s">
        <v>4772</v>
      </c>
    </row>
    <row r="579" customFormat="false" ht="15" hidden="false" customHeight="false" outlineLevel="0" collapsed="false">
      <c r="A579" s="55" t="s">
        <v>5386</v>
      </c>
      <c r="B579" s="55" t="s">
        <v>2220</v>
      </c>
      <c r="C579" s="55" t="s">
        <v>2219</v>
      </c>
      <c r="D579" s="55" t="s">
        <v>47</v>
      </c>
      <c r="E579" s="55" t="s">
        <v>4740</v>
      </c>
      <c r="F579" s="55" t="s">
        <v>4745</v>
      </c>
      <c r="G579" s="55" t="s">
        <v>4746</v>
      </c>
      <c r="H579" s="55" t="s">
        <v>22</v>
      </c>
      <c r="I579" s="55" t="s">
        <v>4747</v>
      </c>
    </row>
    <row r="580" customFormat="false" ht="15" hidden="false" customHeight="false" outlineLevel="0" collapsed="false">
      <c r="A580" s="55" t="s">
        <v>5387</v>
      </c>
      <c r="B580" s="55" t="s">
        <v>1449</v>
      </c>
      <c r="C580" s="55" t="s">
        <v>1448</v>
      </c>
      <c r="D580" s="55" t="s">
        <v>47</v>
      </c>
      <c r="E580" s="55" t="s">
        <v>4740</v>
      </c>
      <c r="F580" s="55" t="s">
        <v>4745</v>
      </c>
      <c r="G580" s="55" t="s">
        <v>4746</v>
      </c>
      <c r="H580" s="55" t="s">
        <v>22</v>
      </c>
      <c r="I580" s="55" t="s">
        <v>4753</v>
      </c>
    </row>
    <row r="581" customFormat="false" ht="15" hidden="false" customHeight="false" outlineLevel="0" collapsed="false">
      <c r="A581" s="55" t="s">
        <v>5388</v>
      </c>
      <c r="B581" s="55" t="s">
        <v>1123</v>
      </c>
      <c r="C581" s="55" t="s">
        <v>1122</v>
      </c>
      <c r="D581" s="55" t="s">
        <v>47</v>
      </c>
      <c r="E581" s="55" t="s">
        <v>4740</v>
      </c>
      <c r="F581" s="55" t="s">
        <v>4745</v>
      </c>
      <c r="G581" s="55" t="s">
        <v>4746</v>
      </c>
      <c r="H581" s="55" t="s">
        <v>22</v>
      </c>
      <c r="I581" s="55" t="s">
        <v>4753</v>
      </c>
    </row>
    <row r="582" customFormat="false" ht="15" hidden="false" customHeight="false" outlineLevel="0" collapsed="false">
      <c r="A582" s="55" t="s">
        <v>5389</v>
      </c>
      <c r="B582" s="55" t="s">
        <v>378</v>
      </c>
      <c r="C582" s="55" t="s">
        <v>377</v>
      </c>
      <c r="D582" s="55" t="s">
        <v>47</v>
      </c>
      <c r="E582" s="55" t="s">
        <v>4740</v>
      </c>
      <c r="F582" s="55" t="s">
        <v>4745</v>
      </c>
      <c r="G582" s="55" t="s">
        <v>4746</v>
      </c>
      <c r="H582" s="55" t="s">
        <v>22</v>
      </c>
      <c r="I582" s="55" t="s">
        <v>4753</v>
      </c>
    </row>
    <row r="583" customFormat="false" ht="15" hidden="false" customHeight="false" outlineLevel="0" collapsed="false">
      <c r="A583" s="55" t="s">
        <v>5390</v>
      </c>
      <c r="B583" s="55" t="s">
        <v>206</v>
      </c>
      <c r="C583" s="55" t="s">
        <v>205</v>
      </c>
      <c r="D583" s="55" t="s">
        <v>46</v>
      </c>
      <c r="E583" s="55" t="s">
        <v>4740</v>
      </c>
      <c r="F583" s="55" t="s">
        <v>4745</v>
      </c>
      <c r="G583" s="55" t="s">
        <v>4746</v>
      </c>
      <c r="H583" s="55" t="s">
        <v>22</v>
      </c>
      <c r="I583" s="55" t="s">
        <v>4753</v>
      </c>
    </row>
    <row r="584" customFormat="false" ht="15" hidden="false" customHeight="false" outlineLevel="0" collapsed="false">
      <c r="A584" s="55" t="s">
        <v>5391</v>
      </c>
      <c r="B584" s="55" t="s">
        <v>1750</v>
      </c>
      <c r="C584" s="55" t="s">
        <v>1749</v>
      </c>
      <c r="D584" s="55" t="s">
        <v>47</v>
      </c>
      <c r="E584" s="55" t="s">
        <v>4740</v>
      </c>
      <c r="F584" s="55" t="s">
        <v>4745</v>
      </c>
      <c r="G584" s="55" t="s">
        <v>4746</v>
      </c>
      <c r="H584" s="55" t="s">
        <v>22</v>
      </c>
      <c r="I584" s="55" t="s">
        <v>4753</v>
      </c>
    </row>
    <row r="585" customFormat="false" ht="15" hidden="false" customHeight="false" outlineLevel="0" collapsed="false">
      <c r="A585" s="55" t="s">
        <v>5392</v>
      </c>
      <c r="B585" s="55" t="s">
        <v>210</v>
      </c>
      <c r="C585" s="55" t="s">
        <v>209</v>
      </c>
      <c r="D585" s="55" t="s">
        <v>47</v>
      </c>
      <c r="E585" s="55" t="s">
        <v>4740</v>
      </c>
      <c r="F585" s="55" t="s">
        <v>4741</v>
      </c>
      <c r="G585" s="55" t="s">
        <v>4742</v>
      </c>
      <c r="H585" s="55" t="s">
        <v>22</v>
      </c>
      <c r="I585" s="55" t="s">
        <v>4743</v>
      </c>
    </row>
    <row r="586" customFormat="false" ht="15" hidden="false" customHeight="false" outlineLevel="0" collapsed="false">
      <c r="A586" s="55" t="s">
        <v>5393</v>
      </c>
      <c r="B586" s="55" t="s">
        <v>636</v>
      </c>
      <c r="C586" s="55" t="s">
        <v>635</v>
      </c>
      <c r="D586" s="55" t="s">
        <v>47</v>
      </c>
      <c r="E586" s="55" t="s">
        <v>4740</v>
      </c>
      <c r="F586" s="55" t="s">
        <v>4745</v>
      </c>
      <c r="G586" s="55" t="s">
        <v>4746</v>
      </c>
      <c r="H586" s="55" t="s">
        <v>22</v>
      </c>
      <c r="I586" s="55" t="s">
        <v>4753</v>
      </c>
    </row>
    <row r="587" customFormat="false" ht="15" hidden="false" customHeight="false" outlineLevel="0" collapsed="false">
      <c r="A587" s="55" t="s">
        <v>5394</v>
      </c>
      <c r="B587" s="55" t="s">
        <v>454</v>
      </c>
      <c r="C587" s="55" t="s">
        <v>453</v>
      </c>
      <c r="D587" s="55" t="s">
        <v>45</v>
      </c>
      <c r="E587" s="55" t="s">
        <v>4740</v>
      </c>
      <c r="F587" s="55" t="s">
        <v>4756</v>
      </c>
      <c r="G587" s="55" t="s">
        <v>4757</v>
      </c>
      <c r="H587" s="55" t="s">
        <v>22</v>
      </c>
      <c r="I587" s="55" t="s">
        <v>4758</v>
      </c>
    </row>
    <row r="588" customFormat="false" ht="15" hidden="false" customHeight="false" outlineLevel="0" collapsed="false">
      <c r="A588" s="55" t="s">
        <v>5395</v>
      </c>
      <c r="B588" s="55" t="s">
        <v>454</v>
      </c>
      <c r="C588" s="55" t="s">
        <v>453</v>
      </c>
      <c r="D588" s="55" t="s">
        <v>47</v>
      </c>
      <c r="E588" s="55" t="s">
        <v>4740</v>
      </c>
      <c r="F588" s="55" t="s">
        <v>4745</v>
      </c>
      <c r="G588" s="55" t="s">
        <v>4746</v>
      </c>
      <c r="H588" s="55" t="s">
        <v>22</v>
      </c>
      <c r="I588" s="55" t="s">
        <v>4753</v>
      </c>
    </row>
    <row r="589" customFormat="false" ht="15" hidden="false" customHeight="false" outlineLevel="0" collapsed="false">
      <c r="A589" s="55" t="s">
        <v>5396</v>
      </c>
      <c r="B589" s="55" t="s">
        <v>746</v>
      </c>
      <c r="C589" s="55" t="s">
        <v>745</v>
      </c>
      <c r="D589" s="55" t="s">
        <v>47</v>
      </c>
      <c r="E589" s="55" t="s">
        <v>4740</v>
      </c>
      <c r="F589" s="55" t="s">
        <v>4745</v>
      </c>
      <c r="G589" s="55" t="s">
        <v>4746</v>
      </c>
      <c r="H589" s="55" t="s">
        <v>22</v>
      </c>
      <c r="I589" s="55" t="s">
        <v>4753</v>
      </c>
    </row>
    <row r="590" customFormat="false" ht="15" hidden="false" customHeight="false" outlineLevel="0" collapsed="false">
      <c r="A590" s="55" t="s">
        <v>5397</v>
      </c>
      <c r="B590" s="55" t="s">
        <v>696</v>
      </c>
      <c r="C590" s="55" t="s">
        <v>695</v>
      </c>
      <c r="D590" s="55" t="s">
        <v>46</v>
      </c>
      <c r="E590" s="55" t="s">
        <v>4740</v>
      </c>
      <c r="F590" s="55" t="s">
        <v>4741</v>
      </c>
      <c r="G590" s="55" t="s">
        <v>4814</v>
      </c>
      <c r="H590" s="55" t="s">
        <v>19</v>
      </c>
      <c r="I590" s="55" t="s">
        <v>4815</v>
      </c>
    </row>
    <row r="591" customFormat="false" ht="15" hidden="false" customHeight="false" outlineLevel="0" collapsed="false">
      <c r="A591" s="55" t="s">
        <v>5398</v>
      </c>
      <c r="B591" s="55" t="s">
        <v>2621</v>
      </c>
      <c r="C591" s="55" t="s">
        <v>2620</v>
      </c>
      <c r="D591" s="55" t="s">
        <v>47</v>
      </c>
      <c r="E591" s="55" t="s">
        <v>4740</v>
      </c>
      <c r="F591" s="55" t="s">
        <v>4745</v>
      </c>
      <c r="G591" s="55" t="s">
        <v>4746</v>
      </c>
      <c r="H591" s="55" t="s">
        <v>22</v>
      </c>
      <c r="I591" s="55" t="s">
        <v>4753</v>
      </c>
    </row>
    <row r="592" customFormat="false" ht="15" hidden="false" customHeight="false" outlineLevel="0" collapsed="false">
      <c r="A592" s="55" t="s">
        <v>5399</v>
      </c>
      <c r="B592" s="55" t="s">
        <v>782</v>
      </c>
      <c r="C592" s="55" t="s">
        <v>781</v>
      </c>
      <c r="D592" s="55" t="s">
        <v>47</v>
      </c>
      <c r="E592" s="55" t="s">
        <v>4740</v>
      </c>
      <c r="F592" s="55" t="s">
        <v>4745</v>
      </c>
      <c r="G592" s="55" t="s">
        <v>4746</v>
      </c>
      <c r="H592" s="55" t="s">
        <v>22</v>
      </c>
      <c r="I592" s="55" t="s">
        <v>4753</v>
      </c>
    </row>
    <row r="593" customFormat="false" ht="15" hidden="false" customHeight="false" outlineLevel="0" collapsed="false">
      <c r="A593" s="55" t="s">
        <v>5400</v>
      </c>
      <c r="B593" s="55" t="s">
        <v>1252</v>
      </c>
      <c r="C593" s="55" t="s">
        <v>1251</v>
      </c>
      <c r="D593" s="55" t="s">
        <v>47</v>
      </c>
      <c r="E593" s="55" t="s">
        <v>4740</v>
      </c>
      <c r="F593" s="55" t="s">
        <v>4745</v>
      </c>
      <c r="G593" s="55" t="s">
        <v>4746</v>
      </c>
      <c r="H593" s="55" t="s">
        <v>22</v>
      </c>
      <c r="I593" s="55" t="s">
        <v>4753</v>
      </c>
    </row>
    <row r="594" customFormat="false" ht="15" hidden="false" customHeight="false" outlineLevel="0" collapsed="false">
      <c r="A594" s="55" t="s">
        <v>5401</v>
      </c>
      <c r="B594" s="55" t="s">
        <v>1735</v>
      </c>
      <c r="C594" s="55" t="s">
        <v>1734</v>
      </c>
      <c r="D594" s="55" t="s">
        <v>47</v>
      </c>
      <c r="E594" s="55" t="s">
        <v>4740</v>
      </c>
      <c r="F594" s="55" t="s">
        <v>4745</v>
      </c>
      <c r="G594" s="55" t="s">
        <v>4746</v>
      </c>
      <c r="H594" s="55" t="s">
        <v>22</v>
      </c>
      <c r="I594" s="55" t="s">
        <v>4753</v>
      </c>
    </row>
    <row r="595" customFormat="false" ht="15" hidden="false" customHeight="false" outlineLevel="0" collapsed="false">
      <c r="A595" s="55" t="s">
        <v>5402</v>
      </c>
      <c r="B595" s="55" t="s">
        <v>680</v>
      </c>
      <c r="C595" s="55" t="s">
        <v>679</v>
      </c>
      <c r="D595" s="55" t="s">
        <v>45</v>
      </c>
      <c r="E595" s="55" t="s">
        <v>4740</v>
      </c>
      <c r="F595" s="55" t="s">
        <v>4749</v>
      </c>
      <c r="G595" s="55" t="s">
        <v>4750</v>
      </c>
      <c r="H595" s="55" t="s">
        <v>22</v>
      </c>
      <c r="I595" s="55" t="s">
        <v>4751</v>
      </c>
    </row>
    <row r="596" customFormat="false" ht="15" hidden="false" customHeight="false" outlineLevel="0" collapsed="false">
      <c r="A596" s="55" t="s">
        <v>5403</v>
      </c>
      <c r="B596" s="55" t="s">
        <v>2398</v>
      </c>
      <c r="C596" s="55" t="s">
        <v>2397</v>
      </c>
      <c r="D596" s="55" t="s">
        <v>47</v>
      </c>
      <c r="E596" s="55" t="s">
        <v>4740</v>
      </c>
      <c r="F596" s="55" t="s">
        <v>4745</v>
      </c>
      <c r="G596" s="55" t="s">
        <v>4746</v>
      </c>
      <c r="H596" s="55" t="s">
        <v>22</v>
      </c>
      <c r="I596" s="55" t="s">
        <v>4753</v>
      </c>
    </row>
    <row r="597" customFormat="false" ht="15" hidden="false" customHeight="false" outlineLevel="0" collapsed="false">
      <c r="A597" s="55" t="s">
        <v>5404</v>
      </c>
      <c r="B597" s="55" t="s">
        <v>1761</v>
      </c>
      <c r="C597" s="55" t="s">
        <v>1760</v>
      </c>
      <c r="D597" s="55" t="s">
        <v>47</v>
      </c>
      <c r="E597" s="55" t="s">
        <v>4740</v>
      </c>
      <c r="F597" s="55" t="s">
        <v>4749</v>
      </c>
      <c r="G597" s="55" t="s">
        <v>4750</v>
      </c>
      <c r="H597" s="55" t="s">
        <v>22</v>
      </c>
      <c r="I597" s="55" t="s">
        <v>4751</v>
      </c>
    </row>
    <row r="598" customFormat="false" ht="15" hidden="false" customHeight="false" outlineLevel="0" collapsed="false">
      <c r="A598" s="55" t="s">
        <v>5405</v>
      </c>
      <c r="B598" s="55" t="s">
        <v>1229</v>
      </c>
      <c r="C598" s="55" t="s">
        <v>1228</v>
      </c>
      <c r="D598" s="55" t="s">
        <v>47</v>
      </c>
      <c r="E598" s="55" t="s">
        <v>4740</v>
      </c>
      <c r="F598" s="55" t="s">
        <v>4745</v>
      </c>
      <c r="G598" s="55" t="s">
        <v>4746</v>
      </c>
      <c r="H598" s="55" t="s">
        <v>22</v>
      </c>
      <c r="I598" s="55" t="s">
        <v>4747</v>
      </c>
    </row>
    <row r="599" customFormat="false" ht="15" hidden="false" customHeight="false" outlineLevel="0" collapsed="false">
      <c r="A599" s="55" t="s">
        <v>5406</v>
      </c>
      <c r="B599" s="55" t="s">
        <v>2757</v>
      </c>
      <c r="C599" s="55" t="s">
        <v>2756</v>
      </c>
      <c r="D599" s="55" t="s">
        <v>47</v>
      </c>
      <c r="E599" s="55" t="s">
        <v>4740</v>
      </c>
      <c r="F599" s="55" t="s">
        <v>4745</v>
      </c>
      <c r="G599" s="55" t="s">
        <v>4746</v>
      </c>
      <c r="H599" s="55" t="s">
        <v>22</v>
      </c>
      <c r="I599" s="55" t="s">
        <v>4753</v>
      </c>
    </row>
    <row r="600" customFormat="false" ht="15" hidden="false" customHeight="false" outlineLevel="0" collapsed="false">
      <c r="A600" s="55" t="s">
        <v>5407</v>
      </c>
      <c r="B600" s="55" t="s">
        <v>270</v>
      </c>
      <c r="C600" s="55" t="s">
        <v>269</v>
      </c>
      <c r="D600" s="55" t="s">
        <v>46</v>
      </c>
      <c r="E600" s="55" t="s">
        <v>4740</v>
      </c>
      <c r="F600" s="55" t="s">
        <v>4745</v>
      </c>
      <c r="G600" s="55" t="s">
        <v>4746</v>
      </c>
      <c r="H600" s="55" t="s">
        <v>22</v>
      </c>
      <c r="I600" s="55" t="s">
        <v>4753</v>
      </c>
    </row>
    <row r="601" customFormat="false" ht="15" hidden="false" customHeight="false" outlineLevel="0" collapsed="false">
      <c r="A601" s="55" t="s">
        <v>5408</v>
      </c>
      <c r="B601" s="55" t="s">
        <v>270</v>
      </c>
      <c r="C601" s="55" t="s">
        <v>269</v>
      </c>
      <c r="D601" s="55" t="s">
        <v>47</v>
      </c>
      <c r="E601" s="55" t="s">
        <v>4740</v>
      </c>
      <c r="F601" s="55" t="s">
        <v>4749</v>
      </c>
      <c r="G601" s="55" t="s">
        <v>4750</v>
      </c>
      <c r="H601" s="55" t="s">
        <v>22</v>
      </c>
      <c r="I601" s="55" t="s">
        <v>4751</v>
      </c>
    </row>
    <row r="602" customFormat="false" ht="15" hidden="false" customHeight="false" outlineLevel="0" collapsed="false">
      <c r="A602" s="55" t="s">
        <v>5409</v>
      </c>
      <c r="B602" s="55" t="s">
        <v>1410</v>
      </c>
      <c r="C602" s="55" t="s">
        <v>1409</v>
      </c>
      <c r="D602" s="55" t="s">
        <v>45</v>
      </c>
      <c r="E602" s="55" t="s">
        <v>4740</v>
      </c>
      <c r="F602" s="55" t="s">
        <v>4745</v>
      </c>
      <c r="G602" s="55" t="s">
        <v>4746</v>
      </c>
      <c r="H602" s="55" t="s">
        <v>22</v>
      </c>
      <c r="I602" s="55" t="s">
        <v>4753</v>
      </c>
    </row>
    <row r="603" customFormat="false" ht="15" hidden="false" customHeight="false" outlineLevel="0" collapsed="false">
      <c r="A603" s="55" t="s">
        <v>5410</v>
      </c>
      <c r="B603" s="55" t="s">
        <v>1410</v>
      </c>
      <c r="C603" s="55" t="s">
        <v>1409</v>
      </c>
      <c r="D603" s="55" t="s">
        <v>47</v>
      </c>
      <c r="E603" s="55" t="s">
        <v>4740</v>
      </c>
      <c r="F603" s="55" t="s">
        <v>4749</v>
      </c>
      <c r="G603" s="55" t="s">
        <v>4750</v>
      </c>
      <c r="H603" s="55" t="s">
        <v>22</v>
      </c>
      <c r="I603" s="55" t="s">
        <v>4751</v>
      </c>
    </row>
    <row r="604" customFormat="false" ht="15" hidden="false" customHeight="false" outlineLevel="0" collapsed="false">
      <c r="A604" s="55" t="s">
        <v>5411</v>
      </c>
      <c r="B604" s="55" t="s">
        <v>656</v>
      </c>
      <c r="C604" s="55" t="s">
        <v>655</v>
      </c>
      <c r="D604" s="55" t="s">
        <v>45</v>
      </c>
      <c r="E604" s="55" t="s">
        <v>4740</v>
      </c>
      <c r="F604" s="55" t="s">
        <v>4745</v>
      </c>
      <c r="G604" s="55" t="s">
        <v>4746</v>
      </c>
      <c r="H604" s="55" t="s">
        <v>22</v>
      </c>
      <c r="I604" s="55" t="s">
        <v>4747</v>
      </c>
    </row>
    <row r="605" customFormat="false" ht="15" hidden="false" customHeight="false" outlineLevel="0" collapsed="false">
      <c r="A605" s="55" t="s">
        <v>5412</v>
      </c>
      <c r="B605" s="55" t="s">
        <v>656</v>
      </c>
      <c r="C605" s="55" t="s">
        <v>655</v>
      </c>
      <c r="D605" s="55" t="s">
        <v>47</v>
      </c>
      <c r="E605" s="55" t="s">
        <v>4740</v>
      </c>
      <c r="F605" s="55" t="s">
        <v>4745</v>
      </c>
      <c r="G605" s="55" t="s">
        <v>4746</v>
      </c>
      <c r="H605" s="55" t="s">
        <v>22</v>
      </c>
      <c r="I605" s="55" t="s">
        <v>4753</v>
      </c>
    </row>
    <row r="606" customFormat="false" ht="15" hidden="false" customHeight="false" outlineLevel="0" collapsed="false">
      <c r="A606" s="55" t="s">
        <v>5413</v>
      </c>
      <c r="B606" s="55" t="s">
        <v>2050</v>
      </c>
      <c r="C606" s="55" t="s">
        <v>2049</v>
      </c>
      <c r="D606" s="55" t="s">
        <v>45</v>
      </c>
      <c r="E606" s="55" t="s">
        <v>4740</v>
      </c>
      <c r="F606" s="55" t="s">
        <v>4741</v>
      </c>
      <c r="G606" s="55" t="s">
        <v>4814</v>
      </c>
      <c r="H606" s="55" t="s">
        <v>19</v>
      </c>
      <c r="I606" s="55" t="s">
        <v>4815</v>
      </c>
    </row>
    <row r="607" customFormat="false" ht="15" hidden="false" customHeight="false" outlineLevel="0" collapsed="false">
      <c r="A607" s="55" t="s">
        <v>5414</v>
      </c>
      <c r="B607" s="55" t="s">
        <v>3249</v>
      </c>
      <c r="C607" s="55" t="s">
        <v>4022</v>
      </c>
      <c r="D607" s="55" t="s">
        <v>45</v>
      </c>
      <c r="E607" s="55" t="s">
        <v>4740</v>
      </c>
      <c r="F607" s="55" t="s">
        <v>4774</v>
      </c>
      <c r="G607" s="55" t="s">
        <v>4775</v>
      </c>
      <c r="H607" s="55" t="s">
        <v>22</v>
      </c>
      <c r="I607" s="55" t="s">
        <v>4747</v>
      </c>
    </row>
    <row r="608" customFormat="false" ht="15" hidden="false" customHeight="false" outlineLevel="0" collapsed="false">
      <c r="A608" s="55" t="s">
        <v>5415</v>
      </c>
      <c r="B608" s="55" t="s">
        <v>3251</v>
      </c>
      <c r="C608" s="55" t="s">
        <v>4024</v>
      </c>
      <c r="D608" s="55" t="s">
        <v>46</v>
      </c>
      <c r="E608" s="55" t="s">
        <v>4740</v>
      </c>
      <c r="F608" s="55" t="s">
        <v>4774</v>
      </c>
      <c r="G608" s="55" t="s">
        <v>4782</v>
      </c>
      <c r="H608" s="55" t="s">
        <v>19</v>
      </c>
      <c r="I608" s="55" t="s">
        <v>4808</v>
      </c>
    </row>
    <row r="609" customFormat="false" ht="15" hidden="false" customHeight="false" outlineLevel="0" collapsed="false">
      <c r="A609" s="55" t="s">
        <v>5416</v>
      </c>
      <c r="B609" s="55" t="s">
        <v>600</v>
      </c>
      <c r="C609" s="55" t="s">
        <v>599</v>
      </c>
      <c r="D609" s="55" t="s">
        <v>47</v>
      </c>
      <c r="E609" s="55" t="s">
        <v>4740</v>
      </c>
      <c r="F609" s="55" t="s">
        <v>4745</v>
      </c>
      <c r="G609" s="55" t="s">
        <v>4746</v>
      </c>
      <c r="H609" s="55" t="s">
        <v>22</v>
      </c>
      <c r="I609" s="55" t="s">
        <v>4753</v>
      </c>
    </row>
    <row r="610" customFormat="false" ht="15" hidden="false" customHeight="false" outlineLevel="0" collapsed="false">
      <c r="A610" s="55" t="s">
        <v>5417</v>
      </c>
      <c r="B610" s="55" t="s">
        <v>3253</v>
      </c>
      <c r="C610" s="55" t="s">
        <v>4027</v>
      </c>
      <c r="D610" s="55" t="s">
        <v>45</v>
      </c>
      <c r="E610" s="55" t="s">
        <v>4740</v>
      </c>
      <c r="F610" s="55" t="s">
        <v>4366</v>
      </c>
      <c r="G610" s="55" t="s">
        <v>4800</v>
      </c>
      <c r="H610" s="55" t="s">
        <v>19</v>
      </c>
      <c r="I610" s="55" t="s">
        <v>4783</v>
      </c>
    </row>
    <row r="611" customFormat="false" ht="15" hidden="false" customHeight="false" outlineLevel="0" collapsed="false">
      <c r="A611" s="55" t="s">
        <v>5418</v>
      </c>
      <c r="B611" s="55" t="s">
        <v>3253</v>
      </c>
      <c r="C611" s="55" t="s">
        <v>4027</v>
      </c>
      <c r="D611" s="55" t="s">
        <v>47</v>
      </c>
      <c r="E611" s="55" t="s">
        <v>4740</v>
      </c>
      <c r="F611" s="55" t="s">
        <v>4766</v>
      </c>
      <c r="G611" s="55" t="s">
        <v>4767</v>
      </c>
      <c r="H611" s="55" t="s">
        <v>22</v>
      </c>
      <c r="I611" s="55" t="s">
        <v>4753</v>
      </c>
    </row>
    <row r="612" customFormat="false" ht="15" hidden="false" customHeight="false" outlineLevel="0" collapsed="false">
      <c r="A612" s="55" t="s">
        <v>5419</v>
      </c>
      <c r="B612" s="55" t="s">
        <v>166</v>
      </c>
      <c r="C612" s="55" t="s">
        <v>165</v>
      </c>
      <c r="D612" s="55" t="s">
        <v>47</v>
      </c>
      <c r="E612" s="55" t="s">
        <v>4740</v>
      </c>
      <c r="F612" s="55" t="s">
        <v>4745</v>
      </c>
      <c r="G612" s="55" t="s">
        <v>4746</v>
      </c>
      <c r="H612" s="55" t="s">
        <v>22</v>
      </c>
      <c r="I612" s="55" t="s">
        <v>4753</v>
      </c>
    </row>
    <row r="613" customFormat="false" ht="15" hidden="false" customHeight="false" outlineLevel="0" collapsed="false">
      <c r="A613" s="55" t="s">
        <v>5420</v>
      </c>
      <c r="B613" s="55" t="s">
        <v>492</v>
      </c>
      <c r="C613" s="55" t="s">
        <v>491</v>
      </c>
      <c r="D613" s="55" t="s">
        <v>47</v>
      </c>
      <c r="E613" s="55" t="s">
        <v>4740</v>
      </c>
      <c r="F613" s="55" t="s">
        <v>4745</v>
      </c>
      <c r="G613" s="55" t="s">
        <v>4746</v>
      </c>
      <c r="H613" s="55" t="s">
        <v>22</v>
      </c>
      <c r="I613" s="55" t="s">
        <v>4753</v>
      </c>
    </row>
    <row r="614" customFormat="false" ht="15" hidden="false" customHeight="false" outlineLevel="0" collapsed="false">
      <c r="A614" s="55" t="s">
        <v>5421</v>
      </c>
      <c r="B614" s="55" t="s">
        <v>470</v>
      </c>
      <c r="C614" s="55" t="s">
        <v>469</v>
      </c>
      <c r="D614" s="55" t="s">
        <v>47</v>
      </c>
      <c r="E614" s="55" t="s">
        <v>4740</v>
      </c>
      <c r="F614" s="55" t="s">
        <v>4366</v>
      </c>
      <c r="G614" s="55" t="s">
        <v>4779</v>
      </c>
      <c r="H614" s="55" t="s">
        <v>22</v>
      </c>
      <c r="I614" s="55" t="s">
        <v>4780</v>
      </c>
    </row>
    <row r="615" customFormat="false" ht="15" hidden="false" customHeight="false" outlineLevel="0" collapsed="false">
      <c r="A615" s="55" t="s">
        <v>5422</v>
      </c>
      <c r="B615" s="55" t="s">
        <v>2149</v>
      </c>
      <c r="C615" s="55" t="s">
        <v>2148</v>
      </c>
      <c r="D615" s="55" t="s">
        <v>47</v>
      </c>
      <c r="E615" s="55" t="s">
        <v>4740</v>
      </c>
      <c r="F615" s="55" t="s">
        <v>4745</v>
      </c>
      <c r="G615" s="55" t="s">
        <v>4746</v>
      </c>
      <c r="H615" s="55" t="s">
        <v>22</v>
      </c>
      <c r="I615" s="55" t="s">
        <v>4753</v>
      </c>
    </row>
    <row r="616" customFormat="false" ht="15" hidden="false" customHeight="false" outlineLevel="0" collapsed="false">
      <c r="A616" s="55" t="s">
        <v>5423</v>
      </c>
      <c r="B616" s="55" t="s">
        <v>576</v>
      </c>
      <c r="C616" s="55" t="s">
        <v>575</v>
      </c>
      <c r="D616" s="55" t="s">
        <v>47</v>
      </c>
      <c r="E616" s="55" t="s">
        <v>4740</v>
      </c>
      <c r="F616" s="55" t="s">
        <v>4749</v>
      </c>
      <c r="G616" s="55" t="s">
        <v>4901</v>
      </c>
      <c r="H616" s="55" t="s">
        <v>19</v>
      </c>
      <c r="I616" s="55" t="s">
        <v>4902</v>
      </c>
    </row>
    <row r="617" customFormat="false" ht="15" hidden="false" customHeight="false" outlineLevel="0" collapsed="false">
      <c r="A617" s="55" t="s">
        <v>5424</v>
      </c>
      <c r="B617" s="55" t="s">
        <v>638</v>
      </c>
      <c r="C617" s="55" t="s">
        <v>637</v>
      </c>
      <c r="D617" s="55" t="s">
        <v>45</v>
      </c>
      <c r="E617" s="55" t="s">
        <v>4740</v>
      </c>
      <c r="F617" s="55" t="s">
        <v>4745</v>
      </c>
      <c r="G617" s="55" t="s">
        <v>4746</v>
      </c>
      <c r="H617" s="55" t="s">
        <v>22</v>
      </c>
      <c r="I617" s="55" t="s">
        <v>4747</v>
      </c>
    </row>
    <row r="618" customFormat="false" ht="15" hidden="false" customHeight="false" outlineLevel="0" collapsed="false">
      <c r="A618" s="55" t="s">
        <v>5425</v>
      </c>
      <c r="B618" s="55" t="s">
        <v>316</v>
      </c>
      <c r="C618" s="55" t="s">
        <v>315</v>
      </c>
      <c r="D618" s="55" t="s">
        <v>45</v>
      </c>
      <c r="E618" s="55" t="s">
        <v>4740</v>
      </c>
      <c r="F618" s="55" t="s">
        <v>4745</v>
      </c>
      <c r="G618" s="55" t="s">
        <v>4746</v>
      </c>
      <c r="H618" s="55" t="s">
        <v>22</v>
      </c>
      <c r="I618" s="55" t="s">
        <v>4747</v>
      </c>
    </row>
    <row r="619" customFormat="false" ht="15" hidden="false" customHeight="false" outlineLevel="0" collapsed="false">
      <c r="A619" s="55" t="s">
        <v>5426</v>
      </c>
      <c r="B619" s="55" t="s">
        <v>1543</v>
      </c>
      <c r="C619" s="55" t="s">
        <v>1542</v>
      </c>
      <c r="D619" s="55" t="s">
        <v>47</v>
      </c>
      <c r="E619" s="55" t="s">
        <v>4740</v>
      </c>
      <c r="F619" s="55" t="s">
        <v>4745</v>
      </c>
      <c r="G619" s="55" t="s">
        <v>4746</v>
      </c>
      <c r="H619" s="55" t="s">
        <v>22</v>
      </c>
      <c r="I619" s="55" t="s">
        <v>4753</v>
      </c>
    </row>
    <row r="620" customFormat="false" ht="15" hidden="false" customHeight="false" outlineLevel="0" collapsed="false">
      <c r="A620" s="55" t="s">
        <v>5427</v>
      </c>
      <c r="B620" s="55" t="s">
        <v>1950</v>
      </c>
      <c r="C620" s="55" t="s">
        <v>1949</v>
      </c>
      <c r="D620" s="55" t="s">
        <v>45</v>
      </c>
      <c r="E620" s="55" t="s">
        <v>4740</v>
      </c>
      <c r="F620" s="55" t="s">
        <v>4930</v>
      </c>
      <c r="G620" s="55" t="s">
        <v>4978</v>
      </c>
      <c r="H620" s="55" t="s">
        <v>22</v>
      </c>
      <c r="I620" s="55" t="s">
        <v>4753</v>
      </c>
    </row>
    <row r="621" customFormat="false" ht="15" hidden="false" customHeight="false" outlineLevel="0" collapsed="false">
      <c r="A621" s="55" t="s">
        <v>5428</v>
      </c>
      <c r="B621" s="55" t="s">
        <v>1950</v>
      </c>
      <c r="C621" s="55" t="s">
        <v>1949</v>
      </c>
      <c r="D621" s="55" t="s">
        <v>47</v>
      </c>
      <c r="E621" s="55" t="s">
        <v>4740</v>
      </c>
      <c r="F621" s="55" t="s">
        <v>4745</v>
      </c>
      <c r="G621" s="55" t="s">
        <v>4746</v>
      </c>
      <c r="H621" s="55" t="s">
        <v>22</v>
      </c>
      <c r="I621" s="55" t="s">
        <v>4753</v>
      </c>
    </row>
    <row r="622" customFormat="false" ht="15" hidden="false" customHeight="false" outlineLevel="0" collapsed="false">
      <c r="A622" s="55" t="s">
        <v>5429</v>
      </c>
      <c r="B622" s="55" t="s">
        <v>546</v>
      </c>
      <c r="C622" s="55" t="s">
        <v>545</v>
      </c>
      <c r="D622" s="55" t="s">
        <v>45</v>
      </c>
      <c r="E622" s="55" t="s">
        <v>4740</v>
      </c>
      <c r="F622" s="55" t="s">
        <v>4741</v>
      </c>
      <c r="G622" s="55" t="s">
        <v>4742</v>
      </c>
      <c r="H622" s="55" t="s">
        <v>22</v>
      </c>
      <c r="I622" s="55" t="s">
        <v>4743</v>
      </c>
    </row>
    <row r="623" customFormat="false" ht="15" hidden="false" customHeight="false" outlineLevel="0" collapsed="false">
      <c r="A623" s="55" t="s">
        <v>5430</v>
      </c>
      <c r="B623" s="55" t="s">
        <v>546</v>
      </c>
      <c r="C623" s="55" t="s">
        <v>545</v>
      </c>
      <c r="D623" s="55" t="s">
        <v>47</v>
      </c>
      <c r="E623" s="55" t="s">
        <v>4740</v>
      </c>
      <c r="F623" s="55" t="s">
        <v>4745</v>
      </c>
      <c r="G623" s="55" t="s">
        <v>4746</v>
      </c>
      <c r="H623" s="55" t="s">
        <v>22</v>
      </c>
      <c r="I623" s="55" t="s">
        <v>4753</v>
      </c>
    </row>
    <row r="624" customFormat="false" ht="15" hidden="false" customHeight="false" outlineLevel="0" collapsed="false">
      <c r="A624" s="55" t="s">
        <v>5431</v>
      </c>
      <c r="B624" s="55" t="s">
        <v>2212</v>
      </c>
      <c r="C624" s="55" t="s">
        <v>2211</v>
      </c>
      <c r="D624" s="55" t="s">
        <v>47</v>
      </c>
      <c r="E624" s="55" t="s">
        <v>4740</v>
      </c>
      <c r="F624" s="55" t="s">
        <v>4745</v>
      </c>
      <c r="G624" s="55" t="s">
        <v>4746</v>
      </c>
      <c r="H624" s="55" t="s">
        <v>22</v>
      </c>
      <c r="I624" s="55" t="s">
        <v>4753</v>
      </c>
    </row>
    <row r="625" customFormat="false" ht="15" hidden="false" customHeight="false" outlineLevel="0" collapsed="false">
      <c r="A625" s="55" t="s">
        <v>5432</v>
      </c>
      <c r="B625" s="55" t="s">
        <v>2261</v>
      </c>
      <c r="C625" s="55" t="s">
        <v>2260</v>
      </c>
      <c r="D625" s="55" t="s">
        <v>47</v>
      </c>
      <c r="E625" s="55" t="s">
        <v>4740</v>
      </c>
      <c r="F625" s="55" t="s">
        <v>4741</v>
      </c>
      <c r="G625" s="55" t="s">
        <v>4742</v>
      </c>
      <c r="H625" s="55" t="s">
        <v>22</v>
      </c>
      <c r="I625" s="55" t="s">
        <v>4743</v>
      </c>
    </row>
    <row r="626" customFormat="false" ht="15" hidden="false" customHeight="false" outlineLevel="0" collapsed="false">
      <c r="A626" s="55" t="s">
        <v>5433</v>
      </c>
      <c r="B626" s="55" t="s">
        <v>164</v>
      </c>
      <c r="C626" s="55" t="s">
        <v>163</v>
      </c>
      <c r="D626" s="55" t="s">
        <v>45</v>
      </c>
      <c r="E626" s="55" t="s">
        <v>4740</v>
      </c>
      <c r="F626" s="55" t="s">
        <v>4745</v>
      </c>
      <c r="G626" s="55" t="s">
        <v>4746</v>
      </c>
      <c r="H626" s="55" t="s">
        <v>22</v>
      </c>
      <c r="I626" s="55" t="s">
        <v>4747</v>
      </c>
    </row>
    <row r="627" customFormat="false" ht="15" hidden="false" customHeight="false" outlineLevel="0" collapsed="false">
      <c r="A627" s="55" t="s">
        <v>5434</v>
      </c>
      <c r="B627" s="55" t="s">
        <v>164</v>
      </c>
      <c r="C627" s="55" t="s">
        <v>163</v>
      </c>
      <c r="D627" s="55" t="s">
        <v>47</v>
      </c>
      <c r="E627" s="55" t="s">
        <v>4740</v>
      </c>
      <c r="F627" s="55" t="s">
        <v>4745</v>
      </c>
      <c r="G627" s="55" t="s">
        <v>4746</v>
      </c>
      <c r="H627" s="55" t="s">
        <v>22</v>
      </c>
      <c r="I627" s="55" t="s">
        <v>4753</v>
      </c>
    </row>
    <row r="628" customFormat="false" ht="15" hidden="false" customHeight="false" outlineLevel="0" collapsed="false">
      <c r="A628" s="55" t="s">
        <v>5435</v>
      </c>
      <c r="B628" s="55" t="s">
        <v>1339</v>
      </c>
      <c r="C628" s="55" t="s">
        <v>1338</v>
      </c>
      <c r="D628" s="55" t="s">
        <v>45</v>
      </c>
      <c r="E628" s="55" t="s">
        <v>4740</v>
      </c>
      <c r="F628" s="55" t="s">
        <v>4745</v>
      </c>
      <c r="G628" s="55" t="s">
        <v>4746</v>
      </c>
      <c r="H628" s="55" t="s">
        <v>22</v>
      </c>
      <c r="I628" s="55" t="s">
        <v>4747</v>
      </c>
    </row>
    <row r="629" customFormat="false" ht="15" hidden="false" customHeight="false" outlineLevel="0" collapsed="false">
      <c r="A629" s="55" t="s">
        <v>5436</v>
      </c>
      <c r="B629" s="55" t="s">
        <v>1339</v>
      </c>
      <c r="C629" s="55" t="s">
        <v>1338</v>
      </c>
      <c r="D629" s="55" t="s">
        <v>47</v>
      </c>
      <c r="E629" s="55" t="s">
        <v>4740</v>
      </c>
      <c r="F629" s="55" t="s">
        <v>4774</v>
      </c>
      <c r="G629" s="55" t="s">
        <v>4775</v>
      </c>
      <c r="H629" s="55" t="s">
        <v>22</v>
      </c>
      <c r="I629" s="55" t="s">
        <v>4753</v>
      </c>
    </row>
    <row r="630" customFormat="false" ht="15" hidden="false" customHeight="false" outlineLevel="0" collapsed="false">
      <c r="A630" s="55" t="s">
        <v>5437</v>
      </c>
      <c r="B630" s="55" t="s">
        <v>204</v>
      </c>
      <c r="C630" s="55" t="s">
        <v>203</v>
      </c>
      <c r="D630" s="55" t="s">
        <v>47</v>
      </c>
      <c r="E630" s="55" t="s">
        <v>4740</v>
      </c>
      <c r="F630" s="55" t="s">
        <v>4741</v>
      </c>
      <c r="G630" s="55" t="s">
        <v>4742</v>
      </c>
      <c r="H630" s="55" t="s">
        <v>22</v>
      </c>
      <c r="I630" s="55" t="s">
        <v>4743</v>
      </c>
    </row>
    <row r="631" customFormat="false" ht="15" hidden="false" customHeight="false" outlineLevel="0" collapsed="false">
      <c r="A631" s="55" t="s">
        <v>5438</v>
      </c>
      <c r="B631" s="55" t="s">
        <v>300</v>
      </c>
      <c r="C631" s="55" t="s">
        <v>299</v>
      </c>
      <c r="D631" s="55" t="s">
        <v>46</v>
      </c>
      <c r="E631" s="55" t="s">
        <v>4740</v>
      </c>
      <c r="F631" s="55" t="s">
        <v>4745</v>
      </c>
      <c r="G631" s="55" t="s">
        <v>4746</v>
      </c>
      <c r="H631" s="55" t="s">
        <v>22</v>
      </c>
      <c r="I631" s="55" t="s">
        <v>4747</v>
      </c>
    </row>
    <row r="632" customFormat="false" ht="15" hidden="false" customHeight="false" outlineLevel="0" collapsed="false">
      <c r="A632" s="55" t="s">
        <v>5439</v>
      </c>
      <c r="B632" s="55" t="s">
        <v>2175</v>
      </c>
      <c r="C632" s="55" t="s">
        <v>2174</v>
      </c>
      <c r="D632" s="55" t="s">
        <v>47</v>
      </c>
      <c r="E632" s="55" t="s">
        <v>4740</v>
      </c>
      <c r="F632" s="55" t="s">
        <v>4934</v>
      </c>
      <c r="G632" s="55" t="s">
        <v>4935</v>
      </c>
      <c r="H632" s="55" t="s">
        <v>22</v>
      </c>
      <c r="I632" s="55" t="s">
        <v>4753</v>
      </c>
    </row>
    <row r="633" customFormat="false" ht="15" hidden="false" customHeight="false" outlineLevel="0" collapsed="false">
      <c r="A633" s="55" t="s">
        <v>5440</v>
      </c>
      <c r="B633" s="55" t="s">
        <v>1921</v>
      </c>
      <c r="C633" s="55" t="s">
        <v>1920</v>
      </c>
      <c r="D633" s="55" t="s">
        <v>47</v>
      </c>
      <c r="E633" s="55" t="s">
        <v>4740</v>
      </c>
      <c r="F633" s="55" t="s">
        <v>4749</v>
      </c>
      <c r="G633" s="55" t="s">
        <v>4750</v>
      </c>
      <c r="H633" s="55" t="s">
        <v>22</v>
      </c>
      <c r="I633" s="55" t="s">
        <v>4751</v>
      </c>
    </row>
    <row r="634" customFormat="false" ht="15" hidden="false" customHeight="false" outlineLevel="0" collapsed="false">
      <c r="A634" s="55" t="s">
        <v>5441</v>
      </c>
      <c r="B634" s="55" t="s">
        <v>1632</v>
      </c>
      <c r="C634" s="55" t="s">
        <v>1631</v>
      </c>
      <c r="D634" s="55" t="s">
        <v>47</v>
      </c>
      <c r="E634" s="55" t="s">
        <v>4740</v>
      </c>
      <c r="F634" s="55" t="s">
        <v>4745</v>
      </c>
      <c r="G634" s="55" t="s">
        <v>4746</v>
      </c>
      <c r="H634" s="55" t="s">
        <v>22</v>
      </c>
      <c r="I634" s="55" t="s">
        <v>4753</v>
      </c>
    </row>
    <row r="635" customFormat="false" ht="15" hidden="false" customHeight="false" outlineLevel="0" collapsed="false">
      <c r="A635" s="55" t="s">
        <v>5442</v>
      </c>
      <c r="B635" s="55" t="s">
        <v>2069</v>
      </c>
      <c r="C635" s="55" t="s">
        <v>2068</v>
      </c>
      <c r="D635" s="55" t="s">
        <v>47</v>
      </c>
      <c r="E635" s="55" t="s">
        <v>4740</v>
      </c>
      <c r="F635" s="55" t="s">
        <v>4745</v>
      </c>
      <c r="G635" s="55" t="s">
        <v>4746</v>
      </c>
      <c r="H635" s="55" t="s">
        <v>22</v>
      </c>
      <c r="I635" s="55" t="s">
        <v>4753</v>
      </c>
    </row>
    <row r="636" customFormat="false" ht="15" hidden="false" customHeight="false" outlineLevel="0" collapsed="false">
      <c r="A636" s="55" t="s">
        <v>5443</v>
      </c>
      <c r="B636" s="55" t="s">
        <v>554</v>
      </c>
      <c r="C636" s="55" t="s">
        <v>553</v>
      </c>
      <c r="D636" s="55" t="s">
        <v>47</v>
      </c>
      <c r="E636" s="55" t="s">
        <v>4740</v>
      </c>
      <c r="F636" s="55" t="s">
        <v>4745</v>
      </c>
      <c r="G636" s="55" t="s">
        <v>4746</v>
      </c>
      <c r="H636" s="55" t="s">
        <v>22</v>
      </c>
      <c r="I636" s="55" t="s">
        <v>4753</v>
      </c>
    </row>
    <row r="637" customFormat="false" ht="15" hidden="false" customHeight="false" outlineLevel="0" collapsed="false">
      <c r="A637" s="55" t="s">
        <v>5444</v>
      </c>
      <c r="B637" s="55" t="s">
        <v>414</v>
      </c>
      <c r="C637" s="55" t="s">
        <v>413</v>
      </c>
      <c r="D637" s="55" t="s">
        <v>46</v>
      </c>
      <c r="E637" s="55" t="s">
        <v>4740</v>
      </c>
      <c r="F637" s="55" t="s">
        <v>4366</v>
      </c>
      <c r="G637" s="55" t="s">
        <v>4800</v>
      </c>
      <c r="H637" s="55" t="s">
        <v>19</v>
      </c>
      <c r="I637" s="55" t="s">
        <v>4801</v>
      </c>
    </row>
    <row r="638" customFormat="false" ht="15" hidden="false" customHeight="false" outlineLevel="0" collapsed="false">
      <c r="A638" s="55" t="s">
        <v>5445</v>
      </c>
      <c r="B638" s="55" t="s">
        <v>414</v>
      </c>
      <c r="C638" s="55" t="s">
        <v>413</v>
      </c>
      <c r="D638" s="55" t="s">
        <v>47</v>
      </c>
      <c r="E638" s="55" t="s">
        <v>4740</v>
      </c>
      <c r="F638" s="55" t="s">
        <v>4745</v>
      </c>
      <c r="G638" s="55" t="s">
        <v>4746</v>
      </c>
      <c r="H638" s="55" t="s">
        <v>22</v>
      </c>
      <c r="I638" s="55" t="s">
        <v>4753</v>
      </c>
    </row>
    <row r="639" customFormat="false" ht="15" hidden="false" customHeight="false" outlineLevel="0" collapsed="false">
      <c r="A639" s="55" t="s">
        <v>5446</v>
      </c>
      <c r="B639" s="55" t="s">
        <v>1295</v>
      </c>
      <c r="C639" s="55" t="s">
        <v>1294</v>
      </c>
      <c r="D639" s="55" t="s">
        <v>45</v>
      </c>
      <c r="E639" s="55" t="s">
        <v>4740</v>
      </c>
      <c r="F639" s="55" t="s">
        <v>5447</v>
      </c>
      <c r="G639" s="55" t="s">
        <v>5448</v>
      </c>
      <c r="H639" s="55" t="s">
        <v>22</v>
      </c>
      <c r="I639" s="55" t="s">
        <v>5449</v>
      </c>
    </row>
    <row r="640" customFormat="false" ht="15" hidden="false" customHeight="false" outlineLevel="0" collapsed="false">
      <c r="A640" s="55" t="s">
        <v>5450</v>
      </c>
      <c r="B640" s="55" t="s">
        <v>1295</v>
      </c>
      <c r="C640" s="55" t="s">
        <v>1294</v>
      </c>
      <c r="D640" s="55" t="s">
        <v>47</v>
      </c>
      <c r="E640" s="55" t="s">
        <v>4740</v>
      </c>
      <c r="F640" s="55" t="s">
        <v>4745</v>
      </c>
      <c r="G640" s="55" t="s">
        <v>4746</v>
      </c>
      <c r="H640" s="55" t="s">
        <v>22</v>
      </c>
      <c r="I640" s="55" t="s">
        <v>4993</v>
      </c>
    </row>
    <row r="641" customFormat="false" ht="15" hidden="false" customHeight="false" outlineLevel="0" collapsed="false">
      <c r="A641" s="55" t="s">
        <v>5451</v>
      </c>
      <c r="B641" s="55" t="s">
        <v>2640</v>
      </c>
      <c r="C641" s="55" t="s">
        <v>2639</v>
      </c>
      <c r="D641" s="55" t="s">
        <v>47</v>
      </c>
      <c r="E641" s="55" t="s">
        <v>4740</v>
      </c>
      <c r="F641" s="55" t="s">
        <v>4745</v>
      </c>
      <c r="G641" s="55" t="s">
        <v>4746</v>
      </c>
      <c r="H641" s="55" t="s">
        <v>22</v>
      </c>
      <c r="I641" s="55" t="s">
        <v>4753</v>
      </c>
    </row>
    <row r="642" customFormat="false" ht="15" hidden="false" customHeight="false" outlineLevel="0" collapsed="false">
      <c r="A642" s="55" t="s">
        <v>5452</v>
      </c>
      <c r="B642" s="55" t="s">
        <v>208</v>
      </c>
      <c r="C642" s="55" t="s">
        <v>207</v>
      </c>
      <c r="D642" s="55" t="s">
        <v>47</v>
      </c>
      <c r="E642" s="55" t="s">
        <v>4740</v>
      </c>
      <c r="F642" s="55" t="s">
        <v>4745</v>
      </c>
      <c r="G642" s="55" t="s">
        <v>4746</v>
      </c>
      <c r="H642" s="55" t="s">
        <v>22</v>
      </c>
      <c r="I642" s="55" t="s">
        <v>4753</v>
      </c>
    </row>
    <row r="643" customFormat="false" ht="15" hidden="false" customHeight="false" outlineLevel="0" collapsed="false">
      <c r="A643" s="55" t="s">
        <v>5453</v>
      </c>
      <c r="B643" s="55" t="s">
        <v>1331</v>
      </c>
      <c r="C643" s="55" t="s">
        <v>1330</v>
      </c>
      <c r="D643" s="55" t="s">
        <v>45</v>
      </c>
      <c r="E643" s="55" t="s">
        <v>4740</v>
      </c>
      <c r="F643" s="55" t="s">
        <v>4741</v>
      </c>
      <c r="G643" s="55" t="s">
        <v>4742</v>
      </c>
      <c r="H643" s="55" t="s">
        <v>22</v>
      </c>
      <c r="I643" s="55" t="s">
        <v>4743</v>
      </c>
    </row>
    <row r="644" customFormat="false" ht="15" hidden="false" customHeight="false" outlineLevel="0" collapsed="false">
      <c r="A644" s="55" t="s">
        <v>5454</v>
      </c>
      <c r="B644" s="55" t="s">
        <v>1331</v>
      </c>
      <c r="C644" s="55" t="s">
        <v>1330</v>
      </c>
      <c r="D644" s="55" t="s">
        <v>47</v>
      </c>
      <c r="E644" s="55" t="s">
        <v>4740</v>
      </c>
      <c r="F644" s="55" t="s">
        <v>4774</v>
      </c>
      <c r="G644" s="55" t="s">
        <v>4775</v>
      </c>
      <c r="H644" s="55" t="s">
        <v>22</v>
      </c>
      <c r="I644" s="55" t="s">
        <v>4753</v>
      </c>
    </row>
    <row r="645" customFormat="false" ht="15" hidden="false" customHeight="false" outlineLevel="0" collapsed="false">
      <c r="A645" s="55" t="s">
        <v>5455</v>
      </c>
      <c r="B645" s="55" t="s">
        <v>2710</v>
      </c>
      <c r="C645" s="55" t="s">
        <v>2709</v>
      </c>
      <c r="D645" s="55" t="s">
        <v>46</v>
      </c>
      <c r="E645" s="55" t="s">
        <v>4740</v>
      </c>
      <c r="F645" s="55" t="s">
        <v>4774</v>
      </c>
      <c r="G645" s="55" t="s">
        <v>4782</v>
      </c>
      <c r="H645" s="55" t="s">
        <v>19</v>
      </c>
      <c r="I645" s="55" t="s">
        <v>4783</v>
      </c>
    </row>
    <row r="646" customFormat="false" ht="15" hidden="false" customHeight="false" outlineLevel="0" collapsed="false">
      <c r="A646" s="55" t="s">
        <v>5456</v>
      </c>
      <c r="B646" s="55" t="s">
        <v>2710</v>
      </c>
      <c r="C646" s="55" t="s">
        <v>2709</v>
      </c>
      <c r="D646" s="55" t="s">
        <v>47</v>
      </c>
      <c r="E646" s="55" t="s">
        <v>4740</v>
      </c>
      <c r="F646" s="55" t="s">
        <v>4745</v>
      </c>
      <c r="G646" s="55" t="s">
        <v>4746</v>
      </c>
      <c r="H646" s="55" t="s">
        <v>22</v>
      </c>
      <c r="I646" s="55" t="s">
        <v>4753</v>
      </c>
    </row>
    <row r="647" customFormat="false" ht="15" hidden="false" customHeight="false" outlineLevel="0" collapsed="false">
      <c r="A647" s="55" t="s">
        <v>5457</v>
      </c>
      <c r="B647" s="55" t="s">
        <v>1155</v>
      </c>
      <c r="C647" s="55" t="s">
        <v>1154</v>
      </c>
      <c r="D647" s="55" t="s">
        <v>47</v>
      </c>
      <c r="E647" s="55" t="s">
        <v>4740</v>
      </c>
      <c r="F647" s="55" t="s">
        <v>4745</v>
      </c>
      <c r="G647" s="55" t="s">
        <v>4746</v>
      </c>
      <c r="H647" s="55" t="s">
        <v>22</v>
      </c>
      <c r="I647" s="55" t="s">
        <v>4753</v>
      </c>
    </row>
    <row r="648" customFormat="false" ht="15" hidden="false" customHeight="false" outlineLevel="0" collapsed="false">
      <c r="A648" s="55" t="s">
        <v>5458</v>
      </c>
      <c r="B648" s="55" t="s">
        <v>516</v>
      </c>
      <c r="C648" s="55" t="s">
        <v>515</v>
      </c>
      <c r="D648" s="55" t="s">
        <v>45</v>
      </c>
      <c r="E648" s="55" t="s">
        <v>4740</v>
      </c>
      <c r="F648" s="55" t="s">
        <v>4774</v>
      </c>
      <c r="G648" s="55" t="s">
        <v>5459</v>
      </c>
      <c r="H648" s="55" t="s">
        <v>110</v>
      </c>
      <c r="I648" s="55" t="s">
        <v>5183</v>
      </c>
    </row>
    <row r="649" customFormat="false" ht="15" hidden="false" customHeight="false" outlineLevel="0" collapsed="false">
      <c r="A649" s="55" t="s">
        <v>5460</v>
      </c>
      <c r="B649" s="55" t="s">
        <v>516</v>
      </c>
      <c r="C649" s="55" t="s">
        <v>515</v>
      </c>
      <c r="D649" s="55" t="s">
        <v>47</v>
      </c>
      <c r="E649" s="55" t="s">
        <v>4740</v>
      </c>
      <c r="F649" s="55" t="s">
        <v>4749</v>
      </c>
      <c r="G649" s="55" t="s">
        <v>4901</v>
      </c>
      <c r="H649" s="55" t="s">
        <v>19</v>
      </c>
      <c r="I649" s="55" t="s">
        <v>4902</v>
      </c>
    </row>
    <row r="650" customFormat="false" ht="15" hidden="false" customHeight="false" outlineLevel="0" collapsed="false">
      <c r="A650" s="55" t="s">
        <v>5461</v>
      </c>
      <c r="B650" s="55" t="s">
        <v>578</v>
      </c>
      <c r="C650" s="55" t="s">
        <v>577</v>
      </c>
      <c r="D650" s="55" t="s">
        <v>45</v>
      </c>
      <c r="E650" s="55" t="s">
        <v>4740</v>
      </c>
      <c r="F650" s="55" t="s">
        <v>4745</v>
      </c>
      <c r="G650" s="55" t="s">
        <v>4746</v>
      </c>
      <c r="H650" s="55" t="s">
        <v>22</v>
      </c>
      <c r="I650" s="55" t="s">
        <v>4753</v>
      </c>
    </row>
    <row r="651" customFormat="false" ht="15" hidden="false" customHeight="false" outlineLevel="0" collapsed="false">
      <c r="A651" s="55" t="s">
        <v>5462</v>
      </c>
      <c r="B651" s="55" t="s">
        <v>780</v>
      </c>
      <c r="C651" s="55" t="s">
        <v>779</v>
      </c>
      <c r="D651" s="55" t="s">
        <v>47</v>
      </c>
      <c r="E651" s="55" t="s">
        <v>4740</v>
      </c>
      <c r="F651" s="55" t="s">
        <v>4749</v>
      </c>
      <c r="G651" s="55" t="s">
        <v>4750</v>
      </c>
      <c r="H651" s="55" t="s">
        <v>22</v>
      </c>
      <c r="I651" s="55" t="s">
        <v>4751</v>
      </c>
    </row>
    <row r="652" customFormat="false" ht="15" hidden="false" customHeight="false" outlineLevel="0" collapsed="false">
      <c r="A652" s="55" t="s">
        <v>5463</v>
      </c>
      <c r="B652" s="55" t="s">
        <v>1394</v>
      </c>
      <c r="C652" s="55" t="s">
        <v>1393</v>
      </c>
      <c r="D652" s="55" t="s">
        <v>46</v>
      </c>
      <c r="E652" s="55" t="s">
        <v>4740</v>
      </c>
      <c r="F652" s="55" t="s">
        <v>4774</v>
      </c>
      <c r="G652" s="55" t="s">
        <v>4782</v>
      </c>
      <c r="H652" s="55" t="s">
        <v>19</v>
      </c>
      <c r="I652" s="55" t="s">
        <v>4808</v>
      </c>
    </row>
    <row r="653" customFormat="false" ht="15" hidden="false" customHeight="false" outlineLevel="0" collapsed="false">
      <c r="A653" s="55" t="s">
        <v>5464</v>
      </c>
      <c r="B653" s="55" t="s">
        <v>1394</v>
      </c>
      <c r="C653" s="55" t="s">
        <v>1393</v>
      </c>
      <c r="D653" s="55" t="s">
        <v>47</v>
      </c>
      <c r="E653" s="55" t="s">
        <v>4740</v>
      </c>
      <c r="F653" s="55" t="s">
        <v>4745</v>
      </c>
      <c r="G653" s="55" t="s">
        <v>4746</v>
      </c>
      <c r="H653" s="55" t="s">
        <v>22</v>
      </c>
      <c r="I653" s="55" t="s">
        <v>4753</v>
      </c>
    </row>
    <row r="654" customFormat="false" ht="15" hidden="false" customHeight="false" outlineLevel="0" collapsed="false">
      <c r="A654" s="55" t="s">
        <v>5465</v>
      </c>
      <c r="B654" s="55" t="s">
        <v>336</v>
      </c>
      <c r="C654" s="55" t="s">
        <v>335</v>
      </c>
      <c r="D654" s="55" t="s">
        <v>47</v>
      </c>
      <c r="E654" s="55" t="s">
        <v>4740</v>
      </c>
      <c r="F654" s="55" t="s">
        <v>4745</v>
      </c>
      <c r="G654" s="55" t="s">
        <v>4746</v>
      </c>
      <c r="H654" s="55" t="s">
        <v>22</v>
      </c>
      <c r="I654" s="55" t="s">
        <v>4753</v>
      </c>
    </row>
    <row r="655" customFormat="false" ht="15" hidden="false" customHeight="false" outlineLevel="0" collapsed="false">
      <c r="A655" s="55" t="s">
        <v>5466</v>
      </c>
      <c r="B655" s="55" t="s">
        <v>254</v>
      </c>
      <c r="C655" s="55" t="s">
        <v>253</v>
      </c>
      <c r="D655" s="55" t="s">
        <v>46</v>
      </c>
      <c r="E655" s="55" t="s">
        <v>4740</v>
      </c>
      <c r="F655" s="55" t="s">
        <v>4741</v>
      </c>
      <c r="G655" s="55" t="s">
        <v>4742</v>
      </c>
      <c r="H655" s="55" t="s">
        <v>22</v>
      </c>
      <c r="I655" s="55" t="s">
        <v>4743</v>
      </c>
    </row>
    <row r="656" customFormat="false" ht="15" hidden="false" customHeight="false" outlineLevel="0" collapsed="false">
      <c r="A656" s="55" t="s">
        <v>5467</v>
      </c>
      <c r="B656" s="55" t="s">
        <v>254</v>
      </c>
      <c r="C656" s="55" t="s">
        <v>253</v>
      </c>
      <c r="D656" s="55" t="s">
        <v>47</v>
      </c>
      <c r="E656" s="55" t="s">
        <v>4740</v>
      </c>
      <c r="F656" s="55" t="s">
        <v>4366</v>
      </c>
      <c r="G656" s="55" t="s">
        <v>4779</v>
      </c>
      <c r="H656" s="55" t="s">
        <v>22</v>
      </c>
      <c r="I656" s="55" t="s">
        <v>4780</v>
      </c>
    </row>
    <row r="657" customFormat="false" ht="15" hidden="false" customHeight="false" outlineLevel="0" collapsed="false">
      <c r="A657" s="55" t="s">
        <v>5468</v>
      </c>
      <c r="B657" s="55" t="s">
        <v>372</v>
      </c>
      <c r="C657" s="55" t="s">
        <v>371</v>
      </c>
      <c r="D657" s="55" t="s">
        <v>46</v>
      </c>
      <c r="E657" s="55" t="s">
        <v>4740</v>
      </c>
      <c r="F657" s="55" t="s">
        <v>4741</v>
      </c>
      <c r="G657" s="55" t="s">
        <v>4742</v>
      </c>
      <c r="H657" s="55" t="s">
        <v>22</v>
      </c>
      <c r="I657" s="55" t="s">
        <v>4743</v>
      </c>
    </row>
    <row r="658" customFormat="false" ht="15" hidden="false" customHeight="false" outlineLevel="0" collapsed="false">
      <c r="A658" s="55" t="s">
        <v>5469</v>
      </c>
      <c r="B658" s="55" t="s">
        <v>620</v>
      </c>
      <c r="C658" s="55" t="s">
        <v>619</v>
      </c>
      <c r="D658" s="55" t="s">
        <v>46</v>
      </c>
      <c r="E658" s="55" t="s">
        <v>4740</v>
      </c>
      <c r="F658" s="55" t="s">
        <v>4577</v>
      </c>
      <c r="G658" s="55" t="s">
        <v>4819</v>
      </c>
      <c r="H658" s="55" t="s">
        <v>22</v>
      </c>
      <c r="I658" s="55" t="s">
        <v>4820</v>
      </c>
    </row>
    <row r="659" customFormat="false" ht="15" hidden="false" customHeight="false" outlineLevel="0" collapsed="false">
      <c r="A659" s="55" t="s">
        <v>5470</v>
      </c>
      <c r="B659" s="55" t="s">
        <v>514</v>
      </c>
      <c r="C659" s="55" t="s">
        <v>513</v>
      </c>
      <c r="D659" s="55" t="s">
        <v>47</v>
      </c>
      <c r="E659" s="55" t="s">
        <v>4740</v>
      </c>
      <c r="F659" s="55" t="s">
        <v>4745</v>
      </c>
      <c r="G659" s="55" t="s">
        <v>4746</v>
      </c>
      <c r="H659" s="55" t="s">
        <v>22</v>
      </c>
      <c r="I659" s="55" t="s">
        <v>4753</v>
      </c>
    </row>
    <row r="660" customFormat="false" ht="15" hidden="false" customHeight="false" outlineLevel="0" collapsed="false">
      <c r="A660" s="55" t="s">
        <v>5471</v>
      </c>
      <c r="B660" s="55" t="s">
        <v>2194</v>
      </c>
      <c r="C660" s="55" t="s">
        <v>2193</v>
      </c>
      <c r="D660" s="55" t="s">
        <v>47</v>
      </c>
      <c r="E660" s="55" t="s">
        <v>4740</v>
      </c>
      <c r="F660" s="55" t="s">
        <v>4741</v>
      </c>
      <c r="G660" s="55" t="s">
        <v>4742</v>
      </c>
      <c r="H660" s="55" t="s">
        <v>22</v>
      </c>
      <c r="I660" s="55" t="s">
        <v>4743</v>
      </c>
    </row>
    <row r="661" customFormat="false" ht="15" hidden="false" customHeight="false" outlineLevel="0" collapsed="false">
      <c r="A661" s="55" t="s">
        <v>5472</v>
      </c>
      <c r="B661" s="55" t="s">
        <v>310</v>
      </c>
      <c r="C661" s="55" t="s">
        <v>309</v>
      </c>
      <c r="D661" s="55" t="s">
        <v>46</v>
      </c>
      <c r="E661" s="55" t="s">
        <v>4740</v>
      </c>
      <c r="F661" s="55" t="s">
        <v>4749</v>
      </c>
      <c r="G661" s="55" t="s">
        <v>4750</v>
      </c>
      <c r="H661" s="55" t="s">
        <v>22</v>
      </c>
      <c r="I661" s="55" t="s">
        <v>4751</v>
      </c>
    </row>
    <row r="662" customFormat="false" ht="15" hidden="false" customHeight="false" outlineLevel="0" collapsed="false">
      <c r="A662" s="55" t="s">
        <v>5473</v>
      </c>
      <c r="B662" s="55" t="s">
        <v>310</v>
      </c>
      <c r="C662" s="55" t="s">
        <v>309</v>
      </c>
      <c r="D662" s="55" t="s">
        <v>47</v>
      </c>
      <c r="E662" s="55" t="s">
        <v>4740</v>
      </c>
      <c r="F662" s="55" t="s">
        <v>4741</v>
      </c>
      <c r="G662" s="55" t="s">
        <v>4742</v>
      </c>
      <c r="H662" s="55" t="s">
        <v>22</v>
      </c>
      <c r="I662" s="55" t="s">
        <v>4743</v>
      </c>
    </row>
    <row r="663" customFormat="false" ht="15" hidden="false" customHeight="false" outlineLevel="0" collapsed="false">
      <c r="A663" s="55" t="s">
        <v>5474</v>
      </c>
      <c r="B663" s="55" t="s">
        <v>1325</v>
      </c>
      <c r="C663" s="55" t="s">
        <v>1324</v>
      </c>
      <c r="D663" s="55" t="s">
        <v>45</v>
      </c>
      <c r="E663" s="55" t="s">
        <v>4740</v>
      </c>
      <c r="F663" s="55" t="s">
        <v>4745</v>
      </c>
      <c r="G663" s="55" t="s">
        <v>4746</v>
      </c>
      <c r="H663" s="55" t="s">
        <v>22</v>
      </c>
      <c r="I663" s="55" t="s">
        <v>4747</v>
      </c>
    </row>
    <row r="664" customFormat="false" ht="15" hidden="false" customHeight="false" outlineLevel="0" collapsed="false">
      <c r="A664" s="55" t="s">
        <v>5475</v>
      </c>
      <c r="B664" s="55" t="s">
        <v>1325</v>
      </c>
      <c r="C664" s="55" t="s">
        <v>1324</v>
      </c>
      <c r="D664" s="55" t="s">
        <v>46</v>
      </c>
      <c r="E664" s="55" t="s">
        <v>4740</v>
      </c>
      <c r="F664" s="55" t="s">
        <v>4741</v>
      </c>
      <c r="G664" s="55" t="s">
        <v>4742</v>
      </c>
      <c r="H664" s="55" t="s">
        <v>22</v>
      </c>
      <c r="I664" s="55" t="s">
        <v>4743</v>
      </c>
    </row>
    <row r="665" customFormat="false" ht="15" hidden="false" customHeight="false" outlineLevel="0" collapsed="false">
      <c r="A665" s="55" t="s">
        <v>5476</v>
      </c>
      <c r="B665" s="55" t="s">
        <v>1325</v>
      </c>
      <c r="C665" s="55" t="s">
        <v>1324</v>
      </c>
      <c r="D665" s="55" t="s">
        <v>47</v>
      </c>
      <c r="E665" s="55" t="s">
        <v>4740</v>
      </c>
      <c r="F665" s="55" t="s">
        <v>4774</v>
      </c>
      <c r="G665" s="55" t="s">
        <v>4775</v>
      </c>
      <c r="H665" s="55" t="s">
        <v>22</v>
      </c>
      <c r="I665" s="55" t="s">
        <v>4753</v>
      </c>
    </row>
    <row r="666" customFormat="false" ht="15" hidden="false" customHeight="false" outlineLevel="0" collapsed="false">
      <c r="A666" s="55" t="s">
        <v>5477</v>
      </c>
      <c r="B666" s="55" t="s">
        <v>1546</v>
      </c>
      <c r="C666" s="55" t="s">
        <v>1545</v>
      </c>
      <c r="D666" s="55" t="s">
        <v>45</v>
      </c>
      <c r="E666" s="55" t="s">
        <v>4740</v>
      </c>
      <c r="F666" s="55" t="s">
        <v>4745</v>
      </c>
      <c r="G666" s="55" t="s">
        <v>4746</v>
      </c>
      <c r="H666" s="55" t="s">
        <v>22</v>
      </c>
      <c r="I666" s="55" t="s">
        <v>4753</v>
      </c>
    </row>
    <row r="667" customFormat="false" ht="15" hidden="false" customHeight="false" outlineLevel="0" collapsed="false">
      <c r="A667" s="55" t="s">
        <v>5478</v>
      </c>
      <c r="B667" s="55" t="s">
        <v>1546</v>
      </c>
      <c r="C667" s="55" t="s">
        <v>1545</v>
      </c>
      <c r="D667" s="55" t="s">
        <v>47</v>
      </c>
      <c r="E667" s="55" t="s">
        <v>4740</v>
      </c>
      <c r="F667" s="55" t="s">
        <v>4745</v>
      </c>
      <c r="G667" s="55" t="s">
        <v>4746</v>
      </c>
      <c r="H667" s="55" t="s">
        <v>22</v>
      </c>
      <c r="I667" s="55" t="s">
        <v>4753</v>
      </c>
    </row>
    <row r="668" customFormat="false" ht="15" hidden="false" customHeight="false" outlineLevel="0" collapsed="false">
      <c r="A668" s="55" t="s">
        <v>5479</v>
      </c>
      <c r="B668" s="55" t="s">
        <v>140</v>
      </c>
      <c r="C668" s="55" t="s">
        <v>139</v>
      </c>
      <c r="D668" s="55" t="s">
        <v>47</v>
      </c>
      <c r="E668" s="55" t="s">
        <v>4740</v>
      </c>
      <c r="F668" s="55" t="s">
        <v>4745</v>
      </c>
      <c r="G668" s="55" t="s">
        <v>4746</v>
      </c>
      <c r="H668" s="55" t="s">
        <v>22</v>
      </c>
      <c r="I668" s="55" t="s">
        <v>4747</v>
      </c>
    </row>
    <row r="669" customFormat="false" ht="15" hidden="false" customHeight="false" outlineLevel="0" collapsed="false">
      <c r="A669" s="55" t="s">
        <v>5480</v>
      </c>
      <c r="B669" s="55" t="s">
        <v>386</v>
      </c>
      <c r="C669" s="55" t="s">
        <v>385</v>
      </c>
      <c r="D669" s="55" t="s">
        <v>45</v>
      </c>
      <c r="E669" s="55" t="s">
        <v>4740</v>
      </c>
      <c r="F669" s="55" t="s">
        <v>4745</v>
      </c>
      <c r="G669" s="55" t="s">
        <v>4746</v>
      </c>
      <c r="H669" s="55" t="s">
        <v>22</v>
      </c>
      <c r="I669" s="55" t="s">
        <v>4747</v>
      </c>
    </row>
    <row r="670" customFormat="false" ht="15" hidden="false" customHeight="false" outlineLevel="0" collapsed="false">
      <c r="A670" s="55" t="s">
        <v>5481</v>
      </c>
      <c r="B670" s="55" t="s">
        <v>386</v>
      </c>
      <c r="C670" s="55" t="s">
        <v>385</v>
      </c>
      <c r="D670" s="55" t="s">
        <v>46</v>
      </c>
      <c r="E670" s="55" t="s">
        <v>4740</v>
      </c>
      <c r="F670" s="55" t="s">
        <v>4745</v>
      </c>
      <c r="G670" s="55" t="s">
        <v>4746</v>
      </c>
      <c r="H670" s="55" t="s">
        <v>22</v>
      </c>
      <c r="I670" s="55" t="s">
        <v>4753</v>
      </c>
    </row>
    <row r="671" customFormat="false" ht="15" hidden="false" customHeight="false" outlineLevel="0" collapsed="false">
      <c r="A671" s="55" t="s">
        <v>5482</v>
      </c>
      <c r="B671" s="55" t="s">
        <v>386</v>
      </c>
      <c r="C671" s="55" t="s">
        <v>385</v>
      </c>
      <c r="D671" s="55" t="s">
        <v>47</v>
      </c>
      <c r="E671" s="55" t="s">
        <v>4740</v>
      </c>
      <c r="F671" s="55" t="s">
        <v>4745</v>
      </c>
      <c r="G671" s="55" t="s">
        <v>4746</v>
      </c>
      <c r="H671" s="55" t="s">
        <v>22</v>
      </c>
      <c r="I671" s="55" t="s">
        <v>4753</v>
      </c>
    </row>
    <row r="672" customFormat="false" ht="15" hidden="false" customHeight="false" outlineLevel="0" collapsed="false">
      <c r="A672" s="55" t="s">
        <v>5483</v>
      </c>
      <c r="B672" s="55" t="s">
        <v>830</v>
      </c>
      <c r="C672" s="55" t="s">
        <v>829</v>
      </c>
      <c r="D672" s="55" t="s">
        <v>47</v>
      </c>
      <c r="E672" s="55" t="s">
        <v>4740</v>
      </c>
      <c r="F672" s="55" t="s">
        <v>4934</v>
      </c>
      <c r="G672" s="55" t="s">
        <v>5049</v>
      </c>
      <c r="H672" s="55" t="s">
        <v>19</v>
      </c>
      <c r="I672" s="55" t="s">
        <v>4783</v>
      </c>
    </row>
    <row r="673" customFormat="false" ht="15" hidden="false" customHeight="false" outlineLevel="0" collapsed="false">
      <c r="A673" s="55" t="s">
        <v>5484</v>
      </c>
      <c r="B673" s="55" t="s">
        <v>616</v>
      </c>
      <c r="C673" s="55" t="s">
        <v>615</v>
      </c>
      <c r="D673" s="55" t="s">
        <v>45</v>
      </c>
      <c r="E673" s="55" t="s">
        <v>4740</v>
      </c>
      <c r="F673" s="55" t="s">
        <v>4770</v>
      </c>
      <c r="G673" s="55" t="s">
        <v>4771</v>
      </c>
      <c r="H673" s="55" t="s">
        <v>22</v>
      </c>
      <c r="I673" s="55" t="s">
        <v>4772</v>
      </c>
    </row>
    <row r="674" customFormat="false" ht="15" hidden="false" customHeight="false" outlineLevel="0" collapsed="false">
      <c r="A674" s="55" t="s">
        <v>5485</v>
      </c>
      <c r="B674" s="55" t="s">
        <v>1506</v>
      </c>
      <c r="C674" s="55" t="s">
        <v>1505</v>
      </c>
      <c r="D674" s="55" t="s">
        <v>47</v>
      </c>
      <c r="E674" s="55" t="s">
        <v>4740</v>
      </c>
      <c r="F674" s="55" t="s">
        <v>4745</v>
      </c>
      <c r="G674" s="55" t="s">
        <v>4746</v>
      </c>
      <c r="H674" s="55" t="s">
        <v>22</v>
      </c>
      <c r="I674" s="55" t="s">
        <v>4753</v>
      </c>
    </row>
    <row r="675" customFormat="false" ht="15" hidden="false" customHeight="false" outlineLevel="0" collapsed="false">
      <c r="A675" s="55" t="s">
        <v>5486</v>
      </c>
      <c r="B675" s="55" t="s">
        <v>2771</v>
      </c>
      <c r="C675" s="55" t="s">
        <v>2770</v>
      </c>
      <c r="D675" s="55" t="s">
        <v>47</v>
      </c>
      <c r="E675" s="55" t="s">
        <v>4740</v>
      </c>
      <c r="F675" s="55" t="s">
        <v>4745</v>
      </c>
      <c r="G675" s="55" t="s">
        <v>4746</v>
      </c>
      <c r="H675" s="55" t="s">
        <v>22</v>
      </c>
      <c r="I675" s="55" t="s">
        <v>4747</v>
      </c>
    </row>
    <row r="676" customFormat="false" ht="15" hidden="false" customHeight="false" outlineLevel="0" collapsed="false">
      <c r="A676" s="55" t="s">
        <v>5487</v>
      </c>
      <c r="B676" s="55" t="s">
        <v>986</v>
      </c>
      <c r="C676" s="55" t="s">
        <v>985</v>
      </c>
      <c r="D676" s="55" t="s">
        <v>45</v>
      </c>
      <c r="E676" s="55" t="s">
        <v>4740</v>
      </c>
      <c r="F676" s="55" t="s">
        <v>4745</v>
      </c>
      <c r="G676" s="55" t="s">
        <v>4746</v>
      </c>
      <c r="H676" s="55" t="s">
        <v>22</v>
      </c>
      <c r="I676" s="55" t="s">
        <v>4753</v>
      </c>
    </row>
    <row r="677" customFormat="false" ht="15" hidden="false" customHeight="false" outlineLevel="0" collapsed="false">
      <c r="A677" s="55" t="s">
        <v>5488</v>
      </c>
      <c r="B677" s="55" t="s">
        <v>986</v>
      </c>
      <c r="C677" s="55" t="s">
        <v>985</v>
      </c>
      <c r="D677" s="55" t="s">
        <v>47</v>
      </c>
      <c r="E677" s="55" t="s">
        <v>4740</v>
      </c>
      <c r="F677" s="55" t="s">
        <v>4766</v>
      </c>
      <c r="G677" s="55" t="s">
        <v>4767</v>
      </c>
      <c r="H677" s="55" t="s">
        <v>22</v>
      </c>
      <c r="I677" s="55" t="s">
        <v>4753</v>
      </c>
    </row>
    <row r="678" customFormat="false" ht="15" hidden="false" customHeight="false" outlineLevel="0" collapsed="false">
      <c r="A678" s="55" t="s">
        <v>5489</v>
      </c>
      <c r="B678" s="55" t="s">
        <v>480</v>
      </c>
      <c r="C678" s="55" t="s">
        <v>479</v>
      </c>
      <c r="D678" s="55" t="s">
        <v>47</v>
      </c>
      <c r="E678" s="55" t="s">
        <v>4740</v>
      </c>
      <c r="F678" s="55" t="s">
        <v>4745</v>
      </c>
      <c r="G678" s="55" t="s">
        <v>4746</v>
      </c>
      <c r="H678" s="55" t="s">
        <v>22</v>
      </c>
      <c r="I678" s="55" t="s">
        <v>4753</v>
      </c>
    </row>
    <row r="679" customFormat="false" ht="15" hidden="false" customHeight="false" outlineLevel="0" collapsed="false">
      <c r="A679" s="55" t="s">
        <v>5490</v>
      </c>
      <c r="B679" s="55" t="s">
        <v>2768</v>
      </c>
      <c r="C679" s="55" t="s">
        <v>2767</v>
      </c>
      <c r="D679" s="55" t="s">
        <v>45</v>
      </c>
      <c r="E679" s="55" t="s">
        <v>4740</v>
      </c>
      <c r="F679" s="55" t="s">
        <v>4774</v>
      </c>
      <c r="G679" s="55" t="s">
        <v>4775</v>
      </c>
      <c r="H679" s="55" t="s">
        <v>22</v>
      </c>
      <c r="I679" s="55" t="s">
        <v>4753</v>
      </c>
    </row>
    <row r="680" customFormat="false" ht="15" hidden="false" customHeight="false" outlineLevel="0" collapsed="false">
      <c r="A680" s="55" t="s">
        <v>5491</v>
      </c>
      <c r="B680" s="55" t="s">
        <v>804</v>
      </c>
      <c r="C680" s="55" t="s">
        <v>803</v>
      </c>
      <c r="D680" s="55" t="s">
        <v>47</v>
      </c>
      <c r="E680" s="55" t="s">
        <v>4740</v>
      </c>
      <c r="F680" s="55" t="s">
        <v>4749</v>
      </c>
      <c r="G680" s="55" t="s">
        <v>4750</v>
      </c>
      <c r="H680" s="55" t="s">
        <v>22</v>
      </c>
      <c r="I680" s="55" t="s">
        <v>4751</v>
      </c>
    </row>
    <row r="681" customFormat="false" ht="15" hidden="false" customHeight="false" outlineLevel="0" collapsed="false">
      <c r="A681" s="55" t="s">
        <v>5492</v>
      </c>
      <c r="B681" s="55" t="s">
        <v>246</v>
      </c>
      <c r="C681" s="55" t="s">
        <v>245</v>
      </c>
      <c r="D681" s="55" t="s">
        <v>47</v>
      </c>
      <c r="E681" s="55" t="s">
        <v>4740</v>
      </c>
      <c r="F681" s="55" t="s">
        <v>4745</v>
      </c>
      <c r="G681" s="55" t="s">
        <v>4746</v>
      </c>
      <c r="H681" s="55" t="s">
        <v>22</v>
      </c>
      <c r="I681" s="55" t="s">
        <v>4753</v>
      </c>
    </row>
    <row r="682" customFormat="false" ht="15" hidden="false" customHeight="false" outlineLevel="0" collapsed="false">
      <c r="A682" s="55" t="s">
        <v>5493</v>
      </c>
      <c r="B682" s="55" t="s">
        <v>584</v>
      </c>
      <c r="C682" s="55" t="s">
        <v>583</v>
      </c>
      <c r="D682" s="55" t="s">
        <v>46</v>
      </c>
      <c r="E682" s="55" t="s">
        <v>4740</v>
      </c>
      <c r="F682" s="55" t="s">
        <v>4770</v>
      </c>
      <c r="G682" s="55" t="s">
        <v>4771</v>
      </c>
      <c r="H682" s="55" t="s">
        <v>22</v>
      </c>
      <c r="I682" s="55" t="s">
        <v>4772</v>
      </c>
    </row>
    <row r="683" customFormat="false" ht="15" hidden="false" customHeight="false" outlineLevel="0" collapsed="false">
      <c r="A683" s="55" t="s">
        <v>5494</v>
      </c>
      <c r="B683" s="55" t="s">
        <v>584</v>
      </c>
      <c r="C683" s="55" t="s">
        <v>583</v>
      </c>
      <c r="D683" s="55" t="s">
        <v>47</v>
      </c>
      <c r="E683" s="55" t="s">
        <v>4740</v>
      </c>
      <c r="F683" s="55" t="s">
        <v>4745</v>
      </c>
      <c r="G683" s="55" t="s">
        <v>4746</v>
      </c>
      <c r="H683" s="55" t="s">
        <v>22</v>
      </c>
      <c r="I683" s="55" t="s">
        <v>4753</v>
      </c>
    </row>
    <row r="684" customFormat="false" ht="15" hidden="false" customHeight="false" outlineLevel="0" collapsed="false">
      <c r="A684" s="55" t="s">
        <v>5495</v>
      </c>
      <c r="B684" s="55" t="s">
        <v>144</v>
      </c>
      <c r="C684" s="55" t="s">
        <v>143</v>
      </c>
      <c r="D684" s="55" t="s">
        <v>45</v>
      </c>
      <c r="E684" s="55" t="s">
        <v>4740</v>
      </c>
      <c r="F684" s="55" t="s">
        <v>4749</v>
      </c>
      <c r="G684" s="55" t="s">
        <v>4750</v>
      </c>
      <c r="H684" s="55" t="s">
        <v>22</v>
      </c>
      <c r="I684" s="55" t="s">
        <v>4751</v>
      </c>
    </row>
    <row r="685" customFormat="false" ht="15" hidden="false" customHeight="false" outlineLevel="0" collapsed="false">
      <c r="A685" s="55" t="s">
        <v>5496</v>
      </c>
      <c r="B685" s="55" t="s">
        <v>2018</v>
      </c>
      <c r="C685" s="55" t="s">
        <v>2017</v>
      </c>
      <c r="D685" s="55" t="s">
        <v>46</v>
      </c>
      <c r="E685" s="55" t="s">
        <v>4740</v>
      </c>
      <c r="F685" s="55" t="s">
        <v>4749</v>
      </c>
      <c r="G685" s="55" t="s">
        <v>4750</v>
      </c>
      <c r="H685" s="55" t="s">
        <v>22</v>
      </c>
      <c r="I685" s="55" t="s">
        <v>4751</v>
      </c>
    </row>
    <row r="686" customFormat="false" ht="15" hidden="false" customHeight="false" outlineLevel="0" collapsed="false">
      <c r="A686" s="55" t="s">
        <v>5497</v>
      </c>
      <c r="B686" s="55" t="s">
        <v>1838</v>
      </c>
      <c r="C686" s="55" t="s">
        <v>1837</v>
      </c>
      <c r="D686" s="55" t="s">
        <v>47</v>
      </c>
      <c r="E686" s="55" t="s">
        <v>4740</v>
      </c>
      <c r="F686" s="55" t="s">
        <v>4745</v>
      </c>
      <c r="G686" s="55" t="s">
        <v>4746</v>
      </c>
      <c r="H686" s="55" t="s">
        <v>22</v>
      </c>
      <c r="I686" s="55" t="s">
        <v>4753</v>
      </c>
    </row>
    <row r="687" customFormat="false" ht="15" hidden="false" customHeight="false" outlineLevel="0" collapsed="false">
      <c r="A687" s="55" t="s">
        <v>5498</v>
      </c>
      <c r="B687" s="55" t="s">
        <v>151</v>
      </c>
      <c r="C687" s="55" t="s">
        <v>150</v>
      </c>
      <c r="D687" s="55" t="s">
        <v>47</v>
      </c>
      <c r="E687" s="55" t="s">
        <v>4740</v>
      </c>
      <c r="F687" s="55" t="s">
        <v>4770</v>
      </c>
      <c r="G687" s="55" t="s">
        <v>4771</v>
      </c>
      <c r="H687" s="55" t="s">
        <v>22</v>
      </c>
      <c r="I687" s="55" t="s">
        <v>4772</v>
      </c>
    </row>
    <row r="688" customFormat="false" ht="15" hidden="false" customHeight="false" outlineLevel="0" collapsed="false">
      <c r="A688" s="55" t="s">
        <v>5499</v>
      </c>
      <c r="B688" s="55" t="s">
        <v>2236</v>
      </c>
      <c r="C688" s="55" t="s">
        <v>2235</v>
      </c>
      <c r="D688" s="55" t="s">
        <v>47</v>
      </c>
      <c r="E688" s="55" t="s">
        <v>4740</v>
      </c>
      <c r="F688" s="55" t="s">
        <v>4745</v>
      </c>
      <c r="G688" s="55" t="s">
        <v>4746</v>
      </c>
      <c r="H688" s="55" t="s">
        <v>22</v>
      </c>
      <c r="I688" s="55" t="s">
        <v>4753</v>
      </c>
    </row>
    <row r="689" customFormat="false" ht="15" hidden="false" customHeight="false" outlineLevel="0" collapsed="false">
      <c r="A689" s="55" t="s">
        <v>5500</v>
      </c>
      <c r="B689" s="55" t="s">
        <v>85</v>
      </c>
      <c r="C689" s="55" t="s">
        <v>84</v>
      </c>
      <c r="D689" s="55" t="s">
        <v>45</v>
      </c>
      <c r="E689" s="55" t="s">
        <v>4740</v>
      </c>
      <c r="F689" s="55" t="s">
        <v>4741</v>
      </c>
      <c r="G689" s="55" t="s">
        <v>4742</v>
      </c>
      <c r="H689" s="55" t="s">
        <v>22</v>
      </c>
      <c r="I689" s="55" t="s">
        <v>4743</v>
      </c>
    </row>
    <row r="690" customFormat="false" ht="15" hidden="false" customHeight="false" outlineLevel="0" collapsed="false">
      <c r="A690" s="55" t="s">
        <v>5501</v>
      </c>
      <c r="B690" s="55" t="s">
        <v>1530</v>
      </c>
      <c r="C690" s="55" t="s">
        <v>1529</v>
      </c>
      <c r="D690" s="55" t="s">
        <v>45</v>
      </c>
      <c r="E690" s="55" t="s">
        <v>4740</v>
      </c>
      <c r="F690" s="55" t="s">
        <v>4749</v>
      </c>
      <c r="G690" s="55" t="s">
        <v>4750</v>
      </c>
      <c r="H690" s="55" t="s">
        <v>22</v>
      </c>
      <c r="I690" s="55" t="s">
        <v>4751</v>
      </c>
    </row>
    <row r="691" customFormat="false" ht="15" hidden="false" customHeight="false" outlineLevel="0" collapsed="false">
      <c r="A691" s="55" t="s">
        <v>5502</v>
      </c>
      <c r="B691" s="55" t="s">
        <v>1852</v>
      </c>
      <c r="C691" s="55" t="s">
        <v>1851</v>
      </c>
      <c r="D691" s="55" t="s">
        <v>47</v>
      </c>
      <c r="E691" s="55" t="s">
        <v>4740</v>
      </c>
      <c r="F691" s="55" t="s">
        <v>4934</v>
      </c>
      <c r="G691" s="55" t="s">
        <v>4935</v>
      </c>
      <c r="H691" s="55" t="s">
        <v>22</v>
      </c>
      <c r="I691" s="55" t="s">
        <v>4753</v>
      </c>
    </row>
    <row r="692" customFormat="false" ht="15" hidden="false" customHeight="false" outlineLevel="0" collapsed="false">
      <c r="A692" s="55" t="s">
        <v>5503</v>
      </c>
      <c r="B692" s="55" t="s">
        <v>268</v>
      </c>
      <c r="C692" s="55" t="s">
        <v>267</v>
      </c>
      <c r="D692" s="55" t="s">
        <v>47</v>
      </c>
      <c r="E692" s="55" t="s">
        <v>4740</v>
      </c>
      <c r="F692" s="55" t="s">
        <v>4745</v>
      </c>
      <c r="G692" s="55" t="s">
        <v>4746</v>
      </c>
      <c r="H692" s="55" t="s">
        <v>22</v>
      </c>
      <c r="I692" s="55" t="s">
        <v>4753</v>
      </c>
    </row>
    <row r="693" customFormat="false" ht="15" hidden="false" customHeight="false" outlineLevel="0" collapsed="false">
      <c r="A693" s="55" t="s">
        <v>5504</v>
      </c>
      <c r="B693" s="55" t="s">
        <v>1849</v>
      </c>
      <c r="C693" s="55" t="s">
        <v>1848</v>
      </c>
      <c r="D693" s="55" t="s">
        <v>45</v>
      </c>
      <c r="E693" s="55" t="s">
        <v>4740</v>
      </c>
      <c r="F693" s="55" t="s">
        <v>4804</v>
      </c>
      <c r="G693" s="55" t="s">
        <v>4805</v>
      </c>
      <c r="H693" s="55" t="s">
        <v>19</v>
      </c>
      <c r="I693" s="55" t="s">
        <v>4806</v>
      </c>
    </row>
    <row r="694" customFormat="false" ht="15" hidden="false" customHeight="false" outlineLevel="0" collapsed="false">
      <c r="A694" s="55" t="s">
        <v>5505</v>
      </c>
      <c r="B694" s="55" t="s">
        <v>1849</v>
      </c>
      <c r="C694" s="55" t="s">
        <v>1848</v>
      </c>
      <c r="D694" s="55" t="s">
        <v>47</v>
      </c>
      <c r="E694" s="55" t="s">
        <v>4740</v>
      </c>
      <c r="F694" s="55" t="s">
        <v>4745</v>
      </c>
      <c r="G694" s="55" t="s">
        <v>4746</v>
      </c>
      <c r="H694" s="55" t="s">
        <v>22</v>
      </c>
      <c r="I694" s="55" t="s">
        <v>4747</v>
      </c>
    </row>
    <row r="695" customFormat="false" ht="15" hidden="false" customHeight="false" outlineLevel="0" collapsed="false">
      <c r="A695" s="55" t="s">
        <v>5506</v>
      </c>
      <c r="B695" s="55" t="s">
        <v>458</v>
      </c>
      <c r="C695" s="55" t="s">
        <v>457</v>
      </c>
      <c r="D695" s="55" t="s">
        <v>46</v>
      </c>
      <c r="E695" s="55" t="s">
        <v>4740</v>
      </c>
      <c r="F695" s="55" t="s">
        <v>4741</v>
      </c>
      <c r="G695" s="55" t="s">
        <v>4742</v>
      </c>
      <c r="H695" s="55" t="s">
        <v>22</v>
      </c>
      <c r="I695" s="55" t="s">
        <v>4743</v>
      </c>
    </row>
    <row r="696" customFormat="false" ht="15" hidden="false" customHeight="false" outlineLevel="0" collapsed="false">
      <c r="A696" s="55" t="s">
        <v>5507</v>
      </c>
      <c r="B696" s="55" t="s">
        <v>458</v>
      </c>
      <c r="C696" s="55" t="s">
        <v>457</v>
      </c>
      <c r="D696" s="55" t="s">
        <v>47</v>
      </c>
      <c r="E696" s="55" t="s">
        <v>4740</v>
      </c>
      <c r="F696" s="55" t="s">
        <v>4745</v>
      </c>
      <c r="G696" s="55" t="s">
        <v>4746</v>
      </c>
      <c r="H696" s="55" t="s">
        <v>22</v>
      </c>
      <c r="I696" s="55" t="s">
        <v>4753</v>
      </c>
    </row>
    <row r="697" customFormat="false" ht="15" hidden="false" customHeight="false" outlineLevel="0" collapsed="false">
      <c r="A697" s="55" t="s">
        <v>5508</v>
      </c>
      <c r="B697" s="55" t="s">
        <v>312</v>
      </c>
      <c r="C697" s="55" t="s">
        <v>311</v>
      </c>
      <c r="D697" s="55" t="s">
        <v>47</v>
      </c>
      <c r="E697" s="55" t="s">
        <v>4740</v>
      </c>
      <c r="F697" s="55" t="s">
        <v>4745</v>
      </c>
      <c r="G697" s="55" t="s">
        <v>4746</v>
      </c>
      <c r="H697" s="55" t="s">
        <v>22</v>
      </c>
      <c r="I697" s="55" t="s">
        <v>4753</v>
      </c>
    </row>
    <row r="698" customFormat="false" ht="15" hidden="false" customHeight="false" outlineLevel="0" collapsed="false">
      <c r="A698" s="55" t="s">
        <v>5509</v>
      </c>
      <c r="B698" s="55" t="s">
        <v>2679</v>
      </c>
      <c r="C698" s="55" t="s">
        <v>2678</v>
      </c>
      <c r="D698" s="55" t="s">
        <v>47</v>
      </c>
      <c r="E698" s="55" t="s">
        <v>4740</v>
      </c>
      <c r="F698" s="55" t="s">
        <v>4745</v>
      </c>
      <c r="G698" s="55" t="s">
        <v>4746</v>
      </c>
      <c r="H698" s="55" t="s">
        <v>22</v>
      </c>
      <c r="I698" s="55" t="s">
        <v>4747</v>
      </c>
    </row>
    <row r="699" customFormat="false" ht="15" hidden="false" customHeight="false" outlineLevel="0" collapsed="false">
      <c r="A699" s="55" t="s">
        <v>5510</v>
      </c>
      <c r="B699" s="55" t="s">
        <v>294</v>
      </c>
      <c r="C699" s="55" t="s">
        <v>293</v>
      </c>
      <c r="D699" s="55" t="s">
        <v>46</v>
      </c>
      <c r="E699" s="55" t="s">
        <v>4740</v>
      </c>
      <c r="F699" s="55" t="s">
        <v>4745</v>
      </c>
      <c r="G699" s="55" t="s">
        <v>4746</v>
      </c>
      <c r="H699" s="55" t="s">
        <v>22</v>
      </c>
      <c r="I699" s="55" t="s">
        <v>4747</v>
      </c>
    </row>
    <row r="700" customFormat="false" ht="15" hidden="false" customHeight="false" outlineLevel="0" collapsed="false">
      <c r="A700" s="55" t="s">
        <v>5511</v>
      </c>
      <c r="B700" s="55" t="s">
        <v>294</v>
      </c>
      <c r="C700" s="55" t="s">
        <v>293</v>
      </c>
      <c r="D700" s="55" t="s">
        <v>47</v>
      </c>
      <c r="E700" s="55" t="s">
        <v>4740</v>
      </c>
      <c r="F700" s="55" t="s">
        <v>4745</v>
      </c>
      <c r="G700" s="55" t="s">
        <v>4746</v>
      </c>
      <c r="H700" s="55" t="s">
        <v>22</v>
      </c>
      <c r="I700" s="55" t="s">
        <v>4753</v>
      </c>
    </row>
    <row r="701" customFormat="false" ht="15" hidden="false" customHeight="false" outlineLevel="0" collapsed="false">
      <c r="A701" s="55" t="s">
        <v>5512</v>
      </c>
      <c r="B701" s="55" t="s">
        <v>168</v>
      </c>
      <c r="C701" s="55" t="s">
        <v>167</v>
      </c>
      <c r="D701" s="55" t="s">
        <v>46</v>
      </c>
      <c r="E701" s="55" t="s">
        <v>4740</v>
      </c>
      <c r="F701" s="55" t="s">
        <v>4745</v>
      </c>
      <c r="G701" s="55" t="s">
        <v>4746</v>
      </c>
      <c r="H701" s="55" t="s">
        <v>22</v>
      </c>
      <c r="I701" s="55" t="s">
        <v>4747</v>
      </c>
    </row>
    <row r="702" customFormat="false" ht="15" hidden="false" customHeight="false" outlineLevel="0" collapsed="false">
      <c r="A702" s="55" t="s">
        <v>5513</v>
      </c>
      <c r="B702" s="55" t="s">
        <v>168</v>
      </c>
      <c r="C702" s="55" t="s">
        <v>167</v>
      </c>
      <c r="D702" s="55" t="s">
        <v>47</v>
      </c>
      <c r="E702" s="55" t="s">
        <v>4740</v>
      </c>
      <c r="F702" s="55" t="s">
        <v>4745</v>
      </c>
      <c r="G702" s="55" t="s">
        <v>4746</v>
      </c>
      <c r="H702" s="55" t="s">
        <v>22</v>
      </c>
      <c r="I702" s="55" t="s">
        <v>4753</v>
      </c>
    </row>
    <row r="703" customFormat="false" ht="15" hidden="false" customHeight="false" outlineLevel="0" collapsed="false">
      <c r="A703" s="55" t="s">
        <v>5514</v>
      </c>
      <c r="B703" s="55" t="s">
        <v>1571</v>
      </c>
      <c r="C703" s="55" t="s">
        <v>1570</v>
      </c>
      <c r="D703" s="55" t="s">
        <v>47</v>
      </c>
      <c r="E703" s="55" t="s">
        <v>4740</v>
      </c>
      <c r="F703" s="55" t="s">
        <v>4745</v>
      </c>
      <c r="G703" s="55" t="s">
        <v>4746</v>
      </c>
      <c r="H703" s="55" t="s">
        <v>22</v>
      </c>
      <c r="I703" s="55" t="s">
        <v>4753</v>
      </c>
    </row>
    <row r="704" customFormat="false" ht="15" hidden="false" customHeight="false" outlineLevel="0" collapsed="false">
      <c r="A704" s="55" t="s">
        <v>5515</v>
      </c>
      <c r="B704" s="55" t="s">
        <v>3309</v>
      </c>
      <c r="C704" s="55" t="s">
        <v>4140</v>
      </c>
      <c r="D704" s="55" t="s">
        <v>46</v>
      </c>
      <c r="E704" s="55" t="s">
        <v>4740</v>
      </c>
      <c r="F704" s="55" t="s">
        <v>5125</v>
      </c>
      <c r="G704" s="55" t="s">
        <v>5126</v>
      </c>
      <c r="H704" s="55" t="s">
        <v>19</v>
      </c>
      <c r="I704" s="55" t="s">
        <v>4808</v>
      </c>
    </row>
    <row r="705" customFormat="false" ht="15" hidden="false" customHeight="false" outlineLevel="0" collapsed="false">
      <c r="A705" s="55" t="s">
        <v>5516</v>
      </c>
      <c r="B705" s="55" t="s">
        <v>602</v>
      </c>
      <c r="C705" s="55" t="s">
        <v>601</v>
      </c>
      <c r="D705" s="55" t="s">
        <v>46</v>
      </c>
      <c r="E705" s="55" t="s">
        <v>4740</v>
      </c>
      <c r="F705" s="55" t="s">
        <v>4745</v>
      </c>
      <c r="G705" s="55" t="s">
        <v>4746</v>
      </c>
      <c r="H705" s="55" t="s">
        <v>22</v>
      </c>
      <c r="I705" s="55" t="s">
        <v>4747</v>
      </c>
    </row>
    <row r="706" customFormat="false" ht="15" hidden="false" customHeight="false" outlineLevel="0" collapsed="false">
      <c r="A706" s="55" t="s">
        <v>5517</v>
      </c>
      <c r="B706" s="55" t="s">
        <v>602</v>
      </c>
      <c r="C706" s="55" t="s">
        <v>601</v>
      </c>
      <c r="D706" s="55" t="s">
        <v>47</v>
      </c>
      <c r="E706" s="55" t="s">
        <v>4740</v>
      </c>
      <c r="F706" s="55" t="s">
        <v>4745</v>
      </c>
      <c r="G706" s="55" t="s">
        <v>4746</v>
      </c>
      <c r="H706" s="55" t="s">
        <v>22</v>
      </c>
      <c r="I706" s="55" t="s">
        <v>4753</v>
      </c>
    </row>
    <row r="707" customFormat="false" ht="15" hidden="false" customHeight="false" outlineLevel="0" collapsed="false">
      <c r="A707" s="55" t="s">
        <v>5518</v>
      </c>
      <c r="B707" s="55" t="s">
        <v>2295</v>
      </c>
      <c r="C707" s="55" t="s">
        <v>2294</v>
      </c>
      <c r="D707" s="55" t="s">
        <v>47</v>
      </c>
      <c r="E707" s="55" t="s">
        <v>4740</v>
      </c>
      <c r="F707" s="55" t="s">
        <v>4745</v>
      </c>
      <c r="G707" s="55" t="s">
        <v>4746</v>
      </c>
      <c r="H707" s="55" t="s">
        <v>22</v>
      </c>
      <c r="I707" s="55" t="s">
        <v>4747</v>
      </c>
    </row>
    <row r="708" customFormat="false" ht="15" hidden="false" customHeight="false" outlineLevel="0" collapsed="false">
      <c r="A708" s="55" t="s">
        <v>5519</v>
      </c>
      <c r="B708" s="55" t="s">
        <v>170</v>
      </c>
      <c r="C708" s="55" t="s">
        <v>169</v>
      </c>
      <c r="D708" s="55" t="s">
        <v>47</v>
      </c>
      <c r="E708" s="55" t="s">
        <v>4740</v>
      </c>
      <c r="F708" s="55" t="s">
        <v>4745</v>
      </c>
      <c r="G708" s="55" t="s">
        <v>4746</v>
      </c>
      <c r="H708" s="55" t="s">
        <v>22</v>
      </c>
      <c r="I708" s="55" t="s">
        <v>4753</v>
      </c>
    </row>
    <row r="709" customFormat="false" ht="15" hidden="false" customHeight="false" outlineLevel="0" collapsed="false">
      <c r="A709" s="55" t="s">
        <v>5520</v>
      </c>
      <c r="B709" s="55" t="s">
        <v>1653</v>
      </c>
      <c r="C709" s="55" t="s">
        <v>1652</v>
      </c>
      <c r="D709" s="55" t="s">
        <v>47</v>
      </c>
      <c r="E709" s="55" t="s">
        <v>4740</v>
      </c>
      <c r="F709" s="55" t="s">
        <v>4745</v>
      </c>
      <c r="G709" s="55" t="s">
        <v>4746</v>
      </c>
      <c r="H709" s="55" t="s">
        <v>22</v>
      </c>
      <c r="I709" s="55" t="s">
        <v>4753</v>
      </c>
    </row>
    <row r="710" customFormat="false" ht="15" hidden="false" customHeight="false" outlineLevel="0" collapsed="false">
      <c r="A710" s="55" t="s">
        <v>5521</v>
      </c>
      <c r="B710" s="55" t="s">
        <v>1797</v>
      </c>
      <c r="C710" s="55" t="s">
        <v>1796</v>
      </c>
      <c r="D710" s="55" t="s">
        <v>47</v>
      </c>
      <c r="E710" s="55" t="s">
        <v>4740</v>
      </c>
      <c r="F710" s="55" t="s">
        <v>4741</v>
      </c>
      <c r="G710" s="55" t="s">
        <v>4742</v>
      </c>
      <c r="H710" s="55" t="s">
        <v>22</v>
      </c>
      <c r="I710" s="55" t="s">
        <v>4743</v>
      </c>
    </row>
    <row r="711" customFormat="false" ht="15" hidden="false" customHeight="false" outlineLevel="0" collapsed="false">
      <c r="A711" s="55" t="s">
        <v>5522</v>
      </c>
      <c r="B711" s="55" t="s">
        <v>2157</v>
      </c>
      <c r="C711" s="55" t="s">
        <v>2156</v>
      </c>
      <c r="D711" s="55" t="s">
        <v>47</v>
      </c>
      <c r="E711" s="55" t="s">
        <v>4740</v>
      </c>
      <c r="F711" s="55" t="s">
        <v>4745</v>
      </c>
      <c r="G711" s="55" t="s">
        <v>4746</v>
      </c>
      <c r="H711" s="55" t="s">
        <v>22</v>
      </c>
      <c r="I711" s="55" t="s">
        <v>4753</v>
      </c>
    </row>
    <row r="712" customFormat="false" ht="15" hidden="false" customHeight="false" outlineLevel="0" collapsed="false">
      <c r="A712" s="55" t="s">
        <v>5523</v>
      </c>
      <c r="B712" s="55" t="s">
        <v>324</v>
      </c>
      <c r="C712" s="55" t="s">
        <v>323</v>
      </c>
      <c r="D712" s="55" t="s">
        <v>45</v>
      </c>
      <c r="E712" s="55" t="s">
        <v>4740</v>
      </c>
      <c r="F712" s="55" t="s">
        <v>4745</v>
      </c>
      <c r="G712" s="55" t="s">
        <v>4746</v>
      </c>
      <c r="H712" s="55" t="s">
        <v>22</v>
      </c>
      <c r="I712" s="55" t="s">
        <v>4747</v>
      </c>
    </row>
    <row r="713" customFormat="false" ht="15" hidden="false" customHeight="false" outlineLevel="0" collapsed="false">
      <c r="A713" s="55" t="s">
        <v>5524</v>
      </c>
      <c r="B713" s="55" t="s">
        <v>738</v>
      </c>
      <c r="C713" s="55" t="s">
        <v>737</v>
      </c>
      <c r="D713" s="55" t="s">
        <v>47</v>
      </c>
      <c r="E713" s="55" t="s">
        <v>4740</v>
      </c>
      <c r="F713" s="55" t="s">
        <v>4745</v>
      </c>
      <c r="G713" s="55" t="s">
        <v>4746</v>
      </c>
      <c r="H713" s="55" t="s">
        <v>22</v>
      </c>
      <c r="I713" s="55" t="s">
        <v>4753</v>
      </c>
    </row>
    <row r="714" customFormat="false" ht="15" hidden="false" customHeight="false" outlineLevel="0" collapsed="false">
      <c r="A714" s="55" t="s">
        <v>5525</v>
      </c>
      <c r="B714" s="55" t="s">
        <v>3313</v>
      </c>
      <c r="C714" s="55" t="s">
        <v>4152</v>
      </c>
      <c r="D714" s="55" t="s">
        <v>47</v>
      </c>
      <c r="E714" s="55" t="s">
        <v>4740</v>
      </c>
      <c r="F714" s="55" t="s">
        <v>4774</v>
      </c>
      <c r="G714" s="55" t="s">
        <v>4775</v>
      </c>
      <c r="H714" s="55" t="s">
        <v>22</v>
      </c>
      <c r="I714" s="55" t="s">
        <v>4753</v>
      </c>
    </row>
    <row r="715" customFormat="false" ht="15" hidden="false" customHeight="false" outlineLevel="0" collapsed="false">
      <c r="A715" s="55" t="s">
        <v>5526</v>
      </c>
      <c r="B715" s="55" t="s">
        <v>2536</v>
      </c>
      <c r="C715" s="55" t="s">
        <v>2535</v>
      </c>
      <c r="D715" s="55" t="s">
        <v>45</v>
      </c>
      <c r="E715" s="55" t="s">
        <v>4740</v>
      </c>
      <c r="F715" s="55" t="s">
        <v>4741</v>
      </c>
      <c r="G715" s="55" t="s">
        <v>4814</v>
      </c>
      <c r="H715" s="55" t="s">
        <v>19</v>
      </c>
      <c r="I715" s="55" t="s">
        <v>4815</v>
      </c>
    </row>
    <row r="716" customFormat="false" ht="15" hidden="false" customHeight="false" outlineLevel="0" collapsed="false">
      <c r="A716" s="55" t="s">
        <v>5527</v>
      </c>
      <c r="B716" s="55" t="s">
        <v>2536</v>
      </c>
      <c r="C716" s="55" t="s">
        <v>2535</v>
      </c>
      <c r="D716" s="55" t="s">
        <v>47</v>
      </c>
      <c r="E716" s="55" t="s">
        <v>4740</v>
      </c>
      <c r="F716" s="55" t="s">
        <v>4745</v>
      </c>
      <c r="G716" s="55" t="s">
        <v>4746</v>
      </c>
      <c r="H716" s="55" t="s">
        <v>22</v>
      </c>
      <c r="I716" s="55" t="s">
        <v>4753</v>
      </c>
    </row>
    <row r="717" customFormat="false" ht="15" hidden="false" customHeight="false" outlineLevel="0" collapsed="false">
      <c r="A717" s="55" t="s">
        <v>5528</v>
      </c>
      <c r="B717" s="55" t="s">
        <v>1003</v>
      </c>
      <c r="C717" s="55" t="s">
        <v>1002</v>
      </c>
      <c r="D717" s="55" t="s">
        <v>47</v>
      </c>
      <c r="E717" s="55" t="s">
        <v>4740</v>
      </c>
      <c r="F717" s="55" t="s">
        <v>4774</v>
      </c>
      <c r="G717" s="55" t="s">
        <v>4782</v>
      </c>
      <c r="H717" s="55" t="s">
        <v>19</v>
      </c>
      <c r="I717" s="55" t="s">
        <v>4808</v>
      </c>
    </row>
    <row r="718" customFormat="false" ht="15" hidden="false" customHeight="false" outlineLevel="0" collapsed="false">
      <c r="A718" s="55" t="s">
        <v>5529</v>
      </c>
      <c r="B718" s="55" t="s">
        <v>3318</v>
      </c>
      <c r="C718" s="55" t="s">
        <v>4158</v>
      </c>
      <c r="D718" s="55" t="s">
        <v>45</v>
      </c>
      <c r="E718" s="55" t="s">
        <v>4740</v>
      </c>
      <c r="F718" s="55" t="s">
        <v>4741</v>
      </c>
      <c r="G718" s="55" t="s">
        <v>4814</v>
      </c>
      <c r="H718" s="55" t="s">
        <v>19</v>
      </c>
      <c r="I718" s="55" t="s">
        <v>4815</v>
      </c>
    </row>
    <row r="719" customFormat="false" ht="15" hidden="false" customHeight="false" outlineLevel="0" collapsed="false">
      <c r="A719" s="55" t="s">
        <v>5530</v>
      </c>
      <c r="B719" s="55" t="s">
        <v>668</v>
      </c>
      <c r="C719" s="55" t="s">
        <v>667</v>
      </c>
      <c r="D719" s="55" t="s">
        <v>45</v>
      </c>
      <c r="E719" s="55" t="s">
        <v>4740</v>
      </c>
      <c r="F719" s="55" t="s">
        <v>4741</v>
      </c>
      <c r="G719" s="55" t="s">
        <v>4742</v>
      </c>
      <c r="H719" s="55" t="s">
        <v>22</v>
      </c>
      <c r="I719" s="55" t="s">
        <v>4743</v>
      </c>
    </row>
    <row r="720" customFormat="false" ht="15" hidden="false" customHeight="false" outlineLevel="0" collapsed="false">
      <c r="A720" s="55" t="s">
        <v>5531</v>
      </c>
      <c r="B720" s="55" t="s">
        <v>632</v>
      </c>
      <c r="C720" s="55" t="s">
        <v>631</v>
      </c>
      <c r="D720" s="55" t="s">
        <v>47</v>
      </c>
      <c r="E720" s="55" t="s">
        <v>4740</v>
      </c>
      <c r="F720" s="55" t="s">
        <v>4745</v>
      </c>
      <c r="G720" s="55" t="s">
        <v>4746</v>
      </c>
      <c r="H720" s="55" t="s">
        <v>22</v>
      </c>
      <c r="I720" s="55" t="s">
        <v>4753</v>
      </c>
    </row>
    <row r="721" customFormat="false" ht="15" hidden="false" customHeight="false" outlineLevel="0" collapsed="false">
      <c r="A721" s="55" t="s">
        <v>5532</v>
      </c>
      <c r="B721" s="55" t="s">
        <v>642</v>
      </c>
      <c r="C721" s="55" t="s">
        <v>641</v>
      </c>
      <c r="D721" s="55" t="s">
        <v>45</v>
      </c>
      <c r="E721" s="55" t="s">
        <v>4740</v>
      </c>
      <c r="F721" s="55" t="s">
        <v>4745</v>
      </c>
      <c r="G721" s="55" t="s">
        <v>4746</v>
      </c>
      <c r="H721" s="55" t="s">
        <v>22</v>
      </c>
      <c r="I721" s="55" t="s">
        <v>4747</v>
      </c>
    </row>
    <row r="722" customFormat="false" ht="15" hidden="false" customHeight="false" outlineLevel="0" collapsed="false">
      <c r="A722" s="55" t="s">
        <v>5533</v>
      </c>
      <c r="B722" s="55" t="s">
        <v>2433</v>
      </c>
      <c r="C722" s="55" t="s">
        <v>2432</v>
      </c>
      <c r="D722" s="55" t="s">
        <v>46</v>
      </c>
      <c r="E722" s="55" t="s">
        <v>4740</v>
      </c>
      <c r="F722" s="55" t="s">
        <v>4774</v>
      </c>
      <c r="G722" s="55" t="s">
        <v>4775</v>
      </c>
      <c r="H722" s="55" t="s">
        <v>22</v>
      </c>
      <c r="I722" s="55" t="s">
        <v>4753</v>
      </c>
    </row>
    <row r="723" customFormat="false" ht="15" hidden="false" customHeight="false" outlineLevel="0" collapsed="false">
      <c r="A723" s="55" t="s">
        <v>5534</v>
      </c>
      <c r="B723" s="55" t="s">
        <v>1575</v>
      </c>
      <c r="C723" s="55" t="s">
        <v>1574</v>
      </c>
      <c r="D723" s="55" t="s">
        <v>45</v>
      </c>
      <c r="E723" s="55" t="s">
        <v>4740</v>
      </c>
      <c r="F723" s="55" t="s">
        <v>4745</v>
      </c>
      <c r="G723" s="55" t="s">
        <v>4746</v>
      </c>
      <c r="H723" s="55" t="s">
        <v>22</v>
      </c>
      <c r="I723" s="55" t="s">
        <v>4747</v>
      </c>
    </row>
    <row r="724" customFormat="false" ht="15" hidden="false" customHeight="false" outlineLevel="0" collapsed="false">
      <c r="A724" s="55" t="s">
        <v>5535</v>
      </c>
      <c r="B724" s="55" t="s">
        <v>296</v>
      </c>
      <c r="C724" s="55" t="s">
        <v>295</v>
      </c>
      <c r="D724" s="55" t="s">
        <v>45</v>
      </c>
      <c r="E724" s="55" t="s">
        <v>4740</v>
      </c>
      <c r="F724" s="55" t="s">
        <v>4745</v>
      </c>
      <c r="G724" s="55" t="s">
        <v>4746</v>
      </c>
      <c r="H724" s="55" t="s">
        <v>22</v>
      </c>
      <c r="I724" s="55" t="s">
        <v>4747</v>
      </c>
    </row>
    <row r="725" customFormat="false" ht="15" hidden="false" customHeight="false" outlineLevel="0" collapsed="false">
      <c r="A725" s="55" t="s">
        <v>5536</v>
      </c>
      <c r="B725" s="55" t="s">
        <v>296</v>
      </c>
      <c r="C725" s="55" t="s">
        <v>295</v>
      </c>
      <c r="D725" s="55" t="s">
        <v>47</v>
      </c>
      <c r="E725" s="55" t="s">
        <v>4740</v>
      </c>
      <c r="F725" s="55" t="s">
        <v>4745</v>
      </c>
      <c r="G725" s="55" t="s">
        <v>4746</v>
      </c>
      <c r="H725" s="55" t="s">
        <v>22</v>
      </c>
      <c r="I725" s="55" t="s">
        <v>4753</v>
      </c>
    </row>
    <row r="726" customFormat="false" ht="15" hidden="false" customHeight="false" outlineLevel="0" collapsed="false">
      <c r="A726" s="55" t="s">
        <v>5537</v>
      </c>
      <c r="B726" s="55" t="s">
        <v>342</v>
      </c>
      <c r="C726" s="55" t="s">
        <v>341</v>
      </c>
      <c r="D726" s="55" t="s">
        <v>45</v>
      </c>
      <c r="E726" s="55" t="s">
        <v>4740</v>
      </c>
      <c r="F726" s="55" t="s">
        <v>4774</v>
      </c>
      <c r="G726" s="55" t="s">
        <v>4782</v>
      </c>
      <c r="H726" s="55" t="s">
        <v>19</v>
      </c>
      <c r="I726" s="55" t="s">
        <v>4808</v>
      </c>
    </row>
    <row r="727" customFormat="false" ht="15" hidden="false" customHeight="false" outlineLevel="0" collapsed="false">
      <c r="A727" s="55" t="s">
        <v>5538</v>
      </c>
      <c r="B727" s="55" t="s">
        <v>650</v>
      </c>
      <c r="C727" s="55" t="s">
        <v>649</v>
      </c>
      <c r="D727" s="55" t="s">
        <v>47</v>
      </c>
      <c r="E727" s="55" t="s">
        <v>4740</v>
      </c>
      <c r="F727" s="55" t="s">
        <v>4745</v>
      </c>
      <c r="G727" s="55" t="s">
        <v>4746</v>
      </c>
      <c r="H727" s="55" t="s">
        <v>22</v>
      </c>
      <c r="I727" s="55" t="s">
        <v>4753</v>
      </c>
    </row>
    <row r="728" customFormat="false" ht="15" hidden="false" customHeight="false" outlineLevel="0" collapsed="false">
      <c r="A728" s="55" t="s">
        <v>5539</v>
      </c>
      <c r="B728" s="55" t="s">
        <v>1028</v>
      </c>
      <c r="C728" s="55" t="s">
        <v>1027</v>
      </c>
      <c r="D728" s="55" t="s">
        <v>47</v>
      </c>
      <c r="E728" s="55" t="s">
        <v>4740</v>
      </c>
      <c r="F728" s="55" t="s">
        <v>4745</v>
      </c>
      <c r="G728" s="55" t="s">
        <v>4746</v>
      </c>
      <c r="H728" s="55" t="s">
        <v>22</v>
      </c>
      <c r="I728" s="55" t="s">
        <v>4753</v>
      </c>
    </row>
    <row r="729" customFormat="false" ht="15" hidden="false" customHeight="false" outlineLevel="0" collapsed="false">
      <c r="A729" s="55" t="s">
        <v>5540</v>
      </c>
      <c r="B729" s="55" t="s">
        <v>612</v>
      </c>
      <c r="C729" s="55" t="s">
        <v>611</v>
      </c>
      <c r="D729" s="55" t="s">
        <v>45</v>
      </c>
      <c r="E729" s="55" t="s">
        <v>4740</v>
      </c>
      <c r="F729" s="55" t="s">
        <v>4770</v>
      </c>
      <c r="G729" s="55" t="s">
        <v>4771</v>
      </c>
      <c r="H729" s="55" t="s">
        <v>22</v>
      </c>
      <c r="I729" s="55" t="s">
        <v>4772</v>
      </c>
    </row>
    <row r="730" customFormat="false" ht="15" hidden="false" customHeight="false" outlineLevel="0" collapsed="false">
      <c r="A730" s="55" t="s">
        <v>5541</v>
      </c>
      <c r="B730" s="55" t="s">
        <v>612</v>
      </c>
      <c r="C730" s="55" t="s">
        <v>611</v>
      </c>
      <c r="D730" s="55" t="s">
        <v>47</v>
      </c>
      <c r="E730" s="55" t="s">
        <v>4740</v>
      </c>
      <c r="F730" s="55" t="s">
        <v>4745</v>
      </c>
      <c r="G730" s="55" t="s">
        <v>4746</v>
      </c>
      <c r="H730" s="55" t="s">
        <v>22</v>
      </c>
      <c r="I730" s="55" t="s">
        <v>4753</v>
      </c>
    </row>
    <row r="731" customFormat="false" ht="15" hidden="false" customHeight="false" outlineLevel="0" collapsed="false">
      <c r="A731" s="55" t="s">
        <v>5542</v>
      </c>
      <c r="B731" s="55" t="s">
        <v>1438</v>
      </c>
      <c r="C731" s="55" t="s">
        <v>1437</v>
      </c>
      <c r="D731" s="55" t="s">
        <v>47</v>
      </c>
      <c r="E731" s="55" t="s">
        <v>4740</v>
      </c>
      <c r="F731" s="55" t="s">
        <v>4745</v>
      </c>
      <c r="G731" s="55" t="s">
        <v>4746</v>
      </c>
      <c r="H731" s="55" t="s">
        <v>22</v>
      </c>
      <c r="I731" s="55" t="s">
        <v>4753</v>
      </c>
    </row>
    <row r="732" customFormat="false" ht="15" hidden="false" customHeight="false" outlineLevel="0" collapsed="false">
      <c r="A732" s="55" t="s">
        <v>5543</v>
      </c>
      <c r="B732" s="55" t="s">
        <v>862</v>
      </c>
      <c r="C732" s="55" t="s">
        <v>861</v>
      </c>
      <c r="D732" s="55" t="s">
        <v>45</v>
      </c>
      <c r="E732" s="55" t="s">
        <v>4740</v>
      </c>
      <c r="F732" s="55" t="s">
        <v>4745</v>
      </c>
      <c r="G732" s="55" t="s">
        <v>4746</v>
      </c>
      <c r="H732" s="55" t="s">
        <v>22</v>
      </c>
      <c r="I732" s="55" t="s">
        <v>4753</v>
      </c>
    </row>
    <row r="733" customFormat="false" ht="15" hidden="false" customHeight="false" outlineLevel="0" collapsed="false">
      <c r="A733" s="55" t="s">
        <v>5544</v>
      </c>
      <c r="B733" s="55" t="s">
        <v>2060</v>
      </c>
      <c r="C733" s="55" t="s">
        <v>2059</v>
      </c>
      <c r="D733" s="55" t="s">
        <v>46</v>
      </c>
      <c r="E733" s="55" t="s">
        <v>4740</v>
      </c>
      <c r="F733" s="55" t="s">
        <v>4745</v>
      </c>
      <c r="G733" s="55" t="s">
        <v>4746</v>
      </c>
      <c r="H733" s="55" t="s">
        <v>22</v>
      </c>
      <c r="I733" s="55" t="s">
        <v>4747</v>
      </c>
    </row>
    <row r="734" customFormat="false" ht="15" hidden="false" customHeight="false" outlineLevel="0" collapsed="false">
      <c r="A734" s="55" t="s">
        <v>5545</v>
      </c>
      <c r="B734" s="55" t="s">
        <v>2060</v>
      </c>
      <c r="C734" s="55" t="s">
        <v>2059</v>
      </c>
      <c r="D734" s="55" t="s">
        <v>47</v>
      </c>
      <c r="E734" s="55" t="s">
        <v>4740</v>
      </c>
      <c r="F734" s="55" t="s">
        <v>4745</v>
      </c>
      <c r="G734" s="55" t="s">
        <v>4746</v>
      </c>
      <c r="H734" s="55" t="s">
        <v>22</v>
      </c>
      <c r="I734" s="55" t="s">
        <v>4753</v>
      </c>
    </row>
    <row r="735" customFormat="false" ht="15" hidden="false" customHeight="false" outlineLevel="0" collapsed="false">
      <c r="A735" s="55" t="s">
        <v>5546</v>
      </c>
      <c r="B735" s="55" t="s">
        <v>424</v>
      </c>
      <c r="C735" s="55" t="s">
        <v>423</v>
      </c>
      <c r="D735" s="55" t="s">
        <v>45</v>
      </c>
      <c r="E735" s="55" t="s">
        <v>4740</v>
      </c>
      <c r="F735" s="55" t="s">
        <v>4745</v>
      </c>
      <c r="G735" s="55" t="s">
        <v>4746</v>
      </c>
      <c r="H735" s="55" t="s">
        <v>22</v>
      </c>
      <c r="I735" s="55" t="s">
        <v>4753</v>
      </c>
    </row>
    <row r="736" customFormat="false" ht="15" hidden="false" customHeight="false" outlineLevel="0" collapsed="false">
      <c r="A736" s="55" t="s">
        <v>5547</v>
      </c>
      <c r="B736" s="55" t="s">
        <v>424</v>
      </c>
      <c r="C736" s="55" t="s">
        <v>423</v>
      </c>
      <c r="D736" s="55" t="s">
        <v>46</v>
      </c>
      <c r="E736" s="55" t="s">
        <v>4740</v>
      </c>
      <c r="F736" s="55" t="s">
        <v>4741</v>
      </c>
      <c r="G736" s="55" t="s">
        <v>4742</v>
      </c>
      <c r="H736" s="55" t="s">
        <v>22</v>
      </c>
      <c r="I736" s="55" t="s">
        <v>4743</v>
      </c>
    </row>
    <row r="737" customFormat="false" ht="15" hidden="false" customHeight="false" outlineLevel="0" collapsed="false">
      <c r="A737" s="55" t="s">
        <v>5548</v>
      </c>
      <c r="B737" s="55" t="s">
        <v>424</v>
      </c>
      <c r="C737" s="55" t="s">
        <v>423</v>
      </c>
      <c r="D737" s="55" t="s">
        <v>47</v>
      </c>
      <c r="E737" s="55" t="s">
        <v>4740</v>
      </c>
      <c r="F737" s="55" t="s">
        <v>4745</v>
      </c>
      <c r="G737" s="55" t="s">
        <v>4746</v>
      </c>
      <c r="H737" s="55" t="s">
        <v>22</v>
      </c>
      <c r="I737" s="55" t="s">
        <v>4753</v>
      </c>
    </row>
    <row r="738" customFormat="false" ht="15" hidden="false" customHeight="false" outlineLevel="0" collapsed="false">
      <c r="A738" s="55" t="s">
        <v>5549</v>
      </c>
      <c r="B738" s="55" t="s">
        <v>370</v>
      </c>
      <c r="C738" s="55" t="s">
        <v>369</v>
      </c>
      <c r="D738" s="55" t="s">
        <v>47</v>
      </c>
      <c r="E738" s="55" t="s">
        <v>4740</v>
      </c>
      <c r="F738" s="55" t="s">
        <v>4745</v>
      </c>
      <c r="G738" s="55" t="s">
        <v>4746</v>
      </c>
      <c r="H738" s="55" t="s">
        <v>22</v>
      </c>
      <c r="I738" s="55" t="s">
        <v>4753</v>
      </c>
    </row>
    <row r="739" customFormat="false" ht="15" hidden="false" customHeight="false" outlineLevel="0" collapsed="false">
      <c r="A739" s="55" t="s">
        <v>5550</v>
      </c>
      <c r="B739" s="55" t="s">
        <v>536</v>
      </c>
      <c r="C739" s="55" t="s">
        <v>535</v>
      </c>
      <c r="D739" s="55" t="s">
        <v>45</v>
      </c>
      <c r="E739" s="55" t="s">
        <v>4740</v>
      </c>
      <c r="F739" s="55" t="s">
        <v>4577</v>
      </c>
      <c r="G739" s="55" t="s">
        <v>4819</v>
      </c>
      <c r="H739" s="55" t="s">
        <v>22</v>
      </c>
      <c r="I739" s="55" t="s">
        <v>4820</v>
      </c>
    </row>
    <row r="740" customFormat="false" ht="15" hidden="false" customHeight="false" outlineLevel="0" collapsed="false">
      <c r="A740" s="55" t="s">
        <v>5551</v>
      </c>
      <c r="B740" s="55" t="s">
        <v>1317</v>
      </c>
      <c r="C740" s="55" t="s">
        <v>1316</v>
      </c>
      <c r="D740" s="55" t="s">
        <v>47</v>
      </c>
      <c r="E740" s="55" t="s">
        <v>4740</v>
      </c>
      <c r="F740" s="55" t="s">
        <v>4366</v>
      </c>
      <c r="G740" s="55" t="s">
        <v>4779</v>
      </c>
      <c r="H740" s="55" t="s">
        <v>22</v>
      </c>
      <c r="I740" s="55" t="s">
        <v>4780</v>
      </c>
    </row>
    <row r="741" customFormat="false" ht="15" hidden="false" customHeight="false" outlineLevel="0" collapsed="false">
      <c r="A741" s="55" t="s">
        <v>5552</v>
      </c>
      <c r="B741" s="55" t="s">
        <v>1985</v>
      </c>
      <c r="C741" s="55" t="s">
        <v>1984</v>
      </c>
      <c r="D741" s="55" t="s">
        <v>47</v>
      </c>
      <c r="E741" s="55" t="s">
        <v>4740</v>
      </c>
      <c r="F741" s="55" t="s">
        <v>4834</v>
      </c>
      <c r="G741" s="55" t="s">
        <v>4835</v>
      </c>
      <c r="H741" s="55" t="s">
        <v>22</v>
      </c>
      <c r="I741" s="55" t="s">
        <v>4753</v>
      </c>
    </row>
    <row r="742" customFormat="false" ht="15" hidden="false" customHeight="false" outlineLevel="0" collapsed="false">
      <c r="A742" s="55" t="s">
        <v>5553</v>
      </c>
      <c r="B742" s="55" t="s">
        <v>2302</v>
      </c>
      <c r="C742" s="55" t="s">
        <v>2301</v>
      </c>
      <c r="D742" s="55" t="s">
        <v>46</v>
      </c>
      <c r="E742" s="55" t="s">
        <v>4740</v>
      </c>
      <c r="F742" s="55" t="s">
        <v>5241</v>
      </c>
      <c r="G742" s="55" t="s">
        <v>5242</v>
      </c>
      <c r="H742" s="55" t="s">
        <v>19</v>
      </c>
      <c r="I742" s="55" t="s">
        <v>4783</v>
      </c>
    </row>
    <row r="743" customFormat="false" ht="15" hidden="false" customHeight="false" outlineLevel="0" collapsed="false">
      <c r="A743" s="55" t="s">
        <v>5554</v>
      </c>
      <c r="B743" s="55" t="s">
        <v>2302</v>
      </c>
      <c r="C743" s="55" t="s">
        <v>2301</v>
      </c>
      <c r="D743" s="55" t="s">
        <v>47</v>
      </c>
      <c r="E743" s="55" t="s">
        <v>4740</v>
      </c>
      <c r="F743" s="55" t="s">
        <v>4745</v>
      </c>
      <c r="G743" s="55" t="s">
        <v>4746</v>
      </c>
      <c r="H743" s="55" t="s">
        <v>22</v>
      </c>
      <c r="I743" s="55" t="s">
        <v>4753</v>
      </c>
    </row>
    <row r="744" customFormat="false" ht="15" hidden="false" customHeight="false" outlineLevel="0" collapsed="false">
      <c r="A744" s="55" t="s">
        <v>5555</v>
      </c>
      <c r="B744" s="55" t="s">
        <v>2225</v>
      </c>
      <c r="C744" s="55" t="s">
        <v>2224</v>
      </c>
      <c r="D744" s="55" t="s">
        <v>47</v>
      </c>
      <c r="E744" s="55" t="s">
        <v>4740</v>
      </c>
      <c r="F744" s="55" t="s">
        <v>4745</v>
      </c>
      <c r="G744" s="55" t="s">
        <v>4746</v>
      </c>
      <c r="H744" s="55" t="s">
        <v>22</v>
      </c>
      <c r="I744" s="55" t="s">
        <v>4753</v>
      </c>
    </row>
    <row r="745" customFormat="false" ht="15" hidden="false" customHeight="false" outlineLevel="0" collapsed="false">
      <c r="A745" s="55" t="s">
        <v>5556</v>
      </c>
      <c r="B745" s="55" t="s">
        <v>1715</v>
      </c>
      <c r="C745" s="55" t="s">
        <v>1714</v>
      </c>
      <c r="D745" s="55" t="s">
        <v>47</v>
      </c>
      <c r="E745" s="55" t="s">
        <v>4740</v>
      </c>
      <c r="F745" s="55" t="s">
        <v>4745</v>
      </c>
      <c r="G745" s="55" t="s">
        <v>4746</v>
      </c>
      <c r="H745" s="55" t="s">
        <v>22</v>
      </c>
      <c r="I745" s="55" t="s">
        <v>4753</v>
      </c>
    </row>
    <row r="746" customFormat="false" ht="15" hidden="false" customHeight="false" outlineLevel="0" collapsed="false">
      <c r="A746" s="55" t="s">
        <v>5557</v>
      </c>
      <c r="B746" s="55" t="s">
        <v>1557</v>
      </c>
      <c r="C746" s="55" t="s">
        <v>1556</v>
      </c>
      <c r="D746" s="55" t="s">
        <v>45</v>
      </c>
      <c r="E746" s="55" t="s">
        <v>4740</v>
      </c>
      <c r="F746" s="55" t="s">
        <v>4834</v>
      </c>
      <c r="G746" s="55" t="s">
        <v>4835</v>
      </c>
      <c r="H746" s="55" t="s">
        <v>22</v>
      </c>
      <c r="I746" s="55" t="s">
        <v>4836</v>
      </c>
    </row>
    <row r="747" customFormat="false" ht="15" hidden="false" customHeight="false" outlineLevel="0" collapsed="false">
      <c r="A747" s="55" t="s">
        <v>5558</v>
      </c>
      <c r="B747" s="55" t="s">
        <v>432</v>
      </c>
      <c r="C747" s="55" t="s">
        <v>431</v>
      </c>
      <c r="D747" s="55" t="s">
        <v>45</v>
      </c>
      <c r="E747" s="55" t="s">
        <v>4740</v>
      </c>
      <c r="F747" s="55" t="s">
        <v>4756</v>
      </c>
      <c r="G747" s="55" t="s">
        <v>4757</v>
      </c>
      <c r="H747" s="55" t="s">
        <v>22</v>
      </c>
      <c r="I747" s="55" t="s">
        <v>4758</v>
      </c>
    </row>
    <row r="748" customFormat="false" ht="15" hidden="false" customHeight="false" outlineLevel="0" collapsed="false">
      <c r="A748" s="55" t="s">
        <v>5559</v>
      </c>
      <c r="B748" s="55" t="s">
        <v>432</v>
      </c>
      <c r="C748" s="55" t="s">
        <v>431</v>
      </c>
      <c r="D748" s="55" t="s">
        <v>47</v>
      </c>
      <c r="E748" s="55" t="s">
        <v>4740</v>
      </c>
      <c r="F748" s="55" t="s">
        <v>4745</v>
      </c>
      <c r="G748" s="55" t="s">
        <v>4746</v>
      </c>
      <c r="H748" s="55" t="s">
        <v>22</v>
      </c>
      <c r="I748" s="55" t="s">
        <v>4753</v>
      </c>
    </row>
    <row r="749" customFormat="false" ht="15" hidden="false" customHeight="false" outlineLevel="0" collapsed="false">
      <c r="A749" s="55" t="s">
        <v>5560</v>
      </c>
      <c r="B749" s="55" t="s">
        <v>3332</v>
      </c>
      <c r="C749" s="55" t="s">
        <v>4191</v>
      </c>
      <c r="D749" s="55" t="s">
        <v>46</v>
      </c>
      <c r="E749" s="55" t="s">
        <v>4740</v>
      </c>
      <c r="F749" s="55" t="s">
        <v>4774</v>
      </c>
      <c r="G749" s="55" t="s">
        <v>4775</v>
      </c>
      <c r="H749" s="55" t="s">
        <v>22</v>
      </c>
      <c r="I749" s="55" t="s">
        <v>4747</v>
      </c>
    </row>
    <row r="750" customFormat="false" ht="15" hidden="false" customHeight="false" outlineLevel="0" collapsed="false">
      <c r="A750" s="55" t="s">
        <v>5561</v>
      </c>
      <c r="B750" s="55" t="s">
        <v>3332</v>
      </c>
      <c r="C750" s="55" t="s">
        <v>4191</v>
      </c>
      <c r="D750" s="55" t="s">
        <v>47</v>
      </c>
      <c r="E750" s="55" t="s">
        <v>4740</v>
      </c>
      <c r="F750" s="55" t="s">
        <v>4774</v>
      </c>
      <c r="G750" s="55" t="s">
        <v>4775</v>
      </c>
      <c r="H750" s="55" t="s">
        <v>22</v>
      </c>
      <c r="I750" s="55" t="s">
        <v>4753</v>
      </c>
    </row>
    <row r="751" customFormat="false" ht="15" hidden="false" customHeight="false" outlineLevel="0" collapsed="false">
      <c r="A751" s="55" t="s">
        <v>5562</v>
      </c>
      <c r="B751" s="55" t="s">
        <v>2401</v>
      </c>
      <c r="C751" s="55" t="s">
        <v>2400</v>
      </c>
      <c r="D751" s="55" t="s">
        <v>45</v>
      </c>
      <c r="E751" s="55" t="s">
        <v>4740</v>
      </c>
      <c r="F751" s="55" t="s">
        <v>4774</v>
      </c>
      <c r="G751" s="55" t="s">
        <v>4782</v>
      </c>
      <c r="H751" s="55" t="s">
        <v>19</v>
      </c>
      <c r="I751" s="55" t="s">
        <v>4808</v>
      </c>
    </row>
    <row r="752" customFormat="false" ht="15" hidden="false" customHeight="false" outlineLevel="0" collapsed="false">
      <c r="A752" s="55" t="s">
        <v>5563</v>
      </c>
      <c r="B752" s="55" t="s">
        <v>2401</v>
      </c>
      <c r="C752" s="55" t="s">
        <v>2400</v>
      </c>
      <c r="D752" s="55" t="s">
        <v>46</v>
      </c>
      <c r="E752" s="55" t="s">
        <v>4740</v>
      </c>
      <c r="F752" s="55" t="s">
        <v>4577</v>
      </c>
      <c r="G752" s="55" t="s">
        <v>4893</v>
      </c>
      <c r="H752" s="55" t="s">
        <v>19</v>
      </c>
      <c r="I752" s="55" t="s">
        <v>4783</v>
      </c>
    </row>
    <row r="753" customFormat="false" ht="15" hidden="false" customHeight="false" outlineLevel="0" collapsed="false">
      <c r="A753" s="55" t="s">
        <v>5564</v>
      </c>
      <c r="B753" s="55" t="s">
        <v>2401</v>
      </c>
      <c r="C753" s="55" t="s">
        <v>2400</v>
      </c>
      <c r="D753" s="55" t="s">
        <v>47</v>
      </c>
      <c r="E753" s="55" t="s">
        <v>4740</v>
      </c>
      <c r="F753" s="55" t="s">
        <v>4745</v>
      </c>
      <c r="G753" s="55" t="s">
        <v>4746</v>
      </c>
      <c r="H753" s="55" t="s">
        <v>22</v>
      </c>
      <c r="I753" s="55" t="s">
        <v>4753</v>
      </c>
    </row>
    <row r="754" customFormat="false" ht="15" hidden="false" customHeight="false" outlineLevel="0" collapsed="false">
      <c r="A754" s="55" t="s">
        <v>5565</v>
      </c>
      <c r="B754" s="55" t="s">
        <v>1972</v>
      </c>
      <c r="C754" s="55" t="s">
        <v>1971</v>
      </c>
      <c r="D754" s="55" t="s">
        <v>45</v>
      </c>
      <c r="E754" s="55" t="s">
        <v>4740</v>
      </c>
      <c r="F754" s="55" t="s">
        <v>4774</v>
      </c>
      <c r="G754" s="55" t="s">
        <v>4782</v>
      </c>
      <c r="H754" s="55" t="s">
        <v>19</v>
      </c>
      <c r="I754" s="55" t="s">
        <v>4808</v>
      </c>
    </row>
    <row r="755" customFormat="false" ht="15" hidden="false" customHeight="false" outlineLevel="0" collapsed="false">
      <c r="A755" s="55" t="s">
        <v>5566</v>
      </c>
      <c r="B755" s="55" t="s">
        <v>1972</v>
      </c>
      <c r="C755" s="55" t="s">
        <v>1971</v>
      </c>
      <c r="D755" s="55" t="s">
        <v>47</v>
      </c>
      <c r="E755" s="55" t="s">
        <v>4740</v>
      </c>
      <c r="F755" s="55" t="s">
        <v>4745</v>
      </c>
      <c r="G755" s="55" t="s">
        <v>4746</v>
      </c>
      <c r="H755" s="55" t="s">
        <v>22</v>
      </c>
      <c r="I755" s="55" t="s">
        <v>4747</v>
      </c>
    </row>
    <row r="756" customFormat="false" ht="15" hidden="false" customHeight="false" outlineLevel="0" collapsed="false">
      <c r="A756" s="55" t="s">
        <v>5567</v>
      </c>
      <c r="B756" s="55" t="s">
        <v>678</v>
      </c>
      <c r="C756" s="55" t="s">
        <v>677</v>
      </c>
      <c r="D756" s="55" t="s">
        <v>47</v>
      </c>
      <c r="E756" s="55" t="s">
        <v>4740</v>
      </c>
      <c r="F756" s="55" t="s">
        <v>4745</v>
      </c>
      <c r="G756" s="55" t="s">
        <v>4746</v>
      </c>
      <c r="H756" s="55" t="s">
        <v>22</v>
      </c>
      <c r="I756" s="55" t="s">
        <v>4753</v>
      </c>
    </row>
    <row r="757" customFormat="false" ht="15" hidden="false" customHeight="false" outlineLevel="0" collapsed="false">
      <c r="A757" s="55" t="s">
        <v>5568</v>
      </c>
      <c r="B757" s="55" t="s">
        <v>506</v>
      </c>
      <c r="C757" s="55" t="s">
        <v>505</v>
      </c>
      <c r="D757" s="55" t="s">
        <v>47</v>
      </c>
      <c r="E757" s="55" t="s">
        <v>4740</v>
      </c>
      <c r="F757" s="55" t="s">
        <v>4745</v>
      </c>
      <c r="G757" s="55" t="s">
        <v>4746</v>
      </c>
      <c r="H757" s="55" t="s">
        <v>22</v>
      </c>
      <c r="I757" s="55" t="s">
        <v>4753</v>
      </c>
    </row>
    <row r="758" customFormat="false" ht="15" hidden="false" customHeight="false" outlineLevel="0" collapsed="false">
      <c r="A758" s="55" t="s">
        <v>5569</v>
      </c>
      <c r="B758" s="55" t="s">
        <v>1360</v>
      </c>
      <c r="C758" s="55" t="s">
        <v>1359</v>
      </c>
      <c r="D758" s="55" t="s">
        <v>47</v>
      </c>
      <c r="E758" s="55" t="s">
        <v>4740</v>
      </c>
      <c r="F758" s="55" t="s">
        <v>4749</v>
      </c>
      <c r="G758" s="55" t="s">
        <v>4750</v>
      </c>
      <c r="H758" s="55" t="s">
        <v>22</v>
      </c>
      <c r="I758" s="55" t="s">
        <v>4751</v>
      </c>
    </row>
    <row r="759" customFormat="false" ht="15" hidden="false" customHeight="false" outlineLevel="0" collapsed="false">
      <c r="A759" s="55" t="s">
        <v>5570</v>
      </c>
      <c r="B759" s="55" t="s">
        <v>586</v>
      </c>
      <c r="C759" s="55" t="s">
        <v>585</v>
      </c>
      <c r="D759" s="55" t="s">
        <v>47</v>
      </c>
      <c r="E759" s="55" t="s">
        <v>4740</v>
      </c>
      <c r="F759" s="55" t="s">
        <v>4745</v>
      </c>
      <c r="G759" s="55" t="s">
        <v>5027</v>
      </c>
      <c r="H759" s="55" t="s">
        <v>110</v>
      </c>
      <c r="I759" s="55" t="s">
        <v>4764</v>
      </c>
    </row>
    <row r="760" customFormat="false" ht="15" hidden="false" customHeight="false" outlineLevel="0" collapsed="false">
      <c r="A760" s="55" t="s">
        <v>5571</v>
      </c>
      <c r="B760" s="55" t="s">
        <v>400</v>
      </c>
      <c r="C760" s="55" t="s">
        <v>399</v>
      </c>
      <c r="D760" s="55" t="s">
        <v>45</v>
      </c>
      <c r="E760" s="55" t="s">
        <v>4740</v>
      </c>
      <c r="F760" s="55" t="s">
        <v>4749</v>
      </c>
      <c r="G760" s="55" t="s">
        <v>4750</v>
      </c>
      <c r="H760" s="55" t="s">
        <v>22</v>
      </c>
      <c r="I760" s="55" t="s">
        <v>4751</v>
      </c>
    </row>
    <row r="761" customFormat="false" ht="15" hidden="false" customHeight="false" outlineLevel="0" collapsed="false">
      <c r="A761" s="55" t="s">
        <v>5572</v>
      </c>
      <c r="B761" s="55" t="s">
        <v>400</v>
      </c>
      <c r="C761" s="55" t="s">
        <v>399</v>
      </c>
      <c r="D761" s="55" t="s">
        <v>46</v>
      </c>
      <c r="E761" s="55" t="s">
        <v>4740</v>
      </c>
      <c r="F761" s="55" t="s">
        <v>4366</v>
      </c>
      <c r="G761" s="55" t="s">
        <v>4779</v>
      </c>
      <c r="H761" s="55" t="s">
        <v>22</v>
      </c>
      <c r="I761" s="55" t="s">
        <v>4780</v>
      </c>
    </row>
    <row r="762" customFormat="false" ht="15" hidden="false" customHeight="false" outlineLevel="0" collapsed="false">
      <c r="A762" s="55" t="s">
        <v>5573</v>
      </c>
      <c r="B762" s="55" t="s">
        <v>232</v>
      </c>
      <c r="C762" s="55" t="s">
        <v>231</v>
      </c>
      <c r="D762" s="55" t="s">
        <v>45</v>
      </c>
      <c r="E762" s="55" t="s">
        <v>4740</v>
      </c>
      <c r="F762" s="55" t="s">
        <v>4756</v>
      </c>
      <c r="G762" s="55" t="s">
        <v>4757</v>
      </c>
      <c r="H762" s="55" t="s">
        <v>22</v>
      </c>
      <c r="I762" s="55" t="s">
        <v>4758</v>
      </c>
    </row>
    <row r="763" customFormat="false" ht="15" hidden="false" customHeight="false" outlineLevel="0" collapsed="false">
      <c r="A763" s="55" t="s">
        <v>5574</v>
      </c>
      <c r="B763" s="55" t="s">
        <v>232</v>
      </c>
      <c r="C763" s="55" t="s">
        <v>231</v>
      </c>
      <c r="D763" s="55" t="s">
        <v>46</v>
      </c>
      <c r="E763" s="55" t="s">
        <v>4740</v>
      </c>
      <c r="F763" s="55" t="s">
        <v>4749</v>
      </c>
      <c r="G763" s="55" t="s">
        <v>4750</v>
      </c>
      <c r="H763" s="55" t="s">
        <v>22</v>
      </c>
      <c r="I763" s="55" t="s">
        <v>4751</v>
      </c>
    </row>
    <row r="764" customFormat="false" ht="15" hidden="false" customHeight="false" outlineLevel="0" collapsed="false">
      <c r="A764" s="55" t="s">
        <v>5575</v>
      </c>
      <c r="B764" s="55" t="s">
        <v>232</v>
      </c>
      <c r="C764" s="55" t="s">
        <v>231</v>
      </c>
      <c r="D764" s="55" t="s">
        <v>47</v>
      </c>
      <c r="E764" s="55" t="s">
        <v>4740</v>
      </c>
      <c r="F764" s="55" t="s">
        <v>4745</v>
      </c>
      <c r="G764" s="55" t="s">
        <v>4746</v>
      </c>
      <c r="H764" s="55" t="s">
        <v>22</v>
      </c>
      <c r="I764" s="55" t="s">
        <v>4753</v>
      </c>
    </row>
    <row r="765" customFormat="false" ht="15" hidden="false" customHeight="false" outlineLevel="0" collapsed="false">
      <c r="A765" s="55" t="s">
        <v>5576</v>
      </c>
      <c r="B765" s="55" t="s">
        <v>1195</v>
      </c>
      <c r="C765" s="55" t="s">
        <v>1194</v>
      </c>
      <c r="D765" s="55" t="s">
        <v>45</v>
      </c>
      <c r="E765" s="55" t="s">
        <v>4740</v>
      </c>
      <c r="F765" s="55" t="s">
        <v>4804</v>
      </c>
      <c r="G765" s="55" t="s">
        <v>4843</v>
      </c>
      <c r="H765" s="55" t="s">
        <v>22</v>
      </c>
      <c r="I765" s="55" t="s">
        <v>4844</v>
      </c>
    </row>
    <row r="766" customFormat="false" ht="15" hidden="false" customHeight="false" outlineLevel="0" collapsed="false">
      <c r="A766" s="55" t="s">
        <v>5577</v>
      </c>
      <c r="B766" s="55" t="s">
        <v>1195</v>
      </c>
      <c r="C766" s="55" t="s">
        <v>1194</v>
      </c>
      <c r="D766" s="55" t="s">
        <v>47</v>
      </c>
      <c r="E766" s="55" t="s">
        <v>4740</v>
      </c>
      <c r="F766" s="55" t="s">
        <v>4766</v>
      </c>
      <c r="G766" s="55" t="s">
        <v>4767</v>
      </c>
      <c r="H766" s="55" t="s">
        <v>22</v>
      </c>
      <c r="I766" s="55" t="s">
        <v>4753</v>
      </c>
    </row>
  </sheetData>
  <autoFilter ref="A4:I7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12"/>
    <col collapsed="false" customWidth="true" hidden="false" outlineLevel="0" max="5" min="4" style="0" width="70"/>
  </cols>
  <sheetData>
    <row r="1" customFormat="false" ht="17.35" hidden="false" customHeight="false" outlineLevel="0" collapsed="false">
      <c r="A1" s="56" t="s">
        <v>5578</v>
      </c>
      <c r="B1" s="2"/>
      <c r="C1" s="2"/>
      <c r="D1" s="2"/>
      <c r="E1" s="2"/>
    </row>
    <row r="2" customFormat="false" ht="15" hidden="false" customHeight="false" outlineLevel="0" collapsed="false">
      <c r="A2" s="3" t="s">
        <v>5579</v>
      </c>
      <c r="B2" s="2"/>
      <c r="C2" s="2"/>
      <c r="D2" s="2"/>
      <c r="E2" s="2"/>
    </row>
    <row r="3" customFormat="false" ht="15" hidden="false" customHeight="false" outlineLevel="0" collapsed="false">
      <c r="A3" s="2"/>
      <c r="B3" s="2"/>
      <c r="C3" s="2"/>
      <c r="D3" s="2"/>
      <c r="E3" s="2"/>
    </row>
    <row r="4" customFormat="false" ht="31.5" hidden="false" customHeight="true" outlineLevel="0" collapsed="false">
      <c r="A4" s="8" t="s">
        <v>4528</v>
      </c>
      <c r="B4" s="8" t="s">
        <v>4529</v>
      </c>
      <c r="C4" s="8" t="s">
        <v>5580</v>
      </c>
      <c r="D4" s="8" t="s">
        <v>5581</v>
      </c>
      <c r="E4" s="8" t="s">
        <v>5582</v>
      </c>
    </row>
    <row r="5" customFormat="false" ht="39.55" hidden="false" customHeight="false" outlineLevel="0" collapsed="false">
      <c r="A5" s="60" t="s">
        <v>4546</v>
      </c>
      <c r="B5" s="61" t="s">
        <v>4547</v>
      </c>
      <c r="C5" s="59" t="n">
        <v>8</v>
      </c>
      <c r="D5" s="59" t="s">
        <v>5583</v>
      </c>
      <c r="E5" s="59" t="s">
        <v>4552</v>
      </c>
    </row>
    <row r="6" customFormat="false" ht="26.85" hidden="false" customHeight="false" outlineLevel="0" collapsed="false">
      <c r="A6" s="60" t="s">
        <v>4693</v>
      </c>
      <c r="B6" s="62" t="s">
        <v>5584</v>
      </c>
      <c r="C6" s="59" t="n">
        <v>4</v>
      </c>
      <c r="D6" s="59" t="s">
        <v>5585</v>
      </c>
      <c r="E6" s="59" t="s">
        <v>5586</v>
      </c>
    </row>
    <row r="7" customFormat="false" ht="39.55" hidden="false" customHeight="false" outlineLevel="0" collapsed="false">
      <c r="A7" s="60" t="s">
        <v>4578</v>
      </c>
      <c r="B7" s="61" t="s">
        <v>4547</v>
      </c>
      <c r="C7" s="59" t="n">
        <v>23</v>
      </c>
      <c r="D7" s="59" t="s">
        <v>5587</v>
      </c>
      <c r="E7" s="59" t="s">
        <v>4584</v>
      </c>
    </row>
    <row r="8" customFormat="false" ht="26.85" hidden="false" customHeight="false" outlineLevel="0" collapsed="false">
      <c r="A8" s="60" t="s">
        <v>4708</v>
      </c>
      <c r="B8" s="62" t="s">
        <v>5584</v>
      </c>
      <c r="C8" s="59" t="n">
        <v>10</v>
      </c>
      <c r="D8" s="59" t="s">
        <v>5588</v>
      </c>
      <c r="E8" s="59" t="s">
        <v>5589</v>
      </c>
    </row>
    <row r="9" customFormat="false" ht="26.85" hidden="false" customHeight="false" outlineLevel="0" collapsed="false">
      <c r="A9" s="60" t="s">
        <v>4740</v>
      </c>
      <c r="B9" s="62" t="s">
        <v>5584</v>
      </c>
      <c r="C9" s="59" t="n">
        <v>748</v>
      </c>
      <c r="D9" s="59" t="s">
        <v>5590</v>
      </c>
      <c r="E9" s="59" t="s">
        <v>5591</v>
      </c>
    </row>
    <row r="10" customFormat="false" ht="26.85" hidden="false" customHeight="false" outlineLevel="0" collapsed="false">
      <c r="A10" s="60" t="s">
        <v>5592</v>
      </c>
      <c r="B10" s="62" t="s">
        <v>5584</v>
      </c>
      <c r="C10" s="59" t="n">
        <v>0</v>
      </c>
      <c r="D10" s="59" t="s">
        <v>5593</v>
      </c>
      <c r="E10" s="59" t="s">
        <v>5594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11"/>
    <col collapsed="false" customWidth="true" hidden="false" outlineLevel="0" max="4" min="4" style="0" width="10"/>
    <col collapsed="false" customWidth="true" hidden="false" outlineLevel="0" max="5" min="5" style="0" width="22"/>
    <col collapsed="false" customWidth="true" hidden="false" outlineLevel="0" max="6" min="6" style="0" width="26"/>
    <col collapsed="false" customWidth="true" hidden="false" outlineLevel="0" max="7" min="7" style="0" width="50"/>
    <col collapsed="false" customWidth="true" hidden="false" outlineLevel="0" max="8" min="8" style="0" width="18"/>
    <col collapsed="false" customWidth="true" hidden="false" outlineLevel="0" max="9" min="9" style="0" width="12"/>
    <col collapsed="false" customWidth="true" hidden="false" outlineLevel="0" max="10" min="10" style="0" width="14"/>
    <col collapsed="false" customWidth="true" hidden="false" outlineLevel="0" max="11" min="11" style="0" width="18"/>
    <col collapsed="false" customWidth="true" hidden="false" outlineLevel="0" max="12" min="12" style="0" width="16"/>
    <col collapsed="false" customWidth="true" hidden="false" outlineLevel="0" max="13" min="13" style="0" width="30"/>
  </cols>
  <sheetData>
    <row r="1" customFormat="false" ht="17.35" hidden="false" customHeight="false" outlineLevel="0" collapsed="false">
      <c r="A1" s="56" t="s">
        <v>5595</v>
      </c>
      <c r="B1" s="2"/>
      <c r="C1" s="2"/>
      <c r="D1" s="2"/>
      <c r="E1" s="2"/>
      <c r="F1" s="2"/>
      <c r="G1" s="2"/>
      <c r="H1" s="2"/>
      <c r="I1" s="2"/>
      <c r="J1" s="2"/>
      <c r="K1" s="2"/>
      <c r="L1" s="2"/>
      <c r="M1" s="2"/>
    </row>
    <row r="2" customFormat="false" ht="15" hidden="false" customHeight="false" outlineLevel="0" collapsed="false">
      <c r="A2" s="3" t="s">
        <v>5596</v>
      </c>
      <c r="B2" s="2"/>
      <c r="C2" s="2"/>
      <c r="D2" s="2"/>
      <c r="E2" s="2"/>
      <c r="F2" s="2"/>
      <c r="G2" s="2"/>
      <c r="H2" s="2"/>
      <c r="I2" s="2"/>
      <c r="J2" s="2"/>
      <c r="K2" s="2"/>
      <c r="L2" s="2"/>
      <c r="M2" s="2"/>
    </row>
    <row r="3" customFormat="false" ht="15" hidden="false" customHeight="false" outlineLevel="0" collapsed="false">
      <c r="A3" s="2"/>
      <c r="B3" s="2"/>
      <c r="C3" s="2"/>
      <c r="D3" s="2"/>
      <c r="E3" s="2"/>
      <c r="F3" s="2"/>
      <c r="G3" s="2"/>
      <c r="H3" s="2"/>
      <c r="I3" s="2"/>
      <c r="J3" s="2"/>
      <c r="K3" s="2"/>
      <c r="L3" s="2"/>
      <c r="M3" s="2"/>
    </row>
    <row r="4" customFormat="false" ht="31.5" hidden="false" customHeight="true" outlineLevel="0" collapsed="false">
      <c r="A4" s="8" t="s">
        <v>5597</v>
      </c>
      <c r="B4" s="8" t="s">
        <v>4525</v>
      </c>
      <c r="C4" s="8" t="s">
        <v>56</v>
      </c>
      <c r="D4" s="8" t="s">
        <v>42</v>
      </c>
      <c r="E4" s="8" t="s">
        <v>4689</v>
      </c>
      <c r="F4" s="8" t="s">
        <v>4528</v>
      </c>
      <c r="G4" s="8" t="s">
        <v>5598</v>
      </c>
      <c r="H4" s="8" t="s">
        <v>4473</v>
      </c>
      <c r="I4" s="8" t="s">
        <v>4537</v>
      </c>
      <c r="J4" s="8" t="s">
        <v>4540</v>
      </c>
      <c r="K4" s="8" t="s">
        <v>4541</v>
      </c>
      <c r="L4" s="8" t="s">
        <v>4538</v>
      </c>
      <c r="M4" s="8" t="s">
        <v>4539</v>
      </c>
    </row>
    <row r="5" customFormat="false" ht="15" hidden="false" customHeight="false" outlineLevel="0" collapsed="false">
      <c r="A5" s="55" t="s">
        <v>4556</v>
      </c>
      <c r="B5" s="55" t="s">
        <v>4543</v>
      </c>
      <c r="C5" s="55" t="s">
        <v>1168</v>
      </c>
      <c r="D5" s="55" t="s">
        <v>47</v>
      </c>
      <c r="E5" s="55" t="s">
        <v>4694</v>
      </c>
      <c r="F5" s="55" t="s">
        <v>4546</v>
      </c>
      <c r="G5" s="55" t="s">
        <v>5599</v>
      </c>
      <c r="H5" s="55" t="s">
        <v>4553</v>
      </c>
      <c r="I5" s="55"/>
      <c r="J5" s="55" t="s">
        <v>4549</v>
      </c>
      <c r="K5" s="55" t="s">
        <v>19</v>
      </c>
      <c r="L5" s="55" t="s">
        <v>4554</v>
      </c>
      <c r="M5" s="55" t="s">
        <v>4555</v>
      </c>
    </row>
    <row r="6" customFormat="false" ht="15" hidden="false" customHeight="false" outlineLevel="0" collapsed="false">
      <c r="A6" s="55" t="s">
        <v>4556</v>
      </c>
      <c r="B6" s="55" t="s">
        <v>4557</v>
      </c>
      <c r="C6" s="55" t="s">
        <v>210</v>
      </c>
      <c r="D6" s="55" t="s">
        <v>45</v>
      </c>
      <c r="E6" s="55" t="s">
        <v>4694</v>
      </c>
      <c r="F6" s="55" t="s">
        <v>4546</v>
      </c>
      <c r="G6" s="55" t="s">
        <v>5600</v>
      </c>
      <c r="H6" s="55" t="s">
        <v>4559</v>
      </c>
      <c r="I6" s="55"/>
      <c r="J6" s="55" t="s">
        <v>1319</v>
      </c>
      <c r="K6" s="55" t="s">
        <v>24</v>
      </c>
      <c r="L6" s="55" t="s">
        <v>4554</v>
      </c>
      <c r="M6" s="55" t="s">
        <v>4555</v>
      </c>
    </row>
    <row r="7" customFormat="false" ht="15" hidden="false" customHeight="false" outlineLevel="0" collapsed="false">
      <c r="A7" s="55" t="s">
        <v>4556</v>
      </c>
      <c r="B7" s="55" t="s">
        <v>4560</v>
      </c>
      <c r="C7" s="55" t="s">
        <v>3237</v>
      </c>
      <c r="D7" s="55" t="s">
        <v>47</v>
      </c>
      <c r="E7" s="55" t="s">
        <v>4694</v>
      </c>
      <c r="F7" s="55" t="s">
        <v>4546</v>
      </c>
      <c r="G7" s="55" t="s">
        <v>5601</v>
      </c>
      <c r="H7" s="55" t="s">
        <v>4563</v>
      </c>
      <c r="I7" s="55"/>
      <c r="J7" s="55" t="s">
        <v>3238</v>
      </c>
      <c r="K7" s="55" t="s">
        <v>22</v>
      </c>
      <c r="L7" s="55" t="s">
        <v>4554</v>
      </c>
      <c r="M7" s="55" t="s">
        <v>4555</v>
      </c>
    </row>
    <row r="8" customFormat="false" ht="15" hidden="false" customHeight="false" outlineLevel="0" collapsed="false">
      <c r="A8" s="55" t="s">
        <v>4556</v>
      </c>
      <c r="B8" s="55" t="s">
        <v>4564</v>
      </c>
      <c r="C8" s="55" t="s">
        <v>1360</v>
      </c>
      <c r="D8" s="55" t="s">
        <v>46</v>
      </c>
      <c r="E8" s="55" t="s">
        <v>4694</v>
      </c>
      <c r="F8" s="55" t="s">
        <v>4546</v>
      </c>
      <c r="G8" s="55" t="s">
        <v>5602</v>
      </c>
      <c r="H8" s="55" t="s">
        <v>4553</v>
      </c>
      <c r="I8" s="55"/>
      <c r="J8" s="55" t="s">
        <v>4566</v>
      </c>
      <c r="K8" s="55" t="s">
        <v>19</v>
      </c>
      <c r="L8" s="55" t="s">
        <v>4554</v>
      </c>
      <c r="M8" s="55" t="s">
        <v>4555</v>
      </c>
    </row>
    <row r="9" customFormat="false" ht="15" hidden="false" customHeight="false" outlineLevel="0" collapsed="false">
      <c r="A9" s="55" t="s">
        <v>4556</v>
      </c>
      <c r="B9" s="55" t="s">
        <v>4568</v>
      </c>
      <c r="C9" s="55" t="s">
        <v>1908</v>
      </c>
      <c r="D9" s="55" t="s">
        <v>47</v>
      </c>
      <c r="E9" s="55" t="s">
        <v>4694</v>
      </c>
      <c r="F9" s="55" t="s">
        <v>4546</v>
      </c>
      <c r="G9" s="55" t="s">
        <v>5603</v>
      </c>
      <c r="H9" s="55" t="s">
        <v>4563</v>
      </c>
      <c r="I9" s="55"/>
      <c r="J9" s="55" t="s">
        <v>2264</v>
      </c>
      <c r="K9" s="55" t="s">
        <v>22</v>
      </c>
      <c r="L9" s="55" t="s">
        <v>4554</v>
      </c>
      <c r="M9" s="55" t="s">
        <v>4555</v>
      </c>
    </row>
    <row r="10" customFormat="false" ht="15" hidden="false" customHeight="false" outlineLevel="0" collapsed="false">
      <c r="A10" s="55" t="s">
        <v>4556</v>
      </c>
      <c r="B10" s="55" t="s">
        <v>4570</v>
      </c>
      <c r="C10" s="55" t="s">
        <v>1619</v>
      </c>
      <c r="D10" s="55" t="s">
        <v>45</v>
      </c>
      <c r="E10" s="55" t="s">
        <v>4694</v>
      </c>
      <c r="F10" s="55" t="s">
        <v>4546</v>
      </c>
      <c r="G10" s="55" t="s">
        <v>5604</v>
      </c>
      <c r="H10" s="55" t="s">
        <v>4559</v>
      </c>
      <c r="I10" s="55"/>
      <c r="J10" s="55" t="s">
        <v>3147</v>
      </c>
      <c r="K10" s="55" t="s">
        <v>24</v>
      </c>
      <c r="L10" s="55" t="s">
        <v>4554</v>
      </c>
      <c r="M10" s="55" t="s">
        <v>4555</v>
      </c>
    </row>
    <row r="11" customFormat="false" ht="15" hidden="false" customHeight="false" outlineLevel="0" collapsed="false">
      <c r="A11" s="55" t="s">
        <v>4556</v>
      </c>
      <c r="B11" s="55" t="s">
        <v>4572</v>
      </c>
      <c r="C11" s="55" t="s">
        <v>478</v>
      </c>
      <c r="D11" s="55" t="s">
        <v>45</v>
      </c>
      <c r="E11" s="55" t="s">
        <v>4694</v>
      </c>
      <c r="F11" s="55" t="s">
        <v>4546</v>
      </c>
      <c r="G11" s="55" t="s">
        <v>5605</v>
      </c>
      <c r="H11" s="55" t="s">
        <v>4559</v>
      </c>
      <c r="I11" s="55"/>
      <c r="J11" s="55" t="s">
        <v>1073</v>
      </c>
      <c r="K11" s="55" t="s">
        <v>24</v>
      </c>
      <c r="L11" s="55" t="s">
        <v>4554</v>
      </c>
      <c r="M11" s="55" t="s">
        <v>4555</v>
      </c>
    </row>
    <row r="12" customFormat="false" ht="15" hidden="false" customHeight="false" outlineLevel="0" collapsed="false">
      <c r="A12" s="55" t="s">
        <v>4556</v>
      </c>
      <c r="B12" s="55" t="s">
        <v>4574</v>
      </c>
      <c r="C12" s="55" t="s">
        <v>484</v>
      </c>
      <c r="D12" s="55" t="s">
        <v>46</v>
      </c>
      <c r="E12" s="55" t="s">
        <v>4694</v>
      </c>
      <c r="F12" s="55" t="s">
        <v>4546</v>
      </c>
      <c r="G12" s="55" t="s">
        <v>5606</v>
      </c>
      <c r="H12" s="55" t="s">
        <v>4563</v>
      </c>
      <c r="I12" s="55"/>
      <c r="J12" s="55" t="s">
        <v>2058</v>
      </c>
      <c r="K12" s="55" t="s">
        <v>22</v>
      </c>
      <c r="L12" s="55" t="s">
        <v>4554</v>
      </c>
      <c r="M12" s="55" t="s">
        <v>4555</v>
      </c>
    </row>
    <row r="13" customFormat="false" ht="15" hidden="false" customHeight="false" outlineLevel="0" collapsed="false">
      <c r="A13" s="55" t="s">
        <v>4556</v>
      </c>
      <c r="B13" s="55" t="s">
        <v>4576</v>
      </c>
      <c r="C13" s="55" t="s">
        <v>2900</v>
      </c>
      <c r="D13" s="55" t="s">
        <v>45</v>
      </c>
      <c r="E13" s="55" t="s">
        <v>4577</v>
      </c>
      <c r="F13" s="55" t="s">
        <v>4578</v>
      </c>
      <c r="G13" s="55" t="s">
        <v>5607</v>
      </c>
      <c r="H13" s="55" t="s">
        <v>4553</v>
      </c>
      <c r="I13" s="55"/>
      <c r="J13" s="55" t="s">
        <v>5608</v>
      </c>
      <c r="K13" s="55" t="s">
        <v>19</v>
      </c>
      <c r="L13" s="55" t="s">
        <v>4554</v>
      </c>
      <c r="M13" s="55" t="s">
        <v>4555</v>
      </c>
    </row>
    <row r="14" customFormat="false" ht="15" hidden="false" customHeight="false" outlineLevel="0" collapsed="false">
      <c r="A14" s="55" t="s">
        <v>4556</v>
      </c>
      <c r="B14" s="55" t="s">
        <v>4585</v>
      </c>
      <c r="C14" s="55" t="s">
        <v>710</v>
      </c>
      <c r="D14" s="55" t="s">
        <v>46</v>
      </c>
      <c r="E14" s="55" t="s">
        <v>4577</v>
      </c>
      <c r="F14" s="55" t="s">
        <v>4578</v>
      </c>
      <c r="G14" s="55" t="s">
        <v>5609</v>
      </c>
      <c r="H14" s="55" t="s">
        <v>4563</v>
      </c>
      <c r="I14" s="55"/>
      <c r="J14" s="55" t="s">
        <v>5610</v>
      </c>
      <c r="K14" s="55" t="s">
        <v>22</v>
      </c>
      <c r="L14" s="55" t="s">
        <v>4554</v>
      </c>
      <c r="M14" s="55" t="s">
        <v>4555</v>
      </c>
    </row>
    <row r="15" customFormat="false" ht="15" hidden="false" customHeight="false" outlineLevel="0" collapsed="false">
      <c r="A15" s="55" t="s">
        <v>4556</v>
      </c>
      <c r="B15" s="55" t="s">
        <v>4590</v>
      </c>
      <c r="C15" s="55" t="s">
        <v>2943</v>
      </c>
      <c r="D15" s="55" t="s">
        <v>46</v>
      </c>
      <c r="E15" s="55" t="s">
        <v>4577</v>
      </c>
      <c r="F15" s="55" t="s">
        <v>4578</v>
      </c>
      <c r="G15" s="55" t="s">
        <v>5611</v>
      </c>
      <c r="H15" s="55" t="s">
        <v>4553</v>
      </c>
      <c r="I15" s="55"/>
      <c r="J15" s="55" t="s">
        <v>5612</v>
      </c>
      <c r="K15" s="55" t="s">
        <v>19</v>
      </c>
      <c r="L15" s="55" t="s">
        <v>4554</v>
      </c>
      <c r="M15" s="55" t="s">
        <v>4555</v>
      </c>
    </row>
    <row r="16" customFormat="false" ht="15" hidden="false" customHeight="false" outlineLevel="0" collapsed="false">
      <c r="A16" s="55" t="s">
        <v>4556</v>
      </c>
      <c r="B16" s="55" t="s">
        <v>4595</v>
      </c>
      <c r="C16" s="55" t="s">
        <v>520</v>
      </c>
      <c r="D16" s="55" t="s">
        <v>45</v>
      </c>
      <c r="E16" s="55" t="s">
        <v>4577</v>
      </c>
      <c r="F16" s="55" t="s">
        <v>4578</v>
      </c>
      <c r="G16" s="55" t="s">
        <v>5613</v>
      </c>
      <c r="H16" s="55" t="s">
        <v>4553</v>
      </c>
      <c r="I16" s="55"/>
      <c r="J16" s="55" t="s">
        <v>5614</v>
      </c>
      <c r="K16" s="55" t="s">
        <v>19</v>
      </c>
      <c r="L16" s="55" t="s">
        <v>4554</v>
      </c>
      <c r="M16" s="55" t="s">
        <v>4555</v>
      </c>
    </row>
    <row r="17" customFormat="false" ht="15" hidden="false" customHeight="false" outlineLevel="0" collapsed="false">
      <c r="A17" s="55" t="s">
        <v>4556</v>
      </c>
      <c r="B17" s="55" t="s">
        <v>4601</v>
      </c>
      <c r="C17" s="55" t="s">
        <v>1738</v>
      </c>
      <c r="D17" s="55" t="s">
        <v>46</v>
      </c>
      <c r="E17" s="55" t="s">
        <v>4577</v>
      </c>
      <c r="F17" s="55" t="s">
        <v>4578</v>
      </c>
      <c r="G17" s="55" t="s">
        <v>5615</v>
      </c>
      <c r="H17" s="55" t="s">
        <v>4559</v>
      </c>
      <c r="I17" s="55"/>
      <c r="J17" s="55" t="s">
        <v>5616</v>
      </c>
      <c r="K17" s="55" t="s">
        <v>24</v>
      </c>
      <c r="L17" s="55" t="s">
        <v>4554</v>
      </c>
      <c r="M17" s="55" t="s">
        <v>4555</v>
      </c>
    </row>
    <row r="18" customFormat="false" ht="15" hidden="false" customHeight="false" outlineLevel="0" collapsed="false">
      <c r="A18" s="55" t="s">
        <v>4556</v>
      </c>
      <c r="B18" s="55" t="s">
        <v>4606</v>
      </c>
      <c r="C18" s="55" t="s">
        <v>1867</v>
      </c>
      <c r="D18" s="55" t="s">
        <v>45</v>
      </c>
      <c r="E18" s="55" t="s">
        <v>4577</v>
      </c>
      <c r="F18" s="55" t="s">
        <v>4578</v>
      </c>
      <c r="G18" s="55" t="s">
        <v>5617</v>
      </c>
      <c r="H18" s="55" t="s">
        <v>4559</v>
      </c>
      <c r="I18" s="55"/>
      <c r="J18" s="55" t="s">
        <v>5618</v>
      </c>
      <c r="K18" s="55" t="s">
        <v>24</v>
      </c>
      <c r="L18" s="55" t="s">
        <v>4554</v>
      </c>
      <c r="M18" s="55" t="s">
        <v>4555</v>
      </c>
    </row>
    <row r="19" customFormat="false" ht="15" hidden="false" customHeight="false" outlineLevel="0" collapsed="false">
      <c r="A19" s="55" t="s">
        <v>4556</v>
      </c>
      <c r="B19" s="55" t="s">
        <v>4611</v>
      </c>
      <c r="C19" s="55" t="s">
        <v>716</v>
      </c>
      <c r="D19" s="55" t="s">
        <v>46</v>
      </c>
      <c r="E19" s="55" t="s">
        <v>4577</v>
      </c>
      <c r="F19" s="55" t="s">
        <v>4578</v>
      </c>
      <c r="G19" s="55" t="s">
        <v>5619</v>
      </c>
      <c r="H19" s="55" t="s">
        <v>4553</v>
      </c>
      <c r="I19" s="55"/>
      <c r="J19" s="55" t="s">
        <v>5620</v>
      </c>
      <c r="K19" s="55" t="s">
        <v>19</v>
      </c>
      <c r="L19" s="55" t="s">
        <v>4554</v>
      </c>
      <c r="M19" s="55" t="s">
        <v>4555</v>
      </c>
    </row>
    <row r="20" customFormat="false" ht="15" hidden="false" customHeight="false" outlineLevel="0" collapsed="false">
      <c r="A20" s="55" t="s">
        <v>4556</v>
      </c>
      <c r="B20" s="55" t="s">
        <v>4616</v>
      </c>
      <c r="C20" s="55" t="s">
        <v>157</v>
      </c>
      <c r="D20" s="55" t="s">
        <v>46</v>
      </c>
      <c r="E20" s="55" t="s">
        <v>4577</v>
      </c>
      <c r="F20" s="55" t="s">
        <v>4578</v>
      </c>
      <c r="G20" s="55" t="s">
        <v>5621</v>
      </c>
      <c r="H20" s="55" t="s">
        <v>4563</v>
      </c>
      <c r="I20" s="55"/>
      <c r="J20" s="55" t="s">
        <v>5622</v>
      </c>
      <c r="K20" s="55" t="s">
        <v>22</v>
      </c>
      <c r="L20" s="55" t="s">
        <v>4554</v>
      </c>
      <c r="M20" s="55" t="s">
        <v>4555</v>
      </c>
    </row>
    <row r="21" customFormat="false" ht="15" hidden="false" customHeight="false" outlineLevel="0" collapsed="false">
      <c r="A21" s="55" t="s">
        <v>4556</v>
      </c>
      <c r="B21" s="55" t="s">
        <v>4621</v>
      </c>
      <c r="C21" s="55" t="s">
        <v>654</v>
      </c>
      <c r="D21" s="55" t="s">
        <v>47</v>
      </c>
      <c r="E21" s="55" t="s">
        <v>4577</v>
      </c>
      <c r="F21" s="55" t="s">
        <v>4578</v>
      </c>
      <c r="G21" s="55" t="s">
        <v>5623</v>
      </c>
      <c r="H21" s="55" t="s">
        <v>4553</v>
      </c>
      <c r="I21" s="55"/>
      <c r="J21" s="55" t="s">
        <v>5624</v>
      </c>
      <c r="K21" s="55" t="s">
        <v>19</v>
      </c>
      <c r="L21" s="55" t="s">
        <v>4554</v>
      </c>
      <c r="M21" s="55" t="s">
        <v>4555</v>
      </c>
    </row>
    <row r="22" customFormat="false" ht="15" hidden="false" customHeight="false" outlineLevel="0" collapsed="false">
      <c r="A22" s="55" t="s">
        <v>4556</v>
      </c>
      <c r="B22" s="55" t="s">
        <v>4626</v>
      </c>
      <c r="C22" s="55" t="s">
        <v>3095</v>
      </c>
      <c r="D22" s="55" t="s">
        <v>46</v>
      </c>
      <c r="E22" s="55" t="s">
        <v>4577</v>
      </c>
      <c r="F22" s="55" t="s">
        <v>4578</v>
      </c>
      <c r="G22" s="55" t="s">
        <v>5625</v>
      </c>
      <c r="H22" s="55" t="s">
        <v>4559</v>
      </c>
      <c r="I22" s="55"/>
      <c r="J22" s="55" t="s">
        <v>5626</v>
      </c>
      <c r="K22" s="55" t="s">
        <v>24</v>
      </c>
      <c r="L22" s="55" t="s">
        <v>4554</v>
      </c>
      <c r="M22" s="55" t="s">
        <v>4555</v>
      </c>
    </row>
    <row r="23" customFormat="false" ht="15" hidden="false" customHeight="false" outlineLevel="0" collapsed="false">
      <c r="A23" s="55" t="s">
        <v>4556</v>
      </c>
      <c r="B23" s="55" t="s">
        <v>4630</v>
      </c>
      <c r="C23" s="55" t="s">
        <v>2597</v>
      </c>
      <c r="D23" s="55" t="s">
        <v>47</v>
      </c>
      <c r="E23" s="55" t="s">
        <v>4577</v>
      </c>
      <c r="F23" s="55" t="s">
        <v>4578</v>
      </c>
      <c r="G23" s="55" t="s">
        <v>5627</v>
      </c>
      <c r="H23" s="55" t="s">
        <v>4559</v>
      </c>
      <c r="I23" s="55"/>
      <c r="J23" s="55" t="s">
        <v>5628</v>
      </c>
      <c r="K23" s="55" t="s">
        <v>24</v>
      </c>
      <c r="L23" s="55" t="s">
        <v>4554</v>
      </c>
      <c r="M23" s="55" t="s">
        <v>4555</v>
      </c>
    </row>
    <row r="24" customFormat="false" ht="15" hidden="false" customHeight="false" outlineLevel="0" collapsed="false">
      <c r="A24" s="55" t="s">
        <v>4556</v>
      </c>
      <c r="B24" s="55" t="s">
        <v>4634</v>
      </c>
      <c r="C24" s="55" t="s">
        <v>496</v>
      </c>
      <c r="D24" s="55" t="s">
        <v>46</v>
      </c>
      <c r="E24" s="55" t="s">
        <v>4577</v>
      </c>
      <c r="F24" s="55" t="s">
        <v>4578</v>
      </c>
      <c r="G24" s="55" t="s">
        <v>5629</v>
      </c>
      <c r="H24" s="55" t="s">
        <v>4559</v>
      </c>
      <c r="I24" s="55"/>
      <c r="J24" s="55" t="s">
        <v>5630</v>
      </c>
      <c r="K24" s="55" t="s">
        <v>24</v>
      </c>
      <c r="L24" s="55" t="s">
        <v>4554</v>
      </c>
      <c r="M24" s="55" t="s">
        <v>4555</v>
      </c>
    </row>
    <row r="25" customFormat="false" ht="15" hidden="false" customHeight="false" outlineLevel="0" collapsed="false">
      <c r="A25" s="55" t="s">
        <v>4556</v>
      </c>
      <c r="B25" s="55" t="s">
        <v>4639</v>
      </c>
      <c r="C25" s="55" t="s">
        <v>1087</v>
      </c>
      <c r="D25" s="55" t="s">
        <v>47</v>
      </c>
      <c r="E25" s="55" t="s">
        <v>4577</v>
      </c>
      <c r="F25" s="55" t="s">
        <v>4578</v>
      </c>
      <c r="G25" s="55" t="s">
        <v>5631</v>
      </c>
      <c r="H25" s="55" t="s">
        <v>4553</v>
      </c>
      <c r="I25" s="55"/>
      <c r="J25" s="55" t="s">
        <v>5632</v>
      </c>
      <c r="K25" s="55" t="s">
        <v>19</v>
      </c>
      <c r="L25" s="55" t="s">
        <v>4554</v>
      </c>
      <c r="M25" s="55" t="s">
        <v>4555</v>
      </c>
    </row>
    <row r="26" customFormat="false" ht="15" hidden="false" customHeight="false" outlineLevel="0" collapsed="false">
      <c r="A26" s="55" t="s">
        <v>4556</v>
      </c>
      <c r="B26" s="55" t="s">
        <v>4644</v>
      </c>
      <c r="C26" s="55" t="s">
        <v>879</v>
      </c>
      <c r="D26" s="55" t="s">
        <v>47</v>
      </c>
      <c r="E26" s="55" t="s">
        <v>4577</v>
      </c>
      <c r="F26" s="55" t="s">
        <v>4578</v>
      </c>
      <c r="G26" s="55" t="s">
        <v>5633</v>
      </c>
      <c r="H26" s="55" t="s">
        <v>4563</v>
      </c>
      <c r="I26" s="55"/>
      <c r="J26" s="55" t="s">
        <v>5634</v>
      </c>
      <c r="K26" s="55" t="s">
        <v>22</v>
      </c>
      <c r="L26" s="55" t="s">
        <v>4554</v>
      </c>
      <c r="M26" s="55" t="s">
        <v>4555</v>
      </c>
    </row>
    <row r="27" customFormat="false" ht="15" hidden="false" customHeight="false" outlineLevel="0" collapsed="false">
      <c r="A27" s="55" t="s">
        <v>4556</v>
      </c>
      <c r="B27" s="55" t="s">
        <v>4649</v>
      </c>
      <c r="C27" s="55" t="s">
        <v>556</v>
      </c>
      <c r="D27" s="55" t="s">
        <v>45</v>
      </c>
      <c r="E27" s="55" t="s">
        <v>4577</v>
      </c>
      <c r="F27" s="55" t="s">
        <v>4578</v>
      </c>
      <c r="G27" s="55" t="s">
        <v>5635</v>
      </c>
      <c r="H27" s="55" t="s">
        <v>4553</v>
      </c>
      <c r="I27" s="55"/>
      <c r="J27" s="55" t="s">
        <v>5636</v>
      </c>
      <c r="K27" s="55" t="s">
        <v>19</v>
      </c>
      <c r="L27" s="55" t="s">
        <v>4554</v>
      </c>
      <c r="M27" s="55" t="s">
        <v>4555</v>
      </c>
    </row>
    <row r="28" customFormat="false" ht="15" hidden="false" customHeight="false" outlineLevel="0" collapsed="false">
      <c r="A28" s="55" t="s">
        <v>4556</v>
      </c>
      <c r="B28" s="55" t="s">
        <v>4653</v>
      </c>
      <c r="C28" s="55" t="s">
        <v>3266</v>
      </c>
      <c r="D28" s="55" t="s">
        <v>45</v>
      </c>
      <c r="E28" s="55" t="s">
        <v>4577</v>
      </c>
      <c r="F28" s="55" t="s">
        <v>4578</v>
      </c>
      <c r="G28" s="55" t="s">
        <v>5637</v>
      </c>
      <c r="H28" s="55" t="s">
        <v>4559</v>
      </c>
      <c r="I28" s="55"/>
      <c r="J28" s="55" t="s">
        <v>5638</v>
      </c>
      <c r="K28" s="55" t="s">
        <v>24</v>
      </c>
      <c r="L28" s="55" t="s">
        <v>4554</v>
      </c>
      <c r="M28" s="55" t="s">
        <v>4555</v>
      </c>
    </row>
    <row r="29" customFormat="false" ht="15" hidden="false" customHeight="false" outlineLevel="0" collapsed="false">
      <c r="A29" s="55" t="s">
        <v>4556</v>
      </c>
      <c r="B29" s="55" t="s">
        <v>4657</v>
      </c>
      <c r="C29" s="55" t="s">
        <v>1239</v>
      </c>
      <c r="D29" s="55" t="s">
        <v>46</v>
      </c>
      <c r="E29" s="55" t="s">
        <v>4577</v>
      </c>
      <c r="F29" s="55" t="s">
        <v>4578</v>
      </c>
      <c r="G29" s="55" t="s">
        <v>5639</v>
      </c>
      <c r="H29" s="55" t="s">
        <v>4553</v>
      </c>
      <c r="I29" s="55"/>
      <c r="J29" s="55" t="s">
        <v>5640</v>
      </c>
      <c r="K29" s="55" t="s">
        <v>19</v>
      </c>
      <c r="L29" s="55" t="s">
        <v>4554</v>
      </c>
      <c r="M29" s="55" t="s">
        <v>4555</v>
      </c>
    </row>
    <row r="30" customFormat="false" ht="15" hidden="false" customHeight="false" outlineLevel="0" collapsed="false">
      <c r="A30" s="55" t="s">
        <v>4556</v>
      </c>
      <c r="B30" s="55" t="s">
        <v>4661</v>
      </c>
      <c r="C30" s="55" t="s">
        <v>1155</v>
      </c>
      <c r="D30" s="55" t="s">
        <v>45</v>
      </c>
      <c r="E30" s="55" t="s">
        <v>4577</v>
      </c>
      <c r="F30" s="55" t="s">
        <v>4578</v>
      </c>
      <c r="G30" s="55" t="s">
        <v>5641</v>
      </c>
      <c r="H30" s="55" t="s">
        <v>4563</v>
      </c>
      <c r="I30" s="55"/>
      <c r="J30" s="55" t="s">
        <v>5642</v>
      </c>
      <c r="K30" s="55" t="s">
        <v>22</v>
      </c>
      <c r="L30" s="55" t="s">
        <v>4554</v>
      </c>
      <c r="M30" s="55" t="s">
        <v>4555</v>
      </c>
    </row>
    <row r="31" customFormat="false" ht="15" hidden="false" customHeight="false" outlineLevel="0" collapsed="false">
      <c r="A31" s="55" t="s">
        <v>4556</v>
      </c>
      <c r="B31" s="55" t="s">
        <v>4665</v>
      </c>
      <c r="C31" s="55" t="s">
        <v>2771</v>
      </c>
      <c r="D31" s="55" t="s">
        <v>46</v>
      </c>
      <c r="E31" s="55" t="s">
        <v>4577</v>
      </c>
      <c r="F31" s="55" t="s">
        <v>4578</v>
      </c>
      <c r="G31" s="55" t="s">
        <v>5643</v>
      </c>
      <c r="H31" s="55" t="s">
        <v>4559</v>
      </c>
      <c r="I31" s="55"/>
      <c r="J31" s="55" t="s">
        <v>5644</v>
      </c>
      <c r="K31" s="55" t="s">
        <v>24</v>
      </c>
      <c r="L31" s="55" t="s">
        <v>4554</v>
      </c>
      <c r="M31" s="55" t="s">
        <v>4555</v>
      </c>
    </row>
    <row r="32" customFormat="false" ht="15" hidden="false" customHeight="false" outlineLevel="0" collapsed="false">
      <c r="A32" s="55" t="s">
        <v>4556</v>
      </c>
      <c r="B32" s="55" t="s">
        <v>4669</v>
      </c>
      <c r="C32" s="55" t="s">
        <v>174</v>
      </c>
      <c r="D32" s="55" t="s">
        <v>47</v>
      </c>
      <c r="E32" s="55" t="s">
        <v>4577</v>
      </c>
      <c r="F32" s="55" t="s">
        <v>4578</v>
      </c>
      <c r="G32" s="55" t="s">
        <v>5645</v>
      </c>
      <c r="H32" s="55" t="s">
        <v>4563</v>
      </c>
      <c r="I32" s="55"/>
      <c r="J32" s="55" t="s">
        <v>5646</v>
      </c>
      <c r="K32" s="55" t="s">
        <v>22</v>
      </c>
      <c r="L32" s="55" t="s">
        <v>4554</v>
      </c>
      <c r="M32" s="55" t="s">
        <v>4555</v>
      </c>
    </row>
    <row r="33" customFormat="false" ht="15" hidden="false" customHeight="false" outlineLevel="0" collapsed="false">
      <c r="A33" s="55" t="s">
        <v>4556</v>
      </c>
      <c r="B33" s="55" t="s">
        <v>4673</v>
      </c>
      <c r="C33" s="55" t="s">
        <v>602</v>
      </c>
      <c r="D33" s="55" t="s">
        <v>45</v>
      </c>
      <c r="E33" s="55" t="s">
        <v>4577</v>
      </c>
      <c r="F33" s="55" t="s">
        <v>4578</v>
      </c>
      <c r="G33" s="55" t="s">
        <v>5647</v>
      </c>
      <c r="H33" s="55" t="s">
        <v>4559</v>
      </c>
      <c r="I33" s="55"/>
      <c r="J33" s="55" t="s">
        <v>5648</v>
      </c>
      <c r="K33" s="55" t="s">
        <v>24</v>
      </c>
      <c r="L33" s="55" t="s">
        <v>4554</v>
      </c>
      <c r="M33" s="55" t="s">
        <v>4555</v>
      </c>
    </row>
    <row r="34" customFormat="false" ht="15" hidden="false" customHeight="false" outlineLevel="0" collapsed="false">
      <c r="A34" s="55" t="s">
        <v>4556</v>
      </c>
      <c r="B34" s="55" t="s">
        <v>4677</v>
      </c>
      <c r="C34" s="55" t="s">
        <v>632</v>
      </c>
      <c r="D34" s="55" t="s">
        <v>45</v>
      </c>
      <c r="E34" s="55" t="s">
        <v>4577</v>
      </c>
      <c r="F34" s="55" t="s">
        <v>4578</v>
      </c>
      <c r="G34" s="55" t="s">
        <v>5649</v>
      </c>
      <c r="H34" s="55" t="s">
        <v>4563</v>
      </c>
      <c r="I34" s="55"/>
      <c r="J34" s="55" t="s">
        <v>5650</v>
      </c>
      <c r="K34" s="55" t="s">
        <v>22</v>
      </c>
      <c r="L34" s="55" t="s">
        <v>4554</v>
      </c>
      <c r="M34" s="55" t="s">
        <v>4555</v>
      </c>
    </row>
    <row r="35" customFormat="false" ht="15" hidden="false" customHeight="false" outlineLevel="0" collapsed="false">
      <c r="A35" s="55" t="s">
        <v>4556</v>
      </c>
      <c r="B35" s="55" t="s">
        <v>4681</v>
      </c>
      <c r="C35" s="55" t="s">
        <v>752</v>
      </c>
      <c r="D35" s="55" t="s">
        <v>47</v>
      </c>
      <c r="E35" s="55" t="s">
        <v>4577</v>
      </c>
      <c r="F35" s="55" t="s">
        <v>4578</v>
      </c>
      <c r="G35" s="55" t="s">
        <v>5651</v>
      </c>
      <c r="H35" s="55" t="s">
        <v>4559</v>
      </c>
      <c r="I35" s="55"/>
      <c r="J35" s="55" t="s">
        <v>5652</v>
      </c>
      <c r="K35" s="55" t="s">
        <v>24</v>
      </c>
      <c r="L35" s="55" t="s">
        <v>4554</v>
      </c>
      <c r="M35" s="55" t="s">
        <v>4555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2026-10-01T05:17:48Z</dcterms:created>
  <dc:creator>openpyxl</dc:creator>
  <dc:description/>
  <dc:language>en-US</dc:language>
  <cp:lastModifiedBy/>
  <dcterms:modified xsi:type="dcterms:W3CDTF">2026-10-01T05:17:52Z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